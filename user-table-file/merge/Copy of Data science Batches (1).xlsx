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sheetId="1" r:id="rId5"/>
    <sheet state="visible" name="5" sheetId="2" r:id="rId6"/>
    <sheet state="visible" name="6" sheetId="3" r:id="rId7"/>
    <sheet state="visible" name="Sheet10" sheetId="4" r:id="rId8"/>
    <sheet state="hidden" name="Sheet11" sheetId="5" r:id="rId9"/>
    <sheet state="visible" name="1" sheetId="6" r:id="rId10"/>
    <sheet state="visible" name="2" sheetId="7" r:id="rId11"/>
    <sheet state="visible" name="3" sheetId="8" r:id="rId12"/>
    <sheet state="visible" name="Sheet14" sheetId="9" r:id="rId13"/>
    <sheet state="visible" name="Sheet13" sheetId="10" r:id="rId14"/>
    <sheet state="visible" name="Sheet15" sheetId="11" r:id="rId15"/>
    <sheet state="visible" name="Sheet16" sheetId="12" r:id="rId16"/>
    <sheet state="visible" name="Sheet17" sheetId="13" r:id="rId17"/>
    <sheet state="visible" name="Sheet18" sheetId="14" r:id="rId18"/>
    <sheet state="visible" name="Sheet19" sheetId="15" r:id="rId19"/>
    <sheet state="visible" name="Sheet20" sheetId="16" r:id="rId20"/>
    <sheet state="visible" name="Sheet21" sheetId="17" r:id="rId21"/>
    <sheet state="visible" name="Sheet23" sheetId="18" r:id="rId22"/>
    <sheet state="visible" name="Sheet22" sheetId="19" r:id="rId23"/>
  </sheets>
  <definedNames>
    <definedName hidden="1" localSheetId="0" name="_xlnm._FilterDatabase">'4'!$A$1:$O$767</definedName>
    <definedName hidden="1" localSheetId="6" name="_xlnm._FilterDatabase">'2'!$A$1:$Q$766</definedName>
    <definedName hidden="1" localSheetId="5" name="Z_A104FE72_2CA9_4D96_BAEF_1498225EE7D5_.wvu.FilterData">'1'!$A$1:$P$610</definedName>
    <definedName hidden="1" localSheetId="5" name="Z_0EDE7776_14CC_4376_A780_6E81E7D4FDCF_.wvu.FilterData">'1'!$A$1:$P$610</definedName>
    <definedName hidden="1" localSheetId="5" name="Z_E329A87C_DA13_40DA_8422_EEB0AF6BD938_.wvu.FilterData">'1'!$A$1:$P$610</definedName>
    <definedName hidden="1" localSheetId="5" name="Z_5AD696C5_8B16_4D52_924C_2E402DD911F3_.wvu.FilterData">'1'!$A$1:$P$610</definedName>
    <definedName hidden="1" localSheetId="7" name="Z_5AD696C5_8B16_4D52_924C_2E402DD911F3_.wvu.FilterData">'3'!$A$1:$Q$395</definedName>
    <definedName hidden="1" localSheetId="5" name="Z_83916D5B_EE94_4770_9A9C_1FDEA668B1A9_.wvu.FilterData">'1'!$A$1:$P$610</definedName>
    <definedName hidden="1" localSheetId="7" name="Z_83916D5B_EE94_4770_9A9C_1FDEA668B1A9_.wvu.FilterData">'3'!$A$1:$Q$395</definedName>
    <definedName hidden="1" localSheetId="5" name="Z_9B516B4F_AD50_4C1B_96CE_8530977430D9_.wvu.FilterData">'1'!$A$1:$P$610</definedName>
    <definedName hidden="1" localSheetId="5" name="Z_59D52ED6_342A_412F_81B4_9AF63D7D4CAD_.wvu.FilterData">'1'!$A$1:$P$610</definedName>
    <definedName hidden="1" localSheetId="5" name="Z_B0FD48DB_2A07_4088_BE13_115271DC48CF_.wvu.FilterData">'1'!$A$1:$P$610</definedName>
    <definedName hidden="1" localSheetId="5" name="Z_870DEA61_60D3_472D_A790_DA5E3253B3BE_.wvu.FilterData">'1'!$A$1:$P$610</definedName>
    <definedName hidden="1" localSheetId="5" name="Z_4A970BB1_6E36_44B6_8E12_5CE6E6943B03_.wvu.FilterData">'1'!$A$1:$P$610</definedName>
    <definedName hidden="1" localSheetId="6" name="Z_4A970BB1_6E36_44B6_8E12_5CE6E6943B03_.wvu.FilterData">'2'!$A$1:$Q$766</definedName>
    <definedName hidden="1" localSheetId="7" name="Z_4A970BB1_6E36_44B6_8E12_5CE6E6943B03_.wvu.FilterData">'3'!$A$1:$Q$395</definedName>
    <definedName hidden="1" localSheetId="5" name="Z_1C4A8125_7CA0_4FC3_91BD_C62BCE4E23FB_.wvu.FilterData">'1'!$A$1:$P$610</definedName>
    <definedName hidden="1" localSheetId="5" name="Z_3B5A3B61_F402_4057_8FF2_393F496A764B_.wvu.FilterData">'1'!$A$1:$P$610</definedName>
    <definedName hidden="1" localSheetId="7" name="Z_3B5A3B61_F402_4057_8FF2_393F496A764B_.wvu.FilterData">'3'!$A$1:$Q$395</definedName>
    <definedName hidden="1" localSheetId="5" name="Z_D8016F6B_5246_412D_8D48_A4B67B18A46D_.wvu.FilterData">'1'!$A$1:$P$610</definedName>
    <definedName hidden="1" localSheetId="5" name="Z_74530CCB_0B76_46D4_ACB0_85DE1ED5A417_.wvu.FilterData">'1'!$A$1:$P$610</definedName>
    <definedName hidden="1" localSheetId="5" name="Z_01F1D7D1_E099_4DCF_9114_8213CFF90C97_.wvu.FilterData">'1'!$A$1:$P$610</definedName>
    <definedName hidden="1" localSheetId="7" name="Z_01F1D7D1_E099_4DCF_9114_8213CFF90C97_.wvu.FilterData">'3'!$A$1:$Q$395</definedName>
    <definedName hidden="1" localSheetId="5" name="Z_8E722F76_975F_4A06_8530_7C2A6749E366_.wvu.FilterData">'1'!$A$1:$P$610</definedName>
    <definedName hidden="1" localSheetId="5" name="Z_42EE3BA9_A1E5_4649_B844_4E17ADFBEAF1_.wvu.FilterData">'1'!$A$1:$P$610</definedName>
    <definedName hidden="1" localSheetId="6" name="Z_42EE3BA9_A1E5_4649_B844_4E17ADFBEAF1_.wvu.FilterData">'2'!$A$1:$Q$766</definedName>
    <definedName hidden="1" localSheetId="7" name="Z_42EE3BA9_A1E5_4649_B844_4E17ADFBEAF1_.wvu.FilterData">'3'!$A$1:$Q$395</definedName>
    <definedName hidden="1" localSheetId="5" name="Z_1A8D33D6_5610_486E_970A_6EE0FA35DFD2_.wvu.FilterData">'1'!$A$1:$P$610</definedName>
    <definedName hidden="1" localSheetId="5" name="Z_4C9C11EC_DFF2_467F_AA4A_3F7C56377D41_.wvu.FilterData">'1'!$A$1:$P$610</definedName>
    <definedName hidden="1" localSheetId="5" name="Z_1FCD6E23_CE7E_4AA8_8D11_9D169EE5F5D6_.wvu.FilterData">'1'!$A$1:$P$610</definedName>
    <definedName hidden="1" localSheetId="7" name="Z_1FCD6E23_CE7E_4AA8_8D11_9D169EE5F5D6_.wvu.FilterData">'3'!$A$1:$Q$395</definedName>
    <definedName hidden="1" localSheetId="5" name="Z_BB4AC7DF_3365_427C_9988_DF3D62DD32F5_.wvu.FilterData">'1'!$A$1:$P$610</definedName>
    <definedName hidden="1" localSheetId="5" name="Z_60C8AC33_B4F0_4103_8131_EC9807FAB241_.wvu.FilterData">'1'!$A$1:$P$610</definedName>
    <definedName hidden="1" localSheetId="5" name="Z_E5FE9003_762D_425A_9359_3E3959FD9E0B_.wvu.FilterData">'1'!$A$1:$P$610</definedName>
    <definedName hidden="1" localSheetId="5" name="Z_97CD85E9_0BBD_45CD_A007_31243B499C78_.wvu.FilterData">'1'!$A$1:$P$610</definedName>
    <definedName hidden="1" localSheetId="5" name="Z_4849141E_3A24_458B_9741_F7DE6B9E6422_.wvu.FilterData">'1'!$A$1:$P$610</definedName>
    <definedName hidden="1" localSheetId="5" name="Z_E0BA8A09_13DE_4E83_AD0C_DBD93BC6E554_.wvu.FilterData">'1'!$A$1:$P$610</definedName>
    <definedName hidden="1" localSheetId="5" name="Z_028ECECE_2391_401B_9F91_2891D253E65E_.wvu.FilterData">'1'!$A$1:$P$610</definedName>
    <definedName hidden="1" localSheetId="5" name="Z_00AC7BC1_1622_4FEA_80BE_F917D49FFA67_.wvu.FilterData">'1'!$A$1:$P$610</definedName>
    <definedName hidden="1" localSheetId="5" name="Z_8709B9B2_25BC_4FDE_BF13_ACDF5A469941_.wvu.FilterData">'1'!$A$1:$P$610</definedName>
    <definedName hidden="1" localSheetId="5" name="Z_11FCF255_BB8A_4152_A50C_8D16373AECDE_.wvu.FilterData">'1'!$A$1:$P$610</definedName>
    <definedName hidden="1" localSheetId="7" name="Z_11FCF255_BB8A_4152_A50C_8D16373AECDE_.wvu.FilterData">'3'!$A$1:$Q$395</definedName>
    <definedName hidden="1" localSheetId="5" name="Z_FDC5DBBB_632E_4C24_9B3B_48C8DA63E919_.wvu.FilterData">'1'!$A$1:$P$610</definedName>
    <definedName hidden="1" localSheetId="5" name="Z_3BD62615_F0B8_49E7_A63A_92A49FA69787_.wvu.FilterData">'1'!$A$1:$P$610</definedName>
    <definedName hidden="1" localSheetId="5" name="Z_AE8BB9E1_06E1_404F_B565_8EC2B0D80199_.wvu.FilterData">'1'!$A$1:$P$610</definedName>
    <definedName hidden="1" localSheetId="5" name="Z_E20B81AE_3BD8_4866_AC84_479DE62FB72F_.wvu.FilterData">'1'!$A$1:$P$610</definedName>
    <definedName hidden="1" localSheetId="5" name="Z_25783412_2087_4617_B872_F2D369530F14_.wvu.FilterData">'1'!$A$1:$P$610</definedName>
    <definedName hidden="1" localSheetId="5" name="Z_DA57DD75_3C64_4AF1_9668_261977003692_.wvu.FilterData">'1'!$A$1:$P$610</definedName>
    <definedName hidden="1" localSheetId="5" name="Z_AB9F3BDA_C58C_40C4_A658_601719A286A0_.wvu.FilterData">'1'!$A$1:$P$610</definedName>
    <definedName hidden="1" localSheetId="5" name="Z_318B9C66_9802_4774_96C9_F11EDA50B150_.wvu.FilterData">'1'!$A$1:$P$610</definedName>
    <definedName hidden="1" localSheetId="5" name="Z_EA07CB7E_4C0C_475A_9774_E0F6AA186EE8_.wvu.FilterData">'1'!$A$1:$P$610</definedName>
    <definedName hidden="1" localSheetId="5" name="Z_59412FAE_D09F_4966_84FA_7414B31AC02D_.wvu.FilterData">'1'!$A$1:$P$610</definedName>
    <definedName hidden="1" localSheetId="5" name="Z_6ECAD644_DDEB_4B8D_B9DD_F47069530A83_.wvu.FilterData">'1'!$A$1:$P$610</definedName>
    <definedName hidden="1" localSheetId="6" name="Z_6ECAD644_DDEB_4B8D_B9DD_F47069530A83_.wvu.FilterData">'2'!$A$1:$Q$766</definedName>
    <definedName hidden="1" localSheetId="7" name="Z_6ECAD644_DDEB_4B8D_B9DD_F47069530A83_.wvu.FilterData">'3'!$A$1:$Q$395</definedName>
    <definedName hidden="1" localSheetId="5" name="Z_2A41C2A3_6711_4EE2_BC02_2E7E5EB26B79_.wvu.FilterData">'1'!$A$1:$P$610</definedName>
    <definedName hidden="1" localSheetId="5" name="Z_53655A4A_F7D0_4738_9B74_80EE9C11B88C_.wvu.FilterData">'1'!$A$1:$P$610</definedName>
    <definedName hidden="1" localSheetId="7" name="Z_53655A4A_F7D0_4738_9B74_80EE9C11B88C_.wvu.FilterData">'3'!$A$1:$Q$395</definedName>
    <definedName hidden="1" localSheetId="5" name="Z_6463532C_BD49_4B9D_8C2F_EE5BF7396BD0_.wvu.FilterData">'1'!$A$1:$P$610</definedName>
    <definedName hidden="1" localSheetId="5" name="Z_779D25FC_C155_4584_83D9_139306780279_.wvu.FilterData">'1'!$A$1:$P$610</definedName>
    <definedName hidden="1" localSheetId="5" name="Z_0B1A594A_7DEA_40E9_A340_693CC4259A9F_.wvu.FilterData">'1'!$A$1:$P$610</definedName>
    <definedName hidden="1" localSheetId="5" name="Z_9D77ABC0_617A_4807_A4A7_E9F587F87454_.wvu.FilterData">'1'!$A$1:$P$610</definedName>
    <definedName hidden="1" localSheetId="5" name="Z_6529CA7D_EB2D_48E3_B965_4E2F0E65DCC6_.wvu.FilterData">'1'!$A$1:$P$610</definedName>
    <definedName hidden="1" localSheetId="5" name="Z_DBA73DF4_0A67_4FD9_8A9F_9D1299944FD4_.wvu.FilterData">'1'!$A$1:$P$610</definedName>
    <definedName hidden="1" localSheetId="5" name="Z_16532403_E150_4F54_8F24_810F82ABC52A_.wvu.FilterData">'1'!$A$1:$P$610</definedName>
    <definedName hidden="1" localSheetId="5" name="Z_CF6B82BC_D7C6_4F15_9E3A_3A3EBC6610CD_.wvu.FilterData">'1'!$A$1:$P$610</definedName>
    <definedName hidden="1" localSheetId="5" name="Z_25FFF08A_66DA_41C7_B92C_A599274DF4E2_.wvu.FilterData">'1'!$A$1:$P$610</definedName>
    <definedName hidden="1" localSheetId="5" name="Z_A7A6E8ED_4E4B_46E5_884A_44A954A8E9A6_.wvu.FilterData">'1'!$A$1:$P$610</definedName>
    <definedName hidden="1" localSheetId="5" name="Z_CF3D11DE_D7F2_45FC_8CD4_79761E3D4F6E_.wvu.FilterData">'1'!$A$1:$P$610</definedName>
    <definedName hidden="1" localSheetId="5" name="Z_93C8A4C6_2ADC_4F51_9671_7561BBA58209_.wvu.FilterData">'1'!$A$1:$P$610</definedName>
    <definedName hidden="1" localSheetId="5" name="Z_C2CD239C_F9A8_4445_8B32_E0D6C02498C7_.wvu.FilterData">'1'!$A$1:$P$610</definedName>
    <definedName hidden="1" localSheetId="5" name="Z_89B90C25_05BC_4397_B7CC_8E10F1597734_.wvu.FilterData">'1'!$A$1:$P$610</definedName>
    <definedName hidden="1" localSheetId="5" name="Z_ACAE55F5_F640_4ECA_B22F_A8CA353C80CA_.wvu.FilterData">'1'!$A$1:$P$610</definedName>
    <definedName hidden="1" localSheetId="5" name="Z_8571C71F_6CDC_4813_82F4_34412D0E89F0_.wvu.FilterData">'1'!$A$1:$P$610</definedName>
    <definedName hidden="1" localSheetId="5" name="Z_916BD683_69E9_453F_990B_184CF69AF4FE_.wvu.FilterData">'1'!$A$1:$P$610</definedName>
    <definedName hidden="1" localSheetId="7" name="Z_916BD683_69E9_453F_990B_184CF69AF4FE_.wvu.FilterData">'3'!$A$1:$Q$395</definedName>
    <definedName hidden="1" localSheetId="5" name="Z_D3289CBE_E162_431C_9FEF_6979D70DE615_.wvu.FilterData">'1'!$A$1:$P$610</definedName>
    <definedName hidden="1" localSheetId="5" name="Z_3B68DF9D_942E_4A60_B9F5_D7E141B1FEEC_.wvu.FilterData">'1'!$A$1:$P$610</definedName>
    <definedName hidden="1" localSheetId="5" name="Z_599E6B7F_A0D0_4C2B_AC1C_C8C7C076F859_.wvu.FilterData">'1'!$A$1:$P$610</definedName>
    <definedName hidden="1" localSheetId="5" name="Z_43851966_082A_4ADE_9443_EC6E714E4348_.wvu.FilterData">'1'!$A$1:$P$610</definedName>
    <definedName hidden="1" localSheetId="5" name="Z_3014B581_897F_4C8A_B78D_CE52BAFA3A39_.wvu.FilterData">'1'!$A$1:$P$610</definedName>
    <definedName hidden="1" localSheetId="5" name="Z_CD10EF8D_764A_4BD0_B3FB_D48AAE4C5964_.wvu.FilterData">'1'!$A$1:$P$610</definedName>
    <definedName hidden="1" localSheetId="5" name="Z_0ED3DB75_60D0_4D90_9B88_3CA94695BA30_.wvu.FilterData">'1'!$A$1:$P$610</definedName>
    <definedName hidden="1" localSheetId="5" name="Z_F4EEA059_F4CE_4457_8604_CA6BDB9141D0_.wvu.FilterData">'1'!$A$1:$P$610</definedName>
    <definedName hidden="1" localSheetId="5" name="Z_11386E65_329C_4C20_B218_2B49751EA160_.wvu.FilterData">'1'!$A$1:$P$610</definedName>
    <definedName hidden="1" localSheetId="5" name="Z_6EDF69C4_4BEE_47E7_8294_0963EEE972A1_.wvu.FilterData">'1'!$A$1:$P$610</definedName>
    <definedName hidden="1" localSheetId="6" name="Z_6EDF69C4_4BEE_47E7_8294_0963EEE972A1_.wvu.FilterData">'2'!$A$1:$Q$766</definedName>
    <definedName hidden="1" localSheetId="7" name="Z_6EDF69C4_4BEE_47E7_8294_0963EEE972A1_.wvu.FilterData">'3'!$A$1:$Q$395</definedName>
    <definedName hidden="1" localSheetId="5" name="Z_DDB49BB2_B4C4_41EF_82E3_FF0D9F747910_.wvu.FilterData">'1'!$A$1:$P$610</definedName>
  </definedNames>
  <calcPr/>
  <customWorkbookViews>
    <customWorkbookView activeSheetId="0" maximized="1" windowHeight="0" windowWidth="0" guid="{028ECECE-2391-401B-9F91-2891D253E65E}" name="Group by stage [50]"/>
    <customWorkbookView activeSheetId="0" maximized="1" windowHeight="0" windowWidth="0" guid="{60C8AC33-B4F0-4103-8131-EC9807FAB241}" name="Group by stage [62]"/>
    <customWorkbookView activeSheetId="0" maximized="1" windowHeight="0" windowWidth="0" guid="{53655A4A-F7D0-4738-9B74-80EE9C11B88C}" name="Group by stage [8]"/>
    <customWorkbookView activeSheetId="0" maximized="1" windowHeight="0" windowWidth="0" guid="{A104FE72-2CA9-4D96-BAEF-1498225EE7D5}" name="Group by Attempts Missing [4]"/>
    <customWorkbookView activeSheetId="0" maximized="1" windowHeight="0" windowWidth="0" guid="{4A970BB1-6E36-44B6-8E12-5CE6E6943B03}" name="Group by stage [4]"/>
    <customWorkbookView activeSheetId="0" maximized="1" windowHeight="0" windowWidth="0" guid="{599E6B7F-A0D0-4C2B-AC1C-C8C7C076F859}" name="Group by stage [18]"/>
    <customWorkbookView activeSheetId="0" maximized="1" windowHeight="0" windowWidth="0" guid="{3014B581-897F-4C8A-B78D-CE52BAFA3A39}" name="Group by stage [38]"/>
    <customWorkbookView activeSheetId="0" maximized="1" windowHeight="0" windowWidth="0" guid="{8E722F76-975F-4A06-8530-7C2A6749E366}" name="Group by stage [58]"/>
    <customWorkbookView activeSheetId="0" maximized="1" windowHeight="0" windowWidth="0" guid="{CD10EF8D-764A-4BD0-B3FB-D48AAE4C5964}" name="Group by stage [14]"/>
    <customWorkbookView activeSheetId="0" maximized="1" windowHeight="0" windowWidth="0" guid="{EA07CB7E-4C0C-475A-9774-E0F6AA186EE8}" name="Group by stage [26]"/>
    <customWorkbookView activeSheetId="0" maximized="1" windowHeight="0" windowWidth="0" guid="{9B516B4F-AD50-4C1B-96CE-8530977430D9}" name="Group by stage [34]"/>
    <customWorkbookView activeSheetId="0" maximized="1" windowHeight="0" windowWidth="0" guid="{93C8A4C6-2ADC-4F51-9671-7561BBA58209}" name="Group by stage [46]"/>
    <customWorkbookView activeSheetId="0" maximized="1" windowHeight="0" windowWidth="0" guid="{916BD683-69E9-453F-990B-184CF69AF4FE}" name="Group by stage [10]"/>
    <customWorkbookView activeSheetId="0" maximized="1" windowHeight="0" windowWidth="0" guid="{59D52ED6-342A-412F-81B4-9AF63D7D4CAD}" name="Group by stage [54]"/>
    <customWorkbookView activeSheetId="0" maximized="1" windowHeight="0" windowWidth="0" guid="{FDC5DBBB-632E-4C24-9B3B-48C8DA63E919}" name="Group by stage [22]"/>
    <customWorkbookView activeSheetId="0" maximized="1" windowHeight="0" windowWidth="0" guid="{DBA73DF4-0A67-4FD9-8A9F-9D1299944FD4}" name="Group by stage [30]"/>
    <customWorkbookView activeSheetId="0" maximized="1" windowHeight="0" windowWidth="0" guid="{AB9F3BDA-C58C-40C4-A658-601719A286A0}" name="Group by stage [42]"/>
    <customWorkbookView activeSheetId="0" maximized="1" windowHeight="0" windowWidth="0" guid="{1FCD6E23-CE7E-4AA8-8D11-9D169EE5F5D6}" name="Group by stage [7]"/>
    <customWorkbookView activeSheetId="0" maximized="1" windowHeight="0" windowWidth="0" guid="{C2CD239C-F9A8-4445-8B32-E0D6C02498C7}" name="Group by stage [61]"/>
    <customWorkbookView activeSheetId="0" maximized="1" windowHeight="0" windowWidth="0" guid="{E329A87C-DA13-40DA-8422-EEB0AF6BD938}" name="Group by Attempts Missing [5]"/>
    <customWorkbookView activeSheetId="0" maximized="1" windowHeight="0" windowWidth="0" guid="{6EDF69C4-4BEE-47E7-8294-0963EEE972A1}" name="Group by stage [3]"/>
    <customWorkbookView activeSheetId="0" maximized="1" windowHeight="0" windowWidth="0" guid="{6463532C-BD49-4B9D-8C2F-EE5BF7396BD0}" name="Group by stage [29]"/>
    <customWorkbookView activeSheetId="0" maximized="1" windowHeight="0" windowWidth="0" guid="{3BD62615-F0B8-49E7-A63A-92A49FA69787}" name="Group by stage [49]"/>
    <customWorkbookView activeSheetId="0" maximized="1" windowHeight="0" windowWidth="0" guid="{6529CA7D-EB2D-48E3-B965-4E2F0E65DCC6}" name="Group by stage [17]"/>
    <customWorkbookView activeSheetId="0" maximized="1" windowHeight="0" windowWidth="0" guid="{25FFF08A-66DA-41C7-B92C-A599274DF4E2}" name="Group by stage [25]"/>
    <customWorkbookView activeSheetId="0" maximized="1" windowHeight="0" windowWidth="0" guid="{0EDE7776-14CC-4376-A780-6E81E7D4FDCF}" name="Group by stage [37]"/>
    <customWorkbookView activeSheetId="0" maximized="1" windowHeight="0" windowWidth="0" guid="{1A8D33D6-5610-486E-970A-6EE0FA35DFD2}" name="Group by stage [45]"/>
    <customWorkbookView activeSheetId="0" maximized="1" windowHeight="0" windowWidth="0" guid="{8709B9B2-25BC-4FDE-BF13-ACDF5A469941}" name="Group by stage [57]"/>
    <customWorkbookView activeSheetId="0" maximized="1" windowHeight="0" windowWidth="0" guid="{25783412-2087-4617-B872-F2D369530F14}" name="Group by stage [13]"/>
    <customWorkbookView activeSheetId="0" maximized="1" windowHeight="0" windowWidth="0" guid="{74530CCB-0B76-46D4-ACB0-85DE1ED5A417}" name="Group by stage [21]"/>
    <customWorkbookView activeSheetId="0" maximized="1" windowHeight="0" windowWidth="0" guid="{ACAE55F5-F640-4ECA-B22F-A8CA353C80CA}" name="Group by stage [65]"/>
    <customWorkbookView activeSheetId="0" maximized="1" windowHeight="0" windowWidth="0" guid="{BB4AC7DF-3365-427C-9988-DF3D62DD32F5}" name="Group by stage [33]"/>
    <customWorkbookView activeSheetId="0" maximized="1" windowHeight="0" windowWidth="0" guid="{11386E65-329C-4C20-B218-2B49751EA160}" name="Group by stage [41]"/>
    <customWorkbookView activeSheetId="0" maximized="1" windowHeight="0" windowWidth="0" guid="{E5FE9003-762D-425A-9359-3E3959FD9E0B}" name="Group by stage [53]"/>
    <customWorkbookView activeSheetId="0" maximized="1" windowHeight="0" windowWidth="0" guid="{0ED3DB75-60D0-4D90-9B88-3CA94695BA30}" name="Group by stage [40]"/>
    <customWorkbookView activeSheetId="0" maximized="1" windowHeight="0" windowWidth="0" guid="{0B1A594A-7DEA-40E9-A340-693CC4259A9F}" name="Group by stage [60]"/>
    <customWorkbookView activeSheetId="0" maximized="1" windowHeight="0" windowWidth="0" guid="{B0FD48DB-2A07-4088-BE13-115271DC48CF}" name="Group by Attempts Missing [2]"/>
    <customWorkbookView activeSheetId="0" maximized="1" windowHeight="0" windowWidth="0" guid="{D8016F6B-5246-412D-8D48-A4B67B18A46D}" name="Group by Attempts Missing [6]"/>
    <customWorkbookView activeSheetId="0" maximized="1" windowHeight="0" windowWidth="0" guid="{89B90C25-05BC-4397-B7CC-8E10F1597734}" name="Group by Attempts Missing"/>
    <customWorkbookView activeSheetId="0" maximized="1" windowHeight="0" windowWidth="0" guid="{6ECAD644-DDEB-4B8D-B9DD-F47069530A83}" name="Group by stage [2]"/>
    <customWorkbookView activeSheetId="0" maximized="1" windowHeight="0" windowWidth="0" guid="{01F1D7D1-E099-4DCF-9114-8213CFF90C97}" name="Group by stage [6]"/>
    <customWorkbookView activeSheetId="0" maximized="1" windowHeight="0" windowWidth="0" guid="{42EE3BA9-A1E5-4649-B844-4E17ADFBEAF1}" name="Group by stage"/>
    <customWorkbookView activeSheetId="0" maximized="1" windowHeight="0" windowWidth="0" guid="{3B68DF9D-942E-4A60-B9F5-D7E141B1FEEC}" name="Group by stage [16]"/>
    <customWorkbookView activeSheetId="0" maximized="1" windowHeight="0" windowWidth="0" guid="{D3289CBE-E162-431C-9FEF-6979D70DE615}" name="Group by stage [28]"/>
    <customWorkbookView activeSheetId="0" maximized="1" windowHeight="0" windowWidth="0" guid="{AE8BB9E1-06E1-404F-B565-8EC2B0D80199}" name="Group by stage [36]"/>
    <customWorkbookView activeSheetId="0" maximized="1" windowHeight="0" windowWidth="0" guid="{318B9C66-9802-4774-96C9-F11EDA50B150}" name="Group by stage [48]"/>
    <customWorkbookView activeSheetId="0" maximized="1" windowHeight="0" windowWidth="0" guid="{DA57DD75-3C64-4AF1-9668-261977003692}" name="Group by stage [56]"/>
    <customWorkbookView activeSheetId="0" maximized="1" windowHeight="0" windowWidth="0" guid="{83916D5B-EE94-4770-9A9C-1FDEA668B1A9}" name="Group by stage [12]"/>
    <customWorkbookView activeSheetId="0" maximized="1" windowHeight="0" windowWidth="0" guid="{E20B81AE-3BD8-4866-AC84-479DE62FB72F}" name="Group by stage [24]"/>
    <customWorkbookView activeSheetId="0" maximized="1" windowHeight="0" windowWidth="0" guid="{CF6B82BC-D7C6-4F15-9E3A-3A3EBC6610CD}" name="Group by stage [32]"/>
    <customWorkbookView activeSheetId="0" maximized="1" windowHeight="0" windowWidth="0" guid="{9D77ABC0-617A-4807-A4A7-E9F587F87454}" name="Group by stage [44]"/>
    <customWorkbookView activeSheetId="0" maximized="1" windowHeight="0" windowWidth="0" guid="{CF3D11DE-D7F2-45FC-8CD4-79761E3D4F6E}" name="Group by stage [52]"/>
    <customWorkbookView activeSheetId="0" maximized="1" windowHeight="0" windowWidth="0" guid="{E0BA8A09-13DE-4E83-AD0C-DBD93BC6E554}" name="Group by stage [64]"/>
    <customWorkbookView activeSheetId="0" maximized="1" windowHeight="0" windowWidth="0" guid="{4C9C11EC-DFF2-467F-AA4A-3F7C56377D41}" name="Group by stage [20]"/>
    <customWorkbookView activeSheetId="0" maximized="1" windowHeight="0" windowWidth="0" guid="{16532403-E150-4F54-8F24-810F82ABC52A}" name="Group by stage [51]"/>
    <customWorkbookView activeSheetId="0" maximized="1" windowHeight="0" windowWidth="0" guid="{11FCF255-BB8A-4152-A50C-8D16373AECDE}" name="Group by stage [9]"/>
    <customWorkbookView activeSheetId="0" maximized="1" windowHeight="0" windowWidth="0" guid="{4849141E-3A24-458B-9741-F7DE6B9E6422}" name="Group by Attempts Missing [3]"/>
    <customWorkbookView activeSheetId="0" maximized="1" windowHeight="0" windowWidth="0" guid="{3B5A3B61-F402-4057-8FF2-393F496A764B}" name="Group by stage [5]"/>
    <customWorkbookView activeSheetId="0" maximized="1" windowHeight="0" windowWidth="0" guid="{43851966-082A-4ADE-9443-EC6E714E4348}" name="Group by stage [19]"/>
    <customWorkbookView activeSheetId="0" maximized="1" windowHeight="0" windowWidth="0" guid="{F4EEA059-F4CE-4457-8604-CA6BDB9141D0}" name="Group by stage [27]"/>
    <customWorkbookView activeSheetId="0" maximized="1" windowHeight="0" windowWidth="0" guid="{8571C71F-6CDC-4813-82F4-34412D0E89F0}" name="Group by stage [39]"/>
    <customWorkbookView activeSheetId="0" maximized="1" windowHeight="0" windowWidth="0" guid="{1C4A8125-7CA0-4FC3-91BD-C62BCE4E23FB}" name="Group by stage [47]"/>
    <customWorkbookView activeSheetId="0" maximized="1" windowHeight="0" windowWidth="0" guid="{2A41C2A3-6711-4EE2-BC02-2E7E5EB26B79}" name="Group by stage [15]"/>
    <customWorkbookView activeSheetId="0" maximized="1" windowHeight="0" windowWidth="0" guid="{779D25FC-C155-4584-83D9-139306780279}" name="Group by stage [59]"/>
    <customWorkbookView activeSheetId="0" maximized="1" windowHeight="0" windowWidth="0" guid="{97CD85E9-0BBD-45CD-A007-31243B499C78}" name="Group by stage [23]"/>
    <customWorkbookView activeSheetId="0" maximized="1" windowHeight="0" windowWidth="0" guid="{870DEA61-60D3-472D-A790-DA5E3253B3BE}" name="Group by stage [35]"/>
    <customWorkbookView activeSheetId="0" maximized="1" windowHeight="0" windowWidth="0" guid="{DDB49BB2-B4C4-41EF-82E3-FF0D9F747910}" name="Group by stage [43]"/>
    <customWorkbookView activeSheetId="0" maximized="1" windowHeight="0" windowWidth="0" guid="{5AD696C5-8B16-4D52-924C-2E402DD911F3}" name="Group by stage [11]"/>
    <customWorkbookView activeSheetId="0" maximized="1" windowHeight="0" windowWidth="0" guid="{00AC7BC1-1622-4FEA-80BE-F917D49FFA67}" name="Group by stage [55]"/>
    <customWorkbookView activeSheetId="0" maximized="1" windowHeight="0" windowWidth="0" guid="{A7A6E8ED-4E4B-46E5-884A-44A954A8E9A6}" name="Group by stage [63]"/>
    <customWorkbookView activeSheetId="0" maximized="1" windowHeight="0" windowWidth="0" guid="{59412FAE-D09F-4966-84FA-7414B31AC02D}" name="Group by stage [31]"/>
  </customWorkbookViews>
</workbook>
</file>

<file path=xl/sharedStrings.xml><?xml version="1.0" encoding="utf-8"?>
<sst xmlns="http://schemas.openxmlformats.org/spreadsheetml/2006/main" count="64449" uniqueCount="15488">
  <si>
    <t>Prospect Name</t>
  </si>
  <si>
    <t>Number</t>
  </si>
  <si>
    <t>Attempts Missing</t>
  </si>
  <si>
    <t>Status</t>
  </si>
  <si>
    <t>stage</t>
  </si>
  <si>
    <t>Call Slot 1</t>
  </si>
  <si>
    <t>Attempt 1</t>
  </si>
  <si>
    <t>Call Slot 2</t>
  </si>
  <si>
    <t>Attempt 2</t>
  </si>
  <si>
    <t>Call Slot 3</t>
  </si>
  <si>
    <t>Attempt-3</t>
  </si>
  <si>
    <t>Call Slot 4</t>
  </si>
  <si>
    <t>Attempt-4</t>
  </si>
  <si>
    <t>Notes</t>
  </si>
  <si>
    <t>Next Step</t>
  </si>
  <si>
    <t>92 349 6567518</t>
  </si>
  <si>
    <t>Not Attended</t>
  </si>
  <si>
    <t>Call not Recieved</t>
  </si>
  <si>
    <t>10:00 - 12:00 PM</t>
  </si>
  <si>
    <t>Not Recieved</t>
  </si>
  <si>
    <t>12:00-02:30</t>
  </si>
  <si>
    <t>02:30-04:30</t>
  </si>
  <si>
    <t>04:30-06:00</t>
  </si>
  <si>
    <t>not picking up the call / I message</t>
  </si>
  <si>
    <t>92 320 5311945</t>
  </si>
  <si>
    <t>enroll in next batch</t>
  </si>
  <si>
    <t>Please Call later</t>
  </si>
  <si>
    <t>next batch</t>
  </si>
  <si>
    <t>92 321 4635594</t>
  </si>
  <si>
    <t>92 326 9883188</t>
  </si>
  <si>
    <t>Awaiting Response</t>
  </si>
  <si>
    <t>Call Recieved</t>
  </si>
  <si>
    <t>Not answer / I message him</t>
  </si>
  <si>
    <t>92 332 4382744</t>
  </si>
  <si>
    <t>Call Attended</t>
  </si>
  <si>
    <t>Awaiting payment</t>
  </si>
  <si>
    <t>26TH</t>
  </si>
  <si>
    <t>92 314 3150050</t>
  </si>
  <si>
    <t>number off</t>
  </si>
  <si>
    <t>92 345 9634325</t>
  </si>
  <si>
    <t>Contacted</t>
  </si>
  <si>
    <t>29th may</t>
  </si>
  <si>
    <t>92 308 6361988</t>
  </si>
  <si>
    <t xml:space="preserve">he'll update BY TODAY </t>
  </si>
  <si>
    <t>92 332 3103893</t>
  </si>
  <si>
    <t>Not picking up the call</t>
  </si>
  <si>
    <t>92 317 1397129</t>
  </si>
  <si>
    <t>no message</t>
  </si>
  <si>
    <t>92 328 3427019</t>
  </si>
  <si>
    <t>Closed - Lost</t>
  </si>
  <si>
    <t>Client lost</t>
  </si>
  <si>
    <t>lost</t>
  </si>
  <si>
    <t>92 309 2050008</t>
  </si>
  <si>
    <t>92 310 0470538</t>
  </si>
  <si>
    <t>92 324 1328331</t>
  </si>
  <si>
    <t>92 309 9622347</t>
  </si>
  <si>
    <t>92 304 1809388</t>
  </si>
  <si>
    <t>he is going in Army academicfor 6 month</t>
  </si>
  <si>
    <t>92 302 7117295</t>
  </si>
  <si>
    <t>92 308 2050360</t>
  </si>
  <si>
    <t>want course in free</t>
  </si>
  <si>
    <t>92 314 9977301</t>
  </si>
  <si>
    <t>not picking up the call</t>
  </si>
  <si>
    <t>92 316 9322437</t>
  </si>
  <si>
    <t>28th</t>
  </si>
  <si>
    <t>92 345 0500366</t>
  </si>
  <si>
    <t>she cut the call</t>
  </si>
  <si>
    <t>92 335 2151199</t>
  </si>
  <si>
    <t>92 313 8247251</t>
  </si>
  <si>
    <t>92 322 6573551</t>
  </si>
  <si>
    <t>92 333 8053700</t>
  </si>
  <si>
    <t>Junaid</t>
  </si>
  <si>
    <t>92 355 6369605</t>
  </si>
  <si>
    <t>92 308 0411714</t>
  </si>
  <si>
    <t>92 313 2132428</t>
  </si>
  <si>
    <t>92 325 0805768</t>
  </si>
  <si>
    <t>92 327 8363492</t>
  </si>
  <si>
    <t>92 347 9111801</t>
  </si>
  <si>
    <t>92 319 6819015</t>
  </si>
  <si>
    <t>92 321 4742155</t>
  </si>
  <si>
    <t>92 330 2840635</t>
  </si>
  <si>
    <t>1s june</t>
  </si>
  <si>
    <t>92 333 9608073</t>
  </si>
  <si>
    <t>he'll update</t>
  </si>
  <si>
    <t>inam ullah</t>
  </si>
  <si>
    <t>92 310 8271844</t>
  </si>
  <si>
    <t>92 333 3684329</t>
  </si>
  <si>
    <t>no answer</t>
  </si>
  <si>
    <t>92 348 2064372</t>
  </si>
  <si>
    <t>92 342 3607032</t>
  </si>
  <si>
    <t>92 313 3358988</t>
  </si>
  <si>
    <t>92 312 0916979</t>
  </si>
  <si>
    <t>92 304 3609780</t>
  </si>
  <si>
    <t>92 355 4781124</t>
  </si>
  <si>
    <t>no off</t>
  </si>
  <si>
    <t>Sindh/ larkana / zubair / artificial inteligence</t>
  </si>
  <si>
    <t>92 319 3289538</t>
  </si>
  <si>
    <t>92 317 2787873</t>
  </si>
  <si>
    <t>92 334 2647920</t>
  </si>
  <si>
    <t>92 335 2223525</t>
  </si>
  <si>
    <t>92 345 2580728</t>
  </si>
  <si>
    <t>92 323 2072337</t>
  </si>
  <si>
    <t>92 326 8186540</t>
  </si>
  <si>
    <t>92 315 9564075</t>
  </si>
  <si>
    <t>92 321 2882129</t>
  </si>
  <si>
    <t>92 313 2375076</t>
  </si>
  <si>
    <t>92 344 5360410</t>
  </si>
  <si>
    <t>92 313 9077227</t>
  </si>
  <si>
    <t>92 323 8138274</t>
  </si>
  <si>
    <t>92 318 0429921</t>
  </si>
  <si>
    <t>92 325 9370608</t>
  </si>
  <si>
    <t>92 303 8322216</t>
  </si>
  <si>
    <t>92 342 2942900</t>
  </si>
  <si>
    <t>92 346 0026809</t>
  </si>
  <si>
    <t>92 321 2753078</t>
  </si>
  <si>
    <t>92 306 3657024</t>
  </si>
  <si>
    <t>Lost</t>
  </si>
  <si>
    <t>92 311 6625741</t>
  </si>
  <si>
    <t>He'll update on 25</t>
  </si>
  <si>
    <t>92 313 9864820</t>
  </si>
  <si>
    <t>he is busy</t>
  </si>
  <si>
    <t>92 319 6721954</t>
  </si>
  <si>
    <t xml:space="preserve">He'll update </t>
  </si>
  <si>
    <t>92 327 3803953</t>
  </si>
  <si>
    <t>92 305 6685245</t>
  </si>
  <si>
    <t>92 306 3715091</t>
  </si>
  <si>
    <t>92 311 3209412</t>
  </si>
  <si>
    <t>92 315 9153383</t>
  </si>
  <si>
    <t>92 319 5051778</t>
  </si>
  <si>
    <t>92 300 9747088</t>
  </si>
  <si>
    <t>He'll update</t>
  </si>
  <si>
    <t>92 310 3836652</t>
  </si>
  <si>
    <t>92 328 2139980</t>
  </si>
  <si>
    <t>1st june expected</t>
  </si>
  <si>
    <t>92 341 9841425</t>
  </si>
  <si>
    <t>Not interested</t>
  </si>
  <si>
    <t>92 343 5477234</t>
  </si>
  <si>
    <t>92 306 2347214</t>
  </si>
  <si>
    <t>92 328 3728287</t>
  </si>
  <si>
    <t>he cut the call</t>
  </si>
  <si>
    <t>92 331 0396815</t>
  </si>
  <si>
    <t>92 343 9323130</t>
  </si>
  <si>
    <t>92 344 0201688</t>
  </si>
  <si>
    <t>92 315 4688409</t>
  </si>
  <si>
    <t>92 340 7012882</t>
  </si>
  <si>
    <t>92 341 2378885</t>
  </si>
  <si>
    <t>92 344 2274780</t>
  </si>
  <si>
    <t>92 349 4013035</t>
  </si>
  <si>
    <t>92 343 4332884</t>
  </si>
  <si>
    <t>92 316 0224704</t>
  </si>
  <si>
    <t>his brother come after 5 minutes</t>
  </si>
  <si>
    <t>92 328 1330003</t>
  </si>
  <si>
    <t>not interested</t>
  </si>
  <si>
    <t>0307-3875280 (0343-7833258)</t>
  </si>
  <si>
    <t>he said he has some personal issues so for now he drop his plan to enroll in course.</t>
  </si>
  <si>
    <t>nil</t>
  </si>
  <si>
    <t>0343-1336539</t>
  </si>
  <si>
    <t xml:space="preserve"> still didnt respond on call not on whtsapp</t>
  </si>
  <si>
    <t>call tomorrow</t>
  </si>
  <si>
    <t>Mrs Ajmal</t>
  </si>
  <si>
    <t>0321-7067642</t>
  </si>
  <si>
    <t>she run a welfare asking to join with her.</t>
  </si>
  <si>
    <t>Waseem</t>
  </si>
  <si>
    <t>0306-7362137 (03055640707)</t>
  </si>
  <si>
    <t>call him but he didn't respond not on whtsapp.</t>
  </si>
  <si>
    <t>call him later.</t>
  </si>
  <si>
    <t>Ubaidullah</t>
  </si>
  <si>
    <t>0332-7848087</t>
  </si>
  <si>
    <t>call but didnt attend the call. had talke on whtsapp he is interested but he said he cant take online classes. due to he is living in joint family i asked him to manage and sort out this problem. cant manage to take online classes.</t>
  </si>
  <si>
    <t>approach him later.</t>
  </si>
  <si>
    <t xml:space="preserve">Sufiyan </t>
  </si>
  <si>
    <t>0314-5964493</t>
  </si>
  <si>
    <t>said not interested in course.</t>
  </si>
  <si>
    <t>Nil</t>
  </si>
  <si>
    <t>0347-3063900</t>
  </si>
  <si>
    <t xml:space="preserve"> still num off  not respond on whtsapp.</t>
  </si>
  <si>
    <t>call tomorrow.</t>
  </si>
  <si>
    <t>Iqra</t>
  </si>
  <si>
    <t>0347-2790767</t>
  </si>
  <si>
    <t>had talked with her she said she cant manage time as she is doing job in US based comapany so cant manage time to take online classes.</t>
  </si>
  <si>
    <t>-</t>
  </si>
  <si>
    <t>Attaullah</t>
  </si>
  <si>
    <t>0312-5872866</t>
  </si>
  <si>
    <t>num off didn't respond on whtsapp</t>
  </si>
  <si>
    <t>Mamoona</t>
  </si>
  <si>
    <t>0347-2292892</t>
  </si>
  <si>
    <t>not answer but shared detail on whtsapp . not responding on calll not on whtsapp.</t>
  </si>
  <si>
    <t>Abdul Waheed</t>
  </si>
  <si>
    <t>0314-5046175</t>
  </si>
  <si>
    <t>had talk he is currently enroll in other course so cant afford at one time 2 courses.</t>
  </si>
  <si>
    <t>Shafaq</t>
  </si>
  <si>
    <t>0325-4279620</t>
  </si>
  <si>
    <t>had talked she said she is interested in specific data anylst course. moreover said currently not want to enroll. approch her again but she said she dont want to enroll in this time.</t>
  </si>
  <si>
    <t>Sami</t>
  </si>
  <si>
    <t>0300-3563354</t>
  </si>
  <si>
    <t xml:space="preserve">had talked with him he think that course is free i asked him about how much he can pay he didn't say and hang up. ( number is busy) drop msg on whtsapp. </t>
  </si>
  <si>
    <t>call after 3 days</t>
  </si>
  <si>
    <t>Muneeb</t>
  </si>
  <si>
    <t>0334-9722883</t>
  </si>
  <si>
    <t>he is busy in class said call me later. (busy). not answering</t>
  </si>
  <si>
    <t>call 2 days later</t>
  </si>
  <si>
    <t>Ahmed</t>
  </si>
  <si>
    <t>0320-7807857</t>
  </si>
  <si>
    <t>his bro is interested in course i called him but his bro is not at home. moreover i asked him to call me when his bro is at home. so i can describe it whole course.</t>
  </si>
  <si>
    <t>call in evening</t>
  </si>
  <si>
    <t>0330-8675442</t>
  </si>
  <si>
    <t>still num off not replying on whtsapp.</t>
  </si>
  <si>
    <t>Safwan</t>
  </si>
  <si>
    <t>0321 5482238</t>
  </si>
  <si>
    <t>Had talked with him he said he is interested in cost accounting .so not interested in this</t>
  </si>
  <si>
    <t>0348 8815169</t>
  </si>
  <si>
    <t>not interested.</t>
  </si>
  <si>
    <t>NIL</t>
  </si>
  <si>
    <t>Shoaib</t>
  </si>
  <si>
    <t>0349 5635598</t>
  </si>
  <si>
    <t>had talked he said he didnt have any laptop or pc i asked him to find and let me know.( call him but he didnt recieved call)</t>
  </si>
  <si>
    <t>Ibrahim</t>
  </si>
  <si>
    <t>0310 5255500</t>
  </si>
  <si>
    <t>had talked with him told him about course he is interested but cant afford course i asked how much he can pay but he said he coudlnt pay.</t>
  </si>
  <si>
    <t>NIl</t>
  </si>
  <si>
    <t>Hadia</t>
  </si>
  <si>
    <t>0331 5600623</t>
  </si>
  <si>
    <t>she is interested but she said on whtsapp her father is not convence for online course. moreover i asked her to make him convence. she would told me about today.</t>
  </si>
  <si>
    <t>reach her out again later.</t>
  </si>
  <si>
    <t>Hameedullah</t>
  </si>
  <si>
    <t>0313 8978984</t>
  </si>
  <si>
    <t>he has done B.sc and want to start his career in tech industry thats why want to avail this course.
will confirm in 1 or 2 days. ( not recieved call drop msg on whtsapp) still not responding</t>
  </si>
  <si>
    <t>reach out again later.</t>
  </si>
  <si>
    <t>Shahid</t>
  </si>
  <si>
    <t>0328-2187990</t>
  </si>
  <si>
    <t>had talked with him he was looking for dropshipping .. not have any interest in this course.</t>
  </si>
  <si>
    <t>Babar</t>
  </si>
  <si>
    <t>0348-9451791</t>
  </si>
  <si>
    <t>he has no money jobless lives in KPK want to learn this course in free cant pay one single peny as per his say.</t>
  </si>
  <si>
    <t>_</t>
  </si>
  <si>
    <t>Abuzar</t>
  </si>
  <si>
    <t>0335-9161732</t>
  </si>
  <si>
    <t xml:space="preserve">had talked but they reacting like a stranger as they dont know about course or anything and last he said we dont want to enroll </t>
  </si>
  <si>
    <t>Sarmad</t>
  </si>
  <si>
    <t>0307-0004297</t>
  </si>
  <si>
    <t>he is in office said call me later ( didnt recieved call drop msg on whtsapp)</t>
  </si>
  <si>
    <t>Murtuza</t>
  </si>
  <si>
    <t>92 300 2530903</t>
  </si>
  <si>
    <t>didn't pick up the call. didnt respond on whtsapp.</t>
  </si>
  <si>
    <t>Zahid</t>
  </si>
  <si>
    <t>92 343 8277690</t>
  </si>
  <si>
    <t>can't connect call drop msg on whtsapp but didnt reply.</t>
  </si>
  <si>
    <t>call him after 2 days</t>
  </si>
  <si>
    <t>Farhan</t>
  </si>
  <si>
    <t>92 347 2694975</t>
  </si>
  <si>
    <t>Had talked with him he didnt have any pc or laptop said can i do it over phone /</t>
  </si>
  <si>
    <t>92 342 9105279</t>
  </si>
  <si>
    <t>Still not recieved call not replying on whtsapp.</t>
  </si>
  <si>
    <t>reach out again today</t>
  </si>
  <si>
    <t>Naeem</t>
  </si>
  <si>
    <t>92 332 2735044</t>
  </si>
  <si>
    <t>call recieved but didnt talk properly and didnt understand anything about course</t>
  </si>
  <si>
    <t>Arshad</t>
  </si>
  <si>
    <t>92 327 1458765</t>
  </si>
  <si>
    <t>had talked with him he said may b his bro generate query he said call me at 5 i will let you talk to my bro.( i call at 5 but he didnt pick up the call). didnt pick up the call not responding on whtsapp.)</t>
  </si>
  <si>
    <t>Samra</t>
  </si>
  <si>
    <t>92 344 4853224</t>
  </si>
  <si>
    <t>had talked i told her that she show interest in our course she hang up on me . drop msg on whtsapp. ( not attending call)</t>
  </si>
  <si>
    <t>Hussain</t>
  </si>
  <si>
    <t>92 304 8098804</t>
  </si>
  <si>
    <t>had talked with him he is interested share details of demo and bank he said he will review it &amp; will confirm about payment.( didnt pick up the call drop msg on whtsapp) still not answering</t>
  </si>
  <si>
    <t>call him tomorrow.</t>
  </si>
  <si>
    <t>Yasir</t>
  </si>
  <si>
    <t>92 332 5106008</t>
  </si>
  <si>
    <t>had talked on whtsapp bascially want job or want to reach our someone through our platform. not interested in course.</t>
  </si>
  <si>
    <t>Irfan</t>
  </si>
  <si>
    <t>92 342 0821163</t>
  </si>
  <si>
    <t>had a little talk with him he said he is busy in office call him after office hours.</t>
  </si>
  <si>
    <t>call him after 6 pm</t>
  </si>
  <si>
    <t>Arsalan</t>
  </si>
  <si>
    <t>92 333 7551611</t>
  </si>
  <si>
    <t>had little talk on call as he was busy he said we will talk later. moreover i shared details with him. ( not attending call not respond on whtsapp).</t>
  </si>
  <si>
    <t>call today at 4</t>
  </si>
  <si>
    <t>92 314 5001584</t>
  </si>
  <si>
    <t>call but someone else pick up the call and said farhan is not at home i told him when he back tell him to cll me back.(not attend call not reply on whtsapp)</t>
  </si>
  <si>
    <t>Shams</t>
  </si>
  <si>
    <t>92 307 0079544</t>
  </si>
  <si>
    <t>had talked he is in office said call me in evening moreover send details on whtsapp.( not attending call not reply on whtsapp).</t>
  </si>
  <si>
    <t>Ahmed (Muzamil)</t>
  </si>
  <si>
    <t>92 344 6913804</t>
  </si>
  <si>
    <t>had talked with him he said his bro is apply for this moreover thy both are interested in this course. they said they will call me &amp; told me about their plans</t>
  </si>
  <si>
    <t>Dr Farzana</t>
  </si>
  <si>
    <t>92 332 3633535</t>
  </si>
  <si>
    <t>Had talked with her she is interested in learning about tech industry.. i had send her details she said she will discuss it with her sons and husband &amp; will let me know.</t>
  </si>
  <si>
    <t>call on Saturday</t>
  </si>
  <si>
    <t>92 314 3381692</t>
  </si>
  <si>
    <t>had talked with her breif her about our course she is looking it for her sister. moreover she said she will told me about her plan by today.</t>
  </si>
  <si>
    <t>reach out later.</t>
  </si>
  <si>
    <t>Mubashir</t>
  </si>
  <si>
    <t>92 340 7624354</t>
  </si>
  <si>
    <t>had talked with him he said he is interested but cant afford fee say can pay3500 i asked how maximum can he pay so i can discuss it with managment.</t>
  </si>
  <si>
    <t>call after jummah.</t>
  </si>
  <si>
    <t xml:space="preserve">Javeria </t>
  </si>
  <si>
    <t>92 315 6184168</t>
  </si>
  <si>
    <t>had talked with her told her about course. send pdf on whtsapp. she said contact me on wtsapp.(not attend call not reply on whtsapp).</t>
  </si>
  <si>
    <t>Nazeer</t>
  </si>
  <si>
    <t>92 348 6270085</t>
  </si>
  <si>
    <t>not responding on call drop msg on whtsapp.</t>
  </si>
  <si>
    <t>Matloob</t>
  </si>
  <si>
    <t>92 343 7872615</t>
  </si>
  <si>
    <t>his son pick up the call said his father is at office. will return in evening i told him tell his father to call back. (not answering)</t>
  </si>
  <si>
    <t>Ahsan</t>
  </si>
  <si>
    <t>92 318 5142595</t>
  </si>
  <si>
    <t>he is busy said call me later moreover said i will connect with you on whtsapp.( didn't pick up the call not reply on whtsapp.</t>
  </si>
  <si>
    <t>Haider</t>
  </si>
  <si>
    <t>92 340 8950034</t>
  </si>
  <si>
    <t>num busy drop msg on whtspp</t>
  </si>
  <si>
    <t>Dr Sadia</t>
  </si>
  <si>
    <t>92 333 7496392</t>
  </si>
  <si>
    <t>not attend call drop msg on whtsapp.</t>
  </si>
  <si>
    <t xml:space="preserve">Asima </t>
  </si>
  <si>
    <t>92 333 5113441</t>
  </si>
  <si>
    <t>had talked with her she said she is searching for her children. her children. today i called her folr follow up she said her kids aren't interested in this course at this time.</t>
  </si>
  <si>
    <t>Shamsa</t>
  </si>
  <si>
    <t>92 300 9413794</t>
  </si>
  <si>
    <t>not recieved call send msg on whtsapp. but didnt reply .</t>
  </si>
  <si>
    <t>92 333 9024738</t>
  </si>
  <si>
    <t>said just checking out add dont have any interest in course.</t>
  </si>
  <si>
    <t>Hadi</t>
  </si>
  <si>
    <t>92 315 8531876</t>
  </si>
  <si>
    <t>he said he dont know english and dont know how to use pc.</t>
  </si>
  <si>
    <t>92 336 6222293</t>
  </si>
  <si>
    <t>Atya</t>
  </si>
  <si>
    <t>92 309 1949587</t>
  </si>
  <si>
    <t>had talked with her told her about course. send pdf on whtsapp. she will review it &amp; will let me know. didnt pick up the call.</t>
  </si>
  <si>
    <t>Laiba</t>
  </si>
  <si>
    <t>92 342 7904194</t>
  </si>
  <si>
    <t>intrested told her about our course she said she will confirm by today or tomorrow. about enrolling. ( she said she is not interested said its not possible to contimue it with study)</t>
  </si>
  <si>
    <t>Riffat</t>
  </si>
  <si>
    <t>92 322 8165516</t>
  </si>
  <si>
    <t>92 307 1707563</t>
  </si>
  <si>
    <t>92 316 5282321</t>
  </si>
  <si>
    <t>pick up the call said how much is the charges i told her she didnt talk much just hang up.</t>
  </si>
  <si>
    <t>Yasmeen</t>
  </si>
  <si>
    <t>92 314 7547932</t>
  </si>
  <si>
    <t>didnt talk properly on call .</t>
  </si>
  <si>
    <t>Aroob</t>
  </si>
  <si>
    <t>92 318 0864406</t>
  </si>
  <si>
    <t>Jawad</t>
  </si>
  <si>
    <t>0333-3014183</t>
  </si>
  <si>
    <t>busy on other call. drop msg on whtsapp.</t>
  </si>
  <si>
    <t>Hassan</t>
  </si>
  <si>
    <t>92 341 3529509</t>
  </si>
  <si>
    <t>had talked with her she is a single mother want to ear onine but cant afford course moreover dosent have any pc or laptop .</t>
  </si>
  <si>
    <t>Kiramat Shah</t>
  </si>
  <si>
    <t>92 316 1218074</t>
  </si>
  <si>
    <t>num off drop msg on whtsapp.</t>
  </si>
  <si>
    <t>Urooj Fatima</t>
  </si>
  <si>
    <t>92 331 3927816</t>
  </si>
  <si>
    <t xml:space="preserve">she is busy in namaz said will call later. drop msg on whtsapp i called her number is busy. </t>
  </si>
  <si>
    <t>92 355 5986501</t>
  </si>
  <si>
    <t>had called with him he said he was busy somewhere . told me to send details on whtsapp so he can review it and will let me know . (not answered).</t>
  </si>
  <si>
    <t>Wajid</t>
  </si>
  <si>
    <t>92 307 0427470</t>
  </si>
  <si>
    <t>cant understand what i am saying said his son may be shown interest but say his on cant undersstand urdu.</t>
  </si>
  <si>
    <t>Wasif</t>
  </si>
  <si>
    <t>92 332 5130344</t>
  </si>
  <si>
    <t>Lead Type</t>
  </si>
  <si>
    <t>date</t>
  </si>
  <si>
    <t>92 333 3597982</t>
  </si>
  <si>
    <t xml:space="preserve">will confirm me in 30 mins, call him back on 5th may </t>
  </si>
  <si>
    <t xml:space="preserve">Shoaib Malik </t>
  </si>
  <si>
    <t>92 308 3635652</t>
  </si>
  <si>
    <t>form filled, will pay fees till 6 june</t>
  </si>
  <si>
    <t>92 309 7109717</t>
  </si>
  <si>
    <t>immediately cut the call</t>
  </si>
  <si>
    <t>92 336 4429052</t>
  </si>
  <si>
    <t>lost lead</t>
  </si>
  <si>
    <t>92 336 8238809</t>
  </si>
  <si>
    <t>details shared again on whatsapp</t>
  </si>
  <si>
    <t>92 355 4420566</t>
  </si>
  <si>
    <t>no response</t>
  </si>
  <si>
    <t>92 328 6000794</t>
  </si>
  <si>
    <t xml:space="preserve">no response </t>
  </si>
  <si>
    <t>92 340 0581572</t>
  </si>
  <si>
    <t>92 333 9712136</t>
  </si>
  <si>
    <t>92 341 0045963</t>
  </si>
  <si>
    <t>92 329 7685207</t>
  </si>
  <si>
    <t>92 348 4534609</t>
  </si>
  <si>
    <t>92 319 0382503</t>
  </si>
  <si>
    <t>92 340 7363012</t>
  </si>
  <si>
    <t>92 331 8910393</t>
  </si>
  <si>
    <t>will pay fees after till 11 june</t>
  </si>
  <si>
    <t>92 311 7576492</t>
  </si>
  <si>
    <t>92 301 6802186</t>
  </si>
  <si>
    <t>his brother allpied for  the course</t>
  </si>
  <si>
    <t>92 325 9206535</t>
  </si>
  <si>
    <t>92 340 5544831</t>
  </si>
  <si>
    <t>92 332 1626073</t>
  </si>
  <si>
    <t>92 315 3721344</t>
  </si>
  <si>
    <t>Khansa ch</t>
  </si>
  <si>
    <t>92 305 6189462</t>
  </si>
  <si>
    <t>blocked me after see the price</t>
  </si>
  <si>
    <t>92 313 1347114</t>
  </si>
  <si>
    <t>92 314 1272749</t>
  </si>
  <si>
    <t>cannot attend classes because of finals</t>
  </si>
  <si>
    <t>92 319 6934822</t>
  </si>
  <si>
    <t>92 342 1213536</t>
  </si>
  <si>
    <t>not interested in data science</t>
  </si>
  <si>
    <t>92 349 1836928</t>
  </si>
  <si>
    <t>92 340 6508936</t>
  </si>
  <si>
    <t>details again  shared on whatsapp</t>
  </si>
  <si>
    <t>Aiman</t>
  </si>
  <si>
    <t>92 312 5592849</t>
  </si>
  <si>
    <t xml:space="preserve">demo </t>
  </si>
  <si>
    <t>92 304 1282405</t>
  </si>
  <si>
    <t>92 301 3283498</t>
  </si>
  <si>
    <t>rn he's in a village, he'll confirm me once he come to the city</t>
  </si>
  <si>
    <t>92 300 8797662</t>
  </si>
  <si>
    <t>92 342 6064181</t>
  </si>
  <si>
    <t>92 325 5171370</t>
  </si>
  <si>
    <t>Will fill form</t>
  </si>
  <si>
    <t>Shahzina shahbaz</t>
  </si>
  <si>
    <t>92 309 6144786</t>
  </si>
  <si>
    <t>form filled</t>
  </si>
  <si>
    <t xml:space="preserve">she's not at home </t>
  </si>
  <si>
    <t>92 319 7634505</t>
  </si>
  <si>
    <t>busy in exams. will contact him again on 16th june</t>
  </si>
  <si>
    <t>92 324 9506696</t>
  </si>
  <si>
    <t xml:space="preserve">will confirm me by today evening </t>
  </si>
  <si>
    <t>92 320 7433220</t>
  </si>
  <si>
    <t>92 325 8804362</t>
  </si>
  <si>
    <t>not interested in data science and AI course</t>
  </si>
  <si>
    <t>92 333 2266514</t>
  </si>
  <si>
    <t>92 306 3074585</t>
  </si>
  <si>
    <t>92 355 4594875</t>
  </si>
  <si>
    <t>92 343 2332260</t>
  </si>
  <si>
    <t>92 308 6540681</t>
  </si>
  <si>
    <t>Demo class</t>
  </si>
  <si>
    <t>92 309 1189769</t>
  </si>
  <si>
    <t>form filled, will apy fees till 18 june</t>
  </si>
  <si>
    <t>92 332 3746451</t>
  </si>
  <si>
    <t>will confirm me till evening</t>
  </si>
  <si>
    <t>92 355 4466976</t>
  </si>
  <si>
    <t>92 333 5286871</t>
  </si>
  <si>
    <t>92 342 2882784</t>
  </si>
  <si>
    <t>92 335 8291028</t>
  </si>
  <si>
    <t>signal issue, texted her on  whatsapp again</t>
  </si>
  <si>
    <t>92 333 2181611</t>
  </si>
  <si>
    <t>92 317 5699767</t>
  </si>
  <si>
    <t xml:space="preserve">form filled, no response </t>
  </si>
  <si>
    <t>92 327 0808621</t>
  </si>
  <si>
    <t>she thought it is related to business, not interested in course</t>
  </si>
  <si>
    <t>92 302 0747748</t>
  </si>
  <si>
    <t>92 321 3344514</t>
  </si>
  <si>
    <t>will join demo class</t>
  </si>
  <si>
    <t>1 (204) 479-2673</t>
  </si>
  <si>
    <t>busy in other stuff</t>
  </si>
  <si>
    <t>92 329 5846537</t>
  </si>
  <si>
    <t>92 326 2784281</t>
  </si>
  <si>
    <t>92 310 3140187</t>
  </si>
  <si>
    <t>details again shared on  whatsapp</t>
  </si>
  <si>
    <t>92 332 1139547</t>
  </si>
  <si>
    <t>92 302 5374476</t>
  </si>
  <si>
    <t>busy rn, call me later</t>
  </si>
  <si>
    <t>92 317 8775599</t>
  </si>
  <si>
    <t>Vishal</t>
  </si>
  <si>
    <t>92 349 4434360</t>
  </si>
  <si>
    <t>He'll do from  youtube.</t>
  </si>
  <si>
    <t>92 321 2040491</t>
  </si>
  <si>
    <t>signal issue</t>
  </si>
  <si>
    <t>92 348 9926130</t>
  </si>
  <si>
    <t>immediately cut the call.</t>
  </si>
  <si>
    <t>92 345 5376131</t>
  </si>
  <si>
    <t>92 332 1510544</t>
  </si>
  <si>
    <t>enroll in banoqabil course</t>
  </si>
  <si>
    <t>92 307 4775583</t>
  </si>
  <si>
    <t xml:space="preserve">will contact again on 13 june </t>
  </si>
  <si>
    <t>92 325 8167090</t>
  </si>
  <si>
    <t>92 343 2453441</t>
  </si>
  <si>
    <t>interested in  summer vacation course</t>
  </si>
  <si>
    <t>92 316 5621995</t>
  </si>
  <si>
    <t>interested, form shared</t>
  </si>
  <si>
    <t>92 333 3401044</t>
  </si>
  <si>
    <t>timing isn't suitable for him</t>
  </si>
  <si>
    <t>92 335 3844971</t>
  </si>
  <si>
    <t>signal issue, texted him on whatsapp</t>
  </si>
  <si>
    <t>92 310 9972109</t>
  </si>
  <si>
    <t>92 321 2256441</t>
  </si>
  <si>
    <t>92 308 2804529</t>
  </si>
  <si>
    <t>92 331 6677422</t>
  </si>
  <si>
    <t>Name</t>
  </si>
  <si>
    <t>Phone Number</t>
  </si>
  <si>
    <t>Unknown-2</t>
  </si>
  <si>
    <t>Unknown-4</t>
  </si>
  <si>
    <t>Unknown-6</t>
  </si>
  <si>
    <t>Unknown-8</t>
  </si>
  <si>
    <t>Unknown-1</t>
  </si>
  <si>
    <t>Unknown-3</t>
  </si>
  <si>
    <t>Unknown-5</t>
  </si>
  <si>
    <t>Unknown-7</t>
  </si>
  <si>
    <t>Unknown-9</t>
  </si>
  <si>
    <t>92 314 2639113</t>
  </si>
  <si>
    <t>92 301 2073908</t>
  </si>
  <si>
    <t>0311 1575311</t>
  </si>
  <si>
    <t>0332 3740133</t>
  </si>
  <si>
    <t>0329 8167660</t>
  </si>
  <si>
    <t>0300 7872645</t>
  </si>
  <si>
    <t>0317 0920130</t>
  </si>
  <si>
    <t>0331 2133552</t>
  </si>
  <si>
    <t>0308 2181928</t>
  </si>
  <si>
    <t>0333 0218820</t>
  </si>
  <si>
    <t>0347 3786945</t>
  </si>
  <si>
    <t>0300 5447177</t>
  </si>
  <si>
    <t>0312 2034209</t>
  </si>
  <si>
    <t>0322 8634076</t>
  </si>
  <si>
    <t>0319 8145288</t>
  </si>
  <si>
    <t>0308 6881522</t>
  </si>
  <si>
    <t>0331 3621191</t>
  </si>
  <si>
    <t>0318 0875355</t>
  </si>
  <si>
    <t>0340 2422474</t>
  </si>
  <si>
    <t>0313 5259162</t>
  </si>
  <si>
    <t>0306 5032125</t>
  </si>
  <si>
    <t>0333 1309006</t>
  </si>
  <si>
    <t>0341 7877455</t>
  </si>
  <si>
    <t>0327 5194427</t>
  </si>
  <si>
    <t>0313 3347303</t>
  </si>
  <si>
    <t>0312 2932113</t>
  </si>
  <si>
    <t>0318 0920271</t>
  </si>
  <si>
    <t>92 336 0163199</t>
  </si>
  <si>
    <t>92 343 7234060</t>
  </si>
  <si>
    <t>92 301 9547504</t>
  </si>
  <si>
    <t>92 370 4192828</t>
  </si>
  <si>
    <t>92 370 2176145</t>
  </si>
  <si>
    <t>92 308 2704569</t>
  </si>
  <si>
    <t>92 312 2146531</t>
  </si>
  <si>
    <t>0329 6876345</t>
  </si>
  <si>
    <t>0332 3047036</t>
  </si>
  <si>
    <t>0336 0164796/ 0333 6437061</t>
  </si>
  <si>
    <t>0313 2669898</t>
  </si>
  <si>
    <t>0346 5587948</t>
  </si>
  <si>
    <t>0314 2913388</t>
  </si>
  <si>
    <t>0333 0940781</t>
  </si>
  <si>
    <t>0300 4244211</t>
  </si>
  <si>
    <t>0333 2909262</t>
  </si>
  <si>
    <t>0316 8325012</t>
  </si>
  <si>
    <t>0300 9296400</t>
  </si>
  <si>
    <t>0327 5069832</t>
  </si>
  <si>
    <t>0355 4764113</t>
  </si>
  <si>
    <t>0333 2454870</t>
  </si>
  <si>
    <t>0300 3969875</t>
  </si>
  <si>
    <t>0341 0773758</t>
  </si>
  <si>
    <t>0336 2407532</t>
  </si>
  <si>
    <t>0355 4778011</t>
  </si>
  <si>
    <t>0321 8888136</t>
  </si>
  <si>
    <t>0311 2425497</t>
  </si>
  <si>
    <t>0332 2988804</t>
  </si>
  <si>
    <t>0310 3116254</t>
  </si>
  <si>
    <t>0370 6216059</t>
  </si>
  <si>
    <t>0337 6159096</t>
  </si>
  <si>
    <t>0344 8072570</t>
  </si>
  <si>
    <t>0342 6819340</t>
  </si>
  <si>
    <t>0345 7389659</t>
  </si>
  <si>
    <t>0336 1306640</t>
  </si>
  <si>
    <t>0 307 8173807</t>
  </si>
  <si>
    <t>0341 6905805</t>
  </si>
  <si>
    <t>0307 8223134</t>
  </si>
  <si>
    <t>0323 8464246</t>
  </si>
  <si>
    <t>0333 9528455</t>
  </si>
  <si>
    <t>0328 7900070</t>
  </si>
  <si>
    <t>0349 9903816</t>
  </si>
  <si>
    <t>0329 2781553</t>
  </si>
  <si>
    <t>0306 3922408</t>
  </si>
  <si>
    <t>0370 5197053</t>
  </si>
  <si>
    <t>0315 9283721</t>
  </si>
  <si>
    <t>0322 2329397</t>
  </si>
  <si>
    <t>0331 5850183</t>
  </si>
  <si>
    <t>0331 3894888</t>
  </si>
  <si>
    <t>0313 1073148</t>
  </si>
  <si>
    <t>0355 5240134</t>
  </si>
  <si>
    <t>0348 1740519</t>
  </si>
  <si>
    <t>0300 1278691</t>
  </si>
  <si>
    <t>0334 3303133</t>
  </si>
  <si>
    <t>0342 1713525</t>
  </si>
  <si>
    <t>0335 1830567</t>
  </si>
  <si>
    <t>0329 3517797</t>
  </si>
  <si>
    <t>0318 6761730</t>
  </si>
  <si>
    <t>0355 4784310</t>
  </si>
  <si>
    <t>0311 8774419</t>
  </si>
  <si>
    <t>0319 1334933</t>
  </si>
  <si>
    <t>0311 1886873</t>
  </si>
  <si>
    <t>0341 9422106</t>
  </si>
  <si>
    <t>0317 1739353</t>
  </si>
  <si>
    <t>0305 3330148</t>
  </si>
  <si>
    <t>0311 5905243</t>
  </si>
  <si>
    <t>0313 4670799</t>
  </si>
  <si>
    <t>0306 9826865</t>
  </si>
  <si>
    <t>0307 8586673</t>
  </si>
  <si>
    <t>0300 5638313</t>
  </si>
  <si>
    <t>0337 6500516</t>
  </si>
  <si>
    <t>0314 4177382</t>
  </si>
  <si>
    <t>0319 3120436</t>
  </si>
  <si>
    <t>0317 0045656</t>
  </si>
  <si>
    <t>0321 4706706</t>
  </si>
  <si>
    <t>0302 6841125</t>
  </si>
  <si>
    <t>0318 5788271</t>
  </si>
  <si>
    <t>0307 5428843</t>
  </si>
  <si>
    <t>0331 1408006</t>
  </si>
  <si>
    <t>0314 8556675</t>
  </si>
  <si>
    <t>0306 2610003</t>
  </si>
  <si>
    <t>0320 9593731</t>
  </si>
  <si>
    <t>0322 4122920</t>
  </si>
  <si>
    <t>0323 1536932</t>
  </si>
  <si>
    <t>0303 8932066</t>
  </si>
  <si>
    <t>0306 4409021</t>
  </si>
  <si>
    <t>0309 8560508</t>
  </si>
  <si>
    <t>0319 3687167</t>
  </si>
  <si>
    <t>0335 2883837</t>
  </si>
  <si>
    <t>0336 5238838</t>
  </si>
  <si>
    <t>0325 3926089/ 0345 3321016</t>
  </si>
  <si>
    <t>0331 2621722</t>
  </si>
  <si>
    <t>0340 2730755</t>
  </si>
  <si>
    <t>0309 3189886</t>
  </si>
  <si>
    <t>92 328 7272125</t>
  </si>
  <si>
    <t>0349 7576877</t>
  </si>
  <si>
    <t>0318 4145051</t>
  </si>
  <si>
    <t>0332 1780153</t>
  </si>
  <si>
    <t>0302 0489812</t>
  </si>
  <si>
    <t>0348 6593176/ 0303 6439936</t>
  </si>
  <si>
    <t>0315 4259785</t>
  </si>
  <si>
    <t>0333 8760161</t>
  </si>
  <si>
    <t>0344 4045609</t>
  </si>
  <si>
    <t>Attempts done</t>
  </si>
  <si>
    <t>Column 1</t>
  </si>
  <si>
    <t>zulfiqar Ali</t>
  </si>
  <si>
    <t>0328 4781718</t>
  </si>
  <si>
    <t>muhaamad zeeshan</t>
  </si>
  <si>
    <t>0348 0619993</t>
  </si>
  <si>
    <t xml:space="preserve">will inform by today evening </t>
  </si>
  <si>
    <t>0348 8915568/ 0313 0159585</t>
  </si>
  <si>
    <t>Closed - Won</t>
  </si>
  <si>
    <t>paid</t>
  </si>
  <si>
    <t>Unknown</t>
  </si>
  <si>
    <t>0336 6491115</t>
  </si>
  <si>
    <t>0346 7124633</t>
  </si>
  <si>
    <t>Not attempted</t>
  </si>
  <si>
    <t>muhammad sohail</t>
  </si>
  <si>
    <t>0333 6900114</t>
  </si>
  <si>
    <t>0316 1316907</t>
  </si>
  <si>
    <t>0319 3509440</t>
  </si>
  <si>
    <t>Aftab Ashiq</t>
  </si>
  <si>
    <t>0345 9208701</t>
  </si>
  <si>
    <t>0300 4754980</t>
  </si>
  <si>
    <t>pay by 25</t>
  </si>
  <si>
    <t>0307 8647992</t>
  </si>
  <si>
    <t>0332 3154075</t>
  </si>
  <si>
    <t>0322 7567955</t>
  </si>
  <si>
    <t>0319 8046813</t>
  </si>
  <si>
    <t>Huzaifa</t>
  </si>
  <si>
    <t>0336 2333934/ 0336 2333933</t>
  </si>
  <si>
    <t>0312 9061344</t>
  </si>
  <si>
    <t>Demo</t>
  </si>
  <si>
    <t>demo then decide</t>
  </si>
  <si>
    <t>0342 0475836</t>
  </si>
  <si>
    <t>0355 5647456/ 0341 8993261</t>
  </si>
  <si>
    <t>0343 5585163</t>
  </si>
  <si>
    <t>0308 0864165</t>
  </si>
  <si>
    <t>0333 2366141</t>
  </si>
  <si>
    <t>0314 8380754</t>
  </si>
  <si>
    <t>0326 9784378</t>
  </si>
  <si>
    <t>0313 1160140</t>
  </si>
  <si>
    <t>0312 1640492</t>
  </si>
  <si>
    <t>saddiqa</t>
  </si>
  <si>
    <t>0333 2351659</t>
  </si>
  <si>
    <t>0340 5160363</t>
  </si>
  <si>
    <t>0332 6400818</t>
  </si>
  <si>
    <t>0314 9716172</t>
  </si>
  <si>
    <t>interested, need discount</t>
  </si>
  <si>
    <t>0355 4350784</t>
  </si>
  <si>
    <t>need free course</t>
  </si>
  <si>
    <t>0330 9865000</t>
  </si>
  <si>
    <t>lost leafd</t>
  </si>
  <si>
    <t>0304 8200211</t>
  </si>
  <si>
    <t>0307 9143435</t>
  </si>
  <si>
    <t>0309 5771866</t>
  </si>
  <si>
    <t>0314 1014974</t>
  </si>
  <si>
    <t>0345 6663161</t>
  </si>
  <si>
    <t>Tabinda</t>
  </si>
  <si>
    <t>0333 2354410</t>
  </si>
  <si>
    <t>interested will join</t>
  </si>
  <si>
    <t>will inform</t>
  </si>
  <si>
    <t>0324 3649217</t>
  </si>
  <si>
    <t>0300 3599194</t>
  </si>
  <si>
    <t>0341 0122018</t>
  </si>
  <si>
    <t>0346 6801724</t>
  </si>
  <si>
    <t>0331 7222272</t>
  </si>
  <si>
    <t>umar farooq</t>
  </si>
  <si>
    <t>0306 0346401</t>
  </si>
  <si>
    <t>0334 1360017</t>
  </si>
  <si>
    <t>Sobia Noreen</t>
  </si>
  <si>
    <t>0332 3285513</t>
  </si>
  <si>
    <t>share info via whatsapp</t>
  </si>
  <si>
    <t>0332 2382883</t>
  </si>
  <si>
    <t>0322 7846874</t>
  </si>
  <si>
    <t>0315 5359795</t>
  </si>
  <si>
    <t>0318 8464520</t>
  </si>
  <si>
    <t>Muhammad Muaz Malik</t>
  </si>
  <si>
    <t>0306 8170943</t>
  </si>
  <si>
    <t>interested</t>
  </si>
  <si>
    <t>0324 1691774</t>
  </si>
  <si>
    <t>0316 1404474</t>
  </si>
  <si>
    <t>0349 1986855</t>
  </si>
  <si>
    <t>0305 6440943</t>
  </si>
  <si>
    <t>0346 7446531</t>
  </si>
  <si>
    <t>0301 9192143</t>
  </si>
  <si>
    <t>syed tayyab akhtar</t>
  </si>
  <si>
    <t>0322 3876867/ 0314 7874979</t>
  </si>
  <si>
    <t>will pay</t>
  </si>
  <si>
    <t>Shumaila</t>
  </si>
  <si>
    <t>0318 1012011</t>
  </si>
  <si>
    <t>0317 3905543</t>
  </si>
  <si>
    <t xml:space="preserve">need pyhsical </t>
  </si>
  <si>
    <t>0311 0156510</t>
  </si>
  <si>
    <t>0334 3947129</t>
  </si>
  <si>
    <t>0320 9864478</t>
  </si>
  <si>
    <t xml:space="preserve">lost lead </t>
  </si>
  <si>
    <t>0301 7247178</t>
  </si>
  <si>
    <t>0355 5768242</t>
  </si>
  <si>
    <t>0355 4834563</t>
  </si>
  <si>
    <t>Zaid</t>
  </si>
  <si>
    <t>0315 4046402</t>
  </si>
  <si>
    <t>0310 1334350</t>
  </si>
  <si>
    <t>demo</t>
  </si>
  <si>
    <t>0321 7824794</t>
  </si>
  <si>
    <t>0317 5547313</t>
  </si>
  <si>
    <t>0324 3872998</t>
  </si>
  <si>
    <t>0346 5397471</t>
  </si>
  <si>
    <t>0334 3767481</t>
  </si>
  <si>
    <t>0349 3575263</t>
  </si>
  <si>
    <t>0333 3253241</t>
  </si>
  <si>
    <t>0322 3264196</t>
  </si>
  <si>
    <t>Hamna</t>
  </si>
  <si>
    <t>0315 2436714</t>
  </si>
  <si>
    <t>inform by sat</t>
  </si>
  <si>
    <t>0311 6176747</t>
  </si>
  <si>
    <t>0321 0011156</t>
  </si>
  <si>
    <t>zahid ul haq</t>
  </si>
  <si>
    <t>0333 3848819</t>
  </si>
  <si>
    <t>enroll after Eid</t>
  </si>
  <si>
    <t>furqan khan</t>
  </si>
  <si>
    <t>0347 8919020</t>
  </si>
  <si>
    <t>Sabeen Adil</t>
  </si>
  <si>
    <t>0319 1572842</t>
  </si>
  <si>
    <t>0345 2894906</t>
  </si>
  <si>
    <t>Zareen Amir</t>
  </si>
  <si>
    <t>0310 0015241</t>
  </si>
  <si>
    <t>Mohsin Shareef</t>
  </si>
  <si>
    <t>0304 1212291</t>
  </si>
  <si>
    <t>92 344 8011296</t>
  </si>
  <si>
    <t>0319 0971562</t>
  </si>
  <si>
    <t>Abdur Rehman</t>
  </si>
  <si>
    <t>0332 7311117</t>
  </si>
  <si>
    <t>Hareem</t>
  </si>
  <si>
    <t>0300 4500486</t>
  </si>
  <si>
    <t>Asif Hanif</t>
  </si>
  <si>
    <t>shahbaz</t>
  </si>
  <si>
    <t>0333 8311986</t>
  </si>
  <si>
    <t>interested will inform</t>
  </si>
  <si>
    <t>inform by today</t>
  </si>
  <si>
    <t>Bushra</t>
  </si>
  <si>
    <t>0349 0721618</t>
  </si>
  <si>
    <t>add him in demo</t>
  </si>
  <si>
    <t>0304 9432400</t>
  </si>
  <si>
    <t>0320 3600513</t>
  </si>
  <si>
    <t>intersted</t>
  </si>
  <si>
    <t>0346 4229873</t>
  </si>
  <si>
    <t>Haris Gilani</t>
  </si>
  <si>
    <t>0320 2301930</t>
  </si>
  <si>
    <t>0323 4655760</t>
  </si>
  <si>
    <t>will pay in the end of june</t>
  </si>
  <si>
    <t>for data analytics module</t>
  </si>
  <si>
    <t>0301 9854749</t>
  </si>
  <si>
    <t>0300 2145642</t>
  </si>
  <si>
    <t>added in grp</t>
  </si>
  <si>
    <t>0333 7861922</t>
  </si>
  <si>
    <t>0328 8398920</t>
  </si>
  <si>
    <t xml:space="preserve">will inform    </t>
  </si>
  <si>
    <t>faizan</t>
  </si>
  <si>
    <t>0305 7701429</t>
  </si>
  <si>
    <t>0332 0205464</t>
  </si>
  <si>
    <t>0305 5640707</t>
  </si>
  <si>
    <t>wanna join data analytics</t>
  </si>
  <si>
    <t>0349 1580218</t>
  </si>
  <si>
    <t>0301 5173932</t>
  </si>
  <si>
    <t>0310 1228636</t>
  </si>
  <si>
    <t>0314 4381427</t>
  </si>
  <si>
    <t>0303 3809853</t>
  </si>
  <si>
    <t>nasir</t>
  </si>
  <si>
    <t>0370 9043009</t>
  </si>
  <si>
    <t>0322 4574391</t>
  </si>
  <si>
    <t>0322 2090468</t>
  </si>
  <si>
    <t>Unknown-10</t>
  </si>
  <si>
    <t>0333 1230056</t>
  </si>
  <si>
    <t>Unknown-11</t>
  </si>
  <si>
    <t>0355 8287518</t>
  </si>
  <si>
    <t>Unknown-12</t>
  </si>
  <si>
    <t>0344 6770211</t>
  </si>
  <si>
    <t>Unknown-13</t>
  </si>
  <si>
    <t>0355 4220616</t>
  </si>
  <si>
    <t>0315 9660209</t>
  </si>
  <si>
    <t>0325 3272020</t>
  </si>
  <si>
    <t>0333 3477367</t>
  </si>
  <si>
    <t>demo by 1st june then inform</t>
  </si>
  <si>
    <t>Unknown-14</t>
  </si>
  <si>
    <t>0330 2694299</t>
  </si>
  <si>
    <t>0319 1249823</t>
  </si>
  <si>
    <t>Ali</t>
  </si>
  <si>
    <t>0971 50 139 5912</t>
  </si>
  <si>
    <t xml:space="preserve">international num </t>
  </si>
  <si>
    <t>Fakher khan</t>
  </si>
  <si>
    <t>0301 5038387</t>
  </si>
  <si>
    <t>paid 1500 as token amount</t>
  </si>
  <si>
    <t>0334 3794237</t>
  </si>
  <si>
    <t>0337 0441000</t>
  </si>
  <si>
    <t>interested will join after 1st class</t>
  </si>
  <si>
    <t>0316 1147116</t>
  </si>
  <si>
    <t xml:space="preserve">interested     </t>
  </si>
  <si>
    <t>Unknown-15</t>
  </si>
  <si>
    <t>0327 8670037</t>
  </si>
  <si>
    <t>Unknown-16</t>
  </si>
  <si>
    <t>0310 7053158</t>
  </si>
  <si>
    <t>Unknown-17</t>
  </si>
  <si>
    <t>0321 6865260</t>
  </si>
  <si>
    <t>Unknown-18</t>
  </si>
  <si>
    <t>0348 6632775</t>
  </si>
  <si>
    <t>Unknown-19</t>
  </si>
  <si>
    <t>0336 8225516</t>
  </si>
  <si>
    <t>0324 0492131</t>
  </si>
  <si>
    <t xml:space="preserve">call at 12:30 pm </t>
  </si>
  <si>
    <t>0310 9368543</t>
  </si>
  <si>
    <t>0324 5969283</t>
  </si>
  <si>
    <t>pay by 20th june</t>
  </si>
  <si>
    <t>Unknown-20</t>
  </si>
  <si>
    <t>0321 7784144</t>
  </si>
  <si>
    <t>Unknown-21</t>
  </si>
  <si>
    <t>0320 6419731</t>
  </si>
  <si>
    <t>0336 3797287</t>
  </si>
  <si>
    <t>pay by today for data analytics</t>
  </si>
  <si>
    <t>for data analytics</t>
  </si>
  <si>
    <t>0333 3090695</t>
  </si>
  <si>
    <t>0334 3721368</t>
  </si>
  <si>
    <t>Unknown-22</t>
  </si>
  <si>
    <t>0349 8488297</t>
  </si>
  <si>
    <t>0344 9447751</t>
  </si>
  <si>
    <t xml:space="preserve">call later </t>
  </si>
  <si>
    <t>Unknown-23</t>
  </si>
  <si>
    <t>0370 6859949</t>
  </si>
  <si>
    <t>Unknown-24</t>
  </si>
  <si>
    <t>0310 7016860</t>
  </si>
  <si>
    <t>Unknown-25</t>
  </si>
  <si>
    <t>0327 7362050</t>
  </si>
  <si>
    <t>0323 5134182/ 0347 3018254</t>
  </si>
  <si>
    <t xml:space="preserve">interested in physical classes but demo </t>
  </si>
  <si>
    <t>Asif Hussain</t>
  </si>
  <si>
    <t>0301 2027488</t>
  </si>
  <si>
    <t>demo then join</t>
  </si>
  <si>
    <t>0322 2291959</t>
  </si>
  <si>
    <t>will join from machine learning share details</t>
  </si>
  <si>
    <t>pay after 25th june</t>
  </si>
  <si>
    <t>Unknown-26</t>
  </si>
  <si>
    <t>0302 8600872</t>
  </si>
  <si>
    <t>Unknown-27</t>
  </si>
  <si>
    <t>0301 4449377</t>
  </si>
  <si>
    <t>0332 9283203</t>
  </si>
  <si>
    <t>Unknown-28</t>
  </si>
  <si>
    <t>0333 2859187</t>
  </si>
  <si>
    <t>0332 8289029</t>
  </si>
  <si>
    <t>interested, share details</t>
  </si>
  <si>
    <t>Yaseen Khan</t>
  </si>
  <si>
    <t>Unknown-29</t>
  </si>
  <si>
    <t>0309 0930217</t>
  </si>
  <si>
    <t>Nameer</t>
  </si>
  <si>
    <t>Unknown-30</t>
  </si>
  <si>
    <t>0336 1299563</t>
  </si>
  <si>
    <t>0348 8446683</t>
  </si>
  <si>
    <t>0325 7914330</t>
  </si>
  <si>
    <t>demo, interested</t>
  </si>
  <si>
    <t>0348 2101366</t>
  </si>
  <si>
    <t>Unknown-31</t>
  </si>
  <si>
    <t>0303 5709138</t>
  </si>
  <si>
    <t>by 5th june</t>
  </si>
  <si>
    <t>0345 1626871</t>
  </si>
  <si>
    <t>0336 4732128</t>
  </si>
  <si>
    <t>kashif ali</t>
  </si>
  <si>
    <t>Minahil</t>
  </si>
  <si>
    <t>0370 6951918</t>
  </si>
  <si>
    <t>pay by 28 to 1st june</t>
  </si>
  <si>
    <t>Unknown-32</t>
  </si>
  <si>
    <t>0322 5026966</t>
  </si>
  <si>
    <t>Unknown-33</t>
  </si>
  <si>
    <t>0303 8561428</t>
  </si>
  <si>
    <t>0345 5819029</t>
  </si>
  <si>
    <t>Unknown-34</t>
  </si>
  <si>
    <t>0349 2622808</t>
  </si>
  <si>
    <t>Unknown-35</t>
  </si>
  <si>
    <t>0314 2820824</t>
  </si>
  <si>
    <t>Unknown-36</t>
  </si>
  <si>
    <t>0333 8776770</t>
  </si>
  <si>
    <t>254 111 824215</t>
  </si>
  <si>
    <t>Unknown-37</t>
  </si>
  <si>
    <t>0304 4490095</t>
  </si>
  <si>
    <t>0301 7839118</t>
  </si>
  <si>
    <t>0336 6839011</t>
  </si>
  <si>
    <t>will inform within 2 days</t>
  </si>
  <si>
    <t>Unknown-38</t>
  </si>
  <si>
    <t>0336 1049710</t>
  </si>
  <si>
    <t>budget issues cant pay</t>
  </si>
  <si>
    <t>0315 1115025</t>
  </si>
  <si>
    <t xml:space="preserve">will pay </t>
  </si>
  <si>
    <t>call him tomorrow for confirmation</t>
  </si>
  <si>
    <t>0300 2620813</t>
  </si>
  <si>
    <t>interested wanna join</t>
  </si>
  <si>
    <t>demo link shared</t>
  </si>
  <si>
    <t>Unknown-39</t>
  </si>
  <si>
    <t>0348 6646880</t>
  </si>
  <si>
    <t>Unknown-40</t>
  </si>
  <si>
    <t>0327 2606712</t>
  </si>
  <si>
    <t>Unknown-41</t>
  </si>
  <si>
    <t>0335 8464781</t>
  </si>
  <si>
    <t>Unknown-42</t>
  </si>
  <si>
    <t>0302 5508368</t>
  </si>
  <si>
    <t>0334 3632043</t>
  </si>
  <si>
    <t>call later</t>
  </si>
  <si>
    <t>0312 9688988</t>
  </si>
  <si>
    <t>Unknown-45</t>
  </si>
  <si>
    <t>0318 4944194</t>
  </si>
  <si>
    <t>Unknown-46</t>
  </si>
  <si>
    <t>0322 8316295</t>
  </si>
  <si>
    <t>0314 0872474</t>
  </si>
  <si>
    <t>Unknown-47</t>
  </si>
  <si>
    <t>0319 3740217</t>
  </si>
  <si>
    <t xml:space="preserve">demo msgs </t>
  </si>
  <si>
    <t>Unknown-48</t>
  </si>
  <si>
    <t>0334 7004808</t>
  </si>
  <si>
    <t>0305 8579961</t>
  </si>
  <si>
    <t>Unknown-49</t>
  </si>
  <si>
    <t>0308 3266912</t>
  </si>
  <si>
    <t>0307 3333038</t>
  </si>
  <si>
    <t>0345 2657708</t>
  </si>
  <si>
    <t>waiting for response</t>
  </si>
  <si>
    <t>Unknown-50</t>
  </si>
  <si>
    <t>0323 9037539</t>
  </si>
  <si>
    <t>0333 0343433</t>
  </si>
  <si>
    <t>will confirm by today or tomoow</t>
  </si>
  <si>
    <t>Unknown-51</t>
  </si>
  <si>
    <t>0370 7357345</t>
  </si>
  <si>
    <t>Unknown-52</t>
  </si>
  <si>
    <t>0340 1568638</t>
  </si>
  <si>
    <t>0335 3307789</t>
  </si>
  <si>
    <t>0333 9502834</t>
  </si>
  <si>
    <t>0307 5165194</t>
  </si>
  <si>
    <t>0346 6031088</t>
  </si>
  <si>
    <t>Lucky Akii</t>
  </si>
  <si>
    <t>0331 2186617</t>
  </si>
  <si>
    <t>0343 8838366</t>
  </si>
  <si>
    <t>Unknown-53</t>
  </si>
  <si>
    <t>0319 3816878</t>
  </si>
  <si>
    <t>0303 9928460</t>
  </si>
  <si>
    <t>0300 0573386/ 0340 0590834</t>
  </si>
  <si>
    <t>share details via whatsapp</t>
  </si>
  <si>
    <t>Unknown-54</t>
  </si>
  <si>
    <t>0349 2092558</t>
  </si>
  <si>
    <t>Unknown-55</t>
  </si>
  <si>
    <t>0333 5305302</t>
  </si>
  <si>
    <t>0307 1926940</t>
  </si>
  <si>
    <t>will join after taking 1st class</t>
  </si>
  <si>
    <t>0336 6772144</t>
  </si>
  <si>
    <t>0325 1426624</t>
  </si>
  <si>
    <t>Unknown-56</t>
  </si>
  <si>
    <t>0336 4566433</t>
  </si>
  <si>
    <t>Unknown-57</t>
  </si>
  <si>
    <t>0335 1165265</t>
  </si>
  <si>
    <t>Unknown-58</t>
  </si>
  <si>
    <t>0302 6571261</t>
  </si>
  <si>
    <t>Unknown-59</t>
  </si>
  <si>
    <t>0329 5032926</t>
  </si>
  <si>
    <t>0317 9391745</t>
  </si>
  <si>
    <t>0314 6716495 / 0309 3539809</t>
  </si>
  <si>
    <t>demo interested</t>
  </si>
  <si>
    <t>Unknown-60</t>
  </si>
  <si>
    <t>0322 4217675</t>
  </si>
  <si>
    <t>0316 4320320</t>
  </si>
  <si>
    <t>demo class and will join</t>
  </si>
  <si>
    <t>Unknown-61</t>
  </si>
  <si>
    <t>0304 9504676</t>
  </si>
  <si>
    <t>0301 8250513</t>
  </si>
  <si>
    <t>will join</t>
  </si>
  <si>
    <t>Unknown-62</t>
  </si>
  <si>
    <t>0340 1886423</t>
  </si>
  <si>
    <t>Unknown-63</t>
  </si>
  <si>
    <t>0313 5842715</t>
  </si>
  <si>
    <t>0307 0371145</t>
  </si>
  <si>
    <t>interested need demo</t>
  </si>
  <si>
    <t>0313 2892409</t>
  </si>
  <si>
    <t>0302 4949049</t>
  </si>
  <si>
    <t>think about it, shared demo link</t>
  </si>
  <si>
    <t>Unknown-64</t>
  </si>
  <si>
    <t>0342 7468392</t>
  </si>
  <si>
    <t>0315 5055586</t>
  </si>
  <si>
    <t>0320 4495212</t>
  </si>
  <si>
    <t>contact after eid for enrollment</t>
  </si>
  <si>
    <t>Unknown-65</t>
  </si>
  <si>
    <t>0345 3331801</t>
  </si>
  <si>
    <t>0340 8917437</t>
  </si>
  <si>
    <t>Unknown-66</t>
  </si>
  <si>
    <t>0348 7891973</t>
  </si>
  <si>
    <t>0316 0146697</t>
  </si>
  <si>
    <t>salary issue, pay by 21st</t>
  </si>
  <si>
    <t>Unknown-67</t>
  </si>
  <si>
    <t>0344 9506926</t>
  </si>
  <si>
    <t>0322 6816285</t>
  </si>
  <si>
    <t>Unknown-68</t>
  </si>
  <si>
    <t>0328 1416534</t>
  </si>
  <si>
    <t>Unknown-69</t>
  </si>
  <si>
    <t>0348 7490592</t>
  </si>
  <si>
    <t>Unknown-70</t>
  </si>
  <si>
    <t>0325 1154202</t>
  </si>
  <si>
    <t>Unknown-71</t>
  </si>
  <si>
    <t>0340 3555232</t>
  </si>
  <si>
    <t>0301 8979645</t>
  </si>
  <si>
    <t>need discount of 1000</t>
  </si>
  <si>
    <t>0300 9201870</t>
  </si>
  <si>
    <t>need guidence for data analytiucs</t>
  </si>
  <si>
    <t>Unknown-72</t>
  </si>
  <si>
    <t>0333 8221885</t>
  </si>
  <si>
    <t>Unknown-73</t>
  </si>
  <si>
    <t>0370 4550167</t>
  </si>
  <si>
    <t>Unknown-74</t>
  </si>
  <si>
    <t>0337 0636283</t>
  </si>
  <si>
    <t>Unknown-75</t>
  </si>
  <si>
    <t>Unknown-76</t>
  </si>
  <si>
    <t>0328 7900907</t>
  </si>
  <si>
    <t>0321 5007081</t>
  </si>
  <si>
    <t>intereested, call him by 10:00 AM</t>
  </si>
  <si>
    <t>Unknown-77</t>
  </si>
  <si>
    <t>0322 6723431</t>
  </si>
  <si>
    <t>Unknown-78</t>
  </si>
  <si>
    <t>0312 6772267</t>
  </si>
  <si>
    <t>Unknown-79</t>
  </si>
  <si>
    <t>0310 9318088</t>
  </si>
  <si>
    <t>0315 6472556</t>
  </si>
  <si>
    <t>Unknown-80</t>
  </si>
  <si>
    <t>0301 7015108</t>
  </si>
  <si>
    <t>Unknown-81</t>
  </si>
  <si>
    <t>0313 4147787</t>
  </si>
  <si>
    <t>Unknown-82</t>
  </si>
  <si>
    <t>0322 4398359</t>
  </si>
  <si>
    <t>0315 0219230</t>
  </si>
  <si>
    <t>Unknown-83</t>
  </si>
  <si>
    <t>0308 6364684</t>
  </si>
  <si>
    <t>Unknown-84</t>
  </si>
  <si>
    <t>0313 3232123</t>
  </si>
  <si>
    <t>Unknown-85</t>
  </si>
  <si>
    <t>0304 9079080</t>
  </si>
  <si>
    <t>Unknown-86</t>
  </si>
  <si>
    <t>0340 9209020</t>
  </si>
  <si>
    <t>0322 4747521</t>
  </si>
  <si>
    <t>0309 9522338/ 03424351418</t>
  </si>
  <si>
    <t>Unknown-87</t>
  </si>
  <si>
    <t>0314 7244795</t>
  </si>
  <si>
    <t>Unknown-88</t>
  </si>
  <si>
    <t>0323 8033548</t>
  </si>
  <si>
    <t>Unknown-89</t>
  </si>
  <si>
    <t>0344 9147558</t>
  </si>
  <si>
    <t>Unknown-90</t>
  </si>
  <si>
    <t>0341 4479335</t>
  </si>
  <si>
    <t>0303 9933422</t>
  </si>
  <si>
    <t>Unknown-91</t>
  </si>
  <si>
    <t>0325 8242128</t>
  </si>
  <si>
    <t>0346 8224130</t>
  </si>
  <si>
    <t>0314 4071862</t>
  </si>
  <si>
    <t>Unknown-92</t>
  </si>
  <si>
    <t>0333 9465184</t>
  </si>
  <si>
    <t>0321 4383907</t>
  </si>
  <si>
    <t>Unknown-93</t>
  </si>
  <si>
    <t>0370 4655638</t>
  </si>
  <si>
    <t xml:space="preserve">lost </t>
  </si>
  <si>
    <t>Unknown-94</t>
  </si>
  <si>
    <t>0314 5435185</t>
  </si>
  <si>
    <t>Unknown-95</t>
  </si>
  <si>
    <t>0348 6837282</t>
  </si>
  <si>
    <t>Unknown-96</t>
  </si>
  <si>
    <t>0322 7268201</t>
  </si>
  <si>
    <t>Unknown-97</t>
  </si>
  <si>
    <t>0329 8675965</t>
  </si>
  <si>
    <t>0300 5997796</t>
  </si>
  <si>
    <t>Unknown-98</t>
  </si>
  <si>
    <t>don't want to join</t>
  </si>
  <si>
    <t>Unknown-99</t>
  </si>
  <si>
    <t>0341 5173767</t>
  </si>
  <si>
    <t>Unknown-100</t>
  </si>
  <si>
    <t>0341 6085895</t>
  </si>
  <si>
    <t>Unknown-101</t>
  </si>
  <si>
    <t>0331 4666645</t>
  </si>
  <si>
    <t>Unknown-102</t>
  </si>
  <si>
    <t>0370 5270414</t>
  </si>
  <si>
    <t>Unknown-103</t>
  </si>
  <si>
    <t>0314 6789538</t>
  </si>
  <si>
    <t>Unknown-104</t>
  </si>
  <si>
    <t>0326 1111256</t>
  </si>
  <si>
    <t>Unknown-105</t>
  </si>
  <si>
    <t>0316 8480232</t>
  </si>
  <si>
    <t>Unknown-106</t>
  </si>
  <si>
    <t>0347 9426343</t>
  </si>
  <si>
    <t>Unknown-107</t>
  </si>
  <si>
    <t>0302 6203323</t>
  </si>
  <si>
    <t>interested will inform by today evening</t>
  </si>
  <si>
    <t>Unknown-108</t>
  </si>
  <si>
    <t>0303 9041680</t>
  </si>
  <si>
    <t>Unknown-109</t>
  </si>
  <si>
    <t>0348 6513433</t>
  </si>
  <si>
    <t>Unknown-110</t>
  </si>
  <si>
    <t>0330 2955665</t>
  </si>
  <si>
    <t>NEW LEADS</t>
  </si>
  <si>
    <t>Unknown-111</t>
  </si>
  <si>
    <t>0325 3939587</t>
  </si>
  <si>
    <t>0333 5126975</t>
  </si>
  <si>
    <t>0302 5615060</t>
  </si>
  <si>
    <t>Unknown-112</t>
  </si>
  <si>
    <t>0313 0606611</t>
  </si>
  <si>
    <t>0323 9769313</t>
  </si>
  <si>
    <t>pay by 19th june</t>
  </si>
  <si>
    <t>Unknown-113</t>
  </si>
  <si>
    <t>0349 8004741</t>
  </si>
  <si>
    <t>60 11-1615 2842</t>
  </si>
  <si>
    <t>Unknown-114</t>
  </si>
  <si>
    <t>0306 8670696</t>
  </si>
  <si>
    <t>0340 8575032</t>
  </si>
  <si>
    <t>pay after attending 1st class</t>
  </si>
  <si>
    <t>Unknown-115</t>
  </si>
  <si>
    <t>Ayesha</t>
  </si>
  <si>
    <t>0336 4233334</t>
  </si>
  <si>
    <t>0332 9297503</t>
  </si>
  <si>
    <t>0309 7078420</t>
  </si>
  <si>
    <t>0314 0957759</t>
  </si>
  <si>
    <t>0345 2930280</t>
  </si>
  <si>
    <t>0322 8081002</t>
  </si>
  <si>
    <t xml:space="preserve">in july </t>
  </si>
  <si>
    <t>Unknown-116</t>
  </si>
  <si>
    <t>0301 6255722</t>
  </si>
  <si>
    <t>Unknown-117</t>
  </si>
  <si>
    <t>0347 4834501</t>
  </si>
  <si>
    <t>Unknown-118</t>
  </si>
  <si>
    <t>0310 7095142</t>
  </si>
  <si>
    <t>Unknown-119</t>
  </si>
  <si>
    <t>0328 4045062</t>
  </si>
  <si>
    <t>0330 5717598</t>
  </si>
  <si>
    <t>0312 1582758</t>
  </si>
  <si>
    <t>demo then inform</t>
  </si>
  <si>
    <t>0319 5422142</t>
  </si>
  <si>
    <t>0326 5310325</t>
  </si>
  <si>
    <t xml:space="preserve">lost     </t>
  </si>
  <si>
    <t>0300 4668887</t>
  </si>
  <si>
    <t>need free courses</t>
  </si>
  <si>
    <t>0345 0083645</t>
  </si>
  <si>
    <t>0300 4457585</t>
  </si>
  <si>
    <t>0333 2252153</t>
  </si>
  <si>
    <t>0303 6717837</t>
  </si>
  <si>
    <t>Unknown-120</t>
  </si>
  <si>
    <t>0318 0074536</t>
  </si>
  <si>
    <t>0311 1382674</t>
  </si>
  <si>
    <t>0313 2526972</t>
  </si>
  <si>
    <t>0303 6483502</t>
  </si>
  <si>
    <t>0320 0269158</t>
  </si>
  <si>
    <t>0300 2049600</t>
  </si>
  <si>
    <t>contact by 15 june</t>
  </si>
  <si>
    <t>due to exams</t>
  </si>
  <si>
    <t>0324 1060313</t>
  </si>
  <si>
    <t>0331 2567362</t>
  </si>
  <si>
    <t xml:space="preserve">lost   </t>
  </si>
  <si>
    <t>0314 3598614</t>
  </si>
  <si>
    <t>966 54 539 8730</t>
  </si>
  <si>
    <t>0343 1415722</t>
  </si>
  <si>
    <t>demo then confirm</t>
  </si>
  <si>
    <t>interested but laptop issue</t>
  </si>
  <si>
    <t>Unknown-121</t>
  </si>
  <si>
    <t>0306 5109720</t>
  </si>
  <si>
    <t>0300 4002376</t>
  </si>
  <si>
    <t xml:space="preserve">needs discount </t>
  </si>
  <si>
    <t>contact by 10 june</t>
  </si>
  <si>
    <t>0324 8212326</t>
  </si>
  <si>
    <t>lost fee issues</t>
  </si>
  <si>
    <t>Arqam</t>
  </si>
  <si>
    <t>0313 1203615</t>
  </si>
  <si>
    <t>by today</t>
  </si>
  <si>
    <t>0314 9180644</t>
  </si>
  <si>
    <t>pay by 15</t>
  </si>
  <si>
    <t>0334 6921538</t>
  </si>
  <si>
    <t>0347 6969694</t>
  </si>
  <si>
    <t>0333 0513996</t>
  </si>
  <si>
    <t>0322 1028419</t>
  </si>
  <si>
    <t>92 312 4105361</t>
  </si>
  <si>
    <t>92 334 0621239</t>
  </si>
  <si>
    <t>will pay till 20</t>
  </si>
  <si>
    <t>92 347 2088278</t>
  </si>
  <si>
    <t>92 307 2682932</t>
  </si>
  <si>
    <t>Unknown-122</t>
  </si>
  <si>
    <t>0325 0996285</t>
  </si>
  <si>
    <t>Unknown-123</t>
  </si>
  <si>
    <t>92 315 0400419</t>
  </si>
  <si>
    <t>92 333 0247435</t>
  </si>
  <si>
    <t>pay till  20th</t>
  </si>
  <si>
    <t>join last month</t>
  </si>
  <si>
    <t>Unknown-124</t>
  </si>
  <si>
    <t>92 344 0378122</t>
  </si>
  <si>
    <t>92 311 0675544</t>
  </si>
  <si>
    <t>92 323 5942919</t>
  </si>
  <si>
    <t>physical classes</t>
  </si>
  <si>
    <t>92 332 1947237</t>
  </si>
  <si>
    <t>Unknown-125</t>
  </si>
  <si>
    <t>92 346 9604819</t>
  </si>
  <si>
    <t>Unknown-126</t>
  </si>
  <si>
    <t>92 324 5646085</t>
  </si>
  <si>
    <t>92 345 1659237</t>
  </si>
  <si>
    <t>92 326 9756046</t>
  </si>
  <si>
    <t>92 343 4384627</t>
  </si>
  <si>
    <t>not interestedx</t>
  </si>
  <si>
    <t>92 343 5926731</t>
  </si>
  <si>
    <t>92 328 9465078</t>
  </si>
  <si>
    <t>92 344 3166966</t>
  </si>
  <si>
    <t>92 330 3625959</t>
  </si>
  <si>
    <t>Unknown-130</t>
  </si>
  <si>
    <t>92 326 1275216</t>
  </si>
  <si>
    <t>Unknown-127</t>
  </si>
  <si>
    <t>92 321 4826022</t>
  </si>
  <si>
    <t>Unknown-128</t>
  </si>
  <si>
    <t>92 320 6914900</t>
  </si>
  <si>
    <t>Unknown-129</t>
  </si>
  <si>
    <t>92 333 6204268</t>
  </si>
  <si>
    <t>92 302 6672278</t>
  </si>
  <si>
    <t>92 355 5970919</t>
  </si>
  <si>
    <t>contact by 15th june for confirmation</t>
  </si>
  <si>
    <t>92 321 8724280</t>
  </si>
  <si>
    <t>92 349 2404610</t>
  </si>
  <si>
    <t>92 341 8276209</t>
  </si>
  <si>
    <t>92 331 3799578</t>
  </si>
  <si>
    <t>92 346 4777625</t>
  </si>
  <si>
    <t>joined from another physical academy</t>
  </si>
  <si>
    <t>92 307 0998841</t>
  </si>
  <si>
    <t>92 344 8364990</t>
  </si>
  <si>
    <t>already joined from another academy</t>
  </si>
  <si>
    <t>Unknown-131</t>
  </si>
  <si>
    <t>92 307 1706380</t>
  </si>
  <si>
    <t>92 310 9881629</t>
  </si>
  <si>
    <t>92 302 8358387</t>
  </si>
  <si>
    <t>92 336 8299970</t>
  </si>
  <si>
    <t>92 340 8512279</t>
  </si>
  <si>
    <t>Unknown-132</t>
  </si>
  <si>
    <t>92 344 6483289</t>
  </si>
  <si>
    <t>92 310 6209810</t>
  </si>
  <si>
    <t>92 329 3310166</t>
  </si>
  <si>
    <t>92 306 2719159</t>
  </si>
  <si>
    <t>92 332 1364197</t>
  </si>
  <si>
    <t>Unknown-133</t>
  </si>
  <si>
    <t>92 316 8571478</t>
  </si>
  <si>
    <t>92 313 6090295</t>
  </si>
  <si>
    <t>92 311 1893577</t>
  </si>
  <si>
    <t>92 333 1379520</t>
  </si>
  <si>
    <t>Unknown-134</t>
  </si>
  <si>
    <t>92 331 2274423</t>
  </si>
  <si>
    <t>fees issue</t>
  </si>
  <si>
    <t>demo me add</t>
  </si>
  <si>
    <t>92 311 3699544</t>
  </si>
  <si>
    <t>92 313 5164942</t>
  </si>
  <si>
    <t>92 332 3115917</t>
  </si>
  <si>
    <t>92 325 8801557</t>
  </si>
  <si>
    <t>92 355 5230877</t>
  </si>
  <si>
    <t>92 323 4840594</t>
  </si>
  <si>
    <t>92 324 3012852</t>
  </si>
  <si>
    <t>class join then pay</t>
  </si>
  <si>
    <t>92 327 1320006</t>
  </si>
  <si>
    <t>18th june</t>
  </si>
  <si>
    <t>92 348 3799151</t>
  </si>
  <si>
    <t>Unknown-135</t>
  </si>
  <si>
    <t>0306 1032323</t>
  </si>
  <si>
    <t>0321 2356150</t>
  </si>
  <si>
    <t>0370 6908130</t>
  </si>
  <si>
    <t>Unknown-136</t>
  </si>
  <si>
    <t>Unknown-137</t>
  </si>
  <si>
    <t>0307 3060369</t>
  </si>
  <si>
    <t>0314 8618994</t>
  </si>
  <si>
    <t>Unknown-138</t>
  </si>
  <si>
    <t>0308 5427190</t>
  </si>
  <si>
    <t>0337 7650071</t>
  </si>
  <si>
    <t>0333 5707308</t>
  </si>
  <si>
    <t>Unknown-139</t>
  </si>
  <si>
    <t>Unknown-140</t>
  </si>
  <si>
    <t>Unknown-141</t>
  </si>
  <si>
    <t>Unknown-142</t>
  </si>
  <si>
    <t>0336 2259360</t>
  </si>
  <si>
    <t>will inform till today</t>
  </si>
  <si>
    <t>Unknown-143</t>
  </si>
  <si>
    <t>Unknown-144</t>
  </si>
  <si>
    <t>0340 7260402</t>
  </si>
  <si>
    <t>data analytics</t>
  </si>
  <si>
    <t>Unknown-145</t>
  </si>
  <si>
    <t>0321 2942654</t>
  </si>
  <si>
    <t>Unknown-146</t>
  </si>
  <si>
    <t>Unknown-147</t>
  </si>
  <si>
    <t>0312 3193711</t>
  </si>
  <si>
    <t>Unknown-148</t>
  </si>
  <si>
    <t>0347 4336640</t>
  </si>
  <si>
    <t>0318 6260866</t>
  </si>
  <si>
    <t>no as such response</t>
  </si>
  <si>
    <t>Unknown-149</t>
  </si>
  <si>
    <t>Unknown-150</t>
  </si>
  <si>
    <t>Unknown-151</t>
  </si>
  <si>
    <t>0329 5835478</t>
  </si>
  <si>
    <t>Unknown-152</t>
  </si>
  <si>
    <t>Unknown-153</t>
  </si>
  <si>
    <t>92 331 8293629</t>
  </si>
  <si>
    <t>busy, already enrolled in any other course</t>
  </si>
  <si>
    <t>14-5-2025</t>
  </si>
  <si>
    <t>92 342 1691429</t>
  </si>
  <si>
    <t>92 340 8913963</t>
  </si>
  <si>
    <t>cannot afford the course.</t>
  </si>
  <si>
    <t>92 304 7107981</t>
  </si>
  <si>
    <t>92 311 2410698</t>
  </si>
  <si>
    <t>92 347 7491762</t>
  </si>
  <si>
    <t>busy now. enroll in next batch.</t>
  </si>
  <si>
    <t>92 316 1615889</t>
  </si>
  <si>
    <t>currently enrolled in marketing course. will join next batch</t>
  </si>
  <si>
    <t>92 301 7920441</t>
  </si>
  <si>
    <t>not interested, he is interested in onsite classes</t>
  </si>
  <si>
    <t>92 334 7777851</t>
  </si>
  <si>
    <t>92 334 4377598</t>
  </si>
  <si>
    <t>qualified</t>
  </si>
  <si>
    <t xml:space="preserve">92 312 3593749 </t>
  </si>
  <si>
    <t>her son doesn't allow her for the course</t>
  </si>
  <si>
    <t>92 323 7001233</t>
  </si>
  <si>
    <t>92 303 4523810</t>
  </si>
  <si>
    <t>92 326 9507624</t>
  </si>
  <si>
    <t>92 341 8194127</t>
  </si>
  <si>
    <t>awaiting response/ not reachable.</t>
  </si>
  <si>
    <t>92 335 3483018</t>
  </si>
  <si>
    <t>92 320 7448330</t>
  </si>
  <si>
    <t>92 355 4741513</t>
  </si>
  <si>
    <t>92 335 0045016</t>
  </si>
  <si>
    <t>cannot possible because of her personal issues.</t>
  </si>
  <si>
    <t>92 347 8264716</t>
  </si>
  <si>
    <t>92 315 8057419</t>
  </si>
  <si>
    <t>He's in a school, he doesn't have a pc or laptop</t>
  </si>
  <si>
    <t>92 312 3593749</t>
  </si>
  <si>
    <t>not interested. busy in studies</t>
  </si>
  <si>
    <t>92 303 9578152</t>
  </si>
  <si>
    <t>awaiting response/ not reachable.cut the call immediately</t>
  </si>
  <si>
    <t>15-5-2025</t>
  </si>
  <si>
    <t>92 304 2846019</t>
  </si>
  <si>
    <t>he said internet problem</t>
  </si>
  <si>
    <t>92 325 2899329</t>
  </si>
  <si>
    <t>92 342 4969217</t>
  </si>
  <si>
    <t>92 334 7879077</t>
  </si>
  <si>
    <t>interested, will call him back at 6pm 17th may. call not receive.</t>
  </si>
  <si>
    <t>92 307 0148989</t>
  </si>
  <si>
    <t>92 348 2900659</t>
  </si>
  <si>
    <t>92 313 2894151</t>
  </si>
  <si>
    <t>interested, will call him back at 5pm 19th may. not reachable</t>
  </si>
  <si>
    <t>92 334 8668349</t>
  </si>
  <si>
    <t>She didn't get the permission.</t>
  </si>
  <si>
    <t>92 315 5734149</t>
  </si>
  <si>
    <t>92 315 4507252</t>
  </si>
  <si>
    <t>92 319 7682037</t>
  </si>
  <si>
    <t>She is filling out the form./ not reachable.</t>
  </si>
  <si>
    <t>92 301 0909651</t>
  </si>
  <si>
    <t>92 318 1050520</t>
  </si>
  <si>
    <t>waiting for the payment / not reachable</t>
  </si>
  <si>
    <t>92 313 2076659</t>
  </si>
  <si>
    <t>interested, she will come office. will call her back on 27 may.</t>
  </si>
  <si>
    <t>92 348 8561743</t>
  </si>
  <si>
    <t>92 333 5758174</t>
  </si>
  <si>
    <t>92 342 3507517</t>
  </si>
  <si>
    <t>92 317 3704910</t>
  </si>
  <si>
    <t>92 355 4759505</t>
  </si>
  <si>
    <t>92 319 0345400</t>
  </si>
  <si>
    <t>92 355 4213453</t>
  </si>
  <si>
    <t>92 321 8760538</t>
  </si>
  <si>
    <t>not interested. high fees, don't have time and teacher isn't mature.</t>
  </si>
  <si>
    <t>16-5-2025</t>
  </si>
  <si>
    <t>92 320 3624471</t>
  </si>
  <si>
    <t>92 327 3017621</t>
  </si>
  <si>
    <t>92 337 9852670</t>
  </si>
  <si>
    <t>92 321 2318355</t>
  </si>
  <si>
    <t>92 355 5680328</t>
  </si>
  <si>
    <t>92 316 3764776</t>
  </si>
  <si>
    <t>92 334 3039859</t>
  </si>
  <si>
    <t>interested, she'll enroll now.</t>
  </si>
  <si>
    <t>92 315 8874743</t>
  </si>
  <si>
    <t>some health issue, enroll in next batch.</t>
  </si>
  <si>
    <t>92 311 7279856</t>
  </si>
  <si>
    <t>92 342 5505617</t>
  </si>
  <si>
    <t>cannot join course because of light issue.</t>
  </si>
  <si>
    <t>255 778 480 942</t>
  </si>
  <si>
    <t>92 324 5102557</t>
  </si>
  <si>
    <t>he will get back to me after see the details. / not reachable.</t>
  </si>
  <si>
    <t>92 326 8722716</t>
  </si>
  <si>
    <t>fees is too high. can pay only 1k</t>
  </si>
  <si>
    <t>92 322 1261822</t>
  </si>
  <si>
    <t>Already enroll in ebay course. Will join us in next batch</t>
  </si>
  <si>
    <t>92 310 3713633</t>
  </si>
  <si>
    <t>Interested. not reachable.</t>
  </si>
  <si>
    <t>92 305 3480035</t>
  </si>
  <si>
    <t>He can pay only 1000 month/  cannot  pay any money now</t>
  </si>
  <si>
    <t>92 317 7099581</t>
  </si>
  <si>
    <t>cannot afford the fees.</t>
  </si>
  <si>
    <t>92 315 8025203</t>
  </si>
  <si>
    <t>doesn't have pc or laptop</t>
  </si>
  <si>
    <t>92 315 2799560</t>
  </si>
  <si>
    <t>will confirm me soon / not reachable</t>
  </si>
  <si>
    <t>92 301 7185377</t>
  </si>
  <si>
    <t>not interested for data sceince, only interested for marketing internship</t>
  </si>
  <si>
    <t>92 370 1500487</t>
  </si>
  <si>
    <t>zia</t>
  </si>
  <si>
    <t>92 303 4328334</t>
  </si>
  <si>
    <t>demo shared</t>
  </si>
  <si>
    <t>92 324 3608510</t>
  </si>
  <si>
    <t>cannot join classes due to internet problem. will join nect batch.</t>
  </si>
  <si>
    <t>92 302 6696737</t>
  </si>
  <si>
    <t xml:space="preserve"> 92 311 1812318</t>
  </si>
  <si>
    <t>Abdullah Azim</t>
  </si>
  <si>
    <t>92 333 2702549</t>
  </si>
  <si>
    <t>form filled, / waiting for fees</t>
  </si>
  <si>
    <t>92 323 0766491</t>
  </si>
  <si>
    <t>she already have knowledge of  this course, she will enroll her self after 3 month</t>
  </si>
  <si>
    <t>92 336 8027056</t>
  </si>
  <si>
    <t>going on vacations.</t>
  </si>
  <si>
    <t>92 310 8501861</t>
  </si>
  <si>
    <t>17-5-2025</t>
  </si>
  <si>
    <t>92 346 4503377</t>
  </si>
  <si>
    <t>92 332 8220634</t>
  </si>
  <si>
    <t>he'll confirm me by 26th may evening / in a meeting.</t>
  </si>
  <si>
    <t>92 324 3549119</t>
  </si>
  <si>
    <t>non qualified</t>
  </si>
  <si>
    <t>awaiting response / not reachable</t>
  </si>
  <si>
    <t>92 329 6197751</t>
  </si>
  <si>
    <t>92 314 1929179</t>
  </si>
  <si>
    <t>92 325 5402881</t>
  </si>
  <si>
    <t>busy in studies.</t>
  </si>
  <si>
    <t>92 334 1243831</t>
  </si>
  <si>
    <t>92 313 4502853</t>
  </si>
  <si>
    <t>he got offer from another institute, 7k fees and paid internship</t>
  </si>
  <si>
    <t>92 332 4765750</t>
  </si>
  <si>
    <t>Interested in onsite class.</t>
  </si>
  <si>
    <t>92 347 3432922</t>
  </si>
  <si>
    <t>19-5-2025</t>
  </si>
  <si>
    <t>92 314 7212749</t>
  </si>
  <si>
    <t>92 330 0690070 / 03114117951</t>
  </si>
  <si>
    <t>interested, will pay fees by 21 may./  26 may / no response</t>
  </si>
  <si>
    <t>92 332 4918324</t>
  </si>
  <si>
    <t>details share again</t>
  </si>
  <si>
    <t>92 340 3145012</t>
  </si>
  <si>
    <t>92 337 2627563</t>
  </si>
  <si>
    <t>he's under matric, cannot afford the course</t>
  </si>
  <si>
    <t>92 315 2500025 / 92 300 5018448</t>
  </si>
  <si>
    <t>will pay after eid</t>
  </si>
  <si>
    <t>Fatima</t>
  </si>
  <si>
    <t>92 302 6224594</t>
  </si>
  <si>
    <t>she's waiting fir her payment, will pay fees till 24th may. / no response</t>
  </si>
  <si>
    <t>92 343 3207759</t>
  </si>
  <si>
    <t>interested in onsite class.</t>
  </si>
  <si>
    <t>92 321 4546486</t>
  </si>
  <si>
    <t>92 335 3161841</t>
  </si>
  <si>
    <t>92 305 2169970</t>
  </si>
  <si>
    <t>92 333 7287541</t>
  </si>
  <si>
    <t>92 341 2179643</t>
  </si>
  <si>
    <t>92 313 0008867</t>
  </si>
  <si>
    <t>call him back at 2:30. not responding</t>
  </si>
  <si>
    <t xml:space="preserve">SALEEM </t>
  </si>
  <si>
    <t>92 344 5612485</t>
  </si>
  <si>
    <t>the student is going to army academy</t>
  </si>
  <si>
    <t>92 329 1672497</t>
  </si>
  <si>
    <t>92 344 7457442</t>
  </si>
  <si>
    <t>92 370 3020434</t>
  </si>
  <si>
    <t>doesn't have PC or laptop</t>
  </si>
  <si>
    <t>92 304 7008049</t>
  </si>
  <si>
    <t>interestes in online class</t>
  </si>
  <si>
    <t>92 310 3845720</t>
  </si>
  <si>
    <t>cannot affordthe fees</t>
  </si>
  <si>
    <t>ibrahim</t>
  </si>
  <si>
    <t>92 323 4766341 / 03274119448</t>
  </si>
  <si>
    <t xml:space="preserve">he cannot manage time. </t>
  </si>
  <si>
    <t>92 340 3296679</t>
  </si>
  <si>
    <t>92 348 6230103</t>
  </si>
  <si>
    <t>92 333 3384644</t>
  </si>
  <si>
    <t>Cannot afford the fees.</t>
  </si>
  <si>
    <t>92 314 5517782</t>
  </si>
  <si>
    <t>92 347 9554610</t>
  </si>
  <si>
    <t>not interested. cannot afford the course.</t>
  </si>
  <si>
    <t>92 329 3021182</t>
  </si>
  <si>
    <t>1 (639) 470-2648</t>
  </si>
  <si>
    <t>time zone is different, cannot take classes.</t>
  </si>
  <si>
    <t>92 332 0487963</t>
  </si>
  <si>
    <t>92 341 6377127</t>
  </si>
  <si>
    <t>92 347 3142774</t>
  </si>
  <si>
    <t>cannot afford the fees</t>
  </si>
  <si>
    <t>92 332 6952777</t>
  </si>
  <si>
    <t>will confirm me after see the details./ immidiately cut the call</t>
  </si>
  <si>
    <t>92 313 4511220</t>
  </si>
  <si>
    <t>20-5-2025</t>
  </si>
  <si>
    <t>92 355 4836573</t>
  </si>
  <si>
    <t>92 334 2054045</t>
  </si>
  <si>
    <t xml:space="preserve">busy in other works </t>
  </si>
  <si>
    <t>92 311 8662911</t>
  </si>
  <si>
    <t>92 307 5424657</t>
  </si>
  <si>
    <t>he's doing this course from youtube</t>
  </si>
  <si>
    <t>92 317 0289040</t>
  </si>
  <si>
    <t>92 301 5335226</t>
  </si>
  <si>
    <t>interested in onsite classes</t>
  </si>
  <si>
    <t>92 331 2946088</t>
  </si>
  <si>
    <t>92 318 0984468</t>
  </si>
  <si>
    <t>course is expensive. busy with other things.</t>
  </si>
  <si>
    <t>Anas</t>
  </si>
  <si>
    <t>92 322 2414440 / 92 312 2842650</t>
  </si>
  <si>
    <t>want to join first clas</t>
  </si>
  <si>
    <t>92 316 6602155</t>
  </si>
  <si>
    <t>92 348 0563765</t>
  </si>
  <si>
    <t>details shared</t>
  </si>
  <si>
    <t>92 349 9721782</t>
  </si>
  <si>
    <t>92 327 8387293</t>
  </si>
  <si>
    <t>92 328 0372565</t>
  </si>
  <si>
    <t>cannot join  course because of time issue</t>
  </si>
  <si>
    <t>92 318 8154821</t>
  </si>
  <si>
    <t>92 328 0345439</t>
  </si>
  <si>
    <t>92 329 7369927</t>
  </si>
  <si>
    <t>she want work. not course.</t>
  </si>
  <si>
    <t>92 315 0157609</t>
  </si>
  <si>
    <t>will confirm me after see the details.</t>
  </si>
  <si>
    <t>92 306 4672497</t>
  </si>
  <si>
    <t>financial problem. enroll in next batch.</t>
  </si>
  <si>
    <t>92 303 6643930</t>
  </si>
  <si>
    <t>92 310 6231812</t>
  </si>
  <si>
    <t>92 300 2474281</t>
  </si>
  <si>
    <t>cannot manage timings</t>
  </si>
  <si>
    <t>92 322 1263010</t>
  </si>
  <si>
    <t>will confirm me after see the details. confirm me till 23 may evening</t>
  </si>
  <si>
    <t>92 328 2644979</t>
  </si>
  <si>
    <t>92 328 2852659</t>
  </si>
  <si>
    <t>92 304 7179988</t>
  </si>
  <si>
    <t>details share. confirm me soon</t>
  </si>
  <si>
    <t>92 336 0013368</t>
  </si>
  <si>
    <t>92 370 8376067</t>
  </si>
  <si>
    <t>92 328 3730613</t>
  </si>
  <si>
    <t xml:space="preserve">not interested. clicked by mistake </t>
  </si>
  <si>
    <t>92 317 0653348</t>
  </si>
  <si>
    <t>92 355 5070710</t>
  </si>
  <si>
    <t>first call didn't attend. can pay only 2k-3k</t>
  </si>
  <si>
    <t>92 355 5920952</t>
  </si>
  <si>
    <t xml:space="preserve">not interested. </t>
  </si>
  <si>
    <t>92 302 7792512</t>
  </si>
  <si>
    <t>92 317 2962056</t>
  </si>
  <si>
    <t>92 314 7112875</t>
  </si>
  <si>
    <t>92 313 4900089</t>
  </si>
  <si>
    <t>92 330 2913273</t>
  </si>
  <si>
    <t>can pay between 10-15 june</t>
  </si>
  <si>
    <t>92 304 9736741</t>
  </si>
  <si>
    <t>92 344 1620393</t>
  </si>
  <si>
    <t>interested. she will confirm me till 21 may. no response.</t>
  </si>
  <si>
    <t>92 348 4335503</t>
  </si>
  <si>
    <t>92 341 6234606</t>
  </si>
  <si>
    <t>21-5-2025</t>
  </si>
  <si>
    <t>92 333 0093393</t>
  </si>
  <si>
    <t>92 323 8853119</t>
  </si>
  <si>
    <t>he will get back to me if he would be interested</t>
  </si>
  <si>
    <t>92 312 9561987</t>
  </si>
  <si>
    <t>he is filling out the form.</t>
  </si>
  <si>
    <t>92 314 7107060</t>
  </si>
  <si>
    <t>92 328 3986879</t>
  </si>
  <si>
    <t>92 335 4662482</t>
  </si>
  <si>
    <t>92 345 0228709</t>
  </si>
  <si>
    <t>92 323 3484460</t>
  </si>
  <si>
    <t>doesn't have pc or laptop.</t>
  </si>
  <si>
    <t>92 326 1076052</t>
  </si>
  <si>
    <t>will confirm me soon</t>
  </si>
  <si>
    <t>92 314 8884295</t>
  </si>
  <si>
    <t>he'll confirm me by 26th may evening</t>
  </si>
  <si>
    <t>92 305 3174672</t>
  </si>
  <si>
    <t>92 347 1759882</t>
  </si>
  <si>
    <t>time issue</t>
  </si>
  <si>
    <t>92 340 2536714</t>
  </si>
  <si>
    <t>he want online work</t>
  </si>
  <si>
    <t>92 316 0311945</t>
  </si>
  <si>
    <t>92 319 1547091</t>
  </si>
  <si>
    <t>fees is too high.</t>
  </si>
  <si>
    <t>92 316 3062389</t>
  </si>
  <si>
    <t>he'll confirm me at 22 may. / no response</t>
  </si>
  <si>
    <t>92 313 0226643</t>
  </si>
  <si>
    <t>she doesn't like the module</t>
  </si>
  <si>
    <t>92 302 5778765</t>
  </si>
  <si>
    <t>92 313 6602075</t>
  </si>
  <si>
    <t>Already started the course at somewhere else.</t>
  </si>
  <si>
    <t>92 323 9960472</t>
  </si>
  <si>
    <t>immediatly cut the call after quating the price.</t>
  </si>
  <si>
    <t>92 309 9981126</t>
  </si>
  <si>
    <t>right now, don't have money, she'll do it later</t>
  </si>
  <si>
    <t>92 333 3796893</t>
  </si>
  <si>
    <t>cannot manage time</t>
  </si>
  <si>
    <t>92 326 5747992</t>
  </si>
  <si>
    <t>92 314 0074303</t>
  </si>
  <si>
    <t>busy andd don't have money</t>
  </si>
  <si>
    <t>92 318 2662195</t>
  </si>
  <si>
    <t>92 345 4965622</t>
  </si>
  <si>
    <t>92 305 7387594</t>
  </si>
  <si>
    <t>not  interested, always cut call</t>
  </si>
  <si>
    <t>92 305 7702960</t>
  </si>
  <si>
    <t>92 325 7903724</t>
  </si>
  <si>
    <t>92 340 1764495</t>
  </si>
  <si>
    <t>92 325 6550797</t>
  </si>
  <si>
    <t>she doesn't have PC</t>
  </si>
  <si>
    <t xml:space="preserve">92 331 2481109 </t>
  </si>
  <si>
    <t>form filled.will pay till 24 may</t>
  </si>
  <si>
    <t>92 349 8096587</t>
  </si>
  <si>
    <t>92 321 6069270</t>
  </si>
  <si>
    <t>enrolled somewhere else</t>
  </si>
  <si>
    <t>92 332 7748815</t>
  </si>
  <si>
    <t>he'll confirm me soon</t>
  </si>
  <si>
    <t>92 343 2970063</t>
  </si>
  <si>
    <t>interested, will confirm me till  27 may / she's filling out the form</t>
  </si>
  <si>
    <t>92 330 4880150</t>
  </si>
  <si>
    <t>92 327 3116080</t>
  </si>
  <si>
    <t>call her at 11:30. not receive / immediately cut the call</t>
  </si>
  <si>
    <t>92 344 9900634</t>
  </si>
  <si>
    <t xml:space="preserve">will see the demo </t>
  </si>
  <si>
    <t>22-5-2025</t>
  </si>
  <si>
    <t>92 331 5364319</t>
  </si>
  <si>
    <t>will pay fees by 23 may evening</t>
  </si>
  <si>
    <t>92 307 1845443</t>
  </si>
  <si>
    <t>92 340 0462160</t>
  </si>
  <si>
    <t>interested in  onsite class</t>
  </si>
  <si>
    <t>Naveen Subhan</t>
  </si>
  <si>
    <t>92 308 0099977</t>
  </si>
  <si>
    <t>92 327 2993170</t>
  </si>
  <si>
    <t>whatsapp is using his little brother</t>
  </si>
  <si>
    <t>92 329 9095593</t>
  </si>
  <si>
    <t>92 304 3546653</t>
  </si>
  <si>
    <t>don't want to pay any money, will learn from youtube</t>
  </si>
  <si>
    <t>92 323 3439660</t>
  </si>
  <si>
    <t>she cut the call immediately</t>
  </si>
  <si>
    <t>92 317 8385107</t>
  </si>
  <si>
    <t>call him at 1:30</t>
  </si>
  <si>
    <t>92 322 2594699</t>
  </si>
  <si>
    <t>92 301 2689939</t>
  </si>
  <si>
    <t>call him at 11:30</t>
  </si>
  <si>
    <t>92 316 6733347</t>
  </si>
  <si>
    <t>92 329 7626080</t>
  </si>
  <si>
    <t>call her at 1:30</t>
  </si>
  <si>
    <t>92 311 7566640</t>
  </si>
  <si>
    <t>will confirm me by 28 may</t>
  </si>
  <si>
    <t>92 321 1388507</t>
  </si>
  <si>
    <t>92 306 6497445 / 03056681953</t>
  </si>
  <si>
    <t>she'll confirm me by 24 may.</t>
  </si>
  <si>
    <t xml:space="preserve">92 343 7517788 </t>
  </si>
  <si>
    <t>92 348 6929671</t>
  </si>
  <si>
    <t>23-5-2025</t>
  </si>
  <si>
    <t>92 303 4151257</t>
  </si>
  <si>
    <t>92 331 7612172</t>
  </si>
  <si>
    <t>92 341 0068241</t>
  </si>
  <si>
    <t>don't have money</t>
  </si>
  <si>
    <t>92 318 9810638</t>
  </si>
  <si>
    <t>busy in other works. will join next batch</t>
  </si>
  <si>
    <t>92 329 6845055</t>
  </si>
  <si>
    <t>cannot pay the fees</t>
  </si>
  <si>
    <t>92 304 6530671</t>
  </si>
  <si>
    <t>92 315 9297480</t>
  </si>
  <si>
    <t>92 346 1256613</t>
  </si>
  <si>
    <t>92 333 4642968</t>
  </si>
  <si>
    <t>he will confirm me by 26 may</t>
  </si>
  <si>
    <t>92 317 0234879</t>
  </si>
  <si>
    <t>92 334 6893741</t>
  </si>
  <si>
    <t>92 333 6356373</t>
  </si>
  <si>
    <t>92 312 5589864</t>
  </si>
  <si>
    <t>interested in data science course</t>
  </si>
  <si>
    <t>92 342 0753645</t>
  </si>
  <si>
    <t>92 335 6689899</t>
  </si>
  <si>
    <t>92 330 1784312</t>
  </si>
  <si>
    <t>busy in other works.</t>
  </si>
  <si>
    <t>92 307 7105486</t>
  </si>
  <si>
    <t xml:space="preserve">92 343 2467581 / 03486543832 </t>
  </si>
  <si>
    <t>92 355 8132727</t>
  </si>
  <si>
    <t xml:space="preserve">already enroll in another course </t>
  </si>
  <si>
    <t>92 342 6805068</t>
  </si>
  <si>
    <t>he is doing course from  corbit because it's free</t>
  </si>
  <si>
    <t>92 333 6858765</t>
  </si>
  <si>
    <t>no response/ in touch with me on whatsapp.</t>
  </si>
  <si>
    <t>92 305 6257456</t>
  </si>
  <si>
    <t>92 341 3839805</t>
  </si>
  <si>
    <t>92 325 4595761</t>
  </si>
  <si>
    <t xml:space="preserve">don't have time </t>
  </si>
  <si>
    <t>92 347 1566607</t>
  </si>
  <si>
    <t>92 310 2115782</t>
  </si>
  <si>
    <t>92 312 8158627</t>
  </si>
  <si>
    <t>form filled. waitind for the payment</t>
  </si>
  <si>
    <t>92 310 2571383</t>
  </si>
  <si>
    <t>she doesn't have pc or laptop</t>
  </si>
  <si>
    <t>92 336 8284820</t>
  </si>
  <si>
    <t>cannot join classes on sundnay.</t>
  </si>
  <si>
    <t>92 322 4919950</t>
  </si>
  <si>
    <t>92 329 3990607</t>
  </si>
  <si>
    <t>he will see the details</t>
  </si>
  <si>
    <t>call me later</t>
  </si>
  <si>
    <t>92 302 3772402</t>
  </si>
  <si>
    <t>not interested, don't have time</t>
  </si>
  <si>
    <t>she ask me to text her on whatsapp</t>
  </si>
  <si>
    <t>92 328 3301953</t>
  </si>
  <si>
    <t>form filled, but her final starts from the mid of june.</t>
  </si>
  <si>
    <t>rn he's in a village, he'll come city at 17 july, then he'll join</t>
  </si>
  <si>
    <t>92 317 9543024</t>
  </si>
  <si>
    <t>detials shared again on  whatsapp</t>
  </si>
  <si>
    <t>signal issue, texted him on  whatsapp again</t>
  </si>
  <si>
    <t>92 337 8353086</t>
  </si>
  <si>
    <t xml:space="preserve">not interested </t>
  </si>
  <si>
    <t>92 334 9024356</t>
  </si>
  <si>
    <t xml:space="preserve">student is in class 5 </t>
  </si>
  <si>
    <t>call cut</t>
  </si>
  <si>
    <t>92 311 4686656</t>
  </si>
  <si>
    <t xml:space="preserve">will pay 1000rs for slot booking till 13 june </t>
  </si>
  <si>
    <t>92 348 6273643</t>
  </si>
  <si>
    <t>don't have pc or laptop</t>
  </si>
  <si>
    <t>92 300 8662300</t>
  </si>
  <si>
    <t>not interested in data scinece</t>
  </si>
  <si>
    <t>signal issue,  texted her on whatsapp</t>
  </si>
  <si>
    <t>92 328 0827994</t>
  </si>
  <si>
    <t>92 346 7221332</t>
  </si>
  <si>
    <t>interested, details shared on whatsapp again</t>
  </si>
  <si>
    <t>signal issuer</t>
  </si>
  <si>
    <t>enroll in other course</t>
  </si>
  <si>
    <t>92 344 9344234</t>
  </si>
  <si>
    <t>92 320 0666300</t>
  </si>
  <si>
    <t>Pending</t>
  </si>
  <si>
    <t>92 326 0822475</t>
  </si>
  <si>
    <t>92 316 4133981</t>
  </si>
  <si>
    <t>92 333 5881325</t>
  </si>
  <si>
    <t>call at 4:30 to 5:00 pm</t>
  </si>
  <si>
    <t>92 311 1371213</t>
  </si>
  <si>
    <t>92 314 7933268</t>
  </si>
  <si>
    <t>92 345 6196051</t>
  </si>
  <si>
    <t>92 349 7923078</t>
  </si>
  <si>
    <t>92 308 3726657</t>
  </si>
  <si>
    <t>92 314 0064411</t>
  </si>
  <si>
    <t>92 304 3067324</t>
  </si>
  <si>
    <t>need free</t>
  </si>
  <si>
    <t>92 301 6114457</t>
  </si>
  <si>
    <t>demo and then pay</t>
  </si>
  <si>
    <t>93 301 6114457</t>
  </si>
  <si>
    <t>92 324 9554609</t>
  </si>
  <si>
    <t>share infoo via whatsapp</t>
  </si>
  <si>
    <t>92 314 4453497</t>
  </si>
  <si>
    <t>92 319 1078815</t>
  </si>
  <si>
    <t>14-6-2024</t>
  </si>
  <si>
    <t>92 312 6269517</t>
  </si>
  <si>
    <t>92 342 2261417</t>
  </si>
  <si>
    <t>92 323 6802368</t>
  </si>
  <si>
    <t>92 314 3134270</t>
  </si>
  <si>
    <t>92 328 2527505</t>
  </si>
  <si>
    <t>92 347 3819815</t>
  </si>
  <si>
    <t>92 306 4685191</t>
  </si>
  <si>
    <t>92 333 3181897</t>
  </si>
  <si>
    <t>92 303 0244323</t>
  </si>
  <si>
    <t>92 311 8037168</t>
  </si>
  <si>
    <t>92 321 4551093</t>
  </si>
  <si>
    <t>92 322 2556438</t>
  </si>
  <si>
    <t>will join demo, will join as he is interested in freelancing</t>
  </si>
  <si>
    <t>92 308 8084244</t>
  </si>
  <si>
    <t>92 316 3065334</t>
  </si>
  <si>
    <t>pay after demo</t>
  </si>
  <si>
    <t>92 333 0338224</t>
  </si>
  <si>
    <t>92 318 9205638</t>
  </si>
  <si>
    <t>92 316 3381193</t>
  </si>
  <si>
    <t>92 305 5792780</t>
  </si>
  <si>
    <t>92 331 9595766</t>
  </si>
  <si>
    <t>92 341 9618630</t>
  </si>
  <si>
    <t>92 320 3904860</t>
  </si>
  <si>
    <t>92 309 8286669</t>
  </si>
  <si>
    <t>kal isko discount msg krna hai</t>
  </si>
  <si>
    <t>92 345 6343257</t>
  </si>
  <si>
    <t>92 336 3185152</t>
  </si>
  <si>
    <t>92 324 9570456</t>
  </si>
  <si>
    <t>92 321 1326240</t>
  </si>
  <si>
    <t>pay by sat after course starting</t>
  </si>
  <si>
    <t>92 333 5830425</t>
  </si>
  <si>
    <t>will inform within 2 3 days</t>
  </si>
  <si>
    <t>13-6-2024</t>
  </si>
  <si>
    <t>92 340 7919544</t>
  </si>
  <si>
    <t xml:space="preserve">Arsalan </t>
  </si>
  <si>
    <t>92 345 2028887</t>
  </si>
  <si>
    <t>pay before 21st, 5000 per month</t>
  </si>
  <si>
    <t>92 340 0628620</t>
  </si>
  <si>
    <t>92 309 0307368</t>
  </si>
  <si>
    <t>will inform by tomorrow</t>
  </si>
  <si>
    <t>92 306 2165006</t>
  </si>
  <si>
    <t>92 302 8724411</t>
  </si>
  <si>
    <t>92 324 4885418</t>
  </si>
  <si>
    <t>92 348 0179966</t>
  </si>
  <si>
    <t>92 349 3130886</t>
  </si>
  <si>
    <t>can't afford</t>
  </si>
  <si>
    <t>92 321 7444114</t>
  </si>
  <si>
    <t>interested , demo required</t>
  </si>
  <si>
    <t>92 345 2468056</t>
  </si>
  <si>
    <t>92 324 1375023</t>
  </si>
  <si>
    <t>free course</t>
  </si>
  <si>
    <t>92 340 0470814</t>
  </si>
  <si>
    <t>92 311 2104966</t>
  </si>
  <si>
    <t>92 325 9168040</t>
  </si>
  <si>
    <t>92 314 7560825</t>
  </si>
  <si>
    <t>92 333 8545834</t>
  </si>
  <si>
    <t>92 309 6575682</t>
  </si>
  <si>
    <t>92 313 2609919</t>
  </si>
  <si>
    <t>92 347 0800568</t>
  </si>
  <si>
    <t>92 311 3502427</t>
  </si>
  <si>
    <t>92 333 7594734</t>
  </si>
  <si>
    <t>92 330 9877977</t>
  </si>
  <si>
    <t>inform b y 19th june</t>
  </si>
  <si>
    <t>92 329 7165958</t>
  </si>
  <si>
    <t>92 322 3237574</t>
  </si>
  <si>
    <t>92 322 0226423</t>
  </si>
  <si>
    <t>92 316 4354442</t>
  </si>
  <si>
    <t>92 347 3292580</t>
  </si>
  <si>
    <t>lost need free</t>
  </si>
  <si>
    <t>92 333 3467825</t>
  </si>
  <si>
    <t>92 306 4311505</t>
  </si>
  <si>
    <t>92 331 7518028</t>
  </si>
  <si>
    <t>92 331 5542432</t>
  </si>
  <si>
    <t>92 317 2852463</t>
  </si>
  <si>
    <t>92 300 9692115</t>
  </si>
  <si>
    <t>92 304 1778741</t>
  </si>
  <si>
    <t>92 331 5194715</t>
  </si>
  <si>
    <t>pay by monday, share grp link</t>
  </si>
  <si>
    <t>92 303 6515022</t>
  </si>
  <si>
    <t>92 341 3027497</t>
  </si>
  <si>
    <t>92 322 3063401</t>
  </si>
  <si>
    <t>92 328 6644965</t>
  </si>
  <si>
    <t>92 335 4102136</t>
  </si>
  <si>
    <t>92 322 7760080</t>
  </si>
  <si>
    <t>pay by this week but timing issue that's why he'll join the 1st class</t>
  </si>
  <si>
    <t>92 321 7486083</t>
  </si>
  <si>
    <t xml:space="preserve">will inform </t>
  </si>
  <si>
    <t>92 331 1281661</t>
  </si>
  <si>
    <t xml:space="preserve">need job </t>
  </si>
  <si>
    <t>92 326 1137419</t>
  </si>
  <si>
    <t>92 311 2222701</t>
  </si>
  <si>
    <t>92 345 1357977</t>
  </si>
  <si>
    <t>92 344 3177168</t>
  </si>
  <si>
    <t>92 335 7369660</t>
  </si>
  <si>
    <t>92 340 2346466</t>
  </si>
  <si>
    <t>92 343 0426901</t>
  </si>
  <si>
    <t>provide her discount</t>
  </si>
  <si>
    <t>92 327 5937103</t>
  </si>
  <si>
    <t>92 336 6444998</t>
  </si>
  <si>
    <t>92 329 4454305</t>
  </si>
  <si>
    <t>92 327 3545481</t>
  </si>
  <si>
    <t>92 346 7420886</t>
  </si>
  <si>
    <t>92 318 4228669</t>
  </si>
  <si>
    <t>92 332 3659075</t>
  </si>
  <si>
    <t>92 308 7528132</t>
  </si>
  <si>
    <t>92 318 3236933</t>
  </si>
  <si>
    <t>92 355 5215301</t>
  </si>
  <si>
    <t>cant pay</t>
  </si>
  <si>
    <t>92 329 3085166</t>
  </si>
  <si>
    <t>92 329 9143982</t>
  </si>
  <si>
    <t>92 325 2643199</t>
  </si>
  <si>
    <t>92 300 0141378</t>
  </si>
  <si>
    <t>92 300 9674467</t>
  </si>
  <si>
    <t>92 336 5959959</t>
  </si>
  <si>
    <t>92 333 1547233</t>
  </si>
  <si>
    <t>92 343 9190751</t>
  </si>
  <si>
    <t>92 333 9436027</t>
  </si>
  <si>
    <t>92 303 2527058</t>
  </si>
  <si>
    <t>92 311 6125214</t>
  </si>
  <si>
    <t xml:space="preserve">wanna join </t>
  </si>
  <si>
    <t>92 306 2817979</t>
  </si>
  <si>
    <t>92 312 7791024</t>
  </si>
  <si>
    <t>92 325 5457476</t>
  </si>
  <si>
    <t>92 314 9257662</t>
  </si>
  <si>
    <t>92 329 2622545</t>
  </si>
  <si>
    <t>92 302 4459499</t>
  </si>
  <si>
    <t>92 346 2472532</t>
  </si>
  <si>
    <t>will inform , interested</t>
  </si>
  <si>
    <t>92 311 2584920</t>
  </si>
  <si>
    <t>92 304 1340179</t>
  </si>
  <si>
    <t>92 329 8308191</t>
  </si>
  <si>
    <t>92 311 6394772</t>
  </si>
  <si>
    <t>92 336 1711917</t>
  </si>
  <si>
    <t>92 336 2450799</t>
  </si>
  <si>
    <t>visit for satisfication by mon and then pay</t>
  </si>
  <si>
    <t>92 344 7351562</t>
  </si>
  <si>
    <t>92 348 2731984</t>
  </si>
  <si>
    <t>92 344 3557196</t>
  </si>
  <si>
    <t>92 313 0356690</t>
  </si>
  <si>
    <t>92 323 4421237</t>
  </si>
  <si>
    <t>92 332 3939344</t>
  </si>
  <si>
    <t>92 327 2081578</t>
  </si>
  <si>
    <t>92 329 5606901</t>
  </si>
  <si>
    <t>92 314 9613795</t>
  </si>
  <si>
    <t>92 311 4459323</t>
  </si>
  <si>
    <t>92 302 8472783</t>
  </si>
  <si>
    <t>92 318 0585042</t>
  </si>
  <si>
    <t>92 316 9202206</t>
  </si>
  <si>
    <t>92 336 2042722</t>
  </si>
  <si>
    <t>92 328 3846687</t>
  </si>
  <si>
    <t>92 345 5923957</t>
  </si>
  <si>
    <t>92 320 1467281</t>
  </si>
  <si>
    <t>92 318 3881114</t>
  </si>
  <si>
    <t>92 342 8199893</t>
  </si>
  <si>
    <t>92 307 1475092</t>
  </si>
  <si>
    <t>92 303 0284626</t>
  </si>
  <si>
    <t>will pay for last month and internship</t>
  </si>
  <si>
    <t>92 309 5955607</t>
  </si>
  <si>
    <t>331 9430168</t>
  </si>
  <si>
    <t>334 2922141</t>
  </si>
  <si>
    <t>share info via whatsapp, contact in evening</t>
  </si>
  <si>
    <t>345 2436620</t>
  </si>
  <si>
    <t>will inform by sunday</t>
  </si>
  <si>
    <t>92 340 4658191</t>
  </si>
  <si>
    <t>92 310 0201782</t>
  </si>
  <si>
    <t>92 319 7736471</t>
  </si>
  <si>
    <t xml:space="preserve">will pay by next week </t>
  </si>
  <si>
    <t>92 309 7308114</t>
  </si>
  <si>
    <t>92 335 9020627</t>
  </si>
  <si>
    <t>92 317 7969402</t>
  </si>
  <si>
    <t>92 309 1199565</t>
  </si>
  <si>
    <t>92 345 1332370</t>
  </si>
  <si>
    <t>92 333 3794237</t>
  </si>
  <si>
    <t xml:space="preserve">pay by 20th june, </t>
  </si>
  <si>
    <t>92 335 3849179</t>
  </si>
  <si>
    <t>92 347 9824433/ 0304 6466044</t>
  </si>
  <si>
    <t>92 310 5621113</t>
  </si>
  <si>
    <t>92 303 9529448</t>
  </si>
  <si>
    <t>92 300 9251389</t>
  </si>
  <si>
    <t>92 348 0743659</t>
  </si>
  <si>
    <t>92 336 6272929</t>
  </si>
  <si>
    <t>92 317 0947257</t>
  </si>
  <si>
    <t>92 315 3487535</t>
  </si>
  <si>
    <t>92 314 2019885</t>
  </si>
  <si>
    <t>92 331 9430168</t>
  </si>
  <si>
    <t>92 303 2530068</t>
  </si>
  <si>
    <t>92 345 8446252</t>
  </si>
  <si>
    <t>92 324 3496878</t>
  </si>
  <si>
    <t>92 337 8325853</t>
  </si>
  <si>
    <t>92 325 3251235</t>
  </si>
  <si>
    <t>92 325 8836882</t>
  </si>
  <si>
    <t>92 346 1459643</t>
  </si>
  <si>
    <t>92 333 4720565</t>
  </si>
  <si>
    <t>92 346 3428151</t>
  </si>
  <si>
    <t>92 331 0109213</t>
  </si>
  <si>
    <t>92 317 9163552</t>
  </si>
  <si>
    <t>92 333 7494970</t>
  </si>
  <si>
    <t>92 302 4977350</t>
  </si>
  <si>
    <t>need job</t>
  </si>
  <si>
    <t>92 302 2541281</t>
  </si>
  <si>
    <t>92 306 5298481</t>
  </si>
  <si>
    <t>92 340 9686889</t>
  </si>
  <si>
    <t>92 308 4731216</t>
  </si>
  <si>
    <t>92 318 5073360</t>
  </si>
  <si>
    <t xml:space="preserve">wanna pay give her discount of 4400 </t>
  </si>
  <si>
    <t>92 345 2197398</t>
  </si>
  <si>
    <t>92 300 2265823</t>
  </si>
  <si>
    <t>16-6-2024</t>
  </si>
  <si>
    <t>92 308 1456778</t>
  </si>
  <si>
    <t>92 300 8778103</t>
  </si>
  <si>
    <t>share info via whatsapp, inform in evening</t>
  </si>
  <si>
    <t>92 305 4741423</t>
  </si>
  <si>
    <t>92 334 3282679</t>
  </si>
  <si>
    <t>inform by tomorrow</t>
  </si>
  <si>
    <t>92 302 7683839</t>
  </si>
  <si>
    <t>92 310 7182668</t>
  </si>
  <si>
    <t>92 300 7391888</t>
  </si>
  <si>
    <t>92 308 3350225</t>
  </si>
  <si>
    <t>92 315 4107062</t>
  </si>
  <si>
    <t>92 347 9399067</t>
  </si>
  <si>
    <t xml:space="preserve">pay by 18th </t>
  </si>
  <si>
    <t>92 302 0252321</t>
  </si>
  <si>
    <t>92 355 4984848</t>
  </si>
  <si>
    <t>92 308 9369070</t>
  </si>
  <si>
    <t>92 330 1246796</t>
  </si>
  <si>
    <t>92 304 1461727</t>
  </si>
  <si>
    <t>92 332 3018987</t>
  </si>
  <si>
    <t>92 346 5147538</t>
  </si>
  <si>
    <t>92 341 8854107</t>
  </si>
  <si>
    <t>92 308 7613312</t>
  </si>
  <si>
    <t>92 341 0374618</t>
  </si>
  <si>
    <t>92 341 4255084</t>
  </si>
  <si>
    <t>92 333 0409918</t>
  </si>
  <si>
    <t>lost need free course</t>
  </si>
  <si>
    <t>92 300 8173388</t>
  </si>
  <si>
    <t>92 324 6441532</t>
  </si>
  <si>
    <t>92 310 9247099</t>
  </si>
  <si>
    <t>92 349 3657506</t>
  </si>
  <si>
    <t>92 308 0219079</t>
  </si>
  <si>
    <t>Zara</t>
  </si>
  <si>
    <t>92 324 5637648</t>
  </si>
  <si>
    <t xml:space="preserve">i think fees issue </t>
  </si>
  <si>
    <t>92 332 7954974</t>
  </si>
  <si>
    <t>92 310 0667723</t>
  </si>
  <si>
    <t>92 370 9240337</t>
  </si>
  <si>
    <t>92 348 8392613</t>
  </si>
  <si>
    <t>92 301 7462097</t>
  </si>
  <si>
    <t>will pay before 20</t>
  </si>
  <si>
    <t>92 305 5928926</t>
  </si>
  <si>
    <t>92 331 4313138</t>
  </si>
  <si>
    <t>92 345 1223416</t>
  </si>
  <si>
    <t>92 326 7914088</t>
  </si>
  <si>
    <t>92 315 9360578</t>
  </si>
  <si>
    <t>92 328 2079343</t>
  </si>
  <si>
    <t>lead lost</t>
  </si>
  <si>
    <t>92 319 9354736</t>
  </si>
  <si>
    <t>92 327 8445374</t>
  </si>
  <si>
    <t>92 345 1299154</t>
  </si>
  <si>
    <t>92 328 3697925</t>
  </si>
  <si>
    <t>92 323 6134510</t>
  </si>
  <si>
    <t>92 340 5222985</t>
  </si>
  <si>
    <t>92 319 2206556</t>
  </si>
  <si>
    <t>92 321 3644629</t>
  </si>
  <si>
    <t>92 317 7300489</t>
  </si>
  <si>
    <t>92 344 2216318</t>
  </si>
  <si>
    <t>92 312 6862919</t>
  </si>
  <si>
    <t>92 333 2149085</t>
  </si>
  <si>
    <t>92 336 3798980</t>
  </si>
  <si>
    <t>92 334 9115343</t>
  </si>
  <si>
    <t>92 324 3543784</t>
  </si>
  <si>
    <t>17-6-2024</t>
  </si>
  <si>
    <t>92 320 4594411</t>
  </si>
  <si>
    <t>92 355 6132731</t>
  </si>
  <si>
    <t>92 347 3107917</t>
  </si>
  <si>
    <t>92 346 1101580</t>
  </si>
  <si>
    <t>92 304 3861256</t>
  </si>
  <si>
    <t>interested but want to join from next month, but added in demo</t>
  </si>
  <si>
    <t>92 316 8648917</t>
  </si>
  <si>
    <t>S.No</t>
  </si>
  <si>
    <t>Approach Date</t>
  </si>
  <si>
    <t>Followup Date</t>
  </si>
  <si>
    <t>Interest Level</t>
  </si>
  <si>
    <t>Price Proposed</t>
  </si>
  <si>
    <t>Reason (applicable if client lost)</t>
  </si>
  <si>
    <t>1</t>
  </si>
  <si>
    <t>7/8/2024</t>
  </si>
  <si>
    <t>Nareesha</t>
  </si>
  <si>
    <t>03463361005</t>
  </si>
  <si>
    <t>2</t>
  </si>
  <si>
    <t>Irshad</t>
  </si>
  <si>
    <t>0340 8703176</t>
  </si>
  <si>
    <t>3</t>
  </si>
  <si>
    <t>Asad</t>
  </si>
  <si>
    <t>03470263463</t>
  </si>
  <si>
    <t>4</t>
  </si>
  <si>
    <t>03035113903</t>
  </si>
  <si>
    <t>5</t>
  </si>
  <si>
    <t>Qurat ul aine</t>
  </si>
  <si>
    <t>03410223340</t>
  </si>
  <si>
    <t>6</t>
  </si>
  <si>
    <t>8/8/2024</t>
  </si>
  <si>
    <t>03035901289</t>
  </si>
  <si>
    <t>100 baclog</t>
  </si>
  <si>
    <t>7</t>
  </si>
  <si>
    <t>15/8/2024</t>
  </si>
  <si>
    <t>Mehran Gorsi</t>
  </si>
  <si>
    <t>03131862557</t>
  </si>
  <si>
    <t>8</t>
  </si>
  <si>
    <t>Ghayoor Iqbal</t>
  </si>
  <si>
    <t>03009264631</t>
  </si>
  <si>
    <t xml:space="preserve">                          19/8/2024</t>
  </si>
  <si>
    <t>9</t>
  </si>
  <si>
    <t>Sarim</t>
  </si>
  <si>
    <t>03000884313</t>
  </si>
  <si>
    <t>10</t>
  </si>
  <si>
    <t xml:space="preserve"> Abdul Haseeb</t>
  </si>
  <si>
    <t>03150323440</t>
  </si>
  <si>
    <t xml:space="preserve">                            19/8/2024</t>
  </si>
  <si>
    <t>11</t>
  </si>
  <si>
    <t>03186983988</t>
  </si>
  <si>
    <t>19/8/2024</t>
  </si>
  <si>
    <t>12</t>
  </si>
  <si>
    <t>Zain ul abedin</t>
  </si>
  <si>
    <t>03339607009</t>
  </si>
  <si>
    <t>Form Filled</t>
  </si>
  <si>
    <t>13</t>
  </si>
  <si>
    <t>Daniyal</t>
  </si>
  <si>
    <t>03362255532</t>
  </si>
  <si>
    <t>14</t>
  </si>
  <si>
    <t>03474828062</t>
  </si>
  <si>
    <t>15</t>
  </si>
  <si>
    <t>Waleed</t>
  </si>
  <si>
    <t>03104394336</t>
  </si>
  <si>
    <t>16</t>
  </si>
  <si>
    <t>Gulam Rasool</t>
  </si>
  <si>
    <t>03042373757</t>
  </si>
  <si>
    <t>17</t>
  </si>
  <si>
    <t>Syed hussain</t>
  </si>
  <si>
    <t>03157667284</t>
  </si>
  <si>
    <t>18</t>
  </si>
  <si>
    <t>Okasha</t>
  </si>
  <si>
    <t>03322264342</t>
  </si>
  <si>
    <t>19</t>
  </si>
  <si>
    <t>03339477665</t>
  </si>
  <si>
    <t>Why does he want to take part in the course e.g money, career</t>
  </si>
  <si>
    <t>Form unfilled</t>
  </si>
  <si>
    <t>20</t>
  </si>
  <si>
    <t>16/8/2024</t>
  </si>
  <si>
    <t>Tajamul rajper</t>
  </si>
  <si>
    <t>03093169199</t>
  </si>
  <si>
    <t>21</t>
  </si>
  <si>
    <t>Salman</t>
  </si>
  <si>
    <t>03308437479</t>
  </si>
  <si>
    <t>22</t>
  </si>
  <si>
    <t>Awais Ali</t>
  </si>
  <si>
    <t>03122010185</t>
  </si>
  <si>
    <t>23</t>
  </si>
  <si>
    <t xml:space="preserve"> 03157040668</t>
  </si>
  <si>
    <t>24</t>
  </si>
  <si>
    <t>Hassan Ul Haq</t>
  </si>
  <si>
    <t>03200247198</t>
  </si>
  <si>
    <t>20/8/2024</t>
  </si>
  <si>
    <t>25</t>
  </si>
  <si>
    <t>Adeel Sheikh</t>
  </si>
  <si>
    <t>03453084454</t>
  </si>
  <si>
    <t>26</t>
  </si>
  <si>
    <t>Haris Ahmed</t>
  </si>
  <si>
    <t>03118639290</t>
  </si>
  <si>
    <t>27</t>
  </si>
  <si>
    <t>03061103887</t>
  </si>
  <si>
    <t>28</t>
  </si>
  <si>
    <t>Simran modi</t>
  </si>
  <si>
    <t>03332145602</t>
  </si>
  <si>
    <t>29</t>
  </si>
  <si>
    <t>Huzaifa Asghar</t>
  </si>
  <si>
    <t>03168958142</t>
  </si>
  <si>
    <t>30</t>
  </si>
  <si>
    <t>Muhammad Azaan</t>
  </si>
  <si>
    <t>03432647815</t>
  </si>
  <si>
    <t>31</t>
  </si>
  <si>
    <t>Mohiuddin</t>
  </si>
  <si>
    <t>03333795434</t>
  </si>
  <si>
    <t>32</t>
  </si>
  <si>
    <t>Talha</t>
  </si>
  <si>
    <t>03096663943</t>
  </si>
  <si>
    <t>33</t>
  </si>
  <si>
    <t>Mustafa</t>
  </si>
  <si>
    <t>03212022768</t>
  </si>
  <si>
    <t>34</t>
  </si>
  <si>
    <t>Eriba</t>
  </si>
  <si>
    <t>03019354175</t>
  </si>
  <si>
    <t>35</t>
  </si>
  <si>
    <t>M.hadi</t>
  </si>
  <si>
    <t>03172563120</t>
  </si>
  <si>
    <t>22/8/2024</t>
  </si>
  <si>
    <t>36</t>
  </si>
  <si>
    <t>03363305243</t>
  </si>
  <si>
    <t>37</t>
  </si>
  <si>
    <t>SAJID HUSSAIN</t>
  </si>
  <si>
    <t>03008974571</t>
  </si>
  <si>
    <t>38</t>
  </si>
  <si>
    <t>60 11-7249 9780</t>
  </si>
  <si>
    <t>39</t>
  </si>
  <si>
    <t>03081001532</t>
  </si>
  <si>
    <t>40</t>
  </si>
  <si>
    <t xml:space="preserve"> 03432106570</t>
  </si>
  <si>
    <t>41</t>
  </si>
  <si>
    <t>03074254897</t>
  </si>
  <si>
    <t>42</t>
  </si>
  <si>
    <t>Shoaib Rehman</t>
  </si>
  <si>
    <t>03209667432</t>
  </si>
  <si>
    <t>43</t>
  </si>
  <si>
    <t>Naeem Mustiyaq</t>
  </si>
  <si>
    <t>03218754015</t>
  </si>
  <si>
    <t>44</t>
  </si>
  <si>
    <t>Baseerat</t>
  </si>
  <si>
    <t>03092377360</t>
  </si>
  <si>
    <t>45</t>
  </si>
  <si>
    <t>03120214111</t>
  </si>
  <si>
    <t>46</t>
  </si>
  <si>
    <t>Syed hunain</t>
  </si>
  <si>
    <t>03132343459</t>
  </si>
  <si>
    <t>47</t>
  </si>
  <si>
    <t>Munibulhassan</t>
  </si>
  <si>
    <t>03231399054</t>
  </si>
  <si>
    <t>48</t>
  </si>
  <si>
    <t>Tariq Arshad</t>
  </si>
  <si>
    <t>03002137050</t>
  </si>
  <si>
    <t>27/8/2024</t>
  </si>
  <si>
    <t>49</t>
  </si>
  <si>
    <t>AsimKhan</t>
  </si>
  <si>
    <t>03072112966</t>
  </si>
  <si>
    <t>50</t>
  </si>
  <si>
    <t>03244201764</t>
  </si>
  <si>
    <t>51</t>
  </si>
  <si>
    <t>Faisal Shah</t>
  </si>
  <si>
    <t>03336481207</t>
  </si>
  <si>
    <t>52</t>
  </si>
  <si>
    <t>Asim Raza</t>
  </si>
  <si>
    <t>03146103304</t>
  </si>
  <si>
    <t>Please call later</t>
  </si>
  <si>
    <t>53</t>
  </si>
  <si>
    <t>325 2705385</t>
  </si>
  <si>
    <t>54</t>
  </si>
  <si>
    <t>03252705385</t>
  </si>
  <si>
    <t>55</t>
  </si>
  <si>
    <t>Daniyal wahab</t>
  </si>
  <si>
    <t>03472068273</t>
  </si>
  <si>
    <t>56</t>
  </si>
  <si>
    <t>Shohaib</t>
  </si>
  <si>
    <t>03232295301</t>
  </si>
  <si>
    <t>57</t>
  </si>
  <si>
    <t>03232295302</t>
  </si>
  <si>
    <r>
      <rPr>
        <rFont val="docs-Roboto"/>
        <color rgb="FF434343"/>
      </rPr>
      <t>27/8/2024</t>
    </r>
  </si>
  <si>
    <t>58</t>
  </si>
  <si>
    <t>03232295303</t>
  </si>
  <si>
    <r>
      <rPr>
        <rFont val="docs-Roboto"/>
        <color rgb="FF434343"/>
      </rPr>
      <t>27/8/2024</t>
    </r>
  </si>
  <si>
    <t>59</t>
  </si>
  <si>
    <t>03232295304</t>
  </si>
  <si>
    <r>
      <rPr>
        <rFont val="docs-Roboto"/>
        <color rgb="FF434343"/>
      </rPr>
      <t>27/8/2024</t>
    </r>
  </si>
  <si>
    <t>60</t>
  </si>
  <si>
    <t>03232295305</t>
  </si>
  <si>
    <r>
      <rPr>
        <rFont val="docs-Roboto"/>
        <color rgb="FF434343"/>
      </rPr>
      <t>27/8/2024</t>
    </r>
  </si>
  <si>
    <t>61</t>
  </si>
  <si>
    <t>03232295306</t>
  </si>
  <si>
    <t>62</t>
  </si>
  <si>
    <t>03232295307</t>
  </si>
  <si>
    <r>
      <rPr>
        <rFont val="docs-Roboto"/>
        <color rgb="FF434343"/>
      </rPr>
      <t>27/8/2024</t>
    </r>
  </si>
  <si>
    <t>63</t>
  </si>
  <si>
    <t>03104229928</t>
  </si>
  <si>
    <t>64</t>
  </si>
  <si>
    <t>03026577496</t>
  </si>
  <si>
    <r>
      <rPr>
        <rFont val="docs-Roboto"/>
        <color rgb="FF434343"/>
      </rPr>
      <t>27/8/2024</t>
    </r>
  </si>
  <si>
    <t>65</t>
  </si>
  <si>
    <t>18/8/2024</t>
  </si>
  <si>
    <t>Ayesha Ashraf</t>
  </si>
  <si>
    <t>03470235619</t>
  </si>
  <si>
    <r>
      <rPr>
        <rFont val="docs-Roboto"/>
        <color rgb="FF434343"/>
      </rPr>
      <t>27/8/2024</t>
    </r>
  </si>
  <si>
    <t>66</t>
  </si>
  <si>
    <t>03037328702</t>
  </si>
  <si>
    <t>67</t>
  </si>
  <si>
    <t>03047600573</t>
  </si>
  <si>
    <t>68</t>
  </si>
  <si>
    <t xml:space="preserve"> 03178825400</t>
  </si>
  <si>
    <t>69</t>
  </si>
  <si>
    <t>90534089 74 57</t>
  </si>
  <si>
    <t>70</t>
  </si>
  <si>
    <t>Haider Asif</t>
  </si>
  <si>
    <t xml:space="preserve"> 03080178118</t>
  </si>
  <si>
    <t>71</t>
  </si>
  <si>
    <t>19//8/2024</t>
  </si>
  <si>
    <t>Syed Imran</t>
  </si>
  <si>
    <t>03352676046</t>
  </si>
  <si>
    <t>72</t>
  </si>
  <si>
    <t xml:space="preserve"> 03353001378</t>
  </si>
  <si>
    <t>73</t>
  </si>
  <si>
    <t>Sufyan</t>
  </si>
  <si>
    <t xml:space="preserve"> 03182350763</t>
  </si>
  <si>
    <t>74</t>
  </si>
  <si>
    <t>Abdul Quddus Memon</t>
  </si>
  <si>
    <t>03000881819</t>
  </si>
  <si>
    <t>75</t>
  </si>
  <si>
    <t>Touseef Ahmed</t>
  </si>
  <si>
    <t xml:space="preserve"> 03122713862</t>
  </si>
  <si>
    <t>21/8/2024</t>
  </si>
  <si>
    <t>76</t>
  </si>
  <si>
    <t>03062145142</t>
  </si>
  <si>
    <t>77</t>
  </si>
  <si>
    <t xml:space="preserve"> 03066748412</t>
  </si>
  <si>
    <t>78</t>
  </si>
  <si>
    <t>03345510143</t>
  </si>
  <si>
    <t>79</t>
  </si>
  <si>
    <t xml:space="preserve"> 03107775168</t>
  </si>
  <si>
    <t>80</t>
  </si>
  <si>
    <t>Abdulsalam</t>
  </si>
  <si>
    <t xml:space="preserve"> 03222291959</t>
  </si>
  <si>
    <t>81</t>
  </si>
  <si>
    <t>marium shiraz</t>
  </si>
  <si>
    <t>03110588326</t>
  </si>
  <si>
    <t>82</t>
  </si>
  <si>
    <t>Shahid Saleem</t>
  </si>
  <si>
    <t>03224818569</t>
  </si>
  <si>
    <t>83</t>
  </si>
  <si>
    <t xml:space="preserve"> 03378370197</t>
  </si>
  <si>
    <t>84</t>
  </si>
  <si>
    <t>03135259162</t>
  </si>
  <si>
    <t>85</t>
  </si>
  <si>
    <t>Hamza</t>
  </si>
  <si>
    <t>03344432479</t>
  </si>
  <si>
    <t>86</t>
  </si>
  <si>
    <t>Abdul Rasool</t>
  </si>
  <si>
    <t xml:space="preserve"> 03160365911</t>
  </si>
  <si>
    <t>87</t>
  </si>
  <si>
    <t>Shahrukh khan</t>
  </si>
  <si>
    <t>03013361246</t>
  </si>
  <si>
    <t>88</t>
  </si>
  <si>
    <t>Muhammad tayyab Irfan</t>
  </si>
  <si>
    <t>03100446369</t>
  </si>
  <si>
    <t>89</t>
  </si>
  <si>
    <t>Umar farooq</t>
  </si>
  <si>
    <t>03014044102</t>
  </si>
  <si>
    <t>90</t>
  </si>
  <si>
    <t>Hamza Ayyub</t>
  </si>
  <si>
    <t>03140165834</t>
  </si>
  <si>
    <t>91</t>
  </si>
  <si>
    <t>Prem Sagar</t>
  </si>
  <si>
    <t>03322514972</t>
  </si>
  <si>
    <t>92</t>
  </si>
  <si>
    <t>Wali Ullah Siddique</t>
  </si>
  <si>
    <t>03174353203</t>
  </si>
  <si>
    <t>93</t>
  </si>
  <si>
    <t>Asim Qaiser</t>
  </si>
  <si>
    <t>03216372310</t>
  </si>
  <si>
    <t>94</t>
  </si>
  <si>
    <t>Haseebullah</t>
  </si>
  <si>
    <t>03224814481</t>
  </si>
  <si>
    <t>95</t>
  </si>
  <si>
    <t>Alweena Murtaza</t>
  </si>
  <si>
    <t>03064450591</t>
  </si>
  <si>
    <t>96</t>
  </si>
  <si>
    <t>Muhammad Mujahid</t>
  </si>
  <si>
    <t>03455012890</t>
  </si>
  <si>
    <t>97</t>
  </si>
  <si>
    <t>Allah Rakha</t>
  </si>
  <si>
    <t>03018082787</t>
  </si>
  <si>
    <t>98</t>
  </si>
  <si>
    <t xml:space="preserve">Kamran Sajjad </t>
  </si>
  <si>
    <t>03065685963</t>
  </si>
  <si>
    <t>99</t>
  </si>
  <si>
    <t>Muqadas farman</t>
  </si>
  <si>
    <t>03116174624</t>
  </si>
  <si>
    <t>100</t>
  </si>
  <si>
    <t>Sheraz Hafeez</t>
  </si>
  <si>
    <t>03233096446</t>
  </si>
  <si>
    <t>101</t>
  </si>
  <si>
    <t>Hanzala</t>
  </si>
  <si>
    <t>03157927824</t>
  </si>
  <si>
    <t>102</t>
  </si>
  <si>
    <t>Abu Bakar</t>
  </si>
  <si>
    <t>'03480472778</t>
  </si>
  <si>
    <t>103</t>
  </si>
  <si>
    <t>Syed Saboor Abbas</t>
  </si>
  <si>
    <t>03184063078</t>
  </si>
  <si>
    <t>104</t>
  </si>
  <si>
    <t>Huzair Ahmed Khan</t>
  </si>
  <si>
    <t>03313391666</t>
  </si>
  <si>
    <t>105</t>
  </si>
  <si>
    <t>Habib  Tariq</t>
  </si>
  <si>
    <t>03099634220</t>
  </si>
  <si>
    <t>106</t>
  </si>
  <si>
    <t>Syed Sarim</t>
  </si>
  <si>
    <t>0323-7034858</t>
  </si>
  <si>
    <t>107</t>
  </si>
  <si>
    <t xml:space="preserve"> 03408047882</t>
  </si>
  <si>
    <t>23/8/2024</t>
  </si>
  <si>
    <t>108</t>
  </si>
  <si>
    <t>Moiz</t>
  </si>
  <si>
    <t>03432802631</t>
  </si>
  <si>
    <t>109</t>
  </si>
  <si>
    <t>Abdul Rauf</t>
  </si>
  <si>
    <t>03332277791</t>
  </si>
  <si>
    <t>110</t>
  </si>
  <si>
    <t>Atis Raza</t>
  </si>
  <si>
    <t xml:space="preserve"> 03434859319</t>
  </si>
  <si>
    <t>111</t>
  </si>
  <si>
    <t>Zohaib</t>
  </si>
  <si>
    <t>03351591331</t>
  </si>
  <si>
    <t>112</t>
  </si>
  <si>
    <t>Muhammad Sajjad</t>
  </si>
  <si>
    <t>03322053328</t>
  </si>
  <si>
    <t>Meeting Scheduled</t>
  </si>
  <si>
    <t>113</t>
  </si>
  <si>
    <t>03368147098</t>
  </si>
  <si>
    <t>114</t>
  </si>
  <si>
    <t>03116804458</t>
  </si>
  <si>
    <t>115</t>
  </si>
  <si>
    <t>Muhammad Zaki</t>
  </si>
  <si>
    <t>03153021125</t>
  </si>
  <si>
    <t>116</t>
  </si>
  <si>
    <t>Hashir Ahmed</t>
  </si>
  <si>
    <t xml:space="preserve"> 03163425398</t>
  </si>
  <si>
    <t>117</t>
  </si>
  <si>
    <t>Naveed Hussain</t>
  </si>
  <si>
    <t>03042780820</t>
  </si>
  <si>
    <t>118</t>
  </si>
  <si>
    <t xml:space="preserve"> 03328815495</t>
  </si>
  <si>
    <t>119</t>
  </si>
  <si>
    <t>03312887164</t>
  </si>
  <si>
    <t>120</t>
  </si>
  <si>
    <t>M ABID JAMAL</t>
  </si>
  <si>
    <t>03243358950</t>
  </si>
  <si>
    <t>121</t>
  </si>
  <si>
    <t>Ameer Ali</t>
  </si>
  <si>
    <t>03035433212</t>
  </si>
  <si>
    <t>122</t>
  </si>
  <si>
    <t>Imran Arbani</t>
  </si>
  <si>
    <t>03002772856</t>
  </si>
  <si>
    <t>123</t>
  </si>
  <si>
    <t>03092293987</t>
  </si>
  <si>
    <t>124</t>
  </si>
  <si>
    <t>03450888225</t>
  </si>
  <si>
    <t>125</t>
  </si>
  <si>
    <t>Ahmed Ali</t>
  </si>
  <si>
    <t>03023568926</t>
  </si>
  <si>
    <t>126</t>
  </si>
  <si>
    <t>Mahad</t>
  </si>
  <si>
    <t>03068602113</t>
  </si>
  <si>
    <t>127</t>
  </si>
  <si>
    <t>Asif Dewani</t>
  </si>
  <si>
    <t>03030292099</t>
  </si>
  <si>
    <t>128</t>
  </si>
  <si>
    <t>03452298802</t>
  </si>
  <si>
    <t>129</t>
  </si>
  <si>
    <t>Nawal Maqsood</t>
  </si>
  <si>
    <t>03097417806</t>
  </si>
  <si>
    <t>130</t>
  </si>
  <si>
    <t>Suria bano</t>
  </si>
  <si>
    <t>03128701632</t>
  </si>
  <si>
    <t>131</t>
  </si>
  <si>
    <t>Muhammad Taha</t>
  </si>
  <si>
    <t>03017569806</t>
  </si>
  <si>
    <t>132</t>
  </si>
  <si>
    <t>Muhammad Zubair</t>
  </si>
  <si>
    <t>03370480881</t>
  </si>
  <si>
    <t>133</t>
  </si>
  <si>
    <t>Zonaira Toquir</t>
  </si>
  <si>
    <t>03354458038</t>
  </si>
  <si>
    <t>134</t>
  </si>
  <si>
    <t>Yasir Ali</t>
  </si>
  <si>
    <t>03155878241</t>
  </si>
  <si>
    <t>135</t>
  </si>
  <si>
    <t>Ali Hasnain Raza</t>
  </si>
  <si>
    <t>03079535986</t>
  </si>
  <si>
    <t>136</t>
  </si>
  <si>
    <t>03034418831</t>
  </si>
  <si>
    <t>137</t>
  </si>
  <si>
    <t>Sheraz</t>
  </si>
  <si>
    <t>03133344222</t>
  </si>
  <si>
    <t>138</t>
  </si>
  <si>
    <r>
      <rPr>
        <rFont val="docs-Roboto"/>
        <color rgb="FF434343"/>
      </rPr>
      <t>22/8/2024</t>
    </r>
  </si>
  <si>
    <t>Munir abbas</t>
  </si>
  <si>
    <t xml:space="preserve"> 03095309384</t>
  </si>
  <si>
    <t>139</t>
  </si>
  <si>
    <r>
      <rPr>
        <rFont val="docs-Roboto"/>
        <color rgb="FF434343"/>
      </rPr>
      <t>22/8/2024</t>
    </r>
  </si>
  <si>
    <t>Zaryab</t>
  </si>
  <si>
    <t>03218829612</t>
  </si>
  <si>
    <t>140</t>
  </si>
  <si>
    <r>
      <rPr>
        <rFont val="docs-Roboto"/>
        <color rgb="FF434343"/>
      </rPr>
      <t>22/8/2024</t>
    </r>
  </si>
  <si>
    <t>M. raifique</t>
  </si>
  <si>
    <t>03144814303</t>
  </si>
  <si>
    <t>141</t>
  </si>
  <si>
    <r>
      <rPr>
        <rFont val="docs-Roboto"/>
        <color rgb="FF434343"/>
      </rPr>
      <t>22/8/2024</t>
    </r>
  </si>
  <si>
    <t>Saim Sohail</t>
  </si>
  <si>
    <t>03105469478</t>
  </si>
  <si>
    <t>142</t>
  </si>
  <si>
    <r>
      <rPr>
        <rFont val="docs-Roboto"/>
        <color rgb="FF434343"/>
      </rPr>
      <t>22/8/2024</t>
    </r>
  </si>
  <si>
    <t>03349817003</t>
  </si>
  <si>
    <t>143</t>
  </si>
  <si>
    <r>
      <rPr>
        <rFont val="docs-Roboto"/>
        <color rgb="FF434343"/>
      </rPr>
      <t>22/8/2024</t>
    </r>
  </si>
  <si>
    <t>03065161748</t>
  </si>
  <si>
    <t>144</t>
  </si>
  <si>
    <r>
      <rPr>
        <rFont val="docs-Roboto"/>
        <color rgb="FF434343"/>
      </rPr>
      <t>22/8/2024</t>
    </r>
  </si>
  <si>
    <t>03216226510</t>
  </si>
  <si>
    <t>145</t>
  </si>
  <si>
    <r>
      <rPr>
        <rFont val="docs-Roboto"/>
        <color rgb="FF434343"/>
      </rPr>
      <t>22/8/2024</t>
    </r>
  </si>
  <si>
    <t>03317771106</t>
  </si>
  <si>
    <t>146</t>
  </si>
  <si>
    <r>
      <rPr>
        <rFont val="docs-Roboto"/>
        <color rgb="FF434343"/>
      </rPr>
      <t>22/8/2024</t>
    </r>
  </si>
  <si>
    <t>03028545687</t>
  </si>
  <si>
    <t>147</t>
  </si>
  <si>
    <r>
      <rPr>
        <rFont val="docs-Roboto"/>
        <color rgb="FF434343"/>
      </rPr>
      <t>22/8/2024</t>
    </r>
  </si>
  <si>
    <t>03325201956</t>
  </si>
  <si>
    <t>148</t>
  </si>
  <si>
    <t>M. abdul rehman</t>
  </si>
  <si>
    <t>03088198840</t>
  </si>
  <si>
    <t>149</t>
  </si>
  <si>
    <r>
      <rPr>
        <rFont val="docs-Roboto"/>
        <color rgb="FF434343"/>
      </rPr>
      <t>22/8/2024</t>
    </r>
  </si>
  <si>
    <t>03465384338</t>
  </si>
  <si>
    <t>150</t>
  </si>
  <si>
    <r>
      <rPr>
        <rFont val="docs-Roboto"/>
        <color rgb="FF434343"/>
      </rPr>
      <t>22/8/2024</t>
    </r>
  </si>
  <si>
    <t>03130032400</t>
  </si>
  <si>
    <t>151</t>
  </si>
  <si>
    <r>
      <rPr>
        <rFont val="docs-Roboto"/>
        <color rgb="FF434343"/>
      </rPr>
      <t>22/8/2024</t>
    </r>
  </si>
  <si>
    <t>03204794095</t>
  </si>
  <si>
    <t>152</t>
  </si>
  <si>
    <t>Ahmed Usman</t>
  </si>
  <si>
    <t>03197147781</t>
  </si>
  <si>
    <t>153</t>
  </si>
  <si>
    <r>
      <rPr>
        <rFont val="docs-Roboto"/>
        <color rgb="FF434343"/>
      </rPr>
      <t>22/8/2024</t>
    </r>
  </si>
  <si>
    <t>Kanwal</t>
  </si>
  <si>
    <t>03224700404</t>
  </si>
  <si>
    <t>154</t>
  </si>
  <si>
    <r>
      <rPr>
        <rFont val="docs-Roboto"/>
        <color rgb="FF434343"/>
      </rPr>
      <t>22/8/2024</t>
    </r>
  </si>
  <si>
    <t>03338388381</t>
  </si>
  <si>
    <t>28/8/2024</t>
  </si>
  <si>
    <t>155</t>
  </si>
  <si>
    <r>
      <rPr>
        <rFont val="docs-Roboto"/>
        <color rgb="FF434343"/>
      </rPr>
      <t>22/8/2024</t>
    </r>
  </si>
  <si>
    <t>Abdullah Saeed</t>
  </si>
  <si>
    <t>03125881006</t>
  </si>
  <si>
    <t>156</t>
  </si>
  <si>
    <r>
      <rPr>
        <rFont val="docs-Roboto"/>
        <color rgb="FF434343"/>
      </rPr>
      <t>22/8/2024</t>
    </r>
  </si>
  <si>
    <t>Sajjad Hussain</t>
  </si>
  <si>
    <t xml:space="preserve"> 03555220098</t>
  </si>
  <si>
    <t>157</t>
  </si>
  <si>
    <r>
      <rPr>
        <rFont val="docs-Roboto"/>
        <color rgb="FF434343"/>
      </rPr>
      <t>22/8/2024</t>
    </r>
  </si>
  <si>
    <t>Zeeshan</t>
  </si>
  <si>
    <t>03366436507</t>
  </si>
  <si>
    <t>158</t>
  </si>
  <si>
    <r>
      <rPr>
        <rFont val="docs-Roboto"/>
        <color rgb="FF434343"/>
      </rPr>
      <t>22/8/2024</t>
    </r>
  </si>
  <si>
    <t>03250778829</t>
  </si>
  <si>
    <t>159</t>
  </si>
  <si>
    <r>
      <rPr>
        <rFont val="docs-Roboto"/>
        <color rgb="FF434343"/>
      </rPr>
      <t>22/8/2024</t>
    </r>
  </si>
  <si>
    <t>Malik zikriya</t>
  </si>
  <si>
    <t>03361052571</t>
  </si>
  <si>
    <t>160</t>
  </si>
  <si>
    <r>
      <rPr>
        <rFont val="docs-Roboto"/>
        <color rgb="FF434343"/>
      </rPr>
      <t>22/8/2024</t>
    </r>
  </si>
  <si>
    <t>Awais</t>
  </si>
  <si>
    <t>03365580860</t>
  </si>
  <si>
    <t>161</t>
  </si>
  <si>
    <r>
      <rPr>
        <rFont val="docs-Roboto"/>
        <color rgb="FF434343"/>
      </rPr>
      <t>22/8/2024</t>
    </r>
  </si>
  <si>
    <t>03347298324</t>
  </si>
  <si>
    <t>162</t>
  </si>
  <si>
    <r>
      <rPr>
        <rFont val="docs-Roboto"/>
        <color rgb="FF434343"/>
      </rPr>
      <t>22/8/2024</t>
    </r>
  </si>
  <si>
    <t xml:space="preserve"> 03355858678</t>
  </si>
  <si>
    <t>163</t>
  </si>
  <si>
    <r>
      <rPr>
        <rFont val="docs-Roboto"/>
        <color rgb="FF434343"/>
      </rPr>
      <t>22/8/2024</t>
    </r>
  </si>
  <si>
    <t>Irfan HAIDER</t>
  </si>
  <si>
    <t xml:space="preserve"> 03456205314</t>
  </si>
  <si>
    <t>164</t>
  </si>
  <si>
    <r>
      <rPr>
        <rFont val="docs-Roboto"/>
        <color rgb="FF434343"/>
      </rPr>
      <t>22/8/2024</t>
    </r>
  </si>
  <si>
    <t>Talal</t>
  </si>
  <si>
    <t>03090816548</t>
  </si>
  <si>
    <t>165</t>
  </si>
  <si>
    <r>
      <rPr>
        <rFont val="docs-Roboto"/>
        <color rgb="FF434343"/>
      </rPr>
      <t>22/8/2024</t>
    </r>
  </si>
  <si>
    <t>Khurram sajjad</t>
  </si>
  <si>
    <t xml:space="preserve"> 03348973686</t>
  </si>
  <si>
    <t>166</t>
  </si>
  <si>
    <r>
      <rPr>
        <rFont val="docs-Roboto"/>
        <color rgb="FF434343"/>
      </rPr>
      <t>22/8/2024</t>
    </r>
  </si>
  <si>
    <t>M.Umair Ayubi</t>
  </si>
  <si>
    <t>03208477353</t>
  </si>
  <si>
    <t>167</t>
  </si>
  <si>
    <r>
      <rPr>
        <rFont val="docs-Roboto"/>
        <color rgb="FF434343"/>
      </rPr>
      <t>22/8/2024</t>
    </r>
  </si>
  <si>
    <t>03354504324</t>
  </si>
  <si>
    <t>168</t>
  </si>
  <si>
    <r>
      <rPr>
        <rFont val="docs-Roboto"/>
        <color rgb="FF434343"/>
      </rPr>
      <t>22/8/2024</t>
    </r>
  </si>
  <si>
    <t>03160449434</t>
  </si>
  <si>
    <t>169</t>
  </si>
  <si>
    <r>
      <rPr>
        <rFont val="docs-Roboto"/>
        <color rgb="FF434343"/>
      </rPr>
      <t>22/8/2024</t>
    </r>
  </si>
  <si>
    <t>Muhammad Salman Shamim</t>
  </si>
  <si>
    <t>03498244324</t>
  </si>
  <si>
    <t>170</t>
  </si>
  <si>
    <r>
      <rPr>
        <rFont val="docs-Roboto"/>
        <color rgb="FF434343"/>
      </rPr>
      <t>22/8/2024</t>
    </r>
  </si>
  <si>
    <t>03288398920</t>
  </si>
  <si>
    <t>171</t>
  </si>
  <si>
    <r>
      <rPr>
        <rFont val="docs-Roboto"/>
        <color rgb="FF434343"/>
      </rPr>
      <t>22/8/2024</t>
    </r>
  </si>
  <si>
    <t>Abdullah Bin saeed</t>
  </si>
  <si>
    <t>03340542689</t>
  </si>
  <si>
    <t>172</t>
  </si>
  <si>
    <t>Taha</t>
  </si>
  <si>
    <t xml:space="preserve"> 03303691986</t>
  </si>
  <si>
    <t>173</t>
  </si>
  <si>
    <t>ALI</t>
  </si>
  <si>
    <t xml:space="preserve"> 03432010811</t>
  </si>
  <si>
    <t>174</t>
  </si>
  <si>
    <t xml:space="preserve"> 03315016920</t>
  </si>
  <si>
    <t>175</t>
  </si>
  <si>
    <t>Tayyab Tariq</t>
  </si>
  <si>
    <t>03334777489</t>
  </si>
  <si>
    <t>176</t>
  </si>
  <si>
    <t>Sher Alam Khan</t>
  </si>
  <si>
    <t>03430980311</t>
  </si>
  <si>
    <t>177</t>
  </si>
  <si>
    <r>
      <rPr>
        <rFont val="docs-Roboto"/>
        <color rgb="FF434343"/>
      </rPr>
      <t>23/8/2024</t>
    </r>
  </si>
  <si>
    <t>Aftab</t>
  </si>
  <si>
    <t>03234561229</t>
  </si>
  <si>
    <t>178</t>
  </si>
  <si>
    <r>
      <rPr>
        <rFont val="docs-Roboto"/>
        <color rgb="FF434343"/>
      </rPr>
      <t>23/8/2024</t>
    </r>
  </si>
  <si>
    <t>44 7417 470328</t>
  </si>
  <si>
    <t>179</t>
  </si>
  <si>
    <r>
      <rPr>
        <rFont val="docs-Roboto"/>
        <color rgb="FF434343"/>
      </rPr>
      <t>23/8/2024</t>
    </r>
  </si>
  <si>
    <t>03335004717</t>
  </si>
  <si>
    <t>180</t>
  </si>
  <si>
    <r>
      <rPr>
        <rFont val="docs-Roboto"/>
        <color rgb="FF434343"/>
      </rPr>
      <t>23/8/2024</t>
    </r>
  </si>
  <si>
    <t xml:space="preserve"> 03238735073</t>
  </si>
  <si>
    <t>181</t>
  </si>
  <si>
    <r>
      <rPr>
        <rFont val="docs-Roboto"/>
        <color rgb="FF434343"/>
      </rPr>
      <t>23/8/2024</t>
    </r>
  </si>
  <si>
    <t>Abid ansari</t>
  </si>
  <si>
    <t>03014240295</t>
  </si>
  <si>
    <t>182</t>
  </si>
  <si>
    <r>
      <rPr>
        <rFont val="docs-Roboto"/>
        <color rgb="FF434343"/>
      </rPr>
      <t>23/8/2024</t>
    </r>
  </si>
  <si>
    <t>03193942129</t>
  </si>
  <si>
    <t>183</t>
  </si>
  <si>
    <r>
      <rPr>
        <rFont val="docs-Roboto"/>
        <color rgb="FF434343"/>
      </rPr>
      <t>23/8/2024</t>
    </r>
  </si>
  <si>
    <t>Sheryar</t>
  </si>
  <si>
    <t>03313785595</t>
  </si>
  <si>
    <t>184</t>
  </si>
  <si>
    <r>
      <rPr>
        <rFont val="docs-Roboto"/>
        <color rgb="FF434343"/>
      </rPr>
      <t>23/8/2024</t>
    </r>
  </si>
  <si>
    <t>03330965919</t>
  </si>
  <si>
    <t>185</t>
  </si>
  <si>
    <r>
      <rPr>
        <rFont val="docs-Roboto"/>
        <color rgb="FF434343"/>
      </rPr>
      <t>23/8/2024</t>
    </r>
  </si>
  <si>
    <t>Muavia Rahman</t>
  </si>
  <si>
    <t xml:space="preserve"> 03134157386</t>
  </si>
  <si>
    <t>186</t>
  </si>
  <si>
    <r>
      <rPr>
        <rFont val="docs-Roboto"/>
        <color rgb="FF434343"/>
      </rPr>
      <t>23/8/2024</t>
    </r>
  </si>
  <si>
    <t>Waqar</t>
  </si>
  <si>
    <t>03436612688</t>
  </si>
  <si>
    <t>187</t>
  </si>
  <si>
    <r>
      <rPr>
        <rFont val="docs-Roboto"/>
        <color rgb="FF434343"/>
      </rPr>
      <t>23/8/2024</t>
    </r>
  </si>
  <si>
    <t>amna rahim</t>
  </si>
  <si>
    <t>03105899004</t>
  </si>
  <si>
    <t>188</t>
  </si>
  <si>
    <r>
      <rPr>
        <rFont val="docs-Roboto"/>
        <color rgb="FF434343"/>
      </rPr>
      <t>23/8/2024</t>
    </r>
  </si>
  <si>
    <t>Khuram shehzad</t>
  </si>
  <si>
    <t>03054708939</t>
  </si>
  <si>
    <t>189</t>
  </si>
  <si>
    <r>
      <rPr>
        <rFont val="docs-Roboto"/>
        <color rgb="FF434343"/>
      </rPr>
      <t>23/8/2024</t>
    </r>
  </si>
  <si>
    <t>yousaf</t>
  </si>
  <si>
    <t>03125710157</t>
  </si>
  <si>
    <t>190</t>
  </si>
  <si>
    <r>
      <rPr>
        <rFont val="docs-Roboto"/>
        <color rgb="FF434343"/>
      </rPr>
      <t>23/8/2024</t>
    </r>
  </si>
  <si>
    <t>Waqas</t>
  </si>
  <si>
    <t xml:space="preserve"> 03366066219</t>
  </si>
  <si>
    <t>191</t>
  </si>
  <si>
    <r>
      <rPr>
        <rFont val="docs-Roboto"/>
        <color rgb="FF434343"/>
      </rPr>
      <t>23/8/2024</t>
    </r>
  </si>
  <si>
    <t>Zehrish khan</t>
  </si>
  <si>
    <t>03369601722</t>
  </si>
  <si>
    <t>192</t>
  </si>
  <si>
    <r>
      <rPr>
        <rFont val="docs-Roboto"/>
        <color rgb="FF434343"/>
      </rPr>
      <t>23/8/2024</t>
    </r>
  </si>
  <si>
    <t>03352885531</t>
  </si>
  <si>
    <t>193</t>
  </si>
  <si>
    <r>
      <rPr>
        <rFont val="docs-Roboto"/>
        <color rgb="FF434343"/>
      </rPr>
      <t>23/8/2024</t>
    </r>
  </si>
  <si>
    <t>Huma Kalim</t>
  </si>
  <si>
    <t>03313195773</t>
  </si>
  <si>
    <t>194</t>
  </si>
  <si>
    <r>
      <rPr>
        <rFont val="docs-Roboto"/>
        <color rgb="FF434343"/>
      </rPr>
      <t>23/8/2024</t>
    </r>
  </si>
  <si>
    <t>Dr Saman Attiq</t>
  </si>
  <si>
    <t>03115144702</t>
  </si>
  <si>
    <t>195</t>
  </si>
  <si>
    <t>Amir</t>
  </si>
  <si>
    <t>03359096580</t>
  </si>
  <si>
    <t>196</t>
  </si>
  <si>
    <r>
      <rPr>
        <rFont val="Arial"/>
        <color rgb="FF000000"/>
      </rPr>
      <t>Awais ali</t>
    </r>
  </si>
  <si>
    <r>
      <rPr>
        <rFont val="Arial"/>
        <color rgb="FF000000"/>
      </rPr>
      <t>03079431923</t>
    </r>
  </si>
  <si>
    <r>
      <rPr>
        <rFont val="docs-Roboto"/>
        <color rgb="FF434343"/>
      </rPr>
      <t>23/8/2024</t>
    </r>
  </si>
  <si>
    <t>197</t>
  </si>
  <si>
    <r>
      <rPr>
        <rFont val="Arial"/>
        <color rgb="FF000000"/>
      </rPr>
      <t>Amir Javed</t>
    </r>
  </si>
  <si>
    <r>
      <rPr>
        <rFont val="Arial"/>
        <color rgb="FF000000"/>
      </rPr>
      <t>03426200066</t>
    </r>
  </si>
  <si>
    <t>198</t>
  </si>
  <si>
    <t>03243243423</t>
  </si>
  <si>
    <t>199</t>
  </si>
  <si>
    <t>26/8/2024</t>
  </si>
  <si>
    <t>Ali raza ashfaq</t>
  </si>
  <si>
    <t>03425776944</t>
  </si>
  <si>
    <t>200</t>
  </si>
  <si>
    <r>
      <rPr>
        <rFont val="docs-Roboto"/>
        <color rgb="FF434343"/>
      </rPr>
      <t>26/8/2024</t>
    </r>
  </si>
  <si>
    <t>03056730534</t>
  </si>
  <si>
    <t>29/8/2024</t>
  </si>
  <si>
    <t>201</t>
  </si>
  <si>
    <r>
      <rPr>
        <rFont val="docs-Roboto"/>
        <color rgb="FF434343"/>
      </rPr>
      <t>26/8/2024</t>
    </r>
  </si>
  <si>
    <t>03015944658</t>
  </si>
  <si>
    <t>202</t>
  </si>
  <si>
    <r>
      <rPr>
        <rFont val="docs-Roboto"/>
        <color rgb="FF434343"/>
      </rPr>
      <t>26/8/2024</t>
    </r>
  </si>
  <si>
    <t>0 3212120655</t>
  </si>
  <si>
    <t>203</t>
  </si>
  <si>
    <r>
      <rPr>
        <rFont val="docs-Roboto"/>
        <color rgb="FF434343"/>
      </rPr>
      <t>26/8/2024</t>
    </r>
  </si>
  <si>
    <t>03013363038</t>
  </si>
  <si>
    <t>204</t>
  </si>
  <si>
    <r>
      <rPr>
        <rFont val="docs-Roboto"/>
        <color rgb="FF434343"/>
      </rPr>
      <t>26/8/2024</t>
    </r>
  </si>
  <si>
    <t>Mustafa Ramzan</t>
  </si>
  <si>
    <t>03262067161</t>
  </si>
  <si>
    <t>205</t>
  </si>
  <si>
    <r>
      <rPr>
        <rFont val="docs-Roboto"/>
        <color rgb="FF434343"/>
      </rPr>
      <t>26/8/2024</t>
    </r>
  </si>
  <si>
    <t>Muhammad haseeb Khokhar</t>
  </si>
  <si>
    <t xml:space="preserve"> 03061657792</t>
  </si>
  <si>
    <t>206</t>
  </si>
  <si>
    <r>
      <rPr>
        <rFont val="docs-Roboto"/>
        <color rgb="FF434343"/>
      </rPr>
      <t>26/8/2024</t>
    </r>
  </si>
  <si>
    <t>03248456131</t>
  </si>
  <si>
    <t>207</t>
  </si>
  <si>
    <r>
      <rPr>
        <rFont val="docs-Roboto"/>
        <color rgb="FF434343"/>
      </rPr>
      <t>26/8/2024</t>
    </r>
  </si>
  <si>
    <t>03338443773</t>
  </si>
  <si>
    <t>208</t>
  </si>
  <si>
    <r>
      <rPr>
        <rFont val="docs-Roboto"/>
        <color rgb="FF434343"/>
      </rPr>
      <t>26/8/2024</t>
    </r>
  </si>
  <si>
    <t>Raja Shamas Zaman</t>
  </si>
  <si>
    <t xml:space="preserve"> 03415749308</t>
  </si>
  <si>
    <t>209</t>
  </si>
  <si>
    <r>
      <rPr>
        <rFont val="docs-Roboto"/>
        <color rgb="FF434343"/>
      </rPr>
      <t>26/8/2024</t>
    </r>
  </si>
  <si>
    <t>Rafiullah</t>
  </si>
  <si>
    <t>03083859258</t>
  </si>
  <si>
    <t>210</t>
  </si>
  <si>
    <r>
      <rPr>
        <rFont val="docs-Roboto"/>
        <color rgb="FF434343"/>
      </rPr>
      <t>26/8/2024</t>
    </r>
  </si>
  <si>
    <t>03035178059</t>
  </si>
  <si>
    <t>211</t>
  </si>
  <si>
    <r>
      <rPr>
        <rFont val="docs-Roboto"/>
        <color rgb="FF434343"/>
      </rPr>
      <t>26/8/2024</t>
    </r>
  </si>
  <si>
    <t>Mawra</t>
  </si>
  <si>
    <t>03239971247</t>
  </si>
  <si>
    <t>212</t>
  </si>
  <si>
    <r>
      <rPr>
        <rFont val="docs-Roboto"/>
        <color rgb="FF434343"/>
      </rPr>
      <t>26/8/2024</t>
    </r>
  </si>
  <si>
    <t>Rehman Raza</t>
  </si>
  <si>
    <t>03434590311</t>
  </si>
  <si>
    <t>213</t>
  </si>
  <si>
    <r>
      <rPr>
        <rFont val="docs-Roboto"/>
        <color rgb="FF434343"/>
      </rPr>
      <t>26/8/2024</t>
    </r>
  </si>
  <si>
    <t>0 3124996436</t>
  </si>
  <si>
    <t>214</t>
  </si>
  <si>
    <r>
      <rPr>
        <rFont val="docs-Roboto"/>
        <color rgb="FF434343"/>
      </rPr>
      <t>26/8/2024</t>
    </r>
  </si>
  <si>
    <t>HASSAN ALI</t>
  </si>
  <si>
    <t>03313004048</t>
  </si>
  <si>
    <t>215</t>
  </si>
  <si>
    <r>
      <rPr>
        <rFont val="docs-Roboto"/>
        <color rgb="FF434343"/>
      </rPr>
      <t>26/8/2024</t>
    </r>
  </si>
  <si>
    <t>03219847433</t>
  </si>
  <si>
    <t>216</t>
  </si>
  <si>
    <r>
      <rPr>
        <rFont val="docs-Roboto"/>
        <color rgb="FF434343"/>
      </rPr>
      <t>26/8/2024</t>
    </r>
  </si>
  <si>
    <t>03154739940</t>
  </si>
  <si>
    <t>217</t>
  </si>
  <si>
    <r>
      <rPr>
        <rFont val="docs-Roboto"/>
        <color rgb="FF434343"/>
      </rPr>
      <t>26/8/2024</t>
    </r>
  </si>
  <si>
    <t>03312712608</t>
  </si>
  <si>
    <t>218</t>
  </si>
  <si>
    <r>
      <rPr>
        <rFont val="docs-Roboto"/>
        <color rgb="FF434343"/>
      </rPr>
      <t>26/8/2024</t>
    </r>
  </si>
  <si>
    <t>Zubair Aslam</t>
  </si>
  <si>
    <t>03337465722</t>
  </si>
  <si>
    <t>219</t>
  </si>
  <si>
    <r>
      <rPr>
        <rFont val="docs-Roboto"/>
        <color rgb="FF434343"/>
      </rPr>
      <t>26/8/2024</t>
    </r>
  </si>
  <si>
    <t>Rizwana Yasmeen</t>
  </si>
  <si>
    <t>03127397643</t>
  </si>
  <si>
    <t>220</t>
  </si>
  <si>
    <r>
      <rPr>
        <rFont val="docs-Roboto"/>
        <color rgb="FF434343"/>
      </rPr>
      <t>26/8/2024</t>
    </r>
  </si>
  <si>
    <t>03185352580</t>
  </si>
  <si>
    <t>221</t>
  </si>
  <si>
    <r>
      <rPr>
        <rFont val="docs-Roboto"/>
        <color rgb="FF434343"/>
      </rPr>
      <t>26/8/2024</t>
    </r>
  </si>
  <si>
    <t>03083728875</t>
  </si>
  <si>
    <t>222</t>
  </si>
  <si>
    <r>
      <rPr>
        <rFont val="docs-Roboto"/>
        <color rgb="FF434343"/>
      </rPr>
      <t>26/8/2024</t>
    </r>
  </si>
  <si>
    <t xml:space="preserve"> 03339465292</t>
  </si>
  <si>
    <t>223</t>
  </si>
  <si>
    <r>
      <rPr>
        <rFont val="docs-Roboto"/>
        <color rgb="FF434343"/>
      </rPr>
      <t>26/8/2024</t>
    </r>
  </si>
  <si>
    <t>03098795254</t>
  </si>
  <si>
    <t>224</t>
  </si>
  <si>
    <r>
      <rPr>
        <rFont val="docs-Roboto"/>
        <color rgb="FF434343"/>
      </rPr>
      <t>26/8/2024</t>
    </r>
  </si>
  <si>
    <t>03455556248</t>
  </si>
  <si>
    <t>225</t>
  </si>
  <si>
    <r>
      <rPr>
        <rFont val="docs-Roboto"/>
        <color rgb="FF434343"/>
      </rPr>
      <t>26/8/2024</t>
    </r>
  </si>
  <si>
    <t xml:space="preserve"> 03337113012</t>
  </si>
  <si>
    <t>226</t>
  </si>
  <si>
    <r>
      <rPr>
        <rFont val="docs-Roboto"/>
        <color rgb="FF434343"/>
      </rPr>
      <t>26/8/2024</t>
    </r>
  </si>
  <si>
    <t>03421865871</t>
  </si>
  <si>
    <t>227</t>
  </si>
  <si>
    <r>
      <rPr>
        <rFont val="docs-Roboto"/>
        <color rgb="FF434343"/>
      </rPr>
      <t>26/8/2024</t>
    </r>
  </si>
  <si>
    <t>Narendar Puri Goswami</t>
  </si>
  <si>
    <t>03101327804</t>
  </si>
  <si>
    <t>228</t>
  </si>
  <si>
    <r>
      <rPr>
        <rFont val="docs-Roboto"/>
        <color rgb="FF434343"/>
      </rPr>
      <t>26/8/2024</t>
    </r>
  </si>
  <si>
    <t>03059377010</t>
  </si>
  <si>
    <t>30/8/2024</t>
  </si>
  <si>
    <t>229</t>
  </si>
  <si>
    <r>
      <rPr>
        <rFont val="docs-Roboto"/>
        <color rgb="FF434343"/>
      </rPr>
      <t>26/8/2024</t>
    </r>
  </si>
  <si>
    <t>03335232246</t>
  </si>
  <si>
    <t>230</t>
  </si>
  <si>
    <r>
      <rPr>
        <rFont val="docs-Roboto"/>
        <color rgb="FF434343"/>
      </rPr>
      <t>26/8/2024</t>
    </r>
  </si>
  <si>
    <t>Ahsan Javed</t>
  </si>
  <si>
    <t>03335212746</t>
  </si>
  <si>
    <t>231</t>
  </si>
  <si>
    <r>
      <rPr>
        <rFont val="docs-Roboto"/>
        <color rgb="FF434343"/>
      </rPr>
      <t>26/8/2024</t>
    </r>
  </si>
  <si>
    <t>03314849534</t>
  </si>
  <si>
    <t>232</t>
  </si>
  <si>
    <r>
      <rPr>
        <rFont val="docs-Roboto"/>
        <color rgb="FF434343"/>
      </rPr>
      <t>26/8/2024</t>
    </r>
  </si>
  <si>
    <t>03340581938</t>
  </si>
  <si>
    <t>233</t>
  </si>
  <si>
    <r>
      <rPr>
        <rFont val="docs-Roboto"/>
        <color rgb="FF434343"/>
      </rPr>
      <t>26/8/2024</t>
    </r>
  </si>
  <si>
    <t>03277880788</t>
  </si>
  <si>
    <t>234</t>
  </si>
  <si>
    <r>
      <rPr>
        <rFont val="docs-Roboto"/>
        <color rgb="FF434343"/>
      </rPr>
      <t>26/8/2024</t>
    </r>
  </si>
  <si>
    <t>Abubakr</t>
  </si>
  <si>
    <t xml:space="preserve"> 03167808430</t>
  </si>
  <si>
    <t>235</t>
  </si>
  <si>
    <r>
      <rPr>
        <rFont val="docs-Roboto"/>
        <color rgb="FF434343"/>
      </rPr>
      <t>26/8/2024</t>
    </r>
  </si>
  <si>
    <t>Zain Chadhar</t>
  </si>
  <si>
    <t>03142912278</t>
  </si>
  <si>
    <t>236</t>
  </si>
  <si>
    <r>
      <rPr>
        <rFont val="docs-Roboto"/>
        <color rgb="FF434343"/>
      </rPr>
      <t>26/8/2024</t>
    </r>
  </si>
  <si>
    <t>Muhammad Talha</t>
  </si>
  <si>
    <t>03224276703</t>
  </si>
  <si>
    <t>237</t>
  </si>
  <si>
    <r>
      <rPr>
        <rFont val="docs-Roboto"/>
        <color rgb="FF434343"/>
      </rPr>
      <t>26/8/2024</t>
    </r>
  </si>
  <si>
    <t>M.Ali</t>
  </si>
  <si>
    <t>03335978962</t>
  </si>
  <si>
    <t>238</t>
  </si>
  <si>
    <r>
      <rPr>
        <rFont val="docs-Roboto"/>
        <color rgb="FF434343"/>
      </rPr>
      <t>26/8/2024</t>
    </r>
  </si>
  <si>
    <t>Ameer Hamza</t>
  </si>
  <si>
    <t>03014488034</t>
  </si>
  <si>
    <t>239</t>
  </si>
  <si>
    <r>
      <rPr>
        <rFont val="docs-Roboto"/>
        <color rgb="FF434343"/>
      </rPr>
      <t>26/8/2024</t>
    </r>
  </si>
  <si>
    <t xml:space="preserve"> 03260154239</t>
  </si>
  <si>
    <t>240</t>
  </si>
  <si>
    <r>
      <rPr>
        <rFont val="docs-Roboto"/>
        <color rgb="FF434343"/>
      </rPr>
      <t>26/8/2024</t>
    </r>
  </si>
  <si>
    <t xml:space="preserve">Asma </t>
  </si>
  <si>
    <t>03015481027</t>
  </si>
  <si>
    <t>241</t>
  </si>
  <si>
    <r>
      <rPr>
        <rFont val="docs-Roboto"/>
        <color rgb="FF434343"/>
      </rPr>
      <t>26/8/2024</t>
    </r>
  </si>
  <si>
    <r>
      <rPr>
        <rFont val="Arial"/>
        <color rgb="FF000000"/>
      </rPr>
      <t>Ahsan Jawaad</t>
    </r>
  </si>
  <si>
    <t>03005654549</t>
  </si>
  <si>
    <t>242</t>
  </si>
  <si>
    <r>
      <rPr>
        <rFont val="docs-Roboto"/>
        <color rgb="FF434343"/>
      </rPr>
      <t>26/8/2024</t>
    </r>
  </si>
  <si>
    <t>Kamran</t>
  </si>
  <si>
    <t>03128961514</t>
  </si>
  <si>
    <t>243</t>
  </si>
  <si>
    <r>
      <rPr>
        <rFont val="docs-Roboto"/>
        <color rgb="FF434343"/>
      </rPr>
      <t>26/8/2024</t>
    </r>
  </si>
  <si>
    <t xml:space="preserve"> 03127841144</t>
  </si>
  <si>
    <t>244</t>
  </si>
  <si>
    <t>Zaheer</t>
  </si>
  <si>
    <t>03007003618</t>
  </si>
  <si>
    <t>245</t>
  </si>
  <si>
    <r>
      <rPr>
        <rFont val="docs-Roboto"/>
        <color rgb="FF434343"/>
      </rPr>
      <t>26/8/2024</t>
    </r>
  </si>
  <si>
    <t>ArfanShahzad</t>
  </si>
  <si>
    <t>03214351696</t>
  </si>
  <si>
    <t>246</t>
  </si>
  <si>
    <r>
      <rPr>
        <rFont val="docs-Roboto"/>
        <color rgb="FF434343"/>
      </rPr>
      <t>26/8/2024</t>
    </r>
  </si>
  <si>
    <t>Hamzah</t>
  </si>
  <si>
    <t>03293995000</t>
  </si>
  <si>
    <t>247</t>
  </si>
  <si>
    <r>
      <rPr>
        <rFont val="docs-Roboto"/>
        <color rgb="FF434343"/>
      </rPr>
      <t>26/8/2024</t>
    </r>
  </si>
  <si>
    <t>03176800806</t>
  </si>
  <si>
    <t>248</t>
  </si>
  <si>
    <r>
      <rPr>
        <rFont val="docs-Roboto"/>
        <color rgb="FF434343"/>
      </rPr>
      <t>26/8/2024</t>
    </r>
  </si>
  <si>
    <t>Jauhartaj</t>
  </si>
  <si>
    <t>03365777768</t>
  </si>
  <si>
    <t>249</t>
  </si>
  <si>
    <r>
      <rPr>
        <rFont val="docs-Roboto"/>
        <color rgb="FF434343"/>
      </rPr>
      <t>26/8/2024</t>
    </r>
  </si>
  <si>
    <t>Menahil</t>
  </si>
  <si>
    <t>03046836566</t>
  </si>
  <si>
    <t>250</t>
  </si>
  <si>
    <t>Sajid Badiuzzaman</t>
  </si>
  <si>
    <t>0321 5387194</t>
  </si>
  <si>
    <t>251</t>
  </si>
  <si>
    <t>03178034181</t>
  </si>
  <si>
    <t>252</t>
  </si>
  <si>
    <t>Ali hamza</t>
  </si>
  <si>
    <t>03044536361</t>
  </si>
  <si>
    <t>253</t>
  </si>
  <si>
    <t>03094610204</t>
  </si>
  <si>
    <t>254</t>
  </si>
  <si>
    <t>03044585330</t>
  </si>
  <si>
    <t>255</t>
  </si>
  <si>
    <t>03220253205</t>
  </si>
  <si>
    <t>256</t>
  </si>
  <si>
    <t>M. Ibraheem</t>
  </si>
  <si>
    <t>03331977590</t>
  </si>
  <si>
    <t>257</t>
  </si>
  <si>
    <t>03202839225</t>
  </si>
  <si>
    <t>258</t>
  </si>
  <si>
    <r>
      <rPr>
        <rFont val="docs-Roboto"/>
        <color rgb="FF434343"/>
      </rPr>
      <t>27/8/2024</t>
    </r>
  </si>
  <si>
    <t>Anela</t>
  </si>
  <si>
    <t>03125908956</t>
  </si>
  <si>
    <t>259</t>
  </si>
  <si>
    <r>
      <rPr>
        <rFont val="docs-Roboto"/>
        <color rgb="FF434343"/>
      </rPr>
      <t>27/8/2024</t>
    </r>
  </si>
  <si>
    <t>Saad Ahmad</t>
  </si>
  <si>
    <t>03269600664</t>
  </si>
  <si>
    <t>260</t>
  </si>
  <si>
    <r>
      <rPr>
        <rFont val="docs-Roboto"/>
        <color rgb="FF434343"/>
      </rPr>
      <t>27/8/2024</t>
    </r>
  </si>
  <si>
    <t>Saleha</t>
  </si>
  <si>
    <t>03065151694</t>
  </si>
  <si>
    <t>261</t>
  </si>
  <si>
    <r>
      <rPr>
        <rFont val="docs-Roboto"/>
        <color rgb="FF434343"/>
      </rPr>
      <t>27/8/2024</t>
    </r>
  </si>
  <si>
    <t>Muhammad Tahir Mehmood</t>
  </si>
  <si>
    <t>03214426426</t>
  </si>
  <si>
    <t>262</t>
  </si>
  <si>
    <r>
      <rPr>
        <rFont val="docs-Roboto"/>
        <color rgb="FF434343"/>
      </rPr>
      <t>27/8/2024</t>
    </r>
  </si>
  <si>
    <t>03254600836</t>
  </si>
  <si>
    <t>263</t>
  </si>
  <si>
    <r>
      <rPr>
        <rFont val="docs-Roboto"/>
        <color rgb="FF434343"/>
      </rPr>
      <t>27/8/2024</t>
    </r>
  </si>
  <si>
    <t>03160089786</t>
  </si>
  <si>
    <t>264</t>
  </si>
  <si>
    <r>
      <rPr>
        <rFont val="docs-Roboto"/>
        <color rgb="FF434343"/>
      </rPr>
      <t>27/8/2024</t>
    </r>
  </si>
  <si>
    <t>03015101590</t>
  </si>
  <si>
    <t>265</t>
  </si>
  <si>
    <r>
      <rPr>
        <rFont val="docs-Roboto"/>
        <color rgb="FF434343"/>
      </rPr>
      <t>27/8/2024</t>
    </r>
  </si>
  <si>
    <t>03212548613</t>
  </si>
  <si>
    <t>266</t>
  </si>
  <si>
    <r>
      <rPr>
        <rFont val="docs-Roboto"/>
        <color rgb="FF434343"/>
      </rPr>
      <t>27/8/2024</t>
    </r>
  </si>
  <si>
    <t>03166684564</t>
  </si>
  <si>
    <t>267</t>
  </si>
  <si>
    <r>
      <rPr>
        <rFont val="docs-Roboto"/>
        <color rgb="FF434343"/>
      </rPr>
      <t>27/8/2024</t>
    </r>
  </si>
  <si>
    <t>Samman</t>
  </si>
  <si>
    <t>03105380603</t>
  </si>
  <si>
    <t>268</t>
  </si>
  <si>
    <r>
      <rPr>
        <rFont val="docs-Roboto"/>
        <color rgb="FF434343"/>
      </rPr>
      <t>27/8/2024</t>
    </r>
  </si>
  <si>
    <t>Nimra</t>
  </si>
  <si>
    <t>03276572126</t>
  </si>
  <si>
    <t>269</t>
  </si>
  <si>
    <t>03240581898</t>
  </si>
  <si>
    <t>270</t>
  </si>
  <si>
    <t>0345 3152594</t>
  </si>
  <si>
    <t>271</t>
  </si>
  <si>
    <t>Ghulamrasool</t>
  </si>
  <si>
    <t>03460461810</t>
  </si>
  <si>
    <t>272</t>
  </si>
  <si>
    <t>Afnan Ahmed</t>
  </si>
  <si>
    <t>03068933191</t>
  </si>
  <si>
    <t>273</t>
  </si>
  <si>
    <t>usama touqeer</t>
  </si>
  <si>
    <t>03104231387</t>
  </si>
  <si>
    <t>274</t>
  </si>
  <si>
    <t xml:space="preserve"> 03002185198</t>
  </si>
  <si>
    <t>275</t>
  </si>
  <si>
    <t>03064393055</t>
  </si>
  <si>
    <t>276</t>
  </si>
  <si>
    <r>
      <rPr>
        <rFont val="docs-Roboto"/>
        <color rgb="FF000000"/>
      </rPr>
      <t>Nabeel Arshad</t>
    </r>
  </si>
  <si>
    <t>03000131365</t>
  </si>
  <si>
    <t>277</t>
  </si>
  <si>
    <t>03705751708</t>
  </si>
  <si>
    <t>278</t>
  </si>
  <si>
    <r>
      <rPr>
        <rFont val="docs-Roboto"/>
        <color rgb="FF434343"/>
      </rPr>
      <t>28/8/2024</t>
    </r>
  </si>
  <si>
    <t>Fahad</t>
  </si>
  <si>
    <t>03332734688</t>
  </si>
  <si>
    <t>279</t>
  </si>
  <si>
    <r>
      <rPr>
        <rFont val="docs-Roboto"/>
        <color rgb="FF434343"/>
      </rPr>
      <t>28/8/2024</t>
    </r>
  </si>
  <si>
    <t>03402032789</t>
  </si>
  <si>
    <t>280</t>
  </si>
  <si>
    <r>
      <rPr>
        <rFont val="docs-Roboto"/>
        <color rgb="FF434343"/>
      </rPr>
      <t>28/8/2024</t>
    </r>
  </si>
  <si>
    <t>03053807508</t>
  </si>
  <si>
    <t>281</t>
  </si>
  <si>
    <r>
      <rPr>
        <rFont val="docs-Roboto"/>
        <color rgb="FF434343"/>
      </rPr>
      <t>28/8/2024</t>
    </r>
  </si>
  <si>
    <t>03255754336</t>
  </si>
  <si>
    <t>282</t>
  </si>
  <si>
    <r>
      <rPr>
        <rFont val="docs-Roboto"/>
        <color rgb="FF434343"/>
      </rPr>
      <t>28/8/2024</t>
    </r>
  </si>
  <si>
    <t>03166950257</t>
  </si>
  <si>
    <t>283</t>
  </si>
  <si>
    <r>
      <rPr>
        <rFont val="docs-Roboto"/>
        <color rgb="FF434343"/>
      </rPr>
      <t>28/8/2024</t>
    </r>
  </si>
  <si>
    <t>Yamn kashif</t>
  </si>
  <si>
    <t>03134442930</t>
  </si>
  <si>
    <t>Next batch</t>
  </si>
  <si>
    <t>284</t>
  </si>
  <si>
    <r>
      <rPr>
        <rFont val="docs-Roboto"/>
        <color rgb="FF434343"/>
      </rPr>
      <t>28/8/2024</t>
    </r>
  </si>
  <si>
    <t>Mustansar</t>
  </si>
  <si>
    <t>03415844220</t>
  </si>
  <si>
    <t>285</t>
  </si>
  <si>
    <r>
      <rPr>
        <rFont val="docs-Roboto"/>
        <color rgb="FF434343"/>
      </rPr>
      <t>28/8/2024</t>
    </r>
  </si>
  <si>
    <t>Faheem Mujtaba</t>
  </si>
  <si>
    <t>03002756151</t>
  </si>
  <si>
    <t>286</t>
  </si>
  <si>
    <r>
      <rPr>
        <rFont val="docs-Roboto"/>
        <color rgb="FF434343"/>
      </rPr>
      <t>28/8/2024</t>
    </r>
  </si>
  <si>
    <t>03180439229</t>
  </si>
  <si>
    <t>287</t>
  </si>
  <si>
    <r>
      <rPr>
        <rFont val="docs-Roboto"/>
        <color rgb="FF434343"/>
      </rPr>
      <t>28/8/2024</t>
    </r>
  </si>
  <si>
    <t>03005182432</t>
  </si>
  <si>
    <t>288</t>
  </si>
  <si>
    <r>
      <rPr>
        <rFont val="docs-Roboto"/>
        <color rgb="FF434343"/>
      </rPr>
      <t>28/8/2024</t>
    </r>
  </si>
  <si>
    <t>Saad  mubeen</t>
  </si>
  <si>
    <t>03227244907</t>
  </si>
  <si>
    <t>289</t>
  </si>
  <si>
    <t>03139360909</t>
  </si>
  <si>
    <t>290</t>
  </si>
  <si>
    <t>03367498202</t>
  </si>
  <si>
    <t>291</t>
  </si>
  <si>
    <t>03156365300</t>
  </si>
  <si>
    <t>292</t>
  </si>
  <si>
    <r>
      <rPr>
        <rFont val="docs-Roboto"/>
        <color rgb="FF434343"/>
      </rPr>
      <t>29/8/2024</t>
    </r>
  </si>
  <si>
    <t>03334917670</t>
  </si>
  <si>
    <t>293</t>
  </si>
  <si>
    <r>
      <rPr>
        <rFont val="docs-Roboto"/>
        <color rgb="FF434343"/>
      </rPr>
      <t>29/8/2024</t>
    </r>
  </si>
  <si>
    <t>44 20 3239 8484</t>
  </si>
  <si>
    <t>294</t>
  </si>
  <si>
    <r>
      <rPr>
        <rFont val="docs-Roboto"/>
        <color rgb="FF434343"/>
      </rPr>
      <t>29/8/2024</t>
    </r>
  </si>
  <si>
    <t xml:space="preserve"> 03362087351</t>
  </si>
  <si>
    <t>295</t>
  </si>
  <si>
    <r>
      <rPr>
        <rFont val="docs-Roboto"/>
        <color rgb="FF434343"/>
      </rPr>
      <t>29/8/2024</t>
    </r>
  </si>
  <si>
    <t xml:space="preserve"> 03005048479</t>
  </si>
  <si>
    <t>296</t>
  </si>
  <si>
    <r>
      <rPr>
        <rFont val="docs-Roboto"/>
        <color rgb="FF434343"/>
      </rPr>
      <t>29/8/2024</t>
    </r>
  </si>
  <si>
    <t>03499905047</t>
  </si>
  <si>
    <t>297</t>
  </si>
  <si>
    <r>
      <rPr>
        <rFont val="docs-Roboto"/>
        <color rgb="FF434343"/>
      </rPr>
      <t>29/8/2024</t>
    </r>
  </si>
  <si>
    <t>03348644824</t>
  </si>
  <si>
    <t>298</t>
  </si>
  <si>
    <r>
      <rPr>
        <rFont val="docs-Roboto"/>
        <color rgb="FF434343"/>
      </rPr>
      <t>29/8/2024</t>
    </r>
  </si>
  <si>
    <t>Atif</t>
  </si>
  <si>
    <t>03333952418</t>
  </si>
  <si>
    <t>299</t>
  </si>
  <si>
    <r>
      <rPr>
        <rFont val="docs-Roboto"/>
        <color rgb="FF434343"/>
      </rPr>
      <t>29/8/2024</t>
    </r>
  </si>
  <si>
    <t>Sajjad</t>
  </si>
  <si>
    <t>03459110999</t>
  </si>
  <si>
    <t>300</t>
  </si>
  <si>
    <r>
      <rPr>
        <rFont val="docs-Roboto"/>
        <color rgb="FF434343"/>
      </rPr>
      <t>29/8/2024</t>
    </r>
  </si>
  <si>
    <t>Ajmal Elahi</t>
  </si>
  <si>
    <t>300 5633635</t>
  </si>
  <si>
    <t>301</t>
  </si>
  <si>
    <t>Riaz</t>
  </si>
  <si>
    <t>03082323230</t>
  </si>
  <si>
    <t>302</t>
  </si>
  <si>
    <t>Sahahab Ahmed</t>
  </si>
  <si>
    <t>03078786833</t>
  </si>
  <si>
    <t>303</t>
  </si>
  <si>
    <t>03275957683</t>
  </si>
  <si>
    <t>304</t>
  </si>
  <si>
    <r>
      <rPr>
        <rFont val="docs-Roboto"/>
        <color rgb="FF434343"/>
      </rPr>
      <t>30/8/2024</t>
    </r>
  </si>
  <si>
    <t>03024948740</t>
  </si>
  <si>
    <t>305</t>
  </si>
  <si>
    <r>
      <rPr>
        <rFont val="docs-Roboto"/>
        <color rgb="FF434343"/>
      </rPr>
      <t>30/8/2024</t>
    </r>
  </si>
  <si>
    <t>03347558378</t>
  </si>
  <si>
    <t>306</t>
  </si>
  <si>
    <r>
      <rPr>
        <rFont val="docs-Roboto"/>
        <color rgb="FF434343"/>
      </rPr>
      <t>30/8/2024</t>
    </r>
  </si>
  <si>
    <t>03045644323</t>
  </si>
  <si>
    <t>307</t>
  </si>
  <si>
    <r>
      <rPr>
        <rFont val="docs-Roboto"/>
        <color rgb="FF434343"/>
      </rPr>
      <t>30/8/2024</t>
    </r>
  </si>
  <si>
    <t>Nasreen</t>
  </si>
  <si>
    <t>03274471259</t>
  </si>
  <si>
    <t>308</t>
  </si>
  <si>
    <r>
      <rPr>
        <rFont val="docs-Roboto"/>
        <color rgb="FF434343"/>
      </rPr>
      <t>30/8/2024</t>
    </r>
  </si>
  <si>
    <t>03326332239</t>
  </si>
  <si>
    <t>309</t>
  </si>
  <si>
    <r>
      <rPr>
        <rFont val="docs-Roboto"/>
        <color rgb="FF434343"/>
      </rPr>
      <t>30/8/2024</t>
    </r>
  </si>
  <si>
    <t>03353948811</t>
  </si>
  <si>
    <t>310</t>
  </si>
  <si>
    <r>
      <rPr>
        <rFont val="docs-Roboto"/>
        <color rgb="FF434343"/>
      </rPr>
      <t>30/8/2024</t>
    </r>
  </si>
  <si>
    <r>
      <rPr>
        <rFont val="docs-Roboto"/>
        <color rgb="FF434343"/>
      </rPr>
      <t>Bansi Malhi</t>
    </r>
  </si>
  <si>
    <t>03453842990</t>
  </si>
  <si>
    <t>311</t>
  </si>
  <si>
    <r>
      <rPr>
        <rFont val="docs-Roboto"/>
        <color rgb="FF434343"/>
      </rPr>
      <t>30/8/2024</t>
    </r>
  </si>
  <si>
    <t>03116928077</t>
  </si>
  <si>
    <t>312</t>
  </si>
  <si>
    <r>
      <rPr>
        <rFont val="docs-Roboto"/>
        <color rgb="FF434343"/>
      </rPr>
      <t>30/8/2024</t>
    </r>
  </si>
  <si>
    <t>Mansoor</t>
  </si>
  <si>
    <t>03401198998</t>
  </si>
  <si>
    <t>313</t>
  </si>
  <si>
    <r>
      <rPr>
        <rFont val="docs-Roboto"/>
        <color rgb="FF434343"/>
      </rPr>
      <t>30/8/2024</t>
    </r>
  </si>
  <si>
    <t xml:space="preserve"> 03335143430</t>
  </si>
  <si>
    <t>314</t>
  </si>
  <si>
    <r>
      <rPr>
        <rFont val="docs-Roboto"/>
        <color rgb="FF434343"/>
      </rPr>
      <t>30/8/2024</t>
    </r>
  </si>
  <si>
    <t>03002503779</t>
  </si>
  <si>
    <t>315</t>
  </si>
  <si>
    <r>
      <rPr>
        <rFont val="docs-Roboto"/>
        <color rgb="FF434343"/>
      </rPr>
      <t>30/8/2024</t>
    </r>
  </si>
  <si>
    <t>03105601818</t>
  </si>
  <si>
    <t>316</t>
  </si>
  <si>
    <r>
      <rPr>
        <rFont val="docs-Roboto"/>
        <color rgb="FF434343"/>
      </rPr>
      <t>30/8/2024</t>
    </r>
  </si>
  <si>
    <t>03409139331</t>
  </si>
  <si>
    <t>317</t>
  </si>
  <si>
    <r>
      <rPr>
        <rFont val="docs-Roboto"/>
        <color rgb="FF434343"/>
      </rPr>
      <t>30/8/2024</t>
    </r>
  </si>
  <si>
    <t>Khurram shahzad</t>
  </si>
  <si>
    <t>03008044723</t>
  </si>
  <si>
    <t>318</t>
  </si>
  <si>
    <r>
      <rPr>
        <rFont val="docs-Roboto"/>
        <color rgb="FF434343"/>
      </rPr>
      <t>30/8/2024</t>
    </r>
  </si>
  <si>
    <t>Marium Fatima</t>
  </si>
  <si>
    <t>03032549694</t>
  </si>
  <si>
    <t>319</t>
  </si>
  <si>
    <r>
      <rPr>
        <rFont val="docs-Roboto"/>
        <color rgb="FF434343"/>
      </rPr>
      <t>30/8/2024</t>
    </r>
  </si>
  <si>
    <t>Moazam Ali Khan</t>
  </si>
  <si>
    <t>03234857234</t>
  </si>
  <si>
    <t>320</t>
  </si>
  <si>
    <r>
      <rPr>
        <rFont val="docs-Roboto"/>
        <color rgb="FF434343"/>
      </rPr>
      <t>30/8/2024</t>
    </r>
  </si>
  <si>
    <t xml:space="preserve"> 03142234550</t>
  </si>
  <si>
    <t>321</t>
  </si>
  <si>
    <r>
      <rPr>
        <rFont val="docs-Roboto"/>
        <color rgb="FF434343"/>
      </rPr>
      <t>30/8/2024</t>
    </r>
  </si>
  <si>
    <t>Shaheen</t>
  </si>
  <si>
    <t>03353272325</t>
  </si>
  <si>
    <t>322</t>
  </si>
  <si>
    <r>
      <rPr>
        <rFont val="docs-Roboto"/>
        <color rgb="FF434343"/>
      </rPr>
      <t>30/8/2024</t>
    </r>
  </si>
  <si>
    <t>966 56 787 3002</t>
  </si>
  <si>
    <t>323</t>
  </si>
  <si>
    <r>
      <rPr>
        <rFont val="docs-Roboto"/>
        <color rgb="FF434343"/>
      </rPr>
      <t>30/8/2024</t>
    </r>
  </si>
  <si>
    <t>Dr. Shahan Zeb Khan</t>
  </si>
  <si>
    <t>03339737496</t>
  </si>
  <si>
    <t>324</t>
  </si>
  <si>
    <r>
      <rPr>
        <rFont val="docs-Roboto"/>
        <color rgb="FF434343"/>
      </rPr>
      <t>30/8/2024</t>
    </r>
  </si>
  <si>
    <t xml:space="preserve">Imran </t>
  </si>
  <si>
    <t>03214215484</t>
  </si>
  <si>
    <t>325</t>
  </si>
  <si>
    <r>
      <rPr>
        <rFont val="docs-Roboto"/>
        <color rgb="FF434343"/>
      </rPr>
      <t>30/8/2024</t>
    </r>
  </si>
  <si>
    <t xml:space="preserve">Faryal </t>
  </si>
  <si>
    <t>03158472563</t>
  </si>
  <si>
    <t>326</t>
  </si>
  <si>
    <r>
      <rPr>
        <rFont val="docs-Roboto"/>
        <color rgb="FF434343"/>
      </rPr>
      <t>30/8/2024</t>
    </r>
  </si>
  <si>
    <t>03476766087</t>
  </si>
  <si>
    <t>327</t>
  </si>
  <si>
    <r>
      <rPr>
        <rFont val="docs-Roboto"/>
        <color rgb="FF434343"/>
      </rPr>
      <t>30/8/2024</t>
    </r>
  </si>
  <si>
    <t>Shaheen saleem</t>
  </si>
  <si>
    <t>03009212217</t>
  </si>
  <si>
    <t>328</t>
  </si>
  <si>
    <t>M. Sohail</t>
  </si>
  <si>
    <t>03437559976</t>
  </si>
  <si>
    <t>329</t>
  </si>
  <si>
    <t>2/9/2024</t>
  </si>
  <si>
    <t>Abu Hurara</t>
  </si>
  <si>
    <t>03155739529</t>
  </si>
  <si>
    <t>330</t>
  </si>
  <si>
    <r>
      <rPr>
        <rFont val="docs-Roboto"/>
        <color rgb="FF434343"/>
      </rPr>
      <t>2/9/2024</t>
    </r>
  </si>
  <si>
    <t>03416326970</t>
  </si>
  <si>
    <t>331</t>
  </si>
  <si>
    <r>
      <rPr>
        <rFont val="docs-Roboto"/>
        <color rgb="FF434343"/>
      </rPr>
      <t>2/9/2024</t>
    </r>
  </si>
  <si>
    <t>Sardar Nawab</t>
  </si>
  <si>
    <t>03111570585</t>
  </si>
  <si>
    <t>332</t>
  </si>
  <si>
    <r>
      <rPr>
        <rFont val="docs-Roboto"/>
        <color rgb="FF434343"/>
      </rPr>
      <t>2/9/2024</t>
    </r>
  </si>
  <si>
    <t>Naeem Asghar</t>
  </si>
  <si>
    <t>03248400884</t>
  </si>
  <si>
    <t>333</t>
  </si>
  <si>
    <r>
      <rPr>
        <rFont val="docs-Roboto"/>
        <color rgb="FF434343"/>
      </rPr>
      <t>2/9/2024</t>
    </r>
  </si>
  <si>
    <t>03244007792</t>
  </si>
  <si>
    <t>334</t>
  </si>
  <si>
    <r>
      <rPr>
        <rFont val="docs-Roboto"/>
        <color rgb="FF434343"/>
      </rPr>
      <t>2/9/2024</t>
    </r>
  </si>
  <si>
    <t xml:space="preserve"> 03224929476</t>
  </si>
  <si>
    <t>335</t>
  </si>
  <si>
    <r>
      <rPr>
        <rFont val="docs-Roboto"/>
        <color rgb="FF434343"/>
      </rPr>
      <t>2/9/2024</t>
    </r>
  </si>
  <si>
    <t xml:space="preserve"> Bilal</t>
  </si>
  <si>
    <t>03005080466</t>
  </si>
  <si>
    <t>336</t>
  </si>
  <si>
    <r>
      <rPr>
        <rFont val="docs-Roboto"/>
        <color rgb="FF434343"/>
      </rPr>
      <t>2/9/2024</t>
    </r>
  </si>
  <si>
    <t>03071459420</t>
  </si>
  <si>
    <t>337</t>
  </si>
  <si>
    <r>
      <rPr>
        <rFont val="docs-Roboto"/>
        <color rgb="FF434343"/>
      </rPr>
      <t>2/9/2024</t>
    </r>
  </si>
  <si>
    <t>34805866648</t>
  </si>
  <si>
    <t>338</t>
  </si>
  <si>
    <r>
      <rPr>
        <rFont val="docs-Roboto"/>
        <color rgb="FF434343"/>
      </rPr>
      <t>2/9/2024</t>
    </r>
  </si>
  <si>
    <t>Fida Muhammad</t>
  </si>
  <si>
    <t>03159700749</t>
  </si>
  <si>
    <t>339</t>
  </si>
  <si>
    <r>
      <rPr>
        <rFont val="docs-Roboto"/>
        <color rgb="FF434343"/>
      </rPr>
      <t>2/9/2024</t>
    </r>
  </si>
  <si>
    <t>Muhammad Rahil Usman</t>
  </si>
  <si>
    <t>03313331242</t>
  </si>
  <si>
    <t>340</t>
  </si>
  <si>
    <r>
      <rPr>
        <rFont val="docs-Roboto"/>
        <color rgb="FF434343"/>
      </rPr>
      <t>2/9/2024</t>
    </r>
  </si>
  <si>
    <t>Faisal Shaikh</t>
  </si>
  <si>
    <t>03222077028</t>
  </si>
  <si>
    <t>341</t>
  </si>
  <si>
    <r>
      <rPr>
        <rFont val="docs-Roboto"/>
        <color rgb="FF434343"/>
      </rPr>
      <t>2/9/2024</t>
    </r>
  </si>
  <si>
    <t xml:space="preserve"> 03004135347</t>
  </si>
  <si>
    <t>342</t>
  </si>
  <si>
    <r>
      <rPr>
        <rFont val="docs-Roboto"/>
        <color rgb="FF434343"/>
      </rPr>
      <t>2/9/2024</t>
    </r>
  </si>
  <si>
    <t>yumna usman</t>
  </si>
  <si>
    <t>03170227084</t>
  </si>
  <si>
    <t>343</t>
  </si>
  <si>
    <r>
      <rPr>
        <rFont val="docs-Roboto"/>
        <color rgb="FF434343"/>
      </rPr>
      <t>2/9/2024</t>
    </r>
  </si>
  <si>
    <t xml:space="preserve"> 03344128091</t>
  </si>
  <si>
    <t>344</t>
  </si>
  <si>
    <t>Shahid Ahmed Khan</t>
  </si>
  <si>
    <t>03453476466</t>
  </si>
  <si>
    <t>345</t>
  </si>
  <si>
    <r>
      <rPr>
        <rFont val="docs-Roboto"/>
        <color rgb="FF434343"/>
      </rPr>
      <t>2/9/2024</t>
    </r>
  </si>
  <si>
    <t>03200231085</t>
  </si>
  <si>
    <t>346</t>
  </si>
  <si>
    <r>
      <rPr>
        <rFont val="docs-Roboto"/>
        <color rgb="FF434343"/>
      </rPr>
      <t>2/9/2024</t>
    </r>
  </si>
  <si>
    <t>samreenshams</t>
  </si>
  <si>
    <t>03453786601</t>
  </si>
  <si>
    <t>347</t>
  </si>
  <si>
    <r>
      <rPr>
        <rFont val="docs-Roboto"/>
        <color rgb="FF434343"/>
      </rPr>
      <t>2/9/2024</t>
    </r>
  </si>
  <si>
    <t>03705104591</t>
  </si>
  <si>
    <t>348</t>
  </si>
  <si>
    <r>
      <rPr>
        <rFont val="docs-Roboto"/>
        <color rgb="FF434343"/>
      </rPr>
      <t>2/9/2024</t>
    </r>
  </si>
  <si>
    <t>Neha Ashfaq</t>
  </si>
  <si>
    <t>03353520920</t>
  </si>
  <si>
    <t>349</t>
  </si>
  <si>
    <r>
      <rPr>
        <rFont val="docs-Roboto"/>
        <color rgb="FF434343"/>
      </rPr>
      <t>2/9/2024</t>
    </r>
  </si>
  <si>
    <t>saba hussain</t>
  </si>
  <si>
    <t xml:space="preserve"> 03004762573</t>
  </si>
  <si>
    <t>350</t>
  </si>
  <si>
    <r>
      <rPr>
        <rFont val="docs-Roboto"/>
        <color rgb="FF434343"/>
      </rPr>
      <t>2/9/2024</t>
    </r>
  </si>
  <si>
    <t>Nabeel</t>
  </si>
  <si>
    <t>03320933003</t>
  </si>
  <si>
    <t>351</t>
  </si>
  <si>
    <r>
      <rPr>
        <rFont val="docs-Roboto"/>
        <color rgb="FF434343"/>
      </rPr>
      <t>2/9/2024</t>
    </r>
  </si>
  <si>
    <t>03248600844</t>
  </si>
  <si>
    <t>352</t>
  </si>
  <si>
    <r>
      <rPr>
        <rFont val="docs-Roboto"/>
        <color rgb="FF434343"/>
      </rPr>
      <t>2/9/2024</t>
    </r>
  </si>
  <si>
    <t>SHAHID MEHMOOD</t>
  </si>
  <si>
    <t>03416253688</t>
  </si>
  <si>
    <t>353</t>
  </si>
  <si>
    <r>
      <rPr>
        <rFont val="docs-Roboto"/>
        <color rgb="FF434343"/>
      </rPr>
      <t>2/9/2024</t>
    </r>
  </si>
  <si>
    <t>Ahmad Gujjar</t>
  </si>
  <si>
    <t>03044011199</t>
  </si>
  <si>
    <t>354</t>
  </si>
  <si>
    <r>
      <rPr>
        <rFont val="docs-Roboto"/>
        <color rgb="FF434343"/>
      </rPr>
      <t>2/9/2024</t>
    </r>
  </si>
  <si>
    <t>Salam</t>
  </si>
  <si>
    <t>03485006756</t>
  </si>
  <si>
    <t>355</t>
  </si>
  <si>
    <r>
      <rPr>
        <rFont val="docs-Roboto"/>
        <color rgb="FF434343"/>
      </rPr>
      <t>2/9/2024</t>
    </r>
  </si>
  <si>
    <t>03057012457</t>
  </si>
  <si>
    <t>356</t>
  </si>
  <si>
    <r>
      <rPr>
        <rFont val="docs-Roboto"/>
        <color rgb="FF434343"/>
      </rPr>
      <t>2/9/2024</t>
    </r>
  </si>
  <si>
    <t>03008633326</t>
  </si>
  <si>
    <t>357</t>
  </si>
  <si>
    <r>
      <rPr>
        <rFont val="docs-Roboto"/>
        <color rgb="FF434343"/>
      </rPr>
      <t>2/9/2024</t>
    </r>
  </si>
  <si>
    <t>Engr. Nouman</t>
  </si>
  <si>
    <t>03343489889</t>
  </si>
  <si>
    <t>358</t>
  </si>
  <si>
    <r>
      <rPr>
        <rFont val="docs-Roboto"/>
        <color rgb="FF434343"/>
      </rPr>
      <t>2/9/2024</t>
    </r>
  </si>
  <si>
    <t>03003162711</t>
  </si>
  <si>
    <t>359</t>
  </si>
  <si>
    <r>
      <rPr>
        <rFont val="docs-Roboto"/>
        <color rgb="FF434343"/>
      </rPr>
      <t>2/9/2024</t>
    </r>
  </si>
  <si>
    <t>03030340273</t>
  </si>
  <si>
    <t>360</t>
  </si>
  <si>
    <r>
      <rPr>
        <rFont val="docs-Roboto"/>
        <color rgb="FF434343"/>
      </rPr>
      <t>2/9/2024</t>
    </r>
  </si>
  <si>
    <t>03260728293</t>
  </si>
  <si>
    <t>361</t>
  </si>
  <si>
    <r>
      <rPr>
        <rFont val="docs-Roboto"/>
        <color rgb="FF434343"/>
      </rPr>
      <t>2/9/2024</t>
    </r>
  </si>
  <si>
    <t xml:space="preserve"> 03345601999</t>
  </si>
  <si>
    <t>362</t>
  </si>
  <si>
    <t>03408589486</t>
  </si>
  <si>
    <t>363</t>
  </si>
  <si>
    <t>3/9/2024</t>
  </si>
  <si>
    <t>Muhammad Amir</t>
  </si>
  <si>
    <t>03009422521</t>
  </si>
  <si>
    <t>364</t>
  </si>
  <si>
    <r>
      <rPr>
        <rFont val="docs-Roboto"/>
        <color rgb="FF434343"/>
      </rPr>
      <t>3/9/2024</t>
    </r>
  </si>
  <si>
    <t>03058862964</t>
  </si>
  <si>
    <t>365</t>
  </si>
  <si>
    <r>
      <rPr>
        <rFont val="docs-Roboto"/>
        <color rgb="FF434343"/>
      </rPr>
      <t>3/9/2024</t>
    </r>
  </si>
  <si>
    <t xml:space="preserve"> 03077078690</t>
  </si>
  <si>
    <t>366</t>
  </si>
  <si>
    <r>
      <rPr>
        <rFont val="docs-Roboto"/>
        <color rgb="FF434343"/>
      </rPr>
      <t>3/9/2024</t>
    </r>
  </si>
  <si>
    <t>MA Awan</t>
  </si>
  <si>
    <t>03214117049</t>
  </si>
  <si>
    <t>367</t>
  </si>
  <si>
    <r>
      <rPr>
        <rFont val="docs-Roboto"/>
        <color rgb="FF434343"/>
      </rPr>
      <t>3/9/2024</t>
    </r>
  </si>
  <si>
    <t>61 451 537 435</t>
  </si>
  <si>
    <t>368</t>
  </si>
  <si>
    <r>
      <rPr>
        <rFont val="docs-Roboto"/>
        <color rgb="FF434343"/>
      </rPr>
      <t>3/9/2024</t>
    </r>
  </si>
  <si>
    <t xml:space="preserve"> 03135557333</t>
  </si>
  <si>
    <t>369</t>
  </si>
  <si>
    <r>
      <rPr>
        <rFont val="docs-Roboto"/>
        <color rgb="FF434343"/>
      </rPr>
      <t>3/9/2024</t>
    </r>
  </si>
  <si>
    <t>03248456786</t>
  </si>
  <si>
    <t>370</t>
  </si>
  <si>
    <r>
      <rPr>
        <rFont val="docs-Roboto"/>
        <color rgb="FF434343"/>
      </rPr>
      <t>3/9/2024</t>
    </r>
  </si>
  <si>
    <t>fayaz ahmed</t>
  </si>
  <si>
    <t>03011323388</t>
  </si>
  <si>
    <t>371</t>
  </si>
  <si>
    <r>
      <rPr>
        <rFont val="docs-Roboto"/>
        <color rgb="FF434343"/>
      </rPr>
      <t>3/9/2024</t>
    </r>
  </si>
  <si>
    <t>03458992471</t>
  </si>
  <si>
    <t>372</t>
  </si>
  <si>
    <t>4/9/2024</t>
  </si>
  <si>
    <t>03176760311</t>
  </si>
  <si>
    <t>373</t>
  </si>
  <si>
    <t>03174378576</t>
  </si>
  <si>
    <t>374</t>
  </si>
  <si>
    <t>Rehman Ali</t>
  </si>
  <si>
    <t xml:space="preserve"> 03363876629</t>
  </si>
  <si>
    <t>375</t>
  </si>
  <si>
    <t>966 58 239 1623</t>
  </si>
  <si>
    <t>376</t>
  </si>
  <si>
    <t>Chander kumar</t>
  </si>
  <si>
    <t>03412237369</t>
  </si>
  <si>
    <t>377</t>
  </si>
  <si>
    <t>03138484331</t>
  </si>
  <si>
    <t>378</t>
  </si>
  <si>
    <t>Javeria</t>
  </si>
  <si>
    <t xml:space="preserve"> 03245490626</t>
  </si>
  <si>
    <t>379</t>
  </si>
  <si>
    <t>Moosa</t>
  </si>
  <si>
    <t>03444792758</t>
  </si>
  <si>
    <t>380</t>
  </si>
  <si>
    <t>03332440871</t>
  </si>
  <si>
    <t>381</t>
  </si>
  <si>
    <t>03045960571</t>
  </si>
  <si>
    <t>382</t>
  </si>
  <si>
    <t>03026133105</t>
  </si>
  <si>
    <t>383</t>
  </si>
  <si>
    <t>03426757307</t>
  </si>
  <si>
    <t>384</t>
  </si>
  <si>
    <t>Ahmad Hussain</t>
  </si>
  <si>
    <t>03325306158</t>
  </si>
  <si>
    <t>385</t>
  </si>
  <si>
    <t>5/9/2024</t>
  </si>
  <si>
    <t>Gulfraz Khan Jadoon</t>
  </si>
  <si>
    <t>03005501702</t>
  </si>
  <si>
    <t>386</t>
  </si>
  <si>
    <t>M. HAMAD</t>
  </si>
  <si>
    <t>03104430489</t>
  </si>
  <si>
    <t>387</t>
  </si>
  <si>
    <t xml:space="preserve"> 03105463313</t>
  </si>
  <si>
    <t>388</t>
  </si>
  <si>
    <t>Tajamul</t>
  </si>
  <si>
    <t xml:space="preserve"> 03216659276</t>
  </si>
  <si>
    <t>389</t>
  </si>
  <si>
    <t>Nasir Mehmood</t>
  </si>
  <si>
    <t xml:space="preserve"> 03185044473</t>
  </si>
  <si>
    <t>390</t>
  </si>
  <si>
    <t>03482020380</t>
  </si>
  <si>
    <t>391</t>
  </si>
  <si>
    <t>M.nabeel</t>
  </si>
  <si>
    <t>03156310795</t>
  </si>
  <si>
    <t>392</t>
  </si>
  <si>
    <t>M. Touheed</t>
  </si>
  <si>
    <t>03320205464</t>
  </si>
  <si>
    <t>393</t>
  </si>
  <si>
    <t>wahidaliwazir</t>
  </si>
  <si>
    <t>03328015649</t>
  </si>
  <si>
    <t>394</t>
  </si>
  <si>
    <t>03007792614</t>
  </si>
  <si>
    <t>395</t>
  </si>
  <si>
    <t>6/9/2024</t>
  </si>
  <si>
    <t>03344288430</t>
  </si>
  <si>
    <t>396</t>
  </si>
  <si>
    <r>
      <rPr>
        <rFont val="docs-Roboto"/>
        <color rgb="FF434343"/>
      </rPr>
      <t>6/9/2024</t>
    </r>
  </si>
  <si>
    <t>03114423711</t>
  </si>
  <si>
    <t>397</t>
  </si>
  <si>
    <r>
      <rPr>
        <rFont val="docs-Roboto"/>
        <color rgb="FF434343"/>
      </rPr>
      <t>6/9/2024</t>
    </r>
  </si>
  <si>
    <t>Zahida Umar</t>
  </si>
  <si>
    <t>03236481173</t>
  </si>
  <si>
    <t>398</t>
  </si>
  <si>
    <r>
      <rPr>
        <rFont val="docs-Roboto"/>
        <color rgb="FF434343"/>
      </rPr>
      <t>6/9/2024</t>
    </r>
  </si>
  <si>
    <t>03330527057</t>
  </si>
  <si>
    <t>399</t>
  </si>
  <si>
    <t xml:space="preserve"> 03218760538</t>
  </si>
  <si>
    <t>400</t>
  </si>
  <si>
    <t>03013218754</t>
  </si>
  <si>
    <t>401</t>
  </si>
  <si>
    <r>
      <rPr>
        <rFont val="docs-Roboto"/>
        <color rgb="FF434343"/>
      </rPr>
      <t>6/9/2024</t>
    </r>
  </si>
  <si>
    <t>03028510113</t>
  </si>
  <si>
    <t>402</t>
  </si>
  <si>
    <t>03234119469</t>
  </si>
  <si>
    <t>403</t>
  </si>
  <si>
    <t>03333028139</t>
  </si>
  <si>
    <t>404</t>
  </si>
  <si>
    <r>
      <rPr>
        <rFont val="docs-Roboto"/>
        <color rgb="FF434343"/>
      </rPr>
      <t>6/9/2024</t>
    </r>
  </si>
  <si>
    <t xml:space="preserve"> 03032066246</t>
  </si>
  <si>
    <t>v</t>
  </si>
  <si>
    <t>405</t>
  </si>
  <si>
    <t>Severinus</t>
  </si>
  <si>
    <t>03032148094</t>
  </si>
  <si>
    <t>406</t>
  </si>
  <si>
    <r>
      <rPr>
        <rFont val="docs-Roboto"/>
        <color rgb="FF434343"/>
      </rPr>
      <t>Inam Ullah Khan</t>
    </r>
  </si>
  <si>
    <t>03465528477</t>
  </si>
  <si>
    <t>407</t>
  </si>
  <si>
    <t>03152505033</t>
  </si>
  <si>
    <t>408</t>
  </si>
  <si>
    <t>03342091240</t>
  </si>
  <si>
    <t>409</t>
  </si>
  <si>
    <t>9/9/2024</t>
  </si>
  <si>
    <t>Kashif</t>
  </si>
  <si>
    <t>334 8837397</t>
  </si>
  <si>
    <t>410</t>
  </si>
  <si>
    <t>304 9920562</t>
  </si>
  <si>
    <t>411</t>
  </si>
  <si>
    <t>Zayed Sheikh</t>
  </si>
  <si>
    <t>324 2578488</t>
  </si>
  <si>
    <t>Python boot camp</t>
  </si>
  <si>
    <t>412</t>
  </si>
  <si>
    <t>Sofia Yousuf</t>
  </si>
  <si>
    <t>03342496146</t>
  </si>
  <si>
    <t>413</t>
  </si>
  <si>
    <t>03034505459</t>
  </si>
  <si>
    <t>414</t>
  </si>
  <si>
    <t>Daud Afzal</t>
  </si>
  <si>
    <t>03399000612</t>
  </si>
  <si>
    <t>415</t>
  </si>
  <si>
    <t>03156902307</t>
  </si>
  <si>
    <t>416</t>
  </si>
  <si>
    <t>03131771847</t>
  </si>
  <si>
    <t>417</t>
  </si>
  <si>
    <t>03024999949</t>
  </si>
  <si>
    <t>418</t>
  </si>
  <si>
    <t>03289621558</t>
  </si>
  <si>
    <t>419</t>
  </si>
  <si>
    <t>M.zaeem asghar</t>
  </si>
  <si>
    <t>03332614035</t>
  </si>
  <si>
    <t>420</t>
  </si>
  <si>
    <t>03003798678</t>
  </si>
  <si>
    <t>421</t>
  </si>
  <si>
    <t>03258674301</t>
  </si>
  <si>
    <t>422</t>
  </si>
  <si>
    <t>Haseeb Khan Khattak</t>
  </si>
  <si>
    <t>03129004967</t>
  </si>
  <si>
    <t>423</t>
  </si>
  <si>
    <t>10/9/2024</t>
  </si>
  <si>
    <t>03449134447</t>
  </si>
  <si>
    <t>424</t>
  </si>
  <si>
    <t>03441008604</t>
  </si>
  <si>
    <t>425</t>
  </si>
  <si>
    <t>03041211880</t>
  </si>
  <si>
    <t>426</t>
  </si>
  <si>
    <t>Haseeb khan</t>
  </si>
  <si>
    <t>03129764173</t>
  </si>
  <si>
    <t>427</t>
  </si>
  <si>
    <t>Sheikh Mir Ahmed</t>
  </si>
  <si>
    <t>03149201729</t>
  </si>
  <si>
    <t>428</t>
  </si>
  <si>
    <t>03498701094</t>
  </si>
  <si>
    <t>429</t>
  </si>
  <si>
    <t xml:space="preserve"> 03157468169</t>
  </si>
  <si>
    <t>430</t>
  </si>
  <si>
    <t>03378612255</t>
  </si>
  <si>
    <t>431</t>
  </si>
  <si>
    <t>03122576232</t>
  </si>
  <si>
    <t>432</t>
  </si>
  <si>
    <t xml:space="preserve">usman </t>
  </si>
  <si>
    <t>03348001302</t>
  </si>
  <si>
    <t>433</t>
  </si>
  <si>
    <t xml:space="preserve"> 03076055417</t>
  </si>
  <si>
    <t>434</t>
  </si>
  <si>
    <t>Shabdeen</t>
  </si>
  <si>
    <t>03061664389</t>
  </si>
  <si>
    <t>435</t>
  </si>
  <si>
    <t>Usama</t>
  </si>
  <si>
    <t xml:space="preserve"> 03110179861</t>
  </si>
  <si>
    <t>436</t>
  </si>
  <si>
    <t>03016989190</t>
  </si>
  <si>
    <t>437</t>
  </si>
  <si>
    <t>Kareem Rathore</t>
  </si>
  <si>
    <t>03229989145</t>
  </si>
  <si>
    <t>438</t>
  </si>
  <si>
    <t>Mujahid Rathore</t>
  </si>
  <si>
    <t xml:space="preserve"> 03708105100</t>
  </si>
  <si>
    <t>439</t>
  </si>
  <si>
    <t>Abdul Mussawir</t>
  </si>
  <si>
    <t>03318027093</t>
  </si>
  <si>
    <t>440</t>
  </si>
  <si>
    <t>03067212233</t>
  </si>
  <si>
    <t>441</t>
  </si>
  <si>
    <t>03120232047</t>
  </si>
  <si>
    <t>442</t>
  </si>
  <si>
    <t>Rana yasir</t>
  </si>
  <si>
    <t xml:space="preserve"> 03017477028</t>
  </si>
  <si>
    <t>443</t>
  </si>
  <si>
    <t>11/9/2024</t>
  </si>
  <si>
    <t>Dreik kumar</t>
  </si>
  <si>
    <t>03350390973</t>
  </si>
  <si>
    <t>444</t>
  </si>
  <si>
    <t>03157061852</t>
  </si>
  <si>
    <t>445</t>
  </si>
  <si>
    <t>03098118771</t>
  </si>
  <si>
    <t>446</t>
  </si>
  <si>
    <t>Asma rauf</t>
  </si>
  <si>
    <t>03334903283</t>
  </si>
  <si>
    <t>447</t>
  </si>
  <si>
    <t>Ahpasham</t>
  </si>
  <si>
    <t>03100674646</t>
  </si>
  <si>
    <t>448</t>
  </si>
  <si>
    <t>03466762402</t>
  </si>
  <si>
    <t>449</t>
  </si>
  <si>
    <t>03439551749</t>
  </si>
  <si>
    <t>450</t>
  </si>
  <si>
    <t>03104977514</t>
  </si>
  <si>
    <t>451</t>
  </si>
  <si>
    <t>03074177031</t>
  </si>
  <si>
    <t>452</t>
  </si>
  <si>
    <t>03005632321</t>
  </si>
  <si>
    <t>453</t>
  </si>
  <si>
    <t>03124535348</t>
  </si>
  <si>
    <t>454</t>
  </si>
  <si>
    <t>03360446783</t>
  </si>
  <si>
    <t>455</t>
  </si>
  <si>
    <t>03027861001</t>
  </si>
  <si>
    <t>456</t>
  </si>
  <si>
    <t>15/9/2024</t>
  </si>
  <si>
    <t>Aqsa</t>
  </si>
  <si>
    <t>03472558099</t>
  </si>
  <si>
    <t>Usman qureshi</t>
  </si>
  <si>
    <r>
      <rPr>
        <rFont val="docs-Roboto"/>
        <color rgb="FF434343"/>
      </rPr>
      <t>03028968688</t>
    </r>
  </si>
  <si>
    <t>Data Science Bootcamp</t>
  </si>
  <si>
    <t>M. ARIF</t>
  </si>
  <si>
    <t>03354514315</t>
  </si>
  <si>
    <t>Sadia</t>
  </si>
  <si>
    <t>Abdulrub zaman</t>
  </si>
  <si>
    <t>03330328478</t>
  </si>
  <si>
    <t>MuhammadAjmal</t>
  </si>
  <si>
    <t>03004893440</t>
  </si>
  <si>
    <t>Ak</t>
  </si>
  <si>
    <t>03092928010</t>
  </si>
  <si>
    <t>NEXT BATCH</t>
  </si>
  <si>
    <t>Shoukat Khan</t>
  </si>
  <si>
    <t>03178833366</t>
  </si>
  <si>
    <t>Sadia khan'</t>
  </si>
  <si>
    <t>03065416268</t>
  </si>
  <si>
    <t>03323138072</t>
  </si>
  <si>
    <t>03129829955</t>
  </si>
  <si>
    <t>Muhammad Ahmad</t>
  </si>
  <si>
    <t>03181542783</t>
  </si>
  <si>
    <t>03352351501</t>
  </si>
  <si>
    <t>03004311138</t>
  </si>
  <si>
    <t>03473828926</t>
  </si>
  <si>
    <t>~Marium</t>
  </si>
  <si>
    <t>03150003148</t>
  </si>
  <si>
    <t>~Ali Raza</t>
  </si>
  <si>
    <t>03012778324</t>
  </si>
  <si>
    <t>~Muhammad Khalid</t>
  </si>
  <si>
    <t>031349000890</t>
  </si>
  <si>
    <t>~Hussain</t>
  </si>
  <si>
    <t>03271327660</t>
  </si>
  <si>
    <t>~Asfand Ilyas</t>
  </si>
  <si>
    <t>03436245924</t>
  </si>
  <si>
    <t>ali raza</t>
  </si>
  <si>
    <t>03339486890</t>
  </si>
  <si>
    <t>04602181 68</t>
  </si>
  <si>
    <t>areeba</t>
  </si>
  <si>
    <t>03145597027</t>
  </si>
  <si>
    <t>Ammar Ali</t>
  </si>
  <si>
    <t>03052240237</t>
  </si>
  <si>
    <t>Rajib Ali</t>
  </si>
  <si>
    <t>03284455410</t>
  </si>
  <si>
    <t>Numan Saeed</t>
  </si>
  <si>
    <t>03174473340</t>
  </si>
  <si>
    <t>03060134704</t>
  </si>
  <si>
    <t>Ali Ali Khan</t>
  </si>
  <si>
    <t>03219667652</t>
  </si>
  <si>
    <t>~Emad Khan</t>
  </si>
  <si>
    <t>03457001857</t>
  </si>
  <si>
    <t>~Haris✨</t>
  </si>
  <si>
    <t>310 2246152</t>
  </si>
  <si>
    <t>~Aitesam Hussain Siddiqui</t>
  </si>
  <si>
    <t>03705956604</t>
  </si>
  <si>
    <t>03315150072</t>
  </si>
  <si>
    <t>aheed mustafa</t>
  </si>
  <si>
    <t>03211156134</t>
  </si>
  <si>
    <t>~Abdul Basit</t>
  </si>
  <si>
    <t>0315266497</t>
  </si>
  <si>
    <t>~Naviya collection</t>
  </si>
  <si>
    <t>7514 467726</t>
  </si>
  <si>
    <t>Selenophile</t>
  </si>
  <si>
    <t>349 7900215</t>
  </si>
  <si>
    <t>03122177463</t>
  </si>
  <si>
    <t>~Usman Khan</t>
  </si>
  <si>
    <t>318 7530344</t>
  </si>
  <si>
    <t>03058388850</t>
  </si>
  <si>
    <t>03006242851</t>
  </si>
  <si>
    <t>03314186922</t>
  </si>
  <si>
    <t>03150266497</t>
  </si>
  <si>
    <t>~Ali Ali Khan</t>
  </si>
  <si>
    <t>321 9667652</t>
  </si>
  <si>
    <t>~H.M Shoaib</t>
  </si>
  <si>
    <t>345 6779894</t>
  </si>
  <si>
    <t>Alishifa</t>
  </si>
  <si>
    <t>301 3680752</t>
  </si>
  <si>
    <t>Ahmad</t>
  </si>
  <si>
    <t>342 4617649</t>
  </si>
  <si>
    <t>330 8510156</t>
  </si>
  <si>
    <t>~Saad Bin Ammar</t>
  </si>
  <si>
    <t xml:space="preserve"> 331 3162173</t>
  </si>
  <si>
    <t>~Shahzaib Alam</t>
  </si>
  <si>
    <t>306 0722154</t>
  </si>
  <si>
    <t>~Xyrix Industry</t>
  </si>
  <si>
    <t>300 1062123</t>
  </si>
  <si>
    <t>~Ammar</t>
  </si>
  <si>
    <t>313 0699806</t>
  </si>
  <si>
    <t>~AATIF KHAN</t>
  </si>
  <si>
    <t>335 7575354</t>
  </si>
  <si>
    <t xml:space="preserve">Hamza </t>
  </si>
  <si>
    <t>318 0976668</t>
  </si>
  <si>
    <t>~Ali Hussain</t>
  </si>
  <si>
    <t>342 2411979</t>
  </si>
  <si>
    <t>~Zain Ul Hassan</t>
  </si>
  <si>
    <t>76 952 08 14</t>
  </si>
  <si>
    <t>~Abu Muhammad</t>
  </si>
  <si>
    <t>333 7747706</t>
  </si>
  <si>
    <t>~Umair Shaukat</t>
  </si>
  <si>
    <t>304 4319778</t>
  </si>
  <si>
    <t>Syed</t>
  </si>
  <si>
    <t>335 4929450</t>
  </si>
  <si>
    <t>~Zahid Abbas</t>
  </si>
  <si>
    <t>312 3456787</t>
  </si>
  <si>
    <t>Aqleem</t>
  </si>
  <si>
    <t>301 7229059</t>
  </si>
  <si>
    <t>343 0392247</t>
  </si>
  <si>
    <t>309 5527004</t>
  </si>
  <si>
    <t>~Rizwan</t>
  </si>
  <si>
    <t>333 4967539</t>
  </si>
  <si>
    <t>~Muhammad Ahsan</t>
  </si>
  <si>
    <t>314 6561997</t>
  </si>
  <si>
    <t>Barkatullah</t>
  </si>
  <si>
    <t>03118187886</t>
  </si>
  <si>
    <t>Asad Touqeer</t>
  </si>
  <si>
    <t>300 9118346</t>
  </si>
  <si>
    <t>307 1020316</t>
  </si>
  <si>
    <t>345 2541450</t>
  </si>
  <si>
    <t>fakeha Dar</t>
  </si>
  <si>
    <t>321 4112207</t>
  </si>
  <si>
    <t>301 3797542</t>
  </si>
  <si>
    <t>Muhammad Shameer Khalid</t>
  </si>
  <si>
    <t>332 8020290</t>
  </si>
  <si>
    <t>imtiazalijallalani</t>
  </si>
  <si>
    <t xml:space="preserve"> 03190935629</t>
  </si>
  <si>
    <t>Sana U Allah</t>
  </si>
  <si>
    <t>03003762190</t>
  </si>
  <si>
    <t>Hammad Ishfaq</t>
  </si>
  <si>
    <t xml:space="preserve"> 03115670073</t>
  </si>
  <si>
    <t>03322205413</t>
  </si>
  <si>
    <t>03354399991</t>
  </si>
  <si>
    <t>03012540457</t>
  </si>
  <si>
    <t>maryam</t>
  </si>
  <si>
    <t>03018858533</t>
  </si>
  <si>
    <t>Swaid</t>
  </si>
  <si>
    <t>03356264888</t>
  </si>
  <si>
    <t>03134671946</t>
  </si>
  <si>
    <t>~Daniyal Malik</t>
  </si>
  <si>
    <t>03036668812</t>
  </si>
  <si>
    <t>~M@Irfan Khurshid</t>
  </si>
  <si>
    <t>03335998190</t>
  </si>
  <si>
    <t>~M Asif J</t>
  </si>
  <si>
    <t>03049975646</t>
  </si>
  <si>
    <t>~Adeel</t>
  </si>
  <si>
    <t>03217699721</t>
  </si>
  <si>
    <t>~Muhammad Ismaeel</t>
  </si>
  <si>
    <t>312 6557877</t>
  </si>
  <si>
    <t>usman Ali</t>
  </si>
  <si>
    <t>03048876558</t>
  </si>
  <si>
    <t>Qasim Ajlal</t>
  </si>
  <si>
    <t>03019445760</t>
  </si>
  <si>
    <t>Abdul samad</t>
  </si>
  <si>
    <t>0332305017</t>
  </si>
  <si>
    <t>Faha Yousaf</t>
  </si>
  <si>
    <t>03049610725</t>
  </si>
  <si>
    <t>~Nawaz Malik</t>
  </si>
  <si>
    <t>314 5715990</t>
  </si>
  <si>
    <t>~malikzamann</t>
  </si>
  <si>
    <t>03234332004</t>
  </si>
  <si>
    <t>~Nadeem Haider</t>
  </si>
  <si>
    <t>03346184810</t>
  </si>
  <si>
    <t>~Irfan Khan</t>
  </si>
  <si>
    <t>03369212204</t>
  </si>
  <si>
    <t>~K.Usman</t>
  </si>
  <si>
    <t>03333826794</t>
  </si>
  <si>
    <t>~Naeem Abbas Bhatti</t>
  </si>
  <si>
    <t>03153134727</t>
  </si>
  <si>
    <t>~Wali Muhammad</t>
  </si>
  <si>
    <t>03063773140</t>
  </si>
  <si>
    <t>~Nadeem Bari</t>
  </si>
  <si>
    <t>03135195205</t>
  </si>
  <si>
    <t>03345908465</t>
  </si>
  <si>
    <t>03371455005</t>
  </si>
  <si>
    <t>Meru</t>
  </si>
  <si>
    <t>03368350875</t>
  </si>
  <si>
    <t>03141301279</t>
  </si>
  <si>
    <t>~Muhammad Aleem Ghori</t>
  </si>
  <si>
    <t>03418761083</t>
  </si>
  <si>
    <t>03487860796</t>
  </si>
  <si>
    <t>~Dr. Faisal Rana</t>
  </si>
  <si>
    <t>03016096961</t>
  </si>
  <si>
    <t>~Safyan Riaz</t>
  </si>
  <si>
    <t>03424303759</t>
  </si>
  <si>
    <t>315 7785336</t>
  </si>
  <si>
    <t>toobariaztr23</t>
  </si>
  <si>
    <t>03222260586</t>
  </si>
  <si>
    <t>Umair Ehsan</t>
  </si>
  <si>
    <t>03156164550</t>
  </si>
  <si>
    <t>Shahrukh</t>
  </si>
  <si>
    <t>03336547337</t>
  </si>
  <si>
    <t>03555344330</t>
  </si>
  <si>
    <t>~Muhammad Fahad</t>
  </si>
  <si>
    <t>03485486710</t>
  </si>
  <si>
    <t>shaharyar811</t>
  </si>
  <si>
    <t>03095602699</t>
  </si>
  <si>
    <t>Mariyah</t>
  </si>
  <si>
    <t>0417373 761</t>
  </si>
  <si>
    <t>03410277734</t>
  </si>
  <si>
    <t>~𝓩𝓾 𝓗𝓲𝓲 𝓚𝓱𝓪𝓷🦋</t>
  </si>
  <si>
    <t>03215112782</t>
  </si>
  <si>
    <t>~Siraj Ahmed</t>
  </si>
  <si>
    <t>03053265053</t>
  </si>
  <si>
    <t>03492351052</t>
  </si>
  <si>
    <t>Khawar Abbas Qureshi</t>
  </si>
  <si>
    <t>03014910971</t>
  </si>
  <si>
    <t>Yasir Kazmi</t>
  </si>
  <si>
    <t>03142360164</t>
  </si>
  <si>
    <t>ranaabdullahshb</t>
  </si>
  <si>
    <t>03248410881</t>
  </si>
  <si>
    <t>Yasir Ali khan</t>
  </si>
  <si>
    <t>03038996356</t>
  </si>
  <si>
    <t>~Farhan</t>
  </si>
  <si>
    <t>03432459628</t>
  </si>
  <si>
    <t>Ahmad ZAHID</t>
  </si>
  <si>
    <t>03063888417</t>
  </si>
  <si>
    <t>Yumna Rashid</t>
  </si>
  <si>
    <t>330 2342112</t>
  </si>
  <si>
    <t>~Ammara</t>
  </si>
  <si>
    <t>315 8079269</t>
  </si>
  <si>
    <t>~Shifa Khan</t>
  </si>
  <si>
    <t>315 5296964</t>
  </si>
  <si>
    <t>~Khadimjutt</t>
  </si>
  <si>
    <t>03466879917</t>
  </si>
  <si>
    <t>Dr. Fatima</t>
  </si>
  <si>
    <t>03314767254</t>
  </si>
  <si>
    <t>Habib</t>
  </si>
  <si>
    <t>333 8286338</t>
  </si>
  <si>
    <t>Zubair Abdullah</t>
  </si>
  <si>
    <t>03457140010</t>
  </si>
  <si>
    <t>Rehan</t>
  </si>
  <si>
    <t>03142299647</t>
  </si>
  <si>
    <t>03119610808</t>
  </si>
  <si>
    <t>Baloch</t>
  </si>
  <si>
    <t>03162159011</t>
  </si>
  <si>
    <t>A. Khan</t>
  </si>
  <si>
    <t>03369725820</t>
  </si>
  <si>
    <t>hamzajawan234</t>
  </si>
  <si>
    <t>03323604618</t>
  </si>
  <si>
    <t>03364457845</t>
  </si>
  <si>
    <t>03115188752</t>
  </si>
  <si>
    <t>Moiz Jawed</t>
  </si>
  <si>
    <t>03166260146</t>
  </si>
  <si>
    <t>03315757013</t>
  </si>
  <si>
    <t>~Aneeb Ahmed Khan</t>
  </si>
  <si>
    <t>03452528296</t>
  </si>
  <si>
    <t>~Ihtasham Shah</t>
  </si>
  <si>
    <t>03416000607</t>
  </si>
  <si>
    <t>~Ejaz Rahim</t>
  </si>
  <si>
    <t>03159103082</t>
  </si>
  <si>
    <t>03161706270</t>
  </si>
  <si>
    <t>~Abdul Jabbar</t>
  </si>
  <si>
    <t>03163976601</t>
  </si>
  <si>
    <t>~Abdul Wahab</t>
  </si>
  <si>
    <t>03401529515</t>
  </si>
  <si>
    <t>~Khan</t>
  </si>
  <si>
    <t>03320420339</t>
  </si>
  <si>
    <t>03353207197</t>
  </si>
  <si>
    <t>03092125402</t>
  </si>
  <si>
    <t>~Ahtasham</t>
  </si>
  <si>
    <t>03008885209</t>
  </si>
  <si>
    <t>~iam._.naazi._</t>
  </si>
  <si>
    <t>03149315123</t>
  </si>
  <si>
    <t>03054901834</t>
  </si>
  <si>
    <t>~Sania</t>
  </si>
  <si>
    <t>03302698417</t>
  </si>
  <si>
    <t>03024870474</t>
  </si>
  <si>
    <t>03078978154</t>
  </si>
  <si>
    <t>03132777596</t>
  </si>
  <si>
    <t>03190649699</t>
  </si>
  <si>
    <t>03027891517</t>
  </si>
  <si>
    <t>~Hafsa🪷</t>
  </si>
  <si>
    <t>03061445251</t>
  </si>
  <si>
    <t>03495575176</t>
  </si>
  <si>
    <t>~Muhammad Taha Arain</t>
  </si>
  <si>
    <t>03408690060</t>
  </si>
  <si>
    <t>Sohail</t>
  </si>
  <si>
    <t>03435445339</t>
  </si>
  <si>
    <t>Sheryar Ali khan</t>
  </si>
  <si>
    <t>03003743103</t>
  </si>
  <si>
    <t>03369780694</t>
  </si>
  <si>
    <t>Rashid Sangi</t>
  </si>
  <si>
    <t>03149385922</t>
  </si>
  <si>
    <t>Tanoo Rani</t>
  </si>
  <si>
    <t>03334901562</t>
  </si>
  <si>
    <t>Haroon Sharif</t>
  </si>
  <si>
    <t>03235884827</t>
  </si>
  <si>
    <t>~ahlyabbhatti</t>
  </si>
  <si>
    <t>03325309568</t>
  </si>
  <si>
    <t>03274631761</t>
  </si>
  <si>
    <t>Aqsa Wiqar</t>
  </si>
  <si>
    <t>03218400448</t>
  </si>
  <si>
    <t xml:space="preserve">Muhammad Muzammil </t>
  </si>
  <si>
    <t>03126002530</t>
  </si>
  <si>
    <t>03038101046</t>
  </si>
  <si>
    <t>~zainabahmed707</t>
  </si>
  <si>
    <t>03343556656</t>
  </si>
  <si>
    <t>03068571395</t>
  </si>
  <si>
    <t>Moin Khan</t>
  </si>
  <si>
    <t>03327196364</t>
  </si>
  <si>
    <t>Hammad Hussain</t>
  </si>
  <si>
    <t>03052571423</t>
  </si>
  <si>
    <t>Hakeem Faisal Munir</t>
  </si>
  <si>
    <t>03224742156</t>
  </si>
  <si>
    <t>03340556621</t>
  </si>
  <si>
    <t>03484740182</t>
  </si>
  <si>
    <t>03235192192</t>
  </si>
  <si>
    <t>~Aamer</t>
  </si>
  <si>
    <t>03025861954</t>
  </si>
  <si>
    <t>~Khan Muneeb Joiya Saab</t>
  </si>
  <si>
    <t>03059831313</t>
  </si>
  <si>
    <t>~Alhamdulilah</t>
  </si>
  <si>
    <t>03404952946</t>
  </si>
  <si>
    <t>Atif Khan</t>
  </si>
  <si>
    <t>03018540347</t>
  </si>
  <si>
    <t>03044005577</t>
  </si>
  <si>
    <t>~zubairsheikh</t>
  </si>
  <si>
    <t>03155408219</t>
  </si>
  <si>
    <t>Haseeb Khaliq</t>
  </si>
  <si>
    <t>03244031536</t>
  </si>
  <si>
    <t>Muhammad Bilal</t>
  </si>
  <si>
    <t>03041630122</t>
  </si>
  <si>
    <t>03134924631</t>
  </si>
  <si>
    <t>5/9/2025</t>
  </si>
  <si>
    <t>Hidayat ur Rehman</t>
  </si>
  <si>
    <t xml:space="preserve"> 03452541450</t>
  </si>
  <si>
    <t>5/9/2026</t>
  </si>
  <si>
    <t>Haseeb</t>
  </si>
  <si>
    <t>03205704008</t>
  </si>
  <si>
    <t>5/9/2027</t>
  </si>
  <si>
    <t>03117046897</t>
  </si>
  <si>
    <t>5/9/2028</t>
  </si>
  <si>
    <t>Yaseen khan</t>
  </si>
  <si>
    <t>03420530938</t>
  </si>
  <si>
    <t>5/9/2029</t>
  </si>
  <si>
    <t>Ghulam E Ali</t>
  </si>
  <si>
    <t>03313671299</t>
  </si>
  <si>
    <t>SAEED AHMAD</t>
  </si>
  <si>
    <t>03338232901</t>
  </si>
  <si>
    <t>Hummam Raheel</t>
  </si>
  <si>
    <t>03158633801</t>
  </si>
  <si>
    <t>03442217791</t>
  </si>
  <si>
    <t>Kamran Zaidi</t>
  </si>
  <si>
    <t>03242744563</t>
  </si>
  <si>
    <t>~𓂀 𝕄𝕚𝕣 𝕂𝕒𝕤𝕙𝕚𝕗 𝕆𝕣𝕒𝕜ℤ𝕒𝕚 𓂀</t>
  </si>
  <si>
    <t>03302362877</t>
  </si>
  <si>
    <t>Khan</t>
  </si>
  <si>
    <t>03347579442</t>
  </si>
  <si>
    <t>03017462454</t>
  </si>
  <si>
    <t>Raess Ahmed</t>
  </si>
  <si>
    <t>03139793063</t>
  </si>
  <si>
    <t>03012926664</t>
  </si>
  <si>
    <t>Adeel</t>
  </si>
  <si>
    <t>03331259697</t>
  </si>
  <si>
    <t>~saifal</t>
  </si>
  <si>
    <t>03107806479</t>
  </si>
  <si>
    <t>Moiz Aly</t>
  </si>
  <si>
    <t>03402671874</t>
  </si>
  <si>
    <t>Warda</t>
  </si>
  <si>
    <t>03341387080</t>
  </si>
  <si>
    <t>03337823566</t>
  </si>
  <si>
    <t>S.Mubashir Haider</t>
  </si>
  <si>
    <t>03332164009</t>
  </si>
  <si>
    <t>03323297171</t>
  </si>
  <si>
    <t>Hashir</t>
  </si>
  <si>
    <t>03216006760</t>
  </si>
  <si>
    <t>Imran N</t>
  </si>
  <si>
    <t>03143295177</t>
  </si>
  <si>
    <t>Niaz Ali</t>
  </si>
  <si>
    <t>03054146737</t>
  </si>
  <si>
    <t>Rajazain</t>
  </si>
  <si>
    <t>03030106567</t>
  </si>
  <si>
    <t>Zeeshan Tahir</t>
  </si>
  <si>
    <t>03454593345</t>
  </si>
  <si>
    <t>~syedmuhammadadeel78</t>
  </si>
  <si>
    <t>7172 1044</t>
  </si>
  <si>
    <t>03312085589</t>
  </si>
  <si>
    <t>03024897233</t>
  </si>
  <si>
    <t>Zai</t>
  </si>
  <si>
    <t>03173124483</t>
  </si>
  <si>
    <t>Roseparker</t>
  </si>
  <si>
    <t>7763 480361</t>
  </si>
  <si>
    <t>Wahab</t>
  </si>
  <si>
    <t>03225434250</t>
  </si>
  <si>
    <t>~Ihsan Ullah</t>
  </si>
  <si>
    <t>03205993281</t>
  </si>
  <si>
    <t>~Silent</t>
  </si>
  <si>
    <t>03038397255</t>
  </si>
  <si>
    <t>03347635476</t>
  </si>
  <si>
    <t>~Nasir</t>
  </si>
  <si>
    <t>03452553219</t>
  </si>
  <si>
    <t>Wajid Ishfaq</t>
  </si>
  <si>
    <t>03224226662</t>
  </si>
  <si>
    <t>Rahim Kolachi</t>
  </si>
  <si>
    <t>03483138265</t>
  </si>
  <si>
    <t>Muhammad Tawha</t>
  </si>
  <si>
    <t>03219565123</t>
  </si>
  <si>
    <t>Mehak Muhammad</t>
  </si>
  <si>
    <t>03217466052</t>
  </si>
  <si>
    <t>~Jan</t>
  </si>
  <si>
    <t>03159112752</t>
  </si>
  <si>
    <t>03453252771</t>
  </si>
  <si>
    <t>03492616566</t>
  </si>
  <si>
    <t>azharrkhan10</t>
  </si>
  <si>
    <t>03228187096</t>
  </si>
  <si>
    <t>03462273198</t>
  </si>
  <si>
    <t>03245402912</t>
  </si>
  <si>
    <t>shariyar</t>
  </si>
  <si>
    <t>03191531645</t>
  </si>
  <si>
    <t>03423983003</t>
  </si>
  <si>
    <t>Syeda Zainab</t>
  </si>
  <si>
    <t>03173754019</t>
  </si>
  <si>
    <t>~Adil</t>
  </si>
  <si>
    <t>03028108871</t>
  </si>
  <si>
    <t>~Nafees Ahmed Malik</t>
  </si>
  <si>
    <t>03075350126</t>
  </si>
  <si>
    <t>Adnan</t>
  </si>
  <si>
    <t>03194375692</t>
  </si>
  <si>
    <t>Sadaf Akhtar</t>
  </si>
  <si>
    <t>03245086057</t>
  </si>
  <si>
    <t>03081624810</t>
  </si>
  <si>
    <t>03015789028</t>
  </si>
  <si>
    <t>03215326981</t>
  </si>
  <si>
    <t>03133167433</t>
  </si>
  <si>
    <t>03353911688</t>
  </si>
  <si>
    <t>R.A</t>
  </si>
  <si>
    <t>03112616016</t>
  </si>
  <si>
    <t>~Hamza Waseem Siddiqui</t>
  </si>
  <si>
    <t>03224741805</t>
  </si>
  <si>
    <t>03205908939</t>
  </si>
  <si>
    <t>~Muhammad Waleed Nadeem</t>
  </si>
  <si>
    <t>03208459960</t>
  </si>
  <si>
    <t>Aadi Buriro</t>
  </si>
  <si>
    <t>03283035027</t>
  </si>
  <si>
    <t>03152007315</t>
  </si>
  <si>
    <t>amiriqbal</t>
  </si>
  <si>
    <t>03044823641</t>
  </si>
  <si>
    <t>Muhammad Rahman Ul Haq</t>
  </si>
  <si>
    <t>03046672323</t>
  </si>
  <si>
    <t>Zaheer Saqib</t>
  </si>
  <si>
    <t>03333963788</t>
  </si>
  <si>
    <t>ArtVista</t>
  </si>
  <si>
    <t>03060711235</t>
  </si>
  <si>
    <t>03203503809</t>
  </si>
  <si>
    <t>Tariq</t>
  </si>
  <si>
    <t>03213301171</t>
  </si>
  <si>
    <t>zafar</t>
  </si>
  <si>
    <t>03080000804</t>
  </si>
  <si>
    <t>haseeb</t>
  </si>
  <si>
    <t>03115823195</t>
  </si>
  <si>
    <t xml:space="preserve">Mohammed Zain Raza </t>
  </si>
  <si>
    <t>03312331125</t>
  </si>
  <si>
    <t xml:space="preserve">Hanzala Hussain Qureshi </t>
  </si>
  <si>
    <t>03330791999</t>
  </si>
  <si>
    <t>9/8/2024</t>
  </si>
  <si>
    <t xml:space="preserve">Huzaifa Hussain Qureshi </t>
  </si>
  <si>
    <t>03330609333</t>
  </si>
  <si>
    <t>Gian Singh</t>
  </si>
  <si>
    <t>03498678302</t>
  </si>
  <si>
    <t>19/8/2024 10:16AM</t>
  </si>
  <si>
    <t>03143054262</t>
  </si>
  <si>
    <t>Maham</t>
  </si>
  <si>
    <t>03233289618</t>
  </si>
  <si>
    <t>Syed Misbah</t>
  </si>
  <si>
    <t>03347621131</t>
  </si>
  <si>
    <t>19/8/2024 10:20AM</t>
  </si>
  <si>
    <t>Saleha Nasir</t>
  </si>
  <si>
    <t>03123238640</t>
  </si>
  <si>
    <t>19/8/2024 10:21AM</t>
  </si>
  <si>
    <t>Hassan Khan</t>
  </si>
  <si>
    <t>03489096822</t>
  </si>
  <si>
    <t>19/8/2024 10:32AM</t>
  </si>
  <si>
    <t>Hassan Ahmed</t>
  </si>
  <si>
    <t>03187625351</t>
  </si>
  <si>
    <t>20/8/2024 02:28PM</t>
  </si>
  <si>
    <t>Muhammad Shafi</t>
  </si>
  <si>
    <t>03481520937</t>
  </si>
  <si>
    <t>19/8/2024 10:37AM</t>
  </si>
  <si>
    <t>Abdul Majeed</t>
  </si>
  <si>
    <t>03472026955</t>
  </si>
  <si>
    <t>19/8/2024 10:38AM</t>
  </si>
  <si>
    <t>03100030590</t>
  </si>
  <si>
    <t>03333116295</t>
  </si>
  <si>
    <t>Sajid Ali</t>
  </si>
  <si>
    <t>03332052134</t>
  </si>
  <si>
    <t>19/8/2024 10:47AM</t>
  </si>
  <si>
    <t>Ramsha Durrani</t>
  </si>
  <si>
    <t>03362568290</t>
  </si>
  <si>
    <t>22/8/2024 05:22PM</t>
  </si>
  <si>
    <t>03212603492</t>
  </si>
  <si>
    <t>19/8/2024 11:05AM</t>
  </si>
  <si>
    <t>Ghulam Muhammad Lohar</t>
  </si>
  <si>
    <t>03343799117</t>
  </si>
  <si>
    <t>19/8/2024 11:07AM</t>
  </si>
  <si>
    <t>Ahsan Irshad</t>
  </si>
  <si>
    <t>03062470127</t>
  </si>
  <si>
    <t>Marium Zia</t>
  </si>
  <si>
    <t>03352665503</t>
  </si>
  <si>
    <t>19/8/2024 11:14AM</t>
  </si>
  <si>
    <t>03322148236</t>
  </si>
  <si>
    <t>19/8/2024 11:15AM</t>
  </si>
  <si>
    <t>03352134788</t>
  </si>
  <si>
    <t>19/8/2024 11:18AM</t>
  </si>
  <si>
    <t>00971501185142</t>
  </si>
  <si>
    <t>Amir Bux Chandio</t>
  </si>
  <si>
    <t>03063817277</t>
  </si>
  <si>
    <t>Haroon Sherwani</t>
  </si>
  <si>
    <t>03087030505</t>
  </si>
  <si>
    <t>Noman</t>
  </si>
  <si>
    <t>03102235714</t>
  </si>
  <si>
    <t>19/8/2024 12:40PM</t>
  </si>
  <si>
    <t>Azlan Qureshi</t>
  </si>
  <si>
    <t>03132484049</t>
  </si>
  <si>
    <t xml:space="preserve">02/09/2024 </t>
  </si>
  <si>
    <t>Shahmir Khan</t>
  </si>
  <si>
    <t>03128488428</t>
  </si>
  <si>
    <t>19/8/2024 12:42PM</t>
  </si>
  <si>
    <t>Intasar</t>
  </si>
  <si>
    <t>03332189743</t>
  </si>
  <si>
    <t>19/8/2024 12:44PM</t>
  </si>
  <si>
    <t>Ammaz</t>
  </si>
  <si>
    <t>03224119285</t>
  </si>
  <si>
    <t>19/8/2024 12:45PM</t>
  </si>
  <si>
    <t>Referred to</t>
  </si>
  <si>
    <t>Sohail Ahmed</t>
  </si>
  <si>
    <t>03300266347</t>
  </si>
  <si>
    <t>19/8/2024 12:46PM</t>
  </si>
  <si>
    <t>Hamza Khalil</t>
  </si>
  <si>
    <t>03037600982</t>
  </si>
  <si>
    <t>05/9/2024</t>
  </si>
  <si>
    <t>Rajveer</t>
  </si>
  <si>
    <t>03421824287</t>
  </si>
  <si>
    <t>19/8/2024 12:54PM</t>
  </si>
  <si>
    <t>Dr.Abdul Muqtadir Khan</t>
  </si>
  <si>
    <t>03178006463</t>
  </si>
  <si>
    <t>03022217117</t>
  </si>
  <si>
    <t>03322009458</t>
  </si>
  <si>
    <t>03196192827</t>
  </si>
  <si>
    <t>03196052255</t>
  </si>
  <si>
    <t>Abdul Moiz</t>
  </si>
  <si>
    <t>03212050910</t>
  </si>
  <si>
    <t>Saima Faisal</t>
  </si>
  <si>
    <t>03350218524</t>
  </si>
  <si>
    <t>Maham Farooq</t>
  </si>
  <si>
    <t>03312695017</t>
  </si>
  <si>
    <t>1/9/2024</t>
  </si>
  <si>
    <t>03343711460</t>
  </si>
  <si>
    <t>Bakhtawar</t>
  </si>
  <si>
    <t>03322155355</t>
  </si>
  <si>
    <t>Raza</t>
  </si>
  <si>
    <t>03323562086</t>
  </si>
  <si>
    <t>03/09/2024</t>
  </si>
  <si>
    <t>03151187982</t>
  </si>
  <si>
    <t>Zubair Noor</t>
  </si>
  <si>
    <t>03161025257</t>
  </si>
  <si>
    <t>Babar Rustam</t>
  </si>
  <si>
    <t>03083180160</t>
  </si>
  <si>
    <t>Faraz uz Zafar</t>
  </si>
  <si>
    <t>03332292413</t>
  </si>
  <si>
    <t>Abdul wasay</t>
  </si>
  <si>
    <t>03337674146</t>
  </si>
  <si>
    <t>Romela Zaynab</t>
  </si>
  <si>
    <t>00447858504292</t>
  </si>
  <si>
    <t>Ahmed Raza</t>
  </si>
  <si>
    <t>03461110418</t>
  </si>
  <si>
    <t>19/8/2024 10:02AM</t>
  </si>
  <si>
    <t>Shumaila Abbas</t>
  </si>
  <si>
    <t>03018172092</t>
  </si>
  <si>
    <t>Muhammad Shakeel Ajmal</t>
  </si>
  <si>
    <t>03073881848</t>
  </si>
  <si>
    <t>19/8/2024 10:25AM</t>
  </si>
  <si>
    <t>Muhammad Junaid</t>
  </si>
  <si>
    <t>03358294549</t>
  </si>
  <si>
    <t>Faseeh Khan</t>
  </si>
  <si>
    <t>03255314511</t>
  </si>
  <si>
    <t>03313929635</t>
  </si>
  <si>
    <t>Imran Zakir</t>
  </si>
  <si>
    <t>03121275767</t>
  </si>
  <si>
    <t>19/8/2024 10:51AM</t>
  </si>
  <si>
    <t>03133892096</t>
  </si>
  <si>
    <t>19/8/2024 10:53AM</t>
  </si>
  <si>
    <t>Gautam</t>
  </si>
  <si>
    <t>03352157760</t>
  </si>
  <si>
    <t>19/8/2024 10:54AM</t>
  </si>
  <si>
    <t>Asma Imran</t>
  </si>
  <si>
    <t>03335319306</t>
  </si>
  <si>
    <t>03203784579</t>
  </si>
  <si>
    <t>Hamza Ahad</t>
  </si>
  <si>
    <t>03343664131</t>
  </si>
  <si>
    <t>Malik Adeel</t>
  </si>
  <si>
    <t>03000330517</t>
  </si>
  <si>
    <t>03348666401</t>
  </si>
  <si>
    <t>Bilal Ahmed Umrani</t>
  </si>
  <si>
    <t>03442327579</t>
  </si>
  <si>
    <t>Tanzeela Arib</t>
  </si>
  <si>
    <t>03006572120</t>
  </si>
  <si>
    <t>Anjum</t>
  </si>
  <si>
    <t>03258722465</t>
  </si>
  <si>
    <t>21/8/2024 10:55AM</t>
  </si>
  <si>
    <t>Ashique Jafferi</t>
  </si>
  <si>
    <t>03333223867</t>
  </si>
  <si>
    <t>21/8/2024 11:09AM</t>
  </si>
  <si>
    <t>03117314932</t>
  </si>
  <si>
    <t>03198474007</t>
  </si>
  <si>
    <t>Basit</t>
  </si>
  <si>
    <t>03022558833</t>
  </si>
  <si>
    <t>21/8/2024 11:21AM</t>
  </si>
  <si>
    <t>03129827256</t>
  </si>
  <si>
    <t>Hassan Farooq</t>
  </si>
  <si>
    <t>03008400703</t>
  </si>
  <si>
    <t>03327969441</t>
  </si>
  <si>
    <t>Raheel Ahmed</t>
  </si>
  <si>
    <t>03214934541</t>
  </si>
  <si>
    <t>Umme Arqam</t>
  </si>
  <si>
    <t>03333885359</t>
  </si>
  <si>
    <t>Khadija Abbas</t>
  </si>
  <si>
    <t>03208247655</t>
  </si>
  <si>
    <t>Sumbul Ansari</t>
  </si>
  <si>
    <t>03132964508</t>
  </si>
  <si>
    <t>21/8/2024 02:02PM</t>
  </si>
  <si>
    <t>03058855570</t>
  </si>
  <si>
    <t>21/8/2024 02:07PM</t>
  </si>
  <si>
    <t>Zeeshan Ali</t>
  </si>
  <si>
    <t>03332058499</t>
  </si>
  <si>
    <t>Hammad Mughal</t>
  </si>
  <si>
    <t>03162641958</t>
  </si>
  <si>
    <t>03422645659</t>
  </si>
  <si>
    <t>Zaheer Ahmed</t>
  </si>
  <si>
    <t>00447448856192</t>
  </si>
  <si>
    <t>03222617011</t>
  </si>
  <si>
    <t>Shoaib Ahmed</t>
  </si>
  <si>
    <t>03198315403</t>
  </si>
  <si>
    <t>Ali Akbar Siyal</t>
  </si>
  <si>
    <t>03073873563</t>
  </si>
  <si>
    <t>Muhammad Ahmad Mansoor</t>
  </si>
  <si>
    <t>03247590281</t>
  </si>
  <si>
    <t>03112080932</t>
  </si>
  <si>
    <t>Ch. Asghar Gujjar</t>
  </si>
  <si>
    <t>03146742535</t>
  </si>
  <si>
    <t>03174710378</t>
  </si>
  <si>
    <t>Ahmed Azeem</t>
  </si>
  <si>
    <t>03448161914</t>
  </si>
  <si>
    <t>Sassi Mumtaz</t>
  </si>
  <si>
    <t>03492290264</t>
  </si>
  <si>
    <t>Aamir</t>
  </si>
  <si>
    <t>03048978182</t>
  </si>
  <si>
    <t>21/8/2024 04:38PM</t>
  </si>
  <si>
    <t>03203051143</t>
  </si>
  <si>
    <t>Zain</t>
  </si>
  <si>
    <t>03323694915</t>
  </si>
  <si>
    <t>21/8/2024 04:46PM</t>
  </si>
  <si>
    <t>Syed Nabeel Hussain</t>
  </si>
  <si>
    <t>03322828655</t>
  </si>
  <si>
    <t>Kamran Waseem</t>
  </si>
  <si>
    <t>03108080828</t>
  </si>
  <si>
    <t>21/8/2024 05:06PM</t>
  </si>
  <si>
    <t>03410086198</t>
  </si>
  <si>
    <t>21/8/2024 05:16PM</t>
  </si>
  <si>
    <t>03053758930</t>
  </si>
  <si>
    <t>21/8/2024 05:24PM</t>
  </si>
  <si>
    <t>Aon Mohammad</t>
  </si>
  <si>
    <t>03006890863</t>
  </si>
  <si>
    <t>21/8/2024 05:34PM</t>
  </si>
  <si>
    <t>Muhammad Ali Dahar</t>
  </si>
  <si>
    <t>03028627548</t>
  </si>
  <si>
    <t>Muhammad Bashir Ahmed</t>
  </si>
  <si>
    <t>03432810890</t>
  </si>
  <si>
    <t>03102448066</t>
  </si>
  <si>
    <t>03174567046</t>
  </si>
  <si>
    <t>03554446287</t>
  </si>
  <si>
    <t>Asjad Gull</t>
  </si>
  <si>
    <t>03013893501</t>
  </si>
  <si>
    <t>22/8/2024 05:34PM</t>
  </si>
  <si>
    <t>Hafiz Muhammad Burhan</t>
  </si>
  <si>
    <t>03284049706</t>
  </si>
  <si>
    <t>22/8/2024 12:42PM</t>
  </si>
  <si>
    <t>03161686260</t>
  </si>
  <si>
    <t>22/8/2024 01:40PM</t>
  </si>
  <si>
    <t>Aqsa Shahid</t>
  </si>
  <si>
    <t>03172684030</t>
  </si>
  <si>
    <t>22/8/2024 01:43PM</t>
  </si>
  <si>
    <t>Awais Malik</t>
  </si>
  <si>
    <t>03306766104</t>
  </si>
  <si>
    <t>Kamran A.Khan</t>
  </si>
  <si>
    <t>03142000506</t>
  </si>
  <si>
    <t>00013322525934</t>
  </si>
  <si>
    <t>Marium Azhar</t>
  </si>
  <si>
    <t>03002000160</t>
  </si>
  <si>
    <t>Awais Farooqui</t>
  </si>
  <si>
    <t>03112599303</t>
  </si>
  <si>
    <t>03002526953</t>
  </si>
  <si>
    <t>03333476728</t>
  </si>
  <si>
    <t>Syed Rehman Shah</t>
  </si>
  <si>
    <t>03218205432</t>
  </si>
  <si>
    <t>03343818945</t>
  </si>
  <si>
    <t>03212276768</t>
  </si>
  <si>
    <t>22/8/2024 05:03PM</t>
  </si>
  <si>
    <t>Azam Khan</t>
  </si>
  <si>
    <t>03028295699</t>
  </si>
  <si>
    <t>22/8/2024 06:53PM</t>
  </si>
  <si>
    <t>Bilal</t>
  </si>
  <si>
    <t>03016006297</t>
  </si>
  <si>
    <t>22/8/2024 07:10PM</t>
  </si>
  <si>
    <t>Qamber</t>
  </si>
  <si>
    <t>03422574665</t>
  </si>
  <si>
    <t>Aasma Mehak</t>
  </si>
  <si>
    <t>03498966053</t>
  </si>
  <si>
    <t>Yahya</t>
  </si>
  <si>
    <t>03216650032</t>
  </si>
  <si>
    <t>Areeba Amjad</t>
  </si>
  <si>
    <t>03466539486</t>
  </si>
  <si>
    <t>Ahsan Aan</t>
  </si>
  <si>
    <t>03002136506</t>
  </si>
  <si>
    <t>03328939828</t>
  </si>
  <si>
    <t>Muhammad Faizan</t>
  </si>
  <si>
    <t>03183831931</t>
  </si>
  <si>
    <t>Ather Suleman</t>
  </si>
  <si>
    <t>03339292914</t>
  </si>
  <si>
    <t>Sohaib Asif</t>
  </si>
  <si>
    <t>03316080648</t>
  </si>
  <si>
    <t>03438881601</t>
  </si>
  <si>
    <t>Khayyam S Abbasi</t>
  </si>
  <si>
    <t>03315254992</t>
  </si>
  <si>
    <t>Muhammad Khalid</t>
  </si>
  <si>
    <t>03449131363</t>
  </si>
  <si>
    <t>Saif</t>
  </si>
  <si>
    <t>03454088077</t>
  </si>
  <si>
    <t>03058579961</t>
  </si>
  <si>
    <t>Mohammed Afzal Yakoob</t>
  </si>
  <si>
    <t>03072330256</t>
  </si>
  <si>
    <t>Muhammad Kashif</t>
  </si>
  <si>
    <t>03337333970</t>
  </si>
  <si>
    <t>Zahid Mushtaq</t>
  </si>
  <si>
    <t>03044839706</t>
  </si>
  <si>
    <t>03352700381</t>
  </si>
  <si>
    <t>Faizan Azam</t>
  </si>
  <si>
    <t>03359017632</t>
  </si>
  <si>
    <t>Hani</t>
  </si>
  <si>
    <t>03337898944</t>
  </si>
  <si>
    <t>03369432508</t>
  </si>
  <si>
    <t>Saify</t>
  </si>
  <si>
    <t>03345033891</t>
  </si>
  <si>
    <t>Hamud Yousuf</t>
  </si>
  <si>
    <t>03295859679</t>
  </si>
  <si>
    <t>Muhammad Saad</t>
  </si>
  <si>
    <t>03495315474</t>
  </si>
  <si>
    <t>03049557544</t>
  </si>
  <si>
    <t>001(737)3073935</t>
  </si>
  <si>
    <t>Anfas</t>
  </si>
  <si>
    <t>03135775513</t>
  </si>
  <si>
    <t>03287806426</t>
  </si>
  <si>
    <t>Hamzala Mohmand</t>
  </si>
  <si>
    <t>03100906678</t>
  </si>
  <si>
    <t>03336574060</t>
  </si>
  <si>
    <t>Nasir Ali</t>
  </si>
  <si>
    <t>03015721213</t>
  </si>
  <si>
    <t>Zainullah</t>
  </si>
  <si>
    <t>03495150151</t>
  </si>
  <si>
    <t>Ultimate Python Bootcamp</t>
  </si>
  <si>
    <t>03333062228</t>
  </si>
  <si>
    <t>Bilal Tariq</t>
  </si>
  <si>
    <t>03095600587</t>
  </si>
  <si>
    <t>03057884191</t>
  </si>
  <si>
    <t>03190292199</t>
  </si>
  <si>
    <t>03448886751</t>
  </si>
  <si>
    <t>Dr. Shakeel Mahmood</t>
  </si>
  <si>
    <t>03465250360</t>
  </si>
  <si>
    <t>03177838154</t>
  </si>
  <si>
    <t>Hamid</t>
  </si>
  <si>
    <t>03002519048</t>
  </si>
  <si>
    <t>03313508489</t>
  </si>
  <si>
    <t>Ahmed Malik</t>
  </si>
  <si>
    <t>03193608483</t>
  </si>
  <si>
    <t>Naveed</t>
  </si>
  <si>
    <t>03078493050</t>
  </si>
  <si>
    <t>Faisal Rashid</t>
  </si>
  <si>
    <t>03335414805</t>
  </si>
  <si>
    <t>Arshad Usman</t>
  </si>
  <si>
    <t>03183608483</t>
  </si>
  <si>
    <t>Manahil</t>
  </si>
  <si>
    <t>03046228030</t>
  </si>
  <si>
    <t>Mariam Amin</t>
  </si>
  <si>
    <t>03218425206</t>
  </si>
  <si>
    <t>Amir Ali</t>
  </si>
  <si>
    <t>03209408374</t>
  </si>
  <si>
    <t>Daniyal Haider</t>
  </si>
  <si>
    <t>03318121989</t>
  </si>
  <si>
    <t>03039872940</t>
  </si>
  <si>
    <t>03357382614</t>
  </si>
  <si>
    <t>23/08/2024</t>
  </si>
  <si>
    <t>M. Junaid ul Hassan</t>
  </si>
  <si>
    <t>03022546056</t>
  </si>
  <si>
    <t>Sarfaraz Ali</t>
  </si>
  <si>
    <t>03016941955</t>
  </si>
  <si>
    <t>03361954970</t>
  </si>
  <si>
    <t>03030504488</t>
  </si>
  <si>
    <t>03125194973</t>
  </si>
  <si>
    <t>03234684590</t>
  </si>
  <si>
    <t>03019558459</t>
  </si>
  <si>
    <t>03276071297</t>
  </si>
  <si>
    <t>03319167778</t>
  </si>
  <si>
    <t>03330711555</t>
  </si>
  <si>
    <t>03163551744</t>
  </si>
  <si>
    <t>Rabbia</t>
  </si>
  <si>
    <t>03344371189</t>
  </si>
  <si>
    <t>03474764942</t>
  </si>
  <si>
    <t>03026621241</t>
  </si>
  <si>
    <t>03360757501</t>
  </si>
  <si>
    <t>03465665575</t>
  </si>
  <si>
    <t>03345221086</t>
  </si>
  <si>
    <t>Zeeshan Ahmad</t>
  </si>
  <si>
    <t>03478241789</t>
  </si>
  <si>
    <t>03333880040</t>
  </si>
  <si>
    <t>03216004687</t>
  </si>
  <si>
    <t>27/08/2024</t>
  </si>
  <si>
    <t>Haroon Ashraf</t>
  </si>
  <si>
    <t>03244182738</t>
  </si>
  <si>
    <t>Khyaam</t>
  </si>
  <si>
    <t>03454099873</t>
  </si>
  <si>
    <t>03053065685</t>
  </si>
  <si>
    <t>27/08/2024 04:30PM</t>
  </si>
  <si>
    <t>Sidra Ikram</t>
  </si>
  <si>
    <t>03021140820</t>
  </si>
  <si>
    <t>27/08/2024 04:26PM</t>
  </si>
  <si>
    <t>Jamal Yaqoon Baig</t>
  </si>
  <si>
    <t>03360475033</t>
  </si>
  <si>
    <t>03176719796</t>
  </si>
  <si>
    <t>03013269377</t>
  </si>
  <si>
    <t>03081816004</t>
  </si>
  <si>
    <t>03069794269</t>
  </si>
  <si>
    <t>27/08/2024 12:02PM</t>
  </si>
  <si>
    <t>Umaima</t>
  </si>
  <si>
    <t>03325280833</t>
  </si>
  <si>
    <t>03207007711</t>
  </si>
  <si>
    <t>27/08/2024 1:00PM</t>
  </si>
  <si>
    <t>03159406253</t>
  </si>
  <si>
    <t>Abdul Haseeb</t>
  </si>
  <si>
    <t>03074725688</t>
  </si>
  <si>
    <t>Muhammad Hamza</t>
  </si>
  <si>
    <t>03166399649</t>
  </si>
  <si>
    <t>27/08/2024 12:47PM</t>
  </si>
  <si>
    <t>03082397323</t>
  </si>
  <si>
    <t>27/08/2024 12:44PM</t>
  </si>
  <si>
    <t>03082070202</t>
  </si>
  <si>
    <t>03394077515</t>
  </si>
  <si>
    <t>03204590581</t>
  </si>
  <si>
    <t>BM Pharmacy</t>
  </si>
  <si>
    <t>03136880061</t>
  </si>
  <si>
    <t>27/08/2024 12:39PM</t>
  </si>
  <si>
    <t>Muhammad ishaq</t>
  </si>
  <si>
    <t>03069689844</t>
  </si>
  <si>
    <t>Dua Iqra</t>
  </si>
  <si>
    <t>03170653523</t>
  </si>
  <si>
    <t>Roman</t>
  </si>
  <si>
    <t>03479068453</t>
  </si>
  <si>
    <t>Ali Raza</t>
  </si>
  <si>
    <t>03000218165</t>
  </si>
  <si>
    <t>03115317873</t>
  </si>
  <si>
    <t>03184898993</t>
  </si>
  <si>
    <t>03358066802</t>
  </si>
  <si>
    <t>23/8/2025</t>
  </si>
  <si>
    <t>03322557530</t>
  </si>
  <si>
    <t>03228854426</t>
  </si>
  <si>
    <t>03300393908</t>
  </si>
  <si>
    <t>03008253171</t>
  </si>
  <si>
    <t>Sarfaraz Abbasi</t>
  </si>
  <si>
    <t>03453049792</t>
  </si>
  <si>
    <t>03234487505</t>
  </si>
  <si>
    <t>03312249904</t>
  </si>
  <si>
    <t>23/8/2026</t>
  </si>
  <si>
    <t>Muhammad Anfas</t>
  </si>
  <si>
    <t>03335427099</t>
  </si>
  <si>
    <t>23/8/2027</t>
  </si>
  <si>
    <t>Zain ul Abdin</t>
  </si>
  <si>
    <t>03193720264</t>
  </si>
  <si>
    <t>03138389161</t>
  </si>
  <si>
    <t>03088800930</t>
  </si>
  <si>
    <t>Syed Muhammad Usman</t>
  </si>
  <si>
    <t>03004605333</t>
  </si>
  <si>
    <t>23/8/2028</t>
  </si>
  <si>
    <t>03174015276</t>
  </si>
  <si>
    <t>Atif Hussain</t>
  </si>
  <si>
    <t>03247716550</t>
  </si>
  <si>
    <t>03004669397</t>
  </si>
  <si>
    <t>23/8/2029</t>
  </si>
  <si>
    <t>03258389256</t>
  </si>
  <si>
    <t>23/8/2030</t>
  </si>
  <si>
    <t>03174143375</t>
  </si>
  <si>
    <t>03045099998</t>
  </si>
  <si>
    <t>03120643634</t>
  </si>
  <si>
    <t>23/8/2031</t>
  </si>
  <si>
    <t>Sajjad Ahmed</t>
  </si>
  <si>
    <t>03125096350</t>
  </si>
  <si>
    <t>Irtaza Saleem</t>
  </si>
  <si>
    <t>03366656900</t>
  </si>
  <si>
    <t>23/8/2032</t>
  </si>
  <si>
    <t>Abdul Basit</t>
  </si>
  <si>
    <t>03492014236</t>
  </si>
  <si>
    <t>23/8/2033</t>
  </si>
  <si>
    <t>Abdul Karim</t>
  </si>
  <si>
    <t>03153719680</t>
  </si>
  <si>
    <t>Abdullah</t>
  </si>
  <si>
    <t>03176054852</t>
  </si>
  <si>
    <t>23/8/2034</t>
  </si>
  <si>
    <t>Ahmed Akram</t>
  </si>
  <si>
    <t>03025249091</t>
  </si>
  <si>
    <t>Saad Ch.</t>
  </si>
  <si>
    <t>03214205547</t>
  </si>
  <si>
    <t>03/9/2024</t>
  </si>
  <si>
    <t>Nayab Raza</t>
  </si>
  <si>
    <t>03002961226</t>
  </si>
  <si>
    <t>Asim</t>
  </si>
  <si>
    <t>03222449762</t>
  </si>
  <si>
    <t>Shehzad Fida</t>
  </si>
  <si>
    <t>03158811718</t>
  </si>
  <si>
    <t>Saif ur Rehman</t>
  </si>
  <si>
    <t>03228888308</t>
  </si>
  <si>
    <t>Talib Hussain</t>
  </si>
  <si>
    <t>03183937198</t>
  </si>
  <si>
    <t>Muhammad Hassan</t>
  </si>
  <si>
    <t>03341986003</t>
  </si>
  <si>
    <t>02/9/2024</t>
  </si>
  <si>
    <t>Muhammad Siddiqui</t>
  </si>
  <si>
    <t>03448219224</t>
  </si>
  <si>
    <t>Salman Ahmed</t>
  </si>
  <si>
    <t>03122399700</t>
  </si>
  <si>
    <t>Sara Farhan</t>
  </si>
  <si>
    <t>03472451949</t>
  </si>
  <si>
    <t>Shahzad</t>
  </si>
  <si>
    <t>03072521336</t>
  </si>
  <si>
    <t>03472970185</t>
  </si>
  <si>
    <t>03113694446</t>
  </si>
  <si>
    <t>Tausif Rabbani</t>
  </si>
  <si>
    <t>03470541341</t>
  </si>
  <si>
    <t>Haris</t>
  </si>
  <si>
    <t>03164172135</t>
  </si>
  <si>
    <t>03433658051</t>
  </si>
  <si>
    <t>00971524317567</t>
  </si>
  <si>
    <t>03482211011</t>
  </si>
  <si>
    <t>03441800101</t>
  </si>
  <si>
    <t>03432912390</t>
  </si>
  <si>
    <t>03001015673</t>
  </si>
  <si>
    <t>Muhammad Imran Tai</t>
  </si>
  <si>
    <t>03222390990</t>
  </si>
  <si>
    <t>Omair</t>
  </si>
  <si>
    <t>03432503727</t>
  </si>
  <si>
    <t>03215594399</t>
  </si>
  <si>
    <t>03102657973</t>
  </si>
  <si>
    <t>Muhammad Waseem</t>
  </si>
  <si>
    <t>03185309589</t>
  </si>
  <si>
    <t>03333137719</t>
  </si>
  <si>
    <t>03480418397</t>
  </si>
  <si>
    <t>Anas Ahmed Khan</t>
  </si>
  <si>
    <t>03442026551</t>
  </si>
  <si>
    <t>03323241467</t>
  </si>
  <si>
    <t>Muhammad Shammas</t>
  </si>
  <si>
    <t>03304102452</t>
  </si>
  <si>
    <t>Syed Muhammad Abbas</t>
  </si>
  <si>
    <t>03312123321</t>
  </si>
  <si>
    <t>Ahmed Moez</t>
  </si>
  <si>
    <t>03315335699</t>
  </si>
  <si>
    <t>03335240724</t>
  </si>
  <si>
    <t>03374746111</t>
  </si>
  <si>
    <t>Khizar Mehmood</t>
  </si>
  <si>
    <t>03115973154</t>
  </si>
  <si>
    <t>Ilyas</t>
  </si>
  <si>
    <t>03225577657</t>
  </si>
  <si>
    <t>Imran Khan</t>
  </si>
  <si>
    <t>03052954949</t>
  </si>
  <si>
    <t>M.hamza</t>
  </si>
  <si>
    <t>03146581344</t>
  </si>
  <si>
    <t>6/9//2024</t>
  </si>
  <si>
    <t>Siraj M. Amin</t>
  </si>
  <si>
    <t>03432843558</t>
  </si>
  <si>
    <t>Mushtaq</t>
  </si>
  <si>
    <t>03105576009</t>
  </si>
  <si>
    <t>Naeem Minhas</t>
  </si>
  <si>
    <t>03459258816</t>
  </si>
  <si>
    <t>09/9/2024</t>
  </si>
  <si>
    <t>Data Analytics Bootcamp</t>
  </si>
  <si>
    <t>03209153800</t>
  </si>
  <si>
    <t>Irfan Shah</t>
  </si>
  <si>
    <t>03121169733</t>
  </si>
  <si>
    <t>03015913041</t>
  </si>
  <si>
    <t>03287942407</t>
  </si>
  <si>
    <t>Deepak Kumar</t>
  </si>
  <si>
    <t>03233113948</t>
  </si>
  <si>
    <t>Muhammad Jamil</t>
  </si>
  <si>
    <t>03323177543</t>
  </si>
  <si>
    <t>Hasnain Moawia</t>
  </si>
  <si>
    <t>03135532380</t>
  </si>
  <si>
    <t>03104880624</t>
  </si>
  <si>
    <t>Sidratul Muntaha</t>
  </si>
  <si>
    <t>03206873001</t>
  </si>
  <si>
    <t>Sanna Arsalan</t>
  </si>
  <si>
    <t>03319301620</t>
  </si>
  <si>
    <t>03055423347</t>
  </si>
  <si>
    <t>03026224594</t>
  </si>
  <si>
    <t>Sajid</t>
  </si>
  <si>
    <t>03465398522</t>
  </si>
  <si>
    <t>03034762905</t>
  </si>
  <si>
    <t>Khalid Akmal</t>
  </si>
  <si>
    <t>03440706272</t>
  </si>
  <si>
    <t>03280076456</t>
  </si>
  <si>
    <t>03054601927</t>
  </si>
  <si>
    <t>03279418133</t>
  </si>
  <si>
    <t>Fahad Qazi</t>
  </si>
  <si>
    <t>03481005800</t>
  </si>
  <si>
    <t>Faisal</t>
  </si>
  <si>
    <t>03132509200</t>
  </si>
  <si>
    <t>04/9/2024</t>
  </si>
  <si>
    <t>03105222858</t>
  </si>
  <si>
    <t>Salahuddin Tarrar</t>
  </si>
  <si>
    <t>03060250206</t>
  </si>
  <si>
    <t>03313331512</t>
  </si>
  <si>
    <t>03114282564</t>
  </si>
  <si>
    <t>03259764540</t>
  </si>
  <si>
    <t>Hassan Aziz</t>
  </si>
  <si>
    <t>03326050366</t>
  </si>
  <si>
    <t>03188806083</t>
  </si>
  <si>
    <t>03257755660</t>
  </si>
  <si>
    <t>Hasnain</t>
  </si>
  <si>
    <t>03249204106</t>
  </si>
  <si>
    <t>03321928820</t>
  </si>
  <si>
    <t>Aizaz Rizvi</t>
  </si>
  <si>
    <t>03362506562</t>
  </si>
  <si>
    <t>03129327548</t>
  </si>
  <si>
    <t>Sohaib Sajjad</t>
  </si>
  <si>
    <t>03337911058</t>
  </si>
  <si>
    <t>Uzma</t>
  </si>
  <si>
    <t>03368255760</t>
  </si>
  <si>
    <t>Syed Ahmed</t>
  </si>
  <si>
    <t>03130881294</t>
  </si>
  <si>
    <t>03463139886</t>
  </si>
  <si>
    <t>03009744766</t>
  </si>
  <si>
    <t>03160193434</t>
  </si>
  <si>
    <t>03368153615</t>
  </si>
  <si>
    <t>Ghazia Shah</t>
  </si>
  <si>
    <t>03342078916</t>
  </si>
  <si>
    <t>Saifullah</t>
  </si>
  <si>
    <t>03208380414</t>
  </si>
  <si>
    <t>Mahnoor</t>
  </si>
  <si>
    <t>03244357126</t>
  </si>
  <si>
    <t>Mehwish</t>
  </si>
  <si>
    <t>03000467008</t>
  </si>
  <si>
    <t>Kamran Siyal</t>
  </si>
  <si>
    <t>03092650351</t>
  </si>
  <si>
    <t>06/9/2024</t>
  </si>
  <si>
    <t>Ibrar Anwar</t>
  </si>
  <si>
    <t>03335932392</t>
  </si>
  <si>
    <t>03012233227</t>
  </si>
  <si>
    <t>Muhammad Ali</t>
  </si>
  <si>
    <t>03480266188</t>
  </si>
  <si>
    <t>Habib Sheikh</t>
  </si>
  <si>
    <t>03008651942</t>
  </si>
  <si>
    <t>Rumman</t>
  </si>
  <si>
    <t>03049302934</t>
  </si>
  <si>
    <t>Almas Khan</t>
  </si>
  <si>
    <t>03348975227</t>
  </si>
  <si>
    <t>Sher Muhammad</t>
  </si>
  <si>
    <t>03469009057</t>
  </si>
  <si>
    <t>Raza Fazal</t>
  </si>
  <si>
    <t>03216675200</t>
  </si>
  <si>
    <t>03160079650</t>
  </si>
  <si>
    <t>Date</t>
  </si>
  <si>
    <t>Date of Reach</t>
  </si>
  <si>
    <t>Why join?</t>
  </si>
  <si>
    <t>Called on (Date/Time)</t>
  </si>
  <si>
    <t>First Followup (+2)</t>
  </si>
  <si>
    <t>Second Followup (+5)</t>
  </si>
  <si>
    <t>Third Followup (+7)</t>
  </si>
  <si>
    <t>Fourth Followup (+14)</t>
  </si>
  <si>
    <t>June</t>
  </si>
  <si>
    <t>Tech Fusion Works</t>
  </si>
  <si>
    <t>03222726399</t>
  </si>
  <si>
    <t>The background can be finance, marketing, engineering with __ years of experience</t>
  </si>
  <si>
    <t>July</t>
  </si>
  <si>
    <t>03472483315</t>
  </si>
  <si>
    <t>Faheem Soomro</t>
  </si>
  <si>
    <t>03062115885</t>
  </si>
  <si>
    <t>Umais Jalalkhel</t>
  </si>
  <si>
    <t>03239705489</t>
  </si>
  <si>
    <t>Hadia rizwan</t>
  </si>
  <si>
    <t>03408196357</t>
  </si>
  <si>
    <t>Muhammad Raza</t>
  </si>
  <si>
    <t>03332263248</t>
  </si>
  <si>
    <t>Adnan Anwer Ali</t>
  </si>
  <si>
    <t>03323148262</t>
  </si>
  <si>
    <t>Faizan Rasheed</t>
  </si>
  <si>
    <t>03055567776</t>
  </si>
  <si>
    <t>Abu Hurera</t>
  </si>
  <si>
    <t>03138396788</t>
  </si>
  <si>
    <t>Muhammad Rizwan Hameed</t>
  </si>
  <si>
    <t>03364971887</t>
  </si>
  <si>
    <t>Muhammad Sajid</t>
  </si>
  <si>
    <t>03057795889</t>
  </si>
  <si>
    <t>Kotak</t>
  </si>
  <si>
    <t>03313871037</t>
  </si>
  <si>
    <t>Muhammad Osama Ahmed</t>
  </si>
  <si>
    <t>03342984179</t>
  </si>
  <si>
    <t>03002339269</t>
  </si>
  <si>
    <t>Ismail</t>
  </si>
  <si>
    <t>03420440587</t>
  </si>
  <si>
    <t>Umer Farooq</t>
  </si>
  <si>
    <t>03182554546</t>
  </si>
  <si>
    <t>He wil reconsider</t>
  </si>
  <si>
    <t>Tayyab Ayub</t>
  </si>
  <si>
    <t>03310216049</t>
  </si>
  <si>
    <t>03096345921</t>
  </si>
  <si>
    <t>Abu Usman</t>
  </si>
  <si>
    <t>03408390937</t>
  </si>
  <si>
    <t>03361309426</t>
  </si>
  <si>
    <t>03470800568</t>
  </si>
  <si>
    <t>Abdul Rehman Niazi</t>
  </si>
  <si>
    <t>03022042822</t>
  </si>
  <si>
    <t>Rabia</t>
  </si>
  <si>
    <t>03168934081</t>
  </si>
  <si>
    <t>Arisha Badar</t>
  </si>
  <si>
    <t>03351822157</t>
  </si>
  <si>
    <t xml:space="preserve">Hadia </t>
  </si>
  <si>
    <t>03022418641</t>
  </si>
  <si>
    <t>Done</t>
  </si>
  <si>
    <t>Ummehani Faisal</t>
  </si>
  <si>
    <t>03002160247</t>
  </si>
  <si>
    <t>Talha Ahmed</t>
  </si>
  <si>
    <t>03256615630</t>
  </si>
  <si>
    <t>Nabeed Ashfaq Usmani</t>
  </si>
  <si>
    <t>03303478037</t>
  </si>
  <si>
    <t>03353793307</t>
  </si>
  <si>
    <t>Rahul</t>
  </si>
  <si>
    <t>03333775454</t>
  </si>
  <si>
    <t>Asma</t>
  </si>
  <si>
    <t>03001007887</t>
  </si>
  <si>
    <t>Aug</t>
  </si>
  <si>
    <t>03134749569</t>
  </si>
  <si>
    <t>03214000297</t>
  </si>
  <si>
    <t>Tabinda Hassan</t>
  </si>
  <si>
    <t>03352149953</t>
  </si>
  <si>
    <t>03046664933</t>
  </si>
  <si>
    <t>03252823794</t>
  </si>
  <si>
    <t>Abu Bakr</t>
  </si>
  <si>
    <t>03059972559</t>
  </si>
  <si>
    <t>Sajar Nafees</t>
  </si>
  <si>
    <t>03362334111</t>
  </si>
  <si>
    <t>03213358406</t>
  </si>
  <si>
    <t>03392009799</t>
  </si>
  <si>
    <t>Faiq</t>
  </si>
  <si>
    <t>03095264550</t>
  </si>
  <si>
    <t>03180309993</t>
  </si>
  <si>
    <t>Anoosh</t>
  </si>
  <si>
    <t>03305012922</t>
  </si>
  <si>
    <t>Zeeshan Ahmed</t>
  </si>
  <si>
    <t>03241437989</t>
  </si>
  <si>
    <t>M. Wasee Shahid</t>
  </si>
  <si>
    <t>03082476738</t>
  </si>
  <si>
    <t>Nida Amin</t>
  </si>
  <si>
    <t>03232862712</t>
  </si>
  <si>
    <t>Saqib Shaikh</t>
  </si>
  <si>
    <t>03142416522</t>
  </si>
  <si>
    <t>03408731282</t>
  </si>
  <si>
    <t>03168438939</t>
  </si>
  <si>
    <t>Qarar Ali</t>
  </si>
  <si>
    <t>03192660215</t>
  </si>
  <si>
    <t>Asghar Gujjar</t>
  </si>
  <si>
    <t>03414460593</t>
  </si>
  <si>
    <t>Muhammad Asif</t>
  </si>
  <si>
    <t>03029157482</t>
  </si>
  <si>
    <t>Ammar</t>
  </si>
  <si>
    <t>03421123023</t>
  </si>
  <si>
    <t>03311399237</t>
  </si>
  <si>
    <t>Munawar Alam</t>
  </si>
  <si>
    <t>03009200305</t>
  </si>
  <si>
    <t>Hayaat</t>
  </si>
  <si>
    <t>03365585075</t>
  </si>
  <si>
    <t>Abrar Anwar</t>
  </si>
  <si>
    <t>03086743094</t>
  </si>
  <si>
    <t>Bisma</t>
  </si>
  <si>
    <t>03158174926</t>
  </si>
  <si>
    <t>Gul Soomro</t>
  </si>
  <si>
    <t>03360024805</t>
  </si>
  <si>
    <t>Maham Naz</t>
  </si>
  <si>
    <t>03401645210</t>
  </si>
  <si>
    <t>Muhammad Ahmed</t>
  </si>
  <si>
    <t>03343706275</t>
  </si>
  <si>
    <t>03481102469</t>
  </si>
  <si>
    <t>Saliha</t>
  </si>
  <si>
    <t>03090707922</t>
  </si>
  <si>
    <t>Hamza Kamelen</t>
  </si>
  <si>
    <t>03112474407</t>
  </si>
  <si>
    <t>03112020844</t>
  </si>
  <si>
    <t>Muhammad Rehan</t>
  </si>
  <si>
    <t>03269000585</t>
  </si>
  <si>
    <t>Mustafa Shahzaib</t>
  </si>
  <si>
    <t>03242329870</t>
  </si>
  <si>
    <t>Sheikh Usama Nasir</t>
  </si>
  <si>
    <t>03332349116</t>
  </si>
  <si>
    <t>Rameez Hussain</t>
  </si>
  <si>
    <t>03411282221</t>
  </si>
  <si>
    <t>Mazhar Abbas</t>
  </si>
  <si>
    <t>03334222219</t>
  </si>
  <si>
    <t>Umer</t>
  </si>
  <si>
    <t>03083118503</t>
  </si>
  <si>
    <t>Sajida Abbas</t>
  </si>
  <si>
    <t>03441818103</t>
  </si>
  <si>
    <t>Talha Sheikh</t>
  </si>
  <si>
    <t>03172290629</t>
  </si>
  <si>
    <t>Tayyaba Abdullah</t>
  </si>
  <si>
    <t>03069626908</t>
  </si>
  <si>
    <t>03322888689</t>
  </si>
  <si>
    <t>03217841457</t>
  </si>
  <si>
    <t>Hibah Asif</t>
  </si>
  <si>
    <t>03462492837</t>
  </si>
  <si>
    <t>03167805660</t>
  </si>
  <si>
    <t>03153736103</t>
  </si>
  <si>
    <t>Muhammad Kaif</t>
  </si>
  <si>
    <t>03178979407</t>
  </si>
  <si>
    <t>Shahzad Jawed</t>
  </si>
  <si>
    <t>03353994804</t>
  </si>
  <si>
    <t>Faseeh ur Rehman</t>
  </si>
  <si>
    <t>03164929893</t>
  </si>
  <si>
    <t>03322457591</t>
  </si>
  <si>
    <t>03232645534</t>
  </si>
  <si>
    <t>Ahtasham Janjua</t>
  </si>
  <si>
    <t>03453876834</t>
  </si>
  <si>
    <t>03353525363</t>
  </si>
  <si>
    <t>Syeda Amal Fatima</t>
  </si>
  <si>
    <t>03203273818</t>
  </si>
  <si>
    <t>Muhammad Jawwad Abbas</t>
  </si>
  <si>
    <t>03009259514</t>
  </si>
  <si>
    <t>03322236579</t>
  </si>
  <si>
    <t>Ahsan Asif</t>
  </si>
  <si>
    <t>03351038151</t>
  </si>
  <si>
    <t>03212007179</t>
  </si>
  <si>
    <t>Tahir</t>
  </si>
  <si>
    <t>03450434615</t>
  </si>
  <si>
    <t>Daniyal Faryad</t>
  </si>
  <si>
    <t>03034855548</t>
  </si>
  <si>
    <t>Farhan Rind</t>
  </si>
  <si>
    <t>03461391969</t>
  </si>
  <si>
    <t>Abu Bakr Yousuf</t>
  </si>
  <si>
    <t>03042388991</t>
  </si>
  <si>
    <t>Maryam Siddiqui</t>
  </si>
  <si>
    <t>03312211367</t>
  </si>
  <si>
    <t>Areeba</t>
  </si>
  <si>
    <t>03133115759</t>
  </si>
  <si>
    <t>Syed Rahim</t>
  </si>
  <si>
    <t>00966553048995</t>
  </si>
  <si>
    <t>Abu Muhammad Zain</t>
  </si>
  <si>
    <t>03153350635</t>
  </si>
  <si>
    <t>Imran Khalid</t>
  </si>
  <si>
    <t>03002140109</t>
  </si>
  <si>
    <t>He will call after an hour</t>
  </si>
  <si>
    <t>M. Razi Haider</t>
  </si>
  <si>
    <t>03239390272</t>
  </si>
  <si>
    <t>Zakaur Rehman</t>
  </si>
  <si>
    <t>03365653553</t>
  </si>
  <si>
    <t>Sent Brochure and followup on Thursday.</t>
  </si>
  <si>
    <t>Aneela Faizan Khalid</t>
  </si>
  <si>
    <t>03198401562</t>
  </si>
  <si>
    <t>Webinar needed.</t>
  </si>
  <si>
    <t>Sandesh Gehani</t>
  </si>
  <si>
    <t>03347155515</t>
  </si>
  <si>
    <t>03323191135</t>
  </si>
  <si>
    <t>Munesh Kumar</t>
  </si>
  <si>
    <t>03440678180</t>
  </si>
  <si>
    <t>Zahid Abbasi</t>
  </si>
  <si>
    <t>03002709433</t>
  </si>
  <si>
    <t>Ali Imtiaz</t>
  </si>
  <si>
    <t>03361841235</t>
  </si>
  <si>
    <t>He will enroll for after 2 months.</t>
  </si>
  <si>
    <t>Maryam Qadeer</t>
  </si>
  <si>
    <t>03017438250</t>
  </si>
  <si>
    <t>Followup call on tomorrow</t>
  </si>
  <si>
    <t>Muhammad Huzaifa</t>
  </si>
  <si>
    <t>03012740615</t>
  </si>
  <si>
    <t>03412340711</t>
  </si>
  <si>
    <t>Followup call after thursday.</t>
  </si>
  <si>
    <t>Shahzaib Sheikh</t>
  </si>
  <si>
    <t>03128594155</t>
  </si>
  <si>
    <t>Abdul Rehman</t>
  </si>
  <si>
    <t>03324133063</t>
  </si>
  <si>
    <t>Bahadur Ali</t>
  </si>
  <si>
    <t>03143228047</t>
  </si>
  <si>
    <t>Contact him after 12PM today</t>
  </si>
  <si>
    <t>Momina</t>
  </si>
  <si>
    <t>03168924425</t>
  </si>
  <si>
    <t>Ahsan Raza</t>
  </si>
  <si>
    <t>03097928809</t>
  </si>
  <si>
    <t>Dr. Aneela Shaheen</t>
  </si>
  <si>
    <t>03332228181</t>
  </si>
  <si>
    <t>She is interested for data science.</t>
  </si>
  <si>
    <t>Abbas</t>
  </si>
  <si>
    <t>03091017764</t>
  </si>
  <si>
    <t>03224071636</t>
  </si>
  <si>
    <t>Furqan</t>
  </si>
  <si>
    <t>03462042953</t>
  </si>
  <si>
    <t>Dr. Syed Ammar Raza</t>
  </si>
  <si>
    <t>03361250204</t>
  </si>
  <si>
    <t>Owais Enterprise</t>
  </si>
  <si>
    <t>03242108346</t>
  </si>
  <si>
    <t>Shafique Ali Sangrasi</t>
  </si>
  <si>
    <t>03153866390</t>
  </si>
  <si>
    <t>Saad Khosa</t>
  </si>
  <si>
    <t>03346795033</t>
  </si>
  <si>
    <t>He will call after an hour.</t>
  </si>
  <si>
    <t>Afsheen</t>
  </si>
  <si>
    <t>03366861922</t>
  </si>
  <si>
    <t>Uneeb</t>
  </si>
  <si>
    <t>03136796690</t>
  </si>
  <si>
    <t>Omer Siddiqui</t>
  </si>
  <si>
    <t>03326862882</t>
  </si>
  <si>
    <t>03325249593</t>
  </si>
  <si>
    <t>Khurram Mehmood</t>
  </si>
  <si>
    <t>03313333074</t>
  </si>
  <si>
    <t>Sidra Arsalan</t>
  </si>
  <si>
    <t>03062740124</t>
  </si>
  <si>
    <t>Naveed Tariq</t>
  </si>
  <si>
    <t>03008453277</t>
  </si>
  <si>
    <t>Call after 4PM</t>
  </si>
  <si>
    <t>Muhammad Fahad</t>
  </si>
  <si>
    <t>03429664480</t>
  </si>
  <si>
    <t>Mohammed Zain Raza</t>
  </si>
  <si>
    <t>03353033062</t>
  </si>
  <si>
    <t>He is interested to data science</t>
  </si>
  <si>
    <t>Farrukh Abdullah</t>
  </si>
  <si>
    <t>03003940747</t>
  </si>
  <si>
    <t>8/82024</t>
  </si>
  <si>
    <t>H Arsal</t>
  </si>
  <si>
    <t>03153376195</t>
  </si>
  <si>
    <t>Marium Iqbal</t>
  </si>
  <si>
    <t>03333826556</t>
  </si>
  <si>
    <t>Maaz Khan</t>
  </si>
  <si>
    <t>03491087910</t>
  </si>
  <si>
    <t>Ali Naqvi</t>
  </si>
  <si>
    <t>03348181214</t>
  </si>
  <si>
    <t>Follow up call on friday</t>
  </si>
  <si>
    <t>03104447707</t>
  </si>
  <si>
    <t>Bilal Khan</t>
  </si>
  <si>
    <t>03212133284</t>
  </si>
  <si>
    <t>03338814882</t>
  </si>
  <si>
    <t>Owais</t>
  </si>
  <si>
    <t>03310389985</t>
  </si>
  <si>
    <t>Muhammad Abdul Rehman</t>
  </si>
  <si>
    <t>03129842683</t>
  </si>
  <si>
    <t>03372109981</t>
  </si>
  <si>
    <t>03004644122</t>
  </si>
  <si>
    <t>Adeel Hussain</t>
  </si>
  <si>
    <t>03043172228</t>
  </si>
  <si>
    <t>Aneesa Fatima</t>
  </si>
  <si>
    <t>03060022566</t>
  </si>
  <si>
    <t>Irfan Malik</t>
  </si>
  <si>
    <t>Sanjana</t>
  </si>
  <si>
    <t>03333008213</t>
  </si>
  <si>
    <t>Abdul Rasheed</t>
  </si>
  <si>
    <t>03453469363</t>
  </si>
  <si>
    <t>Muhammad Tauseef</t>
  </si>
  <si>
    <t>03432012547</t>
  </si>
  <si>
    <t>Ehtisham Ahmed</t>
  </si>
  <si>
    <t>03368135820</t>
  </si>
  <si>
    <t>Followup call on Friday.</t>
  </si>
  <si>
    <t>Naseebullah</t>
  </si>
  <si>
    <t>03253375898</t>
  </si>
  <si>
    <t>He is interested on Data science advance.</t>
  </si>
  <si>
    <t>Moeez Gujjar</t>
  </si>
  <si>
    <t>03114005295</t>
  </si>
  <si>
    <t>Waqar Ahmed</t>
  </si>
  <si>
    <t>03332563915</t>
  </si>
  <si>
    <t>Asma Naveed</t>
  </si>
  <si>
    <t>03492973033</t>
  </si>
  <si>
    <t>03499450240</t>
  </si>
  <si>
    <t>Anum Usman</t>
  </si>
  <si>
    <t>03315070555</t>
  </si>
  <si>
    <t>Laiba Shahid</t>
  </si>
  <si>
    <t>03330223532</t>
  </si>
  <si>
    <t>Customer will reply us</t>
  </si>
  <si>
    <t>Junaid Iqbal Marar</t>
  </si>
  <si>
    <t>03168682339</t>
  </si>
  <si>
    <t>03112882875</t>
  </si>
  <si>
    <t>Fiza Sheikh</t>
  </si>
  <si>
    <t>03196543243</t>
  </si>
  <si>
    <t>03001114052</t>
  </si>
  <si>
    <t>Aroosha Jannat Iftikhar</t>
  </si>
  <si>
    <t>03237070990</t>
  </si>
  <si>
    <t>03257083905</t>
  </si>
  <si>
    <t>Ahtasham</t>
  </si>
  <si>
    <t>03359041458</t>
  </si>
  <si>
    <t>Hanzala Khan</t>
  </si>
  <si>
    <t>03492902010</t>
  </si>
  <si>
    <t>03313135714</t>
  </si>
  <si>
    <t>Fida Hussain</t>
  </si>
  <si>
    <t>03002689823</t>
  </si>
  <si>
    <t>He want to Physical Classes</t>
  </si>
  <si>
    <t>03070490550</t>
  </si>
  <si>
    <t>Okasha Aftab</t>
  </si>
  <si>
    <t>03312342221</t>
  </si>
  <si>
    <t>He will join for Data Science</t>
  </si>
  <si>
    <t>03325803139</t>
  </si>
  <si>
    <t>Afaq Khan</t>
  </si>
  <si>
    <t>03114174556</t>
  </si>
  <si>
    <t>Followup call on monday for registration</t>
  </si>
  <si>
    <t>Dawood Sheikh</t>
  </si>
  <si>
    <t>03082902038</t>
  </si>
  <si>
    <t>Bilal Chaudhry</t>
  </si>
  <si>
    <t>0012093025039</t>
  </si>
  <si>
    <t>03168048569</t>
  </si>
  <si>
    <t>Followup call after thursday for registration</t>
  </si>
  <si>
    <t>Saleh Karim</t>
  </si>
  <si>
    <t>03360872130</t>
  </si>
  <si>
    <t>Sajid Ashfaq</t>
  </si>
  <si>
    <t>03323845265</t>
  </si>
  <si>
    <t>Umar Farooq</t>
  </si>
  <si>
    <t>03412079505</t>
  </si>
  <si>
    <t>03450976071</t>
  </si>
  <si>
    <t>Muhammmad Noman</t>
  </si>
  <si>
    <t>03102768883</t>
  </si>
  <si>
    <t>Followup call after 5PM</t>
  </si>
  <si>
    <t>Danish</t>
  </si>
  <si>
    <t>03212543125</t>
  </si>
  <si>
    <t>03485874207</t>
  </si>
  <si>
    <t>Talha Baig</t>
  </si>
  <si>
    <t>03429525698</t>
  </si>
  <si>
    <t>03321133002</t>
  </si>
  <si>
    <t>Zaka</t>
  </si>
  <si>
    <t>03334505896</t>
  </si>
  <si>
    <t>03251471330</t>
  </si>
  <si>
    <t>Muhammad Taqi</t>
  </si>
  <si>
    <t>03224762152</t>
  </si>
  <si>
    <t>Muhammad Owais</t>
  </si>
  <si>
    <t>03122338638</t>
  </si>
  <si>
    <t>Next Batch</t>
  </si>
  <si>
    <t>Mubeen Wahaj</t>
  </si>
  <si>
    <t>03278557124</t>
  </si>
  <si>
    <t>Shahnawaz Jawed</t>
  </si>
  <si>
    <t>03102524270</t>
  </si>
  <si>
    <t>Muhammad Dilshad</t>
  </si>
  <si>
    <t>03226163679</t>
  </si>
  <si>
    <t>03101619581</t>
  </si>
  <si>
    <t>Ibtesaam Zahid Khan</t>
  </si>
  <si>
    <t>03172359517</t>
  </si>
  <si>
    <t>call after 4PM</t>
  </si>
  <si>
    <t>Munza Shah</t>
  </si>
  <si>
    <t>03018204984</t>
  </si>
  <si>
    <t>Dr. Tayyaba Asif</t>
  </si>
  <si>
    <t>03322446578</t>
  </si>
  <si>
    <t>Bisma Talib</t>
  </si>
  <si>
    <t>03232442325</t>
  </si>
  <si>
    <t xml:space="preserve">Arbab Ali </t>
  </si>
  <si>
    <t>03022700783</t>
  </si>
  <si>
    <t>Fida Hussain Chandio</t>
  </si>
  <si>
    <t>03163495393</t>
  </si>
  <si>
    <t>Ghayur Abbas</t>
  </si>
  <si>
    <t>03082681909</t>
  </si>
  <si>
    <t>03164850018</t>
  </si>
  <si>
    <t>Furrat zain</t>
  </si>
  <si>
    <t>03223390103</t>
  </si>
  <si>
    <t>after 2 -3 days followup</t>
  </si>
  <si>
    <t>03089039213</t>
  </si>
  <si>
    <t>after 2 pm</t>
  </si>
  <si>
    <t>03354244590</t>
  </si>
  <si>
    <t>Customer will contact us for this.</t>
  </si>
  <si>
    <t>Sanam Baloch</t>
  </si>
  <si>
    <t>03282936310</t>
  </si>
  <si>
    <t>Muhammad Danish</t>
  </si>
  <si>
    <t>03102840367</t>
  </si>
  <si>
    <t>after 2-3 days followup</t>
  </si>
  <si>
    <t>M.Mursaleen</t>
  </si>
  <si>
    <t>0307 8828496</t>
  </si>
  <si>
    <t>He will contact .</t>
  </si>
  <si>
    <t>Waleed Abdullah</t>
  </si>
  <si>
    <t>0334 3662954</t>
  </si>
  <si>
    <t>poweroff</t>
  </si>
  <si>
    <t>Osama Saeed</t>
  </si>
  <si>
    <t>0307 7778027</t>
  </si>
  <si>
    <t>faris ghazi</t>
  </si>
  <si>
    <t>03004438927</t>
  </si>
  <si>
    <t>he will  enroll on next batch.</t>
  </si>
  <si>
    <t>Syed Yaseen Shah</t>
  </si>
  <si>
    <t>0314 5834100</t>
  </si>
  <si>
    <t>Mahad Khan</t>
  </si>
  <si>
    <t>03273616436</t>
  </si>
  <si>
    <t>not recieving call.</t>
  </si>
  <si>
    <t>Prem kumar</t>
  </si>
  <si>
    <t>0336 3761262</t>
  </si>
  <si>
    <t>he will confirm tommarow</t>
  </si>
  <si>
    <t>Farhan Ali Channa</t>
  </si>
  <si>
    <t>03243242615</t>
  </si>
  <si>
    <t>Hasnain Mehdi</t>
  </si>
  <si>
    <t>0332 3441333</t>
  </si>
  <si>
    <t>0303 2066246</t>
  </si>
  <si>
    <t xml:space="preserve"> 0344 7978343</t>
  </si>
  <si>
    <t xml:space="preserve">Shahid </t>
  </si>
  <si>
    <t>0311 1024079</t>
  </si>
  <si>
    <t>Ikram Ali</t>
  </si>
  <si>
    <t xml:space="preserve">0321 2639822
</t>
  </si>
  <si>
    <t>Mariyum</t>
  </si>
  <si>
    <t>0332 3157814</t>
  </si>
  <si>
    <t>Saima</t>
  </si>
  <si>
    <t xml:space="preserve"> 0330 2803174</t>
  </si>
  <si>
    <t xml:space="preserve"> 0324 4183236</t>
  </si>
  <si>
    <t>0333 2012106</t>
  </si>
  <si>
    <t>Muhammad Adeel</t>
  </si>
  <si>
    <t>0346 6946405</t>
  </si>
  <si>
    <t>Asif</t>
  </si>
  <si>
    <t>0332 4288807</t>
  </si>
  <si>
    <t>0336 3841071</t>
  </si>
  <si>
    <t>Sufyaan Ahmed Qazi</t>
  </si>
  <si>
    <t>03309234792</t>
  </si>
  <si>
    <t>Abdul Raheem</t>
  </si>
  <si>
    <t>0310 4229928</t>
  </si>
  <si>
    <t>0313 1887718</t>
  </si>
  <si>
    <t>Shaheer Ali</t>
  </si>
  <si>
    <t>03091125942</t>
  </si>
  <si>
    <t>03243176460</t>
  </si>
  <si>
    <t>Khaula</t>
  </si>
  <si>
    <t>0335 7227076</t>
  </si>
  <si>
    <t>0336 8549301</t>
  </si>
  <si>
    <t>Mohhammadhussain</t>
  </si>
  <si>
    <t>0326 2389772</t>
  </si>
  <si>
    <t>Hasan Shamsi</t>
  </si>
  <si>
    <t>0336 2581386</t>
  </si>
  <si>
    <t>0328 3676324</t>
  </si>
  <si>
    <t>~Dania Umair</t>
  </si>
  <si>
    <t xml:space="preserve"> 03418118990</t>
  </si>
  <si>
    <t>Jawaria Aslam</t>
  </si>
  <si>
    <t>03274409909</t>
  </si>
  <si>
    <t>Sumeet Siddiqui</t>
  </si>
  <si>
    <t>03342598547</t>
  </si>
  <si>
    <t>03093338673</t>
  </si>
  <si>
    <t>Aun Syed</t>
  </si>
  <si>
    <t>03214909612</t>
  </si>
  <si>
    <t>He wanted to take classes physical</t>
  </si>
  <si>
    <t>Talha Rizvi</t>
  </si>
  <si>
    <t>03452116713</t>
  </si>
  <si>
    <t>Aizah</t>
  </si>
  <si>
    <t>03308487965</t>
  </si>
  <si>
    <t>Rizwan Babar</t>
  </si>
  <si>
    <t>03042844248</t>
  </si>
  <si>
    <t>0321 2019998</t>
  </si>
  <si>
    <t>Sawera Aslam</t>
  </si>
  <si>
    <t>03343086887</t>
  </si>
  <si>
    <t>Raheel Ahmed Raza</t>
  </si>
  <si>
    <t>0342 2177032</t>
  </si>
  <si>
    <t>Shahmeer Syed</t>
  </si>
  <si>
    <t>0332 2666026</t>
  </si>
  <si>
    <t>Ramzan_Mustafa</t>
  </si>
  <si>
    <t>0301 1053229</t>
  </si>
  <si>
    <t>Jazib Kherro</t>
  </si>
  <si>
    <t>0316 2667276</t>
  </si>
  <si>
    <t>Hamza rana</t>
  </si>
  <si>
    <t>03122040276</t>
  </si>
  <si>
    <t>Malik Muhammad Usman</t>
  </si>
  <si>
    <t>03110914007</t>
  </si>
  <si>
    <t>0346 2584680</t>
  </si>
  <si>
    <t>warisha</t>
  </si>
  <si>
    <t>03310178261</t>
  </si>
  <si>
    <t>Aqib Ali</t>
  </si>
  <si>
    <t>0330 8169364</t>
  </si>
  <si>
    <t>Madiha</t>
  </si>
  <si>
    <t>0334 2014622</t>
  </si>
  <si>
    <t>0315 2808817</t>
  </si>
  <si>
    <t>0313 9930942</t>
  </si>
  <si>
    <t>0341 7810967</t>
  </si>
  <si>
    <t>Hira Fatima</t>
  </si>
  <si>
    <t>03191433746</t>
  </si>
  <si>
    <t>03323304919</t>
  </si>
  <si>
    <t>03308163457</t>
  </si>
  <si>
    <t>03082772994</t>
  </si>
  <si>
    <t>Baqir Malik</t>
  </si>
  <si>
    <t>03036901549</t>
  </si>
  <si>
    <t>03272185001</t>
  </si>
  <si>
    <t>Muhammad Tayyab</t>
  </si>
  <si>
    <t>03224776585</t>
  </si>
  <si>
    <t>Follow up call at 5PM</t>
  </si>
  <si>
    <t>Akhtar Bhutto</t>
  </si>
  <si>
    <t>03022718766</t>
  </si>
  <si>
    <t>03181253376</t>
  </si>
  <si>
    <t>Arham</t>
  </si>
  <si>
    <t>03333491952</t>
  </si>
  <si>
    <t>Mehdi Raza</t>
  </si>
  <si>
    <t>03334318570</t>
  </si>
  <si>
    <t>followup call tommorow</t>
  </si>
  <si>
    <t>Mughees Subtain</t>
  </si>
  <si>
    <t>03072525699</t>
  </si>
  <si>
    <t>Shabir Shafi</t>
  </si>
  <si>
    <t>03008415559</t>
  </si>
  <si>
    <t>Rehan Qasim</t>
  </si>
  <si>
    <t>03118981307</t>
  </si>
  <si>
    <t>Nayyera Saba</t>
  </si>
  <si>
    <t>03339547772</t>
  </si>
  <si>
    <t>Noman Sajid</t>
  </si>
  <si>
    <t>03012227374</t>
  </si>
  <si>
    <t>03493634347</t>
  </si>
  <si>
    <t>Adil Hussain</t>
  </si>
  <si>
    <t>03090003225</t>
  </si>
  <si>
    <t>Muhammad Waqas</t>
  </si>
  <si>
    <t>03073673805</t>
  </si>
  <si>
    <t>03223143768</t>
  </si>
  <si>
    <t>Kumail</t>
  </si>
  <si>
    <t>03208292976</t>
  </si>
  <si>
    <t>Essa Imran</t>
  </si>
  <si>
    <t>03152624886</t>
  </si>
  <si>
    <t>call after 1 hour</t>
  </si>
  <si>
    <t>Fizza Fatima</t>
  </si>
  <si>
    <t>03212814272</t>
  </si>
  <si>
    <t>03353160103</t>
  </si>
  <si>
    <t>Adil Jamal</t>
  </si>
  <si>
    <t>03101004307</t>
  </si>
  <si>
    <t>Sobia Khan</t>
  </si>
  <si>
    <t>03492252112</t>
  </si>
  <si>
    <t>Habib Jutt</t>
  </si>
  <si>
    <t>03041833734</t>
  </si>
  <si>
    <t>03154046402</t>
  </si>
  <si>
    <t>Abdul Kabeer</t>
  </si>
  <si>
    <t>03102042958</t>
  </si>
  <si>
    <t>Syed Hasibul Hassan</t>
  </si>
  <si>
    <t>03417810967</t>
  </si>
  <si>
    <t>Abdul Khaliq</t>
  </si>
  <si>
    <t>03072234446</t>
  </si>
  <si>
    <t>Batool</t>
  </si>
  <si>
    <t>03330377230</t>
  </si>
  <si>
    <t>Azmat Khan</t>
  </si>
  <si>
    <t>03222920657</t>
  </si>
  <si>
    <t>Abdul Razaq</t>
  </si>
  <si>
    <t>0332 4866906</t>
  </si>
  <si>
    <t>Hamza ARAIN</t>
  </si>
  <si>
    <t>0300 3144545</t>
  </si>
  <si>
    <t>0300 2838148</t>
  </si>
  <si>
    <t>Anas Khan</t>
  </si>
  <si>
    <t>0334 3104171</t>
  </si>
  <si>
    <t>0317 4739158</t>
  </si>
  <si>
    <t>0342 0706767</t>
  </si>
  <si>
    <t>Awais ghazi</t>
  </si>
  <si>
    <t>0335 3370698</t>
  </si>
  <si>
    <t>03002956888</t>
  </si>
  <si>
    <t>Raheel</t>
  </si>
  <si>
    <t>03030611121</t>
  </si>
  <si>
    <t>03444805922</t>
  </si>
  <si>
    <t>Azhar Hussain</t>
  </si>
  <si>
    <t>03452602006</t>
  </si>
  <si>
    <t>Engr. Waqas</t>
  </si>
  <si>
    <t>03133092995
03142799833</t>
  </si>
  <si>
    <t>03257714479</t>
  </si>
  <si>
    <t>Arslan</t>
  </si>
  <si>
    <t>03113902982</t>
  </si>
  <si>
    <t>Areeb</t>
  </si>
  <si>
    <t>03171232544</t>
  </si>
  <si>
    <t>Naveed Naeem</t>
  </si>
  <si>
    <t>03032445943</t>
  </si>
  <si>
    <t>Omaima Munir</t>
  </si>
  <si>
    <t>03315157570</t>
  </si>
  <si>
    <t>Tooba Arshad</t>
  </si>
  <si>
    <t>03353048834</t>
  </si>
  <si>
    <t>03332354410</t>
  </si>
  <si>
    <t>Jamil</t>
  </si>
  <si>
    <t>03222225095</t>
  </si>
  <si>
    <t>Call after 4:30pm</t>
  </si>
  <si>
    <t>Ali Zain</t>
  </si>
  <si>
    <t>03452809966</t>
  </si>
  <si>
    <t>M. Huzaif</t>
  </si>
  <si>
    <t>03102065930</t>
  </si>
  <si>
    <t>He will pay maybe tomorrow.</t>
  </si>
  <si>
    <t>Gulshair</t>
  </si>
  <si>
    <t>03209087781</t>
  </si>
  <si>
    <t>Hamza Rashid</t>
  </si>
  <si>
    <t>03043219812</t>
  </si>
  <si>
    <t>5//8/2024</t>
  </si>
  <si>
    <t>Ramsha</t>
  </si>
  <si>
    <t>03350219907</t>
  </si>
  <si>
    <t>folllow up today 4pm</t>
  </si>
  <si>
    <t>Shayz Khan</t>
  </si>
  <si>
    <t>03052638677</t>
  </si>
  <si>
    <t>03450107426</t>
  </si>
  <si>
    <t>zain will join the course of DS when the available time</t>
  </si>
  <si>
    <t>Awais khan</t>
  </si>
  <si>
    <t>03143869781</t>
  </si>
  <si>
    <t>Saneeah</t>
  </si>
  <si>
    <t>03332152423</t>
  </si>
  <si>
    <t>03037896431</t>
  </si>
  <si>
    <t>03177120247</t>
  </si>
  <si>
    <t>Hassan Raza Shah Afridi</t>
  </si>
  <si>
    <t>03109704258</t>
  </si>
  <si>
    <t>Mir Tariq Ismail</t>
  </si>
  <si>
    <t>03463556552</t>
  </si>
  <si>
    <t>Rahmeen</t>
  </si>
  <si>
    <t>03060024179</t>
  </si>
  <si>
    <t>Haris Muhammad Amir</t>
  </si>
  <si>
    <t>03122726007</t>
  </si>
  <si>
    <t>Tanveer Hussain</t>
  </si>
  <si>
    <t>03435532618</t>
  </si>
  <si>
    <t>Javeria Suleman</t>
  </si>
  <si>
    <t>0319 6390604</t>
  </si>
  <si>
    <t>Kashish</t>
  </si>
  <si>
    <t>03342815516</t>
  </si>
  <si>
    <t>She will apply on october,</t>
  </si>
  <si>
    <t>Fardeen Ali</t>
  </si>
  <si>
    <t>03447202130</t>
  </si>
  <si>
    <t>Muhammad Yousuf</t>
  </si>
  <si>
    <t>03125970800</t>
  </si>
  <si>
    <t xml:space="preserve">Muhammad Shaheer Ahmed Siddique </t>
  </si>
  <si>
    <t>03168727215</t>
  </si>
  <si>
    <t>Saad Gul</t>
  </si>
  <si>
    <t>03491753116</t>
  </si>
  <si>
    <t>Sibtain Abbas</t>
  </si>
  <si>
    <t>03171515892</t>
  </si>
  <si>
    <t>Naveen Kumar</t>
  </si>
  <si>
    <t>03347319400</t>
  </si>
  <si>
    <t>Hassan Kashif</t>
  </si>
  <si>
    <t>Hassan Zeeshan</t>
  </si>
  <si>
    <t>03171245396</t>
  </si>
  <si>
    <t>03078388750</t>
  </si>
  <si>
    <t>Asad Khan</t>
  </si>
  <si>
    <t>03172750006</t>
  </si>
  <si>
    <t>Ghulam Murtaza</t>
  </si>
  <si>
    <t>03021893857</t>
  </si>
  <si>
    <t>Mushaf</t>
  </si>
  <si>
    <t>0312 2736670</t>
  </si>
  <si>
    <t xml:space="preserve"> 0345 2682624</t>
  </si>
  <si>
    <t>kashif Jibra Saeed</t>
  </si>
  <si>
    <t>0336 4245330</t>
  </si>
  <si>
    <t>Iqra sejal</t>
  </si>
  <si>
    <t>0334 1895234</t>
  </si>
  <si>
    <t>Fiza</t>
  </si>
  <si>
    <t>03302493569</t>
  </si>
  <si>
    <t>03053151878</t>
  </si>
  <si>
    <t>Nausheen Mohsin</t>
  </si>
  <si>
    <t>071 55 476 5644</t>
  </si>
  <si>
    <t>03342624910</t>
  </si>
  <si>
    <t>Usman Sheikh</t>
  </si>
  <si>
    <t>03203584826</t>
  </si>
  <si>
    <t>Abbasiyasir</t>
  </si>
  <si>
    <t>03453712186</t>
  </si>
  <si>
    <t>Zohaib Ayaz</t>
  </si>
  <si>
    <t>03284151561</t>
  </si>
  <si>
    <t xml:space="preserve">Taha </t>
  </si>
  <si>
    <t>0370 0012813</t>
  </si>
  <si>
    <t>8/7/2024</t>
  </si>
  <si>
    <t>Hina Lakhani</t>
  </si>
  <si>
    <t>0313 0117959</t>
  </si>
  <si>
    <t>Zaid Shoaban</t>
  </si>
  <si>
    <t>03101300607</t>
  </si>
  <si>
    <t>0317 8329113</t>
  </si>
  <si>
    <t>Amman</t>
  </si>
  <si>
    <t>03330373001</t>
  </si>
  <si>
    <t>03078818685</t>
  </si>
  <si>
    <t>Hammad Khan</t>
  </si>
  <si>
    <t>03168576733</t>
  </si>
  <si>
    <t>0314 2039436</t>
  </si>
  <si>
    <t>03418351920</t>
  </si>
  <si>
    <t>0017866447033</t>
  </si>
  <si>
    <t>03282676691</t>
  </si>
  <si>
    <t>03236952630</t>
  </si>
  <si>
    <t>Atiqa</t>
  </si>
  <si>
    <t>03424344652</t>
  </si>
  <si>
    <t>Azlan Mehmood</t>
  </si>
  <si>
    <t>03262433053</t>
  </si>
  <si>
    <t>Muhammad Umer Arshad</t>
  </si>
  <si>
    <t>03273882984</t>
  </si>
  <si>
    <t>03032404350</t>
  </si>
  <si>
    <t>0349 1810350</t>
  </si>
  <si>
    <t>03322277270</t>
  </si>
  <si>
    <t>03080178118</t>
  </si>
  <si>
    <t>03406661569</t>
  </si>
  <si>
    <t>zeeshanmehmood</t>
  </si>
  <si>
    <t>0301 2955845</t>
  </si>
  <si>
    <t>Umair</t>
  </si>
  <si>
    <t>0333 2338573</t>
  </si>
  <si>
    <t xml:space="preserve">  03012418993</t>
  </si>
  <si>
    <t>Khadija Zaidi</t>
  </si>
  <si>
    <t>0322 0668940</t>
  </si>
  <si>
    <t>Muhammad Asad</t>
  </si>
  <si>
    <t xml:space="preserve"> 03312605671</t>
  </si>
  <si>
    <t>zunaira</t>
  </si>
  <si>
    <t>03229742450</t>
  </si>
  <si>
    <t>03221319515</t>
  </si>
  <si>
    <t>Muneeb Chaudhry</t>
  </si>
  <si>
    <t>03094586736</t>
  </si>
  <si>
    <t>03074022530</t>
  </si>
  <si>
    <t>Saqib</t>
  </si>
  <si>
    <t>03343406630</t>
  </si>
  <si>
    <t>Mahnoor Ali</t>
  </si>
  <si>
    <t>03057770251</t>
  </si>
  <si>
    <t>Hina Rafique</t>
  </si>
  <si>
    <t>03342037659</t>
  </si>
  <si>
    <t>Nazia</t>
  </si>
  <si>
    <t>03320424466</t>
  </si>
  <si>
    <t xml:space="preserve">Customer will reachout </t>
  </si>
  <si>
    <t>Shakeel</t>
  </si>
  <si>
    <t>03337415776</t>
  </si>
  <si>
    <t>Nimra Malik</t>
  </si>
  <si>
    <t>03113571495</t>
  </si>
  <si>
    <t>Shehroz Rashid</t>
  </si>
  <si>
    <t>03101019891</t>
  </si>
  <si>
    <t>Customer will talk to parents due to financial conditions and want to discount.</t>
  </si>
  <si>
    <t>03442954365</t>
  </si>
  <si>
    <t>Aasiya</t>
  </si>
  <si>
    <t>03223376983</t>
  </si>
  <si>
    <t>Ammara Aftab</t>
  </si>
  <si>
    <t>03052759971</t>
  </si>
  <si>
    <t>Azka</t>
  </si>
  <si>
    <t>03352937912</t>
  </si>
  <si>
    <t>She will enroll in October.</t>
  </si>
  <si>
    <t>03332244015</t>
  </si>
  <si>
    <t>Fakhruddin Kaukawala</t>
  </si>
  <si>
    <t>03351525152</t>
  </si>
  <si>
    <t>Shayan Raza</t>
  </si>
  <si>
    <t>03321314887</t>
  </si>
  <si>
    <t>M Atiq</t>
  </si>
  <si>
    <t>03018208555</t>
  </si>
  <si>
    <t>Abraiz Ahmed Shaikh</t>
  </si>
  <si>
    <t>03333660117</t>
  </si>
  <si>
    <t>Call back at 2 PM</t>
  </si>
  <si>
    <t xml:space="preserve"> 03463361005</t>
  </si>
  <si>
    <t>Rao Tariq</t>
  </si>
  <si>
    <t>03152618043</t>
  </si>
  <si>
    <t>Muhammad Irshad</t>
  </si>
  <si>
    <t>03408703176</t>
  </si>
  <si>
    <t xml:space="preserve"> 03035901289</t>
  </si>
  <si>
    <t>03110816665</t>
  </si>
  <si>
    <t>Rahimullah</t>
  </si>
  <si>
    <t>03333313558</t>
  </si>
  <si>
    <t xml:space="preserve">Bilal </t>
  </si>
  <si>
    <t>03218477745</t>
  </si>
  <si>
    <t>Abdul Aziz</t>
  </si>
  <si>
    <t>03078949262</t>
  </si>
  <si>
    <t>Anum Talat</t>
  </si>
  <si>
    <t>03232615248</t>
  </si>
  <si>
    <t>Faiza Talat</t>
  </si>
  <si>
    <t>03175902496</t>
  </si>
  <si>
    <t>Ayesha Saleem</t>
  </si>
  <si>
    <t>03451341052</t>
  </si>
  <si>
    <t>She joined another institute</t>
  </si>
  <si>
    <t>Touqeer</t>
  </si>
  <si>
    <t>03336183035</t>
  </si>
  <si>
    <t>Fatima Nazr</t>
  </si>
  <si>
    <t>03318811097</t>
  </si>
  <si>
    <t>Ayesha Butt</t>
  </si>
  <si>
    <t>03348553041</t>
  </si>
  <si>
    <t>Attempt-1</t>
  </si>
  <si>
    <t>Attempt-2</t>
  </si>
  <si>
    <t>Not talked</t>
  </si>
  <si>
    <t>Date1</t>
  </si>
  <si>
    <t>0303 4713263</t>
  </si>
  <si>
    <t>10:30 - 12:30 PM</t>
  </si>
  <si>
    <t>12:30-02:30</t>
  </si>
  <si>
    <t>Not reachable</t>
  </si>
  <si>
    <t>Not reachable/msg sent</t>
  </si>
  <si>
    <t>0323 4091646</t>
  </si>
  <si>
    <t>Not attempt</t>
  </si>
  <si>
    <t>Talked</t>
  </si>
  <si>
    <t>0347 1322271</t>
  </si>
  <si>
    <t>Shafique Ahmed</t>
  </si>
  <si>
    <t>0334 3793834</t>
  </si>
  <si>
    <t>final callled him but not interested</t>
  </si>
  <si>
    <t>Quratulain</t>
  </si>
  <si>
    <t>0304 7787073</t>
  </si>
  <si>
    <t>0326 2604263</t>
  </si>
  <si>
    <t>Iqra Irshad</t>
  </si>
  <si>
    <t>0310 7014245</t>
  </si>
  <si>
    <t>final called her , she will decide/msg sent</t>
  </si>
  <si>
    <t>314 5802503</t>
  </si>
  <si>
    <t>Aiman Shahnawaz</t>
  </si>
  <si>
    <t>0323 4659156</t>
  </si>
  <si>
    <t>Call her after 3</t>
  </si>
  <si>
    <t>Arshad Iqbal</t>
  </si>
  <si>
    <t>0321 7280686</t>
  </si>
  <si>
    <t>will decide till tomorrow 24 jan</t>
  </si>
  <si>
    <t>Faizan Ahmed</t>
  </si>
  <si>
    <t xml:space="preserve"> 0325 1228451</t>
  </si>
  <si>
    <t>Rana shahidjaved</t>
  </si>
  <si>
    <t>0329 7441657</t>
  </si>
  <si>
    <t>He is not interested now</t>
  </si>
  <si>
    <t>0333 4222096</t>
  </si>
  <si>
    <t>Azeem Khan</t>
  </si>
  <si>
    <t>0312 5897927</t>
  </si>
  <si>
    <t>0316 1003769</t>
  </si>
  <si>
    <t>final called /He will decide and will inform by himself he have restricted to call him back</t>
  </si>
  <si>
    <t>liaqatalali</t>
  </si>
  <si>
    <t>327 3325537</t>
  </si>
  <si>
    <t>0301 6609394</t>
  </si>
  <si>
    <t>𝗠𝘂𝗻𝗲𝗲𝗯 𝗦𝗵𝗮𝗵</t>
  </si>
  <si>
    <t>0304 7741958</t>
  </si>
  <si>
    <t xml:space="preserve">Mujahid </t>
  </si>
  <si>
    <t>0307 1068995</t>
  </si>
  <si>
    <t>Syed Shah</t>
  </si>
  <si>
    <t>0313 8763858</t>
  </si>
  <si>
    <t>0339 2001593</t>
  </si>
  <si>
    <t>0308 3201015</t>
  </si>
  <si>
    <t>0336 8 7280686</t>
  </si>
  <si>
    <t>will decide</t>
  </si>
  <si>
    <t>Talha Imran</t>
  </si>
  <si>
    <t>0335 3936519</t>
  </si>
  <si>
    <t>he wanted to visit</t>
  </si>
  <si>
    <t>Muhammad Imran</t>
  </si>
  <si>
    <t>0314 4770019</t>
  </si>
  <si>
    <t>0333 2231062</t>
  </si>
  <si>
    <t>Ahmad Mujtaba Ali</t>
  </si>
  <si>
    <t>0335 8312275</t>
  </si>
  <si>
    <t>Final called/ he will decide after looking on details</t>
  </si>
  <si>
    <t>unknown</t>
  </si>
  <si>
    <t>318 5413099</t>
  </si>
  <si>
    <t>333 7832904</t>
  </si>
  <si>
    <t>aj tk khud bat adneg whhatspp per</t>
  </si>
  <si>
    <t>0340 9286858</t>
  </si>
  <si>
    <t>Call back him within hour</t>
  </si>
  <si>
    <t>0302 4346467</t>
  </si>
  <si>
    <t>0302 6222415</t>
  </si>
  <si>
    <t>308 0422163</t>
  </si>
  <si>
    <t>She will look etails on whatsapp</t>
  </si>
  <si>
    <t>fiazmianwali</t>
  </si>
  <si>
    <t>0309 0266434</t>
  </si>
  <si>
    <t>0347 4805318</t>
  </si>
  <si>
    <t>0315 4424594</t>
  </si>
  <si>
    <t>Feroze Abbass</t>
  </si>
  <si>
    <t>0321 4139313</t>
  </si>
  <si>
    <t>0300 9739168</t>
  </si>
  <si>
    <t>Not reachable /msg sent</t>
  </si>
  <si>
    <t>335 2134788</t>
  </si>
  <si>
    <t>Ijaz ul haq</t>
  </si>
  <si>
    <t>355 5123401</t>
  </si>
  <si>
    <t>300 0095658</t>
  </si>
  <si>
    <t>0322 5560758</t>
  </si>
  <si>
    <t>call him an half  hour</t>
  </si>
  <si>
    <t>not  interested now</t>
  </si>
  <si>
    <t>Sidra Rizwan</t>
  </si>
  <si>
    <t>317 4381198</t>
  </si>
  <si>
    <t>Call her in a while</t>
  </si>
  <si>
    <t>0315 5399849</t>
  </si>
  <si>
    <t>Farhan Zabih</t>
  </si>
  <si>
    <t>300 2917642</t>
  </si>
  <si>
    <t>Asked for broucher on whatsapp</t>
  </si>
  <si>
    <t>317 8499831</t>
  </si>
  <si>
    <t>309 6819698</t>
  </si>
  <si>
    <t>Share detail on whastapp</t>
  </si>
  <si>
    <t>Hafiz M.Hassan</t>
  </si>
  <si>
    <t>330 0003484</t>
  </si>
  <si>
    <t>He wants video editing course</t>
  </si>
  <si>
    <t>Samra Fatima</t>
  </si>
  <si>
    <t>302 2437665</t>
  </si>
  <si>
    <t xml:space="preserve">
Unknown</t>
  </si>
  <si>
    <t>willl Look on detail</t>
  </si>
  <si>
    <t>316 7787042</t>
  </si>
  <si>
    <t>He has timing issues he want morning classes</t>
  </si>
  <si>
    <t>306 2648863</t>
  </si>
  <si>
    <t>Need no information</t>
  </si>
  <si>
    <t>324 3966192</t>
  </si>
  <si>
    <t>Maqbool</t>
  </si>
  <si>
    <t>300 0457203</t>
  </si>
  <si>
    <t>informed want to visit office</t>
  </si>
  <si>
    <t>Fayaz Ali</t>
  </si>
  <si>
    <t>331 6187526</t>
  </si>
  <si>
    <t>348 8895073</t>
  </si>
  <si>
    <t xml:space="preserve"> 328 8943415</t>
  </si>
  <si>
    <t>Cant pay</t>
  </si>
  <si>
    <t>335 3722473</t>
  </si>
  <si>
    <t>321 8880078</t>
  </si>
  <si>
    <t xml:space="preserve">
313 0077082</t>
  </si>
  <si>
    <t>will decide till 24jan</t>
  </si>
  <si>
    <t>322 2713802</t>
  </si>
  <si>
    <t>300 1230559</t>
  </si>
  <si>
    <t>Not Interested</t>
  </si>
  <si>
    <t xml:space="preserve"> Adnan Bashir</t>
  </si>
  <si>
    <t>321 4735996</t>
  </si>
  <si>
    <t>Numan ali Jan</t>
  </si>
  <si>
    <t>328 1924042</t>
  </si>
  <si>
    <t>informed</t>
  </si>
  <si>
    <t>313 4414822</t>
  </si>
  <si>
    <t>345 5490612</t>
  </si>
  <si>
    <t>Not interested, internet issue in chitral</t>
  </si>
  <si>
    <t>312 0255789</t>
  </si>
  <si>
    <t>not interested now</t>
  </si>
  <si>
    <t>Gulzar.</t>
  </si>
  <si>
    <t>880 1854-798617</t>
  </si>
  <si>
    <t>300 6177574</t>
  </si>
  <si>
    <t>call back him</t>
  </si>
  <si>
    <t>331 7349030</t>
  </si>
  <si>
    <t>Want data crumb website for proper detail</t>
  </si>
  <si>
    <t>Muhammad Saeed</t>
  </si>
  <si>
    <t>332 2931968</t>
  </si>
  <si>
    <t>not intereseted now</t>
  </si>
  <si>
    <t>315 2114846</t>
  </si>
  <si>
    <t>346 6164543</t>
  </si>
  <si>
    <t>Busy</t>
  </si>
  <si>
    <t>Faisal Raza Chohan</t>
  </si>
  <si>
    <t>345 4001272</t>
  </si>
  <si>
    <t>Call Pending</t>
  </si>
  <si>
    <t>not interested now has time issues will likw to enroll on next batch</t>
  </si>
  <si>
    <t>Naseer Ali</t>
  </si>
  <si>
    <t>300 2440640</t>
  </si>
  <si>
    <t>Interested , will look at details</t>
  </si>
  <si>
    <t>Nisha</t>
  </si>
  <si>
    <t>332 0202106</t>
  </si>
  <si>
    <t>Basit Ali</t>
  </si>
  <si>
    <t>322 0471002</t>
  </si>
  <si>
    <t>Will decide , call him till eve</t>
  </si>
  <si>
    <t>349 5862094</t>
  </si>
  <si>
    <t>302 8212418</t>
  </si>
  <si>
    <t>Language barrier , unqualified</t>
  </si>
  <si>
    <t>307 2674437</t>
  </si>
  <si>
    <t>inki beti k exams hen not interested now</t>
  </si>
  <si>
    <t>301 1381519</t>
  </si>
  <si>
    <t>330 4598046</t>
  </si>
  <si>
    <t>319 4119508</t>
  </si>
  <si>
    <t>Affaq Ahmed</t>
  </si>
  <si>
    <t>310 1315514</t>
  </si>
  <si>
    <t>Seems Interested, will decide in days, gave 25% off call him back today,share demo session with him</t>
  </si>
  <si>
    <t>349 6135283</t>
  </si>
  <si>
    <t>315 7089382</t>
  </si>
  <si>
    <t>311 8141726</t>
  </si>
  <si>
    <t>Lanuage Barrier,UNQUALIFIED</t>
  </si>
  <si>
    <t>335 0422025</t>
  </si>
  <si>
    <t>322 7662784</t>
  </si>
  <si>
    <t>Informed ,seems not interested</t>
  </si>
  <si>
    <t>337 8256317</t>
  </si>
  <si>
    <t>345 1199866</t>
  </si>
  <si>
    <t>332 1761153</t>
  </si>
  <si>
    <t xml:space="preserve"> 343 3917796</t>
  </si>
  <si>
    <t>301 3944467</t>
  </si>
  <si>
    <t>Unqualified</t>
  </si>
  <si>
    <t>342 4109331</t>
  </si>
  <si>
    <t>329 9676948</t>
  </si>
  <si>
    <t>Shariq</t>
  </si>
  <si>
    <t>321 3877582</t>
  </si>
  <si>
    <t xml:space="preserve">Seems interested will decide </t>
  </si>
  <si>
    <t>ali</t>
  </si>
  <si>
    <t>344 8786728</t>
  </si>
  <si>
    <t>Ammar hassan</t>
  </si>
  <si>
    <t xml:space="preserve"> 342 2407214</t>
  </si>
  <si>
    <t>will call back himself when get free</t>
  </si>
  <si>
    <t>Malik M.Imran Awan</t>
  </si>
  <si>
    <t>332 5030482</t>
  </si>
  <si>
    <t>Share detail</t>
  </si>
  <si>
    <t>316 2881779</t>
  </si>
  <si>
    <t>Call her after 5</t>
  </si>
  <si>
    <t>304 4404194</t>
  </si>
  <si>
    <t>320 3744736</t>
  </si>
  <si>
    <t>Shared detail</t>
  </si>
  <si>
    <t>370 6517372</t>
  </si>
  <si>
    <t xml:space="preserve"> 321 5670313</t>
  </si>
  <si>
    <t>Fawad</t>
  </si>
  <si>
    <t>300 8524773</t>
  </si>
  <si>
    <t>share detail, will decide</t>
  </si>
  <si>
    <t>347 1039934</t>
  </si>
  <si>
    <t>detail share</t>
  </si>
  <si>
    <t xml:space="preserve">zahid </t>
  </si>
  <si>
    <t>300 8633918</t>
  </si>
  <si>
    <t>Not interested now</t>
  </si>
  <si>
    <t>336 9628815</t>
  </si>
  <si>
    <t>unqualified</t>
  </si>
  <si>
    <t>329 3092212</t>
  </si>
  <si>
    <t>share detail</t>
  </si>
  <si>
    <t>332 2842779</t>
  </si>
  <si>
    <t xml:space="preserve"> 325 2673551</t>
  </si>
  <si>
    <t>Jaffar Khan</t>
  </si>
  <si>
    <t xml:space="preserve"> 313 8806243</t>
  </si>
  <si>
    <t>333 3833776</t>
  </si>
  <si>
    <t>Ali Husnain</t>
  </si>
  <si>
    <t>347 4878040</t>
  </si>
  <si>
    <t>303 3811134</t>
  </si>
  <si>
    <t>interested will decide</t>
  </si>
  <si>
    <t>314 4092626</t>
  </si>
  <si>
    <t>306 7955983</t>
  </si>
  <si>
    <t>Not interested want data analytics course</t>
  </si>
  <si>
    <t>Mirza</t>
  </si>
  <si>
    <t xml:space="preserve"> 344 6511998</t>
  </si>
  <si>
    <t>Haya</t>
  </si>
  <si>
    <t>344 1722528</t>
  </si>
  <si>
    <t>0343 6419655</t>
  </si>
  <si>
    <t>0329 7440931</t>
  </si>
  <si>
    <t>0323 2653771</t>
  </si>
  <si>
    <t>Ishaq</t>
  </si>
  <si>
    <t>0325 5394575</t>
  </si>
  <si>
    <t>Mohsin Siddiqui</t>
  </si>
  <si>
    <t>0300 2305507</t>
  </si>
  <si>
    <t>will decide(He wants to take physical classes</t>
  </si>
  <si>
    <t>Mudassir Naqvi</t>
  </si>
  <si>
    <t>0314 2589235</t>
  </si>
  <si>
    <t>Hira a baig</t>
  </si>
  <si>
    <t>0336 3371118</t>
  </si>
  <si>
    <t>0340 1266500</t>
  </si>
  <si>
    <t xml:space="preserve">He wants to enoll </t>
  </si>
  <si>
    <t>Sumaiya Jawwad</t>
  </si>
  <si>
    <t>0313 2484c</t>
  </si>
  <si>
    <t>Abu Bakkar</t>
  </si>
  <si>
    <t>0333 2853727</t>
  </si>
  <si>
    <t>0333 9802449</t>
  </si>
  <si>
    <t>324 8246234</t>
  </si>
  <si>
    <t>He will chat</t>
  </si>
  <si>
    <t>Abu Al Rehan</t>
  </si>
  <si>
    <t xml:space="preserve"> 334 4221967</t>
  </si>
  <si>
    <t>detailed shared</t>
  </si>
  <si>
    <t>UMAIR</t>
  </si>
  <si>
    <t>331 6751923</t>
  </si>
  <si>
    <t>306 4457186</t>
  </si>
  <si>
    <t>Seems not interested</t>
  </si>
  <si>
    <t>343 9878290</t>
  </si>
  <si>
    <t>370 8105100</t>
  </si>
  <si>
    <t>he will see demo will decide then</t>
  </si>
  <si>
    <t>314 4603843</t>
  </si>
  <si>
    <t>333 8806600</t>
  </si>
  <si>
    <t>Cant pay not interested</t>
  </si>
  <si>
    <t>315 3463207</t>
  </si>
  <si>
    <t>Qasim</t>
  </si>
  <si>
    <t>ha no time now , want to enroll on next batch</t>
  </si>
  <si>
    <t>Khaleeq ul Zaman</t>
  </si>
  <si>
    <t>300 2541658</t>
  </si>
  <si>
    <t xml:space="preserve">        02:30-04:30</t>
  </si>
  <si>
    <t xml:space="preserve">        04:30-06:00</t>
  </si>
  <si>
    <t>Will pay token till 25 jan and remian after 1st feb</t>
  </si>
  <si>
    <t>1 (647) 562-1595</t>
  </si>
  <si>
    <t xml:space="preserve">         04:30-06:00</t>
  </si>
  <si>
    <t>344 3694326</t>
  </si>
  <si>
    <t>301 2612090</t>
  </si>
  <si>
    <t xml:space="preserve">seems not interested </t>
  </si>
  <si>
    <t>314 3627718</t>
  </si>
  <si>
    <t>968 9786 1358</t>
  </si>
  <si>
    <t>international numbe r</t>
  </si>
  <si>
    <t>345 5462291</t>
  </si>
  <si>
    <t>checking details/ will pay on sunday</t>
  </si>
  <si>
    <t>300 3995208</t>
  </si>
  <si>
    <t>345 7277879</t>
  </si>
  <si>
    <t xml:space="preserve">sending text on whatsApp/ physical classes </t>
  </si>
  <si>
    <t>323 2519263</t>
  </si>
  <si>
    <t>powered off/ powered off</t>
  </si>
  <si>
    <t>312 8452118</t>
  </si>
  <si>
    <t>302 0105093</t>
  </si>
  <si>
    <t>335 2424274</t>
  </si>
  <si>
    <t xml:space="preserve">details shared </t>
  </si>
  <si>
    <t>hasnain abbas</t>
  </si>
  <si>
    <t>345 2629126</t>
  </si>
  <si>
    <t xml:space="preserve">Not Answering/interested in data analytics course </t>
  </si>
  <si>
    <t>318 8422877</t>
  </si>
  <si>
    <t>kashif</t>
  </si>
  <si>
    <t>316 1571879</t>
  </si>
  <si>
    <t>sharing demo link</t>
  </si>
  <si>
    <t>322 4262094</t>
  </si>
  <si>
    <t>will contact in june</t>
  </si>
  <si>
    <t>300 3716811</t>
  </si>
  <si>
    <t>powered off/powered off/powered off</t>
  </si>
  <si>
    <t>323 8386474</t>
  </si>
  <si>
    <t xml:space="preserve">from lhr wants physical classes </t>
  </si>
  <si>
    <t>289) 927-7578</t>
  </si>
  <si>
    <t>int number / text on whatsaap</t>
  </si>
  <si>
    <t xml:space="preserve"> 346 9723272</t>
  </si>
  <si>
    <t>not answering/ not answering</t>
  </si>
  <si>
    <t>370 1098357</t>
  </si>
  <si>
    <t>busy will call her back</t>
  </si>
  <si>
    <t>usama rashid</t>
  </si>
  <si>
    <t xml:space="preserve"> 316 4507962</t>
  </si>
  <si>
    <t xml:space="preserve">Not interested </t>
  </si>
  <si>
    <t>309 8505356</t>
  </si>
  <si>
    <t>not answering / not answering/ not interested</t>
  </si>
  <si>
    <t>336 1843735</t>
  </si>
  <si>
    <t xml:space="preserve">not answering / powered off </t>
  </si>
  <si>
    <t>340 2029769</t>
  </si>
  <si>
    <t>not answering  form filled</t>
  </si>
  <si>
    <t>tariq aziz</t>
  </si>
  <si>
    <t>333 5304894</t>
  </si>
  <si>
    <t xml:space="preserve">seat reserved 13 jan </t>
  </si>
  <si>
    <t xml:space="preserve"> 321 1356867</t>
  </si>
  <si>
    <t xml:space="preserve">will call back </t>
  </si>
  <si>
    <t>mehboob</t>
  </si>
  <si>
    <t>301 2312224</t>
  </si>
  <si>
    <t xml:space="preserve"> 315 2123160</t>
  </si>
  <si>
    <t>not reachable/not answering</t>
  </si>
  <si>
    <t>naeem hashmi</t>
  </si>
  <si>
    <t>321 4855634</t>
  </si>
  <si>
    <t xml:space="preserve">physical c;lasses </t>
  </si>
  <si>
    <t>304 1565275</t>
  </si>
  <si>
    <t>sending details</t>
  </si>
  <si>
    <t>sami</t>
  </si>
  <si>
    <t>312 3999335</t>
  </si>
  <si>
    <t>shayan</t>
  </si>
  <si>
    <t>334 3955383</t>
  </si>
  <si>
    <t xml:space="preserve">not answering /not answering </t>
  </si>
  <si>
    <t>fazal</t>
  </si>
  <si>
    <t>336 5092399</t>
  </si>
  <si>
    <t>zafran</t>
  </si>
  <si>
    <t>317 9744904</t>
  </si>
  <si>
    <t>semlata</t>
  </si>
  <si>
    <t>317 2595336</t>
  </si>
  <si>
    <t>sending demo recording</t>
  </si>
  <si>
    <t>arfan</t>
  </si>
  <si>
    <t>333 3494610</t>
  </si>
  <si>
    <t>not answering</t>
  </si>
  <si>
    <t>sajid</t>
  </si>
  <si>
    <t>300 2519314</t>
  </si>
  <si>
    <t>will call him after 6</t>
  </si>
  <si>
    <t>331 8406191</t>
  </si>
  <si>
    <t xml:space="preserve">not answering / checking details </t>
  </si>
  <si>
    <t>336 2195791</t>
  </si>
  <si>
    <t xml:space="preserve">powered off/ call her back </t>
  </si>
  <si>
    <t>345 0237669</t>
  </si>
  <si>
    <t>seems not interested</t>
  </si>
  <si>
    <t>343 2535588</t>
  </si>
  <si>
    <t xml:space="preserve">not answering/seat reserved </t>
  </si>
  <si>
    <t>300 0851832</t>
  </si>
  <si>
    <t>busy will call him back</t>
  </si>
  <si>
    <t>raza</t>
  </si>
  <si>
    <t>332 2274608</t>
  </si>
  <si>
    <t>not answering/not answering</t>
  </si>
  <si>
    <t>waqar</t>
  </si>
  <si>
    <t>321 2131159</t>
  </si>
  <si>
    <t xml:space="preserve">call back </t>
  </si>
  <si>
    <t>313 9584408</t>
  </si>
  <si>
    <t>not reachable</t>
  </si>
  <si>
    <t>300 2140109</t>
  </si>
  <si>
    <t xml:space="preserve">sending details </t>
  </si>
  <si>
    <t>ayesha</t>
  </si>
  <si>
    <t>333 2128783</t>
  </si>
  <si>
    <t>306 4033850</t>
  </si>
  <si>
    <t>not responding / not responding/ not i nterested</t>
  </si>
  <si>
    <t>asghar</t>
  </si>
  <si>
    <t>320 5690136</t>
  </si>
  <si>
    <t xml:space="preserve">shared details </t>
  </si>
  <si>
    <t>329 8891149</t>
  </si>
  <si>
    <t xml:space="preserve">not answering / busy </t>
  </si>
  <si>
    <t>ahsan javed</t>
  </si>
  <si>
    <t>334 1124660</t>
  </si>
  <si>
    <t>sobia</t>
  </si>
  <si>
    <t>332 2469625</t>
  </si>
  <si>
    <t>340 1104260</t>
  </si>
  <si>
    <t>316 6799221</t>
  </si>
  <si>
    <t xml:space="preserve">not answering / sent details </t>
  </si>
  <si>
    <t>303 4338354</t>
  </si>
  <si>
    <t>rizwan</t>
  </si>
  <si>
    <t xml:space="preserve"> 326 6655251</t>
  </si>
  <si>
    <t>319 8908493</t>
  </si>
  <si>
    <t>zainab</t>
  </si>
  <si>
    <t xml:space="preserve"> 335 5515253</t>
  </si>
  <si>
    <t xml:space="preserve">shared demo </t>
  </si>
  <si>
    <t>rehan</t>
  </si>
  <si>
    <t>332 3428260</t>
  </si>
  <si>
    <t>will call him after 3pm</t>
  </si>
  <si>
    <t>saeed</t>
  </si>
  <si>
    <t>333 2325679</t>
  </si>
  <si>
    <t>hamid</t>
  </si>
  <si>
    <t>332 2225762</t>
  </si>
  <si>
    <t xml:space="preserve">not answering / seems not interested </t>
  </si>
  <si>
    <t>ahmed raza</t>
  </si>
  <si>
    <t>312 5484000</t>
  </si>
  <si>
    <t>322 2100263</t>
  </si>
  <si>
    <t xml:space="preserve">not answering/ not answering </t>
  </si>
  <si>
    <t>331 7186664</t>
  </si>
  <si>
    <t xml:space="preserve"> 337 1643357</t>
  </si>
  <si>
    <t>not reachable/not reachable</t>
  </si>
  <si>
    <t>346 2842133</t>
  </si>
  <si>
    <t>shared details</t>
  </si>
  <si>
    <t>308 8970447</t>
  </si>
  <si>
    <t>powered off</t>
  </si>
  <si>
    <t>325 4626226</t>
  </si>
  <si>
    <t>sajjad</t>
  </si>
  <si>
    <t>322 4257414</t>
  </si>
  <si>
    <t>qambar</t>
  </si>
  <si>
    <t>315 3225110</t>
  </si>
  <si>
    <t>308 9491068</t>
  </si>
  <si>
    <t>328 8704529</t>
  </si>
  <si>
    <t>303 8483878</t>
  </si>
  <si>
    <t xml:space="preserve">not received / not answering </t>
  </si>
  <si>
    <t>314 6368527</t>
  </si>
  <si>
    <t>not responding /powered off</t>
  </si>
  <si>
    <t>355 6602174</t>
  </si>
  <si>
    <t xml:space="preserve">not reachable / not answering </t>
  </si>
  <si>
    <t xml:space="preserve"> 322 2866021</t>
  </si>
  <si>
    <t>303 6969822</t>
  </si>
  <si>
    <t xml:space="preserve">not responding </t>
  </si>
  <si>
    <t>326 3607693</t>
  </si>
  <si>
    <t>discount</t>
  </si>
  <si>
    <t>Khalil</t>
  </si>
  <si>
    <t>331 6957553</t>
  </si>
  <si>
    <t xml:space="preserve">seat reserved </t>
  </si>
  <si>
    <t>mahrukh</t>
  </si>
  <si>
    <t>331 2086520</t>
  </si>
  <si>
    <t xml:space="preserve">need time to think </t>
  </si>
  <si>
    <t>tahir</t>
  </si>
  <si>
    <t>(647) 562-1595</t>
  </si>
  <si>
    <t xml:space="preserve">msg sent </t>
  </si>
  <si>
    <t>talha</t>
  </si>
  <si>
    <t>315 6985586</t>
  </si>
  <si>
    <t>cut the call during conversation</t>
  </si>
  <si>
    <t>Unkown</t>
  </si>
  <si>
    <t xml:space="preserve"> 332 9694346</t>
  </si>
  <si>
    <t>wajeeh</t>
  </si>
  <si>
    <t>310 2232837</t>
  </si>
  <si>
    <t xml:space="preserve">sharing details </t>
  </si>
  <si>
    <t>333 2066898</t>
  </si>
  <si>
    <t xml:space="preserve">not answering </t>
  </si>
  <si>
    <t>312 1809695</t>
  </si>
  <si>
    <t>332 9519158</t>
  </si>
  <si>
    <t xml:space="preserve">busy at the moment </t>
  </si>
  <si>
    <t>aisha</t>
  </si>
  <si>
    <t>312 8814292</t>
  </si>
  <si>
    <t>313 7183800</t>
  </si>
  <si>
    <t xml:space="preserve"> 305 5004178</t>
  </si>
  <si>
    <t>317 3888340</t>
  </si>
  <si>
    <t xml:space="preserve">form filled </t>
  </si>
  <si>
    <t>faiz</t>
  </si>
  <si>
    <t>301 5006252</t>
  </si>
  <si>
    <t>khaleeq</t>
  </si>
  <si>
    <t>faisal</t>
  </si>
  <si>
    <t>0321 4946131</t>
  </si>
  <si>
    <t>974 5997 9536</t>
  </si>
  <si>
    <t>int num</t>
  </si>
  <si>
    <t>mayurika</t>
  </si>
  <si>
    <t>330 6976977</t>
  </si>
  <si>
    <t>303 6257654</t>
  </si>
  <si>
    <t>04:30-06:17</t>
  </si>
  <si>
    <t>yasir</t>
  </si>
  <si>
    <t>309 7205959</t>
  </si>
  <si>
    <t>04:30-06:18</t>
  </si>
  <si>
    <t xml:space="preserve">sunny thakur </t>
  </si>
  <si>
    <t>302 8212505</t>
  </si>
  <si>
    <t>04:30-06:19</t>
  </si>
  <si>
    <t xml:space="preserve">marium </t>
  </si>
  <si>
    <t>317 2451046</t>
  </si>
  <si>
    <t>04:30-06:20</t>
  </si>
  <si>
    <t>340 7380494</t>
  </si>
  <si>
    <t>04:30-06:21</t>
  </si>
  <si>
    <t>will let me know tomorrow</t>
  </si>
  <si>
    <t xml:space="preserve">muhammad </t>
  </si>
  <si>
    <t>336 4532939</t>
  </si>
  <si>
    <t>04:30-06:22</t>
  </si>
  <si>
    <t>not answering/ checking details</t>
  </si>
  <si>
    <t>335 7451233</t>
  </si>
  <si>
    <t>04:30-06:23</t>
  </si>
  <si>
    <t xml:space="preserve">powered off/ shared details </t>
  </si>
  <si>
    <t>322 3714406</t>
  </si>
  <si>
    <t>04:30-06:24</t>
  </si>
  <si>
    <t xml:space="preserve">call back tomorrow </t>
  </si>
  <si>
    <t>315 1197519</t>
  </si>
  <si>
    <t>04:30-06:25</t>
  </si>
  <si>
    <t>junaid</t>
  </si>
  <si>
    <t xml:space="preserve"> 320 4023192</t>
  </si>
  <si>
    <t>04:30-06:26</t>
  </si>
  <si>
    <t xml:space="preserve">busy/ checking details </t>
  </si>
  <si>
    <t>qadeer ahmed</t>
  </si>
  <si>
    <t>302 3497474</t>
  </si>
  <si>
    <t>04:30-06:27</t>
  </si>
  <si>
    <t>anum</t>
  </si>
  <si>
    <t>302 2683944</t>
  </si>
  <si>
    <t>04:30-06:28</t>
  </si>
  <si>
    <t xml:space="preserve">not answering/ checking details </t>
  </si>
  <si>
    <t>murtaza</t>
  </si>
  <si>
    <t>321 4151661</t>
  </si>
  <si>
    <t>saad</t>
  </si>
  <si>
    <t>345 8040293</t>
  </si>
  <si>
    <t>340 1788595</t>
  </si>
  <si>
    <t>311 5275556</t>
  </si>
  <si>
    <t xml:space="preserve">not answering/ in contact on whatsaap </t>
  </si>
  <si>
    <t>313 0002348</t>
  </si>
  <si>
    <t>330 4862342</t>
  </si>
  <si>
    <t>rehman</t>
  </si>
  <si>
    <t>316 2856780</t>
  </si>
  <si>
    <t>call back</t>
  </si>
  <si>
    <t>amna khalid</t>
  </si>
  <si>
    <t>305 2122349</t>
  </si>
  <si>
    <t xml:space="preserve"> not answering/ not answering </t>
  </si>
  <si>
    <t>302 3330647</t>
  </si>
  <si>
    <t xml:space="preserve">not answering / not answering </t>
  </si>
  <si>
    <t>hamza</t>
  </si>
  <si>
    <t>306 5003715</t>
  </si>
  <si>
    <t xml:space="preserve"> 348 2117294</t>
  </si>
  <si>
    <t>he will call me back</t>
  </si>
  <si>
    <t>306 0009476</t>
  </si>
  <si>
    <t>will tell</t>
  </si>
  <si>
    <t>bilal</t>
  </si>
  <si>
    <t>333 2129060</t>
  </si>
  <si>
    <t>333 7528841</t>
  </si>
  <si>
    <t>call him after 1pm</t>
  </si>
  <si>
    <t>rabia</t>
  </si>
  <si>
    <t>317 6198467</t>
  </si>
  <si>
    <t>financial aid</t>
  </si>
  <si>
    <t>314 7005271</t>
  </si>
  <si>
    <t>310 2395237</t>
  </si>
  <si>
    <t>disable</t>
  </si>
  <si>
    <t>Zakir</t>
  </si>
  <si>
    <t xml:space="preserve"> 333 7454558</t>
  </si>
  <si>
    <t xml:space="preserve">powered off/not answering </t>
  </si>
  <si>
    <t>347 8206728</t>
  </si>
  <si>
    <t>zahid</t>
  </si>
  <si>
    <t>344 6699220</t>
  </si>
  <si>
    <t>umar</t>
  </si>
  <si>
    <t>341 2233312</t>
  </si>
  <si>
    <t>marium</t>
  </si>
  <si>
    <t>will call her at 8</t>
  </si>
  <si>
    <t>sabeen ali</t>
  </si>
  <si>
    <t>319 1572842</t>
  </si>
  <si>
    <t xml:space="preserve">ahmed </t>
  </si>
  <si>
    <t>303 0700775</t>
  </si>
  <si>
    <t xml:space="preserve">powered off </t>
  </si>
  <si>
    <t>300 3201026</t>
  </si>
  <si>
    <t xml:space="preserve"> 323 8386474</t>
  </si>
  <si>
    <t>300 3282286</t>
  </si>
  <si>
    <t xml:space="preserve">not answering/not answering </t>
  </si>
  <si>
    <t>laiba</t>
  </si>
  <si>
    <t>332 9155328</t>
  </si>
  <si>
    <t xml:space="preserve">not answering/powered off  </t>
  </si>
  <si>
    <t xml:space="preserve">fatima yasir </t>
  </si>
  <si>
    <t>311 9291111</t>
  </si>
  <si>
    <t xml:space="preserve">not answering/ sending details </t>
  </si>
  <si>
    <t>Zareen</t>
  </si>
  <si>
    <t xml:space="preserve"> 304 5332610</t>
  </si>
  <si>
    <t>discount 3k</t>
  </si>
  <si>
    <t>310 4073865</t>
  </si>
  <si>
    <t>asif</t>
  </si>
  <si>
    <t>321 2426917</t>
  </si>
  <si>
    <t>busy</t>
  </si>
  <si>
    <t>arsalan</t>
  </si>
  <si>
    <t>327 8625427</t>
  </si>
  <si>
    <t>328 9785982</t>
  </si>
  <si>
    <t>319 8328073</t>
  </si>
  <si>
    <t>325 0361250</t>
  </si>
  <si>
    <t>salman</t>
  </si>
  <si>
    <t xml:space="preserve"> 336 9560096</t>
  </si>
  <si>
    <t xml:space="preserve">iterested in recorded lectures </t>
  </si>
  <si>
    <t xml:space="preserve"> 326 4572521</t>
  </si>
  <si>
    <t xml:space="preserve"> 312 3424952</t>
  </si>
  <si>
    <t>321 9634130</t>
  </si>
  <si>
    <t>physical</t>
  </si>
  <si>
    <t>321 4714269</t>
  </si>
  <si>
    <t>348 7828761</t>
  </si>
  <si>
    <t>319 3431241</t>
  </si>
  <si>
    <t>filling form</t>
  </si>
  <si>
    <t xml:space="preserve"> 316 7635885</t>
  </si>
  <si>
    <t xml:space="preserve"> 344 9519835</t>
  </si>
  <si>
    <t xml:space="preserve"> 319 8563277</t>
  </si>
  <si>
    <t>312 4423754</t>
  </si>
  <si>
    <t xml:space="preserve">nafees </t>
  </si>
  <si>
    <t>301 0516805</t>
  </si>
  <si>
    <t>330 3009661</t>
  </si>
  <si>
    <t>334 6315397</t>
  </si>
  <si>
    <t xml:space="preserve">will call him tomorrow </t>
  </si>
  <si>
    <t>300 2589656</t>
  </si>
  <si>
    <t>311 9797918</t>
  </si>
  <si>
    <t>326 3352801</t>
  </si>
  <si>
    <t>Client -186</t>
  </si>
  <si>
    <t>Client -02</t>
  </si>
  <si>
    <t>Client -03</t>
  </si>
  <si>
    <t>Client -04</t>
  </si>
  <si>
    <t>3411295826</t>
  </si>
  <si>
    <t>Client -05</t>
  </si>
  <si>
    <t>Client -06</t>
  </si>
  <si>
    <t>3421803408</t>
  </si>
  <si>
    <t>Client -07</t>
  </si>
  <si>
    <t>Client -08</t>
  </si>
  <si>
    <t>Client -09</t>
  </si>
  <si>
    <t xml:space="preserve"> 3463535572</t>
  </si>
  <si>
    <t>Client -10</t>
  </si>
  <si>
    <t>3252741027</t>
  </si>
  <si>
    <t>Client -11</t>
  </si>
  <si>
    <t>Client -12</t>
  </si>
  <si>
    <t xml:space="preserve"> 3078901354</t>
  </si>
  <si>
    <t>Client -13</t>
  </si>
  <si>
    <t>6148204 669</t>
  </si>
  <si>
    <t>Client -14</t>
  </si>
  <si>
    <t xml:space="preserve"> 3104768354</t>
  </si>
  <si>
    <t>Client -15</t>
  </si>
  <si>
    <t>3225045239</t>
  </si>
  <si>
    <t>Client -16</t>
  </si>
  <si>
    <t>3369639505</t>
  </si>
  <si>
    <t xml:space="preserve">Demo </t>
  </si>
  <si>
    <t>Client -187</t>
  </si>
  <si>
    <t>Client -18</t>
  </si>
  <si>
    <t>Client -19</t>
  </si>
  <si>
    <t>Client -20</t>
  </si>
  <si>
    <t>Client -21</t>
  </si>
  <si>
    <t>Client -22</t>
  </si>
  <si>
    <t>Client -23</t>
  </si>
  <si>
    <t>Client -188</t>
  </si>
  <si>
    <t>Client -25</t>
  </si>
  <si>
    <t>Client -26</t>
  </si>
  <si>
    <t>Client -27</t>
  </si>
  <si>
    <t>Client -28</t>
  </si>
  <si>
    <t>Client -29</t>
  </si>
  <si>
    <t>Client -30</t>
  </si>
  <si>
    <t>Client -31</t>
  </si>
  <si>
    <t>Client -32</t>
  </si>
  <si>
    <t>Client -33</t>
  </si>
  <si>
    <t>Client -34</t>
  </si>
  <si>
    <t>Client -35</t>
  </si>
  <si>
    <t>Client -36</t>
  </si>
  <si>
    <t>Client -37</t>
  </si>
  <si>
    <t>Client -38</t>
  </si>
  <si>
    <t>Client -39</t>
  </si>
  <si>
    <t>Client -40</t>
  </si>
  <si>
    <t>Client -41</t>
  </si>
  <si>
    <t>Client -42</t>
  </si>
  <si>
    <t>Client -43</t>
  </si>
  <si>
    <t>Client -44</t>
  </si>
  <si>
    <t>Client -45</t>
  </si>
  <si>
    <t>Client -46</t>
  </si>
  <si>
    <t>Client -47</t>
  </si>
  <si>
    <t>Client -48</t>
  </si>
  <si>
    <t>Client -49</t>
  </si>
  <si>
    <t>Client -50</t>
  </si>
  <si>
    <t>Client -51</t>
  </si>
  <si>
    <t>Client -52</t>
  </si>
  <si>
    <t>Client -53</t>
  </si>
  <si>
    <t>Client -54</t>
  </si>
  <si>
    <t>Client -55</t>
  </si>
  <si>
    <t>Client -56</t>
  </si>
  <si>
    <t>Client -57</t>
  </si>
  <si>
    <t>Client -58</t>
  </si>
  <si>
    <t>Client -59</t>
  </si>
  <si>
    <t>Client -60</t>
  </si>
  <si>
    <t>Client -61</t>
  </si>
  <si>
    <t>Client -62</t>
  </si>
  <si>
    <t>Client -63</t>
  </si>
  <si>
    <t>Client -64</t>
  </si>
  <si>
    <t>Client -65</t>
  </si>
  <si>
    <t>Client -66</t>
  </si>
  <si>
    <t>Client -67</t>
  </si>
  <si>
    <t>Client -68</t>
  </si>
  <si>
    <t>Client -69</t>
  </si>
  <si>
    <t>Client -70</t>
  </si>
  <si>
    <t>Client -71</t>
  </si>
  <si>
    <t>Client -72</t>
  </si>
  <si>
    <t>Client -73</t>
  </si>
  <si>
    <t>Client -74</t>
  </si>
  <si>
    <t>Client -189</t>
  </si>
  <si>
    <t>Client -76</t>
  </si>
  <si>
    <t>Client -77</t>
  </si>
  <si>
    <t>Client -78</t>
  </si>
  <si>
    <t>Client -79</t>
  </si>
  <si>
    <t>Client -80</t>
  </si>
  <si>
    <t>Client -81</t>
  </si>
  <si>
    <t>Client -82</t>
  </si>
  <si>
    <t>Client -83</t>
  </si>
  <si>
    <t>Client -84</t>
  </si>
  <si>
    <t>Client -85</t>
  </si>
  <si>
    <t>Client -86</t>
  </si>
  <si>
    <t>Client -87</t>
  </si>
  <si>
    <t>Client -88</t>
  </si>
  <si>
    <t>Client -190</t>
  </si>
  <si>
    <t>Client -90</t>
  </si>
  <si>
    <t>Client -91</t>
  </si>
  <si>
    <t>Client -92</t>
  </si>
  <si>
    <t>Client -191</t>
  </si>
  <si>
    <t>Client -94</t>
  </si>
  <si>
    <t>Client -95</t>
  </si>
  <si>
    <t>Client -96</t>
  </si>
  <si>
    <t>Client -97</t>
  </si>
  <si>
    <t>Client -98</t>
  </si>
  <si>
    <t>Client -192</t>
  </si>
  <si>
    <t>Client -100</t>
  </si>
  <si>
    <t>Client -101</t>
  </si>
  <si>
    <t>Client -102</t>
  </si>
  <si>
    <t>Client -103</t>
  </si>
  <si>
    <t>Client -104</t>
  </si>
  <si>
    <t>Client -105</t>
  </si>
  <si>
    <t>61 421 752 688</t>
  </si>
  <si>
    <t>Client -106</t>
  </si>
  <si>
    <t>Client -107</t>
  </si>
  <si>
    <t>Client -193</t>
  </si>
  <si>
    <t>Client -194</t>
  </si>
  <si>
    <t>Client -195</t>
  </si>
  <si>
    <t>Client -111</t>
  </si>
  <si>
    <t>Client -112</t>
  </si>
  <si>
    <t>Client -113</t>
  </si>
  <si>
    <t>Client -114</t>
  </si>
  <si>
    <t>973 3603 4276</t>
  </si>
  <si>
    <t>Client -115</t>
  </si>
  <si>
    <t>Client -116</t>
  </si>
  <si>
    <t>Client -117</t>
  </si>
  <si>
    <t>Client -118</t>
  </si>
  <si>
    <t>Client -119</t>
  </si>
  <si>
    <t>Client -120</t>
  </si>
  <si>
    <t>Client -121</t>
  </si>
  <si>
    <t>Client -122</t>
  </si>
  <si>
    <t>Client -123</t>
  </si>
  <si>
    <t>Client -124</t>
  </si>
  <si>
    <t>Client -125</t>
  </si>
  <si>
    <t>Client -126</t>
  </si>
  <si>
    <t>Client -127</t>
  </si>
  <si>
    <t>Client -128</t>
  </si>
  <si>
    <t>Client -129</t>
  </si>
  <si>
    <t>Client -130</t>
  </si>
  <si>
    <t>Client -131</t>
  </si>
  <si>
    <t>Client -132</t>
  </si>
  <si>
    <t>Client -133</t>
  </si>
  <si>
    <t>Client -134</t>
  </si>
  <si>
    <t>Client -135</t>
  </si>
  <si>
    <t>Client -196</t>
  </si>
  <si>
    <t>Client -137</t>
  </si>
  <si>
    <t>Client -138</t>
  </si>
  <si>
    <t>Client -139</t>
  </si>
  <si>
    <t>Client -140</t>
  </si>
  <si>
    <t>Client -141</t>
  </si>
  <si>
    <t>Client -142</t>
  </si>
  <si>
    <t>Client -143</t>
  </si>
  <si>
    <t>Client -144</t>
  </si>
  <si>
    <t>Client -145</t>
  </si>
  <si>
    <t>Client -146</t>
  </si>
  <si>
    <t>Client -147</t>
  </si>
  <si>
    <t>Client -197</t>
  </si>
  <si>
    <t>Client -149</t>
  </si>
  <si>
    <t>Client -150</t>
  </si>
  <si>
    <t>Client -151</t>
  </si>
  <si>
    <t>Client -152</t>
  </si>
  <si>
    <t>Client -153</t>
  </si>
  <si>
    <t>Client -154</t>
  </si>
  <si>
    <t>Client -155</t>
  </si>
  <si>
    <t>Client -156</t>
  </si>
  <si>
    <t>Client -157</t>
  </si>
  <si>
    <t>Client -158</t>
  </si>
  <si>
    <t>Client -159</t>
  </si>
  <si>
    <t>Client -160</t>
  </si>
  <si>
    <t>Client -161</t>
  </si>
  <si>
    <t>Client -162</t>
  </si>
  <si>
    <t>Client -163</t>
  </si>
  <si>
    <t>Client -164</t>
  </si>
  <si>
    <t>Client -165</t>
  </si>
  <si>
    <t>Client -166</t>
  </si>
  <si>
    <t>Client -167</t>
  </si>
  <si>
    <t>Client -168</t>
  </si>
  <si>
    <t>Client -169</t>
  </si>
  <si>
    <t>Client -170</t>
  </si>
  <si>
    <t>Client -171</t>
  </si>
  <si>
    <t>Client -172</t>
  </si>
  <si>
    <t>Client -173</t>
  </si>
  <si>
    <t>Client -174</t>
  </si>
  <si>
    <t>Client -175</t>
  </si>
  <si>
    <t>Client -176</t>
  </si>
  <si>
    <t>Client -177</t>
  </si>
  <si>
    <t>Client -178</t>
  </si>
  <si>
    <t>Client -179</t>
  </si>
  <si>
    <t>Client -180</t>
  </si>
  <si>
    <t>Client -181</t>
  </si>
  <si>
    <t>Client -182</t>
  </si>
  <si>
    <t>Client -183</t>
  </si>
  <si>
    <t>Client -184</t>
  </si>
  <si>
    <t>90 535 028 59 62</t>
  </si>
  <si>
    <t>Client -185</t>
  </si>
  <si>
    <t>Client -201</t>
  </si>
  <si>
    <t>Client -202</t>
  </si>
  <si>
    <t>Client -203</t>
  </si>
  <si>
    <t>Client -204</t>
  </si>
  <si>
    <t>Client -205</t>
  </si>
  <si>
    <t>Client -206</t>
  </si>
  <si>
    <t>Client -207</t>
  </si>
  <si>
    <t>Client -208</t>
  </si>
  <si>
    <t>Client -209</t>
  </si>
  <si>
    <t>Client -210</t>
  </si>
  <si>
    <t>Client -211</t>
  </si>
  <si>
    <t>Client -212</t>
  </si>
  <si>
    <t>Client -213</t>
  </si>
  <si>
    <t>Client -214</t>
  </si>
  <si>
    <t>Client -215</t>
  </si>
  <si>
    <t>Client -216</t>
  </si>
  <si>
    <t>Client -217</t>
  </si>
  <si>
    <t>Client -218</t>
  </si>
  <si>
    <t>Client -219</t>
  </si>
  <si>
    <t>Client -220</t>
  </si>
  <si>
    <t>Client -221</t>
  </si>
  <si>
    <t>Client -222</t>
  </si>
  <si>
    <t>Client -223</t>
  </si>
  <si>
    <t>Client -224</t>
  </si>
  <si>
    <t>Client -225</t>
  </si>
  <si>
    <t>Client -226</t>
  </si>
  <si>
    <t>Client -227</t>
  </si>
  <si>
    <t>Client -198</t>
  </si>
  <si>
    <t>Client -229</t>
  </si>
  <si>
    <t>Client -230</t>
  </si>
  <si>
    <t>Client -231</t>
  </si>
  <si>
    <t>Client -232</t>
  </si>
  <si>
    <t>Client -233</t>
  </si>
  <si>
    <t>Client -234</t>
  </si>
  <si>
    <t>Client -235</t>
  </si>
  <si>
    <t>Client -236</t>
  </si>
  <si>
    <t>Client -237</t>
  </si>
  <si>
    <t>Client -199</t>
  </si>
  <si>
    <t>Client -200</t>
  </si>
  <si>
    <t>Client -240</t>
  </si>
  <si>
    <t>Client -241</t>
  </si>
  <si>
    <t>Client -242</t>
  </si>
  <si>
    <t>Client -243</t>
  </si>
  <si>
    <t>Client -244</t>
  </si>
  <si>
    <t>Client -245</t>
  </si>
  <si>
    <t>Client -246</t>
  </si>
  <si>
    <t>Client -247</t>
  </si>
  <si>
    <t>Client -248</t>
  </si>
  <si>
    <t>Client -249</t>
  </si>
  <si>
    <t>Client -250</t>
  </si>
  <si>
    <t>Client -251</t>
  </si>
  <si>
    <t>Client -252</t>
  </si>
  <si>
    <t>Client -253</t>
  </si>
  <si>
    <t>Client -254</t>
  </si>
  <si>
    <t>966 57 041 7454</t>
  </si>
  <si>
    <t>Client -255</t>
  </si>
  <si>
    <t>Client -256</t>
  </si>
  <si>
    <t>Client -257</t>
  </si>
  <si>
    <t>0313 5642670</t>
  </si>
  <si>
    <t>0315 2640960</t>
  </si>
  <si>
    <t>Kabir Hussain</t>
  </si>
  <si>
    <t>0345 9843658</t>
  </si>
  <si>
    <t>Aman</t>
  </si>
  <si>
    <t>44 7514 858951</t>
  </si>
  <si>
    <t>atiq ahmad</t>
  </si>
  <si>
    <t>0321 4155267</t>
  </si>
  <si>
    <t>0310 0013561</t>
  </si>
  <si>
    <t>0317 2845238</t>
  </si>
  <si>
    <t>Not received</t>
  </si>
  <si>
    <t>0311 5003355</t>
  </si>
  <si>
    <t>0300 4571744</t>
  </si>
  <si>
    <t>0316 6753022</t>
  </si>
  <si>
    <t>Fahad Siddiqui</t>
  </si>
  <si>
    <t>971 52 125 2296</t>
  </si>
  <si>
    <t xml:space="preserve">Asim </t>
  </si>
  <si>
    <t>0320 6923675</t>
  </si>
  <si>
    <t>0355 5339666</t>
  </si>
  <si>
    <t>0334 0660379</t>
  </si>
  <si>
    <t>0330 3011611</t>
  </si>
  <si>
    <t>Noor Ul Haq</t>
  </si>
  <si>
    <t>0313 3211559</t>
  </si>
  <si>
    <t>0312 2384978</t>
  </si>
  <si>
    <t>0300 2914791</t>
  </si>
  <si>
    <t>Aneeqa</t>
  </si>
  <si>
    <t>0344 4677699</t>
  </si>
  <si>
    <t xml:space="preserve">Jamal Yaqoob </t>
  </si>
  <si>
    <t>0336 0475033</t>
  </si>
  <si>
    <t>0345 0328405</t>
  </si>
  <si>
    <t>0337 8012104</t>
  </si>
  <si>
    <t>0325 9827535</t>
  </si>
  <si>
    <t>Ayaan Shah</t>
  </si>
  <si>
    <t>0322 5127292</t>
  </si>
  <si>
    <t>Noor</t>
  </si>
  <si>
    <t>0345 8086649</t>
  </si>
  <si>
    <t>0324 2462474</t>
  </si>
  <si>
    <t>0348 4610736</t>
  </si>
  <si>
    <t>0331 2807187</t>
  </si>
  <si>
    <t>OWAIS</t>
  </si>
  <si>
    <t>0302 8282026</t>
  </si>
  <si>
    <t>0321 4000297</t>
  </si>
  <si>
    <t>0312 6862211</t>
  </si>
  <si>
    <t>abass</t>
  </si>
  <si>
    <t>0355 5039566</t>
  </si>
  <si>
    <t>sadaqatalijat</t>
  </si>
  <si>
    <t>0344 1761926</t>
  </si>
  <si>
    <t>Abdul karim</t>
  </si>
  <si>
    <t>0315 3719680</t>
  </si>
  <si>
    <t>Masud Ansari</t>
  </si>
  <si>
    <t>0334 6110757</t>
  </si>
  <si>
    <t>0345 4298828</t>
  </si>
  <si>
    <t>0355 5280280</t>
  </si>
  <si>
    <t>Danish Jahangir</t>
  </si>
  <si>
    <t>0345 2223364</t>
  </si>
  <si>
    <t>Zuhaib</t>
  </si>
  <si>
    <t>0301 7924321</t>
  </si>
  <si>
    <t>0333 3383798</t>
  </si>
  <si>
    <t>0333 5368904</t>
  </si>
  <si>
    <t>Ali hassan</t>
  </si>
  <si>
    <t>0303 2549864</t>
  </si>
  <si>
    <t>0321 5114607</t>
  </si>
  <si>
    <t>0321 4073073</t>
  </si>
  <si>
    <t>0317 4141719</t>
  </si>
  <si>
    <t>0333 8381516</t>
  </si>
  <si>
    <t>0328 6609695</t>
  </si>
  <si>
    <t>0321 8253935</t>
  </si>
  <si>
    <t>Ali Asif</t>
  </si>
  <si>
    <t>0333 4940126</t>
  </si>
  <si>
    <t>0300 9872615</t>
  </si>
  <si>
    <t>sheeraz</t>
  </si>
  <si>
    <t>0324 2058529</t>
  </si>
  <si>
    <t>0316 1473624</t>
  </si>
  <si>
    <t>0322 6768581</t>
  </si>
  <si>
    <t>0321 5673818</t>
  </si>
  <si>
    <t>0319 3080237</t>
  </si>
  <si>
    <t>0328 9807614</t>
  </si>
  <si>
    <t>0330 8195748</t>
  </si>
  <si>
    <t>0333 4271093</t>
  </si>
  <si>
    <t>Ahmed Khan</t>
  </si>
  <si>
    <t>0345 3087635</t>
  </si>
  <si>
    <t>0335 1379484</t>
  </si>
  <si>
    <t>Nafees Kamil</t>
  </si>
  <si>
    <t>0335 7841089</t>
  </si>
  <si>
    <t>0331 4566190</t>
  </si>
  <si>
    <t>muhammadishaq</t>
  </si>
  <si>
    <t>0306 9689844</t>
  </si>
  <si>
    <t>0322 2323908</t>
  </si>
  <si>
    <t>0333 5650571</t>
  </si>
  <si>
    <t>0321 2188855</t>
  </si>
  <si>
    <t>Abdul Mubeen</t>
  </si>
  <si>
    <t>0319 0110508</t>
  </si>
  <si>
    <t>0348 7534096</t>
  </si>
  <si>
    <t>0320 0211110</t>
  </si>
  <si>
    <t>0333 6545572</t>
  </si>
  <si>
    <t>0334 0968427</t>
  </si>
  <si>
    <t>Khushi</t>
  </si>
  <si>
    <t>0321 1822824</t>
  </si>
  <si>
    <t>0331 9915442</t>
  </si>
  <si>
    <t>0324 4553949</t>
  </si>
  <si>
    <t>Muhammad Waqas Zahoor</t>
  </si>
  <si>
    <t>0347 1165972</t>
  </si>
  <si>
    <t>0340 0043044</t>
  </si>
  <si>
    <t>Syed Imran Abbas Bokhari</t>
  </si>
  <si>
    <t>0300 5290487</t>
  </si>
  <si>
    <t>0311 3227809</t>
  </si>
  <si>
    <t>0332 2258489</t>
  </si>
  <si>
    <t>Nizam</t>
  </si>
  <si>
    <t>0312 2314296</t>
  </si>
  <si>
    <t>0332 3400725</t>
  </si>
  <si>
    <t>0317 6161454</t>
  </si>
  <si>
    <t>0300 7242936</t>
  </si>
  <si>
    <t>0321 7099997</t>
  </si>
  <si>
    <t>0305 2759971</t>
  </si>
  <si>
    <t>Abdul Moed</t>
  </si>
  <si>
    <t>0314 2079608</t>
  </si>
  <si>
    <t>0348 7382082</t>
  </si>
  <si>
    <t>Muhammad Khan</t>
  </si>
  <si>
    <t>0307 7468904</t>
  </si>
  <si>
    <t>0322 4220211</t>
  </si>
  <si>
    <t>~Muhammadbintariq</t>
  </si>
  <si>
    <t>0304 8111425</t>
  </si>
  <si>
    <t>Kiran</t>
  </si>
  <si>
    <t>0322 6433138</t>
  </si>
  <si>
    <t>0333 9634105</t>
  </si>
  <si>
    <t>0315 2542195</t>
  </si>
  <si>
    <t>MUHAMMAD SHAHZAD</t>
  </si>
  <si>
    <t>0301 7437413</t>
  </si>
  <si>
    <t>0310 4771171</t>
  </si>
  <si>
    <t>0323 4652319</t>
  </si>
  <si>
    <t>0348 3200082</t>
  </si>
  <si>
    <t>0317 5396793</t>
  </si>
  <si>
    <t>0334 8644824</t>
  </si>
  <si>
    <t>0331 9133603</t>
  </si>
  <si>
    <t>0302 7066284</t>
  </si>
  <si>
    <t>0319 2282788</t>
  </si>
  <si>
    <t>0317 5841585</t>
  </si>
  <si>
    <t>SaJJad Ali</t>
  </si>
  <si>
    <t>0305 3147891</t>
  </si>
  <si>
    <t>Muhammed Hassan</t>
  </si>
  <si>
    <t>0314 4202389</t>
  </si>
  <si>
    <t>0345 2682680</t>
  </si>
  <si>
    <t xml:space="preserve">Obaid Ud Din Hashmi </t>
  </si>
  <si>
    <t>0304 0256240</t>
  </si>
  <si>
    <t>Form filled</t>
  </si>
  <si>
    <t>Ahmed Mustafa</t>
  </si>
  <si>
    <t>0318 3030976</t>
  </si>
  <si>
    <t>0303 5723535</t>
  </si>
  <si>
    <t>Hafiz Ali</t>
  </si>
  <si>
    <t>0303 4006371</t>
  </si>
  <si>
    <t>0330 6974944</t>
  </si>
  <si>
    <t>0306 1034025</t>
  </si>
  <si>
    <t>SOHAIL AHMAD</t>
  </si>
  <si>
    <t>0300 6726196</t>
  </si>
  <si>
    <t>hina kazim</t>
  </si>
  <si>
    <t>0331 2367560</t>
  </si>
  <si>
    <t>Syed Zeeshan Haider</t>
  </si>
  <si>
    <t>0336 2512531</t>
  </si>
  <si>
    <t>zubair</t>
  </si>
  <si>
    <t>0314 5025393</t>
  </si>
  <si>
    <t>0323 6202047</t>
  </si>
  <si>
    <t>Hunian Aslam</t>
  </si>
  <si>
    <t>0311 4043781</t>
  </si>
  <si>
    <t>Dr.Rabee Rizwan</t>
  </si>
  <si>
    <t>0311 2603406</t>
  </si>
  <si>
    <t>0326 4916294</t>
  </si>
  <si>
    <t>0332 4095459</t>
  </si>
  <si>
    <t xml:space="preserve">Muhammad wasif </t>
  </si>
  <si>
    <t>0317 7957763</t>
  </si>
  <si>
    <t>Syed Kashan Manzar Abidi</t>
  </si>
  <si>
    <t>0300 2510643</t>
  </si>
  <si>
    <t>974 3372 6350</t>
  </si>
  <si>
    <t>Haider Zaidi</t>
  </si>
  <si>
    <t>0312 2539317</t>
  </si>
  <si>
    <t>0301 2305683</t>
  </si>
  <si>
    <t>0332 7383445</t>
  </si>
  <si>
    <t>0335 3229766</t>
  </si>
  <si>
    <t>0319 5021607</t>
  </si>
  <si>
    <t>Waseem Ahmad</t>
  </si>
  <si>
    <t>0344 4738970</t>
  </si>
  <si>
    <t>Yonus khan</t>
  </si>
  <si>
    <t>0347 1095229</t>
  </si>
  <si>
    <t>0300 0413690</t>
  </si>
  <si>
    <t>0315 8338533</t>
  </si>
  <si>
    <t>0318 5044473</t>
  </si>
  <si>
    <t>0303 3500665</t>
  </si>
  <si>
    <t>0324 2765605</t>
  </si>
  <si>
    <t>Ghulam Ghouse</t>
  </si>
  <si>
    <t>0333 6690646</t>
  </si>
  <si>
    <t>0347 4370768</t>
  </si>
  <si>
    <t>0341 8032215</t>
  </si>
  <si>
    <t>Riasat Khan</t>
  </si>
  <si>
    <t>0303 2954859</t>
  </si>
  <si>
    <t>0309 5366661</t>
  </si>
  <si>
    <t>Sumeet Kumar</t>
  </si>
  <si>
    <t>0332 2466152</t>
  </si>
  <si>
    <t>SYED MUHAMMAD NASIM</t>
  </si>
  <si>
    <t>wazir</t>
  </si>
  <si>
    <t>0310 4015680</t>
  </si>
  <si>
    <t>Najia Jamil</t>
  </si>
  <si>
    <t>0321 4510829</t>
  </si>
  <si>
    <t>Syed Ali Rizvi</t>
  </si>
  <si>
    <t>0322 0832768</t>
  </si>
  <si>
    <t>0333 6629921</t>
  </si>
  <si>
    <t>Amber</t>
  </si>
  <si>
    <t>0300 4991229</t>
  </si>
  <si>
    <t>0302 3906195</t>
  </si>
  <si>
    <t>0334 3778769</t>
  </si>
  <si>
    <t>0304 4868105</t>
  </si>
  <si>
    <t>0320 4139405</t>
  </si>
  <si>
    <t>0332 2954450</t>
  </si>
  <si>
    <t>Aisha Muhammad</t>
  </si>
  <si>
    <t>0333 2763999</t>
  </si>
  <si>
    <t>0346 5359972</t>
  </si>
  <si>
    <t>0333 3405169</t>
  </si>
  <si>
    <t>0342 2346328</t>
  </si>
  <si>
    <t>0335 9692211</t>
  </si>
  <si>
    <t>0333 3122955</t>
  </si>
  <si>
    <t>0300 9281400/ 0312 2577544</t>
  </si>
  <si>
    <t>0300 3611236</t>
  </si>
  <si>
    <t>Sahar Rehman</t>
  </si>
  <si>
    <t>0331 3104809</t>
  </si>
  <si>
    <t>0347 4815860</t>
  </si>
  <si>
    <t>0330 3083494</t>
  </si>
  <si>
    <t>0346 2101616</t>
  </si>
  <si>
    <t>Hamza Noor</t>
  </si>
  <si>
    <t>0300 8861890/ 0305 2362268</t>
  </si>
  <si>
    <t>Rehan Ali</t>
  </si>
  <si>
    <t>0301 5140652</t>
  </si>
  <si>
    <t>0336 5517030</t>
  </si>
  <si>
    <t>0321 8549326</t>
  </si>
  <si>
    <t>0315 5707713</t>
  </si>
  <si>
    <t>Shumaila Shahid</t>
  </si>
  <si>
    <t>0321 7285619</t>
  </si>
  <si>
    <t>0321 2231340</t>
  </si>
  <si>
    <t>Abida Mahmood</t>
  </si>
  <si>
    <t>0345 2891921</t>
  </si>
  <si>
    <t>Kamran Ahmad</t>
  </si>
  <si>
    <t>0312 6329290</t>
  </si>
  <si>
    <t>0347 0773835</t>
  </si>
  <si>
    <t>0333 3013945</t>
  </si>
  <si>
    <t>0346 2384135</t>
  </si>
  <si>
    <t>0322 5074604</t>
  </si>
  <si>
    <t>0348 6465852</t>
  </si>
  <si>
    <t>sadaf rasheed</t>
  </si>
  <si>
    <t>0333 3256665</t>
  </si>
  <si>
    <t>0336 3222551</t>
  </si>
  <si>
    <t>latifaamer</t>
  </si>
  <si>
    <t>0321 5188797</t>
  </si>
  <si>
    <t>0345 5819511</t>
  </si>
  <si>
    <t>0330 3461379</t>
  </si>
  <si>
    <t>Jahanzaib</t>
  </si>
  <si>
    <t>0333 5738655</t>
  </si>
  <si>
    <t>0304 8664006</t>
  </si>
  <si>
    <t>Zehra</t>
  </si>
  <si>
    <t>0311 2859931</t>
  </si>
  <si>
    <t>Attia</t>
  </si>
  <si>
    <t>0333 5947763</t>
  </si>
  <si>
    <t>0966 55 319 0859</t>
  </si>
  <si>
    <t>Farhan Iqbal</t>
  </si>
  <si>
    <t>0308 5454788</t>
  </si>
  <si>
    <t>0321 4574414</t>
  </si>
  <si>
    <t>0310 5857991</t>
  </si>
  <si>
    <t>Muhammad Haseeb</t>
  </si>
  <si>
    <t>0310 7630757</t>
  </si>
  <si>
    <t>Arooba</t>
  </si>
  <si>
    <t>0335 3571666</t>
  </si>
  <si>
    <t>0310 4732504</t>
  </si>
  <si>
    <t>0318 4864255</t>
  </si>
  <si>
    <t>0309 2321284</t>
  </si>
  <si>
    <t>0335 8414938</t>
  </si>
  <si>
    <t xml:space="preserve">Nazir </t>
  </si>
  <si>
    <t>0301 6970312</t>
  </si>
  <si>
    <t>0331 9375395</t>
  </si>
  <si>
    <t>Abeera Umair</t>
  </si>
  <si>
    <t>0300 2266417</t>
  </si>
  <si>
    <t>0307 5223512</t>
  </si>
  <si>
    <t>966 53 588 3836</t>
  </si>
  <si>
    <t>0345 8011066</t>
  </si>
  <si>
    <t>0345 3601495</t>
  </si>
  <si>
    <t>0335 0422025</t>
  </si>
  <si>
    <t>0311 5569505</t>
  </si>
  <si>
    <t>0304 4433552</t>
  </si>
  <si>
    <t>0322 2240983</t>
  </si>
  <si>
    <t>0370 5236619</t>
  </si>
  <si>
    <t>0318 0028366</t>
  </si>
  <si>
    <t>0345 0539862</t>
  </si>
  <si>
    <t>0320 2828252</t>
  </si>
  <si>
    <t>0319 4182993</t>
  </si>
  <si>
    <t>0316 4638604</t>
  </si>
  <si>
    <t>0333 7637975</t>
  </si>
  <si>
    <t>0370 5030543</t>
  </si>
  <si>
    <t>0300 0749997</t>
  </si>
  <si>
    <t>Ali Kamal</t>
  </si>
  <si>
    <t>0301 5589998</t>
  </si>
  <si>
    <t>0312 9847995</t>
  </si>
  <si>
    <t>0334 9255573</t>
  </si>
  <si>
    <t>0310 7249040</t>
  </si>
  <si>
    <t>Ishaq Brian</t>
  </si>
  <si>
    <t>0312 0281846</t>
  </si>
  <si>
    <t>0316 6735409</t>
  </si>
  <si>
    <t>0303 0702215</t>
  </si>
  <si>
    <t>0335 0022023</t>
  </si>
  <si>
    <t>0314 8065757</t>
  </si>
  <si>
    <t>0320 5519363</t>
  </si>
  <si>
    <t>0301 5481027</t>
  </si>
  <si>
    <t>0345 9587905</t>
  </si>
  <si>
    <t>0328 5048270</t>
  </si>
  <si>
    <t>0301 9498019</t>
  </si>
  <si>
    <t>0327 2346514</t>
  </si>
  <si>
    <t xml:space="preserve">Ayesha Muhammad Akram </t>
  </si>
  <si>
    <t>0314 7725531</t>
  </si>
  <si>
    <t>seems not interested now i have give him 2500 discount will decide</t>
  </si>
  <si>
    <t>0334 6529551</t>
  </si>
  <si>
    <t>will tell till 19 , offer v him 25% off</t>
  </si>
  <si>
    <t>Hasnain Azam</t>
  </si>
  <si>
    <t>03333477553/03152012140</t>
  </si>
  <si>
    <t>0315 8971651</t>
  </si>
  <si>
    <t>Syed Haider Ali</t>
  </si>
  <si>
    <t>61 482 043 669</t>
  </si>
  <si>
    <t>0342 2306209</t>
  </si>
  <si>
    <t>Gave 25% of today will decide til today</t>
  </si>
  <si>
    <t>0330 2470947</t>
  </si>
  <si>
    <t>0302 5546717</t>
  </si>
  <si>
    <t>0312 5128595</t>
  </si>
  <si>
    <t xml:space="preserve">number busy </t>
  </si>
  <si>
    <t>Call him in an hour</t>
  </si>
  <si>
    <t>0337 4322027</t>
  </si>
  <si>
    <t>no t interested</t>
  </si>
  <si>
    <t>0345 6735246</t>
  </si>
  <si>
    <t>0345 0449800</t>
  </si>
  <si>
    <t>0345 3600696</t>
  </si>
  <si>
    <t>0301 8044599</t>
  </si>
  <si>
    <t>will join, share info</t>
  </si>
  <si>
    <t>0320 9587280</t>
  </si>
  <si>
    <t>M.saqlain</t>
  </si>
  <si>
    <t>0355 5446314</t>
  </si>
  <si>
    <t>will pay 2000</t>
  </si>
  <si>
    <t>will pay by tomorrow</t>
  </si>
  <si>
    <t>0342 1536172</t>
  </si>
  <si>
    <t>0341 8868037</t>
  </si>
  <si>
    <t>0355 4285313</t>
  </si>
  <si>
    <t>0355 5489848</t>
  </si>
  <si>
    <t xml:space="preserve">share info </t>
  </si>
  <si>
    <t>M Mukarram</t>
  </si>
  <si>
    <t>0324 9615570</t>
  </si>
  <si>
    <t>by 20 may</t>
  </si>
  <si>
    <t>interested contact via msg</t>
  </si>
  <si>
    <t>0345 2866980</t>
  </si>
  <si>
    <t>will call by today</t>
  </si>
  <si>
    <t>0303 3444025</t>
  </si>
  <si>
    <t>0336 2641422</t>
  </si>
  <si>
    <t xml:space="preserve">will inform within 3 </t>
  </si>
  <si>
    <t>0328 1355885</t>
  </si>
  <si>
    <t>lost cant pay more than 1000</t>
  </si>
  <si>
    <t>0304 2558211</t>
  </si>
  <si>
    <t>will join next batch by 5th june</t>
  </si>
  <si>
    <t>0322 4762478</t>
  </si>
  <si>
    <t>by today or tomorrow</t>
  </si>
  <si>
    <t>need time to decide</t>
  </si>
  <si>
    <t>call 1:30 pm</t>
  </si>
  <si>
    <t>0355 4872749</t>
  </si>
  <si>
    <t>0313 7296066</t>
  </si>
  <si>
    <t>wanna visit the office</t>
  </si>
  <si>
    <t>by wednesday</t>
  </si>
  <si>
    <t>Kazmi</t>
  </si>
  <si>
    <t>0315 7247292</t>
  </si>
  <si>
    <t>will pay interested</t>
  </si>
  <si>
    <t>inform till evening</t>
  </si>
  <si>
    <t>0355 5647456</t>
  </si>
  <si>
    <t>0318 5894329</t>
  </si>
  <si>
    <t>0313 9363688</t>
  </si>
  <si>
    <t>shared info via whatsapp</t>
  </si>
  <si>
    <t>call at 6:00 pm</t>
  </si>
  <si>
    <t>0308 9192595</t>
  </si>
  <si>
    <t>0321 4215484</t>
  </si>
  <si>
    <t xml:space="preserve">will discuss with family and inform </t>
  </si>
  <si>
    <t>0307 7688230/ 03286422411</t>
  </si>
  <si>
    <t>pay on 28th</t>
  </si>
  <si>
    <t>0355 4801995</t>
  </si>
  <si>
    <t xml:space="preserve">interested, will inform till 28th </t>
  </si>
  <si>
    <t>0355 5969637</t>
  </si>
  <si>
    <t>in class call later</t>
  </si>
  <si>
    <t>call after 3</t>
  </si>
  <si>
    <t>0309 0005538</t>
  </si>
  <si>
    <t>can pay 2000-3000</t>
  </si>
  <si>
    <t>will inform by today evening</t>
  </si>
  <si>
    <t>Umar ahsan</t>
  </si>
  <si>
    <t>0328 8565774</t>
  </si>
  <si>
    <t>0333 7279197</t>
  </si>
  <si>
    <t xml:space="preserve">discount of 4000 </t>
  </si>
  <si>
    <t>0322 4167120</t>
  </si>
  <si>
    <t>enroll after 2nd june</t>
  </si>
  <si>
    <t>Anushey</t>
  </si>
  <si>
    <t>0331 9039035</t>
  </si>
  <si>
    <t>will pay by end of this month</t>
  </si>
  <si>
    <t>Muhammad Saqib Ali</t>
  </si>
  <si>
    <t>0304 5977125</t>
  </si>
  <si>
    <t>pay after 25th may</t>
  </si>
  <si>
    <t>0327 5732082</t>
  </si>
  <si>
    <t>0345 7980337</t>
  </si>
  <si>
    <t>0355 4684037</t>
  </si>
  <si>
    <t>0315 5013804</t>
  </si>
  <si>
    <t>0336 7991362</t>
  </si>
  <si>
    <t>0300 4244984</t>
  </si>
  <si>
    <t>will pay within 4 days</t>
  </si>
  <si>
    <t>but i don't think so</t>
  </si>
  <si>
    <t>0 321 8182723</t>
  </si>
  <si>
    <t>0306 1201989</t>
  </si>
  <si>
    <t>0308 5897672</t>
  </si>
  <si>
    <t>0347 2492861/ 0335 3249902</t>
  </si>
  <si>
    <t>0314 2178877</t>
  </si>
  <si>
    <t>0326 8674210</t>
  </si>
  <si>
    <t>0334 3144124</t>
  </si>
  <si>
    <t>in next batch</t>
  </si>
  <si>
    <t>0331 6364264</t>
  </si>
  <si>
    <t>0330 6297371</t>
  </si>
  <si>
    <t>0331 1315390</t>
  </si>
  <si>
    <t>0328 9880300</t>
  </si>
  <si>
    <t>0329 1100642</t>
  </si>
  <si>
    <t>SYEDA ZAINAB</t>
  </si>
  <si>
    <t>0317 3754019</t>
  </si>
  <si>
    <t>0302 2659827</t>
  </si>
  <si>
    <t>0306 4544979</t>
  </si>
  <si>
    <t>0345 6199950</t>
  </si>
  <si>
    <t>0333 1754350</t>
  </si>
  <si>
    <t>0315 2220531</t>
  </si>
  <si>
    <t>0346 4400443</t>
  </si>
  <si>
    <t>0311 8955047</t>
  </si>
  <si>
    <t>Bilal Zahid</t>
  </si>
  <si>
    <t>0334 3523991</t>
  </si>
  <si>
    <t>0313 8933728</t>
  </si>
  <si>
    <t>0331 2198407</t>
  </si>
  <si>
    <t>Samyan Baig</t>
  </si>
  <si>
    <t>0347 3676176</t>
  </si>
  <si>
    <t>Humaira</t>
  </si>
  <si>
    <t>0345 2690054</t>
  </si>
  <si>
    <t>0341 4523663</t>
  </si>
  <si>
    <t>0313 1212612</t>
  </si>
  <si>
    <t>M Nasir</t>
  </si>
  <si>
    <t>0302 8189322</t>
  </si>
  <si>
    <t>Syeda Kazmia</t>
  </si>
  <si>
    <t>0335 5498600</t>
  </si>
  <si>
    <t>0333 0215061</t>
  </si>
  <si>
    <t>0328 0937263</t>
  </si>
  <si>
    <t>0306 3939617</t>
  </si>
  <si>
    <t>0310 4121931</t>
  </si>
  <si>
    <t>0332 7284479</t>
  </si>
  <si>
    <t>0300 7211879</t>
  </si>
  <si>
    <t>0330 5327751</t>
  </si>
  <si>
    <t>0329 8723665</t>
  </si>
  <si>
    <t>0333 2004002</t>
  </si>
  <si>
    <t>0355 4939147</t>
  </si>
  <si>
    <t>0300 4321110</t>
  </si>
  <si>
    <t>0323 2009894</t>
  </si>
  <si>
    <t>0314 1002668</t>
  </si>
  <si>
    <t>0300 2383761</t>
  </si>
  <si>
    <t>0317 5138757</t>
  </si>
  <si>
    <t>0327 7021454</t>
  </si>
  <si>
    <t>0300 2493377</t>
  </si>
  <si>
    <t>Muhammad Asadullah</t>
  </si>
  <si>
    <t>0317 0037415</t>
  </si>
  <si>
    <t>0333 5530633</t>
  </si>
  <si>
    <t>0327 4681322</t>
  </si>
  <si>
    <t>0315 0206740</t>
  </si>
  <si>
    <t>0320 4715165</t>
  </si>
  <si>
    <t>Akash khan</t>
  </si>
  <si>
    <t>0301 9304590</t>
  </si>
  <si>
    <t>0349 3644699</t>
  </si>
  <si>
    <t>0311 0813887</t>
  </si>
  <si>
    <t>0347 2558099</t>
  </si>
  <si>
    <t>0314 5552990</t>
  </si>
  <si>
    <t>0348 5758986</t>
  </si>
  <si>
    <t>0300 1282333</t>
  </si>
  <si>
    <t>Yusra Ali</t>
  </si>
  <si>
    <t>0311 0179964</t>
  </si>
  <si>
    <t>0335 4464932</t>
  </si>
  <si>
    <t>0355 4346479</t>
  </si>
  <si>
    <t>0300 4124331</t>
  </si>
  <si>
    <t>Ayaz Ahmed</t>
  </si>
  <si>
    <t>0322 2392440</t>
  </si>
  <si>
    <t>jahangir Khan</t>
  </si>
  <si>
    <t>0314 5755017</t>
  </si>
  <si>
    <t>M.Zubair</t>
  </si>
  <si>
    <t>0333 2395176</t>
  </si>
  <si>
    <t>0313 5954445/ 03006607188</t>
  </si>
  <si>
    <t>0310 6711643</t>
  </si>
  <si>
    <t>0310 9353170</t>
  </si>
  <si>
    <t>Areesha</t>
  </si>
  <si>
    <t>0309 2248230</t>
  </si>
  <si>
    <t>0321 7435133</t>
  </si>
  <si>
    <t>0346 3667273</t>
  </si>
  <si>
    <t>0317 6859417</t>
  </si>
  <si>
    <t>0333 2349331</t>
  </si>
  <si>
    <t>0311 7831804</t>
  </si>
  <si>
    <t>0300 6712335</t>
  </si>
  <si>
    <t>0319 6090970</t>
  </si>
  <si>
    <t>0321 1040565</t>
  </si>
  <si>
    <t>0329 8106414</t>
  </si>
  <si>
    <t xml:space="preserve">Huma Humaira Amir </t>
  </si>
  <si>
    <t>0323 3289601</t>
  </si>
  <si>
    <t>0318 3559304</t>
  </si>
  <si>
    <t>0332 9626388</t>
  </si>
  <si>
    <t>Abdul Sami Siddiqui</t>
  </si>
  <si>
    <t>0320 1871478</t>
  </si>
  <si>
    <t>Muhammad Sajid Fareed</t>
  </si>
  <si>
    <t>0336 6303299</t>
  </si>
  <si>
    <t>0300 6760224</t>
  </si>
  <si>
    <t>0313 4296737</t>
  </si>
  <si>
    <t>0328 9465321</t>
  </si>
  <si>
    <t>0348 2683722</t>
  </si>
  <si>
    <t>Asghar</t>
  </si>
  <si>
    <t>966 55 319 0859</t>
  </si>
  <si>
    <t>0321 7677801</t>
  </si>
  <si>
    <t>0311 0879526</t>
  </si>
  <si>
    <t>966 51 068 7592</t>
  </si>
  <si>
    <t>0332 9155328</t>
  </si>
  <si>
    <t>0309 6040632</t>
  </si>
  <si>
    <t>0309 4161585</t>
  </si>
  <si>
    <t>0313 8909458</t>
  </si>
  <si>
    <t>0341 1595818</t>
  </si>
  <si>
    <t>0349 4368891</t>
  </si>
  <si>
    <t>0313 2159565</t>
  </si>
  <si>
    <t>0345 2416658</t>
  </si>
  <si>
    <t>0335 2141126</t>
  </si>
  <si>
    <t>0329 6827611</t>
  </si>
  <si>
    <t>0312 4424034</t>
  </si>
  <si>
    <t>0321 7483493</t>
  </si>
  <si>
    <t>0301 1299565</t>
  </si>
  <si>
    <t>0332 3399075</t>
  </si>
  <si>
    <t>0312 2638129</t>
  </si>
  <si>
    <t>0336 2220867</t>
  </si>
  <si>
    <t>0342 1121837</t>
  </si>
  <si>
    <t>0317 3234024</t>
  </si>
  <si>
    <t>0309 4498176</t>
  </si>
  <si>
    <t>0305 4300025</t>
  </si>
  <si>
    <t>0322 4336487</t>
  </si>
  <si>
    <t>0300 4946099</t>
  </si>
  <si>
    <t>0355 6148650</t>
  </si>
  <si>
    <t>0349 7026690</t>
  </si>
  <si>
    <t>0346 2680335</t>
  </si>
  <si>
    <t>0321 6006760</t>
  </si>
  <si>
    <t>0318 5899253</t>
  </si>
  <si>
    <t>0330 3751253</t>
  </si>
  <si>
    <t>0336 2115890</t>
  </si>
  <si>
    <t>0347 2753693</t>
  </si>
  <si>
    <t>0313 8976823</t>
  </si>
  <si>
    <t>0306 4374341</t>
  </si>
  <si>
    <t>996 550 019 535</t>
  </si>
  <si>
    <t>0331 2268869</t>
  </si>
  <si>
    <t>0330 9083665</t>
  </si>
  <si>
    <t>0310 3858000</t>
  </si>
  <si>
    <t>0321 2302150</t>
  </si>
  <si>
    <t>0348 8076322</t>
  </si>
  <si>
    <t>0315 2389186</t>
  </si>
  <si>
    <t>0300 7448809</t>
  </si>
  <si>
    <t>0333 4000075</t>
  </si>
  <si>
    <t>0336 2473507</t>
  </si>
  <si>
    <t>Faizan</t>
  </si>
  <si>
    <t>0300 6524082</t>
  </si>
  <si>
    <t>0346 3503709</t>
  </si>
  <si>
    <t>0301 2482869</t>
  </si>
  <si>
    <t>Abubakar</t>
  </si>
  <si>
    <t>061 449 927 230</t>
  </si>
  <si>
    <t>0322 8096505</t>
  </si>
  <si>
    <t xml:space="preserve">Sadaf </t>
  </si>
  <si>
    <t>0301 4431583</t>
  </si>
  <si>
    <t>60 12-253 4299</t>
  </si>
  <si>
    <t xml:space="preserve">.Shoaib Ali </t>
  </si>
  <si>
    <t>0304 0586981</t>
  </si>
  <si>
    <t>0326 5861754</t>
  </si>
  <si>
    <t>0335 7582103</t>
  </si>
  <si>
    <t>0321 8204597</t>
  </si>
  <si>
    <t>abdul waris</t>
  </si>
  <si>
    <t>0320 2912146</t>
  </si>
  <si>
    <t>0336 9833666</t>
  </si>
  <si>
    <t>Khalid Sultan</t>
  </si>
  <si>
    <t>0301 2298652</t>
  </si>
  <si>
    <t>Hilal</t>
  </si>
  <si>
    <t>0343 3696309</t>
  </si>
  <si>
    <t>0332 9990097</t>
  </si>
  <si>
    <t>0334 1933643</t>
  </si>
  <si>
    <t>0334 6573299</t>
  </si>
  <si>
    <t>0344 0430683</t>
  </si>
  <si>
    <t>0324 8361791</t>
  </si>
  <si>
    <t>0348 8872118</t>
  </si>
  <si>
    <t>Saad Khursheed</t>
  </si>
  <si>
    <t>0313 0899051</t>
  </si>
  <si>
    <t>Syed Muhammad Anas</t>
  </si>
  <si>
    <t>0346 3127211</t>
  </si>
  <si>
    <t>0326 9323629</t>
  </si>
  <si>
    <t>0321 7607329</t>
  </si>
  <si>
    <t>0342 1427779</t>
  </si>
  <si>
    <t>0331 9090678</t>
  </si>
  <si>
    <t>0333 2371688</t>
  </si>
  <si>
    <t>0328 4959074</t>
  </si>
  <si>
    <t>0305 5172024</t>
  </si>
  <si>
    <t>muhammad fahad</t>
  </si>
  <si>
    <t>0313 1051594</t>
  </si>
  <si>
    <t>0341 3108943</t>
  </si>
  <si>
    <t>0331 5711013</t>
  </si>
  <si>
    <t>0333 0361361</t>
  </si>
  <si>
    <t>muhammad sulemanawan</t>
  </si>
  <si>
    <t>0312 6848343</t>
  </si>
  <si>
    <t>1 (737) 282-1517</t>
  </si>
  <si>
    <t>0300 4212885</t>
  </si>
  <si>
    <t>0320 9288943</t>
  </si>
  <si>
    <t>0346 6505369</t>
  </si>
  <si>
    <t>0314 1328413</t>
  </si>
  <si>
    <t>0317 1976312</t>
  </si>
  <si>
    <t>0308 3395745</t>
  </si>
  <si>
    <t>0311 1444725</t>
  </si>
  <si>
    <t>0322 1719814</t>
  </si>
  <si>
    <t>0313 4036273</t>
  </si>
  <si>
    <t>0317 3229008</t>
  </si>
  <si>
    <t>Adnan Iqbal</t>
  </si>
  <si>
    <t>0333 2545189</t>
  </si>
  <si>
    <t>Saad Shaikh</t>
  </si>
  <si>
    <t>0317 2069167</t>
  </si>
  <si>
    <t>shumaila</t>
  </si>
  <si>
    <t>0334 2362381</t>
  </si>
  <si>
    <t>Zeeshan Aslam</t>
  </si>
  <si>
    <t>0347 4490855</t>
  </si>
  <si>
    <t>0303 5021621</t>
  </si>
  <si>
    <t>0304 2490933</t>
  </si>
  <si>
    <t>0313 3338338</t>
  </si>
  <si>
    <t>0330 5835766</t>
  </si>
  <si>
    <t>0332 0343328</t>
  </si>
  <si>
    <t>0340 2598742</t>
  </si>
  <si>
    <t>0313 5289461</t>
  </si>
  <si>
    <t>0342 2783601</t>
  </si>
  <si>
    <t>0337 9724881</t>
  </si>
  <si>
    <t>0321 7216412</t>
  </si>
  <si>
    <t>0337 1612126</t>
  </si>
  <si>
    <t>0333 1221670</t>
  </si>
  <si>
    <t>0328 3464483</t>
  </si>
  <si>
    <t>Syed Waqas Ahmed</t>
  </si>
  <si>
    <t>0322 2593087</t>
  </si>
  <si>
    <t>0331 2434779</t>
  </si>
  <si>
    <t>0318 2482299</t>
  </si>
  <si>
    <t>0323 3865966</t>
  </si>
  <si>
    <t>0310 2065930</t>
  </si>
  <si>
    <t>0330 1258221</t>
  </si>
  <si>
    <t>Adil</t>
  </si>
  <si>
    <t>0300 9221118</t>
  </si>
  <si>
    <t>0313 2703364</t>
  </si>
  <si>
    <t>0316 7649840</t>
  </si>
  <si>
    <t>0317 0261198</t>
  </si>
  <si>
    <t>0310 9169082</t>
  </si>
  <si>
    <t>0311 0028434</t>
  </si>
  <si>
    <t>0334 8523662</t>
  </si>
  <si>
    <t>0311 6611167</t>
  </si>
  <si>
    <t>0316 0520433</t>
  </si>
  <si>
    <t>0333 4886828</t>
  </si>
  <si>
    <t>0305 7542592</t>
  </si>
  <si>
    <t>0328 2394454</t>
  </si>
  <si>
    <t>0345 3408931</t>
  </si>
  <si>
    <t>0331 2904065</t>
  </si>
  <si>
    <t>sadaf</t>
  </si>
  <si>
    <t>0308 7077341</t>
  </si>
  <si>
    <t>0311 0212111</t>
  </si>
  <si>
    <t>0328 2726781</t>
  </si>
  <si>
    <t>0332 3524684</t>
  </si>
  <si>
    <t>0348 3888712</t>
  </si>
  <si>
    <t>0319 9743327</t>
  </si>
  <si>
    <t>0345 6176542</t>
  </si>
  <si>
    <t>0349 6656082</t>
  </si>
  <si>
    <t>0336 3628048</t>
  </si>
  <si>
    <t>0329 7033243</t>
  </si>
  <si>
    <t>0312 2771796</t>
  </si>
  <si>
    <t>0314 5121491</t>
  </si>
  <si>
    <t>0331 1380632</t>
  </si>
  <si>
    <t>0330 8532695</t>
  </si>
  <si>
    <t>0321 4149536</t>
  </si>
  <si>
    <t>0341 2502637</t>
  </si>
  <si>
    <t>0331 3883951</t>
  </si>
  <si>
    <t>0355 4805846</t>
  </si>
  <si>
    <t>0340 2419065</t>
  </si>
  <si>
    <t>0321 2969569</t>
  </si>
  <si>
    <t>0301 1019846</t>
  </si>
  <si>
    <t>0314 5667713</t>
  </si>
  <si>
    <t>0340 0379269</t>
  </si>
  <si>
    <t>0300 2598418</t>
  </si>
  <si>
    <t>0335 8272572</t>
  </si>
  <si>
    <t>0347 2069207</t>
  </si>
  <si>
    <t>0345 9041364</t>
  </si>
  <si>
    <t>0329 2177597</t>
  </si>
  <si>
    <t>0313 8149852</t>
  </si>
  <si>
    <t>0318 2281587</t>
  </si>
  <si>
    <t>0316 0352912</t>
  </si>
  <si>
    <t>0319 3296733</t>
  </si>
  <si>
    <t>0336 5113356</t>
  </si>
  <si>
    <t>0332 3000678</t>
  </si>
  <si>
    <t>0332 2287529</t>
  </si>
  <si>
    <t>0355 4748046</t>
  </si>
  <si>
    <t>0321 2030770</t>
  </si>
  <si>
    <t>0342 2407214</t>
  </si>
  <si>
    <t>0331 3260534</t>
  </si>
  <si>
    <t>0316 7544257</t>
  </si>
  <si>
    <t>0325 3742543</t>
  </si>
  <si>
    <t>0315 9410885</t>
  </si>
  <si>
    <t>0313 3213131</t>
  </si>
  <si>
    <t>49 176 23660633</t>
  </si>
  <si>
    <t>0312 2264165</t>
  </si>
  <si>
    <t>0305 2678626</t>
  </si>
  <si>
    <t>0304 3907500</t>
  </si>
  <si>
    <t>0328 8265734</t>
  </si>
  <si>
    <t>0332 6427427</t>
  </si>
  <si>
    <t>0336 1841235</t>
  </si>
  <si>
    <t>0315 9462412</t>
  </si>
  <si>
    <t>0300 8335049</t>
  </si>
  <si>
    <t>0332 3839190</t>
  </si>
  <si>
    <t>0304 2848979</t>
  </si>
  <si>
    <t>0301 2569080</t>
  </si>
  <si>
    <t>0346 2723141</t>
  </si>
  <si>
    <t>0330 9424101</t>
  </si>
  <si>
    <t>0345 2847211</t>
  </si>
  <si>
    <t>0333 3491418</t>
  </si>
  <si>
    <t>0307 3606960</t>
  </si>
  <si>
    <t>0333 2316051</t>
  </si>
  <si>
    <t>0306 5918097</t>
  </si>
  <si>
    <t>0302 2000679</t>
  </si>
  <si>
    <t>0307 8818685</t>
  </si>
  <si>
    <t>0308 2478349</t>
  </si>
  <si>
    <t>0300 5320592</t>
  </si>
  <si>
    <t>0321 8962595</t>
  </si>
  <si>
    <t>0333 6616317</t>
  </si>
  <si>
    <t>0370 0609700</t>
  </si>
  <si>
    <t>0343 3082195</t>
  </si>
  <si>
    <t>0333 3225338</t>
  </si>
  <si>
    <t>0323 3279268</t>
  </si>
  <si>
    <t>0344 2239182</t>
  </si>
  <si>
    <t>0312 2694949</t>
  </si>
  <si>
    <t>0312 2044472</t>
  </si>
  <si>
    <t>0313 0542479</t>
  </si>
  <si>
    <t>0311 1292197</t>
  </si>
  <si>
    <t>0300 0994271</t>
  </si>
  <si>
    <t>0310 2806491</t>
  </si>
  <si>
    <t>0331 5406123</t>
  </si>
  <si>
    <t>0370 1335308</t>
  </si>
  <si>
    <t>0346 8947121</t>
  </si>
  <si>
    <t>0345 6316599</t>
  </si>
  <si>
    <t xml:space="preserve">Date </t>
  </si>
  <si>
    <t xml:space="preserve">Time </t>
  </si>
  <si>
    <t>Email</t>
  </si>
  <si>
    <t>Slot 1</t>
  </si>
  <si>
    <t>Slot 2</t>
  </si>
  <si>
    <t>Slot 3</t>
  </si>
  <si>
    <t>Slot 4</t>
  </si>
  <si>
    <t>Number of Attempts</t>
  </si>
  <si>
    <t xml:space="preserve">Notes </t>
  </si>
  <si>
    <t>26/06/2025</t>
  </si>
  <si>
    <t>prospect_2</t>
  </si>
  <si>
    <t>Client Lost</t>
  </si>
  <si>
    <t>Call Received (7/8/2025, 9:43:26 AM)</t>
  </si>
  <si>
    <t>Call Received (7/17/2025, 11:55:39 AM)</t>
  </si>
  <si>
    <t>Client Lost (7/22/2025, 1:52:20 PM)</t>
  </si>
  <si>
    <t>Call Received (7/2/2025, 4:27:44 PM)</t>
  </si>
  <si>
    <t>anaya shakih</t>
  </si>
  <si>
    <t>Client Lost (7/7/2025, 10:10:13 AM)</t>
  </si>
  <si>
    <t>Client Lost (6/26/2025, 11:45:13 AM)</t>
  </si>
  <si>
    <t>Client Lost (7/22/2025, 1:53:00 PM)</t>
  </si>
  <si>
    <t>Call Received (7/16/2025, 4:12:01 PM)</t>
  </si>
  <si>
    <t>Faiq Ali</t>
  </si>
  <si>
    <t>none</t>
  </si>
  <si>
    <t>923172670607</t>
  </si>
  <si>
    <t>Paid</t>
  </si>
  <si>
    <t>Paid (7/15/2025, 10:33:24 AM)</t>
  </si>
  <si>
    <t>Not Received (6/26/2025, 12:10:47 PM)</t>
  </si>
  <si>
    <t>Not Received (6/26/2025, 2:35:43 PM)</t>
  </si>
  <si>
    <t>Not Received (7/7/2025, 5:34:16 PM)</t>
  </si>
  <si>
    <t>Nadir Hussain</t>
  </si>
  <si>
    <t>Client Lost (7/7/2025, 10:10:33 AM)</t>
  </si>
  <si>
    <t>Client Lost (6/26/2025, 12:49:39 PM)</t>
  </si>
  <si>
    <t>Client Lost (7/10/2025, 2:08:01 PM)</t>
  </si>
  <si>
    <t>Client Lost (7/7/2025, 5:34:22 PM)</t>
  </si>
  <si>
    <t>prospect_5</t>
  </si>
  <si>
    <t>Client Lost (6/26/2025, 1:15:20 PM)</t>
  </si>
  <si>
    <t>Client Lost (7/7/2025, 5:34:28 PM)</t>
  </si>
  <si>
    <t>prospect_6</t>
  </si>
  <si>
    <t>Call Received (7/1/2025, 12:02:56 PM)</t>
  </si>
  <si>
    <t>Not Received (6/27/2025, 2:08:47 PM)</t>
  </si>
  <si>
    <t>prospect_7</t>
  </si>
  <si>
    <t>Client Lost (6/26/2025, 2:11:29 PM)</t>
  </si>
  <si>
    <t>Client Lost (7/7/2025, 5:34:34 PM)</t>
  </si>
  <si>
    <t>Maira</t>
  </si>
  <si>
    <t>923186687219</t>
  </si>
  <si>
    <t>Client Lost (7/28/2025, 10:34:58 AM)</t>
  </si>
  <si>
    <t>Confirmation (7/21/2025, 12:29:54 PM)</t>
  </si>
  <si>
    <t>Confirmation (7/7/2025, 1:12:36 PM)</t>
  </si>
  <si>
    <t>Confirmation (7/7/2025, 5:31:18 PM)</t>
  </si>
  <si>
    <t>will pay after attending 1st class</t>
  </si>
  <si>
    <t>Amna</t>
  </si>
  <si>
    <t>Call Received (6/27/2025, 10:04:53 AM)</t>
  </si>
  <si>
    <t>Client Lost (7/9/2025, 1:14:26 PM)</t>
  </si>
  <si>
    <t>Call Received (7/2/2025, 4:31:37 PM)</t>
  </si>
  <si>
    <t>will inform by today</t>
  </si>
  <si>
    <t>27/06/2025</t>
  </si>
  <si>
    <t>prospect_9</t>
  </si>
  <si>
    <t>Not Received (6/27/2025, 10:01:41 AM)</t>
  </si>
  <si>
    <t>Client Lost (6/27/2025, 2:33:43 PM)</t>
  </si>
  <si>
    <t>Client Lost (7/7/2025, 5:34:48 PM)</t>
  </si>
  <si>
    <t>Fahmida</t>
  </si>
  <si>
    <t>not Received (6/27/2025, 10:02:36 AM)</t>
  </si>
  <si>
    <t>Not Received (6/28/2025, 12:56:26 PM)</t>
  </si>
  <si>
    <t>Confirmation (7/15/2025, 3:04:11 PM)</t>
  </si>
  <si>
    <t>Confirmation (7/22/2025, 5:47:53 PM)</t>
  </si>
  <si>
    <t>pay by 17th</t>
  </si>
  <si>
    <t>SHAHAB KHAN</t>
  </si>
  <si>
    <t>Not Received (6/27/2025, 10:04:07 AM)</t>
  </si>
  <si>
    <t>Not Received (6/27/2025, 2:12:00 PM)</t>
  </si>
  <si>
    <t>prospect_12</t>
  </si>
  <si>
    <t>Client Lost (7/28/2025, 10:35:06 AM)</t>
  </si>
  <si>
    <t>Confirmation (7/14/2025, 11:44:10 AM)</t>
  </si>
  <si>
    <t>Received (7/1/2025, 2:05:54 PM)</t>
  </si>
  <si>
    <t>Not Received (6/30/2025, 4:57:19 PM)</t>
  </si>
  <si>
    <t>prospect_19</t>
  </si>
  <si>
    <t>Not Received</t>
  </si>
  <si>
    <t>Not Received (6/27/2025, 10:20:25 AM)</t>
  </si>
  <si>
    <t>Not Received (7/24/2025, 12:40:38 PM)</t>
  </si>
  <si>
    <t>Not Received (7/23/2025, 1:18:42 PM)</t>
  </si>
  <si>
    <t>Not Received (6/27/2025, 4:07:10 PM)</t>
  </si>
  <si>
    <t>share info</t>
  </si>
  <si>
    <t>prospect_21</t>
  </si>
  <si>
    <t>Call Received (6/27/2025, 10:24:49 AM)</t>
  </si>
  <si>
    <t>Not Received (7/2/2025, 11:31:08 AM)</t>
  </si>
  <si>
    <t>Not Received (7/1/2025, 2:10:00 PM)</t>
  </si>
  <si>
    <t>Not Received (6/28/2025, 5:02:42 PM)</t>
  </si>
  <si>
    <t>prospect_23</t>
  </si>
  <si>
    <t>Not Received (6/27/2025, 10:26:25 AM)</t>
  </si>
  <si>
    <t>Not Received (7/9/2025, 12:34:20 PM)</t>
  </si>
  <si>
    <t>Not Received (7/7/2025, 2:46:31 PM)</t>
  </si>
  <si>
    <t>Call Received (6/27/2025, 4:10:39 PM)</t>
  </si>
  <si>
    <t>prospect_25</t>
  </si>
  <si>
    <t>Confirmation (7/12/2025, 9:56:21 AM)</t>
  </si>
  <si>
    <t>Paid (7/15/2025, 11:35:07 AM)</t>
  </si>
  <si>
    <t>Not Received (7/1/2025, 2:11:02 PM)</t>
  </si>
  <si>
    <t>Received (6/27/2025, 4:14:36 PM)</t>
  </si>
  <si>
    <t>prospect_26</t>
  </si>
  <si>
    <t>Confirmation (7/9/2025, 10:23:57 AM)</t>
  </si>
  <si>
    <t>Confirmation (7/14/2025, 11:45:29 AM)</t>
  </si>
  <si>
    <t>Confirmation (7/30/2025, 2:18:56 PM)</t>
  </si>
  <si>
    <t>Call Received (6/27/2025, 4:11:18 PM)</t>
  </si>
  <si>
    <t>pay by 9 or 10th july</t>
  </si>
  <si>
    <t>prospect_30</t>
  </si>
  <si>
    <t>Not Received (6/27/2025, 10:31:13 AM)</t>
  </si>
  <si>
    <t>Not Received (7/2/2025, 11:32:16 AM)</t>
  </si>
  <si>
    <t>Not Received (6/28/2025, 1:15:37 PM)</t>
  </si>
  <si>
    <t>Not Received (7/1/2025, 5:07:25 PM)</t>
  </si>
  <si>
    <t>prospect_32</t>
  </si>
  <si>
    <t>Call Received (6/27/2025, 10:50:57 AM)</t>
  </si>
  <si>
    <t>Not Received (7/26/2025, 12:10:52 PM)</t>
  </si>
  <si>
    <t>Not Received (6/26/2025, 3:05:56 PM)</t>
  </si>
  <si>
    <t>Demo (6/28/2025, 5:13:57 PM)</t>
  </si>
  <si>
    <t>demo shared then inform</t>
  </si>
  <si>
    <t>prospect_36</t>
  </si>
  <si>
    <t>Not Received (7/7/2025, 9:59:30 AM)</t>
  </si>
  <si>
    <t>Not Received (7/2/2025, 11:33:26 AM)</t>
  </si>
  <si>
    <t>Not Received (7/1/2025, 5:08:24 PM)</t>
  </si>
  <si>
    <t xml:space="preserve">Aafiya </t>
  </si>
  <si>
    <t>Confirmation</t>
  </si>
  <si>
    <t>Not Received (6/27/2025, 10:30:27 AM)</t>
  </si>
  <si>
    <t>Not Received (6/27/2025, 12:02:30 PM)</t>
  </si>
  <si>
    <t>Confirmation (7/7/2025, 1:16:23 PM)</t>
  </si>
  <si>
    <t>Confirmation (6/27/2025, 4:45:35 PM)</t>
  </si>
  <si>
    <t>pay by 15th july</t>
  </si>
  <si>
    <t>samar javed</t>
  </si>
  <si>
    <t>Not Received (6/27/2025, 12:26:27 PM)</t>
  </si>
  <si>
    <t>Confirmation (6/28/2025, 1:28:14 PM)</t>
  </si>
  <si>
    <t>Not Received (6/27/2025, 4:47:31 PM)</t>
  </si>
  <si>
    <t>will pay till 5th</t>
  </si>
  <si>
    <t>prospect_39</t>
  </si>
  <si>
    <t>Not Received (7/7/2025, 10:00:04 AM)</t>
  </si>
  <si>
    <t>Not Received (6/27/2025, 12:49:59 PM)</t>
  </si>
  <si>
    <t>Call Received (6/27/2025, 1:17:37 PM)</t>
  </si>
  <si>
    <t>Not Received (7/2/2025, 4:56:00 PM)</t>
  </si>
  <si>
    <t>prospect_40</t>
  </si>
  <si>
    <t>Not Received (7/7/2025, 10:00:53 AM)</t>
  </si>
  <si>
    <t>Call Received (6/27/2025, 12:51:55 PM)</t>
  </si>
  <si>
    <t>Not Received (6/30/2025, 1:59:07 PM)</t>
  </si>
  <si>
    <t>Not Received (7/1/2025, 5:09:39 PM)</t>
  </si>
  <si>
    <t>Nazmeen Khan</t>
  </si>
  <si>
    <t>Client Lost (8/20/2025, 10:39:21 AM)</t>
  </si>
  <si>
    <t>Call Received (7/31/2025, 12:03:40 PM)</t>
  </si>
  <si>
    <t>Call Received (6/27/2025, 3:02:26 PM)</t>
  </si>
  <si>
    <t>Not Received (7/1/2025, 5:11:54 PM)</t>
  </si>
  <si>
    <t>group joined</t>
  </si>
  <si>
    <t>prospect_43</t>
  </si>
  <si>
    <t>Not Received (7/7/2025, 10:04:49 AM)</t>
  </si>
  <si>
    <t>Not Received (7/2/2025, 11:38:58 AM)</t>
  </si>
  <si>
    <t>Not Received (6/27/2025, 3:05:56 PM)</t>
  </si>
  <si>
    <t>Not Received (7/1/2025, 5:12:55 PM)</t>
  </si>
  <si>
    <t>prospect_51</t>
  </si>
  <si>
    <t>Not Received (7/7/2025, 10:05:18 AM)</t>
  </si>
  <si>
    <t>Not Received (7/3/2025, 12:00:19 PM)</t>
  </si>
  <si>
    <t>Not Received (7/7/2025, 2:04:51 PM)</t>
  </si>
  <si>
    <t>Not Received (7/2/2025, 5:03:03 PM)</t>
  </si>
  <si>
    <t>prospect_54</t>
  </si>
  <si>
    <t>Not Received (7/7/2025, 10:06:31 AM)</t>
  </si>
  <si>
    <t>Not Received (7/2/2025, 11:41:14 AM)</t>
  </si>
  <si>
    <t>Not Received (6/28/2025, 2:24:19 PM)</t>
  </si>
  <si>
    <t>Not Received (7/1/2025, 5:24:24 PM)</t>
  </si>
  <si>
    <t>28/06/2025</t>
  </si>
  <si>
    <t>prospect_57</t>
  </si>
  <si>
    <t>Not Received (6/28/2025, 10:20:27 AM)</t>
  </si>
  <si>
    <t>Client Lost (8/18/2025, 11:37:17 AM)</t>
  </si>
  <si>
    <t>Not Received (6/28/2025, 2:25:25 PM)</t>
  </si>
  <si>
    <t>Not Received (7/1/2025, 5:26:22 PM)</t>
  </si>
  <si>
    <t>will pay till 16</t>
  </si>
  <si>
    <t>prospect_58</t>
  </si>
  <si>
    <t>Not Received (6/28/2025, 10:21:24 AM)</t>
  </si>
  <si>
    <t>Not Received (7/2/2025, 11:44:54 AM)</t>
  </si>
  <si>
    <t>Not Received (6/28/2025, 2:45:02 PM)</t>
  </si>
  <si>
    <t>Not Received (7/1/2025, 5:31:53 PM)</t>
  </si>
  <si>
    <t>prospect_60</t>
  </si>
  <si>
    <t>Not Received (6/28/2025, 10:25:28 AM)</t>
  </si>
  <si>
    <t>Not Received (7/2/2025, 11:45:38 AM)</t>
  </si>
  <si>
    <t>Not Received (6/28/2025, 2:47:10 PM)</t>
  </si>
  <si>
    <t>Not Received (6/30/2025, 5:03:38 PM)</t>
  </si>
  <si>
    <t>prospect_61</t>
  </si>
  <si>
    <t>Not Received (6/28/2025, 10:26:42 AM)</t>
  </si>
  <si>
    <t>Not Received (7/2/2025, 11:46:32 AM)</t>
  </si>
  <si>
    <t>Not Received (6/28/2025, 2:49:43 PM)</t>
  </si>
  <si>
    <t>Not Received (6/30/2025, 5:04:25 PM)</t>
  </si>
  <si>
    <t>prospect_62</t>
  </si>
  <si>
    <t>Not Received (6/28/2025, 10:27:38 AM)</t>
  </si>
  <si>
    <t>Not Received (7/3/2025, 12:02:52 PM)</t>
  </si>
  <si>
    <t>Not Received (6/28/2025, 2:50:24 PM)</t>
  </si>
  <si>
    <t>Not Received (7/2/2025, 5:12:05 PM)</t>
  </si>
  <si>
    <t>prospect_64</t>
  </si>
  <si>
    <t>Call Later (6/28/2025, 10:30:30 AM)</t>
  </si>
  <si>
    <t>Call Received (7/9/2025, 12:58:25 PM)</t>
  </si>
  <si>
    <t>Not Received (7/25/2025, 2:47:41 PM)</t>
  </si>
  <si>
    <t>Not Received (7/8/2025, 4:24:11 PM)</t>
  </si>
  <si>
    <t>call at 5:00 pm</t>
  </si>
  <si>
    <t>prospect_65</t>
  </si>
  <si>
    <t>Not Received (6/28/2025, 10:31:36 AM)</t>
  </si>
  <si>
    <t>Not Received (7/2/2025, 11:48:16 AM)</t>
  </si>
  <si>
    <t>Not Received (6/28/2025, 2:57:19 PM)</t>
  </si>
  <si>
    <t>Not Received (6/30/2025, 5:06:16 PM)</t>
  </si>
  <si>
    <t>prospect_66</t>
  </si>
  <si>
    <t>Not Received (6/28/2025, 10:32:25 AM)</t>
  </si>
  <si>
    <t>Call Received (7/2/2025, 11:52:26 AM)</t>
  </si>
  <si>
    <t>Not Received (6/28/2025, 3:24:59 PM)</t>
  </si>
  <si>
    <t>Not Received (7/8/2025, 4:21:28 PM)</t>
  </si>
  <si>
    <t>will confirm by today or tomorrow</t>
  </si>
  <si>
    <t>prospect_67</t>
  </si>
  <si>
    <t>Not Received (6/28/2025, 10:33:40 AM)</t>
  </si>
  <si>
    <t>Not Received (7/2/2025, 11:55:44 AM)</t>
  </si>
  <si>
    <t>Not Received (6/28/2025, 3:25:43 PM)</t>
  </si>
  <si>
    <t>Not Received (6/30/2025, 5:08:41 PM)</t>
  </si>
  <si>
    <t>prospect_68</t>
  </si>
  <si>
    <t>Call Received (6/28/2025, 10:36:38 AM)</t>
  </si>
  <si>
    <t>Client Lost (7/10/2025, 2:10:31 PM)</t>
  </si>
  <si>
    <t>Client Lost (6/30/2025, 4:21:45 PM)</t>
  </si>
  <si>
    <t>prospect_69</t>
  </si>
  <si>
    <t>Client Lost (7/9/2025, 10:35:45 AM)</t>
  </si>
  <si>
    <t>Call Received (7/2/2025, 11:58:39 AM)</t>
  </si>
  <si>
    <t>Call Later (6/28/2025, 3:27:48 PM)</t>
  </si>
  <si>
    <t>Not Received (6/30/2025, 6:02:57 PM)</t>
  </si>
  <si>
    <t>joined from coursera</t>
  </si>
  <si>
    <t>prospect_70</t>
  </si>
  <si>
    <t>Client Lost (6/28/2025, 10:41:39 AM)</t>
  </si>
  <si>
    <t>Client Lost (7/10/2025, 2:10:38 PM)</t>
  </si>
  <si>
    <t>Client Lost (7/7/2025, 5:36:53 PM)</t>
  </si>
  <si>
    <t>lost l;ead</t>
  </si>
  <si>
    <t>prospect_71</t>
  </si>
  <si>
    <t>Call Received (6/28/2025, 10:43:06 AM)</t>
  </si>
  <si>
    <t>Not Received (7/2/2025, 11:59:48 AM)</t>
  </si>
  <si>
    <t>Not Received (7/7/2025, 2:05:02 PM)</t>
  </si>
  <si>
    <t>Not Received (6/30/2025, 4:22:30 PM)</t>
  </si>
  <si>
    <t>prospect_72</t>
  </si>
  <si>
    <t>Client Lost (6/28/2025, 10:04:57 AM)</t>
  </si>
  <si>
    <t>Client Lost (7/10/2025, 2:10:44 PM)</t>
  </si>
  <si>
    <t>Client Lost (7/7/2025, 5:37:00 PM)</t>
  </si>
  <si>
    <t>prospect_73</t>
  </si>
  <si>
    <t>Client Lost (6/28/2025, 10:07:31 AM)</t>
  </si>
  <si>
    <t>Client Lost (7/10/2025, 2:28:06 PM)</t>
  </si>
  <si>
    <t>Client Lost (7/7/2025, 5:37:05 PM)</t>
  </si>
  <si>
    <t>prospect_74</t>
  </si>
  <si>
    <t>Not Received (6/28/2025, 10:46:18 AM)</t>
  </si>
  <si>
    <t>Client Lost (6/28/2025, 3:29:56 PM)</t>
  </si>
  <si>
    <t>Client Lost (7/7/2025, 5:37:10 PM)</t>
  </si>
  <si>
    <t>enroll after 3 months</t>
  </si>
  <si>
    <t>prospect_75</t>
  </si>
  <si>
    <t>Not Received (6/28/2025, 10:48:12 AM)</t>
  </si>
  <si>
    <t>Not Received (7/2/2025, 12:00:25 PM)</t>
  </si>
  <si>
    <t>Not Received (6/28/2025, 3:33:21 PM)</t>
  </si>
  <si>
    <t>Not Received (6/30/2025, 5:09:49 PM)</t>
  </si>
  <si>
    <t>prospect_76</t>
  </si>
  <si>
    <t>Client Lost (6/28/2025, 10:55:36 AM)</t>
  </si>
  <si>
    <t>Client Lost (7/7/2025, 5:37:16 PM)</t>
  </si>
  <si>
    <t>need job no course</t>
  </si>
  <si>
    <t>prospect_77</t>
  </si>
  <si>
    <t>Call Received (6/28/2025, 10:59:25 AM)</t>
  </si>
  <si>
    <t>Not Received (7/2/2025, 12:01:21 PM)</t>
  </si>
  <si>
    <t>Not Received (7/7/2025, 2:05:10 PM)</t>
  </si>
  <si>
    <t>Not Received (6/30/2025, 4:23:50 PM)</t>
  </si>
  <si>
    <t>prospect_78</t>
  </si>
  <si>
    <t>Not Received (7/7/2025, 10:07:06 AM)</t>
  </si>
  <si>
    <t>Not Received (6/28/2025, 11:08:49 AM)</t>
  </si>
  <si>
    <t>Not Received (6/28/2025, 3:34:00 PM)</t>
  </si>
  <si>
    <t>Not Received (6/30/2025, 5:11:14 PM)</t>
  </si>
  <si>
    <t>prospect_79</t>
  </si>
  <si>
    <t>Not Received (7/7/2025, 10:07:27 AM)</t>
  </si>
  <si>
    <t>Not Received (6/28/2025, 11:17:25 AM)</t>
  </si>
  <si>
    <t>Not Received (6/28/2025, 3:34:27 PM)</t>
  </si>
  <si>
    <t>Not Received (6/30/2025, 5:11:51 PM)</t>
  </si>
  <si>
    <t>prospect_80</t>
  </si>
  <si>
    <t>Not Received (6/28/2025, 11:20:12 AM)</t>
  </si>
  <si>
    <t>Client Lost (6/28/2025, 3:35:39 PM)</t>
  </si>
  <si>
    <t>Client Lost (7/7/2025, 5:37:28 PM)</t>
  </si>
  <si>
    <t>prospect_82</t>
  </si>
  <si>
    <t>Not Received (6/28/2025, 11:23:52 AM)</t>
  </si>
  <si>
    <t>Not Received (6/28/2025, 3:36:53 PM)</t>
  </si>
  <si>
    <t>Client Lost (6/30/2025, 5:14:11 PM)</t>
  </si>
  <si>
    <t>need physical classes in lahore</t>
  </si>
  <si>
    <t>prospect_83</t>
  </si>
  <si>
    <t>Client Lost (7/7/2025, 10:08:34 AM)</t>
  </si>
  <si>
    <t>Call Received (6/28/2025, 11:25:26 AM)</t>
  </si>
  <si>
    <t>Not Received (6/30/2025, 4:25:39 PM)</t>
  </si>
  <si>
    <t>prospect_84</t>
  </si>
  <si>
    <t>Not Received (6/28/2025, 11:26:30 AM)</t>
  </si>
  <si>
    <t>Call Received (6/28/2025, 3:38:53 PM)</t>
  </si>
  <si>
    <t>Client Lost (6/30/2025, 4:29:46 PM)</t>
  </si>
  <si>
    <t>will enroll after 4 months</t>
  </si>
  <si>
    <t>Not Received (7/7/2025, 10:09:40 AM)</t>
  </si>
  <si>
    <t>Call Received (6/28/2025, 11:29:54 AM)</t>
  </si>
  <si>
    <t>Not Received (7/7/2025, 2:05:17 PM)</t>
  </si>
  <si>
    <t>Not Received (6/30/2025, 4:31:36 PM)</t>
  </si>
  <si>
    <t>prospect_86</t>
  </si>
  <si>
    <t>Not Received (6/28/2025, 11:31:23 AM)</t>
  </si>
  <si>
    <t>Not Received (6/28/2025, 3:39:27 PM)</t>
  </si>
  <si>
    <t>Client Lost (6/30/2025, 5:18:20 PM)</t>
  </si>
  <si>
    <t>prospect_87</t>
  </si>
  <si>
    <t>Client Lost (6/28/2025, 11:34:40 AM)</t>
  </si>
  <si>
    <t>Client Lost (7/7/2025, 5:37:55 PM)</t>
  </si>
  <si>
    <t>prospect_88</t>
  </si>
  <si>
    <t>Call Received (7/7/2025, 10:18:55 AM)</t>
  </si>
  <si>
    <t>Call Received (6/28/2025, 11:38:18 AM)</t>
  </si>
  <si>
    <t>Client Lost (7/23/2025, 1:25:10 PM)</t>
  </si>
  <si>
    <t>Not Received (6/30/2025, 4:33:10 PM)</t>
  </si>
  <si>
    <t>prospect_91</t>
  </si>
  <si>
    <t>Client Lost (6/28/2025, 12:38:02 PM)</t>
  </si>
  <si>
    <t>Client Lost (7/7/2025, 5:37:59 PM)</t>
  </si>
  <si>
    <t>prospect_92</t>
  </si>
  <si>
    <t>Not Received (7/7/2025, 10:11:45 AM)</t>
  </si>
  <si>
    <t>Not Received (6/28/2025, 11:43:16 AM)</t>
  </si>
  <si>
    <t>Call Received (6/28/2025, 3:41:44 PM)</t>
  </si>
  <si>
    <t>Not Received (6/30/2025, 4:34:41 PM)</t>
  </si>
  <si>
    <t>prospect_93</t>
  </si>
  <si>
    <t>Client Lost (6/28/2025, 3:31:15 PM)</t>
  </si>
  <si>
    <t>Client Lost (7/7/2025, 5:38:03 PM)</t>
  </si>
  <si>
    <t>prospect_94</t>
  </si>
  <si>
    <t>Not Received (7/7/2025, 10:12:04 AM)</t>
  </si>
  <si>
    <t>Not Received (7/2/2025, 12:01:54 PM)</t>
  </si>
  <si>
    <t>Not Received (6/28/2025, 3:42:30 PM)</t>
  </si>
  <si>
    <t>Not Received (6/30/2025, 5:18:46 PM)</t>
  </si>
  <si>
    <t>prospect_97</t>
  </si>
  <si>
    <t>Form Filled (6/28/2025, 4:53:10 PM)</t>
  </si>
  <si>
    <t>prospect_98</t>
  </si>
  <si>
    <t>Demo (7/9/2025, 10:16:14 AM)</t>
  </si>
  <si>
    <t>Client Lost (7/26/2025, 12:14:16 PM)</t>
  </si>
  <si>
    <t>Demo (6/30/2025, 2:08:39 PM)</t>
  </si>
  <si>
    <t>Not Received (6/28/2025, 4:45:12 PM)</t>
  </si>
  <si>
    <t>want physical classes but will share 1st class link as a trial</t>
  </si>
  <si>
    <t>prospect_99</t>
  </si>
  <si>
    <t>Not Received (7/7/2025, 10:12:38 AM)</t>
  </si>
  <si>
    <t>Not Received (7/2/2025, 12:03:01 PM)</t>
  </si>
  <si>
    <t>Not Received (6/30/2025, 2:09:36 PM)</t>
  </si>
  <si>
    <t>Not Received (6/28/2025, 4:46:15 PM)</t>
  </si>
  <si>
    <t>prospect_100</t>
  </si>
  <si>
    <t>Client Lost (7/2/2025, 5:15:48 PM)</t>
  </si>
  <si>
    <t>prospect_101</t>
  </si>
  <si>
    <t>Not Received (7/8/2025, 10:51:10 AM)</t>
  </si>
  <si>
    <t>Not Received (7/25/2025, 11:50:19 AM)</t>
  </si>
  <si>
    <t>Call Received (7/23/2025, 1:25:38 PM)</t>
  </si>
  <si>
    <t>Call Received (6/28/2025, 5:52:53 PM)</t>
  </si>
  <si>
    <t>provide him discount by tomorrow</t>
  </si>
  <si>
    <t>muhammad Sibtain malik</t>
  </si>
  <si>
    <t>Confirmation (7/14/2025, 11:53:14 AM)</t>
  </si>
  <si>
    <t>Client Lost (7/21/2025, 2:56:10 PM)</t>
  </si>
  <si>
    <t>Not Received (6/28/2025, 5:56:57 PM)</t>
  </si>
  <si>
    <t>will pay before 10th</t>
  </si>
  <si>
    <t>30/06/2025</t>
  </si>
  <si>
    <t>prospect_103</t>
  </si>
  <si>
    <t>Call Received (6/30/2025, 11:01:35 AM)</t>
  </si>
  <si>
    <t>Client Lost (7/3/2025, 12:04:13 PM)</t>
  </si>
  <si>
    <t>Not Received (7/2/2025, 5:20:47 PM)</t>
  </si>
  <si>
    <t>prospect_104</t>
  </si>
  <si>
    <t>Client Lost (6/30/2025, 12:50:28 PM)</t>
  </si>
  <si>
    <t>Client Lost (7/7/2025, 5:38:14 PM)</t>
  </si>
  <si>
    <t>prospect_105</t>
  </si>
  <si>
    <t>Client Lost (6/30/2025, 1:07:19 PM)</t>
  </si>
  <si>
    <t>prospect_108</t>
  </si>
  <si>
    <t>Not Received (7/7/2025, 10:13:26 AM)</t>
  </si>
  <si>
    <t>Not Received (7/2/2025, 12:03:35 PM)</t>
  </si>
  <si>
    <t>Not Received (6/30/2025, 1:10:09 PM)</t>
  </si>
  <si>
    <t>Not Received (6/30/2025, 5:19:39 PM)</t>
  </si>
  <si>
    <t>prospect_109</t>
  </si>
  <si>
    <t>Not Received (7/8/2025, 9:51:34 AM)</t>
  </si>
  <si>
    <t>Call Received (7/3/2025, 12:09:48 PM)</t>
  </si>
  <si>
    <t>Call Received (6/30/2025, 1:13:11 PM)</t>
  </si>
  <si>
    <t>Not Received (7/2/2025, 5:21:59 PM)</t>
  </si>
  <si>
    <t>prospect_110</t>
  </si>
  <si>
    <t>Not Received (7/7/2025, 10:14:32 AM)</t>
  </si>
  <si>
    <t>Not Received (7/3/2025, 12:15:06 PM)</t>
  </si>
  <si>
    <t>Not Received (6/30/2025, 1:17:31 PM)</t>
  </si>
  <si>
    <t>Not Received (6/30/2025, 5:21:05 PM)</t>
  </si>
  <si>
    <t>prospect_111</t>
  </si>
  <si>
    <t>Not Received (7/7/2025, 10:14:56 AM)</t>
  </si>
  <si>
    <t>Not Received (7/3/2025, 12:16:30 PM)</t>
  </si>
  <si>
    <t>Not Received (6/30/2025, 1:18:21 PM)</t>
  </si>
  <si>
    <t>Not Received (6/30/2025, 5:21:43 PM)</t>
  </si>
  <si>
    <t>prospect_112</t>
  </si>
  <si>
    <t>Not Received (7/8/2025, 9:53:41 AM)</t>
  </si>
  <si>
    <t>Call Received (7/2/2025, 12:11:10 PM)</t>
  </si>
  <si>
    <t>Not Received (6/30/2025, 1:25:13 PM)</t>
  </si>
  <si>
    <t>Not Received (6/30/2025, 5:22:28 PM)</t>
  </si>
  <si>
    <t>prospect_113</t>
  </si>
  <si>
    <t>Call Received (7/8/2025, 9:54:22 AM)</t>
  </si>
  <si>
    <t>Not Received (7/24/2025, 12:41:30 PM)</t>
  </si>
  <si>
    <t>Not Received (7/23/2025, 1:25:49 PM)</t>
  </si>
  <si>
    <t>Call Received (7/2/2025, 5:23:17 PM)</t>
  </si>
  <si>
    <t>cut the call</t>
  </si>
  <si>
    <t>prospect_114</t>
  </si>
  <si>
    <t>Not Received (7/7/2025, 10:15:20 AM)</t>
  </si>
  <si>
    <t>Not Received (7/3/2025, 12:20:13 PM)</t>
  </si>
  <si>
    <t>Not Received (6/30/2025, 1:30:32 PM)</t>
  </si>
  <si>
    <t>Not Received (6/30/2025, 5:22:42 PM)</t>
  </si>
  <si>
    <t>prospect_115</t>
  </si>
  <si>
    <t>Not Received (8/7/2025, 11:00:35 AM)</t>
  </si>
  <si>
    <t>Call Received (7/9/2025, 11:32:06 AM)</t>
  </si>
  <si>
    <t>Not Received (6/30/2025, 1:31:22 PM)</t>
  </si>
  <si>
    <t>Call Received (7/2/2025, 5:31:36 PM)</t>
  </si>
  <si>
    <t>prospect_116</t>
  </si>
  <si>
    <t>Not Received (7/7/2025, 10:16:00 AM)</t>
  </si>
  <si>
    <t>Not Received (7/7/2025, 11:52:05 AM)</t>
  </si>
  <si>
    <t>Call Received (6/30/2025, 1:36:56 PM)</t>
  </si>
  <si>
    <t>Not Received (7/2/2025, 5:39:11 PM)</t>
  </si>
  <si>
    <t>want to join last month, share info</t>
  </si>
  <si>
    <t>prospect_117</t>
  </si>
  <si>
    <t>Client Lost (6/30/2025, 1:52:35 PM)</t>
  </si>
  <si>
    <t>prospect_118</t>
  </si>
  <si>
    <t>Not Received (7/7/2025, 10:16:26 AM)</t>
  </si>
  <si>
    <t>Not Received (7/2/2025, 12:12:49 PM)</t>
  </si>
  <si>
    <t>Not Received (6/30/2025, 1:53:19 PM)</t>
  </si>
  <si>
    <t>Not Received (6/30/2025, 5:26:04 PM)</t>
  </si>
  <si>
    <t>prospect_119</t>
  </si>
  <si>
    <t>Demo (7/9/2025, 10:17:49 AM)</t>
  </si>
  <si>
    <t>Not Received (7/26/2025, 12:52:39 PM)</t>
  </si>
  <si>
    <t>Call Received (6/30/2025, 1:55:43 PM)</t>
  </si>
  <si>
    <t>Demo (7/2/2025, 5:39:21 PM)</t>
  </si>
  <si>
    <t>prospect_120</t>
  </si>
  <si>
    <t>Client Lost (7/2/2025, 12:16:32 PM)</t>
  </si>
  <si>
    <t>Not Received (6/30/2025, 2:31:51 PM)</t>
  </si>
  <si>
    <t>Not Received (6/30/2025, 5:31:20 PM)</t>
  </si>
  <si>
    <t>prospect_121</t>
  </si>
  <si>
    <t>Not Received (7/26/2025, 11:00:37 AM)</t>
  </si>
  <si>
    <t>Call Received (7/2/2025, 12:15:44 PM)</t>
  </si>
  <si>
    <t>Not Received (7/23/2025, 1:26:48 PM)</t>
  </si>
  <si>
    <t>Not Received (6/30/2025, 5:31:53 PM)</t>
  </si>
  <si>
    <t>contact after 17th july due to exams</t>
  </si>
  <si>
    <t>prospect_122</t>
  </si>
  <si>
    <t>Not Received (7/7/2025, 10:17:26 AM)</t>
  </si>
  <si>
    <t>Not Received (7/2/2025, 12:17:59 PM)</t>
  </si>
  <si>
    <t>Not Received (6/30/2025, 4:00:46 PM)</t>
  </si>
  <si>
    <t>Not Received (6/30/2025, 5:34:28 PM)</t>
  </si>
  <si>
    <t>prospect_123</t>
  </si>
  <si>
    <t>Call Received</t>
  </si>
  <si>
    <t>Call Received (7/8/2025, 9:56:06 AM)</t>
  </si>
  <si>
    <t>Call Received (8/7/2025, 11:03:05 AM)</t>
  </si>
  <si>
    <t>Call Received (7/25/2025, 2:46:39 PM)</t>
  </si>
  <si>
    <t>Call Received (7/2/2025, 5:43:38 PM)</t>
  </si>
  <si>
    <t>prospect_1</t>
  </si>
  <si>
    <t>Client Lost (6/30/2025, 3:24:48 PM)</t>
  </si>
  <si>
    <t>Client Lost (6/30/2025, 3:27:48 PM)</t>
  </si>
  <si>
    <t>Wajiha</t>
  </si>
  <si>
    <t>Client Lost (7/7/2025, 2:59:03 PM)</t>
  </si>
  <si>
    <t>Call Received (7/2/2025, 5:45:12 PM)</t>
  </si>
  <si>
    <t>prospect_124</t>
  </si>
  <si>
    <t>Not Received (7/8/2025, 10:52:21 AM)</t>
  </si>
  <si>
    <t>Call Received (7/8/2025, 11:02:48 AM)</t>
  </si>
  <si>
    <t>Call Received (7/23/2025, 1:31:31 PM)</t>
  </si>
  <si>
    <t>Call Received (7/2/2025, 5:49:44 PM)</t>
  </si>
  <si>
    <t>prospect_125</t>
  </si>
  <si>
    <t>Call Received (7/8/2025, 10:52:52 AM)</t>
  </si>
  <si>
    <t>Client Lost (7/24/2025, 12:42:28 PM)</t>
  </si>
  <si>
    <t>Not Received (7/23/2025, 1:41:11 PM)</t>
  </si>
  <si>
    <t>Call Received (7/2/2025, 5:56:46 PM)</t>
  </si>
  <si>
    <t>call by own</t>
  </si>
  <si>
    <t>prospect_126</t>
  </si>
  <si>
    <t>Not Received (7/7/2025, 10:19:47 AM)</t>
  </si>
  <si>
    <t>Not Received (7/24/2025, 12:43:14 PM)</t>
  </si>
  <si>
    <t>Not Received (7/7/2025, 2:05:28 PM)</t>
  </si>
  <si>
    <t>Not Received (6/30/2025, 5:41:53 PM)</t>
  </si>
  <si>
    <t>prospect_127</t>
  </si>
  <si>
    <t>Not Received (7/7/2025, 10:20:51 AM)</t>
  </si>
  <si>
    <t>Not Received (7/2/2025, 12:20:21 PM)</t>
  </si>
  <si>
    <t>Not Received (7/7/2025, 2:05:34 PM)</t>
  </si>
  <si>
    <t>Not Received (6/30/2025, 5:42:37 PM)</t>
  </si>
  <si>
    <t>prospect_128</t>
  </si>
  <si>
    <t>Not Received (7/7/2025, 10:21:37 AM)</t>
  </si>
  <si>
    <t>Not Received (7/2/2025, 12:21:21 PM)</t>
  </si>
  <si>
    <t>Not Received (7/7/2025, 2:05:41 PM)</t>
  </si>
  <si>
    <t>Not Received (6/30/2025, 5:43:11 PM)</t>
  </si>
  <si>
    <t>prospect_129</t>
  </si>
  <si>
    <t>Not Received (7/1/2025, 10:04:17 AM)</t>
  </si>
  <si>
    <t>Client Lost (7/16/2025, 11:09:19 AM)</t>
  </si>
  <si>
    <t>Not Received (7/7/2025, 2:05:53 PM)</t>
  </si>
  <si>
    <t>Not Received (7/1/2025, 5:54:42 PM)</t>
  </si>
  <si>
    <t>prospect_130</t>
  </si>
  <si>
    <t>Call Received (7/1/2025, 10:06:52 AM)</t>
  </si>
  <si>
    <t>Client Lost (7/7/2025, 3:05:22 PM)</t>
  </si>
  <si>
    <t>prospect_131</t>
  </si>
  <si>
    <t>Not Received (7/1/2025, 10:12:46 AM)</t>
  </si>
  <si>
    <t>Client Lost (7/23/2025, 1:41:44 PM)</t>
  </si>
  <si>
    <t>Call Received (7/1/2025, 5:55:59 PM)</t>
  </si>
  <si>
    <t>prospect_132</t>
  </si>
  <si>
    <t>Client Lost (7/1/2025, 10:14:28 AM)</t>
  </si>
  <si>
    <t>prospect_133</t>
  </si>
  <si>
    <t>Not Received (7/1/2025, 10:15:24 AM)</t>
  </si>
  <si>
    <t>Not Received (7/2/2025, 12:22:44 PM)</t>
  </si>
  <si>
    <t>Not Received (7/7/2025, 2:06:03 PM)</t>
  </si>
  <si>
    <t>Not Received (7/3/2025, 4:21:23 PM)</t>
  </si>
  <si>
    <t>prospect_134</t>
  </si>
  <si>
    <t>Not Received (7/1/2025, 10:16:41 AM)</t>
  </si>
  <si>
    <t>Not Received (7/2/2025, 12:23:23 PM)</t>
  </si>
  <si>
    <t>Client Lost (7/2/2025, 2:46:31 PM)</t>
  </si>
  <si>
    <t>prospect_135</t>
  </si>
  <si>
    <t>Call Received (7/1/2025, 10:18:04 AM)</t>
  </si>
  <si>
    <t>Call Received (7/9/2025, 11:22:06 AM)</t>
  </si>
  <si>
    <t>Call Received (7/23/2025, 1:42:56 PM)</t>
  </si>
  <si>
    <t>Call Received (7/8/2025, 5:08:53 PM)</t>
  </si>
  <si>
    <t>prospect_136</t>
  </si>
  <si>
    <t>Call Received (7/1/2025, 10:23:54 AM)</t>
  </si>
  <si>
    <t>Not Received (6/27/2025, 12:05:56 PM)</t>
  </si>
  <si>
    <t>Not Received (7/26/2025, 1:02:01 PM)</t>
  </si>
  <si>
    <t>Not Received (6/27/2025, 5:05:56 PM)</t>
  </si>
  <si>
    <t>interested, share info via whatsapp</t>
  </si>
  <si>
    <t>prospect_137</t>
  </si>
  <si>
    <t>Not Received (7/1/2025, 10:26:56 AM)</t>
  </si>
  <si>
    <t>Not Received (7/2/2025, 12:23:57 PM)</t>
  </si>
  <si>
    <t>Client Lost (7/2/2025, 3:23:45 PM)</t>
  </si>
  <si>
    <t>prospect_138</t>
  </si>
  <si>
    <t>Client Lost (7/1/2025, 10:29:49 AM)</t>
  </si>
  <si>
    <t>need shopify</t>
  </si>
  <si>
    <t>Naeem ur rehman</t>
  </si>
  <si>
    <t>Confirmation (7/1/2025, 10:51:54 AM)</t>
  </si>
  <si>
    <t>Confirmation (7/14/2025, 11:53:58 AM)</t>
  </si>
  <si>
    <t>Client Lost (7/31/2025, 2:33:10 PM)</t>
  </si>
  <si>
    <t>Confirmation (7/7/2025, 5:31:55 PM)</t>
  </si>
  <si>
    <t>pay by 16</t>
  </si>
  <si>
    <t>prospect_140</t>
  </si>
  <si>
    <t>Not Received (7/1/2025, 10:32:16 AM)</t>
  </si>
  <si>
    <t>Call Received (7/2/2025, 12:28:04 PM)</t>
  </si>
  <si>
    <t>Not Received (7/8/2025, 3:28:44 PM)</t>
  </si>
  <si>
    <t>Call Received (7/7/2025, 4:18:52 PM)</t>
  </si>
  <si>
    <t>share info+demo recording will inform</t>
  </si>
  <si>
    <t>prospect_141</t>
  </si>
  <si>
    <t>Not Received (7/1/2025, 10:32:48 AM)</t>
  </si>
  <si>
    <t>Not Received (7/2/2025, 12:28:44 PM)</t>
  </si>
  <si>
    <t>Not Received (7/7/2025, 2:06:12 PM)</t>
  </si>
  <si>
    <t>Not Received (7/3/2025, 4:22:12 PM)</t>
  </si>
  <si>
    <t>prospect_142</t>
  </si>
  <si>
    <t>Call Received (7/1/2025, 10:34:47 AM)</t>
  </si>
  <si>
    <t>Call Received (7/23/2025, 1:44:54 PM)</t>
  </si>
  <si>
    <t>Call Received (7/7/2025, 4:21:26 PM)</t>
  </si>
  <si>
    <t>prospect_143</t>
  </si>
  <si>
    <t>Call Received (7/1/2025, 10:36:12 AM)</t>
  </si>
  <si>
    <t>Client Lost (7/7/2025, 4:23:29 PM)</t>
  </si>
  <si>
    <t>will review the info</t>
  </si>
  <si>
    <t>Abdul sami</t>
  </si>
  <si>
    <t>not provided</t>
  </si>
  <si>
    <t>923370396227</t>
  </si>
  <si>
    <t>Confirmation (7/9/2025, 9:27:21 AM)</t>
  </si>
  <si>
    <t>Confirmation (7/14/2025, 11:57:00 AM)</t>
  </si>
  <si>
    <t>Paid (7/14/2025, 2:42:52 PM)</t>
  </si>
  <si>
    <t>Confirmation (7/1/2025, 4:02:37 PM)</t>
  </si>
  <si>
    <t>prospect_149</t>
  </si>
  <si>
    <t>Client Lost (7/1/2025, 10:44:42 AM)</t>
  </si>
  <si>
    <t>prospect_150</t>
  </si>
  <si>
    <t>Not Received (7/1/2025, 10:46:38 AM)</t>
  </si>
  <si>
    <t>Call Received (7/1/2025, 11:23:45 AM)</t>
  </si>
  <si>
    <t>Client Lost (7/7/2025, 4:35:54 PM)</t>
  </si>
  <si>
    <t>prospect_151</t>
  </si>
  <si>
    <t>Not Received (7/1/2025, 10:47:34 AM)</t>
  </si>
  <si>
    <t>Not Received (7/2/2025, 12:29:37 PM)</t>
  </si>
  <si>
    <t>Not Received (7/7/2025, 2:06:20 PM)</t>
  </si>
  <si>
    <t>Not Received (7/3/2025, 4:23:16 PM)</t>
  </si>
  <si>
    <t>prospect_152</t>
  </si>
  <si>
    <t>Not Received (7/1/2025, 10:48:29 AM)</t>
  </si>
  <si>
    <t>Not Received (7/2/2025, 12:30:30 PM)</t>
  </si>
  <si>
    <t>Not Received (7/7/2025, 2:06:40 PM)</t>
  </si>
  <si>
    <t>Not Received (7/3/2025, 4:24:17 PM)</t>
  </si>
  <si>
    <t>prospect_153</t>
  </si>
  <si>
    <t>Not Received (7/1/2025, 10:49:45 AM)</t>
  </si>
  <si>
    <t>Call Received (7/2/2025, 12:31:59 PM)</t>
  </si>
  <si>
    <t>Client Lost (7/14/2025, 3:22:13 PM)</t>
  </si>
  <si>
    <t>Call Received (7/7/2025, 4:25:52 PM)</t>
  </si>
  <si>
    <t>not interested right now</t>
  </si>
  <si>
    <t>prospect_155</t>
  </si>
  <si>
    <t>Not Received (7/1/2025, 10:54:46 AM)</t>
  </si>
  <si>
    <t>Not Received (7/24/2025, 12:43:50 PM)</t>
  </si>
  <si>
    <t>Not Received (7/8/2025, 2:55:08 PM)</t>
  </si>
  <si>
    <t>Not Received (7/3/2025, 4:24:36 PM)</t>
  </si>
  <si>
    <t>hamza hassan</t>
  </si>
  <si>
    <t>923455602173</t>
  </si>
  <si>
    <t>Not Received (7/1/2025, 10:55:25 AM)</t>
  </si>
  <si>
    <t>Client Lost (8/18/2025, 11:37:23 AM)</t>
  </si>
  <si>
    <t>Confirmation (7/10/2025, 2:28:27 PM)</t>
  </si>
  <si>
    <t>Confirmation (7/7/2025, 5:32:02 PM)</t>
  </si>
  <si>
    <t>seat reserved, pay by 20th july</t>
  </si>
  <si>
    <t>prospect_157</t>
  </si>
  <si>
    <t>Call Received (7/1/2025, 10:55:56 AM)</t>
  </si>
  <si>
    <t>Client Lost (8/18/2025, 11:37:35 AM)</t>
  </si>
  <si>
    <t>Confirmation (7/9/2025, 1:13:41 PM)</t>
  </si>
  <si>
    <t>Confirmation (7/7/2025, 4:31:48 PM)</t>
  </si>
  <si>
    <t>will pay till 12th july</t>
  </si>
  <si>
    <t>prospect_158</t>
  </si>
  <si>
    <t>Not Received (7/1/2025, 10:58:40 AM)</t>
  </si>
  <si>
    <t>Not Received (7/24/2025, 12:43:53 PM)</t>
  </si>
  <si>
    <t>Not Received (7/8/2025, 2:55:12 PM)</t>
  </si>
  <si>
    <t>Not Received (7/7/2025, 4:34:50 PM)</t>
  </si>
  <si>
    <t>prospect_159</t>
  </si>
  <si>
    <t>Not Received (7/1/2025, 10:59:33 AM)</t>
  </si>
  <si>
    <t>Client Lost (7/1/2025, 11:16:47 AM)</t>
  </si>
  <si>
    <t>prospect_160</t>
  </si>
  <si>
    <t>Client Lost (7/1/2025, 11:01:19 AM)</t>
  </si>
  <si>
    <t>not interested in courses</t>
  </si>
  <si>
    <t>prospect_161</t>
  </si>
  <si>
    <t>Not Received (7/1/2025, 11:19:14 AM)</t>
  </si>
  <si>
    <t>Client Lost (7/1/2025, 1:27:35 PM)</t>
  </si>
  <si>
    <t>prospect_162</t>
  </si>
  <si>
    <t>Client Lost (7/7/2025, 10:26:02 AM)</t>
  </si>
  <si>
    <t>Not Received (7/2/2025, 12:44:43 PM)</t>
  </si>
  <si>
    <t>Not Received (7/3/2025, 4:25:17 PM)</t>
  </si>
  <si>
    <t>prospect_163</t>
  </si>
  <si>
    <t>Not Received (7/8/2025, 9:59:04 AM)</t>
  </si>
  <si>
    <t>Not Received (7/24/2025, 12:43:57 PM)</t>
  </si>
  <si>
    <t>Not Received (7/8/2025, 2:55:17 PM)</t>
  </si>
  <si>
    <t>Call Received (7/7/2025, 4:36:45 PM)</t>
  </si>
  <si>
    <t>prospect_164</t>
  </si>
  <si>
    <t>Client Lost (7/1/2025, 11:05:33 AM)</t>
  </si>
  <si>
    <t>prospect_165</t>
  </si>
  <si>
    <t>Not Received (7/7/2025, 10:27:21 AM)</t>
  </si>
  <si>
    <t>Not Received (7/24/2025, 12:44:01 PM)</t>
  </si>
  <si>
    <t>Not Received (7/8/2025, 2:55:27 PM)</t>
  </si>
  <si>
    <t>Not Received (7/3/2025, 4:28:57 PM)</t>
  </si>
  <si>
    <t>prospect_166</t>
  </si>
  <si>
    <t>Not Received (7/7/2025, 10:27:59 AM)</t>
  </si>
  <si>
    <t>Not Received (7/24/2025, 12:44:07 PM)</t>
  </si>
  <si>
    <t>Not Received (7/8/2025, 2:56:47 PM)</t>
  </si>
  <si>
    <t>Not Received (7/3/2025, 4:29:42 PM)</t>
  </si>
  <si>
    <t>prospect_167</t>
  </si>
  <si>
    <t>Client Lost (7/1/2025, 11:10:02 AM)</t>
  </si>
  <si>
    <t>need job of web development</t>
  </si>
  <si>
    <t>prospect_168</t>
  </si>
  <si>
    <t>Call Later (7/9/2025, 10:38:19 AM)</t>
  </si>
  <si>
    <t>Not Received (7/24/2025, 12:44:11 PM)</t>
  </si>
  <si>
    <t>Not Received (7/23/2025, 1:45:38 PM)</t>
  </si>
  <si>
    <t>Call Received (7/8/2025, 4:30:04 PM)</t>
  </si>
  <si>
    <t>prospect_169</t>
  </si>
  <si>
    <t>Not Received (7/7/2025, 10:28:25 AM)</t>
  </si>
  <si>
    <t>Not Received (7/24/2025, 12:44:15 PM)</t>
  </si>
  <si>
    <t>Not Received (7/8/2025, 2:56:51 PM)</t>
  </si>
  <si>
    <t>Not Received (7/3/2025, 4:33:49 PM)</t>
  </si>
  <si>
    <t>prospect_170</t>
  </si>
  <si>
    <t>Not Received (7/7/2025, 10:29:01 AM)</t>
  </si>
  <si>
    <t>Not Received (7/24/2025, 12:44:19 PM)</t>
  </si>
  <si>
    <t>Not Received (7/8/2025, 2:56:55 PM)</t>
  </si>
  <si>
    <t>Not Received (7/3/2025, 4:36:13 PM)</t>
  </si>
  <si>
    <t>prospect_171</t>
  </si>
  <si>
    <t>Not Received (7/1/2025, 11:14:05 AM)</t>
  </si>
  <si>
    <t>Client Lost (7/3/2025, 4:38:18 PM)</t>
  </si>
  <si>
    <t>prospect_172</t>
  </si>
  <si>
    <t>Not Received (7/7/2025, 10:29:32 AM)</t>
  </si>
  <si>
    <t>Not Received (7/24/2025, 12:44:25 PM)</t>
  </si>
  <si>
    <t>Not Received (7/8/2025, 2:56:59 PM)</t>
  </si>
  <si>
    <t>Not Received (7/3/2025, 4:39:59 PM)</t>
  </si>
  <si>
    <t>prospect_173</t>
  </si>
  <si>
    <t>Not Received (7/7/2025, 10:30:39 AM)</t>
  </si>
  <si>
    <t>Not Received (7/24/2025, 12:44:29 PM)</t>
  </si>
  <si>
    <t>Not Received (7/8/2025, 2:57:02 PM)</t>
  </si>
  <si>
    <t>Not Received (7/3/2025, 5:10:14 PM)</t>
  </si>
  <si>
    <t>Aasma</t>
  </si>
  <si>
    <t>923141727512</t>
  </si>
  <si>
    <t>Call Received (7/8/2025, 10:02:52 AM)</t>
  </si>
  <si>
    <t>Confirmation (7/4/2025, 12:56:49 PM)</t>
  </si>
  <si>
    <t>Client Lost (7/14/2025, 3:37:49 PM)</t>
  </si>
  <si>
    <t>Not Received (7/3/2025, 5:11:17 PM)</t>
  </si>
  <si>
    <t>i think fees issue, provide her discount y tomorrow</t>
  </si>
  <si>
    <t>prospect_175</t>
  </si>
  <si>
    <t>Not Received (7/1/2025, 11:19:38 AM)</t>
  </si>
  <si>
    <t>Client Lost (7/3/2025, 5:13:02 PM)</t>
  </si>
  <si>
    <t>prospect_176</t>
  </si>
  <si>
    <t>Call Received (7/1/2025, 11:22:07 AM)</t>
  </si>
  <si>
    <t>Client Lost (7/7/2025, 4:37:34 PM)</t>
  </si>
  <si>
    <t>prospect_177</t>
  </si>
  <si>
    <t>Call Received (7/7/2025, 10:34:06 AM)</t>
  </si>
  <si>
    <t>Client Lost (8/18/2025, 11:37:45 AM)</t>
  </si>
  <si>
    <t>Confirmation (7/14/2025, 3:40:31 PM)</t>
  </si>
  <si>
    <t>Not Received (7/3/2025, 5:23:02 PM)</t>
  </si>
  <si>
    <t>pay till 17</t>
  </si>
  <si>
    <t>jadoon.connect12@gmail.com</t>
  </si>
  <si>
    <t>923335426334</t>
  </si>
  <si>
    <t>Call Received (7/10/2025, 10:22:39 AM)</t>
  </si>
  <si>
    <t>Confirmation (7/14/2025, 12:52:10 PM)</t>
  </si>
  <si>
    <t>Confirmation (7/10/2025, 2:28:32 PM)</t>
  </si>
  <si>
    <t>Confirmation (7/7/2025, 5:32:09 PM)</t>
  </si>
  <si>
    <t>her mother is not well. she'll inform</t>
  </si>
  <si>
    <t>prospect_178</t>
  </si>
  <si>
    <t>Not Received (7/7/2025, 10:34:25 AM)</t>
  </si>
  <si>
    <t>Not Received (7/24/2025, 12:44:34 PM)</t>
  </si>
  <si>
    <t>Not Received (7/8/2025, 2:57:05 PM)</t>
  </si>
  <si>
    <t>Not Received (7/3/2025, 5:27:53 PM)</t>
  </si>
  <si>
    <t>prospect_179</t>
  </si>
  <si>
    <t>Client Lost (7/7/2025, 10:36:31 AM)</t>
  </si>
  <si>
    <t>Not Received (7/1/2025, 12:26:35 PM)</t>
  </si>
  <si>
    <t>Not Received (7/3/2025, 5:28:03 PM)</t>
  </si>
  <si>
    <t>prospect_180</t>
  </si>
  <si>
    <t>Client Lost (7/1/2025, 1:26:53 PM)</t>
  </si>
  <si>
    <t>prospect_181</t>
  </si>
  <si>
    <t>Call Received (7/8/2025, 10:03:23 AM)</t>
  </si>
  <si>
    <t>Call Received (8/7/2025, 11:09:55 AM)</t>
  </si>
  <si>
    <t>Call Received (7/23/2025, 1:46:19 PM)</t>
  </si>
  <si>
    <t>Call Received (7/7/2025, 4:39:32 PM)</t>
  </si>
  <si>
    <t>will inform b y own</t>
  </si>
  <si>
    <t>prospect_182</t>
  </si>
  <si>
    <t>Client Lost (7/1/2025, 12:44:43 PM)</t>
  </si>
  <si>
    <t>prospect_183</t>
  </si>
  <si>
    <t>Call Received (7/1/2025, 1:51:49 PM)</t>
  </si>
  <si>
    <t>Client Lost (7/7/2025, 4:56:26 PM)</t>
  </si>
  <si>
    <t>prospect_184</t>
  </si>
  <si>
    <t>Demo (7/15/2025, 12:05:35 PM)</t>
  </si>
  <si>
    <t>Not Received (7/26/2025, 1:02:06 PM)</t>
  </si>
  <si>
    <t>taimoor khan</t>
  </si>
  <si>
    <t>Call Received (7/8/2025, 10:03:34 AM)</t>
  </si>
  <si>
    <t>Call Received (7/23/2025, 1:46:48 PM)</t>
  </si>
  <si>
    <t>Call Received (7/7/2025, 4:41:32 PM)</t>
  </si>
  <si>
    <t>prospect_185</t>
  </si>
  <si>
    <t>Call Received (7/2/2025, 12:50:12 PM)</t>
  </si>
  <si>
    <t>Not Received (7/1/2025, 1:59:12 PM)</t>
  </si>
  <si>
    <t>Client Lost (7/7/2025, 4:42:35 PM)</t>
  </si>
  <si>
    <t>prospect_186</t>
  </si>
  <si>
    <t>Not Received (7/7/2025, 10:38:06 AM)</t>
  </si>
  <si>
    <t>Not Received (7/24/2025, 12:44:39 PM)</t>
  </si>
  <si>
    <t>Not Received (7/1/2025, 1:59:46 PM)</t>
  </si>
  <si>
    <t>Not Received (7/3/2025, 5:28:09 PM)</t>
  </si>
  <si>
    <t>Nausheen</t>
  </si>
  <si>
    <t>Client Lost (7/7/2025, 10:52:31 AM)</t>
  </si>
  <si>
    <t>Not Received (7/2/2025, 12:52:13 PM)</t>
  </si>
  <si>
    <t>Not Received (7/1/2025, 2:00:48 PM)</t>
  </si>
  <si>
    <t>Not Received (7/3/2025, 5:28:14 PM)</t>
  </si>
  <si>
    <t>prospect_187</t>
  </si>
  <si>
    <t>Call Later (7/1/2025, 2:01:51 PM)</t>
  </si>
  <si>
    <t>Client Lost (7/8/2025, 4:35:20 PM)</t>
  </si>
  <si>
    <t>Shaujaat</t>
  </si>
  <si>
    <t>Not Received (7/7/2025, 10:41:20 AM)</t>
  </si>
  <si>
    <t>Not Received (7/2/2025, 12:53:03 PM)</t>
  </si>
  <si>
    <t>Not Received (7/8/2025, 2:57:12 PM)</t>
  </si>
  <si>
    <t>Not Received (7/1/2025, 4:45:32 PM)</t>
  </si>
  <si>
    <t>Tehseen ur Rasheed</t>
  </si>
  <si>
    <t>923229574106</t>
  </si>
  <si>
    <t>Not Received (7/7/2025, 10:42:09 AM)</t>
  </si>
  <si>
    <t>Not Received (7/24/2025, 12:44:45 PM)</t>
  </si>
  <si>
    <t>Not Received (7/9/2025, 1:04:09 PM)</t>
  </si>
  <si>
    <t>Not Received (7/1/2025, 4:46:22 PM)</t>
  </si>
  <si>
    <t>Nadia farooq</t>
  </si>
  <si>
    <t>923184314443</t>
  </si>
  <si>
    <t>Confirmation (7/14/2025, 12:55:14 PM)</t>
  </si>
  <si>
    <t>Paid (7/22/2025, 1:56:37 PM)</t>
  </si>
  <si>
    <t>Not Received (7/1/2025, 4:46:46 PM)</t>
  </si>
  <si>
    <t>Ahmed asif</t>
  </si>
  <si>
    <t>923104566267/ 923089739939</t>
  </si>
  <si>
    <t>Call Received (7/8/2025, 10:08:25 AM)</t>
  </si>
  <si>
    <t>Client Lost (7/24/2025, 12:46:43 PM)</t>
  </si>
  <si>
    <t>Call Received (7/8/2025, 3:30:08 PM)</t>
  </si>
  <si>
    <t>Call Received (7/1/2025, 4:54:41 PM)</t>
  </si>
  <si>
    <t>prospect_190</t>
  </si>
  <si>
    <t>Not Received (7/7/2025, 10:43:46 AM)</t>
  </si>
  <si>
    <t>Not Received (7/2/2025, 12:55:08 PM)</t>
  </si>
  <si>
    <t>Not Received (7/9/2025, 1:06:36 PM)</t>
  </si>
  <si>
    <t>Not Received (7/1/2025, 4:49:11 PM)</t>
  </si>
  <si>
    <t>prospect_191</t>
  </si>
  <si>
    <t>Not Received (7/7/2025, 10:45:19 AM)</t>
  </si>
  <si>
    <t>Not Received (7/2/2025, 12:55:52 PM)</t>
  </si>
  <si>
    <t>Not Received (7/9/2025, 1:16:30 PM)</t>
  </si>
  <si>
    <t>Not Received (7/1/2025, 4:49:41 PM)</t>
  </si>
  <si>
    <t>prospect_192</t>
  </si>
  <si>
    <t>Client Lost (7/1/2025, 4:57:09 PM)</t>
  </si>
  <si>
    <t>prospect_193</t>
  </si>
  <si>
    <t>Client Lost (7/7/2025, 10:49:09 AM)</t>
  </si>
  <si>
    <t>Not Received (7/2/2025, 12:57:29 PM)</t>
  </si>
  <si>
    <t>Not Received (7/1/2025, 4:59:09 PM)</t>
  </si>
  <si>
    <t>prospect_194</t>
  </si>
  <si>
    <t>Client Lost (7/1/2025, 5:00:27 PM)</t>
  </si>
  <si>
    <t>prospect_196</t>
  </si>
  <si>
    <t>Client Lost (7/1/2025, 5:02:17 PM)</t>
  </si>
  <si>
    <t>prospect_197</t>
  </si>
  <si>
    <t>Call Received (7/8/2025, 10:17:02 AM)</t>
  </si>
  <si>
    <t>Not Received (7/24/2025, 12:48:50 PM)</t>
  </si>
  <si>
    <t>Call Received (7/8/2025, 3:30:38 PM)</t>
  </si>
  <si>
    <t>Call Received (7/1/2025, 5:06:56 PM)</t>
  </si>
  <si>
    <t>prospect_198</t>
  </si>
  <si>
    <t>Client Lost (7/1/2025, 5:45:09 PM)</t>
  </si>
  <si>
    <t>javed</t>
  </si>
  <si>
    <t>Client Lost (7/8/2025, 10:21:29 AM)</t>
  </si>
  <si>
    <t>Call Received (7/1/2025, 5:47:37 PM)</t>
  </si>
  <si>
    <t>prospect_199</t>
  </si>
  <si>
    <t>Not Received (7/7/2025, 10:49:16 AM)</t>
  </si>
  <si>
    <t>Not Received (7/24/2025, 12:49:01 PM)</t>
  </si>
  <si>
    <t>Not Received (7/9/2025, 1:17:26 PM)</t>
  </si>
  <si>
    <t>Not Received (7/1/2025, 5:49:02 PM)</t>
  </si>
  <si>
    <t>prospect_200</t>
  </si>
  <si>
    <t>Call Received (7/8/2025, 10:22:39 AM)</t>
  </si>
  <si>
    <t>Client Lost (8/7/2025, 11:17:57 AM)</t>
  </si>
  <si>
    <t>Call Received (7/23/2025, 1:48:52 PM)</t>
  </si>
  <si>
    <t>Call Received (7/1/2025, 5:50:37 PM)</t>
  </si>
  <si>
    <t>prospect_201</t>
  </si>
  <si>
    <t>Client Lost (7/1/2025, 6:01:03 PM)</t>
  </si>
  <si>
    <t>prospect_202</t>
  </si>
  <si>
    <t>Not Received (7/7/2025, 10:49:58 AM)</t>
  </si>
  <si>
    <t>Not Received (7/24/2025, 12:49:46 PM)</t>
  </si>
  <si>
    <t>Not Received (7/9/2025, 1:17:51 PM)</t>
  </si>
  <si>
    <t>Not Received (7/1/2025, 6:02:23 PM)</t>
  </si>
  <si>
    <t>prospect_203</t>
  </si>
  <si>
    <t>Call Received (7/2/2025, 9:42:53 AM)</t>
  </si>
  <si>
    <t>Client Lost (8/7/2025, 11:20:21 AM)</t>
  </si>
  <si>
    <t>Call Received (7/23/2025, 1:49:28 PM)</t>
  </si>
  <si>
    <t>Call Received (7/7/2025, 4:43:57 PM)</t>
  </si>
  <si>
    <t>prospect_204</t>
  </si>
  <si>
    <t>Not Received (7/2/2025, 9:44:05 AM)</t>
  </si>
  <si>
    <t>Not Received (7/7/2025, 11:46:49 AM)</t>
  </si>
  <si>
    <t>Not Received (7/9/2025, 1:20:29 PM)</t>
  </si>
  <si>
    <t>Not Received (7/3/2025, 6:00:50 PM)</t>
  </si>
  <si>
    <t>prospect_205</t>
  </si>
  <si>
    <t>Call Received (7/2/2025, 9:45:30 AM)</t>
  </si>
  <si>
    <t>Not Received (7/24/2025, 12:50:03 PM)</t>
  </si>
  <si>
    <t>Not Received (7/9/2025, 1:23:53 PM)</t>
  </si>
  <si>
    <t>Not Received (7/7/2025, 4:44:25 PM)</t>
  </si>
  <si>
    <t>prospect_206</t>
  </si>
  <si>
    <t>Client Lost (7/2/2025, 9:48:49 AM)</t>
  </si>
  <si>
    <t>prospect_207</t>
  </si>
  <si>
    <t>Not Received (7/2/2025, 9:49:46 AM)</t>
  </si>
  <si>
    <t>Call Received (7/7/2025, 11:55:21 AM)</t>
  </si>
  <si>
    <t>Call Received (7/23/2025, 1:49:45 PM)</t>
  </si>
  <si>
    <t>Not Received (7/3/2025, 6:00:55 PM)</t>
  </si>
  <si>
    <t>prospect_208</t>
  </si>
  <si>
    <t>Not Received (7/2/2025, 9:50:26 AM)</t>
  </si>
  <si>
    <t>Call Received (7/24/2025, 12:51:52 PM)</t>
  </si>
  <si>
    <t>Call Received (7/9/2025, 1:25:52 PM)</t>
  </si>
  <si>
    <t>Not Received (7/14/2025, 4:01:42 PM)</t>
  </si>
  <si>
    <t>prospect_209</t>
  </si>
  <si>
    <t>Not Received (7/2/2025, 9:50:45 AM)</t>
  </si>
  <si>
    <t>Client Lost (7/7/2025, 12:03:21 PM)</t>
  </si>
  <si>
    <t>Not Received (7/3/2025, 6:01:07 PM)</t>
  </si>
  <si>
    <t>prospect_210</t>
  </si>
  <si>
    <t>Call Received (7/2/2025, 9:55:26 AM)</t>
  </si>
  <si>
    <t>Call Received (7/9/2025, 11:25:20 AM)</t>
  </si>
  <si>
    <t>Client Lost (7/9/2025, 1:51:48 PM)</t>
  </si>
  <si>
    <t>Call Received (7/7/2025, 4:47:24 PM)</t>
  </si>
  <si>
    <t>prospect_211</t>
  </si>
  <si>
    <t>Call Later (7/2/2025, 9:56:54 AM)</t>
  </si>
  <si>
    <t>Client Lost (7/9/2025, 1:26:08 PM)</t>
  </si>
  <si>
    <t>Not Received (7/8/2025, 4:38:26 PM)</t>
  </si>
  <si>
    <t>prospect_212</t>
  </si>
  <si>
    <t>Call Received (7/2/2025, 10:00:35 AM)</t>
  </si>
  <si>
    <t>Client Lost (7/7/2025, 4:49:02 PM)</t>
  </si>
  <si>
    <t>prospect_213</t>
  </si>
  <si>
    <t>Not Received (7/2/2025, 10:01:05 AM)</t>
  </si>
  <si>
    <t>Not Received (7/7/2025, 12:04:39 PM)</t>
  </si>
  <si>
    <t>Call Received (7/23/2025, 1:50:14 PM)</t>
  </si>
  <si>
    <t>Not Received (7/3/2025, 6:01:28 PM)</t>
  </si>
  <si>
    <t>prospect_214</t>
  </si>
  <si>
    <t>Not Received (7/2/2025, 10:01:27 AM)</t>
  </si>
  <si>
    <t>Not Received (7/24/2025, 12:52:57 PM)</t>
  </si>
  <si>
    <t>Not Received (7/9/2025, 1:28:41 PM)</t>
  </si>
  <si>
    <t>Not Received (7/3/2025, 6:01:57 PM)</t>
  </si>
  <si>
    <t>prospect_215</t>
  </si>
  <si>
    <t>Not Received (7/2/2025, 10:02:26 AM)</t>
  </si>
  <si>
    <t>Not Received (7/24/2025, 12:53:45 PM)</t>
  </si>
  <si>
    <t>Not Received (7/9/2025, 1:30:13 PM)</t>
  </si>
  <si>
    <t>Not Received (7/3/2025, 6:02:07 PM)</t>
  </si>
  <si>
    <t>nahmiya john</t>
  </si>
  <si>
    <t>923323225207</t>
  </si>
  <si>
    <t>Confirmation (7/2/2025, 10:08:07 AM)</t>
  </si>
  <si>
    <t>Confirmation (7/10/2025, 2:28:36 PM)</t>
  </si>
  <si>
    <t>Confirmation (7/7/2025, 5:32:16 PM)</t>
  </si>
  <si>
    <t>will pay before 16th</t>
  </si>
  <si>
    <t>prospect_218</t>
  </si>
  <si>
    <t>Not Received (7/2/2025, 10:10:27 AM)</t>
  </si>
  <si>
    <t>Not Received (7/24/2025, 12:53:50 PM)</t>
  </si>
  <si>
    <t>Not Received (7/9/2025, 1:31:00 PM)</t>
  </si>
  <si>
    <t>Not Received (7/3/2025, 6:02:29 PM)</t>
  </si>
  <si>
    <t>prospect_219</t>
  </si>
  <si>
    <t>Client Lost (7/2/2025, 10:11:12 AM)</t>
  </si>
  <si>
    <t>prospect_220</t>
  </si>
  <si>
    <t>Not Received (7/2/2025, 10:11:33 AM)</t>
  </si>
  <si>
    <t>Not Received (7/10/2025, 11:24:24 AM)</t>
  </si>
  <si>
    <t>Not Received (7/9/2025, 1:34:04 PM)</t>
  </si>
  <si>
    <t>Not Received (7/3/2025, 6:04:08 PM)</t>
  </si>
  <si>
    <t>farzand ali</t>
  </si>
  <si>
    <t>non</t>
  </si>
  <si>
    <t>923150190315</t>
  </si>
  <si>
    <t>Not Received (7/2/2025, 10:12:15 AM)</t>
  </si>
  <si>
    <t>Not Received (7/10/2025, 11:26:42 AM)</t>
  </si>
  <si>
    <t>Not Received (7/9/2025, 1:39:25 PM)</t>
  </si>
  <si>
    <t>Not Received (7/3/2025, 6:04:13 PM)</t>
  </si>
  <si>
    <t>prospect_222</t>
  </si>
  <si>
    <t>Not Received (7/2/2025, 10:12:58 AM)</t>
  </si>
  <si>
    <t>Client Lost (7/9/2025, 1:42:54 PM)</t>
  </si>
  <si>
    <t>Not Received (7/3/2025, 6:04:25 PM)</t>
  </si>
  <si>
    <t>shoaib</t>
  </si>
  <si>
    <t>923271285509</t>
  </si>
  <si>
    <t>Client Lost (7/2/2025, 10:14:23 AM)</t>
  </si>
  <si>
    <t>client lost</t>
  </si>
  <si>
    <t>prospect_224</t>
  </si>
  <si>
    <t>Client Lost (7/2/2025, 10:17:28 AM)</t>
  </si>
  <si>
    <t>muhammad afzal</t>
  </si>
  <si>
    <t>Not Received (7/2/2025, 10:19:30 AM)</t>
  </si>
  <si>
    <t>Client Lost (8/18/2025, 11:38:24 AM)</t>
  </si>
  <si>
    <t>Not Received (7/9/2025, 1:51:21 PM)</t>
  </si>
  <si>
    <t>Not Received (7/8/2025, 5:09:08 PM)</t>
  </si>
  <si>
    <t>need discount, pay before 20</t>
  </si>
  <si>
    <t>923076873558</t>
  </si>
  <si>
    <t>Not Received (7/2/2025, 10:20:09 AM)</t>
  </si>
  <si>
    <t>Not Received (7/10/2025, 11:38:21 AM)</t>
  </si>
  <si>
    <t>Not Received (7/9/2025, 2:00:30 PM)</t>
  </si>
  <si>
    <t>Not Received (7/3/2025, 6:05:18 PM)</t>
  </si>
  <si>
    <t>prospect_227</t>
  </si>
  <si>
    <t>Not Received (7/2/2025, 10:20:28 AM)</t>
  </si>
  <si>
    <t>Call Received (7/9/2025, 11:55:05 AM)</t>
  </si>
  <si>
    <t>Call Received (7/9/2025, 3:12:27 PM)</t>
  </si>
  <si>
    <t>Not Received (7/14/2025, 4:03:21 PM)</t>
  </si>
  <si>
    <t>prospect_228</t>
  </si>
  <si>
    <t>Client Lost (7/2/2025, 10:39:17 AM)</t>
  </si>
  <si>
    <t>prospect_229</t>
  </si>
  <si>
    <t>Not Received (7/2/2025, 10:22:44 AM)</t>
  </si>
  <si>
    <t>Client Lost (7/10/2025, 11:39:29 AM)</t>
  </si>
  <si>
    <t>Not Received (7/9/2025, 3:18:35 PM)</t>
  </si>
  <si>
    <t>Not Received (7/8/2025, 5:09:19 PM)</t>
  </si>
  <si>
    <t>prospect_230</t>
  </si>
  <si>
    <t>Not Received (7/2/2025, 10:24:55 AM)</t>
  </si>
  <si>
    <t>Call Received (8/7/2025, 11:36:21 AM)</t>
  </si>
  <si>
    <t>Not Received (7/8/2025, 5:09:24 PM)</t>
  </si>
  <si>
    <t>prospect_231</t>
  </si>
  <si>
    <t>Not Received (7/2/2025, 10:25:24 AM)</t>
  </si>
  <si>
    <t>Not Received (8/7/2025, 11:37:20 AM)</t>
  </si>
  <si>
    <t>Not Received (7/9/2025, 3:24:22 PM)</t>
  </si>
  <si>
    <t>Call Received (7/14/2025, 4:11:05 PM)</t>
  </si>
  <si>
    <t>prospect_232</t>
  </si>
  <si>
    <t>Not Received (7/2/2025, 10:26:16 AM)</t>
  </si>
  <si>
    <t>Not Received (7/24/2025, 12:53:58 PM)</t>
  </si>
  <si>
    <t>Not Received (7/9/2025, 3:25:06 PM)</t>
  </si>
  <si>
    <t>Not Received (7/8/2025, 5:09:42 PM)</t>
  </si>
  <si>
    <t>prospect_233</t>
  </si>
  <si>
    <t>Call Later (7/2/2025, 10:27:58 AM)</t>
  </si>
  <si>
    <t>Not Received (7/9/2025, 11:27:46 AM)</t>
  </si>
  <si>
    <t>Client Lost (7/9/2025, 3:26:26 PM)</t>
  </si>
  <si>
    <t>Call Received (7/8/2025, 4:41:16 PM)</t>
  </si>
  <si>
    <t>prospect_234</t>
  </si>
  <si>
    <t>Call Received (7/2/2025, 10:56:11 AM)</t>
  </si>
  <si>
    <t>Client Lost (8/7/2025, 11:38:20 AM)</t>
  </si>
  <si>
    <t>Call Received (7/23/2025, 2:11:31 PM)</t>
  </si>
  <si>
    <t>Call Received (7/7/2025, 4:50:37 PM)</t>
  </si>
  <si>
    <t>prospect_235</t>
  </si>
  <si>
    <t>Client Lost (7/2/2025, 11:24:02 AM)</t>
  </si>
  <si>
    <t>prospect_236</t>
  </si>
  <si>
    <t>Confirmation (7/10/2025, 10:33:50 AM)</t>
  </si>
  <si>
    <t>Call Received (7/9/2025, 11:29:42 AM)</t>
  </si>
  <si>
    <t>Call Received (7/2/2025, 1:02:35 PM)</t>
  </si>
  <si>
    <t>Paid (7/10/2025, 4:34:25 PM)</t>
  </si>
  <si>
    <t>pay by 11 july</t>
  </si>
  <si>
    <t>prospect_237</t>
  </si>
  <si>
    <t>Not Received (7/7/2025, 10:51:09 AM)</t>
  </si>
  <si>
    <t>Not Received (7/24/2025, 12:54:02 PM)</t>
  </si>
  <si>
    <t>Not Received (7/2/2025, 1:08:01 PM)</t>
  </si>
  <si>
    <t>Not Received (7/8/2025, 5:10:50 PM)</t>
  </si>
  <si>
    <t>prospect_238</t>
  </si>
  <si>
    <t>Client Lost (7/2/2025, 1:09:42 PM)</t>
  </si>
  <si>
    <t>prospect_239</t>
  </si>
  <si>
    <t>Not Received (7/7/2025, 10:53:39 AM)</t>
  </si>
  <si>
    <t>Client Lost (7/7/2025, 12:21:37 PM)</t>
  </si>
  <si>
    <t>Not Received (7/2/2025, 1:19:28 PM)</t>
  </si>
  <si>
    <t>prospect_240</t>
  </si>
  <si>
    <t>Not Received (7/7/2025, 10:54:36 AM)</t>
  </si>
  <si>
    <t>Client Lost (7/7/2025, 12:11:11 PM)</t>
  </si>
  <si>
    <t>Not Received (7/2/2025, 1:19:55 PM)</t>
  </si>
  <si>
    <t>prospect_241</t>
  </si>
  <si>
    <t>Demo (7/9/2025, 10:18:25 AM)</t>
  </si>
  <si>
    <t>Not Received (7/26/2025, 1:14:13 PM)</t>
  </si>
  <si>
    <t>Demo (7/7/2025, 5:08:43 PM)</t>
  </si>
  <si>
    <t>trial classes</t>
  </si>
  <si>
    <t>Shahzaman Nadil</t>
  </si>
  <si>
    <t>shahzamannadil2025@gmail.com</t>
  </si>
  <si>
    <t>923368162738</t>
  </si>
  <si>
    <t>Call Received (7/2/2025, 1:31:33 PM)</t>
  </si>
  <si>
    <t>Client Lost (7/7/2025, 5:12:15 PM)</t>
  </si>
  <si>
    <t>prospect_243</t>
  </si>
  <si>
    <t>Client Lost (7/8/2025, 10:54:33 AM)</t>
  </si>
  <si>
    <t>Call Received (7/2/2025, 1:35:03 PM)</t>
  </si>
  <si>
    <t>Not Received (7/7/2025, 5:13:24 PM)</t>
  </si>
  <si>
    <t>need web development</t>
  </si>
  <si>
    <t>prospect_244</t>
  </si>
  <si>
    <t>Client Lost (8/18/2025, 11:38:37 AM)</t>
  </si>
  <si>
    <t>Call Received (7/2/2025, 2:12:58 PM)</t>
  </si>
  <si>
    <t>Confirmation (7/7/2025, 5:17:52 PM)</t>
  </si>
  <si>
    <t>need trial class for satisfication then pay</t>
  </si>
  <si>
    <t>prospect_245</t>
  </si>
  <si>
    <t>Not Received (7/24/2025, 9:51:20 AM)</t>
  </si>
  <si>
    <t>Not Received (7/24/2025, 12:54:06 PM)</t>
  </si>
  <si>
    <t>Call Received (7/23/2025, 2:13:05 PM)</t>
  </si>
  <si>
    <t>Call Received (7/8/2025, 4:41:49 PM)</t>
  </si>
  <si>
    <t>will inform once get free</t>
  </si>
  <si>
    <t xml:space="preserve">Muhammed Bilal Adnia </t>
  </si>
  <si>
    <t>bilaladiha123@gmail.com</t>
  </si>
  <si>
    <t>923322645544</t>
  </si>
  <si>
    <t>Paid (7/16/2025, 11:09:37 AM)</t>
  </si>
  <si>
    <t>Confirmation (7/8/2025, 1:11:19 PM)</t>
  </si>
  <si>
    <t>Confirmation (7/7/2025, 5:32:22 PM)</t>
  </si>
  <si>
    <t>pay before 15th</t>
  </si>
  <si>
    <t>prospect_247</t>
  </si>
  <si>
    <t>Client Lost (7/7/2025, 1:42:51 PM)</t>
  </si>
  <si>
    <t>prospect_248</t>
  </si>
  <si>
    <t>Call Received (7/24/2025, 9:52:22 AM)</t>
  </si>
  <si>
    <t>Call Received (8/7/2025, 11:43:42 AM)</t>
  </si>
  <si>
    <t>Call Received (7/23/2025, 2:14:13 PM)</t>
  </si>
  <si>
    <t>Call Received (7/14/2025, 4:15:39 PM)</t>
  </si>
  <si>
    <t>need physical classes</t>
  </si>
  <si>
    <t>prospect_249</t>
  </si>
  <si>
    <t>Not Received (7/7/2025, 10:56:08 AM)</t>
  </si>
  <si>
    <t>Not Received (7/24/2025, 12:54:12 PM)</t>
  </si>
  <si>
    <t>Not Received (7/2/2025, 1:53:20 PM)</t>
  </si>
  <si>
    <t>Not Received (7/8/2025, 5:12:03 PM)</t>
  </si>
  <si>
    <t>prospect_250</t>
  </si>
  <si>
    <t>Call Received (7/8/2025, 10:24:16 AM)</t>
  </si>
  <si>
    <t>Call Received (8/7/2025, 11:47:16 AM)</t>
  </si>
  <si>
    <t>Call Received (7/23/2025, 2:14:43 PM)</t>
  </si>
  <si>
    <t>Call Received (7/14/2025, 4:20:25 PM)</t>
  </si>
  <si>
    <t>prospect_251</t>
  </si>
  <si>
    <t>Call Received (7/8/2025, 10:28:14 AM)</t>
  </si>
  <si>
    <t>Client Lost (7/9/2025, 12:09:05 PM)</t>
  </si>
  <si>
    <t>Call Received (7/2/2025, 3:32:32 PM)</t>
  </si>
  <si>
    <t>Call Received (7/7/2025, 5:18:16 PM)</t>
  </si>
  <si>
    <t>prospect_252</t>
  </si>
  <si>
    <t>Not Received (7/7/2025, 10:57:09 AM)</t>
  </si>
  <si>
    <t>Not Received (7/24/2025, 12:54:17 PM)</t>
  </si>
  <si>
    <t>Not Received (7/2/2025, 3:33:09 PM)</t>
  </si>
  <si>
    <t>Not Received (7/8/2025, 5:12:43 PM)</t>
  </si>
  <si>
    <t>Khawar</t>
  </si>
  <si>
    <t>923369117624</t>
  </si>
  <si>
    <t>Confirmation (7/8/2025, 12:42:41 PM)</t>
  </si>
  <si>
    <t>Confirmation (7/10/2025, 2:28:48 PM)</t>
  </si>
  <si>
    <t>Client Lost (7/16/2025, 4:48:45 PM)</t>
  </si>
  <si>
    <t>pay till 10th of july</t>
  </si>
  <si>
    <t>prospect_254</t>
  </si>
  <si>
    <t>Not Received (7/7/2025, 10:58:24 AM)</t>
  </si>
  <si>
    <t>Call Received (8/7/2025, 11:48:14 AM)</t>
  </si>
  <si>
    <t>Call Received (7/23/2025, 2:18:47 PM)</t>
  </si>
  <si>
    <t>Not Received (7/2/2025, 4:12:03 PM)</t>
  </si>
  <si>
    <t>prospect_255</t>
  </si>
  <si>
    <t>Client Lost (7/2/2025, 4:12:56 PM)</t>
  </si>
  <si>
    <t>prospect_256</t>
  </si>
  <si>
    <t>Call Received (7/8/2025, 10:30:44 AM)</t>
  </si>
  <si>
    <t>Call Received (8/7/2025, 11:49:48 AM)</t>
  </si>
  <si>
    <t>Call Received (7/23/2025, 2:20:19 PM)</t>
  </si>
  <si>
    <t>Call Received (7/2/2025, 4:15:09 PM)</t>
  </si>
  <si>
    <t>prospect_257</t>
  </si>
  <si>
    <t>Client Lost (7/2/2025, 4:41:22 PM)</t>
  </si>
  <si>
    <t>prospect_258</t>
  </si>
  <si>
    <t>Not Received (7/3/2025, 9:49:09 AM)</t>
  </si>
  <si>
    <t>Not Received (7/24/2025, 12:54:23 PM)</t>
  </si>
  <si>
    <t>Not Received (7/7/2025, 2:08:39 PM)</t>
  </si>
  <si>
    <t>Not Received (7/8/2025, 5:13:49 PM)</t>
  </si>
  <si>
    <t>prospect_259</t>
  </si>
  <si>
    <t>Not Received (7/3/2025, 9:50:22 AM)</t>
  </si>
  <si>
    <t>Not Received (7/7/2025, 12:30:59 PM)</t>
  </si>
  <si>
    <t>Not Received (7/7/2025, 2:09:03 PM)</t>
  </si>
  <si>
    <t>Client Lost (7/8/2025, 5:17:11 PM)</t>
  </si>
  <si>
    <t>prospect_261</t>
  </si>
  <si>
    <t>Not Received (7/3/2025, 9:53:44 AM)</t>
  </si>
  <si>
    <t>Not Received (7/24/2025, 12:54:36 PM)</t>
  </si>
  <si>
    <t>Not Received (7/23/2025, 2:21:24 PM)</t>
  </si>
  <si>
    <t>Call Received (7/7/2025, 5:18:33 PM)</t>
  </si>
  <si>
    <t>prospect_262</t>
  </si>
  <si>
    <t>Call Received (7/3/2025, 9:56:47 AM)</t>
  </si>
  <si>
    <t>Client Lost (8/7/2025, 12:02:00 PM)</t>
  </si>
  <si>
    <t>Call Received (7/23/2025, 2:22:42 PM)</t>
  </si>
  <si>
    <t>Call Received (7/7/2025, 5:18:40 PM)</t>
  </si>
  <si>
    <t>prospect_263</t>
  </si>
  <si>
    <t>Not Received (7/3/2025, 9:59:56 AM)</t>
  </si>
  <si>
    <t>Call Received (8/7/2025, 11:53:29 AM)</t>
  </si>
  <si>
    <t>Call Received (7/23/2025, 2:24:09 PM)</t>
  </si>
  <si>
    <t>Call Received (7/7/2025, 5:18:45 PM)</t>
  </si>
  <si>
    <t>prospect_264</t>
  </si>
  <si>
    <t>Client Lost (7/3/2025, 10:03:00 AM)</t>
  </si>
  <si>
    <t>Muhammad habib</t>
  </si>
  <si>
    <t>923455107072</t>
  </si>
  <si>
    <t>Call Received (7/3/2025, 10:04:31 AM)</t>
  </si>
  <si>
    <t>Call Received (8/7/2025, 11:55:23 AM)</t>
  </si>
  <si>
    <t>Call Received (7/23/2025, 2:27:12 PM)</t>
  </si>
  <si>
    <t>Call Received (7/7/2025, 5:21:08 PM)</t>
  </si>
  <si>
    <t>prospect_266</t>
  </si>
  <si>
    <t>Not Received (7/3/2025, 10:06:27 AM)</t>
  </si>
  <si>
    <t>Not Received (7/24/2025, 12:54:43 PM)</t>
  </si>
  <si>
    <t>Not Received (7/7/2025, 2:09:50 PM)</t>
  </si>
  <si>
    <t>Not Received (7/8/2025, 5:15:22 PM)</t>
  </si>
  <si>
    <t>prospect_267</t>
  </si>
  <si>
    <t>Client Lost (7/3/2025, 10:07:42 AM)</t>
  </si>
  <si>
    <t>prospect_268</t>
  </si>
  <si>
    <t>Not Received (7/3/2025, 10:08:42 AM)</t>
  </si>
  <si>
    <t>Call Received (7/7/2025, 12:47:01 PM)</t>
  </si>
  <si>
    <t>Confirmation (7/7/2025, 3:25:11 PM)</t>
  </si>
  <si>
    <t>Confirmation (7/7/2025, 5:32:30 PM)</t>
  </si>
  <si>
    <t>needs discount</t>
  </si>
  <si>
    <t>prospect_269</t>
  </si>
  <si>
    <t>Call Received (7/3/2025, 10:10:34 AM)</t>
  </si>
  <si>
    <t>Call Received (8/7/2025, 11:57:22 AM)</t>
  </si>
  <si>
    <t>Call Received (7/23/2025, 2:28:55 PM)</t>
  </si>
  <si>
    <t>Call Received (7/7/2025, 5:21:47 PM)</t>
  </si>
  <si>
    <t>prospect_270</t>
  </si>
  <si>
    <t>Call Received (7/3/2025, 10:31:16 AM)</t>
  </si>
  <si>
    <t>Not Received (7/24/2025, 12:54:55 PM)</t>
  </si>
  <si>
    <t>Not Received (7/23/2025, 2:30:02 PM)</t>
  </si>
  <si>
    <t>Call Received (7/7/2025, 5:21:53 PM)</t>
  </si>
  <si>
    <t>prospect_271</t>
  </si>
  <si>
    <t>Not Received (7/3/2025, 10:13:49 AM)</t>
  </si>
  <si>
    <t>Not Received (7/7/2025, 12:47:13 PM)</t>
  </si>
  <si>
    <t>Not Received (7/7/2025, 2:15:27 PM)</t>
  </si>
  <si>
    <t>Not Received (7/8/2025, 5:16:17 PM)</t>
  </si>
  <si>
    <t>prospect_272</t>
  </si>
  <si>
    <t>Not Received (7/3/2025, 10:14:47 AM)</t>
  </si>
  <si>
    <t>Client Lost (7/17/2025, 12:06:17 PM)</t>
  </si>
  <si>
    <t>Not Received (7/9/2025, 3:13:27 PM)</t>
  </si>
  <si>
    <t>Call Received (7/7/2025, 5:22:24 PM)</t>
  </si>
  <si>
    <t>prospect_273</t>
  </si>
  <si>
    <t>Not Received (7/3/2025, 10:15:55 AM)</t>
  </si>
  <si>
    <t>Not Received (7/7/2025, 12:49:46 PM)</t>
  </si>
  <si>
    <t>Not Received (7/7/2025, 2:15:34 PM)</t>
  </si>
  <si>
    <t>Not Received (7/8/2025, 5:17:26 PM)</t>
  </si>
  <si>
    <t>prospect_274</t>
  </si>
  <si>
    <t>Not Received (7/3/2025, 10:16:32 AM)</t>
  </si>
  <si>
    <t>Not Received (7/7/2025, 12:51:17 PM)</t>
  </si>
  <si>
    <t>Not Received (7/7/2025, 2:15:40 PM)</t>
  </si>
  <si>
    <t>Not Received (7/8/2025, 5:17:44 PM)</t>
  </si>
  <si>
    <t>prospect_275</t>
  </si>
  <si>
    <t>Demo (7/3/2025, 10:19:00 AM)</t>
  </si>
  <si>
    <t>Not Received (7/26/2025, 1:17:54 PM)</t>
  </si>
  <si>
    <t>need trail classes</t>
  </si>
  <si>
    <t>prospect_276</t>
  </si>
  <si>
    <t>Client Lost (7/3/2025, 10:21:33 AM)</t>
  </si>
  <si>
    <t>prospect_277</t>
  </si>
  <si>
    <t>Not Received (7/3/2025, 10:38:21 AM)</t>
  </si>
  <si>
    <t>Not Received (7/7/2025, 12:51:53 PM)</t>
  </si>
  <si>
    <t>Not Received (7/7/2025, 2:15:46 PM)</t>
  </si>
  <si>
    <t>Not Received (7/8/2025, 5:18:41 PM)</t>
  </si>
  <si>
    <t>prospect_278</t>
  </si>
  <si>
    <t>Call Received (7/3/2025, 10:39:03 AM)</t>
  </si>
  <si>
    <t>Call Received (7/9/2025, 11:22:25 AM)</t>
  </si>
  <si>
    <t>Client Lost (7/23/2025, 2:32:03 PM)</t>
  </si>
  <si>
    <t>Call Received (7/7/2025, 5:23:07 PM)</t>
  </si>
  <si>
    <t>inform later</t>
  </si>
  <si>
    <t>prospect_279</t>
  </si>
  <si>
    <t>Not Received (7/8/2025, 10:55:36 AM)</t>
  </si>
  <si>
    <t>Not Received (7/3/2025, 11:14:57 AM)</t>
  </si>
  <si>
    <t>Not Received (7/7/2025, 2:16:01 PM)</t>
  </si>
  <si>
    <t>Not Received (7/8/2025, 5:18:54 PM)</t>
  </si>
  <si>
    <t>prospect_280</t>
  </si>
  <si>
    <t>Not Received (7/7/2025, 10:59:24 AM)</t>
  </si>
  <si>
    <t>Not Received (7/3/2025, 11:16:10 AM)</t>
  </si>
  <si>
    <t>Not Received (7/7/2025, 2:16:09 PM)</t>
  </si>
  <si>
    <t>Not Received (7/8/2025, 5:19:25 PM)</t>
  </si>
  <si>
    <t>prospect_281</t>
  </si>
  <si>
    <t>Call Received (7/8/2025, 10:35:03 AM)</t>
  </si>
  <si>
    <t>Call Received (7/3/2025, 11:18:12 AM)</t>
  </si>
  <si>
    <t>Client Lost (7/9/2025, 3:13:57 PM)</t>
  </si>
  <si>
    <t>Call Received (7/7/2025, 5:24:47 PM)</t>
  </si>
  <si>
    <t>share info, will inform by today</t>
  </si>
  <si>
    <t>prospect_282</t>
  </si>
  <si>
    <t>Client Lost (7/3/2025, 11:20:44 AM)</t>
  </si>
  <si>
    <t>need data entry job</t>
  </si>
  <si>
    <t>prospect_283</t>
  </si>
  <si>
    <t>Client Lost (7/17/2025, 11:12:13 AM)</t>
  </si>
  <si>
    <t>Confirmation (7/10/2025, 2:28:54 PM)</t>
  </si>
  <si>
    <t>Confirmation (7/7/2025, 5:32:36 PM)</t>
  </si>
  <si>
    <t>will pay, confirm within 2 days</t>
  </si>
  <si>
    <t>prospect_284</t>
  </si>
  <si>
    <t>Not Received (7/7/2025, 10:59:29 AM)</t>
  </si>
  <si>
    <t>Not Received (7/3/2025, 11:29:40 AM)</t>
  </si>
  <si>
    <t>Client Lost (7/23/2025, 2:33:50 PM)</t>
  </si>
  <si>
    <t>Call Received (7/8/2025, 5:21:12 PM)</t>
  </si>
  <si>
    <t>prospect_285</t>
  </si>
  <si>
    <t>Not Received (7/7/2025, 11:00:17 AM)</t>
  </si>
  <si>
    <t>Call Received (8/7/2025, 11:59:36 AM)</t>
  </si>
  <si>
    <t>Call Received (7/23/2025, 2:38:12 PM)</t>
  </si>
  <si>
    <t>Call Received (7/7/2025, 5:24:40 PM)</t>
  </si>
  <si>
    <t>prospect_286</t>
  </si>
  <si>
    <t>Call Received (7/24/2025, 9:54:09 AM)</t>
  </si>
  <si>
    <t>Call Later (7/3/2025, 11:31:13 AM)</t>
  </si>
  <si>
    <t>Call Received (7/23/2025, 2:39:49 PM)</t>
  </si>
  <si>
    <t>Call Received (7/8/2025, 4:47:56 PM)</t>
  </si>
  <si>
    <t>contact after exams</t>
  </si>
  <si>
    <t>prospect_287</t>
  </si>
  <si>
    <t>Not Received (7/7/2025, 11:01:41 AM)</t>
  </si>
  <si>
    <t>Not Received (7/3/2025, 11:33:37 AM)</t>
  </si>
  <si>
    <t>Call Received (7/9/2025, 3:15:04 PM)</t>
  </si>
  <si>
    <t>Paid (7/12/2025, 5:56:52 PM)</t>
  </si>
  <si>
    <t>need demo</t>
  </si>
  <si>
    <t xml:space="preserve">Minahil Ayub </t>
  </si>
  <si>
    <t>minahilayub7@gmail.com</t>
  </si>
  <si>
    <t>923284021067</t>
  </si>
  <si>
    <t>Confirmation (7/3/2025, 12:07:51 PM)</t>
  </si>
  <si>
    <t>Paid (7/7/2025, 3:20:33 PM)</t>
  </si>
  <si>
    <t>pay by 4rth july</t>
  </si>
  <si>
    <t>prospect_289</t>
  </si>
  <si>
    <t>Confirmation (7/8/2025, 10:40:09 AM)</t>
  </si>
  <si>
    <t>Call Received (7/3/2025, 11:36:30 AM)</t>
  </si>
  <si>
    <t>Call Received (7/9/2025, 12:32:06 PM)</t>
  </si>
  <si>
    <t>Call Received (7/7/2025, 5:25:03 PM)</t>
  </si>
  <si>
    <t>wanna join last month</t>
  </si>
  <si>
    <t>prospect_290</t>
  </si>
  <si>
    <t>Not Received (7/8/2025, 10:56:57 AM)</t>
  </si>
  <si>
    <t>Not Received (7/3/2025, 11:38:31 AM)</t>
  </si>
  <si>
    <t>Not Received (7/9/2025, 3:27:45 PM)</t>
  </si>
  <si>
    <t>Not Received (7/22/2025, 5:16:05 PM)</t>
  </si>
  <si>
    <t>prospect_291</t>
  </si>
  <si>
    <t>Not Received (7/8/2025, 10:58:00 AM)</t>
  </si>
  <si>
    <t>Not Received (7/3/2025, 11:41:09 AM)</t>
  </si>
  <si>
    <t>Not Received (7/9/2025, 3:27:53 PM)</t>
  </si>
  <si>
    <t>Not Received (7/22/2025, 5:16:11 PM)</t>
  </si>
  <si>
    <t>international number</t>
  </si>
  <si>
    <t>prospect_292</t>
  </si>
  <si>
    <t>Not Received (7/8/2025, 11:00:19 AM)</t>
  </si>
  <si>
    <t>Not Received (7/3/2025, 11:42:17 AM)</t>
  </si>
  <si>
    <t>Not Received (7/9/2025, 3:27:59 PM)</t>
  </si>
  <si>
    <t>Not Received (7/8/2025, 5:22:13 PM)</t>
  </si>
  <si>
    <t>prospect_293</t>
  </si>
  <si>
    <t>Client Lost (7/3/2025, 10:07:57 AM)</t>
  </si>
  <si>
    <t>prospect_294</t>
  </si>
  <si>
    <t>Not Received (7/9/2025, 10:55:11 AM)</t>
  </si>
  <si>
    <t>Not Received (7/8/2025, 11:03:27 AM)</t>
  </si>
  <si>
    <t>Not Received (7/7/2025, 2:08:28 PM)</t>
  </si>
  <si>
    <t>Not Received (7/8/2025, 4:19:29 PM)</t>
  </si>
  <si>
    <t>prospect_295</t>
  </si>
  <si>
    <t>Not Received (7/9/2025, 10:53:41 AM)</t>
  </si>
  <si>
    <t>Not Received (7/3/2025, 11:43:16 AM)</t>
  </si>
  <si>
    <t>Not Received (7/7/2025, 2:08:20 PM)</t>
  </si>
  <si>
    <t>Not Received (7/8/2025, 5:23:38 PM)</t>
  </si>
  <si>
    <t>prospect_297</t>
  </si>
  <si>
    <t>Not Received (7/9/2025, 10:53:19 AM)</t>
  </si>
  <si>
    <t>Not Received (7/3/2025, 11:43:43 AM)</t>
  </si>
  <si>
    <t>Not Received (7/7/2025, 2:08:17 PM)</t>
  </si>
  <si>
    <t>Not Received (7/8/2025, 5:24:11 PM)</t>
  </si>
  <si>
    <t>prospect_298</t>
  </si>
  <si>
    <t>Client Lost (7/3/2025, 11:45:19 AM)</t>
  </si>
  <si>
    <t>prospect_299</t>
  </si>
  <si>
    <t>Not Received (7/9/2025, 10:51:52 AM)</t>
  </si>
  <si>
    <t>Not Received (7/3/2025, 11:49:59 AM)</t>
  </si>
  <si>
    <t>Not Received (7/7/2025, 2:08:13 PM)</t>
  </si>
  <si>
    <t>Not Received (7/8/2025, 5:25:45 PM)</t>
  </si>
  <si>
    <t>prospect_300</t>
  </si>
  <si>
    <t>Call Received (7/8/2025, 10:43:35 AM)</t>
  </si>
  <si>
    <t>Call Received (7/3/2025, 11:51:42 AM)</t>
  </si>
  <si>
    <t>Client Lost (7/9/2025, 3:15:23 PM)</t>
  </si>
  <si>
    <t>Call Received (7/7/2025, 5:25:13 PM)</t>
  </si>
  <si>
    <t>not possible right now, but inform</t>
  </si>
  <si>
    <t>prospect_301</t>
  </si>
  <si>
    <t>Call Received (7/8/2025, 10:45:15 AM)</t>
  </si>
  <si>
    <t>Call Received (7/3/2025, 11:53:43 AM)</t>
  </si>
  <si>
    <t>Not Received (7/23/2025, 2:40:27 PM)</t>
  </si>
  <si>
    <t>Call Received (7/12/2025, 5:57:23 PM)</t>
  </si>
  <si>
    <t>prospect_302</t>
  </si>
  <si>
    <t>Call Later (7/3/2025, 12:37:18 PM)</t>
  </si>
  <si>
    <t>Client Lost (7/8/2025, 4:48:46 PM)</t>
  </si>
  <si>
    <t>prospect_303</t>
  </si>
  <si>
    <t>Call Received (7/8/2025, 10:46:25 AM)</t>
  </si>
  <si>
    <t>Call Received (7/3/2025, 12:39:19 PM)</t>
  </si>
  <si>
    <t>Client Lost (7/9/2025, 3:16:09 PM)</t>
  </si>
  <si>
    <t>Call Received (7/7/2025, 5:27:12 PM)</t>
  </si>
  <si>
    <t>Annie Hakeem</t>
  </si>
  <si>
    <t>923362743253</t>
  </si>
  <si>
    <t>Confirmation (7/3/2025, 12:44:38 PM)</t>
  </si>
  <si>
    <t>Confirmation (7/7/2025, 5:32:44 PM)</t>
  </si>
  <si>
    <t>will pay after discussing with his husband for fee</t>
  </si>
  <si>
    <t>prospect_304</t>
  </si>
  <si>
    <t>Confirmation (7/3/2025, 3:06:51 PM)</t>
  </si>
  <si>
    <t>prospect_305</t>
  </si>
  <si>
    <t>Client Lost (7/3/2025, 3:12:49 PM)</t>
  </si>
  <si>
    <t>prospect_306</t>
  </si>
  <si>
    <t>Not Received (7/9/2025, 10:51:20 AM)</t>
  </si>
  <si>
    <t>Not Received (7/7/2025, 12:52:39 PM)</t>
  </si>
  <si>
    <t>Not Received (7/3/2025, 3:33:02 PM)</t>
  </si>
  <si>
    <t>Not Received (7/8/2025, 5:25:52 PM)</t>
  </si>
  <si>
    <t>prospect_308</t>
  </si>
  <si>
    <t>Client Lost (7/8/2025, 11:04:30 AM)</t>
  </si>
  <si>
    <t>Call Received (7/3/2025, 3:35:24 PM)</t>
  </si>
  <si>
    <t>Not Received (7/7/2025, 5:28:13 PM)</t>
  </si>
  <si>
    <t>prospect_309</t>
  </si>
  <si>
    <t>Not Received (7/9/2025, 10:50:40 AM)</t>
  </si>
  <si>
    <t>Not Received (7/7/2025, 12:53:22 PM)</t>
  </si>
  <si>
    <t>Not Received (7/3/2025, 3:41:02 PM)</t>
  </si>
  <si>
    <t>Not Received (7/22/2025, 5:16:24 PM)</t>
  </si>
  <si>
    <t>prospect_310</t>
  </si>
  <si>
    <t>Not Received (7/9/2025, 10:50:08 AM)</t>
  </si>
  <si>
    <t>Not Received (7/7/2025, 12:54:30 PM)</t>
  </si>
  <si>
    <t>Not Received (7/3/2025, 3:41:55 PM)</t>
  </si>
  <si>
    <t>Not Received (7/22/2025, 5:16:28 PM)</t>
  </si>
  <si>
    <t>prospect_311</t>
  </si>
  <si>
    <t>Not Received (7/26/2025, 1:36:33 PM)</t>
  </si>
  <si>
    <t>Not Received (7/3/2025, 3:42:38 PM)</t>
  </si>
  <si>
    <t>prospect_312</t>
  </si>
  <si>
    <t>Client Lost (7/9/2025, 10:49:00 AM)</t>
  </si>
  <si>
    <t>Not Received (7/7/2025, 12:55:18 PM)</t>
  </si>
  <si>
    <t>Not Received (7/3/2025, 3:43:12 PM)</t>
  </si>
  <si>
    <t>prospect_313</t>
  </si>
  <si>
    <t>Call Received (7/8/2025, 10:48:03 AM)</t>
  </si>
  <si>
    <t>Not Received (7/9/2025, 11:20:57 AM)</t>
  </si>
  <si>
    <t>Call Received (7/3/2025, 3:53:03 PM)</t>
  </si>
  <si>
    <t>Call Received (7/7/2025, 5:29:04 PM)</t>
  </si>
  <si>
    <t>prospect_314</t>
  </si>
  <si>
    <t>Not Received (7/9/2025, 10:47:15 AM)</t>
  </si>
  <si>
    <t>Not Received (7/7/2025, 12:56:47 PM)</t>
  </si>
  <si>
    <t>Not Received (7/3/2025, 3:54:41 PM)</t>
  </si>
  <si>
    <t>Not Received (7/22/2025, 5:16:34 PM)</t>
  </si>
  <si>
    <t>prospect_316</t>
  </si>
  <si>
    <t>Not Received (7/9/2025, 10:46:45 AM)</t>
  </si>
  <si>
    <t>Not Received (7/7/2025, 12:57:19 PM)</t>
  </si>
  <si>
    <t>Not Received (7/3/2025, 3:55:07 PM)</t>
  </si>
  <si>
    <t>Not Received (7/22/2025, 5:16:44 PM)</t>
  </si>
  <si>
    <t>prospect_317</t>
  </si>
  <si>
    <t>Client Lost (7/7/2025, 12:58:40 PM)</t>
  </si>
  <si>
    <t>Not Received (7/3/2025, 3:57:43 PM)</t>
  </si>
  <si>
    <t>prospect_319</t>
  </si>
  <si>
    <t>Not Received (7/26/2025, 1:24:56 PM)</t>
  </si>
  <si>
    <t>will take trial classes</t>
  </si>
  <si>
    <t>prospect_320</t>
  </si>
  <si>
    <t>Not Received (7/7/2025, 9:58:20 AM)</t>
  </si>
  <si>
    <t>Not Received (7/8/2025, 11:05:23 AM)</t>
  </si>
  <si>
    <t>Not Received (7/7/2025, 1:04:14 PM)</t>
  </si>
  <si>
    <t>Not Received (7/3/2025, 4:02:23 PM)</t>
  </si>
  <si>
    <t>prospect_321</t>
  </si>
  <si>
    <t>Not Received (7/7/2025, 9:57:53 AM)</t>
  </si>
  <si>
    <t>Not Received (7/8/2025, 12:29:46 PM)</t>
  </si>
  <si>
    <t>Not Received (7/7/2025, 1:05:37 PM)</t>
  </si>
  <si>
    <t>Not Received (7/3/2025, 4:03:41 PM)</t>
  </si>
  <si>
    <t>prospect_322</t>
  </si>
  <si>
    <t>Paid (7/10/2025, 2:45:50 PM)</t>
  </si>
  <si>
    <t>Received (7/3/2025, 4:53:19 PM)</t>
  </si>
  <si>
    <t>prospect_323</t>
  </si>
  <si>
    <t>Call Received (7/8/2025, 10:49:00 AM)</t>
  </si>
  <si>
    <t>Call Received (8/7/2025, 12:05:23 PM)</t>
  </si>
  <si>
    <t>Call Received (7/23/2025, 2:41:16 PM)</t>
  </si>
  <si>
    <t>Call Received (7/3/2025, 4:44:33 PM)</t>
  </si>
  <si>
    <t>prospect_324</t>
  </si>
  <si>
    <t>Client Lost (7/3/2025, 4:46:43 PM)</t>
  </si>
  <si>
    <t>prospect_325</t>
  </si>
  <si>
    <t>Not Received (7/7/2025, 9:57:48 AM)</t>
  </si>
  <si>
    <t>Client Lost (7/7/2025, 1:07:34 PM)</t>
  </si>
  <si>
    <t>Not Received (7/3/2025, 4:55:37 PM)</t>
  </si>
  <si>
    <t>language barrier</t>
  </si>
  <si>
    <t>prospect_326</t>
  </si>
  <si>
    <t>Not Received (7/7/2025, 9:57:41 AM)</t>
  </si>
  <si>
    <t>Not Received (7/8/2025, 12:30:49 PM)</t>
  </si>
  <si>
    <t>Not Received (7/7/2025, 1:09:19 PM)</t>
  </si>
  <si>
    <t>Not Received (7/3/2025, 4:57:47 PM)</t>
  </si>
  <si>
    <t>prospect_327</t>
  </si>
  <si>
    <t>Client Lost (7/24/2025, 9:55:36 AM)</t>
  </si>
  <si>
    <t>Not Received (7/9/2025, 11:18:13 AM)</t>
  </si>
  <si>
    <t>Call Received (7/23/2025, 2:42:17 PM)</t>
  </si>
  <si>
    <t>Call Received (7/9/2025, 4:47:54 PM)</t>
  </si>
  <si>
    <t>prospect_328</t>
  </si>
  <si>
    <t>Not Received (7/9/2025, 10:45:47 AM)</t>
  </si>
  <si>
    <t>Not Received (7/10/2025, 12:11:56 PM)</t>
  </si>
  <si>
    <t>Not Received (7/8/2025, 2:28:39 PM)</t>
  </si>
  <si>
    <t>Not Received (7/22/2025, 5:16:50 PM)</t>
  </si>
  <si>
    <t>prospect_329</t>
  </si>
  <si>
    <t>Confirmation (7/10/2025, 4:00:53 PM)</t>
  </si>
  <si>
    <t>Confirmation (7/8/2025, 4:17:12 PM)</t>
  </si>
  <si>
    <t>will inform before 20th, after 2 days provide him discount of 3000</t>
  </si>
  <si>
    <t>prospect_330</t>
  </si>
  <si>
    <t>Not Received (7/26/2025, 11:01:08 AM)</t>
  </si>
  <si>
    <t>Not Received (7/9/2025, 11:19:29 AM)</t>
  </si>
  <si>
    <t>Call Received (7/8/2025, 2:36:07 PM)</t>
  </si>
  <si>
    <t>Not Received (7/22/2025, 5:16:55 PM)</t>
  </si>
  <si>
    <t>prospect_331</t>
  </si>
  <si>
    <t>Not Received (7/26/2025, 11:01:13 AM)</t>
  </si>
  <si>
    <t>Not Received (7/9/2025, 11:17:10 AM)</t>
  </si>
  <si>
    <t>Call Received (7/8/2025, 2:42:31 PM)</t>
  </si>
  <si>
    <t>Not Received (7/22/2025, 5:17:00 PM)</t>
  </si>
  <si>
    <t>prospect_332</t>
  </si>
  <si>
    <t>Client Lost (7/9/2025, 11:38:35 AM)</t>
  </si>
  <si>
    <t>Call Received (7/8/2025, 3:26:49 PM)</t>
  </si>
  <si>
    <t>prospect_333</t>
  </si>
  <si>
    <t>Not Received (7/9/2025, 10:45:16 AM)</t>
  </si>
  <si>
    <t>Not Received (7/10/2025, 12:12:33 PM)</t>
  </si>
  <si>
    <t>Not Received (7/8/2025, 3:27:43 PM)</t>
  </si>
  <si>
    <t>Not Received (7/22/2025, 5:17:10 PM)</t>
  </si>
  <si>
    <t>Muhammad Ahsan</t>
  </si>
  <si>
    <t>923231480392</t>
  </si>
  <si>
    <t>Confirmation (7/9/2025, 10:25:44 AM)</t>
  </si>
  <si>
    <t>Paid (7/9/2025, 11:39:36 AM)</t>
  </si>
  <si>
    <t>Call Later (7/8/2025, 5:08:27 PM)</t>
  </si>
  <si>
    <t>will pay by 10th july</t>
  </si>
  <si>
    <t>prospect_335</t>
  </si>
  <si>
    <t>Not Received (7/9/2025, 9:52:05 AM)</t>
  </si>
  <si>
    <t>Not Received (7/10/2025, 12:13:22 PM)</t>
  </si>
  <si>
    <t>Not Received (7/9/2025, 3:30:52 PM)</t>
  </si>
  <si>
    <t>Not Received (7/22/2025, 5:17:17 PM)</t>
  </si>
  <si>
    <t>prospect_336</t>
  </si>
  <si>
    <t>Not Received (7/9/2025, 9:53:12 AM)</t>
  </si>
  <si>
    <t>Not Received (7/10/2025, 12:17:56 PM)</t>
  </si>
  <si>
    <t>Not Received (7/14/2025, 2:02:00 PM)</t>
  </si>
  <si>
    <t>Not Received (7/9/2025, 4:05:46 PM)</t>
  </si>
  <si>
    <t>prospect_337</t>
  </si>
  <si>
    <t>Not Received (7/9/2025, 9:54:32 AM)</t>
  </si>
  <si>
    <t>Call Later (7/23/2025, 11:08:44 AM)</t>
  </si>
  <si>
    <t>Not Received (7/25/2025, 2:49:13 PM)</t>
  </si>
  <si>
    <t>Call Received (7/9/2025, 4:35:30 PM)</t>
  </si>
  <si>
    <t>call at 12:00 pm</t>
  </si>
  <si>
    <t>923345915636</t>
  </si>
  <si>
    <t>Not Received (7/9/2025, 9:55:55 AM)</t>
  </si>
  <si>
    <t>Confirmation (7/10/2025, 2:32:52 PM)</t>
  </si>
  <si>
    <t>Confirmation (7/9/2025, 4:33:55 PM)</t>
  </si>
  <si>
    <t>pay by 11th july</t>
  </si>
  <si>
    <t>prospect_339</t>
  </si>
  <si>
    <t>Not Received (7/9/2025, 9:56:54 AM)</t>
  </si>
  <si>
    <t>Demo (7/10/2025, 12:24:31 PM)</t>
  </si>
  <si>
    <t>Not Received (7/26/2025, 1:35:27 PM)</t>
  </si>
  <si>
    <t>Not Received (7/9/2025, 4:18:52 PM)</t>
  </si>
  <si>
    <t>demo shared, will inform</t>
  </si>
  <si>
    <t>prospect_340</t>
  </si>
  <si>
    <t>Client Lost (7/24/2025, 9:56:48 AM)</t>
  </si>
  <si>
    <t>Call Received (7/23/2025, 2:47:06 PM)</t>
  </si>
  <si>
    <t>Call Later (7/9/2025, 5:35:41 PM)</t>
  </si>
  <si>
    <t>mehar faizan</t>
  </si>
  <si>
    <t>923244873787</t>
  </si>
  <si>
    <t>Call Received (7/9/2025, 10:01:27 AM)</t>
  </si>
  <si>
    <t>Client Lost (7/9/2025, 11:19:46 AM)</t>
  </si>
  <si>
    <t>prospect_342</t>
  </si>
  <si>
    <t>Not Received (7/9/2025, 10:01:55 AM)</t>
  </si>
  <si>
    <t>Not Received (7/10/2025, 12:26:37 PM)</t>
  </si>
  <si>
    <t>Paid (7/12/2025, 3:50:20 PM)</t>
  </si>
  <si>
    <t>Confirmation (7/11/2025, 5:34:35 PM)</t>
  </si>
  <si>
    <t>Will pay by 12 July.</t>
  </si>
  <si>
    <t>prospect_343</t>
  </si>
  <si>
    <t>Not Received (7/9/2025, 10:03:05 AM)</t>
  </si>
  <si>
    <t>Not Received (7/10/2025, 12:28:27 PM)</t>
  </si>
  <si>
    <t>Client Lost (7/14/2025, 2:06:30 PM)</t>
  </si>
  <si>
    <t>Not Received (7/9/2025, 5:38:27 PM)</t>
  </si>
  <si>
    <t>NO RESPONSE</t>
  </si>
  <si>
    <t>prospect_344</t>
  </si>
  <si>
    <t>Not Received (7/9/2025, 10:03:37 AM)</t>
  </si>
  <si>
    <t>Not Received (7/10/2025, 12:29:42 PM)</t>
  </si>
  <si>
    <t>Not Received (7/14/2025, 2:10:31 PM)</t>
  </si>
  <si>
    <t>Not Received (7/9/2025, 5:39:59 PM)</t>
  </si>
  <si>
    <t>prospect_345</t>
  </si>
  <si>
    <t>Not Received (7/9/2025, 10:04:56 AM)</t>
  </si>
  <si>
    <t>Not Received (7/10/2025, 12:31:01 PM)</t>
  </si>
  <si>
    <t>Not Received (7/14/2025, 2:11:20 PM)</t>
  </si>
  <si>
    <t>Not Received (7/9/2025, 5:41:39 PM)</t>
  </si>
  <si>
    <t>prospect_346</t>
  </si>
  <si>
    <t>Client Lost (7/9/2025, 10:06:12 AM)</t>
  </si>
  <si>
    <t>prospect_347</t>
  </si>
  <si>
    <t>Not Received (7/9/2025, 10:11:56 AM)</t>
  </si>
  <si>
    <t>Not Received (7/10/2025, 12:32:15 PM)</t>
  </si>
  <si>
    <t>Not Received (7/14/2025, 2:11:59 PM)</t>
  </si>
  <si>
    <t>Not Received (7/22/2025, 5:17:25 PM)</t>
  </si>
  <si>
    <t>prospect_348</t>
  </si>
  <si>
    <t>Not Received (7/9/2025, 10:13:05 AM)</t>
  </si>
  <si>
    <t>Not Received (7/10/2025, 12:33:14 PM)</t>
  </si>
  <si>
    <t>Client Lost (7/16/2025, 3:46:42 PM)</t>
  </si>
  <si>
    <t>Call Received (7/10/2025, 4:43:15 PM)</t>
  </si>
  <si>
    <t>prospect_349</t>
  </si>
  <si>
    <t>Not Received (7/9/2025, 10:13:24 AM)</t>
  </si>
  <si>
    <t>Not Received (7/10/2025, 12:35:13 PM)</t>
  </si>
  <si>
    <t>Not Received (7/14/2025, 2:12:38 PM)</t>
  </si>
  <si>
    <t>Not Received (7/22/2025, 5:17:30 PM)</t>
  </si>
  <si>
    <t>prospect_350</t>
  </si>
  <si>
    <t>Not Received (7/9/2025, 10:29:26 AM)</t>
  </si>
  <si>
    <t>Not Received (7/10/2025, 12:35:50 PM)</t>
  </si>
  <si>
    <t>Client Lost (7/14/2025, 2:13:34 PM)</t>
  </si>
  <si>
    <t>prospect_351</t>
  </si>
  <si>
    <t>Not Received (7/9/2025, 10:30:10 AM)</t>
  </si>
  <si>
    <t>Client Lost (7/10/2025, 12:38:28 PM)</t>
  </si>
  <si>
    <t>prospect_352</t>
  </si>
  <si>
    <t>Client Lost (7/26/2025, 11:01:38 AM)</t>
  </si>
  <si>
    <t>Not Received (7/9/2025, 3:17:00 PM)</t>
  </si>
  <si>
    <t>Not Received (7/22/2025, 5:17:35 PM)</t>
  </si>
  <si>
    <t>prospect_353</t>
  </si>
  <si>
    <t>Not Received (7/26/2025, 11:02:16 AM)</t>
  </si>
  <si>
    <t>Not Received (7/14/2025, 2:14:29 PM)</t>
  </si>
  <si>
    <t>Not Received (7/22/2025, 5:17:42 PM)</t>
  </si>
  <si>
    <t>prospect_354</t>
  </si>
  <si>
    <t>Not Received (7/24/2025, 9:57:40 AM)</t>
  </si>
  <si>
    <t>Call Received (7/9/2025, 11:08:58 AM)</t>
  </si>
  <si>
    <t>Call Received (7/23/2025, 2:56:33 PM)</t>
  </si>
  <si>
    <t>Not Received (7/25/2025, 4:49:25 PM)</t>
  </si>
  <si>
    <t>prospect_355</t>
  </si>
  <si>
    <t>Client Lost (7/24/2025, 9:59:32 AM)</t>
  </si>
  <si>
    <t>Call Received (7/9/2025, 11:11:56 AM)</t>
  </si>
  <si>
    <t>Call Received (7/23/2025, 3:02:34 PM)</t>
  </si>
  <si>
    <t>prospect_358</t>
  </si>
  <si>
    <t>Not Received (7/24/2025, 10:02:44 AM)</t>
  </si>
  <si>
    <t>Not Received (7/9/2025, 12:20:46 PM)</t>
  </si>
  <si>
    <t>Call Received (7/23/2025, 3:04:04 PM)</t>
  </si>
  <si>
    <t>Not Received (7/25/2025, 4:49:29 PM)</t>
  </si>
  <si>
    <t>prospect_359</t>
  </si>
  <si>
    <t>Not Received (7/24/2025, 10:03:43 AM)</t>
  </si>
  <si>
    <t>Not Received (7/24/2025, 12:57:59 PM)</t>
  </si>
  <si>
    <t>Call Received (7/23/2025, 3:04:55 PM)</t>
  </si>
  <si>
    <t>Not Received (7/25/2025, 4:49:32 PM)</t>
  </si>
  <si>
    <t>prospect_360</t>
  </si>
  <si>
    <t>Not Received (7/26/2025, 10:03:43 AM)</t>
  </si>
  <si>
    <t>Not Received (7/26/2025, 11:02:25 AM)</t>
  </si>
  <si>
    <t>Not Received (7/9/2025, 2:14:27 PM)</t>
  </si>
  <si>
    <t>Not Received (7/22/2025, 5:17:46 PM)</t>
  </si>
  <si>
    <t>prospect_361</t>
  </si>
  <si>
    <t>Not Received (7/26/2025, 10:06:43 AM)</t>
  </si>
  <si>
    <t>Not Received (7/10/2025, 12:49:49 PM)</t>
  </si>
  <si>
    <t>Not Received (7/9/2025, 2:14:54 PM)</t>
  </si>
  <si>
    <t>Not Received (7/22/2025, 5:17:51 PM)</t>
  </si>
  <si>
    <t>prospect_362</t>
  </si>
  <si>
    <t>Call Received (7/24/2025, 10:05:02 AM)</t>
  </si>
  <si>
    <t>Call Received (8/7/2025, 12:06:33 PM)</t>
  </si>
  <si>
    <t>Call Received (7/23/2025, 3:05:32 PM)</t>
  </si>
  <si>
    <t>Call Received (7/24/2025, 4:32:56 PM)</t>
  </si>
  <si>
    <t>prospect_364</t>
  </si>
  <si>
    <t>Not Received (7/12/2025, 1:36:33 PM)</t>
  </si>
  <si>
    <t>Not Received (7/16/2025, 1:36:33 PM)</t>
  </si>
  <si>
    <t>need trial classes</t>
  </si>
  <si>
    <t>prospect_365</t>
  </si>
  <si>
    <t>Not Received (7/26/2025, 10:05:43 AM)</t>
  </si>
  <si>
    <t>Not Received (7/10/2025, 12:54:51 PM)</t>
  </si>
  <si>
    <t>Not Received (7/9/2025, 3:04:11 PM)</t>
  </si>
  <si>
    <t>Not Received (7/22/2025, 5:17:55 PM)</t>
  </si>
  <si>
    <t>Asma pervaiz</t>
  </si>
  <si>
    <t>923364472765</t>
  </si>
  <si>
    <t>Confirmation (7/15/2025, 11:09:49 AM)</t>
  </si>
  <si>
    <t>Paid (7/15/2025, 3:47:29 PM)</t>
  </si>
  <si>
    <t>prospect_367</t>
  </si>
  <si>
    <t>Call Received (7/26/2025, 10:06:35 AM)</t>
  </si>
  <si>
    <t>Call Received (8/7/2025, 12:08:51 PM)</t>
  </si>
  <si>
    <t>Call Received (7/23/2025, 3:06:27 PM)</t>
  </si>
  <si>
    <t>Not Received (7/10/2025, 5:30:18 PM)</t>
  </si>
  <si>
    <t>prospect_368</t>
  </si>
  <si>
    <t>Not Received (7/24/2025, 12:58:22 PM)</t>
  </si>
  <si>
    <t>Not Received (7/9/2025, 3:57:02 PM)</t>
  </si>
  <si>
    <t>Not Received (7/10/2025, 5:31:01 PM)</t>
  </si>
  <si>
    <t>prospect_370</t>
  </si>
  <si>
    <t>Not Received (7/26/2025, 10:07:43 AM)</t>
  </si>
  <si>
    <t>Not Received (7/24/2025, 12:58:26 PM)</t>
  </si>
  <si>
    <t>Not Received (7/23/2025, 3:08:26 PM)</t>
  </si>
  <si>
    <t>Not Received (7/9/2025, 4:02:10 PM)</t>
  </si>
  <si>
    <t>recording shared</t>
  </si>
  <si>
    <t>prospect_371</t>
  </si>
  <si>
    <t>Client Lost (7/10/2025, 2:47:44 PM)</t>
  </si>
  <si>
    <t>Call Received (7/9/2025, 4:40:11 PM)</t>
  </si>
  <si>
    <t>prospect_372</t>
  </si>
  <si>
    <t>Not Received (7/22/2025, 11:34:02 AM)</t>
  </si>
  <si>
    <t>Not Received (7/10/2025, 1:06:50 PM)</t>
  </si>
  <si>
    <t>Not Received (7/9/2025, 4:44:24 PM)</t>
  </si>
  <si>
    <t>prospect_373</t>
  </si>
  <si>
    <t>Client Lost (7/22/2025, 11:36:40 AM)</t>
  </si>
  <si>
    <t>Not Received (7/10/2025, 1:09:24 PM)</t>
  </si>
  <si>
    <t>Not Received (7/9/2025, 5:23:29 PM)</t>
  </si>
  <si>
    <t>prospect_374</t>
  </si>
  <si>
    <t>Not Received (7/10/2025, 10:00:24 AM)</t>
  </si>
  <si>
    <t>Not Received (7/22/2025, 11:35:20 AM)</t>
  </si>
  <si>
    <t>Not Received (7/10/2025, 1:10:26 PM)</t>
  </si>
  <si>
    <t>Not Received (7/22/2025, 5:18:05 PM)</t>
  </si>
  <si>
    <t>prospect_375</t>
  </si>
  <si>
    <t>Not Received (7/10/2025, 10:01:00 AM)</t>
  </si>
  <si>
    <t>Not Received (7/22/2025, 11:37:15 AM)</t>
  </si>
  <si>
    <t>Not Received (7/10/2025, 1:11:53 PM)</t>
  </si>
  <si>
    <t>Not Received (7/22/2025, 5:18:11 PM)</t>
  </si>
  <si>
    <t>prospect_376</t>
  </si>
  <si>
    <t>Call Received (7/10/2025, 10:09:55 AM)</t>
  </si>
  <si>
    <t>Confirmation (7/14/2025, 11:27:33 AM)</t>
  </si>
  <si>
    <t>Confirmation (7/10/2025, 4:11:11 PM)</t>
  </si>
  <si>
    <t>pay till 13th july</t>
  </si>
  <si>
    <t>prospect_377</t>
  </si>
  <si>
    <t>Call Later (7/10/2025, 10:01:57 AM)</t>
  </si>
  <si>
    <t>Client Lost (7/24/2025, 12:59:32 PM)</t>
  </si>
  <si>
    <t>Not Received (7/23/2025, 3:09:10 PM)</t>
  </si>
  <si>
    <t>prospect_378</t>
  </si>
  <si>
    <t>Not Received (7/10/2025, 10:03:35 AM)</t>
  </si>
  <si>
    <t>Client Lost (7/10/2025, 1:13:45 PM)</t>
  </si>
  <si>
    <t>prospect_379</t>
  </si>
  <si>
    <t>Call Received (7/10/2025, 10:15:40 AM)</t>
  </si>
  <si>
    <t>Client Lost (7/16/2025, 3:48:19 PM)</t>
  </si>
  <si>
    <t>prospect_380</t>
  </si>
  <si>
    <t>Client Lost (7/10/2025, 10:21:42 AM)</t>
  </si>
  <si>
    <t>prospect_381</t>
  </si>
  <si>
    <t>Call Received (7/10/2025, 10:28:43 AM)</t>
  </si>
  <si>
    <t>Client Lost (7/24/2025, 11:27:40 AM)</t>
  </si>
  <si>
    <t>Call Received (7/23/2025, 3:09:32 PM)</t>
  </si>
  <si>
    <t>prospect_382</t>
  </si>
  <si>
    <t>Confirmation (7/10/2025, 10:32:45 AM)</t>
  </si>
  <si>
    <t>Confirmation (7/21/2025, 2:47:40 PM)</t>
  </si>
  <si>
    <t>Confirmation (7/22/2025, 5:48:49 PM)</t>
  </si>
  <si>
    <t>interested, will join</t>
  </si>
  <si>
    <t>prospect_383</t>
  </si>
  <si>
    <t>Not Received (7/10/2025, 10:37:25 AM)</t>
  </si>
  <si>
    <t>Not Received (7/22/2025, 11:37:49 AM)</t>
  </si>
  <si>
    <t>Not Received (7/10/2025, 1:17:53 PM)</t>
  </si>
  <si>
    <t>Not Received (7/22/2025, 5:19:14 PM)</t>
  </si>
  <si>
    <t>prospect_384</t>
  </si>
  <si>
    <t>Not Received (7/10/2025, 10:37:59 AM)</t>
  </si>
  <si>
    <t>Not Received (7/24/2025, 1:00:57 PM)</t>
  </si>
  <si>
    <t>Not Received (7/10/2025, 1:19:23 PM)</t>
  </si>
  <si>
    <t>Not Received (7/22/2025, 5:19:27 PM)</t>
  </si>
  <si>
    <t>prospect_385</t>
  </si>
  <si>
    <t>Not Received (7/10/2025, 10:40:50 AM)</t>
  </si>
  <si>
    <t>Client Lost (7/22/2025, 11:46:29 AM)</t>
  </si>
  <si>
    <t>Not Received (7/10/2025, 1:21:53 PM)</t>
  </si>
  <si>
    <t>no rsponse</t>
  </si>
  <si>
    <t>prospect_386</t>
  </si>
  <si>
    <t>Not Received (7/10/2025, 10:42:00 AM)</t>
  </si>
  <si>
    <t>Call Received (8/7/2025, 12:12:51 PM)</t>
  </si>
  <si>
    <t>Call Received (7/23/2025, 3:12:12 PM)</t>
  </si>
  <si>
    <t>Call Received (7/24/2025, 4:33:07 PM)</t>
  </si>
  <si>
    <t>prospect_387</t>
  </si>
  <si>
    <t>Client Lost (7/10/2025, 11:00:14 AM)</t>
  </si>
  <si>
    <t>prospect_388</t>
  </si>
  <si>
    <t>Not Received (7/10/2025, 10:43:18 AM)</t>
  </si>
  <si>
    <t>Client Lost (7/22/2025, 11:52:42 AM)</t>
  </si>
  <si>
    <t>Not Received (7/10/2025, 1:55:14 PM)</t>
  </si>
  <si>
    <t>prospect_389</t>
  </si>
  <si>
    <t>Not Received (7/10/2025, 10:45:31 AM)</t>
  </si>
  <si>
    <t>Client Lost (7/10/2025, 2:00:38 PM)</t>
  </si>
  <si>
    <t>prospect_390</t>
  </si>
  <si>
    <t>Not Received (7/10/2025, 10:46:15 AM)</t>
  </si>
  <si>
    <t>Call Received (8/7/2025, 12:15:46 PM)</t>
  </si>
  <si>
    <t>Call Received (7/23/2025, 3:16:04 PM)</t>
  </si>
  <si>
    <t>Call Received (7/24/2025, 4:33:17 PM)</t>
  </si>
  <si>
    <t>Malaika Tasneem</t>
  </si>
  <si>
    <t>923131952280</t>
  </si>
  <si>
    <t>Call Received (7/10/2025, 10:51:12 AM)</t>
  </si>
  <si>
    <t>Confirmation (7/10/2025, 11:57:09 AM)</t>
  </si>
  <si>
    <t>Confirmation (7/22/2025, 5:48:55 PM)</t>
  </si>
  <si>
    <t>will pay by 14th july</t>
  </si>
  <si>
    <t>prospect_392</t>
  </si>
  <si>
    <t>Client Lost (7/25/2025, 10:10:35 AM)</t>
  </si>
  <si>
    <t>Not Received (7/24/2025, 1:01:03 PM)</t>
  </si>
  <si>
    <t>Not Received (7/23/2025, 3:17:00 PM)</t>
  </si>
  <si>
    <t>saqib</t>
  </si>
  <si>
    <t>97336034276</t>
  </si>
  <si>
    <t>Not Received (7/10/2025, 10:54:17 AM)</t>
  </si>
  <si>
    <t>Confirmation (7/12/2025, 11:18:08 AM)</t>
  </si>
  <si>
    <t>Confirmation (7/22/2025, 3:52:46 PM)</t>
  </si>
  <si>
    <t>Confirmation (7/22/2025, 5:49:02 PM)</t>
  </si>
  <si>
    <t>pay by 21 july</t>
  </si>
  <si>
    <t>prospect_394</t>
  </si>
  <si>
    <t>Confirmation (7/25/2025, 10:11:01 AM)</t>
  </si>
  <si>
    <t>Not Received (7/24/2025, 12:02:00 PM)</t>
  </si>
  <si>
    <t>Not Received (7/24/2025, 1:02:00 PM)</t>
  </si>
  <si>
    <t>Not Received (7/24/2025, 4:02:00 PM)</t>
  </si>
  <si>
    <t>will inform by 12th</t>
  </si>
  <si>
    <t>prospect_395</t>
  </si>
  <si>
    <t>Client Lost (7/10/2025, 10:59:03 AM)</t>
  </si>
  <si>
    <t>prospect_396</t>
  </si>
  <si>
    <t>Call Received (7/24/2025, 10:09:21 AM)</t>
  </si>
  <si>
    <t>Not Received (8/7/2025, 12:17:23 PM)</t>
  </si>
  <si>
    <t>Call Received (7/23/2025, 3:33:04 PM)</t>
  </si>
  <si>
    <t>Call Received (7/24/2025, 4:33:34 PM)</t>
  </si>
  <si>
    <t>prospect_398</t>
  </si>
  <si>
    <t>Not Received (7/25/2025, 10:13:47 AM)</t>
  </si>
  <si>
    <t>Not Received (7/22/2025, 11:56:07 AM)</t>
  </si>
  <si>
    <t>Not Received (7/10/2025, 2:05:54 PM)</t>
  </si>
  <si>
    <t>Not Received (7/22/2025, 5:19:32 PM)</t>
  </si>
  <si>
    <t>rah lutul hassan</t>
  </si>
  <si>
    <t>923146334656</t>
  </si>
  <si>
    <t>Confirmation (7/10/2025, 11:08:30 AM)</t>
  </si>
  <si>
    <t>Confirmation (7/22/2025, 3:52:35 PM)</t>
  </si>
  <si>
    <t>Confirmation (7/22/2025, 5:50:02 PM)</t>
  </si>
  <si>
    <t>trial class then pay</t>
  </si>
  <si>
    <t>prospect_400</t>
  </si>
  <si>
    <t>Client Lost (7/24/2025, 10:10:42 AM)</t>
  </si>
  <si>
    <t>Call Received (7/10/2025, 11:11:06 AM)</t>
  </si>
  <si>
    <t>Call Received (7/23/2025, 3:33:11 PM)</t>
  </si>
  <si>
    <t>prospect_401</t>
  </si>
  <si>
    <t>Not Received (7/25/2025, 10:15:14 AM)</t>
  </si>
  <si>
    <t>Not Received (7/22/2025, 11:56:19 AM)</t>
  </si>
  <si>
    <t>Not Received (7/10/2025, 2:06:38 PM)</t>
  </si>
  <si>
    <t>Not Received (7/22/2025, 5:19:37 PM)</t>
  </si>
  <si>
    <t>prospect_402</t>
  </si>
  <si>
    <t>Not Received (7/25/2025, 10:16:09 AM)</t>
  </si>
  <si>
    <t>Call Received (7/10/2025, 11:13:09 AM)</t>
  </si>
  <si>
    <t>Not Received (7/10/2025, 2:42:50 PM)</t>
  </si>
  <si>
    <t>Not Received (7/22/2025, 5:19:47 PM)</t>
  </si>
  <si>
    <t>923220597740</t>
  </si>
  <si>
    <t>Confirmation (7/12/2025, 11:32:44 AM)</t>
  </si>
  <si>
    <t>Not Received (7/10/2025, 1:30:43 PM)</t>
  </si>
  <si>
    <t>Client Lost (7/22/2025, 5:50:19 PM)</t>
  </si>
  <si>
    <t>pay till 15th</t>
  </si>
  <si>
    <t>prospect_404</t>
  </si>
  <si>
    <t>Not Received (7/25/2025, 10:16:55 AM)</t>
  </si>
  <si>
    <t>Not Received (7/22/2025, 11:57:40 AM)</t>
  </si>
  <si>
    <t>Not Received (7/10/2025, 1:31:35 PM)</t>
  </si>
  <si>
    <t>Not Received (7/22/2025, 5:19:56 PM)</t>
  </si>
  <si>
    <t>prospect_405</t>
  </si>
  <si>
    <t>Call Received (7/24/2025, 10:11:45 AM)</t>
  </si>
  <si>
    <t>Client Lost (8/7/2025, 12:18:59 PM)</t>
  </si>
  <si>
    <t>Call Received (7/23/2025, 3:33:23 PM)</t>
  </si>
  <si>
    <t>Call Received (7/25/2025, 4:43:30 PM)</t>
  </si>
  <si>
    <t>prospect_406</t>
  </si>
  <si>
    <t>Call Received (7/24/2025, 10:12:22 AM)</t>
  </si>
  <si>
    <t>Not Received (8/7/2025, 12:20:05 PM)</t>
  </si>
  <si>
    <t>Client Lost (8/7/2025, 1:28:36 PM)</t>
  </si>
  <si>
    <t>Call Received (7/24/2025, 4:35:10 PM)</t>
  </si>
  <si>
    <t>prospect_407</t>
  </si>
  <si>
    <t>Call Received (7/24/2025, 10:28:28 AM)</t>
  </si>
  <si>
    <t>Call Received (8/7/2025, 12:22:24 PM)</t>
  </si>
  <si>
    <t>Call Received (7/10/2025, 1:34:43 PM)</t>
  </si>
  <si>
    <t>Call Received (7/24/2025, 4:41:42 PM)</t>
  </si>
  <si>
    <t>prospect_408</t>
  </si>
  <si>
    <t>Not Received (7/25/2025, 10:23:14 AM)</t>
  </si>
  <si>
    <t>Not Received (7/22/2025, 12:08:38 PM)</t>
  </si>
  <si>
    <t>Not Received (7/10/2025, 1:45:14 PM)</t>
  </si>
  <si>
    <t>Not Received (7/22/2025, 5:20:14 PM)</t>
  </si>
  <si>
    <t>prospect_410</t>
  </si>
  <si>
    <t>Client Lost (7/22/2025, 12:10:34 PM)</t>
  </si>
  <si>
    <t>Not Received (7/10/2025, 3:40:45 PM)</t>
  </si>
  <si>
    <t>prospect_411</t>
  </si>
  <si>
    <t>923129155665/923435642430</t>
  </si>
  <si>
    <t>Call Received (7/18/2025, 11:57:01 AM)</t>
  </si>
  <si>
    <t>Call Received (7/19/2025, 11:57:01 AM)</t>
  </si>
  <si>
    <t>Not Received (7/29/2025, 3:46:41 PM)</t>
  </si>
  <si>
    <t>Call Received (7/23/2025, 5:12:29 PM)</t>
  </si>
  <si>
    <t>need trial then pay</t>
  </si>
  <si>
    <t>prospect_412</t>
  </si>
  <si>
    <t>Call Received (7/24/2025, 10:29:44 AM)</t>
  </si>
  <si>
    <t>Call Received (8/7/2025, 12:23:17 PM)</t>
  </si>
  <si>
    <t>Call Received (7/10/2025, 3:44:53 PM)</t>
  </si>
  <si>
    <t>Call Received (7/24/2025, 4:49:31 PM)</t>
  </si>
  <si>
    <t>prospect_414</t>
  </si>
  <si>
    <t>Not Received (7/26/2025, 2:07:45 PM)</t>
  </si>
  <si>
    <t>Not Received (7/10/2025, 4:56:58 PM)</t>
  </si>
  <si>
    <t>prospect_415</t>
  </si>
  <si>
    <t>Call Received (7/24/2025, 10:31:07 AM)</t>
  </si>
  <si>
    <t>Not Received (7/24/2025, 11:28:52 AM)</t>
  </si>
  <si>
    <t>Call Received (7/16/2025, 4:00:11 PM)</t>
  </si>
  <si>
    <t>Call Received (7/10/2025, 5:01:17 PM)</t>
  </si>
  <si>
    <t>interested wanna join, contact by own</t>
  </si>
  <si>
    <t>prospect_416</t>
  </si>
  <si>
    <t>Call Received (7/24/2025, 10:31:52 AM)</t>
  </si>
  <si>
    <t>Client Lost (8/7/2025, 12:24:25 PM)</t>
  </si>
  <si>
    <t>Not Received (7/14/2025, 1:50:24 PM)</t>
  </si>
  <si>
    <t>Not Received (7/10/2025, 5:02:43 PM)</t>
  </si>
  <si>
    <t>prospect_418</t>
  </si>
  <si>
    <t>Not Received (7/25/2025, 10:24:05 AM)</t>
  </si>
  <si>
    <t>Not Received (7/22/2025, 12:13:02 PM)</t>
  </si>
  <si>
    <t>Not Received (7/14/2025, 1:52:04 PM)</t>
  </si>
  <si>
    <t>Not Received (7/10/2025, 5:04:06 PM)</t>
  </si>
  <si>
    <t>prospect_419</t>
  </si>
  <si>
    <t>Call Received (7/24/2025, 10:33:56 AM)</t>
  </si>
  <si>
    <t>Client Lost (7/24/2025, 1:13:45 PM)</t>
  </si>
  <si>
    <t>Call Received (7/10/2025, 5:08:49 PM)</t>
  </si>
  <si>
    <t>prospect_420</t>
  </si>
  <si>
    <t>Call Later (7/23/2025, 10:27:59 AM)</t>
  </si>
  <si>
    <t>Call Later (7/23/2025, 11:21:09 AM)</t>
  </si>
  <si>
    <t>Not Received (7/25/2025, 2:56:14 PM)</t>
  </si>
  <si>
    <t>Call Later (7/10/2025, 5:09:48 PM)</t>
  </si>
  <si>
    <t>prospect_421</t>
  </si>
  <si>
    <t>Call Received (7/23/2025, 10:24:55 AM)</t>
  </si>
  <si>
    <t>Not Received (7/24/2025, 11:29:49 AM)</t>
  </si>
  <si>
    <t>Call Later (7/14/2025, 1:57:37 PM)</t>
  </si>
  <si>
    <t>Not Received (7/10/2025, 5:28:32 PM)</t>
  </si>
  <si>
    <t>interested, share info</t>
  </si>
  <si>
    <t>prospect_422</t>
  </si>
  <si>
    <t>Call Received (7/12/2025, 10:15:21 AM)</t>
  </si>
  <si>
    <t>Client Lost (7/24/2025, 11:32:21 AM)</t>
  </si>
  <si>
    <t>Call Received (7/16/2025, 4:03:54 PM)</t>
  </si>
  <si>
    <t>prospect_423</t>
  </si>
  <si>
    <t>Not Received (7/12/2025, 10:16:19 AM)</t>
  </si>
  <si>
    <t>Not Received (7/22/2025, 12:14:25 PM)</t>
  </si>
  <si>
    <t>Not Received (7/14/2025, 1:02:25 PM)</t>
  </si>
  <si>
    <t>Not Received (7/22/2025, 5:20:27 PM)</t>
  </si>
  <si>
    <t>prospect_424</t>
  </si>
  <si>
    <t>Client Lost (7/12/2025, 10:17:05 AM)</t>
  </si>
  <si>
    <t>prospect_425</t>
  </si>
  <si>
    <t>Not Received (7/12/2025, 10:23:54 AM)</t>
  </si>
  <si>
    <t>Not Received (7/22/2025, 12:27:37 PM)</t>
  </si>
  <si>
    <t>Not Received (7/14/2025, 1:03:24 PM)</t>
  </si>
  <si>
    <t>Not Received (7/22/2025, 5:20:32 PM)</t>
  </si>
  <si>
    <t>prospect_426</t>
  </si>
  <si>
    <t>Not Received (7/12/2025, 10:25:40 AM)</t>
  </si>
  <si>
    <t>Not Received (7/22/2025, 12:28:26 PM)</t>
  </si>
  <si>
    <t>Not Received (7/14/2025, 1:05:11 PM)</t>
  </si>
  <si>
    <t>Not Received (7/22/2025, 5:20:43 PM)</t>
  </si>
  <si>
    <t>prospect_427</t>
  </si>
  <si>
    <t>Not Received (7/12/2025, 10:26:04 AM)</t>
  </si>
  <si>
    <t>Not Received (7/22/2025, 12:31:00 PM)</t>
  </si>
  <si>
    <t>Not Received (7/14/2025, 1:06:20 PM)</t>
  </si>
  <si>
    <t>Not Received (7/22/2025, 5:21:00 PM)</t>
  </si>
  <si>
    <t>prospect_428</t>
  </si>
  <si>
    <t>Call Received (7/12/2025, 10:27:33 AM)</t>
  </si>
  <si>
    <t>Client Lost (7/16/2025, 4:05:10 PM)</t>
  </si>
  <si>
    <t>prospect_429</t>
  </si>
  <si>
    <t>Not Received (7/25/2025, 10:24:49 AM)</t>
  </si>
  <si>
    <t>Not Received (7/23/2025, 11:09:24 AM)</t>
  </si>
  <si>
    <t>Not Received (7/14/2025, 1:07:05 PM)</t>
  </si>
  <si>
    <t>Not Received (7/25/2025, 4:49:49 PM)</t>
  </si>
  <si>
    <t>prospect_430</t>
  </si>
  <si>
    <t>923058920451</t>
  </si>
  <si>
    <t>Confirmation (7/12/2025, 10:45:18 AM)</t>
  </si>
  <si>
    <t>Confirmation (7/14/2025, 11:25:56 AM)</t>
  </si>
  <si>
    <t>Confirmation (7/22/2025, 3:40:59 PM)</t>
  </si>
  <si>
    <t>Confirmation (7/22/2025, 5:53:08 PM)</t>
  </si>
  <si>
    <t>pay till 14th july</t>
  </si>
  <si>
    <t>prospect_431</t>
  </si>
  <si>
    <t>Not Received (7/12/2025, 10:45:53 AM)</t>
  </si>
  <si>
    <t>Not Received (7/22/2025, 12:32:10 PM)</t>
  </si>
  <si>
    <t>Not Received (7/14/2025, 1:08:32 PM)</t>
  </si>
  <si>
    <t>Not Received (7/22/2025, 5:29:16 PM)</t>
  </si>
  <si>
    <t>prospect_432</t>
  </si>
  <si>
    <t>Not Received (7/12/2025, 10:46:21 AM)</t>
  </si>
  <si>
    <t>Not Received (7/22/2025, 12:32:33 PM)</t>
  </si>
  <si>
    <t>Not Received (7/14/2025, 1:09:40 PM)</t>
  </si>
  <si>
    <t>Not Received (7/22/2025, 5:29:32 PM)</t>
  </si>
  <si>
    <t>prospect_433</t>
  </si>
  <si>
    <t>Not Received (7/12/2025, 10:47:25 AM)</t>
  </si>
  <si>
    <t>Client Lost (7/14/2025, 1:10:40 PM)</t>
  </si>
  <si>
    <t>prospect_434</t>
  </si>
  <si>
    <t>Call Received (7/12/2025, 10:48:23 AM)</t>
  </si>
  <si>
    <t>Call Received (7/24/2025, 11:40:08 AM)</t>
  </si>
  <si>
    <t>Not Received (7/24/2025, 1:28:01 PM)</t>
  </si>
  <si>
    <t>Call Received (7/16/2025, 4:08:16 PM)</t>
  </si>
  <si>
    <t>prospect_435</t>
  </si>
  <si>
    <t>Call Received (7/12/2025, 10:52:57 AM)</t>
  </si>
  <si>
    <t>Call Received (7/24/2025, 11:41:09 AM)</t>
  </si>
  <si>
    <t>Call Received (7/24/2025, 1:28:14 PM)</t>
  </si>
  <si>
    <t>Call Received (7/16/2025, 4:09:37 PM)</t>
  </si>
  <si>
    <t>prospect_436</t>
  </si>
  <si>
    <t>Call Later (7/23/2025, 10:34:54 AM)</t>
  </si>
  <si>
    <t>Call Later (7/23/2025, 11:21:43 AM)</t>
  </si>
  <si>
    <t>Not Received (7/25/2025, 3:20:08 PM)</t>
  </si>
  <si>
    <t>Call Later (7/16/2025, 4:13:30 PM)</t>
  </si>
  <si>
    <t>prospect_437</t>
  </si>
  <si>
    <t>Call Later (7/24/2025, 10:35:46 AM)</t>
  </si>
  <si>
    <t>Call Received (7/12/2025, 11:13:17 AM)</t>
  </si>
  <si>
    <t>Not Received (7/25/2025, 3:20:12 PM)</t>
  </si>
  <si>
    <t>Call Received (7/16/2025, 4:15:56 PM)</t>
  </si>
  <si>
    <t>prospect_438</t>
  </si>
  <si>
    <t>Call Received (7/12/2025, 11:12:26 AM)</t>
  </si>
  <si>
    <t>Client Lost (7/16/2025, 4:17:03 PM)</t>
  </si>
  <si>
    <t>prospect_439</t>
  </si>
  <si>
    <t>Not Received (7/12/2025, 11:14:04 AM)</t>
  </si>
  <si>
    <t>Client Lost (7/14/2025, 1:17:55 PM)</t>
  </si>
  <si>
    <t>prospect_440</t>
  </si>
  <si>
    <t>Not Received (7/12/2025, 11:14:31 AM)</t>
  </si>
  <si>
    <t>Client Lost (7/14/2025, 1:15:23 PM)</t>
  </si>
  <si>
    <t>prospect_441</t>
  </si>
  <si>
    <t>Not Received (7/25/2025, 10:27:55 AM)</t>
  </si>
  <si>
    <t>Not Received (7/12/2025, 11:18:25 AM)</t>
  </si>
  <si>
    <t>Not Received (7/14/2025, 1:17:36 PM)</t>
  </si>
  <si>
    <t>Not Received (7/22/2025, 5:29:50 PM)</t>
  </si>
  <si>
    <t>prospect_442</t>
  </si>
  <si>
    <t>Call Received (7/25/2025, 10:29:03 AM)</t>
  </si>
  <si>
    <t>Call Received (8/7/2025, 12:27:46 PM)</t>
  </si>
  <si>
    <t>Not Received (7/14/2025, 1:19:48 PM)</t>
  </si>
  <si>
    <t>Not Received (7/22/2025, 5:29:55 PM)</t>
  </si>
  <si>
    <t>prospect_443</t>
  </si>
  <si>
    <t>Not Received (7/25/2025, 10:32:30 AM)</t>
  </si>
  <si>
    <t>Not Received (7/12/2025, 11:35:42 AM)</t>
  </si>
  <si>
    <t>Not Received (7/14/2025, 1:20:18 PM)</t>
  </si>
  <si>
    <t>Not Received (7/22/2025, 5:29:59 PM)</t>
  </si>
  <si>
    <t>prospect_444</t>
  </si>
  <si>
    <t>Call Received (7/12/2025, 11:55:48 AM)</t>
  </si>
  <si>
    <t>Client Lost (7/16/2025, 4:18:31 PM)</t>
  </si>
  <si>
    <t>prospect_445</t>
  </si>
  <si>
    <t>Not Received (7/24/2025, 10:37:28 AM)</t>
  </si>
  <si>
    <t>Call Received (7/12/2025, 11:59:00 AM)</t>
  </si>
  <si>
    <t>Not Received (7/24/2025, 1:05:22 PM)</t>
  </si>
  <si>
    <t>Call Received (7/16/2025, 4:26:34 PM)</t>
  </si>
  <si>
    <t>need 1k discount</t>
  </si>
  <si>
    <t>prospect_446</t>
  </si>
  <si>
    <t>Demo (7/12/2025, 12:01:27 PM)</t>
  </si>
  <si>
    <t>Client Lost (7/26/2025, 2:10:07 PM)</t>
  </si>
  <si>
    <t>need 1st free class as a trial</t>
  </si>
  <si>
    <t>prospect_447</t>
  </si>
  <si>
    <t>Call Received (7/24/2025, 10:38:35 AM)</t>
  </si>
  <si>
    <t>Client Lost (8/7/2025, 12:29:57 PM)</t>
  </si>
  <si>
    <t>Call Received (7/25/2025, 3:24:48 PM)</t>
  </si>
  <si>
    <t>Call Received (7/16/2025, 4:30:27 PM)</t>
  </si>
  <si>
    <t>prospect_448</t>
  </si>
  <si>
    <t>Call Received (7/24/2025, 10:39:58 AM)</t>
  </si>
  <si>
    <t>Not Received (8/7/2025, 12:31:37 PM)</t>
  </si>
  <si>
    <t>Call Received (7/25/2025, 3:24:44 PM)</t>
  </si>
  <si>
    <t>Call Received (7/16/2025, 4:31:53 PM)</t>
  </si>
  <si>
    <t>prospect_449</t>
  </si>
  <si>
    <t>Not Received (7/25/2025, 10:39:55 AM)</t>
  </si>
  <si>
    <t>Not Received (7/12/2025, 12:16:45 PM)</t>
  </si>
  <si>
    <t>Not Received (7/14/2025, 1:22:10 PM)</t>
  </si>
  <si>
    <t>Not Received (7/22/2025, 5:30:03 PM)</t>
  </si>
  <si>
    <t>prospect_450</t>
  </si>
  <si>
    <t>Client Lost (7/16/2025, 12:56:12 PM)</t>
  </si>
  <si>
    <t>Not Received (7/12/2025, 1:38:01 PM)</t>
  </si>
  <si>
    <t>prospect_451</t>
  </si>
  <si>
    <t>Not Received (7/25/2025, 10:40:20 AM)</t>
  </si>
  <si>
    <t>Not Received (7/25/2025, 1:55:57 PM)</t>
  </si>
  <si>
    <t>Call Received (7/16/2025, 4:34:04 PM)</t>
  </si>
  <si>
    <t>prospect_452</t>
  </si>
  <si>
    <t>Client Lost (7/16/2025, 12:58:21 PM)</t>
  </si>
  <si>
    <t>Not Received (7/12/2025, 1:38:07 PM)</t>
  </si>
  <si>
    <t>prospect_453</t>
  </si>
  <si>
    <t>Not Received (7/25/2025, 10:41:16 AM)</t>
  </si>
  <si>
    <t>Not Received (7/16/2025, 1:00:14 PM)</t>
  </si>
  <si>
    <t>Not Received (7/12/2025, 1:47:11 PM)</t>
  </si>
  <si>
    <t>Not Received (7/22/2025, 5:30:07 PM)</t>
  </si>
  <si>
    <t>prospect_454</t>
  </si>
  <si>
    <t>Not Received (7/25/2025, 10:41:46 AM)</t>
  </si>
  <si>
    <t>Not Received (7/22/2025, 12:32:58 PM)</t>
  </si>
  <si>
    <t>Not Received (7/16/2025, 1:04:15 PM)</t>
  </si>
  <si>
    <t>Not Received (7/22/2025, 5:30:11 PM)</t>
  </si>
  <si>
    <t>prospect_455</t>
  </si>
  <si>
    <t>Client Lost (7/12/2025, 1:48:42 PM)</t>
  </si>
  <si>
    <t>prospect_456</t>
  </si>
  <si>
    <t>Confirmation (7/22/2025, 3:39:27 PM)</t>
  </si>
  <si>
    <t>Confirmation (7/22/2025, 5:53:17 PM)</t>
  </si>
  <si>
    <t>pay before 20</t>
  </si>
  <si>
    <t>prospect_457</t>
  </si>
  <si>
    <t>Confirmation (7/22/2025, 3:37:24 PM)</t>
  </si>
  <si>
    <t>Confirmation (7/19/2025, 5:33:43 PM)</t>
  </si>
  <si>
    <t>prospect_458</t>
  </si>
  <si>
    <t>Not Received (7/25/2025, 10:43:28 AM)</t>
  </si>
  <si>
    <t>Not Received (7/22/2025, 12:37:28 PM)</t>
  </si>
  <si>
    <t>Not Received (7/12/2025, 1:54:37 PM)</t>
  </si>
  <si>
    <t>Not Received (7/22/2025, 5:30:14 PM)</t>
  </si>
  <si>
    <t>prospect_459</t>
  </si>
  <si>
    <t>Client Lost (7/12/2025, 1:57:34 PM)</t>
  </si>
  <si>
    <t>prospect_460</t>
  </si>
  <si>
    <t>Client Lost (7/24/2025, 10:48:38 AM)</t>
  </si>
  <si>
    <t>Call Received (7/12/2025, 1:59:25 PM)</t>
  </si>
  <si>
    <t>Call Received (7/16/2025, 4:40:19 PM)</t>
  </si>
  <si>
    <t>prospect_464</t>
  </si>
  <si>
    <t>Not Received (7/25/2025, 10:43:45 AM)</t>
  </si>
  <si>
    <t>Not Received (7/22/2025, 12:38:08 PM)</t>
  </si>
  <si>
    <t>Not Received (7/12/2025, 2:04:40 PM)</t>
  </si>
  <si>
    <t>Not Received (7/22/2025, 5:30:21 PM)</t>
  </si>
  <si>
    <t>prospect_465</t>
  </si>
  <si>
    <t>Client Lost (7/24/2025, 10:49:46 AM)</t>
  </si>
  <si>
    <t>Call Received (7/12/2025, 2:05:49 PM)</t>
  </si>
  <si>
    <t>joined from another academy</t>
  </si>
  <si>
    <t>prospect_467</t>
  </si>
  <si>
    <t>Not Received (7/25/2025, 10:44:18 AM)</t>
  </si>
  <si>
    <t>Not Received (7/22/2025, 12:38:36 PM)</t>
  </si>
  <si>
    <t>Not Received (7/12/2025, 2:12:34 PM)</t>
  </si>
  <si>
    <t>Not Received (7/22/2025, 5:30:25 PM)</t>
  </si>
  <si>
    <t>prospect_468</t>
  </si>
  <si>
    <t>Client Lost (7/22/2025, 12:39:45 PM)</t>
  </si>
  <si>
    <t>Not Received (7/12/2025, 2:14:00 PM)</t>
  </si>
  <si>
    <t>prospect_469</t>
  </si>
  <si>
    <t>Not Received (7/25/2025, 10:48:24 AM)</t>
  </si>
  <si>
    <t>Not Received (7/22/2025, 12:40:56 PM)</t>
  </si>
  <si>
    <t>Not Received (7/12/2025, 2:14:53 PM)</t>
  </si>
  <si>
    <t>Not Received (7/22/2025, 5:30:29 PM)</t>
  </si>
  <si>
    <t>prospect_470</t>
  </si>
  <si>
    <t>Client Lost (7/23/2025, 10:35:35 AM)</t>
  </si>
  <si>
    <t>Call Later (7/12/2025, 2:16:31 PM)</t>
  </si>
  <si>
    <t>prospect_471</t>
  </si>
  <si>
    <t>Client Lost (7/12/2025, 2:20:01 PM)</t>
  </si>
  <si>
    <t>prospect_472</t>
  </si>
  <si>
    <t>Call Received (7/24/2025, 10:52:06 AM)</t>
  </si>
  <si>
    <t>Call Received (8/7/2025, 12:33:00 PM)</t>
  </si>
  <si>
    <t>Call Received (7/12/2025, 2:20:13 PM)</t>
  </si>
  <si>
    <t>Call Received (7/24/2025, 4:52:44 PM)</t>
  </si>
  <si>
    <t>prospect_473</t>
  </si>
  <si>
    <t>Confirmation (7/15/2025, 9:36:04 AM)</t>
  </si>
  <si>
    <t>Call Received (7/12/2025, 2:47:31 PM)</t>
  </si>
  <si>
    <t>Paid (7/16/2025, 4:53:27 PM)</t>
  </si>
  <si>
    <t>pay by 15 or 16th july</t>
  </si>
  <si>
    <t>prospect_474</t>
  </si>
  <si>
    <t>Call Received (7/24/2025, 10:53:12 AM)</t>
  </si>
  <si>
    <t>Call Received (7/22/2025, 12:43:04 PM)</t>
  </si>
  <si>
    <t>Not Received (7/12/2025, 2:48:23 PM)</t>
  </si>
  <si>
    <t>Client Lost (7/24/2025, 4:52:37 PM)</t>
  </si>
  <si>
    <t>prospect_476</t>
  </si>
  <si>
    <t>Call Received (7/14/2025, 9:53:36 AM)</t>
  </si>
  <si>
    <t>Client Lost (8/7/2025, 12:34:18 PM)</t>
  </si>
  <si>
    <t>Call Received (7/25/2025, 3:24:39 PM)</t>
  </si>
  <si>
    <t>Call Received (7/24/2025, 4:52:55 PM)</t>
  </si>
  <si>
    <t>prospect_477</t>
  </si>
  <si>
    <t>Not Received (7/14/2025, 9:56:56 AM)</t>
  </si>
  <si>
    <t>Paid (7/17/2025, 5:10:00 PM)</t>
  </si>
  <si>
    <t>14/07/2025</t>
  </si>
  <si>
    <t>prospect_478</t>
  </si>
  <si>
    <t>Not Received (7/14/2025, 9:57:48 AM)</t>
  </si>
  <si>
    <t>Call Received (8/7/2025, 12:37:22 PM)</t>
  </si>
  <si>
    <t>Call Received (7/16/2025, 3:13:58 PM)</t>
  </si>
  <si>
    <t>Call Received (7/24/2025, 4:54:04 PM)</t>
  </si>
  <si>
    <t>prospect_479</t>
  </si>
  <si>
    <t>Call Received (7/14/2025, 9:59:26 AM)</t>
  </si>
  <si>
    <t>Client Lost (8/7/2025, 12:38:48 PM)</t>
  </si>
  <si>
    <t>Call Received (7/16/2025, 3:30:42 PM)</t>
  </si>
  <si>
    <t>Call Received (7/24/2025, 5:04:40 PM)</t>
  </si>
  <si>
    <t>prospect_480</t>
  </si>
  <si>
    <t>Not Received (7/14/2025, 10:00:25 AM)</t>
  </si>
  <si>
    <t>Call Later (7/24/2025, 11:49:03 AM)</t>
  </si>
  <si>
    <t>Not Received (7/25/2025, 3:20:16 PM)</t>
  </si>
  <si>
    <t>Not Received (7/25/2025, 4:50:15 PM)</t>
  </si>
  <si>
    <t>CALL after 3 days</t>
  </si>
  <si>
    <t>prospect_481</t>
  </si>
  <si>
    <t>Not Received (7/14/2025, 10:01:05 AM)</t>
  </si>
  <si>
    <t>Client Lost (7/22/2025, 12:44:20 PM)</t>
  </si>
  <si>
    <t>Not Received (7/14/2025, 1:46:42 PM)</t>
  </si>
  <si>
    <t>prospect_482</t>
  </si>
  <si>
    <t>Confirmation (7/14/2025, 10:39:42 AM)</t>
  </si>
  <si>
    <t>Confirmation (7/22/2025, 3:36:18 PM)</t>
  </si>
  <si>
    <t>Confirmation (7/19/2025, 5:35:25 PM)</t>
  </si>
  <si>
    <t>pay by tomorrow</t>
  </si>
  <si>
    <t>prospect_483</t>
  </si>
  <si>
    <t>Client Lost (7/14/2025, 10:06:15 AM)</t>
  </si>
  <si>
    <t>jobless need job</t>
  </si>
  <si>
    <t>prospect_484</t>
  </si>
  <si>
    <t>Demo (7/14/2025, 10:08:49 AM)</t>
  </si>
  <si>
    <t>Not Received (7/26/2025, 2:12:44 PM)</t>
  </si>
  <si>
    <t>need trial then decide</t>
  </si>
  <si>
    <t>prospect_485</t>
  </si>
  <si>
    <t>Client Lost (7/14/2025, 10:14:50 AM)</t>
  </si>
  <si>
    <t>prospect_486</t>
  </si>
  <si>
    <t>Not Received (7/25/2025, 10:49:52 AM)</t>
  </si>
  <si>
    <t>Not Received (7/22/2025, 12:47:15 PM)</t>
  </si>
  <si>
    <t>Not Received (7/14/2025, 1:48:01 PM)</t>
  </si>
  <si>
    <t>Not Received (7/22/2025, 5:30:33 PM)</t>
  </si>
  <si>
    <t>prospect_487</t>
  </si>
  <si>
    <t>Not Received (7/25/2025, 10:53:04 AM)</t>
  </si>
  <si>
    <t>Not Received (7/22/2025, 12:47:40 PM)</t>
  </si>
  <si>
    <t>Not Received (7/14/2025, 1:25:32 PM)</t>
  </si>
  <si>
    <t>Not Received (7/22/2025, 5:30:38 PM)</t>
  </si>
  <si>
    <t>prospect_488</t>
  </si>
  <si>
    <t>Call Received (7/14/2025, 10:43:19 AM)</t>
  </si>
  <si>
    <t>Client Lost (7/16/2025, 3:37:13 PM)</t>
  </si>
  <si>
    <t>prospect_489</t>
  </si>
  <si>
    <t>Not Received (7/14/2025, 10:22:01 AM)</t>
  </si>
  <si>
    <t>Confirmation (7/22/2025, 12:50:01 PM)</t>
  </si>
  <si>
    <t>Not Received (7/14/2025, 1:28:13 PM)</t>
  </si>
  <si>
    <t>Confirmation (7/23/2025, 5:10:34 PM)</t>
  </si>
  <si>
    <t>wanna join</t>
  </si>
  <si>
    <t>prospect_490</t>
  </si>
  <si>
    <t>Client Lost (7/14/2025, 10:55:08 AM)</t>
  </si>
  <si>
    <t>prospect_491</t>
  </si>
  <si>
    <t>Not Received (7/14/2025, 10:29:38 AM)</t>
  </si>
  <si>
    <t>Not Received (7/22/2025, 12:53:36 PM)</t>
  </si>
  <si>
    <t>Not Received (7/14/2025, 1:28:41 PM)</t>
  </si>
  <si>
    <t>Not Received (7/22/2025, 5:30:55 PM)</t>
  </si>
  <si>
    <t>prospect_493</t>
  </si>
  <si>
    <t>Client Lost (7/14/2025, 10:36:06 AM)</t>
  </si>
  <si>
    <t>prospect_494</t>
  </si>
  <si>
    <t>Not Received (7/14/2025, 10:35:30 AM)</t>
  </si>
  <si>
    <t>Client Lost (7/23/2025, 11:11:16 AM)</t>
  </si>
  <si>
    <t>Call Later (7/14/2025, 1:32:54 PM)</t>
  </si>
  <si>
    <t>call at 4:00 pm</t>
  </si>
  <si>
    <t>prospect_495</t>
  </si>
  <si>
    <t>Not Received (7/14/2025, 10:47:13 AM)</t>
  </si>
  <si>
    <t>Not Received (7/22/2025, 12:53:53 PM)</t>
  </si>
  <si>
    <t>Not Received (7/14/2025, 1:33:23 PM)</t>
  </si>
  <si>
    <t>Not Received (7/22/2025, 5:30:59 PM)</t>
  </si>
  <si>
    <t>prospect_496</t>
  </si>
  <si>
    <t>Not Received (7/14/2025, 10:47:49 AM)</t>
  </si>
  <si>
    <t>Client Lost (7/24/2025, 11:48:22 AM)</t>
  </si>
  <si>
    <t>Call Received (7/16/2025, 3:37:55 PM)</t>
  </si>
  <si>
    <t>wahaj</t>
  </si>
  <si>
    <t>923218724246</t>
  </si>
  <si>
    <t>Confirmation (7/14/2025, 10:51:42 AM)</t>
  </si>
  <si>
    <t>Confirmation (7/22/2025, 3:35:17 PM)</t>
  </si>
  <si>
    <t>Confirmation (7/23/2025, 5:10:39 PM)</t>
  </si>
  <si>
    <t>will join before 20th july</t>
  </si>
  <si>
    <t>prospect_498</t>
  </si>
  <si>
    <t>Call Received (7/14/2025, 10:57:33 AM)</t>
  </si>
  <si>
    <t>Client Lost (7/14/2025, 11:07:27 AM)</t>
  </si>
  <si>
    <t>prospect_499</t>
  </si>
  <si>
    <t>Not Received (7/14/2025, 10:58:47 AM)</t>
  </si>
  <si>
    <t>Confirmation (7/14/2025, 1:53:18 PM)</t>
  </si>
  <si>
    <t>Paid (7/19/2025, 5:35:57 PM)</t>
  </si>
  <si>
    <t>will pay 17th july</t>
  </si>
  <si>
    <t>prospect_500</t>
  </si>
  <si>
    <t>Client Lost (7/14/2025, 10:59:54 AM)</t>
  </si>
  <si>
    <t>prospect_501</t>
  </si>
  <si>
    <t>Not Received (7/14/2025, 11:10:09 AM)</t>
  </si>
  <si>
    <t>Client Lost (7/14/2025, 1:40:39 PM)</t>
  </si>
  <si>
    <t>prospect_502</t>
  </si>
  <si>
    <t>Call Received (7/24/2025, 10:54:24 AM)</t>
  </si>
  <si>
    <t>Call Received (8/7/2025, 12:39:56 PM)</t>
  </si>
  <si>
    <t>Call Received (7/25/2025, 3:24:35 PM)</t>
  </si>
  <si>
    <t>Call Received (7/24/2025, 5:05:32 PM)</t>
  </si>
  <si>
    <t>prospect_503</t>
  </si>
  <si>
    <t>Not Received (7/14/2025, 11:19:37 AM)</t>
  </si>
  <si>
    <t>Client Lost (7/14/2025, 3:32:14 PM)</t>
  </si>
  <si>
    <t>prospect_505</t>
  </si>
  <si>
    <t>Demo (7/14/2025, 11:23:53 AM)</t>
  </si>
  <si>
    <t>Not Received (7/26/2025, 2:14:12 PM)</t>
  </si>
  <si>
    <t>trial class</t>
  </si>
  <si>
    <t>prospect_506</t>
  </si>
  <si>
    <t>Call Received (7/24/2025, 10:57:00 AM)</t>
  </si>
  <si>
    <t>Client Lost (8/7/2025, 12:41:26 PM)</t>
  </si>
  <si>
    <t>Call Received (7/25/2025, 3:24:29 PM)</t>
  </si>
  <si>
    <t>Call Received (7/24/2025, 5:05:53 PM)</t>
  </si>
  <si>
    <t>prospect_507</t>
  </si>
  <si>
    <t>Demo (7/14/2025, 11:37:34 AM)</t>
  </si>
  <si>
    <t>Client Lost (7/26/2025, 2:15:09 PM)</t>
  </si>
  <si>
    <t>prospect_508</t>
  </si>
  <si>
    <t>Call Received (7/24/2025, 10:59:30 AM)</t>
  </si>
  <si>
    <t>Client Lost (8/7/2025, 12:41:50 PM)</t>
  </si>
  <si>
    <t>Call Received (7/25/2025, 3:24:24 PM)</t>
  </si>
  <si>
    <t>Call Received (7/24/2025, 5:11:52 PM)</t>
  </si>
  <si>
    <t>prospect_509</t>
  </si>
  <si>
    <t>Client Lost (7/25/2025, 10:54:26 AM)</t>
  </si>
  <si>
    <t>Not Received (7/22/2025, 12:54:20 PM)</t>
  </si>
  <si>
    <t>Not Received (7/14/2025, 1:43:03 PM)</t>
  </si>
  <si>
    <t>Not Received (7/22/2025, 5:31:04 PM)</t>
  </si>
  <si>
    <t>prospect_510</t>
  </si>
  <si>
    <t>Not Received (7/25/2025, 11:01:18 AM)</t>
  </si>
  <si>
    <t>Not Received (7/25/2025, 11:01:55 AM)</t>
  </si>
  <si>
    <t>Not Received (7/14/2025, 1:44:00 PM)</t>
  </si>
  <si>
    <t>Not Received (7/22/2025, 5:31:08 PM)</t>
  </si>
  <si>
    <t>prospect_512</t>
  </si>
  <si>
    <t>Not Received (7/14/2025, 12:29:49 PM)</t>
  </si>
  <si>
    <t>Client Lost (7/14/2025, 1:59:30 PM)</t>
  </si>
  <si>
    <t>need physical classes lost</t>
  </si>
  <si>
    <t>prospect_513</t>
  </si>
  <si>
    <t>Not Received (7/2562025, 11:01:18 AM)</t>
  </si>
  <si>
    <t>Not Received (7/25/2025, 11:03:32 AM)</t>
  </si>
  <si>
    <t>Not Received (7/14/2025, 1:45:21 PM)</t>
  </si>
  <si>
    <t>Not Received (7/22/2025, 5:31:12 PM)</t>
  </si>
  <si>
    <t>prospect_514</t>
  </si>
  <si>
    <t>Client Lost (7/14/2025, 2:26:22 PM)</t>
  </si>
  <si>
    <t>prospect_515</t>
  </si>
  <si>
    <t>Client Lost (7/14/2025, 2:28:36 PM)</t>
  </si>
  <si>
    <t>prospect_516</t>
  </si>
  <si>
    <t>Call Received (7/24/2025, 11:00:07 AM)</t>
  </si>
  <si>
    <t>Client Lost (7/24/2025, 11:02:28 AM)</t>
  </si>
  <si>
    <t>Call Received (7/14/2025, 2:32:09 PM)</t>
  </si>
  <si>
    <t>prospect_517</t>
  </si>
  <si>
    <t>Not Received (7/25/2025, 11:01:26 AM)</t>
  </si>
  <si>
    <t>Not Received (7/25/2025, 11:05:14 AM)</t>
  </si>
  <si>
    <t>Not Received (7/14/2025, 2:33:30 PM)</t>
  </si>
  <si>
    <t>Not Received (7/22/2025, 5:31:15 PM)</t>
  </si>
  <si>
    <t>prospect_518</t>
  </si>
  <si>
    <t>Not Received (7/25/2025, 11:02:18 AM)</t>
  </si>
  <si>
    <t>Not Received (7/25/2025, 11:07:19 AM)</t>
  </si>
  <si>
    <t>Not Received (7/16/2025, 1:07:07 PM)</t>
  </si>
  <si>
    <t>Not Received (7/14/2025, 5:36:04 PM)</t>
  </si>
  <si>
    <t>prospect_519</t>
  </si>
  <si>
    <t>Not Received (7/25/2025, 11:03:18 AM)</t>
  </si>
  <si>
    <t>Not Received (7/22/2025, 12:57:16 PM)</t>
  </si>
  <si>
    <t>Not Received (7/16/2025, 1:07:59 PM)</t>
  </si>
  <si>
    <t>Not Received (7/14/2025, 5:36:59 PM)</t>
  </si>
  <si>
    <t>prospect_520</t>
  </si>
  <si>
    <t>Client Lost (7/22/2025, 12:58:09 PM)</t>
  </si>
  <si>
    <t>Not Received (7/16/2025, 1:08:48 PM)</t>
  </si>
  <si>
    <t>Not Received (7/14/2025, 5:42:04 PM)</t>
  </si>
  <si>
    <t>prospect_522</t>
  </si>
  <si>
    <t>Client Lost (7/22/2025, 12:59:08 PM)</t>
  </si>
  <si>
    <t>Not Received (7/16/2025, 1:10:02 PM)</t>
  </si>
  <si>
    <t>Not Received (7/14/2025, 5:43:01 PM)</t>
  </si>
  <si>
    <t>prospect_523</t>
  </si>
  <si>
    <t>Not Received (7/22/2025, 1:00:05 PM)</t>
  </si>
  <si>
    <t>Not Received (7/16/2025, 1:11:21 PM)</t>
  </si>
  <si>
    <t>Not Received (7/14/2025, 5:43:31 PM)</t>
  </si>
  <si>
    <t>prospect_524</t>
  </si>
  <si>
    <t>Not Received (7/22/2025, 1:00:25 PM)</t>
  </si>
  <si>
    <t>Not Received (7/16/2025, 1:13:02 PM)</t>
  </si>
  <si>
    <t>Not Received (7/14/2025, 5:52:11 PM)</t>
  </si>
  <si>
    <t>prospect_525</t>
  </si>
  <si>
    <t>Call Received (7/16/2025, 10:35:11 AM)</t>
  </si>
  <si>
    <t>Call Received (8/7/2025, 12:44:27 PM)</t>
  </si>
  <si>
    <t>Not Received (7/16/2025, 1:14:42 PM)</t>
  </si>
  <si>
    <t>Not Received (7/14/2025, 5:54:07 PM)</t>
  </si>
  <si>
    <t>prospect_526</t>
  </si>
  <si>
    <t>Client Lost (7/14/2025, 5:56:13 PM)</t>
  </si>
  <si>
    <t>prospect_527</t>
  </si>
  <si>
    <t>Not Received (7/22/2025, 1:00:48 PM)</t>
  </si>
  <si>
    <t>Not Received (7/16/2025, 1:15:19 PM)</t>
  </si>
  <si>
    <t>Not Received (7/14/2025, 5:57:21 PM)</t>
  </si>
  <si>
    <t>prospect_528</t>
  </si>
  <si>
    <t>Not Received (7/15/2025, 10:39:57 AM)</t>
  </si>
  <si>
    <t>Not Received (7/22/2025, 1:01:49 PM)</t>
  </si>
  <si>
    <t>Not Received (7/22/2025, 1:02:45 PM)</t>
  </si>
  <si>
    <t>Not Received (7/22/2025, 5:31:24 PM)</t>
  </si>
  <si>
    <t>prospect_529</t>
  </si>
  <si>
    <t>Call Received (7/15/2025, 10:41:36 AM)</t>
  </si>
  <si>
    <t>Client Lost (7/24/2025, 11:07:49 AM)</t>
  </si>
  <si>
    <t>15/07/2025</t>
  </si>
  <si>
    <t>prospect_530</t>
  </si>
  <si>
    <t>Call Received (7/15/2025, 10:46:51 AM)</t>
  </si>
  <si>
    <t>Call Received (8/7/2025, 12:44:58 PM)</t>
  </si>
  <si>
    <t>Call Received (7/25/2025, 3:24:19 PM)</t>
  </si>
  <si>
    <t>Call Received (7/24/2025, 5:12:05 PM)</t>
  </si>
  <si>
    <t>prospect_531</t>
  </si>
  <si>
    <t>Confirmation (7/15/2025, 10:52:02 AM)</t>
  </si>
  <si>
    <t>Confirmation (7/24/2025, 2:02:33 PM)</t>
  </si>
  <si>
    <t>Confirmation (7/23/2025, 5:10:43 PM)</t>
  </si>
  <si>
    <t>pay before 20th</t>
  </si>
  <si>
    <t>prospect_533</t>
  </si>
  <si>
    <t>Not Received (7/15/2025, 10:57:27 AM)</t>
  </si>
  <si>
    <t>Not Received (7/25/2025, 11:07:53 AM)</t>
  </si>
  <si>
    <t>Not Received (7/22/2025, 1:03:09 PM)</t>
  </si>
  <si>
    <t>Not Received (7/22/2025, 5:31:29 PM)</t>
  </si>
  <si>
    <t>prospect_534</t>
  </si>
  <si>
    <t>Not Received (7/15/2025, 10:58:24 AM)</t>
  </si>
  <si>
    <t>Client Lost (7/15/2025, 11:01:54 AM)</t>
  </si>
  <si>
    <t>prospect_535</t>
  </si>
  <si>
    <t>Not Received (7/15/2025, 10:59:11 AM)</t>
  </si>
  <si>
    <t>Client Lost (7/16/2025, 3:24:51 PM)</t>
  </si>
  <si>
    <t>prospect_536</t>
  </si>
  <si>
    <t>Call Received (7/16/2025, 10:36:11 AM)</t>
  </si>
  <si>
    <t>Call Received (8/7/2025, 12:45:37 PM)</t>
  </si>
  <si>
    <t>Call Received (7/25/2025, 3:24:14 PM)</t>
  </si>
  <si>
    <t>Call Received (7/24/2025, 5:12:27 PM)</t>
  </si>
  <si>
    <t>prospect_537</t>
  </si>
  <si>
    <t>Client Lost (7/25/2025, 11:09:13 AM)</t>
  </si>
  <si>
    <t>Not Received (7/16/2025, 1:18:43 PM)</t>
  </si>
  <si>
    <t>Not Received (7/22/2025, 5:31:34 PM)</t>
  </si>
  <si>
    <t>prospect_538</t>
  </si>
  <si>
    <t>Not Received (7/25/2025, 11:12:29 AM)</t>
  </si>
  <si>
    <t>Not Received (7/16/2025, 1:25:00 PM)</t>
  </si>
  <si>
    <t>Not Received (7/22/2025, 5:31:39 PM)</t>
  </si>
  <si>
    <t>prospect_539</t>
  </si>
  <si>
    <t>Not Received (7/25/2025, 11:15:42 AM)</t>
  </si>
  <si>
    <t>Not Received (7/16/2025, 1:26:38 PM)</t>
  </si>
  <si>
    <t>Not Received (7/22/2025, 5:31:42 PM)</t>
  </si>
  <si>
    <t>prospect_540</t>
  </si>
  <si>
    <t>Call Received (7/16/2025, 10:35:21 AM)</t>
  </si>
  <si>
    <t>Client Lost (8/7/2025, 12:47:43 PM)</t>
  </si>
  <si>
    <t>Call Received (7/25/2025, 3:24:08 PM)</t>
  </si>
  <si>
    <t>Call Received (7/24/2025, 5:12:33 PM)</t>
  </si>
  <si>
    <t>prospect_541</t>
  </si>
  <si>
    <t>Not Received (7/23/2025, 10:37:26 AM)</t>
  </si>
  <si>
    <t>Call Later (7/15/2025, 11:26:08 AM)</t>
  </si>
  <si>
    <t>Not Received (7/24/2025, 1:05:42 PM)</t>
  </si>
  <si>
    <t>Not Received (7/25/2025, 4:50:27 PM)</t>
  </si>
  <si>
    <t>prospect_542</t>
  </si>
  <si>
    <t>Not Received (7/15/2025, 11:27:01 AM)</t>
  </si>
  <si>
    <t>Not Received (7/16/2025, 1:28:29 PM)</t>
  </si>
  <si>
    <t>Not Received (7/22/2025, 5:32:20 PM)</t>
  </si>
  <si>
    <t>prospect_544</t>
  </si>
  <si>
    <t>Call Received (8/7/2025, 12:49:41 PM)</t>
  </si>
  <si>
    <t>Call Received (7/25/2025, 3:24:04 PM)</t>
  </si>
  <si>
    <t>Call Received (7/24/2025, 5:14:08 PM)</t>
  </si>
  <si>
    <t>will inform by evening</t>
  </si>
  <si>
    <t>prospect_545</t>
  </si>
  <si>
    <t>Not Received (7/15/2025, 12:16:12 PM)</t>
  </si>
  <si>
    <t>Not Received (7/16/2025, 1:31:06 PM)</t>
  </si>
  <si>
    <t>Not Received (7/22/2025, 5:32:25 PM)</t>
  </si>
  <si>
    <t>prospect_546</t>
  </si>
  <si>
    <t>Not Received (7/15/2025, 12:19:08 PM)</t>
  </si>
  <si>
    <t>Not Received (7/16/2025, 1:34:17 PM)</t>
  </si>
  <si>
    <t>Not Received (7/22/2025, 5:32:29 PM)</t>
  </si>
  <si>
    <t>prospect_547</t>
  </si>
  <si>
    <t>Not Received (7/15/2025, 12:19:36 PM)</t>
  </si>
  <si>
    <t>Client Lost (7/16/2025, 1:36:52 PM)</t>
  </si>
  <si>
    <t>prospect_548</t>
  </si>
  <si>
    <t>Not Received (7/15/2025, 12:26:52 PM)</t>
  </si>
  <si>
    <t>Client Lost (7/16/2025, 3:09:05 PM)</t>
  </si>
  <si>
    <t>sana</t>
  </si>
  <si>
    <t>923138526736</t>
  </si>
  <si>
    <t>Call Received (7/15/2025, 12:31:17 PM)</t>
  </si>
  <si>
    <t>Confirmation (7/23/2025, 3:50:29 PM)</t>
  </si>
  <si>
    <t>Confirmation (7/19/2025, 5:38:21 PM)</t>
  </si>
  <si>
    <t>will pay before 20th</t>
  </si>
  <si>
    <t>prospect_550</t>
  </si>
  <si>
    <t>Call Received (7/15/2025, 12:55:23 PM)</t>
  </si>
  <si>
    <t>Client Lost (7/15/2025, 4:00:10 PM)</t>
  </si>
  <si>
    <t>prospect_551</t>
  </si>
  <si>
    <t>Not Received (7/15/2025, 12:55:58 PM)</t>
  </si>
  <si>
    <t>Not Received (7/16/2025, 1:40:48 PM)</t>
  </si>
  <si>
    <t>Not Received (7/22/2025, 5:32:33 PM)</t>
  </si>
  <si>
    <t>prospect_552</t>
  </si>
  <si>
    <t>Not Received (7/15/2025, 12:56:31 PM)</t>
  </si>
  <si>
    <t>Not Received (7/16/2025, 1:42:01 PM)</t>
  </si>
  <si>
    <t>Not Received (7/22/2025, 5:32:38 PM)</t>
  </si>
  <si>
    <t>prospect_553</t>
  </si>
  <si>
    <t>Client Lost (7/15/2025, 1:00:06 PM)</t>
  </si>
  <si>
    <t>prospect_554</t>
  </si>
  <si>
    <t>Call Received (7/16/2025, 10:37:11 AM)</t>
  </si>
  <si>
    <t>Call Received (8/7/2025, 12:56:54 PM)</t>
  </si>
  <si>
    <t>Call Received (7/15/2025, 1:27:50 PM)</t>
  </si>
  <si>
    <t>Call Received (7/24/2025, 5:14:35 PM)</t>
  </si>
  <si>
    <t>Rashid hussain</t>
  </si>
  <si>
    <t>923554177430</t>
  </si>
  <si>
    <t>Client Lost (7/22/2025, 10:46:48 AM)</t>
  </si>
  <si>
    <t>Confirmation (7/15/2025, 1:47:37 PM)</t>
  </si>
  <si>
    <t>Confirmation (7/19/2025, 5:38:30 PM)</t>
  </si>
  <si>
    <t>prospect_556</t>
  </si>
  <si>
    <t>Client Lost (7/15/2025, 3:14:56 PM)</t>
  </si>
  <si>
    <t>prospect_557</t>
  </si>
  <si>
    <t>Confirmation (7/17/2025, 10:22:16 AM)</t>
  </si>
  <si>
    <t>Call Received (7/24/2025, 11:12:19 AM)</t>
  </si>
  <si>
    <t>Confirmation (7/23/2025, 3:49:25 PM)</t>
  </si>
  <si>
    <t>Confirmation (7/23/2025, 5:10:49 PM)</t>
  </si>
  <si>
    <t>pay till 19th</t>
  </si>
  <si>
    <t>prospect_558</t>
  </si>
  <si>
    <t>Not Received (7/25/2025, 11:17:16 AM)</t>
  </si>
  <si>
    <t>Not Received (7/15/2025, 1:40:13 PM)</t>
  </si>
  <si>
    <t>Not Received (7/22/2025, 5:32:41 PM)</t>
  </si>
  <si>
    <t>prospect_559</t>
  </si>
  <si>
    <t>Client Lost (7/15/2025, 1:41:52 PM)</t>
  </si>
  <si>
    <t>prospect_560</t>
  </si>
  <si>
    <t>Client Lost (8/7/2025, 12:57:47 PM)</t>
  </si>
  <si>
    <t>Not Received (7/15/2025, 1:52:38 PM)</t>
  </si>
  <si>
    <t>Not Received (7/22/2025, 5:32:46 PM)</t>
  </si>
  <si>
    <t>prospect_561</t>
  </si>
  <si>
    <t>Not Received (7/25/2025, 11:26:16 AM)</t>
  </si>
  <si>
    <t>Not Received (7/15/2025, 2:41:25 PM)</t>
  </si>
  <si>
    <t>Not Received (7/22/2025, 5:32:50 PM)</t>
  </si>
  <si>
    <t>prospect_563</t>
  </si>
  <si>
    <t>Call Received (8/7/2025, 12:58:59 PM)</t>
  </si>
  <si>
    <t>Call Received (7/15/2025, 2:44:32 PM)</t>
  </si>
  <si>
    <t>Call Received (7/24/2025, 5:15:36 PM)</t>
  </si>
  <si>
    <t>prospect_564</t>
  </si>
  <si>
    <t>Confirmation (7/17/2025, 10:19:43 AM)</t>
  </si>
  <si>
    <t>Paid (7/17/2025, 3:56:43 PM)</t>
  </si>
  <si>
    <t>pay by 19th</t>
  </si>
  <si>
    <t>prospect_565</t>
  </si>
  <si>
    <t>Not Received (7/26/2025, 11:01:18 AM)</t>
  </si>
  <si>
    <t>Not Received (7/25/2025, 11:27:00 AM)</t>
  </si>
  <si>
    <t>Not Received (7/15/2025, 2:46:05 PM)</t>
  </si>
  <si>
    <t>Not Received (7/22/2025, 5:32:54 PM)</t>
  </si>
  <si>
    <t>prospect_566</t>
  </si>
  <si>
    <t>Confirmation (7/17/2025, 10:25:16 AM)</t>
  </si>
  <si>
    <t>Confirmation (7/24/2025, 1:52:17 PM)</t>
  </si>
  <si>
    <t>Confirmation (7/23/2025, 5:10:53 PM)</t>
  </si>
  <si>
    <t>pay till 20th</t>
  </si>
  <si>
    <t>prospect_567</t>
  </si>
  <si>
    <t>Client Lost (7/24/2025, 11:20:43 AM)</t>
  </si>
  <si>
    <t>Call Received (7/15/2025, 2:48:24 PM)</t>
  </si>
  <si>
    <t>prospect_568</t>
  </si>
  <si>
    <t>Client Lost (7/15/2025, 10:58:17 AM)</t>
  </si>
  <si>
    <t>prospect_569</t>
  </si>
  <si>
    <t>Not Received (7/25/2025, 11:31:50 AM)</t>
  </si>
  <si>
    <t>Not Received (7/15/2025, 2:49:33 PM)</t>
  </si>
  <si>
    <t>Not Received (7/22/2025, 5:32:58 PM)</t>
  </si>
  <si>
    <t>prospect_570</t>
  </si>
  <si>
    <t>Call Received (7/24/2025, 11:49:38 AM)</t>
  </si>
  <si>
    <t>Call Received (7/15/2025, 2:50:57 PM)</t>
  </si>
  <si>
    <t>Call Received (7/24/2025, 5:19:22 PM)</t>
  </si>
  <si>
    <t>prospect_571</t>
  </si>
  <si>
    <t>Call Received (7/26/2025, 10:35:11 AM)</t>
  </si>
  <si>
    <t>Call Received (8/7/2025, 1:00:25 PM)</t>
  </si>
  <si>
    <t>Not Received (7/15/2025, 2:51:30 PM)</t>
  </si>
  <si>
    <t>Call Received (7/25/2025, 4:43:46 PM)</t>
  </si>
  <si>
    <t>prospect_572</t>
  </si>
  <si>
    <t>Client Lost (7/24/2025, 12:40:16 PM)</t>
  </si>
  <si>
    <t>Call Received (7/15/2025, 2:54:04 PM)</t>
  </si>
  <si>
    <t>Client Lost (7/25/2025, 11:34:57 AM)</t>
  </si>
  <si>
    <t>Not Received (7/15/2025, 2:55:15 PM)</t>
  </si>
  <si>
    <t>prospect_573</t>
  </si>
  <si>
    <t>Not Received (7/25/2025, 11:37:04 AM)</t>
  </si>
  <si>
    <t>Not Received (7/15/2025, 2:57:13 PM)</t>
  </si>
  <si>
    <t>Not Received (7/25/2025, 4:50:35 PM)</t>
  </si>
  <si>
    <t>prospect_574</t>
  </si>
  <si>
    <t>Not Received (7/25/2025, 12:04:56 PM)</t>
  </si>
  <si>
    <t>Not Received (7/15/2025, 2:57:59 PM)</t>
  </si>
  <si>
    <t>Not Received (7/25/2025, 4:50:40 PM)</t>
  </si>
  <si>
    <t>prospect_575</t>
  </si>
  <si>
    <t>Client Lost (7/25/2025, 12:05:54 PM)</t>
  </si>
  <si>
    <t>Not Received (7/24/2025, 1:29:41 PM)</t>
  </si>
  <si>
    <t>prospect_576</t>
  </si>
  <si>
    <t>Confirmation (7/23/2025, 3:48:19 PM)</t>
  </si>
  <si>
    <t>Confirmation (7/16/2025, 5:08:26 PM)</t>
  </si>
  <si>
    <t>prospect_577</t>
  </si>
  <si>
    <t>Not Received (7/23/2025, 10:38:44 AM)</t>
  </si>
  <si>
    <t>Not Received (7/25/2025, 12:06:38 PM)</t>
  </si>
  <si>
    <t>Not Received (7/24/2025, 1:29:36 PM)</t>
  </si>
  <si>
    <t>Not Received (7/25/2025, 4:50:45 PM)</t>
  </si>
  <si>
    <t>prospect_578</t>
  </si>
  <si>
    <t>Client Lost (7/24/2025, 11:53:27 AM)</t>
  </si>
  <si>
    <t>Call Received (7/15/2025, 3:31:39 PM)</t>
  </si>
  <si>
    <t>prospect_579</t>
  </si>
  <si>
    <t>Not Received (7/25/2025, 12:07:54 PM)</t>
  </si>
  <si>
    <t>Not Received (7/15/2025, 3:33:35 PM)</t>
  </si>
  <si>
    <t>prospect_580</t>
  </si>
  <si>
    <t>Not Received (7/23/2025, 10:39:24 AM)</t>
  </si>
  <si>
    <t>Not Received (7/25/2025, 12:10:29 PM)</t>
  </si>
  <si>
    <t>Not Received (7/24/2025, 1:29:05 PM)</t>
  </si>
  <si>
    <t>Not Received (7/25/2025, 4:50:49 PM)</t>
  </si>
  <si>
    <t>prospect_581</t>
  </si>
  <si>
    <t>Call Received (7/24/2025, 11:54:19 AM)</t>
  </si>
  <si>
    <t>Client Lost (8/7/2025, 1:02:16 PM)</t>
  </si>
  <si>
    <t>Call Received (7/24/2025, 5:20:09 PM)</t>
  </si>
  <si>
    <t>prospect_582</t>
  </si>
  <si>
    <t>Client Lost (7/25/2025, 12:11:48 PM)</t>
  </si>
  <si>
    <t>Not Received (7/15/2025, 3:38:38 PM)</t>
  </si>
  <si>
    <t>prospect_583</t>
  </si>
  <si>
    <t>Client Lost (7/15/2025, 3:39:52 PM)</t>
  </si>
  <si>
    <t>prospect_584</t>
  </si>
  <si>
    <t>Not Received (7/26/2025, 10:39:24 AM)</t>
  </si>
  <si>
    <t>Not Received (7/25/2025, 12:12:21 PM)</t>
  </si>
  <si>
    <t>Not Received (7/15/2025, 3:40:26 PM)</t>
  </si>
  <si>
    <t>prospect_586</t>
  </si>
  <si>
    <t>Client Lost (7/16/2025, 10:26:35 AM)</t>
  </si>
  <si>
    <t>prospect_587</t>
  </si>
  <si>
    <t>Call Received (7/16/2025, 10:38:11 AM)</t>
  </si>
  <si>
    <t>Call Received (7/24/2025, 11:55:27 AM)</t>
  </si>
  <si>
    <t>Client Lost (8/7/2025, 1:04:08 PM)</t>
  </si>
  <si>
    <t>Call Received (7/24/2025, 5:20:48 PM)</t>
  </si>
  <si>
    <t>prospect_588</t>
  </si>
  <si>
    <t>Not Received (7/16/2025, 10:36:21 AM)</t>
  </si>
  <si>
    <t>Not Received (7/25/2025, 12:13:20 PM)</t>
  </si>
  <si>
    <t>Not Received (7/16/2025, 1:45:25 PM)</t>
  </si>
  <si>
    <t>prospect_589</t>
  </si>
  <si>
    <t>Client Lost (7/16/2025, 10:38:05 AM)</t>
  </si>
  <si>
    <t>anishfazaman</t>
  </si>
  <si>
    <t>923488607114</t>
  </si>
  <si>
    <t>Call Received (7/16/2025, 10:43:38 AM)</t>
  </si>
  <si>
    <t>Confirmation (7/17/2025, 11:57:22 AM)</t>
  </si>
  <si>
    <t>Confirmation (7/22/2025, 3:29:01 PM)</t>
  </si>
  <si>
    <t>Confirmation (7/21/2025, 4:01:47 PM)</t>
  </si>
  <si>
    <t>pay by 21st july</t>
  </si>
  <si>
    <t>prospect_591</t>
  </si>
  <si>
    <t>Not Received (7/16/2025, 10:47:19 AM)</t>
  </si>
  <si>
    <t>Not Received (7/25/2025, 12:14:22 PM)</t>
  </si>
  <si>
    <t>Not Received (7/16/2025, 1:46:34 PM)</t>
  </si>
  <si>
    <t>16/07/2025</t>
  </si>
  <si>
    <t>prospect_592</t>
  </si>
  <si>
    <t>Not Received (7/16/2025, 10:48:36 AM)</t>
  </si>
  <si>
    <t>Not Received (7/25/2025, 12:17:08 PM)</t>
  </si>
  <si>
    <t>Not Received (7/24/2025, 1:07:04 PM)</t>
  </si>
  <si>
    <t>Not Received (7/25/2025, 4:50:59 PM)</t>
  </si>
  <si>
    <t>interested, will inform</t>
  </si>
  <si>
    <t>prospect_593</t>
  </si>
  <si>
    <t>Not Received (7/26/2025, 11:00:03 AM)</t>
  </si>
  <si>
    <t>Call Received (7/24/2025, 11:58:53 AM)</t>
  </si>
  <si>
    <t>Call Received (8/7/2025, 1:04:56 PM)</t>
  </si>
  <si>
    <t>Call Received (7/24/2025, 5:20:56 PM)</t>
  </si>
  <si>
    <t>prospect_594</t>
  </si>
  <si>
    <t>Client Lost (7/16/2025, 11:01:49 AM)</t>
  </si>
  <si>
    <t>prospect_595</t>
  </si>
  <si>
    <t>Not Received (7/25/2025, 12:17:14 PM)</t>
  </si>
  <si>
    <t>Not Received (7/24/2025, 1:07:53 PM)</t>
  </si>
  <si>
    <t>Not Received (7/22/2025, 4:03:03 PM)</t>
  </si>
  <si>
    <t>prospect_596</t>
  </si>
  <si>
    <t>Call Received (7/26/2025, 10:39:16 AM)</t>
  </si>
  <si>
    <t>Call Received (7/24/2025, 11:59:18 AM)</t>
  </si>
  <si>
    <t>Client Lost (8/7/2025, 1:06:15 PM)</t>
  </si>
  <si>
    <t>Call Received (7/24/2025, 5:22:30 PM)</t>
  </si>
  <si>
    <t>prospect_597</t>
  </si>
  <si>
    <t>Call Received (7/26/2025, 10:39:19 AM)</t>
  </si>
  <si>
    <t>Call Received (7/24/2025, 11:59:28 AM)</t>
  </si>
  <si>
    <t>Call Received (8/7/2025, 1:07:37 PM)</t>
  </si>
  <si>
    <t>Call Received (7/24/2025, 5:23:18 PM)</t>
  </si>
  <si>
    <t>prospect_598</t>
  </si>
  <si>
    <t>Not Received (7/25/2025, 12:25:20 PM)</t>
  </si>
  <si>
    <t>Not Received (7/25/2025, 1:56:22 PM)</t>
  </si>
  <si>
    <t>Not Received (7/24/2025, 5:24:11 PM)</t>
  </si>
  <si>
    <t>just cut the call</t>
  </si>
  <si>
    <t>prospect_599</t>
  </si>
  <si>
    <t>Paid (7/19/2025, 12:17:55 PM)</t>
  </si>
  <si>
    <t>Not Received (7/16/2025, 1:53:48 PM)</t>
  </si>
  <si>
    <t>Confirmation (7/16/2025, 5:06:19 PM)</t>
  </si>
  <si>
    <t>will pay by 19</t>
  </si>
  <si>
    <t>prospect_600</t>
  </si>
  <si>
    <t>Not Received (7/25/2025, 12:26:02 PM)</t>
  </si>
  <si>
    <t>Not Received (7/16/2025, 1:59:27 PM)</t>
  </si>
  <si>
    <t>Not Received (7/22/2025, 4:03:32 PM)</t>
  </si>
  <si>
    <t>prospect_601</t>
  </si>
  <si>
    <t>Paid (7/19/2025, 12:18:10 PM)</t>
  </si>
  <si>
    <t>Not Received (7/16/2025, 2:14:36 PM)</t>
  </si>
  <si>
    <t>Confirmation (7/16/2025, 5:07:14 PM)</t>
  </si>
  <si>
    <t>by 19 july</t>
  </si>
  <si>
    <t>prospect_602</t>
  </si>
  <si>
    <t>Not Received (7/16/2025, 11:22:12 AM)</t>
  </si>
  <si>
    <t>Not Received (7/16/2025, 2:16:29 PM)</t>
  </si>
  <si>
    <t>Not Received (7/22/2025, 4:03:58 PM)</t>
  </si>
  <si>
    <t>prospect_603</t>
  </si>
  <si>
    <t>Call Received (7/16/2025, 10:49:22 AM)</t>
  </si>
  <si>
    <t>Client Lost (7/22/2025, 3:27:32 PM)</t>
  </si>
  <si>
    <t>Confirmation (7/17/2025, 5:25:54 PM)</t>
  </si>
  <si>
    <t>prospect_604</t>
  </si>
  <si>
    <t>Not Received (7/16/2025, 10:55:06 AM)</t>
  </si>
  <si>
    <t>Not Received (7/16/2025, 2:16:44 PM)</t>
  </si>
  <si>
    <t>Client Lost (7/22/2025, 4:05:13 PM)</t>
  </si>
  <si>
    <t>prospect_605</t>
  </si>
  <si>
    <t>Not Received (7/16/2025, 10:56:17 AM)</t>
  </si>
  <si>
    <t>Not Received (7/25/2025, 12:23:21 PM)</t>
  </si>
  <si>
    <t>Not Received (7/24/2025, 1:07:59 PM)</t>
  </si>
  <si>
    <t>Not Received (7/22/2025, 4:06:54 PM)</t>
  </si>
  <si>
    <t>prospect_606</t>
  </si>
  <si>
    <t>Call Later</t>
  </si>
  <si>
    <t>Call Received (7/23/2025, 10:41:05 AM)</t>
  </si>
  <si>
    <t>Call Received (7/24/2025, 12:00:37 PM)</t>
  </si>
  <si>
    <t>Call Later (8/7/2025, 1:08:43 PM)</t>
  </si>
  <si>
    <t>Call Received (7/24/2025, 5:24:27 PM)</t>
  </si>
  <si>
    <t>prospect_608</t>
  </si>
  <si>
    <t>Not Received (7/17/2025, 10:43:30 AM)</t>
  </si>
  <si>
    <t>Not Received (7/25/2025, 12:24:51 PM)</t>
  </si>
  <si>
    <t>Not Received (7/16/2025, 3:07:58 PM)</t>
  </si>
  <si>
    <t>Not Received (7/22/2025, 4:07:38 PM)</t>
  </si>
  <si>
    <t>prospect_609</t>
  </si>
  <si>
    <t>Call Received (7/26/2025, 10:39:24 AM)</t>
  </si>
  <si>
    <t>Call Received (7/24/2025, 12:01:01 PM)</t>
  </si>
  <si>
    <t>Client Lost (8/7/2025, 2:39:23 PM)</t>
  </si>
  <si>
    <t>Call Received (7/24/2025, 5:27:01 PM)</t>
  </si>
  <si>
    <t>prospect_610</t>
  </si>
  <si>
    <t>Not Received (7/18/2025, 09:41:30 AM)</t>
  </si>
  <si>
    <t>Not Received (7/16/2025, 11:25:41 AM)</t>
  </si>
  <si>
    <t>Not Received (7/17/2025, 1:51:35 PM)</t>
  </si>
  <si>
    <t>Not Received (7/22/2025, 4:08:38 PM)</t>
  </si>
  <si>
    <t>prospect_611</t>
  </si>
  <si>
    <t>Not Received (7/26/2025, 09:46:30 AM)</t>
  </si>
  <si>
    <t>Not Received (7/25/2025, 12:26:13 PM)</t>
  </si>
  <si>
    <t>Not Received (7/17/2025, 1:52:38 PM)</t>
  </si>
  <si>
    <t>Not Received (7/22/2025, 4:09:28 PM)</t>
  </si>
  <si>
    <t>prospect_612</t>
  </si>
  <si>
    <t>Not Received (7/26/2025, 10:47:30 AM)</t>
  </si>
  <si>
    <t>Not Received (7/16/2025, 11:28:57 AM)</t>
  </si>
  <si>
    <t>Not Received (7/17/2025, 1:54:38 PM)</t>
  </si>
  <si>
    <t>Not Received (7/22/2025, 4:11:57 PM)</t>
  </si>
  <si>
    <t>prospect_613</t>
  </si>
  <si>
    <t>Client Lost (7/16/2025, 11:30:04 AM)</t>
  </si>
  <si>
    <t>prospect_614</t>
  </si>
  <si>
    <t>Not Received (7/26/2025, 10:40:30 AM)</t>
  </si>
  <si>
    <t>Not Received (7/24/2025, 12:08:36 PM)</t>
  </si>
  <si>
    <t>Not Received (7/24/2025, 1:08:10 PM)</t>
  </si>
  <si>
    <t>Not Received (7/25/2025, 4:51:22 PM)</t>
  </si>
  <si>
    <t>prospect_615</t>
  </si>
  <si>
    <t>Client Lost (7/16/2025, 11:41:38 AM)</t>
  </si>
  <si>
    <t>prospect_616</t>
  </si>
  <si>
    <t>Not Received (7/26/2025, 10:41:30 AM)</t>
  </si>
  <si>
    <t>Not Received (7/16/2025, 11:42:16 AM)</t>
  </si>
  <si>
    <t>Not Received (7/17/2025, 1:56:04 PM)</t>
  </si>
  <si>
    <t>Not Received (7/22/2025, 4:14:20 PM)</t>
  </si>
  <si>
    <t>prospect_617</t>
  </si>
  <si>
    <t>Call Received (7/26/2025, 10:39:28 AM)</t>
  </si>
  <si>
    <t>Call Received (7/24/2025, 12:09:59 PM)</t>
  </si>
  <si>
    <t>Call Received (8/7/2025, 1:12:58 PM)</t>
  </si>
  <si>
    <t>Call Received (7/24/2025, 5:31:14 PM)</t>
  </si>
  <si>
    <t>prospect_618</t>
  </si>
  <si>
    <t>Client Lost (7/16/2025, 11:46:46 AM)</t>
  </si>
  <si>
    <t>prospect_619</t>
  </si>
  <si>
    <t>Call Received (7/16/2025, 11:57:31 AM)</t>
  </si>
  <si>
    <t>Client Lost (7/24/2025, 5:32:43 PM)</t>
  </si>
  <si>
    <t>prospect_620</t>
  </si>
  <si>
    <t>Client Lost (7/16/2025, 12:00:25 PM)</t>
  </si>
  <si>
    <t>prospect_622</t>
  </si>
  <si>
    <t>Not Received (7/17/2025, 10:49:30 AM)</t>
  </si>
  <si>
    <t>Not Received (7/16/2025, 12:03:42 PM)</t>
  </si>
  <si>
    <t>Not Received (7/17/2025, 2:00:49 PM)</t>
  </si>
  <si>
    <t>Not Received (7/22/2025, 4:17:31 PM)</t>
  </si>
  <si>
    <t>prospect_623</t>
  </si>
  <si>
    <t>Not Received (7/26/2025, 10:49:30 AM)</t>
  </si>
  <si>
    <t>Not Received (7/26/2025, 11:27:34 AM)</t>
  </si>
  <si>
    <t>Not Received (7/17/2025, 2:01:31 PM)</t>
  </si>
  <si>
    <t>Not Received (7/22/2025, 4:18:18 PM)</t>
  </si>
  <si>
    <t>prospect_624</t>
  </si>
  <si>
    <t>Client Lost (7/26/2025, 11:28:22 AM)</t>
  </si>
  <si>
    <t>Not Received (7/17/2025, 2:07:03 PM)</t>
  </si>
  <si>
    <t>Not Received (7/22/2025, 4:18:41 PM)</t>
  </si>
  <si>
    <t>prospect_625</t>
  </si>
  <si>
    <t>Call Received (7/26/2025, 11:29:56 AM)</t>
  </si>
  <si>
    <t>Client Lost (8/7/2025, 1:13:50 PM)</t>
  </si>
  <si>
    <t>Not Received (7/22/2025, 4:20:08 PM)</t>
  </si>
  <si>
    <t>prospect_626</t>
  </si>
  <si>
    <t>Call Received (7/16/2025, 12:12:54 PM)</t>
  </si>
  <si>
    <t>Client Lost (8/7/2025, 1:14:45 PM)</t>
  </si>
  <si>
    <t>Demo (7/24/2025, 5:35:10 PM)</t>
  </si>
  <si>
    <t>busy can't join</t>
  </si>
  <si>
    <t>prospect_627</t>
  </si>
  <si>
    <t>Confirmation (7/16/2025, 12:15:46 PM)</t>
  </si>
  <si>
    <t>Confirmation (7/22/2025, 3:24:35 PM)</t>
  </si>
  <si>
    <t>Confirmation (7/23/2025, 5:11:02 PM)</t>
  </si>
  <si>
    <t>will enroll his son</t>
  </si>
  <si>
    <t>prospect_628</t>
  </si>
  <si>
    <t>Client Lost (7/16/2025, 12:17:17 PM)</t>
  </si>
  <si>
    <t>Zaman</t>
  </si>
  <si>
    <t>Not Received (7/26/2025, 11:36:49 AM)</t>
  </si>
  <si>
    <t>Not Received (7/17/2025, 2:05:49 PM)</t>
  </si>
  <si>
    <t>Not Received (7/22/2025, 4:21:24 PM)</t>
  </si>
  <si>
    <t>prospect_629</t>
  </si>
  <si>
    <t>Not Received (7/16/2025, 12:19:00 PM)</t>
  </si>
  <si>
    <t>Client Lost (7/17/2025, 2:08:20 PM)</t>
  </si>
  <si>
    <t>need QA course</t>
  </si>
  <si>
    <t>prospect_630</t>
  </si>
  <si>
    <t>Call Received (7/26/2025, 11:39:23 AM)</t>
  </si>
  <si>
    <t>Call Received (8/7/2025, 1:19:26 PM)</t>
  </si>
  <si>
    <t>Not Received (7/22/2025, 4:21:29 PM)</t>
  </si>
  <si>
    <t>S.Mirza</t>
  </si>
  <si>
    <t>Not Received (7/16/2025, 12:22:15 PM)</t>
  </si>
  <si>
    <t>Not Received (7/16/2025, 3:15:54 PM)</t>
  </si>
  <si>
    <t>Client Lost (7/22/2025, 4:22:38 PM)</t>
  </si>
  <si>
    <t>prospect_631</t>
  </si>
  <si>
    <t>Not Received (7/26/2025, 11:46:27 AM)</t>
  </si>
  <si>
    <t>Not Received (7/24/2025, 1:08:45 PM)</t>
  </si>
  <si>
    <t>Not Received (7/22/2025, 4:23:08 PM)</t>
  </si>
  <si>
    <t>prospect_632</t>
  </si>
  <si>
    <t>Client Lost (7/24/2025, 12:12:04 PM)</t>
  </si>
  <si>
    <t>Call Received (7/16/2025, 4:58:41 PM)</t>
  </si>
  <si>
    <t>Amir Hamza</t>
  </si>
  <si>
    <t>Client Lost (7/17/2025, 2:39:18 PM)</t>
  </si>
  <si>
    <t>Not Received (7/16/2025, 4:59:54 PM)</t>
  </si>
  <si>
    <t>prospect_634</t>
  </si>
  <si>
    <t>Not Received (7/23/2025, 10:43:35 AM)</t>
  </si>
  <si>
    <t>Not Received (7/24/2025, 1:08:51 PM)</t>
  </si>
  <si>
    <t>Call Later (7/16/2025, 5:01:07 PM)</t>
  </si>
  <si>
    <t>prospect_635</t>
  </si>
  <si>
    <t>923348441139/923355841866</t>
  </si>
  <si>
    <t>Not Received (7/26/2025, 2:25:41 PM)</t>
  </si>
  <si>
    <t>Not Received (7/16/2025, 5:01:39 PM)</t>
  </si>
  <si>
    <t>prospect_636</t>
  </si>
  <si>
    <t>Call Received (7/26/2025, 10:39:32 AM)</t>
  </si>
  <si>
    <t>Call Received (7/24/2025, 12:13:16 PM)</t>
  </si>
  <si>
    <t>Call Received (8/7/2025, 1:20:31 PM)</t>
  </si>
  <si>
    <t>Call Received (7/24/2025, 5:36:27 PM)</t>
  </si>
  <si>
    <t>prospect_637</t>
  </si>
  <si>
    <t>Not Received (7/26/2025, 11:46:38 AM)</t>
  </si>
  <si>
    <t>Not Received (7/24/2025, 1:08:57 PM)</t>
  </si>
  <si>
    <t>Not Received (7/16/2025, 5:05:00 PM)</t>
  </si>
  <si>
    <t>prospect_638</t>
  </si>
  <si>
    <t>Not Received (7/25/2025, 12:33:20 PM)</t>
  </si>
  <si>
    <t>Not Received (7/17/2025, 2:52:28 PM)</t>
  </si>
  <si>
    <t>Not Received (7/16/2025, 5:39:15 PM)</t>
  </si>
  <si>
    <t>prospect_639</t>
  </si>
  <si>
    <t>Not Received (7/17/2025, 10:39:55 AM)</t>
  </si>
  <si>
    <t>Call Received (7/24/2025, 12:14:42 PM)</t>
  </si>
  <si>
    <t>Call Received (7/17/2025, 2:54:22 PM)</t>
  </si>
  <si>
    <t>Client Lost (7/24/2025, 5:37:39 PM)</t>
  </si>
  <si>
    <t>17/07/2025</t>
  </si>
  <si>
    <t>prospect_640</t>
  </si>
  <si>
    <t>Not Received (7/17/2025, 10:41:30 AM)</t>
  </si>
  <si>
    <t>Not Received (7/25/2025, 12:33:52 PM)</t>
  </si>
  <si>
    <t>Not Received (7/17/2025, 2:55:50 PM)</t>
  </si>
  <si>
    <t>Not Received (7/22/2025, 4:23:43 PM)</t>
  </si>
  <si>
    <t>prospect_641</t>
  </si>
  <si>
    <t>Call Received (7/23/2025, 10:45:28 AM)</t>
  </si>
  <si>
    <t>Call Received (7/24/2025, 12:15:43 PM)</t>
  </si>
  <si>
    <t>Client Lost (7/24/2025, 5:38:28 PM)</t>
  </si>
  <si>
    <t>prospect_643</t>
  </si>
  <si>
    <t>Client Lost (7/17/2025, 10:53:08 AM)</t>
  </si>
  <si>
    <t>prospect_644</t>
  </si>
  <si>
    <t>Call Received (7/17/2025, 10:52:28 AM)</t>
  </si>
  <si>
    <t>Client Lost (7/24/2025, 12:20:10 PM)</t>
  </si>
  <si>
    <t>prospect_645</t>
  </si>
  <si>
    <t>Not Received (7/17/2025, 10:55:27 AM)</t>
  </si>
  <si>
    <t>Not Received (7/25/2025, 12:42:35 PM)</t>
  </si>
  <si>
    <t>Not Received (7/17/2025, 2:57:23 PM)</t>
  </si>
  <si>
    <t>Not Received (7/22/2025, 4:24:11 PM)</t>
  </si>
  <si>
    <t>prospect_646</t>
  </si>
  <si>
    <t>Not Received (7/17/2025, 10:56:48 AM)</t>
  </si>
  <si>
    <t>Not Received (7/25/2025, 12:47:56 PM)</t>
  </si>
  <si>
    <t>Not Received (7/17/2025, 2:58:34 PM)</t>
  </si>
  <si>
    <t>Not Received (7/22/2025, 4:24:44 PM)</t>
  </si>
  <si>
    <t>prospect_647</t>
  </si>
  <si>
    <t>Client Lost (8/1/2025, 10:36:21 AM)</t>
  </si>
  <si>
    <t>Not Received (7/25/2025, 12:48:01 PM)</t>
  </si>
  <si>
    <t>Not Received (7/17/2025, 2:59:27 PM)</t>
  </si>
  <si>
    <t>Not Received (7/22/2025, 4:25:15 PM)</t>
  </si>
  <si>
    <t>prospect_648</t>
  </si>
  <si>
    <t>Call Later (7/17/2025, 11:00:13 AM)</t>
  </si>
  <si>
    <t>Client Lost (7/23/2025, 11:13:14 AM)</t>
  </si>
  <si>
    <t>prospect_650</t>
  </si>
  <si>
    <t>Client Lost (7/17/2025, 11:25:22 AM)</t>
  </si>
  <si>
    <t>prospect_651</t>
  </si>
  <si>
    <t>Client Lost (7/17/2025, 11:26:32 AM)</t>
  </si>
  <si>
    <t>prospect_652</t>
  </si>
  <si>
    <t>Not Received (7/25/2025, 11:01:56 AM)</t>
  </si>
  <si>
    <t>Not Received (7/26/2025, 11:47:31 AM)</t>
  </si>
  <si>
    <t>Not Received (7/25/2025, 1:56:48 PM)</t>
  </si>
  <si>
    <t>Not Received (7/24/2025, 5:38:57 PM)</t>
  </si>
  <si>
    <t>prospect_653</t>
  </si>
  <si>
    <t>Not Received (7/25/2025, 10:20:56 AM)</t>
  </si>
  <si>
    <t>Not Received (7/26/2025, 11:47:54 AM)</t>
  </si>
  <si>
    <t>Not Received (7/17/2025, 3:00:29 PM)</t>
  </si>
  <si>
    <t>Not Received (7/22/2025, 4:25:40 PM)</t>
  </si>
  <si>
    <t>prospect_654</t>
  </si>
  <si>
    <t>Call Received (7/26/2025, 10:39:54 AM)</t>
  </si>
  <si>
    <t>Call Received (7/17/2025, 11:34:27 AM)</t>
  </si>
  <si>
    <t>Call Received (8/7/2025, 1:23:12 PM)</t>
  </si>
  <si>
    <t>Call Received (7/25/2025, 4:44:02 PM)</t>
  </si>
  <si>
    <t>prospect_655</t>
  </si>
  <si>
    <t>Not Received (7/25/2025, 12:50:45 PM)</t>
  </si>
  <si>
    <t>Not Received (7/17/2025, 3:01:47 PM)</t>
  </si>
  <si>
    <t>Not Received (7/22/2025, 4:26:26 PM)</t>
  </si>
  <si>
    <t>prospect_656</t>
  </si>
  <si>
    <t>Call Received (7/26/2025, 10:39:59 AM)</t>
  </si>
  <si>
    <t>Not Received (7/17/2025, 11:41:39 AM)</t>
  </si>
  <si>
    <t>Call Received (8/7/2025, 1:24:45 PM)</t>
  </si>
  <si>
    <t>Call Received (7/24/2025, 5:39:57 PM)</t>
  </si>
  <si>
    <t>prospect_657</t>
  </si>
  <si>
    <t>Not Received (7/17/2025, 11:42:27 AM)</t>
  </si>
  <si>
    <t>Not Received (7/17/2025, 3:06:21 PM)</t>
  </si>
  <si>
    <t>Confirmation (7/22/2025, 4:30:12 PM)</t>
  </si>
  <si>
    <t>confirm by today or tomorrow</t>
  </si>
  <si>
    <t>prospect_660</t>
  </si>
  <si>
    <t>Call Received (7/26/2025, 10:40:34 AM)</t>
  </si>
  <si>
    <t>Not Received (7/17/2025, 11:45:20 AM)</t>
  </si>
  <si>
    <t>Not Received (7/17/2025, 3:07:27 PM)</t>
  </si>
  <si>
    <t>Call Received (7/24/2025, 5:41:20 PM)</t>
  </si>
  <si>
    <t>prospect_661</t>
  </si>
  <si>
    <t>Not Received (7/25/2025, 11:02:56 AM)</t>
  </si>
  <si>
    <t>Not Received (7/17/2025, 11:45:43 AM)</t>
  </si>
  <si>
    <t>Not Received (7/24/2025, 1:09:08 PM)</t>
  </si>
  <si>
    <t>Not Received (7/22/2025, 4:38:43 PM)</t>
  </si>
  <si>
    <t>prospect_662</t>
  </si>
  <si>
    <t>Not Received (7/17/2025, 11:46:41 AM)</t>
  </si>
  <si>
    <t>Client Lost (7/17/2025, 3:10:19 PM)</t>
  </si>
  <si>
    <t>prospect_663</t>
  </si>
  <si>
    <t>Call Received (7/23/2025, 10:47:59 AM)</t>
  </si>
  <si>
    <t>Call Later (7/17/2025, 11:47:37 AM)</t>
  </si>
  <si>
    <t>Call Received (8/7/2025, 1:32:43 PM)</t>
  </si>
  <si>
    <t>Call Received (7/24/2025, 5:42:47 PM)</t>
  </si>
  <si>
    <t>prospect_664</t>
  </si>
  <si>
    <t>Not Received (7/23/2025, 10:51:42 AM)</t>
  </si>
  <si>
    <t>Not Received (7/25/2025, 12:52:37 PM)</t>
  </si>
  <si>
    <t>Not Received (7/25/2025, 1:56:55 PM)</t>
  </si>
  <si>
    <t>Not Received (7/25/2025, 4:51:37 PM)</t>
  </si>
  <si>
    <t>prospect_665</t>
  </si>
  <si>
    <t>Not Received (7/25/2025, 10:11:56 AM)</t>
  </si>
  <si>
    <t>Not Received (7/26/2025, 12:02:26 PM)</t>
  </si>
  <si>
    <t>Not Received (7/17/2025, 3:18:20 PM)</t>
  </si>
  <si>
    <t>Not Received (7/22/2025, 4:39:48 PM)</t>
  </si>
  <si>
    <t>prospect_666</t>
  </si>
  <si>
    <t>Not Received (7/26/2025, 11:01:56 AM)</t>
  </si>
  <si>
    <t>Not Received (7/25/2025, 1:00:25 PM)</t>
  </si>
  <si>
    <t>Not Received (7/25/2025, 1:57:05 PM)</t>
  </si>
  <si>
    <t>Not Received (7/24/2025, 5:43:21 PM)</t>
  </si>
  <si>
    <t>prospect_667</t>
  </si>
  <si>
    <t>Not Received (7/17/2025, 11:55:50 AM)</t>
  </si>
  <si>
    <t>Call Received (7/17/2025, 3:20:43 PM)</t>
  </si>
  <si>
    <t>Client Lost (7/25/2025, 4:44:45 PM)</t>
  </si>
  <si>
    <t>lost hai</t>
  </si>
  <si>
    <t>prospect_668</t>
  </si>
  <si>
    <t>Not Received (7/17/2025, 11:58:15 AM)</t>
  </si>
  <si>
    <t>Not Received (7/17/2025, 3:21:59 PM)</t>
  </si>
  <si>
    <t>Client Lost (7/22/2025, 4:41:17 PM)</t>
  </si>
  <si>
    <t>prospect_669</t>
  </si>
  <si>
    <t>Not Received (7/26/2025, 10:04:56 AM)</t>
  </si>
  <si>
    <t>Not Received (7/25/2025, 1:00:33 PM)</t>
  </si>
  <si>
    <t>Not Received (7/24/2025, 1:10:31 PM)</t>
  </si>
  <si>
    <t>Not Received (7/22/2025, 4:41:30 PM)</t>
  </si>
  <si>
    <t>prospect_670</t>
  </si>
  <si>
    <t>Not Received (7/25/2025, 1:00:43 PM)</t>
  </si>
  <si>
    <t>Not Received (7/24/2025, 1:10:36 PM)</t>
  </si>
  <si>
    <t>Not Received (7/22/2025, 4:41:35 PM)</t>
  </si>
  <si>
    <t>prospect_671</t>
  </si>
  <si>
    <t>Not Received (7/17/2025, 12:03:42 PM)</t>
  </si>
  <si>
    <t>Client Lost (7/25/2025, 1:02:46 PM)</t>
  </si>
  <si>
    <t>Not Received (7/22/2025, 4:42:18 PM)</t>
  </si>
  <si>
    <t>prospect_672</t>
  </si>
  <si>
    <t>Not Received (7/26/2025, 10:06:56 AM)</t>
  </si>
  <si>
    <t>Not Received (7/23/2025, 11:33:48 AM)</t>
  </si>
  <si>
    <t>Not Received (7/25/2025, 1:04:19 PM)</t>
  </si>
  <si>
    <t>Not Received (7/22/2025, 4:43:06 PM)</t>
  </si>
  <si>
    <t>prospect_673</t>
  </si>
  <si>
    <t>Client Lost (7/17/2025, 12:05:40 PM)</t>
  </si>
  <si>
    <t>prospect_674</t>
  </si>
  <si>
    <t>Not Received (7/17/2025, 12:07:20 PM)</t>
  </si>
  <si>
    <t>Not Received (7/17/2025, 3:26:32 PM)</t>
  </si>
  <si>
    <t>Client Lost (7/22/2025, 4:44:47 PM)</t>
  </si>
  <si>
    <t>prospect_675</t>
  </si>
  <si>
    <t>Not Received (7/17/2025, 12:08:15 PM)</t>
  </si>
  <si>
    <t>Client Lost (7/17/2025, 3:27:52 PM)</t>
  </si>
  <si>
    <t>prospect_676</t>
  </si>
  <si>
    <t>Not Received (7/23/2025, 11:18:54 AM)</t>
  </si>
  <si>
    <t>Client Lost (7/25/2025, 1:05:52 PM)</t>
  </si>
  <si>
    <t>call at 4:30 pm</t>
  </si>
  <si>
    <t>prospect_677</t>
  </si>
  <si>
    <t>Not Received (7/26/2025, 10:07:51 AM)</t>
  </si>
  <si>
    <t>Form Filled (7/17/2025, 12:26:18 PM)</t>
  </si>
  <si>
    <t>Not Received (7/25/2025, 3:20:37 PM)</t>
  </si>
  <si>
    <t>Not Received (7/25/2025, 4:51:51 PM)</t>
  </si>
  <si>
    <t>prospect_678</t>
  </si>
  <si>
    <t>Not Received (7/26/2025, 10:08:36 AM)</t>
  </si>
  <si>
    <t>Call Received (7/17/2025, 12:15:59 PM)</t>
  </si>
  <si>
    <t>Not Received (7/25/2025, 1:38:37 PM)</t>
  </si>
  <si>
    <t>Not Received (7/24/2025, 5:44:26 PM)</t>
  </si>
  <si>
    <t>share info and will inform by today</t>
  </si>
  <si>
    <t>prospect_679</t>
  </si>
  <si>
    <t>Call Received (7/26/2025, 10:40:39 AM)</t>
  </si>
  <si>
    <t>Call Received (7/17/2025, 12:18:36 PM)</t>
  </si>
  <si>
    <t>Client Lost (8/7/2025, 1:33:53 PM)</t>
  </si>
  <si>
    <t>Call Received (7/24/2025, 5:45:00 PM)</t>
  </si>
  <si>
    <t>prospect_680</t>
  </si>
  <si>
    <t>Confirmation (7/17/2025, 12:54:12 PM)</t>
  </si>
  <si>
    <t>Confirmation (7/24/2025, 1:44:56 PM)</t>
  </si>
  <si>
    <t>Confirmation (7/21/2025, 4:18:49 PM)</t>
  </si>
  <si>
    <t>prospect_681</t>
  </si>
  <si>
    <t>Not Received (7/26/2025, 10:24:16 AM)</t>
  </si>
  <si>
    <t>Not Received (7/23/2025, 11:34:13 AM)</t>
  </si>
  <si>
    <t>Not Received (7/17/2025, 3:30:17 PM)</t>
  </si>
  <si>
    <t>Not Received (7/22/2025, 4:44:56 PM)</t>
  </si>
  <si>
    <t>prospect_682</t>
  </si>
  <si>
    <t>Client Lost (7/17/2025, 12:23:03 PM)</t>
  </si>
  <si>
    <t>prospect_683</t>
  </si>
  <si>
    <t>Not Received (7/17/2025, 12:23:24 PM)</t>
  </si>
  <si>
    <t>Client Lost (7/17/2025, 3:36:49 PM)</t>
  </si>
  <si>
    <t>prospect_684</t>
  </si>
  <si>
    <t>Not Received (7/26/2025, 10:25:56 AM)</t>
  </si>
  <si>
    <t>Client Lost (7/17/2025, 12:24:32 PM)</t>
  </si>
  <si>
    <t>Call Received (7/19/2025, 1:04:19 PM)</t>
  </si>
  <si>
    <t>Not Received (7/24/2025, 5:46:01 PM)</t>
  </si>
  <si>
    <t>Najma</t>
  </si>
  <si>
    <t>Client Lost (7/17/2025, 12:29:06 PM)</t>
  </si>
  <si>
    <t>prospect_685</t>
  </si>
  <si>
    <t>Client Lost (7/17/2025, 12:30:09 PM)</t>
  </si>
  <si>
    <t>prospect_686</t>
  </si>
  <si>
    <t>Call Received (7/23/2025, 10:54:59 AM)</t>
  </si>
  <si>
    <t>Call Later (7/17/2025, 12:32:21 PM)</t>
  </si>
  <si>
    <t>Call Received (8/7/2025, 1:35:02 PM)</t>
  </si>
  <si>
    <t>Call Received (7/24/2025, 5:46:55 PM)</t>
  </si>
  <si>
    <t>prospect_687</t>
  </si>
  <si>
    <t>Not Received (7/26/2025, 10:12:12 AM)</t>
  </si>
  <si>
    <t>Not Received (7/17/2025, 12:33:25 PM)</t>
  </si>
  <si>
    <t>Call Received (7/17/2025, 3:35:54 PM)</t>
  </si>
  <si>
    <t>Not Received (7/24/2025, 5:47:30 PM)</t>
  </si>
  <si>
    <t>share info and inform by today</t>
  </si>
  <si>
    <t>prospect_688</t>
  </si>
  <si>
    <t>Not Received (7/26/2025, 10:12:56 AM)</t>
  </si>
  <si>
    <t>Not Received (7/23/2025, 11:35:07 AM)</t>
  </si>
  <si>
    <t>Not Received (7/17/2025, 3:41:55 PM)</t>
  </si>
  <si>
    <t>Not Received (7/22/2025, 4:45:08 PM)</t>
  </si>
  <si>
    <t>Arbaz ali</t>
  </si>
  <si>
    <t>Client Lost (7/17/2025, 12:43:53 PM)</t>
  </si>
  <si>
    <t>prospect_691</t>
  </si>
  <si>
    <t>Not Received (7/26/2025, 10:13:36 AM)</t>
  </si>
  <si>
    <t>Not Received (7/23/2025, 11:42:04 AM)</t>
  </si>
  <si>
    <t>Not Received (7/19/2025, 3:46:38 PM)</t>
  </si>
  <si>
    <t>Not Received (7/22/2025, 4:45:54 PM)</t>
  </si>
  <si>
    <t>prospect_692</t>
  </si>
  <si>
    <t>Call Received (7/26/2025, 10:40:49 AM)</t>
  </si>
  <si>
    <t>Call Received (7/24/2025, 12:34:42 PM)</t>
  </si>
  <si>
    <t>Client Lost (8/7/2025, 2:13:19 PM)</t>
  </si>
  <si>
    <t>Call Received (7/17/2025, 4:02:21 PM)</t>
  </si>
  <si>
    <t>Hajra Azam</t>
  </si>
  <si>
    <t>Not Received (7/23/2025, 11:43:54 AM)</t>
  </si>
  <si>
    <t>Not Received (7/17/2025, 3:59:50 PM)</t>
  </si>
  <si>
    <t>Not Received (7/22/2025, 4:46:00 PM)</t>
  </si>
  <si>
    <t>prospect_693</t>
  </si>
  <si>
    <t>Client Lost (7/19/2025, 3:47:02 PM)</t>
  </si>
  <si>
    <t>Not Received (7/17/2025, 4:02:01 PM)</t>
  </si>
  <si>
    <t>prospect_694</t>
  </si>
  <si>
    <t>Not Received (7/23/2025, 11:46:09 AM)</t>
  </si>
  <si>
    <t>Not Received (7/19/2025, 3:47:27 PM)</t>
  </si>
  <si>
    <t>Not Received (7/17/2025, 4:03:08 PM)</t>
  </si>
  <si>
    <t>prospect_695</t>
  </si>
  <si>
    <t>Not Received (7/26/2025, 10:56:57 AM)</t>
  </si>
  <si>
    <t>Not Received (7/23/2025, 11:46:53 AM)</t>
  </si>
  <si>
    <t>Not Received (7/19/2025, 3:45:45 PM)</t>
  </si>
  <si>
    <t>Not Received (7/17/2025, 4:03:58 PM)</t>
  </si>
  <si>
    <t>prospect_696</t>
  </si>
  <si>
    <t>Not Received (7/26/2025, 10:54:57 AM)</t>
  </si>
  <si>
    <t>Not Received (7/23/2025, 11:48:26 AM)</t>
  </si>
  <si>
    <t>Not Received (7/19/2025, 3:45:42 PM)</t>
  </si>
  <si>
    <t>Not Received (7/17/2025, 4:04:25 PM)</t>
  </si>
  <si>
    <t>Call Received (7/26/2025, 10:41:07 AM)</t>
  </si>
  <si>
    <t>Call Received (7/24/2025, 12:36:14 PM)</t>
  </si>
  <si>
    <t>Call Received (8/7/2025, 1:40:27 PM)</t>
  </si>
  <si>
    <t>Call Received (7/17/2025, 4:07:22 PM)</t>
  </si>
  <si>
    <t>share info, interested will inform</t>
  </si>
  <si>
    <t>prospect_697</t>
  </si>
  <si>
    <t>Call Received (7/26/2025, 10:41:11 AM)</t>
  </si>
  <si>
    <t>Call Received (7/23/2025, 11:51:21 AM)</t>
  </si>
  <si>
    <t>Not Received (7/19/2025, 3:45:38 PM)</t>
  </si>
  <si>
    <t>Not Received (7/17/2025, 4:08:27 PM)</t>
  </si>
  <si>
    <t>Zarshina Khan</t>
  </si>
  <si>
    <t>Client Lost (7/26/2025, 2:56:57 PM)</t>
  </si>
  <si>
    <t>Call Received (7/17/2025, 4:09:48 PM)</t>
  </si>
  <si>
    <t>prospect_698</t>
  </si>
  <si>
    <t>Not Received (7/26/2025, 10:40:57 AM)</t>
  </si>
  <si>
    <t>Not Received (7/23/2025, 11:52:18 AM)</t>
  </si>
  <si>
    <t>Not Received (7/19/2025, 3:45:35 PM)</t>
  </si>
  <si>
    <t>Not Received (7/17/2025, 4:20:55 PM)</t>
  </si>
  <si>
    <t>javeria rasheed</t>
  </si>
  <si>
    <t>923498879012</t>
  </si>
  <si>
    <t>Paid (7/19/2025, 5:43:31 PM)</t>
  </si>
  <si>
    <t>will pay till sat</t>
  </si>
  <si>
    <t>prospect_700</t>
  </si>
  <si>
    <t>Call Received (7/26/2025, 10:41:15 AM)</t>
  </si>
  <si>
    <t>Call Received (7/24/2025, 12:32:43 PM)</t>
  </si>
  <si>
    <t>Call Received (8/7/2025, 1:43:15 PM)</t>
  </si>
  <si>
    <t>Call Received (7/17/2025, 4:27:09 PM)</t>
  </si>
  <si>
    <t>prospect_701</t>
  </si>
  <si>
    <t>Not Received (7/26/2025, 10:46:57 AM)</t>
  </si>
  <si>
    <t>Not Received (7/23/2025, 11:53:29 AM)</t>
  </si>
  <si>
    <t>Not Received (7/19/2025, 3:45:32 PM)</t>
  </si>
  <si>
    <t>Not Received (7/17/2025, 4:29:01 PM)</t>
  </si>
  <si>
    <t>prospect_702</t>
  </si>
  <si>
    <t>Not Received (7/26/2025, 10:48:57 AM)</t>
  </si>
  <si>
    <t>Not Received (7/23/2025, 11:54:34 AM)</t>
  </si>
  <si>
    <t>Not Received (7/22/2025, 1:03:54 PM)</t>
  </si>
  <si>
    <t>Not Received (7/17/2025, 5:29:10 PM)</t>
  </si>
  <si>
    <t>prospect_703</t>
  </si>
  <si>
    <t>Client Lost (7/17/2025, 5:30:34 PM)</t>
  </si>
  <si>
    <t>18/07/2025</t>
  </si>
  <si>
    <t>prospect_704</t>
  </si>
  <si>
    <t>Not Received (7/23/2025, 11:54:59 AM)</t>
  </si>
  <si>
    <t>Not Received (7/18/2025, 3:56:05 PM)</t>
  </si>
  <si>
    <t>Not Received (7/22/2025, 4:46:53 PM)</t>
  </si>
  <si>
    <t>prospect_705</t>
  </si>
  <si>
    <t>Call Received (7/26/2025, 10:41:41 AM)</t>
  </si>
  <si>
    <t>Call Received (8/7/2025, 1:45:56 PM)</t>
  </si>
  <si>
    <t>Not Received (7/22/2025, 4:47:39 PM)</t>
  </si>
  <si>
    <t>prospect_706</t>
  </si>
  <si>
    <t>Client Lost (7/23/2025, 11:56:35 AM)</t>
  </si>
  <si>
    <t>Not Received (7/18/2025, 3:57:20 PM)</t>
  </si>
  <si>
    <t>Not Received (7/22/2025, 4:48:00 PM)</t>
  </si>
  <si>
    <t>prospect_707</t>
  </si>
  <si>
    <t>Not Received (7/23/2025, 10:58:21 AM)</t>
  </si>
  <si>
    <t>Not Received (7/23/2025, 11:56:57 AM)</t>
  </si>
  <si>
    <t>Not Received (7/18/2025, 3:58:18 PM)</t>
  </si>
  <si>
    <t>Call Later (7/22/2025, 4:48:59 PM)</t>
  </si>
  <si>
    <t>prospect_708</t>
  </si>
  <si>
    <t>Not Received (7/25/2025, 10:29:56 AM)</t>
  </si>
  <si>
    <t>Not Received (7/26/2025, 11:59:54 AM)</t>
  </si>
  <si>
    <t>Not Received (7/25/2025, 1:38:57 PM)</t>
  </si>
  <si>
    <t>Not Received (7/22/2025, 4:51:54 PM)</t>
  </si>
  <si>
    <t>prospect_709</t>
  </si>
  <si>
    <t>Not Received (7/25/2025, 10:29:59 AM)</t>
  </si>
  <si>
    <t>Not Received (7/23/2025, 12:02:08 PM)</t>
  </si>
  <si>
    <t>Not Received (7/18/2025, 3:59:32 PM)</t>
  </si>
  <si>
    <t>Not Received (7/22/2025, 4:54:25 PM)</t>
  </si>
  <si>
    <t>prospect_710</t>
  </si>
  <si>
    <t>Client Lost (7/18/2025, 4:02:29 PM)</t>
  </si>
  <si>
    <t>prospect_711</t>
  </si>
  <si>
    <t>Client Lost (7/18/2025, 4:03:47 PM)</t>
  </si>
  <si>
    <t>prospect_712</t>
  </si>
  <si>
    <t>Client Lost (7/22/2025, 2:15:13 PM)</t>
  </si>
  <si>
    <t>Confirmation (7/18/2025, 4:08:30 PM)</t>
  </si>
  <si>
    <t>willl join, interested</t>
  </si>
  <si>
    <t>prospect_713</t>
  </si>
  <si>
    <t>Client Lost (7/19/2025, 1:15:47 PM)</t>
  </si>
  <si>
    <t>Call Received (7/18/2025, 4:21:35 PM)</t>
  </si>
  <si>
    <t>prospect_714</t>
  </si>
  <si>
    <t>Confirmation (7/24/2025, 1:41:42 PM)</t>
  </si>
  <si>
    <t>Confirmation (7/18/2025, 4:23:09 PM)</t>
  </si>
  <si>
    <t>by tomorrow morning</t>
  </si>
  <si>
    <t>prospect_715</t>
  </si>
  <si>
    <t>Not Received (7/25/2025, 11:00:56 AM)</t>
  </si>
  <si>
    <t>Not Received (7/23/2025, 12:06:07 PM)</t>
  </si>
  <si>
    <t>Not Received (7/25/2025, 1:39:09 PM)</t>
  </si>
  <si>
    <t>Not Received (7/22/2025, 4:54:52 PM)</t>
  </si>
  <si>
    <t>prospect_716</t>
  </si>
  <si>
    <t>Client Lost (7/18/2025, 4:29:19 PM)</t>
  </si>
  <si>
    <t>prospect_717</t>
  </si>
  <si>
    <t>Not Received (7/23/2025, 12:08:56 PM)</t>
  </si>
  <si>
    <t>Not Received (7/25/2025, 1:53:11 PM)</t>
  </si>
  <si>
    <t>Not Received (7/18/2025, 4:31:04 PM)</t>
  </si>
  <si>
    <t>prospect_718</t>
  </si>
  <si>
    <t>Not Received (7/23/2025, 12:09:50 PM)</t>
  </si>
  <si>
    <t>Not Received (7/19/2025, 1:44:07 PM)</t>
  </si>
  <si>
    <t>Not Received (7/18/2025, 4:33:13 PM)</t>
  </si>
  <si>
    <t>prospect_719</t>
  </si>
  <si>
    <t>Not Received (7/26/2025, 09:29:56 AM)</t>
  </si>
  <si>
    <t>Not Received (7/23/2025, 12:11:09 PM)</t>
  </si>
  <si>
    <t>Not Received (7/19/2025, 1:44:51 PM)</t>
  </si>
  <si>
    <t>Not Received (7/18/2025, 4:33:41 PM)</t>
  </si>
  <si>
    <t>prospect_720</t>
  </si>
  <si>
    <t>Not Received (7/26/2025,09:29:56 AM)</t>
  </si>
  <si>
    <t>Not Received (7/23/2025, 12:11:30 PM)</t>
  </si>
  <si>
    <t>Not Received (7/25/2025, 1:53:57 PM)</t>
  </si>
  <si>
    <t>Not Received (7/18/2025, 4:34:38 PM)</t>
  </si>
  <si>
    <t>prospect_721</t>
  </si>
  <si>
    <t>Not Received (7/26/2025, 11:09:56 AM)</t>
  </si>
  <si>
    <t>Not Received (7/23/2025, 12:12:30 PM)</t>
  </si>
  <si>
    <t>Not Received (7/25/2025, 1:54:01 PM)</t>
  </si>
  <si>
    <t>Not Received (7/18/2025, 4:35:00 PM)</t>
  </si>
  <si>
    <t>923298869635</t>
  </si>
  <si>
    <t>Client Lost (7/22/2025, 3:22:49 PM)</t>
  </si>
  <si>
    <t>Confirmation (7/18/2025, 4:40:23 PM)</t>
  </si>
  <si>
    <t>will pay tomorrow</t>
  </si>
  <si>
    <t>prospect_723</t>
  </si>
  <si>
    <t>Not Later (7/23/2025, 11:00:26 AM)</t>
  </si>
  <si>
    <t>Not Received (7/23/2025, 12:12:57 PM)</t>
  </si>
  <si>
    <t>Not Received (7/24/2025, 1:11:57 PM)</t>
  </si>
  <si>
    <t>Call Later (7/18/2025, 10:01:35 PM)</t>
  </si>
  <si>
    <t>prospect_724</t>
  </si>
  <si>
    <t>Client Lost (8/7/2025, 2:15:22 PM)</t>
  </si>
  <si>
    <t>Demo (7/18/2025, 10:01:59 PM)</t>
  </si>
  <si>
    <t>prospect_725</t>
  </si>
  <si>
    <t>Client Lost (7/18/2025, 10:02:09 PM)</t>
  </si>
  <si>
    <t>prospect_726</t>
  </si>
  <si>
    <t>Confirmation (7/22/2025, 2:06:14 PM)</t>
  </si>
  <si>
    <t>Call Received (7/18/2025, 10:02:48 PM)</t>
  </si>
  <si>
    <t>demo and join from next week</t>
  </si>
  <si>
    <t>prospect_727</t>
  </si>
  <si>
    <t>Client Lost (7/19/2025, 1:47:56 PM)</t>
  </si>
  <si>
    <t>Not Received (7/18/2025, 10:02:20 PM)</t>
  </si>
  <si>
    <t>prospect_728</t>
  </si>
  <si>
    <t>Not Received (7/26/2025, 2:29:51 PM)</t>
  </si>
  <si>
    <t>Call Received (7/18/2025, 10:03:07 PM)</t>
  </si>
  <si>
    <t>prospect_729</t>
  </si>
  <si>
    <t>Not Received (7/26/2025, 10:41:48 AM)</t>
  </si>
  <si>
    <t>Call Received (7/23/2025, 11:02:48 AM)</t>
  </si>
  <si>
    <t>Call Received (7/25/2025, 3:22:51 PM)</t>
  </si>
  <si>
    <t>Call Later (7/18/2025, 10:03:18 PM)</t>
  </si>
  <si>
    <t>prospect_730</t>
  </si>
  <si>
    <t>Client Lost (7/19/2025, 1:49:31 PM)</t>
  </si>
  <si>
    <t>Not Received (7/18/2025, 10:03:24 PM)</t>
  </si>
  <si>
    <t>prospect_731</t>
  </si>
  <si>
    <t>Confirmation (7/19/2025, 1:21:54 PM)</t>
  </si>
  <si>
    <t>Client Lost (7/21/2025, 4:29:32 PM)</t>
  </si>
  <si>
    <t>prospect_732</t>
  </si>
  <si>
    <t>Call Received (7/26/2025, 10:47:41 AM)</t>
  </si>
  <si>
    <t>Call Received (7/26/2025, 11:20:59 AM)</t>
  </si>
  <si>
    <t>Client Lost (8/7/2025, 1:48:04 PM)</t>
  </si>
  <si>
    <t>Not Received (7/18/2025, 10:03:35 PM)</t>
  </si>
  <si>
    <t>prospect_733</t>
  </si>
  <si>
    <t>Call Received (7/25/2025, 11:29:56 AM)</t>
  </si>
  <si>
    <t>Not Received (7/26/2025, 11:22:02 AM)</t>
  </si>
  <si>
    <t>Call Received (7/26/2025, 1:52:57 PM)</t>
  </si>
  <si>
    <t>Not Received (7/18/2025, 10:03:40 PM)</t>
  </si>
  <si>
    <t>prospect_734</t>
  </si>
  <si>
    <t>Call Received (7/25/2025, 11:30:56 AM)</t>
  </si>
  <si>
    <t>Not Received (7/23/2025, 12:16:35 PM)</t>
  </si>
  <si>
    <t>Not Received (7/19/2025, 2:00:32 PM)</t>
  </si>
  <si>
    <t>Not Received (7/18/2025, 10:03:44 PM)</t>
  </si>
  <si>
    <t>prospect_735</t>
  </si>
  <si>
    <t>Call Received (7/19/2025, 9:46:25 AM)</t>
  </si>
  <si>
    <t>Call Received (7/24/2025, 12:32:14 PM)</t>
  </si>
  <si>
    <t>Client Lost (8/7/2025, 1:49:17 PM)</t>
  </si>
  <si>
    <t>Not Received (7/18/2025, 10:03:49 PM)</t>
  </si>
  <si>
    <t>need discount</t>
  </si>
  <si>
    <t>prospect_736</t>
  </si>
  <si>
    <t>Client Lost (7/19/2025, 9:46:36 AM)</t>
  </si>
  <si>
    <t>prospect_737</t>
  </si>
  <si>
    <t>Not Received (7/19/2025, 9:46:50 AM)</t>
  </si>
  <si>
    <t>Not Received (7/23/2025, 12:19:24 PM)</t>
  </si>
  <si>
    <t>Not Received (7/25/2025, 1:54:10 PM)</t>
  </si>
  <si>
    <t>Not Received (7/22/2025, 4:55:54 PM)</t>
  </si>
  <si>
    <t>prospect_738</t>
  </si>
  <si>
    <t>Not Received (7/19/2025, 9:46:53 AM)</t>
  </si>
  <si>
    <t>Not Received (7/23/2025, 12:20:30 PM)</t>
  </si>
  <si>
    <t>Not Received (7/19/2025, 2:19:19 PM)</t>
  </si>
  <si>
    <t>Not Received (7/22/2025, 4:56:58 PM)</t>
  </si>
  <si>
    <t>prospect_739</t>
  </si>
  <si>
    <t>Client Lost (7/19/2025, 9:46:59 AM)</t>
  </si>
  <si>
    <t>prospect_740</t>
  </si>
  <si>
    <t>Not Received (7/19/2025, 9:47:04 AM)</t>
  </si>
  <si>
    <t>Client Lost (7/24/2025, 12:37:39 PM)</t>
  </si>
  <si>
    <t>Call Received (7/19/2025, 2:22:29 PM)</t>
  </si>
  <si>
    <t>prospect_741</t>
  </si>
  <si>
    <t>Not Received (7/19/2025, 9:47:07 AM)</t>
  </si>
  <si>
    <t>Not Received (7/23/2025, 12:22:51 PM)</t>
  </si>
  <si>
    <t>Not Received (7/19/2025, 2:23:02 PM)</t>
  </si>
  <si>
    <t>Not Received (7/22/2025, 4:57:46 PM)</t>
  </si>
  <si>
    <t>prospect_742</t>
  </si>
  <si>
    <t>Not Received (7/19/2025, 9:47:09 AM)</t>
  </si>
  <si>
    <t>Client Lost (7/19/2025, 2:24:12 PM)</t>
  </si>
  <si>
    <t>prospect_743</t>
  </si>
  <si>
    <t>Not Received (7/19/2025, 9:47:14 AM)</t>
  </si>
  <si>
    <t>Not Received (7/19/2025, 2:24:47 PM)</t>
  </si>
  <si>
    <t>Client Lost (7/22/2025, 4:58:47 PM)</t>
  </si>
  <si>
    <t>prospect_744</t>
  </si>
  <si>
    <t>Not Received (7/19/2025, 9:47:17 AM)</t>
  </si>
  <si>
    <t>Not Received (7/24/2025, 12:08:56 PM)</t>
  </si>
  <si>
    <t>Confirmation (7/24/2025, 1:38:15 PM)</t>
  </si>
  <si>
    <t>Confirmation (7/23/2025, 5:11:10 PM)</t>
  </si>
  <si>
    <t>prospect_745</t>
  </si>
  <si>
    <t>Not Received (7/19/2025, 9:48:05 AM)</t>
  </si>
  <si>
    <t>Not Received (7/26/2025, 2:30:16 PM)</t>
  </si>
  <si>
    <t>prospect_746</t>
  </si>
  <si>
    <t>Confirmation (7/19/2025, 9:48:15 AM)</t>
  </si>
  <si>
    <t>Client Lost (8/1/2025, 12:10:24 PM)</t>
  </si>
  <si>
    <t>Confirmation (7/24/2025, 1:34:57 PM)</t>
  </si>
  <si>
    <t>Confirmation (7/23/2025, 5:11:15 PM)</t>
  </si>
  <si>
    <t>prospect_747</t>
  </si>
  <si>
    <t>Demo (7/19/2025, 10:02:19 AM)</t>
  </si>
  <si>
    <t>Client Lost (7/26/2025, 2:31:16 PM)</t>
  </si>
  <si>
    <t>need discount of 2000</t>
  </si>
  <si>
    <t>prospect_748</t>
  </si>
  <si>
    <t>Call Received (7/19/2025, 10:11:13 AM)</t>
  </si>
  <si>
    <t>Call Received (7/24/2025, 12:38:32 PM)</t>
  </si>
  <si>
    <t>Client Lost (8/7/2025, 1:50:23 PM)</t>
  </si>
  <si>
    <t>Call Received (7/24/2025, 5:48:23 PM)</t>
  </si>
  <si>
    <t>neeed job</t>
  </si>
  <si>
    <t>Hannan</t>
  </si>
  <si>
    <t>923110565171</t>
  </si>
  <si>
    <t>Confirmation (7/19/2025, 10:16:06 AM)</t>
  </si>
  <si>
    <t>Client Lost (7/24/2025, 1:33:14 PM)</t>
  </si>
  <si>
    <t>Confirmation (7/21/2025, 4:32:11 PM)</t>
  </si>
  <si>
    <t>prospect_750</t>
  </si>
  <si>
    <t>Demo (7/19/2025, 10:22:37 AM)</t>
  </si>
  <si>
    <t>Client Lost (7/19/2025, 3:50:09 PM)</t>
  </si>
  <si>
    <t>prospect_751</t>
  </si>
  <si>
    <t>Call Received (7/19/2025, 10:25:04 AM)</t>
  </si>
  <si>
    <t>Call Received (7/24/2025, 12:22:40 PM)</t>
  </si>
  <si>
    <t>Not Received (7/25/2025, 3:20:20 PM)</t>
  </si>
  <si>
    <t>Call Later (7/24/2025, 5:48:34 PM)</t>
  </si>
  <si>
    <t>will inform in evening</t>
  </si>
  <si>
    <t>prospect_752</t>
  </si>
  <si>
    <t>Client Lost (7/19/2025, 10:25:54 AM)</t>
  </si>
  <si>
    <t>prospect_753</t>
  </si>
  <si>
    <t>Client Lost (7/19/2025, 10:27:10 AM)</t>
  </si>
  <si>
    <t>prospect_754</t>
  </si>
  <si>
    <t>Not Received (7/19/2025, 10:27:47 AM)</t>
  </si>
  <si>
    <t>Call Received (7/23/2025, 12:27:16 PM)</t>
  </si>
  <si>
    <t>Not Received (7/19/2025, 2:29:07 PM)</t>
  </si>
  <si>
    <t>Not Received (7/22/2025, 4:59:55 PM)</t>
  </si>
  <si>
    <t>prospect_755</t>
  </si>
  <si>
    <t>Not Received (7/19/2025, 10:29:01 AM)</t>
  </si>
  <si>
    <t>Client Lost (7/24/2025, 12:24:57 PM)</t>
  </si>
  <si>
    <t>Call Received (7/19/2025, 2:48:33 PM)</t>
  </si>
  <si>
    <t>prospect_756</t>
  </si>
  <si>
    <t>Not Received (7/19/2025, 10:30:16 AM)</t>
  </si>
  <si>
    <t>Call Received (7/24/2025, 12:28:21 PM)</t>
  </si>
  <si>
    <t>Call Received (8/7/2025, 1:57:26 PM)</t>
  </si>
  <si>
    <t>Not Received (7/22/2025, 5:01:03 PM)</t>
  </si>
  <si>
    <t>Irfan Haider</t>
  </si>
  <si>
    <t>923344047290</t>
  </si>
  <si>
    <t>Confirmation (7/19/2025, 10:40:54 AM)</t>
  </si>
  <si>
    <t>Confirmation (7/24/2025, 1:33:07 PM)</t>
  </si>
  <si>
    <t>Confirmation (7/21/2025, 4:39:46 PM)</t>
  </si>
  <si>
    <t>will pay by 24 and join from 25th july</t>
  </si>
  <si>
    <t>prospect_758</t>
  </si>
  <si>
    <t>Not Received (7/19/2025, 10:56:44 AM)</t>
  </si>
  <si>
    <t>Not Received (7/25/2025, 11:51:41 AM)</t>
  </si>
  <si>
    <t>Call Received (7/19/2025, 2:51:17 PM)</t>
  </si>
  <si>
    <t>Not Received (7/23/2025, 5:13:29 PM)</t>
  </si>
  <si>
    <t>prospect_759</t>
  </si>
  <si>
    <t>Not Received (7/19/2025, 10:57:56 AM)</t>
  </si>
  <si>
    <t>Not Received (7/23/2025, 12:37:09 PM)</t>
  </si>
  <si>
    <t>Not Received (7/19/2025, 2:57:14 PM)</t>
  </si>
  <si>
    <t>Not Received (7/22/2025, 5:02:59 PM)</t>
  </si>
  <si>
    <t>prospect_760</t>
  </si>
  <si>
    <t>Not Received (7/19/2025, 10:58:36 AM)</t>
  </si>
  <si>
    <t>Not Received (7/23/2025, 12:40:14 PM)</t>
  </si>
  <si>
    <t>Not Received (7/19/2025, 2:58:55 PM)</t>
  </si>
  <si>
    <t>Not Received (7/22/2025, 5:03:30 PM)</t>
  </si>
  <si>
    <t>19/07/2025</t>
  </si>
  <si>
    <t>prospect_761</t>
  </si>
  <si>
    <t>Not Received (7/19/2025, 10:59:42 AM)</t>
  </si>
  <si>
    <t>Client Lost (7/19/2025, 3:01:43 PM)</t>
  </si>
  <si>
    <t>prospect_762</t>
  </si>
  <si>
    <t>Not Received (7/19/2025, 11:00:22 AM)</t>
  </si>
  <si>
    <t>Client Lost (7/19/2025, 3:02:14 PM)</t>
  </si>
  <si>
    <t>prospect_763</t>
  </si>
  <si>
    <t>Not Received (7/19/2025, 11:01:03 AM)</t>
  </si>
  <si>
    <t>Not Received (7/23/2025, 12:41:14 PM)</t>
  </si>
  <si>
    <t>Not Received (7/19/2025, 3:03:15 PM)</t>
  </si>
  <si>
    <t>Not Received (7/22/2025, 5:03:50 PM)</t>
  </si>
  <si>
    <t>prospect_764</t>
  </si>
  <si>
    <t>Call Later (7/23/2025, 11:21:58 AM)</t>
  </si>
  <si>
    <t>Not Received (7/25/2025, 3:20:25 PM)</t>
  </si>
  <si>
    <t>Not Received (7/25/2025, 4:52:14 PM)</t>
  </si>
  <si>
    <t>prospect_765</t>
  </si>
  <si>
    <t>Client Lost (7/23/2025, 12:42:15 PM)</t>
  </si>
  <si>
    <t>Not Received (7/19/2025, 3:04:28 PM)</t>
  </si>
  <si>
    <t>Not Received (7/22/2025, 5:04:01 PM)</t>
  </si>
  <si>
    <t>prospect_766</t>
  </si>
  <si>
    <t>Not Received (7/25/2025, 10:01:03 AM)</t>
  </si>
  <si>
    <t>Not Received (7/25/2025, 11:52:53 AM)</t>
  </si>
  <si>
    <t>Not Received (7/19/2025, 3:07:40 PM)</t>
  </si>
  <si>
    <t>Not Received (7/22/2025, 5:04:41 PM)</t>
  </si>
  <si>
    <t>prospect_767</t>
  </si>
  <si>
    <t>Not Received (7/25/2025, 11:01:03 AM)</t>
  </si>
  <si>
    <t>Not Received (7/25/2025, 11:55:04 AM)</t>
  </si>
  <si>
    <t>Not Received (7/25/2025, 1:54:17 PM)</t>
  </si>
  <si>
    <t>Not Received (7/23/2025, 5:13:55 PM)</t>
  </si>
  <si>
    <t>prospect_768</t>
  </si>
  <si>
    <t>Call Received (7/26/2025, 10:37:49 AM)</t>
  </si>
  <si>
    <t>Call Received (7/19/2025, 11:09:08 AM)</t>
  </si>
  <si>
    <t>Call Later (8/7/2025, 1:59:50 PM)</t>
  </si>
  <si>
    <t>Call Received (7/23/2025, 5:12:53 PM)</t>
  </si>
  <si>
    <t>prospect_769</t>
  </si>
  <si>
    <t>Not Received (7/26/2025, 10:42:12 AM)</t>
  </si>
  <si>
    <t>Not Received (7/23/2025, 12:51:46 PM)</t>
  </si>
  <si>
    <t>Not Received (7/19/2025, 3:16:45 PM)</t>
  </si>
  <si>
    <t>Not Received (7/22/2025, 5:04:47 PM)</t>
  </si>
  <si>
    <t>prospect_770</t>
  </si>
  <si>
    <t>Not Received (7/26/2025, 10:44:53 AM)</t>
  </si>
  <si>
    <t>Not Received (7/23/2025, 12:52:50 PM)</t>
  </si>
  <si>
    <t>Not Received (7/25/2025, 1:54:23 PM)</t>
  </si>
  <si>
    <t>Not Received (7/22/2025, 5:05:06 PM)</t>
  </si>
  <si>
    <t>prospect_771</t>
  </si>
  <si>
    <t>Client Lost (7/19/2025, 11:21:10 AM)</t>
  </si>
  <si>
    <t>prospect_772</t>
  </si>
  <si>
    <t>Call Received (7/26/2025, 10:37:53 AM)</t>
  </si>
  <si>
    <t>Not Received (7/19/2025, 11:22:04 AM)</t>
  </si>
  <si>
    <t>Call Received (8/7/2025, 2:01:38 PM)</t>
  </si>
  <si>
    <t>Call Received (7/22/2025, 5:07:13 PM)</t>
  </si>
  <si>
    <t>prospect_773</t>
  </si>
  <si>
    <t>Not Received (7/26/2025, 10:45:23 AM)</t>
  </si>
  <si>
    <t>Not Received (7/23/2025, 11:07:21 AM)</t>
  </si>
  <si>
    <t>Not Received (7/25/2025, 1:54:29 PM)</t>
  </si>
  <si>
    <t>Not Received (7/25/2025, 4:45:46 PM)</t>
  </si>
  <si>
    <t>prospect_774</t>
  </si>
  <si>
    <t>Client Lost (7/26/2025, 10:48:06 AM)</t>
  </si>
  <si>
    <t>Call Received (7/19/2025, 11:24:43 AM)</t>
  </si>
  <si>
    <t>Not Received (7/25/2025, 3:22:40 PM)</t>
  </si>
  <si>
    <t>Call Received (7/23/2025, 5:12:44 PM)</t>
  </si>
  <si>
    <t>prospect_775</t>
  </si>
  <si>
    <t>Client Lost (7/26/2025, 10:49:00 AM)</t>
  </si>
  <si>
    <t>Not Received (7/23/2025, 12:54:43 PM)</t>
  </si>
  <si>
    <t>Not Received (7/19/2025, 3:25:22 PM)</t>
  </si>
  <si>
    <t>Not Received (7/22/2025, 5:07:58 PM)</t>
  </si>
  <si>
    <t>prospect_776</t>
  </si>
  <si>
    <t>Demo (7/19/2025, 11:35:12 AM)</t>
  </si>
  <si>
    <t>Call Received (8/7/2025, 2:02:58 PM)</t>
  </si>
  <si>
    <t>prospect_777</t>
  </si>
  <si>
    <t>Not Received (8/19/2025, 10:26:14 AM)</t>
  </si>
  <si>
    <t>Demo (7/19/2025, 11:38:12 AM)</t>
  </si>
  <si>
    <t>Demo (7/19/2025, 12:22:36 PM)</t>
  </si>
  <si>
    <t>prospect_778</t>
  </si>
  <si>
    <t>Client Lost (7/19/2025, 9:55:43 AM)</t>
  </si>
  <si>
    <t>prospect_779</t>
  </si>
  <si>
    <t>Call Received (7/26/2025, 10:37:57 AM)</t>
  </si>
  <si>
    <t>Call Received (7/19/2025, 11:41:19 AM)</t>
  </si>
  <si>
    <t>Call Received (8/7/2025, 2:05:47 PM)</t>
  </si>
  <si>
    <t>Call Received (7/23/2025, 5:12:40 PM)</t>
  </si>
  <si>
    <t>prospect_780</t>
  </si>
  <si>
    <t>Not Received (7/26/2025, 10:49:26 AM)</t>
  </si>
  <si>
    <t>Call Received (7/19/2025, 11:43:16 AM)</t>
  </si>
  <si>
    <t>Not Received (7/25/2025, 3:22:04 PM)</t>
  </si>
  <si>
    <t>Call Received (7/23/2025, 5:12:35 PM)</t>
  </si>
  <si>
    <t>prospect_781</t>
  </si>
  <si>
    <t>Not Received (7/19/2025, 11:49:41 AM)</t>
  </si>
  <si>
    <t>Client Lost (7/19/2025, 3:26:17 PM)</t>
  </si>
  <si>
    <t>prospect_785</t>
  </si>
  <si>
    <t>Not Received (7/19/2025, 11:58:16 AM)</t>
  </si>
  <si>
    <t>Client Lost (7/19/2025, 3:28:30 PM)</t>
  </si>
  <si>
    <t>prospect_786</t>
  </si>
  <si>
    <t>Call Received (7/26/2025, 10:52:45 AM)</t>
  </si>
  <si>
    <t>Call Received (7/19/2025, 12:01:55 PM)</t>
  </si>
  <si>
    <t>Client Lost (8/7/2025, 2:07:00 PM)</t>
  </si>
  <si>
    <t>Call Received (7/23/2025, 5:12:22 PM)</t>
  </si>
  <si>
    <t>prospect_787</t>
  </si>
  <si>
    <t>Not Received (7/26/2025, 10:53:27 AM)</t>
  </si>
  <si>
    <t>Not Received (7/23/2025, 11:32:58 AM)</t>
  </si>
  <si>
    <t>Not Received (7/23/2025, 1:03:32 PM)</t>
  </si>
  <si>
    <t>Not Received (7/22/2025, 5:08:54 PM)</t>
  </si>
  <si>
    <t>prospect_788</t>
  </si>
  <si>
    <t>Not Received (7/19/2025, 12:02:55 PM)</t>
  </si>
  <si>
    <t>Not Received (7/19/2025, 3:35:01 PM)</t>
  </si>
  <si>
    <t>Client Lost (7/22/2025, 5:09:51 PM)</t>
  </si>
  <si>
    <t>prospect_789</t>
  </si>
  <si>
    <t>Client Lost (7/19/2025, 12:04:41 PM)</t>
  </si>
  <si>
    <t>prospect_790</t>
  </si>
  <si>
    <t>Not Received (7/26/2025, 10:54:05 AM)</t>
  </si>
  <si>
    <t>Call Received (7/19/2025, 12:07:19 PM)</t>
  </si>
  <si>
    <t>Not Received (7/25/2025, 3:21:51 PM)</t>
  </si>
  <si>
    <t>Call Received (7/23/2025, 5:12:18 PM)</t>
  </si>
  <si>
    <t>prospect_791</t>
  </si>
  <si>
    <t>Client Lost (7/19/2025, 12:09:35 PM)</t>
  </si>
  <si>
    <t>prospect_792</t>
  </si>
  <si>
    <t>Call Received (7/26/2025, 10:38:02 AM)</t>
  </si>
  <si>
    <t>Not Received (7/19/2025, 12:12:19 PM)</t>
  </si>
  <si>
    <t>Call Received (8/7/2025, 2:08:01 PM)</t>
  </si>
  <si>
    <t>Call Received (7/22/2025, 5:13:40 PM)</t>
  </si>
  <si>
    <t>prospect_793</t>
  </si>
  <si>
    <t>Not Received (7/19/2025, 12:12:54 PM)</t>
  </si>
  <si>
    <t>Client Lost (7/19/2025, 3:36:50 PM)</t>
  </si>
  <si>
    <t>prospect_795</t>
  </si>
  <si>
    <t>Client Lost (7/19/2025, 12:18:46 PM)</t>
  </si>
  <si>
    <t>prospect_796</t>
  </si>
  <si>
    <t>Call Received (7/26/2025, 10:38:06 AM)</t>
  </si>
  <si>
    <t>Not Received (7/19/2025, 12:19:25 PM)</t>
  </si>
  <si>
    <t>Call Received (8/7/2025, 2:11:04 PM)</t>
  </si>
  <si>
    <t>Call Received (7/23/2025, 5:12:05 PM)</t>
  </si>
  <si>
    <t>prospect_797</t>
  </si>
  <si>
    <t>Not Received (8/19/2025, 10:26:17 AM)</t>
  </si>
  <si>
    <t>prospect_798</t>
  </si>
  <si>
    <t>Call Received (7/26/2025, 10:38:15 AM)</t>
  </si>
  <si>
    <t>Not Received (7/19/2025, 12:30:19 PM)</t>
  </si>
  <si>
    <t>Call Received (8/7/2025, 2:13:06 PM)</t>
  </si>
  <si>
    <t>Call Received (7/23/2025, 5:12:01 PM)</t>
  </si>
  <si>
    <t>prospect_800</t>
  </si>
  <si>
    <t>Call Received (7/26/2025, 10:38:19 AM)</t>
  </si>
  <si>
    <t>Call Received (7/19/2025, 12:33:46 PM)</t>
  </si>
  <si>
    <t>Client Lost (8/7/2025, 2:14:23 PM)</t>
  </si>
  <si>
    <t>Call Received (7/23/2025, 5:11:55 PM)</t>
  </si>
  <si>
    <t>prospect_801</t>
  </si>
  <si>
    <t>Call Received (7/26/2025, 10:38:23 AM)</t>
  </si>
  <si>
    <t>Call Received (7/19/2025, 12:41:32 PM)</t>
  </si>
  <si>
    <t>Call Received (7/25/2025, 2:46:21 PM)</t>
  </si>
  <si>
    <t>Call Received (7/23/2025, 5:11:50 PM)</t>
  </si>
  <si>
    <t>prospect_802</t>
  </si>
  <si>
    <t>Call Received (7/26/2025, 10:38:27 AM)</t>
  </si>
  <si>
    <t>Call Received (7/19/2025, 12:45:52 PM)</t>
  </si>
  <si>
    <t>Not Received (8/7/2025, 2:16:36 PM)</t>
  </si>
  <si>
    <t>Call Received (7/23/2025, 5:11:46 PM)</t>
  </si>
  <si>
    <t>prospect_803</t>
  </si>
  <si>
    <t>Not Received (7/26/2025, 10:55:29 AM)</t>
  </si>
  <si>
    <t>Not Received (7/23/2025, 11:33:04 AM)</t>
  </si>
  <si>
    <t>Not Received (7/23/2025, 1:06:05 PM)</t>
  </si>
  <si>
    <t>Not Received (7/22/2025, 5:15:14 PM)</t>
  </si>
  <si>
    <t>prospect_804</t>
  </si>
  <si>
    <t>Not Received (7/26/2025, 10:55:53 AM)</t>
  </si>
  <si>
    <t>Not Received (7/23/2025, 11:33:11 AM)</t>
  </si>
  <si>
    <t>Not Received (7/19/2025, 3:44:52 PM)</t>
  </si>
  <si>
    <t>Not Received (7/22/2025, 5:15:35 PM)</t>
  </si>
  <si>
    <t>prospect_805</t>
  </si>
  <si>
    <t>Call Received (7/26/2025, 10:38:32 AM)</t>
  </si>
  <si>
    <t>Call Received (7/19/2025, 12:52:25 PM)</t>
  </si>
  <si>
    <t>Call Received (8/7/2025, 2:20:33 PM)</t>
  </si>
  <si>
    <t>Call Received (7/23/2025, 5:11:41 PM)</t>
  </si>
  <si>
    <t>prospect_806</t>
  </si>
  <si>
    <t>Client Lost (7/19/2025, 12:52:45 PM)</t>
  </si>
  <si>
    <t>prospect_807</t>
  </si>
  <si>
    <t>Call Received (7/26/2025, 10:38:37 AM)</t>
  </si>
  <si>
    <t>Call Received (7/19/2025, 12:55:06 PM)</t>
  </si>
  <si>
    <t>Not Received (8/7/2025, 2:24:06 PM)</t>
  </si>
  <si>
    <t>Call Received (7/23/2025, 5:11:37 PM)</t>
  </si>
  <si>
    <t>prospect_808</t>
  </si>
  <si>
    <t>Not Received (8/19/2025, 10:26:20 AM)</t>
  </si>
  <si>
    <t>Demo (7/19/2025, 12:57:30 PM)</t>
  </si>
  <si>
    <t>prospect_809</t>
  </si>
  <si>
    <t>Call Received (7/26/2025, 10:38:46 AM)</t>
  </si>
  <si>
    <t>Call Received (7/24/2025, 12:29:29 PM)</t>
  </si>
  <si>
    <t>Call Received (8/7/2025, 2:24:28 PM)</t>
  </si>
  <si>
    <t>Call Received (7/23/2025, 5:11:33 PM)</t>
  </si>
  <si>
    <t>prospect_810</t>
  </si>
  <si>
    <t>Call Received (7/26/2025, 10:38:51 AM)</t>
  </si>
  <si>
    <t>Call Received (7/24/2025, 12:30:50 PM)</t>
  </si>
  <si>
    <t>Call Received (8/7/2025, 2:25:30 PM)</t>
  </si>
  <si>
    <t>Call Received (7/29/2025, 4:54:46 PM)</t>
  </si>
  <si>
    <t>prospect_811</t>
  </si>
  <si>
    <t>Client Lost (7/23/2025, 11:25:44 AM)</t>
  </si>
  <si>
    <t>Not Received (7/22/2025, 1:14:05 PM)</t>
  </si>
  <si>
    <t>Not Received (7/19/2025, 4:02:18 PM)</t>
  </si>
  <si>
    <t>prospect_812</t>
  </si>
  <si>
    <t>Not Received (7/26/2025, 10:58:25 AM)</t>
  </si>
  <si>
    <t>Not Received (7/25/2025, 11:50:29 AM)</t>
  </si>
  <si>
    <t>Not Received (7/22/2025, 1:14:10 PM)</t>
  </si>
  <si>
    <t>Not Received (7/19/2025, 4:05:05 PM)</t>
  </si>
  <si>
    <t>prospect_813</t>
  </si>
  <si>
    <t>Demo (7/19/2025, 4:39:36 PM)</t>
  </si>
  <si>
    <t>Client Lost (7/29/2025, 4:54:24 PM)</t>
  </si>
  <si>
    <t>prospect_814</t>
  </si>
  <si>
    <t>Client Lost (8/8/2025, 10:39:41 AM)</t>
  </si>
  <si>
    <t>Call Received (7/24/2025, 12:38:50 PM)</t>
  </si>
  <si>
    <t>Call Received (7/24/2025, 3:31:14 PM)</t>
  </si>
  <si>
    <t>Call Received (7/19/2025, 4:07:41 PM)</t>
  </si>
  <si>
    <t>will contact by 26th july</t>
  </si>
  <si>
    <t>26/07/2025</t>
  </si>
  <si>
    <t>prospect_815</t>
  </si>
  <si>
    <t>Not Received (7/29/2025, 10:13:25 AM)</t>
  </si>
  <si>
    <t>Not Received (7/31/2025, 12:36:29 PM)</t>
  </si>
  <si>
    <t>Call Later (7/30/2025, 2:31:23 PM)</t>
  </si>
  <si>
    <t>Not Received (7/26/2025, 4:40:41 PM)</t>
  </si>
  <si>
    <t>prospect_816</t>
  </si>
  <si>
    <t>Client Lost (7/29/2025, 10:14:24 AM)</t>
  </si>
  <si>
    <t>Not Received (7/28/2025, 1:21:36 PM)</t>
  </si>
  <si>
    <t>Not Received (7/26/2025, 4:41:35 PM)</t>
  </si>
  <si>
    <t>923302097003</t>
  </si>
  <si>
    <t>Confirmation (7/31/2025, 10:53:25 AM)</t>
  </si>
  <si>
    <t>Confirmation (7/30/2025, 11:11:29 AM)</t>
  </si>
  <si>
    <t>Confirmation (7/26/2025, 4:37:42 PM)</t>
  </si>
  <si>
    <t>will pay by next week</t>
  </si>
  <si>
    <t>saeedullah</t>
  </si>
  <si>
    <t>923401666983</t>
  </si>
  <si>
    <t>Not Received (8/19/2025, 10:26:23 AM)</t>
  </si>
  <si>
    <t>Demo (7/30/2025, 2:58:51 PM)</t>
  </si>
  <si>
    <t>Not Received (7/26/2025, 4:56:19 PM)</t>
  </si>
  <si>
    <t>prospect_819</t>
  </si>
  <si>
    <t>Client Lost (7/29/2025, 10:45:55 AM)</t>
  </si>
  <si>
    <t>Call Received (7/28/2025, 3:13:54 PM)</t>
  </si>
  <si>
    <t>Call Received (7/26/2025, 4:59:37 PM)</t>
  </si>
  <si>
    <t>sana tehseen</t>
  </si>
  <si>
    <t>923456364030</t>
  </si>
  <si>
    <t>Not Received (7/29/2025, 10:17:07 AM)</t>
  </si>
  <si>
    <t>Not Received (7/28/2025, 1:24:17 PM)</t>
  </si>
  <si>
    <t>Not Received (7/26/2025, 5:02:59 PM)</t>
  </si>
  <si>
    <t>prospect_821</t>
  </si>
  <si>
    <t>Not Received (7/29/2025, 3:48:26 PM)</t>
  </si>
  <si>
    <t>Not Received (7/26/2025, 5:10:56 PM)</t>
  </si>
  <si>
    <t>call at 2:00 pm]</t>
  </si>
  <si>
    <t>prospect_822</t>
  </si>
  <si>
    <t>Call Received (7/29/2025, 10:46:58 AM)</t>
  </si>
  <si>
    <t>Client Lost (7/29/2025, 2:28:17 PM)</t>
  </si>
  <si>
    <t>Call Received (7/26/2025, 5:13:47 PM)</t>
  </si>
  <si>
    <t>Muskan</t>
  </si>
  <si>
    <t>923121004844</t>
  </si>
  <si>
    <t>Client Lost (7/26/2025, 5:42:13 PM)</t>
  </si>
  <si>
    <t>prospect_824</t>
  </si>
  <si>
    <t>Not Received (7/29/2025, 10:18:34 AM)</t>
  </si>
  <si>
    <t>Not Received (7/28/2025, 1:28:42 PM)</t>
  </si>
  <si>
    <t>Not Received (7/26/2025, 5:41:46 PM)</t>
  </si>
  <si>
    <t>28/07/2025</t>
  </si>
  <si>
    <t>prospect_825</t>
  </si>
  <si>
    <t>Not Received (7/28/2025, 10:34:36 AM)</t>
  </si>
  <si>
    <t>Not Received (7/30/2025, 3:04:20 PM)</t>
  </si>
  <si>
    <t>Call Received (7/28/2025, 10:49:36 AM)</t>
  </si>
  <si>
    <t>Confirmation (8/1/2025, 12:12:08 PM)</t>
  </si>
  <si>
    <t>Confirmation (7/29/2025, 2:45:48 PM)</t>
  </si>
  <si>
    <t>pay by 31st</t>
  </si>
  <si>
    <t>jaswant</t>
  </si>
  <si>
    <t>923289251547</t>
  </si>
  <si>
    <t>Confirmation (7/29/2025, 10:27:05 AM)</t>
  </si>
  <si>
    <t>Not Received (7/28/2025, 11:05:02 AM)</t>
  </si>
  <si>
    <t>Confirmation (7/31/2025, 2:21:35 PM)</t>
  </si>
  <si>
    <t>Not Received (7/28/2025, 5:16:30 PM)</t>
  </si>
  <si>
    <t>will pay till 1st August</t>
  </si>
  <si>
    <t>prospect_831</t>
  </si>
  <si>
    <t>Not Received (7/29/2025, 10:27:32 AM)</t>
  </si>
  <si>
    <t>Not Received (7/28/2025, 11:05:30 AM)</t>
  </si>
  <si>
    <t>Not Received (8/2/2025, 2:23:14 PM)</t>
  </si>
  <si>
    <t>Not Received (7/28/2025, 5:16:42 PM)</t>
  </si>
  <si>
    <t>prospect_832</t>
  </si>
  <si>
    <t>Not Received (7/29/2025, 10:28:07 AM)</t>
  </si>
  <si>
    <t>Not Received (7/28/2025, 11:05:51 AM)</t>
  </si>
  <si>
    <t>Not Received (8/2/2025, 2:23:35 PM)</t>
  </si>
  <si>
    <t>Not Received (7/28/2025, 5:17:22 PM)</t>
  </si>
  <si>
    <t>prospect_834</t>
  </si>
  <si>
    <t>Not Received (7/29/2025, 10:28:30 AM)</t>
  </si>
  <si>
    <t>Not Received (7/28/2025, 11:08:22 AM)</t>
  </si>
  <si>
    <t>Call Received (8/7/2025, 2:28:19 PM)</t>
  </si>
  <si>
    <t>Not Received (7/28/2025, 5:18:04 PM)</t>
  </si>
  <si>
    <t>added</t>
  </si>
  <si>
    <t>prospect_835</t>
  </si>
  <si>
    <t>Not Received (8/19/2025, 10:26:26 AM)</t>
  </si>
  <si>
    <t>Demo (7/28/2025, 11:11:05 AM)</t>
  </si>
  <si>
    <t>Demo (7/30/2025, 4:29:46 PM)</t>
  </si>
  <si>
    <t>Eman</t>
  </si>
  <si>
    <t>Call Received (7/29/2025, 10:49:47 AM)</t>
  </si>
  <si>
    <t>Call Received (7/31/2025, 12:39:47 PM)</t>
  </si>
  <si>
    <t>Call Received (8/7/2025, 2:29:07 PM)</t>
  </si>
  <si>
    <t>contact by thursday</t>
  </si>
  <si>
    <t>prospect_840</t>
  </si>
  <si>
    <t>Call Received (7/28/2025, 11:26:46 AM)</t>
  </si>
  <si>
    <t>Confirmation (7/29/2025, 3:04:35 PM)</t>
  </si>
  <si>
    <t>will pay till 5th august</t>
  </si>
  <si>
    <t>prospect_841</t>
  </si>
  <si>
    <t>Call Received (7/29/2025, 10:50:48 AM)</t>
  </si>
  <si>
    <t>Call Received (7/28/2025, 11:32:42 AM)</t>
  </si>
  <si>
    <t>Client Lost (8/2/2025, 2:40:43 PM)</t>
  </si>
  <si>
    <t>will join this week classes</t>
  </si>
  <si>
    <t>prospect_842</t>
  </si>
  <si>
    <t>Client Lost (7/28/2025, 11:48:30 AM)</t>
  </si>
  <si>
    <t>Client Lost (7/28/2025, 3:00:35 PM)</t>
  </si>
  <si>
    <t>Mehrunnisa Iqbal</t>
  </si>
  <si>
    <t>Not Received (7/30/2025, 10:33:01 AM)</t>
  </si>
  <si>
    <t>Not Received (7/28/2025, 11:34:55 AM)</t>
  </si>
  <si>
    <t>Not Received (8/2/2025, 2:42:14 PM)</t>
  </si>
  <si>
    <t>Call Received (7/28/2025, 5:21:22 PM)</t>
  </si>
  <si>
    <t>prospect_843</t>
  </si>
  <si>
    <t>Not Received (7/29/2025, 10:42:48 AM)</t>
  </si>
  <si>
    <t>Not Received (7/30/2025, 11:51:30 AM)</t>
  </si>
  <si>
    <t>Not Received (7/28/2025, 1:18:00 PM)</t>
  </si>
  <si>
    <t>Not Received (7/28/2025, 5:21:56 PM)</t>
  </si>
  <si>
    <t>prospect_845</t>
  </si>
  <si>
    <t>Call Received (7/29/2025, 10:56:12 AM)</t>
  </si>
  <si>
    <t>Call Received (7/31/2025, 12:42:11 PM)</t>
  </si>
  <si>
    <t>Call Received (8/7/2025, 2:29:13 PM)</t>
  </si>
  <si>
    <t>Call Received (7/28/2025, 5:12:22 PM)</t>
  </si>
  <si>
    <t>will inform by own</t>
  </si>
  <si>
    <t>29/07/2025</t>
  </si>
  <si>
    <t>prospect_846</t>
  </si>
  <si>
    <t>Client Lost (8/1/2025, 2:09:17 PM)</t>
  </si>
  <si>
    <t>will inform till 31st</t>
  </si>
  <si>
    <t>30/07/2025</t>
  </si>
  <si>
    <t>prospect_848</t>
  </si>
  <si>
    <t>Call Received (7/30/2025, 10:20:09 AM)</t>
  </si>
  <si>
    <t>Call Later (8/1/2025, 2:10:07 PM)</t>
  </si>
  <si>
    <t>prospect_849</t>
  </si>
  <si>
    <t>Not Received (7/30/2025, 10:22:17 AM)</t>
  </si>
  <si>
    <t>Not Received (7/30/2025, 11:52:07 AM)</t>
  </si>
  <si>
    <t>Not Received (8/2/2025, 2:43:14 PM)</t>
  </si>
  <si>
    <t>prospect_850</t>
  </si>
  <si>
    <t>Not Received (8/19/2025, 10:26:30 AM)</t>
  </si>
  <si>
    <t>Demo (7/30/2025, 4:11:51 PM)</t>
  </si>
  <si>
    <t>prospect_852</t>
  </si>
  <si>
    <t>Not Received (7/30/2025, 10:25:51 AM)</t>
  </si>
  <si>
    <t>Call Received (7/30/2025, 12:01:48 PM)</t>
  </si>
  <si>
    <t>Not Received (8/2/2025, 2:45:16 PM)</t>
  </si>
  <si>
    <t>prospect_853</t>
  </si>
  <si>
    <t>Not Received (7/30/2025, 10:27:03 AM)</t>
  </si>
  <si>
    <t>Not Received (7/31/2025, 12:24:38 PM)</t>
  </si>
  <si>
    <t>Not Received (8/2/2025, 2:46:26 PM)</t>
  </si>
  <si>
    <t>Not Received (8/2/2025, 6:14:09 PM)</t>
  </si>
  <si>
    <t>prospect_854</t>
  </si>
  <si>
    <t>Not Received (7/30/2025, 10:28:23 AM)</t>
  </si>
  <si>
    <t>Call Received (7/31/2025, 12:27:01 PM)</t>
  </si>
  <si>
    <t>Call Received (8/2/2025, 2:46:42 PM)</t>
  </si>
  <si>
    <t>prospect_855</t>
  </si>
  <si>
    <t>Not Received (7/30/2025, 10:29:04 AM)</t>
  </si>
  <si>
    <t>Not Received (7/31/2025, 12:28:08 PM)</t>
  </si>
  <si>
    <t>Not Received (7/30/2025, 1:50:22 PM)</t>
  </si>
  <si>
    <t>Not Received (8/2/2025, 6:14:15 PM)</t>
  </si>
  <si>
    <t>prospect_856</t>
  </si>
  <si>
    <t>Confirmation (7/31/2025, 10:04:56 AM)</t>
  </si>
  <si>
    <t>Confirmation (8/1/2025, 12:17:23 PM)</t>
  </si>
  <si>
    <t>Not Received (7/30/2025, 1:51:14 PM)</t>
  </si>
  <si>
    <t>will pay the fees</t>
  </si>
  <si>
    <t>prospect_857</t>
  </si>
  <si>
    <t>Not Received (7/30/2025, 12:04:55 PM)</t>
  </si>
  <si>
    <t>Call Received (7/30/2025, 1:35:01 PM)</t>
  </si>
  <si>
    <t>Confirmation (7/30/2025, 4:04:27 PM)</t>
  </si>
  <si>
    <t>can pay by 10th aug</t>
  </si>
  <si>
    <t>prospect_858</t>
  </si>
  <si>
    <t>Not Received (7/31/2025, 12:29:25 PM)</t>
  </si>
  <si>
    <t>Call Later (7/31/2025, 3:09:51 PM)</t>
  </si>
  <si>
    <t>prospect_859</t>
  </si>
  <si>
    <t>Not Received (8/8/2025, 11:04:19 AM)</t>
  </si>
  <si>
    <t>Call Received (8/7/2025, 2:42:51 PM)</t>
  </si>
  <si>
    <t>prospect_860</t>
  </si>
  <si>
    <t>Client Lost (7/30/2025, 3:40:51 PM)</t>
  </si>
  <si>
    <t>prospect_861</t>
  </si>
  <si>
    <t>Client Lost (8/8/2025, 11:07:29 AM)</t>
  </si>
  <si>
    <t>Call Received (8/2/2025, 2:55:25 PM)</t>
  </si>
  <si>
    <t>prospect_862</t>
  </si>
  <si>
    <t>Client Lost (7/30/2025, 3:49:35 PM)</t>
  </si>
  <si>
    <t>31/07/2025</t>
  </si>
  <si>
    <t>Abdullah hassan</t>
  </si>
  <si>
    <t>Not Received (7/31/2025, 10:22:53 AM)</t>
  </si>
  <si>
    <t>Call Received (8/8/2025, 11:15:48 AM)</t>
  </si>
  <si>
    <t>Call Received (8/2/2025, 2:56:06 PM)</t>
  </si>
  <si>
    <t>Fida Ullah</t>
  </si>
  <si>
    <t>Not Received (7/31/2025, 10:23:30 AM)</t>
  </si>
  <si>
    <t>Not Received (8/1/2025, 11:11:01 AM)</t>
  </si>
  <si>
    <t>Not Received (8/2/2025, 2:57:12 PM)</t>
  </si>
  <si>
    <t>Not Received (8/2/2025, 6:14:19 PM)</t>
  </si>
  <si>
    <t>prospect_863</t>
  </si>
  <si>
    <t>Call Received (7/31/2025, 10:28:10 AM)</t>
  </si>
  <si>
    <t>Not Received (8/2/2025, 2:57:45 PM)</t>
  </si>
  <si>
    <t>Not Received (8/2/2025, 6:14:23 PM)</t>
  </si>
  <si>
    <t>share group link</t>
  </si>
  <si>
    <t>prospect_864</t>
  </si>
  <si>
    <t>Not Received (7/31/2025, 10:30:15 AM)</t>
  </si>
  <si>
    <t>Call Later (8/1/2025, 11:12:29 AM)</t>
  </si>
  <si>
    <t>Not Received (7/31/2025, 1:14:08 PM)</t>
  </si>
  <si>
    <t>prospect_865</t>
  </si>
  <si>
    <t>Not Received (7/31/2025, 10:30:52 AM)</t>
  </si>
  <si>
    <t>Not Received (8/1/2025, 11:13:06 AM)</t>
  </si>
  <si>
    <t>Not Received (8/2/2025, 3:03:29 PM)</t>
  </si>
  <si>
    <t>prospect_866</t>
  </si>
  <si>
    <t>Not Received (7/31/2025, 10:39:40 AM)</t>
  </si>
  <si>
    <t>Not Received (8/1/2025, 11:14:25 AM)</t>
  </si>
  <si>
    <t>Not Received (8/2/2025, 3:04:05 PM)</t>
  </si>
  <si>
    <t>prospect_867</t>
  </si>
  <si>
    <t>Not Received (7/31/2025, 10:41:14 AM)</t>
  </si>
  <si>
    <t>Not Received (8/1/2025, 11:15:58 AM)</t>
  </si>
  <si>
    <t>Not Received (8/2/2025, 3:04:30 PM)</t>
  </si>
  <si>
    <t>prospect_868</t>
  </si>
  <si>
    <t>Not Received (7/31/2025, 10:42:07 AM)</t>
  </si>
  <si>
    <t>Client Lost (8/1/2025, 12:24:32 PM)</t>
  </si>
  <si>
    <t>Not Received (7/31/2025, 3:16:49 PM)</t>
  </si>
  <si>
    <t>prospect_869</t>
  </si>
  <si>
    <t>Not Received (7/31/2025, 10:42:37 AM)</t>
  </si>
  <si>
    <t>Not Received (8/1/2025, 12:25:23 PM)</t>
  </si>
  <si>
    <t>Not Received (8/2/2025, 3:14:02 PM)</t>
  </si>
  <si>
    <t>prospect_870</t>
  </si>
  <si>
    <t>Not Received (7/31/2025, 10:49:48 AM)</t>
  </si>
  <si>
    <t>Client Lost (7/31/2025, 12:59:03 PM)</t>
  </si>
  <si>
    <t>info shared</t>
  </si>
  <si>
    <t>prospect_871</t>
  </si>
  <si>
    <t>Not Received (7/31/2025, 10:51:32 AM)</t>
  </si>
  <si>
    <t>Not Received (7/31/2025, 12:34:05 PM)</t>
  </si>
  <si>
    <t>Client Lost (8/2/2025, 3:15:30 PM)</t>
  </si>
  <si>
    <t>prospect_872</t>
  </si>
  <si>
    <t>Not Received (7/31/2025, 10:55:17 AM)</t>
  </si>
  <si>
    <t>Call Received (8/8/2025, 11:16:41 AM)</t>
  </si>
  <si>
    <t>Call Received (8/2/2025, 3:16:37 PM)</t>
  </si>
  <si>
    <t>prospect_873</t>
  </si>
  <si>
    <t>Client Lost (7/31/2025, 10:58:18 AM)</t>
  </si>
  <si>
    <t>prospect_874</t>
  </si>
  <si>
    <t>Call Received (7/31/2025, 11:01:33 AM)</t>
  </si>
  <si>
    <t>Call Later (8/1/2025, 2:16:40 PM)</t>
  </si>
  <si>
    <t>call at 3:00pm</t>
  </si>
  <si>
    <t>Mohsin</t>
  </si>
  <si>
    <t>923184303132</t>
  </si>
  <si>
    <t>Confirmation (7/31/2025, 11:05:38 AM)</t>
  </si>
  <si>
    <t>Confirmation (7/31/2025, 2:24:14 PM)</t>
  </si>
  <si>
    <t>will pay after 3 classes</t>
  </si>
  <si>
    <t>prospect_876</t>
  </si>
  <si>
    <t>Call Received (8/8/2025, 11:19:17 AM)</t>
  </si>
  <si>
    <t>Call Received (8/1/2025, 2:22:41 PM)</t>
  </si>
  <si>
    <t>prospect_877</t>
  </si>
  <si>
    <t>Not Received (7/31/2025, 11:11:03 AM)</t>
  </si>
  <si>
    <t>Client Lost (8/2/2025, 1:27:12 PM)</t>
  </si>
  <si>
    <t>prospect_879</t>
  </si>
  <si>
    <t>Not Received (7/31/2025, 11:17:25 AM)</t>
  </si>
  <si>
    <t>Not Received (8/2/2025, 3:17:55 PM)</t>
  </si>
  <si>
    <t>prospect_880</t>
  </si>
  <si>
    <t>Not Received (7/31/2025, 11:14:59 AM)</t>
  </si>
  <si>
    <t>Not Received (8/2/2025, 3:18:42 PM)</t>
  </si>
  <si>
    <t>prospect_881</t>
  </si>
  <si>
    <t>Client Lost (8/8/2025, 11:19:34 AM)</t>
  </si>
  <si>
    <t>Call Received (8/2/2025, 3:19:03 PM)</t>
  </si>
  <si>
    <t>prospect_882</t>
  </si>
  <si>
    <t>Call Received (8/8/2025, 11:21:16 AM)</t>
  </si>
  <si>
    <t>Call Received (8/2/2025, 3:19:20 PM)</t>
  </si>
  <si>
    <t>prospect_883</t>
  </si>
  <si>
    <t>Client Lost (8/8/2025, 11:22:50 AM)</t>
  </si>
  <si>
    <t>Call Received (8/2/2025, 3:24:07 PM)</t>
  </si>
  <si>
    <t>prospect_884</t>
  </si>
  <si>
    <t>Paid (8/8/2025, 11:22:59 AM)</t>
  </si>
  <si>
    <t>Call Received (8/2/2025, 3:24:18 PM)</t>
  </si>
  <si>
    <t>prospect_885</t>
  </si>
  <si>
    <t>Confirmation (8/1/2025, 12:22:26 PM)</t>
  </si>
  <si>
    <t>join classes then pay</t>
  </si>
  <si>
    <t>prospect_886</t>
  </si>
  <si>
    <t>Client Lost (8/8/2025, 11:24:39 AM)</t>
  </si>
  <si>
    <t>Call Received (8/2/2025, 1:28:37 PM)</t>
  </si>
  <si>
    <t>prospect_887</t>
  </si>
  <si>
    <t>Not Received (7/31/2025, 11:44:12 AM)</t>
  </si>
  <si>
    <t>Not Received (8/2/2025, 3:25:05 PM)</t>
  </si>
  <si>
    <t>prospect_888</t>
  </si>
  <si>
    <t>Call Later (7/31/2025, 11:46:40 AM)</t>
  </si>
  <si>
    <t>prospect_889</t>
  </si>
  <si>
    <t>Call Received (8/8/2025, 11:26:17 AM)</t>
  </si>
  <si>
    <t>Call Received (8/2/2025, 3:25:49 PM)</t>
  </si>
  <si>
    <t>urwahahmed</t>
  </si>
  <si>
    <t>Call Received (8/8/2025, 11:26:50 AM)</t>
  </si>
  <si>
    <t>Call Received (8/2/2025, 3:32:54 PM)</t>
  </si>
  <si>
    <t>prospect_890</t>
  </si>
  <si>
    <t>Client Lost (7/31/2025, 12:03:05 PM)</t>
  </si>
  <si>
    <t>prospect_891</t>
  </si>
  <si>
    <t>Call Received (8/1/2025, 11:29:18 AM)</t>
  </si>
  <si>
    <t>Client Lost (8/1/2025, 2:26:59 PM)</t>
  </si>
  <si>
    <t>Not Received (7/31/2025, 5:40:49 PM)</t>
  </si>
  <si>
    <t>prospect_892</t>
  </si>
  <si>
    <t>Client Lost (8/1/2025, 12:26:25 PM)</t>
  </si>
  <si>
    <t>Not Received (7/31/2025, 5:42:37 PM)</t>
  </si>
  <si>
    <t>Muhammad shan</t>
  </si>
  <si>
    <t>Call Received (8/8/2025, 11:27:26 AM)</t>
  </si>
  <si>
    <t>Call Received (8/2/2025, 2:14:50 PM)</t>
  </si>
  <si>
    <t>Call Received (7/31/2025, 5:44:45 PM)</t>
  </si>
  <si>
    <t>prospect_895</t>
  </si>
  <si>
    <t>Not Received (8/1/2025, 10:08:37 AM)</t>
  </si>
  <si>
    <t>Call Received (8/8/2025, 11:28:13 AM)</t>
  </si>
  <si>
    <t>Call Received (8/2/2025, 3:37:08 PM)</t>
  </si>
  <si>
    <t>prospect_896</t>
  </si>
  <si>
    <t>Not Received (8/1/2025, 10:09:16 AM)</t>
  </si>
  <si>
    <t>Call Received (8/8/2025, 11:28:44 AM)</t>
  </si>
  <si>
    <t>Call Received (8/2/2025, 3:48:51 PM)</t>
  </si>
  <si>
    <t>prospect_897</t>
  </si>
  <si>
    <t>Call Received (8/1/2025, 10:15:59 AM)</t>
  </si>
  <si>
    <t>Call Received (8/8/2025, 11:29:42 AM)</t>
  </si>
  <si>
    <t>Call Received (8/2/2025, 2:15:09 PM)</t>
  </si>
  <si>
    <t>prospect_898</t>
  </si>
  <si>
    <t>Not Received (8/1/2025, 10:17:50 AM)</t>
  </si>
  <si>
    <t>Not Received (8/8/2025, 11:31:18 AM)</t>
  </si>
  <si>
    <t>Call Received (8/2/2025, 3:50:02 PM)</t>
  </si>
  <si>
    <t>prospect_899</t>
  </si>
  <si>
    <t>Not Received (8/1/2025, 10:18:28 AM)</t>
  </si>
  <si>
    <t>Call Received (8/8/2025, 11:31:44 AM)</t>
  </si>
  <si>
    <t>Call Received (8/2/2025, 3:50:23 PM)</t>
  </si>
  <si>
    <t>prospect_900</t>
  </si>
  <si>
    <t>Not Received (8/1/2025, 10:21:18 AM)</t>
  </si>
  <si>
    <t>Not Received (8/2/2025, 3:52:06 PM)</t>
  </si>
  <si>
    <t>prospect_901</t>
  </si>
  <si>
    <t>Client Lost (8/1/2025, 10:26:02 AM)</t>
  </si>
  <si>
    <t>prospect_902</t>
  </si>
  <si>
    <t>Call Later (8/1/2025, 10:40:54 AM)</t>
  </si>
  <si>
    <t>prospect_903</t>
  </si>
  <si>
    <t>Call Later (8/1/2025, 10:41:57 AM)</t>
  </si>
  <si>
    <t>prospect_904</t>
  </si>
  <si>
    <t>Call Received (8/1/2025, 10:44:48 AM)</t>
  </si>
  <si>
    <t>Call Received (8/8/2025, 11:33:17 AM)</t>
  </si>
  <si>
    <t>Call Received (8/2/2025, 2:15:50 PM)</t>
  </si>
  <si>
    <t>prospect_905</t>
  </si>
  <si>
    <t>Not Received (8/1/2025, 10:52:57 AM)</t>
  </si>
  <si>
    <t>Call Received (8/8/2025, 11:35:42 AM)</t>
  </si>
  <si>
    <t>Call Received (8/2/2025, 3:55:49 PM)</t>
  </si>
  <si>
    <t>prospect_906</t>
  </si>
  <si>
    <t>Not Received (8/1/2025, 10:54:49 AM)</t>
  </si>
  <si>
    <t>Not Received (8/2/2025, 3:56:57 PM)</t>
  </si>
  <si>
    <t>prospect_913</t>
  </si>
  <si>
    <t>Call Received (8/1/2025, 11:54:22 AM)</t>
  </si>
  <si>
    <t>Confirmation (8/1/2025, 1:58:05 PM)</t>
  </si>
  <si>
    <t>need discount of 3k</t>
  </si>
  <si>
    <t>prospect_914</t>
  </si>
  <si>
    <t>Not Received (8/1/2025, 1:14:50 PM)</t>
  </si>
  <si>
    <t>Not Received (8/2/2025, 4:03:30 PM)</t>
  </si>
  <si>
    <t>prospect_916</t>
  </si>
  <si>
    <t>Not Received (8/1/2025, 1:34:48 PM)</t>
  </si>
  <si>
    <t>Not Received (8/2/2025, 4:04:26 PM)</t>
  </si>
  <si>
    <t>prospect_917</t>
  </si>
  <si>
    <t>Call Received (8/8/2025, 11:36:48 AM)</t>
  </si>
  <si>
    <t>Call Received (8/2/2025, 4:17:39 PM)</t>
  </si>
  <si>
    <t>prospect_918</t>
  </si>
  <si>
    <t>Not Received (8/2/2025, 4:16:15 PM)</t>
  </si>
  <si>
    <t>prospect_919</t>
  </si>
  <si>
    <t>Call Received (8/8/2025, 11:37:26 AM)</t>
  </si>
  <si>
    <t>Call Received (8/2/2025, 4:16:33 PM)</t>
  </si>
  <si>
    <t>18/08/2025</t>
  </si>
  <si>
    <t>prospect_920</t>
  </si>
  <si>
    <t>Call Received (8/18/2025, 12:29:57 PM)</t>
  </si>
  <si>
    <t>Confirmation (8/19/2025, 1:20:24 PM)</t>
  </si>
  <si>
    <t>prospect_921</t>
  </si>
  <si>
    <t>Not Received (8/20/2025, 12:51:14 PM)</t>
  </si>
  <si>
    <t>Not Received (8/20/2025, 1:16:19 PM)</t>
  </si>
  <si>
    <t>prospect_922</t>
  </si>
  <si>
    <t>Paid (8/20/2025, 10:33:30 AM)</t>
  </si>
  <si>
    <t>Confirmation (8/18/2025, 2:19:57 PM)</t>
  </si>
  <si>
    <t>prospect_924</t>
  </si>
  <si>
    <t>Not Received (8/20/2025, 12:54:34 PM)</t>
  </si>
  <si>
    <t>Not Received (8/18/2025, 4:40:22 PM)</t>
  </si>
  <si>
    <t>prospect_925</t>
  </si>
  <si>
    <t>Not Received (8/20/2025, 12:56:08 PM)</t>
  </si>
  <si>
    <t>Client Lost (8/20/2025, 2:43:18 PM)</t>
  </si>
  <si>
    <t>Call Received (8/18/2025, 4:41:31 PM)</t>
  </si>
  <si>
    <t>prospect_926</t>
  </si>
  <si>
    <t>Call Received (8/19/2025, 1:25:38 PM)</t>
  </si>
  <si>
    <t>Call Received (8/18/2025, 5:04:49 PM)</t>
  </si>
  <si>
    <t>Diya</t>
  </si>
  <si>
    <t>Not Received (8/20/2025, 12:56:40 PM)</t>
  </si>
  <si>
    <t>Confirmation (8/20/2025, 2:56:16 PM)</t>
  </si>
  <si>
    <t>Not Received (8/18/2025, 5:37:28 PM)</t>
  </si>
  <si>
    <t>prospect_927</t>
  </si>
  <si>
    <t>Call Received (8/19/2025, 2:43:37 PM)</t>
  </si>
  <si>
    <t>Call Received (8/18/2025, 5:40:33 PM)</t>
  </si>
  <si>
    <t>19/08/2025</t>
  </si>
  <si>
    <t>shamsa</t>
  </si>
  <si>
    <t>Client Lost (8/19/2025, 12:30:40 PM)</t>
  </si>
  <si>
    <t>Not Received (8/19/2025, 12:31:32 PM)</t>
  </si>
  <si>
    <t>Not Received (8/20/2025, 1:20:41 PM)</t>
  </si>
  <si>
    <t>prospect_928</t>
  </si>
  <si>
    <t>Not Received (8/19/2025, 12:32:16 PM)</t>
  </si>
  <si>
    <t>Not Received (8/20/2025, 1:21:16 PM)</t>
  </si>
  <si>
    <t>prospect_929</t>
  </si>
  <si>
    <t>Call Received (8/19/2025, 12:33:23 PM)</t>
  </si>
  <si>
    <t>prospect_930</t>
  </si>
  <si>
    <t>Client Lost (8/19/2025, 12:38:03 PM)</t>
  </si>
  <si>
    <t>aamna mannan</t>
  </si>
  <si>
    <t>Client Lost (8/19/2025, 12:41:36 PM)</t>
  </si>
  <si>
    <t>prospect_931</t>
  </si>
  <si>
    <t>Client Lost (8/19/2025, 12:49:37 PM)</t>
  </si>
  <si>
    <t>prospect_932</t>
  </si>
  <si>
    <t>Not Received (8/19/2025, 12:50:18 PM)</t>
  </si>
  <si>
    <t>Not Received (8/20/2025, 1:21:48 PM)</t>
  </si>
  <si>
    <t>prospect_933</t>
  </si>
  <si>
    <t>Not Received (8/19/2025, 12:51:08 PM)</t>
  </si>
  <si>
    <t>Not Received (8/20/2025, 1:24:23 PM)</t>
  </si>
  <si>
    <t>prospect_934</t>
  </si>
  <si>
    <t>Client Lost (8/19/2025, 12:52:22 PM)</t>
  </si>
  <si>
    <t>prospect_935</t>
  </si>
  <si>
    <t>Call Received (8/19/2025, 12:54:57 PM)</t>
  </si>
  <si>
    <t>prospect_936</t>
  </si>
  <si>
    <t>Not Received (8/20/2025, 12:57:43 PM)</t>
  </si>
  <si>
    <t>Not Received (8/19/2025, 1:02:49 PM)</t>
  </si>
  <si>
    <t>prospect_937</t>
  </si>
  <si>
    <t>Client Lost (8/19/2025, 1:04:52 PM)</t>
  </si>
  <si>
    <t>prospect_938</t>
  </si>
  <si>
    <t>Call Received (8/19/2025, 1:11:18 PM)</t>
  </si>
  <si>
    <t>prospect_939</t>
  </si>
  <si>
    <t>Not Received (8/19/2025, 12:29:14 PM)</t>
  </si>
  <si>
    <t>Not Received (8/20/2025, 1:24:55 PM)</t>
  </si>
  <si>
    <t>prospect_940</t>
  </si>
  <si>
    <t>Call Later (8/19/2025, 1:14:25 PM)</t>
  </si>
  <si>
    <t>20/08/2025</t>
  </si>
  <si>
    <t>Muhammad Umar Ijaz Satti</t>
  </si>
  <si>
    <t>Call Received (8/20/2025, 1:30:57 PM)</t>
  </si>
  <si>
    <t>prospect_941</t>
  </si>
  <si>
    <t>Call Received (8/20/2025, 1:38:35 PM)</t>
  </si>
  <si>
    <t>21/08/2025</t>
  </si>
  <si>
    <t>prospect_942</t>
  </si>
  <si>
    <t>prospect_943</t>
  </si>
  <si>
    <t>prospect_944</t>
  </si>
  <si>
    <t>prospect_945</t>
  </si>
  <si>
    <t>prospect_946</t>
  </si>
  <si>
    <t>prospect_947</t>
  </si>
  <si>
    <t>prospect_948</t>
  </si>
  <si>
    <t>prospect_949</t>
  </si>
  <si>
    <t>prospect_950</t>
  </si>
  <si>
    <t>prospect_951</t>
  </si>
  <si>
    <t>Not Received (9/3/2025, 11:18:33 AM)</t>
  </si>
  <si>
    <t>can't pay due to financial issues but provide him discount of 3000</t>
  </si>
  <si>
    <t>Not Received (8/25/2025, 10:26:26 AM)</t>
  </si>
  <si>
    <t>Not Received (8/26/2025, 12:00:32 PM)</t>
  </si>
  <si>
    <t>Not Received (8/30/2025, 1:42:59 PM)</t>
  </si>
  <si>
    <t>Not Received (8/27/2025, 4:08:23 PM)</t>
  </si>
  <si>
    <t>prospect_3</t>
  </si>
  <si>
    <t>prospect_4</t>
  </si>
  <si>
    <t>Client Lost (8/22/2025, 3:07:47 PM)</t>
  </si>
  <si>
    <t>Paid (8/21/2025, 1:26:22 PM)</t>
  </si>
  <si>
    <t>Client Lost (8/26/2025, 10:58:11 AM)</t>
  </si>
  <si>
    <t>Call Received (8/21/2025, 11:58:31 AM)</t>
  </si>
  <si>
    <t>Not Received (8/25/2025, 10:28:01 AM)</t>
  </si>
  <si>
    <t>Client Lost (8/26/2025, 12:02:09 PM)</t>
  </si>
  <si>
    <t>Not Received (8/25/2025, 10:28:43 AM)</t>
  </si>
  <si>
    <t>Not Received (8/26/2025, 12:04:05 PM)</t>
  </si>
  <si>
    <t>Not Received (8/22/2025, 3:09:13 PM)</t>
  </si>
  <si>
    <t>Not Received (8/27/2025, 4:08:27 PM)</t>
  </si>
  <si>
    <t>prospect_8</t>
  </si>
  <si>
    <t>Not Received (8/25/2025, 10:29:05 AM)</t>
  </si>
  <si>
    <t>Not Received (8/28/2025, 12:54:03 PM)</t>
  </si>
  <si>
    <t>Not Received (8/22/2025, 3:10:24 PM)</t>
  </si>
  <si>
    <t>need only freelancing</t>
  </si>
  <si>
    <t>Call Received (8/26/2025, 10:58:55 AM)</t>
  </si>
  <si>
    <t>Not Received (8/27/2025, 1:59:05 PM)</t>
  </si>
  <si>
    <t>Not Received (8/27/2025, 4:08:33 PM)</t>
  </si>
  <si>
    <t>prospect_10</t>
  </si>
  <si>
    <t>Khayam Bangash</t>
  </si>
  <si>
    <t>Confirmation (8/25/2025, 1:38:01 PM)</t>
  </si>
  <si>
    <t>pay by next week</t>
  </si>
  <si>
    <t>prospect_11</t>
  </si>
  <si>
    <t>Not Received (8/25/2025, 10:29:45 AM)</t>
  </si>
  <si>
    <t>Not Received (8/26/2025, 12:09:19 PM)</t>
  </si>
  <si>
    <t>Not Received (8/27/2025, 2:03:06 PM)</t>
  </si>
  <si>
    <t>Not Received (8/27/2025, 4:08:39 PM)</t>
  </si>
  <si>
    <t>prospect_13</t>
  </si>
  <si>
    <t>Not Received (8/25/2025, 10:30:19 AM)</t>
  </si>
  <si>
    <t>Client Lost (8/25/2025, 5:16:12 PM)</t>
  </si>
  <si>
    <t>Usman Sikandar</t>
  </si>
  <si>
    <t>Paid (8/28/2025, 2:11:19 PM)</t>
  </si>
  <si>
    <t>pay by this week</t>
  </si>
  <si>
    <t>prospect_15</t>
  </si>
  <si>
    <t>Call Received (8/27/2025, 10:25:45 AM)</t>
  </si>
  <si>
    <t>Call Received (8/27/2025, 1:59:39 PM)</t>
  </si>
  <si>
    <t>prospect_16</t>
  </si>
  <si>
    <t>Client Lost (8/25/2025, 10:30:49 AM)</t>
  </si>
  <si>
    <t>prospect_17</t>
  </si>
  <si>
    <t>prospect_18</t>
  </si>
  <si>
    <t>Not Received (8/25/2025, 10:32:41 AM)</t>
  </si>
  <si>
    <t>Not Received (8/26/2025, 12:10:01 PM)</t>
  </si>
  <si>
    <t>Not Received (8/27/2025, 2:05:24 PM)</t>
  </si>
  <si>
    <t>Not Received (8/27/2025, 4:08:44 PM)</t>
  </si>
  <si>
    <t>Not Received (8/25/2025, 10:33:23 AM)</t>
  </si>
  <si>
    <t>Client Lost (8/26/2025, 12:29:44 PM)</t>
  </si>
  <si>
    <t>prospect_20</t>
  </si>
  <si>
    <t>Client Lost (8/23/2025, 11:44:56 AM)</t>
  </si>
  <si>
    <t>Not Received (8/21/2025, 1:25:02 PM)</t>
  </si>
  <si>
    <t>need physical classes in day time</t>
  </si>
  <si>
    <t>Call Received (8/26/2025, 10:27:22 AM)</t>
  </si>
  <si>
    <t>Not Received (8/28/2025, 12:57:58 PM)</t>
  </si>
  <si>
    <t>Call Received (8/27/2025, 2:00:54 PM)</t>
  </si>
  <si>
    <t>will inform evening or tomorrow</t>
  </si>
  <si>
    <t>Client Lost (8/27/2025, 10:24:59 AM)</t>
  </si>
  <si>
    <t>Call Received (8/26/2025, 12:28:05 PM)</t>
  </si>
  <si>
    <t>Call Received (8/25/2025, 2:15:25 PM)</t>
  </si>
  <si>
    <t>will join next batch</t>
  </si>
  <si>
    <t>prospect_22</t>
  </si>
  <si>
    <t>Client Lost (8/25/2025, 10:36:36 AM)</t>
  </si>
  <si>
    <t>Not Received (8/23/2025, 11:58:27 AM)</t>
  </si>
  <si>
    <t>Not Received (8/22/2025, 3:11:30 PM)</t>
  </si>
  <si>
    <t>Not Received (8/21/2025, 10:51:46 AM)</t>
  </si>
  <si>
    <t>Client Lost (8/23/2025, 12:03:05 PM)</t>
  </si>
  <si>
    <t>Not Received (8/22/2025, 3:13:02 PM)</t>
  </si>
  <si>
    <t>prospect_24</t>
  </si>
  <si>
    <t>Not Received (8/26/2025, 10:28:51 AM)</t>
  </si>
  <si>
    <t>Not Received (8/27/2025, 12:10:26 PM)</t>
  </si>
  <si>
    <t>Not Received (8/27/2025, 2:05:56 PM)</t>
  </si>
  <si>
    <t>Not Received (8/23/2025, 4:25:30 PM)</t>
  </si>
  <si>
    <t>Not Received (8/25/2025, 10:36:45 AM)</t>
  </si>
  <si>
    <t>Not Received (8/26/2025, 12:15:55 PM)</t>
  </si>
  <si>
    <t>Not Received (8/27/2025, 2:06:48 PM)</t>
  </si>
  <si>
    <t>Not Received (8/27/2025, 4:10:30 PM)</t>
  </si>
  <si>
    <t>Call Received (8/21/2025, 10:59:22 AM)</t>
  </si>
  <si>
    <t>Call Received (9/3/2025, 11:43:09 AM)</t>
  </si>
  <si>
    <t>Not Received (8/27/2025, 2:09:23 PM)</t>
  </si>
  <si>
    <t>Not Received (8/27/2025, 4:11:03 PM)</t>
  </si>
  <si>
    <t>interested, will inform soon</t>
  </si>
  <si>
    <t>Mariam</t>
  </si>
  <si>
    <t>923212070979</t>
  </si>
  <si>
    <t>Not Received (8/27/2025, 10:25:46 AM)</t>
  </si>
  <si>
    <t>Not Received (9/3/2025, 11:44:24 AM)</t>
  </si>
  <si>
    <t>Not Received (8/22/2025, 3:17:00 PM)</t>
  </si>
  <si>
    <t>Not Received (8/27/2025, 4:12:21 PM)</t>
  </si>
  <si>
    <t>needs discount of 3000...</t>
  </si>
  <si>
    <t>prospect_28</t>
  </si>
  <si>
    <t>Client Lost (8/27/2025, 10:26:04 AM)</t>
  </si>
  <si>
    <t>Call Received (8/23/2025, 12:15:24 PM)</t>
  </si>
  <si>
    <t>Call Received (8/25/2025, 1:59:43 PM)</t>
  </si>
  <si>
    <t>prospect_29</t>
  </si>
  <si>
    <t>Not Received (8/21/2025, 11:09:14 AM)</t>
  </si>
  <si>
    <t>Client Lost (8/21/2025, 2:49:51 PM)</t>
  </si>
  <si>
    <t>Call Received (8/27/2025, 10:27:16 AM)</t>
  </si>
  <si>
    <t>Not Received (9/3/2025, 11:46:00 AM)</t>
  </si>
  <si>
    <t>Call Received (8/28/2025, 1:23:56 PM)</t>
  </si>
  <si>
    <t>prospect_31</t>
  </si>
  <si>
    <t>Call Received (8/27/2025, 10:28:45 AM)</t>
  </si>
  <si>
    <t>Not Received (8/21/2025, 11:13:48 AM)</t>
  </si>
  <si>
    <t>Call Received (8/30/2025, 3:20:58 PM)</t>
  </si>
  <si>
    <t>will inform before 5th</t>
  </si>
  <si>
    <t>Confirmation (8/21/2025, 11:33:48 AM)</t>
  </si>
  <si>
    <t>Confirmation (8/23/2025, 2:50:54 PM)</t>
  </si>
  <si>
    <t>Confirmation (8/22/2025, 5:29:57 PM)</t>
  </si>
  <si>
    <t>pay on 25</t>
  </si>
  <si>
    <t>Kashif Yunus</t>
  </si>
  <si>
    <t>Call Received (8/27/2025, 10:30:14 AM)</t>
  </si>
  <si>
    <t>Call Received (9/1/2025, 11:46:47 AM)</t>
  </si>
  <si>
    <t>Call Received (8/30/2025, 3:22:23 PM)</t>
  </si>
  <si>
    <t>will inform by 30th</t>
  </si>
  <si>
    <t>Zain Ahmed</t>
  </si>
  <si>
    <t>Not Received (8/25/2025, 10:44:10 AM)</t>
  </si>
  <si>
    <t>Not Received (9/3/2025, 11:46:18 AM)</t>
  </si>
  <si>
    <t>Not Received (8/27/2025, 1:24:13 PM)</t>
  </si>
  <si>
    <t>Abdul Muqtadir Qureshi</t>
  </si>
  <si>
    <t>Confirmation (8/21/2025, 2:55:35 PM)</t>
  </si>
  <si>
    <t>Confirmation (8/22/2025, 5:29:49 PM)</t>
  </si>
  <si>
    <t>pay soon</t>
  </si>
  <si>
    <t>prospect_33</t>
  </si>
  <si>
    <t>Not Received (8/26/2025, 10:31:03 AM)</t>
  </si>
  <si>
    <t>Not Received (9/3/2025, 11:59:22 AM)</t>
  </si>
  <si>
    <t>Not Received (8/28/2025, 1:09:51 PM)</t>
  </si>
  <si>
    <t>Not Received (8/21/2025, 4:32:04 PM)</t>
  </si>
  <si>
    <t>Anum</t>
  </si>
  <si>
    <t>Confirmation (8/22/2025, 5:29:36 PM)</t>
  </si>
  <si>
    <t>11th sept</t>
  </si>
  <si>
    <t>Kamran Khalid</t>
  </si>
  <si>
    <t>Not Received (8/25/2025, 10:45:37 AM)</t>
  </si>
  <si>
    <t>Not Received (9/3/2025, 11:47:31 AM)</t>
  </si>
  <si>
    <t>Not Received (8/22/2025, 2:58:14 PM)</t>
  </si>
  <si>
    <t>call after 2:30</t>
  </si>
  <si>
    <t>22/08/2025</t>
  </si>
  <si>
    <t>prospect_34</t>
  </si>
  <si>
    <t>Call Received (8/22/2025, 12:25:31 PM)</t>
  </si>
  <si>
    <t>Client Lost (8/25/2025, 2:13:54 PM)</t>
  </si>
  <si>
    <t>prospect_35</t>
  </si>
  <si>
    <t>Not Received (8/25/2025, 10:45:59 AM)</t>
  </si>
  <si>
    <t>Not Received (9/3/2025, 11:48:50 AM)</t>
  </si>
  <si>
    <t>Not Received (8/23/2025, 2:52:39 PM)</t>
  </si>
  <si>
    <t>Client Lost (8/22/2025, 12:27:18 PM)</t>
  </si>
  <si>
    <t>Khurram</t>
  </si>
  <si>
    <t>Not Received (8/26/2025, 10:31:33 AM)</t>
  </si>
  <si>
    <t>Call Received (8/23/2025, 12:47:46 PM)</t>
  </si>
  <si>
    <t>Confirmation (8/26/2025, 1:32:02 PM)</t>
  </si>
  <si>
    <t>pay before 10</t>
  </si>
  <si>
    <t>prospect_38</t>
  </si>
  <si>
    <t>Client Lost (8/22/2025, 12:46:45 PM)</t>
  </si>
  <si>
    <t>Client Lost (8/22/2025, 12:49:15 PM)</t>
  </si>
  <si>
    <t>Not Received (8/25/2025, 10:46:46 AM)</t>
  </si>
  <si>
    <t>Call Received (8/29/2025, 12:59:19 PM)</t>
  </si>
  <si>
    <t>Not Received (8/27/2025, 2:10:38 PM)</t>
  </si>
  <si>
    <t>Call Received (8/28/2025, 4:15:06 PM)</t>
  </si>
  <si>
    <t>prospect_41</t>
  </si>
  <si>
    <t>Confirmation (8/26/2025, 10:22:50 AM)</t>
  </si>
  <si>
    <t>Client Lost (8/29/2025, 12:59:34 PM)</t>
  </si>
  <si>
    <t>Call Received (8/28/2025, 1:36:26 PM)</t>
  </si>
  <si>
    <t>provide him discount</t>
  </si>
  <si>
    <t>prospect_42</t>
  </si>
  <si>
    <t>Not Received (8/25/2025, 10:47:10 AM)</t>
  </si>
  <si>
    <t>Not Received (9/3/2025, 11:49:40 AM)</t>
  </si>
  <si>
    <t>Not Received (8/27/2025, 1:42:23 PM)</t>
  </si>
  <si>
    <t>Not Received (8/28/2025, 4:15:42 PM)</t>
  </si>
  <si>
    <t>Not Received (8/25/2025, 10:50:32 AM)</t>
  </si>
  <si>
    <t>Not Received (9/3/2025, 11:50:18 AM)</t>
  </si>
  <si>
    <t>Not Received (8/30/2025, 1:43:12 PM)</t>
  </si>
  <si>
    <t>Call Later (8/28/2025, 4:16:43 PM)</t>
  </si>
  <si>
    <t>prospect_44</t>
  </si>
  <si>
    <t>Client Lost (8/26/2025, 10:24:20 AM)</t>
  </si>
  <si>
    <t>Not Received (8/22/2025, 12:55:28 PM)</t>
  </si>
  <si>
    <t>Call Received (8/22/2025, 1:06:38 PM)</t>
  </si>
  <si>
    <t>shafaq quereshi</t>
  </si>
  <si>
    <t>Confirmation (8/22/2025, 2:42:26 PM)</t>
  </si>
  <si>
    <t>will pay after 1st</t>
  </si>
  <si>
    <t>Confirmation (8/22/2025, 12:51:45 PM)</t>
  </si>
  <si>
    <t>will pay before 11th sept</t>
  </si>
  <si>
    <t>prospect_47</t>
  </si>
  <si>
    <t>Not Received (8/25/2025, 10:51:51 AM)</t>
  </si>
  <si>
    <t>Client Lost (8/25/2025, 12:31:56 PM)</t>
  </si>
  <si>
    <t>Not Received (8/23/2025, 2:25:38 PM)</t>
  </si>
  <si>
    <t>prospect_48</t>
  </si>
  <si>
    <t>Call Received (8/27/2025, 10:30:37 AM)</t>
  </si>
  <si>
    <t>Call Received (9/3/2025, 11:53:13 AM)</t>
  </si>
  <si>
    <t>Not Received (8/30/2025, 1:45:15 PM)</t>
  </si>
  <si>
    <t>prospect_49</t>
  </si>
  <si>
    <t>Not Received (8/25/2025, 10:53:18 AM)</t>
  </si>
  <si>
    <t>Not Received (9/3/2025, 11:55:43 AM)</t>
  </si>
  <si>
    <t>Not Received (8/27/2025, 2:12:58 PM)</t>
  </si>
  <si>
    <t>Not Received (8/28/2025, 4:18:07 PM)</t>
  </si>
  <si>
    <t>prospect_50</t>
  </si>
  <si>
    <t>Not Received (8/25/2025, 10:54:02 AM)</t>
  </si>
  <si>
    <t>Not Received (9/3/2025, 11:59:41 AM)</t>
  </si>
  <si>
    <t>Not Received (8/27/2025, 2:13:24 PM)</t>
  </si>
  <si>
    <t>Not Received (8/28/2025, 4:26:27 PM)</t>
  </si>
  <si>
    <t>shamsa naz</t>
  </si>
  <si>
    <t>Not Received (8/25/2025, 10:55:07 AM)</t>
  </si>
  <si>
    <t>Not Received (9/3/2025, 12:00:43 PM)</t>
  </si>
  <si>
    <t>Not Received (8/27/2025, 2:13:59 PM)</t>
  </si>
  <si>
    <t>Not Received (8/28/2025, 4:27:12 PM)</t>
  </si>
  <si>
    <t>Client Lost (8/27/2025, 10:32:14 AM)</t>
  </si>
  <si>
    <t>Call Received (8/25/2025, 3:45:58 PM)</t>
  </si>
  <si>
    <t>Call Received (8/22/2025, 5:19:57 PM)</t>
  </si>
  <si>
    <t>will inform, but no as such response</t>
  </si>
  <si>
    <t>prospect_52</t>
  </si>
  <si>
    <t>Confirmation (8/22/2025, 5:20:15 PM)</t>
  </si>
  <si>
    <t>pay by 1st week of sept</t>
  </si>
  <si>
    <t>prospect_53</t>
  </si>
  <si>
    <t>Not Received (8/25/2025, 10:55:39 AM)</t>
  </si>
  <si>
    <t>Not Received (9/3/2025, 12:01:33 PM)</t>
  </si>
  <si>
    <t>Not Received (8/27/2025, 2:14:17 PM)</t>
  </si>
  <si>
    <t>Not Received (8/22/2025, 5:20:22 PM)</t>
  </si>
  <si>
    <t>Talha waseem</t>
  </si>
  <si>
    <t>923154684343</t>
  </si>
  <si>
    <t>Confirmation (8/26/2025, 1:08:45 PM)</t>
  </si>
  <si>
    <t>Confirmation (8/22/2025, 5:01:20 PM)</t>
  </si>
  <si>
    <t>23/08/2025</t>
  </si>
  <si>
    <t>Zafar Iqbal</t>
  </si>
  <si>
    <t>Call Received (8/23/2025, 10:54:14 AM)</t>
  </si>
  <si>
    <t>Confirmation (8/26/2025, 11:10:21 AM)</t>
  </si>
  <si>
    <t>Call Later (8/25/2025, 2:06:58 PM)</t>
  </si>
  <si>
    <t>pay before 5th sep</t>
  </si>
  <si>
    <t>mubashir muhammed</t>
  </si>
  <si>
    <t>Call Received (8/27/2025, 10:34:03 AM)</t>
  </si>
  <si>
    <t>Call Received (8/25/2025, 11:48:05 AM)</t>
  </si>
  <si>
    <t>Call Received (8/30/2025, 1:50:55 PM)</t>
  </si>
  <si>
    <t>inform y 5-6 sept</t>
  </si>
  <si>
    <t>Not Received (8/25/2025, 10:57:51 AM)</t>
  </si>
  <si>
    <t>Call Later (9/3/2025, 12:04:30 PM)</t>
  </si>
  <si>
    <t>Not Received (8/27/2025, 2:15:24 PM)</t>
  </si>
  <si>
    <t>Not Received (8/28/2025, 4:28:03 PM)</t>
  </si>
  <si>
    <t>call at 5-6</t>
  </si>
  <si>
    <t>prospect_55</t>
  </si>
  <si>
    <t>Client Lost (8/27/2025, 10:35:33 AM)</t>
  </si>
  <si>
    <t>Call Received (8/23/2025, 11:32:05 AM)</t>
  </si>
  <si>
    <t>Call Received (8/25/2025, 2:42:01 PM)</t>
  </si>
  <si>
    <t>prospect_56</t>
  </si>
  <si>
    <t>Demo (8/27/2025, 10:40:51 AM)</t>
  </si>
  <si>
    <t>Call Received (8/23/2025, 11:36:32 AM)</t>
  </si>
  <si>
    <t>Call Received (8/25/2025, 2:48:32 PM)</t>
  </si>
  <si>
    <t>bad experience of online class, will join trial class</t>
  </si>
  <si>
    <t>Call Received (8/25/2025, 10:59:22 AM)</t>
  </si>
  <si>
    <t>Not Received (9/3/2025, 12:07:36 PM)</t>
  </si>
  <si>
    <t>Not Received (8/28/2025, 1:27:14 PM)</t>
  </si>
  <si>
    <t>Not Received (8/28/2025, 4:28:21 PM)</t>
  </si>
  <si>
    <t>Call Received (8/27/2025, 10:44:25 AM)</t>
  </si>
  <si>
    <t>Call Received (9/3/2025, 12:09:30 PM)</t>
  </si>
  <si>
    <t>Call Received (8/30/2025, 3:23:54 PM)</t>
  </si>
  <si>
    <t>will inform by tomoorow</t>
  </si>
  <si>
    <t>prospect_59</t>
  </si>
  <si>
    <t>Not Received (8/25/2025, 11:01:21 AM)</t>
  </si>
  <si>
    <t>Client Lost (8/27/2025, 2:18:04 PM)</t>
  </si>
  <si>
    <t>Not Received (8/23/2025, 4:24:51 PM)</t>
  </si>
  <si>
    <t>Abdur rauf</t>
  </si>
  <si>
    <t>Call Received (8/27/2025, 10:51:38 AM)</t>
  </si>
  <si>
    <t>Client Lost (8/27/2025, 11:11:48 AM)</t>
  </si>
  <si>
    <t>Call Received (8/23/2025, 6:10:20 PM)</t>
  </si>
  <si>
    <t>25/08/2025</t>
  </si>
  <si>
    <t>Not Received (8/25/2025, 10:24:33 AM)</t>
  </si>
  <si>
    <t>Not Received (9/3/2025, 12:10:00 PM)</t>
  </si>
  <si>
    <t>Not Received (8/27/2025, 2:22:20 PM)</t>
  </si>
  <si>
    <t>Not Received (8/28/2025, 4:29:47 PM)</t>
  </si>
  <si>
    <t>923135466571</t>
  </si>
  <si>
    <t>Not Received (8/25/2025, 10:25:01 AM)</t>
  </si>
  <si>
    <t>Confirmation (8/25/2025, 4:46:32 PM)</t>
  </si>
  <si>
    <t>saira</t>
  </si>
  <si>
    <t>923225072072</t>
  </si>
  <si>
    <t>Not Received (8/25/2025, 10:25:34 AM)</t>
  </si>
  <si>
    <t>Not Received (8/27/2025, 2:23:49 PM)</t>
  </si>
  <si>
    <t>Confirmation (8/28/2025, 4:34:56 PM)</t>
  </si>
  <si>
    <t>prospect_63</t>
  </si>
  <si>
    <t>Call Received (8/27/2025, 10:55:27 AM)</t>
  </si>
  <si>
    <t>Not Received (9/3/2025, 12:11:05 PM)</t>
  </si>
  <si>
    <t>Not Received (8/28/2025, 1:20:31 PM)</t>
  </si>
  <si>
    <t>Not Received (8/28/2025, 4:37:03 PM)</t>
  </si>
  <si>
    <t>Not Received (8/27/2025, 10:57:08 AM)</t>
  </si>
  <si>
    <t>Not Received (9/3/2025, 12:12:42 PM)</t>
  </si>
  <si>
    <t>Not Received (8/28/2025, 4:38:15 PM)</t>
  </si>
  <si>
    <t>Call Received (8/27/2025, 11:00:08 AM)</t>
  </si>
  <si>
    <t>Call Received (8/25/2025, 12:06:10 PM)</t>
  </si>
  <si>
    <t>Client Lost (8/27/2025, 1:54:26 PM)</t>
  </si>
  <si>
    <t>Call Later (9/1/2025, 12:16:44 PM)</t>
  </si>
  <si>
    <t>busy cant continue, provide her discount by tomorrow</t>
  </si>
  <si>
    <t>Call Received (8/25/2025, 12:13:28 PM)</t>
  </si>
  <si>
    <t>Confirmation (8/28/2025, 2:17:29 PM)</t>
  </si>
  <si>
    <t>Paid (8/28/2025, 4:05:23 PM)</t>
  </si>
  <si>
    <t>Client Lost (8/25/2025, 12:16:42 PM)</t>
  </si>
  <si>
    <t>Kashif hussain</t>
  </si>
  <si>
    <t>923452350799</t>
  </si>
  <si>
    <t>Call Received (8/25/2025, 12:19:06 PM)</t>
  </si>
  <si>
    <t>Confirmation (8/26/2025, 1:29:49 PM)</t>
  </si>
  <si>
    <t>pay by this friday</t>
  </si>
  <si>
    <t>Call Later (8/26/2025, 10:33:31 AM)</t>
  </si>
  <si>
    <t>Confirmation (9/2/2025, 11:20:22 AM)</t>
  </si>
  <si>
    <t>Call Received (8/28/2025, 1:46:44 PM)</t>
  </si>
  <si>
    <t>Call Received (8/26/2025, 4:49:41 PM)</t>
  </si>
  <si>
    <t>pay by today</t>
  </si>
  <si>
    <t>Not Received (8/29/2025, 10:57:07 AM)</t>
  </si>
  <si>
    <t>Call Later (9/1/2025, 12:22:11 PM)</t>
  </si>
  <si>
    <t>Call Later (8/28/2025, 1:49:16 PM)</t>
  </si>
  <si>
    <t>Call Received (8/27/2025, 4:13:48 PM)</t>
  </si>
  <si>
    <t>call at 10:30 to 11:00</t>
  </si>
  <si>
    <t>Not Received (8/26/2025, 10:34:45 AM)</t>
  </si>
  <si>
    <t>Call Received (9/2/2025, 11:34:33 AM)</t>
  </si>
  <si>
    <t>Not Received (8/28/2025, 4:39:06 PM)</t>
  </si>
  <si>
    <t>Not Received (8/26/2025, 10:35:33 AM)</t>
  </si>
  <si>
    <t>Not Received (9/3/2025, 12:13:57 PM)</t>
  </si>
  <si>
    <t>Not Received (8/28/2025, 4:40:00 PM)</t>
  </si>
  <si>
    <t>idees</t>
  </si>
  <si>
    <t>923162447809/923491683186</t>
  </si>
  <si>
    <t>Call Received (8/25/2025, 12:53:58 PM)</t>
  </si>
  <si>
    <t>Confirmation (8/25/2025, 1:05:51 PM)</t>
  </si>
  <si>
    <t>pay after some time</t>
  </si>
  <si>
    <t>Client Lost (8/25/2025, 12:46:15 PM)</t>
  </si>
  <si>
    <t>Not Received (8/26/2025, 10:36:15 AM)</t>
  </si>
  <si>
    <t>Not Received (9/3/2025, 12:16:13 PM)</t>
  </si>
  <si>
    <t>Not Received (8/28/2025, 4:40:38 PM)</t>
  </si>
  <si>
    <t xml:space="preserve">Zahra </t>
  </si>
  <si>
    <t>Call Received (8/25/2025, 12:58:31 PM)</t>
  </si>
  <si>
    <t>Client Lost (8/28/2025, 1:50:43 PM)</t>
  </si>
  <si>
    <t>Not Received (8/26/2025, 10:41:56 AM)</t>
  </si>
  <si>
    <t>Not Received (8/25/2025, 12:59:19 PM)</t>
  </si>
  <si>
    <t>Client Lost (8/28/2025, 4:42:30 PM)</t>
  </si>
  <si>
    <t>Not Received (8/26/2025, 10:43:27 AM)</t>
  </si>
  <si>
    <t>Call Received (9/3/2025, 12:18:43 PM)</t>
  </si>
  <si>
    <t>Not Received (8/28/2025, 4:49:01 PM)</t>
  </si>
  <si>
    <t>inform within 2 days</t>
  </si>
  <si>
    <t>Abu ubaida</t>
  </si>
  <si>
    <t>9231116875743336254126</t>
  </si>
  <si>
    <t>Not Received (8/26/2025, 10:44:33 AM)</t>
  </si>
  <si>
    <t>Not Received (9/3/2025, 12:19:39 PM)</t>
  </si>
  <si>
    <t>Not Received (8/28/2025, 1:54:04 PM)</t>
  </si>
  <si>
    <t>Not Received (8/26/2025, 10:33:45 AM)</t>
  </si>
  <si>
    <t>Call Received (9/2/2025, 11:36:18 AM)</t>
  </si>
  <si>
    <t>Call Received (8/29/2025, 1:01:31 PM)</t>
  </si>
  <si>
    <t>Client Lost (8/25/2025, 1:21:29 PM)</t>
  </si>
  <si>
    <t>prospect_81</t>
  </si>
  <si>
    <t>Paid (9/1/2025, 10:36:15 AM)</t>
  </si>
  <si>
    <t>Call Received (8/27/2025, 11:04:30 AM)</t>
  </si>
  <si>
    <t>Not Received (8/25/2025, 1:23:05 PM)</t>
  </si>
  <si>
    <t>Confirmation (8/28/2025, 4:04:54 PM)</t>
  </si>
  <si>
    <t>contact him by friday</t>
  </si>
  <si>
    <t>Shahid Choudhary</t>
  </si>
  <si>
    <t>Not Received (8/26/2025, 10:50:40 AM)</t>
  </si>
  <si>
    <t>Not Received (9/3/2025, 12:20:15 PM)</t>
  </si>
  <si>
    <t>Not Received (8/25/2025, 1:25:28 PM)</t>
  </si>
  <si>
    <t>Not Received (8/27/2025, 4:26:15 PM)</t>
  </si>
  <si>
    <t>Not Received (8/26/2025, 10:52:16 AM)</t>
  </si>
  <si>
    <t>Client Lost (8/29/2025, 11:29:35 AM)</t>
  </si>
  <si>
    <t>Not Received (8/25/2025, 1:27:02 PM)</t>
  </si>
  <si>
    <t>Not Received (8/27/2025, 4:27:14 PM)</t>
  </si>
  <si>
    <t>lost, need free courses</t>
  </si>
  <si>
    <t>Husnain</t>
  </si>
  <si>
    <t>Not Received (8/26/2025, 10:53:25 AM)</t>
  </si>
  <si>
    <t>Not Received (9/3/2025, 12:22:06 PM)</t>
  </si>
  <si>
    <t>Not Received (8/25/2025, 1:28:03 PM)</t>
  </si>
  <si>
    <t>Not Received (8/27/2025, 4:28:27 PM)</t>
  </si>
  <si>
    <t>naseem</t>
  </si>
  <si>
    <t>Not Received (8/26/2025, 10:13:29 AM)</t>
  </si>
  <si>
    <t>Client Lost (9/1/2025, 11:15:00 AM)</t>
  </si>
  <si>
    <t>Not Received (8/30/2025, 3:25:08 PM)</t>
  </si>
  <si>
    <t>Call Received (8/27/2025, 4:32:05 PM)</t>
  </si>
  <si>
    <t>share info, will inform</t>
  </si>
  <si>
    <t>sana khurram</t>
  </si>
  <si>
    <t>Call Later (8/26/2025, 10:16:04 AM)</t>
  </si>
  <si>
    <t>Not Received (9/1/2025, 12:53:21 PM)</t>
  </si>
  <si>
    <t>Not Received (8/29/2025, 3:53:20 PM)</t>
  </si>
  <si>
    <t>Call Received (9/2/2025, 4:13:36 PM)</t>
  </si>
  <si>
    <t>syed waseem</t>
  </si>
  <si>
    <t>Not Received (8/26/2025, 11:00:36 AM)</t>
  </si>
  <si>
    <t>Confirmation (8/27/2025, 3:43:21 PM)</t>
  </si>
  <si>
    <t>attend 1st class then pay</t>
  </si>
  <si>
    <t>26/08/2025</t>
  </si>
  <si>
    <t>Not Received (8/26/2025, 11:01:33 AM)</t>
  </si>
  <si>
    <t>Client Lost (8/27/2025, 2:39:01 PM)</t>
  </si>
  <si>
    <t>prospect_85</t>
  </si>
  <si>
    <t>Client Lost (8/27/2025, 11:06:11 AM)</t>
  </si>
  <si>
    <t>Confirmation (8/26/2025, 11:14:24 AM)</t>
  </si>
  <si>
    <t>pay this month or by 7th sept</t>
  </si>
  <si>
    <t>Call Received (9/3/2025, 11:01:13 AM)</t>
  </si>
  <si>
    <t>Not Received (9/1/2025, 12:53:33 PM)</t>
  </si>
  <si>
    <t>Not Received (8/28/2025, 3:04:02 PM)</t>
  </si>
  <si>
    <t>Call Received (9/2/2025, 4:30:14 PM)</t>
  </si>
  <si>
    <t>Client Lost (8/26/2025, 11:16:12 AM)</t>
  </si>
  <si>
    <t>saba asif</t>
  </si>
  <si>
    <t>Not Received (9/3/2025, 10:48:56 AM)</t>
  </si>
  <si>
    <t>Not Received (9/1/2025, 12:53:38 PM)</t>
  </si>
  <si>
    <t>Not Received (8/29/2025, 3:55:48 PM)</t>
  </si>
  <si>
    <t>Not Received (9/2/2025, 4:33:19 PM)</t>
  </si>
  <si>
    <t>will review details then inform</t>
  </si>
  <si>
    <t>afzal</t>
  </si>
  <si>
    <t>Call Received (8/25/2025, 10:34:03 AM)</t>
  </si>
  <si>
    <t>Call Received (9/2/2025, 11:39:12 AM)</t>
  </si>
  <si>
    <t>Call Later (8/29/2025, 3:56:54 PM)</t>
  </si>
  <si>
    <t>will inform while discuss with frnds</t>
  </si>
  <si>
    <t>Amir nasir</t>
  </si>
  <si>
    <t>Call Later (8/26/2025, 11:32:50 AM)</t>
  </si>
  <si>
    <t>Client Lost (8/26/2025, 5:01:33 PM)</t>
  </si>
  <si>
    <t>Call Received (9/2/2025, 11:42:34 AM)</t>
  </si>
  <si>
    <t>Call Received (8/28/2025, 2:57:39 PM)</t>
  </si>
  <si>
    <t>will inform before 5th sep,</t>
  </si>
  <si>
    <t>Client Lost (9/2/2025, 11:43:38 AM)</t>
  </si>
  <si>
    <t>Call Received (8/30/2025, 3:32:00 PM)</t>
  </si>
  <si>
    <t>Call Received (8/30/2025, 5:06:12 PM)</t>
  </si>
  <si>
    <t>adnan zafar</t>
  </si>
  <si>
    <t>Client Lost (8/28/2025, 3:05:10 PM)</t>
  </si>
  <si>
    <t>Not Received (8/27/2025, 4:34:49 PM)</t>
  </si>
  <si>
    <t>Daniyal Rao</t>
  </si>
  <si>
    <t>Client Lost (8/28/2025, 2:58:57 PM)</t>
  </si>
  <si>
    <t>Not Received (9/3/2025, 10:52:39 AM)</t>
  </si>
  <si>
    <t>Not Received (9/1/2025, 12:53:51 PM)</t>
  </si>
  <si>
    <t>Not Received (8/28/2025, 3:07:09 PM)</t>
  </si>
  <si>
    <t>Not Received (9/2/2025, 4:34:25 PM)</t>
  </si>
  <si>
    <t>aayesha</t>
  </si>
  <si>
    <t>923120222770</t>
  </si>
  <si>
    <t>Call Received (8/29/2025, 3:58:49 PM)</t>
  </si>
  <si>
    <t>Client Lost (8/29/2025, 5:09:48 PM)</t>
  </si>
  <si>
    <t>Not Received (8/27/2025, 11:09:34 AM)</t>
  </si>
  <si>
    <t>Client Lost (8/27/2025, 4:42:42 PM)</t>
  </si>
  <si>
    <t>27/08/2025</t>
  </si>
  <si>
    <t>Shaista Kanwal</t>
  </si>
  <si>
    <t>Call Received (8/27/2025, 11:14:05 AM)</t>
  </si>
  <si>
    <t>Client Lost (8/29/2025, 3:59:41 PM)</t>
  </si>
  <si>
    <t>Client Lost (8/29/2025, 4:06:49 PM)</t>
  </si>
  <si>
    <t>Azmaan Imtiaz</t>
  </si>
  <si>
    <t>Call Received (8/21/2025, 10:59:21 AM)</t>
  </si>
  <si>
    <t>Call Received (9/2/2025, 11:51:12 AM)</t>
  </si>
  <si>
    <t>Call Received (8/30/2025, 3:32:53 PM)</t>
  </si>
  <si>
    <t>Call Received (8/27/2025, 4:45:51 PM)</t>
  </si>
  <si>
    <t>interested, will inform by tomorrow</t>
  </si>
  <si>
    <t>Muhammad Nauman</t>
  </si>
  <si>
    <t>Call Received (8/28/2025, 10:50:14 AM)</t>
  </si>
  <si>
    <t>Call Received (9/2/2025, 11:52:21 AM)</t>
  </si>
  <si>
    <t>Call Received (8/30/2025, 3:34:02 PM)</t>
  </si>
  <si>
    <t>Call Received (8/27/2025, 4:49:03 PM)</t>
  </si>
  <si>
    <t>prospect_96</t>
  </si>
  <si>
    <t>Call Received (8/23/2025, 10:59:21 AM)</t>
  </si>
  <si>
    <t>Call Received (9/2/2025, 11:53:31 AM)</t>
  </si>
  <si>
    <t>Call Received (8/30/2025, 3:34:47 PM)</t>
  </si>
  <si>
    <t>Call Received (8/28/2025, 4:52:07 PM)</t>
  </si>
  <si>
    <t>Not Received (8/27/2025, 11:29:11 AM)</t>
  </si>
  <si>
    <t>Client Lost (8/30/2025, 3:35:54 PM)</t>
  </si>
  <si>
    <t>Call Received (8/28/2025, 4:53:17 PM)</t>
  </si>
  <si>
    <t>923294773379/03258532241</t>
  </si>
  <si>
    <t>Not Received (8/29/2025, 11:49:00 AM)</t>
  </si>
  <si>
    <t>Confirmation (8/29/2025, 5:17:59 PM)</t>
  </si>
  <si>
    <t>Muhammad Muaaz</t>
  </si>
  <si>
    <t>Call Received (8/27/2025, 11:32:27 AM)</t>
  </si>
  <si>
    <t>Client Lost (8/28/2025, 3:01:00 PM)</t>
  </si>
  <si>
    <t>will inform , if interested</t>
  </si>
  <si>
    <t>Nusrat</t>
  </si>
  <si>
    <t>Not Received (9/3/2025, 10:52:55 AM)</t>
  </si>
  <si>
    <t>Not Received (9/1/2025, 12:55:16 PM)</t>
  </si>
  <si>
    <t>Not Received (9/1/2025, 1:24:18 PM)</t>
  </si>
  <si>
    <t>Not Received (9/2/2025, 4:35:54 PM)</t>
  </si>
  <si>
    <t>Client Lost (8/27/2025, 11:34:40 AM)</t>
  </si>
  <si>
    <t>Rana Mukarram</t>
  </si>
  <si>
    <t>Client Lost (8/27/2025, 11:59:09 AM)</t>
  </si>
  <si>
    <t>Not Received (9/1/2025, 11:00:23 AM)</t>
  </si>
  <si>
    <t>Call Received (9/2/2025, 11:54:21 AM)</t>
  </si>
  <si>
    <t>contact in 2nd half</t>
  </si>
  <si>
    <t>Call Later (9/2/2025, 11:59:23 AM)</t>
  </si>
  <si>
    <t>Call Received (8/30/2025, 3:37:10 PM)</t>
  </si>
  <si>
    <t>Call Received (8/28/2025, 5:04:25 PM)</t>
  </si>
  <si>
    <t>Ali Ahmed</t>
  </si>
  <si>
    <t>Not Received (9/3/2025, 10:53:38 AM)</t>
  </si>
  <si>
    <t>Not Received (8/29/2025, 11:51:18 AM)</t>
  </si>
  <si>
    <t>Not Received (9/1/2025, 1:26:33 PM)</t>
  </si>
  <si>
    <t>Not Received (9/2/2025, 4:37:03 PM)</t>
  </si>
  <si>
    <t>Ammar Abbas Shah</t>
  </si>
  <si>
    <t>Call Received (8/28/2025, 10:51:14 AM)</t>
  </si>
  <si>
    <t>Call Received (9/2/2025, 12:00:18 PM)</t>
  </si>
  <si>
    <t>Call Received (8/28/2025, 3:01:53 PM)</t>
  </si>
  <si>
    <t>Call Received (8/29/2025, 4:08:54 PM)</t>
  </si>
  <si>
    <t>Ahmad Ali</t>
  </si>
  <si>
    <t>923141855964</t>
  </si>
  <si>
    <t>Call Received (8/27/2025, 10:50:14 AM)</t>
  </si>
  <si>
    <t>Client Lost (9/2/2025, 12:01:47 PM)</t>
  </si>
  <si>
    <t>Call Received (8/30/2025, 3:42:16 PM)</t>
  </si>
  <si>
    <t>Not Received (8/28/2025, 5:06:19 PM)</t>
  </si>
  <si>
    <t>lost need free courses</t>
  </si>
  <si>
    <t>Call Received (8/27/2025, 09:50:14 AM)</t>
  </si>
  <si>
    <t>Call Received (9/2/2025, 12:11:51 PM)</t>
  </si>
  <si>
    <t>Call Received (8/30/2025, 4:01:48 PM)</t>
  </si>
  <si>
    <t>Call Received (8/27/2025, 4:05:05 PM)</t>
  </si>
  <si>
    <t>will inform by thursday</t>
  </si>
  <si>
    <t>Ali akbar</t>
  </si>
  <si>
    <t>923009405071</t>
  </si>
  <si>
    <t>Call Received (8/27/2025, 09:54:14 AM)</t>
  </si>
  <si>
    <t>Call Received (9/2/2025, 12:16:14 PM)</t>
  </si>
  <si>
    <t>Call Received (9/1/2025, 2:22:12 PM)</t>
  </si>
  <si>
    <t>Call Received (8/30/2025, 4:03:03 PM)</t>
  </si>
  <si>
    <t>28/08/2025</t>
  </si>
  <si>
    <t>~M Akram</t>
  </si>
  <si>
    <t>Call Received (8/28/2025, 10:25:45 AM)</t>
  </si>
  <si>
    <t>Call Received (9/2/2025, 12:18:05 PM)</t>
  </si>
  <si>
    <t>Call Received (9/1/2025, 2:23:57 PM)</t>
  </si>
  <si>
    <t>Call Received (8/30/2025, 4:03:40 PM)</t>
  </si>
  <si>
    <t>not interestd in online</t>
  </si>
  <si>
    <t>shahzaib abbas</t>
  </si>
  <si>
    <t>923134750548</t>
  </si>
  <si>
    <t>Not Received (8/28/2025, 11:13:30 AM)</t>
  </si>
  <si>
    <t>Client Lost (8/28/2025, 5:07:53 PM)</t>
  </si>
  <si>
    <t>prospect_106</t>
  </si>
  <si>
    <t>Not Received (8/28/2025, 11:15:34 AM)</t>
  </si>
  <si>
    <t>Client Lost (9/1/2025, 2:24:27 PM)</t>
  </si>
  <si>
    <t>Call Received (8/30/2025, 4:05:57 PM)</t>
  </si>
  <si>
    <t>prospect_107</t>
  </si>
  <si>
    <t>Not Received (9/1/2025, 11:06:03 AM)</t>
  </si>
  <si>
    <t>Not Received (9/1/2025, 1:40:20 PM)</t>
  </si>
  <si>
    <t>Client Lost (9/2/2025, 4:40:02 PM)</t>
  </si>
  <si>
    <t>Call Received (9/3/2025, 10:56:19 AM)</t>
  </si>
  <si>
    <t>Not Received (8/29/2025, 11:53:57 AM)</t>
  </si>
  <si>
    <t>Not Received (9/1/2025, 1:42:34 PM)</t>
  </si>
  <si>
    <t>Not Received (9/2/2025, 4:40:35 PM)</t>
  </si>
  <si>
    <t>visit the office</t>
  </si>
  <si>
    <t>Not Received (9/3/2025, 10:57:10 AM)</t>
  </si>
  <si>
    <t>Call Received (8/28/2025, 11:28:22 AM)</t>
  </si>
  <si>
    <t>Not Received (9/1/2025, 1:49:19 PM)</t>
  </si>
  <si>
    <t>Not Received (9/2/2025, 4:42:17 PM)</t>
  </si>
  <si>
    <t>Call Later (9/3/2025, 10:57:18 AM)</t>
  </si>
  <si>
    <t>Call Later (8/28/2025, 11:30:10 AM)</t>
  </si>
  <si>
    <t>Not Received (9/1/2025, 2:16:03 PM)</t>
  </si>
  <si>
    <t>Not Received (9/2/2025, 4:43:14 PM)</t>
  </si>
  <si>
    <t>call after 1</t>
  </si>
  <si>
    <t>Not Received (9/3/2025, 11:00:41 AM)</t>
  </si>
  <si>
    <t>Not Received (8/29/2025, 12:00:01 PM)</t>
  </si>
  <si>
    <t>Not Received (9/1/2025, 1:50:40 PM)</t>
  </si>
  <si>
    <t>Not Received (9/2/2025, 4:45:32 PM)</t>
  </si>
  <si>
    <t>Call Received (8/28/2025, 11:34:38 AM)</t>
  </si>
  <si>
    <t>Call Later (9/1/2025, 1:51:54 PM)</t>
  </si>
  <si>
    <t>Not Received (8/30/2025, 4:07:54 PM)</t>
  </si>
  <si>
    <t>Rana abdul haseeb</t>
  </si>
  <si>
    <t>Confirmation (8/28/2025, 11:42:47 AM)</t>
  </si>
  <si>
    <t>will confirm by 2nd sep</t>
  </si>
  <si>
    <t>Not Received (9/3/2025, 10:58:56 AM)</t>
  </si>
  <si>
    <t>Not Received (8/29/2025, 12:01:08 PM)</t>
  </si>
  <si>
    <t>Not Received (9/1/2025, 1:55:58 PM)</t>
  </si>
  <si>
    <t>Not Received (9/2/2025, 4:45:42 PM)</t>
  </si>
  <si>
    <t>Akmal</t>
  </si>
  <si>
    <t>923102690774</t>
  </si>
  <si>
    <t>Call Received (8/28/2025, 10:00:45 AM)</t>
  </si>
  <si>
    <t>Call Received (8/28/2025, 11:48:08 AM)</t>
  </si>
  <si>
    <t>Call Received (9/2/2025, 1:37:50 PM)</t>
  </si>
  <si>
    <t>Call Received (8/30/2025, 4:08:12 PM)</t>
  </si>
  <si>
    <t>enroll in next batch, due to budget</t>
  </si>
  <si>
    <t>Call Received (8/28/2025, 10:21:45 AM)</t>
  </si>
  <si>
    <t>Call Received (8/28/2025, 11:52:59 AM)</t>
  </si>
  <si>
    <t>Call Received (9/1/2025, 2:27:49 PM)</t>
  </si>
  <si>
    <t>Call Received (8/30/2025, 4:08:53 PM)</t>
  </si>
  <si>
    <t>Client Lost (8/28/2025, 12:08:36 PM)</t>
  </si>
  <si>
    <t>iqra</t>
  </si>
  <si>
    <t>923116688015</t>
  </si>
  <si>
    <t>Not Received (8/28/2025, 12:07:46 PM)</t>
  </si>
  <si>
    <t>Call Received (8/28/2025, 1:35:11 PM)</t>
  </si>
  <si>
    <t>Client Lost (8/30/2025, 4:10:39 PM)</t>
  </si>
  <si>
    <t>Gulzar</t>
  </si>
  <si>
    <t>923456417266</t>
  </si>
  <si>
    <t>Call Received (8/28/2025, 12:09:58 PM)</t>
  </si>
  <si>
    <t>Demo (9/1/2025, 2:30:27 PM)</t>
  </si>
  <si>
    <t>Call Received (8/30/2025, 4:12:42 PM)</t>
  </si>
  <si>
    <t>physical class, but need demo class</t>
  </si>
  <si>
    <t>Call Received (8/28/2025, 12:20:48 PM)</t>
  </si>
  <si>
    <t>Demo (9/1/2025, 2:30:42 PM)</t>
  </si>
  <si>
    <t>Call Received (8/30/2025, 4:14:27 PM)</t>
  </si>
  <si>
    <t>Not Received (9/3/2025, 10:59:55 AM)</t>
  </si>
  <si>
    <t>Not Received (8/29/2025, 12:02:12 PM)</t>
  </si>
  <si>
    <t>Not Received (9/1/2025, 1:56:47 PM)</t>
  </si>
  <si>
    <t>Not Received (9/2/2025, 4:49:35 PM)</t>
  </si>
  <si>
    <t>Saad</t>
  </si>
  <si>
    <t>Call Received (8/29/2025, 10:19:45 AM)</t>
  </si>
  <si>
    <t>Call Received (8/28/2025, 12:25:01 PM)</t>
  </si>
  <si>
    <t>Call Received (9/2/2025, 1:40:08 PM)</t>
  </si>
  <si>
    <t>Call Received (8/29/2025, 10:07:45 AM)</t>
  </si>
  <si>
    <t>Not Received (8/28/2025, 12:27:19 PM)</t>
  </si>
  <si>
    <t>Call Received (9/1/2025, 2:40:30 PM)</t>
  </si>
  <si>
    <t>Call Received (8/28/2025, 5:18:33 PM)</t>
  </si>
  <si>
    <t>demo rec shared</t>
  </si>
  <si>
    <t>Call Received (8/30/2025, 10:52:45 AM)</t>
  </si>
  <si>
    <t>Call Received (8/28/2025, 12:29:54 PM)</t>
  </si>
  <si>
    <t>Call Received (9/1/2025, 2:43:12 PM)</t>
  </si>
  <si>
    <t>Call Received (8/30/2025, 4:17:11 PM)</t>
  </si>
  <si>
    <t>will inform before 10th</t>
  </si>
  <si>
    <t>Not Received (9/3/2025, 10:48:10 AM)</t>
  </si>
  <si>
    <t>Not Received (8/29/2025, 12:03:36 PM)</t>
  </si>
  <si>
    <t>Not Received (9/1/2025, 2:02:47 PM)</t>
  </si>
  <si>
    <t>Not Received (9/2/2025, 4:50:08 PM)</t>
  </si>
  <si>
    <t>Call Received (8/29/2025, 10:25:45 AM)</t>
  </si>
  <si>
    <t>Call Received (8/28/2025, 12:36:21 PM)</t>
  </si>
  <si>
    <t>Call Received (9/2/2025, 1:50:56 PM)</t>
  </si>
  <si>
    <t>will inform soon, interested</t>
  </si>
  <si>
    <t>Call Received (8/29/2025, 10:45:45 AM)</t>
  </si>
  <si>
    <t>Call Received (8/28/2025, 12:42:52 PM)</t>
  </si>
  <si>
    <t>Call Received (9/1/2025, 2:46:29 PM)</t>
  </si>
  <si>
    <t>Call Received (8/30/2025, 4:33:12 PM)</t>
  </si>
  <si>
    <t>Ali gilani</t>
  </si>
  <si>
    <t>923364541429</t>
  </si>
  <si>
    <t>Not Received (8/29/2025, 12:05:50 PM)</t>
  </si>
  <si>
    <t>Not Received (9/1/2025, 2:04:57 PM)</t>
  </si>
  <si>
    <t>Call Received (9/2/2025, 4:57:16 PM)</t>
  </si>
  <si>
    <t>Client Lost (8/29/2025, 12:26:38 PM)</t>
  </si>
  <si>
    <t>Not Received (8/28/2025, 5:21:00 PM)</t>
  </si>
  <si>
    <t>Client Lost (8/28/2025, 2:33:04 PM)</t>
  </si>
  <si>
    <t>need specialized BI course</t>
  </si>
  <si>
    <t>Not Received (9/3/2025, 10:47:17 AM)</t>
  </si>
  <si>
    <t>Not Received (8/29/2025, 12:29:35 PM)</t>
  </si>
  <si>
    <t>Not Received (9/1/2025, 2:06:02 PM)</t>
  </si>
  <si>
    <t>Not Received (9/2/2025, 5:00:30 PM)</t>
  </si>
  <si>
    <t>923061902782/3438419958</t>
  </si>
  <si>
    <t>Not Received (8/29/2025, 12:36:10 PM)</t>
  </si>
  <si>
    <t>Client Lost (9/1/2025, 2:08:42 PM)</t>
  </si>
  <si>
    <t>Not Received (8/28/2025, 5:33:25 PM)</t>
  </si>
  <si>
    <t>Call Received (8/28/2025, 10:20:45 AM)</t>
  </si>
  <si>
    <t>Call Received (9/2/2025, 1:52:45 PM)</t>
  </si>
  <si>
    <t>Call Received (8/30/2025, 4:34:58 PM)</t>
  </si>
  <si>
    <t>share infol</t>
  </si>
  <si>
    <t>29/08/2025</t>
  </si>
  <si>
    <t>Nimra tariq</t>
  </si>
  <si>
    <t>923004444944</t>
  </si>
  <si>
    <t>Call Received (8/29/2025, 10:40:48 AM)</t>
  </si>
  <si>
    <t>Call Received (9/1/2025, 2:48:52 PM)</t>
  </si>
  <si>
    <t>Call Received (8/30/2025, 5:08:12 PM)</t>
  </si>
  <si>
    <t>can pay 1000 only</t>
  </si>
  <si>
    <t>Client Lost (8/29/2025, 10:42:09 AM)</t>
  </si>
  <si>
    <t>M Ali</t>
  </si>
  <si>
    <t>923270737369</t>
  </si>
  <si>
    <t>Not Received (8/29/2025, 10:43:00 AM)</t>
  </si>
  <si>
    <t>Call Received (9/2/2025, 1:53:37 PM)</t>
  </si>
  <si>
    <t>Call Received (8/29/2025, 4:14:39 PM)</t>
  </si>
  <si>
    <t>Attaullah malik</t>
  </si>
  <si>
    <t>923335394272</t>
  </si>
  <si>
    <t>Paid (9/1/2025, 10:36:32 AM)</t>
  </si>
  <si>
    <t>Confirmation (8/30/2025, 11:26:39 AM)</t>
  </si>
  <si>
    <t>Not Received (8/29/2025, 4:16:03 PM)</t>
  </si>
  <si>
    <t>Call Received (8/29/2025, 10:48:41 AM)</t>
  </si>
  <si>
    <t>Call Received (9/2/2025, 1:54:03 PM)</t>
  </si>
  <si>
    <t>need gen AI recording</t>
  </si>
  <si>
    <t>Rizwan ali</t>
  </si>
  <si>
    <t>923314898223</t>
  </si>
  <si>
    <t>Not Received (8/29/2025, 10:06:37 AM)</t>
  </si>
  <si>
    <t>Call Received (9/1/2025, 3:30:45 PM)</t>
  </si>
  <si>
    <t>Call Received (8/29/2025, 4:19:53 PM)</t>
  </si>
  <si>
    <t>Not Received (8/29/2025, 10:58:06 AM)</t>
  </si>
  <si>
    <t>Client Lost (8/29/2025, 12:15:41 PM)</t>
  </si>
  <si>
    <t>Naila</t>
  </si>
  <si>
    <t>923222033494</t>
  </si>
  <si>
    <t>Not Received (8/29/2025, 10:58:55 AM)</t>
  </si>
  <si>
    <t>Confirmation (8/29/2025, 12:14:00 PM)</t>
  </si>
  <si>
    <t>will pay 4k by 15th sep, need 1st class as a trial</t>
  </si>
  <si>
    <t>Not Received (8/29/2025, 10:09:27 AM)</t>
  </si>
  <si>
    <t>Call Received (9/2/2025, 1:57:01 PM)</t>
  </si>
  <si>
    <t>prospect_139</t>
  </si>
  <si>
    <t>Not Received (8/29/2025, 10:59:39 AM)</t>
  </si>
  <si>
    <t>Call Later (9/1/2025, 2:12:12 PM)</t>
  </si>
  <si>
    <t>Not Received (8/29/2025, 4:20:07 PM)</t>
  </si>
  <si>
    <t>Not Received (8/30/2025, 10:57:07 AM)</t>
  </si>
  <si>
    <t>Call Received (8/29/2025, 11:05:12 AM)</t>
  </si>
  <si>
    <t>Call Received (9/2/2025, 2:01:51 PM)</t>
  </si>
  <si>
    <t>Client Lost (8/29/2025, 11:08:30 AM)</t>
  </si>
  <si>
    <t>don't have time</t>
  </si>
  <si>
    <t>Client Lost (9/1/2025, 10:27:29 AM)</t>
  </si>
  <si>
    <t>Not Received (8/29/2025, 11:19:49 AM)</t>
  </si>
  <si>
    <t>Not Received (8/29/2025, 4:20:52 PM)</t>
  </si>
  <si>
    <t>Not Received (8/30/2025, 10:45:43 AM)</t>
  </si>
  <si>
    <t>Call Received (8/29/2025, 11:20:39 AM)</t>
  </si>
  <si>
    <t>Call Received (9/1/2025, 3:46:49 PM)</t>
  </si>
  <si>
    <t>will inform within week</t>
  </si>
  <si>
    <t>vinod</t>
  </si>
  <si>
    <t>Not Received (8/29/2025, 10:37:23 AM)</t>
  </si>
  <si>
    <t>Call Received (8/29/2025, 11:22:35 AM)</t>
  </si>
  <si>
    <t>Call Received (9/1/2025, 3:48:09 PM)</t>
  </si>
  <si>
    <t>Not Received (9/1/2025, 10:28:16 AM)</t>
  </si>
  <si>
    <t>Not Received (8/29/2025, 11:24:34 AM)</t>
  </si>
  <si>
    <t>Not Received (9/1/2025, 2:12:33 PM)</t>
  </si>
  <si>
    <t>Not Received (9/2/2025, 5:00:38 PM)</t>
  </si>
  <si>
    <t>liaqat ALI</t>
  </si>
  <si>
    <t>Not Received (8/29/2025, 10:08:37 AM)</t>
  </si>
  <si>
    <t>Call Later (9/2/2025, 2:06:59 PM)</t>
  </si>
  <si>
    <t>Call Received (9/1/2025, 4:05:29 PM)</t>
  </si>
  <si>
    <t>usama</t>
  </si>
  <si>
    <t>923346856705/3063063310</t>
  </si>
  <si>
    <t>Not Received (9/3/2025, 10:46:46 AM)</t>
  </si>
  <si>
    <t>Call Received (8/29/2025, 2:01:42 PM)</t>
  </si>
  <si>
    <t>Not Received (9/2/2025, 5:00:43 PM)</t>
  </si>
  <si>
    <t>prospect_144</t>
  </si>
  <si>
    <t>Call Received (8/29/2025, 1:37:38 PM)</t>
  </si>
  <si>
    <t>Call Received (9/2/2025, 4:59:21 PM)</t>
  </si>
  <si>
    <t>will inform later</t>
  </si>
  <si>
    <t>Sindhu</t>
  </si>
  <si>
    <t>923322629600</t>
  </si>
  <si>
    <t>Call Received (8/29/2025, 1:54:27 PM)</t>
  </si>
  <si>
    <t>Call Received (9/1/2025, 4:22:11 PM)</t>
  </si>
  <si>
    <t>prospect_145</t>
  </si>
  <si>
    <t>Call Received (8/29/2025, 3:16:41 PM)</t>
  </si>
  <si>
    <t>Client Lost (9/1/2025, 4:23:22 PM)</t>
  </si>
  <si>
    <t>Call Received (9/2/2025, 2:08:35 PM)</t>
  </si>
  <si>
    <t>Call Received (9/1/2025, 4:28:02 PM)</t>
  </si>
  <si>
    <t>join in next batch</t>
  </si>
  <si>
    <t>~MOHSIN IJAZ</t>
  </si>
  <si>
    <t>Client Lost (8/30/2025, 11:14:31 AM)</t>
  </si>
  <si>
    <t>30/08/2025</t>
  </si>
  <si>
    <t>~Mohsan Khan</t>
  </si>
  <si>
    <t>Not Received (8/30/2025, 11:20:05 AM)</t>
  </si>
  <si>
    <t>Call Received (9/2/2025, 2:17:37 PM)</t>
  </si>
  <si>
    <t>Call Received (9/1/2025, 4:28:50 PM)</t>
  </si>
  <si>
    <t>Mirza Azmat Ullah</t>
  </si>
  <si>
    <t>Client Lost (8/30/2025, 11:21:10 AM)</t>
  </si>
  <si>
    <t>lost leads</t>
  </si>
  <si>
    <t>prospect_146</t>
  </si>
  <si>
    <t>Not Received (9/1/2025, 10:29:03 AM)</t>
  </si>
  <si>
    <t>Not Received (8/30/2025, 11:24:49 AM)</t>
  </si>
  <si>
    <t>Not Received (9/1/2025, 2:13:06 PM)</t>
  </si>
  <si>
    <t>Not Received (9/2/2025, 4:59:58 PM)</t>
  </si>
  <si>
    <t>prospect_147</t>
  </si>
  <si>
    <t>Confirmation (8/30/2025, 12:59:48 PM)</t>
  </si>
  <si>
    <t>will pay for last module</t>
  </si>
  <si>
    <t>prospect_148</t>
  </si>
  <si>
    <t>Not Received (8/30/2025, 11:27:47 AM)</t>
  </si>
  <si>
    <t>Call Received (9/2/2025, 2:18:09 PM)</t>
  </si>
  <si>
    <t>Call Received (9/1/2025, 4:43:14 PM)</t>
  </si>
  <si>
    <t>inform by evening</t>
  </si>
  <si>
    <t>M. Junaid</t>
  </si>
  <si>
    <t>923425071581</t>
  </si>
  <si>
    <t>Call Received (8/30/2025, 11:30:17 AM)</t>
  </si>
  <si>
    <t>Call Received (9/2/2025, 2:19:40 PM)</t>
  </si>
  <si>
    <t>Call Received (9/1/2025, 4:47:26 PM)</t>
  </si>
  <si>
    <t>share info, inform by 1st</t>
  </si>
  <si>
    <t>Not Received (9/1/2025, 10:29:41 AM)</t>
  </si>
  <si>
    <t>Not Received (8/30/2025, 11:59:45 AM)</t>
  </si>
  <si>
    <t>Not Received (9/1/2025, 2:13:32 PM)</t>
  </si>
  <si>
    <t>Not Received (9/2/2025, 5:01:11 PM)</t>
  </si>
  <si>
    <t>Syeda Safoora Ali</t>
  </si>
  <si>
    <t>Not Received (8/30/2025, 12:01:12 PM)</t>
  </si>
  <si>
    <t>Call Received (9/2/2025, 2:19:47 PM)</t>
  </si>
  <si>
    <t>Call Received (8/30/2025, 4:46:00 PM)</t>
  </si>
  <si>
    <t>Not Received (9/1/2025, 10:30:58 AM)</t>
  </si>
  <si>
    <t>Not Received (8/30/2025, 12:02:48 PM)</t>
  </si>
  <si>
    <t>Call Received (9/2/2025, 3:41:07 PM)</t>
  </si>
  <si>
    <t>Not Received (8/30/2025, 4:46:36 PM)</t>
  </si>
  <si>
    <t>Saadia Akhter</t>
  </si>
  <si>
    <t>Call Received (8/30/2025, 12:07:17 PM)</t>
  </si>
  <si>
    <t>Call Received (9/2/2025, 2:20:03 PM)</t>
  </si>
  <si>
    <t>Call Received (9/1/2025, 4:49:11 PM)</t>
  </si>
  <si>
    <t>Call Received (9/2/2025, 2:23:20 PM)</t>
  </si>
  <si>
    <t>Call Received (9/1/2025, 4:51:07 PM)</t>
  </si>
  <si>
    <t>don't have time but think aout it</t>
  </si>
  <si>
    <t>Not Received (9/1/2025, 10:31:19 AM)</t>
  </si>
  <si>
    <t>Not Received (8/30/2025, 1:19:52 PM)</t>
  </si>
  <si>
    <t>Not Received (9/2/2025, 5:01:39 PM)</t>
  </si>
  <si>
    <t>sadiabano</t>
  </si>
  <si>
    <t>Confirmation (8/30/2025, 1:26:30 PM)</t>
  </si>
  <si>
    <t>will pay till 8th</t>
  </si>
  <si>
    <t>prospect_154</t>
  </si>
  <si>
    <t>Not Received (9/1/2025, 10:39:32 AM)</t>
  </si>
  <si>
    <t>Not Received (9/2/2025, 3:56:45 PM)</t>
  </si>
  <si>
    <t>Not Received (9/2/2025, 5:01:45 PM)</t>
  </si>
  <si>
    <t>waseem</t>
  </si>
  <si>
    <t>Call Received (9/2/2025, 2:26:16 PM)</t>
  </si>
  <si>
    <t>Call Received (9/1/2025, 4:55:36 PM)</t>
  </si>
  <si>
    <t>Client Lost (9/1/2025, 10:40:20 AM)</t>
  </si>
  <si>
    <t>Not Received (8/30/2025, 5:02:49 PM)</t>
  </si>
  <si>
    <t>prospect_156</t>
  </si>
  <si>
    <t>Client Lost (8/30/2025, 5:04:11 PM)</t>
  </si>
  <si>
    <t>Call Received (9/2/2025, 2:28:00 PM)</t>
  </si>
  <si>
    <t>Call Received (8/30/2025, 6:24:33 PM)</t>
  </si>
  <si>
    <t>will inform within 3 days</t>
  </si>
  <si>
    <t>Muhammad Faizan Munir</t>
  </si>
  <si>
    <t>Not Received (9/1/2025, 10:41:24 AM)</t>
  </si>
  <si>
    <t>Not Received (9/2/2025, 3:58:02 PM)</t>
  </si>
  <si>
    <t>Not Received (8/30/2025, 6:20:43 PM)</t>
  </si>
  <si>
    <t>ahmed</t>
  </si>
  <si>
    <t>Not Received (9/1/2025, 10:42:13 AM)</t>
  </si>
  <si>
    <t>Not Received (9/2/2025, 3:58:19 PM)</t>
  </si>
  <si>
    <t>Not Received (8/30/2025, 6:25:03 PM)</t>
  </si>
  <si>
    <t>Not Received (9/1/2025, 10:20:14 AM)</t>
  </si>
  <si>
    <t>Not Received (9/2/2025, 4:04:30 PM)</t>
  </si>
  <si>
    <t>923348536151</t>
  </si>
  <si>
    <t>Call Received (9/1/2025, 10:21:55 AM)</t>
  </si>
  <si>
    <t>Call Received (9/2/2025, 2:29:25 PM)</t>
  </si>
  <si>
    <t>Call Received (9/3/2025, 10:41:17 AM)</t>
  </si>
  <si>
    <t>Not Received (9/2/2025, 5:53:32 PM)</t>
  </si>
  <si>
    <t>Awais Ali shah</t>
  </si>
  <si>
    <t>923149182261</t>
  </si>
  <si>
    <t>Not Received (9/3/2025, 10:42:37 AM)</t>
  </si>
  <si>
    <t>Not Received (9/2/2025, 4:06:45 PM)</t>
  </si>
  <si>
    <t>Call Later (9/1/2025, 10:46:07 AM)</t>
  </si>
  <si>
    <t>Call Later (9/1/2025, 2:18:53 PM)</t>
  </si>
  <si>
    <t>Client Lost (9/1/2025, 10:52:12 AM)</t>
  </si>
  <si>
    <t>Not Received (9/1/2025, 10:52:49 AM)</t>
  </si>
  <si>
    <t>Not Received (9/2/2025, 4:10:06 PM)</t>
  </si>
  <si>
    <t>Not Received (9/3/2025, 10:43:33 AM)</t>
  </si>
  <si>
    <t>Not Received (9/1/2025, 11:31:36 AM)</t>
  </si>
  <si>
    <t>Not Received (9/2/2025, 4:11:57 PM)</t>
  </si>
  <si>
    <t>Call Received (9/3/2025, 10:26:04 AM)</t>
  </si>
  <si>
    <t>riazurrrahim shabqadar</t>
  </si>
  <si>
    <t>Client Lost (9/3/2025, 10:28:10 AM)</t>
  </si>
  <si>
    <t>Not Received (9/3/2025, 10:28:46 AM)</t>
  </si>
  <si>
    <t>Not Received (9/3/2025, 10:39:13 AM)</t>
  </si>
  <si>
    <t>Call Later (9/3/2025, 11:08:20 AM)</t>
  </si>
  <si>
    <t>call after 12:00</t>
  </si>
  <si>
    <t>prospect_174</t>
  </si>
  <si>
    <t>Call Received (9/3/2025, 11:09:24 AM)</t>
  </si>
  <si>
    <t>Not Received (9/3/2025, 11:11:28 AM)</t>
  </si>
  <si>
    <t>Call Received (9/3/2025, 11:14:00 AM)</t>
  </si>
  <si>
    <t>Call Received (9/3/2025, 11:18:13 AM)</t>
  </si>
  <si>
    <t>share info, will info soon, seems like not interested</t>
  </si>
  <si>
    <t>18/11/2025</t>
  </si>
  <si>
    <t>Client Lost (11/19/2025, 10:27:14 AM)</t>
  </si>
  <si>
    <t>Not Received (11/18/2025, 11:34:22 AM)</t>
  </si>
  <si>
    <t>Not Received (12/11/2025, 10:24:33 AM)</t>
  </si>
  <si>
    <t>Not Received (12/13/2025, 12:19:44 PM)</t>
  </si>
  <si>
    <t>Not Received (11/29/2025, 3:59:44 PM)</t>
  </si>
  <si>
    <t>Not Received (12/9/2025, 10:25:14 AM)</t>
  </si>
  <si>
    <t>nr</t>
  </si>
  <si>
    <t xml:space="preserve">Faisal </t>
  </si>
  <si>
    <t>Not Received (11/19/2025, 10:27:17 AM)</t>
  </si>
  <si>
    <t>Confirmation (12/3/2025, 1:00:07 PM)</t>
  </si>
  <si>
    <t>Confirmation (12/5/2025, 3:23:34 PM)</t>
  </si>
  <si>
    <t>after 1st jan</t>
  </si>
  <si>
    <t>Ali raza</t>
  </si>
  <si>
    <t>923002187669</t>
  </si>
  <si>
    <t>Paid (11/21/2025, 10:16:52 AM)</t>
  </si>
  <si>
    <t>Call Later (11/20/2025, 11:20:28 AM)</t>
  </si>
  <si>
    <t>Call Later (11/20/2025, 3:00:48 PM)</t>
  </si>
  <si>
    <t>MIAN Qasim</t>
  </si>
  <si>
    <t>Demo (11/21/2025, 10:50:50 AM)</t>
  </si>
  <si>
    <t>Call Received (11/18/2025, 11:34:53 AM)</t>
  </si>
  <si>
    <t>Not Received (11/28/2025, 2:01:07 PM)</t>
  </si>
  <si>
    <t>Client Lost (12/6/2025, 4:08:55 PM)</t>
  </si>
  <si>
    <t>Not Received (12/11/2025, 10:26:03 AM)</t>
  </si>
  <si>
    <t>Not Received (12/13/2025, 12:20:31 PM)</t>
  </si>
  <si>
    <t>Not Received (11/20/2025, 3:45:27 PM)</t>
  </si>
  <si>
    <t>Not Received (11/25/2025, 4:12:04 PM)</t>
  </si>
  <si>
    <t>syed zahanat hussain</t>
  </si>
  <si>
    <t>Call Received (11/18/2025, 11:35:07 AM)</t>
  </si>
  <si>
    <t>Client Lost (11/24/2025, 3:54:14 PM)</t>
  </si>
  <si>
    <t>Call Received (11/20/2025, 4:12:09 PM)</t>
  </si>
  <si>
    <t>willl enroll in january batch</t>
  </si>
  <si>
    <t>sohail nazir</t>
  </si>
  <si>
    <t>Not Received (12/11/2025, 10:26:47 AM)</t>
  </si>
  <si>
    <t>Client Lost (12/12/2025, 12:43:40 PM)</t>
  </si>
  <si>
    <t>Not Received (11/24/2025, 3:55:27 PM)</t>
  </si>
  <si>
    <t>Not Received (12/9/2025, 10:27:21 AM)</t>
  </si>
  <si>
    <t>discuss with daughter then inform</t>
  </si>
  <si>
    <t>Client Lost (12/11/2025, 10:27:51 AM)</t>
  </si>
  <si>
    <t>Not Received (11/18/2025, 11:38:04 AM)</t>
  </si>
  <si>
    <t>Not Received (11/27/2025, 1:14:34 PM)</t>
  </si>
  <si>
    <t>Not Received (12/9/2025, 10:28:06 AM)</t>
  </si>
  <si>
    <t>Faraz uddin</t>
  </si>
  <si>
    <t>Client Lost (12/2/2025, 11:28:44 AM)</t>
  </si>
  <si>
    <t>Confirmation (11/18/2025, 2:30:10 PM)</t>
  </si>
  <si>
    <t>pay by 1st</t>
  </si>
  <si>
    <t>Not Received (11/19/2025, 10:45:18 AM)</t>
  </si>
  <si>
    <t>Not Received (11/18/2025, 11:39:05 AM)</t>
  </si>
  <si>
    <t>Not Received (11/20/2025, 3:47:21 PM)</t>
  </si>
  <si>
    <t>Client Lost (12/9/2025, 10:29:16 AM)</t>
  </si>
  <si>
    <t>923002185198/3052185162</t>
  </si>
  <si>
    <t>Confirmation (12/10/2025, 10:25:36 AM)</t>
  </si>
  <si>
    <t>Not Received (11/18/2025, 11:42:25 AM)</t>
  </si>
  <si>
    <t>Confirmation (12/6/2025, 1:49:42 PM)</t>
  </si>
  <si>
    <t>Paid (12/23/2025, 5:33:20 PM)</t>
  </si>
  <si>
    <t>Not Received (11/19/2025, 10:48:26 AM)</t>
  </si>
  <si>
    <t>Not Received (11/18/2025, 11:43:34 AM)</t>
  </si>
  <si>
    <t>Not Received (11/20/2025, 3:48:21 PM)</t>
  </si>
  <si>
    <t>Client Lost (11/25/2025, 4:17:38 PM)</t>
  </si>
  <si>
    <t>Client Lost (11/19/2025, 10:50:08 AM)</t>
  </si>
  <si>
    <t>Not Received (11/18/2025, 11:43:54 AM)</t>
  </si>
  <si>
    <t>Not Received (12/11/2025, 10:28:28 AM)</t>
  </si>
  <si>
    <t>Not Received (12/13/2025, 12:27:41 PM)</t>
  </si>
  <si>
    <t>Not Received (11/20/2025, 3:49:05 PM)</t>
  </si>
  <si>
    <t>Not Received (12/9/2025, 10:29:55 AM)</t>
  </si>
  <si>
    <t>Call Later (12/11/2025, 10:29:39 AM)</t>
  </si>
  <si>
    <t>Call Received (12/12/2025, 12:30:13 PM)</t>
  </si>
  <si>
    <t>Client Lost (12/13/2025, 1:53:41 PM)</t>
  </si>
  <si>
    <t>Not Received (12/9/2025, 10:31:25 AM)</t>
  </si>
  <si>
    <t>Not Received (12/11/2025, 10:30:26 AM)</t>
  </si>
  <si>
    <t>Not Received (12/13/2025, 12:28:00 PM)</t>
  </si>
  <si>
    <t>Not Received (11/20/2025, 3:50:10 PM)</t>
  </si>
  <si>
    <t>Not Received (11/25/2025, 4:20:35 PM)</t>
  </si>
  <si>
    <t>prospect_14</t>
  </si>
  <si>
    <t>Call Received (11/19/2025, 10:55:13 AM)</t>
  </si>
  <si>
    <t>Not Received (11/18/2025, 11:53:26 AM)</t>
  </si>
  <si>
    <t>Not Received (11/27/2025, 1:15:35 PM)</t>
  </si>
  <si>
    <t>Client Lost (12/6/2025, 4:12:33 PM)</t>
  </si>
  <si>
    <t>~Danish Memon</t>
  </si>
  <si>
    <t>Call Received (11/18/2025, 12:24:07 PM)</t>
  </si>
  <si>
    <t>Client Lost (11/20/2025, 4:23:38 PM)</t>
  </si>
  <si>
    <t>Ashfaq Ahmed</t>
  </si>
  <si>
    <t>Demo (12/3/2025, 12:17:36 PM)</t>
  </si>
  <si>
    <t>Client Lost (12/8/2025, 3:11:02 PM)</t>
  </si>
  <si>
    <t>Demo (12/2/2025, 4:57:34 PM)</t>
  </si>
  <si>
    <t>Not Received (11/19/2025, 10:56:43 AM)</t>
  </si>
  <si>
    <t>Not Received (11/18/2025, 12:33:56 PM)</t>
  </si>
  <si>
    <t>Not Received (11/20/2025, 3:50:46 PM)</t>
  </si>
  <si>
    <t>Client Lost (12/9/2025, 10:37:28 AM)</t>
  </si>
  <si>
    <t>Not Received (11/19/2025, 10:57:56 AM)</t>
  </si>
  <si>
    <t>Confirmation (11/24/2025, 11:08:06 AM)</t>
  </si>
  <si>
    <t>Confirmation (12/5/2025, 3:26:18 PM)</t>
  </si>
  <si>
    <t>Client Lost (12/6/2025, 4:14:21 PM)</t>
  </si>
  <si>
    <t>will pay 2 fees for 2 people 4000/month</t>
  </si>
  <si>
    <t>Nazi</t>
  </si>
  <si>
    <t>Paid (11/24/2025, 11:54:07 AM)</t>
  </si>
  <si>
    <t>will pay by end of november</t>
  </si>
  <si>
    <t>Call Later (11/20/2025, 11:11:40 AM)</t>
  </si>
  <si>
    <t>Client Lost (11/20/2025, 3:01:50 PM)</t>
  </si>
  <si>
    <t>Arsal minhaji</t>
  </si>
  <si>
    <t>Client Lost (11/18/2025, 2:40:36 PM)</t>
  </si>
  <si>
    <t>Not Received (12/11/2025, 10:31:01 AM)</t>
  </si>
  <si>
    <t>Client Lost (12/12/2025, 12:45:35 PM)</t>
  </si>
  <si>
    <t>Not Received (11/20/2025, 3:51:14 PM)</t>
  </si>
  <si>
    <t>Not Received (12/9/2025, 10:40:44 AM)</t>
  </si>
  <si>
    <t>nonne</t>
  </si>
  <si>
    <t>923352266920</t>
  </si>
  <si>
    <t>Call Received (11/21/2025, 10:54:31 AM)</t>
  </si>
  <si>
    <t>Not Received (11/27/2025, 12:13:12 PM)</t>
  </si>
  <si>
    <t>Not Received (11/24/2025, 4:00:32 PM)</t>
  </si>
  <si>
    <t>Call Received (12/9/2025, 10:45:22 AM)</t>
  </si>
  <si>
    <t xml:space="preserve">Rizwan    </t>
  </si>
  <si>
    <t>Client Lost (12/9/2025, 10:46:48 AM)</t>
  </si>
  <si>
    <t>Call Received (11/20/2025, 11:14:09 AM)</t>
  </si>
  <si>
    <t>Not Received (11/22/2025, 3:32:55 PM)</t>
  </si>
  <si>
    <t>Not Received (11/25/2025, 4:26:01 PM)</t>
  </si>
  <si>
    <t>budget issues,</t>
  </si>
  <si>
    <t>Usman Aslam</t>
  </si>
  <si>
    <t>Call Received (12/11/2025, 10:32:10 AM)</t>
  </si>
  <si>
    <t>Call Received (11/19/2025, 11:02:03 AM)</t>
  </si>
  <si>
    <t>Not Received (11/26/2025, 1:34:29 PM)</t>
  </si>
  <si>
    <t>Not Received (11/18/2025, 4:40:13 PM)</t>
  </si>
  <si>
    <t>Client Lost (11/19/2025, 11:35:45 AM)</t>
  </si>
  <si>
    <t>Client Lost (11/24/2025, 3:10:33 PM)</t>
  </si>
  <si>
    <t>19/11/2025</t>
  </si>
  <si>
    <t>~Muhammad Afraz Sehole</t>
  </si>
  <si>
    <t>Call Received (11/20/2025, 10:46:13 AM)</t>
  </si>
  <si>
    <t>Not Received (11/19/2025, 11:18:16 AM)</t>
  </si>
  <si>
    <t>Client Lost (11/26/2025, 1:36:49 PM)</t>
  </si>
  <si>
    <t>behzad</t>
  </si>
  <si>
    <t>nnn</t>
  </si>
  <si>
    <t>923015759954</t>
  </si>
  <si>
    <t>Paid (12/5/2025, 10:58:53 AM)</t>
  </si>
  <si>
    <t>Not Received (11/19/2025, 11:20:14 AM)</t>
  </si>
  <si>
    <t>Confirmation (11/20/2025, 4:51:33 PM)</t>
  </si>
  <si>
    <t>will pay soon</t>
  </si>
  <si>
    <t>~Kamran Munir</t>
  </si>
  <si>
    <t>Not Received (12/11/2025, 10:36:36 AM)</t>
  </si>
  <si>
    <t>Not Received (12/13/2025, 12:29:07 PM)</t>
  </si>
  <si>
    <t>Not Received (11/21/2025, 1:56:13 PM)</t>
  </si>
  <si>
    <t>Call Later (11/25/2025, 4:28:38 PM)</t>
  </si>
  <si>
    <t>Not Received (12/11/2025, 10:37:41 AM)</t>
  </si>
  <si>
    <t>Not Received (12/13/2025, 12:29:03 PM)</t>
  </si>
  <si>
    <t>Not Received (11/21/2025, 1:57:55 PM)</t>
  </si>
  <si>
    <t>Not Received (11/25/2025, 4:27:16 PM)</t>
  </si>
  <si>
    <t>Client Lost (11/19/2025, 12:31:10 PM)</t>
  </si>
  <si>
    <t>Not Received (12/11/2025, 10:39:02 AM)</t>
  </si>
  <si>
    <t>Not Received (12/13/2025, 12:31:02 PM)</t>
  </si>
  <si>
    <t>Not Received (11/21/2025, 1:59:25 PM)</t>
  </si>
  <si>
    <t>Not Received (11/25/2025, 4:27:44 PM)</t>
  </si>
  <si>
    <t>Daniyal abasi</t>
  </si>
  <si>
    <t>Call Later (12/11/2025, 10:40:16 AM)</t>
  </si>
  <si>
    <t>Not Received (12/13/2025, 12:35:01 PM)</t>
  </si>
  <si>
    <t>Not Received (11/21/2025, 1:59:54 PM)</t>
  </si>
  <si>
    <t>Not Received (11/25/2025, 4:29:12 PM)</t>
  </si>
  <si>
    <t>hassan Ali</t>
  </si>
  <si>
    <t>923422947860</t>
  </si>
  <si>
    <t>Not Received (12/11/2025, 10:41:24 AM)</t>
  </si>
  <si>
    <t>Paid (12/13/2025, 11:55:13 AM)</t>
  </si>
  <si>
    <t>Call Received (11/26/2025, 1:37:34 PM)</t>
  </si>
  <si>
    <t>Confirmation (12/11/2025, 4:14:16 PM)</t>
  </si>
  <si>
    <t>pay before 14</t>
  </si>
  <si>
    <t>~Dr Usman GhulamNabi</t>
  </si>
  <si>
    <t>Call Received (11/19/2025, 11:51:45 AM)</t>
  </si>
  <si>
    <t>Client Lost (11/21/2025, 2:11:36 PM)</t>
  </si>
  <si>
    <t>Araiba Suhail</t>
  </si>
  <si>
    <t>Call Received (12/9/2025, 10:59:09 AM)</t>
  </si>
  <si>
    <t>Call Received (11/19/2025, 11:52:56 AM)</t>
  </si>
  <si>
    <t>Confirmation (12/11/2025, 3:01:51 PM)</t>
  </si>
  <si>
    <t>Not Received (11/25/2025, 4:30:04 PM)</t>
  </si>
  <si>
    <t>~Imran Jattala</t>
  </si>
  <si>
    <t>Client Lost (11/21/2025, 10:55:42 AM)</t>
  </si>
  <si>
    <t>Not Received (11/20/2025, 11:03:46 AM)</t>
  </si>
  <si>
    <t xml:space="preserve">Riaz </t>
  </si>
  <si>
    <t>Confirmation (12/10/2025, 10:27:17 AM)</t>
  </si>
  <si>
    <t>Confirmation (11/19/2025, 11:59:44 AM)</t>
  </si>
  <si>
    <t>Confirmation (12/5/2025, 3:29:03 PM)</t>
  </si>
  <si>
    <t>Confirmation (11/24/2025, 4:54:20 PM)</t>
  </si>
  <si>
    <t>923472413207/3202413208</t>
  </si>
  <si>
    <t>Not Received (11/24/2025, 11:01:34 AM)</t>
  </si>
  <si>
    <t>Call Later (12/2/2025, 11:30:40 AM)</t>
  </si>
  <si>
    <t>Call Received (11/27/2025, 1:17:41 PM)</t>
  </si>
  <si>
    <t>Client Lost (12/2/2025, 4:27:58 PM)</t>
  </si>
  <si>
    <t>will inform by own soon</t>
  </si>
  <si>
    <t>Abrar</t>
  </si>
  <si>
    <t>Demo (12/9/2025, 11:00:55 AM)</t>
  </si>
  <si>
    <t>Demo (11/19/2025, 12:05:51 PM)</t>
  </si>
  <si>
    <t>Not Received (12/8/2025, 3:12:30 PM)</t>
  </si>
  <si>
    <t>Client Lost (11/21/2025, 10:57:08 AM)</t>
  </si>
  <si>
    <t>Not Received (11/19/2025, 12:08:28 PM)</t>
  </si>
  <si>
    <t>Not Received (11/20/2025, 3:55:43 PM)</t>
  </si>
  <si>
    <t>Sardar Mohummed Sikander</t>
  </si>
  <si>
    <t>Not Received (11/24/2025, 11:02:17 AM)</t>
  </si>
  <si>
    <t>Client Lost (11/27/2025, 3:22:35 PM)</t>
  </si>
  <si>
    <t>Not Received (11/25/2025, 4:32:49 PM)</t>
  </si>
  <si>
    <t>visit the offc</t>
  </si>
  <si>
    <t>~M Zeshan</t>
  </si>
  <si>
    <t>Call Received (11/21/2025, 10:59:06 AM)</t>
  </si>
  <si>
    <t>Not Received (11/19/2025, 12:58:16 PM)</t>
  </si>
  <si>
    <t>Client Lost (11/26/2025, 1:38:13 PM)</t>
  </si>
  <si>
    <t>share info related to AI</t>
  </si>
  <si>
    <t>~Ibrahim Muhammad</t>
  </si>
  <si>
    <t>Not Received (11/19/2025, 12:59:11 PM)</t>
  </si>
  <si>
    <t>Client Lost (11/20/2025, 3:59:38 PM)</t>
  </si>
  <si>
    <t>Client Lost (11/20/2025, 11:05:53 AM)</t>
  </si>
  <si>
    <t>Not Received (11/19/2025, 3:28:49 PM)</t>
  </si>
  <si>
    <t>Rizwana</t>
  </si>
  <si>
    <t>Not Received (11/21/2025, 10:59:37 AM)</t>
  </si>
  <si>
    <t>Not Received (11/20/2025, 11:06:17 AM)</t>
  </si>
  <si>
    <t>Not Received (11/19/2025, 3:29:51 PM)</t>
  </si>
  <si>
    <t>Client Lost (11/25/2025, 4:33:58 PM)</t>
  </si>
  <si>
    <t>Not Received (11/20/2025, 11:07:07 AM)</t>
  </si>
  <si>
    <t>Confirmation (11/20/2025, 1:09:22 PM)</t>
  </si>
  <si>
    <t>Client Lost (12/1/2025, 5:01:01 PM)</t>
  </si>
  <si>
    <t>~Rashid Bin Rasool</t>
  </si>
  <si>
    <t>Call Received (11/21/2025, 11:01:03 AM)</t>
  </si>
  <si>
    <t>Not Received (11/20/2025, 11:08:31 AM)</t>
  </si>
  <si>
    <t>Client Lost (11/26/2025, 1:39:45 PM)</t>
  </si>
  <si>
    <t>lost not interested</t>
  </si>
  <si>
    <t>~Mirza Junaid</t>
  </si>
  <si>
    <t>Not Received (12/11/2025, 10:42:01 AM)</t>
  </si>
  <si>
    <t>Not Received (12/13/2025, 12:36:30 PM)</t>
  </si>
  <si>
    <t>Not Received (11/27/2025, 3:24:25 PM)</t>
  </si>
  <si>
    <t>Not Received (11/25/2025, 4:34:42 PM)</t>
  </si>
  <si>
    <t>20/11/2025</t>
  </si>
  <si>
    <t>~Muhammad Yousaf</t>
  </si>
  <si>
    <t>Call Received (11/20/2025, 11:18:32 AM)</t>
  </si>
  <si>
    <t>Not Received (11/27/2025, 3:25:06 PM)</t>
  </si>
  <si>
    <t>Client Lost (11/28/2025, 4:31:51 PM)</t>
  </si>
  <si>
    <t>prospect_27</t>
  </si>
  <si>
    <t>Not Received (12/11/2025, 10:43:03 AM)</t>
  </si>
  <si>
    <t>Not Received (12/13/2025, 12:36:51 PM)</t>
  </si>
  <si>
    <t>Not Received (11/21/2025, 2:01:14 PM)</t>
  </si>
  <si>
    <t>Not Received (11/28/2025, 4:32:53 PM)</t>
  </si>
  <si>
    <t>Call Received (11/20/2025, 11:24:43 AM)</t>
  </si>
  <si>
    <t>Client Lost (11/22/2025, 3:42:09 PM)</t>
  </si>
  <si>
    <t>join AI agents not course, but will inform</t>
  </si>
  <si>
    <t>M.Mehran Iqbal</t>
  </si>
  <si>
    <t>Not Received (12/11/2025, 10:43:58 AM)</t>
  </si>
  <si>
    <t>Client Lost (12/12/2025, 12:59:35 PM)</t>
  </si>
  <si>
    <t>Not Received (11/22/2025, 3:47:25 PM)</t>
  </si>
  <si>
    <t>Not Received (11/25/2025, 4:36:42 PM)</t>
  </si>
  <si>
    <t>~Rana Talib Hussain</t>
  </si>
  <si>
    <t>Client Lost (12/11/2025, 10:44:52 AM)</t>
  </si>
  <si>
    <t>Not Received (12/9/2025, 11:05:54 AM)</t>
  </si>
  <si>
    <t>Not Received (11/22/2025, 3:50:47 PM)</t>
  </si>
  <si>
    <t>Not Received (11/25/2025, 4:41:14 PM)</t>
  </si>
  <si>
    <t>Fawzan Ahmed</t>
  </si>
  <si>
    <t>Not Received (12/8/2025, 10:54:48 AM)</t>
  </si>
  <si>
    <t>Client Lost (12/9/2025, 11:06:39 AM)</t>
  </si>
  <si>
    <t>Call Received (11/26/2025, 1:41:40 PM)</t>
  </si>
  <si>
    <t>Call Received (11/24/2025, 4:40:18 PM)</t>
  </si>
  <si>
    <t>Humera</t>
  </si>
  <si>
    <t>Call Received (11/20/2025, 11:42:55 AM)</t>
  </si>
  <si>
    <t>Not Received (11/22/2025, 3:51:20 PM)</t>
  </si>
  <si>
    <t>Client Lost (11/25/2025, 4:43:02 PM)</t>
  </si>
  <si>
    <t>~Shehryar Ali Khan</t>
  </si>
  <si>
    <t>Not Received (12/11/2025, 10:50:53 AM)</t>
  </si>
  <si>
    <t>Not Received (12/13/2025, 12:37:12 PM)</t>
  </si>
  <si>
    <t>Not Received (11/27/2025, 3:26:04 PM)</t>
  </si>
  <si>
    <t>Not Received (11/25/2025, 4:44:29 PM)</t>
  </si>
  <si>
    <t>khizar</t>
  </si>
  <si>
    <t>923095600688</t>
  </si>
  <si>
    <t>Client Lost (12/5/2025, 12:42:03 PM)</t>
  </si>
  <si>
    <t>Not Received (11/21/2025, 2:03:30 PM)</t>
  </si>
  <si>
    <t>Call Received (11/25/2025, 4:47:28 PM)</t>
  </si>
  <si>
    <t>next batch due to final exams</t>
  </si>
  <si>
    <t>Not Received (12/11/2025, 10:52:26 AM)</t>
  </si>
  <si>
    <t>Not Received (12/13/2025, 12:37:28 PM)</t>
  </si>
  <si>
    <t>Not Received (12/12/2025, 1:03:52 PM)</t>
  </si>
  <si>
    <t>Not Received (11/28/2025, 5:04:51 PM)</t>
  </si>
  <si>
    <t>Client Lost (12/9/2025, 11:10:18 AM)</t>
  </si>
  <si>
    <t>Call Received (11/22/2025, 3:54:00 PM)</t>
  </si>
  <si>
    <t>Not Received (11/24/2025, 4:43:40 PM)</t>
  </si>
  <si>
    <t>Client Lost (11/20/2025, 11:53:58 AM)</t>
  </si>
  <si>
    <t>Call Received (11/20/2025, 1:30:13 PM)</t>
  </si>
  <si>
    <t>Client Lost (11/24/2025, 4:43:48 PM)</t>
  </si>
  <si>
    <t>will inform by own .... not interested</t>
  </si>
  <si>
    <t>prospect_37</t>
  </si>
  <si>
    <t>Client Lost (12/2/2025, 11:14:32 AM)</t>
  </si>
  <si>
    <t>Call Received (11/27/2025, 1:29:48 PM)</t>
  </si>
  <si>
    <t>Call Received (11/24/2025, 4:45:38 PM)</t>
  </si>
  <si>
    <t>will decide and inform</t>
  </si>
  <si>
    <t>sidra</t>
  </si>
  <si>
    <t>923282300184</t>
  </si>
  <si>
    <t>Client Lost (12/12/2025, 11:35:20 AM)</t>
  </si>
  <si>
    <t>Confirmation (12/8/2025, 1:50:14 PM)</t>
  </si>
  <si>
    <t>Not Received (11/20/2025, 4:32:42 PM)</t>
  </si>
  <si>
    <t>for his son, will confirm</t>
  </si>
  <si>
    <t>Client Lost (11/20/2025, 4:33:39 PM)</t>
  </si>
  <si>
    <t>923120215244</t>
  </si>
  <si>
    <t>Client Lost (11/25/2025, 10:19:41 AM)</t>
  </si>
  <si>
    <t>Call Received (11/21/2025, 11:16:17 AM)</t>
  </si>
  <si>
    <t>Not Received (11/24/2025, 4:46:27 PM)</t>
  </si>
  <si>
    <t>share info, student</t>
  </si>
  <si>
    <t>Atttiq</t>
  </si>
  <si>
    <t>923008484608</t>
  </si>
  <si>
    <t>Call Received (11/21/2025, 11:21:20 AM)</t>
  </si>
  <si>
    <t>Client Lost (11/28/2025, 3:14:48 PM)</t>
  </si>
  <si>
    <t>Not Received (11/24/2025, 4:47:56 PM)</t>
  </si>
  <si>
    <t>for their daughters, share info</t>
  </si>
  <si>
    <t>Hamid Ali</t>
  </si>
  <si>
    <t>923273554515</t>
  </si>
  <si>
    <t>Client Lost (12/9/2025, 11:11:38 AM)</t>
  </si>
  <si>
    <t>Not Received (11/28/2025, 2:19:03 PM)</t>
  </si>
  <si>
    <t>Not Received (11/24/2025, 4:50:32 PM)</t>
  </si>
  <si>
    <t>21/11/2025</t>
  </si>
  <si>
    <t>Ehsan Ul Rehman</t>
  </si>
  <si>
    <t>Not Received (11/21/2025, 11:29:25 AM)</t>
  </si>
  <si>
    <t>Client Lost (12/6/2025, 1:48:43 PM)</t>
  </si>
  <si>
    <t>Confirmation (12/1/2025, 5:11:47 PM)</t>
  </si>
  <si>
    <t>will pay till 7th</t>
  </si>
  <si>
    <t>923218231042</t>
  </si>
  <si>
    <t>Call Received (12/9/2025, 11:12:48 AM)</t>
  </si>
  <si>
    <t>Not Received (12/4/2025, 3:12:37 PM)</t>
  </si>
  <si>
    <t>Call Received (11/28/2025, 5:07:05 PM)</t>
  </si>
  <si>
    <t>Imran</t>
  </si>
  <si>
    <t>923224263947</t>
  </si>
  <si>
    <t>Not Received (11/25/2025, 11:29:00 AM)</t>
  </si>
  <si>
    <t>Call Received (11/21/2025, 1:45:56 PM)</t>
  </si>
  <si>
    <t>Client Lost (11/28/2025, 5:09:48 PM)</t>
  </si>
  <si>
    <t>need physical course</t>
  </si>
  <si>
    <t>Ammad zaheer</t>
  </si>
  <si>
    <t>923365846140</t>
  </si>
  <si>
    <t>Not Received (12/11/2025, 10:53:49 AM)</t>
  </si>
  <si>
    <t>Not Received (12/9/2025, 11:13:41 AM)</t>
  </si>
  <si>
    <t>Client Lost (12/12/2025, 1:56:13 PM)</t>
  </si>
  <si>
    <t>Not Received (11/28/2025, 5:10:21 PM)</t>
  </si>
  <si>
    <t>non tech background, digital stores. will inform</t>
  </si>
  <si>
    <t>~Abdullah Pathan</t>
  </si>
  <si>
    <t>Client Lost (12/10/2025, 11:17:05 AM)</t>
  </si>
  <si>
    <t>Not Received (11/26/2025, 1:43:17 PM)</t>
  </si>
  <si>
    <t>Call Received (11/28/2025, 5:12:12 PM)</t>
  </si>
  <si>
    <t>Not Received (11/21/2025, 11:56:17 AM)</t>
  </si>
  <si>
    <t>Client Lost (11/26/2025, 4:12:00 PM)</t>
  </si>
  <si>
    <t>Hameed</t>
  </si>
  <si>
    <t>Client Lost (11/21/2025, 11:23:56 AM)</t>
  </si>
  <si>
    <t>~faisal saood1</t>
  </si>
  <si>
    <t>Not Received (12/11/2025, 10:54:24 AM)</t>
  </si>
  <si>
    <t>Not Received (12/13/2025, 12:39:21 PM)</t>
  </si>
  <si>
    <t>Not Received (12/12/2025, 1:07:22 PM)</t>
  </si>
  <si>
    <t>Not Received (11/28/2025, 5:14:01 PM)</t>
  </si>
  <si>
    <t>Client Lost (12/11/2025, 10:55:37 AM)</t>
  </si>
  <si>
    <t>Not Received (12/9/2025, 11:18:14 AM)</t>
  </si>
  <si>
    <t>Not Received (12/4/2025, 3:14:33 PM)</t>
  </si>
  <si>
    <t>Not Received (11/28/2025, 5:15:06 PM)</t>
  </si>
  <si>
    <t>Muhammad Arif</t>
  </si>
  <si>
    <t>Not Received (12/11/2025, 10:57:46 AM)</t>
  </si>
  <si>
    <t>Not Received (12/13/2025, 12:39:56 PM)</t>
  </si>
  <si>
    <t>Not Received (12/12/2025, 2:03:35 PM)</t>
  </si>
  <si>
    <t>Not Received (11/28/2025, 5:15:37 PM)</t>
  </si>
  <si>
    <t>Naveeda</t>
  </si>
  <si>
    <t>Not Received (11/25/2025, 11:29:54 AM)</t>
  </si>
  <si>
    <t>Call Received (11/21/2025, 1:16:35 PM)</t>
  </si>
  <si>
    <t>Client Lost (11/28/2025, 5:15:50 PM)</t>
  </si>
  <si>
    <t>ask to his son then inform</t>
  </si>
  <si>
    <t>Taimoor</t>
  </si>
  <si>
    <t>fff</t>
  </si>
  <si>
    <t>923332307321</t>
  </si>
  <si>
    <t>Call Received (11/21/2025, 11:47:42 AM)</t>
  </si>
  <si>
    <t>Client Lost (12/8/2025, 1:52:03 PM)</t>
  </si>
  <si>
    <t>923264247143</t>
  </si>
  <si>
    <t>Call Received (11/25/2025, 10:42:20 AM)</t>
  </si>
  <si>
    <t>Not Received (12/13/2025, 12:40:36 PM)</t>
  </si>
  <si>
    <t>Not Received (12/12/2025, 2:04:02 PM)</t>
  </si>
  <si>
    <t>Not Received (11/28/2025, 5:18:05 PM)</t>
  </si>
  <si>
    <t>Aneel kumar</t>
  </si>
  <si>
    <t>923323925132</t>
  </si>
  <si>
    <t>Confirmation (12/10/2025, 10:32:35 AM)</t>
  </si>
  <si>
    <t>Confirmation (11/22/2025, 12:29:21 PM)</t>
  </si>
  <si>
    <t>Confirmation (11/27/2025, 2:23:33 PM)</t>
  </si>
  <si>
    <t>Call Received (11/21/2025, 4:05:59 PM)</t>
  </si>
  <si>
    <t>Call Later (11/25/2025, 11:31:15 AM)</t>
  </si>
  <si>
    <t>Client Lost (11/28/2025, 5:18:57 PM)</t>
  </si>
  <si>
    <t>shehzad</t>
  </si>
  <si>
    <t>923333155022</t>
  </si>
  <si>
    <t>Client Lost (11/21/2025, 4:12:38 PM)</t>
  </si>
  <si>
    <t>lost need physical classes</t>
  </si>
  <si>
    <t>Not Received (11/25/2025, 10:43:26 AM)</t>
  </si>
  <si>
    <t>Not Received (12/13/2025, 12:41:05 PM)</t>
  </si>
  <si>
    <t>Not Received (12/12/2025, 2:04:41 PM)</t>
  </si>
  <si>
    <t>Not Received (11/28/2025, 5:19:47 PM)</t>
  </si>
  <si>
    <t>husnain</t>
  </si>
  <si>
    <t>923162896649</t>
  </si>
  <si>
    <t>Client Lost (12/2/2025, 11:32:07 AM)</t>
  </si>
  <si>
    <t>Call Received (11/29/2025, 3:07:46 PM)</t>
  </si>
  <si>
    <t>Call Received (11/21/2025, 4:21:28 PM)</t>
  </si>
  <si>
    <t>Demo (12/9/2025, 11:21:37 AM)</t>
  </si>
  <si>
    <t>Not Received (12/8/2025, 3:14:02 PM)</t>
  </si>
  <si>
    <t>Call Received (11/28/2025, 5:23:36 PM)</t>
  </si>
  <si>
    <t>will inform when he gets time</t>
  </si>
  <si>
    <t>shahryar</t>
  </si>
  <si>
    <t>923702405218</t>
  </si>
  <si>
    <t>Client Lost (12/9/2025, 11:22:59 AM)</t>
  </si>
  <si>
    <t>Not Received (11/27/2025, 1:36:54 PM)</t>
  </si>
  <si>
    <t>Not Received (11/28/2025, 5:25:09 PM)</t>
  </si>
  <si>
    <t>think and inform</t>
  </si>
  <si>
    <t>22/11/2025</t>
  </si>
  <si>
    <t>Not Received (12/13/2025, 12:42:30 PM)</t>
  </si>
  <si>
    <t>Not Received (12/12/2025, 2:05:04 PM)</t>
  </si>
  <si>
    <t>Not Received (11/28/2025, 5:25:27 PM)</t>
  </si>
  <si>
    <t>Ghufran Mehdi</t>
  </si>
  <si>
    <t>Not Received (12/13/2025, 12:43:20 PM)</t>
  </si>
  <si>
    <t>Not Received (11/24/2025, 3:36:47 PM)</t>
  </si>
  <si>
    <t>Not Received (12/12/2025, 4:31:42 PM)</t>
  </si>
  <si>
    <t xml:space="preserve">mansoor </t>
  </si>
  <si>
    <t>923313548716</t>
  </si>
  <si>
    <t>Not Received (12/13/2025, 12:43:43 PM)</t>
  </si>
  <si>
    <t>Not Received (12/12/2025, 1:23:17 PM)</t>
  </si>
  <si>
    <t>Form Filled (11/24/2025, 5:15:05 PM)</t>
  </si>
  <si>
    <t>Not Received (11/25/2025, 10:45:18 AM)</t>
  </si>
  <si>
    <t>Client Lost (12/9/2025, 11:25:52 AM)</t>
  </si>
  <si>
    <t>Not Received (11/24/2025, 3:39:13 PM)</t>
  </si>
  <si>
    <t>Not Received (11/28/2025, 5:26:14 PM)</t>
  </si>
  <si>
    <t>Abdul Sattar Khan</t>
  </si>
  <si>
    <t>Call Received (11/25/2025, 10:47:09 AM)</t>
  </si>
  <si>
    <t>Demo (12/9/2025, 11:27:22 AM)</t>
  </si>
  <si>
    <t>Call Received (12/1/2025, 3:11:04 PM)</t>
  </si>
  <si>
    <t>Not Received (12/6/2025, 4:16:31 PM)</t>
  </si>
  <si>
    <t>mustafa</t>
  </si>
  <si>
    <t>923328255252</t>
  </si>
  <si>
    <t>Client Lost (12/17/2025, 10:21:01 AM)</t>
  </si>
  <si>
    <t>Not Received (11/22/2025, 12:49:54 PM)</t>
  </si>
  <si>
    <t>Confirmation (12/6/2025, 1:48:16 PM)</t>
  </si>
  <si>
    <t>Not Received (11/22/2025, 12:50:24 PM)</t>
  </si>
  <si>
    <t>Client Lost (11/24/2025, 3:47:26 PM)</t>
  </si>
  <si>
    <t>Not Received (12/16/2025, 10:47:31 AM)</t>
  </si>
  <si>
    <t>Not Received (12/13/2025, 12:44:00 PM)</t>
  </si>
  <si>
    <t>Not Received (12/12/2025, 1:24:03 PM)</t>
  </si>
  <si>
    <t>Not Received (12/6/2025, 4:17:11 PM)</t>
  </si>
  <si>
    <t>Sarwar Siraj</t>
  </si>
  <si>
    <t>Not Received (11/25/2025, 10:51:00 AM)</t>
  </si>
  <si>
    <t>Not Received (12/13/2025, 12:44:20 PM)</t>
  </si>
  <si>
    <t>Not Received (12/12/2025, 1:24:49 PM)</t>
  </si>
  <si>
    <t>Not Received (12/6/2025, 4:17:33 PM)</t>
  </si>
  <si>
    <t>Saad Altaf</t>
  </si>
  <si>
    <t>Client Lost (11/22/2025, 12:57:36 PM)</t>
  </si>
  <si>
    <t>farhan khan</t>
  </si>
  <si>
    <t>923228582862</t>
  </si>
  <si>
    <t>Confirmation (12/11/2025, 11:41:44 AM)</t>
  </si>
  <si>
    <t>Not Received (12/9/2025, 1:26:35 PM)</t>
  </si>
  <si>
    <t>Client Lost (12/18/2025, 4:54:10 PM)</t>
  </si>
  <si>
    <t>Amjad Ali</t>
  </si>
  <si>
    <t>Not Received (12/13/2025, 12:45:00 PM)</t>
  </si>
  <si>
    <t>Not Received (12/12/2025, 1:25:12 PM)</t>
  </si>
  <si>
    <t>Not Received (12/6/2025, 4:21:39 PM)</t>
  </si>
  <si>
    <t>hasham</t>
  </si>
  <si>
    <t>923094561975</t>
  </si>
  <si>
    <t>Client Lost (12/10/2025, 11:35:22 AM)</t>
  </si>
  <si>
    <t>Not Received (11/22/2025, 1:05:15 PM)</t>
  </si>
  <si>
    <t>Call Later (12/6/2025, 4:34:58 PM)</t>
  </si>
  <si>
    <t>Manzoor Ahmed</t>
  </si>
  <si>
    <t>Client Lost (11/25/2025, 11:35:00 AM)</t>
  </si>
  <si>
    <t>Call Received (11/22/2025, 1:07:12 PM)</t>
  </si>
  <si>
    <t>will review and inform</t>
  </si>
  <si>
    <t>Not Received (12/11/2025, 11:11:45 AM)</t>
  </si>
  <si>
    <t>Demo (12/12/2025, 2:08:41 PM)</t>
  </si>
  <si>
    <t>Not Received (12/5/2025, 4:14:55 PM)</t>
  </si>
  <si>
    <t>Client Lost (12/9/2025, 11:34:52 AM)</t>
  </si>
  <si>
    <t>Call Received (11/22/2025, 1:12:10 PM)</t>
  </si>
  <si>
    <t>Not Received (12/6/2025, 4:35:39 PM)</t>
  </si>
  <si>
    <t>noor</t>
  </si>
  <si>
    <t>923212181141</t>
  </si>
  <si>
    <t>Confirmation (11/24/2025, 10:16:53 AM)</t>
  </si>
  <si>
    <t>Demo (11/22/2025, 12:23:22 PM)</t>
  </si>
  <si>
    <t>Client Lost (12/8/2025, 3:48:42 PM)</t>
  </si>
  <si>
    <t>lost due to exams</t>
  </si>
  <si>
    <t>Not Received (12/13/2025, 12:45:33 PM)</t>
  </si>
  <si>
    <t>Not Received (12/12/2025, 1:26:01 PM)</t>
  </si>
  <si>
    <t>Not Received (12/6/2025, 4:36:22 PM)</t>
  </si>
  <si>
    <t>share form</t>
  </si>
  <si>
    <t>baber</t>
  </si>
  <si>
    <t>Not Received (12/13/2025, 12:46:08 PM)</t>
  </si>
  <si>
    <t>Not Received (12/12/2025, 2:09:28 PM)</t>
  </si>
  <si>
    <t>Not Received (12/6/2025, 4:37:18 PM)</t>
  </si>
  <si>
    <t>lubna</t>
  </si>
  <si>
    <t>Call Received (11/25/2025, 10:24:51 AM)</t>
  </si>
  <si>
    <t>Call Received (11/25/2025, 12:24:51 PM)</t>
  </si>
  <si>
    <t>Not Received (12/5/2025, 3:19:30 PM)</t>
  </si>
  <si>
    <t>Call Received (11/22/2025, 5:47:09 PM)</t>
  </si>
  <si>
    <t>after 3 months will join</t>
  </si>
  <si>
    <t>Not Received (11/25/2025, 10:55:26 AM)</t>
  </si>
  <si>
    <t>Not Received (11/24/2025, 11:21:30 AM)</t>
  </si>
  <si>
    <t>Confirmation (12/12/2025, 3:11:41 PM)</t>
  </si>
  <si>
    <t>Not Received (11/22/2025, 5:49:39 PM)</t>
  </si>
  <si>
    <t xml:space="preserve">lost  </t>
  </si>
  <si>
    <t>24/11/2025</t>
  </si>
  <si>
    <t>Not Received (11/25/2025, 10:57:09 AM)</t>
  </si>
  <si>
    <t>Not Received (12/13/2025, 12:46:45 PM)</t>
  </si>
  <si>
    <t>Not Received (12/12/2025, 2:09:44 PM)</t>
  </si>
  <si>
    <t>Not Received (12/6/2025, 4:37:27 PM)</t>
  </si>
  <si>
    <t>Not Received (11/25/2025, 10:58:47 AM)</t>
  </si>
  <si>
    <t>Client Lost (12/11/2025, 11:16:20 AM)</t>
  </si>
  <si>
    <t>Not Received (12/4/2025, 3:18:06 PM)</t>
  </si>
  <si>
    <t>Not Received (12/6/2025, 4:37:43 PM)</t>
  </si>
  <si>
    <t>~Nouman Khan</t>
  </si>
  <si>
    <t>Client Lost (11/24/2025, 11:27:39 AM)</t>
  </si>
  <si>
    <t>Not Received (11/25/2025, 10:59:23 AM)</t>
  </si>
  <si>
    <t>Not Received (11/24/2025, 11:29:21 AM)</t>
  </si>
  <si>
    <t>Not Received (12/4/2025, 3:19:11 PM)</t>
  </si>
  <si>
    <t>Client Lost (12/6/2025, 4:38:40 PM)</t>
  </si>
  <si>
    <t>~IMRAN SHABBIR</t>
  </si>
  <si>
    <t>Call Received (11/24/2025, 11:30:55 AM)</t>
  </si>
  <si>
    <t>Client Lost (11/26/2025, 4:22:34 PM)</t>
  </si>
  <si>
    <t>Not Received (11/25/2025, 10:59:36 AM)</t>
  </si>
  <si>
    <t>Not Received (12/13/2025, 12:47:02 PM)</t>
  </si>
  <si>
    <t>Not Received (12/12/2025, 2:10:07 PM)</t>
  </si>
  <si>
    <t>Not Received (12/6/2025, 4:51:28 PM)</t>
  </si>
  <si>
    <t>Sadaf</t>
  </si>
  <si>
    <t>Paid (12/1/2025, 12:29:02 PM)</t>
  </si>
  <si>
    <t>share details</t>
  </si>
  <si>
    <t>Client Lost (11/24/2025, 11:33:12 AM)</t>
  </si>
  <si>
    <t>Client Lost (11/24/2025, 12:55:06 PM)</t>
  </si>
  <si>
    <t>fahad</t>
  </si>
  <si>
    <t>923166111003</t>
  </si>
  <si>
    <t>Call Received (11/24/2025, 11:35:20 AM)</t>
  </si>
  <si>
    <t>Not Received (12/4/2025, 3:20:24 PM)</t>
  </si>
  <si>
    <t>Client Lost (12/6/2025, 4:52:33 PM)</t>
  </si>
  <si>
    <t>Call Later (11/25/2025, 11:00:24 AM)</t>
  </si>
  <si>
    <t>Client Lost (12/9/2025, 11:42:11 AM)</t>
  </si>
  <si>
    <t>Not Received (12/5/2025, 3:21:13 PM)</t>
  </si>
  <si>
    <t>Call Received (11/25/2025, 4:10:20 PM)</t>
  </si>
  <si>
    <t>mian saleem</t>
  </si>
  <si>
    <t>923277281431</t>
  </si>
  <si>
    <t>Not Received (11/25/2025, 11:00:39 AM)</t>
  </si>
  <si>
    <t>Not Received (12/13/2025, 12:47:20 PM)</t>
  </si>
  <si>
    <t>Not Received (12/12/2025, 2:10:36 PM)</t>
  </si>
  <si>
    <t>Not Received (12/6/2025, 4:55:25 PM)</t>
  </si>
  <si>
    <t>Maria</t>
  </si>
  <si>
    <t>Not Received (11/25/2025, 11:00:58 AM)</t>
  </si>
  <si>
    <t>Not Received (11/24/2025, 12:01:14 PM)</t>
  </si>
  <si>
    <t>Client Lost (12/4/2025, 3:22:46 PM)</t>
  </si>
  <si>
    <t>Client Lost (11/24/2025, 12:02:16 PM)</t>
  </si>
  <si>
    <t>~Imran Zia</t>
  </si>
  <si>
    <t>Call Received (11/24/2025, 12:03:28 PM)</t>
  </si>
  <si>
    <t>Client Lost (11/26/2025, 4:32:42 PM)</t>
  </si>
  <si>
    <t>will review</t>
  </si>
  <si>
    <t>Client Lost (11/24/2025, 12:04:43 PM)</t>
  </si>
  <si>
    <t>~Qasim Aly</t>
  </si>
  <si>
    <t>Not Received (11/25/2025, 11:01:23 AM)</t>
  </si>
  <si>
    <t>Not Received (12/13/2025, 12:47:38 PM)</t>
  </si>
  <si>
    <t>Not Received (12/12/2025, 2:10:57 PM)</t>
  </si>
  <si>
    <t>Not Received (12/6/2025, 4:57:03 PM)</t>
  </si>
  <si>
    <t>nre</t>
  </si>
  <si>
    <t>Not Received (11/26/2025, 10:47:21 AM)</t>
  </si>
  <si>
    <t>Not Received (12/13/2025, 12:47:55 PM)</t>
  </si>
  <si>
    <t>Not Received (12/12/2025, 2:11:59 PM)</t>
  </si>
  <si>
    <t>Not Received (12/6/2025, 4:57:54 PM)</t>
  </si>
  <si>
    <t>Muhammad Akbar</t>
  </si>
  <si>
    <t>Call Received (11/24/2025, 12:08:00 PM)</t>
  </si>
  <si>
    <t>Client Lost (12/4/2025, 3:24:21 PM)</t>
  </si>
  <si>
    <t>Not Received (11/26/2025, 4:34:05 PM)</t>
  </si>
  <si>
    <t>Not Received (11/26/2025, 10:47:42 AM)</t>
  </si>
  <si>
    <t>Not Received (12/13/2025, 12:48:27 PM)</t>
  </si>
  <si>
    <t>Not Received (12/12/2025, 2:12:44 PM)</t>
  </si>
  <si>
    <t>Not Received (12/6/2025, 4:58:13 PM)</t>
  </si>
  <si>
    <t>Umar</t>
  </si>
  <si>
    <t>Not Received (12/13/2025, 12:48:57 PM)</t>
  </si>
  <si>
    <t>Not Received (12/12/2025, 2:13:31 PM)</t>
  </si>
  <si>
    <t>Not Received (12/6/2025, 5:00:09 PM)</t>
  </si>
  <si>
    <t>~Muhammad Abbas</t>
  </si>
  <si>
    <t>Not Received (11/26/2025, 10:48:33 AM)</t>
  </si>
  <si>
    <t>Not Received (12/11/2025, 11:24:16 AM)</t>
  </si>
  <si>
    <t>Client Lost (12/12/2025, 2:14:29 PM)</t>
  </si>
  <si>
    <t>Not Received (12/6/2025, 5:01:28 PM)</t>
  </si>
  <si>
    <t>~M Nabeel</t>
  </si>
  <si>
    <t>Not Received (11/24/2025, 12:13:50 PM)</t>
  </si>
  <si>
    <t>Client Lost (11/25/2025, 3:23:23 PM)</t>
  </si>
  <si>
    <t>Client Lost (11/28/2025, 12:57:15 PM)</t>
  </si>
  <si>
    <t>Not Received (11/27/2025, 1:57:42 PM)</t>
  </si>
  <si>
    <t>no as suvch response</t>
  </si>
  <si>
    <t>Call Later (11/26/2025, 10:50:37 AM)</t>
  </si>
  <si>
    <t>Not Received (12/13/2025, 12:49:30 PM)</t>
  </si>
  <si>
    <t>Not Received (12/12/2025, 2:15:54 PM)</t>
  </si>
  <si>
    <t>Not Received (12/6/2025, 5:01:51 PM)</t>
  </si>
  <si>
    <t>Taj Muhammad</t>
  </si>
  <si>
    <t>Not Received (11/24/2025, 12:17:30 PM)</t>
  </si>
  <si>
    <t>Client Lost (11/24/2025, 1:27:23 PM)</t>
  </si>
  <si>
    <t>Abdullah rehman</t>
  </si>
  <si>
    <t>923042392594</t>
  </si>
  <si>
    <t>Confirmation (11/25/2025, 12:56:43 PM)</t>
  </si>
  <si>
    <t>Client Lost (12/8/2025, 3:51:52 PM)</t>
  </si>
  <si>
    <t>Form Filled (11/24/2025, 4:58:05 PM)</t>
  </si>
  <si>
    <t>by friday</t>
  </si>
  <si>
    <t>Call Received (12/9/2025, 11:53:47 AM)</t>
  </si>
  <si>
    <t>Not Received (11/27/2025, 3:28:25 PM)</t>
  </si>
  <si>
    <t>Not Received (11/26/2025, 4:35:42 PM)</t>
  </si>
  <si>
    <t>~Muhammad Ikram</t>
  </si>
  <si>
    <t>Not Received (11/24/2025, 12:58:02 PM)</t>
  </si>
  <si>
    <t>Client Lost (11/25/2025, 3:31:37 PM)</t>
  </si>
  <si>
    <t>~M Javed</t>
  </si>
  <si>
    <t>Client Lost (11/26/2025, 10:51:48 AM)</t>
  </si>
  <si>
    <t>Call Later (11/24/2025, 12:59:25 PM)</t>
  </si>
  <si>
    <t>Not Received (11/24/2025, 4:54:52 PM)</t>
  </si>
  <si>
    <t>ASad</t>
  </si>
  <si>
    <t>Not Received (11/24/2025, 12:59:57 PM)</t>
  </si>
  <si>
    <t>Client Lost (11/29/2025, 3:10:20 PM)</t>
  </si>
  <si>
    <t>Not Received (11/24/2025, 1:01:08 PM)</t>
  </si>
  <si>
    <t>Not Received (11/27/2025, 2:02:11 PM)</t>
  </si>
  <si>
    <t>Client Lost (12/6/2025, 5:02:57 PM)</t>
  </si>
  <si>
    <t>Not Received (11/26/2025, 10:52:41 AM)</t>
  </si>
  <si>
    <t>Not Received (12/13/2025, 12:50:03 PM)</t>
  </si>
  <si>
    <t>Not Received (12/12/2025, 2:18:31 PM)</t>
  </si>
  <si>
    <t>Not Received (12/6/2025, 5:27:18 PM)</t>
  </si>
  <si>
    <t>shafiq</t>
  </si>
  <si>
    <t>923362083821</t>
  </si>
  <si>
    <t>Client Lost (11/24/2025, 3:05:52 PM)</t>
  </si>
  <si>
    <t>Muhammad Hussnain Jamil</t>
  </si>
  <si>
    <t>923207323009</t>
  </si>
  <si>
    <t>Call Received (12/4/2025, 12:15:51 PM)</t>
  </si>
  <si>
    <t>Confirmation (12/12/2025, 1:28:33 PM)</t>
  </si>
  <si>
    <t>Client Lost (12/18/2025, 4:54:15 PM)</t>
  </si>
  <si>
    <t>~Khalid M Khan</t>
  </si>
  <si>
    <t>Client Lost (11/25/2025, 11:17:00 AM)</t>
  </si>
  <si>
    <t>Not Received (11/24/2025, 3:06:10 PM)</t>
  </si>
  <si>
    <t>Not Received (11/26/2025, 10:53:18 AM)</t>
  </si>
  <si>
    <t>Client Lost (12/13/2025, 12:51:16 PM)</t>
  </si>
  <si>
    <t>Not Received (12/12/2025, 2:18:58 PM)</t>
  </si>
  <si>
    <t>Not Received (12/6/2025, 5:27:46 PM)</t>
  </si>
  <si>
    <t>Not Received (11/26/2025, 10:53:39 AM)</t>
  </si>
  <si>
    <t>Not Received (12/13/2025, 12:52:03 PM)</t>
  </si>
  <si>
    <t>Not Received (12/12/2025, 2:20:07 PM)</t>
  </si>
  <si>
    <t>Not Received (12/6/2025, 5:28:20 PM)</t>
  </si>
  <si>
    <t>25/11/2025</t>
  </si>
  <si>
    <t>Uzair Ali</t>
  </si>
  <si>
    <t>Call Received (11/25/2025, 11:49:56 AM)</t>
  </si>
  <si>
    <t>Client Lost (11/27/2025, 2:04:37 PM)</t>
  </si>
  <si>
    <t>Client Lost (11/26/2025, 10:54:41 AM)</t>
  </si>
  <si>
    <t>Not Received (11/25/2025, 11:51:31 AM)</t>
  </si>
  <si>
    <t>prospect_89</t>
  </si>
  <si>
    <t>Call Received (11/26/2025, 10:55:58 AM)</t>
  </si>
  <si>
    <t>Not Received (12/11/2025, 11:29:01 AM)</t>
  </si>
  <si>
    <t>Client Lost (12/12/2025, 2:20:59 PM)</t>
  </si>
  <si>
    <t>Call Received (12/5/2025, 4:16:34 PM)</t>
  </si>
  <si>
    <t>Sobia Bhati</t>
  </si>
  <si>
    <t>923296297834</t>
  </si>
  <si>
    <t>Form Filled (11/25/2025, 11:45:33 AM)</t>
  </si>
  <si>
    <t>Client Lost (11/25/2025, 2:03:37 PM)</t>
  </si>
  <si>
    <t>sameer</t>
  </si>
  <si>
    <t>923255241610</t>
  </si>
  <si>
    <t>Call Received (11/25/2025, 11:56:55 AM)</t>
  </si>
  <si>
    <t>Client Lost (11/27/2025, 2:12:08 PM)</t>
  </si>
  <si>
    <t>waseem akhtar</t>
  </si>
  <si>
    <t>923472359188</t>
  </si>
  <si>
    <t>Client Lost (11/25/2025, 12:29:51 PM)</t>
  </si>
  <si>
    <t>khalid</t>
  </si>
  <si>
    <t>923142092978</t>
  </si>
  <si>
    <t>Not Received (12/13/2025, 12:52:43 PM)</t>
  </si>
  <si>
    <t>Demo (11/28/2025, 2:02:18 PM)</t>
  </si>
  <si>
    <t>Not Received (12/12/2025, 4:33:08 PM)</t>
  </si>
  <si>
    <t>923136500232</t>
  </si>
  <si>
    <t>Confirmation (12/2/2025, 11:17:49 AM)</t>
  </si>
  <si>
    <t>Confirmation (12/6/2025, 2:27:15 PM)</t>
  </si>
  <si>
    <t>Client Lost (12/23/2025, 5:33:30 PM)</t>
  </si>
  <si>
    <t>pay y 13-15 dec</t>
  </si>
  <si>
    <t>Client Lost (11/25/2025, 12:07:12 PM)</t>
  </si>
  <si>
    <t>muhammad zaani</t>
  </si>
  <si>
    <t>923012085689</t>
  </si>
  <si>
    <t>Not Received (11/26/2025, 10:57:04 AM)</t>
  </si>
  <si>
    <t>Not Received (12/13/2025, 12:53:28 PM)</t>
  </si>
  <si>
    <t>Call Received (11/27/2025, 3:31:46 PM)</t>
  </si>
  <si>
    <t>Not Received (12/12/2025, 4:39:57 PM)</t>
  </si>
  <si>
    <t>923276726945</t>
  </si>
  <si>
    <t>Client Lost (11/26/2025, 10:31:33 AM)</t>
  </si>
  <si>
    <t>Client Lost (11/25/2025, 12:13:18 PM)</t>
  </si>
  <si>
    <t>923001422151</t>
  </si>
  <si>
    <t>Call Received (11/25/2025, 12:15:59 PM)</t>
  </si>
  <si>
    <t>Client Lost (11/29/2025, 3:17:49 PM)</t>
  </si>
  <si>
    <t>call after 2 days</t>
  </si>
  <si>
    <t>sharry</t>
  </si>
  <si>
    <t>923102450890</t>
  </si>
  <si>
    <t>Not Received (11/26/2025, 10:57:58 AM)</t>
  </si>
  <si>
    <t>Not Received (12/13/2025, 12:53:50 PM)</t>
  </si>
  <si>
    <t>Not Received (11/27/2025, 3:33:30 PM)</t>
  </si>
  <si>
    <t>Not Received (12/12/2025, 4:40:29 PM)</t>
  </si>
  <si>
    <t>Client Lost (11/25/2025, 11:11:23 AM)</t>
  </si>
  <si>
    <t>abdul waheed</t>
  </si>
  <si>
    <t>923133340397</t>
  </si>
  <si>
    <t>Client Lost (11/25/2025, 12:18:58 PM)</t>
  </si>
  <si>
    <t>Not Received (11/26/2025, 10:58:21 AM)</t>
  </si>
  <si>
    <t>Not Received (12/13/2025, 12:56:02 PM)</t>
  </si>
  <si>
    <t>Not Received (11/27/2025, 3:34:32 PM)</t>
  </si>
  <si>
    <t>Not Received (12/12/2025, 4:48:09 PM)</t>
  </si>
  <si>
    <t>923343306863</t>
  </si>
  <si>
    <t>Not Received (11/27/2025, 12:17:02 PM)</t>
  </si>
  <si>
    <t>Client Lost (11/27/2025, 3:19:43 PM)</t>
  </si>
  <si>
    <t>923339162922</t>
  </si>
  <si>
    <t>Not Received (12/4/2025, 12:26:13 PM)</t>
  </si>
  <si>
    <t>Client Lost (12/6/2025, 5:35:23 PM)</t>
  </si>
  <si>
    <t>923412679437</t>
  </si>
  <si>
    <t>Not Received (11/26/2025, 10:59:10 AM)</t>
  </si>
  <si>
    <t>Not Received (11/25/2025, 1:01:15 PM)</t>
  </si>
  <si>
    <t>Confirmation (12/8/2025, 3:44:12 PM)</t>
  </si>
  <si>
    <t>pay soon once come pak</t>
  </si>
  <si>
    <t>Client Lost (12/4/2025, 12:27:14 PM)</t>
  </si>
  <si>
    <t>Not Received (11/25/2025, 1:02:57 PM)</t>
  </si>
  <si>
    <t>~Mahvish Jamil</t>
  </si>
  <si>
    <t>Paid (12/3/2025, 2:06:33 PM)</t>
  </si>
  <si>
    <t>ABDUL SAMI BHATTI</t>
  </si>
  <si>
    <t>Call Received (11/26/2025, 10:44:12 AM)</t>
  </si>
  <si>
    <t>Not Received (12/4/2025, 12:28:37 PM)</t>
  </si>
  <si>
    <t>Call Later (11/25/2025, 1:14:11 PM)</t>
  </si>
  <si>
    <t>Client Lost (12/6/2025, 5:36:06 PM)</t>
  </si>
  <si>
    <t>his father piccked the call, sent him msg on whatsapp</t>
  </si>
  <si>
    <t>Client Lost (12/4/2025, 12:30:27 PM)</t>
  </si>
  <si>
    <t>Not Received (11/25/2025, 1:17:38 PM)</t>
  </si>
  <si>
    <t>~Syed Muhammad Faisal</t>
  </si>
  <si>
    <t>Call Received (12/11/2025, 11:33:15 AM)</t>
  </si>
  <si>
    <t>Not Received (11/27/2025, 3:36:08 PM)</t>
  </si>
  <si>
    <t>Not Received (12/6/2025, 5:40:28 PM)</t>
  </si>
  <si>
    <t>Rajab</t>
  </si>
  <si>
    <t>Client Lost (11/26/2025, 11:21:35 AM)</t>
  </si>
  <si>
    <t>Not Received (11/25/2025, 1:18:44 PM)</t>
  </si>
  <si>
    <t>Not Received (12/13/2025, 12:56:44 PM)</t>
  </si>
  <si>
    <t>Not Received (11/25/2025, 1:19:59 PM)</t>
  </si>
  <si>
    <t>Not Received (12/12/2025, 4:49:21 PM)</t>
  </si>
  <si>
    <t>Muhammad Faseeh</t>
  </si>
  <si>
    <t>Not Received (12/4/2025, 12:31:33 PM)</t>
  </si>
  <si>
    <t>Call Received (11/27/2025, 3:04:15 PM)</t>
  </si>
  <si>
    <t>Client Lost (12/6/2025, 5:45:24 PM)</t>
  </si>
  <si>
    <t>Client Lost (12/4/2025, 12:32:55 PM)</t>
  </si>
  <si>
    <t>Call Received (11/25/2025, 1:41:37 PM)</t>
  </si>
  <si>
    <t>join next batch</t>
  </si>
  <si>
    <t>~Taimoor Hassan</t>
  </si>
  <si>
    <t>Not Received (11/27/2025, 10:59:53 AM)</t>
  </si>
  <si>
    <t>Form Filled (11/28/2025, 12:52:53 PM)</t>
  </si>
  <si>
    <t>Call Received (12/9/2025, 2:17:25 PM)</t>
  </si>
  <si>
    <t>Form Filled (12/3/2025, 4:48:50 PM)</t>
  </si>
  <si>
    <t>Not Received (12/13/2025, 12:57:30 PM)</t>
  </si>
  <si>
    <t>Call Received (11/25/2025, 3:42:12 PM)</t>
  </si>
  <si>
    <t>Not Received (12/12/2025, 4:50:16 PM)</t>
  </si>
  <si>
    <t>ishaq khan</t>
  </si>
  <si>
    <t>Not Received (11/27/2025, 10:56:12 AM)</t>
  </si>
  <si>
    <t>Not Received (12/13/2025, 12:57:51 PM)</t>
  </si>
  <si>
    <t>Not Received (11/25/2025, 3:45:35 PM)</t>
  </si>
  <si>
    <t>Not Received (12/12/2025, 4:51:05 PM)</t>
  </si>
  <si>
    <t>Not Received (11/27/2025, 10:56:54 AM)</t>
  </si>
  <si>
    <t>Not Received (12/11/2025, 11:46:52 AM)</t>
  </si>
  <si>
    <t>Not Received (12/4/2025, 3:25:51 PM)</t>
  </si>
  <si>
    <t>Not Received (12/12/2025, 4:51:22 PM)</t>
  </si>
  <si>
    <t>Not Received (11/27/2025, 10:57:13 AM)</t>
  </si>
  <si>
    <t>Client Lost (12/9/2025, 12:13:26 PM)</t>
  </si>
  <si>
    <t>Not Received (12/4/2025, 3:27:27 PM)</t>
  </si>
  <si>
    <t>Not Received (12/6/2025, 5:41:34 PM)</t>
  </si>
  <si>
    <t>Not Received (11/27/2025, 10:57:32 AM)</t>
  </si>
  <si>
    <t>Not Received (12/13/2025, 12:58:48 PM)</t>
  </si>
  <si>
    <t>Not Received (12/4/2025, 3:28:07 PM)</t>
  </si>
  <si>
    <t>Not Received (12/12/2025, 4:51:46 PM)</t>
  </si>
  <si>
    <t>~Zeeshan Sajid</t>
  </si>
  <si>
    <t>Client Lost (11/26/2025, 11:38:33 AM)</t>
  </si>
  <si>
    <t>zeeshan</t>
  </si>
  <si>
    <t>923004271762</t>
  </si>
  <si>
    <t>Call Received (12/4/2025, 12:35:14 PM)</t>
  </si>
  <si>
    <t>Client Lost (12/8/2025, 2:11:21 PM)</t>
  </si>
  <si>
    <t>Call Received (12/5/2025, 4:16:53 PM)</t>
  </si>
  <si>
    <t>~Muhammad Roman Ansari</t>
  </si>
  <si>
    <t>Client Lost (12/4/2025, 12:36:48 PM)</t>
  </si>
  <si>
    <t>busy scedule</t>
  </si>
  <si>
    <t>~Hamza Zafar</t>
  </si>
  <si>
    <t>Call Later (11/27/2025, 12:20:26 PM)</t>
  </si>
  <si>
    <t>Client Lost (11/29/2025, 3:11:59 PM)</t>
  </si>
  <si>
    <t>not intereseted</t>
  </si>
  <si>
    <t>26/11/2025</t>
  </si>
  <si>
    <t>Not Received (11/27/2025, 10:58:27 AM)</t>
  </si>
  <si>
    <t>Not Received (12/11/2025, 11:47:56 AM)</t>
  </si>
  <si>
    <t>Not Received (12/13/2025, 1:26:41 PM)</t>
  </si>
  <si>
    <t>Not Received (12/12/2025, 4:53:16 PM)</t>
  </si>
  <si>
    <t>Syed Osaim Tahir</t>
  </si>
  <si>
    <t>923323102326</t>
  </si>
  <si>
    <t>Not Received (11/27/2025, 10:59:04 AM)</t>
  </si>
  <si>
    <t>Not Received (11/26/2025, 12:01:54 PM)</t>
  </si>
  <si>
    <t>Paid (12/12/2025, 2:23:35 PM)</t>
  </si>
  <si>
    <t>Client Lost (11/27/2025, 10:59:37 AM)</t>
  </si>
  <si>
    <t>Not Received (11/26/2025, 12:06:14 PM)</t>
  </si>
  <si>
    <t>Client Lost (11/26/2025, 12:07:39 PM)</t>
  </si>
  <si>
    <t>Not Received (12/11/2025, 11:50:44 AM)</t>
  </si>
  <si>
    <t>Not Received (12/4/2025, 3:29:38 PM)</t>
  </si>
  <si>
    <t>Not Received (12/12/2025, 4:55:39 PM)</t>
  </si>
  <si>
    <t>Client Lost (12/4/2025, 12:38:46 PM)</t>
  </si>
  <si>
    <t>923291205729</t>
  </si>
  <si>
    <t>Call Received (12/9/2025, 12:19:41 PM)</t>
  </si>
  <si>
    <t>Not Received (12/4/2025, 3:30:03 PM)</t>
  </si>
  <si>
    <t>Saad Anjum</t>
  </si>
  <si>
    <t>Call Later (12/11/2025, 10:32:54 AM)</t>
  </si>
  <si>
    <t>Client Lost (12/4/2025, 12:39:34 PM)</t>
  </si>
  <si>
    <t>Call Received (11/29/2025, 3:17:13 PM)</t>
  </si>
  <si>
    <t>Client Lost (12/13/2025, 4:17:49 PM)</t>
  </si>
  <si>
    <t>MUSTAFA MAQSOOD</t>
  </si>
  <si>
    <t>Not Received (11/28/2025, 10:35:41 AM)</t>
  </si>
  <si>
    <t>Not Received (12/11/2025, 11:51:59 AM)</t>
  </si>
  <si>
    <t>Not Received (12/4/2025, 3:30:45 PM)</t>
  </si>
  <si>
    <t>Not Received (12/12/2025, 4:56:00 PM)</t>
  </si>
  <si>
    <t>Not Received (11/28/2025, 10:36:18 AM)</t>
  </si>
  <si>
    <t>Not Received (12/11/2025, 11:52:18 AM)</t>
  </si>
  <si>
    <t>Not Received (12/13/2025, 1:52:44 PM)</t>
  </si>
  <si>
    <t>Not Received (12/12/2025, 4:56:22 PM)</t>
  </si>
  <si>
    <t>Arusha</t>
  </si>
  <si>
    <t>Not Received (12/11/2025, 10:34:56 AM)</t>
  </si>
  <si>
    <t>Client Lost (12/11/2025, 11:52:35 AM)</t>
  </si>
  <si>
    <t>Call Received (11/27/2025, 3:39:34 PM)</t>
  </si>
  <si>
    <t>Hina Khan</t>
  </si>
  <si>
    <t>Call Received (12/2/2025, 11:02:10 AM)</t>
  </si>
  <si>
    <t>Client Lost (12/3/2025, 2:02:45 PM)</t>
  </si>
  <si>
    <t>Call Later (12/1/2025, 5:41:21 PM)</t>
  </si>
  <si>
    <t>najia</t>
  </si>
  <si>
    <t>923002146741</t>
  </si>
  <si>
    <t>Client Lost (12/3/2025, 12:20:48 PM)</t>
  </si>
  <si>
    <t>Demo (11/28/2025, 2:03:14 PM)</t>
  </si>
  <si>
    <t>Demo (12/2/2025, 4:59:37 PM)</t>
  </si>
  <si>
    <t>Not Received (11/28/2025, 10:36:52 AM)</t>
  </si>
  <si>
    <t>Not Received (12/11/2025, 11:53:29 AM)</t>
  </si>
  <si>
    <t>Not Received (11/27/2025, 3:40:46 PM)</t>
  </si>
  <si>
    <t>Not Received (11/29/2025, 4:49:35 PM)</t>
  </si>
  <si>
    <t>Not Received (11/26/2025, 12:25:44 PM)</t>
  </si>
  <si>
    <t>Client Lost (11/29/2025, 3:19:51 PM)</t>
  </si>
  <si>
    <t>Not Received (11/28/2025, 10:39:49 AM)</t>
  </si>
  <si>
    <t>Not Received (12/11/2025, 11:54:42 AM)</t>
  </si>
  <si>
    <t>Not Received (11/27/2025, 3:48:21 PM)</t>
  </si>
  <si>
    <t>Not Received (12/12/2025, 4:56:42 PM)</t>
  </si>
  <si>
    <t>aatef</t>
  </si>
  <si>
    <t>Client Lost (11/26/2025, 12:30:08 PM)</t>
  </si>
  <si>
    <t>~Abu Mohammed Sufyan</t>
  </si>
  <si>
    <t>Paid (12/2/2025, 11:46:14 AM)</t>
  </si>
  <si>
    <t>Not Received (11/27/2025, 3:49:12 PM)</t>
  </si>
  <si>
    <t>Form Filled (11/27/2025, 4:37:31 PM)</t>
  </si>
  <si>
    <t>Ghulam Muhammad</t>
  </si>
  <si>
    <t>Not Received (11/28/2025, 10:49:43 AM)</t>
  </si>
  <si>
    <t>Not Received (12/11/2025, 11:55:53 AM)</t>
  </si>
  <si>
    <t>Not Received (11/27/2025, 3:49:58 PM)</t>
  </si>
  <si>
    <t>Not Received (12/12/2025, 4:57:47 PM)</t>
  </si>
  <si>
    <t>Client Lost (11/26/2025, 1:54:37 PM)</t>
  </si>
  <si>
    <t>923322135569</t>
  </si>
  <si>
    <t>Client Lost (12/9/2025, 12:25:02 PM)</t>
  </si>
  <si>
    <t>Not Received (11/26/2025, 2:01:25 PM)</t>
  </si>
  <si>
    <t>Not Received (12/2/2025, 5:00:49 PM)</t>
  </si>
  <si>
    <t>Not Received (11/28/2025, 10:50:46 AM)</t>
  </si>
  <si>
    <t>Not Received (11/27/2025, 11:04:00 AM)</t>
  </si>
  <si>
    <t>Not Received (11/26/2025, 2:05:59 PM)</t>
  </si>
  <si>
    <t>Client Lost (11/29/2025, 4:51:46 PM)</t>
  </si>
  <si>
    <t>Call Received (12/9/2025, 12:28:41 PM)</t>
  </si>
  <si>
    <t>Call Received (11/26/2025, 2:07:55 PM)</t>
  </si>
  <si>
    <t>Imran gouri</t>
  </si>
  <si>
    <t>Client Lost (12/9/2025, 12:30:31 PM)</t>
  </si>
  <si>
    <t>Not Received (12/4/2025, 3:33:59 PM)</t>
  </si>
  <si>
    <t>Not Received (11/28/2025, 10:51:11 AM)</t>
  </si>
  <si>
    <t>Not Received (11/27/2025, 11:04:27 AM)</t>
  </si>
  <si>
    <t>Not Received (11/26/2025, 2:15:31 PM)</t>
  </si>
  <si>
    <t>Client Lost (11/29/2025, 4:52:30 PM)</t>
  </si>
  <si>
    <t>Client Lost (11/27/2025, 11:05:04 AM)</t>
  </si>
  <si>
    <t>Client Lost (11/28/2025, 1:33:10 PM)</t>
  </si>
  <si>
    <t>Zayam Anjum</t>
  </si>
  <si>
    <t>Client Lost (12/9/2025, 12:31:16 PM)</t>
  </si>
  <si>
    <t>Form Filled (11/26/2025, 3:11:50 PM)</t>
  </si>
  <si>
    <t>Not Received (12/1/2025, 5:42:02 PM)</t>
  </si>
  <si>
    <t>interested pay soon. form shared</t>
  </si>
  <si>
    <t>Din Muhammad</t>
  </si>
  <si>
    <t>Client Lost (11/26/2025, 5:02:34 PM)</t>
  </si>
  <si>
    <t>~Sheeraz Ali</t>
  </si>
  <si>
    <t>Not Received (11/27/2025, 10:55:14 AM)</t>
  </si>
  <si>
    <t>Client Lost (11/27/2025, 11:09:23 AM)</t>
  </si>
  <si>
    <t>Call Later (11/26/2025, 5:03:48 PM)</t>
  </si>
  <si>
    <t>Not Received (11/28/2025, 10:51:23 AM)</t>
  </si>
  <si>
    <t>Not Received (12/11/2025, 11:56:08 AM)</t>
  </si>
  <si>
    <t>Not Received (12/4/2025, 3:35:06 PM)</t>
  </si>
  <si>
    <t>Not Received (12/12/2025, 4:58:04 PM)</t>
  </si>
  <si>
    <t>Client Lost (12/11/2025, 12:02:38 PM)</t>
  </si>
  <si>
    <t>Not Received (12/4/2025, 3:35:57 PM)</t>
  </si>
  <si>
    <t>Call Received (11/26/2025, 5:06:14 PM)</t>
  </si>
  <si>
    <t>Not Received (11/28/2025, 10:51:51 AM)</t>
  </si>
  <si>
    <t>Not Received (12/11/2025, 12:02:59 PM)</t>
  </si>
  <si>
    <t>Not Received (12/4/2025, 3:36:28 PM)</t>
  </si>
  <si>
    <t>Not Received (12/12/2025, 4:58:29 PM)</t>
  </si>
  <si>
    <t>Client Lost (11/27/2025, 12:22:31 PM)</t>
  </si>
  <si>
    <t>Not Received (11/26/2025, 5:09:08 PM)</t>
  </si>
  <si>
    <t>Not Received (11/28/2025, 10:52:56 AM)</t>
  </si>
  <si>
    <t>Not Received (12/11/2025, 12:03:38 PM)</t>
  </si>
  <si>
    <t>Not Received (12/4/2025, 3:36:47 PM)</t>
  </si>
  <si>
    <t>Not Received (12/12/2025, 4:58:46 PM)</t>
  </si>
  <si>
    <t>~Mehroz.Abdul.Ghaffar</t>
  </si>
  <si>
    <t>Call Received (11/28/2025, 10:54:31 AM)</t>
  </si>
  <si>
    <t>Client Lost (12/2/2025, 11:11:46 AM)</t>
  </si>
  <si>
    <t>27/11/2025</t>
  </si>
  <si>
    <t>~Shahid Khan</t>
  </si>
  <si>
    <t>Client Lost (11/28/2025, 10:55:29 AM)</t>
  </si>
  <si>
    <t>Not Received (11/27/2025, 11:32:36 AM)</t>
  </si>
  <si>
    <t>Call Received (11/28/2025, 10:56:39 AM)</t>
  </si>
  <si>
    <t>Client Lost (12/4/2025, 12:43:00 PM)</t>
  </si>
  <si>
    <t>Not Received (12/11/2025, 12:04:40 PM)</t>
  </si>
  <si>
    <t>Not Received (12/8/2025, 2:12:00 PM)</t>
  </si>
  <si>
    <t>Not Received (12/12/2025, 4:59:33 PM)</t>
  </si>
  <si>
    <t>Abdul jabbar</t>
  </si>
  <si>
    <t>Not Received (11/28/2025, 10:58:25 AM)</t>
  </si>
  <si>
    <t>Not Received (12/4/2025, 12:46:40 PM)</t>
  </si>
  <si>
    <t>Call Received (11/29/2025, 4:56:09 PM)</t>
  </si>
  <si>
    <t>saeed shah</t>
  </si>
  <si>
    <t>Client Lost (11/27/2025, 11:55:06 AM)</t>
  </si>
  <si>
    <t>~Shahid Iqbal</t>
  </si>
  <si>
    <t>923214088668</t>
  </si>
  <si>
    <t>Form Filled (11/28/2025, 11:00:56 AM)</t>
  </si>
  <si>
    <t>Call Received (12/9/2025, 12:36:07 PM)</t>
  </si>
  <si>
    <t>Not Received (12/4/2025, 3:39:10 PM)</t>
  </si>
  <si>
    <t>Not Received (12/2/2025, 4:30:43 PM)</t>
  </si>
  <si>
    <t>Not Received (12/11/2025, 12:05:10 PM)</t>
  </si>
  <si>
    <t>Not Received (12/4/2025, 3:43:19 PM)</t>
  </si>
  <si>
    <t>Not Received (12/12/2025, 4:59:55 PM)</t>
  </si>
  <si>
    <t>Client Lost (11/27/2025, 11:45:36 AM)</t>
  </si>
  <si>
    <t>Hamza idreess</t>
  </si>
  <si>
    <t>923001973320</t>
  </si>
  <si>
    <t>Form Filled (11/28/2025, 11:10:07 AM)</t>
  </si>
  <si>
    <t>Paid (11/29/2025, 2:04:22 PM)</t>
  </si>
  <si>
    <t>Not Received (12/11/2025, 12:06:19 PM)</t>
  </si>
  <si>
    <t>Not Received (12/4/2025, 3:44:04 PM)</t>
  </si>
  <si>
    <t>Not Received (12/12/2025, 5:00:27 PM)</t>
  </si>
  <si>
    <t>Not Received (12/11/2025, 12:07:00 PM)</t>
  </si>
  <si>
    <t>Not Received (12/4/2025, 3:44:41 PM)</t>
  </si>
  <si>
    <t>Not Received (12/12/2025, 5:00:55 PM)</t>
  </si>
  <si>
    <t>~Muhammad Kashif</t>
  </si>
  <si>
    <t>Client Lost (11/27/2025, 12:27:49 PM)</t>
  </si>
  <si>
    <t>Hanan Shoukat</t>
  </si>
  <si>
    <t>Client Lost (11/27/2025, 11:56:30 AM)</t>
  </si>
  <si>
    <t>zulekhazar</t>
  </si>
  <si>
    <t>Not Received (11/27/2025, 11:57:27 AM)</t>
  </si>
  <si>
    <t>Client Lost (11/29/2025, 5:02:46 PM)</t>
  </si>
  <si>
    <t>~saqlain mustafadahani</t>
  </si>
  <si>
    <t>Client Lost (11/27/2025, 11:59:00 AM)</t>
  </si>
  <si>
    <t>~Amir Azam Khan</t>
  </si>
  <si>
    <t>Client Lost (12/9/2025, 12:41:13 PM)</t>
  </si>
  <si>
    <t>Not Received (12/4/2025, 3:45:03 PM)</t>
  </si>
  <si>
    <t>Not Received (11/29/2025, 5:00:52 PM)</t>
  </si>
  <si>
    <t>Syed Yasir Hassan</t>
  </si>
  <si>
    <t>Call Received (11/27/2025, 12:55:09 PM)</t>
  </si>
  <si>
    <t>Confirmation (12/9/2025, 2:19:00 PM)</t>
  </si>
  <si>
    <t>Form Filled (12/4/2025, 5:00:22 PM)</t>
  </si>
  <si>
    <t>Danish Ahmed khan</t>
  </si>
  <si>
    <t>Call Later (12/10/2025, 11:37:41 AM)</t>
  </si>
  <si>
    <t>Call Received (12/10/2025, 3:36:18 PM)</t>
  </si>
  <si>
    <t>Call Received (12/4/2025, 5:03:53 PM)</t>
  </si>
  <si>
    <t>saniya zuberi</t>
  </si>
  <si>
    <t>Not Received (12/11/2025, 12:07:57 PM)</t>
  </si>
  <si>
    <t>Not Received (11/27/2025, 3:07:46 PM)</t>
  </si>
  <si>
    <t>Not Received (12/12/2025, 5:01:33 PM)</t>
  </si>
  <si>
    <t>hamadullah</t>
  </si>
  <si>
    <t>Client Lost (12/2/2025, 11:48:05 AM)</t>
  </si>
  <si>
    <t>Call Received (11/27/2025, 3:09:08 PM)</t>
  </si>
  <si>
    <t>Form Filled (11/29/2025, 4:01:39 PM)</t>
  </si>
  <si>
    <t>need discount of 1500</t>
  </si>
  <si>
    <t>Sarfraz</t>
  </si>
  <si>
    <t>Not Received (12/11/2025, 12:08:51 PM)</t>
  </si>
  <si>
    <t>Not Received (11/29/2025, 3:20:17 PM)</t>
  </si>
  <si>
    <t>Not Received (12/12/2025, 5:02:01 PM)</t>
  </si>
  <si>
    <t>Client Lost (11/27/2025, 5:02:41 PM)</t>
  </si>
  <si>
    <t>need marketing courses</t>
  </si>
  <si>
    <t>Client Lost (11/28/2025, 10:34:34 AM)</t>
  </si>
  <si>
    <t>Client Lost (11/27/2025, 5:06:32 PM)</t>
  </si>
  <si>
    <t>Client Lost (11/27/2025, 5:08:23 PM)</t>
  </si>
  <si>
    <t>Syeda sana shams</t>
  </si>
  <si>
    <t>Confirmation (11/28/2025, 12:38:52 PM)</t>
  </si>
  <si>
    <t>Confirmation (12/6/2025, 3:54:20 PM)</t>
  </si>
  <si>
    <t>Not received (11/27/2025, 5:36:04 PM)</t>
  </si>
  <si>
    <t>28/11/2025</t>
  </si>
  <si>
    <t>Syed abdul rab raza</t>
  </si>
  <si>
    <t>923440201688</t>
  </si>
  <si>
    <t>Call Received (11/28/2025, 11:12:34 AM)</t>
  </si>
  <si>
    <t>Client Lost (12/8/2025, 2:31:34 PM)</t>
  </si>
  <si>
    <t>Call Received (12/4/2025, 5:04:22 PM)</t>
  </si>
  <si>
    <t>share info, form filled</t>
  </si>
  <si>
    <t>zia ul haq</t>
  </si>
  <si>
    <t>Call Later (11/28/2025, 11:16:36 AM)</t>
  </si>
  <si>
    <t>Client Lost (11/29/2025, 3:22:02 PM)</t>
  </si>
  <si>
    <t>Not Received (11/28/2025, 11:17:13 AM)</t>
  </si>
  <si>
    <t>Client Lost (12/4/2025, 5:04:39 PM)</t>
  </si>
  <si>
    <t>refer to relative</t>
  </si>
  <si>
    <t>Client Lost (12/9/2025, 12:44:42 PM)</t>
  </si>
  <si>
    <t>Not Received (12/8/2025, 2:28:30 PM)</t>
  </si>
  <si>
    <t>Call Received (12/4/2025, 5:11:36 PM)</t>
  </si>
  <si>
    <t>Not Received (11/28/2025, 11:22:26 AM)</t>
  </si>
  <si>
    <t>Client Lost (11/29/2025, 5:05:52 PM)</t>
  </si>
  <si>
    <t>923428514955</t>
  </si>
  <si>
    <t>Not Received (12/11/2025, 12:10:01 PM)</t>
  </si>
  <si>
    <t>Call Later (11/29/2025, 3:22:40 PM)</t>
  </si>
  <si>
    <t>Not Received (12/12/2025, 5:02:51 PM)</t>
  </si>
  <si>
    <t xml:space="preserve">share info   </t>
  </si>
  <si>
    <t>Client Lost (11/28/2025, 12:04:17 PM)</t>
  </si>
  <si>
    <t>Not Received (11/28/2025, 11:24:53 AM)</t>
  </si>
  <si>
    <t>Client Lost (11/29/2025, 5:06:56 PM)</t>
  </si>
  <si>
    <t>Call Received (11/28/2025, 11:26:50 AM)</t>
  </si>
  <si>
    <t>Client Lost (12/8/2025, 2:29:47 PM)</t>
  </si>
  <si>
    <t>Call Received (12/4/2025, 5:06:28 PM)</t>
  </si>
  <si>
    <t>Not Received (12/11/2025, 12:10:25 PM)</t>
  </si>
  <si>
    <t>Not Received (12/4/2025, 3:45:57 PM)</t>
  </si>
  <si>
    <t>Not Received (12/12/2025, 5:03:05 PM)</t>
  </si>
  <si>
    <t>Not Received (11/28/2025, 11:29:27 AM)</t>
  </si>
  <si>
    <t>Client Lost (12/5/2025, 3:12:40 PM)</t>
  </si>
  <si>
    <t>Not Received (12/4/2025, 5:07:52 PM)</t>
  </si>
  <si>
    <t>Client Lost (12/9/2025, 12:49:37 PM)</t>
  </si>
  <si>
    <t>Not Received (12/4/2025, 3:46:31 PM)</t>
  </si>
  <si>
    <t>Not Received (11/29/2025, 5:19:43 PM)</t>
  </si>
  <si>
    <t>Not Received (12/11/2025, 12:11:13 PM)</t>
  </si>
  <si>
    <t>Not Received (12/5/2025, 3:13:37 PM)</t>
  </si>
  <si>
    <t>Not Received (12/12/2025, 5:04:01 PM)</t>
  </si>
  <si>
    <t>Not Received (12/11/2025, 12:11:32 PM)</t>
  </si>
  <si>
    <t>Not Received (12/4/2025, 3:47:04 PM)</t>
  </si>
  <si>
    <t>Not Received (12/12/2025, 5:04:23 PM)</t>
  </si>
  <si>
    <t>Call Received (11/28/2025, 11:42:35 AM)</t>
  </si>
  <si>
    <t>Client Lost (12/5/2025, 4:19:26 PM)</t>
  </si>
  <si>
    <t>Not Received (12/3/2025, 10:30:47 AM)</t>
  </si>
  <si>
    <t>Not Received (12/11/2025, 12:12:01 PM)</t>
  </si>
  <si>
    <t>Not Received (12/4/2025, 3:47:21 PM)</t>
  </si>
  <si>
    <t>Not Received (12/12/2025, 5:04:41 PM)</t>
  </si>
  <si>
    <t>Not Received (12/3/2025, 10:33:03 AM)</t>
  </si>
  <si>
    <t>Not Received (12/11/2025, 12:12:15 PM)</t>
  </si>
  <si>
    <t>Not Received (12/4/2025, 3:47:40 PM)</t>
  </si>
  <si>
    <t>Not Received (12/12/2025, 5:05:07 PM)</t>
  </si>
  <si>
    <t>Not Received (11/28/2025, 11:44:46 AM)</t>
  </si>
  <si>
    <t>Client Lost (11/28/2025, 2:58:04 PM)</t>
  </si>
  <si>
    <t>Call Received (11/28/2025, 11:50:10 AM)</t>
  </si>
  <si>
    <t>Demo (12/8/2025, 3:24:33 PM)</t>
  </si>
  <si>
    <t>Demo (12/4/2025, 5:20:22 PM)</t>
  </si>
  <si>
    <t>live demo lena hai.... then enroll</t>
  </si>
  <si>
    <t>Client Lost (11/28/2025, 11:52:33 AM)</t>
  </si>
  <si>
    <t>923227622907</t>
  </si>
  <si>
    <t>Not Received (11/28/2025, 11:53:08 AM)</t>
  </si>
  <si>
    <t>Client Lost (12/8/2025, 2:30:45 PM)</t>
  </si>
  <si>
    <t>Client Lost (11/28/2025, 11:54:17 AM)</t>
  </si>
  <si>
    <t>Client Lost (11/28/2025, 11:55:38 AM)</t>
  </si>
  <si>
    <t>Not Received (12/3/2025, 10:43:31 AM)</t>
  </si>
  <si>
    <t>Not Received (12/11/2025, 12:23:13 PM)</t>
  </si>
  <si>
    <t>Not Received (12/4/2025, 3:48:54 PM)</t>
  </si>
  <si>
    <t>Not Received (12/12/2025, 5:06:49 PM)</t>
  </si>
  <si>
    <t>Muhammad Asher</t>
  </si>
  <si>
    <t>Not Received (12/3/2025, 10:44:34 AM)</t>
  </si>
  <si>
    <t>Client Lost (12/8/2025, 11:28:57 AM)</t>
  </si>
  <si>
    <t>Client Lost (12/4/2025, 3:49:44 PM)</t>
  </si>
  <si>
    <t>Jamshed</t>
  </si>
  <si>
    <t>Not Received (12/3/2025, 10:47:27 AM)</t>
  </si>
  <si>
    <t>Not Received (11/28/2025, 11:59:10 AM)</t>
  </si>
  <si>
    <t>Client Lost (12/4/2025, 3:52:06 PM)</t>
  </si>
  <si>
    <t>babar ali</t>
  </si>
  <si>
    <t>Not Received (12/11/2025, 12:23:45 PM)</t>
  </si>
  <si>
    <t>Not Received (12/9/2025, 1:02:23 PM)</t>
  </si>
  <si>
    <t>Demo (12/2/2025, 5:01:42 PM)</t>
  </si>
  <si>
    <t>Naveed Malik</t>
  </si>
  <si>
    <t>Client Lost (12/1/2025, 11:15:50 AM)</t>
  </si>
  <si>
    <t>Not Received (11/28/2025, 3:45:02 PM)</t>
  </si>
  <si>
    <t>shahzaib</t>
  </si>
  <si>
    <t>923143178187</t>
  </si>
  <si>
    <t>Client Lost (12/3/2025, 10:48:42 AM)</t>
  </si>
  <si>
    <t>Not Received (12/1/2025, 11:17:16 AM)</t>
  </si>
  <si>
    <t>Not Received (11/28/2025, 3:45:22 PM)</t>
  </si>
  <si>
    <t>Not Received (12/1/2025, 11:17:34 AM)</t>
  </si>
  <si>
    <t>Client Lost (12/1/2025, 1:27:56 PM)</t>
  </si>
  <si>
    <t>Call Later (12/1/2025, 11:19:26 AM)</t>
  </si>
  <si>
    <t>Not Received (11/28/2025, 3:46:59 PM)</t>
  </si>
  <si>
    <t>Client Lost (12/1/2025, 5:31:39 PM)</t>
  </si>
  <si>
    <t>~Ashfaq Shaikh</t>
  </si>
  <si>
    <t>Demo (12/8/2025, 3:26:17 PM)</t>
  </si>
  <si>
    <t>923439908060</t>
  </si>
  <si>
    <t>Paid (12/5/2025, 10:26:49 AM)</t>
  </si>
  <si>
    <t>Confirmation (12/1/2025, 11:24:50 AM)</t>
  </si>
  <si>
    <t>Not Received (11/28/2025, 3:54:54 PM)</t>
  </si>
  <si>
    <t>today</t>
  </si>
  <si>
    <t>Not Received (12/3/2025, 10:50:07 AM)</t>
  </si>
  <si>
    <t>Not Received (12/11/2025, 12:26:42 PM)</t>
  </si>
  <si>
    <t>Not Received (12/9/2025, 1:02:53 PM)</t>
  </si>
  <si>
    <t>Not Received (11/29/2025, 5:42:08 PM)</t>
  </si>
  <si>
    <t>sadia</t>
  </si>
  <si>
    <t>Not Received (12/3/2025, 10:50:49 AM)</t>
  </si>
  <si>
    <t>Not Received (12/11/2025, 12:27:25 PM)</t>
  </si>
  <si>
    <t>Not Received (12/9/2025, 1:03:42 PM)</t>
  </si>
  <si>
    <t>Client Lost (12/3/2025, 10:51:30 AM)</t>
  </si>
  <si>
    <t>Not Received (12/1/2025, 11:28:47 AM)</t>
  </si>
  <si>
    <t>Not Received (11/28/2025, 4:00:04 PM)</t>
  </si>
  <si>
    <t>Call Received (12/2/2025, 11:22:06 AM)</t>
  </si>
  <si>
    <t>Client Lost (12/8/2025, 2:55:29 PM)</t>
  </si>
  <si>
    <t>Call Received (11/28/2025, 4:21:02 PM)</t>
  </si>
  <si>
    <t>no course wanna earn</t>
  </si>
  <si>
    <t>~Ali Zeeshan</t>
  </si>
  <si>
    <t>Confirmation (12/2/2025, 12:45:36 PM)</t>
  </si>
  <si>
    <t>Paid (12/8/2025, 3:40:37 PM)</t>
  </si>
  <si>
    <t>Call Received (11/28/2025, 4:19:37 PM)</t>
  </si>
  <si>
    <t>misbah</t>
  </si>
  <si>
    <t>Call Received (12/3/2025, 11:01:18 AM)</t>
  </si>
  <si>
    <t>Not Received (12/1/2025, 11:32:14 AM)</t>
  </si>
  <si>
    <t>Demo (12/9/2025, 1:07:05 PM)</t>
  </si>
  <si>
    <t>Not Received (11/28/2025, 4:27:57 PM)</t>
  </si>
  <si>
    <t>Client Lost (12/3/2025, 11:03:09 AM)</t>
  </si>
  <si>
    <t>29/11/2025</t>
  </si>
  <si>
    <t>sabba zafar</t>
  </si>
  <si>
    <t>Demo (12/3/2025, 11:07:10 AM)</t>
  </si>
  <si>
    <t>Client Lost (12/8/2025, 3:28:17 PM)</t>
  </si>
  <si>
    <t>dawood</t>
  </si>
  <si>
    <t>923204426201</t>
  </si>
  <si>
    <t>Not Received (12/11/2025, 12:28:46 PM)</t>
  </si>
  <si>
    <t>Call Received (12/8/2025, 2:57:44 PM)</t>
  </si>
  <si>
    <t>interested inform soon</t>
  </si>
  <si>
    <t>rida</t>
  </si>
  <si>
    <t>Not Received (11/29/2025, 12:33:15 PM)</t>
  </si>
  <si>
    <t>Call Received (12/9/2025, 1:08:53 PM)</t>
  </si>
  <si>
    <t>discuss with her mother then inform</t>
  </si>
  <si>
    <t>hira haroon</t>
  </si>
  <si>
    <t>Demo (12/11/2025, 12:32:25 PM)</t>
  </si>
  <si>
    <t>Not Received (12/9/2025, 1:09:23 PM)</t>
  </si>
  <si>
    <t>demo they enroll</t>
  </si>
  <si>
    <t>Not Received (12/1/2025, 11:34:48 AM)</t>
  </si>
  <si>
    <t>Call Received (12/9/2025, 1:11:30 PM)</t>
  </si>
  <si>
    <t>Client Lost (12/1/2025, 11:36:14 AM)</t>
  </si>
  <si>
    <t>Not Received (11/29/2025, 1:22:20 PM)</t>
  </si>
  <si>
    <t>Hadi shah</t>
  </si>
  <si>
    <t>Client Lost (12/1/2025, 11:37:54 AM)</t>
  </si>
  <si>
    <t>Not Received (11/29/2025, 1:23:53 PM)</t>
  </si>
  <si>
    <t>lost need physically classes</t>
  </si>
  <si>
    <t>Not Received (12/2/2025, 11:25:15 AM)</t>
  </si>
  <si>
    <t>Client Lost (12/9/2025, 1:13:32 PM)</t>
  </si>
  <si>
    <t>MAQAH</t>
  </si>
  <si>
    <t>Call Received (12/1/2025, 11:42:38 AM)</t>
  </si>
  <si>
    <t>Client Lost (12/8/2025, 2:58:31 PM)</t>
  </si>
  <si>
    <t>will inform soon</t>
  </si>
  <si>
    <t>Not Received (12/11/2025, 12:39:09 PM)</t>
  </si>
  <si>
    <t>Not Received (12/9/2025, 1:15:52 PM)</t>
  </si>
  <si>
    <t>Khalid Ahmed</t>
  </si>
  <si>
    <t>Client Lost (11/29/2025, 1:29:32 PM)</t>
  </si>
  <si>
    <t>umer</t>
  </si>
  <si>
    <t>Not Received (12/11/2025, 12:39:55 PM)</t>
  </si>
  <si>
    <t>Not Received (12/9/2025, 1:16:37 PM)</t>
  </si>
  <si>
    <t>Umar Hassan</t>
  </si>
  <si>
    <t>Not Received (12/11/2025, 12:40:45 PM)</t>
  </si>
  <si>
    <t>Not Received (12/9/2025, 1:17:10 PM)</t>
  </si>
  <si>
    <t>Client Lost (12/11/2025, 12:43:03 PM)</t>
  </si>
  <si>
    <t>Not Received (11/29/2025, 1:32:05 PM)</t>
  </si>
  <si>
    <t xml:space="preserve">Sohail Ahmed </t>
  </si>
  <si>
    <t>nnnn</t>
  </si>
  <si>
    <t>923332728709</t>
  </si>
  <si>
    <t>Confirmation (12/10/2025, 10:37:15 AM)</t>
  </si>
  <si>
    <t>Call Received (12/2/2025, 11:26:45 AM)</t>
  </si>
  <si>
    <t>Paid (12/12/2025, 3:11:56 PM)</t>
  </si>
  <si>
    <t>pay  y today or tomorrow</t>
  </si>
  <si>
    <t>Abu saud</t>
  </si>
  <si>
    <t>Client Lost (12/1/2025, 11:57:11 AM)</t>
  </si>
  <si>
    <t>Not Received (11/29/2025, 1:57:37 PM)</t>
  </si>
  <si>
    <t>chadni</t>
  </si>
  <si>
    <t>923463641631</t>
  </si>
  <si>
    <t>Client Lost (12/1/2025, 11:59:13 AM)</t>
  </si>
  <si>
    <t>Not Received (11/29/2025, 1:58:36 PM)</t>
  </si>
  <si>
    <t>~Muhammad Yousf</t>
  </si>
  <si>
    <t>Call Received (12/4/2025, 12:49:40 PM)</t>
  </si>
  <si>
    <t>Client Lost (12/8/2025, 2:58:44 PM)</t>
  </si>
  <si>
    <t>his son approached will inform</t>
  </si>
  <si>
    <t>Hina Murtaza Ghanchi</t>
  </si>
  <si>
    <t>Client Lost (11/29/2025, 2:02:55 PM)</t>
  </si>
  <si>
    <t>kehkasha</t>
  </si>
  <si>
    <t>923272127097</t>
  </si>
  <si>
    <t>Confirmation (12/10/2025, 10:37:20 AM)</t>
  </si>
  <si>
    <t>Confirmation (12/4/2025, 12:51:51 PM)</t>
  </si>
  <si>
    <t>Confirmation (12/8/2025, 3:39:49 PM)</t>
  </si>
  <si>
    <t>Client Lost (12/23/2025, 5:33:40 PM)</t>
  </si>
  <si>
    <t>within this week</t>
  </si>
  <si>
    <t>~Taimoor Ahmad</t>
  </si>
  <si>
    <t>Not Received (12/11/2025, 12:43:59 PM)</t>
  </si>
  <si>
    <t>Call Later (12/9/2025, 1:17:54 PM)</t>
  </si>
  <si>
    <t>Salman Mehdi</t>
  </si>
  <si>
    <t>Call Received (12/4/2025, 1:00:09 PM)</t>
  </si>
  <si>
    <t>Call Received (12/8/2025, 3:00:20 PM)</t>
  </si>
  <si>
    <t>Call Received (12/2/2025, 4:35:31 PM)</t>
  </si>
  <si>
    <t>out of city, reach out till sat</t>
  </si>
  <si>
    <t>~Adil Rashid</t>
  </si>
  <si>
    <t>Not Received (12/11/2025, 12:44:50 PM)</t>
  </si>
  <si>
    <t>Not Received (12/9/2025, 1:23:44 PM)</t>
  </si>
  <si>
    <t>Not Received (12/11/2025, 12:45:06 PM)</t>
  </si>
  <si>
    <t>Not Received (12/9/2025, 1:24:00 PM)</t>
  </si>
  <si>
    <t>Not Received (12/2/2025, 5:02:25 PM)</t>
  </si>
  <si>
    <t>923001590103/3028711103</t>
  </si>
  <si>
    <t>Not Received (12/1/2025, 12:01:49 PM)</t>
  </si>
  <si>
    <t>Call Later (12/9/2025, 1:32:56 PM)</t>
  </si>
  <si>
    <t>Not Received (12/2/2025, 5:03:21 PM)</t>
  </si>
  <si>
    <t>connect with sir</t>
  </si>
  <si>
    <t>Not Received (12/4/2025, 1:01:04 PM)</t>
  </si>
  <si>
    <t>Client Lost (12/9/2025, 1:33:03 PM)</t>
  </si>
  <si>
    <t>needd free courses, will inform</t>
  </si>
  <si>
    <t>Paid (12/2/2025, 10:14:28 AM)</t>
  </si>
  <si>
    <t>Confirmation (12/1/2025, 11:21:51 AM)</t>
  </si>
  <si>
    <t>Call Received (11/29/2025, 2:36:53 PM)</t>
  </si>
  <si>
    <t>pay for ML y today</t>
  </si>
  <si>
    <t>Client Lost (11/29/2025, 2:51:20 PM)</t>
  </si>
  <si>
    <t>Raza Zaidi</t>
  </si>
  <si>
    <t>Call Received (12/11/2025, 12:47:03 PM)</t>
  </si>
  <si>
    <t>Not Received (12/9/2025, 1:36:24 PM)</t>
  </si>
  <si>
    <t>Fayaz Alii</t>
  </si>
  <si>
    <t>Client Lost (12/1/2025, 12:06:09 PM)</t>
  </si>
  <si>
    <t>Client Lost (12/11/2025, 12:49:17 PM)</t>
  </si>
  <si>
    <t>Not Received (12/9/2025, 1:37:47 PM)</t>
  </si>
  <si>
    <t>AbdulAziz Ali Hassan</t>
  </si>
  <si>
    <t>Not Received (12/10/2025, 11:42:33 AM)</t>
  </si>
  <si>
    <t>Call Received (12/1/2025, 1:16:35 PM)</t>
  </si>
  <si>
    <t>Call Received (12/10/2025, 4:58:36 PM)</t>
  </si>
  <si>
    <t>Raheel Asghar</t>
  </si>
  <si>
    <t>Not Received (12/11/2025, 12:50:33 PM)</t>
  </si>
  <si>
    <t>Not Received (12/9/2025, 1:38:48 PM)</t>
  </si>
  <si>
    <t>Not Received (12/10/2025, 5:01:50 PM)</t>
  </si>
  <si>
    <t>connect to sir</t>
  </si>
  <si>
    <t>Aijaz Ali Unar</t>
  </si>
  <si>
    <t>Call Later (12/4/2025, 11:59:16 AM)</t>
  </si>
  <si>
    <t>Call Received (12/9/2025, 1:40:28 PM)</t>
  </si>
  <si>
    <t>Call Later (12/2/2025, 4:38:20 PM)</t>
  </si>
  <si>
    <t>visit the offc soon</t>
  </si>
  <si>
    <t>Faheem Khan</t>
  </si>
  <si>
    <t>Demo (12/10/2025, 11:44:06 AM)</t>
  </si>
  <si>
    <t>share info, interested</t>
  </si>
  <si>
    <t>Mirza Rashid Baig</t>
  </si>
  <si>
    <t>Call Later (12/1/2025, 12:33:12 PM)</t>
  </si>
  <si>
    <t>Client Lost (12/8/2025, 2:00:26 PM)</t>
  </si>
  <si>
    <t>M. Imran Shafi</t>
  </si>
  <si>
    <t>Call Later (12/1/2025, 12:35:43 PM)</t>
  </si>
  <si>
    <t>Call Received (12/2/2025, 4:43:07 PM)</t>
  </si>
  <si>
    <t>Not Received (12/1/2025, 12:36:36 PM)</t>
  </si>
  <si>
    <t>Not Received (12/11/2025, 1:06:34 PM)</t>
  </si>
  <si>
    <t>Not Received (12/2/2025, 5:04:26 PM)</t>
  </si>
  <si>
    <t>Client Lost (12/10/2025, 11:23:46 AM)</t>
  </si>
  <si>
    <t>Call Later (12/9/2025, 1:50:25 PM)</t>
  </si>
  <si>
    <t>Not Received (12/2/2025, 5:05:19 PM)</t>
  </si>
  <si>
    <t>after march</t>
  </si>
  <si>
    <t>Atiq</t>
  </si>
  <si>
    <t>Not Received (12/1/2025, 12:37:58 PM)</t>
  </si>
  <si>
    <t>Demo (12/8/2025, 3:31:10 PM)</t>
  </si>
  <si>
    <t>Not Received (12/2/2025, 5:06:31 PM)</t>
  </si>
  <si>
    <t>prospect_188</t>
  </si>
  <si>
    <t>Client Lost (12/1/2025, 12:39:09 PM)</t>
  </si>
  <si>
    <t>923451905604</t>
  </si>
  <si>
    <t>Client Lost (12/1/2025, 12:41:00 PM)</t>
  </si>
  <si>
    <t>Client Lost (12/1/2025, 12:51:33 PM)</t>
  </si>
  <si>
    <t>rashid</t>
  </si>
  <si>
    <t>923070260605</t>
  </si>
  <si>
    <t>Not Received (12/1/2025, 12:50:18 PM)</t>
  </si>
  <si>
    <t>Not Received (12/11/2025, 1:08:55 PM)</t>
  </si>
  <si>
    <t>Not Received (12/2/2025, 5:07:23 PM)</t>
  </si>
  <si>
    <t>M.Usman</t>
  </si>
  <si>
    <t>Call Received (12/1/2025, 12:53:10 PM)</t>
  </si>
  <si>
    <t>Call Received (12/1/2025, 12:55:08 PM)</t>
  </si>
  <si>
    <t>Not Received (12/1/2025, 12:56:54 PM)</t>
  </si>
  <si>
    <t>Not Received (12/11/2025, 1:09:45 PM)</t>
  </si>
  <si>
    <t>Not Received (12/2/2025, 5:08:17 PM)</t>
  </si>
  <si>
    <t>~Lutfur Rahman</t>
  </si>
  <si>
    <t>Demo (12/1/2025, 12:59:51 PM)</t>
  </si>
  <si>
    <t>share demo as he needs physical classes</t>
  </si>
  <si>
    <t>Not Received (12/1/2025, 1:01:05 PM)</t>
  </si>
  <si>
    <t>Not Received (12/11/2025, 1:10:02 PM)</t>
  </si>
  <si>
    <t>Zafar iqbal</t>
  </si>
  <si>
    <t>Not Received (12/4/2025, 10:42:54 AM)</t>
  </si>
  <si>
    <t>Not Received (12/1/2025, 1:01:20 PM)</t>
  </si>
  <si>
    <t>Not Received (12/11/2025, 1:10:19 PM)</t>
  </si>
  <si>
    <t>Not Received (12/2/2025, 5:09:17 PM)</t>
  </si>
  <si>
    <t>sidra hussain</t>
  </si>
  <si>
    <t>Not Received (12/4/2025, 10:43:35 AM)</t>
  </si>
  <si>
    <t>Not Received (12/10/2025, 11:25:38 AM)</t>
  </si>
  <si>
    <t>Not Received (12/11/2025, 1:11:02 PM)</t>
  </si>
  <si>
    <t>Not Received (12/2/2025, 5:10:33 PM)</t>
  </si>
  <si>
    <t>Ayaz/mohsin</t>
  </si>
  <si>
    <t>923092133679</t>
  </si>
  <si>
    <t>Client Lost (12/10/2025, 12:00:27 PM)</t>
  </si>
  <si>
    <t>Call Received (12/1/2025, 1:07:16 PM)</t>
  </si>
  <si>
    <t>~Izhar Kakar</t>
  </si>
  <si>
    <t>Client Lost (12/1/2025, 1:10:27 PM)</t>
  </si>
  <si>
    <t>Not Received (12/10/2025, 12:03:13 PM)</t>
  </si>
  <si>
    <t>Call Received (12/11/2025, 1:12:43 PM)</t>
  </si>
  <si>
    <t>Call Received (12/2/2025, 5:13:01 PM)</t>
  </si>
  <si>
    <t>~Muhammad Muzammil</t>
  </si>
  <si>
    <t>Not Received (12/4/2025, 10:43:54 AM)</t>
  </si>
  <si>
    <t>Not Received (12/3/2025, 11:09:41 AM)</t>
  </si>
  <si>
    <t>Not Received (12/11/2025, 1:13:44 PM)</t>
  </si>
  <si>
    <t>Not Received (12/2/2025, 5:14:06 PM)</t>
  </si>
  <si>
    <t>~Shehryar Khan</t>
  </si>
  <si>
    <t>Not Received (12/4/2025, 10:44:25 AM)</t>
  </si>
  <si>
    <t>Not Received (12/3/2025, 11:10:05 AM)</t>
  </si>
  <si>
    <t>Not Received (12/11/2025, 1:14:27 PM)</t>
  </si>
  <si>
    <t>Not Received (12/2/2025, 5:14:27 PM)</t>
  </si>
  <si>
    <t>Muhammad Shoaib Qureshi</t>
  </si>
  <si>
    <t>Call Later (12/10/2025, 12:04:33 PM)</t>
  </si>
  <si>
    <t>Call Received (12/10/2025, 3:52:08 PM)</t>
  </si>
  <si>
    <t>shahan</t>
  </si>
  <si>
    <t>923314069552</t>
  </si>
  <si>
    <t>Not Received (12/10/2025, 12:05:49 PM)</t>
  </si>
  <si>
    <t>Call Received (12/11/2025, 1:20:31 PM)</t>
  </si>
  <si>
    <t>Noor Muhammad</t>
  </si>
  <si>
    <t>Client Lost (12/10/2025, 12:56:08 PM)</t>
  </si>
  <si>
    <t>Call Received (12/1/2025, 1:24:18 PM)</t>
  </si>
  <si>
    <t>Muhammad Uzair</t>
  </si>
  <si>
    <t>Not Received (12/10/2025, 12:07:49 PM)</t>
  </si>
  <si>
    <t>Client Lost (12/11/2025, 1:21:58 PM)</t>
  </si>
  <si>
    <t>lost need digital marketing</t>
  </si>
  <si>
    <t>Imran Abid</t>
  </si>
  <si>
    <t>Not Received (12/10/2025, 12:08:45 PM)</t>
  </si>
  <si>
    <t>Not Received (12/11/2025, 1:23:20 PM)</t>
  </si>
  <si>
    <t>Call Received (12/2/2025, 5:15:47 PM)</t>
  </si>
  <si>
    <t>Paid (12/5/2025, 11:09:13 AM)</t>
  </si>
  <si>
    <t>Confirmation (12/2/2025, 1:50:10 PM)</t>
  </si>
  <si>
    <t>Sobia Imran</t>
  </si>
  <si>
    <t>Not Received (12/10/2025, 12:11:00 PM)</t>
  </si>
  <si>
    <t>Not Received (12/11/2025, 1:34:00 PM)</t>
  </si>
  <si>
    <t>will inform, fill the form</t>
  </si>
  <si>
    <t>Hamza B. Shahid</t>
  </si>
  <si>
    <t>Not Received (12/4/2025, 10:45:24 AM)</t>
  </si>
  <si>
    <t>Not Received (12/3/2025, 11:11:10 AM)</t>
  </si>
  <si>
    <t>Not Received (12/11/2025, 1:34:29 PM)</t>
  </si>
  <si>
    <t>Haji Inaayt</t>
  </si>
  <si>
    <t>Client Lost (12/3/2025, 11:52:55 AM)</t>
  </si>
  <si>
    <t>Not Received (12/1/2025, 1:56:16 PM)</t>
  </si>
  <si>
    <t>Client Lost (12/1/2025, 1:59:37 PM)</t>
  </si>
  <si>
    <t>Kashaf</t>
  </si>
  <si>
    <t>Client Lost (12/10/2025, 12:11:06 PM)</t>
  </si>
  <si>
    <t>Call Received (12/1/2025, 2:03:15 PM)</t>
  </si>
  <si>
    <t>will inform by own, not interested</t>
  </si>
  <si>
    <t>Confirmation (12/10/2025, 10:38:48 AM)</t>
  </si>
  <si>
    <t>Confirmation (12/5/2025, 11:03:11 AM)</t>
  </si>
  <si>
    <t>Confirmation (12/3/2025, 3:11:04 PM)</t>
  </si>
  <si>
    <t>pay beofre 7th</t>
  </si>
  <si>
    <t>zeeshan ahmed</t>
  </si>
  <si>
    <t>923021495196</t>
  </si>
  <si>
    <t>Form Filled (12/1/2025, 2:08:05 PM)</t>
  </si>
  <si>
    <t>Client Lost (12/3/2025, 4:50:04 PM)</t>
  </si>
  <si>
    <t>Not Received (12/4/2025, 10:46:01 AM)</t>
  </si>
  <si>
    <t>Not Received (12/3/2025, 11:19:35 AM)</t>
  </si>
  <si>
    <t>Not Received (12/11/2025, 1:35:08 PM)</t>
  </si>
  <si>
    <t>Call Later (12/1/2025, 2:11:55 PM)</t>
  </si>
  <si>
    <t>Client Lost (12/2/2025, 4:44:36 PM)</t>
  </si>
  <si>
    <t>Client Lost (12/4/2025, 1:07:53 PM)</t>
  </si>
  <si>
    <t>Form Filled (12/3/2025, 4:54:54 PM)</t>
  </si>
  <si>
    <t>join after some time</t>
  </si>
  <si>
    <t>Muhammad bilal</t>
  </si>
  <si>
    <t>Confirmation (12/10/2025, 10:38:55 AM)</t>
  </si>
  <si>
    <t>Confirmation (12/5/2025, 11:03:17 AM)</t>
  </si>
  <si>
    <t>Confirmation (12/2/2025, 3:09:20 PM)</t>
  </si>
  <si>
    <t xml:space="preserve">will pay till 15th </t>
  </si>
  <si>
    <t>Alishba Noman</t>
  </si>
  <si>
    <t>Call Later (12/3/2025, 11:20:57 AM)</t>
  </si>
  <si>
    <t>Not Received (12/11/2025, 1:35:22 PM)</t>
  </si>
  <si>
    <t>call later as she is not at home</t>
  </si>
  <si>
    <t>Client Lost (12/3/2025, 11:22:10 AM)</t>
  </si>
  <si>
    <t>Not Received (12/1/2025, 4:56:35 PM)</t>
  </si>
  <si>
    <t>Haris Shahid</t>
  </si>
  <si>
    <t>Client Lost (12/1/2025, 5:01:37 PM)</t>
  </si>
  <si>
    <t>lost need classes in islamabad</t>
  </si>
  <si>
    <t>Not Received (12/4/2025, 10:46:23 AM)</t>
  </si>
  <si>
    <t>Not Received (12/3/2025, 11:22:42 AM)</t>
  </si>
  <si>
    <t>Not Received (12/11/2025, 2:14:05 PM)</t>
  </si>
  <si>
    <t>Not Received (12/1/2025, 5:02:03 PM)</t>
  </si>
  <si>
    <t>~Hannan Zafar</t>
  </si>
  <si>
    <t>Call Received (12/10/2025, 12:13:08 PM)</t>
  </si>
  <si>
    <t>Call Received (12/1/2025, 5:06:22 PM)</t>
  </si>
  <si>
    <t>Maria Shaheen</t>
  </si>
  <si>
    <t>Client Lost (12/4/2025, 10:46:28 AM)</t>
  </si>
  <si>
    <t>Not Received (12/3/2025, 11:22:52 AM)</t>
  </si>
  <si>
    <t>Form Filled (12/1/2025, 5:08:40 PM)</t>
  </si>
  <si>
    <t>SHahzain</t>
  </si>
  <si>
    <t>923412502545</t>
  </si>
  <si>
    <t>Client Lost (12/10/2025, 12:16:32 PM)</t>
  </si>
  <si>
    <t>Call Received (12/2/2025, 4:52:07 PM)</t>
  </si>
  <si>
    <t>923145553823</t>
  </si>
  <si>
    <t>Not Received (12/2/2025, 11:57:04 AM)</t>
  </si>
  <si>
    <t>Client Lost (12/2/2025, 1:45:42 PM)</t>
  </si>
  <si>
    <t>Not Received (12/4/2025, 10:47:17 AM)</t>
  </si>
  <si>
    <t>Not Received (12/2/2025, 11:57:42 AM)</t>
  </si>
  <si>
    <t>Not Received (12/11/2025, 2:14:27 PM)</t>
  </si>
  <si>
    <t>Client Lost (12/2/2025, 11:58:36 AM)</t>
  </si>
  <si>
    <t>Not Received (12/4/2025, 10:47:49 AM)</t>
  </si>
  <si>
    <t>Not Received (12/2/2025, 11:59:04 AM)</t>
  </si>
  <si>
    <t>Not Received (12/11/2025, 2:14:51 PM)</t>
  </si>
  <si>
    <t>Sajid Siddique</t>
  </si>
  <si>
    <t>Not Received (12/10/2025, 12:15:54 PM)</t>
  </si>
  <si>
    <t>Not Received (12/11/2025, 2:15:11 PM)</t>
  </si>
  <si>
    <t>Not Received (12/4/2025, 10:48:35 AM)</t>
  </si>
  <si>
    <t>Not Received (12/2/2025, 12:08:12 PM)</t>
  </si>
  <si>
    <t>Not Received (12/11/2025, 2:15:35 PM)</t>
  </si>
  <si>
    <t>Client Lost (12/2/2025, 12:08:58 PM)</t>
  </si>
  <si>
    <t xml:space="preserve">nadeem </t>
  </si>
  <si>
    <t>Not Received (12/4/2025, 10:49:58 AM)</t>
  </si>
  <si>
    <t>Not Received (12/2/2025, 12:10:53 PM)</t>
  </si>
  <si>
    <t>Not Received (12/11/2025, 2:16:24 PM)</t>
  </si>
  <si>
    <t>Not Received (12/4/2025, 10:51:03 AM)</t>
  </si>
  <si>
    <t>Not Received (12/2/2025, 12:11:45 PM)</t>
  </si>
  <si>
    <t>Client Lost (12/5/2025, 1:44:39 PM)</t>
  </si>
  <si>
    <t>Confirmation (12/10/2025, 10:39:06 AM)</t>
  </si>
  <si>
    <t>Confirmation (12/8/2025, 3:35:57 PM)</t>
  </si>
  <si>
    <t>Client Lost (12/22/2025, 4:36:11 PM)</t>
  </si>
  <si>
    <t>pay by 11</t>
  </si>
  <si>
    <t>Not Received (12/4/2025, 10:52:44 AM)</t>
  </si>
  <si>
    <t>Not Received (12/2/2025, 12:13:57 PM)</t>
  </si>
  <si>
    <t>Not Received (12/11/2025, 2:16:44 PM)</t>
  </si>
  <si>
    <t>prospect_216</t>
  </si>
  <si>
    <t>Call Later (12/4/2025, 10:53:50 AM)</t>
  </si>
  <si>
    <t>Not Received (12/5/2025, 12:21:18 PM)</t>
  </si>
  <si>
    <t>Not Received (12/11/2025, 2:17:18 PM)</t>
  </si>
  <si>
    <t>Not Received (12/10/2025, 4:30:30 PM)</t>
  </si>
  <si>
    <t>prospect_217</t>
  </si>
  <si>
    <t>Not Received (12/4/2025, 10:54:51 AM)</t>
  </si>
  <si>
    <t>Not Received (12/2/2025, 12:16:07 PM)</t>
  </si>
  <si>
    <t>Client Lost (12/9/2025, 2:01:30 PM)</t>
  </si>
  <si>
    <t>lost, next batch</t>
  </si>
  <si>
    <t>hassan</t>
  </si>
  <si>
    <t>923472914812</t>
  </si>
  <si>
    <t>Not Received (12/4/2025, 10:56:04 AM)</t>
  </si>
  <si>
    <t>Form Filled (12/12/2025, 12:41:20 PM)</t>
  </si>
  <si>
    <t>Not Received (12/10/2025, 1:03:21 PM)</t>
  </si>
  <si>
    <t>Form Filled (12/10/2025, 4:56:11 PM)</t>
  </si>
  <si>
    <t>interested, will join soon</t>
  </si>
  <si>
    <t>~Muhammad Ali</t>
  </si>
  <si>
    <t>Not Received (12/4/2025, 10:57:05 AM)</t>
  </si>
  <si>
    <t>Confirmation (12/10/2025, 1:00:21 PM)</t>
  </si>
  <si>
    <t>Paid (12/10/2025, 1:05:50 PM)</t>
  </si>
  <si>
    <t>Syed Talha</t>
  </si>
  <si>
    <t>Not Received (12/4/2025, 10:58:13 AM)</t>
  </si>
  <si>
    <t>Not Received (12/2/2025, 12:18:06 PM)</t>
  </si>
  <si>
    <t>Call Later (12/10/2025, 1:04:20 PM)</t>
  </si>
  <si>
    <t>Call Received (12/10/2025, 4:33:20 PM)</t>
  </si>
  <si>
    <t>ARSALAN AHMED</t>
  </si>
  <si>
    <t>Client Lost (12/2/2025, 12:20:15 PM)</t>
  </si>
  <si>
    <t>Aizaz Tariq</t>
  </si>
  <si>
    <t>923034266661</t>
  </si>
  <si>
    <t>Not Received (12/4/2025, 10:59:24 AM)</t>
  </si>
  <si>
    <t>Not Received (12/4/2025, 11:57:06 AM)</t>
  </si>
  <si>
    <t>Demo (12/10/2025, 1:04:46 PM)</t>
  </si>
  <si>
    <t>inform  by tomorrow</t>
  </si>
  <si>
    <t>~Rehman Mughal</t>
  </si>
  <si>
    <t>Call Received (12/2/2025, 12:25:25 PM)</t>
  </si>
  <si>
    <t>Client Lost (12/11/2025, 2:17:31 PM)</t>
  </si>
  <si>
    <t>need advance level contact in evening</t>
  </si>
  <si>
    <t>Abdul rehman</t>
  </si>
  <si>
    <t>Not Received (12/4/2025, 10:59:44 AM)</t>
  </si>
  <si>
    <t>Call Later (12/2/2025, 12:29:53 PM)</t>
  </si>
  <si>
    <t>Not Received (12/11/2025, 3:05:49 PM)</t>
  </si>
  <si>
    <t>junaid akhter</t>
  </si>
  <si>
    <t>Not Received (12/2/2025, 12:31:28 PM)</t>
  </si>
  <si>
    <t>Not Received (12/4/2025, 11:01:19 AM)</t>
  </si>
  <si>
    <t>Not Received (12/2/2025, 12:32:33 PM)</t>
  </si>
  <si>
    <t>Client Lost (12/11/2025, 3:40:39 PM)</t>
  </si>
  <si>
    <t>prospect_221</t>
  </si>
  <si>
    <t>Not Received (12/4/2025, 11:02:57 AM)</t>
  </si>
  <si>
    <t>Not Received (12/11/2025, 3:07:02 PM)</t>
  </si>
  <si>
    <t>~Akaash Hamza</t>
  </si>
  <si>
    <t>Call Later (12/2/2025, 12:34:08 PM)</t>
  </si>
  <si>
    <t>Client Lost (12/4/2025, 3:05:45 PM)</t>
  </si>
  <si>
    <t>Not Received (12/2/2025, 4:53:19 PM)</t>
  </si>
  <si>
    <t>Not Received (12/2/2025, 12:34:58 PM)</t>
  </si>
  <si>
    <t>Not Received (12/11/2025, 3:07:48 PM)</t>
  </si>
  <si>
    <t>prospect_223</t>
  </si>
  <si>
    <t>Call Received (12/2/2025, 12:37:00 PM)</t>
  </si>
  <si>
    <t>Not Received (12/11/2025, 3:09:28 PM)</t>
  </si>
  <si>
    <t>Not Received (12/2/2025, 12:53:47 PM)</t>
  </si>
  <si>
    <t>Call Received (12/11/2025, 3:10:33 PM)</t>
  </si>
  <si>
    <t>Not Received (12/10/2025, 4:39:59 PM)</t>
  </si>
  <si>
    <t>ghulam mujaheed</t>
  </si>
  <si>
    <t>923243280750</t>
  </si>
  <si>
    <t>Form Filled (12/2/2025, 12:55:52 PM)</t>
  </si>
  <si>
    <t>Confirmation (12/5/2025, 3:42:32 PM)</t>
  </si>
  <si>
    <t>Client Lost (12/22/2025, 4:36:05 PM)</t>
  </si>
  <si>
    <t>seat reserved, pay soon</t>
  </si>
  <si>
    <t>Aizaz Jawed</t>
  </si>
  <si>
    <t>Call Later (12/2/2025, 12:56:44 PM)</t>
  </si>
  <si>
    <t>Not Received (12/11/2025, 3:13:00 PM)</t>
  </si>
  <si>
    <t>ghulamumer</t>
  </si>
  <si>
    <t>Client Lost (12/2/2025, 1:00:53 PM)</t>
  </si>
  <si>
    <t>kashif raza</t>
  </si>
  <si>
    <t>Not Received (12/3/2025, 11:24:34 AM)</t>
  </si>
  <si>
    <t>Client Lost (12/11/2025, 3:13:47 PM)</t>
  </si>
  <si>
    <t>prospect_226</t>
  </si>
  <si>
    <t>Not Received (12/3/2025, 11:25:32 AM)</t>
  </si>
  <si>
    <t>Not Received (12/11/2025, 3:14:49 PM)</t>
  </si>
  <si>
    <t>~Mohsin Kamil</t>
  </si>
  <si>
    <t>Call Later (12/2/2025, 1:03:42 PM)</t>
  </si>
  <si>
    <t>Demo (12/2/2025, 4:56:22 PM)</t>
  </si>
  <si>
    <t>saman ali</t>
  </si>
  <si>
    <t>Call Received (12/10/2025, 1:18:04 PM)</t>
  </si>
  <si>
    <t>will inform  soon</t>
  </si>
  <si>
    <t>Client Lost (12/2/2025, 1:41:02 PM)</t>
  </si>
  <si>
    <t>Syed Areb</t>
  </si>
  <si>
    <t>Confirmation (12/2/2025, 12:46:53 PM)</t>
  </si>
  <si>
    <t>Confirmation (12/11/2025, 1:44:50 PM)</t>
  </si>
  <si>
    <t>Client Lost (12/22/2025, 4:36:01 PM)</t>
  </si>
  <si>
    <t>by 10th</t>
  </si>
  <si>
    <t>Client Lost (12/2/2025, 1:43:06 PM)</t>
  </si>
  <si>
    <t>~Yasir Mehmood</t>
  </si>
  <si>
    <t>Not Received (12/3/2025, 11:26:10 AM)</t>
  </si>
  <si>
    <t>Not Received (12/11/2025, 3:15:17 PM)</t>
  </si>
  <si>
    <t>Not Received (12/2/2025, 4:54:34 PM)</t>
  </si>
  <si>
    <t>Client Lost (12/2/2025, 1:44:24 PM)</t>
  </si>
  <si>
    <t>muhammad yousaf</t>
  </si>
  <si>
    <t>923154152320</t>
  </si>
  <si>
    <t>Client Lost (12/11/2025, 3:16:20 PM)</t>
  </si>
  <si>
    <t>wil inform</t>
  </si>
  <si>
    <t>~Muhammad Hussain</t>
  </si>
  <si>
    <t>Not Received (12/3/2025, 11:30:20 AM)</t>
  </si>
  <si>
    <t>Not Received (12/11/2025, 3:24:27 PM)</t>
  </si>
  <si>
    <t>muhammad anees</t>
  </si>
  <si>
    <t>923335276893</t>
  </si>
  <si>
    <t>Client Lost (12/10/2025, 1:21:53 PM)</t>
  </si>
  <si>
    <t>bilal hafeez</t>
  </si>
  <si>
    <t>Not Received (12/3/2025, 11:31:23 AM)</t>
  </si>
  <si>
    <t>Call Received (12/9/2025, 2:11:27 PM)</t>
  </si>
  <si>
    <t>Call Later (12/10/2025, 11:26:49 AM)</t>
  </si>
  <si>
    <t>Client Lost (12/11/2025, 3:27:52 PM)</t>
  </si>
  <si>
    <t>kamran</t>
  </si>
  <si>
    <t>Not Received (12/3/2025, 11:34:57 AM)</t>
  </si>
  <si>
    <t>Not Received (12/11/2025, 3:28:53 PM)</t>
  </si>
  <si>
    <t>Not Received (12/3/2025, 11:35:17 AM)</t>
  </si>
  <si>
    <t>Not Received (12/11/2025, 3:29:19 PM)</t>
  </si>
  <si>
    <t>Not Received (12/5/2025, 12:23:43 PM)</t>
  </si>
  <si>
    <t>Not Received (12/11/2025, 3:41:59 PM)</t>
  </si>
  <si>
    <t>call after 1:00 pm y own</t>
  </si>
  <si>
    <t>Meer</t>
  </si>
  <si>
    <t>923335249117</t>
  </si>
  <si>
    <t>Call Received (12/3/2025, 11:38:32 AM)</t>
  </si>
  <si>
    <t>Not Received (12/11/2025, 3:44:42 PM)</t>
  </si>
  <si>
    <t>~Syeda Touseef Zahra</t>
  </si>
  <si>
    <t>Not Received (12/3/2025, 11:39:45 AM)</t>
  </si>
  <si>
    <t>Not Received (12/11/2025, 3:53:07 PM)</t>
  </si>
  <si>
    <t>Not Received (12/3/2025, 11:40:13 AM)</t>
  </si>
  <si>
    <t>Not Received (12/11/2025, 3:53:28 PM)</t>
  </si>
  <si>
    <t>Client Lost (12/3/2025, 11:41:30 AM)</t>
  </si>
  <si>
    <t>Not Received (12/3/2025, 11:42:24 AM)</t>
  </si>
  <si>
    <t>Call Later (12/10/2025, 1:23:59 PM)</t>
  </si>
  <si>
    <t>Call Received (12/10/2025, 4:04:40 PM)</t>
  </si>
  <si>
    <t>shARE INFO</t>
  </si>
  <si>
    <t>Naseem</t>
  </si>
  <si>
    <t>Client Lost (12/3/2025, 11:44:29 AM)</t>
  </si>
  <si>
    <t>Sobia</t>
  </si>
  <si>
    <t>Call Received (12/3/2025, 11:51:20 AM)</t>
  </si>
  <si>
    <t>Not Received (12/11/2025, 3:54:10 PM)</t>
  </si>
  <si>
    <t>~M Hanif Gillani</t>
  </si>
  <si>
    <t>Client Lost (12/3/2025, 4:38:35 PM)</t>
  </si>
  <si>
    <t>Client Lost (12/10/2025, 1:25:56 PM)</t>
  </si>
  <si>
    <t>Call Received (12/3/2025, 4:42:01 PM)</t>
  </si>
  <si>
    <t>Not Received (12/11/2025, 3:54:26 PM)</t>
  </si>
  <si>
    <t>~Maira Gulzar</t>
  </si>
  <si>
    <t>Not Received (12/11/2025, 3:55:02 PM)</t>
  </si>
  <si>
    <t>~SOHAIL KHAN</t>
  </si>
  <si>
    <t>Not Received (12/11/2025, 3:56:35 PM)</t>
  </si>
  <si>
    <t>Not Received (12/10/2025, 4:41:25 PM)</t>
  </si>
  <si>
    <t>Not Received (12/11/2025, 3:59:14 PM)</t>
  </si>
  <si>
    <t>Confirmation (12/10/2025, 10:40:39 AM)</t>
  </si>
  <si>
    <t>Confirmation (12/4/2025, 11:24:15 AM)</t>
  </si>
  <si>
    <t>Confirmation (12/11/2025, 2:00:34 PM)</t>
  </si>
  <si>
    <t>Client Lost (12/22/2025, 4:35:56 PM)</t>
  </si>
  <si>
    <t>PAy till 20th due to out of city</t>
  </si>
  <si>
    <t>Not Received (12/4/2025, 11:30:48 AM)</t>
  </si>
  <si>
    <t>Not Received (12/11/2025, 3:59:40 PM)</t>
  </si>
  <si>
    <t>~Hamna Shafqaat</t>
  </si>
  <si>
    <t>Not Received (12/4/2025, 11:31:20 AM)</t>
  </si>
  <si>
    <t>Client Lost (12/9/2025, 3:12:52 PM)</t>
  </si>
  <si>
    <t>Not Received (12/4/2025, 11:31:52 AM)</t>
  </si>
  <si>
    <t>Not Received (12/11/2025, 4:00:36 PM)</t>
  </si>
  <si>
    <t>prospect_242</t>
  </si>
  <si>
    <t>Call Received (12/4/2025, 11:33:38 AM)</t>
  </si>
  <si>
    <t>Not Received (12/10/2025, 1:57:02 PM)</t>
  </si>
  <si>
    <t>Client Lost (12/11/2025, 4:05:02 PM)</t>
  </si>
  <si>
    <t>hafiz ejaz</t>
  </si>
  <si>
    <t>923334641428</t>
  </si>
  <si>
    <t>Call Received (12/4/2025, 11:41:12 AM)</t>
  </si>
  <si>
    <t>Call Received (12/10/2025, 1:59:21 PM)</t>
  </si>
  <si>
    <t>sakandar ali</t>
  </si>
  <si>
    <t>923013286210</t>
  </si>
  <si>
    <t>Client Lost (12/4/2025, 11:47:27 AM)</t>
  </si>
  <si>
    <t>Not Received (12/4/2025, 11:48:30 AM)</t>
  </si>
  <si>
    <t>Not Received (12/9/2025, 3:14:11 PM)</t>
  </si>
  <si>
    <t>Not Received (12/11/2025, 4:17:34 PM)</t>
  </si>
  <si>
    <t>prospect_246</t>
  </si>
  <si>
    <t>Not Received (12/4/2025, 11:49:04 AM)</t>
  </si>
  <si>
    <t>Not Received (12/9/2025, 3:14:27 PM)</t>
  </si>
  <si>
    <t>Not Received (12/11/2025, 4:18:49 PM)</t>
  </si>
  <si>
    <t>Not Received (12/4/2025, 11:49:55 AM)</t>
  </si>
  <si>
    <t>Client Lost (12/5/2025, 2:08:16 PM)</t>
  </si>
  <si>
    <t>Zain mehar</t>
  </si>
  <si>
    <t>Confirmation (12/10/2025, 10:40:44 AM)</t>
  </si>
  <si>
    <t>Not Received (12/4/2025, 11:50:12 AM)</t>
  </si>
  <si>
    <t>Confirmation (12/11/2025, 1:52:41 PM)</t>
  </si>
  <si>
    <t>Client Lost (12/22/2025, 4:35:52 PM)</t>
  </si>
  <si>
    <t>pay after live demo</t>
  </si>
  <si>
    <t>Not Received (12/4/2025, 11:51:14 AM)</t>
  </si>
  <si>
    <t>Not Received (12/9/2025, 3:14:45 PM)</t>
  </si>
  <si>
    <t>Not Received (12/11/2025, 4:19:11 PM)</t>
  </si>
  <si>
    <t>Not Received (12/4/2025, 11:54:53 AM)</t>
  </si>
  <si>
    <t>Not Received (12/9/2025, 3:15:01 PM)</t>
  </si>
  <si>
    <t>Not Received (12/11/2025, 4:19:38 PM)</t>
  </si>
  <si>
    <t>Rahar</t>
  </si>
  <si>
    <t>923025767584</t>
  </si>
  <si>
    <t>Call Received (12/4/2025, 11:56:10 AM)</t>
  </si>
  <si>
    <t>Client Lost (12/10/2025, 3:00:28 PM)</t>
  </si>
  <si>
    <t>Client Lost (12/4/2025, 1:21:18 PM)</t>
  </si>
  <si>
    <t>prospect_253</t>
  </si>
  <si>
    <t>Not Received (12/5/2025, 12:24:37 PM)</t>
  </si>
  <si>
    <t>Not Received (12/4/2025, 1:22:48 PM)</t>
  </si>
  <si>
    <t>Not Received (12/11/2025, 4:21:22 PM)</t>
  </si>
  <si>
    <t>Client Lost (12/4/2025, 1:43:14 PM)</t>
  </si>
  <si>
    <t>Not Received (12/5/2025, 12:25:53 PM)</t>
  </si>
  <si>
    <t>Not Received (12/4/2025, 1:24:37 PM)</t>
  </si>
  <si>
    <t>Client Lost (12/9/2025, 4:34:28 PM)</t>
  </si>
  <si>
    <t>Client Lost (12/5/2025, 12:27:42 PM)</t>
  </si>
  <si>
    <t>Not Received (12/4/2025, 1:25:39 PM)</t>
  </si>
  <si>
    <t>in next batch January</t>
  </si>
  <si>
    <t>Not Received (12/5/2025, 12:28:50 PM)</t>
  </si>
  <si>
    <t>Not Received (12/4/2025, 1:26:01 PM)</t>
  </si>
  <si>
    <t>Not Received (12/11/2025, 4:21:37 PM)</t>
  </si>
  <si>
    <t>Malik irfan</t>
  </si>
  <si>
    <t>Not Received (12/5/2025, 12:29:41 PM)</t>
  </si>
  <si>
    <t>Not Received (12/4/2025, 2:46:03 PM)</t>
  </si>
  <si>
    <t>Not Received (12/11/2025, 4:22:28 PM)</t>
  </si>
  <si>
    <t>~Asadullah Khoso</t>
  </si>
  <si>
    <t>Not Received (12/5/2025, 12:30:40 PM)</t>
  </si>
  <si>
    <t>Not Received (12/4/2025, 2:47:09 PM)</t>
  </si>
  <si>
    <t>Not Received (12/11/2025, 4:23:29 PM)</t>
  </si>
  <si>
    <t>momina siddique</t>
  </si>
  <si>
    <t>Not Received (12/12/2025, 12:40:45 PM)</t>
  </si>
  <si>
    <t>Not Received (12/10/2025, 3:01:34 PM)</t>
  </si>
  <si>
    <t>Call Later (12/11/2025, 4:24:58 PM)</t>
  </si>
  <si>
    <t>share info, medical background.. will inform</t>
  </si>
  <si>
    <t>Haseeb Azhar</t>
  </si>
  <si>
    <t>Call Received (12/5/2025, 12:34:38 PM)</t>
  </si>
  <si>
    <t>Call Received (12/10/2025, 3:04:00 PM)</t>
  </si>
  <si>
    <t>~Talha Rizwan</t>
  </si>
  <si>
    <t>Not Received (12/5/2025, 12:35:20 PM)</t>
  </si>
  <si>
    <t>Not Received (12/4/2025, 2:51:58 PM)</t>
  </si>
  <si>
    <t>Not Received (12/11/2025, 4:25:38 PM)</t>
  </si>
  <si>
    <t>nadia</t>
  </si>
  <si>
    <t>Client Lost (12/4/2025, 4:55:36 PM)</t>
  </si>
  <si>
    <t>Not Received (12/10/2025, 3:06:10 PM)</t>
  </si>
  <si>
    <t>Client Lost (12/11/2025, 4:26:36 PM)</t>
  </si>
  <si>
    <t>Muhammad Zohair</t>
  </si>
  <si>
    <t>Call Received (12/5/2025, 12:38:07 PM)</t>
  </si>
  <si>
    <t>Not Received (12/10/2025, 3:07:31 PM)</t>
  </si>
  <si>
    <t>Demo (12/11/2025, 4:29:18 PM)</t>
  </si>
  <si>
    <t xml:space="preserve">Zain Ul Abideen </t>
  </si>
  <si>
    <t>Demo (12/5/2025, 11:45:08 AM)</t>
  </si>
  <si>
    <t>Demo (12/11/2025, 4:31:52 PM)</t>
  </si>
  <si>
    <t>join live demo then pay</t>
  </si>
  <si>
    <t>Hussain Lashari</t>
  </si>
  <si>
    <t>Not Received (12/5/2025, 11:46:08 AM)</t>
  </si>
  <si>
    <t>Not Received (12/6/2025, 3:47:46 PM)</t>
  </si>
  <si>
    <t>Client Lost (12/9/2025, 4:41:01 PM)</t>
  </si>
  <si>
    <t>naseeb zamin</t>
  </si>
  <si>
    <t>Not Received (12/5/2025, 11:47:56 AM)</t>
  </si>
  <si>
    <t>ShAbbIr.</t>
  </si>
  <si>
    <t>Call Later (12/10/2025, 11:27:35 AM)</t>
  </si>
  <si>
    <t>Call Later (12/8/2025, 2:03:17 PM)</t>
  </si>
  <si>
    <t>Not Received (12/11/2025, 4:30:19 PM)</t>
  </si>
  <si>
    <t>Not Received (12/5/2025, 11:49:34 AM)</t>
  </si>
  <si>
    <t>Not Received (12/6/2025, 3:49:42 PM)</t>
  </si>
  <si>
    <t>Not Received (12/11/2025, 4:34:18 PM)</t>
  </si>
  <si>
    <t>~Iqbal Hussain</t>
  </si>
  <si>
    <t>Not Received (12/5/2025, 11:50:35 AM)</t>
  </si>
  <si>
    <t>Not Received (12/6/2025, 3:51:04 PM)</t>
  </si>
  <si>
    <t>Client Lost (12/11/2025, 4:35:16 PM)</t>
  </si>
  <si>
    <t>Siraj</t>
  </si>
  <si>
    <t>Client Lost (12/5/2025, 11:53:26 AM)</t>
  </si>
  <si>
    <t>manan</t>
  </si>
  <si>
    <t>Not Received (12/5/2025, 11:51:57 AM)</t>
  </si>
  <si>
    <t>Not Received (12/6/2025, 3:51:31 PM)</t>
  </si>
  <si>
    <t>Client Lost (12/9/2025, 4:42:47 PM)</t>
  </si>
  <si>
    <t>923334498801</t>
  </si>
  <si>
    <t>Confirmation (12/10/2025, 10:42:19 AM)</t>
  </si>
  <si>
    <t>Paid (12/11/2025, 12:53:45 PM)</t>
  </si>
  <si>
    <t>Call Received (12/8/2025, 2:07:28 PM)</t>
  </si>
  <si>
    <t>Confirmation (12/9/2025, 10:18:35 AM)</t>
  </si>
  <si>
    <t>Fizza Jawad</t>
  </si>
  <si>
    <t>Client Lost (12/5/2025, 11:57:38 AM)</t>
  </si>
  <si>
    <t>Not Received (12/5/2025, 11:58:26 AM)</t>
  </si>
  <si>
    <t>Not Received (12/6/2025, 3:53:17 PM)</t>
  </si>
  <si>
    <t>Not Received (12/11/2025, 4:35:49 PM)</t>
  </si>
  <si>
    <t>Lal Muhammad</t>
  </si>
  <si>
    <t>Not Received (12/5/2025, 12:00:40 PM)</t>
  </si>
  <si>
    <t>Client Lost (12/6/2025, 3:55:20 PM)</t>
  </si>
  <si>
    <t>Shah Fahad</t>
  </si>
  <si>
    <t>Not Received (12/5/2025, 12:01:25 PM)</t>
  </si>
  <si>
    <t>Not Received (12/6/2025, 3:57:47 PM)</t>
  </si>
  <si>
    <t>Call Received (12/11/2025, 4:42:50 PM)</t>
  </si>
  <si>
    <t>Bilal ahmed</t>
  </si>
  <si>
    <t>Client Lost (12/5/2025, 12:07:23 PM)</t>
  </si>
  <si>
    <t>prospect_265</t>
  </si>
  <si>
    <t>Call Received (12/5/2025, 12:14:19 PM)</t>
  </si>
  <si>
    <t>Call Received (12/10/2025, 3:09:36 PM)</t>
  </si>
  <si>
    <t>share demo to convince her daughter</t>
  </si>
  <si>
    <t>Muhammad ishtyaq</t>
  </si>
  <si>
    <t>Confirmation (12/11/2025, 1:53:15 PM)</t>
  </si>
  <si>
    <t>Client Lost (12/22/2025, 4:35:47 PM)</t>
  </si>
  <si>
    <t>pay today</t>
  </si>
  <si>
    <t>~zahidabdulhamid</t>
  </si>
  <si>
    <t>Call Received (12/9/2025, 2:22:14 PM)</t>
  </si>
  <si>
    <t>will think and inform</t>
  </si>
  <si>
    <t>Not Received (12/5/2025, 2:25:49 PM)</t>
  </si>
  <si>
    <t>Client Lost (12/6/2025, 4:07:26 PM)</t>
  </si>
  <si>
    <t>Client Lost (12/5/2025, 2:26:54 PM)</t>
  </si>
  <si>
    <t>kulsoom</t>
  </si>
  <si>
    <t>Not Received (12/8/2025, 1:36:07 PM)</t>
  </si>
  <si>
    <t>Not Received (12/11/2025, 4:39:33 PM)</t>
  </si>
  <si>
    <t>Not Received (12/8/2025, 1:36:49 PM)</t>
  </si>
  <si>
    <t>Not Received (12/11/2025, 4:40:21 PM)</t>
  </si>
  <si>
    <t>bilal Akhter</t>
  </si>
  <si>
    <t>923312469961</t>
  </si>
  <si>
    <t>Confirmation (12/8/2025, 11:37:14 AM)</t>
  </si>
  <si>
    <t>Paid (12/22/2025, 4:35:43 PM)</t>
  </si>
  <si>
    <t>pay by 15 after demo</t>
  </si>
  <si>
    <t>tajub Ali</t>
  </si>
  <si>
    <t>Not Received (12/6/2025, 12:36:20 PM)</t>
  </si>
  <si>
    <t>Client Lost (12/8/2025, 1:37:56 PM)</t>
  </si>
  <si>
    <t>Muhammad Shahid</t>
  </si>
  <si>
    <t>Call Received (12/6/2025, 12:38:41 PM)</t>
  </si>
  <si>
    <t>Not Received (12/10/2025, 3:10:35 PM)</t>
  </si>
  <si>
    <t>Client Lost (12/11/2025, 4:41:39 PM)</t>
  </si>
  <si>
    <t>muhammad ismail</t>
  </si>
  <si>
    <t>923227572482</t>
  </si>
  <si>
    <t>Paid (12/8/2025, 11:45:10 AM)</t>
  </si>
  <si>
    <t>seat reserved will pay soon. contact him</t>
  </si>
  <si>
    <t>Ahmed nawazlashari</t>
  </si>
  <si>
    <t>Not Received (12/6/2025, 12:41:56 PM)</t>
  </si>
  <si>
    <t>Client Lost (12/8/2025, 1:39:15 PM)</t>
  </si>
  <si>
    <t>lost leaD</t>
  </si>
  <si>
    <t>Not Received (12/6/2025, 12:42:21 PM)</t>
  </si>
  <si>
    <t>Not Received (12/10/2025, 3:12:59 PM)</t>
  </si>
  <si>
    <t>Not Received (12/11/2025, 4:45:09 PM)</t>
  </si>
  <si>
    <t>Client Lost (12/6/2025, 12:43:15 PM)</t>
  </si>
  <si>
    <t>~M Umer Bin Shoukat</t>
  </si>
  <si>
    <t>Call Received (12/6/2025, 12:47:14 PM)</t>
  </si>
  <si>
    <t>Call Received (12/10/2025, 3:21:16 PM)</t>
  </si>
  <si>
    <t>Hayder</t>
  </si>
  <si>
    <t>Client Lost (12/6/2025, 12:57:02 PM)</t>
  </si>
  <si>
    <t>~Dr Kashif Shikrani</t>
  </si>
  <si>
    <t>Call Received (12/6/2025, 12:54:25 PM)</t>
  </si>
  <si>
    <t>Client Lost (12/10/2025, 3:22:38 PM)</t>
  </si>
  <si>
    <t>Not Received (12/6/2025, 12:55:06 PM)</t>
  </si>
  <si>
    <t>Not Received (12/8/2025, 1:45:22 PM)</t>
  </si>
  <si>
    <t>Not Received (12/11/2025, 4:46:00 PM)</t>
  </si>
  <si>
    <t>Not Received (12/6/2025, 12:58:09 PM)</t>
  </si>
  <si>
    <t>Not Received (12/8/2025, 1:46:01 PM)</t>
  </si>
  <si>
    <t>Client Lost (12/9/2025, 4:47:24 PM)</t>
  </si>
  <si>
    <t>Mahira</t>
  </si>
  <si>
    <t>Not Received (12/10/2025, 3:24:04 PM)</t>
  </si>
  <si>
    <t>Not Received (12/11/2025, 5:18:54 PM)</t>
  </si>
  <si>
    <t>Shaiq</t>
  </si>
  <si>
    <t>Client Lost (12/6/2025, 1:58:16 PM)</t>
  </si>
  <si>
    <t>Client Lost (12/6/2025, 2:00:58 PM)</t>
  </si>
  <si>
    <t>Not Received (12/8/2025, 1:46:27 PM)</t>
  </si>
  <si>
    <t>Not Received (12/11/2025, 5:19:19 PM)</t>
  </si>
  <si>
    <t>Client Lost (12/6/2025, 2:09:04 PM)</t>
  </si>
  <si>
    <t>Not Received (12/6/2025, 2:09:19 PM)</t>
  </si>
  <si>
    <t>Not Received (12/11/2025, 5:21:55 PM)</t>
  </si>
  <si>
    <t>Not Received (12/6/2025, 2:10:06 PM)</t>
  </si>
  <si>
    <t>Client Lost (12/9/2025, 4:49:39 PM)</t>
  </si>
  <si>
    <t>Not Received (12/6/2025, 2:10:31 PM)</t>
  </si>
  <si>
    <t>Client Lost (12/9/2025, 4:50:07 PM)</t>
  </si>
  <si>
    <t>Najam Uddin</t>
  </si>
  <si>
    <t>Not Received (12/6/2025, 2:11:14 PM)</t>
  </si>
  <si>
    <t>Client Lost (12/9/2025, 4:53:46 PM)</t>
  </si>
  <si>
    <t>Muhammad Salman</t>
  </si>
  <si>
    <t>Not Received (12/6/2025, 2:12:17 PM)</t>
  </si>
  <si>
    <t>Not Received (12/11/2025, 5:22:23 PM)</t>
  </si>
  <si>
    <t>Not Received (12/6/2025, 2:12:37 PM)</t>
  </si>
  <si>
    <t>Not Received (12/11/2025, 5:23:28 PM)</t>
  </si>
  <si>
    <t>Client Lost (12/6/2025, 2:31:46 PM)</t>
  </si>
  <si>
    <t>Yousuf Muhammad</t>
  </si>
  <si>
    <t>Call Received (12/10/2025, 3:27:13 PM)</t>
  </si>
  <si>
    <t>Najam</t>
  </si>
  <si>
    <t>Client Lost (12/6/2025, 2:39:17 PM)</t>
  </si>
  <si>
    <t>Tanweer Hussain</t>
  </si>
  <si>
    <t>Client Lost (12/10/2025, 3:30:00 PM)</t>
  </si>
  <si>
    <t>Syed Tariq Hussain</t>
  </si>
  <si>
    <t>Confirmation (12/11/2025, 2:01:39 PM)</t>
  </si>
  <si>
    <t>Client Lost (12/22/2025, 4:35:37 PM)</t>
  </si>
  <si>
    <t>pay till 14th</t>
  </si>
  <si>
    <t>Arbaz</t>
  </si>
  <si>
    <t>Form Filled (12/8/2025, 11:28:39 AM)</t>
  </si>
  <si>
    <t>Not Received (12/9/2025, 2:23:42 PM)</t>
  </si>
  <si>
    <t>Not Received (12/11/2025, 5:24:25 PM)</t>
  </si>
  <si>
    <t>Client Lost (12/6/2025, 2:24:11 PM)</t>
  </si>
  <si>
    <t>Fayyaz Arbi</t>
  </si>
  <si>
    <t>Not Received (12/6/2025, 2:34:02 PM)</t>
  </si>
  <si>
    <t>Client Lost (12/9/2025, 4:58:39 PM)</t>
  </si>
  <si>
    <t>irshad mashi</t>
  </si>
  <si>
    <t>Client Lost (12/6/2025, 2:34:58 PM)</t>
  </si>
  <si>
    <t>Client Lost (12/6/2025, 2:37:13 PM)</t>
  </si>
  <si>
    <t>Not Received (12/6/2025, 2:40:28 PM)</t>
  </si>
  <si>
    <t>Client Lost (12/9/2025, 5:00:01 PM)</t>
  </si>
  <si>
    <t>Client Lost (12/6/2025, 2:41:11 PM)</t>
  </si>
  <si>
    <t>prospect_288</t>
  </si>
  <si>
    <t>Client Lost (12/6/2025, 2:41:53 PM)</t>
  </si>
  <si>
    <t>Not Received (12/6/2025, 2:43:04 PM)</t>
  </si>
  <si>
    <t>Client Lost (12/11/2025, 5:25:48 PM)</t>
  </si>
  <si>
    <t>Not Received (12/6/2025, 2:56:49 PM)</t>
  </si>
  <si>
    <t>Client Lost (12/11/2025, 5:29:21 PM)</t>
  </si>
  <si>
    <t>~Absar Ahmed</t>
  </si>
  <si>
    <t>Client Lost (12/8/2025, 11:03:55 AM)</t>
  </si>
  <si>
    <t>~M. Riaz Siddiqi</t>
  </si>
  <si>
    <t>Not Received (12/8/2025, 11:04:35 AM)</t>
  </si>
  <si>
    <t>Not Received (12/11/2025, 5:29:40 PM)</t>
  </si>
  <si>
    <t>~Noufel Saeed</t>
  </si>
  <si>
    <t>Client Lost (12/8/2025, 11:07:18 AM)</t>
  </si>
  <si>
    <t>~Abdul Wahab khan</t>
  </si>
  <si>
    <t>Call Received (12/8/2025, 11:39:40 AM)</t>
  </si>
  <si>
    <t>Not Received (12/10/2025, 3:30:38 PM)</t>
  </si>
  <si>
    <t>Not Received (12/11/2025, 5:29:56 PM)</t>
  </si>
  <si>
    <t>923247413846</t>
  </si>
  <si>
    <t>Demo (12/10/2025, 12:40:33 PM)</t>
  </si>
  <si>
    <t>Call Later (12/9/2025, 5:06:44 PM)</t>
  </si>
  <si>
    <t>confirm after demo</t>
  </si>
  <si>
    <t>Client Lost (12/8/2025, 11:17:15 AM)</t>
  </si>
  <si>
    <t>lost, by mistake hogya</t>
  </si>
  <si>
    <t>Call Received (12/8/2025, 11:19:17 AM)</t>
  </si>
  <si>
    <t>Call Received (12/10/2025, 3:32:27 PM)</t>
  </si>
  <si>
    <t>Not Received (12/8/2025, 11:23:34 AM)</t>
  </si>
  <si>
    <t>Client Lost (12/9/2025, 5:08:49 PM)</t>
  </si>
  <si>
    <t xml:space="preserve">Samina </t>
  </si>
  <si>
    <t>Call Later (12/8/2025, 11:25:15 AM)</t>
  </si>
  <si>
    <t>Not Received (12/8/2025, 2:08:54 PM)</t>
  </si>
  <si>
    <t>Demo (12/8/2025, 4:13:46 PM)</t>
  </si>
  <si>
    <t>Not Received (12/8/2025, 11:27:36 AM)</t>
  </si>
  <si>
    <t>Client Lost (12/9/2025, 5:09:54 PM)</t>
  </si>
  <si>
    <t>Mehmood khan</t>
  </si>
  <si>
    <t>Call Received (12/8/2025, 11:30:17 AM)</t>
  </si>
  <si>
    <t>Not Received (12/10/2025, 3:34:23 PM)</t>
  </si>
  <si>
    <t>Not Received (12/11/2025, 5:43:52 PM)</t>
  </si>
  <si>
    <t>Zainab</t>
  </si>
  <si>
    <t>923252966766</t>
  </si>
  <si>
    <t>Not Received (12/10/2025, 10:46:47 AM)</t>
  </si>
  <si>
    <t>Client Lost (12/10/2025, 1:01:57 PM)</t>
  </si>
  <si>
    <t>Not Received (12/9/2025, 2:25:08 PM)</t>
  </si>
  <si>
    <t>prospect_296</t>
  </si>
  <si>
    <t>Not Received (12/8/2025, 11:32:42 AM)</t>
  </si>
  <si>
    <t>Not Received (12/11/2025, 5:44:15 PM)</t>
  </si>
  <si>
    <t>Not Received (12/8/2025, 11:34:00 AM)</t>
  </si>
  <si>
    <t>Call Received (12/9/2025, 5:14:12 PM)</t>
  </si>
  <si>
    <t>hasif</t>
  </si>
  <si>
    <t>Not Received (12/8/2025, 11:34:43 AM)</t>
  </si>
  <si>
    <t>Call Received (12/9/2025, 5:21:45 PM)</t>
  </si>
  <si>
    <t>Tabish khan</t>
  </si>
  <si>
    <t>Client Lost (12/8/2025, 11:43:04 AM)</t>
  </si>
  <si>
    <t>Call Later (12/12/2025, 11:37:41 AM)</t>
  </si>
  <si>
    <t>Not Received (12/9/2025, 5:17:23 PM)</t>
  </si>
  <si>
    <t>Not Received (12/12/2025, 11:38:25 AM)</t>
  </si>
  <si>
    <t>Not Received (12/9/2025, 5:18:00 PM)</t>
  </si>
  <si>
    <t>Not Received (12/10/2025, 10:47:45 AM)</t>
  </si>
  <si>
    <t>Call Received (12/12/2025, 11:40:23 AM)</t>
  </si>
  <si>
    <t>Not Received (12/9/2025, 5:18:39 PM)</t>
  </si>
  <si>
    <t>Client Lost (12/8/2025, 11:47:47 AM)</t>
  </si>
  <si>
    <t>Client Lost (12/8/2025, 11:49:08 AM)</t>
  </si>
  <si>
    <t>Not Received (12/10/2025, 10:48:24 AM)</t>
  </si>
  <si>
    <t>Not Received (12/12/2025, 11:41:10 AM)</t>
  </si>
  <si>
    <t>Not Received (12/9/2025, 5:24:43 PM)</t>
  </si>
  <si>
    <t>Irfan khan</t>
  </si>
  <si>
    <t>Not Received (12/10/2025, 11:00:51 AM)</t>
  </si>
  <si>
    <t>Not Received (12/12/2025, 11:41:39 AM)</t>
  </si>
  <si>
    <t>Not Received (12/9/2025, 5:35:32 PM)</t>
  </si>
  <si>
    <t>Shoaib Saleem</t>
  </si>
  <si>
    <t>Client Lost (12/10/2025, 11:01:49 AM)</t>
  </si>
  <si>
    <t>Not Received (12/12/2025, 11:42:19 AM)</t>
  </si>
  <si>
    <t>Not Received (12/12/2025, 1:03:12 PM)</t>
  </si>
  <si>
    <t>Not Received (12/12/2025, 11:43:23 AM)</t>
  </si>
  <si>
    <t>Not Received (12/12/2025, 11:44:21 AM)</t>
  </si>
  <si>
    <t>923238045606</t>
  </si>
  <si>
    <t>Not Received (12/8/2025, 11:55:13 AM)</t>
  </si>
  <si>
    <t>Confirmation (12/12/2025, 3:12:55 PM)</t>
  </si>
  <si>
    <t>Paid (12/18/2025, 4:53:54 PM)</t>
  </si>
  <si>
    <t>till sunday</t>
  </si>
  <si>
    <t>Not Received (12/12/2025, 11:49:56 AM)</t>
  </si>
  <si>
    <t>Not Received (12/12/2025, 11:57:40 AM)</t>
  </si>
  <si>
    <t>Not Received (12/12/2025, 12:02:51 PM)</t>
  </si>
  <si>
    <t>Call Received (12/8/2025, 12:03:08 PM)</t>
  </si>
  <si>
    <t>Demo (12/10/2025, 5:03:35 PM)</t>
  </si>
  <si>
    <t>Faheem</t>
  </si>
  <si>
    <t>Client Lost (12/12/2025, 12:03:52 PM)</t>
  </si>
  <si>
    <t>SAQNA JATT</t>
  </si>
  <si>
    <t>Client Lost (12/8/2025, 12:05:33 PM)</t>
  </si>
  <si>
    <t>Fahad hassan</t>
  </si>
  <si>
    <t>Not Received (12/18/2025, 12:32:53 PM)</t>
  </si>
  <si>
    <t>Client Lost (12/12/2025, 12:06:59 PM)</t>
  </si>
  <si>
    <t>Not Received (12/12/2025, 12:08:07 PM)</t>
  </si>
  <si>
    <t>Call Received (12/8/2025, 12:10:46 PM)</t>
  </si>
  <si>
    <t>Client Lost (12/10/2025, 5:05:25 PM)</t>
  </si>
  <si>
    <t>Not Received (12/12/2025, 12:09:13 PM)</t>
  </si>
  <si>
    <t>ajmal</t>
  </si>
  <si>
    <t>Not Received (12/12/2025, 12:10:04 PM)</t>
  </si>
  <si>
    <t>Not Received (12/9/2025, 1:27:57 PM)</t>
  </si>
  <si>
    <t>Not Received (12/10/2025, 5:07:01 PM)</t>
  </si>
  <si>
    <t>923414921922</t>
  </si>
  <si>
    <t>Call Received (12/8/2025, 12:15:11 PM)</t>
  </si>
  <si>
    <t>Call Received (12/10/2025, 5:08:27 PM)</t>
  </si>
  <si>
    <t>Call Received (12/12/2025, 12:13:03 PM)</t>
  </si>
  <si>
    <t>Client Lost (12/12/2025, 12:18:10 PM)</t>
  </si>
  <si>
    <t>Not Received (12/10/2025, 5:10:34 PM)</t>
  </si>
  <si>
    <t>Aslam Pervez</t>
  </si>
  <si>
    <t>Not Received (12/12/2025, 12:19:14 PM)</t>
  </si>
  <si>
    <t>prospect_315</t>
  </si>
  <si>
    <t>Client Lost (12/12/2025, 12:20:01 PM)</t>
  </si>
  <si>
    <t>Mohammed Afzal Chaudhary</t>
  </si>
  <si>
    <t>Client Lost (12/8/2025, 12:27:38 PM)</t>
  </si>
  <si>
    <t>Client Lost (12/8/2025, 12:29:03 PM)</t>
  </si>
  <si>
    <t>Not Received (12/12/2025, 12:20:43 PM)</t>
  </si>
  <si>
    <t>Aslam</t>
  </si>
  <si>
    <t>Client Lost (12/8/2025, 12:31:31 PM)</t>
  </si>
  <si>
    <t>saleem javed</t>
  </si>
  <si>
    <t>Call Received (12/8/2025, 12:33:33 PM)</t>
  </si>
  <si>
    <t>Client Lost (12/10/2025, 5:11:50 PM)</t>
  </si>
  <si>
    <t>for his son, will inform</t>
  </si>
  <si>
    <t>ADAM</t>
  </si>
  <si>
    <t>Not Received (12/12/2025, 12:21:05 PM)</t>
  </si>
  <si>
    <t>prospect_318</t>
  </si>
  <si>
    <t>923111458029</t>
  </si>
  <si>
    <t>Client Lost (12/12/2025, 12:22:01 PM)</t>
  </si>
  <si>
    <t>Not Received (12/10/2025, 5:13:02 PM)</t>
  </si>
  <si>
    <t>923002086769</t>
  </si>
  <si>
    <t>Call Later (12/10/2025, 11:32:18 AM)</t>
  </si>
  <si>
    <t>Confirmation (12/11/2025, 2:02:11 PM)</t>
  </si>
  <si>
    <t>Paid (12/18/2025, 4:53:59 PM)</t>
  </si>
  <si>
    <t>Arham Ahmed</t>
  </si>
  <si>
    <t>Client Lost (12/12/2025, 12:22:44 PM)</t>
  </si>
  <si>
    <t>Not Received (12/10/2025, 5:16:11 PM)</t>
  </si>
  <si>
    <t>Confirmation (12/9/2025, 12:57:41 PM)</t>
  </si>
  <si>
    <t>Paid (12/10/2025, 2:57:09 PM)</t>
  </si>
  <si>
    <t>Not Received (12/12/2025, 12:26:35 PM)</t>
  </si>
  <si>
    <t>~Mubashar Ali</t>
  </si>
  <si>
    <t>Client Lost (12/8/2025, 12:51:54 PM)</t>
  </si>
  <si>
    <t>Not Received (12/10/2025, 11:08:32 AM)</t>
  </si>
  <si>
    <t>Not Received (12/8/2025, 3:55:02 PM)</t>
  </si>
  <si>
    <t>Not Received (12/10/2025, 11:10:31 AM)</t>
  </si>
  <si>
    <t>Client Lost (12/11/2025, 1:27:31 PM)</t>
  </si>
  <si>
    <t>call after 10 min</t>
  </si>
  <si>
    <t>Call Received (12/10/2025, 5:22:34 PM)</t>
  </si>
  <si>
    <t>inform soon</t>
  </si>
  <si>
    <t>Muhammad Sabir</t>
  </si>
  <si>
    <t>Call Received (12/8/2025, 4:40:02 PM)</t>
  </si>
  <si>
    <t>Client Lost (12/10/2025, 11:11:20 AM)</t>
  </si>
  <si>
    <t>Not Received (12/8/2025, 4:41:33 PM)</t>
  </si>
  <si>
    <t>Areeb Ali</t>
  </si>
  <si>
    <t>Not Received (12/10/2025, 11:12:47 AM)</t>
  </si>
  <si>
    <t>Not Received (12/8/2025, 4:42:19 PM)</t>
  </si>
  <si>
    <t>jalil baloch</t>
  </si>
  <si>
    <t>Client Lost (12/9/2025, 3:03:17 PM)</t>
  </si>
  <si>
    <t>lost leead</t>
  </si>
  <si>
    <t>Date Given</t>
  </si>
  <si>
    <t>335 6066636</t>
  </si>
  <si>
    <t>need free classes</t>
  </si>
  <si>
    <t>92 319 3993850</t>
  </si>
  <si>
    <t>Details shared</t>
  </si>
  <si>
    <t>~Musab Akhtar</t>
  </si>
  <si>
    <t>92 302 2409060</t>
  </si>
  <si>
    <t>92 306 6972721</t>
  </si>
  <si>
    <t>92 327 0733841</t>
  </si>
  <si>
    <t>~AmanAjwa-Arif</t>
  </si>
  <si>
    <t>92 320 9221657</t>
  </si>
  <si>
    <t>92 322 8858583</t>
  </si>
  <si>
    <t>attend demo then decide</t>
  </si>
  <si>
    <t>~Muhammad</t>
  </si>
  <si>
    <t>92 332 3390480</t>
  </si>
  <si>
    <t>~Aasiya✨</t>
  </si>
  <si>
    <t>92 315 3514113/  315 1393845</t>
  </si>
  <si>
    <t>will pay before sunday</t>
  </si>
  <si>
    <t>iMAN</t>
  </si>
  <si>
    <t>92 316 6432607</t>
  </si>
  <si>
    <t>Muneeba Yaqoob</t>
  </si>
  <si>
    <t>347 1272967</t>
  </si>
  <si>
    <t>pay y tomorrow</t>
  </si>
  <si>
    <t>92 311 0813887</t>
  </si>
  <si>
    <t>92 346 2934847</t>
  </si>
  <si>
    <t>will inform sioon</t>
  </si>
  <si>
    <t>92 336 7723422</t>
  </si>
  <si>
    <t>think n inform</t>
  </si>
  <si>
    <t>92 341 3452141</t>
  </si>
  <si>
    <t>Muhammad</t>
  </si>
  <si>
    <t>92 335 3978627</t>
  </si>
  <si>
    <t>Nimrita</t>
  </si>
  <si>
    <t>92 318 3473755</t>
  </si>
  <si>
    <t>92 300 8706965</t>
  </si>
  <si>
    <t>92 314 1006214</t>
  </si>
  <si>
    <t xml:space="preserve">Maryam Waseem </t>
  </si>
  <si>
    <t>92 336 3563102</t>
  </si>
  <si>
    <t xml:space="preserve">Muhammad Maaz </t>
  </si>
  <si>
    <t>92 334 2937430</t>
  </si>
  <si>
    <t>92 302 4754550</t>
  </si>
  <si>
    <t>92 333 2607571</t>
  </si>
  <si>
    <t>Anzar</t>
  </si>
  <si>
    <t>92 332 7263656</t>
  </si>
  <si>
    <t>92 321 8954501</t>
  </si>
  <si>
    <t>~Ahtasham Janjua</t>
  </si>
  <si>
    <t>92 301 1317855</t>
  </si>
  <si>
    <t>92 319 0604654</t>
  </si>
  <si>
    <t>hussain Shabbar Al Qamri</t>
  </si>
  <si>
    <t>92 314 2181728</t>
  </si>
  <si>
    <t>92 315 0203158</t>
  </si>
  <si>
    <t>92 302 2416752</t>
  </si>
  <si>
    <t>92 300 4212331</t>
  </si>
  <si>
    <t>92 310 1022338</t>
  </si>
  <si>
    <t>mehrussia</t>
  </si>
  <si>
    <t>92 322 4745983</t>
  </si>
  <si>
    <t>Maaz</t>
  </si>
  <si>
    <t>92 302 8464561</t>
  </si>
  <si>
    <t>Noor Ul Ain</t>
  </si>
  <si>
    <t>92 309 7885431</t>
  </si>
  <si>
    <t>~Hussain Naqvi</t>
  </si>
  <si>
    <t>92 313 6609504</t>
  </si>
  <si>
    <t>92 332 8001670</t>
  </si>
  <si>
    <t>92344 1574780</t>
  </si>
  <si>
    <t>92 348 2578123</t>
  </si>
  <si>
    <t>91 85458 83438</t>
  </si>
  <si>
    <t>muhammadali621</t>
  </si>
  <si>
    <t>92 335 8109161</t>
  </si>
  <si>
    <t>92 336 4711450</t>
  </si>
  <si>
    <t>rabia'</t>
  </si>
  <si>
    <t>346 2934847</t>
  </si>
  <si>
    <t>ayesha hassan</t>
  </si>
  <si>
    <t>311 3429621</t>
  </si>
  <si>
    <t>ramsha</t>
  </si>
  <si>
    <t xml:space="preserve"> 302 2129998</t>
  </si>
  <si>
    <t>laraib</t>
  </si>
  <si>
    <t>332 3374355</t>
  </si>
  <si>
    <t>~ZONAIB HAIDER</t>
  </si>
  <si>
    <t>300 3565554</t>
  </si>
  <si>
    <t>302 0059443</t>
  </si>
  <si>
    <t>~Muneeba Yaqoob</t>
  </si>
  <si>
    <t>Syed Hussain Hyder</t>
  </si>
  <si>
    <t>370 0145531</t>
  </si>
  <si>
    <t>Zeshan</t>
  </si>
  <si>
    <t>966 58 089 7860</t>
  </si>
  <si>
    <t>332 2296824</t>
  </si>
  <si>
    <t>alisha</t>
  </si>
  <si>
    <t>319 8220750</t>
  </si>
  <si>
    <t xml:space="preserve">zuhaib </t>
  </si>
  <si>
    <t>346 3341728</t>
  </si>
  <si>
    <t>~noreen fayyaz</t>
  </si>
  <si>
    <t>336 9935900</t>
  </si>
  <si>
    <t>tisha</t>
  </si>
  <si>
    <t>324 3942624</t>
  </si>
  <si>
    <t>348 2578123</t>
  </si>
  <si>
    <t>331 0403777</t>
  </si>
  <si>
    <t>~Haseeb Naeem</t>
  </si>
  <si>
    <t>304 8845331</t>
  </si>
  <si>
    <t>314 2915673</t>
  </si>
  <si>
    <t>Maryemran</t>
  </si>
  <si>
    <t>320 2646152</t>
  </si>
  <si>
    <t>~Zehab Faisal</t>
  </si>
  <si>
    <t>333 4051034</t>
  </si>
  <si>
    <t>ramna kabeer</t>
  </si>
  <si>
    <t>332 1306639</t>
  </si>
  <si>
    <t>347 6965983</t>
  </si>
  <si>
    <t>92 348 9827638</t>
  </si>
  <si>
    <t>92 337 7089909</t>
  </si>
  <si>
    <t>92 336 2277504</t>
  </si>
  <si>
    <t>Danial</t>
  </si>
  <si>
    <t>92 334 3711460</t>
  </si>
  <si>
    <t>92 316 1394081</t>
  </si>
  <si>
    <t>Adeen</t>
  </si>
  <si>
    <t>92 331 1385323</t>
  </si>
  <si>
    <t>92 309 0055445</t>
  </si>
  <si>
    <t>92 318 2866172</t>
  </si>
  <si>
    <t>~Ali Ahmed</t>
  </si>
  <si>
    <t>92 325 3397304</t>
  </si>
  <si>
    <t>310 4234514</t>
  </si>
  <si>
    <t>300 3081044</t>
  </si>
  <si>
    <t>332 2565105</t>
  </si>
  <si>
    <t>92 313 3211559</t>
  </si>
  <si>
    <t>need discount of 4k</t>
  </si>
  <si>
    <t>92 323 8215309</t>
  </si>
  <si>
    <t>92 317 9997978</t>
  </si>
  <si>
    <t>Sagar Somani</t>
  </si>
  <si>
    <t>92 341 2380389</t>
  </si>
  <si>
    <t>Pawan Kumar,</t>
  </si>
  <si>
    <t>92 334 2918667</t>
  </si>
  <si>
    <t>92 320 0402474</t>
  </si>
  <si>
    <t>hiba</t>
  </si>
  <si>
    <t>92 342 2874406</t>
  </si>
  <si>
    <t>92 333 7887330</t>
  </si>
  <si>
    <t>inform in evening</t>
  </si>
  <si>
    <t>Wadeed</t>
  </si>
  <si>
    <t>92 331 3083569</t>
  </si>
  <si>
    <t>Ammara</t>
  </si>
  <si>
    <t>92 306 7121039</t>
  </si>
  <si>
    <t>pay till sunday</t>
  </si>
  <si>
    <t>Ahmad ali</t>
  </si>
  <si>
    <t>92 310 1288108</t>
  </si>
  <si>
    <t>92 329 5049923</t>
  </si>
  <si>
    <t>will confirm by tom</t>
  </si>
  <si>
    <t>92 345 7084468</t>
  </si>
  <si>
    <t>Kashan</t>
  </si>
  <si>
    <t>92 317 1871153</t>
  </si>
  <si>
    <t>Toheed</t>
  </si>
  <si>
    <t>92 349 1645536</t>
  </si>
  <si>
    <t>92 370 1909966</t>
  </si>
  <si>
    <t>92 334 3185174</t>
  </si>
  <si>
    <t>92 348 4862356</t>
  </si>
  <si>
    <t>Muhammad Arhum</t>
  </si>
  <si>
    <t>92 333 2402261</t>
  </si>
  <si>
    <t>Haros</t>
  </si>
  <si>
    <t>92 325 6237991</t>
  </si>
  <si>
    <t>Khazeena</t>
  </si>
  <si>
    <t>92 322 2775166</t>
  </si>
  <si>
    <t>Muhammad Umair</t>
  </si>
  <si>
    <t>92 330 8715090</t>
  </si>
  <si>
    <t>Dawood</t>
  </si>
  <si>
    <t>92 318 9093629</t>
  </si>
  <si>
    <t>Sattar</t>
  </si>
  <si>
    <t>92 315 7783424</t>
  </si>
  <si>
    <t>~Dr. Fatima Shaukat</t>
  </si>
  <si>
    <t xml:space="preserve"> 323 5409829</t>
  </si>
  <si>
    <t>heer</t>
  </si>
  <si>
    <t>319 9314591</t>
  </si>
  <si>
    <t>tinight or tomorrow</t>
  </si>
  <si>
    <t>328 2644859</t>
  </si>
  <si>
    <t>taha'</t>
  </si>
  <si>
    <t>306 3470775</t>
  </si>
  <si>
    <t>305 5517583</t>
  </si>
  <si>
    <t>~Aliyan Abbas</t>
  </si>
  <si>
    <t>302 2191905</t>
  </si>
  <si>
    <t>~Muhammad Abdullah</t>
  </si>
  <si>
    <t>321 4766509</t>
  </si>
  <si>
    <t>370 5486675</t>
  </si>
  <si>
    <t>321 1616603</t>
  </si>
  <si>
    <t>92 315 2305136</t>
  </si>
  <si>
    <t>92 315 0406017</t>
  </si>
  <si>
    <t>92 309 8863794</t>
  </si>
  <si>
    <t>92 341 3198882</t>
  </si>
  <si>
    <t>WILL DECIDE</t>
  </si>
  <si>
    <t>Muhammad dawood</t>
  </si>
  <si>
    <t>92 334 3303133</t>
  </si>
  <si>
    <t>92 326 2022876</t>
  </si>
  <si>
    <t>92 307 8233532</t>
  </si>
  <si>
    <t>Laibsa</t>
  </si>
  <si>
    <t>92 322 8255003</t>
  </si>
  <si>
    <t>92 331 8114558</t>
  </si>
  <si>
    <t xml:space="preserve"> 304 6852045</t>
  </si>
  <si>
    <t>muskan</t>
  </si>
  <si>
    <t>92 316 3356981</t>
  </si>
  <si>
    <t>Kinza</t>
  </si>
  <si>
    <t>92 332 6931130</t>
  </si>
  <si>
    <t>Mehdi</t>
  </si>
  <si>
    <t>92 335 2151163</t>
  </si>
  <si>
    <t>92 300 2825481</t>
  </si>
  <si>
    <t>92 303 2201231</t>
  </si>
  <si>
    <t>fees issues, will inforn</t>
  </si>
  <si>
    <t>92 320 2066104</t>
  </si>
  <si>
    <t>92 335 5106767</t>
  </si>
  <si>
    <t>92 334 2847251</t>
  </si>
  <si>
    <t>Ahmed Faraz</t>
  </si>
  <si>
    <t>333 2144418</t>
  </si>
  <si>
    <t>303 3721784</t>
  </si>
  <si>
    <t>311 2112889</t>
  </si>
  <si>
    <t>will inform by tom</t>
  </si>
  <si>
    <t>muhamamd saeed</t>
  </si>
  <si>
    <t>345 0620324</t>
  </si>
  <si>
    <t>349 7944987</t>
  </si>
  <si>
    <t>315 2090713</t>
  </si>
  <si>
    <t>will inform today</t>
  </si>
  <si>
    <t>Faseehullah</t>
  </si>
  <si>
    <t>315 5804664</t>
  </si>
  <si>
    <t>samia'</t>
  </si>
  <si>
    <t>973 3710 5990</t>
  </si>
  <si>
    <t>305 2507718</t>
  </si>
  <si>
    <t>warda</t>
  </si>
  <si>
    <t xml:space="preserve"> 332 2675177</t>
  </si>
  <si>
    <t>will inform after discuss with parents</t>
  </si>
  <si>
    <t>~Mahnoor Fatima</t>
  </si>
  <si>
    <t>335 1377898</t>
  </si>
  <si>
    <t>mudassir hussain</t>
  </si>
  <si>
    <t>322 9983328</t>
  </si>
  <si>
    <t xml:space="preserve">312 2476607/0313 1146961 </t>
  </si>
  <si>
    <t>~Danesh Katarya</t>
  </si>
  <si>
    <t>314 7368438</t>
  </si>
  <si>
    <t>call after 2-3</t>
  </si>
  <si>
    <t>Alina</t>
  </si>
  <si>
    <t>334 3862156</t>
  </si>
  <si>
    <t>added in demo as she wants physical classes</t>
  </si>
  <si>
    <t>~Hussain Murtaza Ali</t>
  </si>
  <si>
    <t>335 3603782</t>
  </si>
  <si>
    <t>till pay till morning</t>
  </si>
  <si>
    <t>~Tayyaba Gul</t>
  </si>
  <si>
    <t>370 1018770</t>
  </si>
  <si>
    <t>mahnoor</t>
  </si>
  <si>
    <t>320 3285233</t>
  </si>
  <si>
    <t>~Haziq Sheikh</t>
  </si>
  <si>
    <t>321 1122771</t>
  </si>
  <si>
    <t>322 0113260</t>
  </si>
  <si>
    <t>muhammad arslan</t>
  </si>
  <si>
    <t>311 6683784</t>
  </si>
  <si>
    <t>by today evening</t>
  </si>
  <si>
    <t>92 335 5698951</t>
  </si>
  <si>
    <t>342 1850182</t>
  </si>
  <si>
    <t>Aleey]</t>
  </si>
  <si>
    <t>320 9458556</t>
  </si>
  <si>
    <t>lukush</t>
  </si>
  <si>
    <t>331 3084740</t>
  </si>
  <si>
    <t>MARiya</t>
  </si>
  <si>
    <t>321 9542204</t>
  </si>
  <si>
    <t>343 8124448</t>
  </si>
  <si>
    <t>334 2221053</t>
  </si>
  <si>
    <t>muhammad haris</t>
  </si>
  <si>
    <t>342 3491030/330 2411373</t>
  </si>
  <si>
    <t>pay by tom</t>
  </si>
  <si>
    <t>rabail</t>
  </si>
  <si>
    <t>335 7373706</t>
  </si>
  <si>
    <t>328 2870665</t>
  </si>
  <si>
    <t>Aleena</t>
  </si>
  <si>
    <t>302 2077019</t>
  </si>
  <si>
    <t>311 7479763</t>
  </si>
  <si>
    <t>~Hashir Ahmed</t>
  </si>
  <si>
    <t>330 8603100</t>
  </si>
  <si>
    <t>call after namaz</t>
  </si>
  <si>
    <t>341 9040405</t>
  </si>
  <si>
    <t>~Pirthum Kumar</t>
  </si>
  <si>
    <t>341 3016434</t>
  </si>
  <si>
    <t>~Muhammad Saleem</t>
  </si>
  <si>
    <t>331 2886035</t>
  </si>
  <si>
    <t>adena</t>
  </si>
  <si>
    <t>331 5162004</t>
  </si>
  <si>
    <t>irtza</t>
  </si>
  <si>
    <t>341 5447879</t>
  </si>
  <si>
    <t>327 5910074</t>
  </si>
  <si>
    <t>will inform after discussing with parents'</t>
  </si>
  <si>
    <t>tooba</t>
  </si>
  <si>
    <t>332 4222160</t>
  </si>
  <si>
    <t>312 9569589</t>
  </si>
  <si>
    <t>~Eeza Zorain</t>
  </si>
  <si>
    <t>318 5184601</t>
  </si>
  <si>
    <t>farukh</t>
  </si>
  <si>
    <t>318 5028969</t>
  </si>
  <si>
    <t>~Farhan Murtaza</t>
  </si>
  <si>
    <t>320 0023024</t>
  </si>
  <si>
    <t>320 3562093</t>
  </si>
  <si>
    <t>335 1264391</t>
  </si>
  <si>
    <t>335 2935407</t>
  </si>
  <si>
    <t>308 8000052</t>
  </si>
  <si>
    <t>Ruqaiyah</t>
  </si>
  <si>
    <t>332 4526352</t>
  </si>
  <si>
    <t>302 1579909</t>
  </si>
  <si>
    <t>331 1493590</t>
  </si>
  <si>
    <t>309 2043696</t>
  </si>
  <si>
    <t>~S.ABDUL HABIB</t>
  </si>
  <si>
    <t>321 8270626</t>
  </si>
  <si>
    <t>~Sadia Farooque</t>
  </si>
  <si>
    <t>309 7246352</t>
  </si>
  <si>
    <t xml:space="preserve"> 315 4764124</t>
  </si>
  <si>
    <t>311 7920208</t>
  </si>
  <si>
    <t>haider</t>
  </si>
  <si>
    <t>324 2627690</t>
  </si>
  <si>
    <t>328 0101761</t>
  </si>
  <si>
    <t>310 3767219</t>
  </si>
  <si>
    <t>320 2257727</t>
  </si>
  <si>
    <t>347 2402235</t>
  </si>
  <si>
    <t>~Eman Fatima</t>
  </si>
  <si>
    <t>322 7003727</t>
  </si>
  <si>
    <t>hoorain</t>
  </si>
  <si>
    <t>310 2708566</t>
  </si>
  <si>
    <t>sara iqal</t>
  </si>
  <si>
    <t>309 5260634</t>
  </si>
  <si>
    <t>mehmooda</t>
  </si>
  <si>
    <t>316 2910789</t>
  </si>
  <si>
    <t>314 7824427</t>
  </si>
  <si>
    <t>309 2233049</t>
  </si>
  <si>
    <t>ihtasham</t>
  </si>
  <si>
    <t>319 0770751</t>
  </si>
  <si>
    <t>~KAMRAN ANSARI</t>
  </si>
  <si>
    <t>312 2832685</t>
  </si>
  <si>
    <t>301 4836034</t>
  </si>
  <si>
    <t>~Muhammad Talha</t>
  </si>
  <si>
    <t>307 7798450</t>
  </si>
  <si>
    <t>~Wajeeh Rizvi</t>
  </si>
  <si>
    <t>336 9213258</t>
  </si>
  <si>
    <t>~Alhaan Ahmed</t>
  </si>
  <si>
    <t>349 2072675</t>
  </si>
  <si>
    <t>334 3949097</t>
  </si>
  <si>
    <t>~Shakir Ali</t>
  </si>
  <si>
    <t>334 0675656</t>
  </si>
  <si>
    <t>~Hina Ishaque</t>
  </si>
  <si>
    <t>303 2892237</t>
  </si>
  <si>
    <t>~Muhammad Hassan</t>
  </si>
  <si>
    <t>310 1915337</t>
  </si>
  <si>
    <t>308 7619534</t>
  </si>
  <si>
    <t>~Fasiha-binte-Zahid</t>
  </si>
  <si>
    <t>312 0298599</t>
  </si>
  <si>
    <t>341 9030432</t>
  </si>
  <si>
    <t>344 2216581</t>
  </si>
  <si>
    <t>~Abeer Rizwan</t>
  </si>
  <si>
    <t>311 9680303</t>
  </si>
  <si>
    <t>321 3156634</t>
  </si>
  <si>
    <t>saif</t>
  </si>
  <si>
    <t>325 8102565</t>
  </si>
  <si>
    <t>neha</t>
  </si>
  <si>
    <t>342 3983236</t>
  </si>
  <si>
    <t>ruqqaiya</t>
  </si>
  <si>
    <t>300 4889978</t>
  </si>
  <si>
    <t>yumna</t>
  </si>
  <si>
    <t>342 2517656</t>
  </si>
  <si>
    <t>hafsa</t>
  </si>
  <si>
    <t>330 2034045</t>
  </si>
  <si>
    <t>312 1807994</t>
  </si>
  <si>
    <t>332 6627056</t>
  </si>
  <si>
    <t>AAmna brohi</t>
  </si>
  <si>
    <t>311 3960343</t>
  </si>
  <si>
    <t>336 1321033</t>
  </si>
  <si>
    <t>330 1253235</t>
  </si>
  <si>
    <t>~Mulla Abbas Sadriwala</t>
  </si>
  <si>
    <t>312 0837149</t>
  </si>
  <si>
    <t>300 2086769</t>
  </si>
  <si>
    <t>y today or tom</t>
  </si>
  <si>
    <t>Amna ameen</t>
  </si>
  <si>
    <t>303 3258817</t>
  </si>
  <si>
    <t xml:space="preserve"> 306 9080762</t>
  </si>
  <si>
    <t>316 4533887</t>
  </si>
  <si>
    <t>Misbah Hussain</t>
  </si>
  <si>
    <t>344 4718005</t>
  </si>
  <si>
    <t>~Yahya Khan</t>
  </si>
  <si>
    <t>3203039145/03700164763</t>
  </si>
  <si>
    <t>Mubashra</t>
  </si>
  <si>
    <t>333 1114154</t>
  </si>
  <si>
    <t>Ali Awj</t>
  </si>
  <si>
    <t>322 2820828</t>
  </si>
  <si>
    <t>not intertested</t>
  </si>
  <si>
    <t>313 0374112</t>
  </si>
  <si>
    <t>311 3988661</t>
  </si>
  <si>
    <t>Sarah qasim</t>
  </si>
  <si>
    <t xml:space="preserve"> 315 1225396</t>
  </si>
  <si>
    <t>share demo</t>
  </si>
  <si>
    <t>no time</t>
  </si>
  <si>
    <t>Maheen jameel</t>
  </si>
  <si>
    <t>324 8184631</t>
  </si>
  <si>
    <t>till friday</t>
  </si>
  <si>
    <t>Samar khalid</t>
  </si>
  <si>
    <t>336 5930516</t>
  </si>
  <si>
    <t>Isma Sajid</t>
  </si>
  <si>
    <t>333 2676011</t>
  </si>
  <si>
    <t>Gul sher</t>
  </si>
  <si>
    <t xml:space="preserve"> 319 4356480/325 1174475</t>
  </si>
  <si>
    <t>312 5868707/332 7856707</t>
  </si>
  <si>
    <t>344 8609064</t>
  </si>
  <si>
    <t>maira</t>
  </si>
  <si>
    <t>328 6525620</t>
  </si>
  <si>
    <t>raveen</t>
  </si>
  <si>
    <t>336 3710331</t>
  </si>
  <si>
    <t>335 3959915</t>
  </si>
  <si>
    <t>rshare rec</t>
  </si>
  <si>
    <t>adnan</t>
  </si>
  <si>
    <t>315 2611750</t>
  </si>
  <si>
    <t>344 5705830</t>
  </si>
  <si>
    <t>Fiza soomro</t>
  </si>
  <si>
    <t>316 2865496</t>
  </si>
  <si>
    <t>Umer Shahid</t>
  </si>
  <si>
    <t>309 2359884</t>
  </si>
  <si>
    <t>Muhammad sufyan</t>
  </si>
  <si>
    <t>332 2139571</t>
  </si>
  <si>
    <t>pay within this week</t>
  </si>
  <si>
    <t>~Syed Ali Hassan</t>
  </si>
  <si>
    <t>313 4756033</t>
  </si>
  <si>
    <t>328 7018792</t>
  </si>
  <si>
    <t>~Suleman Farooqi</t>
  </si>
  <si>
    <t>324 3283901</t>
  </si>
  <si>
    <t>320 3040353</t>
  </si>
  <si>
    <t>inform by tonight</t>
  </si>
  <si>
    <t>sapna</t>
  </si>
  <si>
    <t>319 4667029</t>
  </si>
  <si>
    <t>345 1057577</t>
  </si>
  <si>
    <t>317 2191489</t>
  </si>
  <si>
    <t xml:space="preserve">need free course </t>
  </si>
  <si>
    <t>muhammad jawad</t>
  </si>
  <si>
    <t xml:space="preserve"> 348 2875668</t>
  </si>
  <si>
    <t>can't continue</t>
  </si>
  <si>
    <t>~Arslan Ahmad</t>
  </si>
  <si>
    <t>316 4123102</t>
  </si>
  <si>
    <t>300 9208706</t>
  </si>
  <si>
    <t>minahil manzoor</t>
  </si>
  <si>
    <t>300 1292489</t>
  </si>
  <si>
    <t xml:space="preserve">Anabia </t>
  </si>
  <si>
    <t>315 1307527</t>
  </si>
  <si>
    <t xml:space="preserve">shahrulkh---- </t>
  </si>
  <si>
    <t>313 5400848</t>
  </si>
  <si>
    <t xml:space="preserve">26th </t>
  </si>
  <si>
    <t>Ayesha tariq</t>
  </si>
  <si>
    <t>329 5968443</t>
  </si>
  <si>
    <t>334 2344358</t>
  </si>
  <si>
    <t>rec shared</t>
  </si>
  <si>
    <t>rafay</t>
  </si>
  <si>
    <t>347 3982843</t>
  </si>
  <si>
    <t>333 5728845</t>
  </si>
  <si>
    <t>muneeb mirza</t>
  </si>
  <si>
    <t>323 8215309</t>
  </si>
  <si>
    <t>demo was very good</t>
  </si>
  <si>
    <t>osama</t>
  </si>
  <si>
    <t>335 1033199</t>
  </si>
  <si>
    <t>kasim</t>
  </si>
  <si>
    <t>1 (224)425-2192</t>
  </si>
  <si>
    <t>muhammad huzaifa</t>
  </si>
  <si>
    <t>334 2215265</t>
  </si>
  <si>
    <t>by 10th jan</t>
  </si>
  <si>
    <t>923307955777</t>
  </si>
  <si>
    <t>y this weekend</t>
  </si>
  <si>
    <t>removed</t>
  </si>
  <si>
    <t>syed sharjeel</t>
  </si>
  <si>
    <t>323 2727644</t>
  </si>
  <si>
    <t>can pay in feb</t>
  </si>
  <si>
    <t>pay till 25th</t>
  </si>
  <si>
    <t>before class</t>
  </si>
  <si>
    <t>join new batch of jan</t>
  </si>
  <si>
    <t>Misbah</t>
  </si>
  <si>
    <t xml:space="preserve"> 318 1520412</t>
  </si>
  <si>
    <t xml:space="preserve"> 300 2949574</t>
  </si>
  <si>
    <t>Areeb ahmed</t>
  </si>
  <si>
    <t>atiq rafiq</t>
  </si>
  <si>
    <t>340 8217124</t>
  </si>
  <si>
    <t>321 4149536</t>
  </si>
  <si>
    <t>334 1027964</t>
  </si>
  <si>
    <t>335 0368003</t>
  </si>
  <si>
    <t>will inform till tomorrow</t>
  </si>
  <si>
    <t>330 5748258</t>
  </si>
  <si>
    <t>370 8409523</t>
  </si>
  <si>
    <t>share rec</t>
  </si>
  <si>
    <t>331 3853941</t>
  </si>
  <si>
    <t>lost don't need to join</t>
  </si>
  <si>
    <t>336 2115890</t>
  </si>
  <si>
    <t>305 2607664</t>
  </si>
  <si>
    <t>join after 2 months</t>
  </si>
  <si>
    <t>usman</t>
  </si>
  <si>
    <t>Akash</t>
  </si>
  <si>
    <t>344 4577250</t>
  </si>
  <si>
    <t>345 4163368</t>
  </si>
  <si>
    <t>303 4266661</t>
  </si>
  <si>
    <t>317 8932559</t>
  </si>
  <si>
    <t xml:space="preserve">sidra </t>
  </si>
  <si>
    <t>328 2300184</t>
  </si>
  <si>
    <t>1(786) 744-8754</t>
  </si>
  <si>
    <t>abrar</t>
  </si>
  <si>
    <t>342 2110004</t>
  </si>
  <si>
    <t>contact on sat</t>
  </si>
  <si>
    <t xml:space="preserve">zayn </t>
  </si>
  <si>
    <t>322 3745165</t>
  </si>
  <si>
    <t>need physical class</t>
  </si>
  <si>
    <t>abdul sattar</t>
  </si>
  <si>
    <t>301 1002109</t>
  </si>
  <si>
    <t>308 3814552</t>
  </si>
  <si>
    <t>323 6735136</t>
  </si>
  <si>
    <t>lutfur rehman</t>
  </si>
  <si>
    <t>333 0338675</t>
  </si>
  <si>
    <t>302 3445900</t>
  </si>
  <si>
    <t>faheem</t>
  </si>
  <si>
    <t>313 8787255</t>
  </si>
  <si>
    <t>Anum noman</t>
  </si>
  <si>
    <t>333 3653553</t>
  </si>
  <si>
    <t>can't understand</t>
  </si>
  <si>
    <t>333 3432156</t>
  </si>
  <si>
    <t>Hira</t>
  </si>
  <si>
    <t>300 5090151</t>
  </si>
  <si>
    <t>347 2914812</t>
  </si>
  <si>
    <t>335 7545589</t>
  </si>
  <si>
    <t>zain</t>
  </si>
  <si>
    <t>312 8136535</t>
  </si>
  <si>
    <t>324 7413846</t>
  </si>
  <si>
    <t>324 2588172</t>
  </si>
  <si>
    <t>327 8862414</t>
  </si>
  <si>
    <t xml:space="preserve">after 20th </t>
  </si>
  <si>
    <t>maham yasir</t>
  </si>
  <si>
    <t>336 6551688</t>
  </si>
  <si>
    <t>326 9203423</t>
  </si>
  <si>
    <t>330 3366994/303 9233197</t>
  </si>
  <si>
    <t>971 50 930 8681</t>
  </si>
  <si>
    <t>msg</t>
  </si>
  <si>
    <t>Muhammad Ghazanfar Hasan</t>
  </si>
  <si>
    <t>340 2259982</t>
  </si>
  <si>
    <t>315 7667284</t>
  </si>
  <si>
    <t>classes are good</t>
  </si>
  <si>
    <t>324 9007436</t>
  </si>
  <si>
    <t>his bro will msg</t>
  </si>
  <si>
    <t>333 9882708</t>
  </si>
  <si>
    <t>313 3358988</t>
  </si>
  <si>
    <t>308 3777798</t>
  </si>
  <si>
    <t>340 9309274</t>
  </si>
  <si>
    <t xml:space="preserve">Ali </t>
  </si>
  <si>
    <t>302 4192261</t>
  </si>
  <si>
    <t>317 2811825</t>
  </si>
  <si>
    <t>331 5888060</t>
  </si>
  <si>
    <t>342 0332786</t>
  </si>
  <si>
    <t>review the recordings</t>
  </si>
  <si>
    <t>M-usman</t>
  </si>
  <si>
    <t>317 1746598/ 3426378598</t>
  </si>
  <si>
    <t>330 3714005</t>
  </si>
  <si>
    <t>335 2266920</t>
  </si>
  <si>
    <t>300 8212544</t>
  </si>
  <si>
    <t>336 7006934</t>
  </si>
  <si>
    <t>saniya</t>
  </si>
  <si>
    <t>334 5382989</t>
  </si>
  <si>
    <t>till friday'</t>
  </si>
  <si>
    <t>322 7262298</t>
  </si>
  <si>
    <t>300 4555179</t>
  </si>
  <si>
    <t>~Minahil Ayub</t>
  </si>
  <si>
    <t>332 5449296</t>
  </si>
  <si>
    <t>tehreem</t>
  </si>
  <si>
    <t>345 2316647</t>
  </si>
  <si>
    <t>1 (613) 890-6887</t>
  </si>
  <si>
    <t>333 2356144</t>
  </si>
  <si>
    <t>332 0242308</t>
  </si>
  <si>
    <t>307 1894782</t>
  </si>
  <si>
    <t>342 3277893</t>
  </si>
  <si>
    <t>324 1488970</t>
  </si>
  <si>
    <t>300 8200235</t>
  </si>
  <si>
    <t>316 0778395</t>
  </si>
  <si>
    <t>nadia shabbir</t>
  </si>
  <si>
    <t>334 3100040</t>
  </si>
  <si>
    <t>by this fri</t>
  </si>
  <si>
    <t>339 6010205</t>
  </si>
  <si>
    <t>300 8736500</t>
  </si>
  <si>
    <t>309 9454904</t>
  </si>
  <si>
    <t>334 2665290</t>
  </si>
  <si>
    <t>303 3383001</t>
  </si>
  <si>
    <t>332 0978596</t>
  </si>
  <si>
    <t>310 3432257</t>
  </si>
  <si>
    <t>301 9617789</t>
  </si>
  <si>
    <t>300 3055444</t>
  </si>
  <si>
    <t>309 4406228</t>
  </si>
  <si>
    <t>348 3367006</t>
  </si>
  <si>
    <t>join after exams after 15 jan</t>
  </si>
  <si>
    <t>pay y this week</t>
  </si>
  <si>
    <t>321 2009436</t>
  </si>
  <si>
    <t>327 2745022</t>
  </si>
  <si>
    <t>321 3574144</t>
  </si>
  <si>
    <t>341 2145230</t>
  </si>
  <si>
    <t>309 1621894</t>
  </si>
  <si>
    <t>306 324 1751</t>
  </si>
  <si>
    <t>320 9974611</t>
  </si>
  <si>
    <t>355 8345252</t>
  </si>
  <si>
    <t>315 5140448</t>
  </si>
  <si>
    <t>muhammad amir</t>
  </si>
  <si>
    <t>307 7895848</t>
  </si>
  <si>
    <t>will confirm tonight</t>
  </si>
  <si>
    <t>316 4482814</t>
  </si>
  <si>
    <t>will review and inform within 2 days</t>
  </si>
  <si>
    <t>325 7264148</t>
  </si>
  <si>
    <t>313 0372758</t>
  </si>
  <si>
    <t>reviw the recordings within 2 days</t>
  </si>
  <si>
    <t>300 7239368</t>
  </si>
  <si>
    <t>325 9224400</t>
  </si>
  <si>
    <t>349 1888577</t>
  </si>
  <si>
    <t>331 4017087</t>
  </si>
  <si>
    <t>309 4588819</t>
  </si>
  <si>
    <t>311 8474690</t>
  </si>
  <si>
    <t>324 2314353</t>
  </si>
  <si>
    <t>Client Lost (10/13/2025, 11:24:25 AM)</t>
  </si>
  <si>
    <t>Client Lost (10/28/2025, 3:48:12 PM)</t>
  </si>
  <si>
    <t>Not Received (10/8/2025, 12:20:25 PM)</t>
  </si>
  <si>
    <t>Client Lost (10/15/2025, 2:02:00 PM)</t>
  </si>
  <si>
    <t>Client Lost (10/10/2025, 4:07:45 PM)</t>
  </si>
  <si>
    <t>Client Lost (10/15/2025, 2:02:06 PM)</t>
  </si>
  <si>
    <t>Client Lost (10/6/2025, 4:05:40 PM)</t>
  </si>
  <si>
    <t>Abdul Rauf Khan</t>
  </si>
  <si>
    <t>Not Received (10/28/2025, 10:47:08 AM)</t>
  </si>
  <si>
    <t>Not Received (10/30/2025, 11:40:30 AM)</t>
  </si>
  <si>
    <t>Not Received (10/30/2025, 1:04:07 PM)</t>
  </si>
  <si>
    <t>Not Received (10/13/2025, 4:21:12 PM)</t>
  </si>
  <si>
    <t>Not Received (10/7/2025, 10:32:05 AM)</t>
  </si>
  <si>
    <t>Not Received (10/8/2025, 12:09:25 PM)</t>
  </si>
  <si>
    <t>Client Lost (10/15/2025, 2:04:02 PM)</t>
  </si>
  <si>
    <t>Client Lost (10/11/2025, 5:47:01 PM)</t>
  </si>
  <si>
    <t>khadija jamil</t>
  </si>
  <si>
    <t>923710187107/923351611606</t>
  </si>
  <si>
    <t>Not Received (10/7/2025, 10:33:41 AM)</t>
  </si>
  <si>
    <t>Client Lost (11/14/2025, 12:31:29 PM)</t>
  </si>
  <si>
    <t>Call Received (11/1/2025, 1:54:54 PM)</t>
  </si>
  <si>
    <t>Confirmation (10/31/2025, 5:04:56 PM)</t>
  </si>
  <si>
    <t>Hira qureshi</t>
  </si>
  <si>
    <t>923211142879</t>
  </si>
  <si>
    <t>Client Lost (10/28/2025, 10:48:43 AM)</t>
  </si>
  <si>
    <t>Not Received (10/27/2025, 11:14:53 AM)</t>
  </si>
  <si>
    <t>Call Received (10/9/2025, 3:50:35 PM)</t>
  </si>
  <si>
    <t>Not Received (10/13/2025, 4:26:33 PM)</t>
  </si>
  <si>
    <t>jamal</t>
  </si>
  <si>
    <t>Call Received (10/7/2025, 10:42:04 AM)</t>
  </si>
  <si>
    <t>Confirmation (10/7/2025, 12:17:42 PM)</t>
  </si>
  <si>
    <t>Paid (10/14/2025, 2:56:24 PM)</t>
  </si>
  <si>
    <t>pay by 14</t>
  </si>
  <si>
    <t>shahzad iqbal</t>
  </si>
  <si>
    <t>Client Lost (10/17/2025, 10:53:33 AM)</t>
  </si>
  <si>
    <t>Not Received (10/8/2025, 11:02:54 AM)</t>
  </si>
  <si>
    <t>Not Received (10/9/2025, 1:40:04 PM)</t>
  </si>
  <si>
    <t>Not Received (10/13/2025, 4:29:05 PM)</t>
  </si>
  <si>
    <t>lost, time issues</t>
  </si>
  <si>
    <t>Call Later (10/7/2025, 10:38:49 AM)</t>
  </si>
  <si>
    <t>Call Received (10/8/2025, 12:13:51 PM)</t>
  </si>
  <si>
    <t>Not Received (10/7/2025, 3:40:22 PM)</t>
  </si>
  <si>
    <t>Not Received (10/14/2025, 4:24:05 PM)</t>
  </si>
  <si>
    <t>Call Received (10/7/2025, 11:00:14 AM)</t>
  </si>
  <si>
    <t>Call Received (10/9/2025, 12:26:57 PM)</t>
  </si>
  <si>
    <t>Client Lost (10/14/2025, 4:27:50 PM)</t>
  </si>
  <si>
    <t>will inform today, to learn new skills</t>
  </si>
  <si>
    <t>~Akhan</t>
  </si>
  <si>
    <t>Not Received (10/28/2025, 10:49:57 AM)</t>
  </si>
  <si>
    <t>Not Received (10/27/2025, 11:21:14 AM)</t>
  </si>
  <si>
    <t>Call Received (10/14/2025, 4:28:10 PM)</t>
  </si>
  <si>
    <t>inform in nextw eek</t>
  </si>
  <si>
    <t>Not Received (10/28/2025, 10:50:20 AM)</t>
  </si>
  <si>
    <t>Not Received (10/8/2025, 12:15:56 PM)</t>
  </si>
  <si>
    <t>Not Received (10/9/2025, 1:41:24 PM)</t>
  </si>
  <si>
    <t>Not Received (10/13/2025, 4:29:34 PM)</t>
  </si>
  <si>
    <t>Call Received (10/7/2025, 10:52:08 AM)</t>
  </si>
  <si>
    <t>Client Lost (10/7/2025, 11:07:06 AM)</t>
  </si>
  <si>
    <t>Not Received (10/7/2025, 10:54:34 AM)</t>
  </si>
  <si>
    <t>Client Lost (10/8/2025, 12:17:37 PM)</t>
  </si>
  <si>
    <t>Bilal baig</t>
  </si>
  <si>
    <t>Confirmation (10/8/2025, 12:26:17 PM)</t>
  </si>
  <si>
    <t>Paid (10/15/2025, 4:50:01 PM)</t>
  </si>
  <si>
    <t>Sachal</t>
  </si>
  <si>
    <t>Call Received (10/9/2025, 11:00:27 AM)</t>
  </si>
  <si>
    <t>Paid (10/29/2025, 12:47:21 PM)</t>
  </si>
  <si>
    <t>Call Later (10/14/2025, 4:29:00 PM)</t>
  </si>
  <si>
    <t>shabir</t>
  </si>
  <si>
    <t>Confirmation (10/9/2025, 12:32:45 PM)</t>
  </si>
  <si>
    <t>Paid (10/31/2025, 3:46:12 PM)</t>
  </si>
  <si>
    <t>Call Received (10/8/2025, 4:55:25 PM)</t>
  </si>
  <si>
    <t>will join but for satisfaction he'll 1st visit then pay</t>
  </si>
  <si>
    <t>muhammad Usama</t>
  </si>
  <si>
    <t>923177836247</t>
  </si>
  <si>
    <t>Not Received (10/28/2025, 10:51:22 AM)</t>
  </si>
  <si>
    <t>Not Received (10/9/2025, 12:33:52 PM)</t>
  </si>
  <si>
    <t>Call Received (10/7/2025, 1:02:40 PM)</t>
  </si>
  <si>
    <t>Not Received (10/13/2025, 4:29:59 PM)</t>
  </si>
  <si>
    <t>Sana</t>
  </si>
  <si>
    <t>Paid (10/24/2025, 10:06:40 AM)</t>
  </si>
  <si>
    <t>Demo (10/9/2025, 12:18:09 PM)</t>
  </si>
  <si>
    <t>Demo (10/13/2025, 2:58:44 PM)</t>
  </si>
  <si>
    <t>Demo (10/7/2025, 5:01:08 PM)</t>
  </si>
  <si>
    <t>pay  by 20th</t>
  </si>
  <si>
    <t>bakhtawar</t>
  </si>
  <si>
    <t>Client Lost (10/8/2025, 11:12:36 AM)</t>
  </si>
  <si>
    <t>Not Received (10/7/2025, 1:44:03 PM)</t>
  </si>
  <si>
    <t>Azhar</t>
  </si>
  <si>
    <t>Not Received (10/10/2025, 10:51:39 AM)</t>
  </si>
  <si>
    <t>Not Received (10/9/2025, 12:36:48 PM)</t>
  </si>
  <si>
    <t>Call Received (10/7/2025, 2:50:51 PM)</t>
  </si>
  <si>
    <t>Client Lost (10/11/2025, 5:58:45 PM)</t>
  </si>
  <si>
    <t>share info, wanna ask for his son</t>
  </si>
  <si>
    <t>~Abdul Rauf</t>
  </si>
  <si>
    <t>Client Lost (10/15/2025, 10:59:36 AM)</t>
  </si>
  <si>
    <t>Call Received (10/9/2025, 12:38:53 PM)</t>
  </si>
  <si>
    <t>Call Received (10/7/2025, 2:54:05 PM)</t>
  </si>
  <si>
    <t>Not Received (10/14/2025, 4:59:37 PM)</t>
  </si>
  <si>
    <t>lost, need claasses in lahore</t>
  </si>
  <si>
    <t>~Syed Muzafar Ali</t>
  </si>
  <si>
    <t>Client Lost (10/15/2025, 11:00:33 AM)</t>
  </si>
  <si>
    <t>Form Filled (10/8/2025, 12:27:30 PM)</t>
  </si>
  <si>
    <t>Call Received (10/7/2025, 3:00:14 PM)</t>
  </si>
  <si>
    <t>Not Received (10/14/2025, 5:01:07 PM)</t>
  </si>
  <si>
    <t xml:space="preserve">Abdullah </t>
  </si>
  <si>
    <t>Not Received (10/28/2025, 10:52:34 AM)</t>
  </si>
  <si>
    <t>Not Received (10/8/2025, 11:16:03 AM)</t>
  </si>
  <si>
    <t>Not Received (10/15/2025, 1:36:15 PM)</t>
  </si>
  <si>
    <t>Call Received (10/14/2025, 5:02:27 PM)</t>
  </si>
  <si>
    <t>~Dr  Shahbaz Asghar Uppal</t>
  </si>
  <si>
    <t>Not Received (10/28/2025, 10:52:59 AM)</t>
  </si>
  <si>
    <t>Not Received (10/8/2025, 11:17:35 AM)</t>
  </si>
  <si>
    <t>Not Received (10/9/2025, 1:51:41 PM)</t>
  </si>
  <si>
    <t>Not Received (10/13/2025, 4:32:30 PM)</t>
  </si>
  <si>
    <t>AL amin</t>
  </si>
  <si>
    <t>non e</t>
  </si>
  <si>
    <t>923411282221</t>
  </si>
  <si>
    <t>Client Lost (10/17/2025, 11:00:45 AM)</t>
  </si>
  <si>
    <t>Not Received (10/9/2025, 12:20:57 PM)</t>
  </si>
  <si>
    <t>Call Received (10/7/2025, 3:46:31 PM)</t>
  </si>
  <si>
    <t>Not Received (10/13/2025, 4:33:32 PM)</t>
  </si>
  <si>
    <t>Not Received (10/28/2025, 10:53:37 AM)</t>
  </si>
  <si>
    <t>Not Received (10/27/2025, 11:22:57 AM)</t>
  </si>
  <si>
    <t>Not Received (10/9/2025, 3:59:03 PM)</t>
  </si>
  <si>
    <t>Not Received (10/13/2025, 4:35:51 PM)</t>
  </si>
  <si>
    <t>Hunain</t>
  </si>
  <si>
    <t>Confirmation (10/10/2025, 10:56:00 AM)</t>
  </si>
  <si>
    <t>Client Lost (11/13/2025, 11:46:08 AM)</t>
  </si>
  <si>
    <t>Confirmation (10/15/2025, 3:32:05 PM)</t>
  </si>
  <si>
    <t>Confirmation (10/7/2025, 4:16:31 PM)</t>
  </si>
  <si>
    <t>will pay within few days</t>
  </si>
  <si>
    <t>Hyder zeeshan</t>
  </si>
  <si>
    <t>Not Received (10/8/2025, 10:54:10 AM)</t>
  </si>
  <si>
    <t>Client Lost (11/13/2025, 11:46:12 AM)</t>
  </si>
  <si>
    <t>Not Received (10/14/2025, 3:27:25 PM)</t>
  </si>
  <si>
    <t>will pay by 17-18</t>
  </si>
  <si>
    <t>~Mohammad Yaseen</t>
  </si>
  <si>
    <t>Not Received (10/28/2025, 10:53:56 AM)</t>
  </si>
  <si>
    <t>Not Received (10/27/2025, 11:23:19 AM)</t>
  </si>
  <si>
    <t>Not Received (10/17/2025, 3:46:20 PM)</t>
  </si>
  <si>
    <t>Call Received (10/14/2025, 5:03:27 PM)</t>
  </si>
  <si>
    <t>Tariiq Jamil</t>
  </si>
  <si>
    <t>Not Received (10/8/2025, 10:57:59 AM)</t>
  </si>
  <si>
    <t>Client Lost (11/14/2025, 12:29:37 PM)</t>
  </si>
  <si>
    <t>Demo (10/17/2025, 3:47:47 PM)</t>
  </si>
  <si>
    <t>Demo (10/9/2025, 4:08:15 PM)</t>
  </si>
  <si>
    <t>aatend 1st class as a trial</t>
  </si>
  <si>
    <t>Not Received (10/28/2025, 10:54:17 AM)</t>
  </si>
  <si>
    <t>Not Received (10/27/2025, 11:23:37 AM)</t>
  </si>
  <si>
    <t>Not Received (10/13/2025, 4:36:31 PM)</t>
  </si>
  <si>
    <t>~waqar Ahmad</t>
  </si>
  <si>
    <t>Call Received (10/8/2025, 12:00:26 PM)</t>
  </si>
  <si>
    <t>Call Received (10/9/2025, 1:14:43 PM)</t>
  </si>
  <si>
    <t>Client Lost (10/14/2025, 5:04:57 PM)</t>
  </si>
  <si>
    <t>Aabid Soomro</t>
  </si>
  <si>
    <t>Not Received (10/8/2025, 10:59:59 AM)</t>
  </si>
  <si>
    <t>Client Lost (11/13/2025, 11:46:15 AM)</t>
  </si>
  <si>
    <t>Confirmation (11/1/2025, 1:45:14 PM)</t>
  </si>
  <si>
    <t>Confirmation (10/9/2025, 5:07:07 PM)</t>
  </si>
  <si>
    <t>will pay before 15th</t>
  </si>
  <si>
    <t>Call Received (10/8/2025, 11:40:58 AM)</t>
  </si>
  <si>
    <t>Call Received (10/9/2025, 1:18:46 PM)</t>
  </si>
  <si>
    <t>Client Lost (10/11/2025, 5:35:46 PM)</t>
  </si>
  <si>
    <t>timing issues</t>
  </si>
  <si>
    <t>UMER</t>
  </si>
  <si>
    <t>Call Later (10/8/2025, 12:01:17 PM)</t>
  </si>
  <si>
    <t>Call Received (10/8/2025, 3:38:32 PM)</t>
  </si>
  <si>
    <t>Client Lost (10/13/2025, 4:44:14 PM)</t>
  </si>
  <si>
    <t>Client Lost (10/15/2025, 11:08:42 AM)</t>
  </si>
  <si>
    <t>Call Later (10/13/2025, 3:03:02 PM)</t>
  </si>
  <si>
    <t>Not Received (10/14/2025, 4:29:19 PM)</t>
  </si>
  <si>
    <t>~Muhammad Farooq</t>
  </si>
  <si>
    <t>Client Lost (10/28/2025, 10:55:11 AM)</t>
  </si>
  <si>
    <t>Not Received (10/27/2025, 11:24:38 AM)</t>
  </si>
  <si>
    <t>Not Received (10/14/2025, 5:05:59 PM)</t>
  </si>
  <si>
    <t>Alishba noman</t>
  </si>
  <si>
    <t>923164946412</t>
  </si>
  <si>
    <t>Call Received (10/17/2025, 11:05:00 AM)</t>
  </si>
  <si>
    <t>Client Lost (10/17/2025, 3:51:52 PM)</t>
  </si>
  <si>
    <t>Not Received (10/9/2025, 4:56:14 PM)</t>
  </si>
  <si>
    <t>Not Received (10/28/2025, 10:55:48 AM)</t>
  </si>
  <si>
    <t>Not Received (10/27/2025, 11:25:29 AM)</t>
  </si>
  <si>
    <t>Not Received (10/30/2025, 1:04:34 PM)</t>
  </si>
  <si>
    <t>Not Received (10/13/2025, 4:45:24 PM)</t>
  </si>
  <si>
    <t>~Emraan Jaffer</t>
  </si>
  <si>
    <t>Not Received (10/28/2025, 10:56:50 AM)</t>
  </si>
  <si>
    <t>Not Received (10/27/2025, 11:26:13 AM)</t>
  </si>
  <si>
    <t>Not Received (10/30/2025, 1:05:07 PM)</t>
  </si>
  <si>
    <t>Not Received (10/13/2025, 4:38:19 PM)</t>
  </si>
  <si>
    <t>share infp</t>
  </si>
  <si>
    <t>Azhar Maqsood Khan</t>
  </si>
  <si>
    <t>Not Received (10/10/2025, 11:05:52 AM)</t>
  </si>
  <si>
    <t>Call Received (10/8/2025, 2:41:47 PM)</t>
  </si>
  <si>
    <t>Client Lost (10/13/2025, 4:39:43 PM)</t>
  </si>
  <si>
    <t>Client Lost (10/9/2025, 1:20:58 PM)</t>
  </si>
  <si>
    <t>Call Received (10/8/2025, 5:40:42 PM)</t>
  </si>
  <si>
    <t>i guess lost ut will see</t>
  </si>
  <si>
    <t>Atif hussain</t>
  </si>
  <si>
    <t>923343256634</t>
  </si>
  <si>
    <t>Not Received (10/14/2025, 10:20:37 AM)</t>
  </si>
  <si>
    <t>Paid (10/17/2025, 12:55:01 PM)</t>
  </si>
  <si>
    <t>Confirmation (10/16/2025, 3:35:23 PM)</t>
  </si>
  <si>
    <t>Confirmation (10/8/2025, 4:53:40 PM)</t>
  </si>
  <si>
    <t>after 15th oct</t>
  </si>
  <si>
    <t>~Mureed Hussain</t>
  </si>
  <si>
    <t>Not Received (10/10/2025, 11:07:15 AM)</t>
  </si>
  <si>
    <t>Not Received (10/9/2025, 1:22:57 PM)</t>
  </si>
  <si>
    <t>Client Lost (10/13/2025, 4:40:37 PM)</t>
  </si>
  <si>
    <t>Client Lost (10/8/2025, 4:35:59 PM)</t>
  </si>
  <si>
    <t>zayan</t>
  </si>
  <si>
    <t>Demo (10/14/2025, 10:22:36 AM)</t>
  </si>
  <si>
    <t>Client Lost (11/14/2025, 12:29:51 PM)</t>
  </si>
  <si>
    <t>Not Received (10/13/2025, 4:40:54 PM)</t>
  </si>
  <si>
    <t>will inform after some time</t>
  </si>
  <si>
    <t>Not Received (10/28/2025, 10:57:12 AM)</t>
  </si>
  <si>
    <t>Not Received (10/27/2025, 11:26:35 AM)</t>
  </si>
  <si>
    <t>Call Received (10/8/2025, 2:39:21 PM)</t>
  </si>
  <si>
    <t>Not Received (10/13/2025, 4:48:12 PM)</t>
  </si>
  <si>
    <t>Not Received (10/9/2025, 12:10:28 PM)</t>
  </si>
  <si>
    <t>Client Lost (10/11/2025, 6:15:57 PM)</t>
  </si>
  <si>
    <t>lsot lead</t>
  </si>
  <si>
    <t>Mahnoor Zaffar</t>
  </si>
  <si>
    <t>Client Lost (10/9/2025, 12:13:23 PM)</t>
  </si>
  <si>
    <t>Not Received (10/8/2025, 5:38:27 PM)</t>
  </si>
  <si>
    <t>join after feb 2026</t>
  </si>
  <si>
    <t>~Syed Tariq Hussain</t>
  </si>
  <si>
    <t>Confirmation (10/10/2025, 11:25:29 AM)</t>
  </si>
  <si>
    <t>Paid (10/11/2025, 2:27:06 PM)</t>
  </si>
  <si>
    <t>Not Received (10/9/2025, 10:46:27 AM)</t>
  </si>
  <si>
    <t>Call Received (10/10/2025, 11:08:38 AM)</t>
  </si>
  <si>
    <t>Client Lost (10/13/2025, 4:49:33 PM)</t>
  </si>
  <si>
    <t>~Ashfaq Khan</t>
  </si>
  <si>
    <t>Not Received (10/9/2025, 10:49:03 AM)</t>
  </si>
  <si>
    <t>Client Lost (10/10/2025, 11:12:39 AM)</t>
  </si>
  <si>
    <t>Client Lost (10/9/2025, 10:50:21 AM)</t>
  </si>
  <si>
    <t>Zayn</t>
  </si>
  <si>
    <t>Not Received (10/28/2025, 10:57:33 AM)</t>
  </si>
  <si>
    <t>Not Received (10/27/2025, 11:26:57 AM)</t>
  </si>
  <si>
    <t>Not Received (10/30/2025, 1:07:36 PM)</t>
  </si>
  <si>
    <t>Not Received (10/13/2025, 4:51:18 PM)</t>
  </si>
  <si>
    <t>Not Received (10/9/2025, 11:01:13 AM)</t>
  </si>
  <si>
    <t>Paid (11/14/2025, 12:29:17 PM)</t>
  </si>
  <si>
    <t>Not Received (10/9/2025, 3:20:09 PM)</t>
  </si>
  <si>
    <t>Not Received (10/16/2025, 4:12:55 PM)</t>
  </si>
  <si>
    <t>interested, will join demo as of medical background</t>
  </si>
  <si>
    <t>Not Received (10/28/2025, 10:57:55 AM)</t>
  </si>
  <si>
    <t>Not Received (10/27/2025, 11:36:49 AM)</t>
  </si>
  <si>
    <t>Not Received (10/30/2025, 1:25:27 PM)</t>
  </si>
  <si>
    <t>Not Received (10/13/2025, 4:53:50 PM)</t>
  </si>
  <si>
    <t xml:space="preserve">Madiha  </t>
  </si>
  <si>
    <t>Not Received (10/14/2025, 10:29:08 AM)</t>
  </si>
  <si>
    <t>Call Received (10/29/2025, 12:48:37 PM)</t>
  </si>
  <si>
    <t>Client Lost (10/31/2025, 2:09:45 PM)</t>
  </si>
  <si>
    <t>Not Received (10/10/2025, 4:50:51 PM)</t>
  </si>
  <si>
    <t>Najia</t>
  </si>
  <si>
    <t>Not Received (10/28/2025, 11:00:47 AM)</t>
  </si>
  <si>
    <t>Not Received (10/27/2025, 11:38:19 AM)</t>
  </si>
  <si>
    <t>Not Received (10/30/2025, 1:26:09 PM)</t>
  </si>
  <si>
    <t>Not Received (10/14/2025, 10:31:03 AM)</t>
  </si>
  <si>
    <t>Client Lost (10/27/2025, 11:39:14 AM)</t>
  </si>
  <si>
    <t>~Ahsan Rafiq</t>
  </si>
  <si>
    <t>Call Received (10/9/2025, 11:35:00 AM)</t>
  </si>
  <si>
    <t>Client Lost (10/14/2025, 5:07:24 PM)</t>
  </si>
  <si>
    <t>amjidalikalhoro</t>
  </si>
  <si>
    <t>Not Received (10/9/2025, 11:35:37 AM)</t>
  </si>
  <si>
    <t>Call Received (10/9/2025, 3:06:53 PM)</t>
  </si>
  <si>
    <t>can't pay</t>
  </si>
  <si>
    <t>Fareeha Ashfaq</t>
  </si>
  <si>
    <t>Paid (11/3/2025, 10:46:24 AM)</t>
  </si>
  <si>
    <t>Call Received (10/9/2025, 11:38:00 AM)</t>
  </si>
  <si>
    <t>Call Received (10/17/2025, 3:53:37 PM)</t>
  </si>
  <si>
    <t>Confirmation (10/25/2025, 4:20:09 PM)</t>
  </si>
  <si>
    <t>will pay and  share the screenshot</t>
  </si>
  <si>
    <t>Call Received (10/9/2025, 11:46:16 AM)</t>
  </si>
  <si>
    <t>Client Lost (10/10/2025, 4:26:38 PM)</t>
  </si>
  <si>
    <t>Call Later (10/9/2025, 11:43:57 AM)</t>
  </si>
  <si>
    <t>Client Lost (10/14/2025, 5:16:31 PM)</t>
  </si>
  <si>
    <t>Muhammad Abid</t>
  </si>
  <si>
    <t>Client Lost (10/14/2025, 10:32:19 AM)</t>
  </si>
  <si>
    <t>Not Received (10/10/2025, 11:20:00 AM)</t>
  </si>
  <si>
    <t>Not Received (10/9/2025, 1:54:21 PM)</t>
  </si>
  <si>
    <t>Not Received (10/28/2025, 11:01:02 AM)</t>
  </si>
  <si>
    <t>Not Received (10/27/2025, 11:39:26 AM)</t>
  </si>
  <si>
    <t>Not Received (10/30/2025, 1:26:30 PM)</t>
  </si>
  <si>
    <t>~MUHAMMAD HURERA</t>
  </si>
  <si>
    <t>Client Lost (10/14/2025, 10:37:49 AM)</t>
  </si>
  <si>
    <t>Not Received (10/10/2025, 11:22:13 AM)</t>
  </si>
  <si>
    <t>Not Received (10/9/2025, 3:48:39 PM)</t>
  </si>
  <si>
    <t>Not Received (10/14/2025, 10:32:43 AM)</t>
  </si>
  <si>
    <t>Not Received (10/28/2025, 11:01:49 AM)</t>
  </si>
  <si>
    <t>Not Received (10/30/2025, 1:27:38 PM)</t>
  </si>
  <si>
    <t>Not Received (10/14/2025, 5:17:35 PM)</t>
  </si>
  <si>
    <t>923192848917/03242189602</t>
  </si>
  <si>
    <t>Not Received (10/14/2025, 10:34:44 AM)</t>
  </si>
  <si>
    <t>Client Lost (10/28/2025, 11:02:07 AM)</t>
  </si>
  <si>
    <t>Not Received (10/17/2025, 3:54:36 PM)</t>
  </si>
  <si>
    <t>Call Received (10/14/2025, 4:21:06 PM)</t>
  </si>
  <si>
    <t>shar einfo think and inform</t>
  </si>
  <si>
    <t>SYED IRFAN UL HAQ</t>
  </si>
  <si>
    <t>Call Received (10/14/2025, 10:38:08 AM)</t>
  </si>
  <si>
    <t>Client Lost (11/14/2025, 12:31:33 PM)</t>
  </si>
  <si>
    <t>Call Received (10/30/2025, 1:29:40 PM)</t>
  </si>
  <si>
    <t>Not Received (10/25/2025, 4:20:48 PM)</t>
  </si>
  <si>
    <t>awaismunir</t>
  </si>
  <si>
    <t>Not Received (10/14/2025, 10:39:31 AM)</t>
  </si>
  <si>
    <t>Call Received (10/17/2025, 11:20:17 AM)</t>
  </si>
  <si>
    <t>Not Received (10/30/2025, 1:31:45 PM)</t>
  </si>
  <si>
    <t>Call Received (10/25/2025, 4:32:07 PM)</t>
  </si>
  <si>
    <t>~Waqas Habib</t>
  </si>
  <si>
    <t>Paid (10/24/2025, 10:06:56 AM)</t>
  </si>
  <si>
    <t>Call Received (10/10/2025, 11:57:01 AM)</t>
  </si>
  <si>
    <t>Confirmation (10/16/2025, 3:35:29 PM)</t>
  </si>
  <si>
    <t>by 20th</t>
  </si>
  <si>
    <t>~Faisal Siddiqui</t>
  </si>
  <si>
    <t>Demo (10/18/2025, 10:10:55 AM)</t>
  </si>
  <si>
    <t>Client Lost (11/14/2025, 12:29:56 PM)</t>
  </si>
  <si>
    <t>Demo (10/13/2025, 3:04:52 PM)</t>
  </si>
  <si>
    <t>Demo (10/14/2025, 4:50:31 PM)</t>
  </si>
  <si>
    <t>share demo as he don't know the basics</t>
  </si>
  <si>
    <t>Not Received (10/29/2025, 12:51:44 PM)</t>
  </si>
  <si>
    <t>Not Received (10/30/2025, 1:33:03 PM)</t>
  </si>
  <si>
    <t>Call Later (10/16/2025, 4:14:04 PM)</t>
  </si>
  <si>
    <t>Khizar</t>
  </si>
  <si>
    <t>923342892252</t>
  </si>
  <si>
    <t>Call Received (10/10/2025, 12:13:20 PM)</t>
  </si>
  <si>
    <t>Call Received (10/15/2025, 1:46:56 PM)</t>
  </si>
  <si>
    <t>Client Lost (10/25/2025, 4:32:37 PM)</t>
  </si>
  <si>
    <t>Not Received (10/14/2025, 10:40:47 AM)</t>
  </si>
  <si>
    <t>Not Received (10/28/2025, 11:04:38 AM)</t>
  </si>
  <si>
    <t>Not Received (10/30/2025, 1:33:23 PM)</t>
  </si>
  <si>
    <t>Ahmed amir</t>
  </si>
  <si>
    <t>Not Received (10/14/2025, 10:41:40 AM)</t>
  </si>
  <si>
    <t>Not Received (10/28/2025, 11:04:55 AM)</t>
  </si>
  <si>
    <t>Not Received (10/30/2025, 1:33:52 PM)</t>
  </si>
  <si>
    <t>Not Received (10/10/2025, 12:34:08 PM)</t>
  </si>
  <si>
    <t>Client Lost (10/13/2025, 2:49:37 PM)</t>
  </si>
  <si>
    <t>Hammad</t>
  </si>
  <si>
    <t>Not Received (10/14/2025, 10:42:03 AM)</t>
  </si>
  <si>
    <t>Not Received (10/28/2025, 11:06:36 AM)</t>
  </si>
  <si>
    <t>Not Received (10/30/2025, 1:34:46 PM)</t>
  </si>
  <si>
    <t>Abdul rasheed</t>
  </si>
  <si>
    <t>Not Received (10/14/2025, 10:44:29 AM)</t>
  </si>
  <si>
    <t>Not Received (10/28/2025, 11:08:01 AM)</t>
  </si>
  <si>
    <t>Not Received (10/30/2025, 1:35:14 PM)</t>
  </si>
  <si>
    <t>habib</t>
  </si>
  <si>
    <t>Client Lost (10/28/2025, 11:09:00 AM)</t>
  </si>
  <si>
    <t>Call Received (10/10/2025, 3:12:00 PM)</t>
  </si>
  <si>
    <t>Not Received (10/25/2025, 4:33:18 PM)</t>
  </si>
  <si>
    <t>Call Received (10/10/2025, 12:45:09 PM)</t>
  </si>
  <si>
    <t>Client Lost (10/28/2025, 3:09:41 PM)</t>
  </si>
  <si>
    <t>Call Received (10/25/2025, 4:34:15 PM)</t>
  </si>
  <si>
    <t>will inform for his brother</t>
  </si>
  <si>
    <t>~Benish Fanyas</t>
  </si>
  <si>
    <t>Client Lost (11/13/2025, 11:46:19 AM)</t>
  </si>
  <si>
    <t>Confirmation (10/30/2025, 1:37:00 PM)</t>
  </si>
  <si>
    <t>Not Received (10/25/2025, 4:36:40 PM)</t>
  </si>
  <si>
    <t>will inform as his husband has showed interest</t>
  </si>
  <si>
    <t>Client Lost (10/14/2025, 10:48:47 AM)</t>
  </si>
  <si>
    <t>Not Received (10/10/2025, 12:53:34 PM)</t>
  </si>
  <si>
    <t>Not Received (10/10/2025, 12:54:37 PM)</t>
  </si>
  <si>
    <t>Confirmation (10/10/2025, 2:57:48 PM)</t>
  </si>
  <si>
    <t>Client Lost (10/31/2025, 5:05:48 PM)</t>
  </si>
  <si>
    <t>pay before 13</t>
  </si>
  <si>
    <t>sehar</t>
  </si>
  <si>
    <t>Client Lost (10/10/2025, 2:02:33 PM)</t>
  </si>
  <si>
    <t>rizwan ahmed</t>
  </si>
  <si>
    <t>923257574076</t>
  </si>
  <si>
    <t>Call Received (10/14/2025, 10:51:41 AM)</t>
  </si>
  <si>
    <t>Call Received (10/16/2025, 11:26:16 AM)</t>
  </si>
  <si>
    <t>Client Lost (10/28/2025, 3:11:28 PM)</t>
  </si>
  <si>
    <t>Call Received (10/25/2025, 4:38:01 PM)</t>
  </si>
  <si>
    <t>Not Received (10/14/2025, 10:52:43 AM)</t>
  </si>
  <si>
    <t>Not Received (10/28/2025, 11:09:52 AM)</t>
  </si>
  <si>
    <t>Not Received (10/30/2025, 1:37:25 PM)</t>
  </si>
  <si>
    <t>malkani shareef</t>
  </si>
  <si>
    <t>Not Received (10/14/2025, 10:54:02 AM)</t>
  </si>
  <si>
    <t>Not Received (10/28/2025, 11:11:34 AM)</t>
  </si>
  <si>
    <t>Client Lost (10/30/2025, 1:38:13 PM)</t>
  </si>
  <si>
    <t>Not Received (10/10/2025, 4:47:35 PM)</t>
  </si>
  <si>
    <t>Not Received (10/14/2025, 10:56:01 AM)</t>
  </si>
  <si>
    <t>Client Lost (10/15/2025, 11:33:25 AM)</t>
  </si>
  <si>
    <t>Not Received (10/10/2025, 3:31:20 PM)</t>
  </si>
  <si>
    <t>Not Received (10/10/2025, 4:47:57 PM)</t>
  </si>
  <si>
    <t>Client Lost (10/14/2025, 10:57:14 AM)</t>
  </si>
  <si>
    <t>Not Received (10/10/2025, 4:48:38 PM)</t>
  </si>
  <si>
    <t>M.Awais</t>
  </si>
  <si>
    <t>Not Received (10/14/2025, 10:57:39 AM)</t>
  </si>
  <si>
    <t>Not Received (10/28/2025, 11:13:56 AM)</t>
  </si>
  <si>
    <t>Not Received (10/30/2025, 1:38:31 PM)</t>
  </si>
  <si>
    <t xml:space="preserve">Abu muhammad rafay  </t>
  </si>
  <si>
    <t>Confirmation (11/14/2025, 12:30:01 PM)</t>
  </si>
  <si>
    <t>Demo (10/28/2025, 3:41:13 PM)</t>
  </si>
  <si>
    <t>Call Received (10/25/2025, 4:40:43 PM)</t>
  </si>
  <si>
    <t>interested after demo will pay</t>
  </si>
  <si>
    <t>Faizy</t>
  </si>
  <si>
    <t>Call Later (10/14/2025, 10:58:44 AM)</t>
  </si>
  <si>
    <t>Call Received (10/15/2025, 11:34:54 AM)</t>
  </si>
  <si>
    <t>Client Lost (11/4/2025, 3:34:52 PM)</t>
  </si>
  <si>
    <t>Not Received (10/29/2025, 4:17:34 PM)</t>
  </si>
  <si>
    <t>Not Received (10/14/2025, 10:59:06 AM)</t>
  </si>
  <si>
    <t>Not Received (10/28/2025, 11:14:43 AM)</t>
  </si>
  <si>
    <t>Not Received (10/30/2025, 1:39:40 PM)</t>
  </si>
  <si>
    <t>Not Received (10/14/2025, 4:31:02 PM)</t>
  </si>
  <si>
    <t>M. Bilal</t>
  </si>
  <si>
    <t>Not Received (10/14/2025, 11:00:18 AM)</t>
  </si>
  <si>
    <t>Client Lost (11/14/2025, 12:30:05 PM)</t>
  </si>
  <si>
    <t>Mirza Ferzand Ali1</t>
  </si>
  <si>
    <t>Not Received (10/28/2025, 11:15:22 AM)</t>
  </si>
  <si>
    <t>Not Received (10/30/2025, 1:40:22 PM)</t>
  </si>
  <si>
    <t>Not Received (10/14/2025, 5:25:57 PM)</t>
  </si>
  <si>
    <t>~Aitzaz Butt</t>
  </si>
  <si>
    <t>Client Lost (10/15/2025, 1:52:44 PM)</t>
  </si>
  <si>
    <t>Call Received (10/14/2025, 5:26:52 PM)</t>
  </si>
  <si>
    <t>share info interested in agentic AI</t>
  </si>
  <si>
    <t>~Sobia Shaikh</t>
  </si>
  <si>
    <t>Not Received (10/14/2025, 11:01:25 AM)</t>
  </si>
  <si>
    <t>Client Lost (10/27/2025, 11:49:09 AM)</t>
  </si>
  <si>
    <t>Not Received (10/11/2025, 1:30:36 PM)</t>
  </si>
  <si>
    <t>~Mr Waqas Khan</t>
  </si>
  <si>
    <t>Form Filled (10/24/2025, 10:56:16 AM)</t>
  </si>
  <si>
    <t>Client Lost (11/14/2025, 12:30:10 PM)</t>
  </si>
  <si>
    <t>Not Received (10/30/2025, 1:41:08 PM)</t>
  </si>
  <si>
    <t>interested, inform soon</t>
  </si>
  <si>
    <t>Not Received (10/14/2025, 11:01:30 AM)</t>
  </si>
  <si>
    <t>Not Received (10/28/2025, 11:17:47 AM)</t>
  </si>
  <si>
    <t>Not Received (10/30/2025, 1:41:35 PM)</t>
  </si>
  <si>
    <t xml:space="preserve">ZÀwÃ® Atíf </t>
  </si>
  <si>
    <t>Client Lost (10/27/2025, 11:53:31 AM)</t>
  </si>
  <si>
    <t>Not Received (10/11/2025, 1:34:04 PM)</t>
  </si>
  <si>
    <t>Sajid Awan</t>
  </si>
  <si>
    <t>Not Received (10/14/2025, 11:01:12 AM)</t>
  </si>
  <si>
    <t>Client Lost (10/15/2025, 11:43:57 AM)</t>
  </si>
  <si>
    <t>Not Received (10/11/2025, 1:34:36 PM)</t>
  </si>
  <si>
    <t>lost not now interested</t>
  </si>
  <si>
    <t>Naveed ahmed</t>
  </si>
  <si>
    <t>Call Later (10/17/2025, 11:30:05 AM)</t>
  </si>
  <si>
    <t>Not Received (10/30/2025, 1:42:31 PM)</t>
  </si>
  <si>
    <t>Not Received (10/29/2025, 4:19:07 PM)</t>
  </si>
  <si>
    <t>muhammadazfar</t>
  </si>
  <si>
    <t>Not Received (10/15/2025, 11:45:25 AM)</t>
  </si>
  <si>
    <t>Client Lost (10/29/2025, 3:30:16 PM)</t>
  </si>
  <si>
    <t>Call Received (10/25/2025, 4:50:31 PM)</t>
  </si>
  <si>
    <t>inform by 31st</t>
  </si>
  <si>
    <t>~Syed Aamir</t>
  </si>
  <si>
    <t>Not Received (10/28/2025, 11:18:49 AM)</t>
  </si>
  <si>
    <t>Not Received (10/30/2025, 1:43:29 PM)</t>
  </si>
  <si>
    <t>Not Received (10/14/2025, 4:32:07 PM)</t>
  </si>
  <si>
    <t>Haddi</t>
  </si>
  <si>
    <t>Not Received (10/14/2025, 11:01:00 AM)</t>
  </si>
  <si>
    <t>Call Received (10/17/2025, 11:33:03 AM)</t>
  </si>
  <si>
    <t>Call Received (10/11/2025, 1:56:49 PM)</t>
  </si>
  <si>
    <t>Client Lost (10/25/2025, 4:51:29 PM)</t>
  </si>
  <si>
    <t>umair</t>
  </si>
  <si>
    <t>Paid (11/13/2025, 11:46:24 AM)</t>
  </si>
  <si>
    <t>Confirmation (10/25/2025, 3:43:53 PM)</t>
  </si>
  <si>
    <t>Confirmation (10/31/2025, 5:05:59 PM)</t>
  </si>
  <si>
    <t>pay before 17</t>
  </si>
  <si>
    <t>M. BILAL</t>
  </si>
  <si>
    <t>Client Lost (11/14/2025, 12:31:09 PM)</t>
  </si>
  <si>
    <t>Demo (10/13/2025, 2:52:28 PM)</t>
  </si>
  <si>
    <t>Demo (10/16/2025, 4:43:51 PM)</t>
  </si>
  <si>
    <t>interested in physical classes but join demo</t>
  </si>
  <si>
    <t>Client Lost (10/28/2025, 11:19:52 AM)</t>
  </si>
  <si>
    <t>Not Received (10/11/2025, 2:18:37 PM)</t>
  </si>
  <si>
    <t>Not Received (10/14/2025, 5:29:22 PM)</t>
  </si>
  <si>
    <t>muhammad saad</t>
  </si>
  <si>
    <t>Not Received (10/28/2025, 11:20:49 AM)</t>
  </si>
  <si>
    <t>Not Received (10/30/2025, 1:43:49 PM)</t>
  </si>
  <si>
    <t>Not Received (10/11/2025, 5:19:23 PM)</t>
  </si>
  <si>
    <t>Not Received (10/28/2025, 11:21:09 AM)</t>
  </si>
  <si>
    <t>Not Received (10/30/2025, 1:47:14 PM)</t>
  </si>
  <si>
    <t>Call Received (10/11/2025, 5:26:46 PM)</t>
  </si>
  <si>
    <t xml:space="preserve"> hira naz</t>
  </si>
  <si>
    <t>Not Received (10/28/2025, 11:22:02 AM)</t>
  </si>
  <si>
    <t>Not Received (10/11/2025, 3:48:01 PM)</t>
  </si>
  <si>
    <t>saima</t>
  </si>
  <si>
    <t>Client Lost (10/14/2025, 11:29:24 AM)</t>
  </si>
  <si>
    <t>Not Received (10/11/2025, 3:48:05 PM)</t>
  </si>
  <si>
    <t>Not Received (10/28/2025, 11:22:37 AM)</t>
  </si>
  <si>
    <t>Not Received (10/30/2025, 1:49:42 PM)</t>
  </si>
  <si>
    <t>Not Received (10/28/2025, 11:22:57 AM)</t>
  </si>
  <si>
    <t>Not Received (10/30/2025, 1:50:01 PM)</t>
  </si>
  <si>
    <t>Not Received (10/11/2025, 5:27:11 PM)</t>
  </si>
  <si>
    <t>13/10/2025</t>
  </si>
  <si>
    <t>Komal Ghulam Nabi</t>
  </si>
  <si>
    <t>Not Received (10/13/2025, 11:01:00 AM)</t>
  </si>
  <si>
    <t>Call Later (10/13/2025, 11:16:21 AM)</t>
  </si>
  <si>
    <t>Not Received (10/15/2025, 1:57:13 PM)</t>
  </si>
  <si>
    <t>Confirmation (10/14/2025, 4:12:38 PM)</t>
  </si>
  <si>
    <t>pay before 19th</t>
  </si>
  <si>
    <t>Hamid Siddiqui</t>
  </si>
  <si>
    <t>Client Lost (10/15/2025, 11:49:55 AM)</t>
  </si>
  <si>
    <t>glti se hogya</t>
  </si>
  <si>
    <t>mohsin</t>
  </si>
  <si>
    <t>923212669289</t>
  </si>
  <si>
    <t>Client Lost (10/13/2025, 11:25:47 AM)</t>
  </si>
  <si>
    <t>abdul rafay</t>
  </si>
  <si>
    <t>Not Received (10/28/2025, 11:25:55 AM)</t>
  </si>
  <si>
    <t>Not Received (10/30/2025, 1:50:31 PM)</t>
  </si>
  <si>
    <t>Noor Ali</t>
  </si>
  <si>
    <t>Call Received (10/17/2025, 11:47:39 AM)</t>
  </si>
  <si>
    <t>Client Lost (10/25/2025, 5:06:55 PM)</t>
  </si>
  <si>
    <t>Malik zahid</t>
  </si>
  <si>
    <t>Client Lost (10/13/2025, 11:31:51 AM)</t>
  </si>
  <si>
    <t>Client Lost (10/28/2025, 11:26:53 AM)</t>
  </si>
  <si>
    <t>Not Received (10/25/2025, 4:53:55 PM)</t>
  </si>
  <si>
    <t>Rafid sofia</t>
  </si>
  <si>
    <t>Not Received (10/13/2025, 11:35:16 AM)</t>
  </si>
  <si>
    <t>Call Received (10/13/2025, 1:33:25 PM)</t>
  </si>
  <si>
    <t>Client Lost (10/14/2025, 5:40:17 PM)</t>
  </si>
  <si>
    <t>M.Saad</t>
  </si>
  <si>
    <t>Client Lost (10/28/2025, 11:31:42 AM)</t>
  </si>
  <si>
    <t>Not Received (10/15/2025, 1:58:30 PM)</t>
  </si>
  <si>
    <t>Call Received (10/14/2025, 5:41:06 PM)</t>
  </si>
  <si>
    <t>share uinfo</t>
  </si>
  <si>
    <t>Hafiza noor</t>
  </si>
  <si>
    <t>Call Later (10/17/2025, 11:50:10 AM)</t>
  </si>
  <si>
    <t>Client Lost (10/29/2025, 4:29:41 PM)</t>
  </si>
  <si>
    <t>Ejaz ahmed</t>
  </si>
  <si>
    <t>Call Later (10/17/2025, 11:51:03 AM)</t>
  </si>
  <si>
    <t>Client Lost (10/29/2025, 4:34:46 PM)</t>
  </si>
  <si>
    <t>Harris</t>
  </si>
  <si>
    <t>Client Lost (11/14/2025, 12:30:39 PM)</t>
  </si>
  <si>
    <t>Demo (10/25/2025, 5:00:06 PM)</t>
  </si>
  <si>
    <t>demo for proof like no scam they pay</t>
  </si>
  <si>
    <t>923128432650</t>
  </si>
  <si>
    <t>Call Later (10/28/2025, 11:32:33 AM)</t>
  </si>
  <si>
    <t>Not Received (10/29/2025, 4:39:05 PM)</t>
  </si>
  <si>
    <t>Call after 2:00 to 3:00 pm</t>
  </si>
  <si>
    <t>junaid mahesar</t>
  </si>
  <si>
    <t>Not Received (10/28/2025, 11:34:16 AM)</t>
  </si>
  <si>
    <t>Not Received (10/30/2025, 1:52:07 PM)</t>
  </si>
  <si>
    <t>Not Received (10/15/2025, 5:00:59 PM)</t>
  </si>
  <si>
    <t>muhammad alik</t>
  </si>
  <si>
    <t>Call Received (10/17/2025, 11:55:50 AM)</t>
  </si>
  <si>
    <t>Not Received (10/29/2025, 4:40:19 PM)</t>
  </si>
  <si>
    <t>wasim</t>
  </si>
  <si>
    <t>923142464114</t>
  </si>
  <si>
    <t>Call Received (10/13/2025, 12:01:24 PM)</t>
  </si>
  <si>
    <t>Client Lost (10/25/2025, 5:10:24 PM)</t>
  </si>
  <si>
    <t>Syed hassan bin ahsan</t>
  </si>
  <si>
    <t>Not Received (10/28/2025, 11:34:45 AM)</t>
  </si>
  <si>
    <t>Aamir Ali</t>
  </si>
  <si>
    <t>Call Received (10/27/2025, 12:14:56 PM)</t>
  </si>
  <si>
    <t>Not Received (10/30/2025, 1:59:41 PM)</t>
  </si>
  <si>
    <t>Call Later (10/15/2025, 11:59:54 AM)</t>
  </si>
  <si>
    <t>Client Lost (10/25/2025, 5:11:25 PM)</t>
  </si>
  <si>
    <t>sehrish</t>
  </si>
  <si>
    <t>Confirmation (10/13/2025, 12:45:49 PM)</t>
  </si>
  <si>
    <t>Confirmation (10/25/2025, 3:43:31 PM)</t>
  </si>
  <si>
    <t>Client Lost (10/31/2025, 5:06:08 PM)</t>
  </si>
  <si>
    <t>seat reserved. will pay before 26</t>
  </si>
  <si>
    <t>shahid rashid</t>
  </si>
  <si>
    <t>Not Received (10/28/2025, 11:35:22 AM)</t>
  </si>
  <si>
    <t>Not Received (10/30/2025, 2:00:38 PM)</t>
  </si>
  <si>
    <t>salman Ali</t>
  </si>
  <si>
    <t>Client Lost (10/27/2025, 12:18:32 PM)</t>
  </si>
  <si>
    <t>Call Received (10/13/2025, 1:06:35 PM)</t>
  </si>
  <si>
    <t>Not Received (10/25/2025, 5:12:25 PM)</t>
  </si>
  <si>
    <t>majid shekh</t>
  </si>
  <si>
    <t>Call Received (10/13/2025, 1:08:09 PM)</t>
  </si>
  <si>
    <t>Client Lost (10/15/2025, 5:12:07 PM)</t>
  </si>
  <si>
    <t>dastagheer</t>
  </si>
  <si>
    <t>Client Lost (10/13/2025, 1:13:05 PM)</t>
  </si>
  <si>
    <t>Not Received (10/28/2025, 11:36:07 AM)</t>
  </si>
  <si>
    <t>Call Received (10/30/2025, 2:02:05 PM)</t>
  </si>
  <si>
    <t>ehsan sami</t>
  </si>
  <si>
    <t>923337821256</t>
  </si>
  <si>
    <t>Form Filled (10/16/2025, 10:47:35 AM)</t>
  </si>
  <si>
    <t>Not Received (10/30/2025, 11:34:11 AM)</t>
  </si>
  <si>
    <t>Confirmation (10/30/2025, 2:04:28 PM)</t>
  </si>
  <si>
    <t>Client Lost (11/4/2025, 5:17:46 PM)</t>
  </si>
  <si>
    <t>usama Mughal</t>
  </si>
  <si>
    <t>Client Lost (11/14/2025, 12:31:22 PM)</t>
  </si>
  <si>
    <t>Demo (10/13/2025, 1:28:30 PM)</t>
  </si>
  <si>
    <t>Demo (10/16/2025, 4:43:58 PM)</t>
  </si>
  <si>
    <t>demo then pay</t>
  </si>
  <si>
    <t>sharif khaskheli</t>
  </si>
  <si>
    <t>Not Received (10/28/2025, 11:36:57 AM)</t>
  </si>
  <si>
    <t>Client Lost (10/30/2025, 2:06:31 PM)</t>
  </si>
  <si>
    <t>Not Received (10/15/2025, 5:13:29 PM)</t>
  </si>
  <si>
    <t>khalid khan</t>
  </si>
  <si>
    <t>Client Lost (10/13/2025, 2:41:40 PM)</t>
  </si>
  <si>
    <t>bilal tariq</t>
  </si>
  <si>
    <t>Client Lost (10/13/2025, 2:43:46 PM)</t>
  </si>
  <si>
    <t>muhammad adnan</t>
  </si>
  <si>
    <t>923116345447</t>
  </si>
  <si>
    <t>Call Received (10/13/2025, 1:38:29 PM)</t>
  </si>
  <si>
    <t>Demo (10/15/2025, 5:19:45 PM)</t>
  </si>
  <si>
    <t>demo class live then decide</t>
  </si>
  <si>
    <t>Demo (10/27/2025, 11:54:20 AM)</t>
  </si>
  <si>
    <t>Not Received (10/13/2025, 1:39:44 PM)</t>
  </si>
  <si>
    <t>Not Received (10/16/2025, 10:59:06 AM)</t>
  </si>
  <si>
    <t>Not Received (10/15/2025, 12:31:19 PM)</t>
  </si>
  <si>
    <t>Client Lost (10/29/2025, 3:31:35 PM)</t>
  </si>
  <si>
    <t>Call Received (10/25/2025, 5:13:26 PM)</t>
  </si>
  <si>
    <t>Client Lost (10/17/2025, 12:10:24 PM)</t>
  </si>
  <si>
    <t>Call Received (10/13/2025, 1:47:07 PM)</t>
  </si>
  <si>
    <t>Not Received (10/15/2025, 5:23:31 PM)</t>
  </si>
  <si>
    <t>Not Received (10/14/2025, 10:19:26 AM)</t>
  </si>
  <si>
    <t>Client Lost (10/27/2025, 12:22:11 PM)</t>
  </si>
  <si>
    <t>Not Received (10/16/2025, 4:34:22 PM)</t>
  </si>
  <si>
    <t>Ashbir A naeem</t>
  </si>
  <si>
    <t>Not Received (10/28/2025, 11:38:46 AM)</t>
  </si>
  <si>
    <t>Not Received (10/30/2025, 2:10:07 PM)</t>
  </si>
  <si>
    <t>Not Received (10/28/2025, 11:39:13 AM)</t>
  </si>
  <si>
    <t>Not Received (10/30/2025, 2:10:39 PM)</t>
  </si>
  <si>
    <t>Not Received (10/16/2025, 4:55:30 PM)</t>
  </si>
  <si>
    <t>Not Received (10/28/2025, 11:39:41 AM)</t>
  </si>
  <si>
    <t>Not Received (10/16/2025, 1:39:09 PM)</t>
  </si>
  <si>
    <t>Faisal Ali</t>
  </si>
  <si>
    <t>Call Later (10/27/2025, 12:26:09 PM)</t>
  </si>
  <si>
    <t>Not Received (10/29/2025, 4:41:24 PM)</t>
  </si>
  <si>
    <t>Fazila shah</t>
  </si>
  <si>
    <t>Not Received (10/28/2025, 11:41:39 AM)</t>
  </si>
  <si>
    <t>Not Received (10/13/2025, 1:48:09 PM)</t>
  </si>
  <si>
    <t>Not Received (10/16/2025, 5:06:44 PM)</t>
  </si>
  <si>
    <t>Client Lost (10/14/2025, 11:45:36 AM)</t>
  </si>
  <si>
    <t>Not Received (10/13/2025, 2:45:42 PM)</t>
  </si>
  <si>
    <t>lost lead need job</t>
  </si>
  <si>
    <t>Dua ARIF</t>
  </si>
  <si>
    <t>Confirmation (10/14/2025, 12:19:23 PM)</t>
  </si>
  <si>
    <t>Client Lost (10/25/2025, 3:42:21 PM)</t>
  </si>
  <si>
    <t>Syeda Iqra Fatima</t>
  </si>
  <si>
    <t>Client Lost (10/15/2025, 12:08:59 PM)</t>
  </si>
  <si>
    <t>Not Received (10/13/2025, 2:48:33 PM)</t>
  </si>
  <si>
    <t>Not Received (10/28/2025, 11:42:37 AM)</t>
  </si>
  <si>
    <t>Not Received (10/30/2025, 2:25:54 PM)</t>
  </si>
  <si>
    <t>14/10/2025</t>
  </si>
  <si>
    <t>Client Lost (10/15/2025, 12:13:13 PM)</t>
  </si>
  <si>
    <t>Sahil~Jairamani</t>
  </si>
  <si>
    <t>Call Received (10/14/2025, 11:51:03 AM)</t>
  </si>
  <si>
    <t>Client Lost (10/16/2025, 1:48:59 PM)</t>
  </si>
  <si>
    <t>Rizwan</t>
  </si>
  <si>
    <t>Not Received (10/28/2025, 11:43:13 AM)</t>
  </si>
  <si>
    <t>Not Received (10/30/2025, 2:26:00 PM)</t>
  </si>
  <si>
    <t>Client Lost (10/27/2025, 12:29:17 PM)</t>
  </si>
  <si>
    <t>Not Received (10/16/2025, 1:43:05 PM)</t>
  </si>
  <si>
    <t>Call Received (10/15/2025, 12:20:59 PM)</t>
  </si>
  <si>
    <t>Call Received (10/29/2025, 3:32:20 PM)</t>
  </si>
  <si>
    <t>Call Received (10/25/2025, 5:16:24 PM)</t>
  </si>
  <si>
    <t>interested but join after some time, followup in novemebrr 1st to ask</t>
  </si>
  <si>
    <t>irfan</t>
  </si>
  <si>
    <t>923323622749</t>
  </si>
  <si>
    <t>Not Received (10/28/2025, 11:44:33 AM)</t>
  </si>
  <si>
    <t>Not Received (10/30/2025, 2:26:44 PM)</t>
  </si>
  <si>
    <t>sheraz</t>
  </si>
  <si>
    <t>Client Lost (10/14/2025, 1:29:04 PM)</t>
  </si>
  <si>
    <t>hira naseer</t>
  </si>
  <si>
    <t>923278620697</t>
  </si>
  <si>
    <t>Client Lost (10/27/2025, 12:32:16 PM)</t>
  </si>
  <si>
    <t>Call Received (10/16/2025, 1:28:38 PM)</t>
  </si>
  <si>
    <t>Not Received (10/25/2025, 5:16:55 PM)</t>
  </si>
  <si>
    <t>not now</t>
  </si>
  <si>
    <t>Call Later (10/28/2025, 11:45:52 AM)</t>
  </si>
  <si>
    <t>Not Received (10/30/2025, 2:27:41 PM)</t>
  </si>
  <si>
    <t>Not Received (10/29/2025, 4:42:14 PM)</t>
  </si>
  <si>
    <t>Hunaian</t>
  </si>
  <si>
    <t>Confirmation (10/17/2025, 10:40:20 AM)</t>
  </si>
  <si>
    <t>Client Lost (11/13/2025, 11:48:06 AM)</t>
  </si>
  <si>
    <t>Confirmation (10/25/2025, 3:41:26 PM)</t>
  </si>
  <si>
    <t>pay after 20th</t>
  </si>
  <si>
    <t>Demo (10/27/2025, 12:34:46 PM)</t>
  </si>
  <si>
    <t>Not Received (10/16/2025, 1:44:46 PM)</t>
  </si>
  <si>
    <t>Madiha Ehsan</t>
  </si>
  <si>
    <t>Not Received (10/28/2025, 11:46:49 AM)</t>
  </si>
  <si>
    <t>Not Received (10/30/2025, 2:28:05 PM)</t>
  </si>
  <si>
    <t>Not Received (10/28/2025, 11:48:17 AM)</t>
  </si>
  <si>
    <t>Not Received (10/30/2025, 2:29:04 PM)</t>
  </si>
  <si>
    <t>Not Received (10/14/2025, 4:45:32 PM)</t>
  </si>
  <si>
    <t>Demo (10/16/2025, 4:44:08 PM)</t>
  </si>
  <si>
    <t>Call Received (10/28/2025, 11:54:33 AM)</t>
  </si>
  <si>
    <t>Not Received (10/30/2025, 2:30:41 PM)</t>
  </si>
  <si>
    <t>Not Received (10/16/2025, 4:27:08 PM)</t>
  </si>
  <si>
    <t>Talha farhan</t>
  </si>
  <si>
    <t>Not Received (10/28/2025, 11:59:45 AM)</t>
  </si>
  <si>
    <t>Not Received (10/30/2025, 2:32:46 PM)</t>
  </si>
  <si>
    <t>Form Filled (10/16/2025, 4:49:40 PM)</t>
  </si>
  <si>
    <t>Not Received (10/28/2025, 11:59:54 AM)</t>
  </si>
  <si>
    <t>Not Received (10/30/2025, 2:34:24 PM)</t>
  </si>
  <si>
    <t>Not Received (10/25/2025, 5:17:22 PM)</t>
  </si>
  <si>
    <t>shared with her frnd</t>
  </si>
  <si>
    <t>15/10/2025</t>
  </si>
  <si>
    <t>Not Received (10/28/2025, 12:00:12 PM)</t>
  </si>
  <si>
    <t>Not Received (10/30/2025, 2:36:38 PM)</t>
  </si>
  <si>
    <t>Not Received (10/16/2025, 4:28:07 PM)</t>
  </si>
  <si>
    <t>923224822441</t>
  </si>
  <si>
    <t>Call Received (10/15/2025, 12:51:54 PM)</t>
  </si>
  <si>
    <t>Call Received (10/16/2025, 3:59:28 PM)</t>
  </si>
  <si>
    <t>Client Lost (10/25/2025, 5:18:40 PM)</t>
  </si>
  <si>
    <t>Call Received (10/15/2025, 12:58:58 PM)</t>
  </si>
  <si>
    <t>Call Received (10/29/2025, 3:37:35 PM)</t>
  </si>
  <si>
    <t>Call Received (10/25/2025, 5:21:27 PM)</t>
  </si>
  <si>
    <t>Not Received (10/15/2025, 1:00:17 PM)</t>
  </si>
  <si>
    <t>Client Lost (10/16/2025, 4:29:03 PM)</t>
  </si>
  <si>
    <t>~shagufi sabir</t>
  </si>
  <si>
    <t>923213553510</t>
  </si>
  <si>
    <t>Not Received (10/28/2025, 12:00:42 PM)</t>
  </si>
  <si>
    <t>Not Received (10/30/2025, 2:37:19 PM)</t>
  </si>
  <si>
    <t>Client Lost (10/15/2025, 1:02:53 PM)</t>
  </si>
  <si>
    <t>Abd ur Rahman</t>
  </si>
  <si>
    <t>Client Lost (10/16/2025, 11:14:17 AM)</t>
  </si>
  <si>
    <t>Not Received (10/15/2025, 1:08:20 PM)</t>
  </si>
  <si>
    <t>Not Received (10/28/2025, 12:01:06 PM)</t>
  </si>
  <si>
    <t>Not Received (10/30/2025, 2:39:01 PM)</t>
  </si>
  <si>
    <t xml:space="preserve">Ahmad </t>
  </si>
  <si>
    <t>Paid (11/14/2025, 12:30:51 PM)</t>
  </si>
  <si>
    <t>Not Received (10/15/2025, 1:10:16 PM)</t>
  </si>
  <si>
    <t>Demo (10/16/2025, 4:44:32 PM)</t>
  </si>
  <si>
    <t>share demo recording</t>
  </si>
  <si>
    <t>Ibn-e-Saif</t>
  </si>
  <si>
    <t>923202116453/3152996246</t>
  </si>
  <si>
    <t>Call Received (10/15/2025, 1:31:49 PM)</t>
  </si>
  <si>
    <t>Client Lost (10/25/2025, 5:21:46 PM)</t>
  </si>
  <si>
    <t>if interested will inform</t>
  </si>
  <si>
    <t>Memoona Afreen</t>
  </si>
  <si>
    <t>Client Lost (10/15/2025, 1:15:18 PM)</t>
  </si>
  <si>
    <t>Farooq Khokhar</t>
  </si>
  <si>
    <t>Not Received (10/29/2025, 3:38:07 PM)</t>
  </si>
  <si>
    <t>Call Received (10/25/2025, 5:22:39 PM)</t>
  </si>
  <si>
    <t>prospect_90</t>
  </si>
  <si>
    <t>Not Received (10/27/2025, 12:45:59 PM)</t>
  </si>
  <si>
    <t>Not Received (10/30/2025, 2:39:27 PM)</t>
  </si>
  <si>
    <t>16/10/2025</t>
  </si>
  <si>
    <t>Muhammad Haseeb Khalid</t>
  </si>
  <si>
    <t>Call Later (10/16/2025, 10:53:20 AM)</t>
  </si>
  <si>
    <t>Not Received (10/17/2025, 12:23:09 PM)</t>
  </si>
  <si>
    <t>Paid (10/24/2025, 1:50:18 PM)</t>
  </si>
  <si>
    <t>Not Received (10/16/2025, 4:35:03 PM)</t>
  </si>
  <si>
    <t>nonn</t>
  </si>
  <si>
    <t>923317915569/3005601333</t>
  </si>
  <si>
    <t>Not Received (10/16/2025, 10:58:49 AM)</t>
  </si>
  <si>
    <t>Call Received (10/28/2025, 12:03:38 PM)</t>
  </si>
  <si>
    <t>Not Received (10/15/2025, 1:26:47 PM)</t>
  </si>
  <si>
    <t>Not Received (10/25/2025, 5:23:01 PM)</t>
  </si>
  <si>
    <t>Not Received (10/28/2025, 12:04:14 PM)</t>
  </si>
  <si>
    <t>Not Received (10/30/2025, 2:42:06 PM)</t>
  </si>
  <si>
    <t>Manzar</t>
  </si>
  <si>
    <t>Call Later (10/16/2025, 11:00:15 AM)</t>
  </si>
  <si>
    <t>Client Lost (10/25/2025, 5:28:10 PM)</t>
  </si>
  <si>
    <t>Call Received (10/17/2025, 12:25:23 PM)</t>
  </si>
  <si>
    <t>Client Lost (10/17/2025, 4:54:15 PM)</t>
  </si>
  <si>
    <t>923101140696</t>
  </si>
  <si>
    <t>Paid (11/14/2025, 12:30:55 PM)</t>
  </si>
  <si>
    <t>Demo (10/16/2025, 3:00:59 PM)</t>
  </si>
  <si>
    <t>A siddique</t>
  </si>
  <si>
    <t>923122090202</t>
  </si>
  <si>
    <t>Call Received (10/17/2025, 12:27:32 PM)</t>
  </si>
  <si>
    <t>Client Lost (10/29/2025, 3:39:24 PM)</t>
  </si>
  <si>
    <t>Not Received (10/18/2025, 10:16:26 AM)</t>
  </si>
  <si>
    <t>Not Received (10/28/2025, 12:05:08 PM)</t>
  </si>
  <si>
    <t>Not Received (10/30/2025, 2:43:24 PM)</t>
  </si>
  <si>
    <t>Call Received (10/25/2025, 5:25:07 PM)</t>
  </si>
  <si>
    <t>Call Later (10/16/2025, 11:25:38 AM)</t>
  </si>
  <si>
    <t>Call Received (10/29/2025, 4:44:10 PM)</t>
  </si>
  <si>
    <t>Malik Rizwan</t>
  </si>
  <si>
    <t>Call Received (10/16/2025, 11:31:42 AM)</t>
  </si>
  <si>
    <t>Client Lost (10/25/2025, 5:25:59 PM)</t>
  </si>
  <si>
    <t>Adnan Warsi</t>
  </si>
  <si>
    <t>Not Received (10/18/2025, 10:20:05 AM)</t>
  </si>
  <si>
    <t>Call Received (10/27/2025, 12:50:05 PM)</t>
  </si>
  <si>
    <t>Call Received (10/29/2025, 3:40:32 PM)</t>
  </si>
  <si>
    <t>Not Received (10/28/2025, 12:05:26 PM)</t>
  </si>
  <si>
    <t>Not Received (10/30/2025, 2:44:07 PM)</t>
  </si>
  <si>
    <t>Not Received (10/25/2025, 5:27:55 PM)</t>
  </si>
  <si>
    <t>her sister has applied at home, call after 9:00 pm but share info</t>
  </si>
  <si>
    <t>Client Lost (10/17/2025, 12:41:34 PM)</t>
  </si>
  <si>
    <t>Not Received (10/18/2025, 10:21:34 AM)</t>
  </si>
  <si>
    <t>Not Received (10/28/2025, 12:06:34 PM)</t>
  </si>
  <si>
    <t>Not Received (10/30/2025, 2:45:46 PM)</t>
  </si>
  <si>
    <t>Not Received (10/16/2025, 11:38:01 AM)</t>
  </si>
  <si>
    <t>Client Lost (10/16/2025, 3:01:47 PM)</t>
  </si>
  <si>
    <t>Client Lost (10/16/2025, 11:40:27 AM)</t>
  </si>
  <si>
    <t>not interested in online</t>
  </si>
  <si>
    <t>muhammad kashif</t>
  </si>
  <si>
    <t>923161571879</t>
  </si>
  <si>
    <t>Demo (10/16/2025, 11:44:56 AM)</t>
  </si>
  <si>
    <t>share recording</t>
  </si>
  <si>
    <t>Zehra Sharifi</t>
  </si>
  <si>
    <t>Call Received (10/16/2025, 11:48:22 AM)</t>
  </si>
  <si>
    <t>Call Received (10/29/2025, 3:46:49 PM)</t>
  </si>
  <si>
    <t>Call Received (10/25/2025, 5:29:08 PM)</t>
  </si>
  <si>
    <t>923297524189</t>
  </si>
  <si>
    <t>Not Received (10/28/2025, 12:09:51 PM)</t>
  </si>
  <si>
    <t>Not Received (10/30/2025, 2:46:30 PM)</t>
  </si>
  <si>
    <t>Not Received (10/25/2025, 5:29:44 PM)</t>
  </si>
  <si>
    <t>share info, CS background</t>
  </si>
  <si>
    <t xml:space="preserve">shamsher </t>
  </si>
  <si>
    <t>Not Received (10/18/2025, 10:22:01 AM)</t>
  </si>
  <si>
    <t>Not Received (10/28/2025, 12:13:59 PM)</t>
  </si>
  <si>
    <t>Client Lost (10/30/2025, 2:47:00 PM)</t>
  </si>
  <si>
    <t>prospect_102</t>
  </si>
  <si>
    <t>Client Lost (10/30/2025, 11:10:48 AM)</t>
  </si>
  <si>
    <t>Call Received (10/29/2025, 3:47:24 PM)</t>
  </si>
  <si>
    <t>share infor, inform soon</t>
  </si>
  <si>
    <t>Call Later (10/17/2025, 12:45:57 PM)</t>
  </si>
  <si>
    <t>Client Lost (10/30/2025, 2:49:17 PM)</t>
  </si>
  <si>
    <t>Not Received (10/29/2025, 4:45:07 PM)</t>
  </si>
  <si>
    <t>Not Received (10/18/2025, 10:23:47 AM)</t>
  </si>
  <si>
    <t>Not Received (10/16/2025, 12:04:11 PM)</t>
  </si>
  <si>
    <t>Call Received (10/29/2025, 3:49:13 PM)</t>
  </si>
  <si>
    <t>Call Received (10/25/2025, 5:32:04 PM)</t>
  </si>
  <si>
    <t>Abdul Qadeer Baloch</t>
  </si>
  <si>
    <t>Not Received (10/18/2025, 10:24:20 AM)</t>
  </si>
  <si>
    <t>Not Received (10/28/2025, 12:15:05 PM)</t>
  </si>
  <si>
    <t>Call Received (10/15/2025, 1:25:13 PM)</t>
  </si>
  <si>
    <t>Call Received (10/25/2025, 5:31:00 PM)</t>
  </si>
  <si>
    <t>Qadir ShaMoon</t>
  </si>
  <si>
    <t>Call Received (10/16/2025, 12:10:02 PM)</t>
  </si>
  <si>
    <t>Client Lost (10/29/2025, 3:53:52 PM)</t>
  </si>
  <si>
    <t>Call Received (10/25/2025, 5:32:59 PM)</t>
  </si>
  <si>
    <t>economics field, will inform soon</t>
  </si>
  <si>
    <t>Adan Khan</t>
  </si>
  <si>
    <t>Call Received (10/16/2025, 12:21:05 PM)</t>
  </si>
  <si>
    <t>Call Received (10/29/2025, 3:51:51 PM)</t>
  </si>
  <si>
    <t>Call Received (10/25/2025, 5:34:45 PM)</t>
  </si>
  <si>
    <t>share info for his son</t>
  </si>
  <si>
    <t>syed zahid abaas</t>
  </si>
  <si>
    <t>923004169872</t>
  </si>
  <si>
    <t>Call Received (10/28/2025, 12:16:22 PM)</t>
  </si>
  <si>
    <t>Call Received (10/29/2025, 3:55:08 PM)</t>
  </si>
  <si>
    <t>Not Received (10/25/2025, 5:35:35 PM)</t>
  </si>
  <si>
    <t>jobless, share info</t>
  </si>
  <si>
    <t>shamoon shahram</t>
  </si>
  <si>
    <t>Not Received (10/18/2025, 10:25:08 AM)</t>
  </si>
  <si>
    <t>Not Received (10/28/2025, 12:17:28 PM)</t>
  </si>
  <si>
    <t>Not Received (10/30/2025, 2:50:17 PM)</t>
  </si>
  <si>
    <t>ZAHEER</t>
  </si>
  <si>
    <t>Call Received (10/29/2025, 3:56:33 PM)</t>
  </si>
  <si>
    <t>Call Received (10/25/2025, 5:37:04 PM)</t>
  </si>
  <si>
    <t>will inform till 1st</t>
  </si>
  <si>
    <t>Samz hijabi</t>
  </si>
  <si>
    <t>Client Lost (10/27/2025, 12:54:59 PM)</t>
  </si>
  <si>
    <t>Call Received (10/16/2025, 3:49:57 PM)</t>
  </si>
  <si>
    <t>Not Received (10/25/2025, 5:38:14 PM)</t>
  </si>
  <si>
    <t>Call Received (10/29/2025, 3:57:23 PM)</t>
  </si>
  <si>
    <t>Call Received (10/25/2025, 5:38:45 PM)</t>
  </si>
  <si>
    <t>Nadia Iqbal</t>
  </si>
  <si>
    <t>Call Received (10/29/2025, 3:59:09 PM)</t>
  </si>
  <si>
    <t>Call Received (10/25/2025, 5:40:13 PM)</t>
  </si>
  <si>
    <t>sikandar hayat</t>
  </si>
  <si>
    <t>Client Lost (10/27/2025, 12:56:21 PM)</t>
  </si>
  <si>
    <t>Call Received (10/16/2025, 3:57:21 PM)</t>
  </si>
  <si>
    <t>Not Received (10/25/2025, 5:41:20 PM)</t>
  </si>
  <si>
    <t>Not Received (10/18/2025, 10:26:30 AM)</t>
  </si>
  <si>
    <t>Client Lost (10/27/2025, 12:57:09 PM)</t>
  </si>
  <si>
    <t>Not Received (10/16/2025, 5:34:32 PM)</t>
  </si>
  <si>
    <t>17/10/2025</t>
  </si>
  <si>
    <t>Vinod Kumar</t>
  </si>
  <si>
    <t>Not Received (10/18/2025, 10:27:29 AM)</t>
  </si>
  <si>
    <t>Not Received (10/28/2025, 12:18:00 PM)</t>
  </si>
  <si>
    <t>Not Received (10/30/2025, 2:50:39 PM)</t>
  </si>
  <si>
    <t>Call Received (10/16/2025, 5:33:01 PM)</t>
  </si>
  <si>
    <t>sheraz ali</t>
  </si>
  <si>
    <t>Not Received (10/18/2025, 10:28:55 AM)</t>
  </si>
  <si>
    <t>Not Received (10/28/2025, 12:26:36 PM)</t>
  </si>
  <si>
    <t>haris khan</t>
  </si>
  <si>
    <t>Call Received (10/18/2025, 10:31:37 AM)</t>
  </si>
  <si>
    <t>Not Received (10/17/2025, 1:01:55 PM)</t>
  </si>
  <si>
    <t>Not Received (11/1/2025, 1:19:50 PM)</t>
  </si>
  <si>
    <t>asfar imaam</t>
  </si>
  <si>
    <t>Demo (10/17/2025, 1:18:55 PM)</t>
  </si>
  <si>
    <t>Mohammad Ajmal</t>
  </si>
  <si>
    <t>Call Received (10/18/2025, 10:33:06 AM)</t>
  </si>
  <si>
    <t>Call Received (11/1/2025, 1:20:33 PM)</t>
  </si>
  <si>
    <t>Call Received (10/29/2025, 4:02:30 PM)</t>
  </si>
  <si>
    <t>Hakim Ali</t>
  </si>
  <si>
    <t>Client Lost (10/18/2025, 10:34:26 AM)</t>
  </si>
  <si>
    <t>Not Received (10/17/2025, 1:20:53 PM)</t>
  </si>
  <si>
    <t>need physical clssses</t>
  </si>
  <si>
    <t>Not Received (10/18/2025, 10:34:40 AM)</t>
  </si>
  <si>
    <t>Not Received (10/28/2025, 12:27:09 PM)</t>
  </si>
  <si>
    <t>Not Received (10/17/2025, 1:21:22 PM)</t>
  </si>
  <si>
    <t>Muhammad Farooq</t>
  </si>
  <si>
    <t>Not Received (10/30/2025, 11:35:12 AM)</t>
  </si>
  <si>
    <t>Not Received (10/30/2025, 2:52:25 PM)</t>
  </si>
  <si>
    <t>Call Later (10/29/2025, 4:03:26 PM)</t>
  </si>
  <si>
    <t xml:space="preserve">Imran  </t>
  </si>
  <si>
    <t>Client Lost (10/17/2025, 3:22:47 PM)</t>
  </si>
  <si>
    <t>Client Lost (10/27/2025, 1:04:39 PM)</t>
  </si>
  <si>
    <t>lost led</t>
  </si>
  <si>
    <t>Call Received (10/17/2025, 1:28:09 PM)</t>
  </si>
  <si>
    <t>Client Lost (10/29/2025, 4:03:45 PM)</t>
  </si>
  <si>
    <t>nadeem awan</t>
  </si>
  <si>
    <t>Client Lost (10/28/2025, 12:29:16 PM)</t>
  </si>
  <si>
    <t>Not Received (10/27/2025, 1:05:28 PM)</t>
  </si>
  <si>
    <t>Not Received (10/30/2025, 11:36:41 AM)</t>
  </si>
  <si>
    <t>Not Received (10/30/2025, 2:52:32 PM)</t>
  </si>
  <si>
    <t>Call Later (10/29/2025, 4:05:26 PM)</t>
  </si>
  <si>
    <t>call y 11:00 AM tomorrow</t>
  </si>
  <si>
    <t>Not Received (10/28/2025, 12:30:14 PM)</t>
  </si>
  <si>
    <t>Not Received (10/30/2025, 2:53:39 PM)</t>
  </si>
  <si>
    <t>Not Received (10/28/2025, 12:31:11 PM)</t>
  </si>
  <si>
    <t>Not Received (10/30/2025, 2:53:57 PM)</t>
  </si>
  <si>
    <t>saqibjaved</t>
  </si>
  <si>
    <t>Paid (11/14/2025, 12:31:55 PM)</t>
  </si>
  <si>
    <t>Not Received (10/27/2025, 1:07:07 PM)</t>
  </si>
  <si>
    <t>Ayesha Naqvi</t>
  </si>
  <si>
    <t>Confirmation (10/17/2025, 10:51:07 AM)</t>
  </si>
  <si>
    <t>Paid (10/25/2025, 3:40:39 PM)</t>
  </si>
  <si>
    <t>will pay in 2 days</t>
  </si>
  <si>
    <t>Call Received (10/17/2025, 3:30:28 PM)</t>
  </si>
  <si>
    <t>Client Lost (10/29/2025, 4:07:52 PM)</t>
  </si>
  <si>
    <t>sabzayi</t>
  </si>
  <si>
    <t>923363636112</t>
  </si>
  <si>
    <t>Not Received (10/28/2025, 12:33:38 PM)</t>
  </si>
  <si>
    <t>Client Lost (11/1/2025, 1:17:00 PM)</t>
  </si>
  <si>
    <t>Call Received (10/31/2025, 5:10:53 PM)</t>
  </si>
  <si>
    <t>discount 3500 will inform in morning</t>
  </si>
  <si>
    <t>Client Lost (10/27/2025, 1:12:39 PM)</t>
  </si>
  <si>
    <t>Aamir Shaikh</t>
  </si>
  <si>
    <t>Client Lost (11/1/2025, 1:17:52 PM)</t>
  </si>
  <si>
    <t>Call Received (10/29/2025, 4:11:25 PM)</t>
  </si>
  <si>
    <t>Nauman Idrees</t>
  </si>
  <si>
    <t>Call Received (10/17/2025, 3:44:00 PM)</t>
  </si>
  <si>
    <t>Client Lost (10/29/2025, 4:12:35 PM)</t>
  </si>
  <si>
    <t>need advanced course</t>
  </si>
  <si>
    <t>Zargham Mughal</t>
  </si>
  <si>
    <t>Call Received (10/17/2025, 4:53:43 PM)</t>
  </si>
  <si>
    <t>interested, but fees issues</t>
  </si>
  <si>
    <t>24/10/2025</t>
  </si>
  <si>
    <t>Not Received (10/24/2025, 10:49:42 AM)</t>
  </si>
  <si>
    <t>Not Received (10/30/2025, 11:41:10 AM)</t>
  </si>
  <si>
    <t>Not Received (10/31/2025, 1:03:04 PM)</t>
  </si>
  <si>
    <t>Not Received (10/30/2025, 11:42:58 AM)</t>
  </si>
  <si>
    <t>Not Received (10/30/2025, 2:57:09 PM)</t>
  </si>
  <si>
    <t>Demo (10/24/2025, 11:19:55 AM)</t>
  </si>
  <si>
    <t>923432337211</t>
  </si>
  <si>
    <t>Not Received (10/30/2025, 11:43:44 AM)</t>
  </si>
  <si>
    <t>Not Received (10/31/2025, 1:06:00 PM)</t>
  </si>
  <si>
    <t>muhammad danish karim</t>
  </si>
  <si>
    <t>923439499941</t>
  </si>
  <si>
    <t>Not Received (10/30/2025, 11:44:01 AM)</t>
  </si>
  <si>
    <t>Not Received (10/31/2025, 1:06:20 PM)</t>
  </si>
  <si>
    <t>irum gilani</t>
  </si>
  <si>
    <t>923005565732</t>
  </si>
  <si>
    <t>Not Received (10/30/2025, 11:45:10 AM)</t>
  </si>
  <si>
    <t>Not Received (10/31/2025, 1:06:51 PM)</t>
  </si>
  <si>
    <t>923103122223</t>
  </si>
  <si>
    <t>Client Lost (10/24/2025, 11:24:31 AM)</t>
  </si>
  <si>
    <t>Omay Malik</t>
  </si>
  <si>
    <t>923129113198</t>
  </si>
  <si>
    <t>Client Lost (10/28/2025, 12:41:38 PM)</t>
  </si>
  <si>
    <t>Not Received (10/27/2025, 1:28:30 PM)</t>
  </si>
  <si>
    <t>in december, join  new batch</t>
  </si>
  <si>
    <t>nadia shabir</t>
  </si>
  <si>
    <t>923343100040</t>
  </si>
  <si>
    <t>Client Lost (10/30/2025, 11:38:27 AM)</t>
  </si>
  <si>
    <t>Call Received (10/27/2025, 1:33:30 PM)</t>
  </si>
  <si>
    <t>Call Received (10/29/2025, 4:14:36 PM)</t>
  </si>
  <si>
    <t>will inform, interested</t>
  </si>
  <si>
    <t>haroon</t>
  </si>
  <si>
    <t>923488665346</t>
  </si>
  <si>
    <t>Not Received (10/30/2025, 11:45:37 AM)</t>
  </si>
  <si>
    <t>Not Received (10/31/2025, 2:11:03 PM)</t>
  </si>
  <si>
    <t xml:space="preserve">Muhammad Musadiq Mehmood </t>
  </si>
  <si>
    <t>923030759014</t>
  </si>
  <si>
    <t>Form Filled (10/24/2025, 10:55:49 AM)</t>
  </si>
  <si>
    <t>Not Received (10/24/2025, 11:27:58 AM)</t>
  </si>
  <si>
    <t>Call Received (10/24/2025, 2:07:49 PM)</t>
  </si>
  <si>
    <t>Client Lost (10/29/2025, 4:15:45 PM)</t>
  </si>
  <si>
    <t>already have experience in django and want to switch to data science</t>
  </si>
  <si>
    <t>anbar saad</t>
  </si>
  <si>
    <t>923364813315</t>
  </si>
  <si>
    <t>Not Received (10/30/2025, 11:45:43 AM)</t>
  </si>
  <si>
    <t>Not Received (10/31/2025, 1:09:03 PM)</t>
  </si>
  <si>
    <t>Mazhar</t>
  </si>
  <si>
    <t>923412268613</t>
  </si>
  <si>
    <t>Client Lost (10/30/2025, 11:40:08 AM)</t>
  </si>
  <si>
    <t>hassan Awan</t>
  </si>
  <si>
    <t>923345861978</t>
  </si>
  <si>
    <t>Call Received (10/24/2025, 11:32:58 AM)</t>
  </si>
  <si>
    <t>Client Lost (10/30/2025, 3:26:36 PM)</t>
  </si>
  <si>
    <t>Shoaib Aslam</t>
  </si>
  <si>
    <t>Not Received (10/30/2025, 11:46:15 AM)</t>
  </si>
  <si>
    <t>Not Received (10/31/2025, 1:11:21 PM)</t>
  </si>
  <si>
    <t>Not Received (10/30/2025, 11:46:32 AM)</t>
  </si>
  <si>
    <t>Not Received (10/31/2025, 1:11:40 PM)</t>
  </si>
  <si>
    <t>Hussam</t>
  </si>
  <si>
    <t>923045575740</t>
  </si>
  <si>
    <t>Call Received (10/24/2025, 11:36:31 AM)</t>
  </si>
  <si>
    <t>Client Lost (11/1/2025, 1:21:49 PM)</t>
  </si>
  <si>
    <t>will visit</t>
  </si>
  <si>
    <t xml:space="preserve">talha rehman </t>
  </si>
  <si>
    <t>923065671476</t>
  </si>
  <si>
    <t>Not Received (10/30/2025, 11:46:49 AM)</t>
  </si>
  <si>
    <t>Call Later (10/31/2025, 1:13:19 PM)</t>
  </si>
  <si>
    <t>Faraz khan</t>
  </si>
  <si>
    <t>923238870009</t>
  </si>
  <si>
    <t>Call Received (10/24/2025, 11:39:38 AM)</t>
  </si>
  <si>
    <t>Not Received (11/1/2025, 1:22:32 PM)</t>
  </si>
  <si>
    <t>join after 3 months</t>
  </si>
  <si>
    <t>shahzad</t>
  </si>
  <si>
    <t>923209556970/03436799295</t>
  </si>
  <si>
    <t>Client Lost (11/13/2025, 11:48:13 AM)</t>
  </si>
  <si>
    <t>Call Received (10/27/2025, 2:00:08 PM)</t>
  </si>
  <si>
    <t>Confirmation (10/27/2025, 4:14:28 PM)</t>
  </si>
  <si>
    <t>923155133472</t>
  </si>
  <si>
    <t>Call Received (10/24/2025, 11:42:32 AM)</t>
  </si>
  <si>
    <t>Client Lost (10/30/2025, 3:33:33 PM)</t>
  </si>
  <si>
    <t>will inform, not interested</t>
  </si>
  <si>
    <t>Not Received (10/30/2025, 11:47:33 AM)</t>
  </si>
  <si>
    <t>Not Received (10/31/2025, 1:14:24 PM)</t>
  </si>
  <si>
    <t>syed Ali raza</t>
  </si>
  <si>
    <t>923459427404</t>
  </si>
  <si>
    <t>Not Received (10/30/2025, 11:48:17 AM)</t>
  </si>
  <si>
    <t>Call Received (11/1/2025, 1:23:42 PM)</t>
  </si>
  <si>
    <t>Not Received (10/30/2025, 11:48:35 AM)</t>
  </si>
  <si>
    <t>Not Received (10/31/2025, 2:13:52 PM)</t>
  </si>
  <si>
    <t>fayyaz</t>
  </si>
  <si>
    <t>923353450026</t>
  </si>
  <si>
    <t>Confirmation (10/31/2025, 10:34:48 AM)</t>
  </si>
  <si>
    <t>Client Lost (11/13/2025, 11:48:17 AM)</t>
  </si>
  <si>
    <t>Confirmation (10/24/2025, 2:24:18 PM)</t>
  </si>
  <si>
    <t>by 1st november.</t>
  </si>
  <si>
    <t>923095460412</t>
  </si>
  <si>
    <t>Not Received (10/24/2025, 11:44:30 AM)</t>
  </si>
  <si>
    <t>Client Lost (10/27/2025, 2:04:14 PM)</t>
  </si>
  <si>
    <t>Not Received (10/24/2025, 11:45:35 AM)</t>
  </si>
  <si>
    <t>Client Lost (10/31/2025, 2:16:37 PM)</t>
  </si>
  <si>
    <t>fahad qadeer</t>
  </si>
  <si>
    <t>923323255123</t>
  </si>
  <si>
    <t>Call Received (10/24/2025, 11:47:22 AM)</t>
  </si>
  <si>
    <t>Client Lost (10/31/2025, 2:17:02 PM)</t>
  </si>
  <si>
    <t>share info, will review</t>
  </si>
  <si>
    <t>mansoor</t>
  </si>
  <si>
    <t>923055101804</t>
  </si>
  <si>
    <t>Call Received (10/24/2025, 11:51:42 AM)</t>
  </si>
  <si>
    <t>Call Received (11/1/2025, 1:26:16 PM)</t>
  </si>
  <si>
    <t>website review share</t>
  </si>
  <si>
    <t>Dua batool</t>
  </si>
  <si>
    <t>923265948904</t>
  </si>
  <si>
    <t>Call Received (10/24/2025, 11:55:44 AM)</t>
  </si>
  <si>
    <t>Not Received (10/31/2025, 2:17:26 PM)</t>
  </si>
  <si>
    <t>923448970056</t>
  </si>
  <si>
    <t>Confirmation (10/24/2025, 11:56:44 AM)</t>
  </si>
  <si>
    <t>Paid (11/1/2025, 1:44:32 PM)</t>
  </si>
  <si>
    <t>Confirmation (10/28/2025, 4:24:55 PM)</t>
  </si>
  <si>
    <t>pay by 27th oct</t>
  </si>
  <si>
    <t>Demo (10/31/2025, 11:43:43 AM)</t>
  </si>
  <si>
    <t>Call Received (10/30/2025, 4:12:53 PM)</t>
  </si>
  <si>
    <t>rrec shared</t>
  </si>
  <si>
    <t>923161007048</t>
  </si>
  <si>
    <t>Not Received (10/30/2025, 11:49:01 AM)</t>
  </si>
  <si>
    <t>Not Received (10/31/2025, 2:18:08 PM)</t>
  </si>
  <si>
    <t xml:space="preserve">Muzammil Khan </t>
  </si>
  <si>
    <t>923187968770</t>
  </si>
  <si>
    <t>Form Filled (10/24/2025, 10:53:47 AM)</t>
  </si>
  <si>
    <t>Client Lost (10/30/2025, 11:29:52 AM)</t>
  </si>
  <si>
    <t>Not Received (10/27/2025, 2:36:06 PM)</t>
  </si>
  <si>
    <t>Not Received (10/30/2025, 11:49:25 AM)</t>
  </si>
  <si>
    <t>Not Received (10/31/2025, 2:24:29 PM)</t>
  </si>
  <si>
    <t>Not Received (10/30/2025, 11:52:08 AM)</t>
  </si>
  <si>
    <t>Not Received (10/27/2025, 2:39:53 PM)</t>
  </si>
  <si>
    <t>Client Lost (10/24/2025, 12:17:33 PM)</t>
  </si>
  <si>
    <t>jawad shah</t>
  </si>
  <si>
    <t>923133999348</t>
  </si>
  <si>
    <t>Not Received (10/30/2025, 11:53:06 AM)</t>
  </si>
  <si>
    <t>Not Received (10/27/2025, 2:41:18 PM)</t>
  </si>
  <si>
    <t>Not Received (10/30/2025, 11:54:04 AM)</t>
  </si>
  <si>
    <t>Not Received (10/27/2025, 2:41:44 PM)</t>
  </si>
  <si>
    <t>Amir salahuddin</t>
  </si>
  <si>
    <t>923332349987</t>
  </si>
  <si>
    <t>Not Received (10/24/2025, 12:21:12 PM)</t>
  </si>
  <si>
    <t>Client Lost (10/24/2025, 3:00:03 PM)</t>
  </si>
  <si>
    <t>sultan</t>
  </si>
  <si>
    <t>923001233099</t>
  </si>
  <si>
    <t>Not Received (10/24/2025, 12:21:40 PM)</t>
  </si>
  <si>
    <t>Client Lost (10/27/2025, 2:43:57 PM)</t>
  </si>
  <si>
    <t>waheeda</t>
  </si>
  <si>
    <t>923268529357</t>
  </si>
  <si>
    <t>Client Lost (10/30/2025, 11:54:56 AM)</t>
  </si>
  <si>
    <t>Not Received (10/27/2025, 2:46:22 PM)</t>
  </si>
  <si>
    <t>923302817151</t>
  </si>
  <si>
    <t>Not Received (10/30/2025, 11:55:23 AM)</t>
  </si>
  <si>
    <t>Not Received (10/27/2025, 2:49:16 PM)</t>
  </si>
  <si>
    <t>iftikhar Ahmed</t>
  </si>
  <si>
    <t>923009405818</t>
  </si>
  <si>
    <t>Client Lost (10/24/2025, 12:26:33 PM)</t>
  </si>
  <si>
    <t>M. Hassan</t>
  </si>
  <si>
    <t>923176019949</t>
  </si>
  <si>
    <t>Call Later (10/24/2025, 12:27:33 PM)</t>
  </si>
  <si>
    <t>Not Received (10/30/2025, 5:27:21 PM)</t>
  </si>
  <si>
    <t>923368284798</t>
  </si>
  <si>
    <t>Not Received (10/24/2025, 12:28:52 PM)</t>
  </si>
  <si>
    <t>Call Received (10/27/2025, 2:51:24 PM)</t>
  </si>
  <si>
    <t>Client Lost (10/30/2025, 5:35:11 PM)</t>
  </si>
  <si>
    <t>Not Received (10/31/2025, 11:44:42 AM)</t>
  </si>
  <si>
    <t>Call Received (10/27/2025, 2:55:45 PM)</t>
  </si>
  <si>
    <t>Call Received (10/30/2025, 5:31:04 PM)</t>
  </si>
  <si>
    <t>share ifo</t>
  </si>
  <si>
    <t>Qazi mehmood</t>
  </si>
  <si>
    <t>923222226017</t>
  </si>
  <si>
    <t>Not Received (10/24/2025, 12:30:45 PM)</t>
  </si>
  <si>
    <t>Client Lost (10/27/2025, 2:58:08 PM)</t>
  </si>
  <si>
    <t>farooq</t>
  </si>
  <si>
    <t>923447222230</t>
  </si>
  <si>
    <t>Client Lost (10/31/2025, 11:46:06 AM)</t>
  </si>
  <si>
    <t>Sauliha Faheem</t>
  </si>
  <si>
    <t>923463091369</t>
  </si>
  <si>
    <t>Client Lost (10/24/2025, 11:54:31 AM)</t>
  </si>
  <si>
    <t>Anwar</t>
  </si>
  <si>
    <t>923179001899</t>
  </si>
  <si>
    <t>Call Received (10/31/2025, 11:47:37 AM)</t>
  </si>
  <si>
    <t>Call Received (11/1/2025, 1:26:57 PM)</t>
  </si>
  <si>
    <t>Not Received (10/30/2025, 11:57:33 AM)</t>
  </si>
  <si>
    <t>Not Received (10/27/2025, 3:01:43 PM)</t>
  </si>
  <si>
    <t>Not Received (10/31/2025, 11:48:28 AM)</t>
  </si>
  <si>
    <t>Call Received (10/27/2025, 3:04:05 PM)</t>
  </si>
  <si>
    <t>Maham Ali</t>
  </si>
  <si>
    <t>923006699158</t>
  </si>
  <si>
    <t>Call Received (10/31/2025, 11:48:51 AM)</t>
  </si>
  <si>
    <t>Call Received (11/1/2025, 1:27:46 PM)</t>
  </si>
  <si>
    <t>Call Received (10/29/2025, 4:47:54 PM)</t>
  </si>
  <si>
    <t>Arif</t>
  </si>
  <si>
    <t>923002012931</t>
  </si>
  <si>
    <t>Call Received (10/31/2025, 11:50:52 AM)</t>
  </si>
  <si>
    <t>Not Received (11/1/2025, 1:36:28 PM)</t>
  </si>
  <si>
    <t>share info will inform</t>
  </si>
  <si>
    <t>Adeel salim</t>
  </si>
  <si>
    <t>923002028833</t>
  </si>
  <si>
    <t>Not Received (10/30/2025, 12:26:22 PM)</t>
  </si>
  <si>
    <t>Not Received (10/29/2025, 4:48:52 PM)</t>
  </si>
  <si>
    <t>abdullah</t>
  </si>
  <si>
    <t>Client Lost (11/14/2025, 12:29:26 PM)</t>
  </si>
  <si>
    <t>Confirmation (10/31/2025, 4:56:57 PM)</t>
  </si>
  <si>
    <t>27/10/2025</t>
  </si>
  <si>
    <t>Not Received (10/30/2025, 12:27:27 PM)</t>
  </si>
  <si>
    <t>Not Received (10/28/2025, 1:44:50 PM)</t>
  </si>
  <si>
    <t>Not Received (10/31/2025, 11:52:00 AM)</t>
  </si>
  <si>
    <t>Call Received (10/24/2025, 2:20:01 PM)</t>
  </si>
  <si>
    <t>Not Received (10/31/2025, 11:54:16 AM)</t>
  </si>
  <si>
    <t>Call Received (10/24/2025, 1:06:35 PM)</t>
  </si>
  <si>
    <t>share info, seems like not interested</t>
  </si>
  <si>
    <t>Not Received (10/30/2025, 12:27:45 PM)</t>
  </si>
  <si>
    <t>Not Received (10/27/2025, 3:05:08 PM)</t>
  </si>
  <si>
    <t>Omair khan</t>
  </si>
  <si>
    <t>923041521419</t>
  </si>
  <si>
    <t>Paid (11/3/2025, 10:46:06 AM)</t>
  </si>
  <si>
    <t>Confirmation (10/31/2025, 11:32:00 AM)</t>
  </si>
  <si>
    <t>Confirmation (11/1/2025, 1:47:25 PM)</t>
  </si>
  <si>
    <t>Confirmation (10/31/2025, 4:57:07 PM)</t>
  </si>
  <si>
    <t>Not Received (10/30/2025, 12:30:20 PM)</t>
  </si>
  <si>
    <t>Not Received (10/27/2025, 3:31:26 PM)</t>
  </si>
  <si>
    <t>Client Lost (10/24/2025, 1:14:59 PM)</t>
  </si>
  <si>
    <t>Client Lost (10/31/2025, 11:39:40 AM)</t>
  </si>
  <si>
    <t>Call Received (10/24/2025, 2:10:51 PM)</t>
  </si>
  <si>
    <t>Not Received (10/30/2025, 12:31:10 PM)</t>
  </si>
  <si>
    <t>Not Received (10/27/2025, 3:32:43 PM)</t>
  </si>
  <si>
    <t>Not Received (10/24/2025, 12:40:27 PM)</t>
  </si>
  <si>
    <t>Demo (10/27/2025, 3:37:32 PM)</t>
  </si>
  <si>
    <t>Form Filled (10/24/2025, 10:54:46 AM)</t>
  </si>
  <si>
    <t>Not Received (10/30/2025, 12:31:51 PM)</t>
  </si>
  <si>
    <t>Form Filled (10/24/2025, 3:00:58 PM)</t>
  </si>
  <si>
    <t>Not Received (10/30/2025, 12:33:02 PM)</t>
  </si>
  <si>
    <t>Not Received (10/28/2025, 1:03:23 PM)</t>
  </si>
  <si>
    <t>Ajay Nirbhani</t>
  </si>
  <si>
    <t>Call Received (10/31/2025, 11:56:21 AM)</t>
  </si>
  <si>
    <t>Demo (11/1/2025, 1:38:23 PM)</t>
  </si>
  <si>
    <t>Client Lost (10/24/2025, 3:06:42 PM)</t>
  </si>
  <si>
    <t>25/10/2025</t>
  </si>
  <si>
    <t>Call Received (10/31/2025, 11:58:30 AM)</t>
  </si>
  <si>
    <t>Call Received (11/1/2025, 1:40:12 PM)</t>
  </si>
  <si>
    <t>will inform tomorrow</t>
  </si>
  <si>
    <t>wajid</t>
  </si>
  <si>
    <t>Not Received (10/31/2025, 11:59:18 AM)</t>
  </si>
  <si>
    <t>Call Received (10/28/2025, 3:07:10 PM)</t>
  </si>
  <si>
    <t>need disscount of 3000</t>
  </si>
  <si>
    <t>Syed Shoaib Ahmed Qadri</t>
  </si>
  <si>
    <t>Demo (10/31/2025, 12:08:22 PM)</t>
  </si>
  <si>
    <t>Call Received (10/29/2025, 4:51:35 PM)</t>
  </si>
  <si>
    <t>923455458138</t>
  </si>
  <si>
    <t>Not Received (10/27/2025, 11:00:42 AM)</t>
  </si>
  <si>
    <t>Not Received (10/31/2025, 12:29:54 PM)</t>
  </si>
  <si>
    <t>share info to review</t>
  </si>
  <si>
    <t>Tayyab Sheikh</t>
  </si>
  <si>
    <t>Not Received (10/30/2025, 12:33:51 PM)</t>
  </si>
  <si>
    <t>Not Received (10/28/2025, 1:06:25 PM)</t>
  </si>
  <si>
    <t>samrina</t>
  </si>
  <si>
    <t>Not Received (10/30/2025, 12:34:40 PM)</t>
  </si>
  <si>
    <t>Not Received (10/28/2025, 1:09:11 PM)</t>
  </si>
  <si>
    <t>Not Received (10/30/2025, 12:35:46 PM)</t>
  </si>
  <si>
    <t>Not Received (10/28/2025, 1:10:23 PM)</t>
  </si>
  <si>
    <t>Not Received (10/30/2025, 12:37:41 PM)</t>
  </si>
  <si>
    <t>Not Received (10/28/2025, 1:12:05 PM)</t>
  </si>
  <si>
    <t>Muhammad Sharjeel</t>
  </si>
  <si>
    <t>Client Lost (10/31/2025, 12:31:50 PM)</t>
  </si>
  <si>
    <t>Client Lost (10/25/2025, 2:45:08 PM)</t>
  </si>
  <si>
    <t>Not Received (10/30/2025, 12:38:57 PM)</t>
  </si>
  <si>
    <t>Not Received (10/28/2025, 1:12:35 PM)</t>
  </si>
  <si>
    <t>rehan ali</t>
  </si>
  <si>
    <t>Call Received (10/31/2025, 12:34:43 PM)</t>
  </si>
  <si>
    <t>Call Received (11/1/2025, 1:41:39 PM)</t>
  </si>
  <si>
    <t>lostt</t>
  </si>
  <si>
    <t>saleem haris</t>
  </si>
  <si>
    <t>Not Received (10/30/2025, 12:39:45 PM)</t>
  </si>
  <si>
    <t>Not Received (10/28/2025, 1:13:22 PM)</t>
  </si>
  <si>
    <t>Not Received (10/30/2025, 12:40:05 PM)</t>
  </si>
  <si>
    <t>Not Received (10/28/2025, 1:14:43 PM)</t>
  </si>
  <si>
    <t xml:space="preserve">Adnan    </t>
  </si>
  <si>
    <t>Not Received (10/30/2025, 12:52:19 PM)</t>
  </si>
  <si>
    <t>Not Received (10/28/2025, 1:20:52 PM)</t>
  </si>
  <si>
    <t>Ashir khurshid</t>
  </si>
  <si>
    <t>923155498630</t>
  </si>
  <si>
    <t>Not Received (10/31/2025, 12:37:08 PM)</t>
  </si>
  <si>
    <t>Call Later (10/28/2025, 1:22:23 PM)</t>
  </si>
  <si>
    <t>Call Received (10/29/2025, 4:54:16 PM)</t>
  </si>
  <si>
    <t>illyas</t>
  </si>
  <si>
    <t>923458169228</t>
  </si>
  <si>
    <t>Not Received (10/31/2025, 12:37:54 PM)</t>
  </si>
  <si>
    <t>Call Received (10/28/2025, 1:30:02 PM)</t>
  </si>
  <si>
    <t>will ionform</t>
  </si>
  <si>
    <t>prospect_189</t>
  </si>
  <si>
    <t>Client Lost (10/31/2025, 12:39:59 PM)</t>
  </si>
  <si>
    <t>Call Received (10/28/2025, 1:31:58 PM)</t>
  </si>
  <si>
    <t>Client Lost (10/28/2025, 12:08:19 PM)</t>
  </si>
  <si>
    <t>Not Received (10/27/2025, 3:47:27 PM)</t>
  </si>
  <si>
    <t>hasan</t>
  </si>
  <si>
    <t>923331451917</t>
  </si>
  <si>
    <t>Call Received (10/31/2025, 12:41:13 PM)</t>
  </si>
  <si>
    <t>Client Lost (11/1/2025, 1:43:50 PM)</t>
  </si>
  <si>
    <t>need physical classes, but inform</t>
  </si>
  <si>
    <t>Arooma</t>
  </si>
  <si>
    <t>Not Received (10/31/2025, 12:41:49 PM)</t>
  </si>
  <si>
    <t>Call Received (10/27/2025, 3:50:26 PM)</t>
  </si>
  <si>
    <t>samad</t>
  </si>
  <si>
    <t>Not Received (10/27/2025, 11:13:01 AM)</t>
  </si>
  <si>
    <t>Call Received (10/28/2025, 1:38:32 PM)</t>
  </si>
  <si>
    <t>Paid (10/31/2025, 4:57:13 PM)</t>
  </si>
  <si>
    <t>Demo (10/31/2025, 12:46:40 PM)</t>
  </si>
  <si>
    <t>Call Received (10/27/2025, 4:03:26 PM)</t>
  </si>
  <si>
    <t>Not Received (10/31/2025, 12:50:15 PM)</t>
  </si>
  <si>
    <t>Not Received (10/27/2025, 4:04:43 PM)</t>
  </si>
  <si>
    <t>~Saira Mahboob Qureshi</t>
  </si>
  <si>
    <t>Client Lost (10/31/2025, 12:50:52 PM)</t>
  </si>
  <si>
    <t>Call Received (10/27/2025, 4:06:10 PM)</t>
  </si>
  <si>
    <t>shjare info</t>
  </si>
  <si>
    <t>~Khalid Yaqoob</t>
  </si>
  <si>
    <t>Client Lost (10/27/2025, 4:10:47 PM)</t>
  </si>
  <si>
    <t>Aryan Ali</t>
  </si>
  <si>
    <t>Client Lost (10/27/2025, 4:11:46 PM)</t>
  </si>
  <si>
    <t>DrShahzad Arif</t>
  </si>
  <si>
    <t>Paid (11/1/2025, 1:46:23 PM)</t>
  </si>
  <si>
    <t>Confirmation (10/31/2025, 4:57:18 PM)</t>
  </si>
  <si>
    <t xml:space="preserve">hira    </t>
  </si>
  <si>
    <t>Not Received (10/30/2025, 12:56:02 PM)</t>
  </si>
  <si>
    <t>Not Received (10/28/2025, 1:42:27 PM)</t>
  </si>
  <si>
    <t>Not Received (10/27/2025, 4:16:20 PM)</t>
  </si>
  <si>
    <t>ghulam hussain</t>
  </si>
  <si>
    <t>Not Received (10/30/2025, 12:55:02 PM)</t>
  </si>
  <si>
    <t>Not Received (10/28/2025, 1:43:42 PM)</t>
  </si>
  <si>
    <t>Not Received (10/27/2025, 4:17:16 PM)</t>
  </si>
  <si>
    <t>Akbar</t>
  </si>
  <si>
    <t>923153645802</t>
  </si>
  <si>
    <t>Call Received (11/1/2025, 12:44:25 PM)</t>
  </si>
  <si>
    <t>Client Lost (11/1/2025, 2:51:04 PM)</t>
  </si>
  <si>
    <t>Call Received (10/27/2025, 4:39:52 PM)</t>
  </si>
  <si>
    <t>Confirmation (10/31/2025, 12:52:14 PM)</t>
  </si>
  <si>
    <t>Confirmation (11/1/2025, 1:47:34 PM)</t>
  </si>
  <si>
    <t>Call Received (10/29/2025, 4:46:19 PM)</t>
  </si>
  <si>
    <t>~Ghulam Mustafa Khan</t>
  </si>
  <si>
    <t>Call Received (10/31/2025, 12:56:43 PM)</t>
  </si>
  <si>
    <t>Call Received (10/27/2025, 4:44:55 PM)</t>
  </si>
  <si>
    <t>28/10/2025</t>
  </si>
  <si>
    <t>~Bushra Bilal</t>
  </si>
  <si>
    <t>Client Lost (11/14/2025, 12:31:03 PM)</t>
  </si>
  <si>
    <t>Not Received (10/28/2025, 1:46:35 PM)</t>
  </si>
  <si>
    <t>~Ally Zeeshan</t>
  </si>
  <si>
    <t>Confirmation (11/1/2025, 1:56:42 PM)</t>
  </si>
  <si>
    <t>Confirmation (11/4/2025, 5:13:14 PM)</t>
  </si>
  <si>
    <t>join from deep learning and pay soon</t>
  </si>
  <si>
    <t>Client Lost (10/30/2025, 1:36:48 PM)</t>
  </si>
  <si>
    <t>prospect_195</t>
  </si>
  <si>
    <t>Client Lost (10/31/2025, 12:58:01 PM)</t>
  </si>
  <si>
    <t>Call Received (10/28/2025, 2:01:57 PM)</t>
  </si>
  <si>
    <t>~Humayyun Memon</t>
  </si>
  <si>
    <t>Not Received (11/1/2025, 12:45:06 PM)</t>
  </si>
  <si>
    <t>Call Received (10/28/2025, 2:04:39 PM)</t>
  </si>
  <si>
    <t>Not Received (11/1/2025, 12:47:01 PM)</t>
  </si>
  <si>
    <t>Not Received (10/31/2025, 3:26:18 PM)</t>
  </si>
  <si>
    <t>Not Received (11/1/2025, 12:47:26 PM)</t>
  </si>
  <si>
    <t>Not Received (10/31/2025, 3:51:07 PM)</t>
  </si>
  <si>
    <t>Call Received (10/31/2025, 3:52:23 PM)</t>
  </si>
  <si>
    <t>~Mirza Nadeem</t>
  </si>
  <si>
    <t>Client Lost (10/31/2025, 3:53:24 PM)</t>
  </si>
  <si>
    <t>Client Lost (10/28/2025, 2:10:24 PM)</t>
  </si>
  <si>
    <t>~Muzammal Saleem</t>
  </si>
  <si>
    <t>Call Later (10/31/2025, 12:59:52 PM)</t>
  </si>
  <si>
    <t>Call Received (10/28/2025, 2:14:32 PM)</t>
  </si>
  <si>
    <t>Not Received (11/1/2025, 12:49:12 PM)</t>
  </si>
  <si>
    <t>Not Received (10/31/2025, 3:59:18 PM)</t>
  </si>
  <si>
    <t>msgs sent from pink to yellow</t>
  </si>
  <si>
    <t>~miandanish</t>
  </si>
  <si>
    <t>Call Received (10/31/2025, 1:01:22 PM)</t>
  </si>
  <si>
    <t>Call Received (11/1/2025, 2:52:03 PM)</t>
  </si>
  <si>
    <t>Call Received (10/28/2025, 4:54:44 PM)</t>
  </si>
  <si>
    <t>Client Lost (10/31/2025, 4:00:27 PM)</t>
  </si>
  <si>
    <t>waqas</t>
  </si>
  <si>
    <t>923424925082</t>
  </si>
  <si>
    <t>Not Received (10/28/2025, 2:20:07 PM)</t>
  </si>
  <si>
    <t>Not Received (10/31/2025, 4:02:26 PM)</t>
  </si>
  <si>
    <t>~Umer Munir</t>
  </si>
  <si>
    <t>Not Received (10/28/2025, 2:20:39 PM)</t>
  </si>
  <si>
    <t>Client Lost (10/31/2025, 4:03:27 PM)</t>
  </si>
  <si>
    <t>Client Lost (10/28/2025, 2:21:34 PM)</t>
  </si>
  <si>
    <t>Razaullah</t>
  </si>
  <si>
    <t>Not Received (11/1/2025, 2:59:31 PM)</t>
  </si>
  <si>
    <t>~Mubashir Farooq</t>
  </si>
  <si>
    <t>Call Received (10/28/2025, 2:23:40 PM)</t>
  </si>
  <si>
    <t>~Emraan Khan</t>
  </si>
  <si>
    <t>Client Lost (11/1/2025, 3:01:31 PM)</t>
  </si>
  <si>
    <t>923102528661/03000867507</t>
  </si>
  <si>
    <t>Paid (11/4/2025, 9:59:15 AM)</t>
  </si>
  <si>
    <t>Confirmation (10/31/2025, 5:00:46 PM)</t>
  </si>
  <si>
    <t>sat 1st</t>
  </si>
  <si>
    <t>Client Lost (11/1/2025, 12:51:27 PM)</t>
  </si>
  <si>
    <t>Not Received (10/28/2025, 2:26:09 PM)</t>
  </si>
  <si>
    <t>Not Received (10/31/2025, 4:06:49 PM)</t>
  </si>
  <si>
    <t>Asadullah</t>
  </si>
  <si>
    <t>Call Received (10/28/2025, 2:25:03 PM)</t>
  </si>
  <si>
    <t>Call Received (10/28/2025, 4:32:31 PM)</t>
  </si>
  <si>
    <t>~Irfan Ahmed</t>
  </si>
  <si>
    <t>Call Later (11/1/2025, 3:07:12 PM)</t>
  </si>
  <si>
    <t>Call Received (10/31/2025, 4:11:40 PM)</t>
  </si>
  <si>
    <t>Call Received (11/1/2025, 3:08:25 PM)</t>
  </si>
  <si>
    <t>Call Received (10/31/2025, 4:14:04 PM)</t>
  </si>
  <si>
    <t>Client Lost (10/31/2025, 4:16:18 PM)</t>
  </si>
  <si>
    <t>Client Lost (10/28/2025, 5:33:55 PM)</t>
  </si>
  <si>
    <t>kamran ashraf</t>
  </si>
  <si>
    <t>923077097567</t>
  </si>
  <si>
    <t>Not Received (11/1/2025, 12:54:03 PM)</t>
  </si>
  <si>
    <t>Not Received (10/31/2025, 4:17:13 PM)</t>
  </si>
  <si>
    <t>Not Received (10/29/2025, 11:42:37 AM)</t>
  </si>
  <si>
    <t>Not Received (11/1/2025, 3:09:58 PM)</t>
  </si>
  <si>
    <t>Call Received (10/31/2025, 4:21:12 PM)</t>
  </si>
  <si>
    <t>29/10/2025</t>
  </si>
  <si>
    <t>Azlan</t>
  </si>
  <si>
    <t>Confirmation (10/29/2025, 10:37:22 AM)</t>
  </si>
  <si>
    <t>Confirmation (11/1/2025, 1:53:11 PM)</t>
  </si>
  <si>
    <t>Confirmation (10/31/2025, 5:01:01 PM)</t>
  </si>
  <si>
    <t>2nd nov</t>
  </si>
  <si>
    <t>Not Received (10/29/2025, 11:35:36 AM)</t>
  </si>
  <si>
    <t>Not Received (11/1/2025, 1:04:41 PM)</t>
  </si>
  <si>
    <t>Not Received (10/31/2025, 4:30:48 PM)</t>
  </si>
  <si>
    <t>rajev</t>
  </si>
  <si>
    <t>923327839672</t>
  </si>
  <si>
    <t>Call Received (10/29/2025, 11:37:16 AM)</t>
  </si>
  <si>
    <t>Call Received (11/1/2025, 3:11:19 PM)</t>
  </si>
  <si>
    <t>~Uzma Saleem</t>
  </si>
  <si>
    <t>Client Lost (10/29/2025, 11:47:11 AM)</t>
  </si>
  <si>
    <t>~Jamal Ashraf</t>
  </si>
  <si>
    <t>Call Received (10/29/2025, 11:50:17 AM)</t>
  </si>
  <si>
    <t>Call Received (11/1/2025, 3:11:32 PM)</t>
  </si>
  <si>
    <t>his son can't join</t>
  </si>
  <si>
    <t>~Zubair Mangla</t>
  </si>
  <si>
    <t>Not Received (10/29/2025, 11:51:32 AM)</t>
  </si>
  <si>
    <t>Client Lost (10/31/2025, 4:32:46 PM)</t>
  </si>
  <si>
    <t>muhammad basharat</t>
  </si>
  <si>
    <t>923004122987</t>
  </si>
  <si>
    <t>Client Lost (11/4/2025, 9:59:23 AM)</t>
  </si>
  <si>
    <t>Call Later (10/29/2025, 11:52:30 AM)</t>
  </si>
  <si>
    <t>Confirmation (11/1/2025, 1:53:18 PM)</t>
  </si>
  <si>
    <t>Confirmation (10/31/2025, 5:01:26 PM)</t>
  </si>
  <si>
    <t>Muhammad Yaseen</t>
  </si>
  <si>
    <t>Client Lost (10/29/2025, 11:53:43 AM)</t>
  </si>
  <si>
    <t>Call Received (10/29/2025, 11:59:22 AM)</t>
  </si>
  <si>
    <t>Client Lost (11/1/2025, 3:16:05 PM)</t>
  </si>
  <si>
    <t>he said-- if you'll secure the clients and give to me then it's okay</t>
  </si>
  <si>
    <t>Not Received (10/29/2025, 12:01:01 PM)</t>
  </si>
  <si>
    <t>Not Received (11/1/2025, 3:17:34 PM)</t>
  </si>
  <si>
    <t>Client Lost (10/29/2025, 12:02:34 PM)</t>
  </si>
  <si>
    <t>Not Received (10/29/2025, 12:07:50 PM)</t>
  </si>
  <si>
    <t>Not Received (11/1/2025, 1:05:16 PM)</t>
  </si>
  <si>
    <t>Not Received (10/31/2025, 4:33:02 PM)</t>
  </si>
  <si>
    <t>~Sajid A. Khan</t>
  </si>
  <si>
    <t>Call Later (10/29/2025, 12:09:20 PM)</t>
  </si>
  <si>
    <t xml:space="preserve">Rizwan </t>
  </si>
  <si>
    <t>Demo (10/29/2025, 12:18:42 PM)</t>
  </si>
  <si>
    <t>demo for his son then decide</t>
  </si>
  <si>
    <t>Abdul jabar</t>
  </si>
  <si>
    <t>Not Received (10/29/2025, 12:19:16 PM)</t>
  </si>
  <si>
    <t>Client Lost (11/1/2025, 1:06:12 PM)</t>
  </si>
  <si>
    <t>Not Received (10/31/2025, 4:37:05 PM)</t>
  </si>
  <si>
    <t>Call Received (10/29/2025, 12:20:52 PM)</t>
  </si>
  <si>
    <t>Call Received (11/1/2025, 3:18:38 PM)</t>
  </si>
  <si>
    <t>will respond tomorrow</t>
  </si>
  <si>
    <t>Mahmood Aslam</t>
  </si>
  <si>
    <t>Not Received (10/29/2025, 12:21:30 PM)</t>
  </si>
  <si>
    <t>Not Received (11/1/2025, 1:06:47 PM)</t>
  </si>
  <si>
    <t>Not Received (10/31/2025, 4:37:59 PM)</t>
  </si>
  <si>
    <t>Raniya Riyas</t>
  </si>
  <si>
    <t>Not Received (10/29/2025, 12:22:38 PM)</t>
  </si>
  <si>
    <t>Not Received (11/1/2025, 1:06:50 PM)</t>
  </si>
  <si>
    <t>Not Received (10/31/2025, 4:41:11 PM)</t>
  </si>
  <si>
    <t>Not Received (10/29/2025, 12:23:25 PM)</t>
  </si>
  <si>
    <t>Client Lost (10/31/2025, 5:38:24 PM)</t>
  </si>
  <si>
    <t xml:space="preserve"> Ali Hayder</t>
  </si>
  <si>
    <t>Call Received (10/29/2025, 12:26:12 PM)</t>
  </si>
  <si>
    <t>Call Received (11/1/2025, 3:20:02 PM)</t>
  </si>
  <si>
    <t>will call</t>
  </si>
  <si>
    <t>Not Received (10/29/2025, 12:26:26 PM)</t>
  </si>
  <si>
    <t>Not Received (11/1/2025, 1:08:26 PM)</t>
  </si>
  <si>
    <t>Not Received (10/31/2025, 4:45:07 PM)</t>
  </si>
  <si>
    <t>Nisar Hussain</t>
  </si>
  <si>
    <t>Not Received (10/29/2025, 12:29:41 PM)</t>
  </si>
  <si>
    <t>Not Received (11/1/2025, 1:11:53 PM)</t>
  </si>
  <si>
    <t>Not Received (10/31/2025, 4:46:01 PM)</t>
  </si>
  <si>
    <t>Farrukh Farooq</t>
  </si>
  <si>
    <t>Not Received (11/1/2025, 1:14:21 PM)</t>
  </si>
  <si>
    <t>Not Received (10/31/2025, 4:46:45 PM)</t>
  </si>
  <si>
    <t>Client Lost (10/29/2025, 2:56:04 PM)</t>
  </si>
  <si>
    <t>Not Received (11/1/2025, 1:14:45 PM)</t>
  </si>
  <si>
    <t>Not Received (10/31/2025, 4:47:08 PM)</t>
  </si>
  <si>
    <t>Call Received (10/30/2025, 12:59:34 PM)</t>
  </si>
  <si>
    <t>Not Received (10/29/2025, 3:09:40 PM)</t>
  </si>
  <si>
    <t>Not Received (10/30/2025, 1:01:06 PM)</t>
  </si>
  <si>
    <t>Demo (10/31/2025, 4:49:03 PM)</t>
  </si>
  <si>
    <t>Madiha Khan</t>
  </si>
  <si>
    <t>Not Received (10/30/2025, 1:02:27 PM)</t>
  </si>
  <si>
    <t>Client Lost (10/31/2025, 4:49:18 PM)</t>
  </si>
  <si>
    <t>Client Lost (11/13/2025, 11:48:28 AM)</t>
  </si>
  <si>
    <t>Call Later (10/29/2025, 3:12:22 PM)</t>
  </si>
  <si>
    <t>call after 7:</t>
  </si>
  <si>
    <t>Not Received (11/1/2025, 1:15:10 PM)</t>
  </si>
  <si>
    <t>Not Received (10/31/2025, 4:50:16 PM)</t>
  </si>
  <si>
    <t>~R.A.Rehman</t>
  </si>
  <si>
    <t>Not Received (11/1/2025, 3:33:52 PM)</t>
  </si>
  <si>
    <t>Shahzeb</t>
  </si>
  <si>
    <t>Client Lost (11/14/2025, 12:32:23 PM)</t>
  </si>
  <si>
    <t>Call Received (11/1/2025, 3:34:40 PM)</t>
  </si>
  <si>
    <t>Call Received (10/29/2025, 4:59:32 PM)</t>
  </si>
  <si>
    <t>~Nazish Kiran Siddiqui</t>
  </si>
  <si>
    <t>Call Received (11/7/2025, 12:30:45 PM)</t>
  </si>
  <si>
    <t>Call Received (11/4/2025, 2:37:11 PM)</t>
  </si>
  <si>
    <t>Syeda Maham Shah</t>
  </si>
  <si>
    <t>Not Received (11/7/2025, 12:58:49 PM)</t>
  </si>
  <si>
    <t>Call Received (11/4/2025, 2:44:03 PM)</t>
  </si>
  <si>
    <t>~nabiya siddiqui</t>
  </si>
  <si>
    <t>Client Lost (11/4/2025, 3:28:02 PM)</t>
  </si>
  <si>
    <t xml:space="preserve">~Usama Amanat </t>
  </si>
  <si>
    <t>Paid (11/13/2025, 11:48:37 AM)</t>
  </si>
  <si>
    <t>Confirmation (11/4/2025, 3:33:11 PM)</t>
  </si>
  <si>
    <t>Confirmation (11/6/2025, 4:31:41 PM)</t>
  </si>
  <si>
    <t>Nosheensaleem</t>
  </si>
  <si>
    <t>Not Received (11/7/2025, 12:59:36 PM)</t>
  </si>
  <si>
    <t>Not Received (11/5/2025, 3:35:37 PM)</t>
  </si>
  <si>
    <t>Not Received (11/4/2025, 4:49:19 PM)</t>
  </si>
  <si>
    <t>Zainab Afzaal</t>
  </si>
  <si>
    <t>923329990064</t>
  </si>
  <si>
    <t>Client Lost (11/10/2025, 12:02:10 PM)</t>
  </si>
  <si>
    <t>7 nov</t>
  </si>
  <si>
    <t>Abdur rehman</t>
  </si>
  <si>
    <t>Call Received (11/5/2025, 10:52:46 AM)</t>
  </si>
  <si>
    <t>Not Received (11/7/2025, 12:59:54 PM)</t>
  </si>
  <si>
    <t>najeeb</t>
  </si>
  <si>
    <t>923212999208</t>
  </si>
  <si>
    <t>Not Received (11/5/2025, 10:56:56 AM)</t>
  </si>
  <si>
    <t>Call Received (11/5/2025, 3:05:38 PM)</t>
  </si>
  <si>
    <t>share nfo for his son</t>
  </si>
  <si>
    <t>923122124078</t>
  </si>
  <si>
    <t>Call Later (11/5/2025, 10:57:56 AM)</t>
  </si>
  <si>
    <t>Not Received (11/6/2025, 11:19:51 AM)</t>
  </si>
  <si>
    <t>Confirmation (11/6/2025, 3:18:39 PM)</t>
  </si>
  <si>
    <t>Not Received (11/7/2025, 1:00:45 PM)</t>
  </si>
  <si>
    <t>Not Received (11/7/2025, 1:01:19 PM)</t>
  </si>
  <si>
    <t>Not Received (11/5/2025, 11:03:15 AM)</t>
  </si>
  <si>
    <t>Call Received (11/7/2025, 1:02:23 PM)</t>
  </si>
  <si>
    <t>Not Received (11/5/2025, 11:04:41 AM)</t>
  </si>
  <si>
    <t>Not Received (11/7/2025, 1:03:31 PM)</t>
  </si>
  <si>
    <t>Not Received (11/5/2025, 11:05:37 AM)</t>
  </si>
  <si>
    <t>Not Received (11/7/2025, 1:10:09 PM)</t>
  </si>
  <si>
    <t>syed muhammad Ali</t>
  </si>
  <si>
    <t>923452150156</t>
  </si>
  <si>
    <t>Call Received (11/5/2025, 11:10:12 AM)</t>
  </si>
  <si>
    <t>Call Received (11/13/2025, 1:38:47 PM)</t>
  </si>
  <si>
    <t>will join this week classses</t>
  </si>
  <si>
    <t>muhammad Saleem</t>
  </si>
  <si>
    <t>Not Received (11/5/2025, 11:12:09 AM)</t>
  </si>
  <si>
    <t>Client Lost (11/7/2025, 1:12:09 PM)</t>
  </si>
  <si>
    <t>umer siddique</t>
  </si>
  <si>
    <t>923103717294</t>
  </si>
  <si>
    <t>Call Received (11/6/2025, 11:06:19 AM)</t>
  </si>
  <si>
    <t>Vikram</t>
  </si>
  <si>
    <t>923378369496</t>
  </si>
  <si>
    <t>Client Lost (11/6/2025, 11:08:30 AM)</t>
  </si>
  <si>
    <t>Not Received (11/6/2025, 11:08:54 AM)</t>
  </si>
  <si>
    <t>Not Received (11/7/2025, 1:13:22 PM)</t>
  </si>
  <si>
    <t>Client Lost (11/6/2025, 11:09:40 AM)</t>
  </si>
  <si>
    <t>Not Received (11/6/2025, 11:10:47 AM)</t>
  </si>
  <si>
    <t>Call Received (11/7/2025, 1:15:09 PM)</t>
  </si>
  <si>
    <t>provide him discount by tomorrow morning</t>
  </si>
  <si>
    <t>~Behzad Bhatti</t>
  </si>
  <si>
    <t>Confirmation (11/14/2025, 12:32:39 PM)</t>
  </si>
  <si>
    <t>Call Received (11/7/2025, 1:36:59 PM)</t>
  </si>
  <si>
    <t>~Tahir Ashraf</t>
  </si>
  <si>
    <t>Client Lost (11/6/2025, 11:23:40 AM)</t>
  </si>
  <si>
    <t>Call Received (11/6/2025, 11:33:27 AM)</t>
  </si>
  <si>
    <t>need physiucal classes but sharew demo</t>
  </si>
  <si>
    <t>Call Received (11/6/2025, 11:36:06 AM)</t>
  </si>
  <si>
    <t>wiill review</t>
  </si>
  <si>
    <t>Call Received (11/6/2025, 11:39:25 AM)</t>
  </si>
  <si>
    <t>Not Received (11/6/2025, 11:41:43 AM)</t>
  </si>
  <si>
    <t>Not Received (11/7/2025, 1:18:55 PM)</t>
  </si>
  <si>
    <t>Not Received (11/6/2025, 11:42:46 AM)</t>
  </si>
  <si>
    <t>Not Received (11/7/2025, 1:20:33 PM)</t>
  </si>
  <si>
    <t>hira</t>
  </si>
  <si>
    <t>923229385160</t>
  </si>
  <si>
    <t>Not Received (11/6/2025, 11:43:42 AM)</t>
  </si>
  <si>
    <t>Client Lost (11/7/2025, 1:21:12 PM)</t>
  </si>
  <si>
    <t>Not Received (11/6/2025, 11:44:34 AM)</t>
  </si>
  <si>
    <t>Client Lost (11/6/2025, 1:28:33 PM)</t>
  </si>
  <si>
    <t>~Aazan Farooqi</t>
  </si>
  <si>
    <t>Not Received (11/6/2025, 11:50:38 AM)</t>
  </si>
  <si>
    <t>Not Received (11/7/2025, 1:23:07 PM)</t>
  </si>
  <si>
    <t>Not Received (11/6/2025, 11:51:11 AM)</t>
  </si>
  <si>
    <t>Not Received (11/7/2025, 1:24:50 PM)</t>
  </si>
  <si>
    <t>Call Received (11/6/2025, 11:58:08 AM)</t>
  </si>
  <si>
    <t>by next month</t>
  </si>
  <si>
    <t>Not Received (11/6/2025, 12:00:30 PM)</t>
  </si>
  <si>
    <t>Not Received (11/7/2025, 1:38:12 PM)</t>
  </si>
  <si>
    <t>Ali hyder</t>
  </si>
  <si>
    <t>Not Received (11/6/2025, 12:00:56 PM)</t>
  </si>
  <si>
    <t>Not Received (11/7/2025, 1:39:22 PM)</t>
  </si>
  <si>
    <t>iftikhar</t>
  </si>
  <si>
    <t>923044364449</t>
  </si>
  <si>
    <t>Client Lost (11/6/2025, 12:02:41 PM)</t>
  </si>
  <si>
    <t>Call Received (11/6/2025, 12:04:23 PM)</t>
  </si>
  <si>
    <t>Call Received (11/6/2025, 12:07:46 PM)</t>
  </si>
  <si>
    <t>wahab</t>
  </si>
  <si>
    <t>923128070236</t>
  </si>
  <si>
    <t>Not Received (11/6/2025, 12:08:35 PM)</t>
  </si>
  <si>
    <t>Not Received (11/7/2025, 1:39:57 PM)</t>
  </si>
  <si>
    <t>~Muhammad Salman</t>
  </si>
  <si>
    <t>Not Received (11/6/2025, 12:09:58 PM)</t>
  </si>
  <si>
    <t>Call Received (11/7/2025, 1:41:24 PM)</t>
  </si>
  <si>
    <t xml:space="preserve">Armughan </t>
  </si>
  <si>
    <t>Call Received (11/6/2025, 12:13:39 PM)</t>
  </si>
  <si>
    <t>share profile will inform</t>
  </si>
  <si>
    <t>~Syeda Misbah</t>
  </si>
  <si>
    <t>Not Received (11/6/2025, 12:17:12 PM)</t>
  </si>
  <si>
    <t>Call Received (11/7/2025, 1:44:22 PM)</t>
  </si>
  <si>
    <t>Client Lost (11/6/2025, 12:18:39 PM)</t>
  </si>
  <si>
    <t>Not Received (11/6/2025, 12:21:56 PM)</t>
  </si>
  <si>
    <t>Call Received (11/7/2025, 1:49:06 PM)</t>
  </si>
  <si>
    <t>~Zeshy</t>
  </si>
  <si>
    <t>Call Received (11/6/2025, 12:23:02 PM)</t>
  </si>
  <si>
    <t>will inform but no as such response</t>
  </si>
  <si>
    <t>Not Received (11/6/2025, 12:23:43 PM)</t>
  </si>
  <si>
    <t>Not Received (11/6/2025, 12:24:00 PM)</t>
  </si>
  <si>
    <t>Not Received (11/7/2025, 1:49:41 PM)</t>
  </si>
  <si>
    <t>umer farooq</t>
  </si>
  <si>
    <t>Call Received (11/6/2025, 12:25:32 PM)</t>
  </si>
  <si>
    <t>~Aadil Ali Aamer</t>
  </si>
  <si>
    <t>Not Received (11/6/2025, 12:26:22 PM)</t>
  </si>
  <si>
    <t>Call Received (11/6/2025, 12:28:13 PM)</t>
  </si>
  <si>
    <t>Not Received (11/6/2025, 12:29:06 PM)</t>
  </si>
  <si>
    <t>Rohan</t>
  </si>
  <si>
    <t>Call Received (11/6/2025, 12:32:17 PM)</t>
  </si>
  <si>
    <t>Not Received (11/6/2025, 12:33:21 PM)</t>
  </si>
  <si>
    <t>~Farhan Arshad</t>
  </si>
  <si>
    <t>Not Received (11/6/2025, 12:34:38 PM)</t>
  </si>
  <si>
    <t>Not Received (11/6/2025, 2:54:14 PM)</t>
  </si>
  <si>
    <t>Call Received (11/6/2025, 2:56:54 PM)</t>
  </si>
  <si>
    <t>923321378901</t>
  </si>
  <si>
    <t>Client Lost (11/6/2025, 3:00:05 PM)</t>
  </si>
  <si>
    <t>Not Received (11/6/2025, 3:01:45 PM)</t>
  </si>
  <si>
    <t>~Shaikh Wassaf</t>
  </si>
  <si>
    <t>Not Received (11/6/2025, 3:02:14 PM)</t>
  </si>
  <si>
    <t>Client Lost (11/6/2025, 4:29:09 PM)</t>
  </si>
  <si>
    <t>Not Received (11/6/2025, 4:30:01 PM)</t>
  </si>
  <si>
    <t>Not Received (11/7/2025, 12:15:42 PM)</t>
  </si>
  <si>
    <t>Call Later (11/7/2025, 12:17:50 PM)</t>
  </si>
  <si>
    <t>call after 20 minss</t>
  </si>
  <si>
    <t>Client Lost (11/7/2025, 12:30:05 PM)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</si>
</sst>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h:mm am/pm"/>
    <numFmt numFmtId="165" formatCode="m-d-yyyy"/>
    <numFmt numFmtId="166" formatCode="m/d/yyyy"/>
    <numFmt numFmtId="167" formatCode="[$Rs]#,##0"/>
    <numFmt numFmtId="168" formatCode="d-mmm-yyyy h:mm am/pm"/>
    <numFmt numFmtId="169" formatCode="h:mm:ss am/pm"/>
    <numFmt numFmtId="170" formatCode="mm/dd/yy"/>
    <numFmt numFmtId="171" formatCode="mm/dd/yyyy"/>
  </numFmts>
  <fonts count="55">
    <font>
      <sz val="10.0"/>
      <color rgb="FF000000"/>
      <name val="Arial"/>
      <scheme val="minor"/>
    </font>
    <font>
      <color theme="1"/>
      <name val="Arial"/>
      <scheme val="minor"/>
    </font>
    <font>
      <color rgb="FF434343"/>
      <name val="Roboto"/>
    </font>
    <font>
      <color theme="1"/>
      <name val="Arial"/>
    </font>
    <font>
      <sz val="11.0"/>
      <color rgb="FF434343"/>
      <name val="Roboto"/>
    </font>
    <font>
      <sz val="11.0"/>
      <color rgb="FF11734B"/>
      <name val="Roboto"/>
    </font>
    <font>
      <sz val="11.0"/>
      <color theme="1"/>
      <name val="Roboto"/>
    </font>
    <font>
      <sz val="11.0"/>
      <color rgb="FF08473F"/>
      <name val="Roboto"/>
    </font>
    <font>
      <sz val="11.0"/>
      <color rgb="FFB10202"/>
      <name val="Roboto"/>
    </font>
    <font>
      <sz val="11.0"/>
      <color rgb="FFC6DBE1"/>
      <name val="Roboto"/>
    </font>
    <font>
      <b/>
      <sz val="13.0"/>
      <color theme="1"/>
      <name val="Arial"/>
      <scheme val="minor"/>
    </font>
    <font>
      <color theme="1"/>
      <name val="Roboto"/>
    </font>
    <font>
      <sz val="11.0"/>
      <color rgb="FF000000"/>
      <name val="Calibri"/>
    </font>
    <font>
      <b/>
      <color theme="1"/>
      <name val="Roboto"/>
    </font>
    <font>
      <color rgb="FFCFE2E0"/>
      <name val="Roboto"/>
    </font>
    <font>
      <color rgb="FFF6F8FF"/>
      <name val="Roboto"/>
    </font>
    <font>
      <color rgb="FF434343"/>
      <name val="Arial"/>
    </font>
    <font>
      <color rgb="FFD4EDBC"/>
      <name val="Roboto"/>
    </font>
    <font>
      <i/>
      <color rgb="FF808080"/>
      <name val="Roboto"/>
    </font>
    <font>
      <color rgb="FF434343"/>
      <name val="Docs-Roboto"/>
    </font>
    <font>
      <color rgb="FF473821"/>
      <name val="Roboto"/>
    </font>
    <font>
      <i/>
      <color rgb="FFD4EDBC"/>
      <name val="Roboto"/>
    </font>
    <font>
      <i/>
      <color rgb="FFCFE2E0"/>
      <name val="Roboto"/>
    </font>
    <font>
      <sz val="9.0"/>
      <color rgb="FF1155CC"/>
      <name val="Google Sans Mono"/>
    </font>
    <font>
      <color rgb="FF0A53A8"/>
      <name val="Roboto"/>
    </font>
    <font>
      <color rgb="FF5A3286"/>
      <name val="Roboto"/>
    </font>
    <font>
      <color rgb="FFC6DBE1"/>
      <name val="Roboto"/>
    </font>
    <font>
      <color rgb="FF08473F"/>
      <name val="Roboto"/>
    </font>
    <font>
      <color rgb="FFE5E5E5"/>
      <name val="Roboto"/>
    </font>
    <font>
      <color rgb="FF215A6C"/>
      <name val="Roboto"/>
    </font>
    <font>
      <color rgb="FFBFE0F6"/>
      <name val="Roboto"/>
    </font>
    <font>
      <color rgb="FF163E4F"/>
      <name val="Roboto"/>
    </font>
    <font>
      <color rgb="FF434343"/>
      <name val="Calibri"/>
    </font>
    <font>
      <color rgb="FFB10202"/>
      <name val="Roboto"/>
    </font>
    <font>
      <color rgb="FF11734B"/>
      <name val="Roboto"/>
    </font>
    <font>
      <color rgb="FFFFCFC9"/>
      <name val="Roboto"/>
    </font>
    <font>
      <color rgb="FFC6DBE1"/>
      <name val="Arial"/>
    </font>
    <font>
      <color rgb="FF08473F"/>
      <name val="Arial"/>
    </font>
    <font>
      <color rgb="FF215A6C"/>
      <name val="Arial"/>
    </font>
    <font>
      <color rgb="FF284E3F"/>
      <name val="Roboto"/>
    </font>
    <font>
      <color rgb="FFCFE2E0"/>
      <name val="Arial"/>
    </font>
    <font>
      <color rgb="FFE5CFF2"/>
      <name val="Roboto"/>
    </font>
    <font>
      <color rgb="FF473821"/>
      <name val="Arial"/>
    </font>
    <font>
      <color rgb="FFFFC8AA"/>
      <name val="Roboto"/>
    </font>
    <font>
      <color rgb="FFFFC8AA"/>
      <name val="Arial"/>
    </font>
    <font>
      <color rgb="FFFFCFC9"/>
      <name val="Arial"/>
    </font>
    <font>
      <color rgb="FFBFE0F6"/>
      <name val="Arial"/>
    </font>
    <font>
      <color rgb="FFF6F8FF"/>
      <name val="Arial"/>
    </font>
    <font>
      <color rgb="FFFFE5A0"/>
      <name val="Roboto"/>
    </font>
    <font>
      <b/>
      <color theme="1"/>
      <name val="Arial"/>
    </font>
    <font>
      <color rgb="FF5A3286"/>
      <name val="Arial"/>
    </font>
    <font>
      <color rgb="FF11734B"/>
      <name val="Arial"/>
    </font>
    <font>
      <color rgb="FFFFE5A0"/>
      <name val="Arial"/>
    </font>
    <font>
      <sz val="11.0"/>
      <color theme="1"/>
      <name val="Poppins"/>
    </font>
    <font>
      <color rgb="FFE5E5E5"/>
      <name val="Arial"/>
    </font>
  </fonts>
  <fills count="34">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93C47D"/>
        <bgColor rgb="FF93C47D"/>
      </patternFill>
    </fill>
    <fill>
      <patternFill patternType="solid">
        <fgColor theme="0"/>
        <bgColor theme="0"/>
      </patternFill>
    </fill>
    <fill>
      <patternFill patternType="solid">
        <fgColor rgb="FFB6D7A8"/>
        <bgColor rgb="FFB6D7A8"/>
      </patternFill>
    </fill>
    <fill>
      <patternFill patternType="solid">
        <fgColor rgb="FFE6B8AF"/>
        <bgColor rgb="FFE6B8A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DD7E6B"/>
        <bgColor rgb="FFDD7E6B"/>
      </patternFill>
    </fill>
    <fill>
      <patternFill patternType="solid">
        <fgColor rgb="FFFFE599"/>
        <bgColor rgb="FFFFE599"/>
      </patternFill>
    </fill>
    <fill>
      <patternFill patternType="solid">
        <fgColor rgb="FFA2C4C9"/>
        <bgColor rgb="FFA2C4C9"/>
      </patternFill>
    </fill>
    <fill>
      <patternFill patternType="solid">
        <fgColor theme="9"/>
        <bgColor theme="9"/>
      </patternFill>
    </fill>
    <fill>
      <patternFill patternType="solid">
        <fgColor theme="7"/>
        <bgColor theme="7"/>
      </patternFill>
    </fill>
    <fill>
      <patternFill patternType="solid">
        <fgColor rgb="FFEFEFEF"/>
        <bgColor rgb="FFEFEFEF"/>
      </patternFill>
    </fill>
    <fill>
      <patternFill patternType="solid">
        <fgColor rgb="FFF9CB9C"/>
        <bgColor rgb="FFF9CB9C"/>
      </patternFill>
    </fill>
    <fill>
      <patternFill patternType="solid">
        <fgColor rgb="FFEA9999"/>
        <bgColor rgb="FFEA9999"/>
      </patternFill>
    </fill>
    <fill>
      <patternFill patternType="solid">
        <fgColor rgb="FFCC0000"/>
        <bgColor rgb="FFCC0000"/>
      </patternFill>
    </fill>
    <fill>
      <patternFill patternType="solid">
        <fgColor rgb="FFF6B26B"/>
        <bgColor rgb="FFF6B26B"/>
      </patternFill>
    </fill>
    <fill>
      <patternFill patternType="solid">
        <fgColor rgb="FFB10202"/>
        <bgColor rgb="FFB10202"/>
      </patternFill>
    </fill>
    <fill>
      <patternFill patternType="solid">
        <fgColor rgb="FFF6F8F9"/>
        <bgColor rgb="FFF6F8F9"/>
      </patternFill>
    </fill>
    <fill>
      <patternFill patternType="solid">
        <fgColor rgb="FFE6CFF2"/>
        <bgColor rgb="FFE6CFF2"/>
      </patternFill>
    </fill>
    <fill>
      <patternFill patternType="solid">
        <fgColor rgb="FFC6DBE1"/>
        <bgColor rgb="FFC6DBE1"/>
      </patternFill>
    </fill>
    <fill>
      <patternFill patternType="solid">
        <fgColor rgb="FF0A53A8"/>
        <bgColor rgb="FF0A53A8"/>
      </patternFill>
    </fill>
    <fill>
      <patternFill patternType="solid">
        <fgColor rgb="FFD4EDBC"/>
        <bgColor rgb="FFD4EDBC"/>
      </patternFill>
    </fill>
    <fill>
      <patternFill patternType="solid">
        <fgColor rgb="FFFFE5A0"/>
        <bgColor rgb="FFFFE5A0"/>
      </patternFill>
    </fill>
    <fill>
      <patternFill patternType="solid">
        <fgColor rgb="FF473822"/>
        <bgColor rgb="FF473822"/>
      </patternFill>
    </fill>
    <fill>
      <patternFill patternType="solid">
        <fgColor rgb="FFFFD966"/>
        <bgColor rgb="FFFFD966"/>
      </patternFill>
    </fill>
    <fill>
      <patternFill patternType="solid">
        <fgColor rgb="FFF4CCCC"/>
        <bgColor rgb="FFF4CCCC"/>
      </patternFill>
    </fill>
    <fill>
      <patternFill patternType="solid">
        <fgColor rgb="FFE06666"/>
        <bgColor rgb="FFE06666"/>
      </patternFill>
    </fill>
  </fills>
  <borders count="54">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right style="thin">
        <color rgb="FFF8F9FA"/>
      </right>
      <top style="thin">
        <color rgb="FFFFFFFF"/>
      </top>
      <bottom style="thin">
        <color rgb="FFFFFFFF"/>
      </bottom>
    </border>
    <border>
      <left style="thin">
        <color rgb="FF284E3F"/>
      </left>
      <right style="thin">
        <color rgb="FFF9CB9C"/>
      </right>
      <top style="thin">
        <color rgb="FFF9CB9C"/>
      </top>
      <bottom style="thin">
        <color rgb="FFF9CB9C"/>
      </bottom>
    </border>
    <border>
      <left style="thin">
        <color rgb="FFF9CB9C"/>
      </left>
      <right style="thin">
        <color rgb="FFF9CB9C"/>
      </right>
      <top style="thin">
        <color rgb="FFF9CB9C"/>
      </top>
      <bottom style="thin">
        <color rgb="FFF9CB9C"/>
      </bottom>
    </border>
    <border>
      <left style="thin">
        <color rgb="FFF9CB9C"/>
      </left>
      <right style="thin">
        <color rgb="FF284E3F"/>
      </right>
      <top style="thin">
        <color rgb="FFF9CB9C"/>
      </top>
      <bottom style="thin">
        <color rgb="FFF9CB9C"/>
      </bottom>
    </border>
    <border>
      <left style="thin">
        <color rgb="FFF4C7C3"/>
      </left>
      <right style="thin">
        <color rgb="FFF4C7C3"/>
      </right>
      <top style="thin">
        <color rgb="FFF4C7C3"/>
      </top>
      <bottom style="thin">
        <color rgb="FFF4C7C3"/>
      </bottom>
    </border>
    <border>
      <left style="thin">
        <color rgb="FFFF0000"/>
      </left>
      <right style="thin">
        <color rgb="FFFF0000"/>
      </right>
      <top style="thin">
        <color rgb="FFFF0000"/>
      </top>
      <bottom style="thin">
        <color rgb="FFFF0000"/>
      </bottom>
    </border>
    <border>
      <left style="thin">
        <color rgb="FF284E3F"/>
      </left>
      <right style="thin">
        <color rgb="FFCC4125"/>
      </right>
      <top style="thin">
        <color rgb="FFCC4125"/>
      </top>
      <bottom style="thin">
        <color rgb="FFCC4125"/>
      </bottom>
    </border>
    <border>
      <left style="thin">
        <color rgb="FFCC4125"/>
      </left>
      <right style="thin">
        <color rgb="FFCC4125"/>
      </right>
      <top style="thin">
        <color rgb="FFCC4125"/>
      </top>
      <bottom style="thin">
        <color rgb="FFCC4125"/>
      </bottom>
    </border>
    <border>
      <left style="thin">
        <color rgb="FF284E3F"/>
      </left>
      <right style="thin">
        <color rgb="FFEA9999"/>
      </right>
      <top style="thin">
        <color rgb="FFEA9999"/>
      </top>
      <bottom style="thin">
        <color rgb="FFEA9999"/>
      </bottom>
    </border>
    <border>
      <left style="thin">
        <color rgb="FFEA9999"/>
      </left>
      <right style="thin">
        <color rgb="FFEA9999"/>
      </right>
      <top style="thin">
        <color rgb="FFEA9999"/>
      </top>
      <bottom style="thin">
        <color rgb="FFEA9999"/>
      </bottom>
    </border>
    <border>
      <left style="thin">
        <color rgb="FF284E3F"/>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00FF00"/>
      </right>
      <top style="thin">
        <color rgb="FF00FF00"/>
      </top>
      <bottom style="thin">
        <color rgb="FF00FF00"/>
      </bottom>
    </border>
    <border>
      <left style="thin">
        <color rgb="FFF6F8F9"/>
      </left>
      <right style="thin">
        <color rgb="FFF6F8F9"/>
      </right>
      <top style="thin">
        <color rgb="FFF6F8F9"/>
      </top>
      <bottom style="thin">
        <color rgb="FFF6F8F9"/>
      </bottom>
    </border>
    <border>
      <left style="thin">
        <color rgb="FF284E3F"/>
      </left>
      <right style="thin">
        <color rgb="FFBF9000"/>
      </right>
      <top style="thin">
        <color rgb="FFBF9000"/>
      </top>
      <bottom style="thin">
        <color rgb="FFBF9000"/>
      </bottom>
    </border>
    <border>
      <left style="thin">
        <color rgb="FFBF9000"/>
      </left>
      <right style="thin">
        <color rgb="FFBF9000"/>
      </right>
      <top style="thin">
        <color rgb="FFBF9000"/>
      </top>
      <bottom style="thin">
        <color rgb="FFBF9000"/>
      </bottom>
    </border>
    <border>
      <left style="thin">
        <color rgb="FF999999"/>
      </left>
      <right style="thin">
        <color rgb="FF999999"/>
      </right>
      <top style="thin">
        <color rgb="FF999999"/>
      </top>
      <bottom style="thin">
        <color rgb="FF999999"/>
      </bottom>
    </border>
    <border>
      <left style="thin">
        <color rgb="FF284E3F"/>
      </left>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left style="thin">
        <color rgb="FFFCE5CD"/>
      </left>
      <right style="thin">
        <color rgb="FFFCE5CD"/>
      </right>
      <top style="thin">
        <color rgb="FFFCE5CD"/>
      </top>
      <bottom style="thin">
        <color rgb="FFFCE5CD"/>
      </bottom>
    </border>
    <border>
      <left style="thin">
        <color rgb="FF284E3F"/>
      </left>
      <right style="thin">
        <color rgb="FFB6D7A8"/>
      </right>
      <top style="thin">
        <color rgb="FFB6D7A8"/>
      </top>
      <bottom style="thin">
        <color rgb="FFB6D7A8"/>
      </bottom>
    </border>
    <border>
      <left style="thin">
        <color rgb="FFB6D7A8"/>
      </left>
      <right style="thin">
        <color rgb="FFB6D7A8"/>
      </right>
      <top style="thin">
        <color rgb="FFB6D7A8"/>
      </top>
      <bottom style="thin">
        <color rgb="FFB6D7A8"/>
      </bottom>
    </border>
    <border>
      <left style="thin">
        <color rgb="FF284E3F"/>
      </left>
      <right style="thin">
        <color rgb="FFFFF2CC"/>
      </right>
      <top style="thin">
        <color rgb="FFFFF2CC"/>
      </top>
      <bottom style="thin">
        <color rgb="FFFFF2CC"/>
      </bottom>
    </border>
    <border>
      <left style="thin">
        <color rgb="FFFFF2CC"/>
      </left>
      <right style="thin">
        <color rgb="FFFFF2CC"/>
      </right>
      <top style="thin">
        <color rgb="FFFFF2CC"/>
      </top>
      <bottom style="thin">
        <color rgb="FFFFF2CC"/>
      </bottom>
    </border>
    <border>
      <left style="thin">
        <color rgb="FFFF9900"/>
      </left>
      <right style="thin">
        <color rgb="FFFF9900"/>
      </right>
      <top style="thin">
        <color rgb="FFFF9900"/>
      </top>
      <bottom style="thin">
        <color rgb="FFFF9900"/>
      </bottom>
    </border>
    <border>
      <left style="thin">
        <color rgb="FFFFFF00"/>
      </left>
      <right style="thin">
        <color rgb="FFFFFF00"/>
      </right>
      <top style="thin">
        <color rgb="FFFFFF00"/>
      </top>
      <bottom style="thin">
        <color rgb="FFFFFF00"/>
      </bottom>
    </border>
    <border>
      <left style="thin">
        <color rgb="FFCFE2F3"/>
      </left>
      <right style="thin">
        <color rgb="FFCFE2F3"/>
      </right>
      <top style="thin">
        <color rgb="FFCFE2F3"/>
      </top>
      <bottom style="thin">
        <color rgb="FFCFE2F3"/>
      </bottom>
    </border>
    <border>
      <left style="thin">
        <color rgb="FF284E3F"/>
      </left>
      <right style="thin">
        <color rgb="FFFF9900"/>
      </right>
      <top style="thin">
        <color rgb="FFFF9900"/>
      </top>
      <bottom style="thin">
        <color rgb="FFFF9900"/>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284E3F"/>
      </left>
      <right style="thin">
        <color rgb="FF93C47D"/>
      </right>
      <top style="thin">
        <color rgb="FF93C47D"/>
      </top>
      <bottom style="thin">
        <color rgb="FF93C47D"/>
      </bottom>
    </border>
    <border>
      <left style="thin">
        <color rgb="FF93C47D"/>
      </left>
      <right style="thin">
        <color rgb="FF93C47D"/>
      </right>
      <top style="thin">
        <color rgb="FF93C47D"/>
      </top>
      <bottom style="thin">
        <color rgb="FF93C47D"/>
      </bottom>
    </border>
    <border>
      <left style="thin">
        <color rgb="FF284E3F"/>
      </left>
      <right style="thin">
        <color rgb="FFFCE5CD"/>
      </right>
      <top style="thin">
        <color rgb="FFFCE5CD"/>
      </top>
      <bottom style="thin">
        <color rgb="FFFCE5CD"/>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FFE599"/>
      </left>
      <right style="thin">
        <color rgb="FFFFE599"/>
      </right>
      <top style="thin">
        <color rgb="FFFFE599"/>
      </top>
      <bottom style="thin">
        <color rgb="FFFFE599"/>
      </bottom>
    </border>
    <border>
      <left style="thin">
        <color rgb="FFFCE5CD"/>
      </left>
      <right style="thin">
        <color rgb="FF284E3F"/>
      </right>
      <top style="thin">
        <color rgb="FFFCE5CD"/>
      </top>
      <bottom style="thin">
        <color rgb="FFFCE5CD"/>
      </bottom>
    </border>
  </borders>
  <cellStyleXfs count="1">
    <xf borderId="0" fillId="0" fontId="0" numFmtId="0" applyAlignment="1" applyFont="1"/>
  </cellStyleXfs>
  <cellXfs count="7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0" fontId="1" numFmtId="0" xfId="0" applyAlignment="1" applyBorder="1" applyFont="1">
      <alignment shrinkToFit="0" vertical="center" wrapText="1"/>
    </xf>
    <xf borderId="1" fillId="2" fontId="2" numFmtId="49" xfId="0" applyAlignment="1" applyBorder="1" applyFill="1" applyFont="1" applyNumberFormat="1">
      <alignment horizontal="center" shrinkToFit="0" vertical="center" wrapText="0"/>
    </xf>
    <xf borderId="1" fillId="0" fontId="1" numFmtId="0" xfId="0" applyAlignment="1" applyBorder="1" applyFont="1">
      <alignment shrinkToFit="0" vertical="center" wrapText="0"/>
    </xf>
    <xf borderId="1" fillId="2" fontId="3"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3" fontId="4" numFmtId="49" xfId="0" applyAlignment="1" applyBorder="1" applyFill="1" applyFont="1" applyNumberFormat="1">
      <alignment horizontal="center" shrinkToFit="0" vertical="center" wrapText="0"/>
    </xf>
    <xf borderId="1" fillId="2" fontId="4" numFmtId="0" xfId="0" applyAlignment="1" applyBorder="1" applyFont="1">
      <alignment horizontal="center" shrinkToFit="0" vertical="center" wrapText="0"/>
    </xf>
    <xf borderId="1" fillId="3" fontId="4" numFmtId="0" xfId="0" applyAlignment="1" applyBorder="1" applyFont="1">
      <alignment horizontal="center" shrinkToFit="0" vertical="center" wrapText="0"/>
    </xf>
    <xf borderId="1" fillId="3" fontId="3" numFmtId="0" xfId="0" applyAlignment="1" applyBorder="1" applyFont="1">
      <alignment readingOrder="0" shrinkToFit="0" vertical="center" wrapText="0"/>
    </xf>
    <xf borderId="1" fillId="0" fontId="1" numFmtId="49" xfId="0" applyAlignment="1" applyBorder="1" applyFont="1" applyNumberFormat="1">
      <alignment shrinkToFit="0" vertical="center" wrapText="1"/>
    </xf>
    <xf borderId="1" fillId="3" fontId="2" numFmtId="0" xfId="0" applyAlignment="1" applyBorder="1" applyFont="1">
      <alignment shrinkToFit="0" vertical="center" wrapText="0"/>
    </xf>
    <xf borderId="1" fillId="0" fontId="1" numFmtId="0" xfId="0" applyAlignment="1" applyBorder="1" applyFont="1">
      <alignment readingOrder="0" shrinkToFit="0" vertical="center" wrapText="1"/>
    </xf>
    <xf borderId="1" fillId="2" fontId="4" numFmtId="0" xfId="0" applyAlignment="1" applyBorder="1" applyFont="1">
      <alignment horizontal="center" shrinkToFit="0" vertical="center" wrapText="1"/>
    </xf>
    <xf borderId="1" fillId="2" fontId="5" numFmtId="0" xfId="0" applyAlignment="1" applyBorder="1" applyFont="1">
      <alignment horizontal="center" readingOrder="0" shrinkToFit="0" vertical="center" wrapText="0"/>
    </xf>
    <xf borderId="1" fillId="2" fontId="6" numFmtId="0" xfId="0" applyAlignment="1" applyBorder="1" applyFont="1">
      <alignment horizontal="center" readingOrder="0" shrinkToFit="0" vertical="center" wrapText="0"/>
    </xf>
    <xf borderId="1" fillId="3" fontId="4" numFmtId="49" xfId="0" applyAlignment="1" applyBorder="1" applyFont="1" applyNumberFormat="1">
      <alignment horizontal="center" shrinkToFit="0" vertical="center" wrapText="1"/>
    </xf>
    <xf borderId="1" fillId="3" fontId="5" numFmtId="0" xfId="0" applyAlignment="1" applyBorder="1" applyFont="1">
      <alignment horizontal="center" shrinkToFit="0" vertical="center" wrapText="0"/>
    </xf>
    <xf borderId="1" fillId="3" fontId="7" numFmtId="0" xfId="0" applyAlignment="1" applyBorder="1" applyFont="1">
      <alignment horizontal="center" shrinkToFit="0" vertical="center" wrapText="0"/>
    </xf>
    <xf borderId="1" fillId="0" fontId="1" numFmtId="0" xfId="0" applyAlignment="1" applyBorder="1" applyFont="1">
      <alignment readingOrder="0" shrinkToFit="0" vertical="center" wrapText="0"/>
    </xf>
    <xf borderId="1" fillId="2" fontId="8" numFmtId="0" xfId="0" applyAlignment="1" applyBorder="1" applyFont="1">
      <alignment horizontal="center" shrinkToFit="0" vertical="center" wrapText="0"/>
    </xf>
    <xf borderId="1" fillId="2" fontId="9" numFmtId="0" xfId="0" applyAlignment="1" applyBorder="1" applyFont="1">
      <alignment horizontal="center" shrinkToFit="0" vertical="center" wrapText="0"/>
    </xf>
    <xf borderId="1" fillId="3" fontId="8" numFmtId="0" xfId="0" applyAlignment="1" applyBorder="1" applyFont="1">
      <alignment horizontal="center" shrinkToFit="0" vertical="center" wrapText="0"/>
    </xf>
    <xf borderId="1" fillId="3" fontId="9" numFmtId="0" xfId="0" applyAlignment="1" applyBorder="1" applyFont="1">
      <alignment horizontal="center" shrinkToFit="0" vertical="center" wrapText="0"/>
    </xf>
    <xf borderId="1" fillId="3" fontId="2" numFmtId="0" xfId="0" applyAlignment="1" applyBorder="1" applyFont="1">
      <alignment horizontal="center" shrinkToFit="0" vertical="center" wrapText="0"/>
    </xf>
    <xf borderId="1" fillId="3" fontId="4" numFmtId="0" xfId="0" applyAlignment="1" applyBorder="1" applyFont="1">
      <alignment horizontal="center" shrinkToFit="0" vertical="center" wrapText="1"/>
    </xf>
    <xf borderId="1" fillId="0" fontId="1" numFmtId="49" xfId="0" applyAlignment="1" applyBorder="1" applyFont="1" applyNumberFormat="1">
      <alignment shrinkToFit="0" vertical="center" wrapText="0"/>
    </xf>
    <xf borderId="1" fillId="4" fontId="1" numFmtId="0" xfId="0" applyAlignment="1" applyBorder="1" applyFill="1" applyFont="1">
      <alignment horizontal="center" readingOrder="0" shrinkToFit="0" vertical="center" wrapText="1"/>
    </xf>
    <xf borderId="1" fillId="4" fontId="2" numFmtId="49" xfId="0" applyAlignment="1" applyBorder="1" applyFont="1" applyNumberFormat="1">
      <alignment horizontal="center" readingOrder="0" shrinkToFit="0" vertical="center" wrapText="0"/>
    </xf>
    <xf borderId="1" fillId="4" fontId="1" numFmtId="0" xfId="0" applyAlignment="1" applyBorder="1" applyFont="1">
      <alignment horizontal="center" readingOrder="0" shrinkToFit="0" vertical="center" wrapText="0"/>
    </xf>
    <xf borderId="1" fillId="4" fontId="3" numFmtId="0" xfId="0" applyAlignment="1" applyBorder="1" applyFont="1">
      <alignment readingOrder="0" shrinkToFit="0" vertical="center" wrapText="0"/>
    </xf>
    <xf borderId="1" fillId="4" fontId="1" numFmtId="0" xfId="0" applyAlignment="1" applyBorder="1" applyFont="1">
      <alignment shrinkToFit="0" vertical="center" wrapText="0"/>
    </xf>
    <xf borderId="1" fillId="4" fontId="1" numFmtId="0" xfId="0" applyAlignment="1" applyBorder="1" applyFont="1">
      <alignment readingOrder="0" shrinkToFit="0" vertical="center" wrapText="0"/>
    </xf>
    <xf borderId="1" fillId="4" fontId="1" numFmtId="164" xfId="0" applyAlignment="1" applyBorder="1" applyFont="1" applyNumberFormat="1">
      <alignment shrinkToFit="0" vertical="center" wrapText="0"/>
    </xf>
    <xf borderId="1" fillId="4" fontId="1" numFmtId="0" xfId="0" applyAlignment="1" applyBorder="1" applyFont="1">
      <alignment shrinkToFit="0" vertical="center" wrapText="0"/>
    </xf>
    <xf borderId="1" fillId="4"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4" fontId="1" numFmtId="0" xfId="0" applyAlignment="1" applyBorder="1" applyFont="1">
      <alignment readingOrder="0" shrinkToFit="0" vertical="center" wrapText="0"/>
    </xf>
    <xf borderId="1" fillId="0" fontId="1" numFmtId="49" xfId="0" applyAlignment="1" applyBorder="1" applyFont="1" applyNumberFormat="1">
      <alignment horizontal="center" shrinkToFit="0" vertical="center" wrapText="1"/>
    </xf>
    <xf borderId="1" fillId="5" fontId="1" numFmtId="0" xfId="0" applyAlignment="1" applyBorder="1" applyFill="1" applyFont="1">
      <alignment horizontal="center" readingOrder="0" shrinkToFit="0" vertical="center" wrapText="1"/>
    </xf>
    <xf borderId="1" fillId="5" fontId="1" numFmtId="0" xfId="0" applyAlignment="1" applyBorder="1" applyFont="1">
      <alignment horizontal="center" readingOrder="0" shrinkToFit="0" vertical="center" wrapText="0"/>
    </xf>
    <xf borderId="1" fillId="5" fontId="3" numFmtId="0" xfId="0" applyAlignment="1" applyBorder="1" applyFont="1">
      <alignment readingOrder="0" shrinkToFit="0" vertical="center" wrapText="0"/>
    </xf>
    <xf borderId="1" fillId="5" fontId="1" numFmtId="0" xfId="0" applyAlignment="1" applyBorder="1" applyFont="1">
      <alignment shrinkToFit="0" vertical="center" wrapText="0"/>
    </xf>
    <xf borderId="1" fillId="5" fontId="1" numFmtId="0" xfId="0" applyAlignment="1" applyBorder="1" applyFont="1">
      <alignment readingOrder="0" shrinkToFit="0" vertical="center" wrapText="0"/>
    </xf>
    <xf borderId="1" fillId="5" fontId="1" numFmtId="164" xfId="0" applyAlignment="1" applyBorder="1" applyFont="1" applyNumberFormat="1">
      <alignment shrinkToFit="0" vertical="center" wrapText="0"/>
    </xf>
    <xf borderId="1" fillId="5" fontId="1" numFmtId="0" xfId="0" applyAlignment="1" applyBorder="1" applyFont="1">
      <alignment readingOrder="0" shrinkToFit="0" vertical="center" wrapText="0"/>
    </xf>
    <xf borderId="1" fillId="5" fontId="1" numFmtId="0" xfId="0" applyAlignment="1" applyBorder="1" applyFont="1">
      <alignment shrinkToFit="0" vertical="center" wrapText="0"/>
    </xf>
    <xf borderId="1" fillId="5" fontId="1" numFmtId="0" xfId="0" applyAlignment="1" applyBorder="1" applyFont="1">
      <alignment readingOrder="0" shrinkToFit="0" vertical="center" wrapText="0"/>
    </xf>
    <xf borderId="1" fillId="4"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0"/>
    </xf>
    <xf borderId="1" fillId="2" fontId="3"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6"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0"/>
    </xf>
    <xf borderId="0" fillId="0" fontId="1" numFmtId="0" xfId="0" applyAlignment="1" applyFont="1">
      <alignment readingOrder="0"/>
    </xf>
    <xf borderId="0" fillId="0" fontId="1" numFmtId="0" xfId="0" applyAlignment="1" applyFont="1">
      <alignment readingOrder="0" shrinkToFit="0" wrapText="0"/>
    </xf>
    <xf borderId="0" fillId="7" fontId="1" numFmtId="0" xfId="0" applyAlignment="1" applyFill="1" applyFont="1">
      <alignment readingOrder="0"/>
    </xf>
    <xf borderId="0" fillId="8" fontId="1" numFmtId="0" xfId="0" applyAlignment="1" applyFill="1" applyFont="1">
      <alignment readingOrder="0" shrinkToFit="0" wrapText="0"/>
    </xf>
    <xf borderId="0" fillId="7" fontId="1" numFmtId="0" xfId="0" applyAlignment="1" applyFont="1">
      <alignment readingOrder="0" shrinkToFit="0" wrapText="0"/>
    </xf>
    <xf borderId="0" fillId="9" fontId="1" numFmtId="0" xfId="0" applyAlignment="1" applyFill="1" applyFont="1">
      <alignment readingOrder="0" shrinkToFit="0" wrapText="0"/>
    </xf>
    <xf borderId="0" fillId="0" fontId="1" numFmtId="49" xfId="0" applyAlignment="1" applyFont="1" applyNumberFormat="1">
      <alignment readingOrder="0" shrinkToFit="0" wrapText="1"/>
    </xf>
    <xf borderId="0" fillId="10" fontId="1" numFmtId="0" xfId="0" applyAlignment="1" applyFill="1" applyFont="1">
      <alignment readingOrder="0" shrinkToFit="0"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7"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11" fontId="1" numFmtId="0" xfId="0" applyAlignment="1" applyFill="1" applyFont="1">
      <alignment readingOrder="0" shrinkToFit="0" vertical="center" wrapText="0"/>
    </xf>
    <xf borderId="0" fillId="7" fontId="1" numFmtId="0" xfId="0" applyAlignment="1" applyFont="1">
      <alignment readingOrder="0" shrinkToFit="0" vertical="center" wrapText="1"/>
    </xf>
    <xf borderId="0" fillId="12" fontId="1" numFmtId="0" xfId="0" applyAlignment="1" applyFill="1" applyFont="1">
      <alignment readingOrder="0" shrinkToFit="0" vertical="center" wrapText="0"/>
    </xf>
    <xf borderId="0" fillId="7" fontId="1" numFmtId="0" xfId="0" applyFont="1"/>
    <xf borderId="0" fillId="13" fontId="1" numFmtId="0" xfId="0" applyFill="1" applyFont="1"/>
    <xf borderId="0" fillId="11" fontId="1" numFmtId="0" xfId="0" applyAlignment="1" applyFont="1">
      <alignment readingOrder="0" shrinkToFit="0" vertical="center" wrapText="1"/>
    </xf>
    <xf borderId="0" fillId="11" fontId="1" numFmtId="49" xfId="0" applyAlignment="1" applyFont="1" applyNumberFormat="1">
      <alignment readingOrder="0" shrinkToFit="0" vertical="center" wrapText="1"/>
    </xf>
    <xf borderId="0" fillId="7" fontId="1" numFmtId="0" xfId="0" applyAlignment="1" applyFont="1">
      <alignment shrinkToFit="0" vertical="center" wrapText="0"/>
    </xf>
    <xf borderId="0" fillId="7" fontId="1" numFmtId="0" xfId="0" applyAlignment="1" applyFont="1">
      <alignment readingOrder="0" shrinkToFit="0" vertical="center" wrapText="0"/>
    </xf>
    <xf borderId="0" fillId="7" fontId="1" numFmtId="164" xfId="0" applyAlignment="1" applyFont="1" applyNumberFormat="1">
      <alignment shrinkToFit="0" vertical="center" wrapText="0"/>
    </xf>
    <xf borderId="0" fillId="7" fontId="1" numFmtId="49" xfId="0" applyAlignment="1" applyFont="1" applyNumberFormat="1">
      <alignment readingOrder="0" shrinkToFit="0" vertical="center" wrapText="0"/>
    </xf>
    <xf borderId="0" fillId="8" fontId="1" numFmtId="0" xfId="0" applyAlignment="1" applyFont="1">
      <alignment readingOrder="0" shrinkToFit="0" vertical="center" wrapText="1"/>
    </xf>
    <xf borderId="0" fillId="8" fontId="1" numFmtId="0" xfId="0" applyAlignment="1" applyFont="1">
      <alignment readingOrder="0" shrinkToFit="0" vertical="center" wrapText="0"/>
    </xf>
    <xf borderId="0" fillId="8" fontId="1" numFmtId="0" xfId="0" applyAlignment="1" applyFont="1">
      <alignment shrinkToFit="0" vertical="center" wrapText="0"/>
    </xf>
    <xf borderId="0" fillId="8" fontId="1" numFmtId="0" xfId="0" applyAlignment="1" applyFont="1">
      <alignment readingOrder="0" shrinkToFit="0" vertical="center" wrapText="0"/>
    </xf>
    <xf borderId="0" fillId="8" fontId="1" numFmtId="164" xfId="0" applyAlignment="1" applyFont="1" applyNumberFormat="1">
      <alignment shrinkToFit="0" vertical="center" wrapText="0"/>
    </xf>
    <xf borderId="0" fillId="8" fontId="1" numFmtId="49" xfId="0" applyAlignment="1" applyFont="1" applyNumberFormat="1">
      <alignment readingOrder="0" shrinkToFit="0" vertical="center" wrapText="0"/>
    </xf>
    <xf borderId="0" fillId="14" fontId="1" numFmtId="0" xfId="0" applyAlignment="1" applyFill="1" applyFont="1">
      <alignment readingOrder="0" shrinkToFit="0" vertical="center" wrapText="0"/>
    </xf>
    <xf borderId="0" fillId="6" fontId="1" numFmtId="0" xfId="0" applyFont="1"/>
    <xf borderId="0" fillId="7" fontId="1" numFmtId="49" xfId="0" applyAlignment="1" applyFont="1" applyNumberFormat="1">
      <alignment readingOrder="0" shrinkToFit="0" vertical="center" wrapText="1"/>
    </xf>
    <xf borderId="0" fillId="15" fontId="1" numFmtId="0" xfId="0" applyFill="1" applyFont="1"/>
    <xf borderId="0" fillId="7" fontId="1" numFmtId="0" xfId="0" applyAlignment="1" applyFont="1">
      <alignment readingOrder="0" shrinkToFit="0" vertical="center" wrapText="0"/>
    </xf>
    <xf borderId="0" fillId="9" fontId="1" numFmtId="0" xfId="0" applyFont="1"/>
    <xf borderId="0" fillId="8" fontId="1" numFmtId="0" xfId="0" applyFont="1"/>
    <xf borderId="0" fillId="9" fontId="1" numFmtId="0" xfId="0" applyAlignment="1" applyFont="1">
      <alignment readingOrder="0" shrinkToFit="0" vertical="center" wrapText="0"/>
    </xf>
    <xf borderId="0" fillId="6" fontId="1" numFmtId="0" xfId="0" applyAlignment="1" applyFont="1">
      <alignment shrinkToFit="0" vertical="center" wrapText="0"/>
    </xf>
    <xf borderId="0" fillId="6" fontId="1" numFmtId="0" xfId="0" applyAlignment="1" applyFont="1">
      <alignment readingOrder="0" shrinkToFit="0" vertical="center" wrapText="0"/>
    </xf>
    <xf borderId="0" fillId="6" fontId="1" numFmtId="164" xfId="0" applyAlignment="1" applyFont="1" applyNumberFormat="1">
      <alignment shrinkToFit="0" vertical="center" wrapText="0"/>
    </xf>
    <xf borderId="0" fillId="14" fontId="1" numFmtId="0" xfId="0" applyAlignment="1" applyFont="1">
      <alignment shrinkToFit="0" vertical="center" wrapText="0"/>
    </xf>
    <xf borderId="0" fillId="14" fontId="10" numFmtId="0" xfId="0" applyAlignment="1" applyFont="1">
      <alignment readingOrder="0" shrinkToFit="0" vertical="center" wrapText="0"/>
    </xf>
    <xf borderId="0" fillId="14" fontId="1" numFmtId="0" xfId="0" applyAlignment="1" applyFont="1">
      <alignment shrinkToFit="0" vertical="center" wrapText="0"/>
    </xf>
    <xf borderId="0" fillId="14" fontId="1" numFmtId="0" xfId="0" applyAlignment="1" applyFont="1">
      <alignment readingOrder="0" shrinkToFit="0" vertical="center" wrapText="0"/>
    </xf>
    <xf borderId="0" fillId="14" fontId="1" numFmtId="164" xfId="0" applyAlignment="1" applyFont="1" applyNumberFormat="1">
      <alignment shrinkToFit="0" vertical="center" wrapText="0"/>
    </xf>
    <xf borderId="0" fillId="14" fontId="1" numFmtId="0" xfId="0" applyFont="1"/>
    <xf borderId="0" fillId="0" fontId="1" numFmtId="0" xfId="0" applyAlignment="1" applyFont="1">
      <alignment shrinkToFit="0" vertical="center" wrapText="0"/>
    </xf>
    <xf borderId="0" fillId="7" fontId="1" numFmtId="0" xfId="0" applyAlignment="1" applyFont="1">
      <alignment shrinkToFit="0" vertical="center" wrapText="0"/>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16" fontId="1" numFmtId="0" xfId="0" applyAlignment="1" applyFill="1" applyFont="1">
      <alignment readingOrder="0" shrinkToFit="0" vertical="center" wrapText="0"/>
    </xf>
    <xf borderId="0" fillId="0" fontId="3"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1" numFmtId="0" xfId="0" applyAlignment="1" applyFont="1">
      <alignment readingOrder="0" shrinkToFit="0" vertical="bottom" wrapText="0"/>
    </xf>
    <xf borderId="0" fillId="0" fontId="1" numFmtId="0" xfId="0" applyAlignment="1" applyFont="1">
      <alignment readingOrder="0" shrinkToFit="0" vertical="center" wrapText="1"/>
    </xf>
    <xf borderId="0" fillId="17" fontId="1" numFmtId="0" xfId="0" applyAlignment="1" applyFill="1" applyFont="1">
      <alignment readingOrder="0" shrinkToFit="0" vertical="center" wrapText="0"/>
    </xf>
    <xf borderId="1" fillId="0" fontId="3" numFmtId="0" xfId="0" applyAlignment="1" applyBorder="1" applyFont="1">
      <alignment horizontal="center" shrinkToFit="0" vertical="bottom" wrapText="0"/>
    </xf>
    <xf borderId="1" fillId="3" fontId="3" numFmtId="0" xfId="0" applyAlignment="1" applyBorder="1" applyFont="1">
      <alignment horizontal="lef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horizontal="center" readingOrder="0" shrinkToFit="0" vertical="center" wrapText="0"/>
    </xf>
    <xf borderId="0" fillId="0" fontId="12" numFmtId="0" xfId="0" applyAlignment="1" applyFont="1">
      <alignment readingOrder="0" shrinkToFit="0" vertical="bottom" wrapText="0"/>
    </xf>
    <xf borderId="0" fillId="0" fontId="11"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2" fillId="3" fontId="2" numFmtId="49" xfId="0" applyAlignment="1" applyBorder="1" applyFont="1" applyNumberFormat="1">
      <alignment shrinkToFit="0" vertical="center" wrapText="0"/>
    </xf>
    <xf borderId="3" fillId="3" fontId="2" numFmtId="49" xfId="0" applyAlignment="1" applyBorder="1" applyFont="1" applyNumberFormat="1">
      <alignment shrinkToFit="0" vertical="center" wrapText="0"/>
    </xf>
    <xf borderId="3" fillId="3" fontId="2" numFmtId="166" xfId="0" applyAlignment="1" applyBorder="1" applyFont="1" applyNumberFormat="1">
      <alignment horizontal="right" shrinkToFit="0" vertical="center" wrapText="0"/>
    </xf>
    <xf borderId="3" fillId="3" fontId="14" numFmtId="0" xfId="0" applyAlignment="1" applyBorder="1" applyFont="1">
      <alignment shrinkToFit="0" vertical="center" wrapText="0"/>
    </xf>
    <xf borderId="3" fillId="3" fontId="3" numFmtId="0" xfId="0" applyAlignment="1" applyBorder="1" applyFont="1">
      <alignment shrinkToFit="0" vertical="center" wrapText="0"/>
    </xf>
    <xf borderId="3" fillId="3" fontId="3" numFmtId="167" xfId="0" applyAlignment="1" applyBorder="1" applyFont="1" applyNumberFormat="1">
      <alignment shrinkToFit="0" vertical="center" wrapText="0"/>
    </xf>
    <xf borderId="3" fillId="3" fontId="3" numFmtId="49" xfId="0" applyAlignment="1" applyBorder="1" applyFont="1" applyNumberFormat="1">
      <alignment shrinkToFit="0" vertical="center" wrapText="0"/>
    </xf>
    <xf borderId="4" fillId="3" fontId="3" numFmtId="0" xfId="0" applyAlignment="1" applyBorder="1" applyFont="1">
      <alignment shrinkToFit="0" vertical="center" wrapText="0"/>
    </xf>
    <xf borderId="5" fillId="2" fontId="2" numFmtId="49" xfId="0" applyAlignment="1" applyBorder="1" applyFont="1" applyNumberFormat="1">
      <alignment shrinkToFit="0" vertical="center" wrapText="0"/>
    </xf>
    <xf borderId="6" fillId="2" fontId="2" numFmtId="49" xfId="0" applyAlignment="1" applyBorder="1" applyFont="1" applyNumberFormat="1">
      <alignment shrinkToFit="0" vertical="center" wrapText="0"/>
    </xf>
    <xf borderId="6" fillId="2" fontId="2" numFmtId="166" xfId="0" applyAlignment="1" applyBorder="1" applyFont="1" applyNumberFormat="1">
      <alignment horizontal="right" shrinkToFit="0" vertical="center" wrapText="0"/>
    </xf>
    <xf borderId="6" fillId="2" fontId="14" numFmtId="0" xfId="0" applyAlignment="1" applyBorder="1" applyFont="1">
      <alignment shrinkToFit="0" vertical="center" wrapText="0"/>
    </xf>
    <xf borderId="6" fillId="2" fontId="3" numFmtId="0" xfId="0" applyAlignment="1" applyBorder="1" applyFont="1">
      <alignment shrinkToFit="0" vertical="center" wrapText="0"/>
    </xf>
    <xf borderId="6" fillId="2" fontId="3" numFmtId="167" xfId="0" applyAlignment="1" applyBorder="1" applyFont="1" applyNumberFormat="1">
      <alignment shrinkToFit="0" vertical="center" wrapText="0"/>
    </xf>
    <xf borderId="6" fillId="2" fontId="3" numFmtId="49" xfId="0" applyAlignment="1" applyBorder="1" applyFont="1" applyNumberFormat="1">
      <alignment shrinkToFit="0" vertical="center" wrapText="0"/>
    </xf>
    <xf borderId="7" fillId="2" fontId="3" numFmtId="0" xfId="0" applyAlignment="1" applyBorder="1" applyFont="1">
      <alignment shrinkToFit="0" vertical="center" wrapText="0"/>
    </xf>
    <xf borderId="3" fillId="3" fontId="15" numFmtId="0" xfId="0" applyAlignment="1" applyBorder="1" applyFont="1">
      <alignment shrinkToFit="0" vertical="center" wrapText="0"/>
    </xf>
    <xf borderId="7" fillId="2" fontId="2" numFmtId="0" xfId="0" applyAlignment="1" applyBorder="1" applyFont="1">
      <alignment shrinkToFit="0" vertical="center" wrapText="0"/>
    </xf>
    <xf borderId="6" fillId="2" fontId="2" numFmtId="0" xfId="0" applyAlignment="1" applyBorder="1" applyFont="1">
      <alignment shrinkToFit="0" vertical="center" wrapText="0"/>
    </xf>
    <xf borderId="3" fillId="3" fontId="2" numFmtId="0" xfId="0" applyAlignment="1" applyBorder="1" applyFont="1">
      <alignment shrinkToFit="0" vertical="center" wrapText="0"/>
    </xf>
    <xf borderId="6" fillId="2" fontId="2" numFmtId="0" xfId="0" applyAlignment="1" applyBorder="1" applyFont="1">
      <alignment horizontal="right" shrinkToFit="0" vertical="center" wrapText="0"/>
    </xf>
    <xf borderId="6" fillId="2" fontId="11" numFmtId="0" xfId="0" applyAlignment="1" applyBorder="1" applyFont="1">
      <alignment shrinkToFit="0" vertical="center" wrapText="0"/>
    </xf>
    <xf borderId="3" fillId="3" fontId="2" numFmtId="0" xfId="0" applyAlignment="1" applyBorder="1" applyFont="1">
      <alignment horizontal="right" shrinkToFit="0" vertical="center" wrapText="0"/>
    </xf>
    <xf borderId="3" fillId="3" fontId="2" numFmtId="0" xfId="0" applyAlignment="1" applyBorder="1" applyFont="1">
      <alignment shrinkToFit="0" vertical="center" wrapText="0"/>
    </xf>
    <xf borderId="3" fillId="2" fontId="16" numFmtId="49" xfId="0" applyAlignment="1" applyBorder="1" applyFont="1" applyNumberFormat="1">
      <alignment shrinkToFit="0" vertical="center" wrapText="0"/>
    </xf>
    <xf borderId="6" fillId="2" fontId="17" numFmtId="0" xfId="0" applyAlignment="1" applyBorder="1" applyFont="1">
      <alignment shrinkToFit="0" vertical="center" wrapText="0"/>
    </xf>
    <xf borderId="6" fillId="2" fontId="2" numFmtId="0" xfId="0" applyAlignment="1" applyBorder="1" applyFont="1">
      <alignment shrinkToFit="0" vertical="center" wrapText="0"/>
    </xf>
    <xf borderId="6" fillId="2" fontId="15" numFmtId="0" xfId="0" applyAlignment="1" applyBorder="1" applyFont="1">
      <alignment shrinkToFit="0" vertical="center" wrapText="0"/>
    </xf>
    <xf borderId="3" fillId="3" fontId="18" numFmtId="0" xfId="0" applyAlignment="1" applyBorder="1" applyFont="1">
      <alignment horizontal="right" shrinkToFit="0" vertical="center" wrapText="0"/>
    </xf>
    <xf borderId="3" fillId="3" fontId="11" numFmtId="0" xfId="0" applyAlignment="1" applyBorder="1" applyFont="1">
      <alignment shrinkToFit="0" vertical="center" wrapText="0"/>
    </xf>
    <xf borderId="6" fillId="2" fontId="19" numFmtId="49" xfId="0" applyAlignment="1" applyBorder="1" applyFont="1" applyNumberFormat="1">
      <alignment shrinkToFit="0" vertical="center" wrapText="0"/>
    </xf>
    <xf borderId="6" fillId="3" fontId="19" numFmtId="49" xfId="0" applyAlignment="1" applyBorder="1" applyFont="1" applyNumberFormat="1">
      <alignment shrinkToFit="0" vertical="center" wrapText="0"/>
    </xf>
    <xf borderId="6" fillId="2" fontId="18" numFmtId="0" xfId="0" applyAlignment="1" applyBorder="1" applyFont="1">
      <alignment horizontal="right" shrinkToFit="0" vertical="center" wrapText="0"/>
    </xf>
    <xf borderId="3" fillId="3" fontId="17" numFmtId="0" xfId="0" applyAlignment="1" applyBorder="1" applyFont="1">
      <alignment shrinkToFit="0" vertical="center" wrapText="0"/>
    </xf>
    <xf borderId="6" fillId="2" fontId="20" numFmtId="0" xfId="0" applyAlignment="1" applyBorder="1" applyFont="1">
      <alignment shrinkToFit="0" vertical="center" wrapText="0"/>
    </xf>
    <xf borderId="3" fillId="3" fontId="21" numFmtId="0" xfId="0" applyAlignment="1" applyBorder="1" applyFont="1">
      <alignment shrinkToFit="0" vertical="center" wrapText="0"/>
    </xf>
    <xf borderId="6" fillId="2" fontId="22" numFmtId="0" xfId="0" applyAlignment="1" applyBorder="1" applyFont="1">
      <alignment shrinkToFit="0" vertical="center" wrapText="0"/>
    </xf>
    <xf borderId="3" fillId="3" fontId="18" numFmtId="0" xfId="0" applyAlignment="1" applyBorder="1" applyFont="1">
      <alignment shrinkToFit="0" vertical="center" wrapText="0"/>
    </xf>
    <xf borderId="6" fillId="2" fontId="18" numFmtId="0" xfId="0" applyAlignment="1" applyBorder="1" applyFont="1">
      <alignment shrinkToFit="0" vertical="center" wrapText="0"/>
    </xf>
    <xf borderId="3" fillId="3" fontId="16" numFmtId="49" xfId="0" applyAlignment="1" applyBorder="1" applyFont="1" applyNumberFormat="1">
      <alignment shrinkToFit="0" vertical="center" wrapText="0"/>
    </xf>
    <xf borderId="3" fillId="2" fontId="17" numFmtId="0" xfId="0" applyAlignment="1" applyBorder="1" applyFont="1">
      <alignment shrinkToFit="0" vertical="center" wrapText="0"/>
    </xf>
    <xf borderId="3" fillId="2" fontId="3" numFmtId="0" xfId="0" applyAlignment="1" applyBorder="1" applyFont="1">
      <alignment shrinkToFit="0" vertical="center" wrapText="0"/>
    </xf>
    <xf borderId="8" fillId="2" fontId="3" numFmtId="167" xfId="0" applyAlignment="1" applyBorder="1" applyFont="1" applyNumberFormat="1">
      <alignment shrinkToFit="0" vertical="center" wrapText="0"/>
    </xf>
    <xf borderId="4" fillId="2" fontId="3" numFmtId="49" xfId="0" applyAlignment="1" applyBorder="1" applyFont="1" applyNumberFormat="1">
      <alignment shrinkToFit="0" vertical="center" wrapText="0"/>
    </xf>
    <xf borderId="9" fillId="3" fontId="2" numFmtId="49" xfId="0" applyAlignment="1" applyBorder="1" applyFont="1" applyNumberFormat="1">
      <alignment shrinkToFit="0" vertical="center" wrapText="0"/>
    </xf>
    <xf borderId="10" fillId="3" fontId="2" numFmtId="49" xfId="0" applyAlignment="1" applyBorder="1" applyFont="1" applyNumberFormat="1">
      <alignment shrinkToFit="0" vertical="center" wrapText="0"/>
    </xf>
    <xf borderId="10" fillId="3" fontId="16" numFmtId="49" xfId="0" applyAlignment="1" applyBorder="1" applyFont="1" applyNumberFormat="1">
      <alignment shrinkToFit="0" vertical="center" wrapText="0"/>
    </xf>
    <xf borderId="10" fillId="3" fontId="2" numFmtId="0" xfId="0" applyAlignment="1" applyBorder="1" applyFont="1">
      <alignment horizontal="right" shrinkToFit="0" vertical="center" wrapText="0"/>
    </xf>
    <xf borderId="10" fillId="3" fontId="3" numFmtId="167" xfId="0" applyAlignment="1" applyBorder="1" applyFont="1" applyNumberFormat="1">
      <alignment shrinkToFit="0" vertical="center" wrapText="0"/>
    </xf>
    <xf borderId="10" fillId="3" fontId="3" numFmtId="49" xfId="0" applyAlignment="1" applyBorder="1" applyFont="1" applyNumberFormat="1">
      <alignment shrinkToFit="0" vertical="center" wrapText="0"/>
    </xf>
    <xf borderId="11" fillId="3" fontId="3" numFmtId="0" xfId="0" applyAlignment="1" applyBorder="1" applyFont="1">
      <alignment shrinkToFit="0" vertical="center" wrapText="0"/>
    </xf>
    <xf quotePrefix="1" borderId="3" fillId="2" fontId="16" numFmtId="49" xfId="0" applyAlignment="1" applyBorder="1" applyFont="1" applyNumberFormat="1">
      <alignment shrinkToFit="0" vertical="center" wrapText="0"/>
    </xf>
    <xf borderId="3" fillId="2" fontId="11" numFmtId="0" xfId="0" applyAlignment="1" applyBorder="1" applyFont="1">
      <alignment shrinkToFit="0" vertical="center" wrapText="0"/>
    </xf>
    <xf borderId="3" fillId="2" fontId="2" numFmtId="0" xfId="0" applyAlignment="1" applyBorder="1" applyFont="1">
      <alignment shrinkToFit="0" vertical="center" wrapText="0"/>
    </xf>
    <xf borderId="3" fillId="2" fontId="15" numFmtId="0" xfId="0" applyAlignment="1" applyBorder="1" applyFont="1">
      <alignment shrinkToFit="0" vertical="center" wrapText="0"/>
    </xf>
    <xf borderId="3" fillId="2" fontId="2" numFmtId="49" xfId="0" applyAlignment="1" applyBorder="1" applyFont="1" applyNumberFormat="1">
      <alignment shrinkToFit="0" vertical="center" wrapText="0"/>
    </xf>
    <xf borderId="6" fillId="2" fontId="3" numFmtId="0" xfId="0" applyAlignment="1" applyBorder="1" applyFont="1">
      <alignment shrinkToFit="0" vertical="center" wrapText="0"/>
    </xf>
    <xf borderId="3" fillId="3" fontId="3" numFmtId="0" xfId="0" applyAlignment="1" applyBorder="1" applyFont="1">
      <alignment shrinkToFit="0" vertical="center" wrapText="0"/>
    </xf>
    <xf borderId="3" fillId="2" fontId="23" numFmtId="49" xfId="0" applyAlignment="1" applyBorder="1" applyFont="1" applyNumberFormat="1">
      <alignment shrinkToFit="0" vertical="center" wrapText="0"/>
    </xf>
    <xf borderId="3" fillId="2" fontId="20" numFmtId="0" xfId="0" applyAlignment="1" applyBorder="1" applyFont="1">
      <alignment shrinkToFit="0" vertical="center" wrapText="0"/>
    </xf>
    <xf borderId="12" fillId="2" fontId="2" numFmtId="49" xfId="0" applyAlignment="1" applyBorder="1" applyFont="1" applyNumberFormat="1">
      <alignment shrinkToFit="0" vertical="center" wrapText="0"/>
    </xf>
    <xf borderId="6" fillId="2" fontId="18" numFmtId="49" xfId="0" applyAlignment="1" applyBorder="1" applyFont="1" applyNumberFormat="1">
      <alignment shrinkToFit="0" vertical="center" wrapText="0"/>
    </xf>
    <xf borderId="2" fillId="3" fontId="3" numFmtId="49" xfId="0" applyAlignment="1" applyBorder="1" applyFont="1" applyNumberFormat="1">
      <alignment shrinkToFit="0" vertical="center" wrapText="0"/>
    </xf>
    <xf borderId="3" fillId="3" fontId="18" numFmtId="49" xfId="0" applyAlignment="1" applyBorder="1" applyFont="1" applyNumberFormat="1">
      <alignment shrinkToFit="0" vertical="center" wrapText="0"/>
    </xf>
    <xf borderId="3" fillId="3" fontId="24" numFmtId="0" xfId="0" applyAlignment="1" applyBorder="1" applyFont="1">
      <alignment shrinkToFit="0" vertical="center" wrapText="0"/>
    </xf>
    <xf borderId="3" fillId="3" fontId="2" numFmtId="167" xfId="0" applyAlignment="1" applyBorder="1" applyFont="1" applyNumberFormat="1">
      <alignment shrinkToFit="0" vertical="center" wrapText="0"/>
    </xf>
    <xf borderId="6" fillId="2" fontId="18" numFmtId="49" xfId="0" applyAlignment="1" applyBorder="1" applyFont="1" applyNumberFormat="1">
      <alignment shrinkToFit="0" vertical="center" wrapText="0"/>
    </xf>
    <xf borderId="6" fillId="2" fontId="24" numFmtId="0" xfId="0" applyAlignment="1" applyBorder="1" applyFont="1">
      <alignment shrinkToFit="0" vertical="center" wrapText="0"/>
    </xf>
    <xf borderId="6" fillId="2" fontId="25" numFmtId="167" xfId="0" applyAlignment="1" applyBorder="1" applyFont="1" applyNumberFormat="1">
      <alignment shrinkToFit="0" vertical="center" wrapText="0"/>
    </xf>
    <xf borderId="3" fillId="3" fontId="25" numFmtId="167" xfId="0" applyAlignment="1" applyBorder="1" applyFont="1" applyNumberFormat="1">
      <alignment shrinkToFit="0" vertical="center" wrapText="0"/>
    </xf>
    <xf borderId="6" fillId="2" fontId="2" numFmtId="167" xfId="0" applyAlignment="1" applyBorder="1" applyFont="1" applyNumberFormat="1">
      <alignment shrinkToFit="0" vertical="center" wrapText="0"/>
    </xf>
    <xf borderId="3" fillId="2" fontId="18" numFmtId="49" xfId="0" applyAlignment="1" applyBorder="1" applyFont="1" applyNumberFormat="1">
      <alignment shrinkToFit="0" vertical="center" wrapText="0"/>
    </xf>
    <xf borderId="3" fillId="3" fontId="26" numFmtId="0" xfId="0" applyAlignment="1" applyBorder="1" applyFont="1">
      <alignment shrinkToFit="0" vertical="center" wrapText="0"/>
    </xf>
    <xf borderId="6" fillId="2" fontId="27" numFmtId="0" xfId="0" applyAlignment="1" applyBorder="1" applyFont="1">
      <alignment shrinkToFit="0" vertical="center" wrapText="0"/>
    </xf>
    <xf borderId="6" fillId="2" fontId="26" numFmtId="0" xfId="0" applyAlignment="1" applyBorder="1" applyFont="1">
      <alignment shrinkToFit="0" vertical="center" wrapText="0"/>
    </xf>
    <xf borderId="3" fillId="3" fontId="20" numFmtId="0" xfId="0" applyAlignment="1" applyBorder="1" applyFont="1">
      <alignment shrinkToFit="0" vertical="center" wrapText="0"/>
    </xf>
    <xf borderId="3" fillId="3" fontId="27" numFmtId="0" xfId="0" applyAlignment="1" applyBorder="1" applyFont="1">
      <alignment shrinkToFit="0" vertical="center" wrapText="0"/>
    </xf>
    <xf borderId="3" fillId="3" fontId="18" numFmtId="0" xfId="0" applyAlignment="1" applyBorder="1" applyFont="1">
      <alignment shrinkToFit="0" vertical="center" wrapText="0"/>
    </xf>
    <xf borderId="6" fillId="3" fontId="2" numFmtId="49" xfId="0" applyAlignment="1" applyBorder="1" applyFont="1" applyNumberFormat="1">
      <alignment shrinkToFit="0" vertical="center" wrapText="0"/>
    </xf>
    <xf borderId="13" fillId="2" fontId="2" numFmtId="49" xfId="0" applyAlignment="1" applyBorder="1" applyFont="1" applyNumberFormat="1">
      <alignment shrinkToFit="0" vertical="center" wrapText="0"/>
    </xf>
    <xf borderId="14" fillId="2" fontId="2" numFmtId="49" xfId="0" applyAlignment="1" applyBorder="1" applyFont="1" applyNumberFormat="1">
      <alignment shrinkToFit="0" vertical="center" wrapText="0"/>
    </xf>
    <xf borderId="15" fillId="2" fontId="2" numFmtId="166" xfId="0" applyAlignment="1" applyBorder="1" applyFont="1" applyNumberFormat="1">
      <alignment horizontal="right" shrinkToFit="0" vertical="center" wrapText="0"/>
    </xf>
    <xf borderId="15" fillId="2" fontId="2" numFmtId="49" xfId="0" applyAlignment="1" applyBorder="1" applyFont="1" applyNumberFormat="1">
      <alignment shrinkToFit="0" vertical="center" wrapText="0"/>
    </xf>
    <xf borderId="15" fillId="2" fontId="2" numFmtId="0" xfId="0" applyAlignment="1" applyBorder="1" applyFont="1">
      <alignment shrinkToFit="0" vertical="center" wrapText="0"/>
    </xf>
    <xf borderId="15" fillId="2" fontId="27" numFmtId="0" xfId="0" applyAlignment="1" applyBorder="1" applyFont="1">
      <alignment shrinkToFit="0" vertical="center" wrapText="0"/>
    </xf>
    <xf borderId="15" fillId="2" fontId="24" numFmtId="0" xfId="0" applyAlignment="1" applyBorder="1" applyFont="1">
      <alignment shrinkToFit="0" vertical="center" wrapText="0"/>
    </xf>
    <xf borderId="15" fillId="2" fontId="2" numFmtId="167" xfId="0" applyAlignment="1" applyBorder="1" applyFont="1" applyNumberFormat="1">
      <alignment shrinkToFit="0" vertical="center" wrapText="0"/>
    </xf>
    <xf borderId="3" fillId="2" fontId="24" numFmtId="0" xfId="0" applyAlignment="1" applyBorder="1" applyFont="1">
      <alignment shrinkToFit="0" vertical="center" wrapText="0"/>
    </xf>
    <xf borderId="13" fillId="2" fontId="2" numFmtId="166" xfId="0" applyAlignment="1" applyBorder="1" applyFont="1" applyNumberFormat="1">
      <alignment horizontal="right" shrinkToFit="0" vertical="center" wrapText="0"/>
    </xf>
    <xf borderId="13" fillId="2" fontId="3" numFmtId="49" xfId="0" applyAlignment="1" applyBorder="1" applyFont="1" applyNumberFormat="1">
      <alignment shrinkToFit="0" vertical="center" wrapText="0"/>
    </xf>
    <xf borderId="13" fillId="2" fontId="27" numFmtId="0" xfId="0" applyAlignment="1" applyBorder="1" applyFont="1">
      <alignment shrinkToFit="0" vertical="center" wrapText="0"/>
    </xf>
    <xf borderId="13" fillId="2" fontId="2" numFmtId="167" xfId="0" applyAlignment="1" applyBorder="1" applyFont="1" applyNumberFormat="1">
      <alignment shrinkToFit="0" vertical="center" wrapText="0"/>
    </xf>
    <xf borderId="6" fillId="2" fontId="28" numFmtId="0" xfId="0" applyAlignment="1" applyBorder="1" applyFont="1">
      <alignment shrinkToFit="0" vertical="center" wrapText="0"/>
    </xf>
    <xf borderId="16" fillId="2" fontId="2" numFmtId="49" xfId="0" applyAlignment="1" applyBorder="1" applyFont="1" applyNumberFormat="1">
      <alignment shrinkToFit="0" vertical="center" wrapText="0"/>
    </xf>
    <xf borderId="17" fillId="2" fontId="2" numFmtId="49" xfId="0" applyAlignment="1" applyBorder="1" applyFont="1" applyNumberFormat="1">
      <alignment shrinkToFit="0" vertical="center" wrapText="0"/>
    </xf>
    <xf borderId="17" fillId="2" fontId="18" numFmtId="49" xfId="0" applyAlignment="1" applyBorder="1" applyFont="1" applyNumberFormat="1">
      <alignment shrinkToFit="0" vertical="center" wrapText="0"/>
    </xf>
    <xf borderId="17" fillId="2" fontId="20" numFmtId="0" xfId="0" applyAlignment="1" applyBorder="1" applyFont="1">
      <alignment shrinkToFit="0" vertical="center" wrapText="0"/>
    </xf>
    <xf borderId="17" fillId="2" fontId="24" numFmtId="0" xfId="0" applyAlignment="1" applyBorder="1" applyFont="1">
      <alignment shrinkToFit="0" vertical="center" wrapText="0"/>
    </xf>
    <xf borderId="18" fillId="2" fontId="2" numFmtId="49" xfId="0" applyAlignment="1" applyBorder="1" applyFont="1" applyNumberFormat="1">
      <alignment shrinkToFit="0" vertical="center" wrapText="0"/>
    </xf>
    <xf borderId="19" fillId="2" fontId="2" numFmtId="49" xfId="0" applyAlignment="1" applyBorder="1" applyFont="1" applyNumberFormat="1">
      <alignment shrinkToFit="0" vertical="center" wrapText="0"/>
    </xf>
    <xf borderId="19" fillId="2" fontId="3" numFmtId="0" xfId="0" applyAlignment="1" applyBorder="1" applyFont="1">
      <alignment shrinkToFit="0" vertical="center" wrapText="0"/>
    </xf>
    <xf borderId="19" fillId="2" fontId="14" numFmtId="0" xfId="0" applyAlignment="1" applyBorder="1" applyFont="1">
      <alignment shrinkToFit="0" vertical="center" wrapText="0"/>
    </xf>
    <xf borderId="19" fillId="2" fontId="24" numFmtId="0" xfId="0" applyAlignment="1" applyBorder="1" applyFont="1">
      <alignment shrinkToFit="0" vertical="center" wrapText="0"/>
    </xf>
    <xf borderId="3" fillId="3" fontId="29" numFmtId="0" xfId="0" applyAlignment="1" applyBorder="1" applyFont="1">
      <alignment shrinkToFit="0" vertical="center" wrapText="0"/>
    </xf>
    <xf borderId="3" fillId="3" fontId="2" numFmtId="166" xfId="0" applyAlignment="1" applyBorder="1" applyFont="1" applyNumberFormat="1">
      <alignment horizontal="center" shrinkToFit="0" vertical="center" wrapText="0"/>
    </xf>
    <xf borderId="6" fillId="2" fontId="2" numFmtId="0" xfId="0" applyAlignment="1" applyBorder="1" applyFont="1">
      <alignment horizontal="center" shrinkToFit="0" vertical="center" wrapText="0"/>
    </xf>
    <xf borderId="3" fillId="3" fontId="28" numFmtId="0" xfId="0" applyAlignment="1" applyBorder="1" applyFont="1">
      <alignment shrinkToFit="0" vertical="center" wrapText="0"/>
    </xf>
    <xf borderId="3" fillId="3" fontId="30" numFmtId="0" xfId="0" applyAlignment="1" applyBorder="1" applyFont="1">
      <alignment shrinkToFit="0" vertical="center" wrapText="0"/>
    </xf>
    <xf borderId="6" fillId="2" fontId="30" numFmtId="0" xfId="0" applyAlignment="1" applyBorder="1" applyFont="1">
      <alignment shrinkToFit="0" vertical="center" wrapText="0"/>
    </xf>
    <xf borderId="6" fillId="2" fontId="29" numFmtId="0" xfId="0" applyAlignment="1" applyBorder="1" applyFont="1">
      <alignment shrinkToFit="0" vertical="center" wrapText="0"/>
    </xf>
    <xf borderId="5" fillId="2" fontId="3" numFmtId="49" xfId="0" applyAlignment="1" applyBorder="1" applyFont="1" applyNumberFormat="1">
      <alignment shrinkToFit="0" vertical="center" wrapText="0"/>
    </xf>
    <xf borderId="20" fillId="2" fontId="3" numFmtId="49" xfId="0" applyAlignment="1" applyBorder="1" applyFont="1" applyNumberFormat="1">
      <alignment shrinkToFit="0" vertical="center" wrapText="0"/>
    </xf>
    <xf borderId="21" fillId="2" fontId="3" numFmtId="49" xfId="0" applyAlignment="1" applyBorder="1" applyFont="1" applyNumberFormat="1">
      <alignment shrinkToFit="0" vertical="center" wrapText="0"/>
    </xf>
    <xf borderId="21" fillId="2" fontId="3" numFmtId="0" xfId="0" applyAlignment="1" applyBorder="1" applyFont="1">
      <alignment shrinkToFit="0" vertical="center" wrapText="0"/>
    </xf>
    <xf borderId="21" fillId="2" fontId="3" numFmtId="0" xfId="0" applyAlignment="1" applyBorder="1" applyFont="1">
      <alignment shrinkToFit="0" vertical="center" wrapText="0"/>
    </xf>
    <xf borderId="21" fillId="2" fontId="3" numFmtId="167" xfId="0" applyAlignment="1" applyBorder="1" applyFont="1" applyNumberFormat="1">
      <alignment shrinkToFit="0" vertical="center" wrapText="0"/>
    </xf>
    <xf borderId="22" fillId="2" fontId="3" numFmtId="0" xfId="0" applyAlignment="1" applyBorder="1" applyFont="1">
      <alignment shrinkToFit="0" vertical="center" wrapText="0"/>
    </xf>
    <xf borderId="4" fillId="3" fontId="3" numFmtId="49" xfId="0" applyAlignment="1" applyBorder="1" applyFont="1" applyNumberFormat="1">
      <alignment shrinkToFit="0" vertical="center" wrapText="0"/>
    </xf>
    <xf borderId="6" fillId="2" fontId="18" numFmtId="0" xfId="0" applyAlignment="1" applyBorder="1" applyFont="1">
      <alignment shrinkToFit="0" vertical="center" wrapText="0"/>
    </xf>
    <xf borderId="7" fillId="2" fontId="3" numFmtId="49" xfId="0" applyAlignment="1" applyBorder="1" applyFont="1" applyNumberFormat="1">
      <alignment shrinkToFit="0" vertical="center" wrapText="0"/>
    </xf>
    <xf borderId="4" fillId="3" fontId="2" numFmtId="49" xfId="0" applyAlignment="1" applyBorder="1" applyFont="1" applyNumberFormat="1">
      <alignment shrinkToFit="0" vertical="center" wrapText="0"/>
    </xf>
    <xf borderId="6" fillId="2" fontId="2" numFmtId="168" xfId="0" applyAlignment="1" applyBorder="1" applyFont="1" applyNumberFormat="1">
      <alignment horizontal="right" shrinkToFit="0" vertical="center" wrapText="0"/>
    </xf>
    <xf borderId="6" fillId="2" fontId="31" numFmtId="0" xfId="0" applyAlignment="1" applyBorder="1" applyFont="1">
      <alignment shrinkToFit="0" vertical="center" wrapText="0"/>
    </xf>
    <xf borderId="8" fillId="2" fontId="3" numFmtId="0" xfId="0" applyAlignment="1" applyBorder="1" applyFont="1">
      <alignment shrinkToFit="0" vertical="center" wrapText="0"/>
    </xf>
    <xf borderId="8" fillId="2" fontId="3" numFmtId="0" xfId="0" applyAlignment="1" applyBorder="1" applyFont="1">
      <alignment shrinkToFit="0" vertical="center" wrapText="0"/>
    </xf>
    <xf borderId="3" fillId="2" fontId="27" numFmtId="0" xfId="0" applyAlignment="1" applyBorder="1" applyFont="1">
      <alignment shrinkToFit="0" vertical="center" wrapText="0"/>
    </xf>
    <xf borderId="7" fillId="2" fontId="2" numFmtId="49" xfId="0" applyAlignment="1" applyBorder="1" applyFont="1" applyNumberFormat="1">
      <alignment shrinkToFit="0" vertical="center" wrapText="0"/>
    </xf>
    <xf borderId="3" fillId="2" fontId="26" numFmtId="0" xfId="0" applyAlignment="1" applyBorder="1" applyFont="1">
      <alignment shrinkToFit="0" vertical="center" wrapText="0"/>
    </xf>
    <xf borderId="3" fillId="2" fontId="14" numFmtId="0" xfId="0" applyAlignment="1" applyBorder="1" applyFont="1">
      <alignment shrinkToFit="0" vertical="center" wrapText="0"/>
    </xf>
    <xf borderId="3" fillId="3" fontId="25" numFmtId="0" xfId="0" applyAlignment="1" applyBorder="1" applyFont="1">
      <alignment shrinkToFit="0" vertical="center" wrapText="0"/>
    </xf>
    <xf borderId="5" fillId="2" fontId="3" numFmtId="0" xfId="0" applyAlignment="1" applyBorder="1" applyFont="1">
      <alignment shrinkToFit="0" vertical="center" wrapText="0"/>
    </xf>
    <xf borderId="6" fillId="2" fontId="25" numFmtId="0" xfId="0" applyAlignment="1" applyBorder="1" applyFont="1">
      <alignment shrinkToFit="0" vertical="center" wrapText="0"/>
    </xf>
    <xf borderId="6" fillId="2" fontId="32" numFmtId="49" xfId="0" applyAlignment="1" applyBorder="1" applyFont="1" applyNumberFormat="1">
      <alignment shrinkToFit="0" vertical="center" wrapText="0"/>
    </xf>
    <xf borderId="3" fillId="3" fontId="32" numFmtId="49" xfId="0" applyAlignment="1" applyBorder="1" applyFont="1" applyNumberFormat="1">
      <alignment shrinkToFit="0" vertical="center" wrapText="0"/>
    </xf>
    <xf borderId="3" fillId="3" fontId="2" numFmtId="168" xfId="0" applyAlignment="1" applyBorder="1" applyFont="1" applyNumberFormat="1">
      <alignment horizontal="right" shrinkToFit="0" vertical="center" wrapText="0"/>
    </xf>
    <xf borderId="3" fillId="2" fontId="19" numFmtId="49" xfId="0" applyAlignment="1" applyBorder="1" applyFont="1" applyNumberFormat="1">
      <alignment shrinkToFit="0" vertical="center" wrapText="0"/>
    </xf>
    <xf quotePrefix="1" borderId="3" fillId="3" fontId="2" numFmtId="49" xfId="0" applyAlignment="1" applyBorder="1" applyFont="1" applyNumberFormat="1">
      <alignment shrinkToFit="0" vertical="center" wrapText="0"/>
    </xf>
    <xf borderId="23" fillId="3" fontId="3" numFmtId="49" xfId="0" applyAlignment="1" applyBorder="1" applyFont="1" applyNumberFormat="1">
      <alignment shrinkToFit="0" vertical="center" wrapText="0"/>
    </xf>
    <xf borderId="24" fillId="3" fontId="32" numFmtId="49" xfId="0" applyAlignment="1" applyBorder="1" applyFont="1" applyNumberFormat="1">
      <alignment shrinkToFit="0" vertical="center" wrapText="0"/>
    </xf>
    <xf borderId="24" fillId="3" fontId="3" numFmtId="49" xfId="0" applyAlignment="1" applyBorder="1" applyFont="1" applyNumberFormat="1">
      <alignment shrinkToFit="0" vertical="center" wrapText="0"/>
    </xf>
    <xf borderId="24" fillId="3" fontId="3" numFmtId="0" xfId="0" applyAlignment="1" applyBorder="1" applyFont="1">
      <alignment shrinkToFit="0" vertical="center" wrapText="0"/>
    </xf>
    <xf borderId="24" fillId="3" fontId="3" numFmtId="0" xfId="0" applyAlignment="1" applyBorder="1" applyFont="1">
      <alignment shrinkToFit="0" vertical="center" wrapText="0"/>
    </xf>
    <xf borderId="25" fillId="3" fontId="3" numFmtId="49" xfId="0" applyAlignment="1" applyBorder="1" applyFont="1" applyNumberFormat="1">
      <alignment shrinkToFit="0" vertical="center" wrapText="0"/>
    </xf>
    <xf borderId="0" fillId="0" fontId="11" numFmtId="0" xfId="0" applyAlignment="1" applyFont="1">
      <alignment horizontal="left" readingOrder="0" shrinkToFit="0" vertical="center" wrapText="0"/>
    </xf>
    <xf borderId="0" fillId="0" fontId="3" numFmtId="0" xfId="0" applyAlignment="1" applyFont="1">
      <alignment vertical="bottom"/>
    </xf>
    <xf borderId="2" fillId="3" fontId="2" numFmtId="0" xfId="0" applyAlignment="1" applyBorder="1" applyFont="1">
      <alignment shrinkToFit="0" vertical="center" wrapText="1"/>
    </xf>
    <xf borderId="3" fillId="3" fontId="2" numFmtId="0" xfId="0" applyAlignment="1" applyBorder="1" applyFont="1">
      <alignment shrinkToFit="0" vertical="center" wrapText="1"/>
    </xf>
    <xf borderId="3" fillId="3" fontId="2" numFmtId="164" xfId="0" applyAlignment="1" applyBorder="1" applyFont="1" applyNumberFormat="1">
      <alignment shrinkToFit="0" vertical="center" wrapText="0"/>
    </xf>
    <xf borderId="3" fillId="3" fontId="33" numFmtId="0" xfId="0" applyAlignment="1" applyBorder="1" applyFont="1">
      <alignment shrinkToFit="0" vertical="center" wrapText="0"/>
    </xf>
    <xf borderId="3" fillId="3" fontId="2" numFmtId="164" xfId="0" applyAlignment="1" applyBorder="1" applyFont="1" applyNumberFormat="1">
      <alignment horizontal="center" shrinkToFit="0" vertical="center" wrapText="0"/>
    </xf>
    <xf borderId="3" fillId="3" fontId="33" numFmtId="49" xfId="0" applyAlignment="1" applyBorder="1" applyFont="1" applyNumberFormat="1">
      <alignment shrinkToFit="0" vertical="center" wrapText="0"/>
    </xf>
    <xf borderId="5" fillId="2" fontId="2" numFmtId="0" xfId="0" applyAlignment="1" applyBorder="1" applyFont="1">
      <alignment shrinkToFit="0" vertical="center" wrapText="1"/>
    </xf>
    <xf borderId="6" fillId="2" fontId="2" numFmtId="0" xfId="0" applyAlignment="1" applyBorder="1" applyFont="1">
      <alignment shrinkToFit="0" vertical="center" wrapText="1"/>
    </xf>
    <xf borderId="6" fillId="2" fontId="2" numFmtId="164" xfId="0" applyAlignment="1" applyBorder="1" applyFont="1" applyNumberFormat="1">
      <alignment shrinkToFit="0" vertical="center" wrapText="0"/>
    </xf>
    <xf borderId="3" fillId="2" fontId="2" numFmtId="164" xfId="0" applyAlignment="1" applyBorder="1" applyFont="1" applyNumberFormat="1">
      <alignment horizontal="center" shrinkToFit="0" vertical="center" wrapText="0"/>
    </xf>
    <xf borderId="6" fillId="2" fontId="2" numFmtId="0" xfId="0" applyAlignment="1" applyBorder="1" applyFont="1">
      <alignment horizontal="right" shrinkToFit="0" vertical="center" wrapText="0"/>
    </xf>
    <xf borderId="6" fillId="2" fontId="34" numFmtId="49" xfId="0" applyAlignment="1" applyBorder="1" applyFont="1" applyNumberFormat="1">
      <alignment shrinkToFit="0" vertical="center" wrapText="0"/>
    </xf>
    <xf borderId="3" fillId="3" fontId="34" numFmtId="0" xfId="0" applyAlignment="1" applyBorder="1" applyFont="1">
      <alignment shrinkToFit="0" vertical="center" wrapText="0"/>
    </xf>
    <xf borderId="3" fillId="3" fontId="24" numFmtId="49" xfId="0" applyAlignment="1" applyBorder="1" applyFont="1" applyNumberFormat="1">
      <alignment shrinkToFit="0" vertical="center" wrapText="0"/>
    </xf>
    <xf borderId="2" fillId="2" fontId="2" numFmtId="0" xfId="0" applyAlignment="1" applyBorder="1" applyFont="1">
      <alignment shrinkToFit="0" vertical="center" wrapText="1"/>
    </xf>
    <xf borderId="6" fillId="2" fontId="2" numFmtId="49" xfId="0" applyAlignment="1" applyBorder="1" applyFont="1" applyNumberFormat="1">
      <alignment shrinkToFit="0" vertical="center" wrapText="1"/>
    </xf>
    <xf borderId="6" fillId="2" fontId="34" numFmtId="0" xfId="0" applyAlignment="1" applyBorder="1" applyFont="1">
      <alignment shrinkToFit="0" vertical="center" wrapText="0"/>
    </xf>
    <xf borderId="6" fillId="2" fontId="24" numFmtId="49" xfId="0" applyAlignment="1" applyBorder="1" applyFont="1" applyNumberFormat="1">
      <alignment shrinkToFit="0" vertical="center" wrapText="0"/>
    </xf>
    <xf borderId="2" fillId="3" fontId="2" numFmtId="49" xfId="0" applyAlignment="1" applyBorder="1" applyFont="1" applyNumberFormat="1">
      <alignment shrinkToFit="0" vertical="center" wrapText="1"/>
    </xf>
    <xf borderId="3" fillId="3" fontId="34" numFmtId="49" xfId="0" applyAlignment="1" applyBorder="1" applyFont="1" applyNumberFormat="1">
      <alignment shrinkToFit="0" vertical="center" wrapText="0"/>
    </xf>
    <xf borderId="2" fillId="2" fontId="2" numFmtId="49" xfId="0" applyAlignment="1" applyBorder="1" applyFont="1" applyNumberFormat="1">
      <alignment shrinkToFit="0" vertical="center" wrapText="1"/>
    </xf>
    <xf borderId="6" fillId="2" fontId="33" numFmtId="0" xfId="0" applyAlignment="1" applyBorder="1" applyFont="1">
      <alignment shrinkToFit="0" vertical="center" wrapText="0"/>
    </xf>
    <xf borderId="6" fillId="2" fontId="33" numFmtId="49" xfId="0" applyAlignment="1" applyBorder="1" applyFont="1" applyNumberFormat="1">
      <alignment shrinkToFit="0" vertical="center" wrapText="0"/>
    </xf>
    <xf borderId="3" fillId="3" fontId="2" numFmtId="49" xfId="0" applyAlignment="1" applyBorder="1" applyFont="1" applyNumberFormat="1">
      <alignment shrinkToFit="0" vertical="center" wrapText="1"/>
    </xf>
    <xf borderId="26" fillId="2" fontId="2" numFmtId="0" xfId="0" applyAlignment="1" applyBorder="1" applyFont="1">
      <alignment shrinkToFit="0" vertical="center" wrapText="1"/>
    </xf>
    <xf borderId="3" fillId="2" fontId="2" numFmtId="49" xfId="0" applyAlignment="1" applyBorder="1" applyFont="1" applyNumberFormat="1">
      <alignment shrinkToFit="0" vertical="center" wrapText="1"/>
    </xf>
    <xf borderId="3" fillId="2" fontId="34" numFmtId="0" xfId="0" applyAlignment="1" applyBorder="1" applyFont="1">
      <alignment shrinkToFit="0" vertical="center" wrapText="0"/>
    </xf>
    <xf borderId="3" fillId="2" fontId="24" numFmtId="49" xfId="0" applyAlignment="1" applyBorder="1" applyFont="1" applyNumberFormat="1">
      <alignment shrinkToFit="0" vertical="center" wrapText="0"/>
    </xf>
    <xf borderId="3" fillId="2" fontId="2" numFmtId="0" xfId="0" applyAlignment="1" applyBorder="1" applyFont="1">
      <alignment shrinkToFit="0" vertical="center" wrapText="0"/>
    </xf>
    <xf borderId="27" fillId="2" fontId="11" numFmtId="0" xfId="0" applyAlignment="1" applyBorder="1" applyFont="1">
      <alignment shrinkToFit="0" vertical="center" wrapText="0"/>
    </xf>
    <xf borderId="3" fillId="2" fontId="2" numFmtId="164" xfId="0" applyAlignment="1" applyBorder="1" applyFont="1" applyNumberFormat="1">
      <alignment shrinkToFit="0" vertical="center" wrapText="0"/>
    </xf>
    <xf borderId="6" fillId="2" fontId="2" numFmtId="164" xfId="0" applyAlignment="1" applyBorder="1" applyFont="1" applyNumberFormat="1">
      <alignment horizontal="center" shrinkToFit="0" vertical="center" wrapText="0"/>
    </xf>
    <xf borderId="27" fillId="3" fontId="11" numFmtId="0" xfId="0" applyAlignment="1" applyBorder="1" applyFont="1">
      <alignment shrinkToFit="0" vertical="center" wrapText="0"/>
    </xf>
    <xf borderId="27" fillId="2" fontId="27" numFmtId="0" xfId="0" applyAlignment="1" applyBorder="1" applyFont="1">
      <alignment shrinkToFit="0" vertical="center" wrapText="0"/>
    </xf>
    <xf borderId="27" fillId="3" fontId="27" numFmtId="0" xfId="0" applyAlignment="1" applyBorder="1" applyFont="1">
      <alignment shrinkToFit="0" vertical="center" wrapText="0"/>
    </xf>
    <xf borderId="6" fillId="2" fontId="35" numFmtId="0" xfId="0" applyAlignment="1" applyBorder="1" applyFont="1">
      <alignment shrinkToFit="0" vertical="center" wrapText="0"/>
    </xf>
    <xf borderId="6" fillId="3" fontId="2" numFmtId="164" xfId="0" applyAlignment="1" applyBorder="1" applyFont="1" applyNumberFormat="1">
      <alignment horizontal="center" shrinkToFit="0" vertical="center" wrapText="0"/>
    </xf>
    <xf borderId="27" fillId="2" fontId="26" numFmtId="0" xfId="0" applyAlignment="1" applyBorder="1" applyFont="1">
      <alignment shrinkToFit="0" vertical="center" wrapText="0"/>
    </xf>
    <xf borderId="27" fillId="3" fontId="26" numFmtId="0" xfId="0" applyAlignment="1" applyBorder="1" applyFont="1">
      <alignment shrinkToFit="0" vertical="center" wrapText="0"/>
    </xf>
    <xf borderId="5" fillId="2" fontId="2" numFmtId="49" xfId="0" applyAlignment="1" applyBorder="1" applyFont="1" applyNumberFormat="1">
      <alignment shrinkToFit="0" vertical="center" wrapText="1"/>
    </xf>
    <xf borderId="2" fillId="3" fontId="2" numFmtId="0" xfId="0" applyAlignment="1" applyBorder="1" applyFont="1">
      <alignment shrinkToFit="0" vertical="center" wrapText="0"/>
    </xf>
    <xf borderId="5" fillId="2" fontId="2" numFmtId="0" xfId="0" applyAlignment="1" applyBorder="1" applyFont="1">
      <alignment shrinkToFit="0" vertical="center" wrapText="0"/>
    </xf>
    <xf borderId="2" fillId="2" fontId="2" numFmtId="0" xfId="0" applyAlignment="1" applyBorder="1" applyFont="1">
      <alignment shrinkToFit="0" vertical="center" wrapText="0"/>
    </xf>
    <xf borderId="27" fillId="2" fontId="2" numFmtId="0" xfId="0" applyAlignment="1" applyBorder="1" applyFont="1">
      <alignment shrinkToFit="0" vertical="center" wrapText="0"/>
    </xf>
    <xf borderId="27" fillId="3" fontId="2" numFmtId="0" xfId="0" applyAlignment="1" applyBorder="1" applyFont="1">
      <alignment shrinkToFit="0" vertical="center" wrapText="0"/>
    </xf>
    <xf borderId="26" fillId="2" fontId="2" numFmtId="0" xfId="0" applyAlignment="1" applyBorder="1" applyFont="1">
      <alignment shrinkToFit="0" vertical="center" wrapText="0"/>
    </xf>
    <xf borderId="27" fillId="2" fontId="14" numFmtId="0" xfId="0" applyAlignment="1" applyBorder="1" applyFont="1">
      <alignment shrinkToFit="0" vertical="center" wrapText="0"/>
    </xf>
    <xf borderId="3" fillId="3" fontId="35" numFmtId="0" xfId="0" applyAlignment="1" applyBorder="1" applyFont="1">
      <alignment shrinkToFit="0" vertical="center" wrapText="0"/>
    </xf>
    <xf borderId="28" fillId="2" fontId="2" numFmtId="49" xfId="0" applyAlignment="1" applyBorder="1" applyFont="1" applyNumberFormat="1">
      <alignment shrinkToFit="0" vertical="center" wrapText="1"/>
    </xf>
    <xf borderId="29" fillId="2" fontId="2" numFmtId="0" xfId="0" applyAlignment="1" applyBorder="1" applyFont="1">
      <alignment shrinkToFit="0" vertical="center" wrapText="0"/>
    </xf>
    <xf borderId="27" fillId="2" fontId="29" numFmtId="0" xfId="0" applyAlignment="1" applyBorder="1" applyFont="1">
      <alignment shrinkToFit="0" vertical="center" wrapText="0"/>
    </xf>
    <xf borderId="29" fillId="2" fontId="24" numFmtId="0" xfId="0" applyAlignment="1" applyBorder="1" applyFont="1">
      <alignment shrinkToFit="0" vertical="center" wrapText="0"/>
    </xf>
    <xf borderId="29" fillId="2" fontId="34" numFmtId="0" xfId="0" applyAlignment="1" applyBorder="1" applyFont="1">
      <alignment shrinkToFit="0" vertical="center" wrapText="0"/>
    </xf>
    <xf borderId="29" fillId="2" fontId="24" numFmtId="49" xfId="0" applyAlignment="1" applyBorder="1" applyFont="1" applyNumberFormat="1">
      <alignment shrinkToFit="0" vertical="center" wrapText="0"/>
    </xf>
    <xf borderId="29" fillId="2" fontId="17" numFmtId="0" xfId="0" applyAlignment="1" applyBorder="1" applyFont="1">
      <alignment shrinkToFit="0" vertical="center" wrapText="0"/>
    </xf>
    <xf borderId="6" fillId="2" fontId="36" numFmtId="0" xfId="0" applyAlignment="1" applyBorder="1" applyFont="1">
      <alignment shrinkToFit="0" vertical="bottom" wrapText="0"/>
    </xf>
    <xf borderId="3" fillId="2" fontId="2" numFmtId="0" xfId="0" applyAlignment="1" applyBorder="1" applyFont="1">
      <alignment horizontal="center" shrinkToFit="0" vertical="center" wrapText="0"/>
    </xf>
    <xf borderId="3" fillId="3" fontId="3" numFmtId="0" xfId="0" applyAlignment="1" applyBorder="1" applyFont="1">
      <alignment shrinkToFit="0" vertical="bottom" wrapText="0"/>
    </xf>
    <xf borderId="6" fillId="3" fontId="2" numFmtId="0" xfId="0" applyAlignment="1" applyBorder="1" applyFont="1">
      <alignment horizontal="center" shrinkToFit="0" vertical="center" wrapText="0"/>
    </xf>
    <xf borderId="3" fillId="3" fontId="2" numFmtId="0" xfId="0" applyAlignment="1" applyBorder="1" applyFont="1">
      <alignment horizontal="center" shrinkToFit="0" vertical="center" wrapText="0"/>
    </xf>
    <xf borderId="27" fillId="3" fontId="37" numFmtId="0" xfId="0" applyAlignment="1" applyBorder="1" applyFont="1">
      <alignment shrinkToFit="0" vertical="bottom" wrapText="0"/>
    </xf>
    <xf borderId="3" fillId="3" fontId="36" numFmtId="0" xfId="0" applyAlignment="1" applyBorder="1" applyFont="1">
      <alignment shrinkToFit="0" vertical="bottom" wrapText="0"/>
    </xf>
    <xf borderId="6" fillId="2" fontId="3" numFmtId="0" xfId="0" applyAlignment="1" applyBorder="1" applyFont="1">
      <alignment shrinkToFit="0" vertical="bottom" wrapText="0"/>
    </xf>
    <xf borderId="6" fillId="2" fontId="37" numFmtId="0" xfId="0" applyAlignment="1" applyBorder="1" applyFont="1">
      <alignment shrinkToFit="0" vertical="bottom" wrapText="0"/>
    </xf>
    <xf borderId="3" fillId="3" fontId="37" numFmtId="0" xfId="0" applyAlignment="1" applyBorder="1" applyFont="1">
      <alignment shrinkToFit="0" vertical="bottom" wrapText="0"/>
    </xf>
    <xf borderId="27" fillId="2" fontId="37" numFmtId="0" xfId="0" applyAlignment="1" applyBorder="1" applyFont="1">
      <alignment shrinkToFit="0" vertical="bottom" wrapText="0"/>
    </xf>
    <xf borderId="4" fillId="3" fontId="2" numFmtId="0" xfId="0" applyAlignment="1" applyBorder="1" applyFont="1">
      <alignment shrinkToFit="0" vertical="center" wrapText="0"/>
    </xf>
    <xf borderId="28" fillId="2" fontId="2" numFmtId="0" xfId="0" applyAlignment="1" applyBorder="1" applyFont="1">
      <alignment shrinkToFit="0" vertical="center" wrapText="1"/>
    </xf>
    <xf borderId="29" fillId="2" fontId="38" numFmtId="0" xfId="0" applyAlignment="1" applyBorder="1" applyFont="1">
      <alignment shrinkToFit="0" vertical="bottom" wrapText="0"/>
    </xf>
    <xf borderId="2" fillId="3" fontId="39" numFmtId="0" xfId="0" applyAlignment="1" applyBorder="1" applyFont="1">
      <alignment shrinkToFit="0" vertical="center" wrapText="1"/>
    </xf>
    <xf borderId="27" fillId="3" fontId="29" numFmtId="0" xfId="0" applyAlignment="1" applyBorder="1" applyFont="1">
      <alignment shrinkToFit="0" vertical="center" wrapText="0"/>
    </xf>
    <xf borderId="6" fillId="2" fontId="40" numFmtId="0" xfId="0" applyAlignment="1" applyBorder="1" applyFont="1">
      <alignment shrinkToFit="0" vertical="bottom" wrapText="0"/>
    </xf>
    <xf borderId="27" fillId="2" fontId="36" numFmtId="0" xfId="0" applyAlignment="1" applyBorder="1" applyFont="1">
      <alignment shrinkToFit="0" vertical="bottom" wrapText="0"/>
    </xf>
    <xf borderId="6" fillId="3" fontId="2" numFmtId="164" xfId="0" applyAlignment="1" applyBorder="1" applyFont="1" applyNumberFormat="1">
      <alignment shrinkToFit="0" vertical="center" wrapText="0"/>
    </xf>
    <xf borderId="27" fillId="3" fontId="35" numFmtId="0" xfId="0" applyAlignment="1" applyBorder="1" applyFont="1">
      <alignment shrinkToFit="0" vertical="center" wrapText="0"/>
    </xf>
    <xf borderId="27" fillId="3" fontId="14" numFmtId="0" xfId="0" applyAlignment="1" applyBorder="1" applyFont="1">
      <alignment shrinkToFit="0" vertical="center" wrapText="0"/>
    </xf>
    <xf borderId="3" fillId="3" fontId="2" numFmtId="169" xfId="0" applyAlignment="1" applyBorder="1" applyFont="1" applyNumberFormat="1">
      <alignment horizontal="center" shrinkToFit="0" vertical="center" wrapText="0"/>
    </xf>
    <xf borderId="6" fillId="2" fontId="2" numFmtId="169" xfId="0" applyAlignment="1" applyBorder="1" applyFont="1" applyNumberFormat="1">
      <alignment horizontal="center" shrinkToFit="0" vertical="center" wrapText="0"/>
    </xf>
    <xf borderId="3" fillId="2" fontId="33" numFmtId="0" xfId="0" applyAlignment="1" applyBorder="1" applyFont="1">
      <alignment shrinkToFit="0" vertical="center" wrapText="0"/>
    </xf>
    <xf borderId="4" fillId="2" fontId="2" numFmtId="0" xfId="0" applyAlignment="1" applyBorder="1" applyFont="1">
      <alignment shrinkToFit="0" vertical="center" wrapText="0"/>
    </xf>
    <xf borderId="5" fillId="2" fontId="2" numFmtId="170" xfId="0" applyAlignment="1" applyBorder="1" applyFont="1" applyNumberFormat="1">
      <alignment horizontal="right" shrinkToFit="0" vertical="center" wrapText="1"/>
    </xf>
    <xf borderId="6" fillId="2" fontId="37" numFmtId="0" xfId="0" applyAlignment="1" applyBorder="1" applyFont="1">
      <alignment shrinkToFit="0" vertical="center" wrapText="0"/>
    </xf>
    <xf borderId="3" fillId="3" fontId="37" numFmtId="0" xfId="0" applyAlignment="1" applyBorder="1" applyFont="1">
      <alignment shrinkToFit="0" vertical="center" wrapText="0"/>
    </xf>
    <xf borderId="2" fillId="3" fontId="3" numFmtId="0" xfId="0" applyAlignment="1" applyBorder="1" applyFont="1">
      <alignment shrinkToFit="0" vertical="center" wrapText="0"/>
    </xf>
    <xf borderId="7" fillId="2" fontId="2" numFmtId="164" xfId="0" applyAlignment="1" applyBorder="1" applyFont="1" applyNumberFormat="1">
      <alignment horizontal="right" shrinkToFit="0" vertical="center" wrapText="0"/>
    </xf>
    <xf borderId="6" fillId="3" fontId="27" numFmtId="0" xfId="0" applyAlignment="1" applyBorder="1" applyFont="1">
      <alignment shrinkToFit="0" vertical="center" wrapText="0"/>
    </xf>
    <xf borderId="6" fillId="3" fontId="26" numFmtId="0" xfId="0" applyAlignment="1" applyBorder="1" applyFont="1">
      <alignment shrinkToFit="0" vertical="center" wrapText="0"/>
    </xf>
    <xf borderId="6" fillId="3" fontId="11" numFmtId="0" xfId="0" applyAlignment="1" applyBorder="1" applyFont="1">
      <alignment shrinkToFit="0" vertical="center" wrapText="0"/>
    </xf>
    <xf borderId="23" fillId="3" fontId="3" numFmtId="0" xfId="0" applyAlignment="1" applyBorder="1" applyFont="1">
      <alignment shrinkToFit="0" vertical="center" wrapText="0"/>
    </xf>
    <xf borderId="24" fillId="3" fontId="2" numFmtId="0" xfId="0" applyAlignment="1" applyBorder="1" applyFont="1">
      <alignment shrinkToFit="0" vertical="center" wrapText="0"/>
    </xf>
    <xf borderId="24" fillId="3" fontId="24" numFmtId="0" xfId="0" applyAlignment="1" applyBorder="1" applyFont="1">
      <alignment shrinkToFit="0" vertical="center" wrapText="0"/>
    </xf>
    <xf borderId="25" fillId="3" fontId="3" numFmtId="0" xfId="0" applyAlignment="1" applyBorder="1" applyFont="1">
      <alignment shrinkToFit="0" vertical="center" wrapText="0"/>
    </xf>
    <xf borderId="3" fillId="2" fontId="2" numFmtId="0" xfId="0" applyAlignment="1" applyBorder="1" applyFont="1">
      <alignment horizontal="right" shrinkToFit="0" vertical="center" wrapText="0"/>
    </xf>
    <xf borderId="6" fillId="2" fontId="3" numFmtId="0" xfId="0" applyAlignment="1" applyBorder="1" applyFont="1">
      <alignment shrinkToFit="0" vertical="bottom" wrapText="0"/>
    </xf>
    <xf borderId="5" fillId="3" fontId="2" numFmtId="0" xfId="0" applyAlignment="1" applyBorder="1" applyFont="1">
      <alignment shrinkToFit="0" vertical="center" wrapText="1"/>
    </xf>
    <xf borderId="6" fillId="3" fontId="2" numFmtId="0" xfId="0" applyAlignment="1" applyBorder="1" applyFont="1">
      <alignment horizontal="center" shrinkToFit="0" vertical="center" wrapText="1"/>
    </xf>
    <xf borderId="6" fillId="3" fontId="20" numFmtId="0" xfId="0" applyAlignment="1" applyBorder="1" applyFont="1">
      <alignment shrinkToFit="0" vertical="center" wrapText="0"/>
    </xf>
    <xf borderId="6" fillId="3" fontId="34" numFmtId="0" xfId="0" applyAlignment="1" applyBorder="1" applyFont="1">
      <alignment shrinkToFit="0" vertical="center" wrapText="0"/>
    </xf>
    <xf borderId="6" fillId="3" fontId="33" numFmtId="0" xfId="0" applyAlignment="1" applyBorder="1" applyFont="1">
      <alignment shrinkToFit="0" vertical="center" wrapText="0"/>
    </xf>
    <xf borderId="6" fillId="3" fontId="24" numFmtId="0" xfId="0" applyAlignment="1" applyBorder="1" applyFont="1">
      <alignment shrinkToFit="0" vertical="center" wrapText="0"/>
    </xf>
    <xf borderId="6" fillId="3" fontId="35" numFmtId="0" xfId="0" applyAlignment="1" applyBorder="1" applyFont="1">
      <alignment shrinkToFit="0" vertical="center" wrapText="0"/>
    </xf>
    <xf borderId="3" fillId="3" fontId="3" numFmtId="0" xfId="0" applyAlignment="1" applyBorder="1" applyFont="1">
      <alignment shrinkToFit="0" vertical="bottom" wrapText="0"/>
    </xf>
    <xf borderId="3" fillId="2" fontId="2" numFmtId="0" xfId="0" applyAlignment="1" applyBorder="1" applyFont="1">
      <alignment horizontal="center" shrinkToFit="0" vertical="center" wrapText="1"/>
    </xf>
    <xf borderId="6" fillId="3" fontId="2" numFmtId="49" xfId="0" applyAlignment="1" applyBorder="1" applyFont="1" applyNumberFormat="1">
      <alignment horizontal="center" shrinkToFit="0" vertical="center" wrapText="1"/>
    </xf>
    <xf borderId="6" fillId="3" fontId="17" numFmtId="0" xfId="0" applyAlignment="1" applyBorder="1" applyFont="1">
      <alignment shrinkToFit="0" vertical="center" wrapText="0"/>
    </xf>
    <xf borderId="6" fillId="3" fontId="28" numFmtId="0" xfId="0" applyAlignment="1" applyBorder="1" applyFont="1">
      <alignment shrinkToFit="0" vertical="center" wrapText="0"/>
    </xf>
    <xf borderId="3" fillId="2" fontId="2" numFmtId="49" xfId="0" applyAlignment="1" applyBorder="1" applyFont="1" applyNumberFormat="1">
      <alignment horizontal="center" shrinkToFit="0" vertical="center" wrapText="1"/>
    </xf>
    <xf borderId="3" fillId="2" fontId="35" numFmtId="0" xfId="0" applyAlignment="1" applyBorder="1" applyFont="1">
      <alignment shrinkToFit="0" vertical="center" wrapText="0"/>
    </xf>
    <xf borderId="6" fillId="3" fontId="34" numFmtId="49" xfId="0" applyAlignment="1" applyBorder="1" applyFont="1" applyNumberFormat="1">
      <alignment shrinkToFit="0" vertical="center" wrapText="0"/>
    </xf>
    <xf borderId="3" fillId="2" fontId="29" numFmtId="0" xfId="0" applyAlignment="1" applyBorder="1" applyFont="1">
      <alignment shrinkToFit="0" vertical="center" wrapText="0"/>
    </xf>
    <xf borderId="6" fillId="3" fontId="33" numFmtId="49" xfId="0" applyAlignment="1" applyBorder="1" applyFont="1" applyNumberFormat="1">
      <alignment shrinkToFit="0" vertical="center" wrapText="0"/>
    </xf>
    <xf borderId="3" fillId="2" fontId="33" numFmtId="49" xfId="0" applyAlignment="1" applyBorder="1" applyFont="1" applyNumberFormat="1">
      <alignment shrinkToFit="0" vertical="center" wrapText="0"/>
    </xf>
    <xf borderId="6" fillId="3" fontId="41" numFmtId="0" xfId="0" applyAlignment="1" applyBorder="1" applyFont="1">
      <alignment shrinkToFit="0" vertical="center" wrapText="0"/>
    </xf>
    <xf borderId="6" fillId="3" fontId="2" numFmtId="0" xfId="0" applyAlignment="1" applyBorder="1" applyFont="1">
      <alignment horizontal="right" shrinkToFit="0" vertical="center" wrapText="0"/>
    </xf>
    <xf borderId="30" fillId="2" fontId="2" numFmtId="0" xfId="0" applyAlignment="1" applyBorder="1" applyFont="1">
      <alignment horizontal="center" shrinkToFit="0" vertical="center" wrapText="0"/>
    </xf>
    <xf borderId="3" fillId="2" fontId="41" numFmtId="0" xfId="0" applyAlignment="1" applyBorder="1" applyFont="1">
      <alignment shrinkToFit="0" vertical="center" wrapText="0"/>
    </xf>
    <xf borderId="6" fillId="3" fontId="24" numFmtId="49" xfId="0" applyAlignment="1" applyBorder="1" applyFont="1" applyNumberFormat="1">
      <alignment shrinkToFit="0" vertical="center" wrapText="0"/>
    </xf>
    <xf borderId="6" fillId="3" fontId="3" numFmtId="0" xfId="0" applyAlignment="1" applyBorder="1" applyFont="1">
      <alignment shrinkToFit="0" vertical="center" wrapText="0"/>
    </xf>
    <xf borderId="3" fillId="2" fontId="34" numFmtId="49" xfId="0" applyAlignment="1" applyBorder="1" applyFont="1" applyNumberFormat="1">
      <alignment shrinkToFit="0" vertical="center" wrapText="0"/>
    </xf>
    <xf borderId="27" fillId="3" fontId="41" numFmtId="0" xfId="0" applyAlignment="1" applyBorder="1" applyFont="1">
      <alignment shrinkToFit="0" vertical="center" wrapText="0"/>
    </xf>
    <xf borderId="3" fillId="2" fontId="2" numFmtId="169" xfId="0" applyAlignment="1" applyBorder="1" applyFont="1" applyNumberFormat="1">
      <alignment horizontal="center" shrinkToFit="0" vertical="center" wrapText="0"/>
    </xf>
    <xf borderId="6" fillId="3" fontId="2" numFmtId="169" xfId="0" applyAlignment="1" applyBorder="1" applyFont="1" applyNumberFormat="1">
      <alignment horizontal="center" shrinkToFit="0" vertical="center" wrapText="0"/>
    </xf>
    <xf borderId="27" fillId="2" fontId="28" numFmtId="0" xfId="0" applyAlignment="1" applyBorder="1" applyFont="1">
      <alignment shrinkToFit="0" vertical="center" wrapText="0"/>
    </xf>
    <xf borderId="27" fillId="3" fontId="28" numFmtId="0" xfId="0" applyAlignment="1" applyBorder="1" applyFont="1">
      <alignment shrinkToFit="0" vertical="center" wrapText="0"/>
    </xf>
    <xf borderId="27" fillId="3" fontId="17" numFmtId="0" xfId="0" applyAlignment="1" applyBorder="1" applyFont="1">
      <alignment shrinkToFit="0" vertical="center" wrapText="0"/>
    </xf>
    <xf borderId="27" fillId="2" fontId="2" numFmtId="0" xfId="0" applyAlignment="1" applyBorder="1" applyFont="1">
      <alignment horizontal="right" shrinkToFit="0" vertical="center" wrapText="0"/>
    </xf>
    <xf borderId="27" fillId="3" fontId="2" numFmtId="0" xfId="0" applyAlignment="1" applyBorder="1" applyFont="1">
      <alignment horizontal="right" shrinkToFit="0" vertical="center" wrapText="0"/>
    </xf>
    <xf borderId="6" fillId="3" fontId="2" numFmtId="0" xfId="0" applyAlignment="1" applyBorder="1" applyFont="1">
      <alignment horizontal="right" shrinkToFit="0" vertical="center" wrapText="1"/>
    </xf>
    <xf borderId="27" fillId="2" fontId="20" numFmtId="0" xfId="0" applyAlignment="1" applyBorder="1" applyFont="1">
      <alignment shrinkToFit="0" vertical="center" wrapText="0"/>
    </xf>
    <xf borderId="3" fillId="2" fontId="3" numFmtId="164" xfId="0" applyAlignment="1" applyBorder="1" applyFont="1" applyNumberFormat="1">
      <alignment shrinkToFit="0" vertical="center" wrapText="0"/>
    </xf>
    <xf borderId="3" fillId="2" fontId="3" numFmtId="0" xfId="0" applyAlignment="1" applyBorder="1" applyFont="1">
      <alignment shrinkToFit="0" vertical="center" wrapText="0"/>
    </xf>
    <xf borderId="3" fillId="2" fontId="3" numFmtId="49" xfId="0" applyAlignment="1" applyBorder="1" applyFont="1" applyNumberFormat="1">
      <alignment shrinkToFit="0" vertical="center" wrapText="0"/>
    </xf>
    <xf borderId="6" fillId="3" fontId="3" numFmtId="164" xfId="0" applyAlignment="1" applyBorder="1" applyFont="1" applyNumberFormat="1">
      <alignment shrinkToFit="0" vertical="center" wrapText="0"/>
    </xf>
    <xf borderId="6" fillId="3" fontId="3" numFmtId="0" xfId="0" applyAlignment="1" applyBorder="1" applyFont="1">
      <alignment shrinkToFit="0" vertical="center" wrapText="0"/>
    </xf>
    <xf borderId="6" fillId="3" fontId="3" numFmtId="49" xfId="0" applyAlignment="1" applyBorder="1" applyFont="1" applyNumberFormat="1">
      <alignment shrinkToFit="0" vertical="center" wrapText="0"/>
    </xf>
    <xf borderId="6" fillId="3" fontId="2" numFmtId="0" xfId="0" applyAlignment="1" applyBorder="1" applyFont="1">
      <alignment shrinkToFit="0" vertical="center" wrapText="0"/>
    </xf>
    <xf borderId="27" fillId="2" fontId="35" numFmtId="0" xfId="0" applyAlignment="1" applyBorder="1" applyFont="1">
      <alignment shrinkToFit="0" vertical="center" wrapText="0"/>
    </xf>
    <xf borderId="31" fillId="3" fontId="2" numFmtId="0" xfId="0" applyAlignment="1" applyBorder="1" applyFont="1">
      <alignment shrinkToFit="0" vertical="center" wrapText="1"/>
    </xf>
    <xf borderId="3" fillId="3" fontId="24" numFmtId="164" xfId="0" applyAlignment="1" applyBorder="1" applyFont="1" applyNumberFormat="1">
      <alignment shrinkToFit="0" vertical="center" wrapText="0"/>
    </xf>
    <xf borderId="32" fillId="2" fontId="2" numFmtId="0" xfId="0" applyAlignment="1" applyBorder="1" applyFont="1">
      <alignment horizontal="right" shrinkToFit="0" vertical="center" wrapText="0"/>
    </xf>
    <xf borderId="6" fillId="3" fontId="24" numFmtId="164" xfId="0" applyAlignment="1" applyBorder="1" applyFont="1" applyNumberFormat="1">
      <alignment shrinkToFit="0" vertical="center" wrapText="0"/>
    </xf>
    <xf borderId="3" fillId="2" fontId="24" numFmtId="164" xfId="0" applyAlignment="1" applyBorder="1" applyFont="1" applyNumberFormat="1">
      <alignment shrinkToFit="0" vertical="center" wrapText="0"/>
    </xf>
    <xf borderId="27" fillId="3" fontId="20" numFmtId="0" xfId="0" applyAlignment="1" applyBorder="1" applyFont="1">
      <alignment shrinkToFit="0" vertical="center" wrapText="0"/>
    </xf>
    <xf borderId="6" fillId="3" fontId="3" numFmtId="0" xfId="0" applyAlignment="1" applyBorder="1" applyFont="1">
      <alignment shrinkToFit="0" vertical="bottom" wrapText="0"/>
    </xf>
    <xf borderId="3" fillId="2" fontId="33" numFmtId="164" xfId="0" applyAlignment="1" applyBorder="1" applyFont="1" applyNumberFormat="1">
      <alignment shrinkToFit="0" vertical="center" wrapText="0"/>
    </xf>
    <xf borderId="5" fillId="3" fontId="3" numFmtId="0" xfId="0" applyAlignment="1" applyBorder="1" applyFont="1">
      <alignment shrinkToFit="0" vertical="center" wrapText="0"/>
    </xf>
    <xf borderId="3" fillId="3" fontId="42" numFmtId="0" xfId="0" applyAlignment="1" applyBorder="1" applyFont="1">
      <alignment shrinkToFit="0" vertical="bottom" wrapText="0"/>
    </xf>
    <xf borderId="3" fillId="2" fontId="3" numFmtId="0" xfId="0" applyAlignment="1" applyBorder="1" applyFont="1">
      <alignment shrinkToFit="0" vertical="bottom" wrapText="0"/>
    </xf>
    <xf borderId="3" fillId="2" fontId="43" numFmtId="0" xfId="0" applyAlignment="1" applyBorder="1" applyFont="1">
      <alignment shrinkToFit="0" vertical="center" wrapText="0"/>
    </xf>
    <xf borderId="3" fillId="3" fontId="20" numFmtId="49" xfId="0" applyAlignment="1" applyBorder="1" applyFont="1" applyNumberFormat="1">
      <alignment shrinkToFit="0" vertical="center" wrapText="0"/>
    </xf>
    <xf borderId="9" fillId="2" fontId="2" numFmtId="0" xfId="0" applyAlignment="1" applyBorder="1" applyFont="1">
      <alignment shrinkToFit="0" vertical="center" wrapText="1"/>
    </xf>
    <xf borderId="10" fillId="2" fontId="2" numFmtId="0" xfId="0" applyAlignment="1" applyBorder="1" applyFont="1">
      <alignment shrinkToFit="0" vertical="center" wrapText="0"/>
    </xf>
    <xf borderId="10" fillId="2" fontId="34" numFmtId="0" xfId="0" applyAlignment="1" applyBorder="1" applyFont="1">
      <alignment shrinkToFit="0" vertical="center" wrapText="0"/>
    </xf>
    <xf borderId="10" fillId="2" fontId="33" numFmtId="0" xfId="0" applyAlignment="1" applyBorder="1" applyFont="1">
      <alignment shrinkToFit="0" vertical="center" wrapText="0"/>
    </xf>
    <xf borderId="10" fillId="2" fontId="34" numFmtId="49" xfId="0" applyAlignment="1" applyBorder="1" applyFont="1" applyNumberFormat="1">
      <alignment shrinkToFit="0" vertical="center" wrapText="0"/>
    </xf>
    <xf borderId="27" fillId="3" fontId="43" numFmtId="0" xfId="0" applyAlignment="1" applyBorder="1" applyFont="1">
      <alignment shrinkToFit="0" vertical="center" wrapText="0"/>
    </xf>
    <xf borderId="3" fillId="2" fontId="44" numFmtId="0" xfId="0" applyAlignment="1" applyBorder="1" applyFont="1">
      <alignment shrinkToFit="0" vertical="bottom" wrapText="0"/>
    </xf>
    <xf borderId="27" fillId="3" fontId="3" numFmtId="0" xfId="0" applyAlignment="1" applyBorder="1" applyFont="1">
      <alignment shrinkToFit="0" vertical="bottom" wrapText="0"/>
    </xf>
    <xf borderId="27" fillId="2" fontId="3" numFmtId="0" xfId="0" applyAlignment="1" applyBorder="1" applyFont="1">
      <alignment shrinkToFit="0" vertical="bottom" wrapText="0"/>
    </xf>
    <xf borderId="33" fillId="3" fontId="2" numFmtId="0" xfId="0" applyAlignment="1" applyBorder="1" applyFont="1">
      <alignment shrinkToFit="0" vertical="center" wrapText="0"/>
    </xf>
    <xf borderId="33" fillId="3" fontId="33" numFmtId="0" xfId="0" applyAlignment="1" applyBorder="1" applyFont="1">
      <alignment shrinkToFit="0" vertical="center" wrapText="0"/>
    </xf>
    <xf borderId="33" fillId="3" fontId="24" numFmtId="0" xfId="0" applyAlignment="1" applyBorder="1" applyFont="1">
      <alignment shrinkToFit="0" vertical="center" wrapText="0"/>
    </xf>
    <xf borderId="33" fillId="3" fontId="34" numFmtId="49" xfId="0" applyAlignment="1" applyBorder="1" applyFont="1" applyNumberFormat="1">
      <alignment shrinkToFit="0" vertical="center" wrapText="0"/>
    </xf>
    <xf borderId="2" fillId="2" fontId="3" numFmtId="0" xfId="0" applyAlignment="1" applyBorder="1" applyFont="1">
      <alignment shrinkToFit="0" vertical="center" wrapText="0"/>
    </xf>
    <xf borderId="27" fillId="2" fontId="42" numFmtId="0" xfId="0" applyAlignment="1" applyBorder="1" applyFont="1">
      <alignment shrinkToFit="0" vertical="bottom" wrapText="0"/>
    </xf>
    <xf borderId="3" fillId="2" fontId="37" numFmtId="0" xfId="0" applyAlignment="1" applyBorder="1" applyFont="1">
      <alignment shrinkToFit="0" vertical="bottom" wrapText="0"/>
    </xf>
    <xf borderId="6" fillId="3" fontId="45" numFmtId="0" xfId="0" applyAlignment="1" applyBorder="1" applyFont="1">
      <alignment shrinkToFit="0" vertical="bottom" wrapText="0"/>
    </xf>
    <xf borderId="6" fillId="3" fontId="2" numFmtId="0" xfId="0" applyAlignment="1" applyBorder="1" applyFont="1">
      <alignment shrinkToFit="0" vertical="center" wrapText="1"/>
    </xf>
    <xf borderId="6" fillId="3" fontId="43" numFmtId="0" xfId="0" applyAlignment="1" applyBorder="1" applyFont="1">
      <alignment shrinkToFit="0" vertical="center" wrapText="0"/>
    </xf>
    <xf borderId="3" fillId="3" fontId="40" numFmtId="0" xfId="0" applyAlignment="1" applyBorder="1" applyFont="1">
      <alignment shrinkToFit="0" vertical="bottom" wrapText="0"/>
    </xf>
    <xf borderId="6" fillId="3" fontId="40" numFmtId="0" xfId="0" applyAlignment="1" applyBorder="1" applyFont="1">
      <alignment shrinkToFit="0" vertical="bottom" wrapText="0"/>
    </xf>
    <xf borderId="3" fillId="3" fontId="44" numFmtId="0" xfId="0" applyAlignment="1" applyBorder="1" applyFont="1">
      <alignment shrinkToFit="0" vertical="bottom" wrapText="0"/>
    </xf>
    <xf borderId="3" fillId="2" fontId="40" numFmtId="0" xfId="0" applyAlignment="1" applyBorder="1" applyFont="1">
      <alignment shrinkToFit="0" vertical="bottom" wrapText="0"/>
    </xf>
    <xf borderId="6" fillId="3" fontId="44" numFmtId="0" xfId="0" applyAlignment="1" applyBorder="1" applyFont="1">
      <alignment shrinkToFit="0" vertical="bottom" wrapText="0"/>
    </xf>
    <xf borderId="3" fillId="3" fontId="46" numFmtId="0" xfId="0" applyAlignment="1" applyBorder="1" applyFont="1">
      <alignment shrinkToFit="0" vertical="bottom" wrapText="0"/>
    </xf>
    <xf borderId="10" fillId="2" fontId="37" numFmtId="0" xfId="0" applyAlignment="1" applyBorder="1" applyFont="1">
      <alignment shrinkToFit="0" vertical="bottom" wrapText="0"/>
    </xf>
    <xf borderId="10" fillId="2" fontId="24" numFmtId="0" xfId="0" applyAlignment="1" applyBorder="1" applyFont="1">
      <alignment shrinkToFit="0" vertical="center" wrapText="0"/>
    </xf>
    <xf borderId="27" fillId="2" fontId="43" numFmtId="0" xfId="0" applyAlignment="1" applyBorder="1" applyFont="1">
      <alignment shrinkToFit="0" vertical="center" wrapText="0"/>
    </xf>
    <xf borderId="5" fillId="3" fontId="2" numFmtId="0" xfId="0" applyAlignment="1" applyBorder="1" applyFont="1">
      <alignment shrinkToFit="0" vertical="center" wrapText="0"/>
    </xf>
    <xf borderId="3" fillId="3" fontId="38" numFmtId="0" xfId="0" applyAlignment="1" applyBorder="1" applyFont="1">
      <alignment shrinkToFit="0" vertical="center" wrapText="0"/>
    </xf>
    <xf borderId="27" fillId="3" fontId="3" numFmtId="0" xfId="0" applyAlignment="1" applyBorder="1" applyFont="1">
      <alignment shrinkToFit="0" vertical="center" wrapText="0"/>
    </xf>
    <xf borderId="5" fillId="3" fontId="2" numFmtId="49" xfId="0" applyAlignment="1" applyBorder="1" applyFont="1" applyNumberFormat="1">
      <alignment shrinkToFit="0" vertical="center" wrapText="1"/>
    </xf>
    <xf borderId="3" fillId="3" fontId="43" numFmtId="0" xfId="0" applyAlignment="1" applyBorder="1" applyFont="1">
      <alignment shrinkToFit="0" vertical="center" wrapText="0"/>
    </xf>
    <xf borderId="34" fillId="2" fontId="2" numFmtId="0" xfId="0" applyAlignment="1" applyBorder="1" applyFont="1">
      <alignment shrinkToFit="0" vertical="center" wrapText="1"/>
    </xf>
    <xf borderId="35" fillId="2" fontId="2" numFmtId="0" xfId="0" applyAlignment="1" applyBorder="1" applyFont="1">
      <alignment shrinkToFit="0" vertical="center" wrapText="0"/>
    </xf>
    <xf borderId="35" fillId="2" fontId="34" numFmtId="0" xfId="0" applyAlignment="1" applyBorder="1" applyFont="1">
      <alignment shrinkToFit="0" vertical="center" wrapText="0"/>
    </xf>
    <xf borderId="35" fillId="2" fontId="33" numFmtId="0" xfId="0" applyAlignment="1" applyBorder="1" applyFont="1">
      <alignment shrinkToFit="0" vertical="center" wrapText="0"/>
    </xf>
    <xf borderId="9" fillId="3" fontId="2" numFmtId="0" xfId="0" applyAlignment="1" applyBorder="1" applyFont="1">
      <alignment shrinkToFit="0" vertical="center" wrapText="1"/>
    </xf>
    <xf borderId="10" fillId="3" fontId="2" numFmtId="0" xfId="0" applyAlignment="1" applyBorder="1" applyFont="1">
      <alignment shrinkToFit="0" vertical="center" wrapText="0"/>
    </xf>
    <xf borderId="10" fillId="3" fontId="24" numFmtId="0" xfId="0" applyAlignment="1" applyBorder="1" applyFont="1">
      <alignment shrinkToFit="0" vertical="center" wrapText="0"/>
    </xf>
    <xf borderId="10" fillId="3" fontId="33" numFmtId="0" xfId="0" applyAlignment="1" applyBorder="1" applyFont="1">
      <alignment shrinkToFit="0" vertical="center" wrapText="0"/>
    </xf>
    <xf borderId="3" fillId="2" fontId="2" numFmtId="0" xfId="0" applyAlignment="1" applyBorder="1" applyFont="1">
      <alignment shrinkToFit="0" vertical="center" wrapText="1"/>
    </xf>
    <xf borderId="3" fillId="2" fontId="30" numFmtId="0" xfId="0" applyAlignment="1" applyBorder="1" applyFont="1">
      <alignment shrinkToFit="0" vertical="center" wrapText="0"/>
    </xf>
    <xf borderId="3" fillId="2" fontId="38" numFmtId="0" xfId="0" applyAlignment="1" applyBorder="1" applyFont="1">
      <alignment shrinkToFit="0" vertical="bottom" wrapText="0"/>
    </xf>
    <xf borderId="3" fillId="2" fontId="47" numFmtId="0" xfId="0" applyAlignment="1" applyBorder="1" applyFont="1">
      <alignment shrinkToFit="0" vertical="bottom" wrapText="0"/>
    </xf>
    <xf borderId="3" fillId="2" fontId="28" numFmtId="0" xfId="0" applyAlignment="1" applyBorder="1" applyFont="1">
      <alignment shrinkToFit="0" vertical="center" wrapText="0"/>
    </xf>
    <xf borderId="3" fillId="3" fontId="35" numFmtId="49" xfId="0" applyAlignment="1" applyBorder="1" applyFont="1" applyNumberFormat="1">
      <alignment shrinkToFit="0" vertical="center" wrapText="0"/>
    </xf>
    <xf borderId="6" fillId="2" fontId="3" numFmtId="49" xfId="0" applyAlignment="1" applyBorder="1" applyFont="1" applyNumberFormat="1">
      <alignment shrinkToFit="0" vertical="center" wrapText="0"/>
    </xf>
    <xf borderId="3" fillId="3" fontId="3" numFmtId="49" xfId="0" applyAlignment="1" applyBorder="1" applyFont="1" applyNumberFormat="1">
      <alignment shrinkToFit="0" vertical="center" wrapText="0"/>
    </xf>
    <xf borderId="6" fillId="2" fontId="35" numFmtId="49" xfId="0" applyAlignment="1" applyBorder="1" applyFont="1" applyNumberFormat="1">
      <alignment shrinkToFit="0" vertical="center" wrapText="0"/>
    </xf>
    <xf borderId="6" fillId="2" fontId="48" numFmtId="0" xfId="0" applyAlignment="1" applyBorder="1" applyFont="1">
      <alignment shrinkToFit="0" vertical="center" wrapText="0"/>
    </xf>
    <xf borderId="3" fillId="2" fontId="34" numFmtId="49" xfId="0" applyAlignment="1" applyBorder="1" applyFont="1" applyNumberFormat="1">
      <alignment shrinkToFit="0" vertical="center" wrapText="0"/>
    </xf>
    <xf borderId="3" fillId="3" fontId="33" numFmtId="49" xfId="0" applyAlignment="1" applyBorder="1" applyFont="1" applyNumberFormat="1">
      <alignment shrinkToFit="0" vertical="center" wrapText="0"/>
    </xf>
    <xf borderId="3" fillId="2" fontId="35" numFmtId="49" xfId="0" applyAlignment="1" applyBorder="1" applyFont="1" applyNumberFormat="1">
      <alignment shrinkToFit="0" vertical="center" wrapText="0"/>
    </xf>
    <xf borderId="36" fillId="3" fontId="2" numFmtId="0" xfId="0" applyAlignment="1" applyBorder="1" applyFont="1">
      <alignment shrinkToFit="0" vertical="center" wrapText="1"/>
    </xf>
    <xf borderId="37" fillId="3" fontId="2" numFmtId="0" xfId="0" applyAlignment="1" applyBorder="1" applyFont="1">
      <alignment shrinkToFit="0" vertical="center" wrapText="1"/>
    </xf>
    <xf borderId="3" fillId="3" fontId="34" numFmtId="49" xfId="0" applyAlignment="1" applyBorder="1" applyFont="1" applyNumberFormat="1">
      <alignment shrinkToFit="0" vertical="center" wrapText="0"/>
    </xf>
    <xf borderId="3" fillId="2" fontId="33" numFmtId="49" xfId="0" applyAlignment="1" applyBorder="1" applyFont="1" applyNumberFormat="1">
      <alignment shrinkToFit="0" vertical="center" wrapText="0"/>
    </xf>
    <xf borderId="3" fillId="3" fontId="24" numFmtId="49" xfId="0" applyAlignment="1" applyBorder="1" applyFont="1" applyNumberFormat="1">
      <alignment shrinkToFit="0" vertical="center" wrapText="0"/>
    </xf>
    <xf borderId="3" fillId="3" fontId="35" numFmtId="49" xfId="0" applyAlignment="1" applyBorder="1" applyFont="1" applyNumberFormat="1">
      <alignment shrinkToFit="0" vertical="center" wrapText="0"/>
    </xf>
    <xf borderId="3" fillId="2" fontId="35" numFmtId="49" xfId="0" applyAlignment="1" applyBorder="1" applyFont="1" applyNumberFormat="1">
      <alignment shrinkToFit="0" vertical="center" wrapText="0"/>
    </xf>
    <xf borderId="38" fillId="3" fontId="24" numFmtId="0" xfId="0" applyAlignment="1" applyBorder="1" applyFont="1">
      <alignment shrinkToFit="0" vertical="center" wrapText="0"/>
    </xf>
    <xf borderId="33" fillId="2" fontId="24" numFmtId="0" xfId="0" applyAlignment="1" applyBorder="1" applyFont="1">
      <alignment shrinkToFit="0" vertical="center" wrapText="0"/>
    </xf>
    <xf borderId="33" fillId="2" fontId="34" numFmtId="0" xfId="0" applyAlignment="1" applyBorder="1" applyFont="1">
      <alignment shrinkToFit="0" vertical="center" wrapText="0"/>
    </xf>
    <xf borderId="5" fillId="3" fontId="3" numFmtId="49" xfId="0" applyAlignment="1" applyBorder="1" applyFont="1" applyNumberFormat="1">
      <alignment shrinkToFit="0" vertical="center" wrapText="0"/>
    </xf>
    <xf borderId="6" fillId="3" fontId="48" numFmtId="0" xfId="0" applyAlignment="1" applyBorder="1" applyFont="1">
      <alignment shrinkToFit="0" vertical="center" wrapText="0"/>
    </xf>
    <xf borderId="33" fillId="3" fontId="34" numFmtId="0" xfId="0" applyAlignment="1" applyBorder="1" applyFont="1">
      <alignment shrinkToFit="0" vertical="center" wrapText="0"/>
    </xf>
    <xf borderId="38" fillId="3" fontId="20" numFmtId="0" xfId="0" applyAlignment="1" applyBorder="1" applyFont="1">
      <alignment shrinkToFit="0" vertical="center" wrapText="0"/>
    </xf>
    <xf borderId="33" fillId="2" fontId="35" numFmtId="0" xfId="0" applyAlignment="1" applyBorder="1" applyFont="1">
      <alignment shrinkToFit="0" vertical="center" wrapText="0"/>
    </xf>
    <xf borderId="18" fillId="3" fontId="2" numFmtId="0" xfId="0" applyAlignment="1" applyBorder="1" applyFont="1">
      <alignment shrinkToFit="0" vertical="center" wrapText="1"/>
    </xf>
    <xf borderId="19" fillId="3" fontId="2" numFmtId="0" xfId="0" applyAlignment="1" applyBorder="1" applyFont="1">
      <alignment shrinkToFit="0" vertical="center" wrapText="0"/>
    </xf>
    <xf borderId="19" fillId="3" fontId="34" numFmtId="0" xfId="0" applyAlignment="1" applyBorder="1" applyFont="1">
      <alignment shrinkToFit="0" vertical="center" wrapText="0"/>
    </xf>
    <xf borderId="19" fillId="3" fontId="27" numFmtId="0" xfId="0" applyAlignment="1" applyBorder="1" applyFont="1">
      <alignment shrinkToFit="0" vertical="center" wrapText="0"/>
    </xf>
    <xf borderId="33" fillId="2" fontId="20" numFmtId="0" xfId="0" applyAlignment="1" applyBorder="1" applyFont="1">
      <alignment shrinkToFit="0" vertical="center" wrapText="0"/>
    </xf>
    <xf borderId="39" fillId="3" fontId="34" numFmtId="0" xfId="0" applyAlignment="1" applyBorder="1" applyFont="1">
      <alignment shrinkToFit="0" vertical="center" wrapText="0"/>
    </xf>
    <xf borderId="33" fillId="2" fontId="33" numFmtId="0" xfId="0" applyAlignment="1" applyBorder="1" applyFont="1">
      <alignment shrinkToFit="0" vertical="center" wrapText="0"/>
    </xf>
    <xf borderId="38" fillId="2" fontId="33" numFmtId="0" xfId="0" applyAlignment="1" applyBorder="1" applyFont="1">
      <alignment shrinkToFit="0" vertical="center" wrapText="0"/>
    </xf>
    <xf borderId="6" fillId="3" fontId="35" numFmtId="49" xfId="0" applyAlignment="1" applyBorder="1" applyFont="1" applyNumberFormat="1">
      <alignment shrinkToFit="0" vertical="center" wrapText="0"/>
    </xf>
    <xf borderId="16" fillId="2" fontId="2" numFmtId="0" xfId="0" applyAlignment="1" applyBorder="1" applyFont="1">
      <alignment shrinkToFit="0" vertical="center" wrapText="1"/>
    </xf>
    <xf borderId="17" fillId="2" fontId="2" numFmtId="0" xfId="0" applyAlignment="1" applyBorder="1" applyFont="1">
      <alignment shrinkToFit="0" vertical="center" wrapText="0"/>
    </xf>
    <xf borderId="17" fillId="2" fontId="34" numFmtId="0" xfId="0" applyAlignment="1" applyBorder="1" applyFont="1">
      <alignment shrinkToFit="0" vertical="center" wrapText="0"/>
    </xf>
    <xf borderId="17" fillId="2" fontId="27" numFmtId="0" xfId="0" applyAlignment="1" applyBorder="1" applyFont="1">
      <alignment shrinkToFit="0" vertical="center" wrapText="0"/>
    </xf>
    <xf borderId="17" fillId="2" fontId="33" numFmtId="49" xfId="0" applyAlignment="1" applyBorder="1" applyFont="1" applyNumberFormat="1">
      <alignment shrinkToFit="0" vertical="center" wrapText="0"/>
    </xf>
    <xf borderId="40" fillId="3" fontId="2" numFmtId="0" xfId="0" applyAlignment="1" applyBorder="1" applyFont="1">
      <alignment shrinkToFit="0" vertical="center" wrapText="0"/>
    </xf>
    <xf borderId="3" fillId="2" fontId="24" numFmtId="49" xfId="0" applyAlignment="1" applyBorder="1" applyFont="1" applyNumberFormat="1">
      <alignment shrinkToFit="0" vertical="center" wrapText="0"/>
    </xf>
    <xf borderId="10" fillId="2" fontId="11" numFmtId="0" xfId="0" applyAlignment="1" applyBorder="1" applyFont="1">
      <alignment shrinkToFit="0" vertical="center" wrapText="0"/>
    </xf>
    <xf borderId="3" fillId="2" fontId="48" numFmtId="0" xfId="0" applyAlignment="1" applyBorder="1" applyFont="1">
      <alignment shrinkToFit="0" vertical="center" wrapText="0"/>
    </xf>
    <xf borderId="6" fillId="3" fontId="14" numFmtId="0" xfId="0" applyAlignment="1" applyBorder="1" applyFont="1">
      <alignment shrinkToFit="0" vertical="center" wrapText="0"/>
    </xf>
    <xf borderId="1" fillId="3" fontId="3" numFmtId="0" xfId="0" applyAlignment="1" applyBorder="1" applyFont="1">
      <alignment shrinkToFit="0" vertical="center" wrapText="0"/>
    </xf>
    <xf borderId="41" fillId="2" fontId="2" numFmtId="0" xfId="0" applyAlignment="1" applyBorder="1" applyFont="1">
      <alignment shrinkToFit="0" vertical="center" wrapText="1"/>
    </xf>
    <xf borderId="38" fillId="2" fontId="2" numFmtId="0" xfId="0" applyAlignment="1" applyBorder="1" applyFont="1">
      <alignment shrinkToFit="0" vertical="center" wrapText="0"/>
    </xf>
    <xf borderId="38" fillId="2" fontId="26" numFmtId="0" xfId="0" applyAlignment="1" applyBorder="1" applyFont="1">
      <alignment shrinkToFit="0" vertical="center" wrapText="0"/>
    </xf>
    <xf borderId="38" fillId="2" fontId="2" numFmtId="164" xfId="0" applyAlignment="1" applyBorder="1" applyFont="1" applyNumberFormat="1">
      <alignment horizontal="center" shrinkToFit="0" vertical="center" wrapText="0"/>
    </xf>
    <xf borderId="42" fillId="2" fontId="3" numFmtId="0" xfId="0" applyAlignment="1" applyBorder="1" applyFont="1">
      <alignment shrinkToFit="0" vertical="center" wrapText="0"/>
    </xf>
    <xf borderId="43" fillId="2" fontId="2" numFmtId="0" xfId="0" applyAlignment="1" applyBorder="1" applyFont="1">
      <alignment shrinkToFit="0" vertical="center" wrapText="0"/>
    </xf>
    <xf borderId="3" fillId="2" fontId="3" numFmtId="164" xfId="0" applyAlignment="1" applyBorder="1" applyFont="1" applyNumberFormat="1">
      <alignment shrinkToFit="0" vertical="center" wrapText="0"/>
    </xf>
    <xf borderId="44" fillId="3" fontId="2" numFmtId="0" xfId="0" applyAlignment="1" applyBorder="1" applyFont="1">
      <alignment shrinkToFit="0" vertical="center" wrapText="1"/>
    </xf>
    <xf borderId="45" fillId="3" fontId="2" numFmtId="0" xfId="0" applyAlignment="1" applyBorder="1" applyFont="1">
      <alignment shrinkToFit="0" vertical="center" wrapText="0"/>
    </xf>
    <xf borderId="45" fillId="3" fontId="33" numFmtId="0" xfId="0" applyAlignment="1" applyBorder="1" applyFont="1">
      <alignment shrinkToFit="0" vertical="center" wrapText="0"/>
    </xf>
    <xf borderId="45" fillId="3" fontId="11" numFmtId="0" xfId="0" applyAlignment="1" applyBorder="1" applyFont="1">
      <alignment shrinkToFit="0" vertical="center" wrapText="0"/>
    </xf>
    <xf borderId="45" fillId="3" fontId="35" numFmtId="0" xfId="0" applyAlignment="1" applyBorder="1" applyFont="1">
      <alignment shrinkToFit="0" vertical="center" wrapText="0"/>
    </xf>
    <xf borderId="45" fillId="3" fontId="2" numFmtId="164" xfId="0" applyAlignment="1" applyBorder="1" applyFont="1" applyNumberFormat="1">
      <alignment horizontal="center" shrinkToFit="0" vertical="center" wrapText="0"/>
    </xf>
    <xf borderId="46" fillId="3" fontId="3" numFmtId="0" xfId="0" applyAlignment="1" applyBorder="1" applyFont="1">
      <alignment shrinkToFit="0" vertical="center" wrapText="0"/>
    </xf>
    <xf borderId="33" fillId="3" fontId="27" numFmtId="0" xfId="0" applyAlignment="1" applyBorder="1" applyFont="1">
      <alignment shrinkToFit="0" vertical="center" wrapText="0"/>
    </xf>
    <xf borderId="9" fillId="3" fontId="3" numFmtId="0" xfId="0" applyAlignment="1" applyBorder="1" applyFont="1">
      <alignment shrinkToFit="0" vertical="center" wrapText="0"/>
    </xf>
    <xf borderId="10" fillId="3" fontId="34" numFmtId="0" xfId="0" applyAlignment="1" applyBorder="1" applyFont="1">
      <alignment shrinkToFit="0" vertical="center" wrapText="0"/>
    </xf>
    <xf borderId="37" fillId="3" fontId="2" numFmtId="0" xfId="0" applyAlignment="1" applyBorder="1" applyFont="1">
      <alignment shrinkToFit="0" vertical="center" wrapText="0"/>
    </xf>
    <xf borderId="6" fillId="3" fontId="3" numFmtId="164" xfId="0" applyAlignment="1" applyBorder="1" applyFont="1" applyNumberFormat="1">
      <alignment shrinkToFit="0" vertical="center" wrapText="0"/>
    </xf>
    <xf borderId="3" fillId="3" fontId="3" numFmtId="164" xfId="0" applyAlignment="1" applyBorder="1" applyFont="1" applyNumberFormat="1">
      <alignment shrinkToFit="0" vertical="center" wrapText="0"/>
    </xf>
    <xf borderId="36" fillId="2" fontId="3" numFmtId="0" xfId="0" applyAlignment="1" applyBorder="1" applyFont="1">
      <alignment shrinkToFit="0" vertical="center" wrapText="0"/>
    </xf>
    <xf borderId="37" fillId="2" fontId="2" numFmtId="0" xfId="0" applyAlignment="1" applyBorder="1" applyFont="1">
      <alignment shrinkToFit="0" vertical="center" wrapText="0"/>
    </xf>
    <xf borderId="37" fillId="2" fontId="34" numFmtId="0" xfId="0" applyAlignment="1" applyBorder="1" applyFont="1">
      <alignment shrinkToFit="0" vertical="center" wrapText="0"/>
    </xf>
    <xf borderId="37" fillId="2" fontId="14" numFmtId="0" xfId="0" applyAlignment="1" applyBorder="1" applyFont="1">
      <alignment shrinkToFit="0" vertical="center" wrapText="0"/>
    </xf>
    <xf borderId="37" fillId="2" fontId="3" numFmtId="0" xfId="0" applyAlignment="1" applyBorder="1" applyFont="1">
      <alignment shrinkToFit="0" vertical="center" wrapText="0"/>
    </xf>
    <xf borderId="37" fillId="2" fontId="33" numFmtId="0" xfId="0" applyAlignment="1" applyBorder="1" applyFont="1">
      <alignment shrinkToFit="0" vertical="center" wrapText="0"/>
    </xf>
    <xf borderId="37" fillId="2" fontId="3" numFmtId="164" xfId="0" applyAlignment="1" applyBorder="1" applyFont="1" applyNumberFormat="1">
      <alignment shrinkToFit="0" vertical="center" wrapText="0"/>
    </xf>
    <xf borderId="37" fillId="2" fontId="24" numFmtId="49" xfId="0" applyAlignment="1" applyBorder="1" applyFont="1" applyNumberFormat="1">
      <alignment shrinkToFit="0" vertical="center" wrapText="0"/>
    </xf>
    <xf borderId="10" fillId="3" fontId="27" numFmtId="0" xfId="0" applyAlignment="1" applyBorder="1" applyFont="1">
      <alignment shrinkToFit="0" vertical="center" wrapText="0"/>
    </xf>
    <xf borderId="10" fillId="3" fontId="3" numFmtId="0" xfId="0" applyAlignment="1" applyBorder="1" applyFont="1">
      <alignment shrinkToFit="0" vertical="center" wrapText="0"/>
    </xf>
    <xf borderId="10" fillId="3" fontId="3" numFmtId="164" xfId="0" applyAlignment="1" applyBorder="1" applyFont="1" applyNumberFormat="1">
      <alignment shrinkToFit="0" vertical="center" wrapText="0"/>
    </xf>
    <xf borderId="3" fillId="2" fontId="3" numFmtId="49" xfId="0" applyAlignment="1" applyBorder="1" applyFont="1" applyNumberFormat="1">
      <alignment shrinkToFit="0" vertical="center" wrapText="0"/>
    </xf>
    <xf borderId="6" fillId="2" fontId="3" numFmtId="164" xfId="0" applyAlignment="1" applyBorder="1" applyFont="1" applyNumberFormat="1">
      <alignment shrinkToFit="0" vertical="center" wrapText="0"/>
    </xf>
    <xf borderId="20" fillId="2" fontId="3" numFmtId="0" xfId="0" applyAlignment="1" applyBorder="1" applyFont="1">
      <alignment shrinkToFit="0" vertical="center" wrapText="0"/>
    </xf>
    <xf borderId="21" fillId="2" fontId="3" numFmtId="164" xfId="0" applyAlignment="1" applyBorder="1" applyFont="1" applyNumberFormat="1">
      <alignment shrinkToFit="0" vertical="center" wrapText="0"/>
    </xf>
    <xf borderId="21" fillId="2" fontId="3" numFmtId="49" xfId="0" applyAlignment="1" applyBorder="1" applyFont="1" applyNumberFormat="1">
      <alignment shrinkToFit="0" vertical="center" wrapText="0"/>
    </xf>
    <xf borderId="0" fillId="18" fontId="49" numFmtId="0" xfId="0" applyAlignment="1" applyFill="1" applyFont="1">
      <alignment horizontal="center" shrinkToFit="0" vertical="bottom" wrapText="0"/>
    </xf>
    <xf borderId="0" fillId="18" fontId="49" numFmtId="0" xfId="0" applyAlignment="1" applyFont="1">
      <alignment horizontal="center" readingOrder="0" shrinkToFit="0" vertical="bottom" wrapText="0"/>
    </xf>
    <xf borderId="0" fillId="0" fontId="3" numFmtId="0" xfId="0" applyAlignment="1" applyFont="1">
      <alignment horizontal="center" shrinkToFit="0" vertical="bottom" wrapText="0"/>
    </xf>
    <xf borderId="0" fillId="0" fontId="3" numFmtId="169" xfId="0" applyAlignment="1" applyFont="1" applyNumberFormat="1">
      <alignment horizontal="center" shrinkToFit="0" vertical="bottom" wrapText="0"/>
    </xf>
    <xf borderId="0" fillId="0" fontId="3" numFmtId="0" xfId="0" applyAlignment="1" applyFont="1">
      <alignment horizontal="center" vertical="bottom"/>
    </xf>
    <xf quotePrefix="1" borderId="0" fillId="0" fontId="3" numFmtId="0" xfId="0" applyAlignment="1" applyFont="1">
      <alignment horizontal="center" vertical="bottom"/>
    </xf>
    <xf quotePrefix="1" borderId="0" fillId="0" fontId="3" numFmtId="0" xfId="0" applyAlignment="1" applyFont="1">
      <alignment horizontal="center" shrinkToFit="0" vertical="bottom" wrapText="0"/>
    </xf>
    <xf borderId="0" fillId="19" fontId="3" numFmtId="0" xfId="0" applyAlignment="1" applyFill="1" applyFont="1">
      <alignment horizontal="center" shrinkToFit="0" vertical="bottom" wrapText="0"/>
    </xf>
    <xf borderId="0" fillId="3" fontId="3" numFmtId="0" xfId="0" applyAlignment="1" applyFont="1">
      <alignment horizontal="center" shrinkToFit="0" vertical="bottom" wrapText="0"/>
    </xf>
    <xf borderId="0" fillId="3" fontId="3" numFmtId="169" xfId="0" applyAlignment="1" applyFont="1" applyNumberFormat="1">
      <alignment horizontal="center" shrinkToFit="0" vertical="bottom" wrapText="0"/>
    </xf>
    <xf borderId="0" fillId="3" fontId="3" numFmtId="0" xfId="0" applyAlignment="1" applyFont="1">
      <alignment vertical="bottom"/>
    </xf>
    <xf borderId="0" fillId="0" fontId="3" numFmtId="171" xfId="0" applyAlignment="1" applyFont="1" applyNumberFormat="1">
      <alignment horizontal="center" shrinkToFit="0" vertical="bottom" wrapText="0"/>
    </xf>
    <xf borderId="0" fillId="20" fontId="3" numFmtId="171" xfId="0" applyAlignment="1" applyFill="1" applyFont="1" applyNumberFormat="1">
      <alignment horizontal="center" shrinkToFit="0" vertical="bottom" wrapText="0"/>
    </xf>
    <xf borderId="0" fillId="20" fontId="3" numFmtId="169" xfId="0" applyAlignment="1" applyFont="1" applyNumberFormat="1">
      <alignment horizontal="center" shrinkToFit="0" vertical="bottom" wrapText="0"/>
    </xf>
    <xf borderId="0" fillId="20" fontId="3" numFmtId="0" xfId="0" applyAlignment="1" applyFont="1">
      <alignment horizontal="center" shrinkToFit="0" vertical="bottom" wrapText="0"/>
    </xf>
    <xf borderId="0" fillId="20" fontId="3" numFmtId="0" xfId="0" applyAlignment="1" applyFont="1">
      <alignment vertical="bottom"/>
    </xf>
    <xf borderId="0" fillId="21" fontId="3" numFmtId="0" xfId="0" applyAlignment="1" applyFill="1" applyFont="1">
      <alignment horizontal="center" shrinkToFit="0" vertical="bottom" wrapText="0"/>
    </xf>
    <xf borderId="0" fillId="22" fontId="3" numFmtId="0" xfId="0" applyAlignment="1" applyFill="1" applyFont="1">
      <alignment horizontal="center" shrinkToFit="0" vertical="bottom" wrapText="0"/>
    </xf>
    <xf borderId="0" fillId="22" fontId="3" numFmtId="169" xfId="0" applyAlignment="1" applyFont="1" applyNumberFormat="1">
      <alignment horizontal="center" shrinkToFit="0" vertical="bottom" wrapText="0"/>
    </xf>
    <xf borderId="0" fillId="22" fontId="3" numFmtId="0" xfId="0" applyAlignment="1" applyFont="1">
      <alignment vertical="bottom"/>
    </xf>
    <xf borderId="0" fillId="0" fontId="3" numFmtId="164" xfId="0" applyAlignment="1" applyFont="1" applyNumberFormat="1">
      <alignment vertical="bottom"/>
    </xf>
    <xf borderId="0" fillId="0" fontId="49" numFmtId="0" xfId="0" applyAlignment="1" applyFont="1">
      <alignment horizontal="center" readingOrder="0" shrinkToFit="0" vertical="center" wrapText="0"/>
    </xf>
    <xf borderId="2" fillId="3" fontId="16" numFmtId="171" xfId="0" applyAlignment="1" applyBorder="1" applyFont="1" applyNumberFormat="1">
      <alignment shrinkToFit="0" vertical="center" wrapText="0"/>
    </xf>
    <xf borderId="3" fillId="3" fontId="16" numFmtId="169" xfId="0" applyAlignment="1" applyBorder="1" applyFont="1" applyNumberFormat="1">
      <alignment horizontal="right" shrinkToFit="0" vertical="center" wrapText="0"/>
    </xf>
    <xf borderId="3" fillId="3" fontId="16" numFmtId="0" xfId="0" applyAlignment="1" applyBorder="1" applyFont="1">
      <alignment horizontal="center" shrinkToFit="0" vertical="center" wrapText="0"/>
    </xf>
    <xf borderId="3" fillId="23" fontId="45" numFmtId="0" xfId="0" applyAlignment="1" applyBorder="1" applyFill="1" applyFont="1">
      <alignment shrinkToFit="0" vertical="center" wrapText="0"/>
    </xf>
    <xf borderId="4" fillId="3" fontId="16" numFmtId="0" xfId="0" applyAlignment="1" applyBorder="1" applyFont="1">
      <alignment horizontal="center" shrinkToFit="0" vertical="center" wrapText="0"/>
    </xf>
    <xf borderId="47" fillId="24" fontId="16" numFmtId="171" xfId="0" applyAlignment="1" applyBorder="1" applyFill="1" applyFont="1" applyNumberFormat="1">
      <alignment shrinkToFit="0" vertical="center" wrapText="0"/>
    </xf>
    <xf borderId="27" fillId="24" fontId="16" numFmtId="169" xfId="0" applyAlignment="1" applyBorder="1" applyFont="1" applyNumberFormat="1">
      <alignment horizontal="right" shrinkToFit="0" vertical="center" wrapText="0"/>
    </xf>
    <xf borderId="27" fillId="24" fontId="16" numFmtId="0" xfId="0" applyAlignment="1" applyBorder="1" applyFont="1">
      <alignment horizontal="center" shrinkToFit="0" vertical="center" wrapText="0"/>
    </xf>
    <xf borderId="27" fillId="24" fontId="3" numFmtId="0" xfId="0" applyAlignment="1" applyBorder="1" applyFont="1">
      <alignment shrinkToFit="0" vertical="center" wrapText="0"/>
    </xf>
    <xf borderId="27" fillId="23" fontId="45" numFmtId="0" xfId="0" applyAlignment="1" applyBorder="1" applyFont="1">
      <alignment shrinkToFit="0" vertical="center" wrapText="0"/>
    </xf>
    <xf borderId="48" fillId="24" fontId="16" numFmtId="0" xfId="0" applyAlignment="1" applyBorder="1" applyFont="1">
      <alignment horizontal="center" shrinkToFit="0" vertical="center" wrapText="0"/>
    </xf>
    <xf borderId="3" fillId="25" fontId="50" numFmtId="0" xfId="0" applyAlignment="1" applyBorder="1" applyFill="1" applyFont="1">
      <alignment shrinkToFit="0" vertical="center" wrapText="0"/>
    </xf>
    <xf borderId="33" fillId="24" fontId="16" numFmtId="0" xfId="0" applyAlignment="1" applyBorder="1" applyFont="1">
      <alignment horizontal="center" shrinkToFit="0" vertical="center" wrapText="0"/>
    </xf>
    <xf borderId="27" fillId="26" fontId="38" numFmtId="0" xfId="0" applyAlignment="1" applyBorder="1" applyFill="1" applyFont="1">
      <alignment shrinkToFit="0" vertical="center" wrapText="0"/>
    </xf>
    <xf borderId="3" fillId="27" fontId="46" numFmtId="0" xfId="0" applyAlignment="1" applyBorder="1" applyFill="1" applyFont="1">
      <alignment shrinkToFit="0" vertical="center" wrapText="0"/>
    </xf>
    <xf borderId="33" fillId="3" fontId="16" numFmtId="0" xfId="0" applyAlignment="1" applyBorder="1" applyFont="1">
      <alignment horizontal="center" shrinkToFit="0" vertical="center" wrapText="0"/>
    </xf>
    <xf borderId="3" fillId="26" fontId="38" numFmtId="0" xfId="0" applyAlignment="1" applyBorder="1" applyFont="1">
      <alignment shrinkToFit="0" vertical="center" wrapText="0"/>
    </xf>
    <xf borderId="48" fillId="24" fontId="3" numFmtId="0" xfId="0" applyAlignment="1" applyBorder="1" applyFont="1">
      <alignment shrinkToFit="0" vertical="center" wrapText="0"/>
    </xf>
    <xf borderId="27" fillId="27" fontId="46" numFmtId="0" xfId="0" applyAlignment="1" applyBorder="1" applyFont="1">
      <alignment shrinkToFit="0" vertical="center" wrapText="0"/>
    </xf>
    <xf borderId="27" fillId="24" fontId="16" numFmtId="0" xfId="0" applyAlignment="1" applyBorder="1" applyFont="1">
      <alignment shrinkToFit="0" vertical="bottom" wrapText="0"/>
    </xf>
    <xf borderId="27" fillId="25" fontId="50" numFmtId="0" xfId="0" applyAlignment="1" applyBorder="1" applyFont="1">
      <alignment shrinkToFit="0" vertical="center" wrapText="0"/>
    </xf>
    <xf borderId="3" fillId="28" fontId="51" numFmtId="0" xfId="0" applyAlignment="1" applyBorder="1" applyFill="1" applyFont="1">
      <alignment shrinkToFit="0" vertical="center" wrapText="0"/>
    </xf>
    <xf quotePrefix="1" borderId="27" fillId="24" fontId="16" numFmtId="0" xfId="0" applyAlignment="1" applyBorder="1" applyFont="1">
      <alignment horizontal="center" shrinkToFit="0" vertical="center" wrapText="0"/>
    </xf>
    <xf borderId="27" fillId="28" fontId="51" numFmtId="0" xfId="0" applyAlignment="1" applyBorder="1" applyFont="1">
      <alignment shrinkToFit="0" vertical="center" wrapText="0"/>
    </xf>
    <xf quotePrefix="1" borderId="3" fillId="3" fontId="16" numFmtId="0" xfId="0" applyAlignment="1" applyBorder="1" applyFont="1">
      <alignment horizontal="center" shrinkToFit="0" vertical="center" wrapText="0"/>
    </xf>
    <xf borderId="27" fillId="29" fontId="42" numFmtId="0" xfId="0" applyAlignment="1" applyBorder="1" applyFill="1" applyFont="1">
      <alignment shrinkToFit="0" vertical="center" wrapText="0"/>
    </xf>
    <xf borderId="27" fillId="30" fontId="52" numFmtId="0" xfId="0" applyAlignment="1" applyBorder="1" applyFill="1" applyFont="1">
      <alignment shrinkToFit="0" vertical="center" wrapText="0"/>
    </xf>
    <xf borderId="3" fillId="29" fontId="42" numFmtId="0" xfId="0" applyAlignment="1" applyBorder="1" applyFont="1">
      <alignment shrinkToFit="0" vertical="center" wrapText="0"/>
    </xf>
    <xf borderId="2" fillId="24" fontId="16" numFmtId="171" xfId="0" applyAlignment="1" applyBorder="1" applyFont="1" applyNumberFormat="1">
      <alignment shrinkToFit="0" vertical="center" wrapText="0"/>
    </xf>
    <xf borderId="3" fillId="24" fontId="16" numFmtId="169" xfId="0" applyAlignment="1" applyBorder="1" applyFont="1" applyNumberFormat="1">
      <alignment horizontal="right" shrinkToFit="0" vertical="center" wrapText="0"/>
    </xf>
    <xf borderId="3" fillId="24" fontId="16" numFmtId="0" xfId="0" applyAlignment="1" applyBorder="1" applyFont="1">
      <alignment horizontal="center" shrinkToFit="0" vertical="center" wrapText="0"/>
    </xf>
    <xf borderId="3" fillId="24" fontId="3" numFmtId="0" xfId="0" applyAlignment="1" applyBorder="1" applyFont="1">
      <alignment shrinkToFit="0" vertical="center" wrapText="0"/>
    </xf>
    <xf borderId="4" fillId="24" fontId="16" numFmtId="0" xfId="0" applyAlignment="1" applyBorder="1" applyFont="1">
      <alignment horizontal="center" shrinkToFit="0" vertical="center" wrapText="0"/>
    </xf>
    <xf quotePrefix="1" borderId="33" fillId="24" fontId="16" numFmtId="0" xfId="0" applyAlignment="1" applyBorder="1" applyFont="1">
      <alignment horizontal="center" shrinkToFit="0" vertical="center" wrapText="0"/>
    </xf>
    <xf quotePrefix="1" borderId="33" fillId="3" fontId="16" numFmtId="0" xfId="0" applyAlignment="1" applyBorder="1" applyFont="1">
      <alignment horizontal="center" shrinkToFit="0" vertical="center" wrapText="0"/>
    </xf>
    <xf borderId="3" fillId="30" fontId="52" numFmtId="0" xfId="0" applyAlignment="1" applyBorder="1" applyFont="1">
      <alignment shrinkToFit="0" vertical="center" wrapText="0"/>
    </xf>
    <xf borderId="2" fillId="20" fontId="16" numFmtId="171" xfId="0" applyAlignment="1" applyBorder="1" applyFont="1" applyNumberFormat="1">
      <alignment shrinkToFit="0" vertical="center" wrapText="0"/>
    </xf>
    <xf borderId="3" fillId="20" fontId="16" numFmtId="169" xfId="0" applyAlignment="1" applyBorder="1" applyFont="1" applyNumberFormat="1">
      <alignment horizontal="right" shrinkToFit="0" vertical="center" wrapText="0"/>
    </xf>
    <xf borderId="3" fillId="20" fontId="16" numFmtId="0" xfId="0" applyAlignment="1" applyBorder="1" applyFont="1">
      <alignment horizontal="center" shrinkToFit="0" vertical="center" wrapText="0"/>
    </xf>
    <xf borderId="3" fillId="20" fontId="3" numFmtId="0" xfId="0" applyAlignment="1" applyBorder="1" applyFont="1">
      <alignment shrinkToFit="0" vertical="center" wrapText="0"/>
    </xf>
    <xf borderId="4" fillId="20" fontId="16" numFmtId="0" xfId="0" applyAlignment="1" applyBorder="1" applyFont="1">
      <alignment horizontal="center" shrinkToFit="0" vertical="center" wrapText="0"/>
    </xf>
    <xf borderId="47" fillId="24" fontId="16" numFmtId="171" xfId="0" applyAlignment="1" applyBorder="1" applyFont="1" applyNumberFormat="1">
      <alignment horizontal="right" shrinkToFit="0" vertical="center" wrapText="0"/>
    </xf>
    <xf borderId="2" fillId="3" fontId="16" numFmtId="171" xfId="0" applyAlignment="1" applyBorder="1" applyFont="1" applyNumberFormat="1">
      <alignment horizontal="right" shrinkToFit="0" vertical="center" wrapText="0"/>
    </xf>
    <xf borderId="49" fillId="24" fontId="16" numFmtId="171" xfId="0" applyAlignment="1" applyBorder="1" applyFont="1" applyNumberFormat="1">
      <alignment horizontal="right" shrinkToFit="0" vertical="center" wrapText="0"/>
    </xf>
    <xf borderId="50" fillId="24" fontId="16" numFmtId="169" xfId="0" applyAlignment="1" applyBorder="1" applyFont="1" applyNumberFormat="1">
      <alignment horizontal="right" shrinkToFit="0" vertical="center" wrapText="0"/>
    </xf>
    <xf borderId="50" fillId="24" fontId="16" numFmtId="0" xfId="0" applyAlignment="1" applyBorder="1" applyFont="1">
      <alignment horizontal="center" shrinkToFit="0" vertical="center" wrapText="0"/>
    </xf>
    <xf borderId="50" fillId="24" fontId="3" numFmtId="0" xfId="0" applyAlignment="1" applyBorder="1" applyFont="1">
      <alignment shrinkToFit="0" vertical="center" wrapText="0"/>
    </xf>
    <xf borderId="50" fillId="28" fontId="51" numFmtId="0" xfId="0" applyAlignment="1" applyBorder="1" applyFont="1">
      <alignment shrinkToFit="0" vertical="center" wrapText="0"/>
    </xf>
    <xf borderId="51" fillId="24" fontId="16" numFmtId="0" xfId="0" applyAlignment="1" applyBorder="1" applyFont="1">
      <alignment horizontal="center" shrinkToFit="0" vertical="center" wrapText="0"/>
    </xf>
    <xf borderId="0" fillId="18" fontId="49" numFmtId="0" xfId="0" applyAlignment="1" applyFont="1">
      <alignment horizontal="center" shrinkToFit="0" wrapText="0"/>
    </xf>
    <xf borderId="0" fillId="18" fontId="49" numFmtId="0" xfId="0" applyAlignment="1" applyFont="1">
      <alignment horizontal="center" readingOrder="0" shrinkToFit="0" wrapText="0"/>
    </xf>
    <xf borderId="0" fillId="0" fontId="3" numFmtId="0" xfId="0" applyAlignment="1" applyFont="1">
      <alignment horizontal="center" shrinkToFit="0" wrapText="0"/>
    </xf>
    <xf borderId="0" fillId="0" fontId="3" numFmtId="169" xfId="0" applyAlignment="1" applyFont="1" applyNumberFormat="1">
      <alignment horizontal="center" shrinkToFit="0" wrapText="0"/>
    </xf>
    <xf borderId="0" fillId="0" fontId="3" numFmtId="0" xfId="0" applyFont="1"/>
    <xf borderId="0" fillId="0" fontId="3" numFmtId="169" xfId="0" applyFont="1" applyNumberFormat="1"/>
    <xf quotePrefix="1" borderId="0" fillId="3" fontId="3" numFmtId="0" xfId="0" applyAlignment="1" applyFont="1">
      <alignment horizontal="center" shrinkToFit="0" vertical="bottom" wrapText="0"/>
    </xf>
    <xf borderId="0" fillId="6" fontId="3" numFmtId="0" xfId="0" applyAlignment="1" applyFont="1">
      <alignment horizontal="center" shrinkToFit="0" vertical="bottom" wrapText="0"/>
    </xf>
    <xf borderId="0" fillId="3" fontId="3" numFmtId="0" xfId="0" applyAlignment="1" applyFont="1">
      <alignment horizontal="center" shrinkToFit="0" wrapText="0"/>
    </xf>
    <xf borderId="0" fillId="0" fontId="53" numFmtId="0" xfId="0" applyAlignment="1" applyFont="1">
      <alignment vertical="bottom"/>
    </xf>
    <xf quotePrefix="1" borderId="0" fillId="3" fontId="3" numFmtId="0" xfId="0" applyAlignment="1" applyFont="1">
      <alignment horizontal="center" shrinkToFit="0" wrapText="0"/>
    </xf>
    <xf borderId="0" fillId="3" fontId="3" numFmtId="169" xfId="0" applyAlignment="1" applyFont="1" applyNumberFormat="1">
      <alignment horizontal="center" shrinkToFit="0" wrapText="0"/>
    </xf>
    <xf borderId="0" fillId="3" fontId="3" numFmtId="0" xfId="0" applyFont="1"/>
    <xf borderId="1" fillId="3" fontId="2" numFmtId="0" xfId="0" applyAlignment="1" applyBorder="1" applyFont="1">
      <alignment horizontal="center" shrinkToFit="0" vertical="bottom" wrapText="0"/>
    </xf>
    <xf borderId="0" fillId="6" fontId="3" numFmtId="0" xfId="0" applyAlignment="1" applyFont="1">
      <alignment horizontal="center" shrinkToFit="0" wrapText="0"/>
    </xf>
    <xf quotePrefix="1" borderId="0" fillId="19" fontId="3" numFmtId="0" xfId="0" applyAlignment="1" applyFont="1">
      <alignment horizontal="center" shrinkToFit="0" wrapText="0"/>
    </xf>
    <xf borderId="0" fillId="31" fontId="3" numFmtId="0" xfId="0" applyAlignment="1" applyFill="1" applyFont="1">
      <alignment horizontal="center" shrinkToFit="0" wrapText="0"/>
    </xf>
    <xf borderId="0" fillId="31" fontId="3" numFmtId="169" xfId="0" applyAlignment="1" applyFont="1" applyNumberFormat="1">
      <alignment horizontal="center" shrinkToFit="0" wrapText="0"/>
    </xf>
    <xf borderId="0" fillId="31" fontId="3" numFmtId="0" xfId="0" applyFont="1"/>
    <xf borderId="0" fillId="19" fontId="3" numFmtId="0" xfId="0" applyAlignment="1" applyFont="1">
      <alignment horizontal="center" shrinkToFit="0" wrapText="0"/>
    </xf>
    <xf borderId="0" fillId="3" fontId="3" numFmtId="171" xfId="0" applyAlignment="1" applyFont="1" applyNumberFormat="1">
      <alignment horizontal="center" shrinkToFit="0" wrapText="0"/>
    </xf>
    <xf borderId="0" fillId="0" fontId="3" numFmtId="171" xfId="0" applyAlignment="1" applyFont="1" applyNumberFormat="1">
      <alignment horizontal="center" shrinkToFit="0" wrapText="0"/>
    </xf>
    <xf borderId="0" fillId="3" fontId="3" numFmtId="169" xfId="0" applyFont="1" applyNumberFormat="1"/>
    <xf borderId="5" fillId="14" fontId="3" numFmtId="49" xfId="0" applyAlignment="1" applyBorder="1" applyFont="1" applyNumberFormat="1">
      <alignment shrinkToFit="0" vertical="center" wrapText="0"/>
    </xf>
    <xf borderId="6" fillId="14" fontId="2" numFmtId="0" xfId="0" applyAlignment="1" applyBorder="1" applyFont="1">
      <alignment shrinkToFit="0" vertical="center" wrapText="0"/>
    </xf>
    <xf borderId="6" fillId="14" fontId="11" numFmtId="0" xfId="0" applyAlignment="1" applyBorder="1" applyFont="1">
      <alignment shrinkToFit="0" vertical="center" wrapText="0"/>
    </xf>
    <xf borderId="7" fillId="14" fontId="3" numFmtId="0" xfId="0" applyAlignment="1" applyBorder="1" applyFont="1">
      <alignment shrinkToFit="0" vertical="center" wrapText="0"/>
    </xf>
    <xf borderId="2" fillId="2" fontId="16" numFmtId="49" xfId="0" applyAlignment="1" applyBorder="1" applyFont="1" applyNumberFormat="1">
      <alignment shrinkToFit="0" vertical="center" wrapText="0"/>
    </xf>
    <xf borderId="6" fillId="2" fontId="16" numFmtId="0" xfId="0" applyAlignment="1" applyBorder="1" applyFont="1">
      <alignment shrinkToFit="0" vertical="center" wrapText="0"/>
    </xf>
    <xf borderId="6" fillId="2" fontId="36" numFmtId="0" xfId="0" applyAlignment="1" applyBorder="1" applyFont="1">
      <alignment shrinkToFit="0" vertical="center" wrapText="0"/>
    </xf>
    <xf borderId="3" fillId="3" fontId="16" numFmtId="0" xfId="0" applyAlignment="1" applyBorder="1" applyFont="1">
      <alignment shrinkToFit="0" vertical="center" wrapText="0"/>
    </xf>
    <xf borderId="3" fillId="3" fontId="16" numFmtId="0" xfId="0" applyAlignment="1" applyBorder="1" applyFont="1">
      <alignment shrinkToFit="0" vertical="center" wrapText="0"/>
    </xf>
    <xf borderId="6" fillId="3" fontId="16" numFmtId="0" xfId="0" applyAlignment="1" applyBorder="1" applyFont="1">
      <alignment shrinkToFit="0" vertical="center" wrapText="0"/>
    </xf>
    <xf borderId="2" fillId="3" fontId="16" numFmtId="49" xfId="0" applyAlignment="1" applyBorder="1" applyFont="1" applyNumberFormat="1">
      <alignment shrinkToFit="0" vertical="center" wrapText="0"/>
    </xf>
    <xf borderId="3" fillId="3" fontId="36" numFmtId="0" xfId="0" applyAlignment="1" applyBorder="1" applyFont="1">
      <alignment shrinkToFit="0" vertical="center" wrapText="0"/>
    </xf>
    <xf borderId="5" fillId="2" fontId="16" numFmtId="49" xfId="0" applyAlignment="1" applyBorder="1" applyFont="1" applyNumberFormat="1">
      <alignment shrinkToFit="0" vertical="center" wrapText="0"/>
    </xf>
    <xf borderId="3" fillId="3" fontId="47" numFmtId="0" xfId="0" applyAlignment="1" applyBorder="1" applyFont="1">
      <alignment shrinkToFit="0" vertical="center" wrapText="0"/>
    </xf>
    <xf borderId="5" fillId="3" fontId="16" numFmtId="49" xfId="0" applyAlignment="1" applyBorder="1" applyFont="1" applyNumberFormat="1">
      <alignment shrinkToFit="0" vertical="center" wrapText="0"/>
    </xf>
    <xf borderId="3" fillId="3" fontId="54" numFmtId="0" xfId="0" applyAlignment="1" applyBorder="1" applyFont="1">
      <alignment shrinkToFit="0" vertical="center" wrapText="0"/>
    </xf>
    <xf borderId="3" fillId="2" fontId="16" numFmtId="0" xfId="0" applyAlignment="1" applyBorder="1" applyFont="1">
      <alignment shrinkToFit="0" vertical="center" wrapText="0"/>
    </xf>
    <xf borderId="3" fillId="2" fontId="37" numFmtId="0" xfId="0" applyAlignment="1" applyBorder="1" applyFont="1">
      <alignment shrinkToFit="0" vertical="center" wrapText="0"/>
    </xf>
    <xf borderId="4" fillId="2" fontId="3" numFmtId="0" xfId="0" applyAlignment="1" applyBorder="1" applyFont="1">
      <alignment shrinkToFit="0" vertical="center" wrapText="0"/>
    </xf>
    <xf borderId="6" fillId="3" fontId="36" numFmtId="0" xfId="0" applyAlignment="1" applyBorder="1" applyFont="1">
      <alignment shrinkToFit="0" vertical="center" wrapText="0"/>
    </xf>
    <xf borderId="7" fillId="3" fontId="3" numFmtId="0" xfId="0" applyAlignment="1" applyBorder="1" applyFont="1">
      <alignment shrinkToFit="0" vertical="center" wrapText="0"/>
    </xf>
    <xf borderId="3" fillId="2" fontId="36" numFmtId="0" xfId="0" applyAlignment="1" applyBorder="1" applyFont="1">
      <alignment shrinkToFit="0" vertical="center" wrapText="0"/>
    </xf>
    <xf borderId="3" fillId="3" fontId="52" numFmtId="0" xfId="0" applyAlignment="1" applyBorder="1" applyFont="1">
      <alignment shrinkToFit="0" vertical="center" wrapText="0"/>
    </xf>
    <xf borderId="6" fillId="2" fontId="11" numFmtId="0" xfId="0" applyAlignment="1" applyBorder="1" applyFont="1">
      <alignment shrinkToFit="0" vertical="center" wrapText="0"/>
    </xf>
    <xf borderId="6" fillId="2" fontId="47" numFmtId="0" xfId="0" applyAlignment="1" applyBorder="1" applyFont="1">
      <alignment shrinkToFit="0" vertical="center" wrapText="0"/>
    </xf>
    <xf borderId="3" fillId="12" fontId="16" numFmtId="0" xfId="0" applyAlignment="1" applyBorder="1" applyFont="1">
      <alignment shrinkToFit="0" vertical="center" wrapText="0"/>
    </xf>
    <xf borderId="6" fillId="2" fontId="45" numFmtId="0" xfId="0" applyAlignment="1" applyBorder="1" applyFont="1">
      <alignment shrinkToFit="0" vertical="center" wrapText="0"/>
    </xf>
    <xf borderId="6" fillId="2" fontId="16" numFmtId="49" xfId="0" applyAlignment="1" applyBorder="1" applyFont="1" applyNumberFormat="1">
      <alignment shrinkToFit="0" vertical="center" wrapText="0"/>
    </xf>
    <xf borderId="6" fillId="3" fontId="37" numFmtId="0" xfId="0" applyAlignment="1" applyBorder="1" applyFont="1">
      <alignment shrinkToFit="0" vertical="center" wrapText="0"/>
    </xf>
    <xf borderId="3" fillId="2" fontId="45" numFmtId="0" xfId="0" applyAlignment="1" applyBorder="1" applyFont="1">
      <alignment shrinkToFit="0" vertical="center" wrapText="0"/>
    </xf>
    <xf borderId="6" fillId="3" fontId="45" numFmtId="0" xfId="0" applyAlignment="1" applyBorder="1" applyFont="1">
      <alignment shrinkToFit="0" vertical="center" wrapText="0"/>
    </xf>
    <xf borderId="3" fillId="3" fontId="45" numFmtId="0" xfId="0" applyAlignment="1" applyBorder="1" applyFont="1">
      <alignment shrinkToFit="0" vertical="center" wrapText="0"/>
    </xf>
    <xf borderId="6" fillId="2" fontId="52" numFmtId="0" xfId="0" applyAlignment="1" applyBorder="1" applyFont="1">
      <alignment shrinkToFit="0" vertical="center" wrapText="0"/>
    </xf>
    <xf borderId="6" fillId="20" fontId="16" numFmtId="0" xfId="0" applyAlignment="1" applyBorder="1" applyFont="1">
      <alignment shrinkToFit="0" vertical="center" wrapText="0"/>
    </xf>
    <xf borderId="6" fillId="12" fontId="16" numFmtId="0" xfId="0" applyAlignment="1" applyBorder="1" applyFont="1">
      <alignment shrinkToFit="0" vertical="center" wrapText="0"/>
    </xf>
    <xf borderId="6" fillId="2" fontId="3" numFmtId="168" xfId="0" applyAlignment="1" applyBorder="1" applyFont="1" applyNumberFormat="1">
      <alignment shrinkToFit="0" vertical="center" wrapText="0"/>
    </xf>
    <xf borderId="2" fillId="2" fontId="2" numFmtId="49" xfId="0" applyAlignment="1" applyBorder="1" applyFont="1" applyNumberFormat="1">
      <alignment shrinkToFit="0" vertical="center" wrapText="0"/>
    </xf>
    <xf borderId="2" fillId="2" fontId="3" numFmtId="49" xfId="0" applyAlignment="1" applyBorder="1" applyFont="1" applyNumberFormat="1">
      <alignment shrinkToFit="0" vertical="center" wrapText="0"/>
    </xf>
    <xf borderId="3" fillId="2" fontId="16" numFmtId="0" xfId="0" applyAlignment="1" applyBorder="1" applyFont="1">
      <alignment horizontal="center" shrinkToFit="0" vertical="center" wrapText="0"/>
    </xf>
    <xf borderId="2" fillId="3" fontId="16" numFmtId="49" xfId="0" applyAlignment="1" applyBorder="1" applyFont="1" applyNumberFormat="1">
      <alignment horizontal="center" shrinkToFit="0" vertical="center" wrapText="0"/>
    </xf>
    <xf borderId="3" fillId="3" fontId="16" numFmtId="0" xfId="0" applyAlignment="1" applyBorder="1" applyFont="1">
      <alignment horizontal="center" shrinkToFit="0" vertical="bottom" wrapText="0"/>
    </xf>
    <xf borderId="5" fillId="2" fontId="16" numFmtId="49" xfId="0" applyAlignment="1" applyBorder="1" applyFont="1" applyNumberFormat="1">
      <alignment horizontal="center" shrinkToFit="0" vertical="center" wrapText="0"/>
    </xf>
    <xf quotePrefix="1" borderId="3" fillId="2" fontId="16" numFmtId="0" xfId="0" applyAlignment="1" applyBorder="1" applyFont="1">
      <alignment horizontal="center" shrinkToFit="0" vertical="center" wrapText="0"/>
    </xf>
    <xf borderId="2" fillId="3" fontId="16" numFmtId="49" xfId="0" applyAlignment="1" applyBorder="1" applyFont="1" applyNumberFormat="1">
      <alignment shrinkToFit="0" vertical="bottom" wrapText="0"/>
    </xf>
    <xf borderId="2" fillId="2" fontId="16" numFmtId="49" xfId="0" applyAlignment="1" applyBorder="1" applyFont="1" applyNumberFormat="1">
      <alignment horizontal="center" shrinkToFit="0" vertical="center" wrapText="0"/>
    </xf>
    <xf quotePrefix="1" borderId="3" fillId="2" fontId="2" numFmtId="0" xfId="0" applyAlignment="1" applyBorder="1" applyFont="1">
      <alignment horizontal="center" shrinkToFit="0" vertical="center" wrapText="0"/>
    </xf>
    <xf borderId="52" fillId="3" fontId="2" numFmtId="0" xfId="0" applyAlignment="1" applyBorder="1" applyFont="1">
      <alignment shrinkToFit="0" vertical="center" wrapText="0"/>
    </xf>
    <xf borderId="46" fillId="2" fontId="3" numFmtId="49" xfId="0" applyAlignment="1" applyBorder="1" applyFont="1" applyNumberFormat="1">
      <alignment shrinkToFit="0" vertical="center" wrapText="0"/>
    </xf>
    <xf borderId="33" fillId="2" fontId="2" numFmtId="0" xfId="0" applyAlignment="1" applyBorder="1" applyFont="1">
      <alignment shrinkToFit="0" vertical="center" wrapText="0"/>
    </xf>
    <xf borderId="33" fillId="2" fontId="11" numFmtId="0" xfId="0" applyAlignment="1" applyBorder="1" applyFont="1">
      <alignment shrinkToFit="0" vertical="center" wrapText="0"/>
    </xf>
    <xf borderId="33" fillId="2" fontId="3" numFmtId="0" xfId="0" applyAlignment="1" applyBorder="1" applyFont="1">
      <alignment shrinkToFit="0" vertical="center" wrapText="0"/>
    </xf>
    <xf borderId="53" fillId="2" fontId="3" numFmtId="0" xfId="0" applyAlignment="1" applyBorder="1" applyFont="1">
      <alignment shrinkToFit="0" vertical="center" wrapText="0"/>
    </xf>
    <xf quotePrefix="1" borderId="0" fillId="6" fontId="3" numFmtId="0" xfId="0" applyAlignment="1" applyFont="1">
      <alignment horizontal="center" shrinkToFit="0" vertical="bottom" wrapText="0"/>
    </xf>
    <xf borderId="0" fillId="8" fontId="3" numFmtId="0" xfId="0" applyAlignment="1" applyFont="1">
      <alignment horizontal="center" shrinkToFit="0" vertical="bottom" wrapText="0"/>
    </xf>
    <xf borderId="0" fillId="0" fontId="3" numFmtId="166" xfId="0" applyAlignment="1" applyFont="1" applyNumberFormat="1">
      <alignment horizontal="center" shrinkToFit="0" vertical="bottom" wrapText="0"/>
    </xf>
    <xf borderId="0" fillId="3" fontId="3" numFmtId="166" xfId="0" applyAlignment="1" applyFont="1" applyNumberFormat="1">
      <alignment horizontal="center" shrinkToFit="0" vertical="bottom" wrapText="0"/>
    </xf>
    <xf borderId="1" fillId="3" fontId="2" numFmtId="49" xfId="0" applyAlignment="1" applyBorder="1" applyFont="1" applyNumberFormat="1">
      <alignment horizontal="center" shrinkToFit="0" vertical="bottom" wrapText="0"/>
    </xf>
    <xf borderId="0" fillId="32" fontId="3" numFmtId="0" xfId="0" applyAlignment="1" applyFill="1" applyFont="1">
      <alignment horizontal="center" shrinkToFit="0" vertical="bottom" wrapText="0"/>
    </xf>
    <xf borderId="0" fillId="33" fontId="3" numFmtId="0" xfId="0" applyAlignment="1" applyFill="1" applyFont="1">
      <alignment horizontal="center" shrinkToFit="0" vertical="bottom" wrapText="0"/>
    </xf>
    <xf borderId="0" fillId="33" fontId="3" numFmtId="169" xfId="0" applyAlignment="1" applyFont="1" applyNumberFormat="1">
      <alignment horizontal="center" shrinkToFit="0" vertical="bottom" wrapText="0"/>
    </xf>
    <xf quotePrefix="1" borderId="0" fillId="33" fontId="3" numFmtId="0" xfId="0" applyAlignment="1" applyFont="1">
      <alignment horizontal="center" shrinkToFit="0" vertical="bottom" wrapText="0"/>
    </xf>
    <xf borderId="0" fillId="33" fontId="3" numFmtId="0" xfId="0" applyAlignment="1" applyFont="1">
      <alignment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15">
    <tableStyle count="4" pivot="0" name="4-style">
      <tableStyleElement dxfId="1" type="headerRow"/>
      <tableStyleElement dxfId="2" type="firstRowStripe"/>
      <tableStyleElement dxfId="3" type="secondRowStripe"/>
      <tableStyleElement dxfId="4" size="0" type="wholeTable"/>
    </tableStyle>
    <tableStyle count="4" pivot="0" name="5-style">
      <tableStyleElement dxfId="1" type="headerRow"/>
      <tableStyleElement dxfId="2" type="firstRowStripe"/>
      <tableStyleElement dxfId="3" type="secondRowStripe"/>
      <tableStyleElement dxfId="4" size="0" type="wholeTable"/>
    </tableStyle>
    <tableStyle count="4" pivot="0" name="6-style">
      <tableStyleElement dxfId="1" type="headerRow"/>
      <tableStyleElement dxfId="2" type="firstRowStripe"/>
      <tableStyleElement dxfId="3" type="secondRowStripe"/>
      <tableStyleElement dxfId="4" size="0" type="wholeTable"/>
    </tableStyle>
    <tableStyle count="2" pivot="0" name="Sheet11-style">
      <tableStyleElement dxfId="2" type="firstRowStripe"/>
      <tableStyleElement dxfId="3" type="secondRowStripe"/>
    </tableStyle>
    <tableStyle count="4" pivot="0" name="1-style">
      <tableStyleElement dxfId="1" type="headerRow"/>
      <tableStyleElement dxfId="2" type="firstRowStripe"/>
      <tableStyleElement dxfId="3" type="secondRowStripe"/>
      <tableStyleElement dxfId="4" size="0" type="wholeTable"/>
    </tableStyle>
    <tableStyle count="4" pivot="0" name="2-style">
      <tableStyleElement dxfId="1" type="headerRow"/>
      <tableStyleElement dxfId="2" type="firstRowStripe"/>
      <tableStyleElement dxfId="3" type="secondRowStripe"/>
      <tableStyleElement dxfId="4" size="0" type="wholeTable"/>
    </tableStyle>
    <tableStyle count="4" pivot="0" name="3-style">
      <tableStyleElement dxfId="1" type="headerRow"/>
      <tableStyleElement dxfId="2" type="firstRowStripe"/>
      <tableStyleElement dxfId="3" type="secondRowStripe"/>
      <tableStyleElement dxfId="4" size="0" type="wholeTable"/>
    </tableStyle>
    <tableStyle count="4" pivot="0" name="Sheet14-style">
      <tableStyleElement dxfId="1" type="headerRow"/>
      <tableStyleElement dxfId="2" type="firstRowStripe"/>
      <tableStyleElement dxfId="3" type="secondRowStripe"/>
      <tableStyleElement dxfId="4" size="0" type="wholeTable"/>
    </tableStyle>
    <tableStyle count="4" pivot="0" name="Sheet13-style">
      <tableStyleElement dxfId="1" type="headerRow"/>
      <tableStyleElement dxfId="2" type="firstRowStripe"/>
      <tableStyleElement dxfId="3" type="secondRowStripe"/>
      <tableStyleElement dxfId="4" size="0" type="wholeTable"/>
    </tableStyle>
    <tableStyle count="4" pivot="0" name="Sheet15-style">
      <tableStyleElement dxfId="1" type="headerRow"/>
      <tableStyleElement dxfId="2" type="firstRowStripe"/>
      <tableStyleElement dxfId="3" type="secondRowStripe"/>
      <tableStyleElement dxfId="4" size="0" type="wholeTable"/>
    </tableStyle>
    <tableStyle count="4" pivot="0" name="Sheet16-style">
      <tableStyleElement dxfId="1" type="headerRow"/>
      <tableStyleElement dxfId="2" type="firstRowStripe"/>
      <tableStyleElement dxfId="3" type="secondRowStripe"/>
      <tableStyleElement dxfId="4" size="0" type="wholeTable"/>
    </tableStyle>
    <tableStyle count="4" pivot="0" name="Sheet18-style">
      <tableStyleElement dxfId="1" type="headerRow"/>
      <tableStyleElement dxfId="2" type="firstRowStripe"/>
      <tableStyleElement dxfId="5" type="secondRowStripe"/>
      <tableStyleElement dxfId="4" size="0" type="wholeTable"/>
    </tableStyle>
    <tableStyle count="4" pivot="0" name="Sheet20-style">
      <tableStyleElement dxfId="1" type="headerRow"/>
      <tableStyleElement dxfId="2" type="firstRowStripe"/>
      <tableStyleElement dxfId="3" type="secondRowStripe"/>
      <tableStyleElement dxfId="4" size="0" type="wholeTable"/>
    </tableStyle>
    <tableStyle count="4" pivot="0" name="Sheet21-style">
      <tableStyleElement dxfId="1" type="headerRow"/>
      <tableStyleElement dxfId="2" type="firstRowStripe"/>
      <tableStyleElement dxfId="3" type="secondRowStripe"/>
      <tableStyleElement dxfId="4" size="0" type="wholeTable"/>
    </tableStyle>
    <tableStyle count="4" pivot="0" name="Sheet2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767" displayName="Table2" name="Table2" id="1">
  <autoFilter ref="$A$1:$O$767">
    <filterColumn colId="4">
      <filters>
        <filter val="enroll in next batch"/>
      </filters>
    </filterColumn>
  </autoFilter>
  <tableColumns count="15">
    <tableColumn name="Prospect Name" id="1"/>
    <tableColumn name="Number" id="2"/>
    <tableColumn name="Attempts Missing"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Notes" id="14"/>
    <tableColumn name="Next Step" id="15"/>
  </tableColumns>
  <tableStyleInfo name="4-style" showColumnStripes="0" showFirstColumn="1" showLastColumn="1" showRowStripes="1"/>
</table>
</file>

<file path=xl/tables/table2.xml><?xml version="1.0" encoding="utf-8"?>
<table xmlns="http://schemas.openxmlformats.org/spreadsheetml/2006/main" ref="A1:O810" displayName="Table2_2" name="Table2_2" id="2">
  <tableColumns count="15">
    <tableColumn name="Prospect Name" id="1"/>
    <tableColumn name="Number" id="2"/>
    <tableColumn name="Attempts Missing"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Notes" id="14"/>
    <tableColumn name="Next Step" id="15"/>
  </tableColumns>
  <tableStyleInfo name="5-style" showColumnStripes="0" showFirstColumn="1" showLastColumn="1" showRowStripes="1"/>
</table>
</file>

<file path=xl/tables/table3.xml><?xml version="1.0" encoding="utf-8"?>
<table xmlns="http://schemas.openxmlformats.org/spreadsheetml/2006/main" ref="A1:Q89" displayName="Table5" name="Table5" id="3">
  <tableColumns count="17">
    <tableColumn name="Prospect Name" id="1"/>
    <tableColumn name="Number" id="2"/>
    <tableColumn name="Attempts Missing"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Lead Type" id="14"/>
    <tableColumn name="Notes" id="15"/>
    <tableColumn name="Next Step" id="16"/>
    <tableColumn name="date" id="17"/>
  </tableColumns>
  <tableStyleInfo name="6-style" showColumnStripes="0" showFirstColumn="1" showLastColumn="1" showRowStripes="1"/>
</table>
</file>

<file path=xl/tables/table4.xml><?xml version="1.0" encoding="utf-8"?>
<table xmlns="http://schemas.openxmlformats.org/spreadsheetml/2006/main" headerRowCount="0" ref="A1:A130" displayName="Table_1" name="Table_1" id="4">
  <tableColumns count="1">
    <tableColumn name="Column1" id="1"/>
  </tableColumns>
  <tableStyleInfo name="Sheet11-style" showColumnStripes="0" showFirstColumn="1" showLastColumn="1" showRowStripes="1"/>
</table>
</file>

<file path=xl/tables/table5.xml><?xml version="1.0" encoding="utf-8"?>
<table xmlns="http://schemas.openxmlformats.org/spreadsheetml/2006/main" ref="A1:P610" displayName="Table1" name="Table1" id="5">
  <tableColumns count="16">
    <tableColumn name="Prospect Name" id="1"/>
    <tableColumn name="Number" id="2"/>
    <tableColumn name="Attempts done"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Notes" id="14"/>
    <tableColumn name="Next Step" id="15"/>
    <tableColumn name="Column 1" id="16"/>
  </tableColumns>
  <tableStyleInfo name="1-style" showColumnStripes="0" showFirstColumn="1" showLastColumn="1" showRowStripes="1"/>
</table>
</file>

<file path=xl/tables/table6.xml><?xml version="1.0" encoding="utf-8"?>
<table xmlns="http://schemas.openxmlformats.org/spreadsheetml/2006/main" ref="A1:Q766" displayName="Table3" name="Table3" id="6">
  <autoFilter ref="$A$1:$Q$766"/>
  <tableColumns count="17">
    <tableColumn name="Prospect Name" id="1"/>
    <tableColumn name="Number" id="2"/>
    <tableColumn name="Attempts Missing"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Lead Type" id="14"/>
    <tableColumn name="Notes" id="15"/>
    <tableColumn name="Next Step" id="16"/>
    <tableColumn name="date" id="17"/>
  </tableColumns>
  <tableStyleInfo name="2-style" showColumnStripes="0" showFirstColumn="1" showLastColumn="1" showRowStripes="1"/>
</table>
</file>

<file path=xl/tables/table7.xml><?xml version="1.0" encoding="utf-8"?>
<table xmlns="http://schemas.openxmlformats.org/spreadsheetml/2006/main" ref="A1:Q395" displayName="Table3_2" name="Table3_2" id="7">
  <tableColumns count="17">
    <tableColumn name="Prospect Name" id="1"/>
    <tableColumn name="Number" id="2"/>
    <tableColumn name="Attempts Missing" id="3"/>
    <tableColumn name="Status" id="4"/>
    <tableColumn name="stage" id="5"/>
    <tableColumn name="Call Slot 1" id="6"/>
    <tableColumn name="Attempt 1" id="7"/>
    <tableColumn name="Call Slot 2" id="8"/>
    <tableColumn name="Attempt 2" id="9"/>
    <tableColumn name="Call Slot 3" id="10"/>
    <tableColumn name="Attempt-3" id="11"/>
    <tableColumn name="Call Slot 4" id="12"/>
    <tableColumn name="Attempt-4" id="13"/>
    <tableColumn name="Lead Type" id="14"/>
    <tableColumn name="Notes" id="15"/>
    <tableColumn name="Next Step" id="16"/>
    <tableColumn name="date" id="17"/>
  </tableColumns>
  <tableStyleInfo name="3-style" showColumnStripes="0" showFirstColumn="1" showLastColumn="1" showRowStripes="1"/>
</table>
</file>

<file path=xl/tables/table8.xml><?xml version="1.0" encoding="utf-8"?>
<table xmlns="http://schemas.openxmlformats.org/spreadsheetml/2006/main" ref="A1:J2225" displayName="Table6" name="Table6" id="8">
  <tableColumns count="10">
    <tableColumn name="S.No" id="1"/>
    <tableColumn name="Approach Date" id="2"/>
    <tableColumn name="Prospect Name" id="3"/>
    <tableColumn name="Number" id="4"/>
    <tableColumn name="Followup Date" id="5"/>
    <tableColumn name="stage" id="6"/>
    <tableColumn name="Interest Level" id="7"/>
    <tableColumn name="Price Proposed" id="8"/>
    <tableColumn name="Reason (applicable if client lost)" id="9"/>
    <tableColumn name="Column 1" id="10"/>
  </tableColumns>
  <tableStyleInfo name="Sheet14-style" showColumnStripes="0" showFirstColumn="1" showLastColumn="1" showRowStripes="1"/>
</table>
</file>

<file path=xl/tables/table9.xml><?xml version="1.0" encoding="utf-8"?>
<table xmlns="http://schemas.openxmlformats.org/spreadsheetml/2006/main" ref="A1:L2224" displayName="Table4" name="Table4" id="9">
  <tableColumns count="12">
    <tableColumn name="Date" id="1"/>
    <tableColumn name="Prospect Name" id="2"/>
    <tableColumn name="Number" id="3"/>
    <tableColumn name="Date of Reach" id="4"/>
    <tableColumn name="Why join?" id="5"/>
    <tableColumn name="Called on (Date/Time)" id="6"/>
    <tableColumn name="stage" id="7"/>
    <tableColumn name="First Followup (+2)" id="8"/>
    <tableColumn name="Second Followup (+5)" id="9"/>
    <tableColumn name="Third Followup (+7)" id="10"/>
    <tableColumn name="Fourth Followup (+14)" id="11"/>
    <tableColumn name="Notes" id="12"/>
  </tableColumns>
  <tableStyleInfo name="Sheet13-style" showColumnStripes="0" showFirstColumn="1" showLastColumn="1" showRowStripes="1"/>
</table>
</file>

<file path=xl/tables/table10.xml><?xml version="1.0" encoding="utf-8"?>
<table xmlns="http://schemas.openxmlformats.org/spreadsheetml/2006/main" ref="A1:O824" displayName="Table7" name="Table7" id="10">
  <tableColumns count="15">
    <tableColumn name="Prospect Name" id="1"/>
    <tableColumn name="Number" id="2"/>
    <tableColumn name="stage" id="3"/>
    <tableColumn name="Call Slot 1" id="4"/>
    <tableColumn name="Attempt-1" id="5"/>
    <tableColumn name="Call Slot 2" id="6"/>
    <tableColumn name="Attempt-2" id="7"/>
    <tableColumn name="Call Slot 3" id="8"/>
    <tableColumn name="Attempt-3" id="9"/>
    <tableColumn name="Call Slot 4" id="10"/>
    <tableColumn name="Attempt-4" id="11"/>
    <tableColumn name="Not talked" id="12"/>
    <tableColumn name="Notes" id="13"/>
    <tableColumn name="Date1" id="14"/>
    <tableColumn name="Column 1" id="15"/>
  </tableColumns>
  <tableStyleInfo name="Sheet15-style" showColumnStripes="0" showFirstColumn="1" showLastColumn="1" showRowStripes="1"/>
</table>
</file>

<file path=xl/tables/table11.xml><?xml version="1.0" encoding="utf-8"?>
<table xmlns="http://schemas.openxmlformats.org/spreadsheetml/2006/main" ref="A1:N761" displayName="Table8" name="Table8" id="11">
  <tableColumns count="14">
    <tableColumn name="Prospect Name" id="1"/>
    <tableColumn name="Number" id="2"/>
    <tableColumn name="Status" id="3"/>
    <tableColumn name="stage" id="4"/>
    <tableColumn name="Call Slot 1" id="5"/>
    <tableColumn name="Attempt 1" id="6"/>
    <tableColumn name="Call Slot 2" id="7"/>
    <tableColumn name="Attempt 2" id="8"/>
    <tableColumn name="Call Slot 3" id="9"/>
    <tableColumn name="Attempt-3" id="10"/>
    <tableColumn name="Call Slot 4" id="11"/>
    <tableColumn name="Attempt-4" id="12"/>
    <tableColumn name="Notes" id="13"/>
    <tableColumn name="Next Step" id="14"/>
  </tableColumns>
  <tableStyleInfo name="Sheet16-style" showColumnStripes="0" showFirstColumn="1" showLastColumn="1" showRowStripes="1"/>
</table>
</file>

<file path=xl/tables/table12.xml><?xml version="1.0" encoding="utf-8"?>
<table xmlns="http://schemas.openxmlformats.org/spreadsheetml/2006/main" ref="A1:L227" displayName="Table9" name="Table9" id="12">
  <tableColumns count="12">
    <tableColumn name="Date " id="1"/>
    <tableColumn name="Time " id="2"/>
    <tableColumn name="Prospect Name" id="3"/>
    <tableColumn name="Email" id="4"/>
    <tableColumn name="Number" id="5"/>
    <tableColumn name="stage" id="6"/>
    <tableColumn name="Slot 1" id="7"/>
    <tableColumn name="Slot 2" id="8"/>
    <tableColumn name="Slot 3" id="9"/>
    <tableColumn name="Slot 4" id="10"/>
    <tableColumn name="Number of Attempts" id="11"/>
    <tableColumn name="Notes " id="12"/>
  </tableColumns>
  <tableStyleInfo name="Sheet18-style" showColumnStripes="0" showFirstColumn="1" showLastColumn="1" showRowStripes="1"/>
</table>
</file>

<file path=xl/tables/table13.xml><?xml version="1.0" encoding="utf-8"?>
<table xmlns="http://schemas.openxmlformats.org/spreadsheetml/2006/main" ref="A1:F1305" displayName="Table10" name="Table10" id="13">
  <tableColumns count="6">
    <tableColumn name="Prospect Name" id="1"/>
    <tableColumn name="Number" id="2"/>
    <tableColumn name="stage" id="3"/>
    <tableColumn name="Date Given" id="4"/>
    <tableColumn name="Notes" id="5"/>
    <tableColumn name="Column 1" id="6"/>
  </tableColumns>
  <tableStyleInfo name="Sheet20-style" showColumnStripes="0" showFirstColumn="1" showLastColumn="1" showRowStripes="1"/>
</table>
</file>

<file path=xl/tables/table14.xml><?xml version="1.0" encoding="utf-8"?>
<table xmlns="http://schemas.openxmlformats.org/spreadsheetml/2006/main" ref="A1:F1481" displayName="Table11" name="Table11" id="14">
  <tableColumns count="6">
    <tableColumn name="Prospect Name" id="1"/>
    <tableColumn name="Number" id="2"/>
    <tableColumn name="stage" id="3"/>
    <tableColumn name="Date Given" id="4"/>
    <tableColumn name="Notes" id="5"/>
    <tableColumn name="Column 1" id="6"/>
  </tableColumns>
  <tableStyleInfo name="Sheet21-style" showColumnStripes="0" showFirstColumn="1" showLastColumn="1" showRowStripes="1"/>
</table>
</file>

<file path=xl/tables/table15.xml><?xml version="1.0" encoding="utf-8"?>
<table xmlns="http://schemas.openxmlformats.org/spreadsheetml/2006/main" ref="A1:F1481" displayName="Table12" name="Table12" id="15">
  <tableColumns count="6">
    <tableColumn name="Prospect Name" id="1"/>
    <tableColumn name="Number" id="2"/>
    <tableColumn name="stage" id="3"/>
    <tableColumn name="Date Given" id="4"/>
    <tableColumn name="Notes" id="5"/>
    <tableColumn name="Column 1" id="6"/>
  </tableColumns>
  <tableStyleInfo name="Sheet2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6" max="6" width="15.25"/>
    <col customWidth="1" min="14" max="14" width="22.0"/>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row>
    <row r="2" ht="22.5" hidden="1" customHeight="1">
      <c r="A2" s="3"/>
      <c r="B2" s="4" t="s">
        <v>15</v>
      </c>
      <c r="C2" s="5"/>
      <c r="D2" s="6" t="s">
        <v>16</v>
      </c>
      <c r="E2" s="6" t="s">
        <v>17</v>
      </c>
      <c r="F2" s="5" t="s">
        <v>18</v>
      </c>
      <c r="G2" s="7" t="s">
        <v>19</v>
      </c>
      <c r="H2" s="5" t="s">
        <v>20</v>
      </c>
      <c r="I2" s="7" t="s">
        <v>19</v>
      </c>
      <c r="J2" s="8" t="s">
        <v>21</v>
      </c>
      <c r="K2" s="7" t="s">
        <v>19</v>
      </c>
      <c r="L2" s="8" t="s">
        <v>22</v>
      </c>
      <c r="M2" s="9"/>
      <c r="N2" s="10" t="s">
        <v>23</v>
      </c>
      <c r="O2" s="5"/>
    </row>
    <row r="3" ht="22.5" customHeight="1">
      <c r="A3" s="3"/>
      <c r="B3" s="11" t="s">
        <v>24</v>
      </c>
      <c r="C3" s="5"/>
      <c r="D3" s="6" t="s">
        <v>16</v>
      </c>
      <c r="E3" s="6" t="s">
        <v>25</v>
      </c>
      <c r="F3" s="5" t="s">
        <v>18</v>
      </c>
      <c r="G3" s="7" t="s">
        <v>26</v>
      </c>
      <c r="H3" s="5" t="s">
        <v>20</v>
      </c>
      <c r="I3" s="7" t="s">
        <v>26</v>
      </c>
      <c r="J3" s="8" t="s">
        <v>21</v>
      </c>
      <c r="K3" s="7" t="s">
        <v>26</v>
      </c>
      <c r="L3" s="8" t="s">
        <v>22</v>
      </c>
      <c r="M3" s="7" t="s">
        <v>26</v>
      </c>
      <c r="N3" s="10" t="s">
        <v>27</v>
      </c>
      <c r="O3" s="5"/>
    </row>
    <row r="4" ht="22.5" hidden="1" customHeight="1">
      <c r="A4" s="3"/>
      <c r="B4" s="11" t="s">
        <v>28</v>
      </c>
      <c r="C4" s="5"/>
      <c r="D4" s="6" t="s">
        <v>16</v>
      </c>
      <c r="E4" s="6" t="s">
        <v>17</v>
      </c>
      <c r="F4" s="5" t="s">
        <v>18</v>
      </c>
      <c r="G4" s="7" t="s">
        <v>19</v>
      </c>
      <c r="H4" s="5" t="s">
        <v>20</v>
      </c>
      <c r="I4" s="7" t="s">
        <v>19</v>
      </c>
      <c r="J4" s="8" t="s">
        <v>21</v>
      </c>
      <c r="K4" s="7" t="s">
        <v>19</v>
      </c>
      <c r="L4" s="8" t="s">
        <v>22</v>
      </c>
      <c r="M4" s="9"/>
      <c r="N4" s="10" t="s">
        <v>23</v>
      </c>
      <c r="O4" s="5"/>
    </row>
    <row r="5" ht="22.5" hidden="1" customHeight="1">
      <c r="A5" s="3"/>
      <c r="B5" s="12" t="s">
        <v>29</v>
      </c>
      <c r="C5" s="5"/>
      <c r="D5" s="6" t="s">
        <v>16</v>
      </c>
      <c r="E5" s="6" t="s">
        <v>30</v>
      </c>
      <c r="F5" s="5" t="s">
        <v>18</v>
      </c>
      <c r="G5" s="7" t="s">
        <v>31</v>
      </c>
      <c r="H5" s="5" t="s">
        <v>20</v>
      </c>
      <c r="I5" s="7" t="s">
        <v>19</v>
      </c>
      <c r="J5" s="8" t="s">
        <v>21</v>
      </c>
      <c r="K5" s="7" t="s">
        <v>19</v>
      </c>
      <c r="L5" s="8" t="s">
        <v>22</v>
      </c>
      <c r="M5" s="9"/>
      <c r="N5" s="10" t="s">
        <v>32</v>
      </c>
      <c r="O5" s="5"/>
    </row>
    <row r="6" ht="22.5" hidden="1" customHeight="1">
      <c r="A6" s="3"/>
      <c r="B6" s="13" t="s">
        <v>33</v>
      </c>
      <c r="C6" s="5"/>
      <c r="D6" s="14" t="s">
        <v>34</v>
      </c>
      <c r="E6" s="14" t="s">
        <v>35</v>
      </c>
      <c r="F6" s="5" t="s">
        <v>18</v>
      </c>
      <c r="G6" s="7" t="s">
        <v>31</v>
      </c>
      <c r="H6" s="5" t="s">
        <v>20</v>
      </c>
      <c r="I6" s="7" t="s">
        <v>19</v>
      </c>
      <c r="J6" s="8" t="s">
        <v>21</v>
      </c>
      <c r="K6" s="7" t="s">
        <v>31</v>
      </c>
      <c r="L6" s="8" t="s">
        <v>22</v>
      </c>
      <c r="M6" s="9"/>
      <c r="N6" s="10" t="s">
        <v>36</v>
      </c>
      <c r="O6" s="5"/>
    </row>
    <row r="7" ht="22.5" hidden="1" customHeight="1">
      <c r="A7" s="3"/>
      <c r="B7" s="12" t="s">
        <v>37</v>
      </c>
      <c r="C7" s="5"/>
      <c r="D7" s="6" t="s">
        <v>16</v>
      </c>
      <c r="E7" s="6" t="s">
        <v>17</v>
      </c>
      <c r="F7" s="5" t="s">
        <v>18</v>
      </c>
      <c r="G7" s="7" t="s">
        <v>19</v>
      </c>
      <c r="H7" s="5" t="s">
        <v>20</v>
      </c>
      <c r="I7" s="7" t="s">
        <v>19</v>
      </c>
      <c r="J7" s="8" t="s">
        <v>21</v>
      </c>
      <c r="K7" s="7" t="s">
        <v>19</v>
      </c>
      <c r="L7" s="8" t="s">
        <v>22</v>
      </c>
      <c r="M7" s="9"/>
      <c r="N7" s="10" t="s">
        <v>38</v>
      </c>
      <c r="O7" s="5"/>
    </row>
    <row r="8" ht="22.5" hidden="1" customHeight="1">
      <c r="A8" s="15"/>
      <c r="B8" s="13" t="s">
        <v>39</v>
      </c>
      <c r="C8" s="5"/>
      <c r="D8" s="14" t="s">
        <v>34</v>
      </c>
      <c r="E8" s="14" t="s">
        <v>40</v>
      </c>
      <c r="F8" s="5" t="s">
        <v>18</v>
      </c>
      <c r="G8" s="7" t="s">
        <v>31</v>
      </c>
      <c r="H8" s="5" t="s">
        <v>20</v>
      </c>
      <c r="I8" s="7" t="s">
        <v>19</v>
      </c>
      <c r="J8" s="8" t="s">
        <v>21</v>
      </c>
      <c r="K8" s="7" t="s">
        <v>31</v>
      </c>
      <c r="L8" s="8" t="s">
        <v>22</v>
      </c>
      <c r="M8" s="9"/>
      <c r="N8" s="10" t="s">
        <v>41</v>
      </c>
      <c r="O8" s="5"/>
    </row>
    <row r="9" ht="22.5" hidden="1" customHeight="1">
      <c r="A9" s="3"/>
      <c r="B9" s="12" t="s">
        <v>42</v>
      </c>
      <c r="C9" s="5"/>
      <c r="D9" s="6" t="s">
        <v>34</v>
      </c>
      <c r="E9" s="6" t="s">
        <v>40</v>
      </c>
      <c r="F9" s="5" t="s">
        <v>18</v>
      </c>
      <c r="G9" s="7" t="s">
        <v>31</v>
      </c>
      <c r="H9" s="5" t="s">
        <v>20</v>
      </c>
      <c r="I9" s="7" t="s">
        <v>19</v>
      </c>
      <c r="J9" s="8" t="s">
        <v>21</v>
      </c>
      <c r="K9" s="7" t="s">
        <v>31</v>
      </c>
      <c r="L9" s="8" t="s">
        <v>22</v>
      </c>
      <c r="M9" s="9"/>
      <c r="N9" s="10" t="s">
        <v>43</v>
      </c>
      <c r="O9" s="5"/>
    </row>
    <row r="10" ht="22.5" hidden="1" customHeight="1">
      <c r="A10" s="3"/>
      <c r="B10" s="11" t="s">
        <v>44</v>
      </c>
      <c r="C10" s="5"/>
      <c r="D10" s="14" t="s">
        <v>16</v>
      </c>
      <c r="E10" s="14" t="s">
        <v>17</v>
      </c>
      <c r="F10" s="5" t="s">
        <v>18</v>
      </c>
      <c r="G10" s="7" t="s">
        <v>19</v>
      </c>
      <c r="H10" s="5" t="s">
        <v>20</v>
      </c>
      <c r="I10" s="7" t="s">
        <v>19</v>
      </c>
      <c r="J10" s="8" t="s">
        <v>21</v>
      </c>
      <c r="K10" s="7" t="s">
        <v>19</v>
      </c>
      <c r="L10" s="8" t="s">
        <v>22</v>
      </c>
      <c r="M10" s="9"/>
      <c r="N10" s="10" t="s">
        <v>45</v>
      </c>
      <c r="O10" s="5"/>
    </row>
    <row r="11" ht="22.5" hidden="1" customHeight="1">
      <c r="A11" s="3"/>
      <c r="B11" s="12" t="s">
        <v>46</v>
      </c>
      <c r="C11" s="5"/>
      <c r="D11" s="6" t="s">
        <v>16</v>
      </c>
      <c r="E11" s="6" t="s">
        <v>17</v>
      </c>
      <c r="F11" s="5" t="s">
        <v>18</v>
      </c>
      <c r="G11" s="7" t="s">
        <v>19</v>
      </c>
      <c r="H11" s="5" t="s">
        <v>20</v>
      </c>
      <c r="I11" s="7" t="s">
        <v>19</v>
      </c>
      <c r="J11" s="8" t="s">
        <v>21</v>
      </c>
      <c r="K11" s="7" t="s">
        <v>19</v>
      </c>
      <c r="L11" s="8" t="s">
        <v>22</v>
      </c>
      <c r="M11" s="9"/>
      <c r="N11" s="10" t="s">
        <v>47</v>
      </c>
      <c r="O11" s="5"/>
    </row>
    <row r="12" ht="22.5" hidden="1" customHeight="1">
      <c r="A12" s="3"/>
      <c r="B12" s="13" t="s">
        <v>48</v>
      </c>
      <c r="C12" s="5"/>
      <c r="D12" s="14" t="s">
        <v>34</v>
      </c>
      <c r="E12" s="14" t="s">
        <v>49</v>
      </c>
      <c r="F12" s="5" t="s">
        <v>18</v>
      </c>
      <c r="G12" s="7" t="s">
        <v>50</v>
      </c>
      <c r="H12" s="5" t="s">
        <v>20</v>
      </c>
      <c r="I12" s="7" t="s">
        <v>50</v>
      </c>
      <c r="J12" s="8" t="s">
        <v>21</v>
      </c>
      <c r="K12" s="7" t="s">
        <v>50</v>
      </c>
      <c r="L12" s="8" t="s">
        <v>22</v>
      </c>
      <c r="M12" s="7" t="s">
        <v>50</v>
      </c>
      <c r="N12" s="10" t="s">
        <v>51</v>
      </c>
      <c r="O12" s="5"/>
    </row>
    <row r="13" ht="22.5" hidden="1" customHeight="1">
      <c r="A13" s="3"/>
      <c r="B13" s="12" t="s">
        <v>52</v>
      </c>
      <c r="C13" s="5"/>
      <c r="D13" s="6" t="s">
        <v>16</v>
      </c>
      <c r="E13" s="6" t="s">
        <v>17</v>
      </c>
      <c r="F13" s="5" t="s">
        <v>18</v>
      </c>
      <c r="G13" s="7" t="s">
        <v>19</v>
      </c>
      <c r="H13" s="5" t="s">
        <v>20</v>
      </c>
      <c r="I13" s="7" t="s">
        <v>19</v>
      </c>
      <c r="J13" s="8" t="s">
        <v>21</v>
      </c>
      <c r="K13" s="7" t="s">
        <v>19</v>
      </c>
      <c r="L13" s="8" t="s">
        <v>22</v>
      </c>
      <c r="M13" s="9"/>
      <c r="N13" s="10" t="s">
        <v>32</v>
      </c>
      <c r="O13" s="5"/>
    </row>
    <row r="14" ht="22.5" hidden="1" customHeight="1">
      <c r="A14" s="3"/>
      <c r="B14" s="13" t="s">
        <v>53</v>
      </c>
      <c r="C14" s="5"/>
      <c r="D14" s="14" t="s">
        <v>16</v>
      </c>
      <c r="E14" s="14" t="s">
        <v>17</v>
      </c>
      <c r="F14" s="5" t="s">
        <v>18</v>
      </c>
      <c r="G14" s="7" t="s">
        <v>19</v>
      </c>
      <c r="H14" s="5" t="s">
        <v>20</v>
      </c>
      <c r="I14" s="7" t="s">
        <v>19</v>
      </c>
      <c r="J14" s="8" t="s">
        <v>21</v>
      </c>
      <c r="K14" s="7" t="s">
        <v>19</v>
      </c>
      <c r="L14" s="8" t="s">
        <v>22</v>
      </c>
      <c r="M14" s="9"/>
      <c r="N14" s="10" t="s">
        <v>32</v>
      </c>
      <c r="O14" s="5"/>
    </row>
    <row r="15" ht="22.5" hidden="1" customHeight="1">
      <c r="A15" s="3"/>
      <c r="B15" s="12" t="s">
        <v>54</v>
      </c>
      <c r="C15" s="5"/>
      <c r="D15" s="6" t="s">
        <v>16</v>
      </c>
      <c r="E15" s="6" t="s">
        <v>17</v>
      </c>
      <c r="F15" s="5" t="s">
        <v>18</v>
      </c>
      <c r="G15" s="7" t="s">
        <v>19</v>
      </c>
      <c r="H15" s="5" t="s">
        <v>20</v>
      </c>
      <c r="I15" s="7" t="s">
        <v>19</v>
      </c>
      <c r="J15" s="8" t="s">
        <v>21</v>
      </c>
      <c r="K15" s="7" t="s">
        <v>19</v>
      </c>
      <c r="L15" s="8" t="s">
        <v>22</v>
      </c>
      <c r="M15" s="9"/>
      <c r="N15" s="10" t="s">
        <v>32</v>
      </c>
      <c r="O15" s="5"/>
    </row>
    <row r="16" ht="22.5" hidden="1" customHeight="1">
      <c r="A16" s="3"/>
      <c r="B16" s="13" t="s">
        <v>55</v>
      </c>
      <c r="C16" s="5"/>
      <c r="D16" s="14" t="s">
        <v>16</v>
      </c>
      <c r="E16" s="14" t="s">
        <v>17</v>
      </c>
      <c r="F16" s="5" t="s">
        <v>18</v>
      </c>
      <c r="G16" s="7" t="s">
        <v>19</v>
      </c>
      <c r="H16" s="5" t="s">
        <v>20</v>
      </c>
      <c r="I16" s="7" t="s">
        <v>19</v>
      </c>
      <c r="J16" s="8" t="s">
        <v>21</v>
      </c>
      <c r="K16" s="7" t="s">
        <v>19</v>
      </c>
      <c r="L16" s="8" t="s">
        <v>22</v>
      </c>
      <c r="M16" s="9"/>
      <c r="N16" s="10" t="s">
        <v>32</v>
      </c>
      <c r="O16" s="5"/>
    </row>
    <row r="17" ht="22.5" hidden="1" customHeight="1">
      <c r="A17" s="3"/>
      <c r="B17" s="12" t="s">
        <v>56</v>
      </c>
      <c r="C17" s="5"/>
      <c r="D17" s="6" t="s">
        <v>34</v>
      </c>
      <c r="E17" s="6" t="s">
        <v>49</v>
      </c>
      <c r="F17" s="5" t="s">
        <v>18</v>
      </c>
      <c r="G17" s="7" t="s">
        <v>50</v>
      </c>
      <c r="H17" s="5" t="s">
        <v>20</v>
      </c>
      <c r="I17" s="7" t="s">
        <v>50</v>
      </c>
      <c r="J17" s="8" t="s">
        <v>21</v>
      </c>
      <c r="K17" s="7" t="s">
        <v>50</v>
      </c>
      <c r="L17" s="8" t="s">
        <v>22</v>
      </c>
      <c r="M17" s="7" t="s">
        <v>50</v>
      </c>
      <c r="N17" s="10" t="s">
        <v>57</v>
      </c>
      <c r="O17" s="5"/>
    </row>
    <row r="18" ht="22.5" hidden="1" customHeight="1">
      <c r="A18" s="3"/>
      <c r="B18" s="13" t="s">
        <v>58</v>
      </c>
      <c r="C18" s="5"/>
      <c r="D18" s="14" t="s">
        <v>34</v>
      </c>
      <c r="E18" s="14" t="s">
        <v>49</v>
      </c>
      <c r="F18" s="5" t="s">
        <v>18</v>
      </c>
      <c r="G18" s="7" t="s">
        <v>50</v>
      </c>
      <c r="H18" s="5" t="s">
        <v>20</v>
      </c>
      <c r="I18" s="7" t="s">
        <v>50</v>
      </c>
      <c r="J18" s="8" t="s">
        <v>21</v>
      </c>
      <c r="K18" s="7" t="s">
        <v>50</v>
      </c>
      <c r="L18" s="8" t="s">
        <v>22</v>
      </c>
      <c r="M18" s="7" t="s">
        <v>50</v>
      </c>
      <c r="N18" s="10" t="s">
        <v>51</v>
      </c>
      <c r="O18" s="5"/>
    </row>
    <row r="19" ht="22.5" hidden="1" customHeight="1">
      <c r="A19" s="3"/>
      <c r="B19" s="12" t="s">
        <v>59</v>
      </c>
      <c r="C19" s="5"/>
      <c r="D19" s="6" t="s">
        <v>34</v>
      </c>
      <c r="E19" s="6" t="s">
        <v>49</v>
      </c>
      <c r="F19" s="5" t="s">
        <v>18</v>
      </c>
      <c r="G19" s="7" t="s">
        <v>50</v>
      </c>
      <c r="H19" s="5" t="s">
        <v>20</v>
      </c>
      <c r="I19" s="7" t="s">
        <v>50</v>
      </c>
      <c r="J19" s="8" t="s">
        <v>21</v>
      </c>
      <c r="K19" s="7" t="s">
        <v>50</v>
      </c>
      <c r="L19" s="8" t="s">
        <v>22</v>
      </c>
      <c r="M19" s="7" t="s">
        <v>50</v>
      </c>
      <c r="N19" s="10" t="s">
        <v>60</v>
      </c>
      <c r="O19" s="5"/>
    </row>
    <row r="20" ht="22.5" hidden="1" customHeight="1">
      <c r="A20" s="3"/>
      <c r="B20" s="13" t="s">
        <v>61</v>
      </c>
      <c r="C20" s="5"/>
      <c r="D20" s="14" t="s">
        <v>34</v>
      </c>
      <c r="E20" s="14" t="s">
        <v>30</v>
      </c>
      <c r="F20" s="5" t="s">
        <v>18</v>
      </c>
      <c r="G20" s="7" t="s">
        <v>19</v>
      </c>
      <c r="H20" s="5" t="s">
        <v>20</v>
      </c>
      <c r="I20" s="7" t="s">
        <v>19</v>
      </c>
      <c r="J20" s="8" t="s">
        <v>21</v>
      </c>
      <c r="K20" s="7" t="s">
        <v>31</v>
      </c>
      <c r="L20" s="8" t="s">
        <v>22</v>
      </c>
      <c r="M20" s="9"/>
      <c r="N20" s="10" t="s">
        <v>62</v>
      </c>
      <c r="O20" s="5"/>
    </row>
    <row r="21" ht="22.5" hidden="1" customHeight="1">
      <c r="A21" s="3"/>
      <c r="B21" s="12" t="s">
        <v>63</v>
      </c>
      <c r="C21" s="5"/>
      <c r="D21" s="6" t="s">
        <v>34</v>
      </c>
      <c r="E21" s="6" t="s">
        <v>40</v>
      </c>
      <c r="F21" s="5" t="s">
        <v>18</v>
      </c>
      <c r="G21" s="7" t="s">
        <v>31</v>
      </c>
      <c r="H21" s="5" t="s">
        <v>20</v>
      </c>
      <c r="I21" s="7" t="s">
        <v>19</v>
      </c>
      <c r="J21" s="8" t="s">
        <v>21</v>
      </c>
      <c r="K21" s="7" t="s">
        <v>31</v>
      </c>
      <c r="L21" s="8" t="s">
        <v>22</v>
      </c>
      <c r="M21" s="9"/>
      <c r="N21" s="10" t="s">
        <v>64</v>
      </c>
      <c r="O21" s="5"/>
    </row>
    <row r="22" ht="22.5" hidden="1" customHeight="1">
      <c r="A22" s="3"/>
      <c r="B22" s="16" t="s">
        <v>65</v>
      </c>
      <c r="C22" s="5"/>
      <c r="D22" s="14" t="s">
        <v>34</v>
      </c>
      <c r="E22" s="14" t="s">
        <v>17</v>
      </c>
      <c r="F22" s="5" t="s">
        <v>18</v>
      </c>
      <c r="G22" s="7" t="s">
        <v>31</v>
      </c>
      <c r="H22" s="5" t="s">
        <v>20</v>
      </c>
      <c r="I22" s="7" t="s">
        <v>31</v>
      </c>
      <c r="J22" s="8" t="s">
        <v>21</v>
      </c>
      <c r="K22" s="7" t="s">
        <v>19</v>
      </c>
      <c r="L22" s="8" t="s">
        <v>22</v>
      </c>
      <c r="M22" s="9"/>
      <c r="N22" s="10" t="s">
        <v>66</v>
      </c>
      <c r="O22" s="5"/>
    </row>
    <row r="23" ht="22.5" hidden="1" customHeight="1">
      <c r="A23" s="3"/>
      <c r="B23" s="12" t="s">
        <v>67</v>
      </c>
      <c r="C23" s="5"/>
      <c r="D23" s="6" t="s">
        <v>16</v>
      </c>
      <c r="E23" s="6" t="s">
        <v>17</v>
      </c>
      <c r="F23" s="5" t="s">
        <v>18</v>
      </c>
      <c r="G23" s="7" t="s">
        <v>19</v>
      </c>
      <c r="H23" s="5" t="s">
        <v>20</v>
      </c>
      <c r="I23" s="7" t="s">
        <v>19</v>
      </c>
      <c r="J23" s="8" t="s">
        <v>21</v>
      </c>
      <c r="K23" s="7" t="s">
        <v>19</v>
      </c>
      <c r="L23" s="8" t="s">
        <v>22</v>
      </c>
      <c r="M23" s="9"/>
      <c r="N23" s="10" t="s">
        <v>62</v>
      </c>
      <c r="O23" s="5"/>
    </row>
    <row r="24" ht="22.5" hidden="1" customHeight="1">
      <c r="A24" s="3"/>
      <c r="B24" s="13" t="s">
        <v>68</v>
      </c>
      <c r="C24" s="5"/>
      <c r="D24" s="14" t="s">
        <v>16</v>
      </c>
      <c r="E24" s="14" t="s">
        <v>17</v>
      </c>
      <c r="F24" s="5" t="s">
        <v>18</v>
      </c>
      <c r="G24" s="7" t="s">
        <v>19</v>
      </c>
      <c r="H24" s="5" t="s">
        <v>20</v>
      </c>
      <c r="I24" s="9"/>
      <c r="J24" s="8" t="s">
        <v>21</v>
      </c>
      <c r="K24" s="7" t="s">
        <v>19</v>
      </c>
      <c r="L24" s="8" t="s">
        <v>22</v>
      </c>
      <c r="M24" s="9"/>
      <c r="N24" s="10" t="s">
        <v>62</v>
      </c>
      <c r="O24" s="5"/>
    </row>
    <row r="25" ht="22.5" hidden="1" customHeight="1">
      <c r="A25" s="3"/>
      <c r="B25" s="12" t="s">
        <v>69</v>
      </c>
      <c r="C25" s="5"/>
      <c r="D25" s="6" t="s">
        <v>16</v>
      </c>
      <c r="E25" s="6" t="s">
        <v>40</v>
      </c>
      <c r="F25" s="5" t="s">
        <v>18</v>
      </c>
      <c r="G25" s="7" t="s">
        <v>19</v>
      </c>
      <c r="H25" s="5" t="s">
        <v>20</v>
      </c>
      <c r="I25" s="9"/>
      <c r="J25" s="8" t="s">
        <v>21</v>
      </c>
      <c r="K25" s="7" t="s">
        <v>19</v>
      </c>
      <c r="L25" s="8" t="s">
        <v>22</v>
      </c>
      <c r="M25" s="9"/>
      <c r="N25" s="10" t="s">
        <v>62</v>
      </c>
      <c r="O25" s="5"/>
    </row>
    <row r="26" ht="22.5" hidden="1" customHeight="1">
      <c r="A26" s="3"/>
      <c r="B26" s="13" t="s">
        <v>70</v>
      </c>
      <c r="C26" s="5"/>
      <c r="D26" s="14" t="s">
        <v>16</v>
      </c>
      <c r="E26" s="14" t="s">
        <v>17</v>
      </c>
      <c r="F26" s="5" t="s">
        <v>18</v>
      </c>
      <c r="G26" s="7" t="s">
        <v>31</v>
      </c>
      <c r="H26" s="5" t="s">
        <v>20</v>
      </c>
      <c r="I26" s="9"/>
      <c r="J26" s="8" t="s">
        <v>21</v>
      </c>
      <c r="K26" s="7" t="s">
        <v>19</v>
      </c>
      <c r="L26" s="8" t="s">
        <v>22</v>
      </c>
      <c r="M26" s="9"/>
      <c r="N26" s="10" t="s">
        <v>62</v>
      </c>
      <c r="O26" s="5"/>
    </row>
    <row r="27" ht="22.5" customHeight="1">
      <c r="A27" s="17" t="s">
        <v>71</v>
      </c>
      <c r="B27" s="12" t="s">
        <v>72</v>
      </c>
      <c r="C27" s="5"/>
      <c r="D27" s="6" t="s">
        <v>16</v>
      </c>
      <c r="E27" s="6" t="s">
        <v>25</v>
      </c>
      <c r="F27" s="5" t="s">
        <v>18</v>
      </c>
      <c r="G27" s="7" t="s">
        <v>26</v>
      </c>
      <c r="H27" s="5" t="s">
        <v>20</v>
      </c>
      <c r="I27" s="7" t="s">
        <v>26</v>
      </c>
      <c r="J27" s="8" t="s">
        <v>21</v>
      </c>
      <c r="K27" s="7" t="s">
        <v>26</v>
      </c>
      <c r="L27" s="8" t="s">
        <v>22</v>
      </c>
      <c r="M27" s="7" t="s">
        <v>26</v>
      </c>
      <c r="N27" s="10" t="s">
        <v>27</v>
      </c>
      <c r="O27" s="5"/>
    </row>
    <row r="28" ht="22.5" hidden="1" customHeight="1">
      <c r="A28" s="3"/>
      <c r="B28" s="13" t="s">
        <v>73</v>
      </c>
      <c r="C28" s="5"/>
      <c r="D28" s="14" t="s">
        <v>34</v>
      </c>
      <c r="E28" s="14" t="s">
        <v>49</v>
      </c>
      <c r="F28" s="5" t="s">
        <v>18</v>
      </c>
      <c r="G28" s="7" t="s">
        <v>50</v>
      </c>
      <c r="H28" s="5" t="s">
        <v>20</v>
      </c>
      <c r="I28" s="7" t="s">
        <v>50</v>
      </c>
      <c r="J28" s="8" t="s">
        <v>21</v>
      </c>
      <c r="K28" s="7" t="s">
        <v>50</v>
      </c>
      <c r="L28" s="8" t="s">
        <v>22</v>
      </c>
      <c r="M28" s="7" t="s">
        <v>50</v>
      </c>
      <c r="N28" s="10" t="s">
        <v>51</v>
      </c>
      <c r="O28" s="5"/>
    </row>
    <row r="29" ht="22.5" hidden="1" customHeight="1">
      <c r="A29" s="3"/>
      <c r="B29" s="12" t="s">
        <v>74</v>
      </c>
      <c r="C29" s="5"/>
      <c r="D29" s="6" t="s">
        <v>16</v>
      </c>
      <c r="E29" s="6" t="s">
        <v>17</v>
      </c>
      <c r="F29" s="5" t="s">
        <v>18</v>
      </c>
      <c r="G29" s="7" t="s">
        <v>19</v>
      </c>
      <c r="H29" s="5" t="s">
        <v>20</v>
      </c>
      <c r="I29" s="9"/>
      <c r="J29" s="8" t="s">
        <v>21</v>
      </c>
      <c r="K29" s="7" t="s">
        <v>19</v>
      </c>
      <c r="L29" s="8" t="s">
        <v>22</v>
      </c>
      <c r="M29" s="9"/>
      <c r="N29" s="10" t="s">
        <v>62</v>
      </c>
      <c r="O29" s="5"/>
    </row>
    <row r="30" ht="22.5" hidden="1" customHeight="1">
      <c r="A30" s="3"/>
      <c r="B30" s="13" t="s">
        <v>75</v>
      </c>
      <c r="C30" s="5"/>
      <c r="D30" s="14" t="s">
        <v>16</v>
      </c>
      <c r="E30" s="14" t="s">
        <v>17</v>
      </c>
      <c r="F30" s="5" t="s">
        <v>18</v>
      </c>
      <c r="G30" s="7" t="s">
        <v>19</v>
      </c>
      <c r="H30" s="5" t="s">
        <v>20</v>
      </c>
      <c r="I30" s="9"/>
      <c r="J30" s="8" t="s">
        <v>21</v>
      </c>
      <c r="K30" s="7" t="s">
        <v>19</v>
      </c>
      <c r="L30" s="8" t="s">
        <v>22</v>
      </c>
      <c r="M30" s="9"/>
      <c r="N30" s="10" t="s">
        <v>62</v>
      </c>
      <c r="O30" s="5"/>
    </row>
    <row r="31" ht="22.5" hidden="1" customHeight="1">
      <c r="A31" s="3"/>
      <c r="B31" s="18" t="s">
        <v>76</v>
      </c>
      <c r="C31" s="5"/>
      <c r="D31" s="19" t="s">
        <v>16</v>
      </c>
      <c r="E31" s="20" t="s">
        <v>17</v>
      </c>
      <c r="F31" s="5" t="s">
        <v>18</v>
      </c>
      <c r="G31" s="7" t="s">
        <v>19</v>
      </c>
      <c r="H31" s="5" t="s">
        <v>20</v>
      </c>
      <c r="I31" s="9"/>
      <c r="J31" s="8" t="s">
        <v>21</v>
      </c>
      <c r="K31" s="7" t="s">
        <v>19</v>
      </c>
      <c r="L31" s="8" t="s">
        <v>22</v>
      </c>
      <c r="M31" s="9"/>
      <c r="N31" s="10" t="s">
        <v>62</v>
      </c>
      <c r="O31" s="5"/>
    </row>
    <row r="32" ht="22.5" hidden="1" customHeight="1">
      <c r="A32" s="3"/>
      <c r="B32" s="13" t="s">
        <v>77</v>
      </c>
      <c r="C32" s="5"/>
      <c r="D32" s="14" t="s">
        <v>16</v>
      </c>
      <c r="E32" s="14" t="s">
        <v>17</v>
      </c>
      <c r="F32" s="5" t="s">
        <v>18</v>
      </c>
      <c r="G32" s="7" t="s">
        <v>19</v>
      </c>
      <c r="H32" s="5" t="s">
        <v>20</v>
      </c>
      <c r="I32" s="9"/>
      <c r="J32" s="8" t="s">
        <v>21</v>
      </c>
      <c r="K32" s="7" t="s">
        <v>19</v>
      </c>
      <c r="L32" s="8" t="s">
        <v>22</v>
      </c>
      <c r="M32" s="9"/>
      <c r="N32" s="10" t="s">
        <v>62</v>
      </c>
      <c r="O32" s="5"/>
    </row>
    <row r="33" ht="22.5" hidden="1" customHeight="1">
      <c r="A33" s="3"/>
      <c r="B33" s="12" t="s">
        <v>78</v>
      </c>
      <c r="C33" s="5"/>
      <c r="D33" s="6" t="s">
        <v>16</v>
      </c>
      <c r="E33" s="6" t="s">
        <v>17</v>
      </c>
      <c r="F33" s="5" t="s">
        <v>18</v>
      </c>
      <c r="G33" s="7" t="s">
        <v>19</v>
      </c>
      <c r="H33" s="5" t="s">
        <v>20</v>
      </c>
      <c r="I33" s="9"/>
      <c r="J33" s="8" t="s">
        <v>21</v>
      </c>
      <c r="K33" s="7" t="s">
        <v>19</v>
      </c>
      <c r="L33" s="8" t="s">
        <v>22</v>
      </c>
      <c r="M33" s="9"/>
      <c r="N33" s="10" t="s">
        <v>62</v>
      </c>
      <c r="O33" s="5"/>
    </row>
    <row r="34" ht="22.5" hidden="1" customHeight="1">
      <c r="A34" s="3"/>
      <c r="B34" s="13" t="s">
        <v>79</v>
      </c>
      <c r="C34" s="5"/>
      <c r="D34" s="14" t="s">
        <v>16</v>
      </c>
      <c r="E34" s="14" t="s">
        <v>17</v>
      </c>
      <c r="F34" s="5" t="s">
        <v>18</v>
      </c>
      <c r="G34" s="9"/>
      <c r="H34" s="5" t="s">
        <v>20</v>
      </c>
      <c r="I34" s="9"/>
      <c r="J34" s="8" t="s">
        <v>21</v>
      </c>
      <c r="K34" s="7" t="s">
        <v>19</v>
      </c>
      <c r="L34" s="8" t="s">
        <v>22</v>
      </c>
      <c r="M34" s="9"/>
      <c r="N34" s="10" t="s">
        <v>62</v>
      </c>
      <c r="O34" s="5"/>
    </row>
    <row r="35" ht="22.5" hidden="1" customHeight="1">
      <c r="A35" s="3"/>
      <c r="B35" s="12" t="s">
        <v>80</v>
      </c>
      <c r="C35" s="5"/>
      <c r="D35" s="6" t="s">
        <v>34</v>
      </c>
      <c r="E35" s="6" t="s">
        <v>35</v>
      </c>
      <c r="F35" s="5" t="s">
        <v>18</v>
      </c>
      <c r="G35" s="9"/>
      <c r="H35" s="5" t="s">
        <v>20</v>
      </c>
      <c r="I35" s="7" t="s">
        <v>31</v>
      </c>
      <c r="J35" s="8" t="s">
        <v>21</v>
      </c>
      <c r="K35" s="7" t="s">
        <v>19</v>
      </c>
      <c r="L35" s="8" t="s">
        <v>22</v>
      </c>
      <c r="M35" s="9"/>
      <c r="N35" s="10" t="s">
        <v>81</v>
      </c>
      <c r="O35" s="5"/>
    </row>
    <row r="36" ht="22.5" hidden="1" customHeight="1">
      <c r="A36" s="3"/>
      <c r="B36" s="21" t="s">
        <v>82</v>
      </c>
      <c r="C36" s="5"/>
      <c r="D36" s="14" t="s">
        <v>34</v>
      </c>
      <c r="E36" s="14" t="s">
        <v>30</v>
      </c>
      <c r="F36" s="5" t="s">
        <v>18</v>
      </c>
      <c r="G36" s="9"/>
      <c r="H36" s="5" t="s">
        <v>20</v>
      </c>
      <c r="I36" s="9"/>
      <c r="J36" s="8" t="s">
        <v>21</v>
      </c>
      <c r="K36" s="7" t="s">
        <v>31</v>
      </c>
      <c r="L36" s="8" t="s">
        <v>22</v>
      </c>
      <c r="M36" s="9"/>
      <c r="N36" s="10" t="s">
        <v>83</v>
      </c>
      <c r="O36" s="5"/>
    </row>
    <row r="37" ht="22.5" hidden="1" customHeight="1">
      <c r="A37" s="17" t="s">
        <v>84</v>
      </c>
      <c r="B37" s="12" t="s">
        <v>85</v>
      </c>
      <c r="C37" s="5"/>
      <c r="D37" s="6" t="s">
        <v>34</v>
      </c>
      <c r="E37" s="6" t="s">
        <v>30</v>
      </c>
      <c r="F37" s="5" t="s">
        <v>18</v>
      </c>
      <c r="G37" s="9"/>
      <c r="H37" s="5" t="s">
        <v>20</v>
      </c>
      <c r="I37" s="9"/>
      <c r="J37" s="8" t="s">
        <v>21</v>
      </c>
      <c r="K37" s="7" t="s">
        <v>31</v>
      </c>
      <c r="L37" s="8" t="s">
        <v>22</v>
      </c>
      <c r="M37" s="9"/>
      <c r="N37" s="10" t="s">
        <v>83</v>
      </c>
      <c r="O37" s="5"/>
    </row>
    <row r="38" ht="22.5" hidden="1" customHeight="1">
      <c r="A38" s="5"/>
      <c r="B38" s="13" t="s">
        <v>86</v>
      </c>
      <c r="C38" s="5"/>
      <c r="D38" s="14" t="s">
        <v>34</v>
      </c>
      <c r="E38" s="14" t="s">
        <v>40</v>
      </c>
      <c r="F38" s="5" t="s">
        <v>18</v>
      </c>
      <c r="G38" s="9"/>
      <c r="H38" s="5" t="s">
        <v>20</v>
      </c>
      <c r="I38" s="9"/>
      <c r="J38" s="8" t="s">
        <v>21</v>
      </c>
      <c r="K38" s="7" t="s">
        <v>31</v>
      </c>
      <c r="L38" s="8" t="s">
        <v>22</v>
      </c>
      <c r="M38" s="9"/>
      <c r="N38" s="10" t="s">
        <v>87</v>
      </c>
      <c r="O38" s="5"/>
    </row>
    <row r="39" ht="22.5" hidden="1" customHeight="1">
      <c r="A39" s="3"/>
      <c r="B39" s="13" t="s">
        <v>88</v>
      </c>
      <c r="C39" s="5"/>
      <c r="D39" s="14" t="s">
        <v>34</v>
      </c>
      <c r="E39" s="14" t="s">
        <v>30</v>
      </c>
      <c r="F39" s="5" t="s">
        <v>18</v>
      </c>
      <c r="G39" s="9"/>
      <c r="H39" s="5" t="s">
        <v>20</v>
      </c>
      <c r="I39" s="9"/>
      <c r="J39" s="8" t="s">
        <v>21</v>
      </c>
      <c r="K39" s="7" t="s">
        <v>31</v>
      </c>
      <c r="L39" s="8" t="s">
        <v>22</v>
      </c>
      <c r="M39" s="9"/>
      <c r="N39" s="10" t="s">
        <v>83</v>
      </c>
      <c r="O39" s="5"/>
    </row>
    <row r="40" ht="22.5" hidden="1" customHeight="1">
      <c r="A40" s="3"/>
      <c r="B40" s="12" t="s">
        <v>89</v>
      </c>
      <c r="C40" s="5"/>
      <c r="D40" s="6" t="s">
        <v>34</v>
      </c>
      <c r="E40" s="6" t="s">
        <v>49</v>
      </c>
      <c r="F40" s="5" t="s">
        <v>18</v>
      </c>
      <c r="G40" s="7" t="s">
        <v>50</v>
      </c>
      <c r="H40" s="5" t="s">
        <v>20</v>
      </c>
      <c r="I40" s="7" t="s">
        <v>50</v>
      </c>
      <c r="J40" s="8" t="s">
        <v>21</v>
      </c>
      <c r="K40" s="7" t="s">
        <v>50</v>
      </c>
      <c r="L40" s="8" t="s">
        <v>22</v>
      </c>
      <c r="M40" s="7" t="s">
        <v>50</v>
      </c>
      <c r="N40" s="10" t="s">
        <v>51</v>
      </c>
      <c r="O40" s="5"/>
    </row>
    <row r="41" ht="22.5" customHeight="1">
      <c r="A41" s="3"/>
      <c r="B41" s="13" t="s">
        <v>90</v>
      </c>
      <c r="C41" s="5"/>
      <c r="D41" s="14" t="s">
        <v>34</v>
      </c>
      <c r="E41" s="14" t="s">
        <v>25</v>
      </c>
      <c r="F41" s="5" t="s">
        <v>18</v>
      </c>
      <c r="G41" s="7" t="s">
        <v>26</v>
      </c>
      <c r="H41" s="5" t="s">
        <v>20</v>
      </c>
      <c r="I41" s="7" t="s">
        <v>26</v>
      </c>
      <c r="J41" s="8" t="s">
        <v>21</v>
      </c>
      <c r="K41" s="7" t="s">
        <v>26</v>
      </c>
      <c r="L41" s="8" t="s">
        <v>22</v>
      </c>
      <c r="M41" s="7" t="s">
        <v>26</v>
      </c>
      <c r="N41" s="10" t="s">
        <v>27</v>
      </c>
      <c r="O41" s="5"/>
    </row>
    <row r="42" ht="22.5" hidden="1" customHeight="1">
      <c r="A42" s="3"/>
      <c r="B42" s="12" t="s">
        <v>91</v>
      </c>
      <c r="C42" s="5"/>
      <c r="D42" s="6" t="s">
        <v>16</v>
      </c>
      <c r="E42" s="6" t="s">
        <v>17</v>
      </c>
      <c r="F42" s="5" t="s">
        <v>18</v>
      </c>
      <c r="G42" s="7"/>
      <c r="H42" s="5" t="s">
        <v>20</v>
      </c>
      <c r="I42" s="7" t="s">
        <v>19</v>
      </c>
      <c r="J42" s="8" t="s">
        <v>21</v>
      </c>
      <c r="K42" s="7" t="s">
        <v>19</v>
      </c>
      <c r="L42" s="8" t="s">
        <v>22</v>
      </c>
      <c r="M42" s="9"/>
      <c r="N42" s="10" t="s">
        <v>62</v>
      </c>
      <c r="O42" s="5"/>
    </row>
    <row r="43" ht="22.5" hidden="1" customHeight="1">
      <c r="A43" s="3"/>
      <c r="B43" s="13" t="s">
        <v>92</v>
      </c>
      <c r="C43" s="5"/>
      <c r="D43" s="14" t="s">
        <v>34</v>
      </c>
      <c r="E43" s="14" t="s">
        <v>49</v>
      </c>
      <c r="F43" s="5" t="s">
        <v>18</v>
      </c>
      <c r="G43" s="7" t="s">
        <v>50</v>
      </c>
      <c r="H43" s="5" t="s">
        <v>20</v>
      </c>
      <c r="I43" s="7" t="s">
        <v>50</v>
      </c>
      <c r="J43" s="8" t="s">
        <v>21</v>
      </c>
      <c r="K43" s="7" t="s">
        <v>50</v>
      </c>
      <c r="L43" s="8" t="s">
        <v>22</v>
      </c>
      <c r="M43" s="7" t="s">
        <v>50</v>
      </c>
      <c r="N43" s="10" t="s">
        <v>51</v>
      </c>
      <c r="O43" s="5"/>
    </row>
    <row r="44" ht="22.5" hidden="1" customHeight="1">
      <c r="A44" s="5"/>
      <c r="B44" s="12" t="s">
        <v>93</v>
      </c>
      <c r="C44" s="5"/>
      <c r="D44" s="6" t="s">
        <v>16</v>
      </c>
      <c r="E44" s="6" t="s">
        <v>17</v>
      </c>
      <c r="F44" s="5" t="s">
        <v>18</v>
      </c>
      <c r="G44" s="7"/>
      <c r="H44" s="5" t="s">
        <v>20</v>
      </c>
      <c r="I44" s="7" t="s">
        <v>19</v>
      </c>
      <c r="J44" s="8" t="s">
        <v>21</v>
      </c>
      <c r="K44" s="7" t="s">
        <v>19</v>
      </c>
      <c r="L44" s="8" t="s">
        <v>22</v>
      </c>
      <c r="M44" s="9"/>
      <c r="N44" s="10" t="s">
        <v>94</v>
      </c>
      <c r="O44" s="5"/>
    </row>
    <row r="45" ht="22.5" hidden="1" customHeight="1">
      <c r="A45" s="17" t="s">
        <v>95</v>
      </c>
      <c r="B45" s="13" t="s">
        <v>96</v>
      </c>
      <c r="C45" s="5"/>
      <c r="D45" s="14" t="s">
        <v>34</v>
      </c>
      <c r="E45" s="14" t="s">
        <v>30</v>
      </c>
      <c r="F45" s="5" t="s">
        <v>18</v>
      </c>
      <c r="G45" s="7" t="s">
        <v>19</v>
      </c>
      <c r="H45" s="5" t="s">
        <v>20</v>
      </c>
      <c r="I45" s="7" t="s">
        <v>31</v>
      </c>
      <c r="J45" s="8" t="s">
        <v>21</v>
      </c>
      <c r="K45" s="7" t="s">
        <v>31</v>
      </c>
      <c r="L45" s="8" t="s">
        <v>22</v>
      </c>
      <c r="M45" s="9"/>
      <c r="N45" s="10" t="s">
        <v>32</v>
      </c>
      <c r="O45" s="5"/>
    </row>
    <row r="46" ht="22.5" hidden="1" customHeight="1">
      <c r="A46" s="3"/>
      <c r="B46" s="12" t="s">
        <v>97</v>
      </c>
      <c r="C46" s="5"/>
      <c r="D46" s="6" t="s">
        <v>16</v>
      </c>
      <c r="E46" s="6" t="s">
        <v>17</v>
      </c>
      <c r="F46" s="5" t="s">
        <v>18</v>
      </c>
      <c r="G46" s="7" t="s">
        <v>19</v>
      </c>
      <c r="H46" s="5" t="s">
        <v>20</v>
      </c>
      <c r="I46" s="9"/>
      <c r="J46" s="8" t="s">
        <v>21</v>
      </c>
      <c r="K46" s="7" t="s">
        <v>19</v>
      </c>
      <c r="L46" s="8" t="s">
        <v>22</v>
      </c>
      <c r="M46" s="9"/>
      <c r="N46" s="10" t="s">
        <v>32</v>
      </c>
      <c r="O46" s="5"/>
    </row>
    <row r="47" ht="22.5" hidden="1" customHeight="1">
      <c r="A47" s="3"/>
      <c r="B47" s="13" t="s">
        <v>98</v>
      </c>
      <c r="C47" s="5"/>
      <c r="D47" s="22" t="s">
        <v>34</v>
      </c>
      <c r="E47" s="23" t="s">
        <v>40</v>
      </c>
      <c r="F47" s="5" t="s">
        <v>18</v>
      </c>
      <c r="G47" s="24"/>
      <c r="H47" s="5" t="s">
        <v>20</v>
      </c>
      <c r="I47" s="9"/>
      <c r="J47" s="8" t="s">
        <v>21</v>
      </c>
      <c r="K47" s="7" t="s">
        <v>31</v>
      </c>
      <c r="L47" s="8" t="s">
        <v>22</v>
      </c>
      <c r="M47" s="9"/>
      <c r="N47" s="10" t="s">
        <v>83</v>
      </c>
      <c r="O47" s="5"/>
    </row>
    <row r="48" ht="22.5" hidden="1" customHeight="1">
      <c r="A48" s="3"/>
      <c r="B48" s="12" t="s">
        <v>99</v>
      </c>
      <c r="C48" s="5"/>
      <c r="D48" s="25" t="s">
        <v>16</v>
      </c>
      <c r="E48" s="26" t="s">
        <v>17</v>
      </c>
      <c r="F48" s="5" t="s">
        <v>18</v>
      </c>
      <c r="G48" s="7" t="s">
        <v>19</v>
      </c>
      <c r="H48" s="5" t="s">
        <v>20</v>
      </c>
      <c r="I48" s="9"/>
      <c r="J48" s="8" t="s">
        <v>21</v>
      </c>
      <c r="K48" s="7" t="s">
        <v>19</v>
      </c>
      <c r="L48" s="8" t="s">
        <v>22</v>
      </c>
      <c r="M48" s="9"/>
      <c r="N48" s="10" t="s">
        <v>32</v>
      </c>
      <c r="O48" s="5"/>
    </row>
    <row r="49" ht="22.5" hidden="1" customHeight="1">
      <c r="A49" s="3"/>
      <c r="B49" s="13" t="s">
        <v>100</v>
      </c>
      <c r="C49" s="5"/>
      <c r="D49" s="27" t="s">
        <v>16</v>
      </c>
      <c r="E49" s="28" t="s">
        <v>17</v>
      </c>
      <c r="F49" s="5" t="s">
        <v>18</v>
      </c>
      <c r="G49" s="24"/>
      <c r="H49" s="5" t="s">
        <v>20</v>
      </c>
      <c r="I49" s="9"/>
      <c r="J49" s="8" t="s">
        <v>21</v>
      </c>
      <c r="K49" s="7" t="s">
        <v>19</v>
      </c>
      <c r="L49" s="8" t="s">
        <v>22</v>
      </c>
      <c r="M49" s="9"/>
      <c r="N49" s="10" t="s">
        <v>62</v>
      </c>
      <c r="O49" s="5"/>
    </row>
    <row r="50" ht="22.5" hidden="1" customHeight="1">
      <c r="A50" s="3"/>
      <c r="B50" s="29" t="s">
        <v>101</v>
      </c>
      <c r="C50" s="30"/>
      <c r="D50" s="7" t="s">
        <v>34</v>
      </c>
      <c r="E50" s="7" t="s">
        <v>49</v>
      </c>
      <c r="F50" s="5" t="s">
        <v>18</v>
      </c>
      <c r="G50" s="7" t="s">
        <v>50</v>
      </c>
      <c r="H50" s="5" t="s">
        <v>20</v>
      </c>
      <c r="I50" s="7" t="s">
        <v>50</v>
      </c>
      <c r="J50" s="8" t="s">
        <v>21</v>
      </c>
      <c r="K50" s="7" t="s">
        <v>50</v>
      </c>
      <c r="L50" s="8" t="s">
        <v>22</v>
      </c>
      <c r="M50" s="7" t="s">
        <v>50</v>
      </c>
      <c r="N50" s="10" t="s">
        <v>51</v>
      </c>
      <c r="O50" s="5"/>
    </row>
    <row r="51" ht="22.5" hidden="1" customHeight="1">
      <c r="A51" s="3"/>
      <c r="B51" s="10" t="s">
        <v>102</v>
      </c>
      <c r="C51" s="5"/>
      <c r="D51" s="7" t="s">
        <v>16</v>
      </c>
      <c r="E51" s="7" t="s">
        <v>17</v>
      </c>
      <c r="F51" s="5" t="s">
        <v>18</v>
      </c>
      <c r="G51" s="7" t="s">
        <v>19</v>
      </c>
      <c r="H51" s="5" t="s">
        <v>20</v>
      </c>
      <c r="I51" s="9"/>
      <c r="J51" s="8" t="s">
        <v>21</v>
      </c>
      <c r="K51" s="7" t="s">
        <v>19</v>
      </c>
      <c r="L51" s="8" t="s">
        <v>22</v>
      </c>
      <c r="M51" s="9"/>
      <c r="N51" s="10" t="s">
        <v>62</v>
      </c>
      <c r="O51" s="5"/>
    </row>
    <row r="52" ht="22.5" hidden="1" customHeight="1">
      <c r="A52" s="3"/>
      <c r="B52" s="10" t="s">
        <v>103</v>
      </c>
      <c r="C52" s="5"/>
      <c r="D52" s="7" t="s">
        <v>16</v>
      </c>
      <c r="E52" s="7" t="s">
        <v>17</v>
      </c>
      <c r="F52" s="5" t="s">
        <v>18</v>
      </c>
      <c r="G52" s="7" t="s">
        <v>19</v>
      </c>
      <c r="H52" s="5" t="s">
        <v>20</v>
      </c>
      <c r="I52" s="9"/>
      <c r="J52" s="8" t="s">
        <v>21</v>
      </c>
      <c r="K52" s="7" t="s">
        <v>19</v>
      </c>
      <c r="L52" s="8" t="s">
        <v>22</v>
      </c>
      <c r="M52" s="9"/>
      <c r="N52" s="10" t="s">
        <v>62</v>
      </c>
      <c r="O52" s="5"/>
    </row>
    <row r="53" ht="22.5" hidden="1" customHeight="1">
      <c r="A53" s="3"/>
      <c r="B53" s="10" t="s">
        <v>104</v>
      </c>
      <c r="C53" s="5"/>
      <c r="D53" s="7" t="s">
        <v>34</v>
      </c>
      <c r="E53" s="7" t="s">
        <v>30</v>
      </c>
      <c r="F53" s="5" t="s">
        <v>18</v>
      </c>
      <c r="G53" s="7" t="s">
        <v>31</v>
      </c>
      <c r="H53" s="5" t="s">
        <v>20</v>
      </c>
      <c r="I53" s="9"/>
      <c r="J53" s="8" t="s">
        <v>21</v>
      </c>
      <c r="K53" s="7" t="s">
        <v>19</v>
      </c>
      <c r="L53" s="8" t="s">
        <v>22</v>
      </c>
      <c r="M53" s="9"/>
      <c r="N53" s="10" t="s">
        <v>62</v>
      </c>
      <c r="O53" s="5"/>
    </row>
    <row r="54" ht="22.5" hidden="1" customHeight="1">
      <c r="A54" s="5"/>
      <c r="B54" s="10" t="s">
        <v>105</v>
      </c>
      <c r="C54" s="5"/>
      <c r="D54" s="7" t="s">
        <v>34</v>
      </c>
      <c r="E54" s="7" t="s">
        <v>40</v>
      </c>
      <c r="F54" s="5" t="s">
        <v>18</v>
      </c>
      <c r="G54" s="9"/>
      <c r="H54" s="5" t="s">
        <v>20</v>
      </c>
      <c r="I54" s="9"/>
      <c r="J54" s="8" t="s">
        <v>21</v>
      </c>
      <c r="K54" s="7" t="s">
        <v>31</v>
      </c>
      <c r="L54" s="8" t="s">
        <v>22</v>
      </c>
      <c r="M54" s="9"/>
      <c r="N54" s="10" t="s">
        <v>83</v>
      </c>
      <c r="O54" s="5"/>
    </row>
    <row r="55" ht="22.5" hidden="1" customHeight="1">
      <c r="A55" s="3"/>
      <c r="B55" s="10" t="s">
        <v>106</v>
      </c>
      <c r="C55" s="5"/>
      <c r="D55" s="7" t="s">
        <v>16</v>
      </c>
      <c r="E55" s="7" t="s">
        <v>17</v>
      </c>
      <c r="F55" s="5" t="s">
        <v>18</v>
      </c>
      <c r="G55" s="9"/>
      <c r="H55" s="5" t="s">
        <v>20</v>
      </c>
      <c r="I55" s="9"/>
      <c r="J55" s="8" t="s">
        <v>21</v>
      </c>
      <c r="K55" s="7" t="s">
        <v>19</v>
      </c>
      <c r="L55" s="8" t="s">
        <v>22</v>
      </c>
      <c r="M55" s="9"/>
      <c r="N55" s="10" t="s">
        <v>62</v>
      </c>
      <c r="O55" s="5"/>
    </row>
    <row r="56" ht="22.5" hidden="1" customHeight="1">
      <c r="A56" s="3"/>
      <c r="B56" s="10" t="s">
        <v>107</v>
      </c>
      <c r="C56" s="5"/>
      <c r="D56" s="7" t="s">
        <v>34</v>
      </c>
      <c r="E56" s="7" t="s">
        <v>49</v>
      </c>
      <c r="F56" s="5" t="s">
        <v>18</v>
      </c>
      <c r="G56" s="7" t="s">
        <v>50</v>
      </c>
      <c r="H56" s="5" t="s">
        <v>20</v>
      </c>
      <c r="I56" s="7" t="s">
        <v>50</v>
      </c>
      <c r="J56" s="8" t="s">
        <v>21</v>
      </c>
      <c r="K56" s="7" t="s">
        <v>50</v>
      </c>
      <c r="L56" s="8" t="s">
        <v>22</v>
      </c>
      <c r="M56" s="7" t="s">
        <v>50</v>
      </c>
      <c r="N56" s="10" t="s">
        <v>51</v>
      </c>
      <c r="O56" s="5"/>
    </row>
    <row r="57" ht="22.5" hidden="1" customHeight="1">
      <c r="A57" s="3"/>
      <c r="B57" s="10" t="s">
        <v>108</v>
      </c>
      <c r="C57" s="5"/>
      <c r="D57" s="7" t="s">
        <v>16</v>
      </c>
      <c r="E57" s="7" t="s">
        <v>17</v>
      </c>
      <c r="F57" s="5" t="s">
        <v>18</v>
      </c>
      <c r="G57" s="7" t="s">
        <v>19</v>
      </c>
      <c r="H57" s="5" t="s">
        <v>20</v>
      </c>
      <c r="I57" s="9"/>
      <c r="J57" s="8" t="s">
        <v>21</v>
      </c>
      <c r="K57" s="7" t="s">
        <v>19</v>
      </c>
      <c r="L57" s="8" t="s">
        <v>22</v>
      </c>
      <c r="M57" s="9"/>
      <c r="N57" s="10" t="s">
        <v>32</v>
      </c>
      <c r="O57" s="5"/>
    </row>
    <row r="58" ht="22.5" hidden="1" customHeight="1">
      <c r="A58" s="3"/>
      <c r="B58" s="10" t="s">
        <v>109</v>
      </c>
      <c r="C58" s="5"/>
      <c r="D58" s="7" t="s">
        <v>34</v>
      </c>
      <c r="E58" s="7" t="s">
        <v>49</v>
      </c>
      <c r="F58" s="5" t="s">
        <v>18</v>
      </c>
      <c r="G58" s="7" t="s">
        <v>50</v>
      </c>
      <c r="H58" s="5" t="s">
        <v>20</v>
      </c>
      <c r="I58" s="7" t="s">
        <v>50</v>
      </c>
      <c r="J58" s="8" t="s">
        <v>21</v>
      </c>
      <c r="K58" s="7" t="s">
        <v>50</v>
      </c>
      <c r="L58" s="8" t="s">
        <v>22</v>
      </c>
      <c r="M58" s="7" t="s">
        <v>50</v>
      </c>
      <c r="N58" s="10" t="s">
        <v>51</v>
      </c>
      <c r="O58" s="5"/>
    </row>
    <row r="59" ht="22.5" hidden="1" customHeight="1">
      <c r="A59" s="5"/>
      <c r="B59" s="10" t="s">
        <v>110</v>
      </c>
      <c r="C59" s="5"/>
      <c r="D59" s="7" t="s">
        <v>34</v>
      </c>
      <c r="E59" s="7" t="s">
        <v>49</v>
      </c>
      <c r="F59" s="5" t="s">
        <v>18</v>
      </c>
      <c r="G59" s="7" t="s">
        <v>50</v>
      </c>
      <c r="H59" s="5" t="s">
        <v>20</v>
      </c>
      <c r="I59" s="7" t="s">
        <v>50</v>
      </c>
      <c r="J59" s="8" t="s">
        <v>21</v>
      </c>
      <c r="K59" s="7" t="s">
        <v>50</v>
      </c>
      <c r="L59" s="8" t="s">
        <v>22</v>
      </c>
      <c r="M59" s="7" t="s">
        <v>50</v>
      </c>
      <c r="N59" s="10" t="s">
        <v>51</v>
      </c>
      <c r="O59" s="5"/>
    </row>
    <row r="60" ht="22.5" hidden="1" customHeight="1">
      <c r="A60" s="3"/>
      <c r="B60" s="10" t="s">
        <v>111</v>
      </c>
      <c r="C60" s="5"/>
      <c r="D60" s="7" t="s">
        <v>34</v>
      </c>
      <c r="E60" s="7" t="s">
        <v>49</v>
      </c>
      <c r="F60" s="5" t="s">
        <v>18</v>
      </c>
      <c r="G60" s="7" t="s">
        <v>50</v>
      </c>
      <c r="H60" s="5" t="s">
        <v>20</v>
      </c>
      <c r="I60" s="7" t="s">
        <v>50</v>
      </c>
      <c r="J60" s="8" t="s">
        <v>21</v>
      </c>
      <c r="K60" s="7" t="s">
        <v>50</v>
      </c>
      <c r="L60" s="8" t="s">
        <v>22</v>
      </c>
      <c r="M60" s="7" t="s">
        <v>50</v>
      </c>
      <c r="N60" s="10" t="s">
        <v>51</v>
      </c>
      <c r="O60" s="5"/>
    </row>
    <row r="61" ht="22.5" hidden="1" customHeight="1">
      <c r="A61" s="3"/>
      <c r="B61" s="10" t="s">
        <v>112</v>
      </c>
      <c r="C61" s="5"/>
      <c r="D61" s="7" t="s">
        <v>16</v>
      </c>
      <c r="E61" s="7" t="s">
        <v>17</v>
      </c>
      <c r="F61" s="5" t="s">
        <v>18</v>
      </c>
      <c r="G61" s="7" t="s">
        <v>19</v>
      </c>
      <c r="H61" s="5" t="s">
        <v>20</v>
      </c>
      <c r="I61" s="9"/>
      <c r="J61" s="8" t="s">
        <v>21</v>
      </c>
      <c r="K61" s="7" t="s">
        <v>19</v>
      </c>
      <c r="L61" s="8" t="s">
        <v>22</v>
      </c>
      <c r="M61" s="9"/>
      <c r="N61" s="10" t="s">
        <v>32</v>
      </c>
      <c r="O61" s="5"/>
    </row>
    <row r="62" ht="22.5" hidden="1" customHeight="1">
      <c r="A62" s="3"/>
      <c r="B62" s="10" t="s">
        <v>113</v>
      </c>
      <c r="C62" s="5"/>
      <c r="D62" s="7" t="s">
        <v>34</v>
      </c>
      <c r="E62" s="7" t="s">
        <v>40</v>
      </c>
      <c r="F62" s="5" t="s">
        <v>18</v>
      </c>
      <c r="G62" s="9"/>
      <c r="H62" s="5" t="s">
        <v>20</v>
      </c>
      <c r="I62" s="9"/>
      <c r="J62" s="8" t="s">
        <v>21</v>
      </c>
      <c r="K62" s="7" t="s">
        <v>31</v>
      </c>
      <c r="L62" s="8" t="s">
        <v>22</v>
      </c>
      <c r="M62" s="9"/>
      <c r="N62" s="10" t="s">
        <v>83</v>
      </c>
      <c r="O62" s="5"/>
    </row>
    <row r="63" ht="22.5" customHeight="1">
      <c r="A63" s="3"/>
      <c r="B63" s="10" t="s">
        <v>114</v>
      </c>
      <c r="C63" s="5"/>
      <c r="D63" s="7" t="s">
        <v>34</v>
      </c>
      <c r="E63" s="7" t="s">
        <v>25</v>
      </c>
      <c r="F63" s="5" t="s">
        <v>18</v>
      </c>
      <c r="G63" s="7" t="s">
        <v>26</v>
      </c>
      <c r="H63" s="5" t="s">
        <v>20</v>
      </c>
      <c r="I63" s="7" t="s">
        <v>26</v>
      </c>
      <c r="J63" s="8" t="s">
        <v>21</v>
      </c>
      <c r="K63" s="7" t="s">
        <v>26</v>
      </c>
      <c r="L63" s="8" t="s">
        <v>22</v>
      </c>
      <c r="M63" s="7" t="s">
        <v>26</v>
      </c>
      <c r="N63" s="10" t="s">
        <v>27</v>
      </c>
      <c r="O63" s="5"/>
    </row>
    <row r="64" ht="22.5" hidden="1" customHeight="1">
      <c r="A64" s="3"/>
      <c r="B64" s="10" t="s">
        <v>88</v>
      </c>
      <c r="C64" s="5"/>
      <c r="D64" s="7" t="s">
        <v>34</v>
      </c>
      <c r="E64" s="7" t="s">
        <v>30</v>
      </c>
      <c r="F64" s="5" t="s">
        <v>18</v>
      </c>
      <c r="G64" s="7" t="s">
        <v>19</v>
      </c>
      <c r="H64" s="5" t="s">
        <v>20</v>
      </c>
      <c r="I64" s="7" t="s">
        <v>19</v>
      </c>
      <c r="J64" s="8" t="s">
        <v>21</v>
      </c>
      <c r="K64" s="7" t="s">
        <v>31</v>
      </c>
      <c r="L64" s="8" t="s">
        <v>22</v>
      </c>
      <c r="M64" s="7" t="s">
        <v>19</v>
      </c>
      <c r="N64" s="10" t="s">
        <v>32</v>
      </c>
      <c r="O64" s="5"/>
    </row>
    <row r="65" ht="22.5" hidden="1" customHeight="1">
      <c r="A65" s="3"/>
      <c r="B65" s="10" t="s">
        <v>115</v>
      </c>
      <c r="C65" s="5"/>
      <c r="D65" s="7" t="s">
        <v>34</v>
      </c>
      <c r="E65" s="7" t="s">
        <v>49</v>
      </c>
      <c r="F65" s="5" t="s">
        <v>18</v>
      </c>
      <c r="G65" s="7" t="s">
        <v>50</v>
      </c>
      <c r="H65" s="5" t="s">
        <v>20</v>
      </c>
      <c r="I65" s="7" t="s">
        <v>50</v>
      </c>
      <c r="J65" s="8" t="s">
        <v>21</v>
      </c>
      <c r="K65" s="7" t="s">
        <v>50</v>
      </c>
      <c r="L65" s="8" t="s">
        <v>22</v>
      </c>
      <c r="M65" s="7" t="s">
        <v>50</v>
      </c>
      <c r="N65" s="10" t="s">
        <v>116</v>
      </c>
      <c r="O65" s="5"/>
    </row>
    <row r="66" ht="22.5" hidden="1" customHeight="1">
      <c r="A66" s="3"/>
      <c r="B66" s="10" t="s">
        <v>117</v>
      </c>
      <c r="C66" s="5"/>
      <c r="D66" s="7" t="s">
        <v>34</v>
      </c>
      <c r="E66" s="7" t="s">
        <v>40</v>
      </c>
      <c r="F66" s="5" t="s">
        <v>18</v>
      </c>
      <c r="G66" s="7" t="s">
        <v>19</v>
      </c>
      <c r="H66" s="5" t="s">
        <v>20</v>
      </c>
      <c r="I66" s="7" t="s">
        <v>19</v>
      </c>
      <c r="J66" s="8" t="s">
        <v>21</v>
      </c>
      <c r="K66" s="7" t="s">
        <v>19</v>
      </c>
      <c r="L66" s="8" t="s">
        <v>22</v>
      </c>
      <c r="M66" s="7" t="s">
        <v>31</v>
      </c>
      <c r="N66" s="10" t="s">
        <v>118</v>
      </c>
      <c r="O66" s="5"/>
    </row>
    <row r="67" ht="22.5" hidden="1" customHeight="1">
      <c r="A67" s="3"/>
      <c r="B67" s="10" t="s">
        <v>119</v>
      </c>
      <c r="C67" s="5"/>
      <c r="D67" s="7" t="s">
        <v>16</v>
      </c>
      <c r="E67" s="7" t="s">
        <v>17</v>
      </c>
      <c r="F67" s="5" t="s">
        <v>18</v>
      </c>
      <c r="G67" s="9"/>
      <c r="H67" s="5" t="s">
        <v>20</v>
      </c>
      <c r="I67" s="7" t="s">
        <v>31</v>
      </c>
      <c r="J67" s="8" t="s">
        <v>21</v>
      </c>
      <c r="K67" s="7" t="s">
        <v>19</v>
      </c>
      <c r="L67" s="8" t="s">
        <v>22</v>
      </c>
      <c r="M67" s="7" t="s">
        <v>19</v>
      </c>
      <c r="N67" s="10" t="s">
        <v>120</v>
      </c>
      <c r="O67" s="5"/>
    </row>
    <row r="68" ht="22.5" hidden="1" customHeight="1">
      <c r="A68" s="3"/>
      <c r="B68" s="10" t="s">
        <v>121</v>
      </c>
      <c r="C68" s="5"/>
      <c r="D68" s="7" t="s">
        <v>34</v>
      </c>
      <c r="E68" s="7" t="s">
        <v>40</v>
      </c>
      <c r="F68" s="5" t="s">
        <v>18</v>
      </c>
      <c r="G68" s="9"/>
      <c r="H68" s="5" t="s">
        <v>20</v>
      </c>
      <c r="I68" s="9"/>
      <c r="J68" s="8" t="s">
        <v>21</v>
      </c>
      <c r="K68" s="7" t="s">
        <v>31</v>
      </c>
      <c r="L68" s="8" t="s">
        <v>22</v>
      </c>
      <c r="M68" s="7" t="s">
        <v>31</v>
      </c>
      <c r="N68" s="10" t="s">
        <v>122</v>
      </c>
      <c r="O68" s="5"/>
    </row>
    <row r="69" ht="22.5" hidden="1" customHeight="1">
      <c r="A69" s="3"/>
      <c r="B69" s="10" t="s">
        <v>123</v>
      </c>
      <c r="C69" s="5"/>
      <c r="D69" s="7" t="s">
        <v>34</v>
      </c>
      <c r="E69" s="7" t="s">
        <v>49</v>
      </c>
      <c r="F69" s="5" t="s">
        <v>18</v>
      </c>
      <c r="G69" s="7" t="s">
        <v>50</v>
      </c>
      <c r="H69" s="5" t="s">
        <v>20</v>
      </c>
      <c r="I69" s="7" t="s">
        <v>50</v>
      </c>
      <c r="J69" s="8" t="s">
        <v>21</v>
      </c>
      <c r="K69" s="7" t="s">
        <v>50</v>
      </c>
      <c r="L69" s="8" t="s">
        <v>22</v>
      </c>
      <c r="M69" s="7" t="s">
        <v>50</v>
      </c>
      <c r="N69" s="10" t="s">
        <v>51</v>
      </c>
      <c r="O69" s="5"/>
    </row>
    <row r="70" ht="22.5" hidden="1" customHeight="1">
      <c r="A70" s="3"/>
      <c r="B70" s="10" t="s">
        <v>124</v>
      </c>
      <c r="C70" s="5"/>
      <c r="D70" s="7" t="s">
        <v>34</v>
      </c>
      <c r="E70" s="7" t="s">
        <v>40</v>
      </c>
      <c r="F70" s="5" t="s">
        <v>18</v>
      </c>
      <c r="G70" s="7" t="s">
        <v>19</v>
      </c>
      <c r="H70" s="5" t="s">
        <v>20</v>
      </c>
      <c r="I70" s="7" t="s">
        <v>19</v>
      </c>
      <c r="J70" s="8" t="s">
        <v>21</v>
      </c>
      <c r="K70" s="7" t="s">
        <v>19</v>
      </c>
      <c r="L70" s="8" t="s">
        <v>22</v>
      </c>
      <c r="M70" s="7" t="s">
        <v>31</v>
      </c>
      <c r="N70" s="10" t="s">
        <v>62</v>
      </c>
      <c r="O70" s="5"/>
    </row>
    <row r="71" ht="22.5" hidden="1" customHeight="1">
      <c r="A71" s="3"/>
      <c r="B71" s="10" t="s">
        <v>125</v>
      </c>
      <c r="C71" s="5"/>
      <c r="D71" s="7" t="s">
        <v>34</v>
      </c>
      <c r="E71" s="7" t="s">
        <v>40</v>
      </c>
      <c r="F71" s="5" t="s">
        <v>18</v>
      </c>
      <c r="G71" s="7" t="s">
        <v>19</v>
      </c>
      <c r="H71" s="5" t="s">
        <v>20</v>
      </c>
      <c r="I71" s="7" t="s">
        <v>19</v>
      </c>
      <c r="J71" s="8" t="s">
        <v>21</v>
      </c>
      <c r="K71" s="7" t="s">
        <v>31</v>
      </c>
      <c r="L71" s="8" t="s">
        <v>22</v>
      </c>
      <c r="M71" s="7" t="s">
        <v>31</v>
      </c>
      <c r="N71" s="10" t="s">
        <v>83</v>
      </c>
      <c r="O71" s="5"/>
    </row>
    <row r="72" ht="22.5" hidden="1" customHeight="1">
      <c r="A72" s="3"/>
      <c r="B72" s="10" t="s">
        <v>126</v>
      </c>
      <c r="C72" s="5"/>
      <c r="D72" s="7" t="s">
        <v>34</v>
      </c>
      <c r="E72" s="7" t="s">
        <v>49</v>
      </c>
      <c r="F72" s="5" t="s">
        <v>18</v>
      </c>
      <c r="G72" s="7" t="s">
        <v>50</v>
      </c>
      <c r="H72" s="5" t="s">
        <v>20</v>
      </c>
      <c r="I72" s="7" t="s">
        <v>50</v>
      </c>
      <c r="J72" s="8" t="s">
        <v>21</v>
      </c>
      <c r="K72" s="7" t="s">
        <v>50</v>
      </c>
      <c r="L72" s="8" t="s">
        <v>22</v>
      </c>
      <c r="M72" s="7" t="s">
        <v>50</v>
      </c>
      <c r="N72" s="10" t="s">
        <v>51</v>
      </c>
      <c r="O72" s="5"/>
    </row>
    <row r="73" ht="22.5" hidden="1" customHeight="1">
      <c r="A73" s="5"/>
      <c r="B73" s="10" t="s">
        <v>127</v>
      </c>
      <c r="C73" s="5"/>
      <c r="D73" s="7" t="s">
        <v>16</v>
      </c>
      <c r="E73" s="7" t="s">
        <v>17</v>
      </c>
      <c r="F73" s="5" t="s">
        <v>18</v>
      </c>
      <c r="G73" s="7" t="s">
        <v>19</v>
      </c>
      <c r="H73" s="5" t="s">
        <v>20</v>
      </c>
      <c r="I73" s="7" t="s">
        <v>19</v>
      </c>
      <c r="J73" s="8" t="s">
        <v>21</v>
      </c>
      <c r="K73" s="7" t="s">
        <v>19</v>
      </c>
      <c r="L73" s="8" t="s">
        <v>22</v>
      </c>
      <c r="M73" s="7" t="s">
        <v>19</v>
      </c>
      <c r="N73" s="10" t="s">
        <v>94</v>
      </c>
      <c r="O73" s="5"/>
    </row>
    <row r="74" ht="22.5" hidden="1" customHeight="1">
      <c r="A74" s="3"/>
      <c r="B74" s="10" t="s">
        <v>128</v>
      </c>
      <c r="C74" s="5"/>
      <c r="D74" s="7" t="s">
        <v>34</v>
      </c>
      <c r="E74" s="7" t="s">
        <v>49</v>
      </c>
      <c r="F74" s="5" t="s">
        <v>18</v>
      </c>
      <c r="G74" s="7" t="s">
        <v>50</v>
      </c>
      <c r="H74" s="5" t="s">
        <v>20</v>
      </c>
      <c r="I74" s="7" t="s">
        <v>50</v>
      </c>
      <c r="J74" s="8" t="s">
        <v>21</v>
      </c>
      <c r="K74" s="7" t="s">
        <v>50</v>
      </c>
      <c r="L74" s="8" t="s">
        <v>22</v>
      </c>
      <c r="M74" s="7" t="s">
        <v>50</v>
      </c>
      <c r="N74" s="10" t="s">
        <v>51</v>
      </c>
      <c r="O74" s="5"/>
    </row>
    <row r="75" ht="22.5" hidden="1" customHeight="1">
      <c r="A75" s="3"/>
      <c r="B75" s="10" t="s">
        <v>129</v>
      </c>
      <c r="C75" s="5"/>
      <c r="D75" s="7" t="s">
        <v>34</v>
      </c>
      <c r="E75" s="7" t="s">
        <v>40</v>
      </c>
      <c r="F75" s="5" t="s">
        <v>18</v>
      </c>
      <c r="G75" s="9"/>
      <c r="H75" s="5" t="s">
        <v>20</v>
      </c>
      <c r="I75" s="7" t="s">
        <v>19</v>
      </c>
      <c r="J75" s="8" t="s">
        <v>21</v>
      </c>
      <c r="K75" s="7" t="s">
        <v>19</v>
      </c>
      <c r="L75" s="8" t="s">
        <v>22</v>
      </c>
      <c r="M75" s="7" t="s">
        <v>31</v>
      </c>
      <c r="N75" s="10" t="s">
        <v>130</v>
      </c>
      <c r="O75" s="5"/>
    </row>
    <row r="76" ht="22.5" hidden="1" customHeight="1">
      <c r="A76" s="3"/>
      <c r="B76" s="10" t="s">
        <v>131</v>
      </c>
      <c r="C76" s="5"/>
      <c r="D76" s="7" t="s">
        <v>16</v>
      </c>
      <c r="E76" s="7" t="s">
        <v>17</v>
      </c>
      <c r="F76" s="5" t="s">
        <v>18</v>
      </c>
      <c r="G76" s="7" t="s">
        <v>19</v>
      </c>
      <c r="H76" s="5" t="s">
        <v>20</v>
      </c>
      <c r="I76" s="7" t="s">
        <v>19</v>
      </c>
      <c r="J76" s="8" t="s">
        <v>21</v>
      </c>
      <c r="K76" s="7" t="s">
        <v>19</v>
      </c>
      <c r="L76" s="8" t="s">
        <v>22</v>
      </c>
      <c r="M76" s="7" t="s">
        <v>19</v>
      </c>
      <c r="N76" s="10" t="s">
        <v>62</v>
      </c>
      <c r="O76" s="5"/>
    </row>
    <row r="77" ht="22.5" hidden="1" customHeight="1">
      <c r="A77" s="3"/>
      <c r="B77" s="10" t="s">
        <v>132</v>
      </c>
      <c r="C77" s="5"/>
      <c r="D77" s="7" t="s">
        <v>34</v>
      </c>
      <c r="E77" s="7" t="s">
        <v>35</v>
      </c>
      <c r="F77" s="5" t="s">
        <v>18</v>
      </c>
      <c r="G77" s="9"/>
      <c r="H77" s="5" t="s">
        <v>20</v>
      </c>
      <c r="I77" s="7" t="s">
        <v>31</v>
      </c>
      <c r="J77" s="8" t="s">
        <v>21</v>
      </c>
      <c r="K77" s="7" t="s">
        <v>31</v>
      </c>
      <c r="L77" s="8" t="s">
        <v>22</v>
      </c>
      <c r="M77" s="7" t="s">
        <v>31</v>
      </c>
      <c r="N77" s="10" t="s">
        <v>133</v>
      </c>
      <c r="O77" s="5"/>
    </row>
    <row r="78" ht="22.5" hidden="1" customHeight="1">
      <c r="A78" s="3"/>
      <c r="B78" s="10" t="s">
        <v>134</v>
      </c>
      <c r="C78" s="5"/>
      <c r="D78" s="7" t="s">
        <v>34</v>
      </c>
      <c r="E78" s="7" t="s">
        <v>49</v>
      </c>
      <c r="F78" s="5" t="s">
        <v>18</v>
      </c>
      <c r="G78" s="7" t="s">
        <v>50</v>
      </c>
      <c r="H78" s="5" t="s">
        <v>20</v>
      </c>
      <c r="I78" s="7" t="s">
        <v>50</v>
      </c>
      <c r="J78" s="8" t="s">
        <v>21</v>
      </c>
      <c r="K78" s="7" t="s">
        <v>50</v>
      </c>
      <c r="L78" s="8" t="s">
        <v>22</v>
      </c>
      <c r="M78" s="7" t="s">
        <v>50</v>
      </c>
      <c r="N78" s="10" t="s">
        <v>135</v>
      </c>
      <c r="O78" s="5"/>
    </row>
    <row r="79" ht="22.5" hidden="1" customHeight="1">
      <c r="A79" s="3"/>
      <c r="B79" s="10" t="s">
        <v>136</v>
      </c>
      <c r="C79" s="5"/>
      <c r="D79" s="7" t="s">
        <v>16</v>
      </c>
      <c r="E79" s="7" t="s">
        <v>17</v>
      </c>
      <c r="F79" s="5" t="s">
        <v>18</v>
      </c>
      <c r="G79" s="9"/>
      <c r="H79" s="5" t="s">
        <v>20</v>
      </c>
      <c r="I79" s="7" t="s">
        <v>19</v>
      </c>
      <c r="J79" s="8" t="s">
        <v>21</v>
      </c>
      <c r="K79" s="7" t="s">
        <v>19</v>
      </c>
      <c r="L79" s="8" t="s">
        <v>22</v>
      </c>
      <c r="M79" s="9"/>
      <c r="N79" s="10" t="s">
        <v>38</v>
      </c>
      <c r="O79" s="5"/>
    </row>
    <row r="80" ht="22.5" hidden="1" customHeight="1">
      <c r="A80" s="3"/>
      <c r="B80" s="10" t="s">
        <v>137</v>
      </c>
      <c r="C80" s="5"/>
      <c r="D80" s="7" t="s">
        <v>34</v>
      </c>
      <c r="E80" s="7" t="s">
        <v>40</v>
      </c>
      <c r="F80" s="5" t="s">
        <v>18</v>
      </c>
      <c r="G80" s="9"/>
      <c r="H80" s="5" t="s">
        <v>20</v>
      </c>
      <c r="I80" s="7" t="s">
        <v>19</v>
      </c>
      <c r="J80" s="8" t="s">
        <v>21</v>
      </c>
      <c r="K80" s="7" t="s">
        <v>31</v>
      </c>
      <c r="L80" s="8" t="s">
        <v>22</v>
      </c>
      <c r="M80" s="9"/>
      <c r="N80" s="10" t="s">
        <v>130</v>
      </c>
      <c r="O80" s="5"/>
    </row>
    <row r="81" ht="22.5" hidden="1" customHeight="1">
      <c r="A81" s="3"/>
      <c r="B81" s="10" t="s">
        <v>138</v>
      </c>
      <c r="C81" s="5"/>
      <c r="D81" s="7" t="s">
        <v>34</v>
      </c>
      <c r="E81" s="7" t="s">
        <v>40</v>
      </c>
      <c r="F81" s="5" t="s">
        <v>18</v>
      </c>
      <c r="G81" s="7" t="s">
        <v>31</v>
      </c>
      <c r="H81" s="5" t="s">
        <v>20</v>
      </c>
      <c r="I81" s="9"/>
      <c r="J81" s="8" t="s">
        <v>21</v>
      </c>
      <c r="K81" s="7" t="s">
        <v>31</v>
      </c>
      <c r="L81" s="8" t="s">
        <v>22</v>
      </c>
      <c r="M81" s="7" t="s">
        <v>19</v>
      </c>
      <c r="N81" s="10" t="s">
        <v>139</v>
      </c>
      <c r="O81" s="5"/>
    </row>
    <row r="82" ht="22.5" hidden="1" customHeight="1">
      <c r="A82" s="3"/>
      <c r="B82" s="10" t="s">
        <v>140</v>
      </c>
      <c r="C82" s="5"/>
      <c r="D82" s="7" t="s">
        <v>34</v>
      </c>
      <c r="E82" s="7" t="s">
        <v>30</v>
      </c>
      <c r="F82" s="5" t="s">
        <v>18</v>
      </c>
      <c r="G82" s="7" t="s">
        <v>19</v>
      </c>
      <c r="H82" s="5" t="s">
        <v>20</v>
      </c>
      <c r="I82" s="7" t="s">
        <v>19</v>
      </c>
      <c r="J82" s="8" t="s">
        <v>21</v>
      </c>
      <c r="K82" s="7" t="s">
        <v>19</v>
      </c>
      <c r="L82" s="8" t="s">
        <v>22</v>
      </c>
      <c r="M82" s="7" t="s">
        <v>31</v>
      </c>
      <c r="N82" s="10" t="s">
        <v>32</v>
      </c>
      <c r="O82" s="5"/>
    </row>
    <row r="83" ht="22.5" hidden="1" customHeight="1">
      <c r="A83" s="3"/>
      <c r="B83" s="17" t="s">
        <v>141</v>
      </c>
      <c r="C83" s="5"/>
      <c r="D83" s="7" t="s">
        <v>16</v>
      </c>
      <c r="E83" s="7" t="s">
        <v>17</v>
      </c>
      <c r="F83" s="5" t="s">
        <v>18</v>
      </c>
      <c r="G83" s="9"/>
      <c r="H83" s="5" t="s">
        <v>20</v>
      </c>
      <c r="I83" s="7" t="s">
        <v>19</v>
      </c>
      <c r="J83" s="8" t="s">
        <v>21</v>
      </c>
      <c r="K83" s="7" t="s">
        <v>19</v>
      </c>
      <c r="L83" s="8" t="s">
        <v>22</v>
      </c>
      <c r="M83" s="7" t="s">
        <v>19</v>
      </c>
      <c r="N83" s="10" t="s">
        <v>62</v>
      </c>
      <c r="O83" s="5"/>
    </row>
    <row r="84" ht="22.5" hidden="1" customHeight="1">
      <c r="A84" s="3"/>
      <c r="B84" s="10" t="s">
        <v>142</v>
      </c>
      <c r="C84" s="5"/>
      <c r="D84" s="7" t="s">
        <v>34</v>
      </c>
      <c r="E84" s="7" t="s">
        <v>49</v>
      </c>
      <c r="F84" s="5" t="s">
        <v>18</v>
      </c>
      <c r="G84" s="7" t="s">
        <v>50</v>
      </c>
      <c r="H84" s="5" t="s">
        <v>20</v>
      </c>
      <c r="I84" s="7" t="s">
        <v>50</v>
      </c>
      <c r="J84" s="8" t="s">
        <v>21</v>
      </c>
      <c r="K84" s="7" t="s">
        <v>50</v>
      </c>
      <c r="L84" s="8" t="s">
        <v>22</v>
      </c>
      <c r="M84" s="7" t="s">
        <v>50</v>
      </c>
      <c r="N84" s="10" t="s">
        <v>51</v>
      </c>
      <c r="O84" s="5"/>
    </row>
    <row r="85" ht="22.5" hidden="1" customHeight="1">
      <c r="A85" s="3"/>
      <c r="B85" s="10" t="s">
        <v>143</v>
      </c>
      <c r="C85" s="5"/>
      <c r="D85" s="7" t="s">
        <v>34</v>
      </c>
      <c r="E85" s="7" t="s">
        <v>40</v>
      </c>
      <c r="F85" s="5" t="s">
        <v>18</v>
      </c>
      <c r="G85" s="7"/>
      <c r="H85" s="5" t="s">
        <v>20</v>
      </c>
      <c r="I85" s="7" t="s">
        <v>19</v>
      </c>
      <c r="J85" s="8" t="s">
        <v>21</v>
      </c>
      <c r="K85" s="7" t="s">
        <v>31</v>
      </c>
      <c r="L85" s="8" t="s">
        <v>22</v>
      </c>
      <c r="M85" s="7" t="s">
        <v>19</v>
      </c>
      <c r="N85" s="10" t="s">
        <v>62</v>
      </c>
      <c r="O85" s="5"/>
    </row>
    <row r="86" ht="22.5" hidden="1" customHeight="1">
      <c r="A86" s="3"/>
      <c r="B86" s="10" t="s">
        <v>144</v>
      </c>
      <c r="C86" s="5"/>
      <c r="D86" s="7" t="s">
        <v>16</v>
      </c>
      <c r="E86" s="7" t="s">
        <v>17</v>
      </c>
      <c r="F86" s="5" t="s">
        <v>18</v>
      </c>
      <c r="G86" s="9"/>
      <c r="H86" s="5" t="s">
        <v>20</v>
      </c>
      <c r="I86" s="7" t="s">
        <v>19</v>
      </c>
      <c r="J86" s="8" t="s">
        <v>21</v>
      </c>
      <c r="K86" s="7" t="s">
        <v>19</v>
      </c>
      <c r="L86" s="8" t="s">
        <v>22</v>
      </c>
      <c r="M86" s="7" t="s">
        <v>19</v>
      </c>
      <c r="N86" s="10" t="s">
        <v>62</v>
      </c>
      <c r="O86" s="5"/>
    </row>
    <row r="87" ht="22.5" hidden="1" customHeight="1">
      <c r="A87" s="3"/>
      <c r="B87" s="10" t="s">
        <v>145</v>
      </c>
      <c r="C87" s="5"/>
      <c r="D87" s="7" t="s">
        <v>16</v>
      </c>
      <c r="E87" s="7" t="s">
        <v>17</v>
      </c>
      <c r="F87" s="5" t="s">
        <v>18</v>
      </c>
      <c r="G87" s="9"/>
      <c r="H87" s="5" t="s">
        <v>20</v>
      </c>
      <c r="I87" s="7" t="s">
        <v>19</v>
      </c>
      <c r="J87" s="8" t="s">
        <v>21</v>
      </c>
      <c r="K87" s="7" t="s">
        <v>19</v>
      </c>
      <c r="L87" s="8" t="s">
        <v>22</v>
      </c>
      <c r="M87" s="7" t="s">
        <v>19</v>
      </c>
      <c r="N87" s="10" t="s">
        <v>62</v>
      </c>
      <c r="O87" s="5"/>
    </row>
    <row r="88" ht="22.5" hidden="1" customHeight="1">
      <c r="A88" s="3"/>
      <c r="B88" s="17" t="s">
        <v>146</v>
      </c>
      <c r="C88" s="5"/>
      <c r="D88" s="7" t="s">
        <v>34</v>
      </c>
      <c r="E88" s="7" t="s">
        <v>49</v>
      </c>
      <c r="F88" s="5" t="s">
        <v>18</v>
      </c>
      <c r="G88" s="7" t="s">
        <v>50</v>
      </c>
      <c r="H88" s="5" t="s">
        <v>20</v>
      </c>
      <c r="I88" s="7" t="s">
        <v>31</v>
      </c>
      <c r="J88" s="8" t="s">
        <v>21</v>
      </c>
      <c r="K88" s="7" t="s">
        <v>31</v>
      </c>
      <c r="L88" s="8" t="s">
        <v>22</v>
      </c>
      <c r="M88" s="7" t="s">
        <v>50</v>
      </c>
      <c r="N88" s="10" t="s">
        <v>51</v>
      </c>
      <c r="O88" s="5"/>
    </row>
    <row r="89" ht="22.5" hidden="1" customHeight="1">
      <c r="A89" s="3"/>
      <c r="B89" s="10" t="s">
        <v>147</v>
      </c>
      <c r="C89" s="5"/>
      <c r="D89" s="7" t="s">
        <v>16</v>
      </c>
      <c r="E89" s="7" t="s">
        <v>17</v>
      </c>
      <c r="F89" s="5" t="s">
        <v>18</v>
      </c>
      <c r="G89" s="9"/>
      <c r="H89" s="5" t="s">
        <v>20</v>
      </c>
      <c r="I89" s="7" t="s">
        <v>19</v>
      </c>
      <c r="J89" s="8" t="s">
        <v>21</v>
      </c>
      <c r="K89" s="7" t="s">
        <v>19</v>
      </c>
      <c r="L89" s="8" t="s">
        <v>22</v>
      </c>
      <c r="M89" s="7" t="s">
        <v>19</v>
      </c>
      <c r="N89" s="10" t="s">
        <v>62</v>
      </c>
      <c r="O89" s="5"/>
    </row>
    <row r="90" ht="22.5" hidden="1" customHeight="1">
      <c r="A90" s="3"/>
      <c r="B90" s="10" t="s">
        <v>148</v>
      </c>
      <c r="C90" s="5"/>
      <c r="D90" s="7" t="s">
        <v>16</v>
      </c>
      <c r="E90" s="7" t="s">
        <v>17</v>
      </c>
      <c r="F90" s="5" t="s">
        <v>18</v>
      </c>
      <c r="G90" s="9"/>
      <c r="H90" s="5" t="s">
        <v>20</v>
      </c>
      <c r="I90" s="7" t="s">
        <v>19</v>
      </c>
      <c r="J90" s="8" t="s">
        <v>21</v>
      </c>
      <c r="K90" s="7" t="s">
        <v>19</v>
      </c>
      <c r="L90" s="8" t="s">
        <v>22</v>
      </c>
      <c r="M90" s="7" t="s">
        <v>19</v>
      </c>
      <c r="N90" s="10" t="s">
        <v>62</v>
      </c>
      <c r="O90" s="5"/>
    </row>
    <row r="91" ht="22.5" hidden="1" customHeight="1">
      <c r="A91" s="3"/>
      <c r="B91" s="10" t="s">
        <v>149</v>
      </c>
      <c r="C91" s="5"/>
      <c r="D91" s="7" t="s">
        <v>34</v>
      </c>
      <c r="E91" s="7" t="s">
        <v>30</v>
      </c>
      <c r="F91" s="5" t="s">
        <v>18</v>
      </c>
      <c r="G91" s="9"/>
      <c r="H91" s="5" t="s">
        <v>20</v>
      </c>
      <c r="I91" s="7" t="s">
        <v>31</v>
      </c>
      <c r="J91" s="8" t="s">
        <v>21</v>
      </c>
      <c r="K91" s="7" t="s">
        <v>31</v>
      </c>
      <c r="L91" s="8" t="s">
        <v>22</v>
      </c>
      <c r="M91" s="7" t="s">
        <v>31</v>
      </c>
      <c r="N91" s="10" t="s">
        <v>150</v>
      </c>
      <c r="O91" s="5"/>
    </row>
    <row r="92" ht="22.5" hidden="1" customHeight="1">
      <c r="A92" s="3"/>
      <c r="B92" s="10" t="s">
        <v>151</v>
      </c>
      <c r="C92" s="5"/>
      <c r="D92" s="7" t="s">
        <v>16</v>
      </c>
      <c r="E92" s="7" t="s">
        <v>49</v>
      </c>
      <c r="F92" s="5" t="s">
        <v>18</v>
      </c>
      <c r="G92" s="7" t="s">
        <v>50</v>
      </c>
      <c r="H92" s="5" t="s">
        <v>20</v>
      </c>
      <c r="I92" s="7" t="s">
        <v>50</v>
      </c>
      <c r="J92" s="8" t="s">
        <v>21</v>
      </c>
      <c r="K92" s="7" t="s">
        <v>50</v>
      </c>
      <c r="L92" s="8" t="s">
        <v>22</v>
      </c>
      <c r="M92" s="7" t="s">
        <v>50</v>
      </c>
      <c r="N92" s="10" t="s">
        <v>152</v>
      </c>
      <c r="O92" s="5"/>
    </row>
    <row r="93" ht="22.5" hidden="1" customHeight="1">
      <c r="A93" s="3"/>
      <c r="B93" s="5"/>
      <c r="C93" s="5"/>
      <c r="D93" s="9"/>
      <c r="E93" s="9"/>
      <c r="F93" s="5" t="s">
        <v>18</v>
      </c>
      <c r="G93" s="9"/>
      <c r="H93" s="5" t="s">
        <v>20</v>
      </c>
      <c r="I93" s="9"/>
      <c r="J93" s="8" t="s">
        <v>21</v>
      </c>
      <c r="K93" s="9"/>
      <c r="L93" s="8" t="s">
        <v>22</v>
      </c>
      <c r="M93" s="9"/>
      <c r="N93" s="5"/>
      <c r="O93" s="5"/>
    </row>
    <row r="94" ht="22.5" hidden="1" customHeight="1">
      <c r="A94" s="3"/>
      <c r="B94" s="5"/>
      <c r="C94" s="5"/>
      <c r="D94" s="9"/>
      <c r="E94" s="9"/>
      <c r="F94" s="5" t="s">
        <v>18</v>
      </c>
      <c r="G94" s="9"/>
      <c r="H94" s="5" t="s">
        <v>20</v>
      </c>
      <c r="I94" s="9"/>
      <c r="J94" s="8" t="s">
        <v>21</v>
      </c>
      <c r="K94" s="9"/>
      <c r="L94" s="8" t="s">
        <v>22</v>
      </c>
      <c r="M94" s="9"/>
      <c r="N94" s="5"/>
      <c r="O94" s="5"/>
    </row>
    <row r="95" ht="22.5" hidden="1" customHeight="1">
      <c r="A95" s="3"/>
      <c r="B95" s="5"/>
      <c r="C95" s="5"/>
      <c r="D95" s="9"/>
      <c r="E95" s="9"/>
      <c r="F95" s="5" t="s">
        <v>18</v>
      </c>
      <c r="G95" s="9"/>
      <c r="H95" s="5" t="s">
        <v>20</v>
      </c>
      <c r="I95" s="9"/>
      <c r="J95" s="8" t="s">
        <v>21</v>
      </c>
      <c r="K95" s="9"/>
      <c r="L95" s="8" t="s">
        <v>22</v>
      </c>
      <c r="M95" s="9"/>
      <c r="N95" s="5"/>
      <c r="O95" s="5"/>
    </row>
    <row r="96" ht="22.5" hidden="1" customHeight="1">
      <c r="A96" s="3"/>
      <c r="B96" s="5"/>
      <c r="C96" s="5"/>
      <c r="D96" s="9"/>
      <c r="E96" s="9"/>
      <c r="F96" s="5" t="s">
        <v>18</v>
      </c>
      <c r="G96" s="9"/>
      <c r="H96" s="5" t="s">
        <v>20</v>
      </c>
      <c r="I96" s="9"/>
      <c r="J96" s="8" t="s">
        <v>21</v>
      </c>
      <c r="K96" s="9"/>
      <c r="L96" s="8" t="s">
        <v>22</v>
      </c>
      <c r="M96" s="9"/>
      <c r="N96" s="5"/>
      <c r="O96" s="5"/>
    </row>
    <row r="97" ht="22.5" hidden="1" customHeight="1">
      <c r="A97" s="3"/>
      <c r="B97" s="5"/>
      <c r="C97" s="5"/>
      <c r="D97" s="9"/>
      <c r="E97" s="9"/>
      <c r="F97" s="5" t="s">
        <v>18</v>
      </c>
      <c r="G97" s="9"/>
      <c r="H97" s="5" t="s">
        <v>20</v>
      </c>
      <c r="I97" s="9"/>
      <c r="J97" s="8" t="s">
        <v>21</v>
      </c>
      <c r="K97" s="9"/>
      <c r="L97" s="8" t="s">
        <v>22</v>
      </c>
      <c r="M97" s="9"/>
      <c r="N97" s="5"/>
      <c r="O97" s="5"/>
    </row>
    <row r="98" ht="22.5" hidden="1" customHeight="1">
      <c r="A98" s="3"/>
      <c r="B98" s="5"/>
      <c r="C98" s="5"/>
      <c r="D98" s="9"/>
      <c r="E98" s="9"/>
      <c r="F98" s="5" t="s">
        <v>18</v>
      </c>
      <c r="G98" s="9"/>
      <c r="H98" s="5" t="s">
        <v>20</v>
      </c>
      <c r="I98" s="9"/>
      <c r="J98" s="8" t="s">
        <v>21</v>
      </c>
      <c r="K98" s="9"/>
      <c r="L98" s="8" t="s">
        <v>22</v>
      </c>
      <c r="M98" s="9"/>
      <c r="N98" s="5"/>
      <c r="O98" s="5"/>
    </row>
    <row r="99" ht="22.5" hidden="1" customHeight="1">
      <c r="A99" s="3"/>
      <c r="B99" s="3"/>
      <c r="C99" s="5"/>
      <c r="D99" s="9"/>
      <c r="E99" s="9"/>
      <c r="F99" s="5" t="s">
        <v>18</v>
      </c>
      <c r="G99" s="9"/>
      <c r="H99" s="5" t="s">
        <v>20</v>
      </c>
      <c r="I99" s="9"/>
      <c r="J99" s="8" t="s">
        <v>21</v>
      </c>
      <c r="K99" s="9"/>
      <c r="L99" s="8" t="s">
        <v>22</v>
      </c>
      <c r="M99" s="9"/>
      <c r="N99" s="5"/>
      <c r="O99" s="5"/>
    </row>
    <row r="100" ht="22.5" hidden="1" customHeight="1">
      <c r="A100" s="3"/>
      <c r="B100" s="5"/>
      <c r="C100" s="5"/>
      <c r="D100" s="9"/>
      <c r="E100" s="9"/>
      <c r="F100" s="5" t="s">
        <v>18</v>
      </c>
      <c r="G100" s="9"/>
      <c r="H100" s="5" t="s">
        <v>20</v>
      </c>
      <c r="I100" s="9"/>
      <c r="J100" s="8" t="s">
        <v>21</v>
      </c>
      <c r="K100" s="9"/>
      <c r="L100" s="8" t="s">
        <v>22</v>
      </c>
      <c r="M100" s="9"/>
      <c r="N100" s="5"/>
      <c r="O100" s="5"/>
    </row>
    <row r="101" ht="22.5" hidden="1" customHeight="1">
      <c r="A101" s="5"/>
      <c r="B101" s="5"/>
      <c r="C101" s="5"/>
      <c r="D101" s="9"/>
      <c r="E101" s="9"/>
      <c r="F101" s="5" t="s">
        <v>18</v>
      </c>
      <c r="G101" s="9"/>
      <c r="H101" s="5" t="s">
        <v>20</v>
      </c>
      <c r="I101" s="9"/>
      <c r="J101" s="8" t="s">
        <v>21</v>
      </c>
      <c r="K101" s="9"/>
      <c r="L101" s="8" t="s">
        <v>22</v>
      </c>
      <c r="M101" s="9"/>
      <c r="N101" s="5"/>
      <c r="O101" s="5"/>
    </row>
    <row r="102" ht="22.5" hidden="1" customHeight="1">
      <c r="A102" s="3"/>
      <c r="B102" s="5"/>
      <c r="C102" s="5"/>
      <c r="D102" s="9"/>
      <c r="E102" s="9"/>
      <c r="F102" s="5" t="s">
        <v>18</v>
      </c>
      <c r="G102" s="9"/>
      <c r="H102" s="5" t="s">
        <v>20</v>
      </c>
      <c r="I102" s="9"/>
      <c r="J102" s="8" t="s">
        <v>21</v>
      </c>
      <c r="K102" s="9"/>
      <c r="L102" s="8" t="s">
        <v>22</v>
      </c>
      <c r="M102" s="9"/>
      <c r="N102" s="5"/>
      <c r="O102" s="5"/>
    </row>
    <row r="103" ht="22.5" hidden="1" customHeight="1">
      <c r="A103" s="3"/>
      <c r="B103" s="5"/>
      <c r="C103" s="5"/>
      <c r="D103" s="9"/>
      <c r="E103" s="9"/>
      <c r="F103" s="5" t="s">
        <v>18</v>
      </c>
      <c r="G103" s="9"/>
      <c r="H103" s="5" t="s">
        <v>20</v>
      </c>
      <c r="I103" s="9"/>
      <c r="J103" s="8" t="s">
        <v>21</v>
      </c>
      <c r="K103" s="9"/>
      <c r="L103" s="8" t="s">
        <v>22</v>
      </c>
      <c r="M103" s="9"/>
      <c r="N103" s="5"/>
      <c r="O103" s="5"/>
    </row>
    <row r="104" ht="22.5" hidden="1" customHeight="1">
      <c r="A104" s="3"/>
      <c r="B104" s="5"/>
      <c r="C104" s="5"/>
      <c r="D104" s="9"/>
      <c r="E104" s="9"/>
      <c r="F104" s="5" t="s">
        <v>18</v>
      </c>
      <c r="G104" s="9"/>
      <c r="H104" s="5" t="s">
        <v>20</v>
      </c>
      <c r="I104" s="9"/>
      <c r="J104" s="8" t="s">
        <v>21</v>
      </c>
      <c r="K104" s="9"/>
      <c r="L104" s="8" t="s">
        <v>22</v>
      </c>
      <c r="M104" s="9"/>
      <c r="N104" s="5"/>
      <c r="O104" s="5"/>
    </row>
    <row r="105" ht="22.5" hidden="1" customHeight="1">
      <c r="A105" s="3"/>
      <c r="B105" s="5"/>
      <c r="C105" s="5"/>
      <c r="D105" s="9"/>
      <c r="E105" s="9"/>
      <c r="F105" s="5" t="s">
        <v>18</v>
      </c>
      <c r="G105" s="9"/>
      <c r="H105" s="5" t="s">
        <v>20</v>
      </c>
      <c r="I105" s="9"/>
      <c r="J105" s="8" t="s">
        <v>21</v>
      </c>
      <c r="K105" s="9"/>
      <c r="L105" s="8" t="s">
        <v>22</v>
      </c>
      <c r="M105" s="9"/>
      <c r="N105" s="5"/>
      <c r="O105" s="5"/>
    </row>
    <row r="106" ht="22.5" hidden="1" customHeight="1">
      <c r="A106" s="3"/>
      <c r="B106" s="5"/>
      <c r="C106" s="5"/>
      <c r="D106" s="9"/>
      <c r="E106" s="9"/>
      <c r="F106" s="5" t="s">
        <v>18</v>
      </c>
      <c r="G106" s="9"/>
      <c r="H106" s="5" t="s">
        <v>20</v>
      </c>
      <c r="I106" s="9"/>
      <c r="J106" s="8" t="s">
        <v>21</v>
      </c>
      <c r="K106" s="9"/>
      <c r="L106" s="8" t="s">
        <v>22</v>
      </c>
      <c r="M106" s="9"/>
      <c r="N106" s="5"/>
      <c r="O106" s="5"/>
    </row>
    <row r="107" ht="22.5" hidden="1" customHeight="1">
      <c r="A107" s="5"/>
      <c r="B107" s="5"/>
      <c r="C107" s="5"/>
      <c r="D107" s="9"/>
      <c r="E107" s="9"/>
      <c r="F107" s="5" t="s">
        <v>18</v>
      </c>
      <c r="G107" s="9"/>
      <c r="H107" s="5" t="s">
        <v>20</v>
      </c>
      <c r="I107" s="9"/>
      <c r="J107" s="8" t="s">
        <v>21</v>
      </c>
      <c r="K107" s="9"/>
      <c r="L107" s="8" t="s">
        <v>22</v>
      </c>
      <c r="M107" s="9"/>
      <c r="N107" s="5"/>
      <c r="O107" s="5"/>
    </row>
    <row r="108" ht="22.5" hidden="1" customHeight="1">
      <c r="A108" s="3"/>
      <c r="B108" s="3"/>
      <c r="C108" s="5"/>
      <c r="D108" s="9"/>
      <c r="E108" s="9"/>
      <c r="F108" s="5" t="s">
        <v>18</v>
      </c>
      <c r="G108" s="9"/>
      <c r="H108" s="5" t="s">
        <v>20</v>
      </c>
      <c r="I108" s="9"/>
      <c r="J108" s="8" t="s">
        <v>21</v>
      </c>
      <c r="K108" s="9"/>
      <c r="L108" s="8" t="s">
        <v>22</v>
      </c>
      <c r="M108" s="9"/>
      <c r="N108" s="5"/>
      <c r="O108" s="5"/>
    </row>
    <row r="109" ht="22.5" hidden="1" customHeight="1">
      <c r="A109" s="5"/>
      <c r="B109" s="5"/>
      <c r="C109" s="5"/>
      <c r="D109" s="9"/>
      <c r="E109" s="9"/>
      <c r="F109" s="5" t="s">
        <v>18</v>
      </c>
      <c r="G109" s="9"/>
      <c r="H109" s="5" t="s">
        <v>20</v>
      </c>
      <c r="I109" s="9"/>
      <c r="J109" s="8" t="s">
        <v>21</v>
      </c>
      <c r="K109" s="9"/>
      <c r="L109" s="8" t="s">
        <v>22</v>
      </c>
      <c r="M109" s="9"/>
      <c r="N109" s="5"/>
      <c r="O109" s="5"/>
    </row>
    <row r="110" ht="22.5" hidden="1" customHeight="1">
      <c r="A110" s="5"/>
      <c r="B110" s="5"/>
      <c r="C110" s="5"/>
      <c r="D110" s="9"/>
      <c r="E110" s="9"/>
      <c r="F110" s="5" t="s">
        <v>18</v>
      </c>
      <c r="G110" s="9"/>
      <c r="H110" s="5" t="s">
        <v>20</v>
      </c>
      <c r="I110" s="9"/>
      <c r="J110" s="8" t="s">
        <v>21</v>
      </c>
      <c r="K110" s="9"/>
      <c r="L110" s="8" t="s">
        <v>22</v>
      </c>
      <c r="M110" s="9"/>
      <c r="N110" s="5"/>
      <c r="O110" s="5"/>
    </row>
    <row r="111" ht="22.5" hidden="1" customHeight="1">
      <c r="A111" s="5"/>
      <c r="B111" s="5"/>
      <c r="C111" s="5"/>
      <c r="D111" s="9"/>
      <c r="E111" s="9"/>
      <c r="F111" s="5" t="s">
        <v>18</v>
      </c>
      <c r="G111" s="9"/>
      <c r="H111" s="5" t="s">
        <v>20</v>
      </c>
      <c r="I111" s="9"/>
      <c r="J111" s="8" t="s">
        <v>21</v>
      </c>
      <c r="K111" s="9"/>
      <c r="L111" s="8" t="s">
        <v>22</v>
      </c>
      <c r="M111" s="9"/>
      <c r="N111" s="5"/>
      <c r="O111" s="5"/>
    </row>
    <row r="112" ht="22.5" hidden="1" customHeight="1">
      <c r="A112" s="5"/>
      <c r="B112" s="5"/>
      <c r="C112" s="5"/>
      <c r="D112" s="9"/>
      <c r="E112" s="9"/>
      <c r="F112" s="5" t="s">
        <v>18</v>
      </c>
      <c r="G112" s="9"/>
      <c r="H112" s="5" t="s">
        <v>20</v>
      </c>
      <c r="I112" s="9"/>
      <c r="J112" s="8" t="s">
        <v>21</v>
      </c>
      <c r="K112" s="9"/>
      <c r="L112" s="8" t="s">
        <v>22</v>
      </c>
      <c r="M112" s="9"/>
      <c r="N112" s="5"/>
      <c r="O112" s="5"/>
    </row>
    <row r="113" ht="22.5" hidden="1" customHeight="1">
      <c r="A113" s="5"/>
      <c r="B113" s="5"/>
      <c r="C113" s="5"/>
      <c r="D113" s="9"/>
      <c r="E113" s="9"/>
      <c r="F113" s="5" t="s">
        <v>18</v>
      </c>
      <c r="G113" s="9"/>
      <c r="H113" s="5" t="s">
        <v>20</v>
      </c>
      <c r="I113" s="9"/>
      <c r="J113" s="8" t="s">
        <v>21</v>
      </c>
      <c r="K113" s="9"/>
      <c r="L113" s="8" t="s">
        <v>22</v>
      </c>
      <c r="M113" s="9"/>
      <c r="N113" s="5"/>
      <c r="O113" s="5"/>
    </row>
    <row r="114" ht="22.5" hidden="1" customHeight="1">
      <c r="A114" s="5"/>
      <c r="B114" s="5"/>
      <c r="C114" s="5"/>
      <c r="D114" s="9"/>
      <c r="E114" s="9"/>
      <c r="F114" s="5" t="s">
        <v>18</v>
      </c>
      <c r="G114" s="9"/>
      <c r="H114" s="5" t="s">
        <v>20</v>
      </c>
      <c r="I114" s="9"/>
      <c r="J114" s="8" t="s">
        <v>21</v>
      </c>
      <c r="K114" s="9"/>
      <c r="L114" s="8" t="s">
        <v>22</v>
      </c>
      <c r="M114" s="9"/>
      <c r="N114" s="5"/>
      <c r="O114" s="5"/>
    </row>
    <row r="115" ht="22.5" hidden="1" customHeight="1">
      <c r="A115" s="5"/>
      <c r="B115" s="5"/>
      <c r="C115" s="5"/>
      <c r="D115" s="9"/>
      <c r="E115" s="9"/>
      <c r="F115" s="5" t="s">
        <v>18</v>
      </c>
      <c r="G115" s="9"/>
      <c r="H115" s="5" t="s">
        <v>20</v>
      </c>
      <c r="I115" s="9"/>
      <c r="J115" s="8" t="s">
        <v>21</v>
      </c>
      <c r="K115" s="9"/>
      <c r="L115" s="8" t="s">
        <v>22</v>
      </c>
      <c r="M115" s="9"/>
      <c r="N115" s="5"/>
      <c r="O115" s="5"/>
    </row>
    <row r="116" ht="22.5" hidden="1" customHeight="1">
      <c r="A116" s="5"/>
      <c r="B116" s="5"/>
      <c r="C116" s="5"/>
      <c r="D116" s="9"/>
      <c r="E116" s="9"/>
      <c r="F116" s="5" t="s">
        <v>18</v>
      </c>
      <c r="G116" s="9"/>
      <c r="H116" s="5" t="s">
        <v>20</v>
      </c>
      <c r="I116" s="9"/>
      <c r="J116" s="8" t="s">
        <v>21</v>
      </c>
      <c r="K116" s="9"/>
      <c r="L116" s="8" t="s">
        <v>22</v>
      </c>
      <c r="M116" s="9"/>
      <c r="N116" s="5"/>
      <c r="O116" s="5"/>
    </row>
    <row r="117" ht="22.5" hidden="1" customHeight="1">
      <c r="A117" s="5"/>
      <c r="B117" s="5"/>
      <c r="C117" s="5"/>
      <c r="D117" s="9"/>
      <c r="E117" s="9"/>
      <c r="F117" s="5" t="s">
        <v>18</v>
      </c>
      <c r="G117" s="9"/>
      <c r="H117" s="5" t="s">
        <v>20</v>
      </c>
      <c r="I117" s="9"/>
      <c r="J117" s="8" t="s">
        <v>21</v>
      </c>
      <c r="K117" s="9"/>
      <c r="L117" s="8" t="s">
        <v>22</v>
      </c>
      <c r="M117" s="9"/>
      <c r="N117" s="5"/>
      <c r="O117" s="5"/>
    </row>
    <row r="118" ht="22.5" hidden="1" customHeight="1">
      <c r="A118" s="5"/>
      <c r="B118" s="5"/>
      <c r="C118" s="5"/>
      <c r="D118" s="9"/>
      <c r="E118" s="9"/>
      <c r="F118" s="5" t="s">
        <v>18</v>
      </c>
      <c r="G118" s="9"/>
      <c r="H118" s="5" t="s">
        <v>20</v>
      </c>
      <c r="I118" s="9"/>
      <c r="J118" s="8" t="s">
        <v>21</v>
      </c>
      <c r="K118" s="9"/>
      <c r="L118" s="8" t="s">
        <v>22</v>
      </c>
      <c r="M118" s="9"/>
      <c r="N118" s="5"/>
      <c r="O118" s="5"/>
    </row>
    <row r="119" ht="22.5" hidden="1" customHeight="1">
      <c r="A119" s="5"/>
      <c r="B119" s="5"/>
      <c r="C119" s="5"/>
      <c r="D119" s="9"/>
      <c r="E119" s="9"/>
      <c r="F119" s="5" t="s">
        <v>18</v>
      </c>
      <c r="G119" s="9"/>
      <c r="H119" s="5" t="s">
        <v>20</v>
      </c>
      <c r="I119" s="9"/>
      <c r="J119" s="8" t="s">
        <v>21</v>
      </c>
      <c r="K119" s="9"/>
      <c r="L119" s="8" t="s">
        <v>22</v>
      </c>
      <c r="M119" s="9"/>
      <c r="N119" s="5"/>
      <c r="O119" s="5"/>
    </row>
    <row r="120" ht="22.5" hidden="1" customHeight="1">
      <c r="A120" s="5"/>
      <c r="B120" s="5"/>
      <c r="C120" s="5"/>
      <c r="D120" s="9"/>
      <c r="E120" s="9"/>
      <c r="F120" s="5" t="s">
        <v>18</v>
      </c>
      <c r="G120" s="9"/>
      <c r="H120" s="5" t="s">
        <v>20</v>
      </c>
      <c r="I120" s="9"/>
      <c r="J120" s="8" t="s">
        <v>21</v>
      </c>
      <c r="K120" s="9"/>
      <c r="L120" s="8" t="s">
        <v>22</v>
      </c>
      <c r="M120" s="9"/>
      <c r="N120" s="5"/>
      <c r="O120" s="5"/>
    </row>
    <row r="121" ht="22.5" hidden="1" customHeight="1">
      <c r="A121" s="3"/>
      <c r="B121" s="5"/>
      <c r="C121" s="5"/>
      <c r="D121" s="9"/>
      <c r="E121" s="9"/>
      <c r="F121" s="5" t="s">
        <v>18</v>
      </c>
      <c r="G121" s="9"/>
      <c r="H121" s="5" t="s">
        <v>20</v>
      </c>
      <c r="I121" s="9"/>
      <c r="J121" s="8" t="s">
        <v>21</v>
      </c>
      <c r="K121" s="9"/>
      <c r="L121" s="8" t="s">
        <v>22</v>
      </c>
      <c r="M121" s="9"/>
      <c r="N121" s="5"/>
      <c r="O121" s="5"/>
    </row>
    <row r="122" ht="22.5" hidden="1" customHeight="1">
      <c r="A122" s="5"/>
      <c r="B122" s="5"/>
      <c r="C122" s="5"/>
      <c r="D122" s="9"/>
      <c r="E122" s="9"/>
      <c r="F122" s="5" t="s">
        <v>18</v>
      </c>
      <c r="G122" s="9"/>
      <c r="H122" s="5" t="s">
        <v>20</v>
      </c>
      <c r="I122" s="9"/>
      <c r="J122" s="8" t="s">
        <v>21</v>
      </c>
      <c r="K122" s="9"/>
      <c r="L122" s="8" t="s">
        <v>22</v>
      </c>
      <c r="M122" s="9"/>
      <c r="N122" s="5"/>
      <c r="O122" s="5"/>
    </row>
    <row r="123" ht="22.5" hidden="1" customHeight="1">
      <c r="A123" s="5"/>
      <c r="B123" s="5"/>
      <c r="C123" s="5"/>
      <c r="D123" s="9"/>
      <c r="E123" s="9"/>
      <c r="F123" s="5" t="s">
        <v>18</v>
      </c>
      <c r="G123" s="9"/>
      <c r="H123" s="5" t="s">
        <v>20</v>
      </c>
      <c r="I123" s="9"/>
      <c r="J123" s="8" t="s">
        <v>21</v>
      </c>
      <c r="K123" s="9"/>
      <c r="L123" s="8" t="s">
        <v>22</v>
      </c>
      <c r="M123" s="9"/>
      <c r="N123" s="5"/>
      <c r="O123" s="5"/>
    </row>
    <row r="124" ht="22.5" hidden="1" customHeight="1">
      <c r="A124" s="5"/>
      <c r="B124" s="5"/>
      <c r="C124" s="5"/>
      <c r="D124" s="9"/>
      <c r="E124" s="9"/>
      <c r="F124" s="5" t="s">
        <v>18</v>
      </c>
      <c r="G124" s="9"/>
      <c r="H124" s="5" t="s">
        <v>20</v>
      </c>
      <c r="I124" s="9"/>
      <c r="J124" s="8" t="s">
        <v>21</v>
      </c>
      <c r="K124" s="9"/>
      <c r="L124" s="8" t="s">
        <v>22</v>
      </c>
      <c r="M124" s="9"/>
      <c r="N124" s="5"/>
      <c r="O124" s="5"/>
    </row>
    <row r="125" ht="22.5" hidden="1" customHeight="1">
      <c r="A125" s="5"/>
      <c r="B125" s="5"/>
      <c r="C125" s="5"/>
      <c r="D125" s="9"/>
      <c r="E125" s="9"/>
      <c r="F125" s="5" t="s">
        <v>18</v>
      </c>
      <c r="G125" s="9"/>
      <c r="H125" s="5" t="s">
        <v>20</v>
      </c>
      <c r="I125" s="9"/>
      <c r="J125" s="8" t="s">
        <v>21</v>
      </c>
      <c r="K125" s="9"/>
      <c r="L125" s="8" t="s">
        <v>22</v>
      </c>
      <c r="M125" s="9"/>
      <c r="N125" s="5"/>
      <c r="O125" s="5"/>
    </row>
    <row r="126" ht="22.5" hidden="1" customHeight="1">
      <c r="A126" s="5"/>
      <c r="B126" s="5"/>
      <c r="C126" s="5"/>
      <c r="D126" s="9"/>
      <c r="E126" s="9"/>
      <c r="F126" s="5" t="s">
        <v>18</v>
      </c>
      <c r="G126" s="9"/>
      <c r="H126" s="5" t="s">
        <v>20</v>
      </c>
      <c r="I126" s="9"/>
      <c r="J126" s="8" t="s">
        <v>21</v>
      </c>
      <c r="K126" s="9"/>
      <c r="L126" s="8" t="s">
        <v>22</v>
      </c>
      <c r="M126" s="9"/>
      <c r="N126" s="5"/>
      <c r="O126" s="5"/>
    </row>
    <row r="127" ht="22.5" hidden="1" customHeight="1">
      <c r="A127" s="5"/>
      <c r="B127" s="5"/>
      <c r="C127" s="5"/>
      <c r="D127" s="9"/>
      <c r="E127" s="9"/>
      <c r="F127" s="5" t="s">
        <v>18</v>
      </c>
      <c r="G127" s="9"/>
      <c r="H127" s="5" t="s">
        <v>20</v>
      </c>
      <c r="I127" s="9"/>
      <c r="J127" s="8" t="s">
        <v>21</v>
      </c>
      <c r="K127" s="9"/>
      <c r="L127" s="8" t="s">
        <v>22</v>
      </c>
      <c r="M127" s="9"/>
      <c r="N127" s="5"/>
      <c r="O127" s="5"/>
    </row>
    <row r="128" ht="22.5" hidden="1" customHeight="1">
      <c r="A128" s="5"/>
      <c r="B128" s="5"/>
      <c r="C128" s="5"/>
      <c r="D128" s="9"/>
      <c r="E128" s="9"/>
      <c r="F128" s="5" t="s">
        <v>18</v>
      </c>
      <c r="G128" s="9"/>
      <c r="H128" s="5" t="s">
        <v>20</v>
      </c>
      <c r="I128" s="9"/>
      <c r="J128" s="8" t="s">
        <v>21</v>
      </c>
      <c r="K128" s="9"/>
      <c r="L128" s="8" t="s">
        <v>22</v>
      </c>
      <c r="M128" s="9"/>
      <c r="N128" s="5"/>
      <c r="O128" s="5"/>
    </row>
    <row r="129" ht="22.5" hidden="1" customHeight="1">
      <c r="A129" s="5"/>
      <c r="B129" s="5"/>
      <c r="C129" s="5"/>
      <c r="D129" s="9"/>
      <c r="E129" s="9"/>
      <c r="F129" s="5" t="s">
        <v>18</v>
      </c>
      <c r="G129" s="9"/>
      <c r="H129" s="5" t="s">
        <v>20</v>
      </c>
      <c r="I129" s="9"/>
      <c r="J129" s="8" t="s">
        <v>21</v>
      </c>
      <c r="K129" s="9"/>
      <c r="L129" s="8" t="s">
        <v>22</v>
      </c>
      <c r="M129" s="9"/>
      <c r="N129" s="5"/>
      <c r="O129" s="5"/>
    </row>
    <row r="130" ht="22.5" hidden="1" customHeight="1">
      <c r="A130" s="5"/>
      <c r="B130" s="5"/>
      <c r="C130" s="5"/>
      <c r="D130" s="9"/>
      <c r="E130" s="9"/>
      <c r="F130" s="5" t="s">
        <v>18</v>
      </c>
      <c r="G130" s="9"/>
      <c r="H130" s="5" t="s">
        <v>20</v>
      </c>
      <c r="I130" s="9"/>
      <c r="J130" s="8" t="s">
        <v>21</v>
      </c>
      <c r="K130" s="9"/>
      <c r="L130" s="8" t="s">
        <v>22</v>
      </c>
      <c r="M130" s="9"/>
      <c r="N130" s="5"/>
      <c r="O130" s="5"/>
    </row>
    <row r="131" ht="22.5" hidden="1" customHeight="1">
      <c r="A131" s="5"/>
      <c r="B131" s="5"/>
      <c r="C131" s="5"/>
      <c r="D131" s="9"/>
      <c r="E131" s="9"/>
      <c r="F131" s="5" t="s">
        <v>18</v>
      </c>
      <c r="G131" s="9"/>
      <c r="H131" s="5" t="s">
        <v>20</v>
      </c>
      <c r="I131" s="9"/>
      <c r="J131" s="8" t="s">
        <v>21</v>
      </c>
      <c r="K131" s="9"/>
      <c r="L131" s="8" t="s">
        <v>22</v>
      </c>
      <c r="M131" s="9"/>
      <c r="N131" s="5"/>
      <c r="O131" s="5"/>
    </row>
    <row r="132" ht="22.5" hidden="1" customHeight="1">
      <c r="A132" s="5"/>
      <c r="B132" s="5"/>
      <c r="C132" s="5"/>
      <c r="D132" s="9"/>
      <c r="E132" s="9"/>
      <c r="F132" s="5" t="s">
        <v>18</v>
      </c>
      <c r="G132" s="9"/>
      <c r="H132" s="5" t="s">
        <v>20</v>
      </c>
      <c r="I132" s="9"/>
      <c r="J132" s="8" t="s">
        <v>21</v>
      </c>
      <c r="K132" s="9"/>
      <c r="L132" s="8" t="s">
        <v>22</v>
      </c>
      <c r="M132" s="9"/>
      <c r="N132" s="5"/>
      <c r="O132" s="5"/>
    </row>
    <row r="133" ht="22.5" hidden="1" customHeight="1">
      <c r="A133" s="5"/>
      <c r="B133" s="5"/>
      <c r="C133" s="5"/>
      <c r="D133" s="9"/>
      <c r="E133" s="9"/>
      <c r="F133" s="5" t="s">
        <v>18</v>
      </c>
      <c r="G133" s="9"/>
      <c r="H133" s="5" t="s">
        <v>20</v>
      </c>
      <c r="I133" s="9"/>
      <c r="J133" s="8" t="s">
        <v>21</v>
      </c>
      <c r="K133" s="9"/>
      <c r="L133" s="8" t="s">
        <v>22</v>
      </c>
      <c r="M133" s="9"/>
      <c r="N133" s="5"/>
      <c r="O133" s="5"/>
    </row>
    <row r="134" ht="22.5" hidden="1" customHeight="1">
      <c r="A134" s="5"/>
      <c r="B134" s="5"/>
      <c r="C134" s="5"/>
      <c r="D134" s="9"/>
      <c r="E134" s="9"/>
      <c r="F134" s="5" t="s">
        <v>18</v>
      </c>
      <c r="G134" s="9"/>
      <c r="H134" s="5" t="s">
        <v>20</v>
      </c>
      <c r="I134" s="9"/>
      <c r="J134" s="8" t="s">
        <v>21</v>
      </c>
      <c r="K134" s="9"/>
      <c r="L134" s="8" t="s">
        <v>22</v>
      </c>
      <c r="M134" s="9"/>
      <c r="N134" s="5"/>
      <c r="O134" s="5"/>
    </row>
    <row r="135" ht="22.5" hidden="1" customHeight="1">
      <c r="A135" s="5"/>
      <c r="B135" s="5"/>
      <c r="C135" s="5"/>
      <c r="D135" s="9"/>
      <c r="E135" s="9"/>
      <c r="F135" s="5" t="s">
        <v>18</v>
      </c>
      <c r="G135" s="9"/>
      <c r="H135" s="5" t="s">
        <v>20</v>
      </c>
      <c r="I135" s="9"/>
      <c r="J135" s="8" t="s">
        <v>21</v>
      </c>
      <c r="K135" s="9"/>
      <c r="L135" s="8" t="s">
        <v>22</v>
      </c>
      <c r="M135" s="9"/>
      <c r="N135" s="5"/>
      <c r="O135" s="5"/>
    </row>
    <row r="136" ht="22.5" hidden="1" customHeight="1">
      <c r="A136" s="5"/>
      <c r="B136" s="5"/>
      <c r="C136" s="5"/>
      <c r="D136" s="9"/>
      <c r="E136" s="9"/>
      <c r="F136" s="5" t="s">
        <v>18</v>
      </c>
      <c r="G136" s="9"/>
      <c r="H136" s="5" t="s">
        <v>20</v>
      </c>
      <c r="I136" s="9"/>
      <c r="J136" s="8" t="s">
        <v>21</v>
      </c>
      <c r="K136" s="9"/>
      <c r="L136" s="8" t="s">
        <v>22</v>
      </c>
      <c r="M136" s="9"/>
      <c r="N136" s="5"/>
      <c r="O136" s="5"/>
    </row>
    <row r="137" ht="22.5" hidden="1" customHeight="1">
      <c r="A137" s="5"/>
      <c r="B137" s="5"/>
      <c r="C137" s="5"/>
      <c r="D137" s="9"/>
      <c r="E137" s="9"/>
      <c r="F137" s="5" t="s">
        <v>18</v>
      </c>
      <c r="G137" s="9"/>
      <c r="H137" s="5" t="s">
        <v>20</v>
      </c>
      <c r="I137" s="9"/>
      <c r="J137" s="8" t="s">
        <v>21</v>
      </c>
      <c r="K137" s="9"/>
      <c r="L137" s="8" t="s">
        <v>22</v>
      </c>
      <c r="M137" s="9"/>
      <c r="N137" s="5"/>
      <c r="O137" s="5"/>
    </row>
    <row r="138" ht="22.5" hidden="1" customHeight="1">
      <c r="A138" s="5"/>
      <c r="B138" s="5"/>
      <c r="C138" s="5"/>
      <c r="D138" s="9"/>
      <c r="E138" s="9"/>
      <c r="F138" s="5" t="s">
        <v>18</v>
      </c>
      <c r="G138" s="9"/>
      <c r="H138" s="5" t="s">
        <v>20</v>
      </c>
      <c r="I138" s="9"/>
      <c r="J138" s="8" t="s">
        <v>21</v>
      </c>
      <c r="K138" s="9"/>
      <c r="L138" s="8" t="s">
        <v>22</v>
      </c>
      <c r="M138" s="9"/>
      <c r="N138" s="5"/>
      <c r="O138" s="5"/>
    </row>
    <row r="139" ht="22.5" hidden="1" customHeight="1">
      <c r="A139" s="5"/>
      <c r="B139" s="5"/>
      <c r="C139" s="5"/>
      <c r="D139" s="9"/>
      <c r="E139" s="9"/>
      <c r="F139" s="5" t="s">
        <v>18</v>
      </c>
      <c r="G139" s="9"/>
      <c r="H139" s="5" t="s">
        <v>20</v>
      </c>
      <c r="I139" s="9"/>
      <c r="J139" s="8" t="s">
        <v>21</v>
      </c>
      <c r="K139" s="9"/>
      <c r="L139" s="8" t="s">
        <v>22</v>
      </c>
      <c r="M139" s="9"/>
      <c r="N139" s="5"/>
      <c r="O139" s="5"/>
    </row>
    <row r="140" ht="22.5" hidden="1" customHeight="1">
      <c r="A140" s="5"/>
      <c r="B140" s="5"/>
      <c r="C140" s="5"/>
      <c r="D140" s="9"/>
      <c r="E140" s="9"/>
      <c r="F140" s="5" t="s">
        <v>18</v>
      </c>
      <c r="G140" s="9"/>
      <c r="H140" s="5" t="s">
        <v>20</v>
      </c>
      <c r="I140" s="9"/>
      <c r="J140" s="8" t="s">
        <v>21</v>
      </c>
      <c r="K140" s="9"/>
      <c r="L140" s="8" t="s">
        <v>22</v>
      </c>
      <c r="M140" s="9"/>
      <c r="N140" s="5"/>
      <c r="O140" s="5"/>
    </row>
    <row r="141" ht="22.5" hidden="1" customHeight="1">
      <c r="A141" s="5"/>
      <c r="B141" s="5"/>
      <c r="C141" s="5"/>
      <c r="D141" s="9"/>
      <c r="E141" s="9"/>
      <c r="F141" s="5" t="s">
        <v>18</v>
      </c>
      <c r="G141" s="9"/>
      <c r="H141" s="5" t="s">
        <v>20</v>
      </c>
      <c r="I141" s="9"/>
      <c r="J141" s="8" t="s">
        <v>21</v>
      </c>
      <c r="K141" s="9"/>
      <c r="L141" s="8" t="s">
        <v>22</v>
      </c>
      <c r="M141" s="9"/>
      <c r="N141" s="5"/>
      <c r="O141" s="5"/>
    </row>
    <row r="142" ht="22.5" hidden="1" customHeight="1">
      <c r="A142" s="5"/>
      <c r="B142" s="5"/>
      <c r="C142" s="5"/>
      <c r="D142" s="9"/>
      <c r="E142" s="9"/>
      <c r="F142" s="5" t="s">
        <v>18</v>
      </c>
      <c r="G142" s="9"/>
      <c r="H142" s="5" t="s">
        <v>20</v>
      </c>
      <c r="I142" s="9"/>
      <c r="J142" s="8" t="s">
        <v>21</v>
      </c>
      <c r="K142" s="9"/>
      <c r="L142" s="8" t="s">
        <v>22</v>
      </c>
      <c r="M142" s="9"/>
      <c r="N142" s="5"/>
      <c r="O142" s="5"/>
    </row>
    <row r="143" ht="22.5" hidden="1" customHeight="1">
      <c r="A143" s="3"/>
      <c r="B143" s="5"/>
      <c r="C143" s="5"/>
      <c r="D143" s="9"/>
      <c r="E143" s="9"/>
      <c r="F143" s="5" t="s">
        <v>18</v>
      </c>
      <c r="G143" s="9"/>
      <c r="H143" s="5" t="s">
        <v>20</v>
      </c>
      <c r="I143" s="9"/>
      <c r="J143" s="8" t="s">
        <v>21</v>
      </c>
      <c r="K143" s="9"/>
      <c r="L143" s="8" t="s">
        <v>22</v>
      </c>
      <c r="M143" s="9"/>
      <c r="N143" s="5"/>
      <c r="O143" s="5"/>
    </row>
    <row r="144" ht="22.5" hidden="1" customHeight="1">
      <c r="A144" s="5"/>
      <c r="B144" s="5"/>
      <c r="C144" s="5"/>
      <c r="D144" s="9"/>
      <c r="E144" s="9"/>
      <c r="F144" s="5" t="s">
        <v>18</v>
      </c>
      <c r="G144" s="9"/>
      <c r="H144" s="5" t="s">
        <v>20</v>
      </c>
      <c r="I144" s="9"/>
      <c r="J144" s="8" t="s">
        <v>21</v>
      </c>
      <c r="K144" s="9"/>
      <c r="L144" s="8" t="s">
        <v>22</v>
      </c>
      <c r="M144" s="9"/>
      <c r="N144" s="5"/>
      <c r="O144" s="5"/>
    </row>
    <row r="145" ht="22.5" hidden="1" customHeight="1">
      <c r="A145" s="5"/>
      <c r="B145" s="5"/>
      <c r="C145" s="5"/>
      <c r="D145" s="9"/>
      <c r="E145" s="9"/>
      <c r="F145" s="5" t="s">
        <v>18</v>
      </c>
      <c r="G145" s="9"/>
      <c r="H145" s="5" t="s">
        <v>20</v>
      </c>
      <c r="I145" s="9"/>
      <c r="J145" s="8" t="s">
        <v>21</v>
      </c>
      <c r="K145" s="9"/>
      <c r="L145" s="8" t="s">
        <v>22</v>
      </c>
      <c r="M145" s="9"/>
      <c r="N145" s="5"/>
      <c r="O145" s="5"/>
    </row>
    <row r="146" ht="22.5" hidden="1" customHeight="1">
      <c r="A146" s="5"/>
      <c r="B146" s="5"/>
      <c r="C146" s="5"/>
      <c r="D146" s="9"/>
      <c r="E146" s="9"/>
      <c r="F146" s="5" t="s">
        <v>18</v>
      </c>
      <c r="G146" s="9"/>
      <c r="H146" s="5" t="s">
        <v>20</v>
      </c>
      <c r="I146" s="9"/>
      <c r="J146" s="8" t="s">
        <v>21</v>
      </c>
      <c r="K146" s="9"/>
      <c r="L146" s="8" t="s">
        <v>22</v>
      </c>
      <c r="M146" s="9"/>
      <c r="N146" s="5"/>
      <c r="O146" s="5"/>
    </row>
    <row r="147" ht="22.5" hidden="1" customHeight="1">
      <c r="A147" s="5"/>
      <c r="B147" s="5"/>
      <c r="C147" s="5"/>
      <c r="D147" s="9"/>
      <c r="E147" s="9"/>
      <c r="F147" s="5" t="s">
        <v>18</v>
      </c>
      <c r="G147" s="9"/>
      <c r="H147" s="5" t="s">
        <v>20</v>
      </c>
      <c r="I147" s="9"/>
      <c r="J147" s="8" t="s">
        <v>21</v>
      </c>
      <c r="K147" s="9"/>
      <c r="L147" s="8" t="s">
        <v>22</v>
      </c>
      <c r="M147" s="9"/>
      <c r="N147" s="5"/>
      <c r="O147" s="5"/>
    </row>
    <row r="148" ht="22.5" hidden="1" customHeight="1">
      <c r="A148" s="3"/>
      <c r="B148" s="5"/>
      <c r="C148" s="5"/>
      <c r="D148" s="9"/>
      <c r="E148" s="9"/>
      <c r="F148" s="5" t="s">
        <v>18</v>
      </c>
      <c r="G148" s="9"/>
      <c r="H148" s="5" t="s">
        <v>20</v>
      </c>
      <c r="I148" s="9"/>
      <c r="J148" s="8" t="s">
        <v>21</v>
      </c>
      <c r="K148" s="9"/>
      <c r="L148" s="8" t="s">
        <v>22</v>
      </c>
      <c r="M148" s="9"/>
      <c r="N148" s="5"/>
      <c r="O148" s="5"/>
    </row>
    <row r="149" ht="22.5" hidden="1" customHeight="1">
      <c r="A149" s="5"/>
      <c r="B149" s="5"/>
      <c r="C149" s="5"/>
      <c r="D149" s="9"/>
      <c r="E149" s="9"/>
      <c r="F149" s="5" t="s">
        <v>18</v>
      </c>
      <c r="G149" s="9"/>
      <c r="H149" s="5" t="s">
        <v>20</v>
      </c>
      <c r="I149" s="9"/>
      <c r="J149" s="8" t="s">
        <v>21</v>
      </c>
      <c r="K149" s="9"/>
      <c r="L149" s="8" t="s">
        <v>22</v>
      </c>
      <c r="M149" s="9"/>
      <c r="N149" s="5"/>
      <c r="O149" s="5"/>
    </row>
    <row r="150" ht="22.5" hidden="1" customHeight="1">
      <c r="A150" s="5"/>
      <c r="B150" s="5"/>
      <c r="C150" s="5"/>
      <c r="D150" s="9"/>
      <c r="E150" s="9"/>
      <c r="F150" s="5" t="s">
        <v>18</v>
      </c>
      <c r="G150" s="9"/>
      <c r="H150" s="5" t="s">
        <v>20</v>
      </c>
      <c r="I150" s="9"/>
      <c r="J150" s="8" t="s">
        <v>21</v>
      </c>
      <c r="K150" s="9"/>
      <c r="L150" s="8" t="s">
        <v>22</v>
      </c>
      <c r="M150" s="9"/>
      <c r="N150" s="5"/>
      <c r="O150" s="5"/>
    </row>
    <row r="151" ht="22.5" hidden="1" customHeight="1">
      <c r="A151" s="5"/>
      <c r="B151" s="5"/>
      <c r="C151" s="5"/>
      <c r="D151" s="9"/>
      <c r="E151" s="9"/>
      <c r="F151" s="5" t="s">
        <v>18</v>
      </c>
      <c r="G151" s="9"/>
      <c r="H151" s="5" t="s">
        <v>20</v>
      </c>
      <c r="I151" s="9"/>
      <c r="J151" s="8" t="s">
        <v>21</v>
      </c>
      <c r="K151" s="9"/>
      <c r="L151" s="8" t="s">
        <v>22</v>
      </c>
      <c r="M151" s="9"/>
      <c r="N151" s="5"/>
      <c r="O151" s="5"/>
    </row>
    <row r="152" ht="22.5" hidden="1" customHeight="1">
      <c r="A152" s="5"/>
      <c r="B152" s="5"/>
      <c r="C152" s="5"/>
      <c r="D152" s="9"/>
      <c r="E152" s="9"/>
      <c r="F152" s="5" t="s">
        <v>18</v>
      </c>
      <c r="G152" s="9"/>
      <c r="H152" s="5" t="s">
        <v>20</v>
      </c>
      <c r="I152" s="9"/>
      <c r="J152" s="8" t="s">
        <v>21</v>
      </c>
      <c r="K152" s="9"/>
      <c r="L152" s="8" t="s">
        <v>22</v>
      </c>
      <c r="M152" s="9"/>
      <c r="N152" s="5"/>
      <c r="O152" s="5"/>
    </row>
    <row r="153" ht="22.5" hidden="1" customHeight="1">
      <c r="A153" s="5"/>
      <c r="B153" s="5"/>
      <c r="C153" s="5"/>
      <c r="D153" s="9"/>
      <c r="E153" s="9"/>
      <c r="F153" s="5" t="s">
        <v>18</v>
      </c>
      <c r="G153" s="9"/>
      <c r="H153" s="5" t="s">
        <v>20</v>
      </c>
      <c r="I153" s="9"/>
      <c r="J153" s="8" t="s">
        <v>21</v>
      </c>
      <c r="K153" s="9"/>
      <c r="L153" s="8" t="s">
        <v>22</v>
      </c>
      <c r="M153" s="9"/>
      <c r="N153" s="5"/>
      <c r="O153" s="5"/>
    </row>
    <row r="154" ht="22.5" hidden="1" customHeight="1">
      <c r="A154" s="5"/>
      <c r="B154" s="5"/>
      <c r="C154" s="5"/>
      <c r="D154" s="9"/>
      <c r="E154" s="9"/>
      <c r="F154" s="5" t="s">
        <v>18</v>
      </c>
      <c r="G154" s="9"/>
      <c r="H154" s="5" t="s">
        <v>20</v>
      </c>
      <c r="I154" s="9"/>
      <c r="J154" s="8" t="s">
        <v>21</v>
      </c>
      <c r="K154" s="9"/>
      <c r="L154" s="8" t="s">
        <v>22</v>
      </c>
      <c r="M154" s="9"/>
      <c r="N154" s="5"/>
      <c r="O154" s="5"/>
    </row>
    <row r="155" ht="22.5" hidden="1" customHeight="1">
      <c r="A155" s="5"/>
      <c r="B155" s="5"/>
      <c r="C155" s="5"/>
      <c r="D155" s="9"/>
      <c r="E155" s="9"/>
      <c r="F155" s="5" t="s">
        <v>18</v>
      </c>
      <c r="G155" s="9"/>
      <c r="H155" s="5" t="s">
        <v>20</v>
      </c>
      <c r="I155" s="9"/>
      <c r="J155" s="8" t="s">
        <v>21</v>
      </c>
      <c r="K155" s="9"/>
      <c r="L155" s="8" t="s">
        <v>22</v>
      </c>
      <c r="M155" s="9"/>
      <c r="N155" s="5"/>
      <c r="O155" s="5"/>
    </row>
    <row r="156" ht="22.5" hidden="1" customHeight="1">
      <c r="A156" s="5"/>
      <c r="B156" s="5"/>
      <c r="C156" s="5"/>
      <c r="D156" s="9"/>
      <c r="E156" s="9"/>
      <c r="F156" s="5" t="s">
        <v>18</v>
      </c>
      <c r="G156" s="9"/>
      <c r="H156" s="5" t="s">
        <v>20</v>
      </c>
      <c r="I156" s="9"/>
      <c r="J156" s="8" t="s">
        <v>21</v>
      </c>
      <c r="K156" s="9"/>
      <c r="L156" s="8" t="s">
        <v>22</v>
      </c>
      <c r="M156" s="9"/>
      <c r="N156" s="5"/>
      <c r="O156" s="5"/>
    </row>
    <row r="157" ht="22.5" hidden="1" customHeight="1">
      <c r="A157" s="5"/>
      <c r="B157" s="5"/>
      <c r="C157" s="5"/>
      <c r="D157" s="9"/>
      <c r="E157" s="9"/>
      <c r="F157" s="5" t="s">
        <v>18</v>
      </c>
      <c r="G157" s="9"/>
      <c r="H157" s="5" t="s">
        <v>20</v>
      </c>
      <c r="I157" s="9"/>
      <c r="J157" s="8" t="s">
        <v>21</v>
      </c>
      <c r="K157" s="9"/>
      <c r="L157" s="8" t="s">
        <v>22</v>
      </c>
      <c r="M157" s="9"/>
      <c r="N157" s="5"/>
      <c r="O157" s="5"/>
    </row>
    <row r="158" ht="22.5" hidden="1" customHeight="1">
      <c r="A158" s="5"/>
      <c r="B158" s="5"/>
      <c r="C158" s="5"/>
      <c r="D158" s="9"/>
      <c r="E158" s="9"/>
      <c r="F158" s="5" t="s">
        <v>18</v>
      </c>
      <c r="G158" s="9"/>
      <c r="H158" s="5" t="s">
        <v>20</v>
      </c>
      <c r="I158" s="9"/>
      <c r="J158" s="8" t="s">
        <v>21</v>
      </c>
      <c r="K158" s="9"/>
      <c r="L158" s="8" t="s">
        <v>22</v>
      </c>
      <c r="M158" s="9"/>
      <c r="N158" s="5"/>
      <c r="O158" s="5"/>
    </row>
    <row r="159" ht="22.5" hidden="1" customHeight="1">
      <c r="A159" s="5"/>
      <c r="B159" s="5"/>
      <c r="C159" s="5"/>
      <c r="D159" s="9"/>
      <c r="E159" s="9"/>
      <c r="F159" s="5" t="s">
        <v>18</v>
      </c>
      <c r="G159" s="9"/>
      <c r="H159" s="5" t="s">
        <v>20</v>
      </c>
      <c r="I159" s="9"/>
      <c r="J159" s="8" t="s">
        <v>21</v>
      </c>
      <c r="K159" s="9"/>
      <c r="L159" s="8" t="s">
        <v>22</v>
      </c>
      <c r="M159" s="9"/>
      <c r="N159" s="5"/>
      <c r="O159" s="5"/>
    </row>
    <row r="160" ht="22.5" hidden="1" customHeight="1">
      <c r="A160" s="5"/>
      <c r="B160" s="5"/>
      <c r="C160" s="5"/>
      <c r="D160" s="9"/>
      <c r="E160" s="9"/>
      <c r="F160" s="5" t="s">
        <v>18</v>
      </c>
      <c r="G160" s="9"/>
      <c r="H160" s="5" t="s">
        <v>20</v>
      </c>
      <c r="I160" s="9"/>
      <c r="J160" s="8" t="s">
        <v>21</v>
      </c>
      <c r="K160" s="9"/>
      <c r="L160" s="8" t="s">
        <v>22</v>
      </c>
      <c r="M160" s="9"/>
      <c r="N160" s="5"/>
      <c r="O160" s="5"/>
    </row>
    <row r="161" ht="22.5" hidden="1" customHeight="1">
      <c r="A161" s="5"/>
      <c r="B161" s="5"/>
      <c r="C161" s="5"/>
      <c r="D161" s="9"/>
      <c r="E161" s="9"/>
      <c r="F161" s="5" t="s">
        <v>18</v>
      </c>
      <c r="G161" s="9"/>
      <c r="H161" s="5" t="s">
        <v>20</v>
      </c>
      <c r="I161" s="9"/>
      <c r="J161" s="8" t="s">
        <v>21</v>
      </c>
      <c r="K161" s="9"/>
      <c r="L161" s="8" t="s">
        <v>22</v>
      </c>
      <c r="M161" s="9"/>
      <c r="N161" s="5"/>
      <c r="O161" s="5"/>
    </row>
    <row r="162" ht="22.5" hidden="1" customHeight="1">
      <c r="A162" s="5"/>
      <c r="B162" s="5"/>
      <c r="C162" s="5"/>
      <c r="D162" s="9"/>
      <c r="E162" s="9"/>
      <c r="F162" s="5" t="s">
        <v>18</v>
      </c>
      <c r="G162" s="9"/>
      <c r="H162" s="5" t="s">
        <v>20</v>
      </c>
      <c r="I162" s="9"/>
      <c r="J162" s="8" t="s">
        <v>21</v>
      </c>
      <c r="K162" s="9"/>
      <c r="L162" s="8" t="s">
        <v>22</v>
      </c>
      <c r="M162" s="9"/>
      <c r="N162" s="5"/>
      <c r="O162" s="5"/>
    </row>
    <row r="163" ht="22.5" hidden="1" customHeight="1">
      <c r="A163" s="5"/>
      <c r="B163" s="5"/>
      <c r="C163" s="5"/>
      <c r="D163" s="9"/>
      <c r="E163" s="9"/>
      <c r="F163" s="5" t="s">
        <v>18</v>
      </c>
      <c r="G163" s="9"/>
      <c r="H163" s="5" t="s">
        <v>20</v>
      </c>
      <c r="I163" s="9"/>
      <c r="J163" s="8" t="s">
        <v>21</v>
      </c>
      <c r="K163" s="9"/>
      <c r="L163" s="8" t="s">
        <v>22</v>
      </c>
      <c r="M163" s="9"/>
      <c r="N163" s="5"/>
      <c r="O163" s="5"/>
    </row>
    <row r="164" ht="22.5" hidden="1" customHeight="1">
      <c r="A164" s="5"/>
      <c r="B164" s="5"/>
      <c r="C164" s="5"/>
      <c r="D164" s="9"/>
      <c r="E164" s="9"/>
      <c r="F164" s="5" t="s">
        <v>18</v>
      </c>
      <c r="G164" s="9"/>
      <c r="H164" s="5" t="s">
        <v>20</v>
      </c>
      <c r="I164" s="9"/>
      <c r="J164" s="8" t="s">
        <v>21</v>
      </c>
      <c r="K164" s="9"/>
      <c r="L164" s="8" t="s">
        <v>22</v>
      </c>
      <c r="M164" s="9"/>
      <c r="N164" s="5"/>
      <c r="O164" s="5"/>
    </row>
    <row r="165" ht="22.5" hidden="1" customHeight="1">
      <c r="A165" s="5"/>
      <c r="B165" s="5"/>
      <c r="C165" s="5"/>
      <c r="D165" s="9"/>
      <c r="E165" s="9"/>
      <c r="F165" s="5" t="s">
        <v>18</v>
      </c>
      <c r="G165" s="9"/>
      <c r="H165" s="5" t="s">
        <v>20</v>
      </c>
      <c r="I165" s="9"/>
      <c r="J165" s="8" t="s">
        <v>21</v>
      </c>
      <c r="K165" s="9"/>
      <c r="L165" s="8" t="s">
        <v>22</v>
      </c>
      <c r="M165" s="9"/>
      <c r="N165" s="5"/>
      <c r="O165" s="5"/>
    </row>
    <row r="166" ht="22.5" hidden="1" customHeight="1">
      <c r="A166" s="5"/>
      <c r="B166" s="5"/>
      <c r="C166" s="5"/>
      <c r="D166" s="9"/>
      <c r="E166" s="9"/>
      <c r="F166" s="5" t="s">
        <v>18</v>
      </c>
      <c r="G166" s="9"/>
      <c r="H166" s="5" t="s">
        <v>20</v>
      </c>
      <c r="I166" s="9"/>
      <c r="J166" s="8" t="s">
        <v>21</v>
      </c>
      <c r="K166" s="9"/>
      <c r="L166" s="8" t="s">
        <v>22</v>
      </c>
      <c r="M166" s="9"/>
      <c r="N166" s="5"/>
      <c r="O166" s="5"/>
    </row>
    <row r="167" ht="22.5" hidden="1" customHeight="1">
      <c r="A167" s="5"/>
      <c r="B167" s="5"/>
      <c r="C167" s="5"/>
      <c r="D167" s="9"/>
      <c r="E167" s="9"/>
      <c r="F167" s="5" t="s">
        <v>18</v>
      </c>
      <c r="G167" s="9"/>
      <c r="H167" s="5" t="s">
        <v>20</v>
      </c>
      <c r="I167" s="9"/>
      <c r="J167" s="8" t="s">
        <v>21</v>
      </c>
      <c r="K167" s="9"/>
      <c r="L167" s="8" t="s">
        <v>22</v>
      </c>
      <c r="M167" s="9"/>
      <c r="N167" s="5"/>
      <c r="O167" s="5"/>
    </row>
    <row r="168" ht="22.5" hidden="1" customHeight="1">
      <c r="A168" s="5"/>
      <c r="B168" s="5"/>
      <c r="C168" s="5"/>
      <c r="D168" s="9"/>
      <c r="E168" s="9"/>
      <c r="F168" s="5" t="s">
        <v>18</v>
      </c>
      <c r="G168" s="9"/>
      <c r="H168" s="5" t="s">
        <v>20</v>
      </c>
      <c r="I168" s="9"/>
      <c r="J168" s="8" t="s">
        <v>21</v>
      </c>
      <c r="K168" s="9"/>
      <c r="L168" s="8" t="s">
        <v>22</v>
      </c>
      <c r="M168" s="9"/>
      <c r="N168" s="5"/>
      <c r="O168" s="5"/>
    </row>
    <row r="169" ht="22.5" hidden="1" customHeight="1">
      <c r="A169" s="5"/>
      <c r="B169" s="5"/>
      <c r="C169" s="5"/>
      <c r="D169" s="9"/>
      <c r="E169" s="9"/>
      <c r="F169" s="5" t="s">
        <v>18</v>
      </c>
      <c r="G169" s="9"/>
      <c r="H169" s="5" t="s">
        <v>20</v>
      </c>
      <c r="I169" s="9"/>
      <c r="J169" s="8" t="s">
        <v>21</v>
      </c>
      <c r="K169" s="9"/>
      <c r="L169" s="8" t="s">
        <v>22</v>
      </c>
      <c r="M169" s="9"/>
      <c r="N169" s="5"/>
      <c r="O169" s="5"/>
    </row>
    <row r="170" ht="22.5" hidden="1" customHeight="1">
      <c r="A170" s="5"/>
      <c r="B170" s="3"/>
      <c r="C170" s="5"/>
      <c r="D170" s="9"/>
      <c r="E170" s="9"/>
      <c r="F170" s="5" t="s">
        <v>18</v>
      </c>
      <c r="G170" s="9"/>
      <c r="H170" s="5" t="s">
        <v>20</v>
      </c>
      <c r="I170" s="9"/>
      <c r="J170" s="8" t="s">
        <v>21</v>
      </c>
      <c r="K170" s="9"/>
      <c r="L170" s="8" t="s">
        <v>22</v>
      </c>
      <c r="M170" s="9"/>
      <c r="N170" s="5"/>
      <c r="O170" s="5"/>
    </row>
    <row r="171" ht="22.5" hidden="1" customHeight="1">
      <c r="A171" s="5"/>
      <c r="B171" s="5"/>
      <c r="C171" s="5"/>
      <c r="D171" s="9"/>
      <c r="E171" s="9"/>
      <c r="F171" s="5" t="s">
        <v>18</v>
      </c>
      <c r="G171" s="9"/>
      <c r="H171" s="5" t="s">
        <v>20</v>
      </c>
      <c r="I171" s="9"/>
      <c r="J171" s="8" t="s">
        <v>21</v>
      </c>
      <c r="K171" s="9"/>
      <c r="L171" s="8" t="s">
        <v>22</v>
      </c>
      <c r="M171" s="9"/>
      <c r="N171" s="5"/>
      <c r="O171" s="5"/>
    </row>
    <row r="172" ht="22.5" hidden="1" customHeight="1">
      <c r="A172" s="5"/>
      <c r="B172" s="5"/>
      <c r="C172" s="5"/>
      <c r="D172" s="9"/>
      <c r="E172" s="9"/>
      <c r="F172" s="5" t="s">
        <v>18</v>
      </c>
      <c r="G172" s="9"/>
      <c r="H172" s="5" t="s">
        <v>20</v>
      </c>
      <c r="I172" s="9"/>
      <c r="J172" s="8" t="s">
        <v>21</v>
      </c>
      <c r="K172" s="9"/>
      <c r="L172" s="8" t="s">
        <v>22</v>
      </c>
      <c r="M172" s="9"/>
      <c r="N172" s="5"/>
      <c r="O172" s="5"/>
    </row>
    <row r="173" ht="22.5" hidden="1" customHeight="1">
      <c r="A173" s="5"/>
      <c r="B173" s="5"/>
      <c r="C173" s="5"/>
      <c r="D173" s="9"/>
      <c r="E173" s="9"/>
      <c r="F173" s="5" t="s">
        <v>18</v>
      </c>
      <c r="G173" s="9"/>
      <c r="H173" s="5" t="s">
        <v>20</v>
      </c>
      <c r="I173" s="9"/>
      <c r="J173" s="8" t="s">
        <v>21</v>
      </c>
      <c r="K173" s="9"/>
      <c r="L173" s="8" t="s">
        <v>22</v>
      </c>
      <c r="M173" s="9"/>
      <c r="N173" s="5"/>
      <c r="O173" s="5"/>
    </row>
    <row r="174" ht="22.5" hidden="1" customHeight="1">
      <c r="A174" s="5"/>
      <c r="B174" s="5"/>
      <c r="C174" s="5"/>
      <c r="D174" s="9"/>
      <c r="E174" s="9"/>
      <c r="F174" s="5" t="s">
        <v>18</v>
      </c>
      <c r="G174" s="9"/>
      <c r="H174" s="5" t="s">
        <v>20</v>
      </c>
      <c r="I174" s="9"/>
      <c r="J174" s="8" t="s">
        <v>21</v>
      </c>
      <c r="K174" s="9"/>
      <c r="L174" s="8" t="s">
        <v>22</v>
      </c>
      <c r="M174" s="9"/>
      <c r="N174" s="5"/>
      <c r="O174" s="5"/>
    </row>
    <row r="175" ht="22.5" hidden="1" customHeight="1">
      <c r="A175" s="5"/>
      <c r="B175" s="15"/>
      <c r="C175" s="5"/>
      <c r="D175" s="9"/>
      <c r="E175" s="9"/>
      <c r="F175" s="5" t="s">
        <v>18</v>
      </c>
      <c r="G175" s="9"/>
      <c r="H175" s="5" t="s">
        <v>20</v>
      </c>
      <c r="I175" s="9"/>
      <c r="J175" s="8" t="s">
        <v>21</v>
      </c>
      <c r="K175" s="9"/>
      <c r="L175" s="8" t="s">
        <v>22</v>
      </c>
      <c r="M175" s="9"/>
      <c r="N175" s="5"/>
      <c r="O175" s="5"/>
    </row>
    <row r="176" ht="22.5" hidden="1" customHeight="1">
      <c r="A176" s="5"/>
      <c r="B176" s="5"/>
      <c r="C176" s="5"/>
      <c r="D176" s="9"/>
      <c r="E176" s="9"/>
      <c r="F176" s="5" t="s">
        <v>18</v>
      </c>
      <c r="G176" s="9"/>
      <c r="H176" s="5" t="s">
        <v>20</v>
      </c>
      <c r="I176" s="9"/>
      <c r="J176" s="8" t="s">
        <v>21</v>
      </c>
      <c r="K176" s="9"/>
      <c r="L176" s="8" t="s">
        <v>22</v>
      </c>
      <c r="M176" s="9"/>
      <c r="N176" s="5"/>
      <c r="O176" s="5"/>
    </row>
    <row r="177" ht="22.5" hidden="1" customHeight="1">
      <c r="A177" s="5"/>
      <c r="B177" s="5"/>
      <c r="C177" s="5"/>
      <c r="D177" s="9"/>
      <c r="E177" s="9"/>
      <c r="F177" s="5" t="s">
        <v>18</v>
      </c>
      <c r="G177" s="9"/>
      <c r="H177" s="5" t="s">
        <v>20</v>
      </c>
      <c r="I177" s="9"/>
      <c r="J177" s="8" t="s">
        <v>21</v>
      </c>
      <c r="K177" s="9"/>
      <c r="L177" s="8" t="s">
        <v>22</v>
      </c>
      <c r="M177" s="9"/>
      <c r="N177" s="5"/>
      <c r="O177" s="5"/>
    </row>
    <row r="178" ht="22.5" hidden="1" customHeight="1">
      <c r="A178" s="5"/>
      <c r="B178" s="5"/>
      <c r="C178" s="5"/>
      <c r="D178" s="9"/>
      <c r="E178" s="9"/>
      <c r="F178" s="5" t="s">
        <v>18</v>
      </c>
      <c r="G178" s="9"/>
      <c r="H178" s="5" t="s">
        <v>20</v>
      </c>
      <c r="I178" s="9"/>
      <c r="J178" s="8" t="s">
        <v>21</v>
      </c>
      <c r="K178" s="9"/>
      <c r="L178" s="8" t="s">
        <v>22</v>
      </c>
      <c r="M178" s="9"/>
      <c r="N178" s="5"/>
      <c r="O178" s="5"/>
    </row>
    <row r="179" ht="22.5" hidden="1" customHeight="1">
      <c r="A179" s="5"/>
      <c r="B179" s="5"/>
      <c r="C179" s="5"/>
      <c r="D179" s="9"/>
      <c r="E179" s="9"/>
      <c r="F179" s="5" t="s">
        <v>18</v>
      </c>
      <c r="G179" s="9"/>
      <c r="H179" s="5" t="s">
        <v>20</v>
      </c>
      <c r="I179" s="9"/>
      <c r="J179" s="8" t="s">
        <v>21</v>
      </c>
      <c r="K179" s="9"/>
      <c r="L179" s="8" t="s">
        <v>22</v>
      </c>
      <c r="M179" s="9"/>
      <c r="N179" s="5"/>
      <c r="O179" s="5"/>
    </row>
    <row r="180" ht="22.5" hidden="1" customHeight="1">
      <c r="A180" s="5"/>
      <c r="B180" s="5"/>
      <c r="C180" s="5"/>
      <c r="D180" s="9"/>
      <c r="E180" s="9"/>
      <c r="F180" s="5" t="s">
        <v>18</v>
      </c>
      <c r="G180" s="9"/>
      <c r="H180" s="5" t="s">
        <v>20</v>
      </c>
      <c r="I180" s="9"/>
      <c r="J180" s="8" t="s">
        <v>21</v>
      </c>
      <c r="K180" s="9"/>
      <c r="L180" s="8" t="s">
        <v>22</v>
      </c>
      <c r="M180" s="9"/>
      <c r="N180" s="5"/>
      <c r="O180" s="5"/>
    </row>
    <row r="181" ht="22.5" hidden="1" customHeight="1">
      <c r="A181" s="5"/>
      <c r="B181" s="5"/>
      <c r="C181" s="5"/>
      <c r="D181" s="9"/>
      <c r="E181" s="9"/>
      <c r="F181" s="5" t="s">
        <v>18</v>
      </c>
      <c r="G181" s="9"/>
      <c r="H181" s="5" t="s">
        <v>20</v>
      </c>
      <c r="I181" s="9"/>
      <c r="J181" s="8" t="s">
        <v>21</v>
      </c>
      <c r="K181" s="9"/>
      <c r="L181" s="8" t="s">
        <v>22</v>
      </c>
      <c r="M181" s="9"/>
      <c r="N181" s="5"/>
      <c r="O181" s="5"/>
    </row>
    <row r="182" ht="22.5" hidden="1" customHeight="1">
      <c r="A182" s="5"/>
      <c r="B182" s="5"/>
      <c r="C182" s="5"/>
      <c r="D182" s="9"/>
      <c r="E182" s="9"/>
      <c r="F182" s="5" t="s">
        <v>18</v>
      </c>
      <c r="G182" s="9"/>
      <c r="H182" s="5" t="s">
        <v>20</v>
      </c>
      <c r="I182" s="9"/>
      <c r="J182" s="8" t="s">
        <v>21</v>
      </c>
      <c r="K182" s="9"/>
      <c r="L182" s="8" t="s">
        <v>22</v>
      </c>
      <c r="M182" s="9"/>
      <c r="N182" s="5"/>
      <c r="O182" s="5"/>
    </row>
    <row r="183" ht="22.5" hidden="1" customHeight="1">
      <c r="A183" s="5"/>
      <c r="B183" s="5"/>
      <c r="C183" s="5"/>
      <c r="D183" s="9"/>
      <c r="E183" s="9"/>
      <c r="F183" s="5" t="s">
        <v>18</v>
      </c>
      <c r="G183" s="9"/>
      <c r="H183" s="5" t="s">
        <v>20</v>
      </c>
      <c r="I183" s="9"/>
      <c r="J183" s="8" t="s">
        <v>21</v>
      </c>
      <c r="K183" s="9"/>
      <c r="L183" s="8" t="s">
        <v>22</v>
      </c>
      <c r="M183" s="9"/>
      <c r="N183" s="5"/>
      <c r="O183" s="5"/>
    </row>
    <row r="184" ht="22.5" hidden="1" customHeight="1">
      <c r="A184" s="5"/>
      <c r="B184" s="5"/>
      <c r="C184" s="5"/>
      <c r="D184" s="9"/>
      <c r="E184" s="9"/>
      <c r="F184" s="5" t="s">
        <v>18</v>
      </c>
      <c r="G184" s="9"/>
      <c r="H184" s="5" t="s">
        <v>20</v>
      </c>
      <c r="I184" s="9"/>
      <c r="J184" s="8" t="s">
        <v>21</v>
      </c>
      <c r="K184" s="9"/>
      <c r="L184" s="8" t="s">
        <v>22</v>
      </c>
      <c r="M184" s="9"/>
      <c r="N184" s="5"/>
      <c r="O184" s="5"/>
    </row>
    <row r="185" ht="22.5" hidden="1" customHeight="1">
      <c r="A185" s="5"/>
      <c r="B185" s="5"/>
      <c r="C185" s="5"/>
      <c r="D185" s="9"/>
      <c r="E185" s="9"/>
      <c r="F185" s="5" t="s">
        <v>18</v>
      </c>
      <c r="G185" s="9"/>
      <c r="H185" s="5" t="s">
        <v>20</v>
      </c>
      <c r="I185" s="9"/>
      <c r="J185" s="8" t="s">
        <v>21</v>
      </c>
      <c r="K185" s="9"/>
      <c r="L185" s="8" t="s">
        <v>22</v>
      </c>
      <c r="M185" s="9"/>
      <c r="N185" s="5"/>
      <c r="O185" s="5"/>
    </row>
    <row r="186" ht="22.5" hidden="1" customHeight="1">
      <c r="A186" s="5"/>
      <c r="B186" s="5"/>
      <c r="C186" s="5"/>
      <c r="D186" s="9"/>
      <c r="E186" s="9"/>
      <c r="F186" s="5" t="s">
        <v>18</v>
      </c>
      <c r="G186" s="9"/>
      <c r="H186" s="5" t="s">
        <v>20</v>
      </c>
      <c r="I186" s="9"/>
      <c r="J186" s="8" t="s">
        <v>21</v>
      </c>
      <c r="K186" s="9"/>
      <c r="L186" s="8" t="s">
        <v>22</v>
      </c>
      <c r="M186" s="9"/>
      <c r="N186" s="5"/>
      <c r="O186" s="5"/>
    </row>
    <row r="187" ht="22.5" hidden="1" customHeight="1">
      <c r="A187" s="5"/>
      <c r="B187" s="5"/>
      <c r="C187" s="5"/>
      <c r="D187" s="9"/>
      <c r="E187" s="9"/>
      <c r="F187" s="5" t="s">
        <v>18</v>
      </c>
      <c r="G187" s="9"/>
      <c r="H187" s="5" t="s">
        <v>20</v>
      </c>
      <c r="I187" s="9"/>
      <c r="J187" s="8" t="s">
        <v>21</v>
      </c>
      <c r="K187" s="9"/>
      <c r="L187" s="8" t="s">
        <v>22</v>
      </c>
      <c r="M187" s="9"/>
      <c r="N187" s="5"/>
      <c r="O187" s="5"/>
    </row>
    <row r="188" ht="22.5" hidden="1" customHeight="1">
      <c r="A188" s="5"/>
      <c r="B188" s="5"/>
      <c r="C188" s="5"/>
      <c r="D188" s="9"/>
      <c r="E188" s="9"/>
      <c r="F188" s="5" t="s">
        <v>18</v>
      </c>
      <c r="G188" s="9"/>
      <c r="H188" s="5" t="s">
        <v>20</v>
      </c>
      <c r="I188" s="9"/>
      <c r="J188" s="8" t="s">
        <v>21</v>
      </c>
      <c r="K188" s="9"/>
      <c r="L188" s="8" t="s">
        <v>22</v>
      </c>
      <c r="M188" s="9"/>
      <c r="N188" s="5"/>
      <c r="O188" s="5"/>
    </row>
    <row r="189" ht="22.5" hidden="1" customHeight="1">
      <c r="A189" s="5"/>
      <c r="B189" s="5"/>
      <c r="C189" s="5"/>
      <c r="D189" s="9"/>
      <c r="E189" s="9"/>
      <c r="F189" s="5" t="s">
        <v>18</v>
      </c>
      <c r="G189" s="9"/>
      <c r="H189" s="5" t="s">
        <v>20</v>
      </c>
      <c r="I189" s="9"/>
      <c r="J189" s="8" t="s">
        <v>21</v>
      </c>
      <c r="K189" s="9"/>
      <c r="L189" s="8" t="s">
        <v>22</v>
      </c>
      <c r="M189" s="9"/>
      <c r="N189" s="5"/>
      <c r="O189" s="5"/>
    </row>
    <row r="190" ht="22.5" hidden="1" customHeight="1">
      <c r="A190" s="5"/>
      <c r="B190" s="5"/>
      <c r="C190" s="5"/>
      <c r="D190" s="9"/>
      <c r="E190" s="9"/>
      <c r="F190" s="5" t="s">
        <v>18</v>
      </c>
      <c r="G190" s="9"/>
      <c r="H190" s="5" t="s">
        <v>20</v>
      </c>
      <c r="I190" s="9"/>
      <c r="J190" s="8" t="s">
        <v>21</v>
      </c>
      <c r="K190" s="9"/>
      <c r="L190" s="8" t="s">
        <v>22</v>
      </c>
      <c r="M190" s="9"/>
      <c r="N190" s="5"/>
      <c r="O190" s="5"/>
    </row>
    <row r="191" ht="22.5" hidden="1" customHeight="1">
      <c r="A191" s="5"/>
      <c r="B191" s="5"/>
      <c r="C191" s="5"/>
      <c r="D191" s="9"/>
      <c r="E191" s="9"/>
      <c r="F191" s="5" t="s">
        <v>18</v>
      </c>
      <c r="G191" s="9"/>
      <c r="H191" s="5" t="s">
        <v>20</v>
      </c>
      <c r="I191" s="9"/>
      <c r="J191" s="8" t="s">
        <v>21</v>
      </c>
      <c r="K191" s="9"/>
      <c r="L191" s="8" t="s">
        <v>22</v>
      </c>
      <c r="M191" s="9"/>
      <c r="N191" s="5"/>
      <c r="O191" s="5"/>
    </row>
    <row r="192" ht="22.5" hidden="1" customHeight="1">
      <c r="A192" s="3"/>
      <c r="B192" s="5"/>
      <c r="C192" s="5"/>
      <c r="D192" s="9"/>
      <c r="E192" s="9"/>
      <c r="F192" s="5" t="s">
        <v>18</v>
      </c>
      <c r="G192" s="9"/>
      <c r="H192" s="5" t="s">
        <v>20</v>
      </c>
      <c r="I192" s="9"/>
      <c r="J192" s="8" t="s">
        <v>21</v>
      </c>
      <c r="K192" s="9"/>
      <c r="L192" s="8" t="s">
        <v>22</v>
      </c>
      <c r="M192" s="9"/>
      <c r="N192" s="5"/>
      <c r="O192" s="5"/>
    </row>
    <row r="193" ht="22.5" hidden="1" customHeight="1">
      <c r="A193" s="5"/>
      <c r="B193" s="5"/>
      <c r="C193" s="5"/>
      <c r="D193" s="9"/>
      <c r="E193" s="9"/>
      <c r="F193" s="5" t="s">
        <v>18</v>
      </c>
      <c r="G193" s="9"/>
      <c r="H193" s="5" t="s">
        <v>20</v>
      </c>
      <c r="I193" s="9"/>
      <c r="J193" s="8" t="s">
        <v>21</v>
      </c>
      <c r="K193" s="9"/>
      <c r="L193" s="8" t="s">
        <v>22</v>
      </c>
      <c r="M193" s="9"/>
      <c r="N193" s="5"/>
      <c r="O193" s="5"/>
    </row>
    <row r="194" ht="22.5" hidden="1" customHeight="1">
      <c r="A194" s="5"/>
      <c r="B194" s="5"/>
      <c r="C194" s="5"/>
      <c r="D194" s="9"/>
      <c r="E194" s="9"/>
      <c r="F194" s="5" t="s">
        <v>18</v>
      </c>
      <c r="G194" s="9"/>
      <c r="H194" s="5" t="s">
        <v>20</v>
      </c>
      <c r="I194" s="9"/>
      <c r="J194" s="8" t="s">
        <v>21</v>
      </c>
      <c r="K194" s="9"/>
      <c r="L194" s="8" t="s">
        <v>22</v>
      </c>
      <c r="M194" s="9"/>
      <c r="N194" s="5"/>
      <c r="O194" s="5"/>
    </row>
    <row r="195" ht="22.5" hidden="1" customHeight="1">
      <c r="A195" s="5"/>
      <c r="B195" s="5"/>
      <c r="C195" s="5"/>
      <c r="D195" s="9"/>
      <c r="E195" s="9"/>
      <c r="F195" s="5" t="s">
        <v>18</v>
      </c>
      <c r="G195" s="9"/>
      <c r="H195" s="5" t="s">
        <v>20</v>
      </c>
      <c r="I195" s="9"/>
      <c r="J195" s="8" t="s">
        <v>21</v>
      </c>
      <c r="K195" s="9"/>
      <c r="L195" s="8" t="s">
        <v>22</v>
      </c>
      <c r="M195" s="9"/>
      <c r="N195" s="5"/>
      <c r="O195" s="5"/>
    </row>
    <row r="196" ht="22.5" hidden="1" customHeight="1">
      <c r="A196" s="5"/>
      <c r="B196" s="5"/>
      <c r="C196" s="5"/>
      <c r="D196" s="9"/>
      <c r="E196" s="9"/>
      <c r="F196" s="5" t="s">
        <v>18</v>
      </c>
      <c r="G196" s="9"/>
      <c r="H196" s="5" t="s">
        <v>20</v>
      </c>
      <c r="I196" s="9"/>
      <c r="J196" s="8" t="s">
        <v>21</v>
      </c>
      <c r="K196" s="9"/>
      <c r="L196" s="8" t="s">
        <v>22</v>
      </c>
      <c r="M196" s="9"/>
      <c r="N196" s="5"/>
      <c r="O196" s="5"/>
    </row>
    <row r="197" ht="22.5" hidden="1" customHeight="1">
      <c r="A197" s="5"/>
      <c r="B197" s="5"/>
      <c r="C197" s="5"/>
      <c r="D197" s="9"/>
      <c r="E197" s="9"/>
      <c r="F197" s="5" t="s">
        <v>18</v>
      </c>
      <c r="G197" s="9"/>
      <c r="H197" s="5" t="s">
        <v>20</v>
      </c>
      <c r="I197" s="9"/>
      <c r="J197" s="8" t="s">
        <v>21</v>
      </c>
      <c r="K197" s="9"/>
      <c r="L197" s="8" t="s">
        <v>22</v>
      </c>
      <c r="M197" s="9"/>
      <c r="N197" s="5"/>
      <c r="O197" s="5"/>
    </row>
    <row r="198" ht="22.5" hidden="1" customHeight="1">
      <c r="A198" s="5"/>
      <c r="B198" s="5"/>
      <c r="C198" s="5"/>
      <c r="D198" s="9"/>
      <c r="E198" s="9"/>
      <c r="F198" s="5" t="s">
        <v>18</v>
      </c>
      <c r="G198" s="9"/>
      <c r="H198" s="5" t="s">
        <v>20</v>
      </c>
      <c r="I198" s="9"/>
      <c r="J198" s="8" t="s">
        <v>21</v>
      </c>
      <c r="K198" s="9"/>
      <c r="L198" s="8" t="s">
        <v>22</v>
      </c>
      <c r="M198" s="9"/>
      <c r="N198" s="5"/>
      <c r="O198" s="5"/>
    </row>
    <row r="199" ht="22.5" hidden="1" customHeight="1">
      <c r="A199" s="5"/>
      <c r="B199" s="5"/>
      <c r="C199" s="5"/>
      <c r="D199" s="9"/>
      <c r="E199" s="9"/>
      <c r="F199" s="5" t="s">
        <v>18</v>
      </c>
      <c r="G199" s="9"/>
      <c r="H199" s="5" t="s">
        <v>20</v>
      </c>
      <c r="I199" s="9"/>
      <c r="J199" s="8" t="s">
        <v>21</v>
      </c>
      <c r="K199" s="9"/>
      <c r="L199" s="8" t="s">
        <v>22</v>
      </c>
      <c r="M199" s="9"/>
      <c r="N199" s="5"/>
      <c r="O199" s="5"/>
    </row>
    <row r="200" ht="22.5" hidden="1" customHeight="1">
      <c r="A200" s="5"/>
      <c r="B200" s="5"/>
      <c r="C200" s="5"/>
      <c r="D200" s="9"/>
      <c r="E200" s="9"/>
      <c r="F200" s="5" t="s">
        <v>18</v>
      </c>
      <c r="G200" s="9"/>
      <c r="H200" s="5" t="s">
        <v>20</v>
      </c>
      <c r="I200" s="9"/>
      <c r="J200" s="8" t="s">
        <v>21</v>
      </c>
      <c r="K200" s="9"/>
      <c r="L200" s="8" t="s">
        <v>22</v>
      </c>
      <c r="M200" s="9"/>
      <c r="N200" s="5"/>
      <c r="O200" s="5"/>
    </row>
    <row r="201" ht="22.5" hidden="1" customHeight="1">
      <c r="A201" s="5"/>
      <c r="B201" s="5"/>
      <c r="C201" s="5"/>
      <c r="D201" s="9"/>
      <c r="E201" s="9"/>
      <c r="F201" s="5" t="s">
        <v>18</v>
      </c>
      <c r="G201" s="9"/>
      <c r="H201" s="5" t="s">
        <v>20</v>
      </c>
      <c r="I201" s="9"/>
      <c r="J201" s="8" t="s">
        <v>21</v>
      </c>
      <c r="K201" s="9"/>
      <c r="L201" s="8" t="s">
        <v>22</v>
      </c>
      <c r="M201" s="9"/>
      <c r="N201" s="5"/>
      <c r="O201" s="5"/>
    </row>
    <row r="202" ht="22.5" hidden="1" customHeight="1">
      <c r="A202" s="5"/>
      <c r="B202" s="5"/>
      <c r="C202" s="5"/>
      <c r="D202" s="9"/>
      <c r="E202" s="9"/>
      <c r="F202" s="5" t="s">
        <v>18</v>
      </c>
      <c r="G202" s="9"/>
      <c r="H202" s="5" t="s">
        <v>20</v>
      </c>
      <c r="I202" s="9"/>
      <c r="J202" s="8" t="s">
        <v>21</v>
      </c>
      <c r="K202" s="9"/>
      <c r="L202" s="8" t="s">
        <v>22</v>
      </c>
      <c r="M202" s="9"/>
      <c r="N202" s="5"/>
      <c r="O202" s="5"/>
    </row>
    <row r="203" ht="22.5" hidden="1" customHeight="1">
      <c r="A203" s="5"/>
      <c r="B203" s="5"/>
      <c r="C203" s="5"/>
      <c r="D203" s="9"/>
      <c r="E203" s="9"/>
      <c r="F203" s="5" t="s">
        <v>18</v>
      </c>
      <c r="G203" s="9"/>
      <c r="H203" s="5" t="s">
        <v>20</v>
      </c>
      <c r="I203" s="9"/>
      <c r="J203" s="8" t="s">
        <v>21</v>
      </c>
      <c r="K203" s="9"/>
      <c r="L203" s="8" t="s">
        <v>22</v>
      </c>
      <c r="M203" s="9"/>
      <c r="N203" s="5"/>
      <c r="O203" s="5"/>
    </row>
    <row r="204" ht="22.5" hidden="1" customHeight="1">
      <c r="A204" s="5"/>
      <c r="B204" s="5"/>
      <c r="C204" s="5"/>
      <c r="D204" s="9"/>
      <c r="E204" s="9"/>
      <c r="F204" s="5" t="s">
        <v>18</v>
      </c>
      <c r="G204" s="9"/>
      <c r="H204" s="5" t="s">
        <v>20</v>
      </c>
      <c r="I204" s="9"/>
      <c r="J204" s="8" t="s">
        <v>21</v>
      </c>
      <c r="K204" s="9"/>
      <c r="L204" s="8" t="s">
        <v>22</v>
      </c>
      <c r="M204" s="9"/>
      <c r="N204" s="5"/>
      <c r="O204" s="5"/>
    </row>
    <row r="205" ht="22.5" hidden="1" customHeight="1">
      <c r="A205" s="5"/>
      <c r="B205" s="5"/>
      <c r="C205" s="5"/>
      <c r="D205" s="9"/>
      <c r="E205" s="9"/>
      <c r="F205" s="5" t="s">
        <v>18</v>
      </c>
      <c r="G205" s="9"/>
      <c r="H205" s="5" t="s">
        <v>20</v>
      </c>
      <c r="I205" s="9"/>
      <c r="J205" s="8" t="s">
        <v>21</v>
      </c>
      <c r="K205" s="9"/>
      <c r="L205" s="8" t="s">
        <v>22</v>
      </c>
      <c r="M205" s="9"/>
      <c r="N205" s="5"/>
      <c r="O205" s="5"/>
    </row>
    <row r="206" ht="22.5" hidden="1" customHeight="1">
      <c r="A206" s="5"/>
      <c r="B206" s="5"/>
      <c r="C206" s="5"/>
      <c r="D206" s="9"/>
      <c r="E206" s="9"/>
      <c r="F206" s="5" t="s">
        <v>18</v>
      </c>
      <c r="G206" s="9"/>
      <c r="H206" s="5" t="s">
        <v>20</v>
      </c>
      <c r="I206" s="9"/>
      <c r="J206" s="8" t="s">
        <v>21</v>
      </c>
      <c r="K206" s="9"/>
      <c r="L206" s="8" t="s">
        <v>22</v>
      </c>
      <c r="M206" s="9"/>
      <c r="N206" s="5"/>
      <c r="O206" s="5"/>
    </row>
    <row r="207" ht="22.5" hidden="1" customHeight="1">
      <c r="A207" s="5"/>
      <c r="B207" s="5"/>
      <c r="C207" s="5"/>
      <c r="D207" s="9"/>
      <c r="E207" s="9"/>
      <c r="F207" s="5" t="s">
        <v>18</v>
      </c>
      <c r="G207" s="9"/>
      <c r="H207" s="5" t="s">
        <v>20</v>
      </c>
      <c r="I207" s="9"/>
      <c r="J207" s="8" t="s">
        <v>21</v>
      </c>
      <c r="K207" s="9"/>
      <c r="L207" s="8" t="s">
        <v>22</v>
      </c>
      <c r="M207" s="9"/>
      <c r="N207" s="5"/>
      <c r="O207" s="5"/>
    </row>
    <row r="208" ht="22.5" hidden="1" customHeight="1">
      <c r="A208" s="5"/>
      <c r="B208" s="5"/>
      <c r="C208" s="5"/>
      <c r="D208" s="9"/>
      <c r="E208" s="9"/>
      <c r="F208" s="5" t="s">
        <v>18</v>
      </c>
      <c r="G208" s="9"/>
      <c r="H208" s="5" t="s">
        <v>20</v>
      </c>
      <c r="I208" s="9"/>
      <c r="J208" s="8" t="s">
        <v>21</v>
      </c>
      <c r="K208" s="9"/>
      <c r="L208" s="8" t="s">
        <v>22</v>
      </c>
      <c r="M208" s="9"/>
      <c r="N208" s="5"/>
      <c r="O208" s="5"/>
    </row>
    <row r="209" ht="22.5" hidden="1" customHeight="1">
      <c r="A209" s="5"/>
      <c r="B209" s="5"/>
      <c r="C209" s="5"/>
      <c r="D209" s="9"/>
      <c r="E209" s="9"/>
      <c r="F209" s="5" t="s">
        <v>18</v>
      </c>
      <c r="G209" s="9"/>
      <c r="H209" s="5" t="s">
        <v>20</v>
      </c>
      <c r="I209" s="9"/>
      <c r="J209" s="8" t="s">
        <v>21</v>
      </c>
      <c r="K209" s="9"/>
      <c r="L209" s="8" t="s">
        <v>22</v>
      </c>
      <c r="M209" s="9"/>
      <c r="N209" s="5"/>
      <c r="O209" s="5"/>
    </row>
    <row r="210" ht="22.5" hidden="1" customHeight="1">
      <c r="A210" s="5"/>
      <c r="B210" s="5"/>
      <c r="C210" s="5"/>
      <c r="D210" s="9"/>
      <c r="E210" s="9"/>
      <c r="F210" s="5" t="s">
        <v>18</v>
      </c>
      <c r="G210" s="9"/>
      <c r="H210" s="5" t="s">
        <v>20</v>
      </c>
      <c r="I210" s="9"/>
      <c r="J210" s="8" t="s">
        <v>21</v>
      </c>
      <c r="K210" s="9"/>
      <c r="L210" s="8" t="s">
        <v>22</v>
      </c>
      <c r="M210" s="9"/>
      <c r="N210" s="5"/>
      <c r="O210" s="5"/>
    </row>
    <row r="211" ht="22.5" hidden="1" customHeight="1">
      <c r="A211" s="5"/>
      <c r="B211" s="5"/>
      <c r="C211" s="5"/>
      <c r="D211" s="9"/>
      <c r="E211" s="9"/>
      <c r="F211" s="5" t="s">
        <v>18</v>
      </c>
      <c r="G211" s="9"/>
      <c r="H211" s="5" t="s">
        <v>20</v>
      </c>
      <c r="I211" s="9"/>
      <c r="J211" s="8" t="s">
        <v>21</v>
      </c>
      <c r="K211" s="9"/>
      <c r="L211" s="8" t="s">
        <v>22</v>
      </c>
      <c r="M211" s="9"/>
      <c r="N211" s="5"/>
      <c r="O211" s="5"/>
    </row>
    <row r="212" ht="22.5" hidden="1" customHeight="1">
      <c r="A212" s="5"/>
      <c r="B212" s="5"/>
      <c r="C212" s="5"/>
      <c r="D212" s="9"/>
      <c r="E212" s="9"/>
      <c r="F212" s="5" t="s">
        <v>18</v>
      </c>
      <c r="G212" s="9"/>
      <c r="H212" s="5" t="s">
        <v>20</v>
      </c>
      <c r="I212" s="9"/>
      <c r="J212" s="8" t="s">
        <v>21</v>
      </c>
      <c r="K212" s="9"/>
      <c r="L212" s="8" t="s">
        <v>22</v>
      </c>
      <c r="M212" s="9"/>
      <c r="N212" s="5"/>
      <c r="O212" s="5"/>
    </row>
    <row r="213" ht="22.5" hidden="1" customHeight="1">
      <c r="A213" s="5"/>
      <c r="B213" s="5"/>
      <c r="C213" s="5"/>
      <c r="D213" s="9"/>
      <c r="E213" s="9"/>
      <c r="F213" s="5" t="s">
        <v>18</v>
      </c>
      <c r="G213" s="9"/>
      <c r="H213" s="5" t="s">
        <v>20</v>
      </c>
      <c r="I213" s="9"/>
      <c r="J213" s="8" t="s">
        <v>21</v>
      </c>
      <c r="K213" s="9"/>
      <c r="L213" s="8" t="s">
        <v>22</v>
      </c>
      <c r="M213" s="9"/>
      <c r="N213" s="5"/>
      <c r="O213" s="5"/>
    </row>
    <row r="214" ht="22.5" hidden="1" customHeight="1">
      <c r="A214" s="5"/>
      <c r="B214" s="5"/>
      <c r="C214" s="5"/>
      <c r="D214" s="9"/>
      <c r="E214" s="9"/>
      <c r="F214" s="5" t="s">
        <v>18</v>
      </c>
      <c r="G214" s="9"/>
      <c r="H214" s="5" t="s">
        <v>20</v>
      </c>
      <c r="I214" s="9"/>
      <c r="J214" s="8" t="s">
        <v>21</v>
      </c>
      <c r="K214" s="9"/>
      <c r="L214" s="8" t="s">
        <v>22</v>
      </c>
      <c r="M214" s="9"/>
      <c r="N214" s="5"/>
      <c r="O214" s="5"/>
    </row>
    <row r="215" ht="22.5" hidden="1" customHeight="1">
      <c r="A215" s="5"/>
      <c r="B215" s="5"/>
      <c r="C215" s="5"/>
      <c r="D215" s="9"/>
      <c r="E215" s="9"/>
      <c r="F215" s="5" t="s">
        <v>18</v>
      </c>
      <c r="G215" s="9"/>
      <c r="H215" s="5" t="s">
        <v>20</v>
      </c>
      <c r="I215" s="9"/>
      <c r="J215" s="8" t="s">
        <v>21</v>
      </c>
      <c r="K215" s="9"/>
      <c r="L215" s="8" t="s">
        <v>22</v>
      </c>
      <c r="M215" s="9"/>
      <c r="N215" s="5"/>
      <c r="O215" s="5"/>
    </row>
    <row r="216" ht="22.5" hidden="1" customHeight="1">
      <c r="A216" s="5"/>
      <c r="B216" s="5"/>
      <c r="C216" s="5"/>
      <c r="D216" s="9"/>
      <c r="E216" s="9"/>
      <c r="F216" s="5" t="s">
        <v>18</v>
      </c>
      <c r="G216" s="9"/>
      <c r="H216" s="5" t="s">
        <v>20</v>
      </c>
      <c r="I216" s="9"/>
      <c r="J216" s="8" t="s">
        <v>21</v>
      </c>
      <c r="K216" s="9"/>
      <c r="L216" s="8" t="s">
        <v>22</v>
      </c>
      <c r="M216" s="9"/>
      <c r="N216" s="5"/>
      <c r="O216" s="5"/>
    </row>
    <row r="217" ht="22.5" hidden="1" customHeight="1">
      <c r="A217" s="5"/>
      <c r="B217" s="5"/>
      <c r="C217" s="5"/>
      <c r="D217" s="9"/>
      <c r="E217" s="9"/>
      <c r="F217" s="5" t="s">
        <v>18</v>
      </c>
      <c r="G217" s="9"/>
      <c r="H217" s="5" t="s">
        <v>20</v>
      </c>
      <c r="I217" s="9"/>
      <c r="J217" s="8" t="s">
        <v>21</v>
      </c>
      <c r="K217" s="9"/>
      <c r="L217" s="8" t="s">
        <v>22</v>
      </c>
      <c r="M217" s="9"/>
      <c r="N217" s="5"/>
      <c r="O217" s="5"/>
    </row>
    <row r="218" ht="22.5" hidden="1" customHeight="1">
      <c r="A218" s="5"/>
      <c r="B218" s="5"/>
      <c r="C218" s="5"/>
      <c r="D218" s="9"/>
      <c r="E218" s="9"/>
      <c r="F218" s="5" t="s">
        <v>18</v>
      </c>
      <c r="G218" s="9"/>
      <c r="H218" s="5" t="s">
        <v>20</v>
      </c>
      <c r="I218" s="9"/>
      <c r="J218" s="8" t="s">
        <v>21</v>
      </c>
      <c r="K218" s="9"/>
      <c r="L218" s="8" t="s">
        <v>22</v>
      </c>
      <c r="M218" s="9"/>
      <c r="N218" s="5"/>
      <c r="O218" s="5"/>
    </row>
    <row r="219" ht="22.5" hidden="1" customHeight="1">
      <c r="A219" s="5"/>
      <c r="B219" s="5"/>
      <c r="C219" s="5"/>
      <c r="D219" s="9"/>
      <c r="E219" s="9"/>
      <c r="F219" s="5" t="s">
        <v>18</v>
      </c>
      <c r="G219" s="9"/>
      <c r="H219" s="5" t="s">
        <v>20</v>
      </c>
      <c r="I219" s="9"/>
      <c r="J219" s="8" t="s">
        <v>21</v>
      </c>
      <c r="K219" s="9"/>
      <c r="L219" s="8" t="s">
        <v>22</v>
      </c>
      <c r="M219" s="9"/>
      <c r="N219" s="5"/>
      <c r="O219" s="5"/>
    </row>
    <row r="220" ht="22.5" hidden="1" customHeight="1">
      <c r="A220" s="5"/>
      <c r="B220" s="5"/>
      <c r="C220" s="5"/>
      <c r="D220" s="9"/>
      <c r="E220" s="9"/>
      <c r="F220" s="5" t="s">
        <v>18</v>
      </c>
      <c r="G220" s="9"/>
      <c r="H220" s="5" t="s">
        <v>20</v>
      </c>
      <c r="I220" s="9"/>
      <c r="J220" s="8" t="s">
        <v>21</v>
      </c>
      <c r="K220" s="9"/>
      <c r="L220" s="8" t="s">
        <v>22</v>
      </c>
      <c r="M220" s="9"/>
      <c r="N220" s="5"/>
      <c r="O220" s="5"/>
    </row>
    <row r="221" ht="22.5" hidden="1" customHeight="1">
      <c r="A221" s="5"/>
      <c r="B221" s="5"/>
      <c r="C221" s="5"/>
      <c r="D221" s="9"/>
      <c r="E221" s="9"/>
      <c r="F221" s="5" t="s">
        <v>18</v>
      </c>
      <c r="G221" s="9"/>
      <c r="H221" s="5" t="s">
        <v>20</v>
      </c>
      <c r="I221" s="9"/>
      <c r="J221" s="8" t="s">
        <v>21</v>
      </c>
      <c r="K221" s="9"/>
      <c r="L221" s="8" t="s">
        <v>22</v>
      </c>
      <c r="M221" s="9"/>
      <c r="N221" s="5"/>
      <c r="O221" s="5"/>
    </row>
    <row r="222" ht="22.5" hidden="1" customHeight="1">
      <c r="A222" s="5"/>
      <c r="B222" s="5"/>
      <c r="C222" s="5"/>
      <c r="D222" s="9"/>
      <c r="E222" s="9"/>
      <c r="F222" s="5" t="s">
        <v>18</v>
      </c>
      <c r="G222" s="9"/>
      <c r="H222" s="5" t="s">
        <v>20</v>
      </c>
      <c r="I222" s="9"/>
      <c r="J222" s="8" t="s">
        <v>21</v>
      </c>
      <c r="K222" s="9"/>
      <c r="L222" s="8" t="s">
        <v>22</v>
      </c>
      <c r="M222" s="9"/>
      <c r="N222" s="5"/>
      <c r="O222" s="5"/>
    </row>
    <row r="223" ht="22.5" hidden="1" customHeight="1">
      <c r="A223" s="5"/>
      <c r="B223" s="5"/>
      <c r="C223" s="5"/>
      <c r="D223" s="9"/>
      <c r="E223" s="9"/>
      <c r="F223" s="5" t="s">
        <v>18</v>
      </c>
      <c r="G223" s="9"/>
      <c r="H223" s="5" t="s">
        <v>20</v>
      </c>
      <c r="I223" s="9"/>
      <c r="J223" s="8" t="s">
        <v>21</v>
      </c>
      <c r="K223" s="9"/>
      <c r="L223" s="8" t="s">
        <v>22</v>
      </c>
      <c r="M223" s="9"/>
      <c r="N223" s="5"/>
      <c r="O223" s="5"/>
    </row>
    <row r="224" ht="22.5" hidden="1" customHeight="1">
      <c r="A224" s="5"/>
      <c r="B224" s="5"/>
      <c r="C224" s="5"/>
      <c r="D224" s="9"/>
      <c r="E224" s="9"/>
      <c r="F224" s="5" t="s">
        <v>18</v>
      </c>
      <c r="G224" s="9"/>
      <c r="H224" s="5" t="s">
        <v>20</v>
      </c>
      <c r="I224" s="9"/>
      <c r="J224" s="8" t="s">
        <v>21</v>
      </c>
      <c r="K224" s="9"/>
      <c r="L224" s="8" t="s">
        <v>22</v>
      </c>
      <c r="M224" s="9"/>
      <c r="N224" s="5"/>
      <c r="O224" s="5"/>
    </row>
    <row r="225" ht="22.5" hidden="1" customHeight="1">
      <c r="A225" s="5"/>
      <c r="B225" s="5"/>
      <c r="C225" s="5"/>
      <c r="D225" s="9"/>
      <c r="E225" s="9"/>
      <c r="F225" s="5" t="s">
        <v>18</v>
      </c>
      <c r="G225" s="9"/>
      <c r="H225" s="5" t="s">
        <v>20</v>
      </c>
      <c r="I225" s="9"/>
      <c r="J225" s="8" t="s">
        <v>21</v>
      </c>
      <c r="K225" s="9"/>
      <c r="L225" s="8" t="s">
        <v>22</v>
      </c>
      <c r="M225" s="9"/>
      <c r="N225" s="5"/>
      <c r="O225" s="5"/>
    </row>
    <row r="226" ht="22.5" hidden="1" customHeight="1">
      <c r="A226" s="5"/>
      <c r="B226" s="5"/>
      <c r="C226" s="5"/>
      <c r="D226" s="9"/>
      <c r="E226" s="9"/>
      <c r="F226" s="5" t="s">
        <v>18</v>
      </c>
      <c r="G226" s="9"/>
      <c r="H226" s="5" t="s">
        <v>20</v>
      </c>
      <c r="I226" s="9"/>
      <c r="J226" s="8" t="s">
        <v>21</v>
      </c>
      <c r="K226" s="9"/>
      <c r="L226" s="8" t="s">
        <v>22</v>
      </c>
      <c r="M226" s="9"/>
      <c r="N226" s="5"/>
      <c r="O226" s="5"/>
    </row>
    <row r="227" ht="22.5" hidden="1" customHeight="1">
      <c r="A227" s="5"/>
      <c r="B227" s="5"/>
      <c r="C227" s="5"/>
      <c r="D227" s="9"/>
      <c r="E227" s="9"/>
      <c r="F227" s="5" t="s">
        <v>18</v>
      </c>
      <c r="G227" s="9"/>
      <c r="H227" s="5" t="s">
        <v>20</v>
      </c>
      <c r="I227" s="9"/>
      <c r="J227" s="8" t="s">
        <v>21</v>
      </c>
      <c r="K227" s="9"/>
      <c r="L227" s="8" t="s">
        <v>22</v>
      </c>
      <c r="M227" s="9"/>
      <c r="N227" s="5"/>
      <c r="O227" s="5"/>
    </row>
    <row r="228" ht="22.5" hidden="1" customHeight="1">
      <c r="A228" s="5"/>
      <c r="B228" s="15"/>
      <c r="C228" s="5"/>
      <c r="D228" s="9"/>
      <c r="E228" s="9"/>
      <c r="F228" s="5" t="s">
        <v>18</v>
      </c>
      <c r="G228" s="9"/>
      <c r="H228" s="5" t="s">
        <v>20</v>
      </c>
      <c r="I228" s="9"/>
      <c r="J228" s="8" t="s">
        <v>21</v>
      </c>
      <c r="K228" s="9"/>
      <c r="L228" s="8" t="s">
        <v>22</v>
      </c>
      <c r="M228" s="9"/>
      <c r="N228" s="5"/>
      <c r="O228" s="5"/>
    </row>
    <row r="229" ht="22.5" hidden="1" customHeight="1">
      <c r="A229" s="5"/>
      <c r="B229" s="5"/>
      <c r="C229" s="5"/>
      <c r="D229" s="9"/>
      <c r="E229" s="9"/>
      <c r="F229" s="5" t="s">
        <v>18</v>
      </c>
      <c r="G229" s="9"/>
      <c r="H229" s="5" t="s">
        <v>20</v>
      </c>
      <c r="I229" s="9"/>
      <c r="J229" s="8" t="s">
        <v>21</v>
      </c>
      <c r="K229" s="9"/>
      <c r="L229" s="8" t="s">
        <v>22</v>
      </c>
      <c r="M229" s="9"/>
      <c r="N229" s="5"/>
      <c r="O229" s="5"/>
    </row>
    <row r="230" ht="22.5" hidden="1" customHeight="1">
      <c r="A230" s="5"/>
      <c r="B230" s="5"/>
      <c r="C230" s="5"/>
      <c r="D230" s="9"/>
      <c r="E230" s="9"/>
      <c r="F230" s="5" t="s">
        <v>18</v>
      </c>
      <c r="G230" s="9"/>
      <c r="H230" s="5" t="s">
        <v>20</v>
      </c>
      <c r="I230" s="9"/>
      <c r="J230" s="8" t="s">
        <v>21</v>
      </c>
      <c r="K230" s="9"/>
      <c r="L230" s="8" t="s">
        <v>22</v>
      </c>
      <c r="M230" s="9"/>
      <c r="N230" s="5"/>
      <c r="O230" s="5"/>
    </row>
    <row r="231" ht="22.5" hidden="1" customHeight="1">
      <c r="A231" s="5"/>
      <c r="B231" s="5"/>
      <c r="C231" s="5"/>
      <c r="D231" s="9"/>
      <c r="E231" s="9"/>
      <c r="F231" s="5" t="s">
        <v>18</v>
      </c>
      <c r="G231" s="9"/>
      <c r="H231" s="5" t="s">
        <v>20</v>
      </c>
      <c r="I231" s="9"/>
      <c r="J231" s="8" t="s">
        <v>21</v>
      </c>
      <c r="K231" s="9"/>
      <c r="L231" s="8" t="s">
        <v>22</v>
      </c>
      <c r="M231" s="9"/>
      <c r="N231" s="5"/>
      <c r="O231" s="5"/>
    </row>
    <row r="232" ht="22.5" hidden="1" customHeight="1">
      <c r="A232" s="5"/>
      <c r="B232" s="5"/>
      <c r="C232" s="5"/>
      <c r="D232" s="9"/>
      <c r="E232" s="9"/>
      <c r="F232" s="5" t="s">
        <v>18</v>
      </c>
      <c r="G232" s="9"/>
      <c r="H232" s="5" t="s">
        <v>20</v>
      </c>
      <c r="I232" s="9"/>
      <c r="J232" s="8" t="s">
        <v>21</v>
      </c>
      <c r="K232" s="9"/>
      <c r="L232" s="8" t="s">
        <v>22</v>
      </c>
      <c r="M232" s="9"/>
      <c r="N232" s="5"/>
      <c r="O232" s="5"/>
    </row>
    <row r="233" ht="22.5" hidden="1" customHeight="1">
      <c r="A233" s="5"/>
      <c r="B233" s="5"/>
      <c r="C233" s="5"/>
      <c r="D233" s="9"/>
      <c r="E233" s="9"/>
      <c r="F233" s="5" t="s">
        <v>18</v>
      </c>
      <c r="G233" s="9"/>
      <c r="H233" s="5" t="s">
        <v>20</v>
      </c>
      <c r="I233" s="9"/>
      <c r="J233" s="8" t="s">
        <v>21</v>
      </c>
      <c r="K233" s="9"/>
      <c r="L233" s="8" t="s">
        <v>22</v>
      </c>
      <c r="M233" s="9"/>
      <c r="N233" s="5"/>
      <c r="O233" s="5"/>
    </row>
    <row r="234" ht="22.5" hidden="1" customHeight="1">
      <c r="A234" s="5"/>
      <c r="B234" s="5"/>
      <c r="C234" s="5"/>
      <c r="D234" s="9"/>
      <c r="E234" s="9"/>
      <c r="F234" s="5" t="s">
        <v>18</v>
      </c>
      <c r="G234" s="9"/>
      <c r="H234" s="5" t="s">
        <v>20</v>
      </c>
      <c r="I234" s="9"/>
      <c r="J234" s="8" t="s">
        <v>21</v>
      </c>
      <c r="K234" s="9"/>
      <c r="L234" s="8" t="s">
        <v>22</v>
      </c>
      <c r="M234" s="9"/>
      <c r="N234" s="5"/>
      <c r="O234" s="5"/>
    </row>
    <row r="235" ht="22.5" hidden="1" customHeight="1">
      <c r="A235" s="5"/>
      <c r="B235" s="5"/>
      <c r="C235" s="5"/>
      <c r="D235" s="9"/>
      <c r="E235" s="9"/>
      <c r="F235" s="5" t="s">
        <v>18</v>
      </c>
      <c r="G235" s="9"/>
      <c r="H235" s="5" t="s">
        <v>20</v>
      </c>
      <c r="I235" s="9"/>
      <c r="J235" s="8" t="s">
        <v>21</v>
      </c>
      <c r="K235" s="9"/>
      <c r="L235" s="8" t="s">
        <v>22</v>
      </c>
      <c r="M235" s="9"/>
      <c r="N235" s="5"/>
      <c r="O235" s="5"/>
    </row>
    <row r="236" ht="22.5" hidden="1" customHeight="1">
      <c r="A236" s="5"/>
      <c r="B236" s="5"/>
      <c r="C236" s="5"/>
      <c r="D236" s="9"/>
      <c r="E236" s="9"/>
      <c r="F236" s="5" t="s">
        <v>18</v>
      </c>
      <c r="G236" s="9"/>
      <c r="H236" s="5" t="s">
        <v>20</v>
      </c>
      <c r="I236" s="9"/>
      <c r="J236" s="8" t="s">
        <v>21</v>
      </c>
      <c r="K236" s="9"/>
      <c r="L236" s="8" t="s">
        <v>22</v>
      </c>
      <c r="M236" s="9"/>
      <c r="N236" s="5"/>
      <c r="O236" s="5"/>
    </row>
    <row r="237" ht="22.5" hidden="1" customHeight="1">
      <c r="A237" s="5"/>
      <c r="B237" s="5"/>
      <c r="C237" s="5"/>
      <c r="D237" s="9"/>
      <c r="E237" s="9"/>
      <c r="F237" s="5" t="s">
        <v>18</v>
      </c>
      <c r="G237" s="9"/>
      <c r="H237" s="5" t="s">
        <v>20</v>
      </c>
      <c r="I237" s="9"/>
      <c r="J237" s="8" t="s">
        <v>21</v>
      </c>
      <c r="K237" s="9"/>
      <c r="L237" s="8" t="s">
        <v>22</v>
      </c>
      <c r="M237" s="9"/>
      <c r="N237" s="5"/>
      <c r="O237" s="5"/>
    </row>
    <row r="238" ht="22.5" hidden="1" customHeight="1">
      <c r="A238" s="5"/>
      <c r="B238" s="5"/>
      <c r="C238" s="5"/>
      <c r="D238" s="9"/>
      <c r="E238" s="9"/>
      <c r="F238" s="5" t="s">
        <v>18</v>
      </c>
      <c r="G238" s="9"/>
      <c r="H238" s="5" t="s">
        <v>20</v>
      </c>
      <c r="I238" s="9"/>
      <c r="J238" s="8" t="s">
        <v>21</v>
      </c>
      <c r="K238" s="9"/>
      <c r="L238" s="8" t="s">
        <v>22</v>
      </c>
      <c r="M238" s="9"/>
      <c r="N238" s="5"/>
      <c r="O238" s="5"/>
    </row>
    <row r="239" ht="22.5" hidden="1" customHeight="1">
      <c r="A239" s="5"/>
      <c r="B239" s="5"/>
      <c r="C239" s="5"/>
      <c r="D239" s="9"/>
      <c r="E239" s="9"/>
      <c r="F239" s="5" t="s">
        <v>18</v>
      </c>
      <c r="G239" s="9"/>
      <c r="H239" s="5" t="s">
        <v>20</v>
      </c>
      <c r="I239" s="9"/>
      <c r="J239" s="8" t="s">
        <v>21</v>
      </c>
      <c r="K239" s="9"/>
      <c r="L239" s="8" t="s">
        <v>22</v>
      </c>
      <c r="M239" s="9"/>
      <c r="N239" s="5"/>
      <c r="O239" s="5"/>
    </row>
    <row r="240" ht="22.5" hidden="1" customHeight="1">
      <c r="A240" s="5"/>
      <c r="B240" s="5"/>
      <c r="C240" s="5"/>
      <c r="D240" s="9"/>
      <c r="E240" s="9"/>
      <c r="F240" s="5" t="s">
        <v>18</v>
      </c>
      <c r="G240" s="9"/>
      <c r="H240" s="5" t="s">
        <v>20</v>
      </c>
      <c r="I240" s="9"/>
      <c r="J240" s="8" t="s">
        <v>21</v>
      </c>
      <c r="K240" s="9"/>
      <c r="L240" s="8" t="s">
        <v>22</v>
      </c>
      <c r="M240" s="9"/>
      <c r="N240" s="5"/>
      <c r="O240" s="5"/>
    </row>
    <row r="241" ht="22.5" hidden="1" customHeight="1">
      <c r="A241" s="5"/>
      <c r="B241" s="5"/>
      <c r="C241" s="5"/>
      <c r="D241" s="9"/>
      <c r="E241" s="9"/>
      <c r="F241" s="5" t="s">
        <v>18</v>
      </c>
      <c r="G241" s="9"/>
      <c r="H241" s="5" t="s">
        <v>20</v>
      </c>
      <c r="I241" s="9"/>
      <c r="J241" s="8" t="s">
        <v>21</v>
      </c>
      <c r="K241" s="9"/>
      <c r="L241" s="8" t="s">
        <v>22</v>
      </c>
      <c r="M241" s="9"/>
      <c r="N241" s="5"/>
      <c r="O241" s="5"/>
    </row>
    <row r="242" ht="22.5" hidden="1" customHeight="1">
      <c r="A242" s="5"/>
      <c r="B242" s="5"/>
      <c r="C242" s="5"/>
      <c r="D242" s="9"/>
      <c r="E242" s="9"/>
      <c r="F242" s="5" t="s">
        <v>18</v>
      </c>
      <c r="G242" s="9"/>
      <c r="H242" s="5" t="s">
        <v>20</v>
      </c>
      <c r="I242" s="9"/>
      <c r="J242" s="8" t="s">
        <v>21</v>
      </c>
      <c r="K242" s="9"/>
      <c r="L242" s="8" t="s">
        <v>22</v>
      </c>
      <c r="M242" s="9"/>
      <c r="N242" s="5"/>
      <c r="O242" s="5"/>
    </row>
    <row r="243" ht="22.5" hidden="1" customHeight="1">
      <c r="A243" s="5"/>
      <c r="B243" s="5"/>
      <c r="C243" s="5"/>
      <c r="D243" s="9"/>
      <c r="E243" s="9"/>
      <c r="F243" s="5" t="s">
        <v>18</v>
      </c>
      <c r="G243" s="9"/>
      <c r="H243" s="5" t="s">
        <v>20</v>
      </c>
      <c r="I243" s="9"/>
      <c r="J243" s="8" t="s">
        <v>21</v>
      </c>
      <c r="K243" s="9"/>
      <c r="L243" s="8" t="s">
        <v>22</v>
      </c>
      <c r="M243" s="9"/>
      <c r="N243" s="5"/>
      <c r="O243" s="5"/>
    </row>
    <row r="244" ht="22.5" hidden="1" customHeight="1">
      <c r="A244" s="5"/>
      <c r="B244" s="5"/>
      <c r="C244" s="5"/>
      <c r="D244" s="9"/>
      <c r="E244" s="9"/>
      <c r="F244" s="5" t="s">
        <v>18</v>
      </c>
      <c r="G244" s="9"/>
      <c r="H244" s="5" t="s">
        <v>20</v>
      </c>
      <c r="I244" s="9"/>
      <c r="J244" s="8" t="s">
        <v>21</v>
      </c>
      <c r="K244" s="9"/>
      <c r="L244" s="8" t="s">
        <v>22</v>
      </c>
      <c r="M244" s="9"/>
      <c r="N244" s="5"/>
      <c r="O244" s="5"/>
    </row>
    <row r="245" ht="22.5" hidden="1" customHeight="1">
      <c r="A245" s="5"/>
      <c r="B245" s="5"/>
      <c r="C245" s="5"/>
      <c r="D245" s="9"/>
      <c r="E245" s="9"/>
      <c r="F245" s="5" t="s">
        <v>18</v>
      </c>
      <c r="G245" s="9"/>
      <c r="H245" s="5" t="s">
        <v>20</v>
      </c>
      <c r="I245" s="9"/>
      <c r="J245" s="8" t="s">
        <v>21</v>
      </c>
      <c r="K245" s="9"/>
      <c r="L245" s="8" t="s">
        <v>22</v>
      </c>
      <c r="M245" s="9"/>
      <c r="N245" s="5"/>
      <c r="O245" s="5"/>
    </row>
    <row r="246" ht="22.5" hidden="1" customHeight="1">
      <c r="A246" s="5"/>
      <c r="B246" s="5"/>
      <c r="C246" s="5"/>
      <c r="D246" s="9"/>
      <c r="E246" s="9"/>
      <c r="F246" s="5" t="s">
        <v>18</v>
      </c>
      <c r="G246" s="9"/>
      <c r="H246" s="5" t="s">
        <v>20</v>
      </c>
      <c r="I246" s="9"/>
      <c r="J246" s="8" t="s">
        <v>21</v>
      </c>
      <c r="K246" s="9"/>
      <c r="L246" s="8" t="s">
        <v>22</v>
      </c>
      <c r="M246" s="9"/>
      <c r="N246" s="5"/>
      <c r="O246" s="5"/>
    </row>
    <row r="247" ht="22.5" hidden="1" customHeight="1">
      <c r="A247" s="5"/>
      <c r="B247" s="5"/>
      <c r="C247" s="5"/>
      <c r="D247" s="9"/>
      <c r="E247" s="9"/>
      <c r="F247" s="5" t="s">
        <v>18</v>
      </c>
      <c r="G247" s="9"/>
      <c r="H247" s="5" t="s">
        <v>20</v>
      </c>
      <c r="I247" s="9"/>
      <c r="J247" s="8" t="s">
        <v>21</v>
      </c>
      <c r="K247" s="9"/>
      <c r="L247" s="8" t="s">
        <v>22</v>
      </c>
      <c r="M247" s="9"/>
      <c r="N247" s="5"/>
      <c r="O247" s="5"/>
    </row>
    <row r="248" ht="22.5" hidden="1" customHeight="1">
      <c r="A248" s="5"/>
      <c r="B248" s="5"/>
      <c r="C248" s="5"/>
      <c r="D248" s="9"/>
      <c r="E248" s="9"/>
      <c r="F248" s="5" t="s">
        <v>18</v>
      </c>
      <c r="G248" s="9"/>
      <c r="H248" s="5" t="s">
        <v>20</v>
      </c>
      <c r="I248" s="9"/>
      <c r="J248" s="8" t="s">
        <v>21</v>
      </c>
      <c r="K248" s="9"/>
      <c r="L248" s="8" t="s">
        <v>22</v>
      </c>
      <c r="M248" s="9"/>
      <c r="N248" s="5"/>
      <c r="O248" s="5"/>
    </row>
    <row r="249" ht="22.5" hidden="1" customHeight="1">
      <c r="A249" s="5"/>
      <c r="B249" s="5"/>
      <c r="C249" s="5"/>
      <c r="D249" s="9"/>
      <c r="E249" s="9"/>
      <c r="F249" s="5" t="s">
        <v>18</v>
      </c>
      <c r="G249" s="9"/>
      <c r="H249" s="5" t="s">
        <v>20</v>
      </c>
      <c r="I249" s="9"/>
      <c r="J249" s="8" t="s">
        <v>21</v>
      </c>
      <c r="K249" s="9"/>
      <c r="L249" s="8" t="s">
        <v>22</v>
      </c>
      <c r="M249" s="9"/>
      <c r="N249" s="5"/>
      <c r="O249" s="5"/>
    </row>
    <row r="250" ht="22.5" hidden="1" customHeight="1">
      <c r="A250" s="5"/>
      <c r="B250" s="5"/>
      <c r="C250" s="5"/>
      <c r="D250" s="9"/>
      <c r="E250" s="9"/>
      <c r="F250" s="5" t="s">
        <v>18</v>
      </c>
      <c r="G250" s="9"/>
      <c r="H250" s="5" t="s">
        <v>20</v>
      </c>
      <c r="I250" s="9"/>
      <c r="J250" s="8" t="s">
        <v>21</v>
      </c>
      <c r="K250" s="9"/>
      <c r="L250" s="8" t="s">
        <v>22</v>
      </c>
      <c r="M250" s="9"/>
      <c r="N250" s="5"/>
      <c r="O250" s="5"/>
    </row>
    <row r="251" ht="22.5" hidden="1" customHeight="1">
      <c r="A251" s="5"/>
      <c r="B251" s="5"/>
      <c r="C251" s="5"/>
      <c r="D251" s="9"/>
      <c r="E251" s="9"/>
      <c r="F251" s="5" t="s">
        <v>18</v>
      </c>
      <c r="G251" s="9"/>
      <c r="H251" s="5" t="s">
        <v>20</v>
      </c>
      <c r="I251" s="9"/>
      <c r="J251" s="8" t="s">
        <v>21</v>
      </c>
      <c r="K251" s="9"/>
      <c r="L251" s="8" t="s">
        <v>22</v>
      </c>
      <c r="M251" s="9"/>
      <c r="N251" s="5"/>
      <c r="O251" s="5"/>
    </row>
    <row r="252" ht="22.5" hidden="1" customHeight="1">
      <c r="A252" s="5"/>
      <c r="B252" s="5"/>
      <c r="C252" s="5"/>
      <c r="D252" s="9"/>
      <c r="E252" s="9"/>
      <c r="F252" s="5" t="s">
        <v>18</v>
      </c>
      <c r="G252" s="9"/>
      <c r="H252" s="5" t="s">
        <v>20</v>
      </c>
      <c r="I252" s="9"/>
      <c r="J252" s="8" t="s">
        <v>21</v>
      </c>
      <c r="K252" s="9"/>
      <c r="L252" s="8" t="s">
        <v>22</v>
      </c>
      <c r="M252" s="9"/>
      <c r="N252" s="5"/>
      <c r="O252" s="5"/>
    </row>
    <row r="253" ht="22.5" hidden="1" customHeight="1">
      <c r="A253" s="5"/>
      <c r="B253" s="5"/>
      <c r="C253" s="5"/>
      <c r="D253" s="9"/>
      <c r="E253" s="9"/>
      <c r="F253" s="5" t="s">
        <v>18</v>
      </c>
      <c r="G253" s="9"/>
      <c r="H253" s="5" t="s">
        <v>20</v>
      </c>
      <c r="I253" s="9"/>
      <c r="J253" s="8" t="s">
        <v>21</v>
      </c>
      <c r="K253" s="9"/>
      <c r="L253" s="8" t="s">
        <v>22</v>
      </c>
      <c r="M253" s="9"/>
      <c r="N253" s="5"/>
      <c r="O253" s="5"/>
    </row>
    <row r="254" ht="22.5" hidden="1" customHeight="1">
      <c r="A254" s="5"/>
      <c r="B254" s="5"/>
      <c r="C254" s="5"/>
      <c r="D254" s="9"/>
      <c r="E254" s="9"/>
      <c r="F254" s="5" t="s">
        <v>18</v>
      </c>
      <c r="G254" s="9"/>
      <c r="H254" s="5" t="s">
        <v>20</v>
      </c>
      <c r="I254" s="9"/>
      <c r="J254" s="8" t="s">
        <v>21</v>
      </c>
      <c r="K254" s="9"/>
      <c r="L254" s="8" t="s">
        <v>22</v>
      </c>
      <c r="M254" s="9"/>
      <c r="N254" s="5"/>
      <c r="O254" s="5"/>
    </row>
    <row r="255" ht="22.5" hidden="1" customHeight="1">
      <c r="A255" s="5"/>
      <c r="B255" s="5"/>
      <c r="C255" s="5"/>
      <c r="D255" s="9"/>
      <c r="E255" s="9"/>
      <c r="F255" s="5" t="s">
        <v>18</v>
      </c>
      <c r="G255" s="9"/>
      <c r="H255" s="5" t="s">
        <v>20</v>
      </c>
      <c r="I255" s="9"/>
      <c r="J255" s="8" t="s">
        <v>21</v>
      </c>
      <c r="K255" s="9"/>
      <c r="L255" s="8" t="s">
        <v>22</v>
      </c>
      <c r="M255" s="9"/>
      <c r="N255" s="5"/>
      <c r="O255" s="5"/>
    </row>
    <row r="256" ht="22.5" hidden="1" customHeight="1">
      <c r="A256" s="5"/>
      <c r="B256" s="5"/>
      <c r="C256" s="5"/>
      <c r="D256" s="9"/>
      <c r="E256" s="9"/>
      <c r="F256" s="5" t="s">
        <v>18</v>
      </c>
      <c r="G256" s="9"/>
      <c r="H256" s="5" t="s">
        <v>20</v>
      </c>
      <c r="I256" s="9"/>
      <c r="J256" s="8" t="s">
        <v>21</v>
      </c>
      <c r="K256" s="9"/>
      <c r="L256" s="8" t="s">
        <v>22</v>
      </c>
      <c r="M256" s="9"/>
      <c r="N256" s="5"/>
      <c r="O256" s="5"/>
    </row>
    <row r="257" ht="22.5" hidden="1" customHeight="1">
      <c r="A257" s="3"/>
      <c r="B257" s="5"/>
      <c r="C257" s="5"/>
      <c r="D257" s="9"/>
      <c r="E257" s="9"/>
      <c r="F257" s="5" t="s">
        <v>18</v>
      </c>
      <c r="G257" s="9"/>
      <c r="H257" s="5" t="s">
        <v>20</v>
      </c>
      <c r="I257" s="9"/>
      <c r="J257" s="8" t="s">
        <v>21</v>
      </c>
      <c r="K257" s="9"/>
      <c r="L257" s="8" t="s">
        <v>22</v>
      </c>
      <c r="M257" s="9"/>
      <c r="N257" s="5"/>
      <c r="O257" s="5"/>
    </row>
    <row r="258" ht="22.5" hidden="1" customHeight="1">
      <c r="A258" s="5"/>
      <c r="B258" s="5"/>
      <c r="C258" s="5"/>
      <c r="D258" s="9"/>
      <c r="E258" s="9"/>
      <c r="F258" s="5" t="s">
        <v>18</v>
      </c>
      <c r="G258" s="9"/>
      <c r="H258" s="5" t="s">
        <v>20</v>
      </c>
      <c r="I258" s="9"/>
      <c r="J258" s="8" t="s">
        <v>21</v>
      </c>
      <c r="K258" s="9"/>
      <c r="L258" s="8" t="s">
        <v>22</v>
      </c>
      <c r="M258" s="9"/>
      <c r="N258" s="5"/>
      <c r="O258" s="5"/>
    </row>
    <row r="259" ht="22.5" hidden="1" customHeight="1">
      <c r="A259" s="5"/>
      <c r="B259" s="5"/>
      <c r="C259" s="5"/>
      <c r="D259" s="9"/>
      <c r="E259" s="9"/>
      <c r="F259" s="5" t="s">
        <v>18</v>
      </c>
      <c r="G259" s="9"/>
      <c r="H259" s="5" t="s">
        <v>20</v>
      </c>
      <c r="I259" s="9"/>
      <c r="J259" s="8" t="s">
        <v>21</v>
      </c>
      <c r="K259" s="9"/>
      <c r="L259" s="8" t="s">
        <v>22</v>
      </c>
      <c r="M259" s="9"/>
      <c r="N259" s="5"/>
      <c r="O259" s="5"/>
    </row>
    <row r="260" ht="22.5" hidden="1" customHeight="1">
      <c r="A260" s="5"/>
      <c r="B260" s="5"/>
      <c r="C260" s="5"/>
      <c r="D260" s="9"/>
      <c r="E260" s="9"/>
      <c r="F260" s="5" t="s">
        <v>18</v>
      </c>
      <c r="G260" s="9"/>
      <c r="H260" s="5" t="s">
        <v>20</v>
      </c>
      <c r="I260" s="9"/>
      <c r="J260" s="8" t="s">
        <v>21</v>
      </c>
      <c r="K260" s="9"/>
      <c r="L260" s="8" t="s">
        <v>22</v>
      </c>
      <c r="M260" s="9"/>
      <c r="N260" s="5"/>
      <c r="O260" s="5"/>
    </row>
    <row r="261" ht="22.5" hidden="1" customHeight="1">
      <c r="A261" s="5"/>
      <c r="B261" s="5"/>
      <c r="C261" s="5"/>
      <c r="D261" s="9"/>
      <c r="E261" s="9"/>
      <c r="F261" s="5" t="s">
        <v>18</v>
      </c>
      <c r="G261" s="9"/>
      <c r="H261" s="5" t="s">
        <v>20</v>
      </c>
      <c r="I261" s="9"/>
      <c r="J261" s="8" t="s">
        <v>21</v>
      </c>
      <c r="K261" s="9"/>
      <c r="L261" s="8" t="s">
        <v>22</v>
      </c>
      <c r="M261" s="9"/>
      <c r="N261" s="5"/>
      <c r="O261" s="5"/>
    </row>
    <row r="262" ht="22.5" hidden="1" customHeight="1">
      <c r="A262" s="5"/>
      <c r="B262" s="5"/>
      <c r="C262" s="5"/>
      <c r="D262" s="9"/>
      <c r="E262" s="9"/>
      <c r="F262" s="5" t="s">
        <v>18</v>
      </c>
      <c r="G262" s="9"/>
      <c r="H262" s="5" t="s">
        <v>20</v>
      </c>
      <c r="I262" s="9"/>
      <c r="J262" s="8" t="s">
        <v>21</v>
      </c>
      <c r="K262" s="9"/>
      <c r="L262" s="8" t="s">
        <v>22</v>
      </c>
      <c r="M262" s="9"/>
      <c r="N262" s="5"/>
      <c r="O262" s="5"/>
    </row>
    <row r="263" ht="22.5" hidden="1" customHeight="1">
      <c r="A263" s="5"/>
      <c r="B263" s="5"/>
      <c r="C263" s="5"/>
      <c r="D263" s="9"/>
      <c r="E263" s="9"/>
      <c r="F263" s="5" t="s">
        <v>18</v>
      </c>
      <c r="G263" s="9"/>
      <c r="H263" s="5" t="s">
        <v>20</v>
      </c>
      <c r="I263" s="9"/>
      <c r="J263" s="8" t="s">
        <v>21</v>
      </c>
      <c r="K263" s="9"/>
      <c r="L263" s="8" t="s">
        <v>22</v>
      </c>
      <c r="M263" s="9"/>
      <c r="N263" s="5"/>
      <c r="O263" s="5"/>
    </row>
    <row r="264" ht="22.5" hidden="1" customHeight="1">
      <c r="A264" s="5"/>
      <c r="B264" s="5"/>
      <c r="C264" s="5"/>
      <c r="D264" s="9"/>
      <c r="E264" s="9"/>
      <c r="F264" s="5" t="s">
        <v>18</v>
      </c>
      <c r="G264" s="9"/>
      <c r="H264" s="5" t="s">
        <v>20</v>
      </c>
      <c r="I264" s="9"/>
      <c r="J264" s="8" t="s">
        <v>21</v>
      </c>
      <c r="K264" s="9"/>
      <c r="L264" s="8" t="s">
        <v>22</v>
      </c>
      <c r="M264" s="9"/>
      <c r="N264" s="5"/>
      <c r="O264" s="5"/>
    </row>
    <row r="265" ht="22.5" hidden="1" customHeight="1">
      <c r="A265" s="5"/>
      <c r="B265" s="5"/>
      <c r="C265" s="5"/>
      <c r="D265" s="9"/>
      <c r="E265" s="9"/>
      <c r="F265" s="5" t="s">
        <v>18</v>
      </c>
      <c r="G265" s="9"/>
      <c r="H265" s="5" t="s">
        <v>20</v>
      </c>
      <c r="I265" s="9"/>
      <c r="J265" s="8" t="s">
        <v>21</v>
      </c>
      <c r="K265" s="9"/>
      <c r="L265" s="8" t="s">
        <v>22</v>
      </c>
      <c r="M265" s="9"/>
      <c r="N265" s="5"/>
      <c r="O265" s="5"/>
    </row>
    <row r="266" ht="22.5" hidden="1" customHeight="1">
      <c r="A266" s="5"/>
      <c r="B266" s="5"/>
      <c r="C266" s="5"/>
      <c r="D266" s="9"/>
      <c r="E266" s="9"/>
      <c r="F266" s="5" t="s">
        <v>18</v>
      </c>
      <c r="G266" s="9"/>
      <c r="H266" s="5" t="s">
        <v>20</v>
      </c>
      <c r="I266" s="9"/>
      <c r="J266" s="8" t="s">
        <v>21</v>
      </c>
      <c r="K266" s="9"/>
      <c r="L266" s="8" t="s">
        <v>22</v>
      </c>
      <c r="M266" s="9"/>
      <c r="N266" s="5"/>
      <c r="O266" s="5"/>
    </row>
    <row r="267" ht="22.5" hidden="1" customHeight="1">
      <c r="A267" s="5"/>
      <c r="B267" s="5"/>
      <c r="C267" s="5"/>
      <c r="D267" s="9"/>
      <c r="E267" s="9"/>
      <c r="F267" s="5" t="s">
        <v>18</v>
      </c>
      <c r="G267" s="9"/>
      <c r="H267" s="5" t="s">
        <v>20</v>
      </c>
      <c r="I267" s="9"/>
      <c r="J267" s="8" t="s">
        <v>21</v>
      </c>
      <c r="K267" s="9"/>
      <c r="L267" s="8" t="s">
        <v>22</v>
      </c>
      <c r="M267" s="9"/>
      <c r="N267" s="5"/>
      <c r="O267" s="5"/>
    </row>
    <row r="268" ht="22.5" hidden="1" customHeight="1">
      <c r="A268" s="5"/>
      <c r="B268" s="5"/>
      <c r="C268" s="5"/>
      <c r="D268" s="9"/>
      <c r="E268" s="9"/>
      <c r="F268" s="5" t="s">
        <v>18</v>
      </c>
      <c r="G268" s="9"/>
      <c r="H268" s="5" t="s">
        <v>20</v>
      </c>
      <c r="I268" s="9"/>
      <c r="J268" s="8" t="s">
        <v>21</v>
      </c>
      <c r="K268" s="9"/>
      <c r="L268" s="8" t="s">
        <v>22</v>
      </c>
      <c r="M268" s="9"/>
      <c r="N268" s="5"/>
      <c r="O268" s="5"/>
    </row>
    <row r="269" ht="22.5" hidden="1" customHeight="1">
      <c r="A269" s="5"/>
      <c r="B269" s="5"/>
      <c r="C269" s="5"/>
      <c r="D269" s="9"/>
      <c r="E269" s="9"/>
      <c r="F269" s="5" t="s">
        <v>18</v>
      </c>
      <c r="G269" s="9"/>
      <c r="H269" s="5" t="s">
        <v>20</v>
      </c>
      <c r="I269" s="9"/>
      <c r="J269" s="8" t="s">
        <v>21</v>
      </c>
      <c r="K269" s="9"/>
      <c r="L269" s="8" t="s">
        <v>22</v>
      </c>
      <c r="M269" s="9"/>
      <c r="N269" s="5"/>
      <c r="O269" s="5"/>
    </row>
    <row r="270" ht="22.5" hidden="1" customHeight="1">
      <c r="A270" s="5"/>
      <c r="B270" s="5"/>
      <c r="C270" s="5"/>
      <c r="D270" s="9"/>
      <c r="E270" s="9"/>
      <c r="F270" s="5" t="s">
        <v>18</v>
      </c>
      <c r="G270" s="9"/>
      <c r="H270" s="5" t="s">
        <v>20</v>
      </c>
      <c r="I270" s="9"/>
      <c r="J270" s="8" t="s">
        <v>21</v>
      </c>
      <c r="K270" s="9"/>
      <c r="L270" s="8" t="s">
        <v>22</v>
      </c>
      <c r="M270" s="9"/>
      <c r="N270" s="5"/>
      <c r="O270" s="5"/>
    </row>
    <row r="271" ht="22.5" hidden="1" customHeight="1">
      <c r="A271" s="5"/>
      <c r="B271" s="5"/>
      <c r="C271" s="5"/>
      <c r="D271" s="9"/>
      <c r="E271" s="9"/>
      <c r="F271" s="5" t="s">
        <v>18</v>
      </c>
      <c r="G271" s="9"/>
      <c r="H271" s="5" t="s">
        <v>20</v>
      </c>
      <c r="I271" s="9"/>
      <c r="J271" s="8" t="s">
        <v>21</v>
      </c>
      <c r="K271" s="9"/>
      <c r="L271" s="8" t="s">
        <v>22</v>
      </c>
      <c r="M271" s="9"/>
      <c r="N271" s="5"/>
      <c r="O271" s="5"/>
    </row>
    <row r="272" ht="22.5" hidden="1" customHeight="1">
      <c r="A272" s="5"/>
      <c r="B272" s="5"/>
      <c r="C272" s="5"/>
      <c r="D272" s="9"/>
      <c r="E272" s="9"/>
      <c r="F272" s="5" t="s">
        <v>18</v>
      </c>
      <c r="G272" s="9"/>
      <c r="H272" s="5" t="s">
        <v>20</v>
      </c>
      <c r="I272" s="9"/>
      <c r="J272" s="8" t="s">
        <v>21</v>
      </c>
      <c r="K272" s="9"/>
      <c r="L272" s="8" t="s">
        <v>22</v>
      </c>
      <c r="M272" s="9"/>
      <c r="N272" s="5"/>
      <c r="O272" s="5"/>
    </row>
    <row r="273" ht="22.5" hidden="1" customHeight="1">
      <c r="A273" s="5"/>
      <c r="B273" s="5"/>
      <c r="C273" s="5"/>
      <c r="D273" s="9"/>
      <c r="E273" s="9"/>
      <c r="F273" s="5" t="s">
        <v>18</v>
      </c>
      <c r="G273" s="9"/>
      <c r="H273" s="5" t="s">
        <v>20</v>
      </c>
      <c r="I273" s="9"/>
      <c r="J273" s="8" t="s">
        <v>21</v>
      </c>
      <c r="K273" s="9"/>
      <c r="L273" s="8" t="s">
        <v>22</v>
      </c>
      <c r="M273" s="9"/>
      <c r="N273" s="5"/>
      <c r="O273" s="5"/>
    </row>
    <row r="274" ht="22.5" hidden="1" customHeight="1">
      <c r="A274" s="5"/>
      <c r="B274" s="5"/>
      <c r="C274" s="5"/>
      <c r="D274" s="9"/>
      <c r="E274" s="9"/>
      <c r="F274" s="5" t="s">
        <v>18</v>
      </c>
      <c r="G274" s="9"/>
      <c r="H274" s="5" t="s">
        <v>20</v>
      </c>
      <c r="I274" s="9"/>
      <c r="J274" s="8" t="s">
        <v>21</v>
      </c>
      <c r="K274" s="9"/>
      <c r="L274" s="8" t="s">
        <v>22</v>
      </c>
      <c r="M274" s="9"/>
      <c r="N274" s="5"/>
      <c r="O274" s="5"/>
    </row>
    <row r="275" ht="22.5" hidden="1" customHeight="1">
      <c r="A275" s="5"/>
      <c r="B275" s="5"/>
      <c r="C275" s="5"/>
      <c r="D275" s="9"/>
      <c r="E275" s="9"/>
      <c r="F275" s="5" t="s">
        <v>18</v>
      </c>
      <c r="G275" s="9"/>
      <c r="H275" s="5" t="s">
        <v>20</v>
      </c>
      <c r="I275" s="9"/>
      <c r="J275" s="8" t="s">
        <v>21</v>
      </c>
      <c r="K275" s="9"/>
      <c r="L275" s="8" t="s">
        <v>22</v>
      </c>
      <c r="M275" s="9"/>
      <c r="N275" s="5"/>
      <c r="O275" s="5"/>
    </row>
    <row r="276" ht="22.5" hidden="1" customHeight="1">
      <c r="A276" s="5"/>
      <c r="B276" s="5"/>
      <c r="C276" s="5"/>
      <c r="D276" s="9"/>
      <c r="E276" s="9"/>
      <c r="F276" s="5" t="s">
        <v>18</v>
      </c>
      <c r="G276" s="9"/>
      <c r="H276" s="5" t="s">
        <v>20</v>
      </c>
      <c r="I276" s="9"/>
      <c r="J276" s="8" t="s">
        <v>21</v>
      </c>
      <c r="K276" s="9"/>
      <c r="L276" s="8" t="s">
        <v>22</v>
      </c>
      <c r="M276" s="9"/>
      <c r="N276" s="5"/>
      <c r="O276" s="5"/>
    </row>
    <row r="277" ht="22.5" hidden="1" customHeight="1">
      <c r="A277" s="5"/>
      <c r="B277" s="5"/>
      <c r="C277" s="5"/>
      <c r="D277" s="9"/>
      <c r="E277" s="9"/>
      <c r="F277" s="5" t="s">
        <v>18</v>
      </c>
      <c r="G277" s="9"/>
      <c r="H277" s="5" t="s">
        <v>20</v>
      </c>
      <c r="I277" s="9"/>
      <c r="J277" s="8" t="s">
        <v>21</v>
      </c>
      <c r="K277" s="9"/>
      <c r="L277" s="8" t="s">
        <v>22</v>
      </c>
      <c r="M277" s="9"/>
      <c r="N277" s="5"/>
      <c r="O277" s="5"/>
    </row>
    <row r="278" ht="22.5" hidden="1" customHeight="1">
      <c r="A278" s="5"/>
      <c r="B278" s="5"/>
      <c r="C278" s="5"/>
      <c r="D278" s="9"/>
      <c r="E278" s="9"/>
      <c r="F278" s="5" t="s">
        <v>18</v>
      </c>
      <c r="G278" s="9"/>
      <c r="H278" s="5" t="s">
        <v>20</v>
      </c>
      <c r="I278" s="9"/>
      <c r="J278" s="8" t="s">
        <v>21</v>
      </c>
      <c r="K278" s="9"/>
      <c r="L278" s="8" t="s">
        <v>22</v>
      </c>
      <c r="M278" s="9"/>
      <c r="N278" s="5"/>
      <c r="O278" s="5"/>
    </row>
    <row r="279" ht="22.5" hidden="1" customHeight="1">
      <c r="A279" s="5"/>
      <c r="B279" s="5"/>
      <c r="C279" s="5"/>
      <c r="D279" s="9"/>
      <c r="E279" s="9"/>
      <c r="F279" s="5" t="s">
        <v>18</v>
      </c>
      <c r="G279" s="9"/>
      <c r="H279" s="5" t="s">
        <v>20</v>
      </c>
      <c r="I279" s="9"/>
      <c r="J279" s="8" t="s">
        <v>21</v>
      </c>
      <c r="K279" s="9"/>
      <c r="L279" s="8" t="s">
        <v>22</v>
      </c>
      <c r="M279" s="9"/>
      <c r="N279" s="5"/>
      <c r="O279" s="5"/>
    </row>
    <row r="280" ht="22.5" hidden="1" customHeight="1">
      <c r="A280" s="5"/>
      <c r="B280" s="5"/>
      <c r="C280" s="5"/>
      <c r="D280" s="9"/>
      <c r="E280" s="9"/>
      <c r="F280" s="5" t="s">
        <v>18</v>
      </c>
      <c r="G280" s="9"/>
      <c r="H280" s="5" t="s">
        <v>20</v>
      </c>
      <c r="I280" s="9"/>
      <c r="J280" s="8" t="s">
        <v>21</v>
      </c>
      <c r="K280" s="9"/>
      <c r="L280" s="8" t="s">
        <v>22</v>
      </c>
      <c r="M280" s="9"/>
      <c r="N280" s="5"/>
      <c r="O280" s="5"/>
    </row>
    <row r="281" ht="22.5" hidden="1" customHeight="1">
      <c r="A281" s="5"/>
      <c r="B281" s="5"/>
      <c r="C281" s="5"/>
      <c r="D281" s="9"/>
      <c r="E281" s="9"/>
      <c r="F281" s="5" t="s">
        <v>18</v>
      </c>
      <c r="G281" s="9"/>
      <c r="H281" s="5" t="s">
        <v>20</v>
      </c>
      <c r="I281" s="9"/>
      <c r="J281" s="8" t="s">
        <v>21</v>
      </c>
      <c r="K281" s="9"/>
      <c r="L281" s="8" t="s">
        <v>22</v>
      </c>
      <c r="M281" s="9"/>
      <c r="N281" s="5"/>
      <c r="O281" s="5"/>
    </row>
    <row r="282" ht="22.5" hidden="1" customHeight="1">
      <c r="A282" s="5"/>
      <c r="B282" s="5"/>
      <c r="C282" s="5"/>
      <c r="D282" s="9"/>
      <c r="E282" s="9"/>
      <c r="F282" s="5" t="s">
        <v>18</v>
      </c>
      <c r="G282" s="9"/>
      <c r="H282" s="5" t="s">
        <v>20</v>
      </c>
      <c r="I282" s="9"/>
      <c r="J282" s="8" t="s">
        <v>21</v>
      </c>
      <c r="K282" s="9"/>
      <c r="L282" s="8" t="s">
        <v>22</v>
      </c>
      <c r="M282" s="9"/>
      <c r="N282" s="5"/>
      <c r="O282" s="5"/>
    </row>
    <row r="283" ht="22.5" hidden="1" customHeight="1">
      <c r="A283" s="5"/>
      <c r="B283" s="5"/>
      <c r="C283" s="5"/>
      <c r="D283" s="9"/>
      <c r="E283" s="9"/>
      <c r="F283" s="5" t="s">
        <v>18</v>
      </c>
      <c r="G283" s="9"/>
      <c r="H283" s="5" t="s">
        <v>20</v>
      </c>
      <c r="I283" s="9"/>
      <c r="J283" s="8" t="s">
        <v>21</v>
      </c>
      <c r="K283" s="9"/>
      <c r="L283" s="8" t="s">
        <v>22</v>
      </c>
      <c r="M283" s="9"/>
      <c r="N283" s="5"/>
      <c r="O283" s="5"/>
    </row>
    <row r="284" ht="22.5" hidden="1" customHeight="1">
      <c r="A284" s="5"/>
      <c r="B284" s="5"/>
      <c r="C284" s="5"/>
      <c r="D284" s="9"/>
      <c r="E284" s="9"/>
      <c r="F284" s="5" t="s">
        <v>18</v>
      </c>
      <c r="G284" s="9"/>
      <c r="H284" s="5" t="s">
        <v>20</v>
      </c>
      <c r="I284" s="9"/>
      <c r="J284" s="8" t="s">
        <v>21</v>
      </c>
      <c r="K284" s="9"/>
      <c r="L284" s="8" t="s">
        <v>22</v>
      </c>
      <c r="M284" s="9"/>
      <c r="N284" s="5"/>
      <c r="O284" s="5"/>
    </row>
    <row r="285" ht="22.5" hidden="1" customHeight="1">
      <c r="A285" s="5"/>
      <c r="B285" s="5"/>
      <c r="C285" s="5"/>
      <c r="D285" s="9"/>
      <c r="E285" s="9"/>
      <c r="F285" s="5" t="s">
        <v>18</v>
      </c>
      <c r="G285" s="9"/>
      <c r="H285" s="5" t="s">
        <v>20</v>
      </c>
      <c r="I285" s="9"/>
      <c r="J285" s="8" t="s">
        <v>21</v>
      </c>
      <c r="K285" s="9"/>
      <c r="L285" s="8" t="s">
        <v>22</v>
      </c>
      <c r="M285" s="9"/>
      <c r="N285" s="5"/>
      <c r="O285" s="5"/>
    </row>
    <row r="286" ht="22.5" hidden="1" customHeight="1">
      <c r="A286" s="5"/>
      <c r="B286" s="5"/>
      <c r="C286" s="5"/>
      <c r="D286" s="9"/>
      <c r="E286" s="9"/>
      <c r="F286" s="5" t="s">
        <v>18</v>
      </c>
      <c r="G286" s="9"/>
      <c r="H286" s="5" t="s">
        <v>20</v>
      </c>
      <c r="I286" s="9"/>
      <c r="J286" s="8" t="s">
        <v>21</v>
      </c>
      <c r="K286" s="9"/>
      <c r="L286" s="8" t="s">
        <v>22</v>
      </c>
      <c r="M286" s="9"/>
      <c r="N286" s="5"/>
      <c r="O286" s="5"/>
    </row>
    <row r="287" ht="22.5" hidden="1" customHeight="1">
      <c r="A287" s="5"/>
      <c r="B287" s="5"/>
      <c r="C287" s="5"/>
      <c r="D287" s="9"/>
      <c r="E287" s="9"/>
      <c r="F287" s="5" t="s">
        <v>18</v>
      </c>
      <c r="G287" s="9"/>
      <c r="H287" s="5" t="s">
        <v>20</v>
      </c>
      <c r="I287" s="9"/>
      <c r="J287" s="8" t="s">
        <v>21</v>
      </c>
      <c r="K287" s="9"/>
      <c r="L287" s="8" t="s">
        <v>22</v>
      </c>
      <c r="M287" s="9"/>
      <c r="N287" s="5"/>
      <c r="O287" s="5"/>
    </row>
    <row r="288" ht="22.5" hidden="1" customHeight="1">
      <c r="A288" s="5"/>
      <c r="B288" s="5"/>
      <c r="C288" s="5"/>
      <c r="D288" s="9"/>
      <c r="E288" s="9"/>
      <c r="F288" s="5" t="s">
        <v>18</v>
      </c>
      <c r="G288" s="9"/>
      <c r="H288" s="5" t="s">
        <v>20</v>
      </c>
      <c r="I288" s="9"/>
      <c r="J288" s="8" t="s">
        <v>21</v>
      </c>
      <c r="K288" s="9"/>
      <c r="L288" s="8" t="s">
        <v>22</v>
      </c>
      <c r="M288" s="9"/>
      <c r="N288" s="5"/>
      <c r="O288" s="5"/>
    </row>
    <row r="289" ht="22.5" hidden="1" customHeight="1">
      <c r="A289" s="5"/>
      <c r="B289" s="5"/>
      <c r="C289" s="5"/>
      <c r="D289" s="9"/>
      <c r="E289" s="9"/>
      <c r="F289" s="5" t="s">
        <v>18</v>
      </c>
      <c r="G289" s="9"/>
      <c r="H289" s="5" t="s">
        <v>20</v>
      </c>
      <c r="I289" s="9"/>
      <c r="J289" s="8" t="s">
        <v>21</v>
      </c>
      <c r="K289" s="9"/>
      <c r="L289" s="8" t="s">
        <v>22</v>
      </c>
      <c r="M289" s="9"/>
      <c r="N289" s="5"/>
      <c r="O289" s="5"/>
    </row>
    <row r="290" ht="22.5" hidden="1" customHeight="1">
      <c r="A290" s="5"/>
      <c r="B290" s="5"/>
      <c r="C290" s="5"/>
      <c r="D290" s="9"/>
      <c r="E290" s="9"/>
      <c r="F290" s="5" t="s">
        <v>18</v>
      </c>
      <c r="G290" s="9"/>
      <c r="H290" s="5" t="s">
        <v>20</v>
      </c>
      <c r="I290" s="9"/>
      <c r="J290" s="8" t="s">
        <v>21</v>
      </c>
      <c r="K290" s="9"/>
      <c r="L290" s="8" t="s">
        <v>22</v>
      </c>
      <c r="M290" s="9"/>
      <c r="N290" s="5"/>
      <c r="O290" s="5"/>
    </row>
    <row r="291" ht="22.5" hidden="1" customHeight="1">
      <c r="A291" s="5"/>
      <c r="B291" s="5"/>
      <c r="C291" s="5"/>
      <c r="D291" s="9"/>
      <c r="E291" s="9"/>
      <c r="F291" s="5" t="s">
        <v>18</v>
      </c>
      <c r="G291" s="9"/>
      <c r="H291" s="5" t="s">
        <v>20</v>
      </c>
      <c r="I291" s="9"/>
      <c r="J291" s="8" t="s">
        <v>21</v>
      </c>
      <c r="K291" s="9"/>
      <c r="L291" s="8" t="s">
        <v>22</v>
      </c>
      <c r="M291" s="9"/>
      <c r="N291" s="5"/>
      <c r="O291" s="5"/>
    </row>
    <row r="292" ht="22.5" hidden="1" customHeight="1">
      <c r="A292" s="5"/>
      <c r="B292" s="5"/>
      <c r="C292" s="5"/>
      <c r="D292" s="9"/>
      <c r="E292" s="9"/>
      <c r="F292" s="5" t="s">
        <v>18</v>
      </c>
      <c r="G292" s="9"/>
      <c r="H292" s="5" t="s">
        <v>20</v>
      </c>
      <c r="I292" s="9"/>
      <c r="J292" s="8" t="s">
        <v>21</v>
      </c>
      <c r="K292" s="9"/>
      <c r="L292" s="8" t="s">
        <v>22</v>
      </c>
      <c r="M292" s="9"/>
      <c r="N292" s="5"/>
      <c r="O292" s="5"/>
    </row>
    <row r="293" ht="22.5" hidden="1" customHeight="1">
      <c r="A293" s="5"/>
      <c r="B293" s="5"/>
      <c r="C293" s="5"/>
      <c r="D293" s="9"/>
      <c r="E293" s="9"/>
      <c r="F293" s="5" t="s">
        <v>18</v>
      </c>
      <c r="G293" s="9"/>
      <c r="H293" s="5" t="s">
        <v>20</v>
      </c>
      <c r="I293" s="9"/>
      <c r="J293" s="8" t="s">
        <v>21</v>
      </c>
      <c r="K293" s="9"/>
      <c r="L293" s="8" t="s">
        <v>22</v>
      </c>
      <c r="M293" s="9"/>
      <c r="N293" s="5"/>
      <c r="O293" s="5"/>
    </row>
    <row r="294" ht="22.5" hidden="1" customHeight="1">
      <c r="A294" s="5"/>
      <c r="B294" s="5"/>
      <c r="C294" s="5"/>
      <c r="D294" s="9"/>
      <c r="E294" s="9"/>
      <c r="F294" s="5" t="s">
        <v>18</v>
      </c>
      <c r="G294" s="9"/>
      <c r="H294" s="5" t="s">
        <v>20</v>
      </c>
      <c r="I294" s="9"/>
      <c r="J294" s="8" t="s">
        <v>21</v>
      </c>
      <c r="K294" s="9"/>
      <c r="L294" s="8" t="s">
        <v>22</v>
      </c>
      <c r="M294" s="9"/>
      <c r="N294" s="5"/>
      <c r="O294" s="5"/>
    </row>
    <row r="295" ht="22.5" hidden="1" customHeight="1">
      <c r="A295" s="5"/>
      <c r="B295" s="5"/>
      <c r="C295" s="5"/>
      <c r="D295" s="9"/>
      <c r="E295" s="9"/>
      <c r="F295" s="5" t="s">
        <v>18</v>
      </c>
      <c r="G295" s="9"/>
      <c r="H295" s="5" t="s">
        <v>20</v>
      </c>
      <c r="I295" s="9"/>
      <c r="J295" s="8" t="s">
        <v>21</v>
      </c>
      <c r="K295" s="9"/>
      <c r="L295" s="8" t="s">
        <v>22</v>
      </c>
      <c r="M295" s="9"/>
      <c r="N295" s="5"/>
      <c r="O295" s="5"/>
    </row>
    <row r="296" ht="22.5" hidden="1" customHeight="1">
      <c r="A296" s="5"/>
      <c r="B296" s="5"/>
      <c r="C296" s="5"/>
      <c r="D296" s="9"/>
      <c r="E296" s="9"/>
      <c r="F296" s="5" t="s">
        <v>18</v>
      </c>
      <c r="G296" s="9"/>
      <c r="H296" s="5" t="s">
        <v>20</v>
      </c>
      <c r="I296" s="9"/>
      <c r="J296" s="8" t="s">
        <v>21</v>
      </c>
      <c r="K296" s="9"/>
      <c r="L296" s="8" t="s">
        <v>22</v>
      </c>
      <c r="M296" s="9"/>
      <c r="N296" s="5"/>
      <c r="O296" s="5"/>
    </row>
    <row r="297" ht="22.5" hidden="1" customHeight="1">
      <c r="A297" s="5"/>
      <c r="B297" s="5"/>
      <c r="C297" s="5"/>
      <c r="D297" s="9"/>
      <c r="E297" s="9"/>
      <c r="F297" s="5" t="s">
        <v>18</v>
      </c>
      <c r="G297" s="9"/>
      <c r="H297" s="5" t="s">
        <v>20</v>
      </c>
      <c r="I297" s="9"/>
      <c r="J297" s="8" t="s">
        <v>21</v>
      </c>
      <c r="K297" s="9"/>
      <c r="L297" s="8" t="s">
        <v>22</v>
      </c>
      <c r="M297" s="9"/>
      <c r="N297" s="5"/>
      <c r="O297" s="5"/>
    </row>
    <row r="298" ht="22.5" hidden="1" customHeight="1">
      <c r="A298" s="5"/>
      <c r="B298" s="5"/>
      <c r="C298" s="5"/>
      <c r="D298" s="9"/>
      <c r="E298" s="9"/>
      <c r="F298" s="5" t="s">
        <v>18</v>
      </c>
      <c r="G298" s="9"/>
      <c r="H298" s="5" t="s">
        <v>20</v>
      </c>
      <c r="I298" s="9"/>
      <c r="J298" s="8" t="s">
        <v>21</v>
      </c>
      <c r="K298" s="9"/>
      <c r="L298" s="8" t="s">
        <v>22</v>
      </c>
      <c r="M298" s="9"/>
      <c r="N298" s="5"/>
      <c r="O298" s="5"/>
    </row>
    <row r="299" ht="22.5" hidden="1" customHeight="1">
      <c r="A299" s="5"/>
      <c r="B299" s="5"/>
      <c r="C299" s="5"/>
      <c r="D299" s="9"/>
      <c r="E299" s="9"/>
      <c r="F299" s="5" t="s">
        <v>18</v>
      </c>
      <c r="G299" s="9"/>
      <c r="H299" s="5" t="s">
        <v>20</v>
      </c>
      <c r="I299" s="9"/>
      <c r="J299" s="8" t="s">
        <v>21</v>
      </c>
      <c r="K299" s="9"/>
      <c r="L299" s="8" t="s">
        <v>22</v>
      </c>
      <c r="M299" s="9"/>
      <c r="N299" s="5"/>
      <c r="O299" s="5"/>
    </row>
    <row r="300" ht="22.5" hidden="1" customHeight="1">
      <c r="A300" s="5"/>
      <c r="B300" s="5"/>
      <c r="C300" s="5"/>
      <c r="D300" s="9"/>
      <c r="E300" s="9"/>
      <c r="F300" s="5" t="s">
        <v>18</v>
      </c>
      <c r="G300" s="9"/>
      <c r="H300" s="5" t="s">
        <v>20</v>
      </c>
      <c r="I300" s="9"/>
      <c r="J300" s="8" t="s">
        <v>21</v>
      </c>
      <c r="K300" s="9"/>
      <c r="L300" s="8" t="s">
        <v>22</v>
      </c>
      <c r="M300" s="9"/>
      <c r="N300" s="5"/>
      <c r="O300" s="5"/>
    </row>
    <row r="301" ht="22.5" hidden="1" customHeight="1">
      <c r="A301" s="5"/>
      <c r="B301" s="5"/>
      <c r="C301" s="5"/>
      <c r="D301" s="9"/>
      <c r="E301" s="9"/>
      <c r="F301" s="5" t="s">
        <v>18</v>
      </c>
      <c r="G301" s="9"/>
      <c r="H301" s="5" t="s">
        <v>20</v>
      </c>
      <c r="I301" s="9"/>
      <c r="J301" s="8" t="s">
        <v>21</v>
      </c>
      <c r="K301" s="9"/>
      <c r="L301" s="8" t="s">
        <v>22</v>
      </c>
      <c r="M301" s="9"/>
      <c r="N301" s="5"/>
      <c r="O301" s="5"/>
    </row>
    <row r="302" ht="22.5" hidden="1" customHeight="1">
      <c r="A302" s="5"/>
      <c r="B302" s="5"/>
      <c r="C302" s="5"/>
      <c r="D302" s="9"/>
      <c r="E302" s="9"/>
      <c r="F302" s="5" t="s">
        <v>18</v>
      </c>
      <c r="G302" s="9"/>
      <c r="H302" s="5" t="s">
        <v>20</v>
      </c>
      <c r="I302" s="9"/>
      <c r="J302" s="8" t="s">
        <v>21</v>
      </c>
      <c r="K302" s="9"/>
      <c r="L302" s="8" t="s">
        <v>22</v>
      </c>
      <c r="M302" s="9"/>
      <c r="N302" s="5"/>
      <c r="O302" s="5"/>
    </row>
    <row r="303" ht="22.5" hidden="1" customHeight="1">
      <c r="A303" s="5"/>
      <c r="B303" s="5"/>
      <c r="C303" s="5"/>
      <c r="D303" s="9"/>
      <c r="E303" s="9"/>
      <c r="F303" s="5" t="s">
        <v>18</v>
      </c>
      <c r="G303" s="9"/>
      <c r="H303" s="5" t="s">
        <v>20</v>
      </c>
      <c r="I303" s="9"/>
      <c r="J303" s="8" t="s">
        <v>21</v>
      </c>
      <c r="K303" s="9"/>
      <c r="L303" s="8" t="s">
        <v>22</v>
      </c>
      <c r="M303" s="9"/>
      <c r="N303" s="5"/>
      <c r="O303" s="5"/>
    </row>
    <row r="304" ht="22.5" hidden="1" customHeight="1">
      <c r="A304" s="5"/>
      <c r="B304" s="5"/>
      <c r="C304" s="5"/>
      <c r="D304" s="9"/>
      <c r="E304" s="9"/>
      <c r="F304" s="5" t="s">
        <v>18</v>
      </c>
      <c r="G304" s="9"/>
      <c r="H304" s="5" t="s">
        <v>20</v>
      </c>
      <c r="I304" s="9"/>
      <c r="J304" s="8" t="s">
        <v>21</v>
      </c>
      <c r="K304" s="9"/>
      <c r="L304" s="8" t="s">
        <v>22</v>
      </c>
      <c r="M304" s="9"/>
      <c r="N304" s="5"/>
      <c r="O304" s="5"/>
    </row>
    <row r="305" ht="22.5" hidden="1" customHeight="1">
      <c r="A305" s="5"/>
      <c r="B305" s="5"/>
      <c r="C305" s="5"/>
      <c r="D305" s="9"/>
      <c r="E305" s="9"/>
      <c r="F305" s="5" t="s">
        <v>18</v>
      </c>
      <c r="G305" s="9"/>
      <c r="H305" s="5" t="s">
        <v>20</v>
      </c>
      <c r="I305" s="9"/>
      <c r="J305" s="8" t="s">
        <v>21</v>
      </c>
      <c r="K305" s="9"/>
      <c r="L305" s="8" t="s">
        <v>22</v>
      </c>
      <c r="M305" s="9"/>
      <c r="N305" s="5"/>
      <c r="O305" s="5"/>
    </row>
    <row r="306" ht="22.5" hidden="1" customHeight="1">
      <c r="A306" s="5"/>
      <c r="B306" s="5"/>
      <c r="C306" s="5"/>
      <c r="D306" s="9"/>
      <c r="E306" s="9"/>
      <c r="F306" s="5" t="s">
        <v>18</v>
      </c>
      <c r="G306" s="9"/>
      <c r="H306" s="5" t="s">
        <v>20</v>
      </c>
      <c r="I306" s="9"/>
      <c r="J306" s="8" t="s">
        <v>21</v>
      </c>
      <c r="K306" s="9"/>
      <c r="L306" s="8" t="s">
        <v>22</v>
      </c>
      <c r="M306" s="9"/>
      <c r="N306" s="5"/>
      <c r="O306" s="5"/>
    </row>
    <row r="307" ht="22.5" hidden="1" customHeight="1">
      <c r="A307" s="5"/>
      <c r="B307" s="5"/>
      <c r="C307" s="5"/>
      <c r="D307" s="9"/>
      <c r="E307" s="9"/>
      <c r="F307" s="5" t="s">
        <v>18</v>
      </c>
      <c r="G307" s="9"/>
      <c r="H307" s="5" t="s">
        <v>20</v>
      </c>
      <c r="I307" s="9"/>
      <c r="J307" s="8" t="s">
        <v>21</v>
      </c>
      <c r="K307" s="9"/>
      <c r="L307" s="8" t="s">
        <v>22</v>
      </c>
      <c r="M307" s="9"/>
      <c r="N307" s="5"/>
      <c r="O307" s="5"/>
    </row>
    <row r="308" ht="22.5" hidden="1" customHeight="1">
      <c r="A308" s="5"/>
      <c r="B308" s="5"/>
      <c r="C308" s="5"/>
      <c r="D308" s="9"/>
      <c r="E308" s="9"/>
      <c r="F308" s="5" t="s">
        <v>18</v>
      </c>
      <c r="G308" s="9"/>
      <c r="H308" s="5" t="s">
        <v>20</v>
      </c>
      <c r="I308" s="9"/>
      <c r="J308" s="8" t="s">
        <v>21</v>
      </c>
      <c r="K308" s="9"/>
      <c r="L308" s="8" t="s">
        <v>22</v>
      </c>
      <c r="M308" s="9"/>
      <c r="N308" s="5"/>
      <c r="O308" s="5"/>
    </row>
    <row r="309" ht="22.5" hidden="1" customHeight="1">
      <c r="A309" s="5"/>
      <c r="B309" s="5"/>
      <c r="C309" s="5"/>
      <c r="D309" s="9"/>
      <c r="E309" s="9"/>
      <c r="F309" s="5" t="s">
        <v>18</v>
      </c>
      <c r="G309" s="9"/>
      <c r="H309" s="5" t="s">
        <v>20</v>
      </c>
      <c r="I309" s="9"/>
      <c r="J309" s="8" t="s">
        <v>21</v>
      </c>
      <c r="K309" s="9"/>
      <c r="L309" s="8" t="s">
        <v>22</v>
      </c>
      <c r="M309" s="9"/>
      <c r="N309" s="5"/>
      <c r="O309" s="5"/>
    </row>
    <row r="310" ht="22.5" hidden="1" customHeight="1">
      <c r="A310" s="5"/>
      <c r="B310" s="5"/>
      <c r="C310" s="5"/>
      <c r="D310" s="9"/>
      <c r="E310" s="9"/>
      <c r="F310" s="5" t="s">
        <v>18</v>
      </c>
      <c r="G310" s="9"/>
      <c r="H310" s="5" t="s">
        <v>20</v>
      </c>
      <c r="I310" s="9"/>
      <c r="J310" s="8" t="s">
        <v>21</v>
      </c>
      <c r="K310" s="9"/>
      <c r="L310" s="8" t="s">
        <v>22</v>
      </c>
      <c r="M310" s="9"/>
      <c r="N310" s="5"/>
      <c r="O310" s="5"/>
    </row>
    <row r="311" ht="22.5" hidden="1" customHeight="1">
      <c r="A311" s="5"/>
      <c r="B311" s="5"/>
      <c r="C311" s="5"/>
      <c r="D311" s="9"/>
      <c r="E311" s="9"/>
      <c r="F311" s="5" t="s">
        <v>18</v>
      </c>
      <c r="G311" s="9"/>
      <c r="H311" s="5" t="s">
        <v>20</v>
      </c>
      <c r="I311" s="9"/>
      <c r="J311" s="8" t="s">
        <v>21</v>
      </c>
      <c r="K311" s="9"/>
      <c r="L311" s="8" t="s">
        <v>22</v>
      </c>
      <c r="M311" s="9"/>
      <c r="N311" s="5"/>
      <c r="O311" s="5"/>
    </row>
    <row r="312" ht="22.5" hidden="1" customHeight="1">
      <c r="A312" s="5"/>
      <c r="B312" s="5"/>
      <c r="C312" s="5"/>
      <c r="D312" s="9"/>
      <c r="E312" s="9"/>
      <c r="F312" s="5" t="s">
        <v>18</v>
      </c>
      <c r="G312" s="9"/>
      <c r="H312" s="5" t="s">
        <v>20</v>
      </c>
      <c r="I312" s="9"/>
      <c r="J312" s="8" t="s">
        <v>21</v>
      </c>
      <c r="K312" s="9"/>
      <c r="L312" s="8" t="s">
        <v>22</v>
      </c>
      <c r="M312" s="9"/>
      <c r="N312" s="5"/>
      <c r="O312" s="5"/>
    </row>
    <row r="313" ht="22.5" hidden="1" customHeight="1">
      <c r="A313" s="5"/>
      <c r="B313" s="5"/>
      <c r="C313" s="5"/>
      <c r="D313" s="9"/>
      <c r="E313" s="9"/>
      <c r="F313" s="5" t="s">
        <v>18</v>
      </c>
      <c r="G313" s="9"/>
      <c r="H313" s="5" t="s">
        <v>20</v>
      </c>
      <c r="I313" s="9"/>
      <c r="J313" s="8" t="s">
        <v>21</v>
      </c>
      <c r="K313" s="9"/>
      <c r="L313" s="8" t="s">
        <v>22</v>
      </c>
      <c r="M313" s="9"/>
      <c r="N313" s="5"/>
      <c r="O313" s="5"/>
    </row>
    <row r="314" ht="22.5" hidden="1" customHeight="1">
      <c r="A314" s="5"/>
      <c r="B314" s="5"/>
      <c r="C314" s="5"/>
      <c r="D314" s="9"/>
      <c r="E314" s="9"/>
      <c r="F314" s="5" t="s">
        <v>18</v>
      </c>
      <c r="G314" s="9"/>
      <c r="H314" s="5" t="s">
        <v>20</v>
      </c>
      <c r="I314" s="9"/>
      <c r="J314" s="8" t="s">
        <v>21</v>
      </c>
      <c r="K314" s="9"/>
      <c r="L314" s="8" t="s">
        <v>22</v>
      </c>
      <c r="M314" s="9"/>
      <c r="N314" s="5"/>
      <c r="O314" s="5"/>
    </row>
    <row r="315" ht="22.5" hidden="1" customHeight="1">
      <c r="A315" s="5"/>
      <c r="B315" s="5"/>
      <c r="C315" s="5"/>
      <c r="D315" s="9"/>
      <c r="E315" s="9"/>
      <c r="F315" s="5" t="s">
        <v>18</v>
      </c>
      <c r="G315" s="9"/>
      <c r="H315" s="5" t="s">
        <v>20</v>
      </c>
      <c r="I315" s="9"/>
      <c r="J315" s="8" t="s">
        <v>21</v>
      </c>
      <c r="K315" s="9"/>
      <c r="L315" s="8" t="s">
        <v>22</v>
      </c>
      <c r="M315" s="9"/>
      <c r="N315" s="5"/>
      <c r="O315" s="5"/>
    </row>
    <row r="316" ht="22.5" hidden="1" customHeight="1">
      <c r="A316" s="5"/>
      <c r="B316" s="5"/>
      <c r="C316" s="5"/>
      <c r="D316" s="9"/>
      <c r="E316" s="9"/>
      <c r="F316" s="5" t="s">
        <v>18</v>
      </c>
      <c r="G316" s="9"/>
      <c r="H316" s="5" t="s">
        <v>20</v>
      </c>
      <c r="I316" s="9"/>
      <c r="J316" s="8" t="s">
        <v>21</v>
      </c>
      <c r="K316" s="9"/>
      <c r="L316" s="8" t="s">
        <v>22</v>
      </c>
      <c r="M316" s="9"/>
      <c r="N316" s="5"/>
      <c r="O316" s="5"/>
    </row>
    <row r="317" ht="22.5" hidden="1" customHeight="1">
      <c r="A317" s="5"/>
      <c r="B317" s="5"/>
      <c r="C317" s="5"/>
      <c r="D317" s="9"/>
      <c r="E317" s="9"/>
      <c r="F317" s="5" t="s">
        <v>18</v>
      </c>
      <c r="G317" s="9"/>
      <c r="H317" s="5" t="s">
        <v>20</v>
      </c>
      <c r="I317" s="9"/>
      <c r="J317" s="8" t="s">
        <v>21</v>
      </c>
      <c r="K317" s="9"/>
      <c r="L317" s="8" t="s">
        <v>22</v>
      </c>
      <c r="M317" s="9"/>
      <c r="N317" s="5"/>
      <c r="O317" s="5"/>
    </row>
    <row r="318" ht="22.5" hidden="1" customHeight="1">
      <c r="A318" s="5"/>
      <c r="B318" s="5"/>
      <c r="C318" s="5"/>
      <c r="D318" s="9"/>
      <c r="E318" s="9"/>
      <c r="F318" s="5" t="s">
        <v>18</v>
      </c>
      <c r="G318" s="9"/>
      <c r="H318" s="5" t="s">
        <v>20</v>
      </c>
      <c r="I318" s="9"/>
      <c r="J318" s="8" t="s">
        <v>21</v>
      </c>
      <c r="K318" s="9"/>
      <c r="L318" s="8" t="s">
        <v>22</v>
      </c>
      <c r="M318" s="9"/>
      <c r="N318" s="5"/>
      <c r="O318" s="5"/>
    </row>
    <row r="319" ht="22.5" hidden="1" customHeight="1">
      <c r="A319" s="5"/>
      <c r="B319" s="5"/>
      <c r="C319" s="5"/>
      <c r="D319" s="9"/>
      <c r="E319" s="9"/>
      <c r="F319" s="5" t="s">
        <v>18</v>
      </c>
      <c r="G319" s="9"/>
      <c r="H319" s="5" t="s">
        <v>20</v>
      </c>
      <c r="I319" s="9"/>
      <c r="J319" s="8" t="s">
        <v>21</v>
      </c>
      <c r="K319" s="9"/>
      <c r="L319" s="8" t="s">
        <v>22</v>
      </c>
      <c r="M319" s="9"/>
      <c r="N319" s="5"/>
      <c r="O319" s="5"/>
    </row>
    <row r="320" ht="22.5" hidden="1" customHeight="1">
      <c r="A320" s="5"/>
      <c r="B320" s="5"/>
      <c r="C320" s="5"/>
      <c r="D320" s="9"/>
      <c r="E320" s="9"/>
      <c r="F320" s="5" t="s">
        <v>18</v>
      </c>
      <c r="G320" s="9"/>
      <c r="H320" s="5" t="s">
        <v>20</v>
      </c>
      <c r="I320" s="9"/>
      <c r="J320" s="8" t="s">
        <v>21</v>
      </c>
      <c r="K320" s="9"/>
      <c r="L320" s="8" t="s">
        <v>22</v>
      </c>
      <c r="M320" s="9"/>
      <c r="N320" s="5"/>
      <c r="O320" s="5"/>
    </row>
    <row r="321" ht="22.5" hidden="1" customHeight="1">
      <c r="A321" s="5"/>
      <c r="B321" s="5"/>
      <c r="C321" s="5"/>
      <c r="D321" s="9"/>
      <c r="E321" s="9"/>
      <c r="F321" s="5" t="s">
        <v>18</v>
      </c>
      <c r="G321" s="9"/>
      <c r="H321" s="5" t="s">
        <v>20</v>
      </c>
      <c r="I321" s="9"/>
      <c r="J321" s="8" t="s">
        <v>21</v>
      </c>
      <c r="K321" s="9"/>
      <c r="L321" s="8" t="s">
        <v>22</v>
      </c>
      <c r="M321" s="9"/>
      <c r="N321" s="5"/>
      <c r="O321" s="5"/>
    </row>
    <row r="322" ht="22.5" hidden="1" customHeight="1">
      <c r="A322" s="5"/>
      <c r="B322" s="5"/>
      <c r="C322" s="5"/>
      <c r="D322" s="9"/>
      <c r="E322" s="9"/>
      <c r="F322" s="5" t="s">
        <v>18</v>
      </c>
      <c r="G322" s="9"/>
      <c r="H322" s="5" t="s">
        <v>20</v>
      </c>
      <c r="I322" s="9"/>
      <c r="J322" s="8" t="s">
        <v>21</v>
      </c>
      <c r="K322" s="9"/>
      <c r="L322" s="8" t="s">
        <v>22</v>
      </c>
      <c r="M322" s="9"/>
      <c r="N322" s="5"/>
      <c r="O322" s="5"/>
    </row>
    <row r="323" ht="22.5" hidden="1" customHeight="1">
      <c r="A323" s="5"/>
      <c r="B323" s="5"/>
      <c r="C323" s="5"/>
      <c r="D323" s="9"/>
      <c r="E323" s="9"/>
      <c r="F323" s="5" t="s">
        <v>18</v>
      </c>
      <c r="G323" s="9"/>
      <c r="H323" s="5" t="s">
        <v>20</v>
      </c>
      <c r="I323" s="9"/>
      <c r="J323" s="8" t="s">
        <v>21</v>
      </c>
      <c r="K323" s="9"/>
      <c r="L323" s="8" t="s">
        <v>22</v>
      </c>
      <c r="M323" s="9"/>
      <c r="N323" s="5"/>
      <c r="O323" s="5"/>
    </row>
    <row r="324" ht="22.5" hidden="1" customHeight="1">
      <c r="A324" s="5"/>
      <c r="B324" s="5"/>
      <c r="C324" s="5"/>
      <c r="D324" s="9"/>
      <c r="E324" s="9"/>
      <c r="F324" s="5" t="s">
        <v>18</v>
      </c>
      <c r="G324" s="9"/>
      <c r="H324" s="5" t="s">
        <v>20</v>
      </c>
      <c r="I324" s="9"/>
      <c r="J324" s="8" t="s">
        <v>21</v>
      </c>
      <c r="K324" s="9"/>
      <c r="L324" s="8" t="s">
        <v>22</v>
      </c>
      <c r="M324" s="9"/>
      <c r="N324" s="5"/>
      <c r="O324" s="5"/>
    </row>
    <row r="325" ht="22.5" hidden="1" customHeight="1">
      <c r="A325" s="31"/>
      <c r="B325" s="15"/>
      <c r="C325" s="5"/>
      <c r="D325" s="9"/>
      <c r="E325" s="9"/>
      <c r="F325" s="5" t="s">
        <v>18</v>
      </c>
      <c r="G325" s="9"/>
      <c r="H325" s="5" t="s">
        <v>20</v>
      </c>
      <c r="I325" s="9"/>
      <c r="J325" s="8" t="s">
        <v>21</v>
      </c>
      <c r="K325" s="9"/>
      <c r="L325" s="8" t="s">
        <v>22</v>
      </c>
      <c r="M325" s="9"/>
      <c r="N325" s="5"/>
      <c r="O325" s="5"/>
    </row>
    <row r="326" ht="22.5" hidden="1" customHeight="1">
      <c r="A326" s="5"/>
      <c r="B326" s="5"/>
      <c r="C326" s="5"/>
      <c r="D326" s="9"/>
      <c r="E326" s="9"/>
      <c r="F326" s="5" t="s">
        <v>18</v>
      </c>
      <c r="G326" s="9"/>
      <c r="H326" s="5" t="s">
        <v>20</v>
      </c>
      <c r="I326" s="9"/>
      <c r="J326" s="8" t="s">
        <v>21</v>
      </c>
      <c r="K326" s="9"/>
      <c r="L326" s="8" t="s">
        <v>22</v>
      </c>
      <c r="M326" s="9"/>
      <c r="N326" s="5"/>
      <c r="O326" s="5"/>
    </row>
    <row r="327" ht="22.5" hidden="1" customHeight="1">
      <c r="A327" s="5"/>
      <c r="B327" s="5"/>
      <c r="C327" s="5"/>
      <c r="D327" s="9"/>
      <c r="E327" s="9"/>
      <c r="F327" s="5" t="s">
        <v>18</v>
      </c>
      <c r="G327" s="9"/>
      <c r="H327" s="5" t="s">
        <v>20</v>
      </c>
      <c r="I327" s="9"/>
      <c r="J327" s="8" t="s">
        <v>21</v>
      </c>
      <c r="K327" s="9"/>
      <c r="L327" s="8" t="s">
        <v>22</v>
      </c>
      <c r="M327" s="9"/>
      <c r="N327" s="5"/>
      <c r="O327" s="5"/>
    </row>
    <row r="328" ht="22.5" hidden="1" customHeight="1">
      <c r="A328" s="5"/>
      <c r="B328" s="5"/>
      <c r="C328" s="5"/>
      <c r="D328" s="9"/>
      <c r="E328" s="9"/>
      <c r="F328" s="5" t="s">
        <v>18</v>
      </c>
      <c r="G328" s="9"/>
      <c r="H328" s="5" t="s">
        <v>20</v>
      </c>
      <c r="I328" s="9"/>
      <c r="J328" s="8" t="s">
        <v>21</v>
      </c>
      <c r="K328" s="9"/>
      <c r="L328" s="8" t="s">
        <v>22</v>
      </c>
      <c r="M328" s="9"/>
      <c r="N328" s="5"/>
      <c r="O328" s="5"/>
    </row>
    <row r="329" ht="22.5" hidden="1" customHeight="1">
      <c r="A329" s="5"/>
      <c r="B329" s="5"/>
      <c r="C329" s="5"/>
      <c r="D329" s="9"/>
      <c r="E329" s="9"/>
      <c r="F329" s="5" t="s">
        <v>18</v>
      </c>
      <c r="G329" s="9"/>
      <c r="H329" s="5" t="s">
        <v>20</v>
      </c>
      <c r="I329" s="9"/>
      <c r="J329" s="8" t="s">
        <v>21</v>
      </c>
      <c r="K329" s="9"/>
      <c r="L329" s="8" t="s">
        <v>22</v>
      </c>
      <c r="M329" s="9"/>
      <c r="N329" s="5"/>
      <c r="O329" s="5"/>
    </row>
    <row r="330" ht="22.5" hidden="1" customHeight="1">
      <c r="A330" s="5"/>
      <c r="B330" s="5"/>
      <c r="C330" s="5"/>
      <c r="D330" s="9"/>
      <c r="E330" s="9"/>
      <c r="F330" s="5" t="s">
        <v>18</v>
      </c>
      <c r="G330" s="9"/>
      <c r="H330" s="5" t="s">
        <v>20</v>
      </c>
      <c r="I330" s="9"/>
      <c r="J330" s="8" t="s">
        <v>21</v>
      </c>
      <c r="K330" s="9"/>
      <c r="L330" s="8" t="s">
        <v>22</v>
      </c>
      <c r="M330" s="9"/>
      <c r="N330" s="5"/>
      <c r="O330" s="5"/>
    </row>
    <row r="331" ht="22.5" hidden="1" customHeight="1">
      <c r="A331" s="5"/>
      <c r="B331" s="5"/>
      <c r="C331" s="5"/>
      <c r="D331" s="9"/>
      <c r="E331" s="9"/>
      <c r="F331" s="5" t="s">
        <v>18</v>
      </c>
      <c r="G331" s="9"/>
      <c r="H331" s="5" t="s">
        <v>20</v>
      </c>
      <c r="I331" s="9"/>
      <c r="J331" s="8" t="s">
        <v>21</v>
      </c>
      <c r="K331" s="9"/>
      <c r="L331" s="8" t="s">
        <v>22</v>
      </c>
      <c r="M331" s="9"/>
      <c r="N331" s="5"/>
      <c r="O331" s="5"/>
    </row>
    <row r="332" ht="22.5" hidden="1" customHeight="1">
      <c r="A332" s="5"/>
      <c r="B332" s="5"/>
      <c r="C332" s="5"/>
      <c r="D332" s="9"/>
      <c r="E332" s="9"/>
      <c r="F332" s="5" t="s">
        <v>18</v>
      </c>
      <c r="G332" s="9"/>
      <c r="H332" s="5" t="s">
        <v>20</v>
      </c>
      <c r="I332" s="9"/>
      <c r="J332" s="8" t="s">
        <v>21</v>
      </c>
      <c r="K332" s="9"/>
      <c r="L332" s="8" t="s">
        <v>22</v>
      </c>
      <c r="M332" s="9"/>
      <c r="N332" s="5"/>
      <c r="O332" s="5"/>
    </row>
    <row r="333" ht="22.5" hidden="1" customHeight="1">
      <c r="A333" s="5"/>
      <c r="B333" s="5"/>
      <c r="C333" s="5"/>
      <c r="D333" s="9"/>
      <c r="E333" s="9"/>
      <c r="F333" s="5" t="s">
        <v>18</v>
      </c>
      <c r="G333" s="9"/>
      <c r="H333" s="5" t="s">
        <v>20</v>
      </c>
      <c r="I333" s="9"/>
      <c r="J333" s="8" t="s">
        <v>21</v>
      </c>
      <c r="K333" s="9"/>
      <c r="L333" s="8" t="s">
        <v>22</v>
      </c>
      <c r="M333" s="9"/>
      <c r="N333" s="5"/>
      <c r="O333" s="5"/>
    </row>
    <row r="334" ht="22.5" hidden="1" customHeight="1">
      <c r="A334" s="5"/>
      <c r="B334" s="5"/>
      <c r="C334" s="5"/>
      <c r="D334" s="9"/>
      <c r="E334" s="9"/>
      <c r="F334" s="5" t="s">
        <v>18</v>
      </c>
      <c r="G334" s="9"/>
      <c r="H334" s="5" t="s">
        <v>20</v>
      </c>
      <c r="I334" s="9"/>
      <c r="J334" s="8" t="s">
        <v>21</v>
      </c>
      <c r="K334" s="9"/>
      <c r="L334" s="8" t="s">
        <v>22</v>
      </c>
      <c r="M334" s="9"/>
      <c r="N334" s="5"/>
      <c r="O334" s="5"/>
    </row>
    <row r="335" ht="22.5" hidden="1" customHeight="1">
      <c r="A335" s="5"/>
      <c r="B335" s="5"/>
      <c r="C335" s="5"/>
      <c r="D335" s="9"/>
      <c r="E335" s="9"/>
      <c r="F335" s="5" t="s">
        <v>18</v>
      </c>
      <c r="G335" s="9"/>
      <c r="H335" s="5" t="s">
        <v>20</v>
      </c>
      <c r="I335" s="9"/>
      <c r="J335" s="8" t="s">
        <v>21</v>
      </c>
      <c r="K335" s="9"/>
      <c r="L335" s="8" t="s">
        <v>22</v>
      </c>
      <c r="M335" s="9"/>
      <c r="N335" s="5"/>
      <c r="O335" s="5"/>
    </row>
    <row r="336" ht="22.5" hidden="1" customHeight="1">
      <c r="A336" s="5"/>
      <c r="B336" s="5"/>
      <c r="C336" s="5"/>
      <c r="D336" s="9"/>
      <c r="E336" s="9"/>
      <c r="F336" s="5" t="s">
        <v>18</v>
      </c>
      <c r="G336" s="9"/>
      <c r="H336" s="5" t="s">
        <v>20</v>
      </c>
      <c r="I336" s="9"/>
      <c r="J336" s="8" t="s">
        <v>21</v>
      </c>
      <c r="K336" s="9"/>
      <c r="L336" s="8" t="s">
        <v>22</v>
      </c>
      <c r="M336" s="9"/>
      <c r="N336" s="5"/>
      <c r="O336" s="5"/>
    </row>
    <row r="337" ht="22.5" hidden="1" customHeight="1">
      <c r="A337" s="5"/>
      <c r="B337" s="5"/>
      <c r="C337" s="5"/>
      <c r="D337" s="9"/>
      <c r="E337" s="9"/>
      <c r="F337" s="5" t="s">
        <v>18</v>
      </c>
      <c r="G337" s="9"/>
      <c r="H337" s="5" t="s">
        <v>20</v>
      </c>
      <c r="I337" s="9"/>
      <c r="J337" s="8" t="s">
        <v>21</v>
      </c>
      <c r="K337" s="9"/>
      <c r="L337" s="8" t="s">
        <v>22</v>
      </c>
      <c r="M337" s="9"/>
      <c r="N337" s="5"/>
      <c r="O337" s="5"/>
    </row>
    <row r="338" ht="22.5" hidden="1" customHeight="1">
      <c r="A338" s="5"/>
      <c r="B338" s="5"/>
      <c r="C338" s="5"/>
      <c r="D338" s="9"/>
      <c r="E338" s="9"/>
      <c r="F338" s="5" t="s">
        <v>18</v>
      </c>
      <c r="G338" s="9"/>
      <c r="H338" s="5" t="s">
        <v>20</v>
      </c>
      <c r="I338" s="9"/>
      <c r="J338" s="8" t="s">
        <v>21</v>
      </c>
      <c r="K338" s="9"/>
      <c r="L338" s="8" t="s">
        <v>22</v>
      </c>
      <c r="M338" s="9"/>
      <c r="N338" s="5"/>
      <c r="O338" s="5"/>
    </row>
    <row r="339" ht="22.5" hidden="1" customHeight="1">
      <c r="A339" s="5"/>
      <c r="B339" s="5"/>
      <c r="C339" s="5"/>
      <c r="D339" s="9"/>
      <c r="E339" s="9"/>
      <c r="F339" s="5" t="s">
        <v>18</v>
      </c>
      <c r="G339" s="9"/>
      <c r="H339" s="5" t="s">
        <v>20</v>
      </c>
      <c r="I339" s="9"/>
      <c r="J339" s="8" t="s">
        <v>21</v>
      </c>
      <c r="K339" s="9"/>
      <c r="L339" s="8" t="s">
        <v>22</v>
      </c>
      <c r="M339" s="9"/>
      <c r="N339" s="5"/>
      <c r="O339" s="5"/>
    </row>
    <row r="340" ht="22.5" hidden="1" customHeight="1">
      <c r="A340" s="5"/>
      <c r="B340" s="5"/>
      <c r="C340" s="5"/>
      <c r="D340" s="9"/>
      <c r="E340" s="9"/>
      <c r="F340" s="5" t="s">
        <v>18</v>
      </c>
      <c r="G340" s="9"/>
      <c r="H340" s="5" t="s">
        <v>20</v>
      </c>
      <c r="I340" s="9"/>
      <c r="J340" s="8" t="s">
        <v>21</v>
      </c>
      <c r="K340" s="9"/>
      <c r="L340" s="8" t="s">
        <v>22</v>
      </c>
      <c r="M340" s="9"/>
      <c r="N340" s="5"/>
      <c r="O340" s="5"/>
    </row>
    <row r="341" ht="22.5" hidden="1" customHeight="1">
      <c r="A341" s="5"/>
      <c r="B341" s="5"/>
      <c r="C341" s="5"/>
      <c r="D341" s="9"/>
      <c r="E341" s="9"/>
      <c r="F341" s="5" t="s">
        <v>18</v>
      </c>
      <c r="G341" s="9"/>
      <c r="H341" s="5" t="s">
        <v>20</v>
      </c>
      <c r="I341" s="9"/>
      <c r="J341" s="8" t="s">
        <v>21</v>
      </c>
      <c r="K341" s="9"/>
      <c r="L341" s="8" t="s">
        <v>22</v>
      </c>
      <c r="M341" s="9"/>
      <c r="N341" s="5"/>
      <c r="O341" s="5"/>
    </row>
    <row r="342" ht="22.5" hidden="1" customHeight="1">
      <c r="A342" s="5"/>
      <c r="B342" s="5"/>
      <c r="C342" s="5"/>
      <c r="D342" s="9"/>
      <c r="E342" s="9"/>
      <c r="F342" s="5" t="s">
        <v>18</v>
      </c>
      <c r="G342" s="9"/>
      <c r="H342" s="5" t="s">
        <v>20</v>
      </c>
      <c r="I342" s="9"/>
      <c r="J342" s="8" t="s">
        <v>21</v>
      </c>
      <c r="K342" s="9"/>
      <c r="L342" s="8" t="s">
        <v>22</v>
      </c>
      <c r="M342" s="9"/>
      <c r="N342" s="5"/>
      <c r="O342" s="5"/>
    </row>
    <row r="343" ht="22.5" hidden="1" customHeight="1">
      <c r="A343" s="5"/>
      <c r="B343" s="5"/>
      <c r="C343" s="5"/>
      <c r="D343" s="9"/>
      <c r="E343" s="9"/>
      <c r="F343" s="5" t="s">
        <v>18</v>
      </c>
      <c r="G343" s="9"/>
      <c r="H343" s="5" t="s">
        <v>20</v>
      </c>
      <c r="I343" s="9"/>
      <c r="J343" s="8" t="s">
        <v>21</v>
      </c>
      <c r="K343" s="9"/>
      <c r="L343" s="8" t="s">
        <v>22</v>
      </c>
      <c r="M343" s="9"/>
      <c r="N343" s="5"/>
      <c r="O343" s="5"/>
    </row>
    <row r="344" ht="22.5" hidden="1" customHeight="1">
      <c r="A344" s="5"/>
      <c r="B344" s="5"/>
      <c r="C344" s="5"/>
      <c r="D344" s="9"/>
      <c r="E344" s="9"/>
      <c r="F344" s="5" t="s">
        <v>18</v>
      </c>
      <c r="G344" s="9"/>
      <c r="H344" s="5" t="s">
        <v>20</v>
      </c>
      <c r="I344" s="9"/>
      <c r="J344" s="8" t="s">
        <v>21</v>
      </c>
      <c r="K344" s="9"/>
      <c r="L344" s="8" t="s">
        <v>22</v>
      </c>
      <c r="M344" s="9"/>
      <c r="N344" s="5"/>
      <c r="O344" s="5"/>
    </row>
    <row r="345" ht="22.5" hidden="1" customHeight="1">
      <c r="A345" s="5"/>
      <c r="B345" s="5"/>
      <c r="C345" s="5"/>
      <c r="D345" s="9"/>
      <c r="E345" s="9"/>
      <c r="F345" s="5" t="s">
        <v>18</v>
      </c>
      <c r="G345" s="9"/>
      <c r="H345" s="5" t="s">
        <v>20</v>
      </c>
      <c r="I345" s="9"/>
      <c r="J345" s="8" t="s">
        <v>21</v>
      </c>
      <c r="K345" s="9"/>
      <c r="L345" s="8" t="s">
        <v>22</v>
      </c>
      <c r="M345" s="9"/>
      <c r="N345" s="5"/>
      <c r="O345" s="5"/>
    </row>
    <row r="346" ht="22.5" hidden="1" customHeight="1">
      <c r="A346" s="5"/>
      <c r="B346" s="5"/>
      <c r="C346" s="5"/>
      <c r="D346" s="9"/>
      <c r="E346" s="9"/>
      <c r="F346" s="5" t="s">
        <v>18</v>
      </c>
      <c r="G346" s="9"/>
      <c r="H346" s="5" t="s">
        <v>20</v>
      </c>
      <c r="I346" s="9"/>
      <c r="J346" s="8" t="s">
        <v>21</v>
      </c>
      <c r="K346" s="9"/>
      <c r="L346" s="8" t="s">
        <v>22</v>
      </c>
      <c r="M346" s="9"/>
      <c r="N346" s="5"/>
      <c r="O346" s="5"/>
    </row>
    <row r="347" ht="22.5" hidden="1" customHeight="1">
      <c r="A347" s="5"/>
      <c r="B347" s="5"/>
      <c r="C347" s="5"/>
      <c r="D347" s="9"/>
      <c r="E347" s="9"/>
      <c r="F347" s="5" t="s">
        <v>18</v>
      </c>
      <c r="G347" s="9"/>
      <c r="H347" s="5" t="s">
        <v>20</v>
      </c>
      <c r="I347" s="9"/>
      <c r="J347" s="8" t="s">
        <v>21</v>
      </c>
      <c r="K347" s="9"/>
      <c r="L347" s="8" t="s">
        <v>22</v>
      </c>
      <c r="M347" s="9"/>
      <c r="N347" s="5"/>
      <c r="O347" s="5"/>
    </row>
    <row r="348" ht="22.5" hidden="1" customHeight="1">
      <c r="A348" s="5"/>
      <c r="B348" s="5"/>
      <c r="C348" s="5"/>
      <c r="D348" s="9"/>
      <c r="E348" s="9"/>
      <c r="F348" s="5" t="s">
        <v>18</v>
      </c>
      <c r="G348" s="9"/>
      <c r="H348" s="5" t="s">
        <v>20</v>
      </c>
      <c r="I348" s="9"/>
      <c r="J348" s="8" t="s">
        <v>21</v>
      </c>
      <c r="K348" s="9"/>
      <c r="L348" s="8" t="s">
        <v>22</v>
      </c>
      <c r="M348" s="9"/>
      <c r="N348" s="5"/>
      <c r="O348" s="5"/>
    </row>
    <row r="349" ht="22.5" hidden="1" customHeight="1">
      <c r="A349" s="5"/>
      <c r="B349" s="5"/>
      <c r="C349" s="5"/>
      <c r="D349" s="9"/>
      <c r="E349" s="9"/>
      <c r="F349" s="5" t="s">
        <v>18</v>
      </c>
      <c r="G349" s="9"/>
      <c r="H349" s="5" t="s">
        <v>20</v>
      </c>
      <c r="I349" s="9"/>
      <c r="J349" s="8" t="s">
        <v>21</v>
      </c>
      <c r="K349" s="9"/>
      <c r="L349" s="8" t="s">
        <v>22</v>
      </c>
      <c r="M349" s="9"/>
      <c r="N349" s="5"/>
      <c r="O349" s="5"/>
    </row>
    <row r="350" ht="22.5" hidden="1" customHeight="1">
      <c r="A350" s="5"/>
      <c r="B350" s="5"/>
      <c r="C350" s="5"/>
      <c r="D350" s="9"/>
      <c r="E350" s="9"/>
      <c r="F350" s="5" t="s">
        <v>18</v>
      </c>
      <c r="G350" s="9"/>
      <c r="H350" s="5" t="s">
        <v>20</v>
      </c>
      <c r="I350" s="9"/>
      <c r="J350" s="8" t="s">
        <v>21</v>
      </c>
      <c r="K350" s="9"/>
      <c r="L350" s="8" t="s">
        <v>22</v>
      </c>
      <c r="M350" s="9"/>
      <c r="N350" s="5"/>
      <c r="O350" s="5"/>
    </row>
    <row r="351" ht="22.5" hidden="1" customHeight="1">
      <c r="A351" s="5"/>
      <c r="B351" s="5"/>
      <c r="C351" s="5"/>
      <c r="D351" s="9"/>
      <c r="E351" s="9"/>
      <c r="F351" s="5" t="s">
        <v>18</v>
      </c>
      <c r="G351" s="9"/>
      <c r="H351" s="5" t="s">
        <v>20</v>
      </c>
      <c r="I351" s="9"/>
      <c r="J351" s="8" t="s">
        <v>21</v>
      </c>
      <c r="K351" s="9"/>
      <c r="L351" s="8" t="s">
        <v>22</v>
      </c>
      <c r="M351" s="9"/>
      <c r="N351" s="5"/>
      <c r="O351" s="5"/>
    </row>
    <row r="352" ht="22.5" hidden="1" customHeight="1">
      <c r="A352" s="5"/>
      <c r="B352" s="5"/>
      <c r="C352" s="5"/>
      <c r="D352" s="9"/>
      <c r="E352" s="9"/>
      <c r="F352" s="5" t="s">
        <v>18</v>
      </c>
      <c r="G352" s="9"/>
      <c r="H352" s="5" t="s">
        <v>20</v>
      </c>
      <c r="I352" s="9"/>
      <c r="J352" s="8" t="s">
        <v>21</v>
      </c>
      <c r="K352" s="9"/>
      <c r="L352" s="8" t="s">
        <v>22</v>
      </c>
      <c r="M352" s="9"/>
      <c r="N352" s="5"/>
      <c r="O352" s="5"/>
    </row>
    <row r="353" ht="22.5" hidden="1" customHeight="1">
      <c r="A353" s="5"/>
      <c r="B353" s="5"/>
      <c r="C353" s="5"/>
      <c r="D353" s="9"/>
      <c r="E353" s="9"/>
      <c r="F353" s="5" t="s">
        <v>18</v>
      </c>
      <c r="G353" s="9"/>
      <c r="H353" s="5" t="s">
        <v>20</v>
      </c>
      <c r="I353" s="9"/>
      <c r="J353" s="8" t="s">
        <v>21</v>
      </c>
      <c r="K353" s="9"/>
      <c r="L353" s="8" t="s">
        <v>22</v>
      </c>
      <c r="M353" s="9"/>
      <c r="N353" s="5"/>
      <c r="O353" s="5"/>
    </row>
    <row r="354" ht="22.5" hidden="1" customHeight="1">
      <c r="A354" s="5"/>
      <c r="B354" s="5"/>
      <c r="C354" s="5"/>
      <c r="D354" s="9"/>
      <c r="E354" s="9"/>
      <c r="F354" s="5" t="s">
        <v>18</v>
      </c>
      <c r="G354" s="9"/>
      <c r="H354" s="5" t="s">
        <v>20</v>
      </c>
      <c r="I354" s="9"/>
      <c r="J354" s="8" t="s">
        <v>21</v>
      </c>
      <c r="K354" s="9"/>
      <c r="L354" s="8" t="s">
        <v>22</v>
      </c>
      <c r="M354" s="9"/>
      <c r="N354" s="5"/>
      <c r="O354" s="5"/>
    </row>
    <row r="355" ht="22.5" hidden="1" customHeight="1">
      <c r="A355" s="5"/>
      <c r="B355" s="5"/>
      <c r="C355" s="5"/>
      <c r="D355" s="9"/>
      <c r="E355" s="9"/>
      <c r="F355" s="5" t="s">
        <v>18</v>
      </c>
      <c r="G355" s="9"/>
      <c r="H355" s="5" t="s">
        <v>20</v>
      </c>
      <c r="I355" s="9"/>
      <c r="J355" s="8" t="s">
        <v>21</v>
      </c>
      <c r="K355" s="9"/>
      <c r="L355" s="8" t="s">
        <v>22</v>
      </c>
      <c r="M355" s="9"/>
      <c r="N355" s="5"/>
      <c r="O355" s="5"/>
    </row>
    <row r="356" ht="22.5" hidden="1" customHeight="1">
      <c r="A356" s="5"/>
      <c r="B356" s="5"/>
      <c r="C356" s="5"/>
      <c r="D356" s="9"/>
      <c r="E356" s="9"/>
      <c r="F356" s="5" t="s">
        <v>18</v>
      </c>
      <c r="G356" s="9"/>
      <c r="H356" s="5" t="s">
        <v>20</v>
      </c>
      <c r="I356" s="9"/>
      <c r="J356" s="8" t="s">
        <v>21</v>
      </c>
      <c r="K356" s="9"/>
      <c r="L356" s="8" t="s">
        <v>22</v>
      </c>
      <c r="M356" s="9"/>
      <c r="N356" s="5"/>
      <c r="O356" s="5"/>
    </row>
    <row r="357" ht="22.5" hidden="1" customHeight="1">
      <c r="A357" s="5"/>
      <c r="B357" s="5"/>
      <c r="C357" s="5"/>
      <c r="D357" s="9"/>
      <c r="E357" s="9"/>
      <c r="F357" s="5" t="s">
        <v>18</v>
      </c>
      <c r="G357" s="9"/>
      <c r="H357" s="5" t="s">
        <v>20</v>
      </c>
      <c r="I357" s="9"/>
      <c r="J357" s="8" t="s">
        <v>21</v>
      </c>
      <c r="K357" s="9"/>
      <c r="L357" s="8" t="s">
        <v>22</v>
      </c>
      <c r="M357" s="9"/>
      <c r="N357" s="5"/>
      <c r="O357" s="5"/>
    </row>
    <row r="358" ht="22.5" hidden="1" customHeight="1">
      <c r="A358" s="5"/>
      <c r="B358" s="5"/>
      <c r="C358" s="5"/>
      <c r="D358" s="9"/>
      <c r="E358" s="9"/>
      <c r="F358" s="5" t="s">
        <v>18</v>
      </c>
      <c r="G358" s="9"/>
      <c r="H358" s="5" t="s">
        <v>20</v>
      </c>
      <c r="I358" s="9"/>
      <c r="J358" s="8" t="s">
        <v>21</v>
      </c>
      <c r="K358" s="9"/>
      <c r="L358" s="8" t="s">
        <v>22</v>
      </c>
      <c r="M358" s="9"/>
      <c r="N358" s="5"/>
      <c r="O358" s="5"/>
    </row>
    <row r="359" ht="22.5" hidden="1" customHeight="1">
      <c r="A359" s="5"/>
      <c r="B359" s="5"/>
      <c r="C359" s="5"/>
      <c r="D359" s="9"/>
      <c r="E359" s="9"/>
      <c r="F359" s="5" t="s">
        <v>18</v>
      </c>
      <c r="G359" s="9"/>
      <c r="H359" s="5" t="s">
        <v>20</v>
      </c>
      <c r="I359" s="9"/>
      <c r="J359" s="8" t="s">
        <v>21</v>
      </c>
      <c r="K359" s="9"/>
      <c r="L359" s="8" t="s">
        <v>22</v>
      </c>
      <c r="M359" s="9"/>
      <c r="N359" s="5"/>
      <c r="O359" s="5"/>
    </row>
    <row r="360" ht="22.5" hidden="1" customHeight="1">
      <c r="A360" s="5"/>
      <c r="B360" s="5"/>
      <c r="C360" s="5"/>
      <c r="D360" s="9"/>
      <c r="E360" s="9"/>
      <c r="F360" s="5" t="s">
        <v>18</v>
      </c>
      <c r="G360" s="9"/>
      <c r="H360" s="5" t="s">
        <v>20</v>
      </c>
      <c r="I360" s="9"/>
      <c r="J360" s="8" t="s">
        <v>21</v>
      </c>
      <c r="K360" s="9"/>
      <c r="L360" s="8" t="s">
        <v>22</v>
      </c>
      <c r="M360" s="9"/>
      <c r="N360" s="5"/>
      <c r="O360" s="5"/>
    </row>
    <row r="361" ht="22.5" hidden="1" customHeight="1">
      <c r="A361" s="5"/>
      <c r="B361" s="5"/>
      <c r="C361" s="5"/>
      <c r="D361" s="9"/>
      <c r="E361" s="9"/>
      <c r="F361" s="5" t="s">
        <v>18</v>
      </c>
      <c r="G361" s="9"/>
      <c r="H361" s="5" t="s">
        <v>20</v>
      </c>
      <c r="I361" s="9"/>
      <c r="J361" s="8" t="s">
        <v>21</v>
      </c>
      <c r="K361" s="9"/>
      <c r="L361" s="8" t="s">
        <v>22</v>
      </c>
      <c r="M361" s="9"/>
      <c r="N361" s="5"/>
      <c r="O361" s="5"/>
    </row>
    <row r="362" ht="22.5" hidden="1" customHeight="1">
      <c r="A362" s="5"/>
      <c r="B362" s="5"/>
      <c r="C362" s="5"/>
      <c r="D362" s="9"/>
      <c r="E362" s="9"/>
      <c r="F362" s="5" t="s">
        <v>18</v>
      </c>
      <c r="G362" s="9"/>
      <c r="H362" s="5" t="s">
        <v>20</v>
      </c>
      <c r="I362" s="9"/>
      <c r="J362" s="8" t="s">
        <v>21</v>
      </c>
      <c r="K362" s="9"/>
      <c r="L362" s="8" t="s">
        <v>22</v>
      </c>
      <c r="M362" s="9"/>
      <c r="N362" s="5"/>
      <c r="O362" s="5"/>
    </row>
    <row r="363" ht="22.5" hidden="1" customHeight="1">
      <c r="A363" s="5"/>
      <c r="B363" s="5"/>
      <c r="C363" s="5"/>
      <c r="D363" s="9"/>
      <c r="E363" s="9"/>
      <c r="F363" s="5" t="s">
        <v>18</v>
      </c>
      <c r="G363" s="9"/>
      <c r="H363" s="5" t="s">
        <v>20</v>
      </c>
      <c r="I363" s="9"/>
      <c r="J363" s="8" t="s">
        <v>21</v>
      </c>
      <c r="K363" s="9"/>
      <c r="L363" s="8" t="s">
        <v>22</v>
      </c>
      <c r="M363" s="9"/>
      <c r="N363" s="5"/>
      <c r="O363" s="5"/>
    </row>
    <row r="364" ht="22.5" hidden="1" customHeight="1">
      <c r="A364" s="5"/>
      <c r="B364" s="5"/>
      <c r="C364" s="5"/>
      <c r="D364" s="9"/>
      <c r="E364" s="9"/>
      <c r="F364" s="5" t="s">
        <v>18</v>
      </c>
      <c r="G364" s="9"/>
      <c r="H364" s="5" t="s">
        <v>20</v>
      </c>
      <c r="I364" s="9"/>
      <c r="J364" s="8" t="s">
        <v>21</v>
      </c>
      <c r="K364" s="9"/>
      <c r="L364" s="8" t="s">
        <v>22</v>
      </c>
      <c r="M364" s="9"/>
      <c r="N364" s="5"/>
      <c r="O364" s="5"/>
    </row>
    <row r="365" ht="22.5" hidden="1" customHeight="1">
      <c r="A365" s="5"/>
      <c r="B365" s="5"/>
      <c r="C365" s="5"/>
      <c r="D365" s="9"/>
      <c r="E365" s="9"/>
      <c r="F365" s="5" t="s">
        <v>18</v>
      </c>
      <c r="G365" s="9"/>
      <c r="H365" s="5" t="s">
        <v>20</v>
      </c>
      <c r="I365" s="9"/>
      <c r="J365" s="8" t="s">
        <v>21</v>
      </c>
      <c r="K365" s="9"/>
      <c r="L365" s="8" t="s">
        <v>22</v>
      </c>
      <c r="M365" s="9"/>
      <c r="N365" s="5"/>
      <c r="O365" s="5"/>
    </row>
    <row r="366" ht="22.5" hidden="1" customHeight="1">
      <c r="A366" s="5"/>
      <c r="B366" s="5"/>
      <c r="C366" s="5"/>
      <c r="D366" s="9"/>
      <c r="E366" s="9"/>
      <c r="F366" s="5" t="s">
        <v>18</v>
      </c>
      <c r="G366" s="9"/>
      <c r="H366" s="5" t="s">
        <v>20</v>
      </c>
      <c r="I366" s="9"/>
      <c r="J366" s="8" t="s">
        <v>21</v>
      </c>
      <c r="K366" s="9"/>
      <c r="L366" s="8" t="s">
        <v>22</v>
      </c>
      <c r="M366" s="9"/>
      <c r="N366" s="5"/>
      <c r="O366" s="5"/>
    </row>
    <row r="367" ht="22.5" hidden="1" customHeight="1">
      <c r="A367" s="5"/>
      <c r="B367" s="5"/>
      <c r="C367" s="5"/>
      <c r="D367" s="9"/>
      <c r="E367" s="9"/>
      <c r="F367" s="5" t="s">
        <v>18</v>
      </c>
      <c r="G367" s="9"/>
      <c r="H367" s="5" t="s">
        <v>20</v>
      </c>
      <c r="I367" s="9"/>
      <c r="J367" s="8" t="s">
        <v>21</v>
      </c>
      <c r="K367" s="9"/>
      <c r="L367" s="8" t="s">
        <v>22</v>
      </c>
      <c r="M367" s="9"/>
      <c r="N367" s="5"/>
      <c r="O367" s="5"/>
    </row>
    <row r="368" ht="22.5" hidden="1" customHeight="1">
      <c r="A368" s="5"/>
      <c r="B368" s="5"/>
      <c r="C368" s="5"/>
      <c r="D368" s="9"/>
      <c r="E368" s="9"/>
      <c r="F368" s="5" t="s">
        <v>18</v>
      </c>
      <c r="G368" s="9"/>
      <c r="H368" s="5" t="s">
        <v>20</v>
      </c>
      <c r="I368" s="9"/>
      <c r="J368" s="8" t="s">
        <v>21</v>
      </c>
      <c r="K368" s="9"/>
      <c r="L368" s="8" t="s">
        <v>22</v>
      </c>
      <c r="M368" s="9"/>
      <c r="N368" s="5"/>
      <c r="O368" s="5"/>
    </row>
    <row r="369" ht="22.5" hidden="1" customHeight="1">
      <c r="A369" s="5"/>
      <c r="B369" s="5"/>
      <c r="C369" s="5"/>
      <c r="D369" s="9"/>
      <c r="E369" s="9"/>
      <c r="F369" s="5" t="s">
        <v>18</v>
      </c>
      <c r="G369" s="9"/>
      <c r="H369" s="5" t="s">
        <v>20</v>
      </c>
      <c r="I369" s="9"/>
      <c r="J369" s="8" t="s">
        <v>21</v>
      </c>
      <c r="K369" s="9"/>
      <c r="L369" s="8" t="s">
        <v>22</v>
      </c>
      <c r="M369" s="9"/>
      <c r="N369" s="5"/>
      <c r="O369" s="5"/>
    </row>
    <row r="370" ht="22.5" hidden="1" customHeight="1">
      <c r="A370" s="5"/>
      <c r="B370" s="5"/>
      <c r="C370" s="5"/>
      <c r="D370" s="9"/>
      <c r="E370" s="9"/>
      <c r="F370" s="5" t="s">
        <v>18</v>
      </c>
      <c r="G370" s="9"/>
      <c r="H370" s="5" t="s">
        <v>20</v>
      </c>
      <c r="I370" s="9"/>
      <c r="J370" s="8" t="s">
        <v>21</v>
      </c>
      <c r="K370" s="9"/>
      <c r="L370" s="8" t="s">
        <v>22</v>
      </c>
      <c r="M370" s="9"/>
      <c r="N370" s="5"/>
      <c r="O370" s="5"/>
    </row>
    <row r="371" ht="22.5" hidden="1" customHeight="1">
      <c r="A371" s="5"/>
      <c r="B371" s="5"/>
      <c r="C371" s="5"/>
      <c r="D371" s="9"/>
      <c r="E371" s="9"/>
      <c r="F371" s="5" t="s">
        <v>18</v>
      </c>
      <c r="G371" s="9"/>
      <c r="H371" s="5" t="s">
        <v>20</v>
      </c>
      <c r="I371" s="9"/>
      <c r="J371" s="8" t="s">
        <v>21</v>
      </c>
      <c r="K371" s="9"/>
      <c r="L371" s="8" t="s">
        <v>22</v>
      </c>
      <c r="M371" s="9"/>
      <c r="N371" s="5"/>
      <c r="O371" s="5"/>
    </row>
    <row r="372" ht="22.5" hidden="1" customHeight="1">
      <c r="A372" s="5"/>
      <c r="B372" s="5"/>
      <c r="C372" s="5"/>
      <c r="D372" s="9"/>
      <c r="E372" s="9"/>
      <c r="F372" s="5" t="s">
        <v>18</v>
      </c>
      <c r="G372" s="9"/>
      <c r="H372" s="5" t="s">
        <v>20</v>
      </c>
      <c r="I372" s="9"/>
      <c r="J372" s="8" t="s">
        <v>21</v>
      </c>
      <c r="K372" s="9"/>
      <c r="L372" s="8" t="s">
        <v>22</v>
      </c>
      <c r="M372" s="9"/>
      <c r="N372" s="5"/>
      <c r="O372" s="5"/>
    </row>
    <row r="373" ht="22.5" hidden="1" customHeight="1">
      <c r="A373" s="5"/>
      <c r="B373" s="5"/>
      <c r="C373" s="5"/>
      <c r="D373" s="9"/>
      <c r="E373" s="9"/>
      <c r="F373" s="5" t="s">
        <v>18</v>
      </c>
      <c r="G373" s="9"/>
      <c r="H373" s="5" t="s">
        <v>20</v>
      </c>
      <c r="I373" s="9"/>
      <c r="J373" s="8" t="s">
        <v>21</v>
      </c>
      <c r="K373" s="9"/>
      <c r="L373" s="8" t="s">
        <v>22</v>
      </c>
      <c r="M373" s="9"/>
      <c r="N373" s="5"/>
      <c r="O373" s="5"/>
    </row>
    <row r="374" ht="22.5" hidden="1" customHeight="1">
      <c r="A374" s="5"/>
      <c r="B374" s="5"/>
      <c r="C374" s="5"/>
      <c r="D374" s="9"/>
      <c r="E374" s="9"/>
      <c r="F374" s="5" t="s">
        <v>18</v>
      </c>
      <c r="G374" s="9"/>
      <c r="H374" s="5" t="s">
        <v>20</v>
      </c>
      <c r="I374" s="9"/>
      <c r="J374" s="8" t="s">
        <v>21</v>
      </c>
      <c r="K374" s="9"/>
      <c r="L374" s="8" t="s">
        <v>22</v>
      </c>
      <c r="M374" s="9"/>
      <c r="N374" s="5"/>
      <c r="O374" s="5"/>
    </row>
    <row r="375" ht="22.5" hidden="1" customHeight="1">
      <c r="A375" s="5"/>
      <c r="B375" s="5"/>
      <c r="C375" s="5"/>
      <c r="D375" s="9"/>
      <c r="E375" s="9"/>
      <c r="F375" s="5" t="s">
        <v>18</v>
      </c>
      <c r="G375" s="9"/>
      <c r="H375" s="5" t="s">
        <v>20</v>
      </c>
      <c r="I375" s="9"/>
      <c r="J375" s="8" t="s">
        <v>21</v>
      </c>
      <c r="K375" s="9"/>
      <c r="L375" s="8" t="s">
        <v>22</v>
      </c>
      <c r="M375" s="9"/>
      <c r="N375" s="5"/>
      <c r="O375" s="5"/>
    </row>
    <row r="376" ht="22.5" hidden="1" customHeight="1">
      <c r="A376" s="5"/>
      <c r="B376" s="5"/>
      <c r="C376" s="5"/>
      <c r="D376" s="9"/>
      <c r="E376" s="9"/>
      <c r="F376" s="5" t="s">
        <v>18</v>
      </c>
      <c r="G376" s="9"/>
      <c r="H376" s="5" t="s">
        <v>20</v>
      </c>
      <c r="I376" s="9"/>
      <c r="J376" s="8" t="s">
        <v>21</v>
      </c>
      <c r="K376" s="9"/>
      <c r="L376" s="8" t="s">
        <v>22</v>
      </c>
      <c r="M376" s="9"/>
      <c r="N376" s="5"/>
      <c r="O376" s="5"/>
    </row>
    <row r="377" ht="22.5" hidden="1" customHeight="1">
      <c r="A377" s="5"/>
      <c r="B377" s="5"/>
      <c r="C377" s="5"/>
      <c r="D377" s="9"/>
      <c r="E377" s="9"/>
      <c r="F377" s="5" t="s">
        <v>18</v>
      </c>
      <c r="G377" s="9"/>
      <c r="H377" s="5" t="s">
        <v>20</v>
      </c>
      <c r="I377" s="9"/>
      <c r="J377" s="8" t="s">
        <v>21</v>
      </c>
      <c r="K377" s="9"/>
      <c r="L377" s="8" t="s">
        <v>22</v>
      </c>
      <c r="M377" s="9"/>
      <c r="N377" s="5"/>
      <c r="O377" s="5"/>
    </row>
    <row r="378" ht="22.5" hidden="1" customHeight="1">
      <c r="A378" s="5"/>
      <c r="B378" s="5"/>
      <c r="C378" s="5"/>
      <c r="D378" s="9"/>
      <c r="E378" s="9"/>
      <c r="F378" s="5" t="s">
        <v>18</v>
      </c>
      <c r="G378" s="9"/>
      <c r="H378" s="5" t="s">
        <v>20</v>
      </c>
      <c r="I378" s="9"/>
      <c r="J378" s="8" t="s">
        <v>21</v>
      </c>
      <c r="K378" s="9"/>
      <c r="L378" s="8" t="s">
        <v>22</v>
      </c>
      <c r="M378" s="9"/>
      <c r="N378" s="5"/>
      <c r="O378" s="5"/>
    </row>
    <row r="379" ht="22.5" hidden="1" customHeight="1">
      <c r="A379" s="5"/>
      <c r="B379" s="5"/>
      <c r="C379" s="5"/>
      <c r="D379" s="9"/>
      <c r="E379" s="9"/>
      <c r="F379" s="5" t="s">
        <v>18</v>
      </c>
      <c r="G379" s="9"/>
      <c r="H379" s="5" t="s">
        <v>20</v>
      </c>
      <c r="I379" s="9"/>
      <c r="J379" s="8" t="s">
        <v>21</v>
      </c>
      <c r="K379" s="9"/>
      <c r="L379" s="8" t="s">
        <v>22</v>
      </c>
      <c r="M379" s="9"/>
      <c r="N379" s="5"/>
      <c r="O379" s="5"/>
    </row>
    <row r="380" ht="22.5" hidden="1" customHeight="1">
      <c r="A380" s="5"/>
      <c r="B380" s="5"/>
      <c r="C380" s="5"/>
      <c r="D380" s="9"/>
      <c r="E380" s="9"/>
      <c r="F380" s="5" t="s">
        <v>18</v>
      </c>
      <c r="G380" s="9"/>
      <c r="H380" s="5" t="s">
        <v>20</v>
      </c>
      <c r="I380" s="9"/>
      <c r="J380" s="8" t="s">
        <v>21</v>
      </c>
      <c r="K380" s="9"/>
      <c r="L380" s="8" t="s">
        <v>22</v>
      </c>
      <c r="M380" s="9"/>
      <c r="N380" s="5"/>
      <c r="O380" s="5"/>
    </row>
    <row r="381" ht="22.5" hidden="1" customHeight="1">
      <c r="A381" s="5"/>
      <c r="B381" s="5"/>
      <c r="C381" s="5"/>
      <c r="D381" s="9"/>
      <c r="E381" s="9"/>
      <c r="F381" s="5" t="s">
        <v>18</v>
      </c>
      <c r="G381" s="9"/>
      <c r="H381" s="5" t="s">
        <v>20</v>
      </c>
      <c r="I381" s="9"/>
      <c r="J381" s="8" t="s">
        <v>21</v>
      </c>
      <c r="K381" s="9"/>
      <c r="L381" s="8" t="s">
        <v>22</v>
      </c>
      <c r="M381" s="9"/>
      <c r="N381" s="5"/>
      <c r="O381" s="5"/>
    </row>
    <row r="382" ht="22.5" hidden="1" customHeight="1">
      <c r="A382" s="5"/>
      <c r="B382" s="5"/>
      <c r="C382" s="5"/>
      <c r="D382" s="9"/>
      <c r="E382" s="9"/>
      <c r="F382" s="5" t="s">
        <v>18</v>
      </c>
      <c r="G382" s="9"/>
      <c r="H382" s="5" t="s">
        <v>20</v>
      </c>
      <c r="I382" s="9"/>
      <c r="J382" s="8" t="s">
        <v>21</v>
      </c>
      <c r="K382" s="9"/>
      <c r="L382" s="8" t="s">
        <v>22</v>
      </c>
      <c r="M382" s="9"/>
      <c r="N382" s="5"/>
      <c r="O382" s="5"/>
    </row>
    <row r="383" ht="22.5" hidden="1" customHeight="1">
      <c r="A383" s="5"/>
      <c r="B383" s="5"/>
      <c r="C383" s="5"/>
      <c r="D383" s="9"/>
      <c r="E383" s="9"/>
      <c r="F383" s="5" t="s">
        <v>18</v>
      </c>
      <c r="G383" s="9"/>
      <c r="H383" s="5" t="s">
        <v>20</v>
      </c>
      <c r="I383" s="9"/>
      <c r="J383" s="8" t="s">
        <v>21</v>
      </c>
      <c r="K383" s="9"/>
      <c r="L383" s="8" t="s">
        <v>22</v>
      </c>
      <c r="M383" s="9"/>
      <c r="N383" s="5"/>
      <c r="O383" s="5"/>
    </row>
    <row r="384" ht="22.5" hidden="1" customHeight="1">
      <c r="A384" s="5"/>
      <c r="B384" s="5"/>
      <c r="C384" s="5"/>
      <c r="D384" s="9"/>
      <c r="E384" s="9"/>
      <c r="F384" s="5" t="s">
        <v>18</v>
      </c>
      <c r="G384" s="9"/>
      <c r="H384" s="5" t="s">
        <v>20</v>
      </c>
      <c r="I384" s="9"/>
      <c r="J384" s="8" t="s">
        <v>21</v>
      </c>
      <c r="K384" s="9"/>
      <c r="L384" s="8" t="s">
        <v>22</v>
      </c>
      <c r="M384" s="9"/>
      <c r="N384" s="5"/>
      <c r="O384" s="5"/>
    </row>
    <row r="385" ht="22.5" hidden="1" customHeight="1">
      <c r="A385" s="5"/>
      <c r="B385" s="5"/>
      <c r="C385" s="5"/>
      <c r="D385" s="9"/>
      <c r="E385" s="9"/>
      <c r="F385" s="5" t="s">
        <v>18</v>
      </c>
      <c r="G385" s="9"/>
      <c r="H385" s="5" t="s">
        <v>20</v>
      </c>
      <c r="I385" s="9"/>
      <c r="J385" s="8" t="s">
        <v>21</v>
      </c>
      <c r="K385" s="9"/>
      <c r="L385" s="8" t="s">
        <v>22</v>
      </c>
      <c r="M385" s="9"/>
      <c r="N385" s="5"/>
      <c r="O385" s="5"/>
    </row>
    <row r="386" ht="22.5" hidden="1" customHeight="1">
      <c r="A386" s="5"/>
      <c r="B386" s="5"/>
      <c r="C386" s="5"/>
      <c r="D386" s="9"/>
      <c r="E386" s="9"/>
      <c r="F386" s="5" t="s">
        <v>18</v>
      </c>
      <c r="G386" s="9"/>
      <c r="H386" s="5" t="s">
        <v>20</v>
      </c>
      <c r="I386" s="9"/>
      <c r="J386" s="8" t="s">
        <v>21</v>
      </c>
      <c r="K386" s="9"/>
      <c r="L386" s="8" t="s">
        <v>22</v>
      </c>
      <c r="M386" s="9"/>
      <c r="N386" s="5"/>
      <c r="O386" s="5"/>
    </row>
    <row r="387" ht="22.5" hidden="1" customHeight="1">
      <c r="A387" s="5"/>
      <c r="B387" s="5"/>
      <c r="C387" s="5"/>
      <c r="D387" s="9"/>
      <c r="E387" s="9"/>
      <c r="F387" s="5" t="s">
        <v>18</v>
      </c>
      <c r="G387" s="9"/>
      <c r="H387" s="5" t="s">
        <v>20</v>
      </c>
      <c r="I387" s="9"/>
      <c r="J387" s="8" t="s">
        <v>21</v>
      </c>
      <c r="K387" s="9"/>
      <c r="L387" s="8" t="s">
        <v>22</v>
      </c>
      <c r="M387" s="9"/>
      <c r="N387" s="5"/>
      <c r="O387" s="5"/>
    </row>
    <row r="388" ht="22.5" hidden="1" customHeight="1">
      <c r="A388" s="5"/>
      <c r="B388" s="5"/>
      <c r="C388" s="5"/>
      <c r="D388" s="9"/>
      <c r="E388" s="9"/>
      <c r="F388" s="5" t="s">
        <v>18</v>
      </c>
      <c r="G388" s="9"/>
      <c r="H388" s="5" t="s">
        <v>20</v>
      </c>
      <c r="I388" s="9"/>
      <c r="J388" s="8" t="s">
        <v>21</v>
      </c>
      <c r="K388" s="9"/>
      <c r="L388" s="8" t="s">
        <v>22</v>
      </c>
      <c r="M388" s="9"/>
      <c r="N388" s="5"/>
      <c r="O388" s="5"/>
    </row>
    <row r="389" ht="22.5" hidden="1" customHeight="1">
      <c r="A389" s="5"/>
      <c r="B389" s="5"/>
      <c r="C389" s="5"/>
      <c r="D389" s="9"/>
      <c r="E389" s="9"/>
      <c r="F389" s="5" t="s">
        <v>18</v>
      </c>
      <c r="G389" s="9"/>
      <c r="H389" s="5" t="s">
        <v>20</v>
      </c>
      <c r="I389" s="9"/>
      <c r="J389" s="8" t="s">
        <v>21</v>
      </c>
      <c r="K389" s="9"/>
      <c r="L389" s="8" t="s">
        <v>22</v>
      </c>
      <c r="M389" s="9"/>
      <c r="N389" s="5"/>
      <c r="O389" s="5"/>
    </row>
    <row r="390" ht="22.5" hidden="1" customHeight="1">
      <c r="A390" s="5"/>
      <c r="B390" s="5"/>
      <c r="C390" s="5"/>
      <c r="D390" s="9"/>
      <c r="E390" s="9"/>
      <c r="F390" s="5" t="s">
        <v>18</v>
      </c>
      <c r="G390" s="9"/>
      <c r="H390" s="5" t="s">
        <v>20</v>
      </c>
      <c r="I390" s="9"/>
      <c r="J390" s="8" t="s">
        <v>21</v>
      </c>
      <c r="K390" s="9"/>
      <c r="L390" s="8" t="s">
        <v>22</v>
      </c>
      <c r="M390" s="9"/>
      <c r="N390" s="5"/>
      <c r="O390" s="5"/>
    </row>
    <row r="391" ht="22.5" hidden="1" customHeight="1">
      <c r="A391" s="5"/>
      <c r="B391" s="5"/>
      <c r="C391" s="5"/>
      <c r="D391" s="9"/>
      <c r="E391" s="9"/>
      <c r="F391" s="5" t="s">
        <v>18</v>
      </c>
      <c r="G391" s="9"/>
      <c r="H391" s="5" t="s">
        <v>20</v>
      </c>
      <c r="I391" s="9"/>
      <c r="J391" s="8" t="s">
        <v>21</v>
      </c>
      <c r="K391" s="9"/>
      <c r="L391" s="8" t="s">
        <v>22</v>
      </c>
      <c r="M391" s="9"/>
      <c r="N391" s="5"/>
      <c r="O391" s="5"/>
    </row>
    <row r="392" ht="22.5" hidden="1" customHeight="1">
      <c r="A392" s="5"/>
      <c r="B392" s="5"/>
      <c r="C392" s="5"/>
      <c r="D392" s="9"/>
      <c r="E392" s="9"/>
      <c r="F392" s="5" t="s">
        <v>18</v>
      </c>
      <c r="G392" s="9"/>
      <c r="H392" s="5" t="s">
        <v>20</v>
      </c>
      <c r="I392" s="9"/>
      <c r="J392" s="8" t="s">
        <v>21</v>
      </c>
      <c r="K392" s="9"/>
      <c r="L392" s="8" t="s">
        <v>22</v>
      </c>
      <c r="M392" s="9"/>
      <c r="N392" s="5"/>
      <c r="O392" s="5"/>
    </row>
    <row r="393" ht="22.5" hidden="1" customHeight="1">
      <c r="A393" s="5"/>
      <c r="B393" s="5"/>
      <c r="C393" s="5"/>
      <c r="D393" s="9"/>
      <c r="E393" s="9"/>
      <c r="F393" s="5" t="s">
        <v>18</v>
      </c>
      <c r="G393" s="9"/>
      <c r="H393" s="5" t="s">
        <v>20</v>
      </c>
      <c r="I393" s="9"/>
      <c r="J393" s="8" t="s">
        <v>21</v>
      </c>
      <c r="K393" s="9"/>
      <c r="L393" s="8" t="s">
        <v>22</v>
      </c>
      <c r="M393" s="9"/>
      <c r="N393" s="5"/>
      <c r="O393" s="5"/>
    </row>
    <row r="394" ht="22.5" hidden="1" customHeight="1">
      <c r="A394" s="5"/>
      <c r="B394" s="5"/>
      <c r="C394" s="5"/>
      <c r="D394" s="9"/>
      <c r="E394" s="9"/>
      <c r="F394" s="5" t="s">
        <v>18</v>
      </c>
      <c r="G394" s="9"/>
      <c r="H394" s="5" t="s">
        <v>20</v>
      </c>
      <c r="I394" s="9"/>
      <c r="J394" s="8" t="s">
        <v>21</v>
      </c>
      <c r="K394" s="9"/>
      <c r="L394" s="8" t="s">
        <v>22</v>
      </c>
      <c r="M394" s="9"/>
      <c r="N394" s="5"/>
      <c r="O394" s="5"/>
    </row>
    <row r="395" ht="22.5" hidden="1" customHeight="1">
      <c r="A395" s="5"/>
      <c r="B395" s="5"/>
      <c r="C395" s="5"/>
      <c r="D395" s="9"/>
      <c r="E395" s="9"/>
      <c r="F395" s="5" t="s">
        <v>18</v>
      </c>
      <c r="G395" s="9"/>
      <c r="H395" s="5" t="s">
        <v>20</v>
      </c>
      <c r="I395" s="9"/>
      <c r="J395" s="8" t="s">
        <v>21</v>
      </c>
      <c r="K395" s="9"/>
      <c r="L395" s="8" t="s">
        <v>22</v>
      </c>
      <c r="M395" s="9"/>
      <c r="N395" s="5"/>
      <c r="O395" s="5"/>
    </row>
    <row r="396" ht="22.5" hidden="1" customHeight="1">
      <c r="A396" s="5"/>
      <c r="B396" s="5"/>
      <c r="C396" s="5"/>
      <c r="D396" s="9"/>
      <c r="E396" s="9"/>
      <c r="F396" s="5" t="s">
        <v>18</v>
      </c>
      <c r="G396" s="9"/>
      <c r="H396" s="5" t="s">
        <v>20</v>
      </c>
      <c r="I396" s="9"/>
      <c r="J396" s="8" t="s">
        <v>21</v>
      </c>
      <c r="K396" s="9"/>
      <c r="L396" s="8" t="s">
        <v>22</v>
      </c>
      <c r="M396" s="9"/>
      <c r="N396" s="5"/>
      <c r="O396" s="5"/>
    </row>
    <row r="397" ht="22.5" hidden="1" customHeight="1">
      <c r="A397" s="5"/>
      <c r="B397" s="5"/>
      <c r="C397" s="5"/>
      <c r="D397" s="9"/>
      <c r="E397" s="9"/>
      <c r="F397" s="5" t="s">
        <v>18</v>
      </c>
      <c r="G397" s="9"/>
      <c r="H397" s="5" t="s">
        <v>20</v>
      </c>
      <c r="I397" s="9"/>
      <c r="J397" s="8" t="s">
        <v>21</v>
      </c>
      <c r="K397" s="9"/>
      <c r="L397" s="8" t="s">
        <v>22</v>
      </c>
      <c r="M397" s="9"/>
      <c r="N397" s="5"/>
      <c r="O397" s="5"/>
    </row>
    <row r="398" ht="22.5" hidden="1" customHeight="1">
      <c r="A398" s="5"/>
      <c r="B398" s="5"/>
      <c r="C398" s="5"/>
      <c r="D398" s="9"/>
      <c r="E398" s="9"/>
      <c r="F398" s="5" t="s">
        <v>18</v>
      </c>
      <c r="G398" s="9"/>
      <c r="H398" s="5" t="s">
        <v>20</v>
      </c>
      <c r="I398" s="9"/>
      <c r="J398" s="8" t="s">
        <v>21</v>
      </c>
      <c r="K398" s="9"/>
      <c r="L398" s="8" t="s">
        <v>22</v>
      </c>
      <c r="M398" s="9"/>
      <c r="N398" s="5"/>
      <c r="O398" s="5"/>
    </row>
    <row r="399" ht="22.5" hidden="1" customHeight="1">
      <c r="A399" s="5"/>
      <c r="B399" s="5"/>
      <c r="C399" s="5"/>
      <c r="D399" s="9"/>
      <c r="E399" s="9"/>
      <c r="F399" s="5" t="s">
        <v>18</v>
      </c>
      <c r="G399" s="9"/>
      <c r="H399" s="5" t="s">
        <v>20</v>
      </c>
      <c r="I399" s="9"/>
      <c r="J399" s="8" t="s">
        <v>21</v>
      </c>
      <c r="K399" s="9"/>
      <c r="L399" s="8" t="s">
        <v>22</v>
      </c>
      <c r="M399" s="9"/>
      <c r="N399" s="5"/>
      <c r="O399" s="5"/>
    </row>
    <row r="400" ht="22.5" hidden="1" customHeight="1">
      <c r="A400" s="5"/>
      <c r="B400" s="5"/>
      <c r="C400" s="5"/>
      <c r="D400" s="9"/>
      <c r="E400" s="9"/>
      <c r="F400" s="5" t="s">
        <v>18</v>
      </c>
      <c r="G400" s="9"/>
      <c r="H400" s="5" t="s">
        <v>20</v>
      </c>
      <c r="I400" s="9"/>
      <c r="J400" s="8" t="s">
        <v>21</v>
      </c>
      <c r="K400" s="9"/>
      <c r="L400" s="8" t="s">
        <v>22</v>
      </c>
      <c r="M400" s="9"/>
      <c r="N400" s="5"/>
      <c r="O400" s="5"/>
    </row>
    <row r="401" ht="22.5" hidden="1" customHeight="1">
      <c r="A401" s="5"/>
      <c r="B401" s="5"/>
      <c r="C401" s="5"/>
      <c r="D401" s="9"/>
      <c r="E401" s="9"/>
      <c r="F401" s="5" t="s">
        <v>18</v>
      </c>
      <c r="G401" s="9"/>
      <c r="H401" s="5" t="s">
        <v>20</v>
      </c>
      <c r="I401" s="9"/>
      <c r="J401" s="8" t="s">
        <v>21</v>
      </c>
      <c r="K401" s="9"/>
      <c r="L401" s="8" t="s">
        <v>22</v>
      </c>
      <c r="M401" s="9"/>
      <c r="N401" s="5"/>
      <c r="O401" s="5"/>
    </row>
    <row r="402" ht="22.5" hidden="1" customHeight="1">
      <c r="A402" s="5"/>
      <c r="B402" s="5"/>
      <c r="C402" s="5"/>
      <c r="D402" s="9"/>
      <c r="E402" s="9"/>
      <c r="F402" s="5" t="s">
        <v>18</v>
      </c>
      <c r="G402" s="9"/>
      <c r="H402" s="5" t="s">
        <v>20</v>
      </c>
      <c r="I402" s="9"/>
      <c r="J402" s="8" t="s">
        <v>21</v>
      </c>
      <c r="K402" s="9"/>
      <c r="L402" s="8" t="s">
        <v>22</v>
      </c>
      <c r="M402" s="9"/>
      <c r="N402" s="5"/>
      <c r="O402" s="5"/>
    </row>
    <row r="403" ht="22.5" hidden="1" customHeight="1">
      <c r="A403" s="5"/>
      <c r="B403" s="5"/>
      <c r="C403" s="5"/>
      <c r="D403" s="9"/>
      <c r="E403" s="9"/>
      <c r="F403" s="5" t="s">
        <v>18</v>
      </c>
      <c r="G403" s="9"/>
      <c r="H403" s="5" t="s">
        <v>20</v>
      </c>
      <c r="I403" s="9"/>
      <c r="J403" s="8" t="s">
        <v>21</v>
      </c>
      <c r="K403" s="9"/>
      <c r="L403" s="8" t="s">
        <v>22</v>
      </c>
      <c r="M403" s="9"/>
      <c r="N403" s="5"/>
      <c r="O403" s="5"/>
    </row>
    <row r="404" ht="22.5" hidden="1" customHeight="1">
      <c r="A404" s="5"/>
      <c r="B404" s="5"/>
      <c r="C404" s="5"/>
      <c r="D404" s="9"/>
      <c r="E404" s="9"/>
      <c r="F404" s="5" t="s">
        <v>18</v>
      </c>
      <c r="G404" s="9"/>
      <c r="H404" s="5" t="s">
        <v>20</v>
      </c>
      <c r="I404" s="9"/>
      <c r="J404" s="8" t="s">
        <v>21</v>
      </c>
      <c r="K404" s="9"/>
      <c r="L404" s="8" t="s">
        <v>22</v>
      </c>
      <c r="M404" s="9"/>
      <c r="N404" s="5"/>
      <c r="O404" s="5"/>
    </row>
    <row r="405" ht="22.5" hidden="1" customHeight="1">
      <c r="A405" s="5"/>
      <c r="B405" s="5"/>
      <c r="C405" s="5"/>
      <c r="D405" s="9"/>
      <c r="E405" s="9"/>
      <c r="F405" s="5" t="s">
        <v>18</v>
      </c>
      <c r="G405" s="9"/>
      <c r="H405" s="5" t="s">
        <v>20</v>
      </c>
      <c r="I405" s="9"/>
      <c r="J405" s="8" t="s">
        <v>21</v>
      </c>
      <c r="K405" s="9"/>
      <c r="L405" s="8" t="s">
        <v>22</v>
      </c>
      <c r="M405" s="9"/>
      <c r="N405" s="5"/>
      <c r="O405" s="5"/>
    </row>
    <row r="406" ht="22.5" hidden="1" customHeight="1">
      <c r="A406" s="5"/>
      <c r="B406" s="5"/>
      <c r="C406" s="5"/>
      <c r="D406" s="9"/>
      <c r="E406" s="9"/>
      <c r="F406" s="5" t="s">
        <v>18</v>
      </c>
      <c r="G406" s="9"/>
      <c r="H406" s="5" t="s">
        <v>20</v>
      </c>
      <c r="I406" s="9"/>
      <c r="J406" s="8" t="s">
        <v>21</v>
      </c>
      <c r="K406" s="9"/>
      <c r="L406" s="8" t="s">
        <v>22</v>
      </c>
      <c r="M406" s="9"/>
      <c r="N406" s="5"/>
      <c r="O406" s="5"/>
    </row>
    <row r="407" ht="22.5" hidden="1" customHeight="1">
      <c r="A407" s="5"/>
      <c r="B407" s="5"/>
      <c r="C407" s="5"/>
      <c r="D407" s="9"/>
      <c r="E407" s="9"/>
      <c r="F407" s="5" t="s">
        <v>18</v>
      </c>
      <c r="G407" s="9"/>
      <c r="H407" s="5" t="s">
        <v>20</v>
      </c>
      <c r="I407" s="9"/>
      <c r="J407" s="8" t="s">
        <v>21</v>
      </c>
      <c r="K407" s="9"/>
      <c r="L407" s="8" t="s">
        <v>22</v>
      </c>
      <c r="M407" s="9"/>
      <c r="N407" s="5"/>
      <c r="O407" s="5"/>
    </row>
    <row r="408" ht="22.5" hidden="1" customHeight="1">
      <c r="A408" s="5"/>
      <c r="B408" s="5"/>
      <c r="C408" s="5"/>
      <c r="D408" s="9"/>
      <c r="E408" s="9"/>
      <c r="F408" s="5" t="s">
        <v>18</v>
      </c>
      <c r="G408" s="9"/>
      <c r="H408" s="5" t="s">
        <v>20</v>
      </c>
      <c r="I408" s="9"/>
      <c r="J408" s="8" t="s">
        <v>21</v>
      </c>
      <c r="K408" s="9"/>
      <c r="L408" s="8" t="s">
        <v>22</v>
      </c>
      <c r="M408" s="9"/>
      <c r="N408" s="5"/>
      <c r="O408" s="5"/>
    </row>
    <row r="409" ht="22.5" hidden="1" customHeight="1">
      <c r="A409" s="5"/>
      <c r="B409" s="5"/>
      <c r="C409" s="5"/>
      <c r="D409" s="9"/>
      <c r="E409" s="9"/>
      <c r="F409" s="5" t="s">
        <v>18</v>
      </c>
      <c r="G409" s="9"/>
      <c r="H409" s="5" t="s">
        <v>20</v>
      </c>
      <c r="I409" s="9"/>
      <c r="J409" s="8" t="s">
        <v>21</v>
      </c>
      <c r="K409" s="9"/>
      <c r="L409" s="8" t="s">
        <v>22</v>
      </c>
      <c r="M409" s="9"/>
      <c r="N409" s="5"/>
      <c r="O409" s="5"/>
    </row>
    <row r="410" ht="22.5" hidden="1" customHeight="1">
      <c r="A410" s="5"/>
      <c r="B410" s="5"/>
      <c r="C410" s="5"/>
      <c r="D410" s="9"/>
      <c r="E410" s="9"/>
      <c r="F410" s="5" t="s">
        <v>18</v>
      </c>
      <c r="G410" s="9"/>
      <c r="H410" s="5" t="s">
        <v>20</v>
      </c>
      <c r="I410" s="9"/>
      <c r="J410" s="8" t="s">
        <v>21</v>
      </c>
      <c r="K410" s="9"/>
      <c r="L410" s="8" t="s">
        <v>22</v>
      </c>
      <c r="M410" s="9"/>
      <c r="N410" s="5"/>
      <c r="O410" s="5"/>
    </row>
    <row r="411" ht="22.5" hidden="1" customHeight="1">
      <c r="A411" s="5"/>
      <c r="B411" s="5"/>
      <c r="C411" s="5"/>
      <c r="D411" s="9"/>
      <c r="E411" s="9"/>
      <c r="F411" s="5" t="s">
        <v>18</v>
      </c>
      <c r="G411" s="9"/>
      <c r="H411" s="5" t="s">
        <v>20</v>
      </c>
      <c r="I411" s="9"/>
      <c r="J411" s="8" t="s">
        <v>21</v>
      </c>
      <c r="K411" s="9"/>
      <c r="L411" s="8" t="s">
        <v>22</v>
      </c>
      <c r="M411" s="9"/>
      <c r="N411" s="5"/>
      <c r="O411" s="5"/>
    </row>
    <row r="412" ht="22.5" hidden="1" customHeight="1">
      <c r="A412" s="5"/>
      <c r="B412" s="5"/>
      <c r="C412" s="5"/>
      <c r="D412" s="9"/>
      <c r="E412" s="9"/>
      <c r="F412" s="5" t="s">
        <v>18</v>
      </c>
      <c r="G412" s="9"/>
      <c r="H412" s="5" t="s">
        <v>20</v>
      </c>
      <c r="I412" s="9"/>
      <c r="J412" s="8" t="s">
        <v>21</v>
      </c>
      <c r="K412" s="9"/>
      <c r="L412" s="8" t="s">
        <v>22</v>
      </c>
      <c r="M412" s="9"/>
      <c r="N412" s="5"/>
      <c r="O412" s="5"/>
    </row>
    <row r="413" ht="22.5" hidden="1" customHeight="1">
      <c r="A413" s="5"/>
      <c r="B413" s="5"/>
      <c r="C413" s="5"/>
      <c r="D413" s="9"/>
      <c r="E413" s="9"/>
      <c r="F413" s="5" t="s">
        <v>18</v>
      </c>
      <c r="G413" s="9"/>
      <c r="H413" s="5" t="s">
        <v>20</v>
      </c>
      <c r="I413" s="9"/>
      <c r="J413" s="8" t="s">
        <v>21</v>
      </c>
      <c r="K413" s="9"/>
      <c r="L413" s="8" t="s">
        <v>22</v>
      </c>
      <c r="M413" s="9"/>
      <c r="N413" s="5"/>
      <c r="O413" s="5"/>
    </row>
    <row r="414" ht="22.5" hidden="1" customHeight="1">
      <c r="A414" s="5"/>
      <c r="B414" s="5"/>
      <c r="C414" s="5"/>
      <c r="D414" s="9"/>
      <c r="E414" s="9"/>
      <c r="F414" s="5" t="s">
        <v>18</v>
      </c>
      <c r="G414" s="9"/>
      <c r="H414" s="5" t="s">
        <v>20</v>
      </c>
      <c r="I414" s="9"/>
      <c r="J414" s="8" t="s">
        <v>21</v>
      </c>
      <c r="K414" s="9"/>
      <c r="L414" s="8" t="s">
        <v>22</v>
      </c>
      <c r="M414" s="9"/>
      <c r="N414" s="5"/>
      <c r="O414" s="5"/>
    </row>
    <row r="415" ht="22.5" hidden="1" customHeight="1">
      <c r="A415" s="5"/>
      <c r="B415" s="5"/>
      <c r="C415" s="5"/>
      <c r="D415" s="9"/>
      <c r="E415" s="9"/>
      <c r="F415" s="5" t="s">
        <v>18</v>
      </c>
      <c r="G415" s="9"/>
      <c r="H415" s="5" t="s">
        <v>20</v>
      </c>
      <c r="I415" s="9"/>
      <c r="J415" s="8" t="s">
        <v>21</v>
      </c>
      <c r="K415" s="9"/>
      <c r="L415" s="8" t="s">
        <v>22</v>
      </c>
      <c r="M415" s="9"/>
      <c r="N415" s="5"/>
      <c r="O415" s="5"/>
    </row>
    <row r="416" ht="22.5" hidden="1" customHeight="1">
      <c r="A416" s="5"/>
      <c r="B416" s="5"/>
      <c r="C416" s="5"/>
      <c r="D416" s="9"/>
      <c r="E416" s="9"/>
      <c r="F416" s="5" t="s">
        <v>18</v>
      </c>
      <c r="G416" s="9"/>
      <c r="H416" s="5" t="s">
        <v>20</v>
      </c>
      <c r="I416" s="9"/>
      <c r="J416" s="8" t="s">
        <v>21</v>
      </c>
      <c r="K416" s="9"/>
      <c r="L416" s="8" t="s">
        <v>22</v>
      </c>
      <c r="M416" s="9"/>
      <c r="N416" s="5"/>
      <c r="O416" s="5"/>
    </row>
    <row r="417" ht="22.5" hidden="1" customHeight="1">
      <c r="A417" s="5"/>
      <c r="B417" s="5"/>
      <c r="C417" s="5"/>
      <c r="D417" s="9"/>
      <c r="E417" s="9"/>
      <c r="F417" s="5" t="s">
        <v>18</v>
      </c>
      <c r="G417" s="9"/>
      <c r="H417" s="5" t="s">
        <v>20</v>
      </c>
      <c r="I417" s="9"/>
      <c r="J417" s="8" t="s">
        <v>21</v>
      </c>
      <c r="K417" s="9"/>
      <c r="L417" s="8" t="s">
        <v>22</v>
      </c>
      <c r="M417" s="9"/>
      <c r="N417" s="5"/>
      <c r="O417" s="5"/>
    </row>
    <row r="418" ht="22.5" hidden="1" customHeight="1">
      <c r="A418" s="5"/>
      <c r="B418" s="5"/>
      <c r="C418" s="5"/>
      <c r="D418" s="9"/>
      <c r="E418" s="9"/>
      <c r="F418" s="5" t="s">
        <v>18</v>
      </c>
      <c r="G418" s="9"/>
      <c r="H418" s="5" t="s">
        <v>20</v>
      </c>
      <c r="I418" s="9"/>
      <c r="J418" s="8" t="s">
        <v>21</v>
      </c>
      <c r="K418" s="9"/>
      <c r="L418" s="8" t="s">
        <v>22</v>
      </c>
      <c r="M418" s="9"/>
      <c r="N418" s="5"/>
      <c r="O418" s="5"/>
    </row>
    <row r="419" ht="22.5" hidden="1" customHeight="1">
      <c r="A419" s="5"/>
      <c r="B419" s="5"/>
      <c r="C419" s="5"/>
      <c r="D419" s="9"/>
      <c r="E419" s="9"/>
      <c r="F419" s="5" t="s">
        <v>18</v>
      </c>
      <c r="G419" s="9"/>
      <c r="H419" s="5" t="s">
        <v>20</v>
      </c>
      <c r="I419" s="9"/>
      <c r="J419" s="8" t="s">
        <v>21</v>
      </c>
      <c r="K419" s="9"/>
      <c r="L419" s="8" t="s">
        <v>22</v>
      </c>
      <c r="M419" s="9"/>
      <c r="N419" s="5"/>
      <c r="O419" s="5"/>
    </row>
    <row r="420" ht="22.5" hidden="1" customHeight="1">
      <c r="A420" s="5"/>
      <c r="B420" s="5"/>
      <c r="C420" s="5"/>
      <c r="D420" s="9"/>
      <c r="E420" s="9"/>
      <c r="F420" s="5" t="s">
        <v>18</v>
      </c>
      <c r="G420" s="9"/>
      <c r="H420" s="5" t="s">
        <v>20</v>
      </c>
      <c r="I420" s="9"/>
      <c r="J420" s="8" t="s">
        <v>21</v>
      </c>
      <c r="K420" s="9"/>
      <c r="L420" s="8" t="s">
        <v>22</v>
      </c>
      <c r="M420" s="9"/>
      <c r="N420" s="5"/>
      <c r="O420" s="5"/>
    </row>
    <row r="421" ht="22.5" hidden="1" customHeight="1">
      <c r="A421" s="5"/>
      <c r="B421" s="5"/>
      <c r="C421" s="5"/>
      <c r="D421" s="9"/>
      <c r="E421" s="9"/>
      <c r="F421" s="5" t="s">
        <v>18</v>
      </c>
      <c r="G421" s="9"/>
      <c r="H421" s="5" t="s">
        <v>20</v>
      </c>
      <c r="I421" s="9"/>
      <c r="J421" s="8" t="s">
        <v>21</v>
      </c>
      <c r="K421" s="9"/>
      <c r="L421" s="8" t="s">
        <v>22</v>
      </c>
      <c r="M421" s="9"/>
      <c r="N421" s="5"/>
      <c r="O421" s="5"/>
    </row>
    <row r="422" ht="22.5" hidden="1" customHeight="1">
      <c r="A422" s="5"/>
      <c r="B422" s="5"/>
      <c r="C422" s="5"/>
      <c r="D422" s="9"/>
      <c r="E422" s="9"/>
      <c r="F422" s="5" t="s">
        <v>18</v>
      </c>
      <c r="G422" s="9"/>
      <c r="H422" s="5" t="s">
        <v>20</v>
      </c>
      <c r="I422" s="9"/>
      <c r="J422" s="8" t="s">
        <v>21</v>
      </c>
      <c r="K422" s="9"/>
      <c r="L422" s="8" t="s">
        <v>22</v>
      </c>
      <c r="M422" s="9"/>
      <c r="N422" s="5"/>
      <c r="O422" s="5"/>
    </row>
    <row r="423" ht="22.5" hidden="1" customHeight="1">
      <c r="A423" s="5"/>
      <c r="B423" s="5"/>
      <c r="C423" s="5"/>
      <c r="D423" s="9"/>
      <c r="E423" s="9"/>
      <c r="F423" s="5" t="s">
        <v>18</v>
      </c>
      <c r="G423" s="9"/>
      <c r="H423" s="5" t="s">
        <v>20</v>
      </c>
      <c r="I423" s="9"/>
      <c r="J423" s="8" t="s">
        <v>21</v>
      </c>
      <c r="K423" s="9"/>
      <c r="L423" s="8" t="s">
        <v>22</v>
      </c>
      <c r="M423" s="9"/>
      <c r="N423" s="5"/>
      <c r="O423" s="5"/>
    </row>
    <row r="424" ht="22.5" hidden="1" customHeight="1">
      <c r="A424" s="5"/>
      <c r="B424" s="5"/>
      <c r="C424" s="5"/>
      <c r="D424" s="9"/>
      <c r="E424" s="9"/>
      <c r="F424" s="5" t="s">
        <v>18</v>
      </c>
      <c r="G424" s="9"/>
      <c r="H424" s="5" t="s">
        <v>20</v>
      </c>
      <c r="I424" s="9"/>
      <c r="J424" s="8" t="s">
        <v>21</v>
      </c>
      <c r="K424" s="9"/>
      <c r="L424" s="8" t="s">
        <v>22</v>
      </c>
      <c r="M424" s="9"/>
      <c r="N424" s="5"/>
      <c r="O424" s="5"/>
    </row>
    <row r="425" ht="22.5" hidden="1" customHeight="1">
      <c r="A425" s="5"/>
      <c r="B425" s="5"/>
      <c r="C425" s="5"/>
      <c r="D425" s="9"/>
      <c r="E425" s="9"/>
      <c r="F425" s="5" t="s">
        <v>18</v>
      </c>
      <c r="G425" s="9"/>
      <c r="H425" s="5" t="s">
        <v>20</v>
      </c>
      <c r="I425" s="9"/>
      <c r="J425" s="8" t="s">
        <v>21</v>
      </c>
      <c r="K425" s="9"/>
      <c r="L425" s="8" t="s">
        <v>22</v>
      </c>
      <c r="M425" s="9"/>
      <c r="N425" s="5"/>
      <c r="O425" s="5"/>
    </row>
    <row r="426" ht="22.5" hidden="1" customHeight="1">
      <c r="A426" s="5"/>
      <c r="B426" s="5"/>
      <c r="C426" s="5"/>
      <c r="D426" s="9"/>
      <c r="E426" s="9"/>
      <c r="F426" s="5" t="s">
        <v>18</v>
      </c>
      <c r="G426" s="9"/>
      <c r="H426" s="5" t="s">
        <v>20</v>
      </c>
      <c r="I426" s="9"/>
      <c r="J426" s="8" t="s">
        <v>21</v>
      </c>
      <c r="K426" s="9"/>
      <c r="L426" s="8" t="s">
        <v>22</v>
      </c>
      <c r="M426" s="9"/>
      <c r="N426" s="5"/>
      <c r="O426" s="5"/>
    </row>
    <row r="427" ht="22.5" hidden="1" customHeight="1">
      <c r="A427" s="5"/>
      <c r="B427" s="5"/>
      <c r="C427" s="5"/>
      <c r="D427" s="9"/>
      <c r="E427" s="9"/>
      <c r="F427" s="5" t="s">
        <v>18</v>
      </c>
      <c r="G427" s="9"/>
      <c r="H427" s="5" t="s">
        <v>20</v>
      </c>
      <c r="I427" s="9"/>
      <c r="J427" s="8" t="s">
        <v>21</v>
      </c>
      <c r="K427" s="9"/>
      <c r="L427" s="8" t="s">
        <v>22</v>
      </c>
      <c r="M427" s="9"/>
      <c r="N427" s="5"/>
      <c r="O427" s="5"/>
    </row>
    <row r="428" ht="22.5" hidden="1" customHeight="1">
      <c r="A428" s="5"/>
      <c r="B428" s="5"/>
      <c r="C428" s="5"/>
      <c r="D428" s="9"/>
      <c r="E428" s="9"/>
      <c r="F428" s="5" t="s">
        <v>18</v>
      </c>
      <c r="G428" s="9"/>
      <c r="H428" s="5" t="s">
        <v>20</v>
      </c>
      <c r="I428" s="9"/>
      <c r="J428" s="8" t="s">
        <v>21</v>
      </c>
      <c r="K428" s="9"/>
      <c r="L428" s="8" t="s">
        <v>22</v>
      </c>
      <c r="M428" s="9"/>
      <c r="N428" s="5"/>
      <c r="O428" s="5"/>
    </row>
    <row r="429" ht="22.5" hidden="1" customHeight="1">
      <c r="A429" s="5"/>
      <c r="B429" s="5"/>
      <c r="C429" s="5"/>
      <c r="D429" s="9"/>
      <c r="E429" s="9"/>
      <c r="F429" s="5" t="s">
        <v>18</v>
      </c>
      <c r="G429" s="9"/>
      <c r="H429" s="5" t="s">
        <v>20</v>
      </c>
      <c r="I429" s="9"/>
      <c r="J429" s="8" t="s">
        <v>21</v>
      </c>
      <c r="K429" s="9"/>
      <c r="L429" s="8" t="s">
        <v>22</v>
      </c>
      <c r="M429" s="9"/>
      <c r="N429" s="5"/>
      <c r="O429" s="5"/>
    </row>
    <row r="430" ht="22.5" hidden="1" customHeight="1">
      <c r="A430" s="5"/>
      <c r="B430" s="5"/>
      <c r="C430" s="5"/>
      <c r="D430" s="9"/>
      <c r="E430" s="9"/>
      <c r="F430" s="5" t="s">
        <v>18</v>
      </c>
      <c r="G430" s="9"/>
      <c r="H430" s="5" t="s">
        <v>20</v>
      </c>
      <c r="I430" s="9"/>
      <c r="J430" s="8" t="s">
        <v>21</v>
      </c>
      <c r="K430" s="9"/>
      <c r="L430" s="8" t="s">
        <v>22</v>
      </c>
      <c r="M430" s="9"/>
      <c r="N430" s="5"/>
      <c r="O430" s="5"/>
    </row>
    <row r="431" ht="22.5" hidden="1" customHeight="1">
      <c r="A431" s="5"/>
      <c r="B431" s="5"/>
      <c r="C431" s="5"/>
      <c r="D431" s="9"/>
      <c r="E431" s="9"/>
      <c r="F431" s="5" t="s">
        <v>18</v>
      </c>
      <c r="G431" s="9"/>
      <c r="H431" s="5" t="s">
        <v>20</v>
      </c>
      <c r="I431" s="9"/>
      <c r="J431" s="8" t="s">
        <v>21</v>
      </c>
      <c r="K431" s="9"/>
      <c r="L431" s="8" t="s">
        <v>22</v>
      </c>
      <c r="M431" s="9"/>
      <c r="N431" s="5"/>
      <c r="O431" s="5"/>
    </row>
    <row r="432" ht="22.5" hidden="1" customHeight="1">
      <c r="A432" s="5"/>
      <c r="B432" s="5"/>
      <c r="C432" s="5"/>
      <c r="D432" s="9"/>
      <c r="E432" s="9"/>
      <c r="F432" s="5" t="s">
        <v>18</v>
      </c>
      <c r="G432" s="9"/>
      <c r="H432" s="5" t="s">
        <v>20</v>
      </c>
      <c r="I432" s="9"/>
      <c r="J432" s="8" t="s">
        <v>21</v>
      </c>
      <c r="K432" s="9"/>
      <c r="L432" s="8" t="s">
        <v>22</v>
      </c>
      <c r="M432" s="9"/>
      <c r="N432" s="5"/>
      <c r="O432" s="5"/>
    </row>
    <row r="433" ht="22.5" hidden="1" customHeight="1">
      <c r="A433" s="5"/>
      <c r="B433" s="5"/>
      <c r="C433" s="5"/>
      <c r="D433" s="9"/>
      <c r="E433" s="9"/>
      <c r="F433" s="5" t="s">
        <v>18</v>
      </c>
      <c r="G433" s="9"/>
      <c r="H433" s="5" t="s">
        <v>20</v>
      </c>
      <c r="I433" s="9"/>
      <c r="J433" s="8" t="s">
        <v>21</v>
      </c>
      <c r="K433" s="9"/>
      <c r="L433" s="8" t="s">
        <v>22</v>
      </c>
      <c r="M433" s="9"/>
      <c r="N433" s="5"/>
      <c r="O433" s="5"/>
    </row>
    <row r="434" ht="22.5" hidden="1" customHeight="1">
      <c r="A434" s="5"/>
      <c r="B434" s="5"/>
      <c r="C434" s="5"/>
      <c r="D434" s="9"/>
      <c r="E434" s="9"/>
      <c r="F434" s="5" t="s">
        <v>18</v>
      </c>
      <c r="G434" s="9"/>
      <c r="H434" s="5" t="s">
        <v>20</v>
      </c>
      <c r="I434" s="9"/>
      <c r="J434" s="8" t="s">
        <v>21</v>
      </c>
      <c r="K434" s="9"/>
      <c r="L434" s="8" t="s">
        <v>22</v>
      </c>
      <c r="M434" s="9"/>
      <c r="N434" s="5"/>
      <c r="O434" s="5"/>
    </row>
    <row r="435" ht="22.5" hidden="1" customHeight="1">
      <c r="A435" s="5"/>
      <c r="B435" s="5"/>
      <c r="C435" s="5"/>
      <c r="D435" s="9"/>
      <c r="E435" s="9"/>
      <c r="F435" s="5" t="s">
        <v>18</v>
      </c>
      <c r="G435" s="9"/>
      <c r="H435" s="5" t="s">
        <v>20</v>
      </c>
      <c r="I435" s="9"/>
      <c r="J435" s="8" t="s">
        <v>21</v>
      </c>
      <c r="K435" s="9"/>
      <c r="L435" s="8" t="s">
        <v>22</v>
      </c>
      <c r="M435" s="9"/>
      <c r="N435" s="5"/>
      <c r="O435" s="5"/>
    </row>
    <row r="436" ht="22.5" hidden="1" customHeight="1">
      <c r="A436" s="5"/>
      <c r="B436" s="5"/>
      <c r="C436" s="5"/>
      <c r="D436" s="9"/>
      <c r="E436" s="9"/>
      <c r="F436" s="5" t="s">
        <v>18</v>
      </c>
      <c r="G436" s="9"/>
      <c r="H436" s="5" t="s">
        <v>20</v>
      </c>
      <c r="I436" s="9"/>
      <c r="J436" s="8" t="s">
        <v>21</v>
      </c>
      <c r="K436" s="9"/>
      <c r="L436" s="8" t="s">
        <v>22</v>
      </c>
      <c r="M436" s="9"/>
      <c r="N436" s="5"/>
      <c r="O436" s="5"/>
    </row>
    <row r="437" ht="22.5" hidden="1" customHeight="1">
      <c r="A437" s="5"/>
      <c r="B437" s="5"/>
      <c r="C437" s="5"/>
      <c r="D437" s="9"/>
      <c r="E437" s="9"/>
      <c r="F437" s="5" t="s">
        <v>18</v>
      </c>
      <c r="G437" s="9"/>
      <c r="H437" s="5" t="s">
        <v>20</v>
      </c>
      <c r="I437" s="9"/>
      <c r="J437" s="8" t="s">
        <v>21</v>
      </c>
      <c r="K437" s="9"/>
      <c r="L437" s="8" t="s">
        <v>22</v>
      </c>
      <c r="M437" s="9"/>
      <c r="N437" s="5"/>
      <c r="O437" s="5"/>
    </row>
    <row r="438" ht="22.5" hidden="1" customHeight="1">
      <c r="A438" s="5"/>
      <c r="B438" s="5"/>
      <c r="C438" s="5"/>
      <c r="D438" s="9"/>
      <c r="E438" s="9"/>
      <c r="F438" s="5" t="s">
        <v>18</v>
      </c>
      <c r="G438" s="9"/>
      <c r="H438" s="5" t="s">
        <v>20</v>
      </c>
      <c r="I438" s="9"/>
      <c r="J438" s="8" t="s">
        <v>21</v>
      </c>
      <c r="K438" s="9"/>
      <c r="L438" s="8" t="s">
        <v>22</v>
      </c>
      <c r="M438" s="9"/>
      <c r="N438" s="5"/>
      <c r="O438" s="5"/>
    </row>
    <row r="439" ht="22.5" hidden="1" customHeight="1">
      <c r="A439" s="5"/>
      <c r="B439" s="5"/>
      <c r="C439" s="5"/>
      <c r="D439" s="9"/>
      <c r="E439" s="9"/>
      <c r="F439" s="5" t="s">
        <v>18</v>
      </c>
      <c r="G439" s="9"/>
      <c r="H439" s="5" t="s">
        <v>20</v>
      </c>
      <c r="I439" s="9"/>
      <c r="J439" s="8" t="s">
        <v>21</v>
      </c>
      <c r="K439" s="9"/>
      <c r="L439" s="8" t="s">
        <v>22</v>
      </c>
      <c r="M439" s="9"/>
      <c r="N439" s="5"/>
      <c r="O439" s="5"/>
    </row>
    <row r="440" ht="22.5" hidden="1" customHeight="1">
      <c r="A440" s="5"/>
      <c r="B440" s="5"/>
      <c r="C440" s="5"/>
      <c r="D440" s="9"/>
      <c r="E440" s="9"/>
      <c r="F440" s="5" t="s">
        <v>18</v>
      </c>
      <c r="G440" s="9"/>
      <c r="H440" s="5" t="s">
        <v>20</v>
      </c>
      <c r="I440" s="9"/>
      <c r="J440" s="8" t="s">
        <v>21</v>
      </c>
      <c r="K440" s="9"/>
      <c r="L440" s="8" t="s">
        <v>22</v>
      </c>
      <c r="M440" s="9"/>
      <c r="N440" s="5"/>
      <c r="O440" s="5"/>
    </row>
    <row r="441" ht="22.5" hidden="1" customHeight="1">
      <c r="A441" s="5"/>
      <c r="B441" s="5"/>
      <c r="C441" s="5"/>
      <c r="D441" s="9"/>
      <c r="E441" s="9"/>
      <c r="F441" s="5" t="s">
        <v>18</v>
      </c>
      <c r="G441" s="9"/>
      <c r="H441" s="5" t="s">
        <v>20</v>
      </c>
      <c r="I441" s="9"/>
      <c r="J441" s="8" t="s">
        <v>21</v>
      </c>
      <c r="K441" s="9"/>
      <c r="L441" s="8" t="s">
        <v>22</v>
      </c>
      <c r="M441" s="9"/>
      <c r="N441" s="5"/>
      <c r="O441" s="5"/>
    </row>
    <row r="442" ht="22.5" hidden="1" customHeight="1">
      <c r="A442" s="5"/>
      <c r="B442" s="5"/>
      <c r="C442" s="5"/>
      <c r="D442" s="9"/>
      <c r="E442" s="9"/>
      <c r="F442" s="5" t="s">
        <v>18</v>
      </c>
      <c r="G442" s="9"/>
      <c r="H442" s="5" t="s">
        <v>20</v>
      </c>
      <c r="I442" s="9"/>
      <c r="J442" s="8" t="s">
        <v>21</v>
      </c>
      <c r="K442" s="9"/>
      <c r="L442" s="8" t="s">
        <v>22</v>
      </c>
      <c r="M442" s="9"/>
      <c r="N442" s="5"/>
      <c r="O442" s="5"/>
    </row>
    <row r="443" ht="22.5" hidden="1" customHeight="1">
      <c r="A443" s="5"/>
      <c r="B443" s="5"/>
      <c r="C443" s="5"/>
      <c r="D443" s="9"/>
      <c r="E443" s="9"/>
      <c r="F443" s="5" t="s">
        <v>18</v>
      </c>
      <c r="G443" s="9"/>
      <c r="H443" s="5" t="s">
        <v>20</v>
      </c>
      <c r="I443" s="9"/>
      <c r="J443" s="8" t="s">
        <v>21</v>
      </c>
      <c r="K443" s="9"/>
      <c r="L443" s="8" t="s">
        <v>22</v>
      </c>
      <c r="M443" s="9"/>
      <c r="N443" s="5"/>
      <c r="O443" s="5"/>
    </row>
    <row r="444" ht="22.5" hidden="1" customHeight="1">
      <c r="A444" s="5"/>
      <c r="B444" s="5"/>
      <c r="C444" s="5"/>
      <c r="D444" s="9"/>
      <c r="E444" s="9"/>
      <c r="F444" s="5" t="s">
        <v>18</v>
      </c>
      <c r="G444" s="9"/>
      <c r="H444" s="5" t="s">
        <v>20</v>
      </c>
      <c r="I444" s="9"/>
      <c r="J444" s="8" t="s">
        <v>21</v>
      </c>
      <c r="K444" s="9"/>
      <c r="L444" s="8" t="s">
        <v>22</v>
      </c>
      <c r="M444" s="9"/>
      <c r="N444" s="5"/>
      <c r="O444" s="5"/>
    </row>
    <row r="445" ht="22.5" hidden="1" customHeight="1">
      <c r="A445" s="5"/>
      <c r="B445" s="5"/>
      <c r="C445" s="5"/>
      <c r="D445" s="9"/>
      <c r="E445" s="9"/>
      <c r="F445" s="5" t="s">
        <v>18</v>
      </c>
      <c r="G445" s="9"/>
      <c r="H445" s="5" t="s">
        <v>20</v>
      </c>
      <c r="I445" s="9"/>
      <c r="J445" s="8" t="s">
        <v>21</v>
      </c>
      <c r="K445" s="9"/>
      <c r="L445" s="8" t="s">
        <v>22</v>
      </c>
      <c r="M445" s="9"/>
      <c r="N445" s="5"/>
      <c r="O445" s="5"/>
    </row>
    <row r="446" ht="22.5" hidden="1" customHeight="1">
      <c r="A446" s="5"/>
      <c r="B446" s="5"/>
      <c r="C446" s="5"/>
      <c r="D446" s="9"/>
      <c r="E446" s="9"/>
      <c r="F446" s="5" t="s">
        <v>18</v>
      </c>
      <c r="G446" s="9"/>
      <c r="H446" s="5" t="s">
        <v>20</v>
      </c>
      <c r="I446" s="9"/>
      <c r="J446" s="8" t="s">
        <v>21</v>
      </c>
      <c r="K446" s="9"/>
      <c r="L446" s="8" t="s">
        <v>22</v>
      </c>
      <c r="M446" s="9"/>
      <c r="N446" s="5"/>
      <c r="O446" s="5"/>
    </row>
    <row r="447" ht="22.5" hidden="1" customHeight="1">
      <c r="A447" s="5"/>
      <c r="B447" s="5"/>
      <c r="C447" s="5"/>
      <c r="D447" s="9"/>
      <c r="E447" s="9"/>
      <c r="F447" s="5" t="s">
        <v>18</v>
      </c>
      <c r="G447" s="9"/>
      <c r="H447" s="5" t="s">
        <v>20</v>
      </c>
      <c r="I447" s="9"/>
      <c r="J447" s="8" t="s">
        <v>21</v>
      </c>
      <c r="K447" s="9"/>
      <c r="L447" s="8" t="s">
        <v>22</v>
      </c>
      <c r="M447" s="9"/>
      <c r="N447" s="5"/>
      <c r="O447" s="5"/>
    </row>
    <row r="448" ht="22.5" hidden="1" customHeight="1">
      <c r="A448" s="5"/>
      <c r="B448" s="5"/>
      <c r="C448" s="5"/>
      <c r="D448" s="9"/>
      <c r="E448" s="9"/>
      <c r="F448" s="5" t="s">
        <v>18</v>
      </c>
      <c r="G448" s="9"/>
      <c r="H448" s="5" t="s">
        <v>20</v>
      </c>
      <c r="I448" s="9"/>
      <c r="J448" s="8" t="s">
        <v>21</v>
      </c>
      <c r="K448" s="9"/>
      <c r="L448" s="8" t="s">
        <v>22</v>
      </c>
      <c r="M448" s="9"/>
      <c r="N448" s="5"/>
      <c r="O448" s="5"/>
    </row>
    <row r="449" ht="22.5" hidden="1" customHeight="1">
      <c r="A449" s="5"/>
      <c r="B449" s="5"/>
      <c r="C449" s="5"/>
      <c r="D449" s="9"/>
      <c r="E449" s="9"/>
      <c r="F449" s="5" t="s">
        <v>18</v>
      </c>
      <c r="G449" s="9"/>
      <c r="H449" s="5" t="s">
        <v>20</v>
      </c>
      <c r="I449" s="9"/>
      <c r="J449" s="8" t="s">
        <v>21</v>
      </c>
      <c r="K449" s="9"/>
      <c r="L449" s="8" t="s">
        <v>22</v>
      </c>
      <c r="M449" s="9"/>
      <c r="N449" s="5"/>
      <c r="O449" s="5"/>
    </row>
    <row r="450" ht="22.5" hidden="1" customHeight="1">
      <c r="A450" s="5"/>
      <c r="B450" s="5"/>
      <c r="C450" s="5"/>
      <c r="D450" s="9"/>
      <c r="E450" s="9"/>
      <c r="F450" s="5" t="s">
        <v>18</v>
      </c>
      <c r="G450" s="9"/>
      <c r="H450" s="5" t="s">
        <v>20</v>
      </c>
      <c r="I450" s="9"/>
      <c r="J450" s="8" t="s">
        <v>21</v>
      </c>
      <c r="K450" s="9"/>
      <c r="L450" s="8" t="s">
        <v>22</v>
      </c>
      <c r="M450" s="9"/>
      <c r="N450" s="5"/>
      <c r="O450" s="5"/>
    </row>
    <row r="451" ht="22.5" hidden="1" customHeight="1">
      <c r="A451" s="5"/>
      <c r="B451" s="5"/>
      <c r="C451" s="5"/>
      <c r="D451" s="9"/>
      <c r="E451" s="9"/>
      <c r="F451" s="5" t="s">
        <v>18</v>
      </c>
      <c r="G451" s="9"/>
      <c r="H451" s="5" t="s">
        <v>20</v>
      </c>
      <c r="I451" s="9"/>
      <c r="J451" s="8" t="s">
        <v>21</v>
      </c>
      <c r="K451" s="9"/>
      <c r="L451" s="8" t="s">
        <v>22</v>
      </c>
      <c r="M451" s="9"/>
      <c r="N451" s="5"/>
      <c r="O451" s="5"/>
    </row>
    <row r="452" ht="22.5" hidden="1" customHeight="1">
      <c r="A452" s="5"/>
      <c r="B452" s="5"/>
      <c r="C452" s="5"/>
      <c r="D452" s="9"/>
      <c r="E452" s="9"/>
      <c r="F452" s="5" t="s">
        <v>18</v>
      </c>
      <c r="G452" s="9"/>
      <c r="H452" s="5" t="s">
        <v>20</v>
      </c>
      <c r="I452" s="9"/>
      <c r="J452" s="8" t="s">
        <v>21</v>
      </c>
      <c r="K452" s="9"/>
      <c r="L452" s="8" t="s">
        <v>22</v>
      </c>
      <c r="M452" s="9"/>
      <c r="N452" s="5"/>
      <c r="O452" s="5"/>
    </row>
    <row r="453" ht="22.5" hidden="1" customHeight="1">
      <c r="A453" s="5"/>
      <c r="B453" s="5"/>
      <c r="C453" s="5"/>
      <c r="D453" s="9"/>
      <c r="E453" s="9"/>
      <c r="F453" s="5" t="s">
        <v>18</v>
      </c>
      <c r="G453" s="9"/>
      <c r="H453" s="5" t="s">
        <v>20</v>
      </c>
      <c r="I453" s="9"/>
      <c r="J453" s="8" t="s">
        <v>21</v>
      </c>
      <c r="K453" s="9"/>
      <c r="L453" s="8" t="s">
        <v>22</v>
      </c>
      <c r="M453" s="9"/>
      <c r="N453" s="5"/>
      <c r="O453" s="5"/>
    </row>
    <row r="454" ht="22.5" hidden="1" customHeight="1">
      <c r="A454" s="5"/>
      <c r="B454" s="5"/>
      <c r="C454" s="5"/>
      <c r="D454" s="9"/>
      <c r="E454" s="9"/>
      <c r="F454" s="5" t="s">
        <v>18</v>
      </c>
      <c r="G454" s="9"/>
      <c r="H454" s="5" t="s">
        <v>20</v>
      </c>
      <c r="I454" s="9"/>
      <c r="J454" s="8" t="s">
        <v>21</v>
      </c>
      <c r="K454" s="9"/>
      <c r="L454" s="8" t="s">
        <v>22</v>
      </c>
      <c r="M454" s="9"/>
      <c r="N454" s="5"/>
      <c r="O454" s="5"/>
    </row>
    <row r="455" ht="22.5" hidden="1" customHeight="1">
      <c r="A455" s="5"/>
      <c r="B455" s="5"/>
      <c r="C455" s="5"/>
      <c r="D455" s="9"/>
      <c r="E455" s="9"/>
      <c r="F455" s="5" t="s">
        <v>18</v>
      </c>
      <c r="G455" s="9"/>
      <c r="H455" s="5" t="s">
        <v>20</v>
      </c>
      <c r="I455" s="9"/>
      <c r="J455" s="8" t="s">
        <v>21</v>
      </c>
      <c r="K455" s="9"/>
      <c r="L455" s="8" t="s">
        <v>22</v>
      </c>
      <c r="M455" s="9"/>
      <c r="N455" s="5"/>
      <c r="O455" s="5"/>
    </row>
    <row r="456" ht="22.5" hidden="1" customHeight="1">
      <c r="A456" s="5"/>
      <c r="B456" s="5"/>
      <c r="C456" s="5"/>
      <c r="D456" s="9"/>
      <c r="E456" s="9"/>
      <c r="F456" s="5" t="s">
        <v>18</v>
      </c>
      <c r="G456" s="9"/>
      <c r="H456" s="5" t="s">
        <v>20</v>
      </c>
      <c r="I456" s="9"/>
      <c r="J456" s="8" t="s">
        <v>21</v>
      </c>
      <c r="K456" s="9"/>
      <c r="L456" s="8" t="s">
        <v>22</v>
      </c>
      <c r="M456" s="9"/>
      <c r="N456" s="5"/>
      <c r="O456" s="5"/>
    </row>
    <row r="457" ht="22.5" hidden="1" customHeight="1">
      <c r="A457" s="5"/>
      <c r="B457" s="5"/>
      <c r="C457" s="5"/>
      <c r="D457" s="9"/>
      <c r="E457" s="9"/>
      <c r="F457" s="5" t="s">
        <v>18</v>
      </c>
      <c r="G457" s="9"/>
      <c r="H457" s="5" t="s">
        <v>20</v>
      </c>
      <c r="I457" s="9"/>
      <c r="J457" s="8" t="s">
        <v>21</v>
      </c>
      <c r="K457" s="9"/>
      <c r="L457" s="8" t="s">
        <v>22</v>
      </c>
      <c r="M457" s="9"/>
      <c r="N457" s="5"/>
      <c r="O457" s="5"/>
    </row>
    <row r="458" ht="22.5" hidden="1" customHeight="1">
      <c r="A458" s="5"/>
      <c r="B458" s="5"/>
      <c r="C458" s="5"/>
      <c r="D458" s="9"/>
      <c r="E458" s="9"/>
      <c r="F458" s="5" t="s">
        <v>18</v>
      </c>
      <c r="G458" s="9"/>
      <c r="H458" s="5" t="s">
        <v>20</v>
      </c>
      <c r="I458" s="9"/>
      <c r="J458" s="8" t="s">
        <v>21</v>
      </c>
      <c r="K458" s="9"/>
      <c r="L458" s="8" t="s">
        <v>22</v>
      </c>
      <c r="M458" s="9"/>
      <c r="N458" s="5"/>
      <c r="O458" s="5"/>
    </row>
    <row r="459" ht="22.5" hidden="1" customHeight="1">
      <c r="A459" s="5"/>
      <c r="B459" s="5"/>
      <c r="C459" s="5"/>
      <c r="D459" s="9"/>
      <c r="E459" s="9"/>
      <c r="F459" s="5" t="s">
        <v>18</v>
      </c>
      <c r="G459" s="9"/>
      <c r="H459" s="5" t="s">
        <v>20</v>
      </c>
      <c r="I459" s="9"/>
      <c r="J459" s="8" t="s">
        <v>21</v>
      </c>
      <c r="K459" s="9"/>
      <c r="L459" s="8" t="s">
        <v>22</v>
      </c>
      <c r="M459" s="9"/>
      <c r="N459" s="5"/>
      <c r="O459" s="5"/>
    </row>
    <row r="460" ht="22.5" hidden="1" customHeight="1">
      <c r="A460" s="5"/>
      <c r="B460" s="5"/>
      <c r="C460" s="5"/>
      <c r="D460" s="9"/>
      <c r="E460" s="9"/>
      <c r="F460" s="5" t="s">
        <v>18</v>
      </c>
      <c r="G460" s="9"/>
      <c r="H460" s="5" t="s">
        <v>20</v>
      </c>
      <c r="I460" s="9"/>
      <c r="J460" s="8" t="s">
        <v>21</v>
      </c>
      <c r="K460" s="9"/>
      <c r="L460" s="8" t="s">
        <v>22</v>
      </c>
      <c r="M460" s="9"/>
      <c r="N460" s="5"/>
      <c r="O460" s="5"/>
    </row>
    <row r="461" ht="22.5" hidden="1" customHeight="1">
      <c r="A461" s="5"/>
      <c r="B461" s="5"/>
      <c r="C461" s="5"/>
      <c r="D461" s="9"/>
      <c r="E461" s="9"/>
      <c r="F461" s="5" t="s">
        <v>18</v>
      </c>
      <c r="G461" s="9"/>
      <c r="H461" s="5" t="s">
        <v>20</v>
      </c>
      <c r="I461" s="9"/>
      <c r="J461" s="8" t="s">
        <v>21</v>
      </c>
      <c r="K461" s="9"/>
      <c r="L461" s="8" t="s">
        <v>22</v>
      </c>
      <c r="M461" s="9"/>
      <c r="N461" s="5"/>
      <c r="O461" s="5"/>
    </row>
    <row r="462" ht="22.5" hidden="1" customHeight="1">
      <c r="A462" s="5"/>
      <c r="B462" s="5"/>
      <c r="C462" s="5"/>
      <c r="D462" s="9"/>
      <c r="E462" s="9"/>
      <c r="F462" s="5" t="s">
        <v>18</v>
      </c>
      <c r="G462" s="9"/>
      <c r="H462" s="5" t="s">
        <v>20</v>
      </c>
      <c r="I462" s="9"/>
      <c r="J462" s="8" t="s">
        <v>21</v>
      </c>
      <c r="K462" s="9"/>
      <c r="L462" s="8" t="s">
        <v>22</v>
      </c>
      <c r="M462" s="9"/>
      <c r="N462" s="5"/>
      <c r="O462" s="5"/>
    </row>
    <row r="463" ht="22.5" hidden="1" customHeight="1">
      <c r="A463" s="5"/>
      <c r="B463" s="5"/>
      <c r="C463" s="5"/>
      <c r="D463" s="9"/>
      <c r="E463" s="9"/>
      <c r="F463" s="5" t="s">
        <v>18</v>
      </c>
      <c r="G463" s="9"/>
      <c r="H463" s="5" t="s">
        <v>20</v>
      </c>
      <c r="I463" s="9"/>
      <c r="J463" s="8" t="s">
        <v>21</v>
      </c>
      <c r="K463" s="9"/>
      <c r="L463" s="8" t="s">
        <v>22</v>
      </c>
      <c r="M463" s="9"/>
      <c r="N463" s="5"/>
      <c r="O463" s="5"/>
    </row>
    <row r="464" ht="22.5" hidden="1" customHeight="1">
      <c r="A464" s="5"/>
      <c r="B464" s="5"/>
      <c r="C464" s="5"/>
      <c r="D464" s="9"/>
      <c r="E464" s="9"/>
      <c r="F464" s="5" t="s">
        <v>18</v>
      </c>
      <c r="G464" s="9"/>
      <c r="H464" s="5" t="s">
        <v>20</v>
      </c>
      <c r="I464" s="9"/>
      <c r="J464" s="8" t="s">
        <v>21</v>
      </c>
      <c r="K464" s="9"/>
      <c r="L464" s="8" t="s">
        <v>22</v>
      </c>
      <c r="M464" s="9"/>
      <c r="N464" s="5"/>
      <c r="O464" s="5"/>
    </row>
    <row r="465" ht="22.5" hidden="1" customHeight="1">
      <c r="A465" s="5"/>
      <c r="B465" s="5"/>
      <c r="C465" s="5"/>
      <c r="D465" s="9"/>
      <c r="E465" s="9"/>
      <c r="F465" s="5" t="s">
        <v>18</v>
      </c>
      <c r="G465" s="9"/>
      <c r="H465" s="5" t="s">
        <v>20</v>
      </c>
      <c r="I465" s="9"/>
      <c r="J465" s="8" t="s">
        <v>21</v>
      </c>
      <c r="K465" s="9"/>
      <c r="L465" s="8" t="s">
        <v>22</v>
      </c>
      <c r="M465" s="9"/>
      <c r="N465" s="5"/>
      <c r="O465" s="5"/>
    </row>
    <row r="466" ht="22.5" hidden="1" customHeight="1">
      <c r="A466" s="5"/>
      <c r="B466" s="5"/>
      <c r="C466" s="5"/>
      <c r="D466" s="9"/>
      <c r="E466" s="9"/>
      <c r="F466" s="5" t="s">
        <v>18</v>
      </c>
      <c r="G466" s="9"/>
      <c r="H466" s="5" t="s">
        <v>20</v>
      </c>
      <c r="I466" s="9"/>
      <c r="J466" s="8" t="s">
        <v>21</v>
      </c>
      <c r="K466" s="9"/>
      <c r="L466" s="8" t="s">
        <v>22</v>
      </c>
      <c r="M466" s="9"/>
      <c r="N466" s="5"/>
      <c r="O466" s="5"/>
    </row>
    <row r="467" ht="22.5" hidden="1" customHeight="1">
      <c r="A467" s="5"/>
      <c r="B467" s="5"/>
      <c r="C467" s="5"/>
      <c r="D467" s="9"/>
      <c r="E467" s="9"/>
      <c r="F467" s="5" t="s">
        <v>18</v>
      </c>
      <c r="G467" s="9"/>
      <c r="H467" s="5" t="s">
        <v>20</v>
      </c>
      <c r="I467" s="9"/>
      <c r="J467" s="8" t="s">
        <v>21</v>
      </c>
      <c r="K467" s="9"/>
      <c r="L467" s="8" t="s">
        <v>22</v>
      </c>
      <c r="M467" s="9"/>
      <c r="N467" s="5"/>
      <c r="O467" s="5"/>
    </row>
    <row r="468" ht="22.5" hidden="1" customHeight="1">
      <c r="A468" s="5"/>
      <c r="B468" s="5"/>
      <c r="C468" s="5"/>
      <c r="D468" s="9"/>
      <c r="E468" s="9"/>
      <c r="F468" s="5" t="s">
        <v>18</v>
      </c>
      <c r="G468" s="9"/>
      <c r="H468" s="5" t="s">
        <v>20</v>
      </c>
      <c r="I468" s="9"/>
      <c r="J468" s="8" t="s">
        <v>21</v>
      </c>
      <c r="K468" s="9"/>
      <c r="L468" s="8" t="s">
        <v>22</v>
      </c>
      <c r="M468" s="9"/>
      <c r="N468" s="5"/>
      <c r="O468" s="5"/>
    </row>
    <row r="469" ht="22.5" hidden="1" customHeight="1">
      <c r="A469" s="5"/>
      <c r="B469" s="5"/>
      <c r="C469" s="5"/>
      <c r="D469" s="9"/>
      <c r="E469" s="9"/>
      <c r="F469" s="5" t="s">
        <v>18</v>
      </c>
      <c r="G469" s="9"/>
      <c r="H469" s="5" t="s">
        <v>20</v>
      </c>
      <c r="I469" s="9"/>
      <c r="J469" s="8" t="s">
        <v>21</v>
      </c>
      <c r="K469" s="9"/>
      <c r="L469" s="8" t="s">
        <v>22</v>
      </c>
      <c r="M469" s="9"/>
      <c r="N469" s="5"/>
      <c r="O469" s="5"/>
    </row>
    <row r="470" ht="22.5" hidden="1" customHeight="1">
      <c r="A470" s="5"/>
      <c r="B470" s="5"/>
      <c r="C470" s="5"/>
      <c r="D470" s="9"/>
      <c r="E470" s="9"/>
      <c r="F470" s="5" t="s">
        <v>18</v>
      </c>
      <c r="G470" s="9"/>
      <c r="H470" s="5" t="s">
        <v>20</v>
      </c>
      <c r="I470" s="9"/>
      <c r="J470" s="8" t="s">
        <v>21</v>
      </c>
      <c r="K470" s="9"/>
      <c r="L470" s="8" t="s">
        <v>22</v>
      </c>
      <c r="M470" s="9"/>
      <c r="N470" s="5"/>
      <c r="O470" s="5"/>
    </row>
    <row r="471" ht="22.5" hidden="1" customHeight="1">
      <c r="A471" s="5"/>
      <c r="B471" s="5"/>
      <c r="C471" s="5"/>
      <c r="D471" s="9"/>
      <c r="E471" s="9"/>
      <c r="F471" s="5" t="s">
        <v>18</v>
      </c>
      <c r="G471" s="9"/>
      <c r="H471" s="5" t="s">
        <v>20</v>
      </c>
      <c r="I471" s="9"/>
      <c r="J471" s="8" t="s">
        <v>21</v>
      </c>
      <c r="K471" s="9"/>
      <c r="L471" s="8" t="s">
        <v>22</v>
      </c>
      <c r="M471" s="9"/>
      <c r="N471" s="5"/>
      <c r="O471" s="5"/>
    </row>
    <row r="472" ht="22.5" hidden="1" customHeight="1">
      <c r="A472" s="5"/>
      <c r="B472" s="5"/>
      <c r="C472" s="5"/>
      <c r="D472" s="9"/>
      <c r="E472" s="9"/>
      <c r="F472" s="5" t="s">
        <v>18</v>
      </c>
      <c r="G472" s="9"/>
      <c r="H472" s="5" t="s">
        <v>20</v>
      </c>
      <c r="I472" s="9"/>
      <c r="J472" s="8" t="s">
        <v>21</v>
      </c>
      <c r="K472" s="9"/>
      <c r="L472" s="8" t="s">
        <v>22</v>
      </c>
      <c r="M472" s="9"/>
      <c r="N472" s="5"/>
      <c r="O472" s="5"/>
    </row>
    <row r="473" ht="22.5" hidden="1" customHeight="1">
      <c r="A473" s="5"/>
      <c r="B473" s="5"/>
      <c r="C473" s="5"/>
      <c r="D473" s="9"/>
      <c r="E473" s="9"/>
      <c r="F473" s="5" t="s">
        <v>18</v>
      </c>
      <c r="G473" s="9"/>
      <c r="H473" s="5" t="s">
        <v>20</v>
      </c>
      <c r="I473" s="9"/>
      <c r="J473" s="8" t="s">
        <v>21</v>
      </c>
      <c r="K473" s="9"/>
      <c r="L473" s="8" t="s">
        <v>22</v>
      </c>
      <c r="M473" s="9"/>
      <c r="N473" s="5"/>
      <c r="O473" s="5"/>
    </row>
    <row r="474" ht="22.5" hidden="1" customHeight="1">
      <c r="A474" s="5"/>
      <c r="B474" s="5"/>
      <c r="C474" s="5"/>
      <c r="D474" s="9"/>
      <c r="E474" s="9"/>
      <c r="F474" s="5" t="s">
        <v>18</v>
      </c>
      <c r="G474" s="9"/>
      <c r="H474" s="5" t="s">
        <v>20</v>
      </c>
      <c r="I474" s="9"/>
      <c r="J474" s="8" t="s">
        <v>21</v>
      </c>
      <c r="K474" s="9"/>
      <c r="L474" s="8" t="s">
        <v>22</v>
      </c>
      <c r="M474" s="9"/>
      <c r="N474" s="5"/>
      <c r="O474" s="5"/>
    </row>
    <row r="475" ht="22.5" hidden="1" customHeight="1">
      <c r="A475" s="5"/>
      <c r="B475" s="5"/>
      <c r="C475" s="5"/>
      <c r="D475" s="9"/>
      <c r="E475" s="9"/>
      <c r="F475" s="5" t="s">
        <v>18</v>
      </c>
      <c r="G475" s="9"/>
      <c r="H475" s="5" t="s">
        <v>20</v>
      </c>
      <c r="I475" s="9"/>
      <c r="J475" s="8" t="s">
        <v>21</v>
      </c>
      <c r="K475" s="9"/>
      <c r="L475" s="8" t="s">
        <v>22</v>
      </c>
      <c r="M475" s="9"/>
      <c r="N475" s="5"/>
      <c r="O475" s="5"/>
    </row>
    <row r="476" ht="22.5" hidden="1" customHeight="1">
      <c r="A476" s="5"/>
      <c r="B476" s="5"/>
      <c r="C476" s="5"/>
      <c r="D476" s="9"/>
      <c r="E476" s="9"/>
      <c r="F476" s="5" t="s">
        <v>18</v>
      </c>
      <c r="G476" s="9"/>
      <c r="H476" s="5" t="s">
        <v>20</v>
      </c>
      <c r="I476" s="9"/>
      <c r="J476" s="8" t="s">
        <v>21</v>
      </c>
      <c r="K476" s="9"/>
      <c r="L476" s="8" t="s">
        <v>22</v>
      </c>
      <c r="M476" s="9"/>
      <c r="N476" s="5"/>
      <c r="O476" s="5"/>
    </row>
    <row r="477" ht="22.5" hidden="1" customHeight="1">
      <c r="A477" s="5"/>
      <c r="B477" s="5"/>
      <c r="C477" s="5"/>
      <c r="D477" s="9"/>
      <c r="E477" s="9"/>
      <c r="F477" s="5" t="s">
        <v>18</v>
      </c>
      <c r="G477" s="9"/>
      <c r="H477" s="5" t="s">
        <v>20</v>
      </c>
      <c r="I477" s="9"/>
      <c r="J477" s="8" t="s">
        <v>21</v>
      </c>
      <c r="K477" s="9"/>
      <c r="L477" s="8" t="s">
        <v>22</v>
      </c>
      <c r="M477" s="9"/>
      <c r="N477" s="5"/>
      <c r="O477" s="5"/>
    </row>
    <row r="478" ht="22.5" hidden="1" customHeight="1">
      <c r="A478" s="5"/>
      <c r="B478" s="5"/>
      <c r="C478" s="5"/>
      <c r="D478" s="9"/>
      <c r="E478" s="9"/>
      <c r="F478" s="5" t="s">
        <v>18</v>
      </c>
      <c r="G478" s="9"/>
      <c r="H478" s="5" t="s">
        <v>20</v>
      </c>
      <c r="I478" s="9"/>
      <c r="J478" s="8" t="s">
        <v>21</v>
      </c>
      <c r="K478" s="9"/>
      <c r="L478" s="8" t="s">
        <v>22</v>
      </c>
      <c r="M478" s="9"/>
      <c r="N478" s="5"/>
      <c r="O478" s="5"/>
    </row>
    <row r="479" ht="22.5" hidden="1" customHeight="1">
      <c r="A479" s="5"/>
      <c r="B479" s="5"/>
      <c r="C479" s="5"/>
      <c r="D479" s="9"/>
      <c r="E479" s="9"/>
      <c r="F479" s="5" t="s">
        <v>18</v>
      </c>
      <c r="G479" s="9"/>
      <c r="H479" s="5" t="s">
        <v>20</v>
      </c>
      <c r="I479" s="9"/>
      <c r="J479" s="8" t="s">
        <v>21</v>
      </c>
      <c r="K479" s="9"/>
      <c r="L479" s="8" t="s">
        <v>22</v>
      </c>
      <c r="M479" s="9"/>
      <c r="N479" s="5"/>
      <c r="O479" s="5"/>
    </row>
    <row r="480" ht="22.5" hidden="1" customHeight="1">
      <c r="A480" s="5"/>
      <c r="B480" s="5"/>
      <c r="C480" s="5"/>
      <c r="D480" s="9"/>
      <c r="E480" s="9"/>
      <c r="F480" s="5" t="s">
        <v>18</v>
      </c>
      <c r="G480" s="9"/>
      <c r="H480" s="5" t="s">
        <v>20</v>
      </c>
      <c r="I480" s="9"/>
      <c r="J480" s="8" t="s">
        <v>21</v>
      </c>
      <c r="K480" s="9"/>
      <c r="L480" s="8" t="s">
        <v>22</v>
      </c>
      <c r="M480" s="9"/>
      <c r="N480" s="5"/>
      <c r="O480" s="5"/>
    </row>
    <row r="481" ht="22.5" hidden="1" customHeight="1">
      <c r="A481" s="5"/>
      <c r="B481" s="5"/>
      <c r="C481" s="5"/>
      <c r="D481" s="9"/>
      <c r="E481" s="9"/>
      <c r="F481" s="5" t="s">
        <v>18</v>
      </c>
      <c r="G481" s="9"/>
      <c r="H481" s="5" t="s">
        <v>20</v>
      </c>
      <c r="I481" s="9"/>
      <c r="J481" s="8" t="s">
        <v>21</v>
      </c>
      <c r="K481" s="9"/>
      <c r="L481" s="8" t="s">
        <v>22</v>
      </c>
      <c r="M481" s="9"/>
      <c r="N481" s="5"/>
      <c r="O481" s="5"/>
    </row>
    <row r="482" ht="22.5" hidden="1" customHeight="1">
      <c r="A482" s="5"/>
      <c r="B482" s="5"/>
      <c r="C482" s="5"/>
      <c r="D482" s="9"/>
      <c r="E482" s="9"/>
      <c r="F482" s="5" t="s">
        <v>18</v>
      </c>
      <c r="G482" s="9"/>
      <c r="H482" s="5" t="s">
        <v>20</v>
      </c>
      <c r="I482" s="9"/>
      <c r="J482" s="8" t="s">
        <v>21</v>
      </c>
      <c r="K482" s="9"/>
      <c r="L482" s="8" t="s">
        <v>22</v>
      </c>
      <c r="M482" s="9"/>
      <c r="N482" s="5"/>
      <c r="O482" s="5"/>
    </row>
    <row r="483" ht="22.5" hidden="1" customHeight="1">
      <c r="A483" s="5"/>
      <c r="B483" s="5"/>
      <c r="C483" s="5"/>
      <c r="D483" s="9"/>
      <c r="E483" s="9"/>
      <c r="F483" s="5" t="s">
        <v>18</v>
      </c>
      <c r="G483" s="9"/>
      <c r="H483" s="5" t="s">
        <v>20</v>
      </c>
      <c r="I483" s="9"/>
      <c r="J483" s="8" t="s">
        <v>21</v>
      </c>
      <c r="K483" s="9"/>
      <c r="L483" s="8" t="s">
        <v>22</v>
      </c>
      <c r="M483" s="9"/>
      <c r="N483" s="5"/>
      <c r="O483" s="5"/>
    </row>
    <row r="484" ht="22.5" hidden="1" customHeight="1">
      <c r="A484" s="5"/>
      <c r="B484" s="5"/>
      <c r="C484" s="5"/>
      <c r="D484" s="9"/>
      <c r="E484" s="9"/>
      <c r="F484" s="5" t="s">
        <v>18</v>
      </c>
      <c r="G484" s="9"/>
      <c r="H484" s="5" t="s">
        <v>20</v>
      </c>
      <c r="I484" s="9"/>
      <c r="J484" s="8" t="s">
        <v>21</v>
      </c>
      <c r="K484" s="9"/>
      <c r="L484" s="8" t="s">
        <v>22</v>
      </c>
      <c r="M484" s="9"/>
      <c r="N484" s="5"/>
      <c r="O484" s="5"/>
    </row>
    <row r="485" ht="22.5" hidden="1" customHeight="1">
      <c r="A485" s="5"/>
      <c r="B485" s="5"/>
      <c r="C485" s="5"/>
      <c r="D485" s="9"/>
      <c r="E485" s="9"/>
      <c r="F485" s="5" t="s">
        <v>18</v>
      </c>
      <c r="G485" s="9"/>
      <c r="H485" s="5" t="s">
        <v>20</v>
      </c>
      <c r="I485" s="9"/>
      <c r="J485" s="8" t="s">
        <v>21</v>
      </c>
      <c r="K485" s="9"/>
      <c r="L485" s="8" t="s">
        <v>22</v>
      </c>
      <c r="M485" s="9"/>
      <c r="N485" s="5"/>
      <c r="O485" s="5"/>
    </row>
    <row r="486" ht="22.5" hidden="1" customHeight="1">
      <c r="A486" s="5"/>
      <c r="B486" s="5"/>
      <c r="C486" s="5"/>
      <c r="D486" s="9"/>
      <c r="E486" s="9"/>
      <c r="F486" s="5" t="s">
        <v>18</v>
      </c>
      <c r="G486" s="9"/>
      <c r="H486" s="5" t="s">
        <v>20</v>
      </c>
      <c r="I486" s="9"/>
      <c r="J486" s="8" t="s">
        <v>21</v>
      </c>
      <c r="K486" s="9"/>
      <c r="L486" s="8" t="s">
        <v>22</v>
      </c>
      <c r="M486" s="9"/>
      <c r="N486" s="5"/>
      <c r="O486" s="5"/>
    </row>
    <row r="487" ht="22.5" hidden="1" customHeight="1">
      <c r="A487" s="5"/>
      <c r="B487" s="5"/>
      <c r="C487" s="5"/>
      <c r="D487" s="9"/>
      <c r="E487" s="9"/>
      <c r="F487" s="5" t="s">
        <v>18</v>
      </c>
      <c r="G487" s="9"/>
      <c r="H487" s="5" t="s">
        <v>20</v>
      </c>
      <c r="I487" s="9"/>
      <c r="J487" s="8" t="s">
        <v>21</v>
      </c>
      <c r="K487" s="9"/>
      <c r="L487" s="8" t="s">
        <v>22</v>
      </c>
      <c r="M487" s="9"/>
      <c r="N487" s="5"/>
      <c r="O487" s="5"/>
    </row>
    <row r="488" ht="22.5" hidden="1" customHeight="1">
      <c r="A488" s="5"/>
      <c r="B488" s="5"/>
      <c r="C488" s="5"/>
      <c r="D488" s="9"/>
      <c r="E488" s="9"/>
      <c r="F488" s="5" t="s">
        <v>18</v>
      </c>
      <c r="G488" s="9"/>
      <c r="H488" s="5" t="s">
        <v>20</v>
      </c>
      <c r="I488" s="9"/>
      <c r="J488" s="8" t="s">
        <v>21</v>
      </c>
      <c r="K488" s="9"/>
      <c r="L488" s="8" t="s">
        <v>22</v>
      </c>
      <c r="M488" s="9"/>
      <c r="N488" s="5"/>
      <c r="O488" s="5"/>
    </row>
    <row r="489" ht="22.5" hidden="1" customHeight="1">
      <c r="A489" s="5"/>
      <c r="B489" s="5"/>
      <c r="C489" s="5"/>
      <c r="D489" s="9"/>
      <c r="E489" s="9"/>
      <c r="F489" s="5" t="s">
        <v>18</v>
      </c>
      <c r="G489" s="9"/>
      <c r="H489" s="5" t="s">
        <v>20</v>
      </c>
      <c r="I489" s="9"/>
      <c r="J489" s="8" t="s">
        <v>21</v>
      </c>
      <c r="K489" s="9"/>
      <c r="L489" s="8" t="s">
        <v>22</v>
      </c>
      <c r="M489" s="9"/>
      <c r="N489" s="5"/>
      <c r="O489" s="5"/>
    </row>
    <row r="490" ht="22.5" hidden="1" customHeight="1">
      <c r="A490" s="5"/>
      <c r="B490" s="5"/>
      <c r="C490" s="5"/>
      <c r="D490" s="9"/>
      <c r="E490" s="9"/>
      <c r="F490" s="5" t="s">
        <v>18</v>
      </c>
      <c r="G490" s="9"/>
      <c r="H490" s="5" t="s">
        <v>20</v>
      </c>
      <c r="I490" s="9"/>
      <c r="J490" s="8" t="s">
        <v>21</v>
      </c>
      <c r="K490" s="9"/>
      <c r="L490" s="8" t="s">
        <v>22</v>
      </c>
      <c r="M490" s="9"/>
      <c r="N490" s="5"/>
      <c r="O490" s="5"/>
    </row>
    <row r="491" ht="22.5" hidden="1" customHeight="1">
      <c r="A491" s="5"/>
      <c r="B491" s="5"/>
      <c r="C491" s="5"/>
      <c r="D491" s="9"/>
      <c r="E491" s="9"/>
      <c r="F491" s="5" t="s">
        <v>18</v>
      </c>
      <c r="G491" s="9"/>
      <c r="H491" s="5" t="s">
        <v>20</v>
      </c>
      <c r="I491" s="9"/>
      <c r="J491" s="8" t="s">
        <v>21</v>
      </c>
      <c r="K491" s="9"/>
      <c r="L491" s="8" t="s">
        <v>22</v>
      </c>
      <c r="M491" s="9"/>
      <c r="N491" s="5"/>
      <c r="O491" s="5"/>
    </row>
    <row r="492" ht="22.5" hidden="1" customHeight="1">
      <c r="A492" s="5"/>
      <c r="B492" s="5"/>
      <c r="C492" s="5"/>
      <c r="D492" s="9"/>
      <c r="E492" s="9"/>
      <c r="F492" s="5" t="s">
        <v>18</v>
      </c>
      <c r="G492" s="9"/>
      <c r="H492" s="5" t="s">
        <v>20</v>
      </c>
      <c r="I492" s="9"/>
      <c r="J492" s="8" t="s">
        <v>21</v>
      </c>
      <c r="K492" s="9"/>
      <c r="L492" s="8" t="s">
        <v>22</v>
      </c>
      <c r="M492" s="9"/>
      <c r="N492" s="5"/>
      <c r="O492" s="5"/>
    </row>
    <row r="493" ht="22.5" hidden="1" customHeight="1">
      <c r="A493" s="5"/>
      <c r="B493" s="5"/>
      <c r="C493" s="5"/>
      <c r="D493" s="9"/>
      <c r="E493" s="9"/>
      <c r="F493" s="5" t="s">
        <v>18</v>
      </c>
      <c r="G493" s="9"/>
      <c r="H493" s="5" t="s">
        <v>20</v>
      </c>
      <c r="I493" s="9"/>
      <c r="J493" s="8" t="s">
        <v>21</v>
      </c>
      <c r="K493" s="9"/>
      <c r="L493" s="8" t="s">
        <v>22</v>
      </c>
      <c r="M493" s="9"/>
      <c r="N493" s="5"/>
      <c r="O493" s="5"/>
    </row>
    <row r="494" ht="22.5" hidden="1" customHeight="1">
      <c r="A494" s="5"/>
      <c r="B494" s="5"/>
      <c r="C494" s="5"/>
      <c r="D494" s="9"/>
      <c r="E494" s="9"/>
      <c r="F494" s="5" t="s">
        <v>18</v>
      </c>
      <c r="G494" s="9"/>
      <c r="H494" s="5" t="s">
        <v>20</v>
      </c>
      <c r="I494" s="9"/>
      <c r="J494" s="8" t="s">
        <v>21</v>
      </c>
      <c r="K494" s="9"/>
      <c r="L494" s="8" t="s">
        <v>22</v>
      </c>
      <c r="M494" s="9"/>
      <c r="N494" s="5"/>
      <c r="O494" s="5"/>
    </row>
    <row r="495" ht="22.5" hidden="1" customHeight="1">
      <c r="A495" s="5"/>
      <c r="B495" s="5"/>
      <c r="C495" s="5"/>
      <c r="D495" s="9"/>
      <c r="E495" s="9"/>
      <c r="F495" s="5" t="s">
        <v>18</v>
      </c>
      <c r="G495" s="9"/>
      <c r="H495" s="5" t="s">
        <v>20</v>
      </c>
      <c r="I495" s="9"/>
      <c r="J495" s="8" t="s">
        <v>21</v>
      </c>
      <c r="K495" s="9"/>
      <c r="L495" s="8" t="s">
        <v>22</v>
      </c>
      <c r="M495" s="9"/>
      <c r="N495" s="5"/>
      <c r="O495" s="5"/>
    </row>
    <row r="496" ht="22.5" hidden="1" customHeight="1">
      <c r="A496" s="5"/>
      <c r="B496" s="5"/>
      <c r="C496" s="5"/>
      <c r="D496" s="9"/>
      <c r="E496" s="9"/>
      <c r="F496" s="5" t="s">
        <v>18</v>
      </c>
      <c r="G496" s="9"/>
      <c r="H496" s="5" t="s">
        <v>20</v>
      </c>
      <c r="I496" s="9"/>
      <c r="J496" s="8" t="s">
        <v>21</v>
      </c>
      <c r="K496" s="9"/>
      <c r="L496" s="8" t="s">
        <v>22</v>
      </c>
      <c r="M496" s="9"/>
      <c r="N496" s="5"/>
      <c r="O496" s="5"/>
    </row>
    <row r="497" ht="22.5" hidden="1" customHeight="1">
      <c r="A497" s="5"/>
      <c r="B497" s="5"/>
      <c r="C497" s="5"/>
      <c r="D497" s="9"/>
      <c r="E497" s="9"/>
      <c r="F497" s="5" t="s">
        <v>18</v>
      </c>
      <c r="G497" s="9"/>
      <c r="H497" s="5" t="s">
        <v>20</v>
      </c>
      <c r="I497" s="9"/>
      <c r="J497" s="8" t="s">
        <v>21</v>
      </c>
      <c r="K497" s="9"/>
      <c r="L497" s="8" t="s">
        <v>22</v>
      </c>
      <c r="M497" s="9"/>
      <c r="N497" s="5"/>
      <c r="O497" s="5"/>
    </row>
    <row r="498" ht="22.5" hidden="1" customHeight="1">
      <c r="A498" s="5"/>
      <c r="B498" s="5"/>
      <c r="C498" s="5"/>
      <c r="D498" s="9"/>
      <c r="E498" s="9"/>
      <c r="F498" s="5" t="s">
        <v>18</v>
      </c>
      <c r="G498" s="9"/>
      <c r="H498" s="5" t="s">
        <v>20</v>
      </c>
      <c r="I498" s="9"/>
      <c r="J498" s="8" t="s">
        <v>21</v>
      </c>
      <c r="K498" s="9"/>
      <c r="L498" s="8" t="s">
        <v>22</v>
      </c>
      <c r="M498" s="9"/>
      <c r="N498" s="5"/>
      <c r="O498" s="5"/>
    </row>
    <row r="499" ht="22.5" hidden="1" customHeight="1">
      <c r="A499" s="5"/>
      <c r="B499" s="5"/>
      <c r="C499" s="5"/>
      <c r="D499" s="9"/>
      <c r="E499" s="9"/>
      <c r="F499" s="5" t="s">
        <v>18</v>
      </c>
      <c r="G499" s="9"/>
      <c r="H499" s="5" t="s">
        <v>20</v>
      </c>
      <c r="I499" s="9"/>
      <c r="J499" s="8" t="s">
        <v>21</v>
      </c>
      <c r="K499" s="9"/>
      <c r="L499" s="8" t="s">
        <v>22</v>
      </c>
      <c r="M499" s="9"/>
      <c r="N499" s="5"/>
      <c r="O499" s="5"/>
    </row>
    <row r="500" ht="22.5" hidden="1" customHeight="1">
      <c r="A500" s="5"/>
      <c r="B500" s="5"/>
      <c r="C500" s="5"/>
      <c r="D500" s="9"/>
      <c r="E500" s="9"/>
      <c r="F500" s="5" t="s">
        <v>18</v>
      </c>
      <c r="G500" s="9"/>
      <c r="H500" s="5" t="s">
        <v>20</v>
      </c>
      <c r="I500" s="9"/>
      <c r="J500" s="8" t="s">
        <v>21</v>
      </c>
      <c r="K500" s="9"/>
      <c r="L500" s="8" t="s">
        <v>22</v>
      </c>
      <c r="M500" s="9"/>
      <c r="N500" s="5"/>
      <c r="O500" s="5"/>
    </row>
    <row r="501" ht="22.5" hidden="1" customHeight="1">
      <c r="A501" s="5"/>
      <c r="B501" s="5"/>
      <c r="C501" s="5"/>
      <c r="D501" s="9"/>
      <c r="E501" s="9"/>
      <c r="F501" s="5" t="s">
        <v>18</v>
      </c>
      <c r="G501" s="9"/>
      <c r="H501" s="5" t="s">
        <v>20</v>
      </c>
      <c r="I501" s="9"/>
      <c r="J501" s="8" t="s">
        <v>21</v>
      </c>
      <c r="K501" s="9"/>
      <c r="L501" s="8" t="s">
        <v>22</v>
      </c>
      <c r="M501" s="9"/>
      <c r="N501" s="5"/>
      <c r="O501" s="5"/>
    </row>
    <row r="502" ht="22.5" hidden="1" customHeight="1">
      <c r="A502" s="5"/>
      <c r="B502" s="5"/>
      <c r="C502" s="5"/>
      <c r="D502" s="9"/>
      <c r="E502" s="9"/>
      <c r="F502" s="5" t="s">
        <v>18</v>
      </c>
      <c r="G502" s="9"/>
      <c r="H502" s="5" t="s">
        <v>20</v>
      </c>
      <c r="I502" s="9"/>
      <c r="J502" s="8" t="s">
        <v>21</v>
      </c>
      <c r="K502" s="9"/>
      <c r="L502" s="8" t="s">
        <v>22</v>
      </c>
      <c r="M502" s="9"/>
      <c r="N502" s="5"/>
      <c r="O502" s="5"/>
    </row>
    <row r="503" ht="22.5" hidden="1" customHeight="1">
      <c r="A503" s="5"/>
      <c r="B503" s="5"/>
      <c r="C503" s="5"/>
      <c r="D503" s="9"/>
      <c r="E503" s="9"/>
      <c r="F503" s="5" t="s">
        <v>18</v>
      </c>
      <c r="G503" s="9"/>
      <c r="H503" s="5" t="s">
        <v>20</v>
      </c>
      <c r="I503" s="9"/>
      <c r="J503" s="8" t="s">
        <v>21</v>
      </c>
      <c r="K503" s="9"/>
      <c r="L503" s="8" t="s">
        <v>22</v>
      </c>
      <c r="M503" s="9"/>
      <c r="N503" s="5"/>
      <c r="O503" s="5"/>
    </row>
    <row r="504" ht="22.5" hidden="1" customHeight="1">
      <c r="A504" s="5"/>
      <c r="B504" s="5"/>
      <c r="C504" s="5"/>
      <c r="D504" s="9"/>
      <c r="E504" s="9"/>
      <c r="F504" s="5" t="s">
        <v>18</v>
      </c>
      <c r="G504" s="9"/>
      <c r="H504" s="5" t="s">
        <v>20</v>
      </c>
      <c r="I504" s="9"/>
      <c r="J504" s="8" t="s">
        <v>21</v>
      </c>
      <c r="K504" s="9"/>
      <c r="L504" s="8" t="s">
        <v>22</v>
      </c>
      <c r="M504" s="9"/>
      <c r="N504" s="5"/>
      <c r="O504" s="5"/>
    </row>
    <row r="505" ht="22.5" hidden="1" customHeight="1">
      <c r="A505" s="5"/>
      <c r="B505" s="5"/>
      <c r="C505" s="5"/>
      <c r="D505" s="9"/>
      <c r="E505" s="9"/>
      <c r="F505" s="5" t="s">
        <v>18</v>
      </c>
      <c r="G505" s="9"/>
      <c r="H505" s="5" t="s">
        <v>20</v>
      </c>
      <c r="I505" s="9"/>
      <c r="J505" s="8" t="s">
        <v>21</v>
      </c>
      <c r="K505" s="9"/>
      <c r="L505" s="8" t="s">
        <v>22</v>
      </c>
      <c r="M505" s="9"/>
      <c r="N505" s="5"/>
      <c r="O505" s="5"/>
    </row>
    <row r="506" ht="22.5" hidden="1" customHeight="1">
      <c r="A506" s="5"/>
      <c r="B506" s="5"/>
      <c r="C506" s="5"/>
      <c r="D506" s="9"/>
      <c r="E506" s="9"/>
      <c r="F506" s="5" t="s">
        <v>18</v>
      </c>
      <c r="G506" s="9"/>
      <c r="H506" s="5" t="s">
        <v>20</v>
      </c>
      <c r="I506" s="9"/>
      <c r="J506" s="8" t="s">
        <v>21</v>
      </c>
      <c r="K506" s="9"/>
      <c r="L506" s="8" t="s">
        <v>22</v>
      </c>
      <c r="M506" s="9"/>
      <c r="N506" s="5"/>
      <c r="O506" s="5"/>
    </row>
    <row r="507" ht="22.5" hidden="1" customHeight="1">
      <c r="A507" s="5"/>
      <c r="B507" s="5"/>
      <c r="C507" s="5"/>
      <c r="D507" s="9"/>
      <c r="E507" s="9"/>
      <c r="F507" s="5" t="s">
        <v>18</v>
      </c>
      <c r="G507" s="9"/>
      <c r="H507" s="5" t="s">
        <v>20</v>
      </c>
      <c r="I507" s="9"/>
      <c r="J507" s="8" t="s">
        <v>21</v>
      </c>
      <c r="K507" s="9"/>
      <c r="L507" s="8" t="s">
        <v>22</v>
      </c>
      <c r="M507" s="9"/>
      <c r="N507" s="5"/>
      <c r="O507" s="5"/>
    </row>
    <row r="508" ht="22.5" hidden="1" customHeight="1">
      <c r="A508" s="5"/>
      <c r="B508" s="5"/>
      <c r="C508" s="5"/>
      <c r="D508" s="9"/>
      <c r="E508" s="9"/>
      <c r="F508" s="5" t="s">
        <v>18</v>
      </c>
      <c r="G508" s="9"/>
      <c r="H508" s="5" t="s">
        <v>20</v>
      </c>
      <c r="I508" s="9"/>
      <c r="J508" s="8" t="s">
        <v>21</v>
      </c>
      <c r="K508" s="9"/>
      <c r="L508" s="8" t="s">
        <v>22</v>
      </c>
      <c r="M508" s="9"/>
      <c r="N508" s="5"/>
      <c r="O508" s="5"/>
    </row>
    <row r="509" ht="22.5" hidden="1" customHeight="1">
      <c r="A509" s="5"/>
      <c r="B509" s="5"/>
      <c r="C509" s="5"/>
      <c r="D509" s="9"/>
      <c r="E509" s="9"/>
      <c r="F509" s="5" t="s">
        <v>18</v>
      </c>
      <c r="G509" s="9"/>
      <c r="H509" s="5" t="s">
        <v>20</v>
      </c>
      <c r="I509" s="9"/>
      <c r="J509" s="8" t="s">
        <v>21</v>
      </c>
      <c r="K509" s="9"/>
      <c r="L509" s="8" t="s">
        <v>22</v>
      </c>
      <c r="M509" s="9"/>
      <c r="N509" s="5"/>
      <c r="O509" s="5"/>
    </row>
    <row r="510" ht="22.5" hidden="1" customHeight="1">
      <c r="A510" s="5"/>
      <c r="B510" s="5"/>
      <c r="C510" s="5"/>
      <c r="D510" s="9"/>
      <c r="E510" s="9"/>
      <c r="F510" s="5" t="s">
        <v>18</v>
      </c>
      <c r="G510" s="9"/>
      <c r="H510" s="5" t="s">
        <v>20</v>
      </c>
      <c r="I510" s="9"/>
      <c r="J510" s="8" t="s">
        <v>21</v>
      </c>
      <c r="K510" s="9"/>
      <c r="L510" s="8" t="s">
        <v>22</v>
      </c>
      <c r="M510" s="9"/>
      <c r="N510" s="5"/>
      <c r="O510" s="5"/>
    </row>
    <row r="511" ht="22.5" hidden="1" customHeight="1">
      <c r="A511" s="5"/>
      <c r="B511" s="5"/>
      <c r="C511" s="5"/>
      <c r="D511" s="9"/>
      <c r="E511" s="9"/>
      <c r="F511" s="5" t="s">
        <v>18</v>
      </c>
      <c r="G511" s="9"/>
      <c r="H511" s="5" t="s">
        <v>20</v>
      </c>
      <c r="I511" s="9"/>
      <c r="J511" s="8" t="s">
        <v>21</v>
      </c>
      <c r="K511" s="9"/>
      <c r="L511" s="8" t="s">
        <v>22</v>
      </c>
      <c r="M511" s="9"/>
      <c r="N511" s="5"/>
      <c r="O511" s="5"/>
    </row>
    <row r="512" ht="22.5" hidden="1" customHeight="1">
      <c r="A512" s="5"/>
      <c r="B512" s="5"/>
      <c r="C512" s="5"/>
      <c r="D512" s="9"/>
      <c r="E512" s="9"/>
      <c r="F512" s="5" t="s">
        <v>18</v>
      </c>
      <c r="G512" s="9"/>
      <c r="H512" s="5" t="s">
        <v>20</v>
      </c>
      <c r="I512" s="9"/>
      <c r="J512" s="8" t="s">
        <v>21</v>
      </c>
      <c r="K512" s="9"/>
      <c r="L512" s="8" t="s">
        <v>22</v>
      </c>
      <c r="M512" s="9"/>
      <c r="N512" s="5"/>
      <c r="O512" s="5"/>
    </row>
    <row r="513" ht="22.5" hidden="1" customHeight="1">
      <c r="A513" s="5"/>
      <c r="B513" s="5"/>
      <c r="C513" s="5"/>
      <c r="D513" s="9"/>
      <c r="E513" s="9"/>
      <c r="F513" s="5" t="s">
        <v>18</v>
      </c>
      <c r="G513" s="9"/>
      <c r="H513" s="5" t="s">
        <v>20</v>
      </c>
      <c r="I513" s="9"/>
      <c r="J513" s="8" t="s">
        <v>21</v>
      </c>
      <c r="K513" s="9"/>
      <c r="L513" s="8" t="s">
        <v>22</v>
      </c>
      <c r="M513" s="9"/>
      <c r="N513" s="5"/>
      <c r="O513" s="5"/>
    </row>
    <row r="514" ht="22.5" hidden="1" customHeight="1">
      <c r="A514" s="5"/>
      <c r="B514" s="5"/>
      <c r="C514" s="5"/>
      <c r="D514" s="9"/>
      <c r="E514" s="9"/>
      <c r="F514" s="5" t="s">
        <v>18</v>
      </c>
      <c r="G514" s="9"/>
      <c r="H514" s="5" t="s">
        <v>20</v>
      </c>
      <c r="I514" s="9"/>
      <c r="J514" s="8" t="s">
        <v>21</v>
      </c>
      <c r="K514" s="9"/>
      <c r="L514" s="8" t="s">
        <v>22</v>
      </c>
      <c r="M514" s="9"/>
      <c r="N514" s="5"/>
      <c r="O514" s="5"/>
    </row>
    <row r="515" ht="22.5" hidden="1" customHeight="1">
      <c r="A515" s="5"/>
      <c r="B515" s="5"/>
      <c r="C515" s="5"/>
      <c r="D515" s="9"/>
      <c r="E515" s="9"/>
      <c r="F515" s="5" t="s">
        <v>18</v>
      </c>
      <c r="G515" s="9"/>
      <c r="H515" s="5" t="s">
        <v>20</v>
      </c>
      <c r="I515" s="9"/>
      <c r="J515" s="8" t="s">
        <v>21</v>
      </c>
      <c r="K515" s="9"/>
      <c r="L515" s="8" t="s">
        <v>22</v>
      </c>
      <c r="M515" s="9"/>
      <c r="N515" s="5"/>
      <c r="O515" s="5"/>
    </row>
    <row r="516" ht="22.5" hidden="1" customHeight="1">
      <c r="A516" s="5"/>
      <c r="B516" s="5"/>
      <c r="C516" s="5"/>
      <c r="D516" s="9"/>
      <c r="E516" s="9"/>
      <c r="F516" s="5" t="s">
        <v>18</v>
      </c>
      <c r="G516" s="9"/>
      <c r="H516" s="5" t="s">
        <v>20</v>
      </c>
      <c r="I516" s="9"/>
      <c r="J516" s="8" t="s">
        <v>21</v>
      </c>
      <c r="K516" s="9"/>
      <c r="L516" s="8" t="s">
        <v>22</v>
      </c>
      <c r="M516" s="9"/>
      <c r="N516" s="5"/>
      <c r="O516" s="5"/>
    </row>
    <row r="517" ht="22.5" hidden="1" customHeight="1">
      <c r="A517" s="5"/>
      <c r="B517" s="5"/>
      <c r="C517" s="5"/>
      <c r="D517" s="9"/>
      <c r="E517" s="9"/>
      <c r="F517" s="5" t="s">
        <v>18</v>
      </c>
      <c r="G517" s="9"/>
      <c r="H517" s="5" t="s">
        <v>20</v>
      </c>
      <c r="I517" s="9"/>
      <c r="J517" s="8" t="s">
        <v>21</v>
      </c>
      <c r="K517" s="9"/>
      <c r="L517" s="8" t="s">
        <v>22</v>
      </c>
      <c r="M517" s="9"/>
      <c r="N517" s="5"/>
      <c r="O517" s="5"/>
    </row>
    <row r="518" ht="22.5" hidden="1" customHeight="1">
      <c r="A518" s="5"/>
      <c r="B518" s="5"/>
      <c r="C518" s="5"/>
      <c r="D518" s="9"/>
      <c r="E518" s="9"/>
      <c r="F518" s="5" t="s">
        <v>18</v>
      </c>
      <c r="G518" s="9"/>
      <c r="H518" s="5" t="s">
        <v>20</v>
      </c>
      <c r="I518" s="9"/>
      <c r="J518" s="8" t="s">
        <v>21</v>
      </c>
      <c r="K518" s="9"/>
      <c r="L518" s="8" t="s">
        <v>22</v>
      </c>
      <c r="M518" s="9"/>
      <c r="N518" s="5"/>
      <c r="O518" s="5"/>
    </row>
    <row r="519" ht="22.5" hidden="1" customHeight="1">
      <c r="A519" s="5"/>
      <c r="B519" s="5"/>
      <c r="C519" s="5"/>
      <c r="D519" s="9"/>
      <c r="E519" s="9"/>
      <c r="F519" s="5" t="s">
        <v>18</v>
      </c>
      <c r="G519" s="9"/>
      <c r="H519" s="5" t="s">
        <v>20</v>
      </c>
      <c r="I519" s="9"/>
      <c r="J519" s="8" t="s">
        <v>21</v>
      </c>
      <c r="K519" s="9"/>
      <c r="L519" s="8" t="s">
        <v>22</v>
      </c>
      <c r="M519" s="9"/>
      <c r="N519" s="5"/>
      <c r="O519" s="5"/>
    </row>
    <row r="520" ht="22.5" hidden="1" customHeight="1">
      <c r="A520" s="5"/>
      <c r="B520" s="5"/>
      <c r="C520" s="5"/>
      <c r="D520" s="9"/>
      <c r="E520" s="9"/>
      <c r="F520" s="5" t="s">
        <v>18</v>
      </c>
      <c r="G520" s="9"/>
      <c r="H520" s="5" t="s">
        <v>20</v>
      </c>
      <c r="I520" s="9"/>
      <c r="J520" s="8" t="s">
        <v>21</v>
      </c>
      <c r="K520" s="9"/>
      <c r="L520" s="8" t="s">
        <v>22</v>
      </c>
      <c r="M520" s="9"/>
      <c r="N520" s="5"/>
      <c r="O520" s="5"/>
    </row>
    <row r="521" ht="22.5" hidden="1" customHeight="1">
      <c r="A521" s="5"/>
      <c r="B521" s="5"/>
      <c r="C521" s="5"/>
      <c r="D521" s="9"/>
      <c r="E521" s="9"/>
      <c r="F521" s="5" t="s">
        <v>18</v>
      </c>
      <c r="G521" s="9"/>
      <c r="H521" s="5" t="s">
        <v>20</v>
      </c>
      <c r="I521" s="9"/>
      <c r="J521" s="8" t="s">
        <v>21</v>
      </c>
      <c r="K521" s="9"/>
      <c r="L521" s="8" t="s">
        <v>22</v>
      </c>
      <c r="M521" s="9"/>
      <c r="N521" s="5"/>
      <c r="O521" s="5"/>
    </row>
    <row r="522" ht="22.5" hidden="1" customHeight="1">
      <c r="A522" s="5"/>
      <c r="B522" s="5"/>
      <c r="C522" s="5"/>
      <c r="D522" s="9"/>
      <c r="E522" s="9"/>
      <c r="F522" s="5" t="s">
        <v>18</v>
      </c>
      <c r="G522" s="9"/>
      <c r="H522" s="5" t="s">
        <v>20</v>
      </c>
      <c r="I522" s="9"/>
      <c r="J522" s="8" t="s">
        <v>21</v>
      </c>
      <c r="K522" s="9"/>
      <c r="L522" s="8" t="s">
        <v>22</v>
      </c>
      <c r="M522" s="9"/>
      <c r="N522" s="5"/>
      <c r="O522" s="5"/>
    </row>
    <row r="523" ht="22.5" hidden="1" customHeight="1">
      <c r="A523" s="5"/>
      <c r="B523" s="5"/>
      <c r="C523" s="5"/>
      <c r="D523" s="9"/>
      <c r="E523" s="9"/>
      <c r="F523" s="5" t="s">
        <v>18</v>
      </c>
      <c r="G523" s="9"/>
      <c r="H523" s="5" t="s">
        <v>20</v>
      </c>
      <c r="I523" s="9"/>
      <c r="J523" s="8" t="s">
        <v>21</v>
      </c>
      <c r="K523" s="9"/>
      <c r="L523" s="8" t="s">
        <v>22</v>
      </c>
      <c r="M523" s="9"/>
      <c r="N523" s="5"/>
      <c r="O523" s="5"/>
    </row>
    <row r="524" ht="22.5" hidden="1" customHeight="1">
      <c r="A524" s="5"/>
      <c r="B524" s="5"/>
      <c r="C524" s="5"/>
      <c r="D524" s="9"/>
      <c r="E524" s="9"/>
      <c r="F524" s="5" t="s">
        <v>18</v>
      </c>
      <c r="G524" s="9"/>
      <c r="H524" s="5" t="s">
        <v>20</v>
      </c>
      <c r="I524" s="9"/>
      <c r="J524" s="8" t="s">
        <v>21</v>
      </c>
      <c r="K524" s="9"/>
      <c r="L524" s="8" t="s">
        <v>22</v>
      </c>
      <c r="M524" s="9"/>
      <c r="N524" s="5"/>
      <c r="O524" s="5"/>
    </row>
    <row r="525" ht="22.5" hidden="1" customHeight="1">
      <c r="A525" s="5"/>
      <c r="B525" s="5"/>
      <c r="C525" s="5"/>
      <c r="D525" s="9"/>
      <c r="E525" s="9"/>
      <c r="F525" s="5" t="s">
        <v>18</v>
      </c>
      <c r="G525" s="9"/>
      <c r="H525" s="5" t="s">
        <v>20</v>
      </c>
      <c r="I525" s="9"/>
      <c r="J525" s="8" t="s">
        <v>21</v>
      </c>
      <c r="K525" s="9"/>
      <c r="L525" s="8" t="s">
        <v>22</v>
      </c>
      <c r="M525" s="9"/>
      <c r="N525" s="5"/>
      <c r="O525" s="5"/>
    </row>
    <row r="526" ht="22.5" hidden="1" customHeight="1">
      <c r="A526" s="5"/>
      <c r="B526" s="5"/>
      <c r="C526" s="5"/>
      <c r="D526" s="9"/>
      <c r="E526" s="9"/>
      <c r="F526" s="5" t="s">
        <v>18</v>
      </c>
      <c r="G526" s="9"/>
      <c r="H526" s="5" t="s">
        <v>20</v>
      </c>
      <c r="I526" s="9"/>
      <c r="J526" s="8" t="s">
        <v>21</v>
      </c>
      <c r="K526" s="9"/>
      <c r="L526" s="8" t="s">
        <v>22</v>
      </c>
      <c r="M526" s="9"/>
      <c r="N526" s="5"/>
      <c r="O526" s="5"/>
    </row>
    <row r="527" ht="22.5" hidden="1" customHeight="1">
      <c r="A527" s="5"/>
      <c r="B527" s="5"/>
      <c r="C527" s="5"/>
      <c r="D527" s="9"/>
      <c r="E527" s="9"/>
      <c r="F527" s="5" t="s">
        <v>18</v>
      </c>
      <c r="G527" s="9"/>
      <c r="H527" s="5" t="s">
        <v>20</v>
      </c>
      <c r="I527" s="9"/>
      <c r="J527" s="8" t="s">
        <v>21</v>
      </c>
      <c r="K527" s="9"/>
      <c r="L527" s="8" t="s">
        <v>22</v>
      </c>
      <c r="M527" s="9"/>
      <c r="N527" s="5"/>
      <c r="O527" s="5"/>
    </row>
    <row r="528" ht="22.5" hidden="1" customHeight="1">
      <c r="A528" s="5"/>
      <c r="B528" s="5"/>
      <c r="C528" s="5"/>
      <c r="D528" s="9"/>
      <c r="E528" s="9"/>
      <c r="F528" s="5" t="s">
        <v>18</v>
      </c>
      <c r="G528" s="9"/>
      <c r="H528" s="5" t="s">
        <v>20</v>
      </c>
      <c r="I528" s="9"/>
      <c r="J528" s="8" t="s">
        <v>21</v>
      </c>
      <c r="K528" s="9"/>
      <c r="L528" s="8" t="s">
        <v>22</v>
      </c>
      <c r="M528" s="9"/>
      <c r="N528" s="5"/>
      <c r="O528" s="5"/>
    </row>
    <row r="529" ht="22.5" hidden="1" customHeight="1">
      <c r="A529" s="5"/>
      <c r="B529" s="5"/>
      <c r="C529" s="5"/>
      <c r="D529" s="9"/>
      <c r="E529" s="9"/>
      <c r="F529" s="5" t="s">
        <v>18</v>
      </c>
      <c r="G529" s="9"/>
      <c r="H529" s="5" t="s">
        <v>20</v>
      </c>
      <c r="I529" s="9"/>
      <c r="J529" s="8" t="s">
        <v>21</v>
      </c>
      <c r="K529" s="9"/>
      <c r="L529" s="8" t="s">
        <v>22</v>
      </c>
      <c r="M529" s="9"/>
      <c r="N529" s="5"/>
      <c r="O529" s="5"/>
    </row>
    <row r="530" ht="22.5" hidden="1" customHeight="1">
      <c r="A530" s="5"/>
      <c r="B530" s="5"/>
      <c r="C530" s="5"/>
      <c r="D530" s="9"/>
      <c r="E530" s="9"/>
      <c r="F530" s="5" t="s">
        <v>18</v>
      </c>
      <c r="G530" s="9"/>
      <c r="H530" s="5" t="s">
        <v>20</v>
      </c>
      <c r="I530" s="9"/>
      <c r="J530" s="8" t="s">
        <v>21</v>
      </c>
      <c r="K530" s="9"/>
      <c r="L530" s="8" t="s">
        <v>22</v>
      </c>
      <c r="M530" s="9"/>
      <c r="N530" s="5"/>
      <c r="O530" s="5"/>
    </row>
    <row r="531" ht="22.5" hidden="1" customHeight="1">
      <c r="A531" s="5"/>
      <c r="B531" s="5"/>
      <c r="C531" s="5"/>
      <c r="D531" s="9"/>
      <c r="E531" s="9"/>
      <c r="F531" s="5" t="s">
        <v>18</v>
      </c>
      <c r="G531" s="9"/>
      <c r="H531" s="5" t="s">
        <v>20</v>
      </c>
      <c r="I531" s="9"/>
      <c r="J531" s="8" t="s">
        <v>21</v>
      </c>
      <c r="K531" s="9"/>
      <c r="L531" s="8" t="s">
        <v>22</v>
      </c>
      <c r="M531" s="9"/>
      <c r="N531" s="5"/>
      <c r="O531" s="5"/>
    </row>
    <row r="532" ht="22.5" hidden="1" customHeight="1">
      <c r="A532" s="5"/>
      <c r="B532" s="5"/>
      <c r="C532" s="5"/>
      <c r="D532" s="9"/>
      <c r="E532" s="9"/>
      <c r="F532" s="5" t="s">
        <v>18</v>
      </c>
      <c r="G532" s="9"/>
      <c r="H532" s="5" t="s">
        <v>20</v>
      </c>
      <c r="I532" s="9"/>
      <c r="J532" s="8" t="s">
        <v>21</v>
      </c>
      <c r="K532" s="9"/>
      <c r="L532" s="8" t="s">
        <v>22</v>
      </c>
      <c r="M532" s="9"/>
      <c r="N532" s="5"/>
      <c r="O532" s="5"/>
    </row>
    <row r="533" ht="22.5" hidden="1" customHeight="1">
      <c r="A533" s="5"/>
      <c r="B533" s="5"/>
      <c r="C533" s="5"/>
      <c r="D533" s="9"/>
      <c r="E533" s="9"/>
      <c r="F533" s="5" t="s">
        <v>18</v>
      </c>
      <c r="G533" s="9"/>
      <c r="H533" s="5" t="s">
        <v>20</v>
      </c>
      <c r="I533" s="9"/>
      <c r="J533" s="8" t="s">
        <v>21</v>
      </c>
      <c r="K533" s="9"/>
      <c r="L533" s="8" t="s">
        <v>22</v>
      </c>
      <c r="M533" s="9"/>
      <c r="N533" s="5"/>
      <c r="O533" s="5"/>
    </row>
    <row r="534" ht="22.5" hidden="1" customHeight="1">
      <c r="A534" s="5"/>
      <c r="B534" s="5"/>
      <c r="C534" s="5"/>
      <c r="D534" s="9"/>
      <c r="E534" s="9"/>
      <c r="F534" s="5" t="s">
        <v>18</v>
      </c>
      <c r="G534" s="9"/>
      <c r="H534" s="5" t="s">
        <v>20</v>
      </c>
      <c r="I534" s="9"/>
      <c r="J534" s="8" t="s">
        <v>21</v>
      </c>
      <c r="K534" s="9"/>
      <c r="L534" s="8" t="s">
        <v>22</v>
      </c>
      <c r="M534" s="9"/>
      <c r="N534" s="5"/>
      <c r="O534" s="5"/>
    </row>
    <row r="535" ht="22.5" hidden="1" customHeight="1">
      <c r="A535" s="5"/>
      <c r="B535" s="5"/>
      <c r="C535" s="5"/>
      <c r="D535" s="9"/>
      <c r="E535" s="9"/>
      <c r="F535" s="5" t="s">
        <v>18</v>
      </c>
      <c r="G535" s="9"/>
      <c r="H535" s="5" t="s">
        <v>20</v>
      </c>
      <c r="I535" s="9"/>
      <c r="J535" s="8" t="s">
        <v>21</v>
      </c>
      <c r="K535" s="9"/>
      <c r="L535" s="8" t="s">
        <v>22</v>
      </c>
      <c r="M535" s="9"/>
      <c r="N535" s="5"/>
      <c r="O535" s="5"/>
    </row>
    <row r="536" ht="22.5" hidden="1" customHeight="1">
      <c r="A536" s="5"/>
      <c r="B536" s="5"/>
      <c r="C536" s="5"/>
      <c r="D536" s="9"/>
      <c r="E536" s="9"/>
      <c r="F536" s="5" t="s">
        <v>18</v>
      </c>
      <c r="G536" s="9"/>
      <c r="H536" s="5" t="s">
        <v>20</v>
      </c>
      <c r="I536" s="9"/>
      <c r="J536" s="8" t="s">
        <v>21</v>
      </c>
      <c r="K536" s="9"/>
      <c r="L536" s="8" t="s">
        <v>22</v>
      </c>
      <c r="M536" s="9"/>
      <c r="N536" s="5"/>
      <c r="O536" s="5"/>
    </row>
    <row r="537" ht="22.5" hidden="1" customHeight="1">
      <c r="A537" s="5"/>
      <c r="B537" s="5"/>
      <c r="C537" s="5"/>
      <c r="D537" s="9"/>
      <c r="E537" s="9"/>
      <c r="F537" s="5" t="s">
        <v>18</v>
      </c>
      <c r="G537" s="9"/>
      <c r="H537" s="5" t="s">
        <v>20</v>
      </c>
      <c r="I537" s="9"/>
      <c r="J537" s="8" t="s">
        <v>21</v>
      </c>
      <c r="K537" s="9"/>
      <c r="L537" s="8" t="s">
        <v>22</v>
      </c>
      <c r="M537" s="9"/>
      <c r="N537" s="5"/>
      <c r="O537" s="5"/>
    </row>
    <row r="538" ht="22.5" hidden="1" customHeight="1">
      <c r="A538" s="5"/>
      <c r="B538" s="5"/>
      <c r="C538" s="5"/>
      <c r="D538" s="9"/>
      <c r="E538" s="9"/>
      <c r="F538" s="5" t="s">
        <v>18</v>
      </c>
      <c r="G538" s="9"/>
      <c r="H538" s="5" t="s">
        <v>20</v>
      </c>
      <c r="I538" s="9"/>
      <c r="J538" s="8" t="s">
        <v>21</v>
      </c>
      <c r="K538" s="9"/>
      <c r="L538" s="8" t="s">
        <v>22</v>
      </c>
      <c r="M538" s="9"/>
      <c r="N538" s="5"/>
      <c r="O538" s="5"/>
    </row>
    <row r="539" ht="22.5" hidden="1" customHeight="1">
      <c r="A539" s="5"/>
      <c r="B539" s="5"/>
      <c r="C539" s="5"/>
      <c r="D539" s="9"/>
      <c r="E539" s="9"/>
      <c r="F539" s="5" t="s">
        <v>18</v>
      </c>
      <c r="G539" s="9"/>
      <c r="H539" s="5" t="s">
        <v>20</v>
      </c>
      <c r="I539" s="9"/>
      <c r="J539" s="8" t="s">
        <v>21</v>
      </c>
      <c r="K539" s="9"/>
      <c r="L539" s="8" t="s">
        <v>22</v>
      </c>
      <c r="M539" s="9"/>
      <c r="N539" s="5"/>
      <c r="O539" s="5"/>
    </row>
    <row r="540" ht="22.5" hidden="1" customHeight="1">
      <c r="A540" s="5"/>
      <c r="B540" s="5"/>
      <c r="C540" s="5"/>
      <c r="D540" s="9"/>
      <c r="E540" s="9"/>
      <c r="F540" s="5" t="s">
        <v>18</v>
      </c>
      <c r="G540" s="9"/>
      <c r="H540" s="5" t="s">
        <v>20</v>
      </c>
      <c r="I540" s="9"/>
      <c r="J540" s="8" t="s">
        <v>21</v>
      </c>
      <c r="K540" s="9"/>
      <c r="L540" s="8" t="s">
        <v>22</v>
      </c>
      <c r="M540" s="9"/>
      <c r="N540" s="5"/>
      <c r="O540" s="5"/>
    </row>
    <row r="541" ht="22.5" hidden="1" customHeight="1">
      <c r="A541" s="5"/>
      <c r="B541" s="5"/>
      <c r="C541" s="5"/>
      <c r="D541" s="9"/>
      <c r="E541" s="9"/>
      <c r="F541" s="5" t="s">
        <v>18</v>
      </c>
      <c r="G541" s="9"/>
      <c r="H541" s="5" t="s">
        <v>20</v>
      </c>
      <c r="I541" s="9"/>
      <c r="J541" s="8" t="s">
        <v>21</v>
      </c>
      <c r="K541" s="9"/>
      <c r="L541" s="8" t="s">
        <v>22</v>
      </c>
      <c r="M541" s="9"/>
      <c r="N541" s="5"/>
      <c r="O541" s="5"/>
    </row>
    <row r="542" ht="22.5" hidden="1" customHeight="1">
      <c r="A542" s="5"/>
      <c r="B542" s="5"/>
      <c r="C542" s="5"/>
      <c r="D542" s="9"/>
      <c r="E542" s="9"/>
      <c r="F542" s="5" t="s">
        <v>18</v>
      </c>
      <c r="G542" s="9"/>
      <c r="H542" s="5" t="s">
        <v>20</v>
      </c>
      <c r="I542" s="9"/>
      <c r="J542" s="8" t="s">
        <v>21</v>
      </c>
      <c r="K542" s="9"/>
      <c r="L542" s="8" t="s">
        <v>22</v>
      </c>
      <c r="M542" s="9"/>
      <c r="N542" s="5"/>
      <c r="O542" s="5"/>
    </row>
    <row r="543" ht="22.5" hidden="1" customHeight="1">
      <c r="A543" s="5"/>
      <c r="B543" s="5"/>
      <c r="C543" s="5"/>
      <c r="D543" s="9"/>
      <c r="E543" s="9"/>
      <c r="F543" s="5" t="s">
        <v>18</v>
      </c>
      <c r="G543" s="9"/>
      <c r="H543" s="5" t="s">
        <v>20</v>
      </c>
      <c r="I543" s="9"/>
      <c r="J543" s="8" t="s">
        <v>21</v>
      </c>
      <c r="K543" s="9"/>
      <c r="L543" s="8" t="s">
        <v>22</v>
      </c>
      <c r="M543" s="9"/>
      <c r="N543" s="5"/>
      <c r="O543" s="5"/>
    </row>
    <row r="544" ht="22.5" hidden="1" customHeight="1">
      <c r="A544" s="5"/>
      <c r="B544" s="5"/>
      <c r="C544" s="5"/>
      <c r="D544" s="9"/>
      <c r="E544" s="9"/>
      <c r="F544" s="5" t="s">
        <v>18</v>
      </c>
      <c r="G544" s="9"/>
      <c r="H544" s="5" t="s">
        <v>20</v>
      </c>
      <c r="I544" s="9"/>
      <c r="J544" s="8" t="s">
        <v>21</v>
      </c>
      <c r="K544" s="9"/>
      <c r="L544" s="8" t="s">
        <v>22</v>
      </c>
      <c r="M544" s="9"/>
      <c r="N544" s="5"/>
      <c r="O544" s="5"/>
    </row>
    <row r="545" ht="22.5" hidden="1" customHeight="1">
      <c r="A545" s="5"/>
      <c r="B545" s="5"/>
      <c r="C545" s="5"/>
      <c r="D545" s="9"/>
      <c r="E545" s="9"/>
      <c r="F545" s="5" t="s">
        <v>18</v>
      </c>
      <c r="G545" s="9"/>
      <c r="H545" s="5" t="s">
        <v>20</v>
      </c>
      <c r="I545" s="9"/>
      <c r="J545" s="8" t="s">
        <v>21</v>
      </c>
      <c r="K545" s="9"/>
      <c r="L545" s="8" t="s">
        <v>22</v>
      </c>
      <c r="M545" s="9"/>
      <c r="N545" s="5"/>
      <c r="O545" s="5"/>
    </row>
    <row r="546" ht="22.5" hidden="1" customHeight="1">
      <c r="A546" s="5"/>
      <c r="B546" s="5"/>
      <c r="C546" s="5"/>
      <c r="D546" s="9"/>
      <c r="E546" s="9"/>
      <c r="F546" s="5" t="s">
        <v>18</v>
      </c>
      <c r="G546" s="9"/>
      <c r="H546" s="5" t="s">
        <v>20</v>
      </c>
      <c r="I546" s="9"/>
      <c r="J546" s="8" t="s">
        <v>21</v>
      </c>
      <c r="K546" s="9"/>
      <c r="L546" s="8" t="s">
        <v>22</v>
      </c>
      <c r="M546" s="9"/>
      <c r="N546" s="5"/>
      <c r="O546" s="5"/>
    </row>
    <row r="547" ht="22.5" hidden="1" customHeight="1">
      <c r="A547" s="5"/>
      <c r="B547" s="5"/>
      <c r="C547" s="5"/>
      <c r="D547" s="9"/>
      <c r="E547" s="9"/>
      <c r="F547" s="5" t="s">
        <v>18</v>
      </c>
      <c r="G547" s="9"/>
      <c r="H547" s="5" t="s">
        <v>20</v>
      </c>
      <c r="I547" s="9"/>
      <c r="J547" s="8" t="s">
        <v>21</v>
      </c>
      <c r="K547" s="9"/>
      <c r="L547" s="8" t="s">
        <v>22</v>
      </c>
      <c r="M547" s="9"/>
      <c r="N547" s="5"/>
      <c r="O547" s="5"/>
    </row>
    <row r="548" ht="22.5" hidden="1" customHeight="1">
      <c r="A548" s="5"/>
      <c r="B548" s="5"/>
      <c r="C548" s="5"/>
      <c r="D548" s="9"/>
      <c r="E548" s="9"/>
      <c r="F548" s="5" t="s">
        <v>18</v>
      </c>
      <c r="G548" s="9"/>
      <c r="H548" s="5" t="s">
        <v>20</v>
      </c>
      <c r="I548" s="9"/>
      <c r="J548" s="8" t="s">
        <v>21</v>
      </c>
      <c r="K548" s="9"/>
      <c r="L548" s="8" t="s">
        <v>22</v>
      </c>
      <c r="M548" s="9"/>
      <c r="N548" s="5"/>
      <c r="O548" s="5"/>
    </row>
    <row r="549" ht="22.5" hidden="1" customHeight="1">
      <c r="A549" s="5"/>
      <c r="B549" s="5"/>
      <c r="C549" s="5"/>
      <c r="D549" s="9"/>
      <c r="E549" s="9"/>
      <c r="F549" s="5" t="s">
        <v>18</v>
      </c>
      <c r="G549" s="9"/>
      <c r="H549" s="5" t="s">
        <v>20</v>
      </c>
      <c r="I549" s="9"/>
      <c r="J549" s="8" t="s">
        <v>21</v>
      </c>
      <c r="K549" s="9"/>
      <c r="L549" s="8" t="s">
        <v>22</v>
      </c>
      <c r="M549" s="9"/>
      <c r="N549" s="5"/>
      <c r="O549" s="5"/>
    </row>
    <row r="550" ht="22.5" hidden="1" customHeight="1">
      <c r="A550" s="5"/>
      <c r="B550" s="5"/>
      <c r="C550" s="5"/>
      <c r="D550" s="9"/>
      <c r="E550" s="9"/>
      <c r="F550" s="5" t="s">
        <v>18</v>
      </c>
      <c r="G550" s="9"/>
      <c r="H550" s="5" t="s">
        <v>20</v>
      </c>
      <c r="I550" s="9"/>
      <c r="J550" s="8" t="s">
        <v>21</v>
      </c>
      <c r="K550" s="9"/>
      <c r="L550" s="8" t="s">
        <v>22</v>
      </c>
      <c r="M550" s="9"/>
      <c r="N550" s="5"/>
      <c r="O550" s="5"/>
    </row>
    <row r="551" ht="22.5" hidden="1" customHeight="1">
      <c r="A551" s="5"/>
      <c r="B551" s="5"/>
      <c r="C551" s="5"/>
      <c r="D551" s="9"/>
      <c r="E551" s="9"/>
      <c r="F551" s="5" t="s">
        <v>18</v>
      </c>
      <c r="G551" s="9"/>
      <c r="H551" s="5" t="s">
        <v>20</v>
      </c>
      <c r="I551" s="9"/>
      <c r="J551" s="8" t="s">
        <v>21</v>
      </c>
      <c r="K551" s="9"/>
      <c r="L551" s="8" t="s">
        <v>22</v>
      </c>
      <c r="M551" s="9"/>
      <c r="N551" s="5"/>
      <c r="O551" s="5"/>
    </row>
    <row r="552" ht="22.5" hidden="1" customHeight="1">
      <c r="A552" s="5"/>
      <c r="B552" s="5"/>
      <c r="C552" s="5"/>
      <c r="D552" s="9"/>
      <c r="E552" s="9"/>
      <c r="F552" s="5" t="s">
        <v>18</v>
      </c>
      <c r="G552" s="9"/>
      <c r="H552" s="5" t="s">
        <v>20</v>
      </c>
      <c r="I552" s="9"/>
      <c r="J552" s="8" t="s">
        <v>21</v>
      </c>
      <c r="K552" s="9"/>
      <c r="L552" s="8" t="s">
        <v>22</v>
      </c>
      <c r="M552" s="9"/>
      <c r="N552" s="5"/>
      <c r="O552" s="5"/>
    </row>
    <row r="553" ht="22.5" hidden="1" customHeight="1">
      <c r="A553" s="5"/>
      <c r="B553" s="5"/>
      <c r="C553" s="5"/>
      <c r="D553" s="9"/>
      <c r="E553" s="9"/>
      <c r="F553" s="5" t="s">
        <v>18</v>
      </c>
      <c r="G553" s="9"/>
      <c r="H553" s="5" t="s">
        <v>20</v>
      </c>
      <c r="I553" s="9"/>
      <c r="J553" s="8" t="s">
        <v>21</v>
      </c>
      <c r="K553" s="9"/>
      <c r="L553" s="8" t="s">
        <v>22</v>
      </c>
      <c r="M553" s="9"/>
      <c r="N553" s="5"/>
      <c r="O553" s="5"/>
    </row>
    <row r="554" ht="22.5" hidden="1" customHeight="1">
      <c r="A554" s="5"/>
      <c r="B554" s="5"/>
      <c r="C554" s="5"/>
      <c r="D554" s="9"/>
      <c r="E554" s="9"/>
      <c r="F554" s="5" t="s">
        <v>18</v>
      </c>
      <c r="G554" s="9"/>
      <c r="H554" s="5" t="s">
        <v>20</v>
      </c>
      <c r="I554" s="9"/>
      <c r="J554" s="8" t="s">
        <v>21</v>
      </c>
      <c r="K554" s="9"/>
      <c r="L554" s="8" t="s">
        <v>22</v>
      </c>
      <c r="M554" s="9"/>
      <c r="N554" s="5"/>
      <c r="O554" s="5"/>
    </row>
    <row r="555" ht="22.5" hidden="1" customHeight="1">
      <c r="A555" s="5"/>
      <c r="B555" s="5"/>
      <c r="C555" s="5"/>
      <c r="D555" s="9"/>
      <c r="E555" s="9"/>
      <c r="F555" s="5" t="s">
        <v>18</v>
      </c>
      <c r="G555" s="9"/>
      <c r="H555" s="5" t="s">
        <v>20</v>
      </c>
      <c r="I555" s="9"/>
      <c r="J555" s="8" t="s">
        <v>21</v>
      </c>
      <c r="K555" s="9"/>
      <c r="L555" s="8" t="s">
        <v>22</v>
      </c>
      <c r="M555" s="9"/>
      <c r="N555" s="5"/>
      <c r="O555" s="5"/>
    </row>
    <row r="556" ht="22.5" hidden="1" customHeight="1">
      <c r="A556" s="5"/>
      <c r="B556" s="5"/>
      <c r="C556" s="5"/>
      <c r="D556" s="9"/>
      <c r="E556" s="9"/>
      <c r="F556" s="5" t="s">
        <v>18</v>
      </c>
      <c r="G556" s="9"/>
      <c r="H556" s="5" t="s">
        <v>20</v>
      </c>
      <c r="I556" s="9"/>
      <c r="J556" s="8" t="s">
        <v>21</v>
      </c>
      <c r="K556" s="9"/>
      <c r="L556" s="8" t="s">
        <v>22</v>
      </c>
      <c r="M556" s="9"/>
      <c r="N556" s="5"/>
      <c r="O556" s="5"/>
    </row>
    <row r="557" ht="22.5" hidden="1" customHeight="1">
      <c r="A557" s="5"/>
      <c r="B557" s="5"/>
      <c r="C557" s="5"/>
      <c r="D557" s="9"/>
      <c r="E557" s="9"/>
      <c r="F557" s="5" t="s">
        <v>18</v>
      </c>
      <c r="G557" s="9"/>
      <c r="H557" s="5" t="s">
        <v>20</v>
      </c>
      <c r="I557" s="9"/>
      <c r="J557" s="8" t="s">
        <v>21</v>
      </c>
      <c r="K557" s="9"/>
      <c r="L557" s="8" t="s">
        <v>22</v>
      </c>
      <c r="M557" s="9"/>
      <c r="N557" s="5"/>
      <c r="O557" s="5"/>
    </row>
    <row r="558" ht="22.5" hidden="1" customHeight="1">
      <c r="A558" s="5"/>
      <c r="B558" s="5"/>
      <c r="C558" s="5"/>
      <c r="D558" s="9"/>
      <c r="E558" s="9"/>
      <c r="F558" s="5" t="s">
        <v>18</v>
      </c>
      <c r="G558" s="9"/>
      <c r="H558" s="5" t="s">
        <v>20</v>
      </c>
      <c r="I558" s="9"/>
      <c r="J558" s="8" t="s">
        <v>21</v>
      </c>
      <c r="K558" s="9"/>
      <c r="L558" s="8" t="s">
        <v>22</v>
      </c>
      <c r="M558" s="9"/>
      <c r="N558" s="5"/>
      <c r="O558" s="5"/>
    </row>
    <row r="559" ht="22.5" hidden="1" customHeight="1">
      <c r="A559" s="5"/>
      <c r="B559" s="5"/>
      <c r="C559" s="5"/>
      <c r="D559" s="9"/>
      <c r="E559" s="9"/>
      <c r="F559" s="5" t="s">
        <v>18</v>
      </c>
      <c r="G559" s="9"/>
      <c r="H559" s="5" t="s">
        <v>20</v>
      </c>
      <c r="I559" s="9"/>
      <c r="J559" s="8" t="s">
        <v>21</v>
      </c>
      <c r="K559" s="9"/>
      <c r="L559" s="8" t="s">
        <v>22</v>
      </c>
      <c r="M559" s="9"/>
      <c r="N559" s="5"/>
      <c r="O559" s="5"/>
    </row>
    <row r="560" ht="22.5" hidden="1" customHeight="1">
      <c r="A560" s="5"/>
      <c r="B560" s="5"/>
      <c r="C560" s="5"/>
      <c r="D560" s="9"/>
      <c r="E560" s="9"/>
      <c r="F560" s="5" t="s">
        <v>18</v>
      </c>
      <c r="G560" s="9"/>
      <c r="H560" s="5" t="s">
        <v>20</v>
      </c>
      <c r="I560" s="9"/>
      <c r="J560" s="8" t="s">
        <v>21</v>
      </c>
      <c r="K560" s="9"/>
      <c r="L560" s="8" t="s">
        <v>22</v>
      </c>
      <c r="M560" s="9"/>
      <c r="N560" s="5"/>
      <c r="O560" s="5"/>
    </row>
    <row r="561" ht="22.5" hidden="1" customHeight="1">
      <c r="A561" s="5"/>
      <c r="B561" s="5"/>
      <c r="C561" s="5"/>
      <c r="D561" s="9"/>
      <c r="E561" s="9"/>
      <c r="F561" s="5" t="s">
        <v>18</v>
      </c>
      <c r="G561" s="9"/>
      <c r="H561" s="5" t="s">
        <v>20</v>
      </c>
      <c r="I561" s="9"/>
      <c r="J561" s="8" t="s">
        <v>21</v>
      </c>
      <c r="K561" s="9"/>
      <c r="L561" s="8" t="s">
        <v>22</v>
      </c>
      <c r="M561" s="9"/>
      <c r="N561" s="5"/>
      <c r="O561" s="5"/>
    </row>
    <row r="562" ht="22.5" hidden="1" customHeight="1">
      <c r="A562" s="5"/>
      <c r="B562" s="5"/>
      <c r="C562" s="5"/>
      <c r="D562" s="9"/>
      <c r="E562" s="9"/>
      <c r="F562" s="5" t="s">
        <v>18</v>
      </c>
      <c r="G562" s="9"/>
      <c r="H562" s="5" t="s">
        <v>20</v>
      </c>
      <c r="I562" s="9"/>
      <c r="J562" s="8" t="s">
        <v>21</v>
      </c>
      <c r="K562" s="9"/>
      <c r="L562" s="8" t="s">
        <v>22</v>
      </c>
      <c r="M562" s="9"/>
      <c r="N562" s="5"/>
      <c r="O562" s="5"/>
    </row>
    <row r="563" ht="22.5" hidden="1" customHeight="1">
      <c r="A563" s="5"/>
      <c r="B563" s="5"/>
      <c r="C563" s="5"/>
      <c r="D563" s="9"/>
      <c r="E563" s="9"/>
      <c r="F563" s="5" t="s">
        <v>18</v>
      </c>
      <c r="G563" s="9"/>
      <c r="H563" s="5" t="s">
        <v>20</v>
      </c>
      <c r="I563" s="9"/>
      <c r="J563" s="8" t="s">
        <v>21</v>
      </c>
      <c r="K563" s="9"/>
      <c r="L563" s="8" t="s">
        <v>22</v>
      </c>
      <c r="M563" s="9"/>
      <c r="N563" s="5"/>
      <c r="O563" s="5"/>
    </row>
    <row r="564" ht="22.5" hidden="1" customHeight="1">
      <c r="A564" s="5"/>
      <c r="B564" s="5"/>
      <c r="C564" s="5"/>
      <c r="D564" s="9"/>
      <c r="E564" s="9"/>
      <c r="F564" s="5" t="s">
        <v>18</v>
      </c>
      <c r="G564" s="9"/>
      <c r="H564" s="5" t="s">
        <v>20</v>
      </c>
      <c r="I564" s="9"/>
      <c r="J564" s="8" t="s">
        <v>21</v>
      </c>
      <c r="K564" s="9"/>
      <c r="L564" s="8" t="s">
        <v>22</v>
      </c>
      <c r="M564" s="9"/>
      <c r="N564" s="5"/>
      <c r="O564" s="5"/>
    </row>
    <row r="565" ht="22.5" hidden="1" customHeight="1">
      <c r="A565" s="5"/>
      <c r="B565" s="5"/>
      <c r="C565" s="5"/>
      <c r="D565" s="9"/>
      <c r="E565" s="9"/>
      <c r="F565" s="5" t="s">
        <v>18</v>
      </c>
      <c r="G565" s="9"/>
      <c r="H565" s="5" t="s">
        <v>20</v>
      </c>
      <c r="I565" s="9"/>
      <c r="J565" s="8" t="s">
        <v>21</v>
      </c>
      <c r="K565" s="9"/>
      <c r="L565" s="8" t="s">
        <v>22</v>
      </c>
      <c r="M565" s="9"/>
      <c r="N565" s="5"/>
      <c r="O565" s="5"/>
    </row>
    <row r="566" ht="22.5" hidden="1" customHeight="1">
      <c r="A566" s="5"/>
      <c r="B566" s="5"/>
      <c r="C566" s="5"/>
      <c r="D566" s="9"/>
      <c r="E566" s="9"/>
      <c r="F566" s="5" t="s">
        <v>18</v>
      </c>
      <c r="G566" s="9"/>
      <c r="H566" s="5" t="s">
        <v>20</v>
      </c>
      <c r="I566" s="9"/>
      <c r="J566" s="8" t="s">
        <v>21</v>
      </c>
      <c r="K566" s="9"/>
      <c r="L566" s="8" t="s">
        <v>22</v>
      </c>
      <c r="M566" s="9"/>
      <c r="N566" s="5"/>
      <c r="O566" s="5"/>
    </row>
    <row r="567" ht="22.5" hidden="1" customHeight="1">
      <c r="A567" s="5"/>
      <c r="B567" s="5"/>
      <c r="C567" s="5"/>
      <c r="D567" s="9"/>
      <c r="E567" s="9"/>
      <c r="F567" s="5" t="s">
        <v>18</v>
      </c>
      <c r="G567" s="9"/>
      <c r="H567" s="5" t="s">
        <v>20</v>
      </c>
      <c r="I567" s="9"/>
      <c r="J567" s="8" t="s">
        <v>21</v>
      </c>
      <c r="K567" s="9"/>
      <c r="L567" s="8" t="s">
        <v>22</v>
      </c>
      <c r="M567" s="9"/>
      <c r="N567" s="5"/>
      <c r="O567" s="5"/>
    </row>
    <row r="568" ht="22.5" hidden="1" customHeight="1">
      <c r="A568" s="5"/>
      <c r="B568" s="5"/>
      <c r="C568" s="5"/>
      <c r="D568" s="9"/>
      <c r="E568" s="9"/>
      <c r="F568" s="5" t="s">
        <v>18</v>
      </c>
      <c r="G568" s="9"/>
      <c r="H568" s="5" t="s">
        <v>20</v>
      </c>
      <c r="I568" s="9"/>
      <c r="J568" s="8" t="s">
        <v>21</v>
      </c>
      <c r="K568" s="9"/>
      <c r="L568" s="8" t="s">
        <v>22</v>
      </c>
      <c r="M568" s="9"/>
      <c r="N568" s="5"/>
      <c r="O568" s="5"/>
    </row>
    <row r="569" ht="22.5" hidden="1" customHeight="1">
      <c r="A569" s="5"/>
      <c r="B569" s="5"/>
      <c r="C569" s="5"/>
      <c r="D569" s="9"/>
      <c r="E569" s="9"/>
      <c r="F569" s="5" t="s">
        <v>18</v>
      </c>
      <c r="G569" s="9"/>
      <c r="H569" s="5" t="s">
        <v>20</v>
      </c>
      <c r="I569" s="9"/>
      <c r="J569" s="8" t="s">
        <v>21</v>
      </c>
      <c r="K569" s="9"/>
      <c r="L569" s="8" t="s">
        <v>22</v>
      </c>
      <c r="M569" s="9"/>
      <c r="N569" s="5"/>
      <c r="O569" s="5"/>
    </row>
    <row r="570" ht="22.5" hidden="1" customHeight="1">
      <c r="A570" s="5"/>
      <c r="B570" s="5"/>
      <c r="C570" s="5"/>
      <c r="D570" s="9"/>
      <c r="E570" s="9"/>
      <c r="F570" s="5" t="s">
        <v>18</v>
      </c>
      <c r="G570" s="9"/>
      <c r="H570" s="5" t="s">
        <v>20</v>
      </c>
      <c r="I570" s="9"/>
      <c r="J570" s="8" t="s">
        <v>21</v>
      </c>
      <c r="K570" s="9"/>
      <c r="L570" s="8" t="s">
        <v>22</v>
      </c>
      <c r="M570" s="9"/>
      <c r="N570" s="5"/>
      <c r="O570" s="5"/>
    </row>
    <row r="571" ht="22.5" hidden="1" customHeight="1">
      <c r="A571" s="5"/>
      <c r="B571" s="5"/>
      <c r="C571" s="5"/>
      <c r="D571" s="9"/>
      <c r="E571" s="9"/>
      <c r="F571" s="5" t="s">
        <v>18</v>
      </c>
      <c r="G571" s="9"/>
      <c r="H571" s="5" t="s">
        <v>20</v>
      </c>
      <c r="I571" s="9"/>
      <c r="J571" s="8" t="s">
        <v>21</v>
      </c>
      <c r="K571" s="9"/>
      <c r="L571" s="8" t="s">
        <v>22</v>
      </c>
      <c r="M571" s="9"/>
      <c r="N571" s="5"/>
      <c r="O571" s="5"/>
    </row>
    <row r="572" ht="22.5" hidden="1" customHeight="1">
      <c r="A572" s="5"/>
      <c r="B572" s="5"/>
      <c r="C572" s="5"/>
      <c r="D572" s="9"/>
      <c r="E572" s="9"/>
      <c r="F572" s="5" t="s">
        <v>18</v>
      </c>
      <c r="G572" s="9"/>
      <c r="H572" s="5" t="s">
        <v>20</v>
      </c>
      <c r="I572" s="9"/>
      <c r="J572" s="8" t="s">
        <v>21</v>
      </c>
      <c r="K572" s="9"/>
      <c r="L572" s="8" t="s">
        <v>22</v>
      </c>
      <c r="M572" s="9"/>
      <c r="N572" s="5"/>
      <c r="O572" s="5"/>
    </row>
    <row r="573" ht="22.5" hidden="1" customHeight="1">
      <c r="A573" s="5"/>
      <c r="B573" s="5"/>
      <c r="C573" s="5"/>
      <c r="D573" s="9"/>
      <c r="E573" s="9"/>
      <c r="F573" s="5" t="s">
        <v>18</v>
      </c>
      <c r="G573" s="9"/>
      <c r="H573" s="5" t="s">
        <v>20</v>
      </c>
      <c r="I573" s="9"/>
      <c r="J573" s="8" t="s">
        <v>21</v>
      </c>
      <c r="K573" s="9"/>
      <c r="L573" s="8" t="s">
        <v>22</v>
      </c>
      <c r="M573" s="9"/>
      <c r="N573" s="5"/>
      <c r="O573" s="5"/>
    </row>
    <row r="574" ht="22.5" hidden="1" customHeight="1">
      <c r="A574" s="5"/>
      <c r="B574" s="5"/>
      <c r="C574" s="5"/>
      <c r="D574" s="9"/>
      <c r="E574" s="9"/>
      <c r="F574" s="5" t="s">
        <v>18</v>
      </c>
      <c r="G574" s="9"/>
      <c r="H574" s="5" t="s">
        <v>20</v>
      </c>
      <c r="I574" s="9"/>
      <c r="J574" s="8" t="s">
        <v>21</v>
      </c>
      <c r="K574" s="9"/>
      <c r="L574" s="8" t="s">
        <v>22</v>
      </c>
      <c r="M574" s="9"/>
      <c r="N574" s="5"/>
      <c r="O574" s="5"/>
    </row>
    <row r="575" ht="22.5" hidden="1" customHeight="1">
      <c r="A575" s="5"/>
      <c r="B575" s="5"/>
      <c r="C575" s="5"/>
      <c r="D575" s="9"/>
      <c r="E575" s="9"/>
      <c r="F575" s="5" t="s">
        <v>18</v>
      </c>
      <c r="G575" s="9"/>
      <c r="H575" s="5" t="s">
        <v>20</v>
      </c>
      <c r="I575" s="9"/>
      <c r="J575" s="8" t="s">
        <v>21</v>
      </c>
      <c r="K575" s="9"/>
      <c r="L575" s="8" t="s">
        <v>22</v>
      </c>
      <c r="M575" s="9"/>
      <c r="N575" s="5"/>
      <c r="O575" s="5"/>
    </row>
    <row r="576" ht="22.5" hidden="1" customHeight="1">
      <c r="A576" s="5"/>
      <c r="B576" s="5"/>
      <c r="C576" s="5"/>
      <c r="D576" s="9"/>
      <c r="E576" s="9"/>
      <c r="F576" s="5" t="s">
        <v>18</v>
      </c>
      <c r="G576" s="9"/>
      <c r="H576" s="5" t="s">
        <v>20</v>
      </c>
      <c r="I576" s="9"/>
      <c r="J576" s="8" t="s">
        <v>21</v>
      </c>
      <c r="K576" s="9"/>
      <c r="L576" s="8" t="s">
        <v>22</v>
      </c>
      <c r="M576" s="9"/>
      <c r="N576" s="5"/>
      <c r="O576" s="5"/>
    </row>
    <row r="577" ht="22.5" hidden="1" customHeight="1">
      <c r="A577" s="5"/>
      <c r="B577" s="5"/>
      <c r="C577" s="5"/>
      <c r="D577" s="9"/>
      <c r="E577" s="9"/>
      <c r="F577" s="5" t="s">
        <v>18</v>
      </c>
      <c r="G577" s="9"/>
      <c r="H577" s="5" t="s">
        <v>20</v>
      </c>
      <c r="I577" s="9"/>
      <c r="J577" s="8" t="s">
        <v>21</v>
      </c>
      <c r="K577" s="9"/>
      <c r="L577" s="8" t="s">
        <v>22</v>
      </c>
      <c r="M577" s="9"/>
      <c r="N577" s="5"/>
      <c r="O577" s="5"/>
    </row>
    <row r="578" ht="22.5" hidden="1" customHeight="1">
      <c r="A578" s="5"/>
      <c r="B578" s="5"/>
      <c r="C578" s="5"/>
      <c r="D578" s="9"/>
      <c r="E578" s="9"/>
      <c r="F578" s="5" t="s">
        <v>18</v>
      </c>
      <c r="G578" s="9"/>
      <c r="H578" s="5" t="s">
        <v>20</v>
      </c>
      <c r="I578" s="9"/>
      <c r="J578" s="8" t="s">
        <v>21</v>
      </c>
      <c r="K578" s="9"/>
      <c r="L578" s="8" t="s">
        <v>22</v>
      </c>
      <c r="M578" s="9"/>
      <c r="N578" s="5"/>
      <c r="O578" s="5"/>
    </row>
    <row r="579" ht="22.5" hidden="1" customHeight="1">
      <c r="A579" s="5"/>
      <c r="B579" s="5"/>
      <c r="C579" s="5"/>
      <c r="D579" s="9"/>
      <c r="E579" s="9"/>
      <c r="F579" s="5" t="s">
        <v>18</v>
      </c>
      <c r="G579" s="9"/>
      <c r="H579" s="5" t="s">
        <v>20</v>
      </c>
      <c r="I579" s="9"/>
      <c r="J579" s="8" t="s">
        <v>21</v>
      </c>
      <c r="K579" s="9"/>
      <c r="L579" s="8" t="s">
        <v>22</v>
      </c>
      <c r="M579" s="9"/>
      <c r="N579" s="5"/>
      <c r="O579" s="5"/>
    </row>
    <row r="580" ht="22.5" hidden="1" customHeight="1">
      <c r="A580" s="5"/>
      <c r="B580" s="5"/>
      <c r="C580" s="5"/>
      <c r="D580" s="9"/>
      <c r="E580" s="9"/>
      <c r="F580" s="5" t="s">
        <v>18</v>
      </c>
      <c r="G580" s="9"/>
      <c r="H580" s="5" t="s">
        <v>20</v>
      </c>
      <c r="I580" s="9"/>
      <c r="J580" s="8" t="s">
        <v>21</v>
      </c>
      <c r="K580" s="9"/>
      <c r="L580" s="8" t="s">
        <v>22</v>
      </c>
      <c r="M580" s="9"/>
      <c r="N580" s="5"/>
      <c r="O580" s="5"/>
    </row>
    <row r="581" ht="22.5" hidden="1" customHeight="1">
      <c r="A581" s="5"/>
      <c r="B581" s="5"/>
      <c r="C581" s="5"/>
      <c r="D581" s="9"/>
      <c r="E581" s="9"/>
      <c r="F581" s="5" t="s">
        <v>18</v>
      </c>
      <c r="G581" s="9"/>
      <c r="H581" s="5" t="s">
        <v>20</v>
      </c>
      <c r="I581" s="9"/>
      <c r="J581" s="8" t="s">
        <v>21</v>
      </c>
      <c r="K581" s="9"/>
      <c r="L581" s="8" t="s">
        <v>22</v>
      </c>
      <c r="M581" s="9"/>
      <c r="N581" s="5"/>
      <c r="O581" s="5"/>
    </row>
    <row r="582" ht="22.5" hidden="1" customHeight="1">
      <c r="A582" s="5"/>
      <c r="B582" s="5"/>
      <c r="C582" s="5"/>
      <c r="D582" s="9"/>
      <c r="E582" s="9"/>
      <c r="F582" s="5" t="s">
        <v>18</v>
      </c>
      <c r="G582" s="9"/>
      <c r="H582" s="5" t="s">
        <v>20</v>
      </c>
      <c r="I582" s="9"/>
      <c r="J582" s="8" t="s">
        <v>21</v>
      </c>
      <c r="K582" s="9"/>
      <c r="L582" s="8" t="s">
        <v>22</v>
      </c>
      <c r="M582" s="9"/>
      <c r="N582" s="5"/>
      <c r="O582" s="5"/>
    </row>
    <row r="583" ht="22.5" hidden="1" customHeight="1">
      <c r="A583" s="5"/>
      <c r="B583" s="5"/>
      <c r="C583" s="5"/>
      <c r="D583" s="9"/>
      <c r="E583" s="9"/>
      <c r="F583" s="5" t="s">
        <v>18</v>
      </c>
      <c r="G583" s="9"/>
      <c r="H583" s="5" t="s">
        <v>20</v>
      </c>
      <c r="I583" s="9"/>
      <c r="J583" s="8" t="s">
        <v>21</v>
      </c>
      <c r="K583" s="9"/>
      <c r="L583" s="8" t="s">
        <v>22</v>
      </c>
      <c r="M583" s="9"/>
      <c r="N583" s="5"/>
      <c r="O583" s="5"/>
    </row>
    <row r="584" ht="22.5" hidden="1" customHeight="1">
      <c r="A584" s="5"/>
      <c r="B584" s="5"/>
      <c r="C584" s="5"/>
      <c r="D584" s="9"/>
      <c r="E584" s="9"/>
      <c r="F584" s="5" t="s">
        <v>18</v>
      </c>
      <c r="G584" s="9"/>
      <c r="H584" s="5" t="s">
        <v>20</v>
      </c>
      <c r="I584" s="9"/>
      <c r="J584" s="8" t="s">
        <v>21</v>
      </c>
      <c r="K584" s="9"/>
      <c r="L584" s="8" t="s">
        <v>22</v>
      </c>
      <c r="M584" s="9"/>
      <c r="N584" s="5"/>
      <c r="O584" s="5"/>
    </row>
    <row r="585" ht="22.5" hidden="1" customHeight="1">
      <c r="A585" s="5"/>
      <c r="B585" s="5"/>
      <c r="C585" s="5"/>
      <c r="D585" s="9"/>
      <c r="E585" s="9"/>
      <c r="F585" s="5" t="s">
        <v>18</v>
      </c>
      <c r="G585" s="9"/>
      <c r="H585" s="5" t="s">
        <v>20</v>
      </c>
      <c r="I585" s="9"/>
      <c r="J585" s="8" t="s">
        <v>21</v>
      </c>
      <c r="K585" s="9"/>
      <c r="L585" s="8" t="s">
        <v>22</v>
      </c>
      <c r="M585" s="9"/>
      <c r="N585" s="5"/>
      <c r="O585" s="5"/>
    </row>
    <row r="586" ht="22.5" hidden="1" customHeight="1">
      <c r="A586" s="5"/>
      <c r="B586" s="5"/>
      <c r="C586" s="5"/>
      <c r="D586" s="9"/>
      <c r="E586" s="9"/>
      <c r="F586" s="5" t="s">
        <v>18</v>
      </c>
      <c r="G586" s="9"/>
      <c r="H586" s="5" t="s">
        <v>20</v>
      </c>
      <c r="I586" s="9"/>
      <c r="J586" s="8" t="s">
        <v>21</v>
      </c>
      <c r="K586" s="9"/>
      <c r="L586" s="8" t="s">
        <v>22</v>
      </c>
      <c r="M586" s="9"/>
      <c r="N586" s="5"/>
      <c r="O586" s="5"/>
    </row>
    <row r="587" ht="22.5" hidden="1" customHeight="1">
      <c r="A587" s="5"/>
      <c r="B587" s="5"/>
      <c r="C587" s="5"/>
      <c r="D587" s="9"/>
      <c r="E587" s="9"/>
      <c r="F587" s="5" t="s">
        <v>18</v>
      </c>
      <c r="G587" s="9"/>
      <c r="H587" s="5" t="s">
        <v>20</v>
      </c>
      <c r="I587" s="9"/>
      <c r="J587" s="8" t="s">
        <v>21</v>
      </c>
      <c r="K587" s="9"/>
      <c r="L587" s="8" t="s">
        <v>22</v>
      </c>
      <c r="M587" s="9"/>
      <c r="N587" s="5"/>
      <c r="O587" s="5"/>
    </row>
    <row r="588" ht="22.5" hidden="1" customHeight="1">
      <c r="A588" s="5"/>
      <c r="B588" s="5"/>
      <c r="C588" s="5"/>
      <c r="D588" s="9"/>
      <c r="E588" s="9"/>
      <c r="F588" s="5" t="s">
        <v>18</v>
      </c>
      <c r="G588" s="9"/>
      <c r="H588" s="5" t="s">
        <v>20</v>
      </c>
      <c r="I588" s="9"/>
      <c r="J588" s="8" t="s">
        <v>21</v>
      </c>
      <c r="K588" s="9"/>
      <c r="L588" s="8" t="s">
        <v>22</v>
      </c>
      <c r="M588" s="9"/>
      <c r="N588" s="5"/>
      <c r="O588" s="5"/>
    </row>
    <row r="589" ht="22.5" hidden="1" customHeight="1">
      <c r="A589" s="5"/>
      <c r="B589" s="5"/>
      <c r="C589" s="5"/>
      <c r="D589" s="9"/>
      <c r="E589" s="9"/>
      <c r="F589" s="5" t="s">
        <v>18</v>
      </c>
      <c r="G589" s="9"/>
      <c r="H589" s="5" t="s">
        <v>20</v>
      </c>
      <c r="I589" s="9"/>
      <c r="J589" s="8" t="s">
        <v>21</v>
      </c>
      <c r="K589" s="9"/>
      <c r="L589" s="8" t="s">
        <v>22</v>
      </c>
      <c r="M589" s="9"/>
      <c r="N589" s="5"/>
      <c r="O589" s="5"/>
    </row>
    <row r="590" ht="22.5" hidden="1" customHeight="1">
      <c r="A590" s="5"/>
      <c r="B590" s="5"/>
      <c r="C590" s="5"/>
      <c r="D590" s="9"/>
      <c r="E590" s="9"/>
      <c r="F590" s="5" t="s">
        <v>18</v>
      </c>
      <c r="G590" s="9"/>
      <c r="H590" s="5" t="s">
        <v>20</v>
      </c>
      <c r="I590" s="9"/>
      <c r="J590" s="8" t="s">
        <v>21</v>
      </c>
      <c r="K590" s="9"/>
      <c r="L590" s="8" t="s">
        <v>22</v>
      </c>
      <c r="M590" s="9"/>
      <c r="N590" s="5"/>
      <c r="O590" s="5"/>
    </row>
    <row r="591" ht="22.5" hidden="1" customHeight="1">
      <c r="A591" s="5"/>
      <c r="B591" s="5"/>
      <c r="C591" s="5"/>
      <c r="D591" s="9"/>
      <c r="E591" s="9"/>
      <c r="F591" s="5" t="s">
        <v>18</v>
      </c>
      <c r="G591" s="9"/>
      <c r="H591" s="5" t="s">
        <v>20</v>
      </c>
      <c r="I591" s="9"/>
      <c r="J591" s="8" t="s">
        <v>21</v>
      </c>
      <c r="K591" s="9"/>
      <c r="L591" s="8" t="s">
        <v>22</v>
      </c>
      <c r="M591" s="9"/>
      <c r="N591" s="5"/>
      <c r="O591" s="5"/>
    </row>
    <row r="592" ht="22.5" hidden="1" customHeight="1">
      <c r="A592" s="5"/>
      <c r="B592" s="5"/>
      <c r="C592" s="5"/>
      <c r="D592" s="9"/>
      <c r="E592" s="9"/>
      <c r="F592" s="5" t="s">
        <v>18</v>
      </c>
      <c r="G592" s="9"/>
      <c r="H592" s="5" t="s">
        <v>20</v>
      </c>
      <c r="I592" s="9"/>
      <c r="J592" s="8" t="s">
        <v>21</v>
      </c>
      <c r="K592" s="9"/>
      <c r="L592" s="8" t="s">
        <v>22</v>
      </c>
      <c r="M592" s="9"/>
      <c r="N592" s="5"/>
      <c r="O592" s="5"/>
    </row>
    <row r="593" ht="22.5" hidden="1" customHeight="1">
      <c r="A593" s="5"/>
      <c r="B593" s="5"/>
      <c r="C593" s="5"/>
      <c r="D593" s="9"/>
      <c r="E593" s="9"/>
      <c r="F593" s="5" t="s">
        <v>18</v>
      </c>
      <c r="G593" s="9"/>
      <c r="H593" s="5" t="s">
        <v>20</v>
      </c>
      <c r="I593" s="9"/>
      <c r="J593" s="8" t="s">
        <v>21</v>
      </c>
      <c r="K593" s="9"/>
      <c r="L593" s="8" t="s">
        <v>22</v>
      </c>
      <c r="M593" s="9"/>
      <c r="N593" s="5"/>
      <c r="O593" s="5"/>
    </row>
    <row r="594" ht="22.5" hidden="1" customHeight="1">
      <c r="A594" s="5"/>
      <c r="B594" s="5"/>
      <c r="C594" s="5"/>
      <c r="D594" s="9"/>
      <c r="E594" s="9"/>
      <c r="F594" s="5" t="s">
        <v>18</v>
      </c>
      <c r="G594" s="9"/>
      <c r="H594" s="5" t="s">
        <v>20</v>
      </c>
      <c r="I594" s="9"/>
      <c r="J594" s="8" t="s">
        <v>21</v>
      </c>
      <c r="K594" s="9"/>
      <c r="L594" s="8" t="s">
        <v>22</v>
      </c>
      <c r="M594" s="9"/>
      <c r="N594" s="5"/>
      <c r="O594" s="5"/>
    </row>
    <row r="595" ht="22.5" hidden="1" customHeight="1">
      <c r="A595" s="5"/>
      <c r="B595" s="5"/>
      <c r="C595" s="5"/>
      <c r="D595" s="9"/>
      <c r="E595" s="9"/>
      <c r="F595" s="5" t="s">
        <v>18</v>
      </c>
      <c r="G595" s="9"/>
      <c r="H595" s="5" t="s">
        <v>20</v>
      </c>
      <c r="I595" s="9"/>
      <c r="J595" s="8" t="s">
        <v>21</v>
      </c>
      <c r="K595" s="9"/>
      <c r="L595" s="8" t="s">
        <v>22</v>
      </c>
      <c r="M595" s="9"/>
      <c r="N595" s="5"/>
      <c r="O595" s="5"/>
    </row>
    <row r="596" ht="22.5" hidden="1" customHeight="1">
      <c r="A596" s="5"/>
      <c r="B596" s="5"/>
      <c r="C596" s="5"/>
      <c r="D596" s="9"/>
      <c r="E596" s="9"/>
      <c r="F596" s="5" t="s">
        <v>18</v>
      </c>
      <c r="G596" s="9"/>
      <c r="H596" s="5" t="s">
        <v>20</v>
      </c>
      <c r="I596" s="9"/>
      <c r="J596" s="8" t="s">
        <v>21</v>
      </c>
      <c r="K596" s="9"/>
      <c r="L596" s="8" t="s">
        <v>22</v>
      </c>
      <c r="M596" s="9"/>
      <c r="N596" s="5"/>
      <c r="O596" s="5"/>
    </row>
    <row r="597" ht="22.5" hidden="1" customHeight="1">
      <c r="A597" s="5"/>
      <c r="B597" s="5"/>
      <c r="C597" s="5"/>
      <c r="D597" s="9"/>
      <c r="E597" s="9"/>
      <c r="F597" s="5" t="s">
        <v>18</v>
      </c>
      <c r="G597" s="9"/>
      <c r="H597" s="5" t="s">
        <v>20</v>
      </c>
      <c r="I597" s="9"/>
      <c r="J597" s="8" t="s">
        <v>21</v>
      </c>
      <c r="K597" s="9"/>
      <c r="L597" s="8" t="s">
        <v>22</v>
      </c>
      <c r="M597" s="9"/>
      <c r="N597" s="5"/>
      <c r="O597" s="5"/>
    </row>
    <row r="598" ht="22.5" hidden="1" customHeight="1">
      <c r="A598" s="5"/>
      <c r="B598" s="5"/>
      <c r="C598" s="5"/>
      <c r="D598" s="9"/>
      <c r="E598" s="9"/>
      <c r="F598" s="5" t="s">
        <v>18</v>
      </c>
      <c r="G598" s="9"/>
      <c r="H598" s="5" t="s">
        <v>20</v>
      </c>
      <c r="I598" s="9"/>
      <c r="J598" s="8" t="s">
        <v>21</v>
      </c>
      <c r="K598" s="9"/>
      <c r="L598" s="8" t="s">
        <v>22</v>
      </c>
      <c r="M598" s="9"/>
      <c r="N598" s="5"/>
      <c r="O598" s="5"/>
    </row>
    <row r="599" ht="22.5" hidden="1" customHeight="1">
      <c r="A599" s="5"/>
      <c r="B599" s="5"/>
      <c r="C599" s="5"/>
      <c r="D599" s="9"/>
      <c r="E599" s="9"/>
      <c r="F599" s="5" t="s">
        <v>18</v>
      </c>
      <c r="G599" s="9"/>
      <c r="H599" s="5" t="s">
        <v>20</v>
      </c>
      <c r="I599" s="9"/>
      <c r="J599" s="8" t="s">
        <v>21</v>
      </c>
      <c r="K599" s="9"/>
      <c r="L599" s="8" t="s">
        <v>22</v>
      </c>
      <c r="M599" s="9"/>
      <c r="N599" s="5"/>
      <c r="O599" s="5"/>
    </row>
    <row r="600" ht="22.5" hidden="1" customHeight="1">
      <c r="A600" s="5"/>
      <c r="B600" s="5"/>
      <c r="C600" s="5"/>
      <c r="D600" s="9"/>
      <c r="E600" s="9"/>
      <c r="F600" s="5" t="s">
        <v>18</v>
      </c>
      <c r="G600" s="9"/>
      <c r="H600" s="5" t="s">
        <v>20</v>
      </c>
      <c r="I600" s="9"/>
      <c r="J600" s="8" t="s">
        <v>21</v>
      </c>
      <c r="K600" s="9"/>
      <c r="L600" s="8" t="s">
        <v>22</v>
      </c>
      <c r="M600" s="9"/>
      <c r="N600" s="5"/>
      <c r="O600" s="5"/>
    </row>
    <row r="601" ht="22.5" hidden="1" customHeight="1">
      <c r="A601" s="5"/>
      <c r="B601" s="5"/>
      <c r="C601" s="5"/>
      <c r="D601" s="9"/>
      <c r="E601" s="9"/>
      <c r="F601" s="5" t="s">
        <v>18</v>
      </c>
      <c r="G601" s="9"/>
      <c r="H601" s="5" t="s">
        <v>20</v>
      </c>
      <c r="I601" s="9"/>
      <c r="J601" s="8" t="s">
        <v>21</v>
      </c>
      <c r="K601" s="9"/>
      <c r="L601" s="8" t="s">
        <v>22</v>
      </c>
      <c r="M601" s="9"/>
      <c r="N601" s="5"/>
      <c r="O601" s="5"/>
    </row>
    <row r="602" ht="22.5" hidden="1" customHeight="1">
      <c r="A602" s="5"/>
      <c r="B602" s="5"/>
      <c r="C602" s="5"/>
      <c r="D602" s="9"/>
      <c r="E602" s="9"/>
      <c r="F602" s="5" t="s">
        <v>18</v>
      </c>
      <c r="G602" s="9"/>
      <c r="H602" s="5" t="s">
        <v>20</v>
      </c>
      <c r="I602" s="9"/>
      <c r="J602" s="8" t="s">
        <v>21</v>
      </c>
      <c r="K602" s="9"/>
      <c r="L602" s="8" t="s">
        <v>22</v>
      </c>
      <c r="M602" s="9"/>
      <c r="N602" s="5"/>
      <c r="O602" s="5"/>
    </row>
    <row r="603" ht="22.5" hidden="1" customHeight="1">
      <c r="A603" s="5"/>
      <c r="B603" s="5"/>
      <c r="C603" s="5"/>
      <c r="D603" s="9"/>
      <c r="E603" s="9"/>
      <c r="F603" s="5" t="s">
        <v>18</v>
      </c>
      <c r="G603" s="9"/>
      <c r="H603" s="5" t="s">
        <v>20</v>
      </c>
      <c r="I603" s="9"/>
      <c r="J603" s="8" t="s">
        <v>21</v>
      </c>
      <c r="K603" s="9"/>
      <c r="L603" s="8" t="s">
        <v>22</v>
      </c>
      <c r="M603" s="9"/>
      <c r="N603" s="5"/>
      <c r="O603" s="5"/>
    </row>
    <row r="604" ht="22.5" hidden="1" customHeight="1">
      <c r="A604" s="5"/>
      <c r="B604" s="5"/>
      <c r="C604" s="5"/>
      <c r="D604" s="9"/>
      <c r="E604" s="9"/>
      <c r="F604" s="5" t="s">
        <v>18</v>
      </c>
      <c r="G604" s="9"/>
      <c r="H604" s="5" t="s">
        <v>20</v>
      </c>
      <c r="I604" s="9"/>
      <c r="J604" s="8" t="s">
        <v>21</v>
      </c>
      <c r="K604" s="9"/>
      <c r="L604" s="8" t="s">
        <v>22</v>
      </c>
      <c r="M604" s="9"/>
      <c r="N604" s="5"/>
      <c r="O604" s="5"/>
    </row>
    <row r="605" ht="22.5" hidden="1" customHeight="1">
      <c r="A605" s="5"/>
      <c r="B605" s="5"/>
      <c r="C605" s="5"/>
      <c r="D605" s="9"/>
      <c r="E605" s="9"/>
      <c r="F605" s="5" t="s">
        <v>18</v>
      </c>
      <c r="G605" s="9"/>
      <c r="H605" s="5" t="s">
        <v>20</v>
      </c>
      <c r="I605" s="9"/>
      <c r="J605" s="8" t="s">
        <v>21</v>
      </c>
      <c r="K605" s="9"/>
      <c r="L605" s="8" t="s">
        <v>22</v>
      </c>
      <c r="M605" s="9"/>
      <c r="N605" s="5"/>
      <c r="O605" s="5"/>
    </row>
    <row r="606" ht="22.5" hidden="1" customHeight="1">
      <c r="A606" s="5"/>
      <c r="B606" s="5"/>
      <c r="C606" s="5"/>
      <c r="D606" s="9"/>
      <c r="E606" s="9"/>
      <c r="F606" s="5" t="s">
        <v>18</v>
      </c>
      <c r="G606" s="9"/>
      <c r="H606" s="5" t="s">
        <v>20</v>
      </c>
      <c r="I606" s="9"/>
      <c r="J606" s="8" t="s">
        <v>21</v>
      </c>
      <c r="K606" s="9"/>
      <c r="L606" s="8" t="s">
        <v>22</v>
      </c>
      <c r="M606" s="9"/>
      <c r="N606" s="5"/>
      <c r="O606" s="5"/>
    </row>
    <row r="607" ht="22.5" hidden="1" customHeight="1">
      <c r="A607" s="5"/>
      <c r="B607" s="5"/>
      <c r="C607" s="5"/>
      <c r="D607" s="9"/>
      <c r="E607" s="9"/>
      <c r="F607" s="5" t="s">
        <v>18</v>
      </c>
      <c r="G607" s="9"/>
      <c r="H607" s="5" t="s">
        <v>20</v>
      </c>
      <c r="I607" s="9"/>
      <c r="J607" s="8" t="s">
        <v>21</v>
      </c>
      <c r="K607" s="9"/>
      <c r="L607" s="8" t="s">
        <v>22</v>
      </c>
      <c r="M607" s="9"/>
      <c r="N607" s="5"/>
      <c r="O607" s="5"/>
    </row>
    <row r="608" ht="22.5" hidden="1" customHeight="1">
      <c r="A608" s="5"/>
      <c r="B608" s="5"/>
      <c r="C608" s="5"/>
      <c r="D608" s="9"/>
      <c r="E608" s="9"/>
      <c r="F608" s="5" t="s">
        <v>18</v>
      </c>
      <c r="G608" s="9"/>
      <c r="H608" s="5" t="s">
        <v>20</v>
      </c>
      <c r="I608" s="9"/>
      <c r="J608" s="8" t="s">
        <v>21</v>
      </c>
      <c r="K608" s="9"/>
      <c r="L608" s="8" t="s">
        <v>22</v>
      </c>
      <c r="M608" s="9"/>
      <c r="N608" s="5"/>
      <c r="O608" s="5"/>
    </row>
    <row r="609" ht="22.5" hidden="1" customHeight="1">
      <c r="A609" s="5"/>
      <c r="B609" s="5"/>
      <c r="C609" s="5"/>
      <c r="D609" s="9"/>
      <c r="E609" s="9"/>
      <c r="F609" s="5" t="s">
        <v>18</v>
      </c>
      <c r="G609" s="9"/>
      <c r="H609" s="5" t="s">
        <v>20</v>
      </c>
      <c r="I609" s="9"/>
      <c r="J609" s="8" t="s">
        <v>21</v>
      </c>
      <c r="K609" s="9"/>
      <c r="L609" s="8" t="s">
        <v>22</v>
      </c>
      <c r="M609" s="9"/>
      <c r="N609" s="5"/>
      <c r="O609" s="5"/>
    </row>
    <row r="610" ht="22.5" hidden="1" customHeight="1">
      <c r="A610" s="5"/>
      <c r="B610" s="5"/>
      <c r="C610" s="5"/>
      <c r="D610" s="9"/>
      <c r="E610" s="9"/>
      <c r="F610" s="5" t="s">
        <v>18</v>
      </c>
      <c r="G610" s="9"/>
      <c r="H610" s="5" t="s">
        <v>20</v>
      </c>
      <c r="I610" s="9"/>
      <c r="J610" s="8" t="s">
        <v>21</v>
      </c>
      <c r="K610" s="9"/>
      <c r="L610" s="8" t="s">
        <v>22</v>
      </c>
      <c r="M610" s="9"/>
      <c r="N610" s="5"/>
      <c r="O610" s="5"/>
    </row>
    <row r="611" ht="22.5" hidden="1" customHeight="1">
      <c r="A611" s="5"/>
      <c r="B611" s="5"/>
      <c r="C611" s="5"/>
      <c r="D611" s="9"/>
      <c r="E611" s="9"/>
      <c r="F611" s="5" t="s">
        <v>18</v>
      </c>
      <c r="G611" s="9"/>
      <c r="H611" s="5" t="s">
        <v>20</v>
      </c>
      <c r="I611" s="9"/>
      <c r="J611" s="8" t="s">
        <v>21</v>
      </c>
      <c r="K611" s="9"/>
      <c r="L611" s="8" t="s">
        <v>22</v>
      </c>
      <c r="M611" s="9"/>
      <c r="N611" s="5"/>
      <c r="O611" s="5"/>
    </row>
    <row r="612" ht="22.5" hidden="1" customHeight="1">
      <c r="A612" s="5"/>
      <c r="B612" s="5"/>
      <c r="C612" s="5"/>
      <c r="D612" s="9"/>
      <c r="E612" s="9"/>
      <c r="F612" s="5" t="s">
        <v>18</v>
      </c>
      <c r="G612" s="9"/>
      <c r="H612" s="5" t="s">
        <v>20</v>
      </c>
      <c r="I612" s="9"/>
      <c r="J612" s="8" t="s">
        <v>21</v>
      </c>
      <c r="K612" s="9"/>
      <c r="L612" s="8" t="s">
        <v>22</v>
      </c>
      <c r="M612" s="9"/>
      <c r="N612" s="5"/>
      <c r="O612" s="5"/>
    </row>
    <row r="613" ht="22.5" hidden="1" customHeight="1">
      <c r="A613" s="5"/>
      <c r="B613" s="5"/>
      <c r="C613" s="5"/>
      <c r="D613" s="9"/>
      <c r="E613" s="9"/>
      <c r="F613" s="5" t="s">
        <v>18</v>
      </c>
      <c r="G613" s="9"/>
      <c r="H613" s="5" t="s">
        <v>20</v>
      </c>
      <c r="I613" s="9"/>
      <c r="J613" s="8" t="s">
        <v>21</v>
      </c>
      <c r="K613" s="9"/>
      <c r="L613" s="8" t="s">
        <v>22</v>
      </c>
      <c r="M613" s="9"/>
      <c r="N613" s="5"/>
      <c r="O613" s="5"/>
    </row>
    <row r="614" ht="22.5" hidden="1" customHeight="1">
      <c r="A614" s="5"/>
      <c r="B614" s="5"/>
      <c r="C614" s="5"/>
      <c r="D614" s="9"/>
      <c r="E614" s="9"/>
      <c r="F614" s="5" t="s">
        <v>18</v>
      </c>
      <c r="G614" s="9"/>
      <c r="H614" s="5" t="s">
        <v>20</v>
      </c>
      <c r="I614" s="9"/>
      <c r="J614" s="8" t="s">
        <v>21</v>
      </c>
      <c r="K614" s="9"/>
      <c r="L614" s="8" t="s">
        <v>22</v>
      </c>
      <c r="M614" s="9"/>
      <c r="N614" s="5"/>
      <c r="O614" s="5"/>
    </row>
    <row r="615" ht="22.5" hidden="1" customHeight="1">
      <c r="A615" s="5"/>
      <c r="B615" s="5"/>
      <c r="C615" s="5"/>
      <c r="D615" s="9"/>
      <c r="E615" s="9"/>
      <c r="F615" s="5" t="s">
        <v>18</v>
      </c>
      <c r="G615" s="9"/>
      <c r="H615" s="5" t="s">
        <v>20</v>
      </c>
      <c r="I615" s="9"/>
      <c r="J615" s="8" t="s">
        <v>21</v>
      </c>
      <c r="K615" s="9"/>
      <c r="L615" s="8" t="s">
        <v>22</v>
      </c>
      <c r="M615" s="9"/>
      <c r="N615" s="5"/>
      <c r="O615" s="5"/>
    </row>
    <row r="616" ht="22.5" hidden="1" customHeight="1">
      <c r="A616" s="5"/>
      <c r="B616" s="5"/>
      <c r="C616" s="5"/>
      <c r="D616" s="9"/>
      <c r="E616" s="9"/>
      <c r="F616" s="5" t="s">
        <v>18</v>
      </c>
      <c r="G616" s="9"/>
      <c r="H616" s="5" t="s">
        <v>20</v>
      </c>
      <c r="I616" s="9"/>
      <c r="J616" s="8" t="s">
        <v>21</v>
      </c>
      <c r="K616" s="9"/>
      <c r="L616" s="8" t="s">
        <v>22</v>
      </c>
      <c r="M616" s="9"/>
      <c r="N616" s="5"/>
      <c r="O616" s="5"/>
    </row>
    <row r="617" ht="22.5" hidden="1" customHeight="1">
      <c r="A617" s="5"/>
      <c r="B617" s="5"/>
      <c r="C617" s="5"/>
      <c r="D617" s="9"/>
      <c r="E617" s="9"/>
      <c r="F617" s="5" t="s">
        <v>18</v>
      </c>
      <c r="G617" s="9"/>
      <c r="H617" s="5" t="s">
        <v>20</v>
      </c>
      <c r="I617" s="9"/>
      <c r="J617" s="8" t="s">
        <v>21</v>
      </c>
      <c r="K617" s="9"/>
      <c r="L617" s="8" t="s">
        <v>22</v>
      </c>
      <c r="M617" s="9"/>
      <c r="N617" s="5"/>
      <c r="O617" s="5"/>
    </row>
    <row r="618" ht="22.5" hidden="1" customHeight="1">
      <c r="A618" s="5"/>
      <c r="B618" s="5"/>
      <c r="C618" s="5"/>
      <c r="D618" s="9"/>
      <c r="E618" s="9"/>
      <c r="F618" s="5" t="s">
        <v>18</v>
      </c>
      <c r="G618" s="9"/>
      <c r="H618" s="5" t="s">
        <v>20</v>
      </c>
      <c r="I618" s="9"/>
      <c r="J618" s="8" t="s">
        <v>21</v>
      </c>
      <c r="K618" s="9"/>
      <c r="L618" s="8" t="s">
        <v>22</v>
      </c>
      <c r="M618" s="9"/>
      <c r="N618" s="5"/>
      <c r="O618" s="5"/>
    </row>
    <row r="619" ht="22.5" hidden="1" customHeight="1">
      <c r="A619" s="5"/>
      <c r="B619" s="5"/>
      <c r="C619" s="5"/>
      <c r="D619" s="9"/>
      <c r="E619" s="9"/>
      <c r="F619" s="5" t="s">
        <v>18</v>
      </c>
      <c r="G619" s="9"/>
      <c r="H619" s="5" t="s">
        <v>20</v>
      </c>
      <c r="I619" s="9"/>
      <c r="J619" s="8" t="s">
        <v>21</v>
      </c>
      <c r="K619" s="9"/>
      <c r="L619" s="8" t="s">
        <v>22</v>
      </c>
      <c r="M619" s="9"/>
      <c r="N619" s="5"/>
      <c r="O619" s="5"/>
    </row>
    <row r="620" ht="22.5" hidden="1" customHeight="1">
      <c r="A620" s="5"/>
      <c r="B620" s="5"/>
      <c r="C620" s="5"/>
      <c r="D620" s="9"/>
      <c r="E620" s="9"/>
      <c r="F620" s="5" t="s">
        <v>18</v>
      </c>
      <c r="G620" s="9"/>
      <c r="H620" s="5" t="s">
        <v>20</v>
      </c>
      <c r="I620" s="9"/>
      <c r="J620" s="8" t="s">
        <v>21</v>
      </c>
      <c r="K620" s="9"/>
      <c r="L620" s="8" t="s">
        <v>22</v>
      </c>
      <c r="M620" s="9"/>
      <c r="N620" s="5"/>
      <c r="O620" s="5"/>
    </row>
    <row r="621" ht="22.5" hidden="1" customHeight="1">
      <c r="A621" s="5"/>
      <c r="B621" s="5"/>
      <c r="C621" s="5"/>
      <c r="D621" s="9"/>
      <c r="E621" s="9"/>
      <c r="F621" s="5" t="s">
        <v>18</v>
      </c>
      <c r="G621" s="9"/>
      <c r="H621" s="5" t="s">
        <v>20</v>
      </c>
      <c r="I621" s="9"/>
      <c r="J621" s="8" t="s">
        <v>21</v>
      </c>
      <c r="K621" s="9"/>
      <c r="L621" s="8" t="s">
        <v>22</v>
      </c>
      <c r="M621" s="9"/>
      <c r="N621" s="5"/>
      <c r="O621" s="5"/>
    </row>
    <row r="622" ht="22.5" hidden="1" customHeight="1">
      <c r="A622" s="5"/>
      <c r="B622" s="5"/>
      <c r="C622" s="5"/>
      <c r="D622" s="9"/>
      <c r="E622" s="9"/>
      <c r="F622" s="5" t="s">
        <v>18</v>
      </c>
      <c r="G622" s="9"/>
      <c r="H622" s="5" t="s">
        <v>20</v>
      </c>
      <c r="I622" s="9"/>
      <c r="J622" s="8" t="s">
        <v>21</v>
      </c>
      <c r="K622" s="9"/>
      <c r="L622" s="8" t="s">
        <v>22</v>
      </c>
      <c r="M622" s="9"/>
      <c r="N622" s="5"/>
      <c r="O622" s="5"/>
    </row>
    <row r="623" ht="22.5" hidden="1" customHeight="1">
      <c r="A623" s="5"/>
      <c r="B623" s="5"/>
      <c r="C623" s="5"/>
      <c r="D623" s="9"/>
      <c r="E623" s="9"/>
      <c r="F623" s="5" t="s">
        <v>18</v>
      </c>
      <c r="G623" s="9"/>
      <c r="H623" s="5" t="s">
        <v>20</v>
      </c>
      <c r="I623" s="9"/>
      <c r="J623" s="8" t="s">
        <v>21</v>
      </c>
      <c r="K623" s="9"/>
      <c r="L623" s="8" t="s">
        <v>22</v>
      </c>
      <c r="M623" s="9"/>
      <c r="N623" s="5"/>
      <c r="O623" s="5"/>
    </row>
    <row r="624" ht="22.5" hidden="1" customHeight="1">
      <c r="A624" s="5"/>
      <c r="B624" s="5"/>
      <c r="C624" s="5"/>
      <c r="D624" s="9"/>
      <c r="E624" s="9"/>
      <c r="F624" s="5" t="s">
        <v>18</v>
      </c>
      <c r="G624" s="9"/>
      <c r="H624" s="5" t="s">
        <v>20</v>
      </c>
      <c r="I624" s="9"/>
      <c r="J624" s="8" t="s">
        <v>21</v>
      </c>
      <c r="K624" s="9"/>
      <c r="L624" s="8" t="s">
        <v>22</v>
      </c>
      <c r="M624" s="9"/>
      <c r="N624" s="5"/>
      <c r="O624" s="5"/>
    </row>
    <row r="625" ht="22.5" hidden="1" customHeight="1">
      <c r="A625" s="5"/>
      <c r="B625" s="5"/>
      <c r="C625" s="5"/>
      <c r="D625" s="9"/>
      <c r="E625" s="9"/>
      <c r="F625" s="5" t="s">
        <v>18</v>
      </c>
      <c r="G625" s="9"/>
      <c r="H625" s="5" t="s">
        <v>20</v>
      </c>
      <c r="I625" s="9"/>
      <c r="J625" s="8" t="s">
        <v>21</v>
      </c>
      <c r="K625" s="9"/>
      <c r="L625" s="8" t="s">
        <v>22</v>
      </c>
      <c r="M625" s="9"/>
      <c r="N625" s="5"/>
      <c r="O625" s="5"/>
    </row>
    <row r="626" ht="22.5" hidden="1" customHeight="1">
      <c r="A626" s="5"/>
      <c r="B626" s="5"/>
      <c r="C626" s="5"/>
      <c r="D626" s="9"/>
      <c r="E626" s="9"/>
      <c r="F626" s="5" t="s">
        <v>18</v>
      </c>
      <c r="G626" s="9"/>
      <c r="H626" s="5" t="s">
        <v>20</v>
      </c>
      <c r="I626" s="9"/>
      <c r="J626" s="8" t="s">
        <v>21</v>
      </c>
      <c r="K626" s="9"/>
      <c r="L626" s="8" t="s">
        <v>22</v>
      </c>
      <c r="M626" s="9"/>
      <c r="N626" s="5"/>
      <c r="O626" s="5"/>
    </row>
    <row r="627" ht="22.5" hidden="1" customHeight="1">
      <c r="A627" s="5"/>
      <c r="B627" s="5"/>
      <c r="C627" s="5"/>
      <c r="D627" s="9"/>
      <c r="E627" s="9"/>
      <c r="F627" s="5" t="s">
        <v>18</v>
      </c>
      <c r="G627" s="9"/>
      <c r="H627" s="5" t="s">
        <v>20</v>
      </c>
      <c r="I627" s="9"/>
      <c r="J627" s="8" t="s">
        <v>21</v>
      </c>
      <c r="K627" s="9"/>
      <c r="L627" s="8" t="s">
        <v>22</v>
      </c>
      <c r="M627" s="9"/>
      <c r="N627" s="5"/>
      <c r="O627" s="5"/>
    </row>
    <row r="628" ht="22.5" hidden="1" customHeight="1">
      <c r="A628" s="5"/>
      <c r="B628" s="5"/>
      <c r="C628" s="5"/>
      <c r="D628" s="9"/>
      <c r="E628" s="9"/>
      <c r="F628" s="5" t="s">
        <v>18</v>
      </c>
      <c r="G628" s="9"/>
      <c r="H628" s="5" t="s">
        <v>20</v>
      </c>
      <c r="I628" s="9"/>
      <c r="J628" s="8" t="s">
        <v>21</v>
      </c>
      <c r="K628" s="9"/>
      <c r="L628" s="8" t="s">
        <v>22</v>
      </c>
      <c r="M628" s="9"/>
      <c r="N628" s="5"/>
      <c r="O628" s="5"/>
    </row>
    <row r="629" ht="22.5" hidden="1" customHeight="1">
      <c r="A629" s="5"/>
      <c r="B629" s="5"/>
      <c r="C629" s="5"/>
      <c r="D629" s="9"/>
      <c r="E629" s="9"/>
      <c r="F629" s="5" t="s">
        <v>18</v>
      </c>
      <c r="G629" s="9"/>
      <c r="H629" s="5" t="s">
        <v>20</v>
      </c>
      <c r="I629" s="9"/>
      <c r="J629" s="8" t="s">
        <v>21</v>
      </c>
      <c r="K629" s="9"/>
      <c r="L629" s="8" t="s">
        <v>22</v>
      </c>
      <c r="M629" s="9"/>
      <c r="N629" s="5"/>
      <c r="O629" s="5"/>
    </row>
    <row r="630" ht="22.5" hidden="1" customHeight="1">
      <c r="A630" s="5"/>
      <c r="B630" s="5"/>
      <c r="C630" s="5"/>
      <c r="D630" s="9"/>
      <c r="E630" s="9"/>
      <c r="F630" s="5" t="s">
        <v>18</v>
      </c>
      <c r="G630" s="9"/>
      <c r="H630" s="5" t="s">
        <v>20</v>
      </c>
      <c r="I630" s="9"/>
      <c r="J630" s="8" t="s">
        <v>21</v>
      </c>
      <c r="K630" s="9"/>
      <c r="L630" s="8" t="s">
        <v>22</v>
      </c>
      <c r="M630" s="9"/>
      <c r="N630" s="5"/>
      <c r="O630" s="5"/>
    </row>
    <row r="631" ht="22.5" hidden="1" customHeight="1">
      <c r="A631" s="5"/>
      <c r="B631" s="5"/>
      <c r="C631" s="5"/>
      <c r="D631" s="9"/>
      <c r="E631" s="9"/>
      <c r="F631" s="5" t="s">
        <v>18</v>
      </c>
      <c r="G631" s="9"/>
      <c r="H631" s="5" t="s">
        <v>20</v>
      </c>
      <c r="I631" s="9"/>
      <c r="J631" s="8" t="s">
        <v>21</v>
      </c>
      <c r="K631" s="9"/>
      <c r="L631" s="8" t="s">
        <v>22</v>
      </c>
      <c r="M631" s="9"/>
      <c r="N631" s="5"/>
      <c r="O631" s="5"/>
    </row>
    <row r="632" ht="22.5" hidden="1" customHeight="1">
      <c r="A632" s="5"/>
      <c r="B632" s="5"/>
      <c r="C632" s="5"/>
      <c r="D632" s="9"/>
      <c r="E632" s="9"/>
      <c r="F632" s="5" t="s">
        <v>18</v>
      </c>
      <c r="G632" s="9"/>
      <c r="H632" s="5" t="s">
        <v>20</v>
      </c>
      <c r="I632" s="9"/>
      <c r="J632" s="8" t="s">
        <v>21</v>
      </c>
      <c r="K632" s="9"/>
      <c r="L632" s="8" t="s">
        <v>22</v>
      </c>
      <c r="M632" s="9"/>
      <c r="N632" s="5"/>
      <c r="O632" s="5"/>
    </row>
    <row r="633" ht="22.5" hidden="1" customHeight="1">
      <c r="A633" s="5"/>
      <c r="B633" s="5"/>
      <c r="C633" s="5"/>
      <c r="D633" s="9"/>
      <c r="E633" s="9"/>
      <c r="F633" s="5" t="s">
        <v>18</v>
      </c>
      <c r="G633" s="9"/>
      <c r="H633" s="5" t="s">
        <v>20</v>
      </c>
      <c r="I633" s="9"/>
      <c r="J633" s="8" t="s">
        <v>21</v>
      </c>
      <c r="K633" s="9"/>
      <c r="L633" s="8" t="s">
        <v>22</v>
      </c>
      <c r="M633" s="9"/>
      <c r="N633" s="5"/>
      <c r="O633" s="5"/>
    </row>
    <row r="634" ht="22.5" hidden="1" customHeight="1">
      <c r="A634" s="5"/>
      <c r="B634" s="5"/>
      <c r="C634" s="5"/>
      <c r="D634" s="9"/>
      <c r="E634" s="9"/>
      <c r="F634" s="5" t="s">
        <v>18</v>
      </c>
      <c r="G634" s="9"/>
      <c r="H634" s="5" t="s">
        <v>20</v>
      </c>
      <c r="I634" s="9"/>
      <c r="J634" s="8" t="s">
        <v>21</v>
      </c>
      <c r="K634" s="9"/>
      <c r="L634" s="8" t="s">
        <v>22</v>
      </c>
      <c r="M634" s="9"/>
      <c r="N634" s="5"/>
      <c r="O634" s="5"/>
    </row>
    <row r="635" ht="22.5" hidden="1" customHeight="1">
      <c r="A635" s="5"/>
      <c r="B635" s="5"/>
      <c r="C635" s="5"/>
      <c r="D635" s="9"/>
      <c r="E635" s="9"/>
      <c r="F635" s="5" t="s">
        <v>18</v>
      </c>
      <c r="G635" s="9"/>
      <c r="H635" s="5" t="s">
        <v>20</v>
      </c>
      <c r="I635" s="9"/>
      <c r="J635" s="8" t="s">
        <v>21</v>
      </c>
      <c r="K635" s="9"/>
      <c r="L635" s="8" t="s">
        <v>22</v>
      </c>
      <c r="M635" s="9"/>
      <c r="N635" s="5"/>
      <c r="O635" s="5"/>
    </row>
    <row r="636" ht="22.5" hidden="1" customHeight="1">
      <c r="A636" s="5"/>
      <c r="B636" s="5"/>
      <c r="C636" s="5"/>
      <c r="D636" s="9"/>
      <c r="E636" s="9"/>
      <c r="F636" s="5" t="s">
        <v>18</v>
      </c>
      <c r="G636" s="9"/>
      <c r="H636" s="5" t="s">
        <v>20</v>
      </c>
      <c r="I636" s="9"/>
      <c r="J636" s="8" t="s">
        <v>21</v>
      </c>
      <c r="K636" s="9"/>
      <c r="L636" s="8" t="s">
        <v>22</v>
      </c>
      <c r="M636" s="9"/>
      <c r="N636" s="5"/>
      <c r="O636" s="5"/>
    </row>
    <row r="637" ht="22.5" hidden="1" customHeight="1">
      <c r="A637" s="5"/>
      <c r="B637" s="5"/>
      <c r="C637" s="5"/>
      <c r="D637" s="9"/>
      <c r="E637" s="9"/>
      <c r="F637" s="5" t="s">
        <v>18</v>
      </c>
      <c r="G637" s="9"/>
      <c r="H637" s="5" t="s">
        <v>20</v>
      </c>
      <c r="I637" s="9"/>
      <c r="J637" s="8" t="s">
        <v>21</v>
      </c>
      <c r="K637" s="9"/>
      <c r="L637" s="8" t="s">
        <v>22</v>
      </c>
      <c r="M637" s="9"/>
      <c r="N637" s="5"/>
      <c r="O637" s="5"/>
    </row>
    <row r="638" ht="22.5" hidden="1" customHeight="1">
      <c r="A638" s="5"/>
      <c r="B638" s="5"/>
      <c r="C638" s="5"/>
      <c r="D638" s="9"/>
      <c r="E638" s="9"/>
      <c r="F638" s="5" t="s">
        <v>18</v>
      </c>
      <c r="G638" s="9"/>
      <c r="H638" s="5" t="s">
        <v>20</v>
      </c>
      <c r="I638" s="9"/>
      <c r="J638" s="8" t="s">
        <v>21</v>
      </c>
      <c r="K638" s="9"/>
      <c r="L638" s="8" t="s">
        <v>22</v>
      </c>
      <c r="M638" s="9"/>
      <c r="N638" s="5"/>
      <c r="O638" s="5"/>
    </row>
    <row r="639" ht="22.5" hidden="1" customHeight="1">
      <c r="A639" s="5"/>
      <c r="B639" s="5"/>
      <c r="C639" s="5"/>
      <c r="D639" s="9"/>
      <c r="E639" s="9"/>
      <c r="F639" s="5" t="s">
        <v>18</v>
      </c>
      <c r="G639" s="9"/>
      <c r="H639" s="5" t="s">
        <v>20</v>
      </c>
      <c r="I639" s="9"/>
      <c r="J639" s="8" t="s">
        <v>21</v>
      </c>
      <c r="K639" s="9"/>
      <c r="L639" s="8" t="s">
        <v>22</v>
      </c>
      <c r="M639" s="9"/>
      <c r="N639" s="5"/>
      <c r="O639" s="5"/>
    </row>
    <row r="640" ht="22.5" hidden="1" customHeight="1">
      <c r="A640" s="5"/>
      <c r="B640" s="5"/>
      <c r="C640" s="5"/>
      <c r="D640" s="9"/>
      <c r="E640" s="9"/>
      <c r="F640" s="5" t="s">
        <v>18</v>
      </c>
      <c r="G640" s="9"/>
      <c r="H640" s="5" t="s">
        <v>20</v>
      </c>
      <c r="I640" s="9"/>
      <c r="J640" s="8" t="s">
        <v>21</v>
      </c>
      <c r="K640" s="9"/>
      <c r="L640" s="8" t="s">
        <v>22</v>
      </c>
      <c r="M640" s="9"/>
      <c r="N640" s="5"/>
      <c r="O640" s="5"/>
    </row>
    <row r="641" ht="22.5" hidden="1" customHeight="1">
      <c r="A641" s="5"/>
      <c r="B641" s="5"/>
      <c r="C641" s="5"/>
      <c r="D641" s="9"/>
      <c r="E641" s="9"/>
      <c r="F641" s="5" t="s">
        <v>18</v>
      </c>
      <c r="G641" s="9"/>
      <c r="H641" s="5" t="s">
        <v>20</v>
      </c>
      <c r="I641" s="9"/>
      <c r="J641" s="8" t="s">
        <v>21</v>
      </c>
      <c r="K641" s="9"/>
      <c r="L641" s="8" t="s">
        <v>22</v>
      </c>
      <c r="M641" s="9"/>
      <c r="N641" s="5"/>
      <c r="O641" s="5"/>
    </row>
    <row r="642" ht="22.5" hidden="1" customHeight="1">
      <c r="A642" s="5"/>
      <c r="B642" s="5"/>
      <c r="C642" s="5"/>
      <c r="D642" s="9"/>
      <c r="E642" s="9"/>
      <c r="F642" s="5" t="s">
        <v>18</v>
      </c>
      <c r="G642" s="9"/>
      <c r="H642" s="5" t="s">
        <v>20</v>
      </c>
      <c r="I642" s="9"/>
      <c r="J642" s="8" t="s">
        <v>21</v>
      </c>
      <c r="K642" s="9"/>
      <c r="L642" s="8" t="s">
        <v>22</v>
      </c>
      <c r="M642" s="9"/>
      <c r="N642" s="5"/>
      <c r="O642" s="5"/>
    </row>
    <row r="643" ht="22.5" hidden="1" customHeight="1">
      <c r="A643" s="5"/>
      <c r="B643" s="5"/>
      <c r="C643" s="5"/>
      <c r="D643" s="9"/>
      <c r="E643" s="9"/>
      <c r="F643" s="5" t="s">
        <v>18</v>
      </c>
      <c r="G643" s="9"/>
      <c r="H643" s="5" t="s">
        <v>20</v>
      </c>
      <c r="I643" s="9"/>
      <c r="J643" s="8" t="s">
        <v>21</v>
      </c>
      <c r="K643" s="9"/>
      <c r="L643" s="8" t="s">
        <v>22</v>
      </c>
      <c r="M643" s="9"/>
      <c r="N643" s="5"/>
      <c r="O643" s="5"/>
    </row>
    <row r="644" ht="22.5" hidden="1" customHeight="1">
      <c r="A644" s="5"/>
      <c r="B644" s="5"/>
      <c r="C644" s="5"/>
      <c r="D644" s="9"/>
      <c r="E644" s="9"/>
      <c r="F644" s="5" t="s">
        <v>18</v>
      </c>
      <c r="G644" s="9"/>
      <c r="H644" s="5" t="s">
        <v>20</v>
      </c>
      <c r="I644" s="9"/>
      <c r="J644" s="8" t="s">
        <v>21</v>
      </c>
      <c r="K644" s="9"/>
      <c r="L644" s="8" t="s">
        <v>22</v>
      </c>
      <c r="M644" s="9"/>
      <c r="N644" s="5"/>
      <c r="O644" s="5"/>
    </row>
    <row r="645" ht="22.5" hidden="1" customHeight="1">
      <c r="A645" s="5"/>
      <c r="B645" s="5"/>
      <c r="C645" s="5"/>
      <c r="D645" s="9"/>
      <c r="E645" s="9"/>
      <c r="F645" s="5" t="s">
        <v>18</v>
      </c>
      <c r="G645" s="9"/>
      <c r="H645" s="5" t="s">
        <v>20</v>
      </c>
      <c r="I645" s="9"/>
      <c r="J645" s="8" t="s">
        <v>21</v>
      </c>
      <c r="K645" s="9"/>
      <c r="L645" s="8" t="s">
        <v>22</v>
      </c>
      <c r="M645" s="9"/>
      <c r="N645" s="5"/>
      <c r="O645" s="5"/>
    </row>
    <row r="646" ht="22.5" hidden="1" customHeight="1">
      <c r="A646" s="5"/>
      <c r="B646" s="5"/>
      <c r="C646" s="5"/>
      <c r="D646" s="9"/>
      <c r="E646" s="9"/>
      <c r="F646" s="5" t="s">
        <v>18</v>
      </c>
      <c r="G646" s="9"/>
      <c r="H646" s="5" t="s">
        <v>20</v>
      </c>
      <c r="I646" s="9"/>
      <c r="J646" s="8" t="s">
        <v>21</v>
      </c>
      <c r="K646" s="9"/>
      <c r="L646" s="8" t="s">
        <v>22</v>
      </c>
      <c r="M646" s="9"/>
      <c r="N646" s="5"/>
      <c r="O646" s="5"/>
    </row>
    <row r="647" ht="22.5" hidden="1" customHeight="1">
      <c r="A647" s="5"/>
      <c r="B647" s="5"/>
      <c r="C647" s="5"/>
      <c r="D647" s="9"/>
      <c r="E647" s="9"/>
      <c r="F647" s="5" t="s">
        <v>18</v>
      </c>
      <c r="G647" s="9"/>
      <c r="H647" s="5" t="s">
        <v>20</v>
      </c>
      <c r="I647" s="9"/>
      <c r="J647" s="8" t="s">
        <v>21</v>
      </c>
      <c r="K647" s="9"/>
      <c r="L647" s="8" t="s">
        <v>22</v>
      </c>
      <c r="M647" s="9"/>
      <c r="N647" s="5"/>
      <c r="O647" s="5"/>
    </row>
    <row r="648" ht="22.5" hidden="1" customHeight="1">
      <c r="A648" s="5"/>
      <c r="B648" s="5"/>
      <c r="C648" s="5"/>
      <c r="D648" s="9"/>
      <c r="E648" s="9"/>
      <c r="F648" s="5" t="s">
        <v>18</v>
      </c>
      <c r="G648" s="9"/>
      <c r="H648" s="5" t="s">
        <v>20</v>
      </c>
      <c r="I648" s="9"/>
      <c r="J648" s="8" t="s">
        <v>21</v>
      </c>
      <c r="K648" s="9"/>
      <c r="L648" s="8" t="s">
        <v>22</v>
      </c>
      <c r="M648" s="9"/>
      <c r="N648" s="5"/>
      <c r="O648" s="5"/>
    </row>
    <row r="649" ht="22.5" hidden="1" customHeight="1">
      <c r="A649" s="5"/>
      <c r="B649" s="5"/>
      <c r="C649" s="5"/>
      <c r="D649" s="9"/>
      <c r="E649" s="9"/>
      <c r="F649" s="5" t="s">
        <v>18</v>
      </c>
      <c r="G649" s="9"/>
      <c r="H649" s="5" t="s">
        <v>20</v>
      </c>
      <c r="I649" s="9"/>
      <c r="J649" s="8" t="s">
        <v>21</v>
      </c>
      <c r="K649" s="9"/>
      <c r="L649" s="8" t="s">
        <v>22</v>
      </c>
      <c r="M649" s="9"/>
      <c r="N649" s="5"/>
      <c r="O649" s="5"/>
    </row>
    <row r="650" ht="22.5" hidden="1" customHeight="1">
      <c r="A650" s="5"/>
      <c r="B650" s="5"/>
      <c r="C650" s="5"/>
      <c r="D650" s="9"/>
      <c r="E650" s="9"/>
      <c r="F650" s="5" t="s">
        <v>18</v>
      </c>
      <c r="G650" s="9"/>
      <c r="H650" s="5" t="s">
        <v>20</v>
      </c>
      <c r="I650" s="9"/>
      <c r="J650" s="8" t="s">
        <v>21</v>
      </c>
      <c r="K650" s="9"/>
      <c r="L650" s="8" t="s">
        <v>22</v>
      </c>
      <c r="M650" s="9"/>
      <c r="N650" s="5"/>
      <c r="O650" s="5"/>
    </row>
    <row r="651" ht="22.5" hidden="1" customHeight="1">
      <c r="A651" s="5"/>
      <c r="B651" s="5"/>
      <c r="C651" s="5"/>
      <c r="D651" s="9"/>
      <c r="E651" s="9"/>
      <c r="F651" s="5" t="s">
        <v>18</v>
      </c>
      <c r="G651" s="9"/>
      <c r="H651" s="5" t="s">
        <v>20</v>
      </c>
      <c r="I651" s="9"/>
      <c r="J651" s="8" t="s">
        <v>21</v>
      </c>
      <c r="K651" s="9"/>
      <c r="L651" s="8" t="s">
        <v>22</v>
      </c>
      <c r="M651" s="9"/>
      <c r="N651" s="5"/>
      <c r="O651" s="5"/>
    </row>
    <row r="652" ht="22.5" hidden="1" customHeight="1">
      <c r="A652" s="5"/>
      <c r="B652" s="5"/>
      <c r="C652" s="5"/>
      <c r="D652" s="9"/>
      <c r="E652" s="9"/>
      <c r="F652" s="5" t="s">
        <v>18</v>
      </c>
      <c r="G652" s="9"/>
      <c r="H652" s="5" t="s">
        <v>20</v>
      </c>
      <c r="I652" s="9"/>
      <c r="J652" s="8" t="s">
        <v>21</v>
      </c>
      <c r="K652" s="9"/>
      <c r="L652" s="8" t="s">
        <v>22</v>
      </c>
      <c r="M652" s="9"/>
      <c r="N652" s="5"/>
      <c r="O652" s="5"/>
    </row>
    <row r="653" ht="22.5" hidden="1" customHeight="1">
      <c r="A653" s="5"/>
      <c r="B653" s="5"/>
      <c r="C653" s="5"/>
      <c r="D653" s="9"/>
      <c r="E653" s="9"/>
      <c r="F653" s="5" t="s">
        <v>18</v>
      </c>
      <c r="G653" s="9"/>
      <c r="H653" s="5" t="s">
        <v>20</v>
      </c>
      <c r="I653" s="9"/>
      <c r="J653" s="8" t="s">
        <v>21</v>
      </c>
      <c r="K653" s="9"/>
      <c r="L653" s="8" t="s">
        <v>22</v>
      </c>
      <c r="M653" s="9"/>
      <c r="N653" s="5"/>
      <c r="O653" s="5"/>
    </row>
    <row r="654" ht="22.5" hidden="1" customHeight="1">
      <c r="A654" s="5"/>
      <c r="B654" s="5"/>
      <c r="C654" s="5"/>
      <c r="D654" s="9"/>
      <c r="E654" s="9"/>
      <c r="F654" s="5" t="s">
        <v>18</v>
      </c>
      <c r="G654" s="9"/>
      <c r="H654" s="5" t="s">
        <v>20</v>
      </c>
      <c r="I654" s="9"/>
      <c r="J654" s="8" t="s">
        <v>21</v>
      </c>
      <c r="K654" s="9"/>
      <c r="L654" s="8" t="s">
        <v>22</v>
      </c>
      <c r="M654" s="9"/>
      <c r="N654" s="5"/>
      <c r="O654" s="5"/>
    </row>
    <row r="655" ht="22.5" hidden="1" customHeight="1">
      <c r="A655" s="5"/>
      <c r="B655" s="5"/>
      <c r="C655" s="5"/>
      <c r="D655" s="9"/>
      <c r="E655" s="9"/>
      <c r="F655" s="5" t="s">
        <v>18</v>
      </c>
      <c r="G655" s="9"/>
      <c r="H655" s="5" t="s">
        <v>20</v>
      </c>
      <c r="I655" s="9"/>
      <c r="J655" s="8" t="s">
        <v>21</v>
      </c>
      <c r="K655" s="9"/>
      <c r="L655" s="8" t="s">
        <v>22</v>
      </c>
      <c r="M655" s="9"/>
      <c r="N655" s="5"/>
      <c r="O655" s="5"/>
    </row>
    <row r="656" ht="22.5" hidden="1" customHeight="1">
      <c r="A656" s="5"/>
      <c r="B656" s="5"/>
      <c r="C656" s="5"/>
      <c r="D656" s="9"/>
      <c r="E656" s="9"/>
      <c r="F656" s="5" t="s">
        <v>18</v>
      </c>
      <c r="G656" s="9"/>
      <c r="H656" s="5" t="s">
        <v>20</v>
      </c>
      <c r="I656" s="9"/>
      <c r="J656" s="8" t="s">
        <v>21</v>
      </c>
      <c r="K656" s="9"/>
      <c r="L656" s="8" t="s">
        <v>22</v>
      </c>
      <c r="M656" s="9"/>
      <c r="N656" s="5"/>
      <c r="O656" s="5"/>
    </row>
    <row r="657" ht="22.5" hidden="1" customHeight="1">
      <c r="A657" s="5"/>
      <c r="B657" s="5"/>
      <c r="C657" s="5"/>
      <c r="D657" s="9"/>
      <c r="E657" s="9"/>
      <c r="F657" s="5" t="s">
        <v>18</v>
      </c>
      <c r="G657" s="9"/>
      <c r="H657" s="5" t="s">
        <v>20</v>
      </c>
      <c r="I657" s="9"/>
      <c r="J657" s="8" t="s">
        <v>21</v>
      </c>
      <c r="K657" s="9"/>
      <c r="L657" s="8" t="s">
        <v>22</v>
      </c>
      <c r="M657" s="9"/>
      <c r="N657" s="5"/>
      <c r="O657" s="5"/>
    </row>
    <row r="658" ht="22.5" hidden="1" customHeight="1">
      <c r="A658" s="5"/>
      <c r="B658" s="5"/>
      <c r="C658" s="5"/>
      <c r="D658" s="9"/>
      <c r="E658" s="9"/>
      <c r="F658" s="5" t="s">
        <v>18</v>
      </c>
      <c r="G658" s="9"/>
      <c r="H658" s="5" t="s">
        <v>20</v>
      </c>
      <c r="I658" s="9"/>
      <c r="J658" s="8" t="s">
        <v>21</v>
      </c>
      <c r="K658" s="9"/>
      <c r="L658" s="8" t="s">
        <v>22</v>
      </c>
      <c r="M658" s="9"/>
      <c r="N658" s="5"/>
      <c r="O658" s="5"/>
    </row>
    <row r="659" ht="22.5" hidden="1" customHeight="1">
      <c r="A659" s="5"/>
      <c r="B659" s="5"/>
      <c r="C659" s="5"/>
      <c r="D659" s="9"/>
      <c r="E659" s="9"/>
      <c r="F659" s="5" t="s">
        <v>18</v>
      </c>
      <c r="G659" s="9"/>
      <c r="H659" s="5" t="s">
        <v>20</v>
      </c>
      <c r="I659" s="9"/>
      <c r="J659" s="8" t="s">
        <v>21</v>
      </c>
      <c r="K659" s="9"/>
      <c r="L659" s="8" t="s">
        <v>22</v>
      </c>
      <c r="M659" s="9"/>
      <c r="N659" s="5"/>
      <c r="O659" s="5"/>
    </row>
    <row r="660" ht="22.5" hidden="1" customHeight="1">
      <c r="A660" s="5"/>
      <c r="B660" s="5"/>
      <c r="C660" s="5"/>
      <c r="D660" s="9"/>
      <c r="E660" s="9"/>
      <c r="F660" s="5" t="s">
        <v>18</v>
      </c>
      <c r="G660" s="9"/>
      <c r="H660" s="5" t="s">
        <v>20</v>
      </c>
      <c r="I660" s="9"/>
      <c r="J660" s="8" t="s">
        <v>21</v>
      </c>
      <c r="K660" s="9"/>
      <c r="L660" s="8" t="s">
        <v>22</v>
      </c>
      <c r="M660" s="9"/>
      <c r="N660" s="5"/>
      <c r="O660" s="5"/>
    </row>
    <row r="661" ht="22.5" hidden="1" customHeight="1">
      <c r="A661" s="5"/>
      <c r="B661" s="5"/>
      <c r="C661" s="5"/>
      <c r="D661" s="9"/>
      <c r="E661" s="9"/>
      <c r="F661" s="5" t="s">
        <v>18</v>
      </c>
      <c r="G661" s="9"/>
      <c r="H661" s="5" t="s">
        <v>20</v>
      </c>
      <c r="I661" s="9"/>
      <c r="J661" s="8" t="s">
        <v>21</v>
      </c>
      <c r="K661" s="9"/>
      <c r="L661" s="8" t="s">
        <v>22</v>
      </c>
      <c r="M661" s="9"/>
      <c r="N661" s="5"/>
      <c r="O661" s="5"/>
    </row>
    <row r="662" ht="22.5" hidden="1" customHeight="1">
      <c r="A662" s="5"/>
      <c r="B662" s="5"/>
      <c r="C662" s="5"/>
      <c r="D662" s="9"/>
      <c r="E662" s="9"/>
      <c r="F662" s="5" t="s">
        <v>18</v>
      </c>
      <c r="G662" s="9"/>
      <c r="H662" s="5" t="s">
        <v>20</v>
      </c>
      <c r="I662" s="9"/>
      <c r="J662" s="8" t="s">
        <v>21</v>
      </c>
      <c r="K662" s="9"/>
      <c r="L662" s="8" t="s">
        <v>22</v>
      </c>
      <c r="M662" s="9"/>
      <c r="N662" s="5"/>
      <c r="O662" s="5"/>
    </row>
    <row r="663" ht="22.5" hidden="1" customHeight="1">
      <c r="A663" s="5"/>
      <c r="B663" s="5"/>
      <c r="C663" s="5"/>
      <c r="D663" s="9"/>
      <c r="E663" s="9"/>
      <c r="F663" s="5" t="s">
        <v>18</v>
      </c>
      <c r="G663" s="9"/>
      <c r="H663" s="5" t="s">
        <v>20</v>
      </c>
      <c r="I663" s="9"/>
      <c r="J663" s="8" t="s">
        <v>21</v>
      </c>
      <c r="K663" s="9"/>
      <c r="L663" s="8" t="s">
        <v>22</v>
      </c>
      <c r="M663" s="9"/>
      <c r="N663" s="5"/>
      <c r="O663" s="5"/>
    </row>
    <row r="664" ht="22.5" hidden="1" customHeight="1">
      <c r="A664" s="5"/>
      <c r="B664" s="5"/>
      <c r="C664" s="5"/>
      <c r="D664" s="9"/>
      <c r="E664" s="9"/>
      <c r="F664" s="5" t="s">
        <v>18</v>
      </c>
      <c r="G664" s="9"/>
      <c r="H664" s="5" t="s">
        <v>20</v>
      </c>
      <c r="I664" s="9"/>
      <c r="J664" s="8" t="s">
        <v>21</v>
      </c>
      <c r="K664" s="9"/>
      <c r="L664" s="8" t="s">
        <v>22</v>
      </c>
      <c r="M664" s="9"/>
      <c r="N664" s="5"/>
      <c r="O664" s="5"/>
    </row>
    <row r="665" ht="22.5" hidden="1" customHeight="1">
      <c r="A665" s="5"/>
      <c r="B665" s="5"/>
      <c r="C665" s="5"/>
      <c r="D665" s="9"/>
      <c r="E665" s="9"/>
      <c r="F665" s="5" t="s">
        <v>18</v>
      </c>
      <c r="G665" s="9"/>
      <c r="H665" s="5" t="s">
        <v>20</v>
      </c>
      <c r="I665" s="9"/>
      <c r="J665" s="8" t="s">
        <v>21</v>
      </c>
      <c r="K665" s="9"/>
      <c r="L665" s="8" t="s">
        <v>22</v>
      </c>
      <c r="M665" s="9"/>
      <c r="N665" s="5"/>
      <c r="O665" s="5"/>
    </row>
    <row r="666" ht="22.5" hidden="1" customHeight="1">
      <c r="A666" s="5"/>
      <c r="B666" s="5"/>
      <c r="C666" s="5"/>
      <c r="D666" s="9"/>
      <c r="E666" s="9"/>
      <c r="F666" s="5" t="s">
        <v>18</v>
      </c>
      <c r="G666" s="9"/>
      <c r="H666" s="5" t="s">
        <v>20</v>
      </c>
      <c r="I666" s="9"/>
      <c r="J666" s="8" t="s">
        <v>21</v>
      </c>
      <c r="K666" s="9"/>
      <c r="L666" s="8" t="s">
        <v>22</v>
      </c>
      <c r="M666" s="9"/>
      <c r="N666" s="5"/>
      <c r="O666" s="5"/>
    </row>
    <row r="667" ht="22.5" hidden="1" customHeight="1">
      <c r="A667" s="5"/>
      <c r="B667" s="5"/>
      <c r="C667" s="5"/>
      <c r="D667" s="9"/>
      <c r="E667" s="9"/>
      <c r="F667" s="5" t="s">
        <v>18</v>
      </c>
      <c r="G667" s="9"/>
      <c r="H667" s="5" t="s">
        <v>20</v>
      </c>
      <c r="I667" s="9"/>
      <c r="J667" s="8" t="s">
        <v>21</v>
      </c>
      <c r="K667" s="9"/>
      <c r="L667" s="8" t="s">
        <v>22</v>
      </c>
      <c r="M667" s="9"/>
      <c r="N667" s="5"/>
      <c r="O667" s="5"/>
    </row>
    <row r="668" ht="22.5" hidden="1" customHeight="1">
      <c r="A668" s="5"/>
      <c r="B668" s="5"/>
      <c r="C668" s="5"/>
      <c r="D668" s="9"/>
      <c r="E668" s="9"/>
      <c r="F668" s="5" t="s">
        <v>18</v>
      </c>
      <c r="G668" s="9"/>
      <c r="H668" s="5" t="s">
        <v>20</v>
      </c>
      <c r="I668" s="9"/>
      <c r="J668" s="8" t="s">
        <v>21</v>
      </c>
      <c r="K668" s="9"/>
      <c r="L668" s="8" t="s">
        <v>22</v>
      </c>
      <c r="M668" s="9"/>
      <c r="N668" s="5"/>
      <c r="O668" s="5"/>
    </row>
    <row r="669" ht="22.5" hidden="1" customHeight="1">
      <c r="A669" s="5"/>
      <c r="B669" s="5"/>
      <c r="C669" s="5"/>
      <c r="D669" s="9"/>
      <c r="E669" s="9"/>
      <c r="F669" s="5" t="s">
        <v>18</v>
      </c>
      <c r="G669" s="9"/>
      <c r="H669" s="5" t="s">
        <v>20</v>
      </c>
      <c r="I669" s="9"/>
      <c r="J669" s="8" t="s">
        <v>21</v>
      </c>
      <c r="K669" s="9"/>
      <c r="L669" s="8" t="s">
        <v>22</v>
      </c>
      <c r="M669" s="9"/>
      <c r="N669" s="5"/>
      <c r="O669" s="5"/>
    </row>
    <row r="670" ht="22.5" hidden="1" customHeight="1">
      <c r="A670" s="5"/>
      <c r="B670" s="5"/>
      <c r="C670" s="5"/>
      <c r="D670" s="9"/>
      <c r="E670" s="9"/>
      <c r="F670" s="5" t="s">
        <v>18</v>
      </c>
      <c r="G670" s="9"/>
      <c r="H670" s="5" t="s">
        <v>20</v>
      </c>
      <c r="I670" s="9"/>
      <c r="J670" s="8" t="s">
        <v>21</v>
      </c>
      <c r="K670" s="9"/>
      <c r="L670" s="8" t="s">
        <v>22</v>
      </c>
      <c r="M670" s="9"/>
      <c r="N670" s="5"/>
      <c r="O670" s="5"/>
    </row>
    <row r="671" ht="22.5" hidden="1" customHeight="1">
      <c r="A671" s="5"/>
      <c r="B671" s="5"/>
      <c r="C671" s="5"/>
      <c r="D671" s="9"/>
      <c r="E671" s="9"/>
      <c r="F671" s="5" t="s">
        <v>18</v>
      </c>
      <c r="G671" s="9"/>
      <c r="H671" s="5" t="s">
        <v>20</v>
      </c>
      <c r="I671" s="9"/>
      <c r="J671" s="8" t="s">
        <v>21</v>
      </c>
      <c r="K671" s="9"/>
      <c r="L671" s="8" t="s">
        <v>22</v>
      </c>
      <c r="M671" s="9"/>
      <c r="N671" s="5"/>
      <c r="O671" s="5"/>
    </row>
    <row r="672" ht="22.5" hidden="1" customHeight="1">
      <c r="A672" s="5"/>
      <c r="B672" s="5"/>
      <c r="C672" s="5"/>
      <c r="D672" s="9"/>
      <c r="E672" s="9"/>
      <c r="F672" s="5" t="s">
        <v>18</v>
      </c>
      <c r="G672" s="9"/>
      <c r="H672" s="5" t="s">
        <v>20</v>
      </c>
      <c r="I672" s="9"/>
      <c r="J672" s="8" t="s">
        <v>21</v>
      </c>
      <c r="K672" s="9"/>
      <c r="L672" s="8" t="s">
        <v>22</v>
      </c>
      <c r="M672" s="9"/>
      <c r="N672" s="5"/>
      <c r="O672" s="5"/>
    </row>
    <row r="673" ht="22.5" hidden="1" customHeight="1">
      <c r="A673" s="5"/>
      <c r="B673" s="5"/>
      <c r="C673" s="5"/>
      <c r="D673" s="9"/>
      <c r="E673" s="9"/>
      <c r="F673" s="5" t="s">
        <v>18</v>
      </c>
      <c r="G673" s="9"/>
      <c r="H673" s="5" t="s">
        <v>20</v>
      </c>
      <c r="I673" s="9"/>
      <c r="J673" s="8" t="s">
        <v>21</v>
      </c>
      <c r="K673" s="9"/>
      <c r="L673" s="8" t="s">
        <v>22</v>
      </c>
      <c r="M673" s="9"/>
      <c r="N673" s="5"/>
      <c r="O673" s="5"/>
    </row>
    <row r="674" ht="22.5" hidden="1" customHeight="1">
      <c r="A674" s="5"/>
      <c r="B674" s="5"/>
      <c r="C674" s="5"/>
      <c r="D674" s="9"/>
      <c r="E674" s="9"/>
      <c r="F674" s="5" t="s">
        <v>18</v>
      </c>
      <c r="G674" s="9"/>
      <c r="H674" s="5" t="s">
        <v>20</v>
      </c>
      <c r="I674" s="9"/>
      <c r="J674" s="8" t="s">
        <v>21</v>
      </c>
      <c r="K674" s="9"/>
      <c r="L674" s="8" t="s">
        <v>22</v>
      </c>
      <c r="M674" s="9"/>
      <c r="N674" s="5"/>
      <c r="O674" s="5"/>
    </row>
    <row r="675" ht="22.5" hidden="1" customHeight="1">
      <c r="A675" s="5"/>
      <c r="B675" s="5"/>
      <c r="C675" s="5"/>
      <c r="D675" s="9"/>
      <c r="E675" s="9"/>
      <c r="F675" s="5" t="s">
        <v>18</v>
      </c>
      <c r="G675" s="9"/>
      <c r="H675" s="5" t="s">
        <v>20</v>
      </c>
      <c r="I675" s="9"/>
      <c r="J675" s="8" t="s">
        <v>21</v>
      </c>
      <c r="K675" s="9"/>
      <c r="L675" s="8" t="s">
        <v>22</v>
      </c>
      <c r="M675" s="9"/>
      <c r="N675" s="5"/>
      <c r="O675" s="5"/>
    </row>
    <row r="676" ht="22.5" hidden="1" customHeight="1">
      <c r="A676" s="5"/>
      <c r="B676" s="5"/>
      <c r="C676" s="5"/>
      <c r="D676" s="9"/>
      <c r="E676" s="9"/>
      <c r="F676" s="5" t="s">
        <v>18</v>
      </c>
      <c r="G676" s="9"/>
      <c r="H676" s="5" t="s">
        <v>20</v>
      </c>
      <c r="I676" s="9"/>
      <c r="J676" s="8" t="s">
        <v>21</v>
      </c>
      <c r="K676" s="9"/>
      <c r="L676" s="8" t="s">
        <v>22</v>
      </c>
      <c r="M676" s="9"/>
      <c r="N676" s="5"/>
      <c r="O676" s="5"/>
    </row>
    <row r="677" ht="22.5" hidden="1" customHeight="1">
      <c r="A677" s="5"/>
      <c r="B677" s="5"/>
      <c r="C677" s="5"/>
      <c r="D677" s="9"/>
      <c r="E677" s="9"/>
      <c r="F677" s="5" t="s">
        <v>18</v>
      </c>
      <c r="G677" s="9"/>
      <c r="H677" s="5" t="s">
        <v>20</v>
      </c>
      <c r="I677" s="9"/>
      <c r="J677" s="8" t="s">
        <v>21</v>
      </c>
      <c r="K677" s="9"/>
      <c r="L677" s="8" t="s">
        <v>22</v>
      </c>
      <c r="M677" s="9"/>
      <c r="N677" s="5"/>
      <c r="O677" s="5"/>
    </row>
    <row r="678" ht="22.5" hidden="1" customHeight="1">
      <c r="A678" s="5"/>
      <c r="B678" s="5"/>
      <c r="C678" s="5"/>
      <c r="D678" s="9"/>
      <c r="E678" s="9"/>
      <c r="F678" s="5" t="s">
        <v>18</v>
      </c>
      <c r="G678" s="9"/>
      <c r="H678" s="5" t="s">
        <v>20</v>
      </c>
      <c r="I678" s="9"/>
      <c r="J678" s="8" t="s">
        <v>21</v>
      </c>
      <c r="K678" s="9"/>
      <c r="L678" s="8" t="s">
        <v>22</v>
      </c>
      <c r="M678" s="9"/>
      <c r="N678" s="5"/>
      <c r="O678" s="5"/>
    </row>
    <row r="679" ht="22.5" hidden="1" customHeight="1">
      <c r="A679" s="5"/>
      <c r="B679" s="5"/>
      <c r="C679" s="5"/>
      <c r="D679" s="9"/>
      <c r="E679" s="9"/>
      <c r="F679" s="5" t="s">
        <v>18</v>
      </c>
      <c r="G679" s="9"/>
      <c r="H679" s="5" t="s">
        <v>20</v>
      </c>
      <c r="I679" s="9"/>
      <c r="J679" s="8" t="s">
        <v>21</v>
      </c>
      <c r="K679" s="9"/>
      <c r="L679" s="8" t="s">
        <v>22</v>
      </c>
      <c r="M679" s="9"/>
      <c r="N679" s="5"/>
      <c r="O679" s="5"/>
    </row>
    <row r="680" ht="22.5" hidden="1" customHeight="1">
      <c r="A680" s="5"/>
      <c r="B680" s="5"/>
      <c r="C680" s="5"/>
      <c r="D680" s="9"/>
      <c r="E680" s="9"/>
      <c r="F680" s="5" t="s">
        <v>18</v>
      </c>
      <c r="G680" s="9"/>
      <c r="H680" s="5" t="s">
        <v>20</v>
      </c>
      <c r="I680" s="9"/>
      <c r="J680" s="8" t="s">
        <v>21</v>
      </c>
      <c r="K680" s="9"/>
      <c r="L680" s="8" t="s">
        <v>22</v>
      </c>
      <c r="M680" s="9"/>
      <c r="N680" s="5"/>
      <c r="O680" s="5"/>
    </row>
    <row r="681" ht="22.5" hidden="1" customHeight="1">
      <c r="A681" s="5"/>
      <c r="B681" s="5"/>
      <c r="C681" s="5"/>
      <c r="D681" s="9"/>
      <c r="E681" s="9"/>
      <c r="F681" s="5" t="s">
        <v>18</v>
      </c>
      <c r="G681" s="9"/>
      <c r="H681" s="5" t="s">
        <v>20</v>
      </c>
      <c r="I681" s="9"/>
      <c r="J681" s="8" t="s">
        <v>21</v>
      </c>
      <c r="K681" s="9"/>
      <c r="L681" s="8" t="s">
        <v>22</v>
      </c>
      <c r="M681" s="9"/>
      <c r="N681" s="5"/>
      <c r="O681" s="5"/>
    </row>
    <row r="682" ht="22.5" hidden="1" customHeight="1">
      <c r="A682" s="5"/>
      <c r="B682" s="5"/>
      <c r="C682" s="5"/>
      <c r="D682" s="9"/>
      <c r="E682" s="9"/>
      <c r="F682" s="5" t="s">
        <v>18</v>
      </c>
      <c r="G682" s="9"/>
      <c r="H682" s="5" t="s">
        <v>20</v>
      </c>
      <c r="I682" s="9"/>
      <c r="J682" s="8" t="s">
        <v>21</v>
      </c>
      <c r="K682" s="9"/>
      <c r="L682" s="8" t="s">
        <v>22</v>
      </c>
      <c r="M682" s="9"/>
      <c r="N682" s="5"/>
      <c r="O682" s="5"/>
    </row>
    <row r="683" ht="22.5" hidden="1" customHeight="1">
      <c r="A683" s="5"/>
      <c r="B683" s="5"/>
      <c r="C683" s="5"/>
      <c r="D683" s="9"/>
      <c r="E683" s="9"/>
      <c r="F683" s="5" t="s">
        <v>18</v>
      </c>
      <c r="G683" s="9"/>
      <c r="H683" s="5" t="s">
        <v>20</v>
      </c>
      <c r="I683" s="9"/>
      <c r="J683" s="8" t="s">
        <v>21</v>
      </c>
      <c r="K683" s="9"/>
      <c r="L683" s="8" t="s">
        <v>22</v>
      </c>
      <c r="M683" s="9"/>
      <c r="N683" s="5"/>
      <c r="O683" s="5"/>
    </row>
    <row r="684" ht="22.5" hidden="1" customHeight="1">
      <c r="A684" s="5"/>
      <c r="B684" s="5"/>
      <c r="C684" s="5"/>
      <c r="D684" s="9"/>
      <c r="E684" s="9"/>
      <c r="F684" s="5" t="s">
        <v>18</v>
      </c>
      <c r="G684" s="9"/>
      <c r="H684" s="5" t="s">
        <v>20</v>
      </c>
      <c r="I684" s="9"/>
      <c r="J684" s="8" t="s">
        <v>21</v>
      </c>
      <c r="K684" s="9"/>
      <c r="L684" s="8" t="s">
        <v>22</v>
      </c>
      <c r="M684" s="9"/>
      <c r="N684" s="5"/>
      <c r="O684" s="5"/>
    </row>
    <row r="685" ht="22.5" hidden="1" customHeight="1">
      <c r="A685" s="5"/>
      <c r="B685" s="5"/>
      <c r="C685" s="5"/>
      <c r="D685" s="9"/>
      <c r="E685" s="9"/>
      <c r="F685" s="5" t="s">
        <v>18</v>
      </c>
      <c r="G685" s="9"/>
      <c r="H685" s="5" t="s">
        <v>20</v>
      </c>
      <c r="I685" s="9"/>
      <c r="J685" s="8" t="s">
        <v>21</v>
      </c>
      <c r="K685" s="9"/>
      <c r="L685" s="8" t="s">
        <v>22</v>
      </c>
      <c r="M685" s="9"/>
      <c r="N685" s="5"/>
      <c r="O685" s="5"/>
    </row>
    <row r="686" ht="22.5" hidden="1" customHeight="1">
      <c r="A686" s="5"/>
      <c r="B686" s="5"/>
      <c r="C686" s="5"/>
      <c r="D686" s="9"/>
      <c r="E686" s="9"/>
      <c r="F686" s="5" t="s">
        <v>18</v>
      </c>
      <c r="G686" s="9"/>
      <c r="H686" s="5" t="s">
        <v>20</v>
      </c>
      <c r="I686" s="9"/>
      <c r="J686" s="8" t="s">
        <v>21</v>
      </c>
      <c r="K686" s="9"/>
      <c r="L686" s="8" t="s">
        <v>22</v>
      </c>
      <c r="M686" s="9"/>
      <c r="N686" s="5"/>
      <c r="O686" s="5"/>
    </row>
    <row r="687" ht="22.5" hidden="1" customHeight="1">
      <c r="A687" s="5"/>
      <c r="B687" s="5"/>
      <c r="C687" s="5"/>
      <c r="D687" s="9"/>
      <c r="E687" s="9"/>
      <c r="F687" s="5" t="s">
        <v>18</v>
      </c>
      <c r="G687" s="9"/>
      <c r="H687" s="5" t="s">
        <v>20</v>
      </c>
      <c r="I687" s="9"/>
      <c r="J687" s="8" t="s">
        <v>21</v>
      </c>
      <c r="K687" s="9"/>
      <c r="L687" s="8" t="s">
        <v>22</v>
      </c>
      <c r="M687" s="9"/>
      <c r="N687" s="5"/>
      <c r="O687" s="5"/>
    </row>
    <row r="688" ht="22.5" hidden="1" customHeight="1">
      <c r="A688" s="5"/>
      <c r="B688" s="5"/>
      <c r="C688" s="5"/>
      <c r="D688" s="9"/>
      <c r="E688" s="9"/>
      <c r="F688" s="5" t="s">
        <v>18</v>
      </c>
      <c r="G688" s="9"/>
      <c r="H688" s="5" t="s">
        <v>20</v>
      </c>
      <c r="I688" s="9"/>
      <c r="J688" s="8" t="s">
        <v>21</v>
      </c>
      <c r="K688" s="9"/>
      <c r="L688" s="8" t="s">
        <v>22</v>
      </c>
      <c r="M688" s="9"/>
      <c r="N688" s="5"/>
      <c r="O688" s="5"/>
    </row>
    <row r="689" ht="22.5" hidden="1" customHeight="1">
      <c r="A689" s="5"/>
      <c r="B689" s="5"/>
      <c r="C689" s="5"/>
      <c r="D689" s="9"/>
      <c r="E689" s="9"/>
      <c r="F689" s="5" t="s">
        <v>18</v>
      </c>
      <c r="G689" s="9"/>
      <c r="H689" s="5" t="s">
        <v>20</v>
      </c>
      <c r="I689" s="9"/>
      <c r="J689" s="8" t="s">
        <v>21</v>
      </c>
      <c r="K689" s="9"/>
      <c r="L689" s="8" t="s">
        <v>22</v>
      </c>
      <c r="M689" s="9"/>
      <c r="N689" s="5"/>
      <c r="O689" s="5"/>
    </row>
    <row r="690" ht="22.5" hidden="1" customHeight="1">
      <c r="A690" s="5"/>
      <c r="B690" s="5"/>
      <c r="C690" s="5"/>
      <c r="D690" s="9"/>
      <c r="E690" s="9"/>
      <c r="F690" s="5" t="s">
        <v>18</v>
      </c>
      <c r="G690" s="9"/>
      <c r="H690" s="5" t="s">
        <v>20</v>
      </c>
      <c r="I690" s="9"/>
      <c r="J690" s="8" t="s">
        <v>21</v>
      </c>
      <c r="K690" s="9"/>
      <c r="L690" s="8" t="s">
        <v>22</v>
      </c>
      <c r="M690" s="9"/>
      <c r="N690" s="5"/>
      <c r="O690" s="5"/>
    </row>
    <row r="691" ht="22.5" hidden="1" customHeight="1">
      <c r="A691" s="5"/>
      <c r="B691" s="5"/>
      <c r="C691" s="5"/>
      <c r="D691" s="9"/>
      <c r="E691" s="9"/>
      <c r="F691" s="5" t="s">
        <v>18</v>
      </c>
      <c r="G691" s="9"/>
      <c r="H691" s="5" t="s">
        <v>20</v>
      </c>
      <c r="I691" s="9"/>
      <c r="J691" s="8" t="s">
        <v>21</v>
      </c>
      <c r="K691" s="9"/>
      <c r="L691" s="8" t="s">
        <v>22</v>
      </c>
      <c r="M691" s="9"/>
      <c r="N691" s="5"/>
      <c r="O691" s="5"/>
    </row>
    <row r="692" ht="22.5" hidden="1" customHeight="1">
      <c r="A692" s="5"/>
      <c r="B692" s="5"/>
      <c r="C692" s="5"/>
      <c r="D692" s="9"/>
      <c r="E692" s="9"/>
      <c r="F692" s="5" t="s">
        <v>18</v>
      </c>
      <c r="G692" s="9"/>
      <c r="H692" s="5" t="s">
        <v>20</v>
      </c>
      <c r="I692" s="9"/>
      <c r="J692" s="8" t="s">
        <v>21</v>
      </c>
      <c r="K692" s="9"/>
      <c r="L692" s="8" t="s">
        <v>22</v>
      </c>
      <c r="M692" s="9"/>
      <c r="N692" s="5"/>
      <c r="O692" s="5"/>
    </row>
    <row r="693" ht="22.5" hidden="1" customHeight="1">
      <c r="A693" s="5"/>
      <c r="B693" s="5"/>
      <c r="C693" s="5"/>
      <c r="D693" s="9"/>
      <c r="E693" s="9"/>
      <c r="F693" s="5" t="s">
        <v>18</v>
      </c>
      <c r="G693" s="9"/>
      <c r="H693" s="5" t="s">
        <v>20</v>
      </c>
      <c r="I693" s="9"/>
      <c r="J693" s="8" t="s">
        <v>21</v>
      </c>
      <c r="K693" s="9"/>
      <c r="L693" s="8" t="s">
        <v>22</v>
      </c>
      <c r="M693" s="9"/>
      <c r="N693" s="5"/>
      <c r="O693" s="5"/>
    </row>
    <row r="694" ht="22.5" hidden="1" customHeight="1">
      <c r="A694" s="5"/>
      <c r="B694" s="5"/>
      <c r="C694" s="5"/>
      <c r="D694" s="9"/>
      <c r="E694" s="9"/>
      <c r="F694" s="5" t="s">
        <v>18</v>
      </c>
      <c r="G694" s="9"/>
      <c r="H694" s="5" t="s">
        <v>20</v>
      </c>
      <c r="I694" s="9"/>
      <c r="J694" s="8" t="s">
        <v>21</v>
      </c>
      <c r="K694" s="9"/>
      <c r="L694" s="8" t="s">
        <v>22</v>
      </c>
      <c r="M694" s="9"/>
      <c r="N694" s="5"/>
      <c r="O694" s="5"/>
    </row>
    <row r="695" ht="22.5" hidden="1" customHeight="1">
      <c r="A695" s="5"/>
      <c r="B695" s="5"/>
      <c r="C695" s="5"/>
      <c r="D695" s="9"/>
      <c r="E695" s="9"/>
      <c r="F695" s="5" t="s">
        <v>18</v>
      </c>
      <c r="G695" s="9"/>
      <c r="H695" s="5" t="s">
        <v>20</v>
      </c>
      <c r="I695" s="9"/>
      <c r="J695" s="8" t="s">
        <v>21</v>
      </c>
      <c r="K695" s="9"/>
      <c r="L695" s="8" t="s">
        <v>22</v>
      </c>
      <c r="M695" s="9"/>
      <c r="N695" s="5"/>
      <c r="O695" s="5"/>
    </row>
    <row r="696" ht="22.5" hidden="1" customHeight="1">
      <c r="A696" s="5"/>
      <c r="B696" s="5"/>
      <c r="C696" s="5"/>
      <c r="D696" s="9"/>
      <c r="E696" s="9"/>
      <c r="F696" s="5" t="s">
        <v>18</v>
      </c>
      <c r="G696" s="9"/>
      <c r="H696" s="5" t="s">
        <v>20</v>
      </c>
      <c r="I696" s="9"/>
      <c r="J696" s="8" t="s">
        <v>21</v>
      </c>
      <c r="K696" s="9"/>
      <c r="L696" s="8" t="s">
        <v>22</v>
      </c>
      <c r="M696" s="9"/>
      <c r="N696" s="5"/>
      <c r="O696" s="5"/>
    </row>
    <row r="697" ht="22.5" hidden="1" customHeight="1">
      <c r="A697" s="5"/>
      <c r="B697" s="5"/>
      <c r="C697" s="5"/>
      <c r="D697" s="9"/>
      <c r="E697" s="9"/>
      <c r="F697" s="5" t="s">
        <v>18</v>
      </c>
      <c r="G697" s="9"/>
      <c r="H697" s="5" t="s">
        <v>20</v>
      </c>
      <c r="I697" s="9"/>
      <c r="J697" s="8" t="s">
        <v>21</v>
      </c>
      <c r="K697" s="9"/>
      <c r="L697" s="8" t="s">
        <v>22</v>
      </c>
      <c r="M697" s="9"/>
      <c r="N697" s="5"/>
      <c r="O697" s="5"/>
    </row>
    <row r="698" ht="22.5" hidden="1" customHeight="1">
      <c r="A698" s="5"/>
      <c r="B698" s="5"/>
      <c r="C698" s="5"/>
      <c r="D698" s="9"/>
      <c r="E698" s="9"/>
      <c r="F698" s="5" t="s">
        <v>18</v>
      </c>
      <c r="G698" s="9"/>
      <c r="H698" s="5" t="s">
        <v>20</v>
      </c>
      <c r="I698" s="9"/>
      <c r="J698" s="8" t="s">
        <v>21</v>
      </c>
      <c r="K698" s="9"/>
      <c r="L698" s="8" t="s">
        <v>22</v>
      </c>
      <c r="M698" s="9"/>
      <c r="N698" s="5"/>
      <c r="O698" s="5"/>
    </row>
    <row r="699" ht="22.5" hidden="1" customHeight="1">
      <c r="A699" s="5"/>
      <c r="B699" s="5"/>
      <c r="C699" s="5"/>
      <c r="D699" s="9"/>
      <c r="E699" s="9"/>
      <c r="F699" s="5" t="s">
        <v>18</v>
      </c>
      <c r="G699" s="9"/>
      <c r="H699" s="5" t="s">
        <v>20</v>
      </c>
      <c r="I699" s="9"/>
      <c r="J699" s="8" t="s">
        <v>21</v>
      </c>
      <c r="K699" s="9"/>
      <c r="L699" s="8" t="s">
        <v>22</v>
      </c>
      <c r="M699" s="9"/>
      <c r="N699" s="5"/>
      <c r="O699" s="5"/>
    </row>
    <row r="700" ht="22.5" hidden="1" customHeight="1">
      <c r="A700" s="5"/>
      <c r="B700" s="5"/>
      <c r="C700" s="5"/>
      <c r="D700" s="9"/>
      <c r="E700" s="9"/>
      <c r="F700" s="5" t="s">
        <v>18</v>
      </c>
      <c r="G700" s="9"/>
      <c r="H700" s="5" t="s">
        <v>20</v>
      </c>
      <c r="I700" s="9"/>
      <c r="J700" s="8" t="s">
        <v>21</v>
      </c>
      <c r="K700" s="9"/>
      <c r="L700" s="8" t="s">
        <v>22</v>
      </c>
      <c r="M700" s="9"/>
      <c r="N700" s="5"/>
      <c r="O700" s="5"/>
    </row>
    <row r="701" ht="22.5" hidden="1" customHeight="1">
      <c r="A701" s="5"/>
      <c r="B701" s="5"/>
      <c r="C701" s="5"/>
      <c r="D701" s="9"/>
      <c r="E701" s="9"/>
      <c r="F701" s="5" t="s">
        <v>18</v>
      </c>
      <c r="G701" s="9"/>
      <c r="H701" s="5" t="s">
        <v>20</v>
      </c>
      <c r="I701" s="9"/>
      <c r="J701" s="8" t="s">
        <v>21</v>
      </c>
      <c r="K701" s="9"/>
      <c r="L701" s="8" t="s">
        <v>22</v>
      </c>
      <c r="M701" s="9"/>
      <c r="N701" s="5"/>
      <c r="O701" s="5"/>
    </row>
    <row r="702" ht="22.5" hidden="1" customHeight="1">
      <c r="A702" s="5"/>
      <c r="B702" s="5"/>
      <c r="C702" s="5"/>
      <c r="D702" s="9"/>
      <c r="E702" s="9"/>
      <c r="F702" s="5" t="s">
        <v>18</v>
      </c>
      <c r="G702" s="9"/>
      <c r="H702" s="5" t="s">
        <v>20</v>
      </c>
      <c r="I702" s="9"/>
      <c r="J702" s="8" t="s">
        <v>21</v>
      </c>
      <c r="K702" s="9"/>
      <c r="L702" s="8" t="s">
        <v>22</v>
      </c>
      <c r="M702" s="9"/>
      <c r="N702" s="5"/>
      <c r="O702" s="5"/>
    </row>
    <row r="703" ht="22.5" hidden="1" customHeight="1">
      <c r="A703" s="5"/>
      <c r="B703" s="5"/>
      <c r="C703" s="5"/>
      <c r="D703" s="9"/>
      <c r="E703" s="9"/>
      <c r="F703" s="5" t="s">
        <v>18</v>
      </c>
      <c r="G703" s="9"/>
      <c r="H703" s="5" t="s">
        <v>20</v>
      </c>
      <c r="I703" s="9"/>
      <c r="J703" s="8" t="s">
        <v>21</v>
      </c>
      <c r="K703" s="9"/>
      <c r="L703" s="8" t="s">
        <v>22</v>
      </c>
      <c r="M703" s="9"/>
      <c r="N703" s="5"/>
      <c r="O703" s="5"/>
    </row>
    <row r="704" ht="22.5" hidden="1" customHeight="1">
      <c r="A704" s="5"/>
      <c r="B704" s="5"/>
      <c r="C704" s="5"/>
      <c r="D704" s="9"/>
      <c r="E704" s="9"/>
      <c r="F704" s="5" t="s">
        <v>18</v>
      </c>
      <c r="G704" s="9"/>
      <c r="H704" s="5" t="s">
        <v>20</v>
      </c>
      <c r="I704" s="9"/>
      <c r="J704" s="8" t="s">
        <v>21</v>
      </c>
      <c r="K704" s="9"/>
      <c r="L704" s="8" t="s">
        <v>22</v>
      </c>
      <c r="M704" s="9"/>
      <c r="N704" s="5"/>
      <c r="O704" s="5"/>
    </row>
    <row r="705" ht="22.5" hidden="1" customHeight="1">
      <c r="A705" s="5"/>
      <c r="B705" s="5"/>
      <c r="C705" s="5"/>
      <c r="D705" s="9"/>
      <c r="E705" s="9"/>
      <c r="F705" s="5" t="s">
        <v>18</v>
      </c>
      <c r="G705" s="9"/>
      <c r="H705" s="5" t="s">
        <v>20</v>
      </c>
      <c r="I705" s="9"/>
      <c r="J705" s="8" t="s">
        <v>21</v>
      </c>
      <c r="K705" s="9"/>
      <c r="L705" s="8" t="s">
        <v>22</v>
      </c>
      <c r="M705" s="9"/>
      <c r="N705" s="5"/>
      <c r="O705" s="5"/>
    </row>
    <row r="706" ht="22.5" hidden="1" customHeight="1">
      <c r="A706" s="5"/>
      <c r="B706" s="5"/>
      <c r="C706" s="5"/>
      <c r="D706" s="9"/>
      <c r="E706" s="9"/>
      <c r="F706" s="5" t="s">
        <v>18</v>
      </c>
      <c r="G706" s="9"/>
      <c r="H706" s="5" t="s">
        <v>20</v>
      </c>
      <c r="I706" s="9"/>
      <c r="J706" s="8" t="s">
        <v>21</v>
      </c>
      <c r="K706" s="9"/>
      <c r="L706" s="8" t="s">
        <v>22</v>
      </c>
      <c r="M706" s="9"/>
      <c r="N706" s="5"/>
      <c r="O706" s="5"/>
    </row>
    <row r="707" ht="22.5" hidden="1" customHeight="1">
      <c r="A707" s="5"/>
      <c r="B707" s="5"/>
      <c r="C707" s="5"/>
      <c r="D707" s="9"/>
      <c r="E707" s="9"/>
      <c r="F707" s="5" t="s">
        <v>18</v>
      </c>
      <c r="G707" s="9"/>
      <c r="H707" s="5" t="s">
        <v>20</v>
      </c>
      <c r="I707" s="9"/>
      <c r="J707" s="8" t="s">
        <v>21</v>
      </c>
      <c r="K707" s="9"/>
      <c r="L707" s="8" t="s">
        <v>22</v>
      </c>
      <c r="M707" s="9"/>
      <c r="N707" s="5"/>
      <c r="O707" s="5"/>
    </row>
    <row r="708" ht="22.5" hidden="1" customHeight="1">
      <c r="A708" s="5"/>
      <c r="B708" s="5"/>
      <c r="C708" s="5"/>
      <c r="D708" s="9"/>
      <c r="E708" s="9"/>
      <c r="F708" s="5" t="s">
        <v>18</v>
      </c>
      <c r="G708" s="9"/>
      <c r="H708" s="5" t="s">
        <v>20</v>
      </c>
      <c r="I708" s="9"/>
      <c r="J708" s="8" t="s">
        <v>21</v>
      </c>
      <c r="K708" s="9"/>
      <c r="L708" s="8" t="s">
        <v>22</v>
      </c>
      <c r="M708" s="9"/>
      <c r="N708" s="5"/>
      <c r="O708" s="5"/>
    </row>
    <row r="709" ht="22.5" hidden="1" customHeight="1">
      <c r="A709" s="5"/>
      <c r="B709" s="5"/>
      <c r="C709" s="5"/>
      <c r="D709" s="9"/>
      <c r="E709" s="9"/>
      <c r="F709" s="5" t="s">
        <v>18</v>
      </c>
      <c r="G709" s="9"/>
      <c r="H709" s="5" t="s">
        <v>20</v>
      </c>
      <c r="I709" s="9"/>
      <c r="J709" s="8" t="s">
        <v>21</v>
      </c>
      <c r="K709" s="9"/>
      <c r="L709" s="8" t="s">
        <v>22</v>
      </c>
      <c r="M709" s="9"/>
      <c r="N709" s="5"/>
      <c r="O709" s="5"/>
    </row>
    <row r="710" ht="22.5" hidden="1" customHeight="1">
      <c r="A710" s="5"/>
      <c r="B710" s="5"/>
      <c r="C710" s="5"/>
      <c r="D710" s="9"/>
      <c r="E710" s="9"/>
      <c r="F710" s="5" t="s">
        <v>18</v>
      </c>
      <c r="G710" s="9"/>
      <c r="H710" s="5" t="s">
        <v>20</v>
      </c>
      <c r="I710" s="9"/>
      <c r="J710" s="8" t="s">
        <v>21</v>
      </c>
      <c r="K710" s="9"/>
      <c r="L710" s="8" t="s">
        <v>22</v>
      </c>
      <c r="M710" s="9"/>
      <c r="N710" s="5"/>
      <c r="O710" s="5"/>
    </row>
    <row r="711" ht="22.5" hidden="1" customHeight="1">
      <c r="A711" s="5"/>
      <c r="B711" s="5"/>
      <c r="C711" s="5"/>
      <c r="D711" s="9"/>
      <c r="E711" s="9"/>
      <c r="F711" s="5" t="s">
        <v>18</v>
      </c>
      <c r="G711" s="9"/>
      <c r="H711" s="5" t="s">
        <v>20</v>
      </c>
      <c r="I711" s="9"/>
      <c r="J711" s="8" t="s">
        <v>21</v>
      </c>
      <c r="K711" s="9"/>
      <c r="L711" s="8" t="s">
        <v>22</v>
      </c>
      <c r="M711" s="9"/>
      <c r="N711" s="5"/>
      <c r="O711" s="5"/>
    </row>
    <row r="712" ht="22.5" hidden="1" customHeight="1">
      <c r="A712" s="5"/>
      <c r="B712" s="5"/>
      <c r="C712" s="5"/>
      <c r="D712" s="9"/>
      <c r="E712" s="9"/>
      <c r="F712" s="5" t="s">
        <v>18</v>
      </c>
      <c r="G712" s="9"/>
      <c r="H712" s="5" t="s">
        <v>20</v>
      </c>
      <c r="I712" s="9"/>
      <c r="J712" s="8" t="s">
        <v>21</v>
      </c>
      <c r="K712" s="9"/>
      <c r="L712" s="8" t="s">
        <v>22</v>
      </c>
      <c r="M712" s="9"/>
      <c r="N712" s="5"/>
      <c r="O712" s="5"/>
    </row>
    <row r="713" ht="22.5" hidden="1" customHeight="1">
      <c r="A713" s="5"/>
      <c r="B713" s="5"/>
      <c r="C713" s="5"/>
      <c r="D713" s="9"/>
      <c r="E713" s="9"/>
      <c r="F713" s="5" t="s">
        <v>18</v>
      </c>
      <c r="G713" s="9"/>
      <c r="H713" s="5" t="s">
        <v>20</v>
      </c>
      <c r="I713" s="9"/>
      <c r="J713" s="8" t="s">
        <v>21</v>
      </c>
      <c r="K713" s="9"/>
      <c r="L713" s="8" t="s">
        <v>22</v>
      </c>
      <c r="M713" s="9"/>
      <c r="N713" s="5"/>
      <c r="O713" s="5"/>
    </row>
    <row r="714" ht="22.5" hidden="1" customHeight="1">
      <c r="A714" s="5"/>
      <c r="B714" s="5"/>
      <c r="C714" s="5"/>
      <c r="D714" s="9"/>
      <c r="E714" s="9"/>
      <c r="F714" s="5" t="s">
        <v>18</v>
      </c>
      <c r="G714" s="9"/>
      <c r="H714" s="5" t="s">
        <v>20</v>
      </c>
      <c r="I714" s="9"/>
      <c r="J714" s="8" t="s">
        <v>21</v>
      </c>
      <c r="K714" s="9"/>
      <c r="L714" s="8" t="s">
        <v>22</v>
      </c>
      <c r="M714" s="9"/>
      <c r="N714" s="5"/>
      <c r="O714" s="5"/>
    </row>
    <row r="715" ht="22.5" hidden="1" customHeight="1">
      <c r="A715" s="5"/>
      <c r="B715" s="5"/>
      <c r="C715" s="5"/>
      <c r="D715" s="9"/>
      <c r="E715" s="9"/>
      <c r="F715" s="5" t="s">
        <v>18</v>
      </c>
      <c r="G715" s="9"/>
      <c r="H715" s="5" t="s">
        <v>20</v>
      </c>
      <c r="I715" s="9"/>
      <c r="J715" s="8" t="s">
        <v>21</v>
      </c>
      <c r="K715" s="9"/>
      <c r="L715" s="8" t="s">
        <v>22</v>
      </c>
      <c r="M715" s="9"/>
      <c r="N715" s="5"/>
      <c r="O715" s="5"/>
    </row>
    <row r="716" ht="22.5" hidden="1" customHeight="1">
      <c r="A716" s="5"/>
      <c r="B716" s="5"/>
      <c r="C716" s="5"/>
      <c r="D716" s="9"/>
      <c r="E716" s="9"/>
      <c r="F716" s="5" t="s">
        <v>18</v>
      </c>
      <c r="G716" s="9"/>
      <c r="H716" s="5" t="s">
        <v>20</v>
      </c>
      <c r="I716" s="9"/>
      <c r="J716" s="8" t="s">
        <v>21</v>
      </c>
      <c r="K716" s="9"/>
      <c r="L716" s="8" t="s">
        <v>22</v>
      </c>
      <c r="M716" s="9"/>
      <c r="N716" s="5"/>
      <c r="O716" s="5"/>
    </row>
    <row r="717" ht="22.5" hidden="1" customHeight="1">
      <c r="A717" s="5"/>
      <c r="B717" s="5"/>
      <c r="C717" s="5"/>
      <c r="D717" s="9"/>
      <c r="E717" s="9"/>
      <c r="F717" s="5" t="s">
        <v>18</v>
      </c>
      <c r="G717" s="9"/>
      <c r="H717" s="5" t="s">
        <v>20</v>
      </c>
      <c r="I717" s="9"/>
      <c r="J717" s="8" t="s">
        <v>21</v>
      </c>
      <c r="K717" s="9"/>
      <c r="L717" s="8" t="s">
        <v>22</v>
      </c>
      <c r="M717" s="9"/>
      <c r="N717" s="5"/>
      <c r="O717" s="5"/>
    </row>
    <row r="718" ht="22.5" hidden="1" customHeight="1">
      <c r="A718" s="5"/>
      <c r="B718" s="5"/>
      <c r="C718" s="5"/>
      <c r="D718" s="9"/>
      <c r="E718" s="9"/>
      <c r="F718" s="5" t="s">
        <v>18</v>
      </c>
      <c r="G718" s="9"/>
      <c r="H718" s="5" t="s">
        <v>20</v>
      </c>
      <c r="I718" s="9"/>
      <c r="J718" s="8" t="s">
        <v>21</v>
      </c>
      <c r="K718" s="9"/>
      <c r="L718" s="8" t="s">
        <v>22</v>
      </c>
      <c r="M718" s="9"/>
      <c r="N718" s="5"/>
      <c r="O718" s="5"/>
    </row>
    <row r="719" ht="22.5" hidden="1" customHeight="1">
      <c r="A719" s="5"/>
      <c r="B719" s="5"/>
      <c r="C719" s="5"/>
      <c r="D719" s="9"/>
      <c r="E719" s="9"/>
      <c r="F719" s="5" t="s">
        <v>18</v>
      </c>
      <c r="G719" s="9"/>
      <c r="H719" s="5" t="s">
        <v>20</v>
      </c>
      <c r="I719" s="9"/>
      <c r="J719" s="8" t="s">
        <v>21</v>
      </c>
      <c r="K719" s="9"/>
      <c r="L719" s="8" t="s">
        <v>22</v>
      </c>
      <c r="M719" s="9"/>
      <c r="N719" s="5"/>
      <c r="O719" s="5"/>
    </row>
    <row r="720" ht="22.5" hidden="1" customHeight="1">
      <c r="A720" s="5"/>
      <c r="B720" s="5"/>
      <c r="C720" s="5"/>
      <c r="D720" s="9"/>
      <c r="E720" s="9"/>
      <c r="F720" s="5" t="s">
        <v>18</v>
      </c>
      <c r="G720" s="9"/>
      <c r="H720" s="5" t="s">
        <v>20</v>
      </c>
      <c r="I720" s="9"/>
      <c r="J720" s="8" t="s">
        <v>21</v>
      </c>
      <c r="K720" s="9"/>
      <c r="L720" s="8" t="s">
        <v>22</v>
      </c>
      <c r="M720" s="9"/>
      <c r="N720" s="5"/>
      <c r="O720" s="5"/>
    </row>
    <row r="721" ht="22.5" hidden="1" customHeight="1">
      <c r="A721" s="5"/>
      <c r="B721" s="5"/>
      <c r="C721" s="5"/>
      <c r="D721" s="9"/>
      <c r="E721" s="9"/>
      <c r="F721" s="5" t="s">
        <v>18</v>
      </c>
      <c r="G721" s="9"/>
      <c r="H721" s="5" t="s">
        <v>20</v>
      </c>
      <c r="I721" s="9"/>
      <c r="J721" s="8" t="s">
        <v>21</v>
      </c>
      <c r="K721" s="9"/>
      <c r="L721" s="8" t="s">
        <v>22</v>
      </c>
      <c r="M721" s="9"/>
      <c r="N721" s="5"/>
      <c r="O721" s="5"/>
    </row>
    <row r="722" ht="22.5" hidden="1" customHeight="1">
      <c r="A722" s="5"/>
      <c r="B722" s="5"/>
      <c r="C722" s="5"/>
      <c r="D722" s="9"/>
      <c r="E722" s="9"/>
      <c r="F722" s="5" t="s">
        <v>18</v>
      </c>
      <c r="G722" s="9"/>
      <c r="H722" s="5" t="s">
        <v>20</v>
      </c>
      <c r="I722" s="9"/>
      <c r="J722" s="8" t="s">
        <v>21</v>
      </c>
      <c r="K722" s="9"/>
      <c r="L722" s="8" t="s">
        <v>22</v>
      </c>
      <c r="M722" s="9"/>
      <c r="N722" s="5"/>
      <c r="O722" s="5"/>
    </row>
    <row r="723" ht="22.5" hidden="1" customHeight="1">
      <c r="A723" s="5"/>
      <c r="B723" s="5"/>
      <c r="C723" s="5"/>
      <c r="D723" s="9"/>
      <c r="E723" s="9"/>
      <c r="F723" s="5" t="s">
        <v>18</v>
      </c>
      <c r="G723" s="9"/>
      <c r="H723" s="5" t="s">
        <v>20</v>
      </c>
      <c r="I723" s="9"/>
      <c r="J723" s="8" t="s">
        <v>21</v>
      </c>
      <c r="K723" s="9"/>
      <c r="L723" s="8" t="s">
        <v>22</v>
      </c>
      <c r="M723" s="9"/>
      <c r="N723" s="5"/>
      <c r="O723" s="5"/>
    </row>
    <row r="724" ht="22.5" hidden="1" customHeight="1">
      <c r="A724" s="5"/>
      <c r="B724" s="5"/>
      <c r="C724" s="5"/>
      <c r="D724" s="9"/>
      <c r="E724" s="9"/>
      <c r="F724" s="5"/>
      <c r="G724" s="9"/>
      <c r="H724" s="5"/>
      <c r="I724" s="9"/>
      <c r="J724" s="8"/>
      <c r="K724" s="9"/>
      <c r="L724" s="8"/>
      <c r="M724" s="9"/>
      <c r="N724" s="5"/>
      <c r="O724" s="5"/>
    </row>
    <row r="725" ht="22.5" hidden="1" customHeight="1">
      <c r="A725" s="5"/>
      <c r="B725" s="5"/>
      <c r="C725" s="5"/>
      <c r="D725" s="9"/>
      <c r="E725" s="9"/>
      <c r="F725" s="5"/>
      <c r="G725" s="9"/>
      <c r="H725" s="5"/>
      <c r="I725" s="9"/>
      <c r="J725" s="8"/>
      <c r="K725" s="9"/>
      <c r="L725" s="8"/>
      <c r="M725" s="9"/>
      <c r="N725" s="5"/>
      <c r="O725" s="5"/>
    </row>
    <row r="726" ht="22.5" hidden="1" customHeight="1">
      <c r="A726" s="5"/>
      <c r="B726" s="5"/>
      <c r="C726" s="5"/>
      <c r="D726" s="9"/>
      <c r="E726" s="9"/>
      <c r="F726" s="5"/>
      <c r="G726" s="9"/>
      <c r="H726" s="5"/>
      <c r="I726" s="9"/>
      <c r="J726" s="8"/>
      <c r="K726" s="9"/>
      <c r="L726" s="8"/>
      <c r="M726" s="9"/>
      <c r="N726" s="5"/>
      <c r="O726" s="5"/>
    </row>
    <row r="727" ht="22.5" hidden="1" customHeight="1">
      <c r="A727" s="5"/>
      <c r="B727" s="5"/>
      <c r="C727" s="5"/>
      <c r="D727" s="9"/>
      <c r="E727" s="9"/>
      <c r="F727" s="5"/>
      <c r="G727" s="9"/>
      <c r="H727" s="5"/>
      <c r="I727" s="9"/>
      <c r="J727" s="8"/>
      <c r="K727" s="9"/>
      <c r="L727" s="8"/>
      <c r="M727" s="9"/>
      <c r="N727" s="5"/>
      <c r="O727" s="5"/>
    </row>
    <row r="728" ht="22.5" hidden="1" customHeight="1">
      <c r="A728" s="5"/>
      <c r="B728" s="5"/>
      <c r="C728" s="5"/>
      <c r="D728" s="9"/>
      <c r="E728" s="9"/>
      <c r="F728" s="5"/>
      <c r="G728" s="9"/>
      <c r="H728" s="5"/>
      <c r="I728" s="9"/>
      <c r="J728" s="8"/>
      <c r="K728" s="9"/>
      <c r="L728" s="8"/>
      <c r="M728" s="9"/>
      <c r="N728" s="5"/>
      <c r="O728" s="5"/>
    </row>
    <row r="729" ht="22.5" hidden="1" customHeight="1">
      <c r="A729" s="5"/>
      <c r="B729" s="5"/>
      <c r="C729" s="5"/>
      <c r="D729" s="9"/>
      <c r="E729" s="9"/>
      <c r="F729" s="5"/>
      <c r="G729" s="9"/>
      <c r="H729" s="5"/>
      <c r="I729" s="9"/>
      <c r="J729" s="8"/>
      <c r="K729" s="9"/>
      <c r="L729" s="8"/>
      <c r="M729" s="9"/>
      <c r="N729" s="5"/>
      <c r="O729" s="5"/>
    </row>
    <row r="730" ht="22.5" hidden="1" customHeight="1">
      <c r="A730" s="5"/>
      <c r="B730" s="5"/>
      <c r="C730" s="5"/>
      <c r="D730" s="9"/>
      <c r="E730" s="9"/>
      <c r="F730" s="5"/>
      <c r="G730" s="9"/>
      <c r="H730" s="5"/>
      <c r="I730" s="9"/>
      <c r="J730" s="8"/>
      <c r="K730" s="9"/>
      <c r="L730" s="8"/>
      <c r="M730" s="9"/>
      <c r="N730" s="5"/>
      <c r="O730" s="5"/>
    </row>
    <row r="731" ht="22.5" hidden="1" customHeight="1">
      <c r="A731" s="5"/>
      <c r="B731" s="5"/>
      <c r="C731" s="5"/>
      <c r="D731" s="9"/>
      <c r="E731" s="9"/>
      <c r="F731" s="5"/>
      <c r="G731" s="9"/>
      <c r="H731" s="5"/>
      <c r="I731" s="9"/>
      <c r="J731" s="8"/>
      <c r="K731" s="9"/>
      <c r="L731" s="8"/>
      <c r="M731" s="9"/>
      <c r="N731" s="5"/>
      <c r="O731" s="5"/>
    </row>
    <row r="732" ht="22.5" hidden="1" customHeight="1">
      <c r="A732" s="5"/>
      <c r="B732" s="5"/>
      <c r="C732" s="5"/>
      <c r="D732" s="9"/>
      <c r="E732" s="9"/>
      <c r="F732" s="5"/>
      <c r="G732" s="9"/>
      <c r="H732" s="5"/>
      <c r="I732" s="9"/>
      <c r="J732" s="8"/>
      <c r="K732" s="9"/>
      <c r="L732" s="8"/>
      <c r="M732" s="9"/>
      <c r="N732" s="5"/>
      <c r="O732" s="5"/>
    </row>
    <row r="733" ht="22.5" hidden="1" customHeight="1">
      <c r="A733" s="5"/>
      <c r="B733" s="5"/>
      <c r="C733" s="5"/>
      <c r="D733" s="9"/>
      <c r="E733" s="9"/>
      <c r="F733" s="5"/>
      <c r="G733" s="9"/>
      <c r="H733" s="5"/>
      <c r="I733" s="9"/>
      <c r="J733" s="8"/>
      <c r="K733" s="9"/>
      <c r="L733" s="8"/>
      <c r="M733" s="9"/>
      <c r="N733" s="5"/>
      <c r="O733" s="5"/>
    </row>
    <row r="734" ht="22.5" hidden="1" customHeight="1">
      <c r="A734" s="5"/>
      <c r="B734" s="5"/>
      <c r="C734" s="5"/>
      <c r="D734" s="9"/>
      <c r="E734" s="9"/>
      <c r="F734" s="5"/>
      <c r="G734" s="9"/>
      <c r="H734" s="5"/>
      <c r="I734" s="9"/>
      <c r="J734" s="8"/>
      <c r="K734" s="9"/>
      <c r="L734" s="8"/>
      <c r="M734" s="9"/>
      <c r="N734" s="5"/>
      <c r="O734" s="5"/>
    </row>
    <row r="735" ht="22.5" hidden="1" customHeight="1">
      <c r="A735" s="5"/>
      <c r="B735" s="5"/>
      <c r="C735" s="5"/>
      <c r="D735" s="9"/>
      <c r="E735" s="9"/>
      <c r="F735" s="5"/>
      <c r="G735" s="9"/>
      <c r="H735" s="5"/>
      <c r="I735" s="9"/>
      <c r="J735" s="8"/>
      <c r="K735" s="9"/>
      <c r="L735" s="8"/>
      <c r="M735" s="9"/>
      <c r="N735" s="5"/>
      <c r="O735" s="5"/>
    </row>
    <row r="736" ht="22.5" hidden="1" customHeight="1">
      <c r="A736" s="5"/>
      <c r="B736" s="5"/>
      <c r="C736" s="5"/>
      <c r="D736" s="9"/>
      <c r="E736" s="9"/>
      <c r="F736" s="5"/>
      <c r="G736" s="9"/>
      <c r="H736" s="5"/>
      <c r="I736" s="9"/>
      <c r="J736" s="8"/>
      <c r="K736" s="9"/>
      <c r="L736" s="8"/>
      <c r="M736" s="9"/>
      <c r="N736" s="5"/>
      <c r="O736" s="5"/>
    </row>
    <row r="737" ht="22.5" hidden="1" customHeight="1">
      <c r="A737" s="5"/>
      <c r="B737" s="5"/>
      <c r="C737" s="5"/>
      <c r="D737" s="9"/>
      <c r="E737" s="9"/>
      <c r="F737" s="5"/>
      <c r="G737" s="9"/>
      <c r="H737" s="5"/>
      <c r="I737" s="9"/>
      <c r="J737" s="8"/>
      <c r="K737" s="9"/>
      <c r="L737" s="8"/>
      <c r="M737" s="9"/>
      <c r="N737" s="5"/>
      <c r="O737" s="5"/>
    </row>
    <row r="738" ht="22.5" hidden="1" customHeight="1">
      <c r="A738" s="5"/>
      <c r="B738" s="5"/>
      <c r="C738" s="5"/>
      <c r="D738" s="9"/>
      <c r="E738" s="9"/>
      <c r="F738" s="5"/>
      <c r="G738" s="9"/>
      <c r="H738" s="5"/>
      <c r="I738" s="9"/>
      <c r="J738" s="8"/>
      <c r="K738" s="9"/>
      <c r="L738" s="8"/>
      <c r="M738" s="9"/>
      <c r="N738" s="5"/>
      <c r="O738" s="5"/>
    </row>
    <row r="739" ht="22.5" hidden="1" customHeight="1">
      <c r="A739" s="5"/>
      <c r="B739" s="5"/>
      <c r="C739" s="5"/>
      <c r="D739" s="9"/>
      <c r="E739" s="9"/>
      <c r="F739" s="5"/>
      <c r="G739" s="9"/>
      <c r="H739" s="5"/>
      <c r="I739" s="9"/>
      <c r="J739" s="8"/>
      <c r="K739" s="9"/>
      <c r="L739" s="8"/>
      <c r="M739" s="9"/>
      <c r="N739" s="5"/>
      <c r="O739" s="5"/>
    </row>
    <row r="740" ht="22.5" hidden="1" customHeight="1">
      <c r="A740" s="5"/>
      <c r="B740" s="5"/>
      <c r="C740" s="5"/>
      <c r="D740" s="9"/>
      <c r="E740" s="9"/>
      <c r="F740" s="5"/>
      <c r="G740" s="9"/>
      <c r="H740" s="5"/>
      <c r="I740" s="9"/>
      <c r="J740" s="8"/>
      <c r="K740" s="9"/>
      <c r="L740" s="8"/>
      <c r="M740" s="9"/>
      <c r="N740" s="5"/>
      <c r="O740" s="5"/>
    </row>
    <row r="741" ht="22.5" hidden="1" customHeight="1">
      <c r="A741" s="5"/>
      <c r="B741" s="5"/>
      <c r="C741" s="5"/>
      <c r="D741" s="9"/>
      <c r="E741" s="9"/>
      <c r="F741" s="5"/>
      <c r="G741" s="9"/>
      <c r="H741" s="5"/>
      <c r="I741" s="9"/>
      <c r="J741" s="8"/>
      <c r="K741" s="9"/>
      <c r="L741" s="8"/>
      <c r="M741" s="9"/>
      <c r="N741" s="5"/>
      <c r="O741" s="5"/>
    </row>
    <row r="742" ht="22.5" hidden="1" customHeight="1">
      <c r="A742" s="5"/>
      <c r="B742" s="5"/>
      <c r="C742" s="5"/>
      <c r="D742" s="9"/>
      <c r="E742" s="9"/>
      <c r="F742" s="5"/>
      <c r="G742" s="9"/>
      <c r="H742" s="5"/>
      <c r="I742" s="9"/>
      <c r="J742" s="8"/>
      <c r="K742" s="9"/>
      <c r="L742" s="8"/>
      <c r="M742" s="9"/>
      <c r="N742" s="5"/>
      <c r="O742" s="5"/>
    </row>
    <row r="743" ht="22.5" hidden="1" customHeight="1">
      <c r="A743" s="5"/>
      <c r="B743" s="5"/>
      <c r="C743" s="5"/>
      <c r="D743" s="9"/>
      <c r="E743" s="9"/>
      <c r="F743" s="5"/>
      <c r="G743" s="9"/>
      <c r="H743" s="5"/>
      <c r="I743" s="9"/>
      <c r="J743" s="8"/>
      <c r="K743" s="9"/>
      <c r="L743" s="8"/>
      <c r="M743" s="9"/>
      <c r="N743" s="5"/>
      <c r="O743" s="5"/>
    </row>
    <row r="744" ht="22.5" hidden="1" customHeight="1">
      <c r="A744" s="5"/>
      <c r="B744" s="5"/>
      <c r="C744" s="5"/>
      <c r="D744" s="9"/>
      <c r="E744" s="9"/>
      <c r="F744" s="5"/>
      <c r="G744" s="9"/>
      <c r="H744" s="5"/>
      <c r="I744" s="9"/>
      <c r="J744" s="8"/>
      <c r="K744" s="9"/>
      <c r="L744" s="8"/>
      <c r="M744" s="9"/>
      <c r="N744" s="5"/>
      <c r="O744" s="5"/>
    </row>
    <row r="745" ht="22.5" hidden="1" customHeight="1">
      <c r="A745" s="5"/>
      <c r="B745" s="5"/>
      <c r="C745" s="5"/>
      <c r="D745" s="9"/>
      <c r="E745" s="9"/>
      <c r="F745" s="5"/>
      <c r="G745" s="9"/>
      <c r="H745" s="5"/>
      <c r="I745" s="9"/>
      <c r="J745" s="8"/>
      <c r="K745" s="9"/>
      <c r="L745" s="8"/>
      <c r="M745" s="9"/>
      <c r="N745" s="5"/>
      <c r="O745" s="5"/>
    </row>
    <row r="746" ht="22.5" hidden="1" customHeight="1">
      <c r="A746" s="5"/>
      <c r="B746" s="5"/>
      <c r="C746" s="5"/>
      <c r="D746" s="9"/>
      <c r="E746" s="9"/>
      <c r="F746" s="5"/>
      <c r="G746" s="9"/>
      <c r="H746" s="5"/>
      <c r="I746" s="9"/>
      <c r="J746" s="8"/>
      <c r="K746" s="9"/>
      <c r="L746" s="8"/>
      <c r="M746" s="9"/>
      <c r="N746" s="5"/>
      <c r="O746" s="5"/>
    </row>
    <row r="747" ht="22.5" hidden="1" customHeight="1">
      <c r="A747" s="5"/>
      <c r="B747" s="5"/>
      <c r="C747" s="5"/>
      <c r="D747" s="9"/>
      <c r="E747" s="9"/>
      <c r="F747" s="5"/>
      <c r="G747" s="9"/>
      <c r="H747" s="5"/>
      <c r="I747" s="9"/>
      <c r="J747" s="8"/>
      <c r="K747" s="9"/>
      <c r="L747" s="8"/>
      <c r="M747" s="9"/>
      <c r="N747" s="5"/>
      <c r="O747" s="5"/>
    </row>
    <row r="748" ht="22.5" hidden="1" customHeight="1">
      <c r="A748" s="5"/>
      <c r="B748" s="5"/>
      <c r="C748" s="5"/>
      <c r="D748" s="9"/>
      <c r="E748" s="9"/>
      <c r="F748" s="5"/>
      <c r="G748" s="9"/>
      <c r="H748" s="5"/>
      <c r="I748" s="9"/>
      <c r="J748" s="8"/>
      <c r="K748" s="9"/>
      <c r="L748" s="8"/>
      <c r="M748" s="9"/>
      <c r="N748" s="5"/>
      <c r="O748" s="5"/>
    </row>
    <row r="749" ht="22.5" hidden="1" customHeight="1">
      <c r="A749" s="5"/>
      <c r="B749" s="5"/>
      <c r="C749" s="5"/>
      <c r="D749" s="9"/>
      <c r="E749" s="9"/>
      <c r="F749" s="5"/>
      <c r="G749" s="9"/>
      <c r="H749" s="5"/>
      <c r="I749" s="9"/>
      <c r="J749" s="8"/>
      <c r="K749" s="9"/>
      <c r="L749" s="8"/>
      <c r="M749" s="9"/>
      <c r="N749" s="5"/>
      <c r="O749" s="5"/>
    </row>
    <row r="750" ht="22.5" hidden="1" customHeight="1">
      <c r="A750" s="5"/>
      <c r="B750" s="5"/>
      <c r="C750" s="5"/>
      <c r="D750" s="9"/>
      <c r="E750" s="9"/>
      <c r="F750" s="5"/>
      <c r="G750" s="9"/>
      <c r="H750" s="5"/>
      <c r="I750" s="9"/>
      <c r="J750" s="8"/>
      <c r="K750" s="9"/>
      <c r="L750" s="8"/>
      <c r="M750" s="9"/>
      <c r="N750" s="5"/>
      <c r="O750" s="5"/>
    </row>
    <row r="751" ht="22.5" hidden="1" customHeight="1">
      <c r="A751" s="5"/>
      <c r="B751" s="5"/>
      <c r="C751" s="5"/>
      <c r="D751" s="9"/>
      <c r="E751" s="9"/>
      <c r="F751" s="5"/>
      <c r="G751" s="9"/>
      <c r="H751" s="5"/>
      <c r="I751" s="9"/>
      <c r="J751" s="8"/>
      <c r="K751" s="9"/>
      <c r="L751" s="8"/>
      <c r="M751" s="9"/>
      <c r="N751" s="5"/>
      <c r="O751" s="5"/>
    </row>
    <row r="752" ht="22.5" hidden="1" customHeight="1">
      <c r="A752" s="5"/>
      <c r="B752" s="5"/>
      <c r="C752" s="5"/>
      <c r="D752" s="9"/>
      <c r="E752" s="9"/>
      <c r="F752" s="5"/>
      <c r="G752" s="9"/>
      <c r="H752" s="5"/>
      <c r="I752" s="9"/>
      <c r="J752" s="8"/>
      <c r="K752" s="9"/>
      <c r="L752" s="8"/>
      <c r="M752" s="9"/>
      <c r="N752" s="5"/>
      <c r="O752" s="5"/>
    </row>
    <row r="753" ht="22.5" hidden="1" customHeight="1">
      <c r="A753" s="5"/>
      <c r="B753" s="5"/>
      <c r="C753" s="5"/>
      <c r="D753" s="9"/>
      <c r="E753" s="9"/>
      <c r="F753" s="5"/>
      <c r="G753" s="9"/>
      <c r="H753" s="5"/>
      <c r="I753" s="9"/>
      <c r="J753" s="8"/>
      <c r="K753" s="9"/>
      <c r="L753" s="8"/>
      <c r="M753" s="9"/>
      <c r="N753" s="5"/>
      <c r="O753" s="5"/>
    </row>
    <row r="754" ht="22.5" hidden="1" customHeight="1">
      <c r="A754" s="5"/>
      <c r="B754" s="5"/>
      <c r="C754" s="5"/>
      <c r="D754" s="9"/>
      <c r="E754" s="9"/>
      <c r="F754" s="5"/>
      <c r="G754" s="9"/>
      <c r="H754" s="5"/>
      <c r="I754" s="9"/>
      <c r="J754" s="8"/>
      <c r="K754" s="9"/>
      <c r="L754" s="8"/>
      <c r="M754" s="9"/>
      <c r="N754" s="5"/>
      <c r="O754" s="5"/>
    </row>
    <row r="755" ht="22.5" hidden="1" customHeight="1">
      <c r="A755" s="5"/>
      <c r="B755" s="5"/>
      <c r="C755" s="5"/>
      <c r="D755" s="9"/>
      <c r="E755" s="9"/>
      <c r="F755" s="5"/>
      <c r="G755" s="9"/>
      <c r="H755" s="5"/>
      <c r="I755" s="9"/>
      <c r="J755" s="8"/>
      <c r="K755" s="9"/>
      <c r="L755" s="8"/>
      <c r="M755" s="9"/>
      <c r="N755" s="5"/>
      <c r="O755" s="5"/>
    </row>
    <row r="756" ht="22.5" hidden="1" customHeight="1">
      <c r="A756" s="5"/>
      <c r="B756" s="5"/>
      <c r="C756" s="5"/>
      <c r="D756" s="9"/>
      <c r="E756" s="9"/>
      <c r="F756" s="5"/>
      <c r="G756" s="9"/>
      <c r="H756" s="5"/>
      <c r="I756" s="9"/>
      <c r="J756" s="8"/>
      <c r="K756" s="9"/>
      <c r="L756" s="8"/>
      <c r="M756" s="9"/>
      <c r="N756" s="5"/>
      <c r="O756" s="5"/>
    </row>
    <row r="757" ht="22.5" hidden="1" customHeight="1">
      <c r="A757" s="5"/>
      <c r="B757" s="5"/>
      <c r="C757" s="5"/>
      <c r="D757" s="9"/>
      <c r="E757" s="9"/>
      <c r="F757" s="5"/>
      <c r="G757" s="9"/>
      <c r="H757" s="5"/>
      <c r="I757" s="9"/>
      <c r="J757" s="8"/>
      <c r="K757" s="9"/>
      <c r="L757" s="8"/>
      <c r="M757" s="9"/>
      <c r="N757" s="5"/>
      <c r="O757" s="5"/>
    </row>
    <row r="758" ht="22.5" hidden="1" customHeight="1">
      <c r="A758" s="5"/>
      <c r="B758" s="5"/>
      <c r="C758" s="5"/>
      <c r="D758" s="9"/>
      <c r="E758" s="9"/>
      <c r="F758" s="5"/>
      <c r="G758" s="9"/>
      <c r="H758" s="5"/>
      <c r="I758" s="9"/>
      <c r="J758" s="8"/>
      <c r="K758" s="9"/>
      <c r="L758" s="8"/>
      <c r="M758" s="9"/>
      <c r="N758" s="5"/>
      <c r="O758" s="5"/>
    </row>
    <row r="759" ht="22.5" hidden="1" customHeight="1">
      <c r="A759" s="5"/>
      <c r="B759" s="5"/>
      <c r="C759" s="5"/>
      <c r="D759" s="9"/>
      <c r="E759" s="9"/>
      <c r="F759" s="5"/>
      <c r="G759" s="9"/>
      <c r="H759" s="5"/>
      <c r="I759" s="9"/>
      <c r="J759" s="8"/>
      <c r="K759" s="9"/>
      <c r="L759" s="8"/>
      <c r="M759" s="9"/>
      <c r="N759" s="5"/>
      <c r="O759" s="5"/>
    </row>
    <row r="760" ht="22.5" hidden="1" customHeight="1">
      <c r="A760" s="5"/>
      <c r="B760" s="5"/>
      <c r="C760" s="5"/>
      <c r="D760" s="9"/>
      <c r="E760" s="9"/>
      <c r="F760" s="5"/>
      <c r="G760" s="9"/>
      <c r="H760" s="5"/>
      <c r="I760" s="9"/>
      <c r="J760" s="8"/>
      <c r="K760" s="9"/>
      <c r="L760" s="8"/>
      <c r="M760" s="9"/>
      <c r="N760" s="5"/>
      <c r="O760" s="5"/>
    </row>
    <row r="761" ht="22.5" hidden="1" customHeight="1">
      <c r="A761" s="5"/>
      <c r="B761" s="5"/>
      <c r="C761" s="5"/>
      <c r="D761" s="9"/>
      <c r="E761" s="9"/>
      <c r="F761" s="5"/>
      <c r="G761" s="9"/>
      <c r="H761" s="5"/>
      <c r="I761" s="9"/>
      <c r="J761" s="8"/>
      <c r="K761" s="9"/>
      <c r="L761" s="8"/>
      <c r="M761" s="9"/>
      <c r="N761" s="5"/>
      <c r="O761" s="5"/>
    </row>
    <row r="762" ht="22.5" hidden="1" customHeight="1">
      <c r="A762" s="5"/>
      <c r="B762" s="5"/>
      <c r="C762" s="5"/>
      <c r="D762" s="9"/>
      <c r="E762" s="9"/>
      <c r="F762" s="5"/>
      <c r="G762" s="9"/>
      <c r="H762" s="5"/>
      <c r="I762" s="9"/>
      <c r="J762" s="8"/>
      <c r="K762" s="9"/>
      <c r="L762" s="8"/>
      <c r="M762" s="9"/>
      <c r="N762" s="5"/>
      <c r="O762" s="5"/>
    </row>
    <row r="763" ht="22.5" hidden="1" customHeight="1">
      <c r="A763" s="5"/>
      <c r="B763" s="5"/>
      <c r="C763" s="5"/>
      <c r="D763" s="9"/>
      <c r="E763" s="9"/>
      <c r="F763" s="5"/>
      <c r="G763" s="9"/>
      <c r="H763" s="5"/>
      <c r="I763" s="9"/>
      <c r="J763" s="8"/>
      <c r="K763" s="9"/>
      <c r="L763" s="8"/>
      <c r="M763" s="9"/>
      <c r="N763" s="5"/>
      <c r="O763" s="5"/>
    </row>
    <row r="764" ht="22.5" hidden="1" customHeight="1">
      <c r="A764" s="5"/>
      <c r="B764" s="5"/>
      <c r="C764" s="5"/>
      <c r="D764" s="9"/>
      <c r="E764" s="9"/>
      <c r="F764" s="5"/>
      <c r="G764" s="9"/>
      <c r="H764" s="5"/>
      <c r="I764" s="9"/>
      <c r="J764" s="8"/>
      <c r="K764" s="9"/>
      <c r="L764" s="8"/>
      <c r="M764" s="9"/>
      <c r="N764" s="5"/>
      <c r="O764" s="5"/>
    </row>
    <row r="765" ht="22.5" hidden="1" customHeight="1">
      <c r="A765" s="5"/>
      <c r="B765" s="5"/>
      <c r="C765" s="5"/>
      <c r="D765" s="9"/>
      <c r="E765" s="9"/>
      <c r="F765" s="5"/>
      <c r="G765" s="9"/>
      <c r="H765" s="5"/>
      <c r="I765" s="9"/>
      <c r="J765" s="8"/>
      <c r="K765" s="9"/>
      <c r="L765" s="8"/>
      <c r="M765" s="9"/>
      <c r="N765" s="5"/>
      <c r="O765" s="5"/>
    </row>
    <row r="766" ht="22.5" hidden="1" customHeight="1">
      <c r="A766" s="5"/>
      <c r="B766" s="5"/>
      <c r="C766" s="5"/>
      <c r="D766" s="9"/>
      <c r="E766" s="9"/>
      <c r="F766" s="5"/>
      <c r="G766" s="9"/>
      <c r="H766" s="5"/>
      <c r="I766" s="9"/>
      <c r="J766" s="8"/>
      <c r="K766" s="9"/>
      <c r="L766" s="8"/>
      <c r="M766" s="9"/>
      <c r="N766" s="5"/>
      <c r="O766" s="5"/>
    </row>
    <row r="767" ht="22.5" hidden="1" customHeight="1">
      <c r="A767" s="5"/>
      <c r="B767" s="5"/>
      <c r="C767" s="5"/>
      <c r="D767" s="9"/>
      <c r="E767" s="9"/>
      <c r="F767" s="5"/>
      <c r="G767" s="9"/>
      <c r="H767" s="5"/>
      <c r="I767" s="9"/>
      <c r="J767" s="8"/>
      <c r="K767" s="9"/>
      <c r="L767" s="8"/>
      <c r="M767" s="9"/>
      <c r="N767" s="5"/>
      <c r="O767" s="5"/>
    </row>
  </sheetData>
  <dataValidations>
    <dataValidation type="list" allowBlank="1" sqref="E2:E767">
      <formula1>"Contacted,Awaiting Response,Closed - Won,Closed - Lost,Call not Recieved,Referred to,Awaiting payment,international num ,form filled,enroll in next batch"</formula1>
    </dataValidation>
    <dataValidation type="list" allowBlank="1" sqref="I2:I767 K2:K767 M2:M767">
      <formula1>"Call Recieved,Not Recieved,Please Call later,Not attempt,Client lost"</formula1>
    </dataValidation>
    <dataValidation type="list" allowBlank="1" sqref="D2:D767">
      <formula1>"Call Attended,Not Attended"</formula1>
    </dataValidation>
    <dataValidation type="list" allowBlank="1" sqref="G2:G767">
      <formula1>"Call Recieved,Not Recieved,Please Call later,Not attempted,Client lost"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6" max="6" width="15.25"/>
    <col customWidth="1" min="7" max="7" width="13.63"/>
    <col customWidth="1" min="8" max="8" width="14.38"/>
    <col customWidth="1" min="9" max="10" width="14.13"/>
    <col customWidth="1" min="11" max="11" width="14.5"/>
    <col customWidth="1" min="14" max="14" width="31.88"/>
    <col customWidth="1" min="15" max="15" width="18.25"/>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row>
    <row r="2" ht="22.5" customHeight="1">
      <c r="A2" s="32" t="s">
        <v>49</v>
      </c>
      <c r="B2" s="33" t="s">
        <v>153</v>
      </c>
      <c r="C2" s="34">
        <v>2.0</v>
      </c>
      <c r="D2" s="35" t="s">
        <v>34</v>
      </c>
      <c r="E2" s="35" t="s">
        <v>49</v>
      </c>
      <c r="F2" s="36" t="s">
        <v>18</v>
      </c>
      <c r="G2" s="37" t="s">
        <v>31</v>
      </c>
      <c r="H2" s="36" t="s">
        <v>20</v>
      </c>
      <c r="I2" s="37"/>
      <c r="J2" s="38" t="s">
        <v>21</v>
      </c>
      <c r="K2" s="37" t="s">
        <v>31</v>
      </c>
      <c r="L2" s="38" t="s">
        <v>22</v>
      </c>
      <c r="M2" s="39"/>
      <c r="N2" s="40" t="s">
        <v>154</v>
      </c>
      <c r="O2" s="34" t="s">
        <v>155</v>
      </c>
    </row>
    <row r="3" ht="22.5" customHeight="1">
      <c r="A3" s="3"/>
      <c r="B3" s="41" t="s">
        <v>156</v>
      </c>
      <c r="C3" s="42">
        <v>4.0</v>
      </c>
      <c r="D3" s="6" t="s">
        <v>16</v>
      </c>
      <c r="E3" s="6" t="s">
        <v>17</v>
      </c>
      <c r="F3" s="5" t="s">
        <v>18</v>
      </c>
      <c r="G3" s="24"/>
      <c r="H3" s="5" t="s">
        <v>20</v>
      </c>
      <c r="I3" s="7" t="s">
        <v>19</v>
      </c>
      <c r="J3" s="8" t="s">
        <v>21</v>
      </c>
      <c r="K3" s="7" t="s">
        <v>19</v>
      </c>
      <c r="L3" s="8" t="s">
        <v>22</v>
      </c>
      <c r="M3" s="7" t="s">
        <v>19</v>
      </c>
      <c r="N3" s="10" t="s">
        <v>157</v>
      </c>
      <c r="O3" s="10" t="s">
        <v>158</v>
      </c>
    </row>
    <row r="4" ht="22.5" customHeight="1">
      <c r="A4" s="32" t="s">
        <v>159</v>
      </c>
      <c r="B4" s="32" t="s">
        <v>160</v>
      </c>
      <c r="C4" s="34">
        <v>1.0</v>
      </c>
      <c r="D4" s="35" t="s">
        <v>34</v>
      </c>
      <c r="E4" s="35" t="s">
        <v>49</v>
      </c>
      <c r="F4" s="36" t="s">
        <v>18</v>
      </c>
      <c r="G4" s="43"/>
      <c r="H4" s="36" t="s">
        <v>20</v>
      </c>
      <c r="I4" s="43"/>
      <c r="J4" s="38" t="s">
        <v>21</v>
      </c>
      <c r="K4" s="43"/>
      <c r="L4" s="38" t="s">
        <v>22</v>
      </c>
      <c r="M4" s="37" t="s">
        <v>31</v>
      </c>
      <c r="N4" s="40" t="s">
        <v>161</v>
      </c>
      <c r="O4" s="36"/>
    </row>
    <row r="5" ht="22.5" customHeight="1">
      <c r="A5" s="41" t="s">
        <v>162</v>
      </c>
      <c r="B5" s="41" t="s">
        <v>163</v>
      </c>
      <c r="C5" s="42">
        <v>4.0</v>
      </c>
      <c r="D5" s="6" t="s">
        <v>16</v>
      </c>
      <c r="E5" s="6" t="s">
        <v>40</v>
      </c>
      <c r="F5" s="5" t="s">
        <v>18</v>
      </c>
      <c r="G5" s="7" t="s">
        <v>19</v>
      </c>
      <c r="H5" s="5" t="s">
        <v>20</v>
      </c>
      <c r="I5" s="7" t="s">
        <v>19</v>
      </c>
      <c r="J5" s="8" t="s">
        <v>21</v>
      </c>
      <c r="K5" s="24"/>
      <c r="L5" s="8" t="s">
        <v>22</v>
      </c>
      <c r="M5" s="9"/>
      <c r="N5" s="10" t="s">
        <v>164</v>
      </c>
      <c r="O5" s="10" t="s">
        <v>165</v>
      </c>
    </row>
    <row r="6" ht="22.5" customHeight="1">
      <c r="A6" s="32" t="s">
        <v>166</v>
      </c>
      <c r="B6" s="32" t="s">
        <v>167</v>
      </c>
      <c r="C6" s="34">
        <v>4.0</v>
      </c>
      <c r="D6" s="35" t="s">
        <v>16</v>
      </c>
      <c r="E6" s="35" t="s">
        <v>49</v>
      </c>
      <c r="F6" s="36" t="s">
        <v>18</v>
      </c>
      <c r="G6" s="37" t="s">
        <v>19</v>
      </c>
      <c r="H6" s="36" t="s">
        <v>20</v>
      </c>
      <c r="I6" s="37" t="s">
        <v>19</v>
      </c>
      <c r="J6" s="38" t="s">
        <v>21</v>
      </c>
      <c r="K6" s="43"/>
      <c r="L6" s="38" t="s">
        <v>22</v>
      </c>
      <c r="M6" s="39"/>
      <c r="N6" s="40" t="s">
        <v>168</v>
      </c>
      <c r="O6" s="40" t="s">
        <v>169</v>
      </c>
    </row>
    <row r="7" ht="22.5" customHeight="1">
      <c r="A7" s="32" t="s">
        <v>170</v>
      </c>
      <c r="B7" s="32" t="s">
        <v>171</v>
      </c>
      <c r="C7" s="34">
        <v>2.0</v>
      </c>
      <c r="D7" s="35" t="s">
        <v>34</v>
      </c>
      <c r="E7" s="35" t="s">
        <v>49</v>
      </c>
      <c r="F7" s="36" t="s">
        <v>18</v>
      </c>
      <c r="G7" s="37" t="s">
        <v>31</v>
      </c>
      <c r="H7" s="36" t="s">
        <v>20</v>
      </c>
      <c r="I7" s="37" t="s">
        <v>31</v>
      </c>
      <c r="J7" s="38" t="s">
        <v>21</v>
      </c>
      <c r="K7" s="43"/>
      <c r="L7" s="38" t="s">
        <v>22</v>
      </c>
      <c r="M7" s="39"/>
      <c r="N7" s="40" t="s">
        <v>172</v>
      </c>
      <c r="O7" s="40" t="s">
        <v>173</v>
      </c>
    </row>
    <row r="8" ht="22.5" customHeight="1">
      <c r="A8" s="44"/>
      <c r="B8" s="41" t="s">
        <v>174</v>
      </c>
      <c r="C8" s="42">
        <v>4.0</v>
      </c>
      <c r="D8" s="6" t="s">
        <v>16</v>
      </c>
      <c r="E8" s="6" t="s">
        <v>17</v>
      </c>
      <c r="F8" s="5" t="s">
        <v>18</v>
      </c>
      <c r="G8" s="7" t="s">
        <v>19</v>
      </c>
      <c r="H8" s="5" t="s">
        <v>20</v>
      </c>
      <c r="I8" s="7" t="s">
        <v>19</v>
      </c>
      <c r="J8" s="8" t="s">
        <v>21</v>
      </c>
      <c r="K8" s="7" t="s">
        <v>19</v>
      </c>
      <c r="L8" s="8" t="s">
        <v>22</v>
      </c>
      <c r="M8" s="9"/>
      <c r="N8" s="10" t="s">
        <v>175</v>
      </c>
      <c r="O8" s="10" t="s">
        <v>176</v>
      </c>
    </row>
    <row r="9" ht="22.5" customHeight="1">
      <c r="A9" s="45" t="s">
        <v>177</v>
      </c>
      <c r="B9" s="45" t="s">
        <v>178</v>
      </c>
      <c r="C9" s="46">
        <v>2.0</v>
      </c>
      <c r="D9" s="47" t="s">
        <v>34</v>
      </c>
      <c r="E9" s="47" t="s">
        <v>40</v>
      </c>
      <c r="F9" s="48" t="s">
        <v>18</v>
      </c>
      <c r="G9" s="49" t="s">
        <v>31</v>
      </c>
      <c r="H9" s="48" t="s">
        <v>20</v>
      </c>
      <c r="I9" s="49" t="s">
        <v>31</v>
      </c>
      <c r="J9" s="50" t="s">
        <v>21</v>
      </c>
      <c r="K9" s="51"/>
      <c r="L9" s="50" t="s">
        <v>22</v>
      </c>
      <c r="M9" s="52"/>
      <c r="N9" s="53" t="s">
        <v>179</v>
      </c>
      <c r="O9" s="53" t="s">
        <v>180</v>
      </c>
    </row>
    <row r="10" ht="22.5" customHeight="1">
      <c r="A10" s="41" t="s">
        <v>181</v>
      </c>
      <c r="B10" s="41" t="s">
        <v>182</v>
      </c>
      <c r="C10" s="42">
        <v>4.0</v>
      </c>
      <c r="D10" s="6" t="s">
        <v>16</v>
      </c>
      <c r="E10" s="6" t="s">
        <v>17</v>
      </c>
      <c r="F10" s="5" t="s">
        <v>18</v>
      </c>
      <c r="G10" s="7" t="s">
        <v>19</v>
      </c>
      <c r="H10" s="5" t="s">
        <v>20</v>
      </c>
      <c r="I10" s="7" t="s">
        <v>19</v>
      </c>
      <c r="J10" s="8" t="s">
        <v>21</v>
      </c>
      <c r="K10" s="24"/>
      <c r="L10" s="8" t="s">
        <v>22</v>
      </c>
      <c r="M10" s="9"/>
      <c r="N10" s="10" t="s">
        <v>183</v>
      </c>
      <c r="O10" s="10" t="s">
        <v>176</v>
      </c>
    </row>
    <row r="11" ht="22.5" customHeight="1">
      <c r="A11" s="41" t="s">
        <v>184</v>
      </c>
      <c r="B11" s="41" t="s">
        <v>185</v>
      </c>
      <c r="C11" s="42">
        <v>4.0</v>
      </c>
      <c r="D11" s="6" t="s">
        <v>16</v>
      </c>
      <c r="E11" s="6" t="s">
        <v>17</v>
      </c>
      <c r="F11" s="5" t="s">
        <v>18</v>
      </c>
      <c r="G11" s="7" t="s">
        <v>19</v>
      </c>
      <c r="H11" s="5" t="s">
        <v>20</v>
      </c>
      <c r="I11" s="7" t="s">
        <v>19</v>
      </c>
      <c r="J11" s="8" t="s">
        <v>21</v>
      </c>
      <c r="K11" s="24"/>
      <c r="L11" s="8" t="s">
        <v>22</v>
      </c>
      <c r="M11" s="9"/>
      <c r="N11" s="10" t="s">
        <v>186</v>
      </c>
      <c r="O11" s="10" t="s">
        <v>176</v>
      </c>
    </row>
    <row r="12" ht="22.5" customHeight="1">
      <c r="A12" s="32" t="s">
        <v>187</v>
      </c>
      <c r="B12" s="32" t="s">
        <v>188</v>
      </c>
      <c r="C12" s="34">
        <v>1.0</v>
      </c>
      <c r="D12" s="35" t="s">
        <v>34</v>
      </c>
      <c r="E12" s="35" t="s">
        <v>49</v>
      </c>
      <c r="F12" s="36" t="s">
        <v>18</v>
      </c>
      <c r="G12" s="37" t="s">
        <v>31</v>
      </c>
      <c r="H12" s="36" t="s">
        <v>20</v>
      </c>
      <c r="I12" s="43"/>
      <c r="J12" s="38" t="s">
        <v>21</v>
      </c>
      <c r="K12" s="43"/>
      <c r="L12" s="38" t="s">
        <v>22</v>
      </c>
      <c r="M12" s="39"/>
      <c r="N12" s="40" t="s">
        <v>189</v>
      </c>
      <c r="O12" s="34" t="s">
        <v>180</v>
      </c>
    </row>
    <row r="13" ht="22.5" customHeight="1">
      <c r="A13" s="32" t="s">
        <v>190</v>
      </c>
      <c r="B13" s="32" t="s">
        <v>191</v>
      </c>
      <c r="C13" s="34">
        <v>3.0</v>
      </c>
      <c r="D13" s="35" t="s">
        <v>34</v>
      </c>
      <c r="E13" s="35" t="s">
        <v>49</v>
      </c>
      <c r="F13" s="36" t="s">
        <v>18</v>
      </c>
      <c r="G13" s="37" t="s">
        <v>19</v>
      </c>
      <c r="H13" s="36" t="s">
        <v>20</v>
      </c>
      <c r="I13" s="37" t="s">
        <v>31</v>
      </c>
      <c r="J13" s="38" t="s">
        <v>21</v>
      </c>
      <c r="K13" s="43"/>
      <c r="L13" s="38" t="s">
        <v>22</v>
      </c>
      <c r="M13" s="39"/>
      <c r="N13" s="40" t="s">
        <v>192</v>
      </c>
      <c r="O13" s="40" t="s">
        <v>180</v>
      </c>
    </row>
    <row r="14" ht="22.5" customHeight="1">
      <c r="A14" s="32" t="s">
        <v>193</v>
      </c>
      <c r="B14" s="32" t="s">
        <v>194</v>
      </c>
      <c r="C14" s="34">
        <v>3.0</v>
      </c>
      <c r="D14" s="35" t="s">
        <v>16</v>
      </c>
      <c r="E14" s="35" t="s">
        <v>49</v>
      </c>
      <c r="F14" s="36" t="s">
        <v>18</v>
      </c>
      <c r="G14" s="37" t="s">
        <v>19</v>
      </c>
      <c r="H14" s="36" t="s">
        <v>20</v>
      </c>
      <c r="I14" s="37" t="s">
        <v>31</v>
      </c>
      <c r="J14" s="38" t="s">
        <v>21</v>
      </c>
      <c r="K14" s="43"/>
      <c r="L14" s="38" t="s">
        <v>22</v>
      </c>
      <c r="M14" s="39"/>
      <c r="N14" s="40" t="s">
        <v>195</v>
      </c>
      <c r="O14" s="40" t="s">
        <v>196</v>
      </c>
    </row>
    <row r="15" ht="22.5" customHeight="1">
      <c r="A15" s="41" t="s">
        <v>197</v>
      </c>
      <c r="B15" s="41" t="s">
        <v>198</v>
      </c>
      <c r="C15" s="42">
        <v>4.0</v>
      </c>
      <c r="D15" s="6" t="s">
        <v>34</v>
      </c>
      <c r="E15" s="6" t="s">
        <v>40</v>
      </c>
      <c r="F15" s="5" t="s">
        <v>18</v>
      </c>
      <c r="G15" s="7" t="s">
        <v>31</v>
      </c>
      <c r="H15" s="5" t="s">
        <v>20</v>
      </c>
      <c r="I15" s="7" t="s">
        <v>31</v>
      </c>
      <c r="J15" s="8" t="s">
        <v>21</v>
      </c>
      <c r="K15" s="24"/>
      <c r="L15" s="8" t="s">
        <v>22</v>
      </c>
      <c r="M15" s="7" t="s">
        <v>19</v>
      </c>
      <c r="N15" s="10" t="s">
        <v>199</v>
      </c>
      <c r="O15" s="10" t="s">
        <v>200</v>
      </c>
    </row>
    <row r="16" ht="22.5" customHeight="1">
      <c r="A16" s="41" t="s">
        <v>201</v>
      </c>
      <c r="B16" s="41" t="s">
        <v>202</v>
      </c>
      <c r="C16" s="42">
        <v>5.0</v>
      </c>
      <c r="D16" s="6" t="s">
        <v>34</v>
      </c>
      <c r="E16" s="6" t="s">
        <v>40</v>
      </c>
      <c r="F16" s="5" t="s">
        <v>18</v>
      </c>
      <c r="G16" s="7" t="s">
        <v>31</v>
      </c>
      <c r="H16" s="5" t="s">
        <v>20</v>
      </c>
      <c r="I16" s="7" t="s">
        <v>31</v>
      </c>
      <c r="J16" s="8" t="s">
        <v>21</v>
      </c>
      <c r="K16" s="24"/>
      <c r="L16" s="8" t="s">
        <v>22</v>
      </c>
      <c r="M16" s="9"/>
      <c r="N16" s="10" t="s">
        <v>203</v>
      </c>
      <c r="O16" s="10" t="s">
        <v>204</v>
      </c>
    </row>
    <row r="17" ht="22.5" customHeight="1">
      <c r="A17" s="41"/>
      <c r="B17" s="41" t="s">
        <v>205</v>
      </c>
      <c r="C17" s="42">
        <v>4.0</v>
      </c>
      <c r="D17" s="6" t="s">
        <v>16</v>
      </c>
      <c r="E17" s="6" t="s">
        <v>17</v>
      </c>
      <c r="F17" s="5" t="s">
        <v>18</v>
      </c>
      <c r="G17" s="24"/>
      <c r="H17" s="5" t="s">
        <v>20</v>
      </c>
      <c r="I17" s="7" t="s">
        <v>19</v>
      </c>
      <c r="J17" s="8" t="s">
        <v>21</v>
      </c>
      <c r="K17" s="7" t="s">
        <v>19</v>
      </c>
      <c r="L17" s="8" t="s">
        <v>22</v>
      </c>
      <c r="M17" s="9"/>
      <c r="N17" s="10" t="s">
        <v>206</v>
      </c>
      <c r="O17" s="10" t="s">
        <v>200</v>
      </c>
    </row>
    <row r="18" ht="22.5" customHeight="1">
      <c r="A18" s="32" t="s">
        <v>207</v>
      </c>
      <c r="B18" s="32" t="s">
        <v>208</v>
      </c>
      <c r="C18" s="34">
        <v>3.0</v>
      </c>
      <c r="D18" s="35" t="s">
        <v>34</v>
      </c>
      <c r="E18" s="35" t="s">
        <v>49</v>
      </c>
      <c r="F18" s="36" t="s">
        <v>18</v>
      </c>
      <c r="G18" s="43"/>
      <c r="H18" s="36" t="s">
        <v>20</v>
      </c>
      <c r="I18" s="37" t="s">
        <v>19</v>
      </c>
      <c r="J18" s="38" t="s">
        <v>21</v>
      </c>
      <c r="K18" s="43"/>
      <c r="L18" s="38" t="s">
        <v>22</v>
      </c>
      <c r="M18" s="37" t="s">
        <v>31</v>
      </c>
      <c r="N18" s="40" t="s">
        <v>209</v>
      </c>
      <c r="O18" s="40" t="s">
        <v>180</v>
      </c>
    </row>
    <row r="19" ht="22.5" customHeight="1">
      <c r="A19" s="54"/>
      <c r="B19" s="32" t="s">
        <v>210</v>
      </c>
      <c r="C19" s="34">
        <v>4.0</v>
      </c>
      <c r="D19" s="35" t="s">
        <v>34</v>
      </c>
      <c r="E19" s="35" t="s">
        <v>49</v>
      </c>
      <c r="F19" s="36" t="s">
        <v>18</v>
      </c>
      <c r="G19" s="37" t="s">
        <v>31</v>
      </c>
      <c r="H19" s="36" t="s">
        <v>20</v>
      </c>
      <c r="I19" s="37" t="s">
        <v>19</v>
      </c>
      <c r="J19" s="38" t="s">
        <v>21</v>
      </c>
      <c r="K19" s="43"/>
      <c r="L19" s="38" t="s">
        <v>22</v>
      </c>
      <c r="M19" s="39"/>
      <c r="N19" s="40" t="s">
        <v>211</v>
      </c>
      <c r="O19" s="40" t="s">
        <v>212</v>
      </c>
    </row>
    <row r="20" ht="22.5" customHeight="1">
      <c r="A20" s="41" t="s">
        <v>213</v>
      </c>
      <c r="B20" s="41" t="s">
        <v>214</v>
      </c>
      <c r="C20" s="42">
        <v>6.0</v>
      </c>
      <c r="D20" s="6" t="s">
        <v>16</v>
      </c>
      <c r="E20" s="6" t="s">
        <v>40</v>
      </c>
      <c r="F20" s="5" t="s">
        <v>18</v>
      </c>
      <c r="G20" s="7" t="s">
        <v>19</v>
      </c>
      <c r="H20" s="5" t="s">
        <v>20</v>
      </c>
      <c r="I20" s="7" t="s">
        <v>19</v>
      </c>
      <c r="J20" s="8" t="s">
        <v>21</v>
      </c>
      <c r="K20" s="24"/>
      <c r="L20" s="8" t="s">
        <v>22</v>
      </c>
      <c r="M20" s="9"/>
      <c r="N20" s="10" t="s">
        <v>215</v>
      </c>
      <c r="O20" s="10" t="s">
        <v>180</v>
      </c>
    </row>
    <row r="21" ht="22.5" customHeight="1">
      <c r="A21" s="32" t="s">
        <v>216</v>
      </c>
      <c r="B21" s="32" t="s">
        <v>217</v>
      </c>
      <c r="C21" s="34">
        <v>3.0</v>
      </c>
      <c r="D21" s="35" t="s">
        <v>34</v>
      </c>
      <c r="E21" s="35" t="s">
        <v>49</v>
      </c>
      <c r="F21" s="36" t="s">
        <v>18</v>
      </c>
      <c r="G21" s="37" t="s">
        <v>31</v>
      </c>
      <c r="H21" s="36" t="s">
        <v>20</v>
      </c>
      <c r="I21" s="37" t="s">
        <v>19</v>
      </c>
      <c r="J21" s="38" t="s">
        <v>21</v>
      </c>
      <c r="K21" s="43"/>
      <c r="L21" s="38" t="s">
        <v>22</v>
      </c>
      <c r="M21" s="39"/>
      <c r="N21" s="40" t="s">
        <v>218</v>
      </c>
      <c r="O21" s="40" t="s">
        <v>219</v>
      </c>
    </row>
    <row r="22" ht="22.5" customHeight="1">
      <c r="A22" s="45" t="s">
        <v>220</v>
      </c>
      <c r="B22" s="45" t="s">
        <v>221</v>
      </c>
      <c r="C22" s="46">
        <v>3.0</v>
      </c>
      <c r="D22" s="47" t="s">
        <v>16</v>
      </c>
      <c r="E22" s="47" t="s">
        <v>30</v>
      </c>
      <c r="F22" s="48" t="s">
        <v>18</v>
      </c>
      <c r="G22" s="51"/>
      <c r="H22" s="48" t="s">
        <v>20</v>
      </c>
      <c r="I22" s="49" t="s">
        <v>19</v>
      </c>
      <c r="J22" s="50" t="s">
        <v>21</v>
      </c>
      <c r="K22" s="49" t="s">
        <v>31</v>
      </c>
      <c r="L22" s="50" t="s">
        <v>22</v>
      </c>
      <c r="M22" s="52"/>
      <c r="N22" s="53" t="s">
        <v>222</v>
      </c>
      <c r="O22" s="53" t="s">
        <v>223</v>
      </c>
    </row>
    <row r="23" ht="22.5" customHeight="1">
      <c r="A23" s="45" t="s">
        <v>224</v>
      </c>
      <c r="B23" s="45" t="s">
        <v>225</v>
      </c>
      <c r="C23" s="46">
        <v>6.0</v>
      </c>
      <c r="D23" s="47" t="s">
        <v>16</v>
      </c>
      <c r="E23" s="47" t="s">
        <v>30</v>
      </c>
      <c r="F23" s="48" t="s">
        <v>18</v>
      </c>
      <c r="G23" s="49" t="s">
        <v>19</v>
      </c>
      <c r="H23" s="48" t="s">
        <v>20</v>
      </c>
      <c r="I23" s="49" t="s">
        <v>19</v>
      </c>
      <c r="J23" s="50" t="s">
        <v>21</v>
      </c>
      <c r="K23" s="51"/>
      <c r="L23" s="50" t="s">
        <v>22</v>
      </c>
      <c r="M23" s="49" t="s">
        <v>19</v>
      </c>
      <c r="N23" s="53" t="s">
        <v>226</v>
      </c>
      <c r="O23" s="53" t="s">
        <v>227</v>
      </c>
    </row>
    <row r="24" ht="22.5" customHeight="1">
      <c r="A24" s="32" t="s">
        <v>228</v>
      </c>
      <c r="B24" s="32" t="s">
        <v>229</v>
      </c>
      <c r="C24" s="34">
        <v>2.0</v>
      </c>
      <c r="D24" s="35" t="s">
        <v>34</v>
      </c>
      <c r="E24" s="35" t="s">
        <v>49</v>
      </c>
      <c r="F24" s="36" t="s">
        <v>18</v>
      </c>
      <c r="G24" s="43"/>
      <c r="H24" s="36" t="s">
        <v>20</v>
      </c>
      <c r="I24" s="37" t="s">
        <v>31</v>
      </c>
      <c r="J24" s="38" t="s">
        <v>21</v>
      </c>
      <c r="K24" s="43"/>
      <c r="L24" s="38" t="s">
        <v>22</v>
      </c>
      <c r="M24" s="37" t="s">
        <v>31</v>
      </c>
      <c r="N24" s="40" t="s">
        <v>230</v>
      </c>
      <c r="O24" s="40" t="s">
        <v>155</v>
      </c>
    </row>
    <row r="25" ht="22.5" customHeight="1">
      <c r="A25" s="32" t="s">
        <v>231</v>
      </c>
      <c r="B25" s="32" t="s">
        <v>232</v>
      </c>
      <c r="C25" s="34">
        <v>1.0</v>
      </c>
      <c r="D25" s="35" t="s">
        <v>34</v>
      </c>
      <c r="E25" s="35" t="s">
        <v>49</v>
      </c>
      <c r="F25" s="36" t="s">
        <v>18</v>
      </c>
      <c r="G25" s="43"/>
      <c r="H25" s="36" t="s">
        <v>20</v>
      </c>
      <c r="I25" s="43"/>
      <c r="J25" s="38" t="s">
        <v>21</v>
      </c>
      <c r="K25" s="43"/>
      <c r="L25" s="38" t="s">
        <v>22</v>
      </c>
      <c r="M25" s="37" t="s">
        <v>31</v>
      </c>
      <c r="N25" s="40" t="s">
        <v>233</v>
      </c>
      <c r="O25" s="34" t="s">
        <v>234</v>
      </c>
    </row>
    <row r="26" ht="22.5" customHeight="1">
      <c r="A26" s="32" t="s">
        <v>235</v>
      </c>
      <c r="B26" s="32" t="s">
        <v>236</v>
      </c>
      <c r="C26" s="34">
        <v>2.0</v>
      </c>
      <c r="D26" s="35" t="s">
        <v>34</v>
      </c>
      <c r="E26" s="35" t="s">
        <v>49</v>
      </c>
      <c r="F26" s="36" t="s">
        <v>18</v>
      </c>
      <c r="G26" s="43"/>
      <c r="H26" s="36" t="s">
        <v>20</v>
      </c>
      <c r="I26" s="37" t="s">
        <v>31</v>
      </c>
      <c r="J26" s="38" t="s">
        <v>21</v>
      </c>
      <c r="K26" s="43"/>
      <c r="L26" s="38" t="s">
        <v>22</v>
      </c>
      <c r="M26" s="37" t="s">
        <v>31</v>
      </c>
      <c r="N26" s="40" t="s">
        <v>237</v>
      </c>
      <c r="O26" s="40" t="s">
        <v>180</v>
      </c>
    </row>
    <row r="27" ht="22.5" customHeight="1">
      <c r="A27" s="45" t="s">
        <v>238</v>
      </c>
      <c r="B27" s="45" t="s">
        <v>239</v>
      </c>
      <c r="C27" s="46">
        <v>3.0</v>
      </c>
      <c r="D27" s="47" t="s">
        <v>16</v>
      </c>
      <c r="E27" s="47" t="s">
        <v>30</v>
      </c>
      <c r="F27" s="48" t="s">
        <v>18</v>
      </c>
      <c r="G27" s="51"/>
      <c r="H27" s="48" t="s">
        <v>20</v>
      </c>
      <c r="I27" s="49" t="s">
        <v>31</v>
      </c>
      <c r="J27" s="50" t="s">
        <v>21</v>
      </c>
      <c r="K27" s="51"/>
      <c r="L27" s="50" t="s">
        <v>22</v>
      </c>
      <c r="M27" s="49" t="s">
        <v>19</v>
      </c>
      <c r="N27" s="53" t="s">
        <v>240</v>
      </c>
      <c r="O27" s="53" t="s">
        <v>158</v>
      </c>
    </row>
    <row r="28" ht="22.5" customHeight="1">
      <c r="A28" s="41" t="s">
        <v>241</v>
      </c>
      <c r="B28" s="41" t="s">
        <v>242</v>
      </c>
      <c r="C28" s="42">
        <v>4.0</v>
      </c>
      <c r="D28" s="6" t="s">
        <v>16</v>
      </c>
      <c r="E28" s="6" t="s">
        <v>17</v>
      </c>
      <c r="F28" s="5" t="s">
        <v>18</v>
      </c>
      <c r="G28" s="7" t="s">
        <v>19</v>
      </c>
      <c r="H28" s="5" t="s">
        <v>20</v>
      </c>
      <c r="I28" s="7" t="s">
        <v>19</v>
      </c>
      <c r="J28" s="8" t="s">
        <v>21</v>
      </c>
      <c r="K28" s="7" t="s">
        <v>19</v>
      </c>
      <c r="L28" s="8" t="s">
        <v>22</v>
      </c>
      <c r="M28" s="7" t="s">
        <v>19</v>
      </c>
      <c r="N28" s="10" t="s">
        <v>243</v>
      </c>
      <c r="O28" s="10" t="s">
        <v>212</v>
      </c>
    </row>
    <row r="29" ht="22.5" customHeight="1">
      <c r="A29" s="41" t="s">
        <v>244</v>
      </c>
      <c r="B29" s="41" t="s">
        <v>245</v>
      </c>
      <c r="C29" s="42">
        <v>4.0</v>
      </c>
      <c r="D29" s="6" t="s">
        <v>16</v>
      </c>
      <c r="E29" s="6" t="s">
        <v>17</v>
      </c>
      <c r="F29" s="5" t="s">
        <v>18</v>
      </c>
      <c r="G29" s="7" t="s">
        <v>19</v>
      </c>
      <c r="H29" s="5" t="s">
        <v>20</v>
      </c>
      <c r="I29" s="7" t="s">
        <v>19</v>
      </c>
      <c r="J29" s="8" t="s">
        <v>21</v>
      </c>
      <c r="K29" s="7" t="s">
        <v>19</v>
      </c>
      <c r="L29" s="8" t="s">
        <v>22</v>
      </c>
      <c r="M29" s="7" t="s">
        <v>19</v>
      </c>
      <c r="N29" s="10" t="s">
        <v>246</v>
      </c>
      <c r="O29" s="10" t="s">
        <v>247</v>
      </c>
    </row>
    <row r="30" ht="22.5" customHeight="1">
      <c r="A30" s="32" t="s">
        <v>248</v>
      </c>
      <c r="B30" s="32" t="s">
        <v>249</v>
      </c>
      <c r="C30" s="34">
        <v>1.0</v>
      </c>
      <c r="D30" s="35" t="s">
        <v>34</v>
      </c>
      <c r="E30" s="35" t="s">
        <v>49</v>
      </c>
      <c r="F30" s="36" t="s">
        <v>18</v>
      </c>
      <c r="G30" s="43"/>
      <c r="H30" s="36" t="s">
        <v>20</v>
      </c>
      <c r="I30" s="43"/>
      <c r="J30" s="38" t="s">
        <v>21</v>
      </c>
      <c r="K30" s="37" t="s">
        <v>31</v>
      </c>
      <c r="L30" s="38" t="s">
        <v>22</v>
      </c>
      <c r="M30" s="39"/>
      <c r="N30" s="40" t="s">
        <v>250</v>
      </c>
      <c r="O30" s="40" t="s">
        <v>180</v>
      </c>
    </row>
    <row r="31" ht="22.5" customHeight="1">
      <c r="A31" s="55"/>
      <c r="B31" s="41" t="s">
        <v>251</v>
      </c>
      <c r="C31" s="42">
        <v>3.0</v>
      </c>
      <c r="D31" s="6" t="s">
        <v>16</v>
      </c>
      <c r="E31" s="6" t="s">
        <v>17</v>
      </c>
      <c r="F31" s="5" t="s">
        <v>18</v>
      </c>
      <c r="G31" s="7" t="s">
        <v>19</v>
      </c>
      <c r="H31" s="5" t="s">
        <v>20</v>
      </c>
      <c r="I31" s="7" t="s">
        <v>19</v>
      </c>
      <c r="J31" s="8" t="s">
        <v>21</v>
      </c>
      <c r="K31" s="7" t="s">
        <v>19</v>
      </c>
      <c r="L31" s="8" t="s">
        <v>22</v>
      </c>
      <c r="M31" s="9"/>
      <c r="N31" s="10" t="s">
        <v>252</v>
      </c>
      <c r="O31" s="10" t="s">
        <v>253</v>
      </c>
    </row>
    <row r="32" ht="22.5" customHeight="1">
      <c r="A32" s="32" t="s">
        <v>254</v>
      </c>
      <c r="B32" s="32" t="s">
        <v>255</v>
      </c>
      <c r="C32" s="34">
        <v>2.0</v>
      </c>
      <c r="D32" s="35" t="s">
        <v>34</v>
      </c>
      <c r="E32" s="35" t="s">
        <v>49</v>
      </c>
      <c r="F32" s="36" t="s">
        <v>18</v>
      </c>
      <c r="G32" s="43"/>
      <c r="H32" s="36" t="s">
        <v>20</v>
      </c>
      <c r="I32" s="43"/>
      <c r="J32" s="38" t="s">
        <v>21</v>
      </c>
      <c r="K32" s="37" t="s">
        <v>31</v>
      </c>
      <c r="L32" s="38" t="s">
        <v>22</v>
      </c>
      <c r="M32" s="39"/>
      <c r="N32" s="40" t="s">
        <v>256</v>
      </c>
      <c r="O32" s="40" t="s">
        <v>212</v>
      </c>
    </row>
    <row r="33" ht="22.5" customHeight="1">
      <c r="A33" s="41" t="s">
        <v>257</v>
      </c>
      <c r="B33" s="41" t="s">
        <v>258</v>
      </c>
      <c r="C33" s="42">
        <v>4.0</v>
      </c>
      <c r="D33" s="6" t="s">
        <v>16</v>
      </c>
      <c r="E33" s="6" t="s">
        <v>40</v>
      </c>
      <c r="F33" s="5" t="s">
        <v>18</v>
      </c>
      <c r="G33" s="7" t="s">
        <v>19</v>
      </c>
      <c r="H33" s="5" t="s">
        <v>20</v>
      </c>
      <c r="I33" s="7" t="s">
        <v>31</v>
      </c>
      <c r="J33" s="8" t="s">
        <v>21</v>
      </c>
      <c r="K33" s="7" t="s">
        <v>19</v>
      </c>
      <c r="L33" s="8" t="s">
        <v>22</v>
      </c>
      <c r="M33" s="7" t="s">
        <v>19</v>
      </c>
      <c r="N33" s="10" t="s">
        <v>259</v>
      </c>
      <c r="O33" s="10" t="s">
        <v>247</v>
      </c>
    </row>
    <row r="34" ht="22.5" customHeight="1">
      <c r="A34" s="41" t="s">
        <v>260</v>
      </c>
      <c r="B34" s="41" t="s">
        <v>261</v>
      </c>
      <c r="C34" s="42">
        <v>3.0</v>
      </c>
      <c r="D34" s="6" t="s">
        <v>16</v>
      </c>
      <c r="E34" s="6" t="s">
        <v>40</v>
      </c>
      <c r="F34" s="5" t="s">
        <v>18</v>
      </c>
      <c r="G34" s="7" t="s">
        <v>19</v>
      </c>
      <c r="H34" s="5" t="s">
        <v>20</v>
      </c>
      <c r="I34" s="7" t="s">
        <v>31</v>
      </c>
      <c r="J34" s="8" t="s">
        <v>21</v>
      </c>
      <c r="K34" s="7" t="s">
        <v>26</v>
      </c>
      <c r="L34" s="8" t="s">
        <v>22</v>
      </c>
      <c r="M34" s="9"/>
      <c r="N34" s="10" t="s">
        <v>262</v>
      </c>
      <c r="O34" s="10" t="s">
        <v>253</v>
      </c>
    </row>
    <row r="35" ht="22.5" customHeight="1">
      <c r="A35" s="45" t="s">
        <v>263</v>
      </c>
      <c r="B35" s="45" t="s">
        <v>264</v>
      </c>
      <c r="C35" s="46">
        <v>4.0</v>
      </c>
      <c r="D35" s="47" t="s">
        <v>16</v>
      </c>
      <c r="E35" s="47" t="s">
        <v>30</v>
      </c>
      <c r="F35" s="48" t="s">
        <v>18</v>
      </c>
      <c r="G35" s="49" t="s">
        <v>19</v>
      </c>
      <c r="H35" s="48" t="s">
        <v>20</v>
      </c>
      <c r="I35" s="51"/>
      <c r="J35" s="50" t="s">
        <v>21</v>
      </c>
      <c r="K35" s="49" t="s">
        <v>19</v>
      </c>
      <c r="L35" s="50" t="s">
        <v>22</v>
      </c>
      <c r="M35" s="52"/>
      <c r="N35" s="53" t="s">
        <v>265</v>
      </c>
      <c r="O35" s="53" t="s">
        <v>266</v>
      </c>
    </row>
    <row r="36" ht="22.5" customHeight="1">
      <c r="A36" s="32" t="s">
        <v>267</v>
      </c>
      <c r="B36" s="32" t="s">
        <v>268</v>
      </c>
      <c r="C36" s="34">
        <v>1.0</v>
      </c>
      <c r="D36" s="35" t="s">
        <v>16</v>
      </c>
      <c r="E36" s="35" t="s">
        <v>49</v>
      </c>
      <c r="F36" s="36" t="s">
        <v>18</v>
      </c>
      <c r="G36" s="37" t="s">
        <v>19</v>
      </c>
      <c r="H36" s="36" t="s">
        <v>20</v>
      </c>
      <c r="I36" s="43"/>
      <c r="J36" s="38" t="s">
        <v>21</v>
      </c>
      <c r="K36" s="43"/>
      <c r="L36" s="38" t="s">
        <v>22</v>
      </c>
      <c r="M36" s="39"/>
      <c r="N36" s="40" t="s">
        <v>269</v>
      </c>
      <c r="O36" s="40" t="s">
        <v>212</v>
      </c>
    </row>
    <row r="37" ht="22.5" customHeight="1">
      <c r="A37" s="41" t="s">
        <v>270</v>
      </c>
      <c r="B37" s="41" t="s">
        <v>271</v>
      </c>
      <c r="C37" s="42">
        <v>4.0</v>
      </c>
      <c r="D37" s="6" t="s">
        <v>34</v>
      </c>
      <c r="E37" s="6" t="s">
        <v>40</v>
      </c>
      <c r="F37" s="5" t="s">
        <v>18</v>
      </c>
      <c r="G37" s="7" t="s">
        <v>19</v>
      </c>
      <c r="H37" s="5" t="s">
        <v>20</v>
      </c>
      <c r="I37" s="7" t="s">
        <v>31</v>
      </c>
      <c r="J37" s="8" t="s">
        <v>21</v>
      </c>
      <c r="K37" s="7" t="s">
        <v>31</v>
      </c>
      <c r="L37" s="8" t="s">
        <v>22</v>
      </c>
      <c r="M37" s="7" t="s">
        <v>31</v>
      </c>
      <c r="N37" s="10" t="s">
        <v>272</v>
      </c>
      <c r="O37" s="10" t="s">
        <v>273</v>
      </c>
    </row>
    <row r="38" ht="22.5" customHeight="1">
      <c r="A38" s="42" t="s">
        <v>274</v>
      </c>
      <c r="B38" s="41" t="s">
        <v>275</v>
      </c>
      <c r="C38" s="42">
        <v>4.0</v>
      </c>
      <c r="D38" s="6" t="s">
        <v>16</v>
      </c>
      <c r="E38" s="6" t="s">
        <v>40</v>
      </c>
      <c r="F38" s="5" t="s">
        <v>18</v>
      </c>
      <c r="G38" s="7" t="s">
        <v>19</v>
      </c>
      <c r="H38" s="5" t="s">
        <v>20</v>
      </c>
      <c r="I38" s="24"/>
      <c r="J38" s="8" t="s">
        <v>21</v>
      </c>
      <c r="K38" s="7" t="s">
        <v>19</v>
      </c>
      <c r="L38" s="8" t="s">
        <v>22</v>
      </c>
      <c r="M38" s="9"/>
      <c r="N38" s="10" t="s">
        <v>276</v>
      </c>
      <c r="O38" s="10" t="s">
        <v>277</v>
      </c>
    </row>
    <row r="39" ht="22.5" customHeight="1">
      <c r="A39" s="41" t="s">
        <v>248</v>
      </c>
      <c r="B39" s="41" t="s">
        <v>278</v>
      </c>
      <c r="C39" s="42">
        <v>5.0</v>
      </c>
      <c r="D39" s="6" t="s">
        <v>16</v>
      </c>
      <c r="E39" s="6" t="s">
        <v>40</v>
      </c>
      <c r="F39" s="5" t="s">
        <v>18</v>
      </c>
      <c r="G39" s="7" t="s">
        <v>19</v>
      </c>
      <c r="H39" s="5" t="s">
        <v>20</v>
      </c>
      <c r="I39" s="24"/>
      <c r="J39" s="8" t="s">
        <v>21</v>
      </c>
      <c r="K39" s="7" t="s">
        <v>19</v>
      </c>
      <c r="L39" s="8" t="s">
        <v>22</v>
      </c>
      <c r="M39" s="7" t="s">
        <v>19</v>
      </c>
      <c r="N39" s="10" t="s">
        <v>279</v>
      </c>
      <c r="O39" s="10" t="s">
        <v>277</v>
      </c>
    </row>
    <row r="40" ht="22.5" customHeight="1">
      <c r="A40" s="41" t="s">
        <v>280</v>
      </c>
      <c r="B40" s="41" t="s">
        <v>281</v>
      </c>
      <c r="C40" s="42">
        <v>2.0</v>
      </c>
      <c r="D40" s="6" t="s">
        <v>16</v>
      </c>
      <c r="E40" s="6" t="s">
        <v>40</v>
      </c>
      <c r="F40" s="5" t="s">
        <v>18</v>
      </c>
      <c r="G40" s="7" t="s">
        <v>19</v>
      </c>
      <c r="H40" s="5" t="s">
        <v>20</v>
      </c>
      <c r="I40" s="7" t="s">
        <v>31</v>
      </c>
      <c r="J40" s="8" t="s">
        <v>21</v>
      </c>
      <c r="K40" s="24"/>
      <c r="L40" s="8" t="s">
        <v>22</v>
      </c>
      <c r="M40" s="9"/>
      <c r="N40" s="10" t="s">
        <v>282</v>
      </c>
      <c r="O40" s="10" t="s">
        <v>204</v>
      </c>
    </row>
    <row r="41" ht="22.5" customHeight="1">
      <c r="A41" s="41" t="s">
        <v>283</v>
      </c>
      <c r="B41" s="41" t="s">
        <v>284</v>
      </c>
      <c r="C41" s="42">
        <v>3.0</v>
      </c>
      <c r="D41" s="6" t="s">
        <v>34</v>
      </c>
      <c r="E41" s="6" t="s">
        <v>30</v>
      </c>
      <c r="F41" s="5" t="s">
        <v>18</v>
      </c>
      <c r="G41" s="7" t="s">
        <v>19</v>
      </c>
      <c r="H41" s="5" t="s">
        <v>20</v>
      </c>
      <c r="I41" s="7" t="s">
        <v>19</v>
      </c>
      <c r="J41" s="8" t="s">
        <v>21</v>
      </c>
      <c r="K41" s="24"/>
      <c r="L41" s="8" t="s">
        <v>22</v>
      </c>
      <c r="M41" s="7" t="s">
        <v>31</v>
      </c>
      <c r="N41" s="10" t="s">
        <v>285</v>
      </c>
      <c r="O41" s="10" t="s">
        <v>253</v>
      </c>
    </row>
    <row r="42" ht="22.5" customHeight="1">
      <c r="A42" s="45" t="s">
        <v>286</v>
      </c>
      <c r="B42" s="45" t="s">
        <v>287</v>
      </c>
      <c r="C42" s="46">
        <v>1.0</v>
      </c>
      <c r="D42" s="47" t="s">
        <v>34</v>
      </c>
      <c r="E42" s="47" t="s">
        <v>30</v>
      </c>
      <c r="F42" s="48" t="s">
        <v>18</v>
      </c>
      <c r="G42" s="51"/>
      <c r="H42" s="48" t="s">
        <v>20</v>
      </c>
      <c r="I42" s="49" t="s">
        <v>31</v>
      </c>
      <c r="J42" s="50" t="s">
        <v>21</v>
      </c>
      <c r="K42" s="51"/>
      <c r="L42" s="50" t="s">
        <v>22</v>
      </c>
      <c r="M42" s="52"/>
      <c r="N42" s="53" t="s">
        <v>288</v>
      </c>
      <c r="O42" s="53" t="s">
        <v>289</v>
      </c>
    </row>
    <row r="43" ht="22.5" customHeight="1">
      <c r="A43" s="3"/>
      <c r="B43" s="41" t="s">
        <v>290</v>
      </c>
      <c r="C43" s="42">
        <v>2.0</v>
      </c>
      <c r="D43" s="6" t="s">
        <v>34</v>
      </c>
      <c r="E43" s="6" t="s">
        <v>40</v>
      </c>
      <c r="F43" s="5" t="s">
        <v>18</v>
      </c>
      <c r="G43" s="7" t="s">
        <v>31</v>
      </c>
      <c r="H43" s="5" t="s">
        <v>20</v>
      </c>
      <c r="I43" s="24"/>
      <c r="J43" s="8" t="s">
        <v>21</v>
      </c>
      <c r="K43" s="7" t="s">
        <v>31</v>
      </c>
      <c r="L43" s="8" t="s">
        <v>22</v>
      </c>
      <c r="M43" s="9"/>
      <c r="N43" s="10" t="s">
        <v>291</v>
      </c>
      <c r="O43" s="10" t="s">
        <v>292</v>
      </c>
    </row>
    <row r="44" ht="22.5" customHeight="1">
      <c r="A44" s="42" t="s">
        <v>293</v>
      </c>
      <c r="B44" s="41" t="s">
        <v>294</v>
      </c>
      <c r="C44" s="42">
        <v>3.0</v>
      </c>
      <c r="D44" s="6" t="s">
        <v>34</v>
      </c>
      <c r="E44" s="6" t="s">
        <v>40</v>
      </c>
      <c r="F44" s="5" t="s">
        <v>18</v>
      </c>
      <c r="G44" s="7" t="s">
        <v>31</v>
      </c>
      <c r="H44" s="5" t="s">
        <v>20</v>
      </c>
      <c r="I44" s="7" t="s">
        <v>31</v>
      </c>
      <c r="J44" s="8" t="s">
        <v>21</v>
      </c>
      <c r="K44" s="7" t="s">
        <v>19</v>
      </c>
      <c r="L44" s="8" t="s">
        <v>22</v>
      </c>
      <c r="M44" s="9"/>
      <c r="N44" s="10" t="s">
        <v>295</v>
      </c>
      <c r="O44" s="10" t="s">
        <v>296</v>
      </c>
    </row>
    <row r="45" ht="22.5" customHeight="1">
      <c r="A45" s="41" t="s">
        <v>297</v>
      </c>
      <c r="B45" s="41" t="s">
        <v>298</v>
      </c>
      <c r="C45" s="42">
        <v>2.0</v>
      </c>
      <c r="D45" s="6" t="s">
        <v>16</v>
      </c>
      <c r="E45" s="6" t="s">
        <v>40</v>
      </c>
      <c r="F45" s="5" t="s">
        <v>18</v>
      </c>
      <c r="G45" s="7" t="s">
        <v>19</v>
      </c>
      <c r="H45" s="5" t="s">
        <v>20</v>
      </c>
      <c r="I45" s="24"/>
      <c r="J45" s="8" t="s">
        <v>21</v>
      </c>
      <c r="K45" s="7" t="s">
        <v>31</v>
      </c>
      <c r="L45" s="8" t="s">
        <v>22</v>
      </c>
      <c r="M45" s="9"/>
      <c r="N45" s="10" t="s">
        <v>299</v>
      </c>
      <c r="O45" s="10" t="s">
        <v>223</v>
      </c>
    </row>
    <row r="46" ht="22.5" customHeight="1">
      <c r="A46" s="41" t="s">
        <v>300</v>
      </c>
      <c r="B46" s="41" t="s">
        <v>301</v>
      </c>
      <c r="C46" s="42">
        <v>2.0</v>
      </c>
      <c r="D46" s="6" t="s">
        <v>16</v>
      </c>
      <c r="E46" s="6" t="s">
        <v>17</v>
      </c>
      <c r="F46" s="5" t="s">
        <v>18</v>
      </c>
      <c r="G46" s="7" t="s">
        <v>19</v>
      </c>
      <c r="H46" s="5" t="s">
        <v>20</v>
      </c>
      <c r="I46" s="24"/>
      <c r="J46" s="8" t="s">
        <v>21</v>
      </c>
      <c r="K46" s="7" t="s">
        <v>19</v>
      </c>
      <c r="L46" s="8" t="s">
        <v>22</v>
      </c>
      <c r="M46" s="9"/>
      <c r="N46" s="10" t="s">
        <v>302</v>
      </c>
      <c r="O46" s="10" t="s">
        <v>227</v>
      </c>
    </row>
    <row r="47" ht="22.5" customHeight="1">
      <c r="A47" s="41" t="s">
        <v>303</v>
      </c>
      <c r="B47" s="41" t="s">
        <v>304</v>
      </c>
      <c r="C47" s="42">
        <v>2.0</v>
      </c>
      <c r="D47" s="6" t="s">
        <v>16</v>
      </c>
      <c r="E47" s="6" t="s">
        <v>40</v>
      </c>
      <c r="F47" s="5" t="s">
        <v>18</v>
      </c>
      <c r="G47" s="24"/>
      <c r="H47" s="5" t="s">
        <v>20</v>
      </c>
      <c r="I47" s="7" t="s">
        <v>19</v>
      </c>
      <c r="J47" s="8" t="s">
        <v>21</v>
      </c>
      <c r="K47" s="7" t="s">
        <v>31</v>
      </c>
      <c r="L47" s="8" t="s">
        <v>22</v>
      </c>
      <c r="M47" s="9"/>
      <c r="N47" s="10" t="s">
        <v>305</v>
      </c>
      <c r="O47" s="10" t="s">
        <v>227</v>
      </c>
    </row>
    <row r="48" ht="22.5" customHeight="1">
      <c r="A48" s="41" t="s">
        <v>306</v>
      </c>
      <c r="B48" s="41" t="s">
        <v>307</v>
      </c>
      <c r="C48" s="42">
        <v>2.0</v>
      </c>
      <c r="D48" s="6" t="s">
        <v>16</v>
      </c>
      <c r="E48" s="6" t="s">
        <v>40</v>
      </c>
      <c r="F48" s="5" t="s">
        <v>18</v>
      </c>
      <c r="G48" s="24"/>
      <c r="H48" s="5" t="s">
        <v>20</v>
      </c>
      <c r="I48" s="7" t="s">
        <v>19</v>
      </c>
      <c r="J48" s="8" t="s">
        <v>21</v>
      </c>
      <c r="K48" s="7" t="s">
        <v>31</v>
      </c>
      <c r="L48" s="8" t="s">
        <v>22</v>
      </c>
      <c r="M48" s="9"/>
      <c r="N48" s="10" t="s">
        <v>308</v>
      </c>
      <c r="O48" s="10" t="s">
        <v>227</v>
      </c>
    </row>
    <row r="49" ht="22.5" customHeight="1">
      <c r="A49" s="41" t="s">
        <v>309</v>
      </c>
      <c r="B49" s="41" t="s">
        <v>310</v>
      </c>
      <c r="C49" s="42">
        <v>2.0</v>
      </c>
      <c r="D49" s="6" t="s">
        <v>16</v>
      </c>
      <c r="E49" s="6" t="s">
        <v>17</v>
      </c>
      <c r="F49" s="5" t="s">
        <v>18</v>
      </c>
      <c r="G49" s="7" t="s">
        <v>19</v>
      </c>
      <c r="H49" s="5" t="s">
        <v>20</v>
      </c>
      <c r="I49" s="24"/>
      <c r="J49" s="8" t="s">
        <v>21</v>
      </c>
      <c r="K49" s="7" t="s">
        <v>19</v>
      </c>
      <c r="L49" s="8" t="s">
        <v>22</v>
      </c>
      <c r="M49" s="9"/>
      <c r="N49" s="10" t="s">
        <v>311</v>
      </c>
      <c r="O49" s="10" t="s">
        <v>227</v>
      </c>
    </row>
    <row r="50" ht="22.5" customHeight="1">
      <c r="A50" s="41" t="s">
        <v>312</v>
      </c>
      <c r="B50" s="41" t="s">
        <v>313</v>
      </c>
      <c r="C50" s="42">
        <v>2.0</v>
      </c>
      <c r="D50" s="6" t="s">
        <v>16</v>
      </c>
      <c r="E50" s="6" t="s">
        <v>17</v>
      </c>
      <c r="F50" s="5" t="s">
        <v>18</v>
      </c>
      <c r="G50" s="7" t="s">
        <v>19</v>
      </c>
      <c r="H50" s="5" t="s">
        <v>20</v>
      </c>
      <c r="I50" s="24"/>
      <c r="J50" s="8" t="s">
        <v>21</v>
      </c>
      <c r="K50" s="7" t="s">
        <v>19</v>
      </c>
      <c r="L50" s="8" t="s">
        <v>22</v>
      </c>
      <c r="M50" s="9"/>
      <c r="N50" s="10" t="s">
        <v>314</v>
      </c>
      <c r="O50" s="10" t="s">
        <v>227</v>
      </c>
    </row>
    <row r="51" ht="22.5" customHeight="1">
      <c r="A51" s="32" t="s">
        <v>315</v>
      </c>
      <c r="B51" s="32" t="s">
        <v>316</v>
      </c>
      <c r="C51" s="34">
        <v>1.0</v>
      </c>
      <c r="D51" s="35" t="s">
        <v>34</v>
      </c>
      <c r="E51" s="35" t="s">
        <v>49</v>
      </c>
      <c r="F51" s="36" t="s">
        <v>18</v>
      </c>
      <c r="G51" s="43"/>
      <c r="H51" s="36" t="s">
        <v>20</v>
      </c>
      <c r="I51" s="43"/>
      <c r="J51" s="38" t="s">
        <v>21</v>
      </c>
      <c r="K51" s="37" t="s">
        <v>31</v>
      </c>
      <c r="L51" s="38" t="s">
        <v>22</v>
      </c>
      <c r="M51" s="39"/>
      <c r="N51" s="40" t="s">
        <v>317</v>
      </c>
      <c r="O51" s="40" t="s">
        <v>227</v>
      </c>
    </row>
    <row r="52" ht="22.5" customHeight="1">
      <c r="A52" s="41" t="s">
        <v>318</v>
      </c>
      <c r="B52" s="41" t="s">
        <v>319</v>
      </c>
      <c r="C52" s="42">
        <v>3.0</v>
      </c>
      <c r="D52" s="6" t="s">
        <v>16</v>
      </c>
      <c r="E52" s="6" t="s">
        <v>17</v>
      </c>
      <c r="F52" s="5" t="s">
        <v>18</v>
      </c>
      <c r="G52" s="7" t="s">
        <v>19</v>
      </c>
      <c r="H52" s="5" t="s">
        <v>20</v>
      </c>
      <c r="I52" s="24"/>
      <c r="J52" s="8" t="s">
        <v>21</v>
      </c>
      <c r="K52" s="7" t="s">
        <v>19</v>
      </c>
      <c r="L52" s="8" t="s">
        <v>22</v>
      </c>
      <c r="M52" s="9"/>
      <c r="N52" s="10" t="s">
        <v>320</v>
      </c>
      <c r="O52" s="10" t="s">
        <v>227</v>
      </c>
    </row>
    <row r="53" ht="22.5" customHeight="1">
      <c r="A53" s="54"/>
      <c r="B53" s="32" t="s">
        <v>321</v>
      </c>
      <c r="C53" s="34">
        <v>1.0</v>
      </c>
      <c r="D53" s="35" t="s">
        <v>34</v>
      </c>
      <c r="E53" s="35" t="s">
        <v>49</v>
      </c>
      <c r="F53" s="36" t="s">
        <v>18</v>
      </c>
      <c r="G53" s="43"/>
      <c r="H53" s="36" t="s">
        <v>20</v>
      </c>
      <c r="I53" s="43"/>
      <c r="J53" s="38" t="s">
        <v>21</v>
      </c>
      <c r="K53" s="37" t="s">
        <v>31</v>
      </c>
      <c r="L53" s="38" t="s">
        <v>22</v>
      </c>
      <c r="M53" s="39"/>
      <c r="N53" s="40" t="s">
        <v>322</v>
      </c>
      <c r="O53" s="40" t="s">
        <v>212</v>
      </c>
    </row>
    <row r="54" ht="22.5" customHeight="1">
      <c r="A54" s="34" t="s">
        <v>323</v>
      </c>
      <c r="B54" s="32" t="s">
        <v>324</v>
      </c>
      <c r="C54" s="34">
        <v>2.0</v>
      </c>
      <c r="D54" s="35" t="s">
        <v>34</v>
      </c>
      <c r="E54" s="35" t="s">
        <v>49</v>
      </c>
      <c r="F54" s="36" t="s">
        <v>18</v>
      </c>
      <c r="G54" s="43"/>
      <c r="H54" s="36" t="s">
        <v>20</v>
      </c>
      <c r="I54" s="37" t="s">
        <v>31</v>
      </c>
      <c r="J54" s="38" t="s">
        <v>21</v>
      </c>
      <c r="K54" s="37" t="s">
        <v>31</v>
      </c>
      <c r="L54" s="38" t="s">
        <v>22</v>
      </c>
      <c r="M54" s="39"/>
      <c r="N54" s="40" t="s">
        <v>325</v>
      </c>
      <c r="O54" s="40" t="s">
        <v>212</v>
      </c>
    </row>
    <row r="55" ht="22.5" customHeight="1">
      <c r="A55" s="55"/>
      <c r="B55" s="41" t="s">
        <v>326</v>
      </c>
      <c r="C55" s="42">
        <v>2.0</v>
      </c>
      <c r="D55" s="6" t="s">
        <v>16</v>
      </c>
      <c r="E55" s="6" t="s">
        <v>17</v>
      </c>
      <c r="F55" s="5" t="s">
        <v>18</v>
      </c>
      <c r="G55" s="7" t="s">
        <v>19</v>
      </c>
      <c r="H55" s="5" t="s">
        <v>20</v>
      </c>
      <c r="I55" s="24"/>
      <c r="J55" s="8" t="s">
        <v>21</v>
      </c>
      <c r="K55" s="7" t="s">
        <v>19</v>
      </c>
      <c r="L55" s="8" t="s">
        <v>22</v>
      </c>
      <c r="M55" s="9"/>
      <c r="N55" s="10" t="s">
        <v>314</v>
      </c>
      <c r="O55" s="10" t="s">
        <v>227</v>
      </c>
    </row>
    <row r="56" ht="22.5" customHeight="1">
      <c r="A56" s="45" t="s">
        <v>327</v>
      </c>
      <c r="B56" s="45" t="s">
        <v>328</v>
      </c>
      <c r="C56" s="46">
        <v>2.0</v>
      </c>
      <c r="D56" s="47" t="s">
        <v>16</v>
      </c>
      <c r="E56" s="47" t="s">
        <v>30</v>
      </c>
      <c r="F56" s="48" t="s">
        <v>18</v>
      </c>
      <c r="G56" s="51"/>
      <c r="H56" s="48" t="s">
        <v>20</v>
      </c>
      <c r="I56" s="51"/>
      <c r="J56" s="50" t="s">
        <v>21</v>
      </c>
      <c r="K56" s="49" t="s">
        <v>19</v>
      </c>
      <c r="L56" s="50" t="s">
        <v>22</v>
      </c>
      <c r="M56" s="52"/>
      <c r="N56" s="53" t="s">
        <v>329</v>
      </c>
      <c r="O56" s="53" t="s">
        <v>227</v>
      </c>
    </row>
    <row r="57" ht="22.5" customHeight="1">
      <c r="A57" s="32" t="s">
        <v>330</v>
      </c>
      <c r="B57" s="32" t="s">
        <v>331</v>
      </c>
      <c r="C57" s="34">
        <v>1.0</v>
      </c>
      <c r="D57" s="35" t="s">
        <v>34</v>
      </c>
      <c r="E57" s="35" t="s">
        <v>49</v>
      </c>
      <c r="F57" s="36" t="s">
        <v>18</v>
      </c>
      <c r="G57" s="43"/>
      <c r="H57" s="36" t="s">
        <v>20</v>
      </c>
      <c r="I57" s="43"/>
      <c r="J57" s="38" t="s">
        <v>21</v>
      </c>
      <c r="K57" s="37" t="s">
        <v>31</v>
      </c>
      <c r="L57" s="38" t="s">
        <v>22</v>
      </c>
      <c r="M57" s="39"/>
      <c r="N57" s="40" t="s">
        <v>332</v>
      </c>
      <c r="O57" s="40" t="s">
        <v>212</v>
      </c>
    </row>
    <row r="58" ht="22.5" customHeight="1">
      <c r="A58" s="32" t="s">
        <v>333</v>
      </c>
      <c r="B58" s="32" t="s">
        <v>334</v>
      </c>
      <c r="C58" s="34">
        <v>1.0</v>
      </c>
      <c r="D58" s="35" t="s">
        <v>34</v>
      </c>
      <c r="E58" s="35" t="s">
        <v>49</v>
      </c>
      <c r="F58" s="36" t="s">
        <v>18</v>
      </c>
      <c r="G58" s="43"/>
      <c r="H58" s="36" t="s">
        <v>20</v>
      </c>
      <c r="I58" s="43"/>
      <c r="J58" s="38" t="s">
        <v>21</v>
      </c>
      <c r="K58" s="43"/>
      <c r="L58" s="38" t="s">
        <v>22</v>
      </c>
      <c r="M58" s="37" t="s">
        <v>31</v>
      </c>
      <c r="N58" s="40" t="s">
        <v>322</v>
      </c>
      <c r="O58" s="40" t="s">
        <v>212</v>
      </c>
    </row>
    <row r="59" ht="22.5" customHeight="1">
      <c r="A59" s="56"/>
      <c r="B59" s="41" t="s">
        <v>335</v>
      </c>
      <c r="C59" s="42">
        <v>2.0</v>
      </c>
      <c r="D59" s="6" t="s">
        <v>16</v>
      </c>
      <c r="E59" s="6" t="s">
        <v>17</v>
      </c>
      <c r="F59" s="5" t="s">
        <v>18</v>
      </c>
      <c r="G59" s="7" t="s">
        <v>19</v>
      </c>
      <c r="H59" s="5" t="s">
        <v>20</v>
      </c>
      <c r="I59" s="24"/>
      <c r="J59" s="8" t="s">
        <v>21</v>
      </c>
      <c r="K59" s="24"/>
      <c r="L59" s="8" t="s">
        <v>22</v>
      </c>
      <c r="M59" s="7" t="s">
        <v>19</v>
      </c>
      <c r="N59" s="10" t="s">
        <v>314</v>
      </c>
      <c r="O59" s="10" t="s">
        <v>227</v>
      </c>
    </row>
    <row r="60" ht="22.5" customHeight="1">
      <c r="A60" s="55"/>
      <c r="B60" s="41" t="s">
        <v>336</v>
      </c>
      <c r="C60" s="42">
        <v>1.0</v>
      </c>
      <c r="D60" s="6" t="s">
        <v>34</v>
      </c>
      <c r="E60" s="6" t="s">
        <v>40</v>
      </c>
      <c r="F60" s="5" t="s">
        <v>18</v>
      </c>
      <c r="G60" s="24"/>
      <c r="H60" s="5" t="s">
        <v>20</v>
      </c>
      <c r="I60" s="24"/>
      <c r="J60" s="8" t="s">
        <v>21</v>
      </c>
      <c r="K60" s="24"/>
      <c r="L60" s="8" t="s">
        <v>22</v>
      </c>
      <c r="M60" s="7" t="s">
        <v>31</v>
      </c>
      <c r="N60" s="10" t="s">
        <v>337</v>
      </c>
      <c r="O60" s="10" t="s">
        <v>227</v>
      </c>
    </row>
    <row r="61" ht="22.5" customHeight="1">
      <c r="A61" s="41" t="s">
        <v>338</v>
      </c>
      <c r="B61" s="41" t="s">
        <v>339</v>
      </c>
      <c r="C61" s="42">
        <v>2.0</v>
      </c>
      <c r="D61" s="6" t="s">
        <v>34</v>
      </c>
      <c r="E61" s="6" t="s">
        <v>40</v>
      </c>
      <c r="F61" s="5" t="s">
        <v>18</v>
      </c>
      <c r="G61" s="24"/>
      <c r="H61" s="5" t="s">
        <v>20</v>
      </c>
      <c r="I61" s="7" t="s">
        <v>31</v>
      </c>
      <c r="J61" s="8" t="s">
        <v>21</v>
      </c>
      <c r="K61" s="24"/>
      <c r="L61" s="8" t="s">
        <v>22</v>
      </c>
      <c r="M61" s="7" t="s">
        <v>31</v>
      </c>
      <c r="N61" s="10" t="s">
        <v>340</v>
      </c>
      <c r="O61" s="10" t="s">
        <v>176</v>
      </c>
    </row>
    <row r="62" ht="22.5" customHeight="1">
      <c r="A62" s="41" t="s">
        <v>341</v>
      </c>
      <c r="B62" s="41" t="s">
        <v>342</v>
      </c>
      <c r="C62" s="42">
        <v>2.0</v>
      </c>
      <c r="D62" s="6" t="s">
        <v>16</v>
      </c>
      <c r="E62" s="6" t="s">
        <v>17</v>
      </c>
      <c r="F62" s="5" t="s">
        <v>18</v>
      </c>
      <c r="G62" s="7" t="s">
        <v>19</v>
      </c>
      <c r="H62" s="5" t="s">
        <v>20</v>
      </c>
      <c r="I62" s="24"/>
      <c r="J62" s="8" t="s">
        <v>21</v>
      </c>
      <c r="K62" s="24"/>
      <c r="L62" s="8" t="s">
        <v>22</v>
      </c>
      <c r="M62" s="7" t="s">
        <v>19</v>
      </c>
      <c r="N62" s="10" t="s">
        <v>314</v>
      </c>
      <c r="O62" s="10" t="s">
        <v>227</v>
      </c>
    </row>
    <row r="63" ht="22.5" customHeight="1">
      <c r="A63" s="41" t="s">
        <v>343</v>
      </c>
      <c r="B63" s="41" t="s">
        <v>344</v>
      </c>
      <c r="C63" s="42">
        <v>2.0</v>
      </c>
      <c r="D63" s="6" t="s">
        <v>16</v>
      </c>
      <c r="E63" s="6" t="s">
        <v>17</v>
      </c>
      <c r="F63" s="5" t="s">
        <v>18</v>
      </c>
      <c r="G63" s="7" t="s">
        <v>19</v>
      </c>
      <c r="H63" s="5" t="s">
        <v>20</v>
      </c>
      <c r="I63" s="24"/>
      <c r="J63" s="8" t="s">
        <v>21</v>
      </c>
      <c r="K63" s="24"/>
      <c r="L63" s="8" t="s">
        <v>22</v>
      </c>
      <c r="M63" s="7" t="s">
        <v>19</v>
      </c>
      <c r="N63" s="10" t="s">
        <v>345</v>
      </c>
      <c r="O63" s="10" t="s">
        <v>227</v>
      </c>
    </row>
    <row r="64" ht="22.5" customHeight="1">
      <c r="A64" s="32" t="s">
        <v>346</v>
      </c>
      <c r="B64" s="32" t="s">
        <v>347</v>
      </c>
      <c r="C64" s="34">
        <v>1.0</v>
      </c>
      <c r="D64" s="35" t="s">
        <v>34</v>
      </c>
      <c r="E64" s="35" t="s">
        <v>49</v>
      </c>
      <c r="F64" s="36" t="s">
        <v>18</v>
      </c>
      <c r="G64" s="43"/>
      <c r="H64" s="36" t="s">
        <v>20</v>
      </c>
      <c r="I64" s="43"/>
      <c r="J64" s="38" t="s">
        <v>21</v>
      </c>
      <c r="K64" s="43"/>
      <c r="L64" s="38" t="s">
        <v>22</v>
      </c>
      <c r="M64" s="37" t="s">
        <v>31</v>
      </c>
      <c r="N64" s="40" t="s">
        <v>348</v>
      </c>
      <c r="O64" s="40" t="s">
        <v>212</v>
      </c>
    </row>
    <row r="65" ht="22.5" customHeight="1">
      <c r="A65" s="41" t="s">
        <v>349</v>
      </c>
      <c r="B65" s="41" t="s">
        <v>350</v>
      </c>
      <c r="C65" s="42">
        <v>2.0</v>
      </c>
      <c r="D65" s="6" t="s">
        <v>16</v>
      </c>
      <c r="E65" s="6" t="s">
        <v>17</v>
      </c>
      <c r="F65" s="5" t="s">
        <v>18</v>
      </c>
      <c r="G65" s="7" t="s">
        <v>19</v>
      </c>
      <c r="H65" s="5" t="s">
        <v>20</v>
      </c>
      <c r="I65" s="24"/>
      <c r="J65" s="8" t="s">
        <v>21</v>
      </c>
      <c r="K65" s="24"/>
      <c r="L65" s="8" t="s">
        <v>22</v>
      </c>
      <c r="M65" s="7" t="s">
        <v>19</v>
      </c>
      <c r="N65" s="10" t="s">
        <v>351</v>
      </c>
      <c r="O65" s="10" t="s">
        <v>227</v>
      </c>
    </row>
    <row r="66" ht="22.5" customHeight="1">
      <c r="A66" s="41" t="s">
        <v>352</v>
      </c>
      <c r="B66" s="41" t="s">
        <v>353</v>
      </c>
      <c r="C66" s="42">
        <v>2.0</v>
      </c>
      <c r="D66" s="6" t="s">
        <v>16</v>
      </c>
      <c r="E66" s="6" t="s">
        <v>40</v>
      </c>
      <c r="F66" s="5" t="s">
        <v>18</v>
      </c>
      <c r="G66" s="24"/>
      <c r="H66" s="5" t="s">
        <v>20</v>
      </c>
      <c r="I66" s="24"/>
      <c r="J66" s="8" t="s">
        <v>21</v>
      </c>
      <c r="K66" s="7" t="s">
        <v>19</v>
      </c>
      <c r="L66" s="8" t="s">
        <v>22</v>
      </c>
      <c r="M66" s="7" t="s">
        <v>31</v>
      </c>
      <c r="N66" s="10" t="s">
        <v>354</v>
      </c>
      <c r="O66" s="10" t="s">
        <v>227</v>
      </c>
    </row>
    <row r="67" ht="22.5" customHeight="1">
      <c r="A67" s="55"/>
      <c r="B67" s="41" t="s">
        <v>355</v>
      </c>
      <c r="C67" s="42">
        <v>3.0</v>
      </c>
      <c r="D67" s="6" t="s">
        <v>16</v>
      </c>
      <c r="E67" s="6" t="s">
        <v>40</v>
      </c>
      <c r="F67" s="5" t="s">
        <v>18</v>
      </c>
      <c r="G67" s="7" t="s">
        <v>31</v>
      </c>
      <c r="H67" s="5" t="s">
        <v>20</v>
      </c>
      <c r="I67" s="7" t="s">
        <v>19</v>
      </c>
      <c r="J67" s="8" t="s">
        <v>21</v>
      </c>
      <c r="K67" s="24"/>
      <c r="L67" s="8" t="s">
        <v>22</v>
      </c>
      <c r="M67" s="7" t="s">
        <v>19</v>
      </c>
      <c r="N67" s="10" t="s">
        <v>356</v>
      </c>
      <c r="O67" s="10" t="s">
        <v>204</v>
      </c>
    </row>
    <row r="68" ht="22.5" customHeight="1">
      <c r="A68" s="32" t="s">
        <v>357</v>
      </c>
      <c r="B68" s="32" t="s">
        <v>358</v>
      </c>
      <c r="C68" s="34">
        <v>1.0</v>
      </c>
      <c r="D68" s="35" t="s">
        <v>34</v>
      </c>
      <c r="E68" s="35" t="s">
        <v>49</v>
      </c>
      <c r="F68" s="36" t="s">
        <v>18</v>
      </c>
      <c r="G68" s="43"/>
      <c r="H68" s="36" t="s">
        <v>20</v>
      </c>
      <c r="I68" s="43"/>
      <c r="J68" s="38" t="s">
        <v>21</v>
      </c>
      <c r="K68" s="43"/>
      <c r="L68" s="38" t="s">
        <v>22</v>
      </c>
      <c r="M68" s="37" t="s">
        <v>31</v>
      </c>
      <c r="N68" s="40" t="s">
        <v>359</v>
      </c>
      <c r="O68" s="40" t="s">
        <v>219</v>
      </c>
    </row>
    <row r="69" ht="22.5" customHeight="1">
      <c r="A69" s="41" t="s">
        <v>360</v>
      </c>
      <c r="B69" s="41" t="s">
        <v>361</v>
      </c>
      <c r="C69" s="42">
        <v>2.0</v>
      </c>
      <c r="D69" s="6" t="s">
        <v>16</v>
      </c>
      <c r="E69" s="6" t="s">
        <v>17</v>
      </c>
      <c r="F69" s="5" t="s">
        <v>18</v>
      </c>
      <c r="G69" s="7" t="s">
        <v>19</v>
      </c>
      <c r="H69" s="5" t="s">
        <v>20</v>
      </c>
      <c r="I69" s="24"/>
      <c r="J69" s="8" t="s">
        <v>21</v>
      </c>
      <c r="K69" s="24"/>
      <c r="L69" s="8" t="s">
        <v>22</v>
      </c>
      <c r="M69" s="7" t="s">
        <v>19</v>
      </c>
      <c r="N69" s="10" t="s">
        <v>314</v>
      </c>
      <c r="O69" s="10" t="s">
        <v>227</v>
      </c>
    </row>
    <row r="70" ht="22.5" customHeight="1">
      <c r="A70" s="3"/>
      <c r="B70" s="3"/>
      <c r="C70" s="5"/>
      <c r="D70" s="57"/>
      <c r="E70" s="57"/>
      <c r="F70" s="5" t="s">
        <v>18</v>
      </c>
      <c r="G70" s="24"/>
      <c r="H70" s="5" t="s">
        <v>20</v>
      </c>
      <c r="I70" s="24"/>
      <c r="J70" s="8" t="s">
        <v>21</v>
      </c>
      <c r="K70" s="24"/>
      <c r="L70" s="8" t="s">
        <v>22</v>
      </c>
      <c r="M70" s="9"/>
      <c r="N70" s="10"/>
      <c r="O70" s="5"/>
    </row>
    <row r="71" ht="22.5" customHeight="1">
      <c r="A71" s="3"/>
      <c r="B71" s="3"/>
      <c r="C71" s="5"/>
      <c r="D71" s="57"/>
      <c r="E71" s="57"/>
      <c r="F71" s="5" t="s">
        <v>18</v>
      </c>
      <c r="G71" s="24"/>
      <c r="H71" s="5" t="s">
        <v>20</v>
      </c>
      <c r="I71" s="24"/>
      <c r="J71" s="8" t="s">
        <v>21</v>
      </c>
      <c r="K71" s="24"/>
      <c r="L71" s="8" t="s">
        <v>22</v>
      </c>
      <c r="M71" s="9"/>
      <c r="N71" s="10"/>
      <c r="O71" s="5"/>
    </row>
    <row r="72" ht="22.5" customHeight="1">
      <c r="A72" s="3"/>
      <c r="B72" s="3"/>
      <c r="C72" s="5"/>
      <c r="D72" s="57"/>
      <c r="E72" s="57"/>
      <c r="F72" s="5" t="s">
        <v>18</v>
      </c>
      <c r="G72" s="24"/>
      <c r="H72" s="5" t="s">
        <v>20</v>
      </c>
      <c r="I72" s="24"/>
      <c r="J72" s="8" t="s">
        <v>21</v>
      </c>
      <c r="K72" s="24"/>
      <c r="L72" s="8" t="s">
        <v>22</v>
      </c>
      <c r="M72" s="9"/>
      <c r="N72" s="10"/>
      <c r="O72" s="5"/>
    </row>
    <row r="73" ht="22.5" customHeight="1">
      <c r="A73" s="5"/>
      <c r="B73" s="3"/>
      <c r="C73" s="5"/>
      <c r="D73" s="57"/>
      <c r="E73" s="57"/>
      <c r="F73" s="5" t="s">
        <v>18</v>
      </c>
      <c r="G73" s="24"/>
      <c r="H73" s="5" t="s">
        <v>20</v>
      </c>
      <c r="I73" s="24"/>
      <c r="J73" s="8" t="s">
        <v>21</v>
      </c>
      <c r="K73" s="24"/>
      <c r="L73" s="8" t="s">
        <v>22</v>
      </c>
      <c r="M73" s="9"/>
      <c r="N73" s="10"/>
      <c r="O73" s="5"/>
    </row>
    <row r="74" ht="22.5" customHeight="1">
      <c r="A74" s="3"/>
      <c r="B74" s="3"/>
      <c r="C74" s="5"/>
      <c r="D74" s="57"/>
      <c r="E74" s="57"/>
      <c r="F74" s="5" t="s">
        <v>18</v>
      </c>
      <c r="G74" s="24"/>
      <c r="H74" s="5" t="s">
        <v>20</v>
      </c>
      <c r="I74" s="24"/>
      <c r="J74" s="8" t="s">
        <v>21</v>
      </c>
      <c r="K74" s="24"/>
      <c r="L74" s="8" t="s">
        <v>22</v>
      </c>
      <c r="M74" s="9"/>
      <c r="N74" s="10"/>
      <c r="O74" s="5"/>
    </row>
    <row r="75" ht="22.5" customHeight="1">
      <c r="A75" s="3"/>
      <c r="B75" s="3"/>
      <c r="C75" s="5"/>
      <c r="D75" s="57"/>
      <c r="E75" s="57"/>
      <c r="F75" s="5" t="s">
        <v>18</v>
      </c>
      <c r="G75" s="24"/>
      <c r="H75" s="5" t="s">
        <v>20</v>
      </c>
      <c r="I75" s="24"/>
      <c r="J75" s="8" t="s">
        <v>21</v>
      </c>
      <c r="K75" s="24"/>
      <c r="L75" s="8" t="s">
        <v>22</v>
      </c>
      <c r="M75" s="9"/>
      <c r="N75" s="10"/>
      <c r="O75" s="5"/>
    </row>
    <row r="76" ht="22.5" customHeight="1">
      <c r="A76" s="3"/>
      <c r="B76" s="3"/>
      <c r="C76" s="5"/>
      <c r="D76" s="57"/>
      <c r="E76" s="57"/>
      <c r="F76" s="5" t="s">
        <v>18</v>
      </c>
      <c r="G76" s="24"/>
      <c r="H76" s="5" t="s">
        <v>20</v>
      </c>
      <c r="I76" s="24"/>
      <c r="J76" s="8" t="s">
        <v>21</v>
      </c>
      <c r="K76" s="24"/>
      <c r="L76" s="8" t="s">
        <v>22</v>
      </c>
      <c r="M76" s="9"/>
      <c r="N76" s="10"/>
      <c r="O76" s="5"/>
    </row>
    <row r="77" ht="22.5" customHeight="1">
      <c r="A77" s="3"/>
      <c r="B77" s="3"/>
      <c r="C77" s="5"/>
      <c r="D77" s="57"/>
      <c r="E77" s="57"/>
      <c r="F77" s="5" t="s">
        <v>18</v>
      </c>
      <c r="G77" s="24"/>
      <c r="H77" s="5" t="s">
        <v>20</v>
      </c>
      <c r="I77" s="24"/>
      <c r="J77" s="8" t="s">
        <v>21</v>
      </c>
      <c r="K77" s="24"/>
      <c r="L77" s="8" t="s">
        <v>22</v>
      </c>
      <c r="M77" s="9"/>
      <c r="N77" s="10"/>
      <c r="O77" s="5"/>
    </row>
    <row r="78" ht="22.5" customHeight="1">
      <c r="A78" s="3"/>
      <c r="B78" s="3"/>
      <c r="C78" s="5"/>
      <c r="D78" s="57"/>
      <c r="E78" s="57"/>
      <c r="F78" s="5" t="s">
        <v>18</v>
      </c>
      <c r="G78" s="24"/>
      <c r="H78" s="5" t="s">
        <v>20</v>
      </c>
      <c r="I78" s="24"/>
      <c r="J78" s="8" t="s">
        <v>21</v>
      </c>
      <c r="K78" s="24"/>
      <c r="L78" s="8" t="s">
        <v>22</v>
      </c>
      <c r="M78" s="9"/>
      <c r="N78" s="10"/>
      <c r="O78" s="5"/>
    </row>
    <row r="79" ht="22.5" customHeight="1">
      <c r="A79" s="3"/>
      <c r="B79" s="3"/>
      <c r="C79" s="5"/>
      <c r="D79" s="57"/>
      <c r="E79" s="57"/>
      <c r="F79" s="5" t="s">
        <v>18</v>
      </c>
      <c r="G79" s="24"/>
      <c r="H79" s="5" t="s">
        <v>20</v>
      </c>
      <c r="I79" s="24"/>
      <c r="J79" s="8" t="s">
        <v>21</v>
      </c>
      <c r="K79" s="24"/>
      <c r="L79" s="8" t="s">
        <v>22</v>
      </c>
      <c r="M79" s="9"/>
      <c r="N79" s="10"/>
      <c r="O79" s="5"/>
    </row>
    <row r="80" ht="22.5" customHeight="1">
      <c r="A80" s="3"/>
      <c r="B80" s="3"/>
      <c r="C80" s="5"/>
      <c r="D80" s="57"/>
      <c r="E80" s="57"/>
      <c r="F80" s="5" t="s">
        <v>18</v>
      </c>
      <c r="G80" s="24"/>
      <c r="H80" s="5" t="s">
        <v>20</v>
      </c>
      <c r="I80" s="24"/>
      <c r="J80" s="8" t="s">
        <v>21</v>
      </c>
      <c r="K80" s="24"/>
      <c r="L80" s="8" t="s">
        <v>22</v>
      </c>
      <c r="M80" s="9"/>
      <c r="N80" s="10"/>
      <c r="O80" s="5"/>
    </row>
    <row r="81" ht="22.5" customHeight="1">
      <c r="A81" s="3"/>
      <c r="B81" s="3"/>
      <c r="C81" s="5"/>
      <c r="D81" s="57"/>
      <c r="E81" s="57"/>
      <c r="F81" s="5" t="s">
        <v>18</v>
      </c>
      <c r="G81" s="24"/>
      <c r="H81" s="5" t="s">
        <v>20</v>
      </c>
      <c r="I81" s="24"/>
      <c r="J81" s="8" t="s">
        <v>21</v>
      </c>
      <c r="K81" s="24"/>
      <c r="L81" s="8" t="s">
        <v>22</v>
      </c>
      <c r="M81" s="9"/>
      <c r="N81" s="10"/>
      <c r="O81" s="5"/>
    </row>
    <row r="82" ht="22.5" customHeight="1">
      <c r="A82" s="3"/>
      <c r="B82" s="3"/>
      <c r="C82" s="5"/>
      <c r="D82" s="57"/>
      <c r="E82" s="57"/>
      <c r="F82" s="5" t="s">
        <v>18</v>
      </c>
      <c r="G82" s="24"/>
      <c r="H82" s="5" t="s">
        <v>20</v>
      </c>
      <c r="I82" s="24"/>
      <c r="J82" s="8" t="s">
        <v>21</v>
      </c>
      <c r="K82" s="24"/>
      <c r="L82" s="8" t="s">
        <v>22</v>
      </c>
      <c r="M82" s="9"/>
      <c r="N82" s="10"/>
      <c r="O82" s="5"/>
    </row>
    <row r="83" ht="22.5" customHeight="1">
      <c r="A83" s="3"/>
      <c r="B83" s="3"/>
      <c r="C83" s="5"/>
      <c r="D83" s="57"/>
      <c r="E83" s="57"/>
      <c r="F83" s="5" t="s">
        <v>18</v>
      </c>
      <c r="G83" s="24"/>
      <c r="H83" s="5" t="s">
        <v>20</v>
      </c>
      <c r="I83" s="24"/>
      <c r="J83" s="8" t="s">
        <v>21</v>
      </c>
      <c r="K83" s="24"/>
      <c r="L83" s="8" t="s">
        <v>22</v>
      </c>
      <c r="M83" s="9"/>
      <c r="N83" s="10"/>
      <c r="O83" s="5"/>
    </row>
    <row r="84" ht="22.5" customHeight="1">
      <c r="A84" s="3"/>
      <c r="B84" s="3"/>
      <c r="C84" s="5"/>
      <c r="D84" s="57"/>
      <c r="E84" s="57"/>
      <c r="F84" s="5" t="s">
        <v>18</v>
      </c>
      <c r="G84" s="24"/>
      <c r="H84" s="5" t="s">
        <v>20</v>
      </c>
      <c r="I84" s="24"/>
      <c r="J84" s="8" t="s">
        <v>21</v>
      </c>
      <c r="K84" s="24"/>
      <c r="L84" s="8" t="s">
        <v>22</v>
      </c>
      <c r="M84" s="9"/>
      <c r="N84" s="10"/>
      <c r="O84" s="5"/>
    </row>
    <row r="85" ht="22.5" customHeight="1">
      <c r="A85" s="3"/>
      <c r="B85" s="3"/>
      <c r="C85" s="5"/>
      <c r="D85" s="57"/>
      <c r="E85" s="57"/>
      <c r="F85" s="5" t="s">
        <v>18</v>
      </c>
      <c r="G85" s="24"/>
      <c r="H85" s="5" t="s">
        <v>20</v>
      </c>
      <c r="I85" s="24"/>
      <c r="J85" s="8" t="s">
        <v>21</v>
      </c>
      <c r="K85" s="24"/>
      <c r="L85" s="8" t="s">
        <v>22</v>
      </c>
      <c r="M85" s="9"/>
      <c r="N85" s="10"/>
      <c r="O85" s="5"/>
    </row>
    <row r="86" ht="22.5" customHeight="1">
      <c r="A86" s="3"/>
      <c r="B86" s="3"/>
      <c r="C86" s="5"/>
      <c r="D86" s="57"/>
      <c r="E86" s="57"/>
      <c r="F86" s="5" t="s">
        <v>18</v>
      </c>
      <c r="G86" s="24"/>
      <c r="H86" s="5" t="s">
        <v>20</v>
      </c>
      <c r="I86" s="24"/>
      <c r="J86" s="8" t="s">
        <v>21</v>
      </c>
      <c r="K86" s="24"/>
      <c r="L86" s="8" t="s">
        <v>22</v>
      </c>
      <c r="M86" s="9"/>
      <c r="N86" s="10"/>
      <c r="O86" s="5"/>
    </row>
    <row r="87" ht="22.5" customHeight="1">
      <c r="A87" s="3"/>
      <c r="B87" s="3"/>
      <c r="C87" s="5"/>
      <c r="D87" s="57"/>
      <c r="E87" s="57"/>
      <c r="F87" s="5" t="s">
        <v>18</v>
      </c>
      <c r="G87" s="24"/>
      <c r="H87" s="5" t="s">
        <v>20</v>
      </c>
      <c r="I87" s="24"/>
      <c r="J87" s="8" t="s">
        <v>21</v>
      </c>
      <c r="K87" s="24"/>
      <c r="L87" s="8" t="s">
        <v>22</v>
      </c>
      <c r="M87" s="9"/>
      <c r="N87" s="10"/>
      <c r="O87" s="5"/>
    </row>
    <row r="88" ht="22.5" customHeight="1">
      <c r="A88" s="3"/>
      <c r="B88" s="3"/>
      <c r="C88" s="5"/>
      <c r="D88" s="57"/>
      <c r="E88" s="57"/>
      <c r="F88" s="5" t="s">
        <v>18</v>
      </c>
      <c r="G88" s="24"/>
      <c r="H88" s="5" t="s">
        <v>20</v>
      </c>
      <c r="I88" s="24"/>
      <c r="J88" s="8" t="s">
        <v>21</v>
      </c>
      <c r="K88" s="24"/>
      <c r="L88" s="8" t="s">
        <v>22</v>
      </c>
      <c r="M88" s="9"/>
      <c r="N88" s="10"/>
      <c r="O88" s="5"/>
    </row>
    <row r="89" ht="22.5" customHeight="1">
      <c r="A89" s="3"/>
      <c r="B89" s="3"/>
      <c r="C89" s="5"/>
      <c r="D89" s="57"/>
      <c r="E89" s="57"/>
      <c r="F89" s="5" t="s">
        <v>18</v>
      </c>
      <c r="G89" s="24"/>
      <c r="H89" s="5" t="s">
        <v>20</v>
      </c>
      <c r="I89" s="24"/>
      <c r="J89" s="8" t="s">
        <v>21</v>
      </c>
      <c r="K89" s="24"/>
      <c r="L89" s="8" t="s">
        <v>22</v>
      </c>
      <c r="M89" s="9"/>
      <c r="N89" s="10"/>
      <c r="O89" s="5"/>
    </row>
    <row r="90" ht="22.5" customHeight="1">
      <c r="A90" s="3"/>
      <c r="B90" s="3"/>
      <c r="C90" s="5"/>
      <c r="D90" s="57"/>
      <c r="E90" s="57"/>
      <c r="F90" s="5" t="s">
        <v>18</v>
      </c>
      <c r="G90" s="24"/>
      <c r="H90" s="5" t="s">
        <v>20</v>
      </c>
      <c r="I90" s="24"/>
      <c r="J90" s="8" t="s">
        <v>21</v>
      </c>
      <c r="K90" s="24"/>
      <c r="L90" s="8" t="s">
        <v>22</v>
      </c>
      <c r="M90" s="9"/>
      <c r="N90" s="10"/>
      <c r="O90" s="5"/>
    </row>
    <row r="91" ht="22.5" customHeight="1">
      <c r="A91" s="3"/>
      <c r="B91" s="3"/>
      <c r="C91" s="5"/>
      <c r="D91" s="57"/>
      <c r="E91" s="57"/>
      <c r="F91" s="5" t="s">
        <v>18</v>
      </c>
      <c r="G91" s="24"/>
      <c r="H91" s="5" t="s">
        <v>20</v>
      </c>
      <c r="I91" s="24"/>
      <c r="J91" s="8" t="s">
        <v>21</v>
      </c>
      <c r="K91" s="24"/>
      <c r="L91" s="8" t="s">
        <v>22</v>
      </c>
      <c r="M91" s="9"/>
      <c r="N91" s="10"/>
      <c r="O91" s="5"/>
    </row>
    <row r="92" ht="22.5" customHeight="1">
      <c r="A92" s="3"/>
      <c r="B92" s="3"/>
      <c r="C92" s="5"/>
      <c r="D92" s="57"/>
      <c r="E92" s="57"/>
      <c r="F92" s="5" t="s">
        <v>18</v>
      </c>
      <c r="G92" s="24"/>
      <c r="H92" s="5" t="s">
        <v>20</v>
      </c>
      <c r="I92" s="24"/>
      <c r="J92" s="8" t="s">
        <v>21</v>
      </c>
      <c r="K92" s="24"/>
      <c r="L92" s="8" t="s">
        <v>22</v>
      </c>
      <c r="M92" s="9"/>
      <c r="N92" s="10"/>
      <c r="O92" s="5"/>
    </row>
    <row r="93" ht="22.5" customHeight="1">
      <c r="A93" s="3"/>
      <c r="B93" s="5"/>
      <c r="C93" s="5"/>
      <c r="D93" s="9"/>
      <c r="E93" s="9"/>
      <c r="F93" s="5" t="s">
        <v>18</v>
      </c>
      <c r="G93" s="9"/>
      <c r="H93" s="5" t="s">
        <v>20</v>
      </c>
      <c r="I93" s="9"/>
      <c r="J93" s="8" t="s">
        <v>21</v>
      </c>
      <c r="K93" s="9"/>
      <c r="L93" s="8" t="s">
        <v>22</v>
      </c>
      <c r="M93" s="9"/>
      <c r="N93" s="5"/>
      <c r="O93" s="5"/>
    </row>
    <row r="94" ht="22.5" customHeight="1">
      <c r="A94" s="3"/>
      <c r="B94" s="5"/>
      <c r="C94" s="5"/>
      <c r="D94" s="9"/>
      <c r="E94" s="9"/>
      <c r="F94" s="5" t="s">
        <v>18</v>
      </c>
      <c r="G94" s="9"/>
      <c r="H94" s="5" t="s">
        <v>20</v>
      </c>
      <c r="I94" s="9"/>
      <c r="J94" s="8" t="s">
        <v>21</v>
      </c>
      <c r="K94" s="9"/>
      <c r="L94" s="8" t="s">
        <v>22</v>
      </c>
      <c r="M94" s="9"/>
      <c r="N94" s="5"/>
      <c r="O94" s="5"/>
    </row>
    <row r="95" ht="22.5" customHeight="1">
      <c r="A95" s="3"/>
      <c r="B95" s="5"/>
      <c r="C95" s="5"/>
      <c r="D95" s="9"/>
      <c r="E95" s="9"/>
      <c r="F95" s="5" t="s">
        <v>18</v>
      </c>
      <c r="G95" s="9"/>
      <c r="H95" s="5" t="s">
        <v>20</v>
      </c>
      <c r="I95" s="9"/>
      <c r="J95" s="8" t="s">
        <v>21</v>
      </c>
      <c r="K95" s="9"/>
      <c r="L95" s="8" t="s">
        <v>22</v>
      </c>
      <c r="M95" s="9"/>
      <c r="N95" s="5"/>
      <c r="O95" s="5"/>
    </row>
    <row r="96" ht="22.5" customHeight="1">
      <c r="A96" s="3"/>
      <c r="B96" s="5"/>
      <c r="C96" s="5"/>
      <c r="D96" s="9"/>
      <c r="E96" s="9"/>
      <c r="F96" s="5" t="s">
        <v>18</v>
      </c>
      <c r="G96" s="9"/>
      <c r="H96" s="5" t="s">
        <v>20</v>
      </c>
      <c r="I96" s="9"/>
      <c r="J96" s="8" t="s">
        <v>21</v>
      </c>
      <c r="K96" s="9"/>
      <c r="L96" s="8" t="s">
        <v>22</v>
      </c>
      <c r="M96" s="9"/>
      <c r="N96" s="5"/>
      <c r="O96" s="5"/>
    </row>
    <row r="97" ht="22.5" customHeight="1">
      <c r="A97" s="3"/>
      <c r="B97" s="5"/>
      <c r="C97" s="5"/>
      <c r="D97" s="9"/>
      <c r="E97" s="9"/>
      <c r="F97" s="5" t="s">
        <v>18</v>
      </c>
      <c r="G97" s="9"/>
      <c r="H97" s="5" t="s">
        <v>20</v>
      </c>
      <c r="I97" s="9"/>
      <c r="J97" s="8" t="s">
        <v>21</v>
      </c>
      <c r="K97" s="9"/>
      <c r="L97" s="8" t="s">
        <v>22</v>
      </c>
      <c r="M97" s="9"/>
      <c r="N97" s="5"/>
      <c r="O97" s="5"/>
    </row>
    <row r="98" ht="22.5" customHeight="1">
      <c r="A98" s="3"/>
      <c r="B98" s="5"/>
      <c r="C98" s="5"/>
      <c r="D98" s="9"/>
      <c r="E98" s="9"/>
      <c r="F98" s="5" t="s">
        <v>18</v>
      </c>
      <c r="G98" s="9"/>
      <c r="H98" s="5" t="s">
        <v>20</v>
      </c>
      <c r="I98" s="9"/>
      <c r="J98" s="8" t="s">
        <v>21</v>
      </c>
      <c r="K98" s="9"/>
      <c r="L98" s="8" t="s">
        <v>22</v>
      </c>
      <c r="M98" s="9"/>
      <c r="N98" s="5"/>
      <c r="O98" s="5"/>
    </row>
    <row r="99" ht="22.5" customHeight="1">
      <c r="A99" s="3"/>
      <c r="B99" s="3"/>
      <c r="C99" s="5"/>
      <c r="D99" s="9"/>
      <c r="E99" s="9"/>
      <c r="F99" s="5" t="s">
        <v>18</v>
      </c>
      <c r="G99" s="9"/>
      <c r="H99" s="5" t="s">
        <v>20</v>
      </c>
      <c r="I99" s="9"/>
      <c r="J99" s="8" t="s">
        <v>21</v>
      </c>
      <c r="K99" s="9"/>
      <c r="L99" s="8" t="s">
        <v>22</v>
      </c>
      <c r="M99" s="9"/>
      <c r="N99" s="5"/>
      <c r="O99" s="5"/>
    </row>
    <row r="100" ht="22.5" customHeight="1">
      <c r="A100" s="3"/>
      <c r="B100" s="5"/>
      <c r="C100" s="5"/>
      <c r="D100" s="9"/>
      <c r="E100" s="9"/>
      <c r="F100" s="5" t="s">
        <v>18</v>
      </c>
      <c r="G100" s="9"/>
      <c r="H100" s="5" t="s">
        <v>20</v>
      </c>
      <c r="I100" s="9"/>
      <c r="J100" s="8" t="s">
        <v>21</v>
      </c>
      <c r="K100" s="9"/>
      <c r="L100" s="8" t="s">
        <v>22</v>
      </c>
      <c r="M100" s="9"/>
      <c r="N100" s="5"/>
      <c r="O100" s="5"/>
    </row>
    <row r="101" ht="22.5" customHeight="1">
      <c r="A101" s="5"/>
      <c r="B101" s="5"/>
      <c r="C101" s="5"/>
      <c r="D101" s="9"/>
      <c r="E101" s="9"/>
      <c r="F101" s="5" t="s">
        <v>18</v>
      </c>
      <c r="G101" s="9"/>
      <c r="H101" s="5" t="s">
        <v>20</v>
      </c>
      <c r="I101" s="9"/>
      <c r="J101" s="8" t="s">
        <v>21</v>
      </c>
      <c r="K101" s="9"/>
      <c r="L101" s="8" t="s">
        <v>22</v>
      </c>
      <c r="M101" s="9"/>
      <c r="N101" s="5"/>
      <c r="O101" s="5"/>
    </row>
    <row r="102" ht="22.5" customHeight="1">
      <c r="A102" s="3"/>
      <c r="B102" s="5"/>
      <c r="C102" s="5"/>
      <c r="D102" s="9"/>
      <c r="E102" s="9"/>
      <c r="F102" s="5" t="s">
        <v>18</v>
      </c>
      <c r="G102" s="9"/>
      <c r="H102" s="5" t="s">
        <v>20</v>
      </c>
      <c r="I102" s="9"/>
      <c r="J102" s="8" t="s">
        <v>21</v>
      </c>
      <c r="K102" s="9"/>
      <c r="L102" s="8" t="s">
        <v>22</v>
      </c>
      <c r="M102" s="9"/>
      <c r="N102" s="5"/>
      <c r="O102" s="5"/>
    </row>
    <row r="103" ht="22.5" customHeight="1">
      <c r="A103" s="3"/>
      <c r="B103" s="5"/>
      <c r="C103" s="5"/>
      <c r="D103" s="9"/>
      <c r="E103" s="9"/>
      <c r="F103" s="5" t="s">
        <v>18</v>
      </c>
      <c r="G103" s="9"/>
      <c r="H103" s="5" t="s">
        <v>20</v>
      </c>
      <c r="I103" s="9"/>
      <c r="J103" s="8" t="s">
        <v>21</v>
      </c>
      <c r="K103" s="9"/>
      <c r="L103" s="8" t="s">
        <v>22</v>
      </c>
      <c r="M103" s="9"/>
      <c r="N103" s="5"/>
      <c r="O103" s="5"/>
    </row>
    <row r="104" ht="22.5" customHeight="1">
      <c r="A104" s="3"/>
      <c r="B104" s="5"/>
      <c r="C104" s="5"/>
      <c r="D104" s="9"/>
      <c r="E104" s="9"/>
      <c r="F104" s="5" t="s">
        <v>18</v>
      </c>
      <c r="G104" s="9"/>
      <c r="H104" s="5" t="s">
        <v>20</v>
      </c>
      <c r="I104" s="9"/>
      <c r="J104" s="8" t="s">
        <v>21</v>
      </c>
      <c r="K104" s="9"/>
      <c r="L104" s="8" t="s">
        <v>22</v>
      </c>
      <c r="M104" s="9"/>
      <c r="N104" s="5"/>
      <c r="O104" s="5"/>
    </row>
    <row r="105" ht="22.5" customHeight="1">
      <c r="A105" s="3"/>
      <c r="B105" s="5"/>
      <c r="C105" s="5"/>
      <c r="D105" s="9"/>
      <c r="E105" s="9"/>
      <c r="F105" s="5" t="s">
        <v>18</v>
      </c>
      <c r="G105" s="9"/>
      <c r="H105" s="5" t="s">
        <v>20</v>
      </c>
      <c r="I105" s="9"/>
      <c r="J105" s="8" t="s">
        <v>21</v>
      </c>
      <c r="K105" s="9"/>
      <c r="L105" s="8" t="s">
        <v>22</v>
      </c>
      <c r="M105" s="9"/>
      <c r="N105" s="5"/>
      <c r="O105" s="5"/>
    </row>
    <row r="106" ht="22.5" customHeight="1">
      <c r="A106" s="3"/>
      <c r="B106" s="5"/>
      <c r="C106" s="5"/>
      <c r="D106" s="9"/>
      <c r="E106" s="9"/>
      <c r="F106" s="5" t="s">
        <v>18</v>
      </c>
      <c r="G106" s="9"/>
      <c r="H106" s="5" t="s">
        <v>20</v>
      </c>
      <c r="I106" s="9"/>
      <c r="J106" s="8" t="s">
        <v>21</v>
      </c>
      <c r="K106" s="9"/>
      <c r="L106" s="8" t="s">
        <v>22</v>
      </c>
      <c r="M106" s="9"/>
      <c r="N106" s="5"/>
      <c r="O106" s="5"/>
    </row>
    <row r="107" ht="22.5" customHeight="1">
      <c r="A107" s="5"/>
      <c r="B107" s="5"/>
      <c r="C107" s="5"/>
      <c r="D107" s="9"/>
      <c r="E107" s="9"/>
      <c r="F107" s="5" t="s">
        <v>18</v>
      </c>
      <c r="G107" s="9"/>
      <c r="H107" s="5" t="s">
        <v>20</v>
      </c>
      <c r="I107" s="9"/>
      <c r="J107" s="8" t="s">
        <v>21</v>
      </c>
      <c r="K107" s="9"/>
      <c r="L107" s="8" t="s">
        <v>22</v>
      </c>
      <c r="M107" s="9"/>
      <c r="N107" s="5"/>
      <c r="O107" s="5"/>
    </row>
    <row r="108" ht="22.5" customHeight="1">
      <c r="A108" s="3"/>
      <c r="B108" s="3"/>
      <c r="C108" s="5"/>
      <c r="D108" s="9"/>
      <c r="E108" s="9"/>
      <c r="F108" s="5" t="s">
        <v>18</v>
      </c>
      <c r="G108" s="9"/>
      <c r="H108" s="5" t="s">
        <v>20</v>
      </c>
      <c r="I108" s="9"/>
      <c r="J108" s="8" t="s">
        <v>21</v>
      </c>
      <c r="K108" s="9"/>
      <c r="L108" s="8" t="s">
        <v>22</v>
      </c>
      <c r="M108" s="9"/>
      <c r="N108" s="5"/>
      <c r="O108" s="5"/>
    </row>
    <row r="109" ht="22.5" customHeight="1">
      <c r="A109" s="5"/>
      <c r="B109" s="5"/>
      <c r="C109" s="5"/>
      <c r="D109" s="9"/>
      <c r="E109" s="9"/>
      <c r="F109" s="5" t="s">
        <v>18</v>
      </c>
      <c r="G109" s="9"/>
      <c r="H109" s="5" t="s">
        <v>20</v>
      </c>
      <c r="I109" s="9"/>
      <c r="J109" s="8" t="s">
        <v>21</v>
      </c>
      <c r="K109" s="9"/>
      <c r="L109" s="8" t="s">
        <v>22</v>
      </c>
      <c r="M109" s="9"/>
      <c r="N109" s="5"/>
      <c r="O109" s="5"/>
    </row>
    <row r="110" ht="22.5" customHeight="1">
      <c r="A110" s="5"/>
      <c r="B110" s="5"/>
      <c r="C110" s="5"/>
      <c r="D110" s="9"/>
      <c r="E110" s="9"/>
      <c r="F110" s="5" t="s">
        <v>18</v>
      </c>
      <c r="G110" s="9"/>
      <c r="H110" s="5" t="s">
        <v>20</v>
      </c>
      <c r="I110" s="9"/>
      <c r="J110" s="8" t="s">
        <v>21</v>
      </c>
      <c r="K110" s="9"/>
      <c r="L110" s="8" t="s">
        <v>22</v>
      </c>
      <c r="M110" s="9"/>
      <c r="N110" s="5"/>
      <c r="O110" s="5"/>
    </row>
    <row r="111" ht="22.5" customHeight="1">
      <c r="A111" s="5"/>
      <c r="B111" s="5"/>
      <c r="C111" s="5"/>
      <c r="D111" s="9"/>
      <c r="E111" s="9"/>
      <c r="F111" s="5" t="s">
        <v>18</v>
      </c>
      <c r="G111" s="9"/>
      <c r="H111" s="5" t="s">
        <v>20</v>
      </c>
      <c r="I111" s="9"/>
      <c r="J111" s="8" t="s">
        <v>21</v>
      </c>
      <c r="K111" s="9"/>
      <c r="L111" s="8" t="s">
        <v>22</v>
      </c>
      <c r="M111" s="9"/>
      <c r="N111" s="5"/>
      <c r="O111" s="5"/>
    </row>
    <row r="112" ht="22.5" customHeight="1">
      <c r="A112" s="5"/>
      <c r="B112" s="5"/>
      <c r="C112" s="5"/>
      <c r="D112" s="9"/>
      <c r="E112" s="9"/>
      <c r="F112" s="5" t="s">
        <v>18</v>
      </c>
      <c r="G112" s="9"/>
      <c r="H112" s="5" t="s">
        <v>20</v>
      </c>
      <c r="I112" s="9"/>
      <c r="J112" s="8" t="s">
        <v>21</v>
      </c>
      <c r="K112" s="9"/>
      <c r="L112" s="8" t="s">
        <v>22</v>
      </c>
      <c r="M112" s="9"/>
      <c r="N112" s="5"/>
      <c r="O112" s="5"/>
    </row>
    <row r="113" ht="22.5" customHeight="1">
      <c r="A113" s="5"/>
      <c r="B113" s="5"/>
      <c r="C113" s="5"/>
      <c r="D113" s="9"/>
      <c r="E113" s="9"/>
      <c r="F113" s="5" t="s">
        <v>18</v>
      </c>
      <c r="G113" s="9"/>
      <c r="H113" s="5" t="s">
        <v>20</v>
      </c>
      <c r="I113" s="9"/>
      <c r="J113" s="8" t="s">
        <v>21</v>
      </c>
      <c r="K113" s="9"/>
      <c r="L113" s="8" t="s">
        <v>22</v>
      </c>
      <c r="M113" s="9"/>
      <c r="N113" s="5"/>
      <c r="O113" s="5"/>
    </row>
    <row r="114" ht="22.5" customHeight="1">
      <c r="A114" s="5"/>
      <c r="B114" s="5"/>
      <c r="C114" s="5"/>
      <c r="D114" s="9"/>
      <c r="E114" s="9"/>
      <c r="F114" s="5" t="s">
        <v>18</v>
      </c>
      <c r="G114" s="9"/>
      <c r="H114" s="5" t="s">
        <v>20</v>
      </c>
      <c r="I114" s="9"/>
      <c r="J114" s="8" t="s">
        <v>21</v>
      </c>
      <c r="K114" s="9"/>
      <c r="L114" s="8" t="s">
        <v>22</v>
      </c>
      <c r="M114" s="9"/>
      <c r="N114" s="5"/>
      <c r="O114" s="5"/>
    </row>
    <row r="115" ht="22.5" customHeight="1">
      <c r="A115" s="5"/>
      <c r="B115" s="5"/>
      <c r="C115" s="5"/>
      <c r="D115" s="9"/>
      <c r="E115" s="9"/>
      <c r="F115" s="5" t="s">
        <v>18</v>
      </c>
      <c r="G115" s="9"/>
      <c r="H115" s="5" t="s">
        <v>20</v>
      </c>
      <c r="I115" s="9"/>
      <c r="J115" s="8" t="s">
        <v>21</v>
      </c>
      <c r="K115" s="9"/>
      <c r="L115" s="8" t="s">
        <v>22</v>
      </c>
      <c r="M115" s="9"/>
      <c r="N115" s="5"/>
      <c r="O115" s="5"/>
    </row>
    <row r="116" ht="22.5" customHeight="1">
      <c r="A116" s="5"/>
      <c r="B116" s="5"/>
      <c r="C116" s="5"/>
      <c r="D116" s="9"/>
      <c r="E116" s="9"/>
      <c r="F116" s="5" t="s">
        <v>18</v>
      </c>
      <c r="G116" s="9"/>
      <c r="H116" s="5" t="s">
        <v>20</v>
      </c>
      <c r="I116" s="9"/>
      <c r="J116" s="8" t="s">
        <v>21</v>
      </c>
      <c r="K116" s="9"/>
      <c r="L116" s="8" t="s">
        <v>22</v>
      </c>
      <c r="M116" s="9"/>
      <c r="N116" s="5"/>
      <c r="O116" s="5"/>
    </row>
    <row r="117" ht="22.5" customHeight="1">
      <c r="A117" s="5"/>
      <c r="B117" s="5"/>
      <c r="C117" s="5"/>
      <c r="D117" s="9"/>
      <c r="E117" s="9"/>
      <c r="F117" s="5" t="s">
        <v>18</v>
      </c>
      <c r="G117" s="9"/>
      <c r="H117" s="5" t="s">
        <v>20</v>
      </c>
      <c r="I117" s="9"/>
      <c r="J117" s="8" t="s">
        <v>21</v>
      </c>
      <c r="K117" s="9"/>
      <c r="L117" s="8" t="s">
        <v>22</v>
      </c>
      <c r="M117" s="9"/>
      <c r="N117" s="5"/>
      <c r="O117" s="5"/>
    </row>
    <row r="118" ht="22.5" customHeight="1">
      <c r="A118" s="5"/>
      <c r="B118" s="5"/>
      <c r="C118" s="5"/>
      <c r="D118" s="9"/>
      <c r="E118" s="9"/>
      <c r="F118" s="5" t="s">
        <v>18</v>
      </c>
      <c r="G118" s="9"/>
      <c r="H118" s="5" t="s">
        <v>20</v>
      </c>
      <c r="I118" s="9"/>
      <c r="J118" s="8" t="s">
        <v>21</v>
      </c>
      <c r="K118" s="9"/>
      <c r="L118" s="8" t="s">
        <v>22</v>
      </c>
      <c r="M118" s="9"/>
      <c r="N118" s="5"/>
      <c r="O118" s="5"/>
    </row>
    <row r="119" ht="22.5" customHeight="1">
      <c r="A119" s="5"/>
      <c r="B119" s="5"/>
      <c r="C119" s="5"/>
      <c r="D119" s="9"/>
      <c r="E119" s="9"/>
      <c r="F119" s="5" t="s">
        <v>18</v>
      </c>
      <c r="G119" s="9"/>
      <c r="H119" s="5" t="s">
        <v>20</v>
      </c>
      <c r="I119" s="9"/>
      <c r="J119" s="8" t="s">
        <v>21</v>
      </c>
      <c r="K119" s="9"/>
      <c r="L119" s="8" t="s">
        <v>22</v>
      </c>
      <c r="M119" s="9"/>
      <c r="N119" s="5"/>
      <c r="O119" s="5"/>
    </row>
    <row r="120" ht="22.5" customHeight="1">
      <c r="A120" s="5"/>
      <c r="B120" s="5"/>
      <c r="C120" s="5"/>
      <c r="D120" s="9"/>
      <c r="E120" s="9"/>
      <c r="F120" s="5" t="s">
        <v>18</v>
      </c>
      <c r="G120" s="9"/>
      <c r="H120" s="5" t="s">
        <v>20</v>
      </c>
      <c r="I120" s="9"/>
      <c r="J120" s="8" t="s">
        <v>21</v>
      </c>
      <c r="K120" s="9"/>
      <c r="L120" s="8" t="s">
        <v>22</v>
      </c>
      <c r="M120" s="9"/>
      <c r="N120" s="5"/>
      <c r="O120" s="5"/>
    </row>
    <row r="121" ht="22.5" customHeight="1">
      <c r="A121" s="3"/>
      <c r="B121" s="5"/>
      <c r="C121" s="5"/>
      <c r="D121" s="9"/>
      <c r="E121" s="9"/>
      <c r="F121" s="5" t="s">
        <v>18</v>
      </c>
      <c r="G121" s="9"/>
      <c r="H121" s="5" t="s">
        <v>20</v>
      </c>
      <c r="I121" s="9"/>
      <c r="J121" s="8" t="s">
        <v>21</v>
      </c>
      <c r="K121" s="9"/>
      <c r="L121" s="8" t="s">
        <v>22</v>
      </c>
      <c r="M121" s="9"/>
      <c r="N121" s="5"/>
      <c r="O121" s="5"/>
    </row>
    <row r="122" ht="22.5" customHeight="1">
      <c r="A122" s="5"/>
      <c r="B122" s="5"/>
      <c r="C122" s="5"/>
      <c r="D122" s="9"/>
      <c r="E122" s="9"/>
      <c r="F122" s="5" t="s">
        <v>18</v>
      </c>
      <c r="G122" s="9"/>
      <c r="H122" s="5" t="s">
        <v>20</v>
      </c>
      <c r="I122" s="9"/>
      <c r="J122" s="8" t="s">
        <v>21</v>
      </c>
      <c r="K122" s="9"/>
      <c r="L122" s="8" t="s">
        <v>22</v>
      </c>
      <c r="M122" s="9"/>
      <c r="N122" s="5"/>
      <c r="O122" s="5"/>
    </row>
    <row r="123" ht="22.5" customHeight="1">
      <c r="A123" s="5"/>
      <c r="B123" s="5"/>
      <c r="C123" s="5"/>
      <c r="D123" s="9"/>
      <c r="E123" s="9"/>
      <c r="F123" s="5" t="s">
        <v>18</v>
      </c>
      <c r="G123" s="9"/>
      <c r="H123" s="5" t="s">
        <v>20</v>
      </c>
      <c r="I123" s="9"/>
      <c r="J123" s="8" t="s">
        <v>21</v>
      </c>
      <c r="K123" s="9"/>
      <c r="L123" s="8" t="s">
        <v>22</v>
      </c>
      <c r="M123" s="9"/>
      <c r="N123" s="5"/>
      <c r="O123" s="5"/>
    </row>
    <row r="124" ht="22.5" customHeight="1">
      <c r="A124" s="5"/>
      <c r="B124" s="5"/>
      <c r="C124" s="5"/>
      <c r="D124" s="9"/>
      <c r="E124" s="9"/>
      <c r="F124" s="5" t="s">
        <v>18</v>
      </c>
      <c r="G124" s="9"/>
      <c r="H124" s="5" t="s">
        <v>20</v>
      </c>
      <c r="I124" s="9"/>
      <c r="J124" s="8" t="s">
        <v>21</v>
      </c>
      <c r="K124" s="9"/>
      <c r="L124" s="8" t="s">
        <v>22</v>
      </c>
      <c r="M124" s="9"/>
      <c r="N124" s="5"/>
      <c r="O124" s="5"/>
    </row>
    <row r="125" ht="22.5" customHeight="1">
      <c r="A125" s="5"/>
      <c r="B125" s="5"/>
      <c r="C125" s="5"/>
      <c r="D125" s="9"/>
      <c r="E125" s="9"/>
      <c r="F125" s="5" t="s">
        <v>18</v>
      </c>
      <c r="G125" s="9"/>
      <c r="H125" s="5" t="s">
        <v>20</v>
      </c>
      <c r="I125" s="9"/>
      <c r="J125" s="8" t="s">
        <v>21</v>
      </c>
      <c r="K125" s="9"/>
      <c r="L125" s="8" t="s">
        <v>22</v>
      </c>
      <c r="M125" s="9"/>
      <c r="N125" s="5"/>
      <c r="O125" s="5"/>
    </row>
    <row r="126" ht="22.5" customHeight="1">
      <c r="A126" s="5"/>
      <c r="B126" s="5"/>
      <c r="C126" s="5"/>
      <c r="D126" s="9"/>
      <c r="E126" s="9"/>
      <c r="F126" s="5" t="s">
        <v>18</v>
      </c>
      <c r="G126" s="9"/>
      <c r="H126" s="5" t="s">
        <v>20</v>
      </c>
      <c r="I126" s="9"/>
      <c r="J126" s="8" t="s">
        <v>21</v>
      </c>
      <c r="K126" s="9"/>
      <c r="L126" s="8" t="s">
        <v>22</v>
      </c>
      <c r="M126" s="9"/>
      <c r="N126" s="5"/>
      <c r="O126" s="5"/>
    </row>
    <row r="127" ht="22.5" customHeight="1">
      <c r="A127" s="5"/>
      <c r="B127" s="5"/>
      <c r="C127" s="5"/>
      <c r="D127" s="9"/>
      <c r="E127" s="9"/>
      <c r="F127" s="5" t="s">
        <v>18</v>
      </c>
      <c r="G127" s="9"/>
      <c r="H127" s="5" t="s">
        <v>20</v>
      </c>
      <c r="I127" s="9"/>
      <c r="J127" s="8" t="s">
        <v>21</v>
      </c>
      <c r="K127" s="9"/>
      <c r="L127" s="8" t="s">
        <v>22</v>
      </c>
      <c r="M127" s="9"/>
      <c r="N127" s="5"/>
      <c r="O127" s="5"/>
    </row>
    <row r="128" ht="22.5" customHeight="1">
      <c r="A128" s="5"/>
      <c r="B128" s="5"/>
      <c r="C128" s="5"/>
      <c r="D128" s="9"/>
      <c r="E128" s="9"/>
      <c r="F128" s="5" t="s">
        <v>18</v>
      </c>
      <c r="G128" s="9"/>
      <c r="H128" s="5" t="s">
        <v>20</v>
      </c>
      <c r="I128" s="9"/>
      <c r="J128" s="8" t="s">
        <v>21</v>
      </c>
      <c r="K128" s="9"/>
      <c r="L128" s="8" t="s">
        <v>22</v>
      </c>
      <c r="M128" s="9"/>
      <c r="N128" s="5"/>
      <c r="O128" s="5"/>
    </row>
    <row r="129" ht="22.5" customHeight="1">
      <c r="A129" s="5"/>
      <c r="B129" s="5"/>
      <c r="C129" s="5"/>
      <c r="D129" s="9"/>
      <c r="E129" s="9"/>
      <c r="F129" s="5" t="s">
        <v>18</v>
      </c>
      <c r="G129" s="9"/>
      <c r="H129" s="5" t="s">
        <v>20</v>
      </c>
      <c r="I129" s="9"/>
      <c r="J129" s="8" t="s">
        <v>21</v>
      </c>
      <c r="K129" s="9"/>
      <c r="L129" s="8" t="s">
        <v>22</v>
      </c>
      <c r="M129" s="9"/>
      <c r="N129" s="5"/>
      <c r="O129" s="5"/>
    </row>
    <row r="130" ht="22.5" customHeight="1">
      <c r="A130" s="5"/>
      <c r="B130" s="5"/>
      <c r="C130" s="5"/>
      <c r="D130" s="9"/>
      <c r="E130" s="9"/>
      <c r="F130" s="5" t="s">
        <v>18</v>
      </c>
      <c r="G130" s="9"/>
      <c r="H130" s="5" t="s">
        <v>20</v>
      </c>
      <c r="I130" s="9"/>
      <c r="J130" s="8" t="s">
        <v>21</v>
      </c>
      <c r="K130" s="9"/>
      <c r="L130" s="8" t="s">
        <v>22</v>
      </c>
      <c r="M130" s="9"/>
      <c r="N130" s="5"/>
      <c r="O130" s="5"/>
    </row>
    <row r="131" ht="22.5" customHeight="1">
      <c r="A131" s="5"/>
      <c r="B131" s="5"/>
      <c r="C131" s="5"/>
      <c r="D131" s="9"/>
      <c r="E131" s="9"/>
      <c r="F131" s="5" t="s">
        <v>18</v>
      </c>
      <c r="G131" s="9"/>
      <c r="H131" s="5" t="s">
        <v>20</v>
      </c>
      <c r="I131" s="9"/>
      <c r="J131" s="8" t="s">
        <v>21</v>
      </c>
      <c r="K131" s="9"/>
      <c r="L131" s="8" t="s">
        <v>22</v>
      </c>
      <c r="M131" s="9"/>
      <c r="N131" s="5"/>
      <c r="O131" s="5"/>
    </row>
    <row r="132" ht="22.5" customHeight="1">
      <c r="A132" s="5"/>
      <c r="B132" s="5"/>
      <c r="C132" s="5"/>
      <c r="D132" s="9"/>
      <c r="E132" s="9"/>
      <c r="F132" s="5" t="s">
        <v>18</v>
      </c>
      <c r="G132" s="9"/>
      <c r="H132" s="5" t="s">
        <v>20</v>
      </c>
      <c r="I132" s="9"/>
      <c r="J132" s="8" t="s">
        <v>21</v>
      </c>
      <c r="K132" s="9"/>
      <c r="L132" s="8" t="s">
        <v>22</v>
      </c>
      <c r="M132" s="9"/>
      <c r="N132" s="5"/>
      <c r="O132" s="5"/>
    </row>
    <row r="133" ht="22.5" customHeight="1">
      <c r="A133" s="5"/>
      <c r="B133" s="5"/>
      <c r="C133" s="5"/>
      <c r="D133" s="9"/>
      <c r="E133" s="9"/>
      <c r="F133" s="5" t="s">
        <v>18</v>
      </c>
      <c r="G133" s="9"/>
      <c r="H133" s="5" t="s">
        <v>20</v>
      </c>
      <c r="I133" s="9"/>
      <c r="J133" s="8" t="s">
        <v>21</v>
      </c>
      <c r="K133" s="9"/>
      <c r="L133" s="8" t="s">
        <v>22</v>
      </c>
      <c r="M133" s="9"/>
      <c r="N133" s="5"/>
      <c r="O133" s="5"/>
    </row>
    <row r="134" ht="22.5" customHeight="1">
      <c r="A134" s="5"/>
      <c r="B134" s="5"/>
      <c r="C134" s="5"/>
      <c r="D134" s="9"/>
      <c r="E134" s="9"/>
      <c r="F134" s="5" t="s">
        <v>18</v>
      </c>
      <c r="G134" s="9"/>
      <c r="H134" s="5" t="s">
        <v>20</v>
      </c>
      <c r="I134" s="9"/>
      <c r="J134" s="8" t="s">
        <v>21</v>
      </c>
      <c r="K134" s="9"/>
      <c r="L134" s="8" t="s">
        <v>22</v>
      </c>
      <c r="M134" s="9"/>
      <c r="N134" s="5"/>
      <c r="O134" s="5"/>
    </row>
    <row r="135" ht="22.5" customHeight="1">
      <c r="A135" s="5"/>
      <c r="B135" s="5"/>
      <c r="C135" s="5"/>
      <c r="D135" s="9"/>
      <c r="E135" s="9"/>
      <c r="F135" s="5" t="s">
        <v>18</v>
      </c>
      <c r="G135" s="9"/>
      <c r="H135" s="5" t="s">
        <v>20</v>
      </c>
      <c r="I135" s="9"/>
      <c r="J135" s="8" t="s">
        <v>21</v>
      </c>
      <c r="K135" s="9"/>
      <c r="L135" s="8" t="s">
        <v>22</v>
      </c>
      <c r="M135" s="9"/>
      <c r="N135" s="5"/>
      <c r="O135" s="5"/>
    </row>
    <row r="136" ht="22.5" customHeight="1">
      <c r="A136" s="5"/>
      <c r="B136" s="5"/>
      <c r="C136" s="5"/>
      <c r="D136" s="9"/>
      <c r="E136" s="9"/>
      <c r="F136" s="5" t="s">
        <v>18</v>
      </c>
      <c r="G136" s="9"/>
      <c r="H136" s="5" t="s">
        <v>20</v>
      </c>
      <c r="I136" s="9"/>
      <c r="J136" s="8" t="s">
        <v>21</v>
      </c>
      <c r="K136" s="9"/>
      <c r="L136" s="8" t="s">
        <v>22</v>
      </c>
      <c r="M136" s="9"/>
      <c r="N136" s="5"/>
      <c r="O136" s="5"/>
    </row>
    <row r="137" ht="22.5" customHeight="1">
      <c r="A137" s="5"/>
      <c r="B137" s="5"/>
      <c r="C137" s="5"/>
      <c r="D137" s="9"/>
      <c r="E137" s="9"/>
      <c r="F137" s="5" t="s">
        <v>18</v>
      </c>
      <c r="G137" s="9"/>
      <c r="H137" s="5" t="s">
        <v>20</v>
      </c>
      <c r="I137" s="9"/>
      <c r="J137" s="8" t="s">
        <v>21</v>
      </c>
      <c r="K137" s="9"/>
      <c r="L137" s="8" t="s">
        <v>22</v>
      </c>
      <c r="M137" s="9"/>
      <c r="N137" s="5"/>
      <c r="O137" s="5"/>
    </row>
    <row r="138" ht="22.5" customHeight="1">
      <c r="A138" s="5"/>
      <c r="B138" s="5"/>
      <c r="C138" s="5"/>
      <c r="D138" s="9"/>
      <c r="E138" s="9"/>
      <c r="F138" s="5" t="s">
        <v>18</v>
      </c>
      <c r="G138" s="9"/>
      <c r="H138" s="5" t="s">
        <v>20</v>
      </c>
      <c r="I138" s="9"/>
      <c r="J138" s="8" t="s">
        <v>21</v>
      </c>
      <c r="K138" s="9"/>
      <c r="L138" s="8" t="s">
        <v>22</v>
      </c>
      <c r="M138" s="9"/>
      <c r="N138" s="5"/>
      <c r="O138" s="5"/>
    </row>
    <row r="139" ht="22.5" customHeight="1">
      <c r="A139" s="5"/>
      <c r="B139" s="5"/>
      <c r="C139" s="5"/>
      <c r="D139" s="9"/>
      <c r="E139" s="9"/>
      <c r="F139" s="5" t="s">
        <v>18</v>
      </c>
      <c r="G139" s="9"/>
      <c r="H139" s="5" t="s">
        <v>20</v>
      </c>
      <c r="I139" s="9"/>
      <c r="J139" s="8" t="s">
        <v>21</v>
      </c>
      <c r="K139" s="9"/>
      <c r="L139" s="8" t="s">
        <v>22</v>
      </c>
      <c r="M139" s="9"/>
      <c r="N139" s="5"/>
      <c r="O139" s="5"/>
    </row>
    <row r="140" ht="22.5" customHeight="1">
      <c r="A140" s="5"/>
      <c r="B140" s="5"/>
      <c r="C140" s="5"/>
      <c r="D140" s="9"/>
      <c r="E140" s="9"/>
      <c r="F140" s="5" t="s">
        <v>18</v>
      </c>
      <c r="G140" s="9"/>
      <c r="H140" s="5" t="s">
        <v>20</v>
      </c>
      <c r="I140" s="9"/>
      <c r="J140" s="8" t="s">
        <v>21</v>
      </c>
      <c r="K140" s="9"/>
      <c r="L140" s="8" t="s">
        <v>22</v>
      </c>
      <c r="M140" s="9"/>
      <c r="N140" s="5"/>
      <c r="O140" s="5"/>
    </row>
    <row r="141" ht="22.5" customHeight="1">
      <c r="A141" s="5"/>
      <c r="B141" s="5"/>
      <c r="C141" s="5"/>
      <c r="D141" s="9"/>
      <c r="E141" s="9"/>
      <c r="F141" s="5" t="s">
        <v>18</v>
      </c>
      <c r="G141" s="9"/>
      <c r="H141" s="5" t="s">
        <v>20</v>
      </c>
      <c r="I141" s="9"/>
      <c r="J141" s="8" t="s">
        <v>21</v>
      </c>
      <c r="K141" s="9"/>
      <c r="L141" s="8" t="s">
        <v>22</v>
      </c>
      <c r="M141" s="9"/>
      <c r="N141" s="5"/>
      <c r="O141" s="5"/>
    </row>
    <row r="142" ht="22.5" customHeight="1">
      <c r="A142" s="5"/>
      <c r="B142" s="5"/>
      <c r="C142" s="5"/>
      <c r="D142" s="9"/>
      <c r="E142" s="9"/>
      <c r="F142" s="5" t="s">
        <v>18</v>
      </c>
      <c r="G142" s="9"/>
      <c r="H142" s="5" t="s">
        <v>20</v>
      </c>
      <c r="I142" s="9"/>
      <c r="J142" s="8" t="s">
        <v>21</v>
      </c>
      <c r="K142" s="9"/>
      <c r="L142" s="8" t="s">
        <v>22</v>
      </c>
      <c r="M142" s="9"/>
      <c r="N142" s="5"/>
      <c r="O142" s="5"/>
    </row>
    <row r="143" ht="22.5" customHeight="1">
      <c r="A143" s="3"/>
      <c r="B143" s="5"/>
      <c r="C143" s="5"/>
      <c r="D143" s="9"/>
      <c r="E143" s="9"/>
      <c r="F143" s="5" t="s">
        <v>18</v>
      </c>
      <c r="G143" s="9"/>
      <c r="H143" s="5" t="s">
        <v>20</v>
      </c>
      <c r="I143" s="9"/>
      <c r="J143" s="8" t="s">
        <v>21</v>
      </c>
      <c r="K143" s="9"/>
      <c r="L143" s="8" t="s">
        <v>22</v>
      </c>
      <c r="M143" s="9"/>
      <c r="N143" s="5"/>
      <c r="O143" s="5"/>
    </row>
    <row r="144" ht="22.5" customHeight="1">
      <c r="A144" s="5"/>
      <c r="B144" s="5"/>
      <c r="C144" s="5"/>
      <c r="D144" s="9"/>
      <c r="E144" s="9"/>
      <c r="F144" s="5" t="s">
        <v>18</v>
      </c>
      <c r="G144" s="9"/>
      <c r="H144" s="5" t="s">
        <v>20</v>
      </c>
      <c r="I144" s="9"/>
      <c r="J144" s="8" t="s">
        <v>21</v>
      </c>
      <c r="K144" s="9"/>
      <c r="L144" s="8" t="s">
        <v>22</v>
      </c>
      <c r="M144" s="9"/>
      <c r="N144" s="5"/>
      <c r="O144" s="5"/>
    </row>
    <row r="145" ht="22.5" customHeight="1">
      <c r="A145" s="5"/>
      <c r="B145" s="5"/>
      <c r="C145" s="5"/>
      <c r="D145" s="9"/>
      <c r="E145" s="9"/>
      <c r="F145" s="5" t="s">
        <v>18</v>
      </c>
      <c r="G145" s="9"/>
      <c r="H145" s="5" t="s">
        <v>20</v>
      </c>
      <c r="I145" s="9"/>
      <c r="J145" s="8" t="s">
        <v>21</v>
      </c>
      <c r="K145" s="9"/>
      <c r="L145" s="8" t="s">
        <v>22</v>
      </c>
      <c r="M145" s="9"/>
      <c r="N145" s="5"/>
      <c r="O145" s="5"/>
    </row>
    <row r="146" ht="22.5" customHeight="1">
      <c r="A146" s="5"/>
      <c r="B146" s="5"/>
      <c r="C146" s="5"/>
      <c r="D146" s="9"/>
      <c r="E146" s="9"/>
      <c r="F146" s="5" t="s">
        <v>18</v>
      </c>
      <c r="G146" s="9"/>
      <c r="H146" s="5" t="s">
        <v>20</v>
      </c>
      <c r="I146" s="9"/>
      <c r="J146" s="8" t="s">
        <v>21</v>
      </c>
      <c r="K146" s="9"/>
      <c r="L146" s="8" t="s">
        <v>22</v>
      </c>
      <c r="M146" s="9"/>
      <c r="N146" s="5"/>
      <c r="O146" s="5"/>
    </row>
    <row r="147" ht="22.5" customHeight="1">
      <c r="A147" s="5"/>
      <c r="B147" s="5"/>
      <c r="C147" s="5"/>
      <c r="D147" s="9"/>
      <c r="E147" s="9"/>
      <c r="F147" s="5" t="s">
        <v>18</v>
      </c>
      <c r="G147" s="9"/>
      <c r="H147" s="5" t="s">
        <v>20</v>
      </c>
      <c r="I147" s="9"/>
      <c r="J147" s="8" t="s">
        <v>21</v>
      </c>
      <c r="K147" s="9"/>
      <c r="L147" s="8" t="s">
        <v>22</v>
      </c>
      <c r="M147" s="9"/>
      <c r="N147" s="5"/>
      <c r="O147" s="5"/>
    </row>
    <row r="148" ht="22.5" customHeight="1">
      <c r="A148" s="3"/>
      <c r="B148" s="5"/>
      <c r="C148" s="5"/>
      <c r="D148" s="9"/>
      <c r="E148" s="9"/>
      <c r="F148" s="5" t="s">
        <v>18</v>
      </c>
      <c r="G148" s="9"/>
      <c r="H148" s="5" t="s">
        <v>20</v>
      </c>
      <c r="I148" s="9"/>
      <c r="J148" s="8" t="s">
        <v>21</v>
      </c>
      <c r="K148" s="9"/>
      <c r="L148" s="8" t="s">
        <v>22</v>
      </c>
      <c r="M148" s="9"/>
      <c r="N148" s="5"/>
      <c r="O148" s="5"/>
    </row>
    <row r="149" ht="22.5" customHeight="1">
      <c r="A149" s="5"/>
      <c r="B149" s="5"/>
      <c r="C149" s="5"/>
      <c r="D149" s="9"/>
      <c r="E149" s="9"/>
      <c r="F149" s="5" t="s">
        <v>18</v>
      </c>
      <c r="G149" s="9"/>
      <c r="H149" s="5" t="s">
        <v>20</v>
      </c>
      <c r="I149" s="9"/>
      <c r="J149" s="8" t="s">
        <v>21</v>
      </c>
      <c r="K149" s="9"/>
      <c r="L149" s="8" t="s">
        <v>22</v>
      </c>
      <c r="M149" s="9"/>
      <c r="N149" s="5"/>
      <c r="O149" s="5"/>
    </row>
    <row r="150" ht="22.5" customHeight="1">
      <c r="A150" s="5"/>
      <c r="B150" s="5"/>
      <c r="C150" s="5"/>
      <c r="D150" s="9"/>
      <c r="E150" s="9"/>
      <c r="F150" s="5" t="s">
        <v>18</v>
      </c>
      <c r="G150" s="9"/>
      <c r="H150" s="5" t="s">
        <v>20</v>
      </c>
      <c r="I150" s="9"/>
      <c r="J150" s="8" t="s">
        <v>21</v>
      </c>
      <c r="K150" s="9"/>
      <c r="L150" s="8" t="s">
        <v>22</v>
      </c>
      <c r="M150" s="9"/>
      <c r="N150" s="5"/>
      <c r="O150" s="5"/>
    </row>
    <row r="151" ht="22.5" customHeight="1">
      <c r="A151" s="5"/>
      <c r="B151" s="5"/>
      <c r="C151" s="5"/>
      <c r="D151" s="9"/>
      <c r="E151" s="9"/>
      <c r="F151" s="5" t="s">
        <v>18</v>
      </c>
      <c r="G151" s="9"/>
      <c r="H151" s="5" t="s">
        <v>20</v>
      </c>
      <c r="I151" s="9"/>
      <c r="J151" s="8" t="s">
        <v>21</v>
      </c>
      <c r="K151" s="9"/>
      <c r="L151" s="8" t="s">
        <v>22</v>
      </c>
      <c r="M151" s="9"/>
      <c r="N151" s="5"/>
      <c r="O151" s="5"/>
    </row>
    <row r="152" ht="22.5" customHeight="1">
      <c r="A152" s="5"/>
      <c r="B152" s="5"/>
      <c r="C152" s="5"/>
      <c r="D152" s="9"/>
      <c r="E152" s="9"/>
      <c r="F152" s="5" t="s">
        <v>18</v>
      </c>
      <c r="G152" s="9"/>
      <c r="H152" s="5" t="s">
        <v>20</v>
      </c>
      <c r="I152" s="9"/>
      <c r="J152" s="8" t="s">
        <v>21</v>
      </c>
      <c r="K152" s="9"/>
      <c r="L152" s="8" t="s">
        <v>22</v>
      </c>
      <c r="M152" s="9"/>
      <c r="N152" s="5"/>
      <c r="O152" s="5"/>
    </row>
    <row r="153" ht="22.5" customHeight="1">
      <c r="A153" s="5"/>
      <c r="B153" s="5"/>
      <c r="C153" s="5"/>
      <c r="D153" s="9"/>
      <c r="E153" s="9"/>
      <c r="F153" s="5" t="s">
        <v>18</v>
      </c>
      <c r="G153" s="9"/>
      <c r="H153" s="5" t="s">
        <v>20</v>
      </c>
      <c r="I153" s="9"/>
      <c r="J153" s="8" t="s">
        <v>21</v>
      </c>
      <c r="K153" s="9"/>
      <c r="L153" s="8" t="s">
        <v>22</v>
      </c>
      <c r="M153" s="9"/>
      <c r="N153" s="5"/>
      <c r="O153" s="5"/>
    </row>
    <row r="154" ht="22.5" customHeight="1">
      <c r="A154" s="5"/>
      <c r="B154" s="5"/>
      <c r="C154" s="5"/>
      <c r="D154" s="9"/>
      <c r="E154" s="9"/>
      <c r="F154" s="5" t="s">
        <v>18</v>
      </c>
      <c r="G154" s="9"/>
      <c r="H154" s="5" t="s">
        <v>20</v>
      </c>
      <c r="I154" s="9"/>
      <c r="J154" s="8" t="s">
        <v>21</v>
      </c>
      <c r="K154" s="9"/>
      <c r="L154" s="8" t="s">
        <v>22</v>
      </c>
      <c r="M154" s="9"/>
      <c r="N154" s="5"/>
      <c r="O154" s="5"/>
    </row>
    <row r="155" ht="22.5" customHeight="1">
      <c r="A155" s="5"/>
      <c r="B155" s="5"/>
      <c r="C155" s="5"/>
      <c r="D155" s="9"/>
      <c r="E155" s="9"/>
      <c r="F155" s="5" t="s">
        <v>18</v>
      </c>
      <c r="G155" s="9"/>
      <c r="H155" s="5" t="s">
        <v>20</v>
      </c>
      <c r="I155" s="9"/>
      <c r="J155" s="8" t="s">
        <v>21</v>
      </c>
      <c r="K155" s="9"/>
      <c r="L155" s="8" t="s">
        <v>22</v>
      </c>
      <c r="M155" s="9"/>
      <c r="N155" s="5"/>
      <c r="O155" s="5"/>
    </row>
    <row r="156" ht="22.5" customHeight="1">
      <c r="A156" s="5"/>
      <c r="B156" s="5"/>
      <c r="C156" s="5"/>
      <c r="D156" s="9"/>
      <c r="E156" s="9"/>
      <c r="F156" s="5" t="s">
        <v>18</v>
      </c>
      <c r="G156" s="9"/>
      <c r="H156" s="5" t="s">
        <v>20</v>
      </c>
      <c r="I156" s="9"/>
      <c r="J156" s="8" t="s">
        <v>21</v>
      </c>
      <c r="K156" s="9"/>
      <c r="L156" s="8" t="s">
        <v>22</v>
      </c>
      <c r="M156" s="9"/>
      <c r="N156" s="5"/>
      <c r="O156" s="5"/>
    </row>
    <row r="157" ht="22.5" customHeight="1">
      <c r="A157" s="5"/>
      <c r="B157" s="5"/>
      <c r="C157" s="5"/>
      <c r="D157" s="9"/>
      <c r="E157" s="9"/>
      <c r="F157" s="5" t="s">
        <v>18</v>
      </c>
      <c r="G157" s="9"/>
      <c r="H157" s="5" t="s">
        <v>20</v>
      </c>
      <c r="I157" s="9"/>
      <c r="J157" s="8" t="s">
        <v>21</v>
      </c>
      <c r="K157" s="9"/>
      <c r="L157" s="8" t="s">
        <v>22</v>
      </c>
      <c r="M157" s="9"/>
      <c r="N157" s="5"/>
      <c r="O157" s="5"/>
    </row>
    <row r="158" ht="22.5" customHeight="1">
      <c r="A158" s="5"/>
      <c r="B158" s="5"/>
      <c r="C158" s="5"/>
      <c r="D158" s="9"/>
      <c r="E158" s="9"/>
      <c r="F158" s="5" t="s">
        <v>18</v>
      </c>
      <c r="G158" s="9"/>
      <c r="H158" s="5" t="s">
        <v>20</v>
      </c>
      <c r="I158" s="9"/>
      <c r="J158" s="8" t="s">
        <v>21</v>
      </c>
      <c r="K158" s="9"/>
      <c r="L158" s="8" t="s">
        <v>22</v>
      </c>
      <c r="M158" s="9"/>
      <c r="N158" s="5"/>
      <c r="O158" s="5"/>
    </row>
    <row r="159" ht="22.5" customHeight="1">
      <c r="A159" s="5"/>
      <c r="B159" s="5"/>
      <c r="C159" s="5"/>
      <c r="D159" s="9"/>
      <c r="E159" s="9"/>
      <c r="F159" s="5" t="s">
        <v>18</v>
      </c>
      <c r="G159" s="9"/>
      <c r="H159" s="5" t="s">
        <v>20</v>
      </c>
      <c r="I159" s="9"/>
      <c r="J159" s="8" t="s">
        <v>21</v>
      </c>
      <c r="K159" s="9"/>
      <c r="L159" s="8" t="s">
        <v>22</v>
      </c>
      <c r="M159" s="9"/>
      <c r="N159" s="5"/>
      <c r="O159" s="5"/>
    </row>
    <row r="160" ht="22.5" customHeight="1">
      <c r="A160" s="5"/>
      <c r="B160" s="5"/>
      <c r="C160" s="5"/>
      <c r="D160" s="9"/>
      <c r="E160" s="9"/>
      <c r="F160" s="5" t="s">
        <v>18</v>
      </c>
      <c r="G160" s="9"/>
      <c r="H160" s="5" t="s">
        <v>20</v>
      </c>
      <c r="I160" s="9"/>
      <c r="J160" s="8" t="s">
        <v>21</v>
      </c>
      <c r="K160" s="9"/>
      <c r="L160" s="8" t="s">
        <v>22</v>
      </c>
      <c r="M160" s="9"/>
      <c r="N160" s="5"/>
      <c r="O160" s="5"/>
    </row>
    <row r="161" ht="22.5" customHeight="1">
      <c r="A161" s="5"/>
      <c r="B161" s="5"/>
      <c r="C161" s="5"/>
      <c r="D161" s="9"/>
      <c r="E161" s="9"/>
      <c r="F161" s="5" t="s">
        <v>18</v>
      </c>
      <c r="G161" s="9"/>
      <c r="H161" s="5" t="s">
        <v>20</v>
      </c>
      <c r="I161" s="9"/>
      <c r="J161" s="8" t="s">
        <v>21</v>
      </c>
      <c r="K161" s="9"/>
      <c r="L161" s="8" t="s">
        <v>22</v>
      </c>
      <c r="M161" s="9"/>
      <c r="N161" s="5"/>
      <c r="O161" s="5"/>
    </row>
    <row r="162" ht="22.5" customHeight="1">
      <c r="A162" s="5"/>
      <c r="B162" s="5"/>
      <c r="C162" s="5"/>
      <c r="D162" s="9"/>
      <c r="E162" s="9"/>
      <c r="F162" s="5" t="s">
        <v>18</v>
      </c>
      <c r="G162" s="9"/>
      <c r="H162" s="5" t="s">
        <v>20</v>
      </c>
      <c r="I162" s="9"/>
      <c r="J162" s="8" t="s">
        <v>21</v>
      </c>
      <c r="K162" s="9"/>
      <c r="L162" s="8" t="s">
        <v>22</v>
      </c>
      <c r="M162" s="9"/>
      <c r="N162" s="5"/>
      <c r="O162" s="5"/>
    </row>
    <row r="163" ht="22.5" customHeight="1">
      <c r="A163" s="5"/>
      <c r="B163" s="5"/>
      <c r="C163" s="5"/>
      <c r="D163" s="9"/>
      <c r="E163" s="9"/>
      <c r="F163" s="5" t="s">
        <v>18</v>
      </c>
      <c r="G163" s="9"/>
      <c r="H163" s="5" t="s">
        <v>20</v>
      </c>
      <c r="I163" s="9"/>
      <c r="J163" s="8" t="s">
        <v>21</v>
      </c>
      <c r="K163" s="9"/>
      <c r="L163" s="8" t="s">
        <v>22</v>
      </c>
      <c r="M163" s="9"/>
      <c r="N163" s="5"/>
      <c r="O163" s="5"/>
    </row>
    <row r="164" ht="22.5" customHeight="1">
      <c r="A164" s="5"/>
      <c r="B164" s="5"/>
      <c r="C164" s="5"/>
      <c r="D164" s="9"/>
      <c r="E164" s="9"/>
      <c r="F164" s="5" t="s">
        <v>18</v>
      </c>
      <c r="G164" s="9"/>
      <c r="H164" s="5" t="s">
        <v>20</v>
      </c>
      <c r="I164" s="9"/>
      <c r="J164" s="8" t="s">
        <v>21</v>
      </c>
      <c r="K164" s="9"/>
      <c r="L164" s="8" t="s">
        <v>22</v>
      </c>
      <c r="M164" s="9"/>
      <c r="N164" s="5"/>
      <c r="O164" s="5"/>
    </row>
    <row r="165" ht="22.5" customHeight="1">
      <c r="A165" s="5"/>
      <c r="B165" s="5"/>
      <c r="C165" s="5"/>
      <c r="D165" s="9"/>
      <c r="E165" s="9"/>
      <c r="F165" s="5" t="s">
        <v>18</v>
      </c>
      <c r="G165" s="9"/>
      <c r="H165" s="5" t="s">
        <v>20</v>
      </c>
      <c r="I165" s="9"/>
      <c r="J165" s="8" t="s">
        <v>21</v>
      </c>
      <c r="K165" s="9"/>
      <c r="L165" s="8" t="s">
        <v>22</v>
      </c>
      <c r="M165" s="9"/>
      <c r="N165" s="5"/>
      <c r="O165" s="5"/>
    </row>
    <row r="166" ht="22.5" customHeight="1">
      <c r="A166" s="5"/>
      <c r="B166" s="5"/>
      <c r="C166" s="5"/>
      <c r="D166" s="9"/>
      <c r="E166" s="9"/>
      <c r="F166" s="5" t="s">
        <v>18</v>
      </c>
      <c r="G166" s="9"/>
      <c r="H166" s="5" t="s">
        <v>20</v>
      </c>
      <c r="I166" s="9"/>
      <c r="J166" s="8" t="s">
        <v>21</v>
      </c>
      <c r="K166" s="9"/>
      <c r="L166" s="8" t="s">
        <v>22</v>
      </c>
      <c r="M166" s="9"/>
      <c r="N166" s="5"/>
      <c r="O166" s="5"/>
    </row>
    <row r="167" ht="22.5" customHeight="1">
      <c r="A167" s="5"/>
      <c r="B167" s="5"/>
      <c r="C167" s="5"/>
      <c r="D167" s="9"/>
      <c r="E167" s="9"/>
      <c r="F167" s="5" t="s">
        <v>18</v>
      </c>
      <c r="G167" s="9"/>
      <c r="H167" s="5" t="s">
        <v>20</v>
      </c>
      <c r="I167" s="9"/>
      <c r="J167" s="8" t="s">
        <v>21</v>
      </c>
      <c r="K167" s="9"/>
      <c r="L167" s="8" t="s">
        <v>22</v>
      </c>
      <c r="M167" s="9"/>
      <c r="N167" s="5"/>
      <c r="O167" s="5"/>
    </row>
    <row r="168" ht="22.5" customHeight="1">
      <c r="A168" s="5"/>
      <c r="B168" s="5"/>
      <c r="C168" s="5"/>
      <c r="D168" s="9"/>
      <c r="E168" s="9"/>
      <c r="F168" s="5" t="s">
        <v>18</v>
      </c>
      <c r="G168" s="9"/>
      <c r="H168" s="5" t="s">
        <v>20</v>
      </c>
      <c r="I168" s="9"/>
      <c r="J168" s="8" t="s">
        <v>21</v>
      </c>
      <c r="K168" s="9"/>
      <c r="L168" s="8" t="s">
        <v>22</v>
      </c>
      <c r="M168" s="9"/>
      <c r="N168" s="5"/>
      <c r="O168" s="5"/>
    </row>
    <row r="169" ht="22.5" customHeight="1">
      <c r="A169" s="5"/>
      <c r="B169" s="5"/>
      <c r="C169" s="5"/>
      <c r="D169" s="9"/>
      <c r="E169" s="9"/>
      <c r="F169" s="5" t="s">
        <v>18</v>
      </c>
      <c r="G169" s="9"/>
      <c r="H169" s="5" t="s">
        <v>20</v>
      </c>
      <c r="I169" s="9"/>
      <c r="J169" s="8" t="s">
        <v>21</v>
      </c>
      <c r="K169" s="9"/>
      <c r="L169" s="8" t="s">
        <v>22</v>
      </c>
      <c r="M169" s="9"/>
      <c r="N169" s="5"/>
      <c r="O169" s="5"/>
    </row>
    <row r="170" ht="22.5" customHeight="1">
      <c r="A170" s="5"/>
      <c r="B170" s="3"/>
      <c r="C170" s="5"/>
      <c r="D170" s="9"/>
      <c r="E170" s="9"/>
      <c r="F170" s="5" t="s">
        <v>18</v>
      </c>
      <c r="G170" s="9"/>
      <c r="H170" s="5" t="s">
        <v>20</v>
      </c>
      <c r="I170" s="9"/>
      <c r="J170" s="8" t="s">
        <v>21</v>
      </c>
      <c r="K170" s="9"/>
      <c r="L170" s="8" t="s">
        <v>22</v>
      </c>
      <c r="M170" s="9"/>
      <c r="N170" s="5"/>
      <c r="O170" s="5"/>
    </row>
    <row r="171" ht="22.5" customHeight="1">
      <c r="A171" s="5"/>
      <c r="B171" s="5"/>
      <c r="C171" s="5"/>
      <c r="D171" s="9"/>
      <c r="E171" s="9"/>
      <c r="F171" s="5" t="s">
        <v>18</v>
      </c>
      <c r="G171" s="9"/>
      <c r="H171" s="5" t="s">
        <v>20</v>
      </c>
      <c r="I171" s="9"/>
      <c r="J171" s="8" t="s">
        <v>21</v>
      </c>
      <c r="K171" s="9"/>
      <c r="L171" s="8" t="s">
        <v>22</v>
      </c>
      <c r="M171" s="9"/>
      <c r="N171" s="5"/>
      <c r="O171" s="5"/>
    </row>
    <row r="172" ht="22.5" customHeight="1">
      <c r="A172" s="5"/>
      <c r="B172" s="5"/>
      <c r="C172" s="5"/>
      <c r="D172" s="9"/>
      <c r="E172" s="9"/>
      <c r="F172" s="5" t="s">
        <v>18</v>
      </c>
      <c r="G172" s="9"/>
      <c r="H172" s="5" t="s">
        <v>20</v>
      </c>
      <c r="I172" s="9"/>
      <c r="J172" s="8" t="s">
        <v>21</v>
      </c>
      <c r="K172" s="9"/>
      <c r="L172" s="8" t="s">
        <v>22</v>
      </c>
      <c r="M172" s="9"/>
      <c r="N172" s="5"/>
      <c r="O172" s="5"/>
    </row>
    <row r="173" ht="22.5" customHeight="1">
      <c r="A173" s="5"/>
      <c r="B173" s="5"/>
      <c r="C173" s="5"/>
      <c r="D173" s="9"/>
      <c r="E173" s="9"/>
      <c r="F173" s="5" t="s">
        <v>18</v>
      </c>
      <c r="G173" s="9"/>
      <c r="H173" s="5" t="s">
        <v>20</v>
      </c>
      <c r="I173" s="9"/>
      <c r="J173" s="8" t="s">
        <v>21</v>
      </c>
      <c r="K173" s="9"/>
      <c r="L173" s="8" t="s">
        <v>22</v>
      </c>
      <c r="M173" s="9"/>
      <c r="N173" s="5"/>
      <c r="O173" s="5"/>
    </row>
    <row r="174" ht="22.5" customHeight="1">
      <c r="A174" s="5"/>
      <c r="B174" s="5"/>
      <c r="C174" s="5"/>
      <c r="D174" s="9"/>
      <c r="E174" s="9"/>
      <c r="F174" s="5" t="s">
        <v>18</v>
      </c>
      <c r="G174" s="9"/>
      <c r="H174" s="5" t="s">
        <v>20</v>
      </c>
      <c r="I174" s="9"/>
      <c r="J174" s="8" t="s">
        <v>21</v>
      </c>
      <c r="K174" s="9"/>
      <c r="L174" s="8" t="s">
        <v>22</v>
      </c>
      <c r="M174" s="9"/>
      <c r="N174" s="5"/>
      <c r="O174" s="5"/>
    </row>
    <row r="175" ht="22.5" customHeight="1">
      <c r="A175" s="5"/>
      <c r="B175" s="15"/>
      <c r="C175" s="5"/>
      <c r="D175" s="9"/>
      <c r="E175" s="9"/>
      <c r="F175" s="5" t="s">
        <v>18</v>
      </c>
      <c r="G175" s="9"/>
      <c r="H175" s="5" t="s">
        <v>20</v>
      </c>
      <c r="I175" s="9"/>
      <c r="J175" s="8" t="s">
        <v>21</v>
      </c>
      <c r="K175" s="9"/>
      <c r="L175" s="8" t="s">
        <v>22</v>
      </c>
      <c r="M175" s="9"/>
      <c r="N175" s="5"/>
      <c r="O175" s="5"/>
    </row>
    <row r="176" ht="22.5" customHeight="1">
      <c r="A176" s="5"/>
      <c r="B176" s="5"/>
      <c r="C176" s="5"/>
      <c r="D176" s="9"/>
      <c r="E176" s="9"/>
      <c r="F176" s="5" t="s">
        <v>18</v>
      </c>
      <c r="G176" s="9"/>
      <c r="H176" s="5" t="s">
        <v>20</v>
      </c>
      <c r="I176" s="9"/>
      <c r="J176" s="8" t="s">
        <v>21</v>
      </c>
      <c r="K176" s="9"/>
      <c r="L176" s="8" t="s">
        <v>22</v>
      </c>
      <c r="M176" s="9"/>
      <c r="N176" s="5"/>
      <c r="O176" s="5"/>
    </row>
    <row r="177" ht="22.5" customHeight="1">
      <c r="A177" s="5"/>
      <c r="B177" s="5"/>
      <c r="C177" s="5"/>
      <c r="D177" s="9"/>
      <c r="E177" s="9"/>
      <c r="F177" s="5" t="s">
        <v>18</v>
      </c>
      <c r="G177" s="9"/>
      <c r="H177" s="5" t="s">
        <v>20</v>
      </c>
      <c r="I177" s="9"/>
      <c r="J177" s="8" t="s">
        <v>21</v>
      </c>
      <c r="K177" s="9"/>
      <c r="L177" s="8" t="s">
        <v>22</v>
      </c>
      <c r="M177" s="9"/>
      <c r="N177" s="5"/>
      <c r="O177" s="5"/>
    </row>
    <row r="178" ht="22.5" customHeight="1">
      <c r="A178" s="5"/>
      <c r="B178" s="5"/>
      <c r="C178" s="5"/>
      <c r="D178" s="9"/>
      <c r="E178" s="9"/>
      <c r="F178" s="5" t="s">
        <v>18</v>
      </c>
      <c r="G178" s="9"/>
      <c r="H178" s="5" t="s">
        <v>20</v>
      </c>
      <c r="I178" s="9"/>
      <c r="J178" s="8" t="s">
        <v>21</v>
      </c>
      <c r="K178" s="9"/>
      <c r="L178" s="8" t="s">
        <v>22</v>
      </c>
      <c r="M178" s="9"/>
      <c r="N178" s="5"/>
      <c r="O178" s="5"/>
    </row>
    <row r="179" ht="22.5" customHeight="1">
      <c r="A179" s="5"/>
      <c r="B179" s="5"/>
      <c r="C179" s="5"/>
      <c r="D179" s="9"/>
      <c r="E179" s="9"/>
      <c r="F179" s="5" t="s">
        <v>18</v>
      </c>
      <c r="G179" s="9"/>
      <c r="H179" s="5" t="s">
        <v>20</v>
      </c>
      <c r="I179" s="9"/>
      <c r="J179" s="8" t="s">
        <v>21</v>
      </c>
      <c r="K179" s="9"/>
      <c r="L179" s="8" t="s">
        <v>22</v>
      </c>
      <c r="M179" s="9"/>
      <c r="N179" s="5"/>
      <c r="O179" s="5"/>
    </row>
    <row r="180" ht="22.5" customHeight="1">
      <c r="A180" s="5"/>
      <c r="B180" s="5"/>
      <c r="C180" s="5"/>
      <c r="D180" s="9"/>
      <c r="E180" s="9"/>
      <c r="F180" s="5" t="s">
        <v>18</v>
      </c>
      <c r="G180" s="9"/>
      <c r="H180" s="5" t="s">
        <v>20</v>
      </c>
      <c r="I180" s="9"/>
      <c r="J180" s="8" t="s">
        <v>21</v>
      </c>
      <c r="K180" s="9"/>
      <c r="L180" s="8" t="s">
        <v>22</v>
      </c>
      <c r="M180" s="9"/>
      <c r="N180" s="5"/>
      <c r="O180" s="5"/>
    </row>
    <row r="181" ht="22.5" customHeight="1">
      <c r="A181" s="5"/>
      <c r="B181" s="5"/>
      <c r="C181" s="5"/>
      <c r="D181" s="9"/>
      <c r="E181" s="9"/>
      <c r="F181" s="5" t="s">
        <v>18</v>
      </c>
      <c r="G181" s="9"/>
      <c r="H181" s="5" t="s">
        <v>20</v>
      </c>
      <c r="I181" s="9"/>
      <c r="J181" s="8" t="s">
        <v>21</v>
      </c>
      <c r="K181" s="9"/>
      <c r="L181" s="8" t="s">
        <v>22</v>
      </c>
      <c r="M181" s="9"/>
      <c r="N181" s="5"/>
      <c r="O181" s="5"/>
    </row>
    <row r="182" ht="22.5" customHeight="1">
      <c r="A182" s="5"/>
      <c r="B182" s="5"/>
      <c r="C182" s="5"/>
      <c r="D182" s="9"/>
      <c r="E182" s="9"/>
      <c r="F182" s="5" t="s">
        <v>18</v>
      </c>
      <c r="G182" s="9"/>
      <c r="H182" s="5" t="s">
        <v>20</v>
      </c>
      <c r="I182" s="9"/>
      <c r="J182" s="8" t="s">
        <v>21</v>
      </c>
      <c r="K182" s="9"/>
      <c r="L182" s="8" t="s">
        <v>22</v>
      </c>
      <c r="M182" s="9"/>
      <c r="N182" s="5"/>
      <c r="O182" s="5"/>
    </row>
    <row r="183" ht="22.5" customHeight="1">
      <c r="A183" s="5"/>
      <c r="B183" s="5"/>
      <c r="C183" s="5"/>
      <c r="D183" s="9"/>
      <c r="E183" s="9"/>
      <c r="F183" s="5" t="s">
        <v>18</v>
      </c>
      <c r="G183" s="9"/>
      <c r="H183" s="5" t="s">
        <v>20</v>
      </c>
      <c r="I183" s="9"/>
      <c r="J183" s="8" t="s">
        <v>21</v>
      </c>
      <c r="K183" s="9"/>
      <c r="L183" s="8" t="s">
        <v>22</v>
      </c>
      <c r="M183" s="9"/>
      <c r="N183" s="5"/>
      <c r="O183" s="5"/>
    </row>
    <row r="184" ht="22.5" customHeight="1">
      <c r="A184" s="5"/>
      <c r="B184" s="5"/>
      <c r="C184" s="5"/>
      <c r="D184" s="9"/>
      <c r="E184" s="9"/>
      <c r="F184" s="5" t="s">
        <v>18</v>
      </c>
      <c r="G184" s="9"/>
      <c r="H184" s="5" t="s">
        <v>20</v>
      </c>
      <c r="I184" s="9"/>
      <c r="J184" s="8" t="s">
        <v>21</v>
      </c>
      <c r="K184" s="9"/>
      <c r="L184" s="8" t="s">
        <v>22</v>
      </c>
      <c r="M184" s="9"/>
      <c r="N184" s="5"/>
      <c r="O184" s="5"/>
    </row>
    <row r="185" ht="22.5" customHeight="1">
      <c r="A185" s="5"/>
      <c r="B185" s="5"/>
      <c r="C185" s="5"/>
      <c r="D185" s="9"/>
      <c r="E185" s="9"/>
      <c r="F185" s="5" t="s">
        <v>18</v>
      </c>
      <c r="G185" s="9"/>
      <c r="H185" s="5" t="s">
        <v>20</v>
      </c>
      <c r="I185" s="9"/>
      <c r="J185" s="8" t="s">
        <v>21</v>
      </c>
      <c r="K185" s="9"/>
      <c r="L185" s="8" t="s">
        <v>22</v>
      </c>
      <c r="M185" s="9"/>
      <c r="N185" s="5"/>
      <c r="O185" s="5"/>
    </row>
    <row r="186" ht="22.5" customHeight="1">
      <c r="A186" s="5"/>
      <c r="B186" s="5"/>
      <c r="C186" s="5"/>
      <c r="D186" s="9"/>
      <c r="E186" s="9"/>
      <c r="F186" s="5" t="s">
        <v>18</v>
      </c>
      <c r="G186" s="9"/>
      <c r="H186" s="5" t="s">
        <v>20</v>
      </c>
      <c r="I186" s="9"/>
      <c r="J186" s="8" t="s">
        <v>21</v>
      </c>
      <c r="K186" s="9"/>
      <c r="L186" s="8" t="s">
        <v>22</v>
      </c>
      <c r="M186" s="9"/>
      <c r="N186" s="5"/>
      <c r="O186" s="5"/>
    </row>
    <row r="187" ht="22.5" customHeight="1">
      <c r="A187" s="5"/>
      <c r="B187" s="5"/>
      <c r="C187" s="5"/>
      <c r="D187" s="9"/>
      <c r="E187" s="9"/>
      <c r="F187" s="5" t="s">
        <v>18</v>
      </c>
      <c r="G187" s="9"/>
      <c r="H187" s="5" t="s">
        <v>20</v>
      </c>
      <c r="I187" s="9"/>
      <c r="J187" s="8" t="s">
        <v>21</v>
      </c>
      <c r="K187" s="9"/>
      <c r="L187" s="8" t="s">
        <v>22</v>
      </c>
      <c r="M187" s="9"/>
      <c r="N187" s="5"/>
      <c r="O187" s="5"/>
    </row>
    <row r="188" ht="22.5" customHeight="1">
      <c r="A188" s="5"/>
      <c r="B188" s="5"/>
      <c r="C188" s="5"/>
      <c r="D188" s="9"/>
      <c r="E188" s="9"/>
      <c r="F188" s="5" t="s">
        <v>18</v>
      </c>
      <c r="G188" s="9"/>
      <c r="H188" s="5" t="s">
        <v>20</v>
      </c>
      <c r="I188" s="9"/>
      <c r="J188" s="8" t="s">
        <v>21</v>
      </c>
      <c r="K188" s="9"/>
      <c r="L188" s="8" t="s">
        <v>22</v>
      </c>
      <c r="M188" s="9"/>
      <c r="N188" s="5"/>
      <c r="O188" s="5"/>
    </row>
    <row r="189" ht="22.5" customHeight="1">
      <c r="A189" s="5"/>
      <c r="B189" s="5"/>
      <c r="C189" s="5"/>
      <c r="D189" s="9"/>
      <c r="E189" s="9"/>
      <c r="F189" s="5" t="s">
        <v>18</v>
      </c>
      <c r="G189" s="9"/>
      <c r="H189" s="5" t="s">
        <v>20</v>
      </c>
      <c r="I189" s="9"/>
      <c r="J189" s="8" t="s">
        <v>21</v>
      </c>
      <c r="K189" s="9"/>
      <c r="L189" s="8" t="s">
        <v>22</v>
      </c>
      <c r="M189" s="9"/>
      <c r="N189" s="5"/>
      <c r="O189" s="5"/>
    </row>
    <row r="190" ht="22.5" customHeight="1">
      <c r="A190" s="5"/>
      <c r="B190" s="5"/>
      <c r="C190" s="5"/>
      <c r="D190" s="9"/>
      <c r="E190" s="9"/>
      <c r="F190" s="5" t="s">
        <v>18</v>
      </c>
      <c r="G190" s="9"/>
      <c r="H190" s="5" t="s">
        <v>20</v>
      </c>
      <c r="I190" s="9"/>
      <c r="J190" s="8" t="s">
        <v>21</v>
      </c>
      <c r="K190" s="9"/>
      <c r="L190" s="8" t="s">
        <v>22</v>
      </c>
      <c r="M190" s="9"/>
      <c r="N190" s="5"/>
      <c r="O190" s="5"/>
    </row>
    <row r="191" ht="22.5" customHeight="1">
      <c r="A191" s="5"/>
      <c r="B191" s="5"/>
      <c r="C191" s="5"/>
      <c r="D191" s="9"/>
      <c r="E191" s="9"/>
      <c r="F191" s="5" t="s">
        <v>18</v>
      </c>
      <c r="G191" s="9"/>
      <c r="H191" s="5" t="s">
        <v>20</v>
      </c>
      <c r="I191" s="9"/>
      <c r="J191" s="8" t="s">
        <v>21</v>
      </c>
      <c r="K191" s="9"/>
      <c r="L191" s="8" t="s">
        <v>22</v>
      </c>
      <c r="M191" s="9"/>
      <c r="N191" s="5"/>
      <c r="O191" s="5"/>
    </row>
    <row r="192" ht="22.5" customHeight="1">
      <c r="A192" s="3"/>
      <c r="B192" s="5"/>
      <c r="C192" s="5"/>
      <c r="D192" s="9"/>
      <c r="E192" s="9"/>
      <c r="F192" s="5" t="s">
        <v>18</v>
      </c>
      <c r="G192" s="9"/>
      <c r="H192" s="5" t="s">
        <v>20</v>
      </c>
      <c r="I192" s="9"/>
      <c r="J192" s="8" t="s">
        <v>21</v>
      </c>
      <c r="K192" s="9"/>
      <c r="L192" s="8" t="s">
        <v>22</v>
      </c>
      <c r="M192" s="9"/>
      <c r="N192" s="5"/>
      <c r="O192" s="5"/>
    </row>
    <row r="193" ht="22.5" customHeight="1">
      <c r="A193" s="5"/>
      <c r="B193" s="5"/>
      <c r="C193" s="5"/>
      <c r="D193" s="9"/>
      <c r="E193" s="9"/>
      <c r="F193" s="5" t="s">
        <v>18</v>
      </c>
      <c r="G193" s="9"/>
      <c r="H193" s="5" t="s">
        <v>20</v>
      </c>
      <c r="I193" s="9"/>
      <c r="J193" s="8" t="s">
        <v>21</v>
      </c>
      <c r="K193" s="9"/>
      <c r="L193" s="8" t="s">
        <v>22</v>
      </c>
      <c r="M193" s="9"/>
      <c r="N193" s="5"/>
      <c r="O193" s="5"/>
    </row>
    <row r="194" ht="22.5" customHeight="1">
      <c r="A194" s="5"/>
      <c r="B194" s="5"/>
      <c r="C194" s="5"/>
      <c r="D194" s="9"/>
      <c r="E194" s="9"/>
      <c r="F194" s="5" t="s">
        <v>18</v>
      </c>
      <c r="G194" s="9"/>
      <c r="H194" s="5" t="s">
        <v>20</v>
      </c>
      <c r="I194" s="9"/>
      <c r="J194" s="8" t="s">
        <v>21</v>
      </c>
      <c r="K194" s="9"/>
      <c r="L194" s="8" t="s">
        <v>22</v>
      </c>
      <c r="M194" s="9"/>
      <c r="N194" s="5"/>
      <c r="O194" s="5"/>
    </row>
    <row r="195" ht="22.5" customHeight="1">
      <c r="A195" s="5"/>
      <c r="B195" s="5"/>
      <c r="C195" s="5"/>
      <c r="D195" s="9"/>
      <c r="E195" s="9"/>
      <c r="F195" s="5" t="s">
        <v>18</v>
      </c>
      <c r="G195" s="9"/>
      <c r="H195" s="5" t="s">
        <v>20</v>
      </c>
      <c r="I195" s="9"/>
      <c r="J195" s="8" t="s">
        <v>21</v>
      </c>
      <c r="K195" s="9"/>
      <c r="L195" s="8" t="s">
        <v>22</v>
      </c>
      <c r="M195" s="9"/>
      <c r="N195" s="5"/>
      <c r="O195" s="5"/>
    </row>
    <row r="196" ht="22.5" customHeight="1">
      <c r="A196" s="5"/>
      <c r="B196" s="5"/>
      <c r="C196" s="5"/>
      <c r="D196" s="9"/>
      <c r="E196" s="9"/>
      <c r="F196" s="5" t="s">
        <v>18</v>
      </c>
      <c r="G196" s="9"/>
      <c r="H196" s="5" t="s">
        <v>20</v>
      </c>
      <c r="I196" s="9"/>
      <c r="J196" s="8" t="s">
        <v>21</v>
      </c>
      <c r="K196" s="9"/>
      <c r="L196" s="8" t="s">
        <v>22</v>
      </c>
      <c r="M196" s="9"/>
      <c r="N196" s="5"/>
      <c r="O196" s="5"/>
    </row>
    <row r="197" ht="22.5" customHeight="1">
      <c r="A197" s="5"/>
      <c r="B197" s="5"/>
      <c r="C197" s="5"/>
      <c r="D197" s="9"/>
      <c r="E197" s="9"/>
      <c r="F197" s="5" t="s">
        <v>18</v>
      </c>
      <c r="G197" s="9"/>
      <c r="H197" s="5" t="s">
        <v>20</v>
      </c>
      <c r="I197" s="9"/>
      <c r="J197" s="8" t="s">
        <v>21</v>
      </c>
      <c r="K197" s="9"/>
      <c r="L197" s="8" t="s">
        <v>22</v>
      </c>
      <c r="M197" s="9"/>
      <c r="N197" s="5"/>
      <c r="O197" s="5"/>
    </row>
    <row r="198" ht="22.5" customHeight="1">
      <c r="A198" s="5"/>
      <c r="B198" s="5"/>
      <c r="C198" s="5"/>
      <c r="D198" s="9"/>
      <c r="E198" s="9"/>
      <c r="F198" s="5" t="s">
        <v>18</v>
      </c>
      <c r="G198" s="9"/>
      <c r="H198" s="5" t="s">
        <v>20</v>
      </c>
      <c r="I198" s="9"/>
      <c r="J198" s="8" t="s">
        <v>21</v>
      </c>
      <c r="K198" s="9"/>
      <c r="L198" s="8" t="s">
        <v>22</v>
      </c>
      <c r="M198" s="9"/>
      <c r="N198" s="5"/>
      <c r="O198" s="5"/>
    </row>
    <row r="199" ht="22.5" customHeight="1">
      <c r="A199" s="5"/>
      <c r="B199" s="5"/>
      <c r="C199" s="5"/>
      <c r="D199" s="9"/>
      <c r="E199" s="9"/>
      <c r="F199" s="5" t="s">
        <v>18</v>
      </c>
      <c r="G199" s="9"/>
      <c r="H199" s="5" t="s">
        <v>20</v>
      </c>
      <c r="I199" s="9"/>
      <c r="J199" s="8" t="s">
        <v>21</v>
      </c>
      <c r="K199" s="9"/>
      <c r="L199" s="8" t="s">
        <v>22</v>
      </c>
      <c r="M199" s="9"/>
      <c r="N199" s="5"/>
      <c r="O199" s="5"/>
    </row>
    <row r="200" ht="22.5" customHeight="1">
      <c r="A200" s="5"/>
      <c r="B200" s="5"/>
      <c r="C200" s="5"/>
      <c r="D200" s="9"/>
      <c r="E200" s="9"/>
      <c r="F200" s="5" t="s">
        <v>18</v>
      </c>
      <c r="G200" s="9"/>
      <c r="H200" s="5" t="s">
        <v>20</v>
      </c>
      <c r="I200" s="9"/>
      <c r="J200" s="8" t="s">
        <v>21</v>
      </c>
      <c r="K200" s="9"/>
      <c r="L200" s="8" t="s">
        <v>22</v>
      </c>
      <c r="M200" s="9"/>
      <c r="N200" s="5"/>
      <c r="O200" s="5"/>
    </row>
    <row r="201" ht="22.5" customHeight="1">
      <c r="A201" s="5"/>
      <c r="B201" s="5"/>
      <c r="C201" s="5"/>
      <c r="D201" s="9"/>
      <c r="E201" s="9"/>
      <c r="F201" s="5" t="s">
        <v>18</v>
      </c>
      <c r="G201" s="9"/>
      <c r="H201" s="5" t="s">
        <v>20</v>
      </c>
      <c r="I201" s="9"/>
      <c r="J201" s="8" t="s">
        <v>21</v>
      </c>
      <c r="K201" s="9"/>
      <c r="L201" s="8" t="s">
        <v>22</v>
      </c>
      <c r="M201" s="9"/>
      <c r="N201" s="5"/>
      <c r="O201" s="5"/>
    </row>
    <row r="202" ht="22.5" customHeight="1">
      <c r="A202" s="5"/>
      <c r="B202" s="5"/>
      <c r="C202" s="5"/>
      <c r="D202" s="9"/>
      <c r="E202" s="9"/>
      <c r="F202" s="5" t="s">
        <v>18</v>
      </c>
      <c r="G202" s="9"/>
      <c r="H202" s="5" t="s">
        <v>20</v>
      </c>
      <c r="I202" s="9"/>
      <c r="J202" s="8" t="s">
        <v>21</v>
      </c>
      <c r="K202" s="9"/>
      <c r="L202" s="8" t="s">
        <v>22</v>
      </c>
      <c r="M202" s="9"/>
      <c r="N202" s="5"/>
      <c r="O202" s="5"/>
    </row>
    <row r="203" ht="22.5" customHeight="1">
      <c r="A203" s="5"/>
      <c r="B203" s="5"/>
      <c r="C203" s="5"/>
      <c r="D203" s="9"/>
      <c r="E203" s="9"/>
      <c r="F203" s="5" t="s">
        <v>18</v>
      </c>
      <c r="G203" s="9"/>
      <c r="H203" s="5" t="s">
        <v>20</v>
      </c>
      <c r="I203" s="9"/>
      <c r="J203" s="8" t="s">
        <v>21</v>
      </c>
      <c r="K203" s="9"/>
      <c r="L203" s="8" t="s">
        <v>22</v>
      </c>
      <c r="M203" s="9"/>
      <c r="N203" s="5"/>
      <c r="O203" s="5"/>
    </row>
    <row r="204" ht="22.5" customHeight="1">
      <c r="A204" s="5"/>
      <c r="B204" s="5"/>
      <c r="C204" s="5"/>
      <c r="D204" s="9"/>
      <c r="E204" s="9"/>
      <c r="F204" s="5" t="s">
        <v>18</v>
      </c>
      <c r="G204" s="9"/>
      <c r="H204" s="5" t="s">
        <v>20</v>
      </c>
      <c r="I204" s="9"/>
      <c r="J204" s="8" t="s">
        <v>21</v>
      </c>
      <c r="K204" s="9"/>
      <c r="L204" s="8" t="s">
        <v>22</v>
      </c>
      <c r="M204" s="9"/>
      <c r="N204" s="5"/>
      <c r="O204" s="5"/>
    </row>
    <row r="205" ht="22.5" customHeight="1">
      <c r="A205" s="5"/>
      <c r="B205" s="5"/>
      <c r="C205" s="5"/>
      <c r="D205" s="9"/>
      <c r="E205" s="9"/>
      <c r="F205" s="5" t="s">
        <v>18</v>
      </c>
      <c r="G205" s="9"/>
      <c r="H205" s="5" t="s">
        <v>20</v>
      </c>
      <c r="I205" s="9"/>
      <c r="J205" s="8" t="s">
        <v>21</v>
      </c>
      <c r="K205" s="9"/>
      <c r="L205" s="8" t="s">
        <v>22</v>
      </c>
      <c r="M205" s="9"/>
      <c r="N205" s="5"/>
      <c r="O205" s="5"/>
    </row>
    <row r="206" ht="22.5" customHeight="1">
      <c r="A206" s="5"/>
      <c r="B206" s="5"/>
      <c r="C206" s="5"/>
      <c r="D206" s="9"/>
      <c r="E206" s="9"/>
      <c r="F206" s="5" t="s">
        <v>18</v>
      </c>
      <c r="G206" s="9"/>
      <c r="H206" s="5" t="s">
        <v>20</v>
      </c>
      <c r="I206" s="9"/>
      <c r="J206" s="8" t="s">
        <v>21</v>
      </c>
      <c r="K206" s="9"/>
      <c r="L206" s="8" t="s">
        <v>22</v>
      </c>
      <c r="M206" s="9"/>
      <c r="N206" s="5"/>
      <c r="O206" s="5"/>
    </row>
    <row r="207" ht="22.5" customHeight="1">
      <c r="A207" s="5"/>
      <c r="B207" s="5"/>
      <c r="C207" s="5"/>
      <c r="D207" s="9"/>
      <c r="E207" s="9"/>
      <c r="F207" s="5" t="s">
        <v>18</v>
      </c>
      <c r="G207" s="9"/>
      <c r="H207" s="5" t="s">
        <v>20</v>
      </c>
      <c r="I207" s="9"/>
      <c r="J207" s="8" t="s">
        <v>21</v>
      </c>
      <c r="K207" s="9"/>
      <c r="L207" s="8" t="s">
        <v>22</v>
      </c>
      <c r="M207" s="9"/>
      <c r="N207" s="5"/>
      <c r="O207" s="5"/>
    </row>
    <row r="208" ht="22.5" customHeight="1">
      <c r="A208" s="5"/>
      <c r="B208" s="5"/>
      <c r="C208" s="5"/>
      <c r="D208" s="9"/>
      <c r="E208" s="9"/>
      <c r="F208" s="5" t="s">
        <v>18</v>
      </c>
      <c r="G208" s="9"/>
      <c r="H208" s="5" t="s">
        <v>20</v>
      </c>
      <c r="I208" s="9"/>
      <c r="J208" s="8" t="s">
        <v>21</v>
      </c>
      <c r="K208" s="9"/>
      <c r="L208" s="8" t="s">
        <v>22</v>
      </c>
      <c r="M208" s="9"/>
      <c r="N208" s="5"/>
      <c r="O208" s="5"/>
    </row>
    <row r="209" ht="22.5" customHeight="1">
      <c r="A209" s="5"/>
      <c r="B209" s="5"/>
      <c r="C209" s="5"/>
      <c r="D209" s="9"/>
      <c r="E209" s="9"/>
      <c r="F209" s="5" t="s">
        <v>18</v>
      </c>
      <c r="G209" s="9"/>
      <c r="H209" s="5" t="s">
        <v>20</v>
      </c>
      <c r="I209" s="9"/>
      <c r="J209" s="8" t="s">
        <v>21</v>
      </c>
      <c r="K209" s="9"/>
      <c r="L209" s="8" t="s">
        <v>22</v>
      </c>
      <c r="M209" s="9"/>
      <c r="N209" s="5"/>
      <c r="O209" s="5"/>
    </row>
    <row r="210" ht="22.5" customHeight="1">
      <c r="A210" s="5"/>
      <c r="B210" s="5"/>
      <c r="C210" s="5"/>
      <c r="D210" s="9"/>
      <c r="E210" s="9"/>
      <c r="F210" s="5" t="s">
        <v>18</v>
      </c>
      <c r="G210" s="9"/>
      <c r="H210" s="5" t="s">
        <v>20</v>
      </c>
      <c r="I210" s="9"/>
      <c r="J210" s="8" t="s">
        <v>21</v>
      </c>
      <c r="K210" s="9"/>
      <c r="L210" s="8" t="s">
        <v>22</v>
      </c>
      <c r="M210" s="9"/>
      <c r="N210" s="5"/>
      <c r="O210" s="5"/>
    </row>
    <row r="211" ht="22.5" customHeight="1">
      <c r="A211" s="5"/>
      <c r="B211" s="5"/>
      <c r="C211" s="5"/>
      <c r="D211" s="9"/>
      <c r="E211" s="9"/>
      <c r="F211" s="5" t="s">
        <v>18</v>
      </c>
      <c r="G211" s="9"/>
      <c r="H211" s="5" t="s">
        <v>20</v>
      </c>
      <c r="I211" s="9"/>
      <c r="J211" s="8" t="s">
        <v>21</v>
      </c>
      <c r="K211" s="9"/>
      <c r="L211" s="8" t="s">
        <v>22</v>
      </c>
      <c r="M211" s="9"/>
      <c r="N211" s="5"/>
      <c r="O211" s="5"/>
    </row>
    <row r="212" ht="22.5" customHeight="1">
      <c r="A212" s="5"/>
      <c r="B212" s="5"/>
      <c r="C212" s="5"/>
      <c r="D212" s="9"/>
      <c r="E212" s="9"/>
      <c r="F212" s="5" t="s">
        <v>18</v>
      </c>
      <c r="G212" s="9"/>
      <c r="H212" s="5" t="s">
        <v>20</v>
      </c>
      <c r="I212" s="9"/>
      <c r="J212" s="8" t="s">
        <v>21</v>
      </c>
      <c r="K212" s="9"/>
      <c r="L212" s="8" t="s">
        <v>22</v>
      </c>
      <c r="M212" s="9"/>
      <c r="N212" s="5"/>
      <c r="O212" s="5"/>
    </row>
    <row r="213" ht="22.5" customHeight="1">
      <c r="A213" s="5"/>
      <c r="B213" s="5"/>
      <c r="C213" s="5"/>
      <c r="D213" s="9"/>
      <c r="E213" s="9"/>
      <c r="F213" s="5" t="s">
        <v>18</v>
      </c>
      <c r="G213" s="9"/>
      <c r="H213" s="5" t="s">
        <v>20</v>
      </c>
      <c r="I213" s="9"/>
      <c r="J213" s="8" t="s">
        <v>21</v>
      </c>
      <c r="K213" s="9"/>
      <c r="L213" s="8" t="s">
        <v>22</v>
      </c>
      <c r="M213" s="9"/>
      <c r="N213" s="5"/>
      <c r="O213" s="5"/>
    </row>
    <row r="214" ht="22.5" customHeight="1">
      <c r="A214" s="5"/>
      <c r="B214" s="5"/>
      <c r="C214" s="5"/>
      <c r="D214" s="9"/>
      <c r="E214" s="9"/>
      <c r="F214" s="5" t="s">
        <v>18</v>
      </c>
      <c r="G214" s="9"/>
      <c r="H214" s="5" t="s">
        <v>20</v>
      </c>
      <c r="I214" s="9"/>
      <c r="J214" s="8" t="s">
        <v>21</v>
      </c>
      <c r="K214" s="9"/>
      <c r="L214" s="8" t="s">
        <v>22</v>
      </c>
      <c r="M214" s="9"/>
      <c r="N214" s="5"/>
      <c r="O214" s="5"/>
    </row>
    <row r="215" ht="22.5" customHeight="1">
      <c r="A215" s="5"/>
      <c r="B215" s="5"/>
      <c r="C215" s="5"/>
      <c r="D215" s="9"/>
      <c r="E215" s="9"/>
      <c r="F215" s="5" t="s">
        <v>18</v>
      </c>
      <c r="G215" s="9"/>
      <c r="H215" s="5" t="s">
        <v>20</v>
      </c>
      <c r="I215" s="9"/>
      <c r="J215" s="8" t="s">
        <v>21</v>
      </c>
      <c r="K215" s="9"/>
      <c r="L215" s="8" t="s">
        <v>22</v>
      </c>
      <c r="M215" s="9"/>
      <c r="N215" s="5"/>
      <c r="O215" s="5"/>
    </row>
    <row r="216" ht="22.5" customHeight="1">
      <c r="A216" s="5"/>
      <c r="B216" s="5"/>
      <c r="C216" s="5"/>
      <c r="D216" s="9"/>
      <c r="E216" s="9"/>
      <c r="F216" s="5" t="s">
        <v>18</v>
      </c>
      <c r="G216" s="9"/>
      <c r="H216" s="5" t="s">
        <v>20</v>
      </c>
      <c r="I216" s="9"/>
      <c r="J216" s="8" t="s">
        <v>21</v>
      </c>
      <c r="K216" s="9"/>
      <c r="L216" s="8" t="s">
        <v>22</v>
      </c>
      <c r="M216" s="9"/>
      <c r="N216" s="5"/>
      <c r="O216" s="5"/>
    </row>
    <row r="217" ht="22.5" customHeight="1">
      <c r="A217" s="5"/>
      <c r="B217" s="5"/>
      <c r="C217" s="5"/>
      <c r="D217" s="9"/>
      <c r="E217" s="9"/>
      <c r="F217" s="5" t="s">
        <v>18</v>
      </c>
      <c r="G217" s="9"/>
      <c r="H217" s="5" t="s">
        <v>20</v>
      </c>
      <c r="I217" s="9"/>
      <c r="J217" s="8" t="s">
        <v>21</v>
      </c>
      <c r="K217" s="9"/>
      <c r="L217" s="8" t="s">
        <v>22</v>
      </c>
      <c r="M217" s="9"/>
      <c r="N217" s="5"/>
      <c r="O217" s="5"/>
    </row>
    <row r="218" ht="22.5" customHeight="1">
      <c r="A218" s="5"/>
      <c r="B218" s="5"/>
      <c r="C218" s="5"/>
      <c r="D218" s="9"/>
      <c r="E218" s="9"/>
      <c r="F218" s="5" t="s">
        <v>18</v>
      </c>
      <c r="G218" s="9"/>
      <c r="H218" s="5" t="s">
        <v>20</v>
      </c>
      <c r="I218" s="9"/>
      <c r="J218" s="8" t="s">
        <v>21</v>
      </c>
      <c r="K218" s="9"/>
      <c r="L218" s="8" t="s">
        <v>22</v>
      </c>
      <c r="M218" s="9"/>
      <c r="N218" s="5"/>
      <c r="O218" s="5"/>
    </row>
    <row r="219" ht="22.5" customHeight="1">
      <c r="A219" s="5"/>
      <c r="B219" s="5"/>
      <c r="C219" s="5"/>
      <c r="D219" s="9"/>
      <c r="E219" s="9"/>
      <c r="F219" s="5" t="s">
        <v>18</v>
      </c>
      <c r="G219" s="9"/>
      <c r="H219" s="5" t="s">
        <v>20</v>
      </c>
      <c r="I219" s="9"/>
      <c r="J219" s="8" t="s">
        <v>21</v>
      </c>
      <c r="K219" s="9"/>
      <c r="L219" s="8" t="s">
        <v>22</v>
      </c>
      <c r="M219" s="9"/>
      <c r="N219" s="5"/>
      <c r="O219" s="5"/>
    </row>
    <row r="220" ht="22.5" customHeight="1">
      <c r="A220" s="5"/>
      <c r="B220" s="5"/>
      <c r="C220" s="5"/>
      <c r="D220" s="9"/>
      <c r="E220" s="9"/>
      <c r="F220" s="5" t="s">
        <v>18</v>
      </c>
      <c r="G220" s="9"/>
      <c r="H220" s="5" t="s">
        <v>20</v>
      </c>
      <c r="I220" s="9"/>
      <c r="J220" s="8" t="s">
        <v>21</v>
      </c>
      <c r="K220" s="9"/>
      <c r="L220" s="8" t="s">
        <v>22</v>
      </c>
      <c r="M220" s="9"/>
      <c r="N220" s="5"/>
      <c r="O220" s="5"/>
    </row>
    <row r="221" ht="22.5" customHeight="1">
      <c r="A221" s="5"/>
      <c r="B221" s="5"/>
      <c r="C221" s="5"/>
      <c r="D221" s="9"/>
      <c r="E221" s="9"/>
      <c r="F221" s="5" t="s">
        <v>18</v>
      </c>
      <c r="G221" s="9"/>
      <c r="H221" s="5" t="s">
        <v>20</v>
      </c>
      <c r="I221" s="9"/>
      <c r="J221" s="8" t="s">
        <v>21</v>
      </c>
      <c r="K221" s="9"/>
      <c r="L221" s="8" t="s">
        <v>22</v>
      </c>
      <c r="M221" s="9"/>
      <c r="N221" s="5"/>
      <c r="O221" s="5"/>
    </row>
    <row r="222" ht="22.5" customHeight="1">
      <c r="A222" s="5"/>
      <c r="B222" s="5"/>
      <c r="C222" s="5"/>
      <c r="D222" s="9"/>
      <c r="E222" s="9"/>
      <c r="F222" s="5" t="s">
        <v>18</v>
      </c>
      <c r="G222" s="9"/>
      <c r="H222" s="5" t="s">
        <v>20</v>
      </c>
      <c r="I222" s="9"/>
      <c r="J222" s="8" t="s">
        <v>21</v>
      </c>
      <c r="K222" s="9"/>
      <c r="L222" s="8" t="s">
        <v>22</v>
      </c>
      <c r="M222" s="9"/>
      <c r="N222" s="5"/>
      <c r="O222" s="5"/>
    </row>
    <row r="223" ht="22.5" customHeight="1">
      <c r="A223" s="5"/>
      <c r="B223" s="5"/>
      <c r="C223" s="5"/>
      <c r="D223" s="9"/>
      <c r="E223" s="9"/>
      <c r="F223" s="5" t="s">
        <v>18</v>
      </c>
      <c r="G223" s="9"/>
      <c r="H223" s="5" t="s">
        <v>20</v>
      </c>
      <c r="I223" s="9"/>
      <c r="J223" s="8" t="s">
        <v>21</v>
      </c>
      <c r="K223" s="9"/>
      <c r="L223" s="8" t="s">
        <v>22</v>
      </c>
      <c r="M223" s="9"/>
      <c r="N223" s="5"/>
      <c r="O223" s="5"/>
    </row>
    <row r="224" ht="22.5" customHeight="1">
      <c r="A224" s="5"/>
      <c r="B224" s="5"/>
      <c r="C224" s="5"/>
      <c r="D224" s="9"/>
      <c r="E224" s="9"/>
      <c r="F224" s="5" t="s">
        <v>18</v>
      </c>
      <c r="G224" s="9"/>
      <c r="H224" s="5" t="s">
        <v>20</v>
      </c>
      <c r="I224" s="9"/>
      <c r="J224" s="8" t="s">
        <v>21</v>
      </c>
      <c r="K224" s="9"/>
      <c r="L224" s="8" t="s">
        <v>22</v>
      </c>
      <c r="M224" s="9"/>
      <c r="N224" s="5"/>
      <c r="O224" s="5"/>
    </row>
    <row r="225" ht="22.5" customHeight="1">
      <c r="A225" s="5"/>
      <c r="B225" s="5"/>
      <c r="C225" s="5"/>
      <c r="D225" s="9"/>
      <c r="E225" s="9"/>
      <c r="F225" s="5" t="s">
        <v>18</v>
      </c>
      <c r="G225" s="9"/>
      <c r="H225" s="5" t="s">
        <v>20</v>
      </c>
      <c r="I225" s="9"/>
      <c r="J225" s="8" t="s">
        <v>21</v>
      </c>
      <c r="K225" s="9"/>
      <c r="L225" s="8" t="s">
        <v>22</v>
      </c>
      <c r="M225" s="9"/>
      <c r="N225" s="5"/>
      <c r="O225" s="5"/>
    </row>
    <row r="226" ht="22.5" customHeight="1">
      <c r="A226" s="5"/>
      <c r="B226" s="5"/>
      <c r="C226" s="5"/>
      <c r="D226" s="9"/>
      <c r="E226" s="9"/>
      <c r="F226" s="5" t="s">
        <v>18</v>
      </c>
      <c r="G226" s="9"/>
      <c r="H226" s="5" t="s">
        <v>20</v>
      </c>
      <c r="I226" s="9"/>
      <c r="J226" s="8" t="s">
        <v>21</v>
      </c>
      <c r="K226" s="9"/>
      <c r="L226" s="8" t="s">
        <v>22</v>
      </c>
      <c r="M226" s="9"/>
      <c r="N226" s="5"/>
      <c r="O226" s="5"/>
    </row>
    <row r="227" ht="22.5" customHeight="1">
      <c r="A227" s="5"/>
      <c r="B227" s="5"/>
      <c r="C227" s="5"/>
      <c r="D227" s="9"/>
      <c r="E227" s="9"/>
      <c r="F227" s="5" t="s">
        <v>18</v>
      </c>
      <c r="G227" s="9"/>
      <c r="H227" s="5" t="s">
        <v>20</v>
      </c>
      <c r="I227" s="9"/>
      <c r="J227" s="8" t="s">
        <v>21</v>
      </c>
      <c r="K227" s="9"/>
      <c r="L227" s="8" t="s">
        <v>22</v>
      </c>
      <c r="M227" s="9"/>
      <c r="N227" s="5"/>
      <c r="O227" s="5"/>
    </row>
    <row r="228" ht="22.5" customHeight="1">
      <c r="A228" s="5"/>
      <c r="B228" s="15"/>
      <c r="C228" s="5"/>
      <c r="D228" s="9"/>
      <c r="E228" s="9"/>
      <c r="F228" s="5" t="s">
        <v>18</v>
      </c>
      <c r="G228" s="9"/>
      <c r="H228" s="5" t="s">
        <v>20</v>
      </c>
      <c r="I228" s="9"/>
      <c r="J228" s="8" t="s">
        <v>21</v>
      </c>
      <c r="K228" s="9"/>
      <c r="L228" s="8" t="s">
        <v>22</v>
      </c>
      <c r="M228" s="9"/>
      <c r="N228" s="5"/>
      <c r="O228" s="5"/>
    </row>
    <row r="229" ht="22.5" customHeight="1">
      <c r="A229" s="5"/>
      <c r="B229" s="5"/>
      <c r="C229" s="5"/>
      <c r="D229" s="9"/>
      <c r="E229" s="9"/>
      <c r="F229" s="5" t="s">
        <v>18</v>
      </c>
      <c r="G229" s="9"/>
      <c r="H229" s="5" t="s">
        <v>20</v>
      </c>
      <c r="I229" s="9"/>
      <c r="J229" s="8" t="s">
        <v>21</v>
      </c>
      <c r="K229" s="9"/>
      <c r="L229" s="8" t="s">
        <v>22</v>
      </c>
      <c r="M229" s="9"/>
      <c r="N229" s="5"/>
      <c r="O229" s="5"/>
    </row>
    <row r="230" ht="22.5" customHeight="1">
      <c r="A230" s="5"/>
      <c r="B230" s="5"/>
      <c r="C230" s="5"/>
      <c r="D230" s="9"/>
      <c r="E230" s="9"/>
      <c r="F230" s="5" t="s">
        <v>18</v>
      </c>
      <c r="G230" s="9"/>
      <c r="H230" s="5" t="s">
        <v>20</v>
      </c>
      <c r="I230" s="9"/>
      <c r="J230" s="8" t="s">
        <v>21</v>
      </c>
      <c r="K230" s="9"/>
      <c r="L230" s="8" t="s">
        <v>22</v>
      </c>
      <c r="M230" s="9"/>
      <c r="N230" s="5"/>
      <c r="O230" s="5"/>
    </row>
    <row r="231" ht="22.5" customHeight="1">
      <c r="A231" s="5"/>
      <c r="B231" s="5"/>
      <c r="C231" s="5"/>
      <c r="D231" s="9"/>
      <c r="E231" s="9"/>
      <c r="F231" s="5" t="s">
        <v>18</v>
      </c>
      <c r="G231" s="9"/>
      <c r="H231" s="5" t="s">
        <v>20</v>
      </c>
      <c r="I231" s="9"/>
      <c r="J231" s="8" t="s">
        <v>21</v>
      </c>
      <c r="K231" s="9"/>
      <c r="L231" s="8" t="s">
        <v>22</v>
      </c>
      <c r="M231" s="9"/>
      <c r="N231" s="5"/>
      <c r="O231" s="5"/>
    </row>
    <row r="232" ht="22.5" customHeight="1">
      <c r="A232" s="5"/>
      <c r="B232" s="5"/>
      <c r="C232" s="5"/>
      <c r="D232" s="9"/>
      <c r="E232" s="9"/>
      <c r="F232" s="5" t="s">
        <v>18</v>
      </c>
      <c r="G232" s="9"/>
      <c r="H232" s="5" t="s">
        <v>20</v>
      </c>
      <c r="I232" s="9"/>
      <c r="J232" s="8" t="s">
        <v>21</v>
      </c>
      <c r="K232" s="9"/>
      <c r="L232" s="8" t="s">
        <v>22</v>
      </c>
      <c r="M232" s="9"/>
      <c r="N232" s="5"/>
      <c r="O232" s="5"/>
    </row>
    <row r="233" ht="22.5" customHeight="1">
      <c r="A233" s="5"/>
      <c r="B233" s="5"/>
      <c r="C233" s="5"/>
      <c r="D233" s="9"/>
      <c r="E233" s="9"/>
      <c r="F233" s="5" t="s">
        <v>18</v>
      </c>
      <c r="G233" s="9"/>
      <c r="H233" s="5" t="s">
        <v>20</v>
      </c>
      <c r="I233" s="9"/>
      <c r="J233" s="8" t="s">
        <v>21</v>
      </c>
      <c r="K233" s="9"/>
      <c r="L233" s="8" t="s">
        <v>22</v>
      </c>
      <c r="M233" s="9"/>
      <c r="N233" s="5"/>
      <c r="O233" s="5"/>
    </row>
    <row r="234" ht="22.5" customHeight="1">
      <c r="A234" s="5"/>
      <c r="B234" s="5"/>
      <c r="C234" s="5"/>
      <c r="D234" s="9"/>
      <c r="E234" s="9"/>
      <c r="F234" s="5" t="s">
        <v>18</v>
      </c>
      <c r="G234" s="9"/>
      <c r="H234" s="5" t="s">
        <v>20</v>
      </c>
      <c r="I234" s="9"/>
      <c r="J234" s="8" t="s">
        <v>21</v>
      </c>
      <c r="K234" s="9"/>
      <c r="L234" s="8" t="s">
        <v>22</v>
      </c>
      <c r="M234" s="9"/>
      <c r="N234" s="5"/>
      <c r="O234" s="5"/>
    </row>
    <row r="235" ht="22.5" customHeight="1">
      <c r="A235" s="5"/>
      <c r="B235" s="5"/>
      <c r="C235" s="5"/>
      <c r="D235" s="9"/>
      <c r="E235" s="9"/>
      <c r="F235" s="5" t="s">
        <v>18</v>
      </c>
      <c r="G235" s="9"/>
      <c r="H235" s="5" t="s">
        <v>20</v>
      </c>
      <c r="I235" s="9"/>
      <c r="J235" s="8" t="s">
        <v>21</v>
      </c>
      <c r="K235" s="9"/>
      <c r="L235" s="8" t="s">
        <v>22</v>
      </c>
      <c r="M235" s="9"/>
      <c r="N235" s="5"/>
      <c r="O235" s="5"/>
    </row>
    <row r="236" ht="22.5" customHeight="1">
      <c r="A236" s="5"/>
      <c r="B236" s="5"/>
      <c r="C236" s="5"/>
      <c r="D236" s="9"/>
      <c r="E236" s="9"/>
      <c r="F236" s="5" t="s">
        <v>18</v>
      </c>
      <c r="G236" s="9"/>
      <c r="H236" s="5" t="s">
        <v>20</v>
      </c>
      <c r="I236" s="9"/>
      <c r="J236" s="8" t="s">
        <v>21</v>
      </c>
      <c r="K236" s="9"/>
      <c r="L236" s="8" t="s">
        <v>22</v>
      </c>
      <c r="M236" s="9"/>
      <c r="N236" s="5"/>
      <c r="O236" s="5"/>
    </row>
    <row r="237" ht="22.5" customHeight="1">
      <c r="A237" s="5"/>
      <c r="B237" s="5"/>
      <c r="C237" s="5"/>
      <c r="D237" s="9"/>
      <c r="E237" s="9"/>
      <c r="F237" s="5" t="s">
        <v>18</v>
      </c>
      <c r="G237" s="9"/>
      <c r="H237" s="5" t="s">
        <v>20</v>
      </c>
      <c r="I237" s="9"/>
      <c r="J237" s="8" t="s">
        <v>21</v>
      </c>
      <c r="K237" s="9"/>
      <c r="L237" s="8" t="s">
        <v>22</v>
      </c>
      <c r="M237" s="9"/>
      <c r="N237" s="5"/>
      <c r="O237" s="5"/>
    </row>
    <row r="238" ht="22.5" customHeight="1">
      <c r="A238" s="5"/>
      <c r="B238" s="5"/>
      <c r="C238" s="5"/>
      <c r="D238" s="9"/>
      <c r="E238" s="9"/>
      <c r="F238" s="5" t="s">
        <v>18</v>
      </c>
      <c r="G238" s="9"/>
      <c r="H238" s="5" t="s">
        <v>20</v>
      </c>
      <c r="I238" s="9"/>
      <c r="J238" s="8" t="s">
        <v>21</v>
      </c>
      <c r="K238" s="9"/>
      <c r="L238" s="8" t="s">
        <v>22</v>
      </c>
      <c r="M238" s="9"/>
      <c r="N238" s="5"/>
      <c r="O238" s="5"/>
    </row>
    <row r="239" ht="22.5" customHeight="1">
      <c r="A239" s="5"/>
      <c r="B239" s="5"/>
      <c r="C239" s="5"/>
      <c r="D239" s="9"/>
      <c r="E239" s="9"/>
      <c r="F239" s="5" t="s">
        <v>18</v>
      </c>
      <c r="G239" s="9"/>
      <c r="H239" s="5" t="s">
        <v>20</v>
      </c>
      <c r="I239" s="9"/>
      <c r="J239" s="8" t="s">
        <v>21</v>
      </c>
      <c r="K239" s="9"/>
      <c r="L239" s="8" t="s">
        <v>22</v>
      </c>
      <c r="M239" s="9"/>
      <c r="N239" s="5"/>
      <c r="O239" s="5"/>
    </row>
    <row r="240" ht="22.5" customHeight="1">
      <c r="A240" s="5"/>
      <c r="B240" s="5"/>
      <c r="C240" s="5"/>
      <c r="D240" s="9"/>
      <c r="E240" s="9"/>
      <c r="F240" s="5" t="s">
        <v>18</v>
      </c>
      <c r="G240" s="9"/>
      <c r="H240" s="5" t="s">
        <v>20</v>
      </c>
      <c r="I240" s="9"/>
      <c r="J240" s="8" t="s">
        <v>21</v>
      </c>
      <c r="K240" s="9"/>
      <c r="L240" s="8" t="s">
        <v>22</v>
      </c>
      <c r="M240" s="9"/>
      <c r="N240" s="5"/>
      <c r="O240" s="5"/>
    </row>
    <row r="241" ht="22.5" customHeight="1">
      <c r="A241" s="5"/>
      <c r="B241" s="5"/>
      <c r="C241" s="5"/>
      <c r="D241" s="9"/>
      <c r="E241" s="9"/>
      <c r="F241" s="5" t="s">
        <v>18</v>
      </c>
      <c r="G241" s="9"/>
      <c r="H241" s="5" t="s">
        <v>20</v>
      </c>
      <c r="I241" s="9"/>
      <c r="J241" s="8" t="s">
        <v>21</v>
      </c>
      <c r="K241" s="9"/>
      <c r="L241" s="8" t="s">
        <v>22</v>
      </c>
      <c r="M241" s="9"/>
      <c r="N241" s="5"/>
      <c r="O241" s="5"/>
    </row>
    <row r="242" ht="22.5" customHeight="1">
      <c r="A242" s="5"/>
      <c r="B242" s="5"/>
      <c r="C242" s="5"/>
      <c r="D242" s="9"/>
      <c r="E242" s="9"/>
      <c r="F242" s="5" t="s">
        <v>18</v>
      </c>
      <c r="G242" s="9"/>
      <c r="H242" s="5" t="s">
        <v>20</v>
      </c>
      <c r="I242" s="9"/>
      <c r="J242" s="8" t="s">
        <v>21</v>
      </c>
      <c r="K242" s="9"/>
      <c r="L242" s="8" t="s">
        <v>22</v>
      </c>
      <c r="M242" s="9"/>
      <c r="N242" s="5"/>
      <c r="O242" s="5"/>
    </row>
    <row r="243" ht="22.5" customHeight="1">
      <c r="A243" s="5"/>
      <c r="B243" s="5"/>
      <c r="C243" s="5"/>
      <c r="D243" s="9"/>
      <c r="E243" s="9"/>
      <c r="F243" s="5" t="s">
        <v>18</v>
      </c>
      <c r="G243" s="9"/>
      <c r="H243" s="5" t="s">
        <v>20</v>
      </c>
      <c r="I243" s="9"/>
      <c r="J243" s="8" t="s">
        <v>21</v>
      </c>
      <c r="K243" s="9"/>
      <c r="L243" s="8" t="s">
        <v>22</v>
      </c>
      <c r="M243" s="9"/>
      <c r="N243" s="5"/>
      <c r="O243" s="5"/>
    </row>
    <row r="244" ht="22.5" customHeight="1">
      <c r="A244" s="5"/>
      <c r="B244" s="5"/>
      <c r="C244" s="5"/>
      <c r="D244" s="9"/>
      <c r="E244" s="9"/>
      <c r="F244" s="5" t="s">
        <v>18</v>
      </c>
      <c r="G244" s="9"/>
      <c r="H244" s="5" t="s">
        <v>20</v>
      </c>
      <c r="I244" s="9"/>
      <c r="J244" s="8" t="s">
        <v>21</v>
      </c>
      <c r="K244" s="9"/>
      <c r="L244" s="8" t="s">
        <v>22</v>
      </c>
      <c r="M244" s="9"/>
      <c r="N244" s="5"/>
      <c r="O244" s="5"/>
    </row>
    <row r="245" ht="22.5" customHeight="1">
      <c r="A245" s="5"/>
      <c r="B245" s="5"/>
      <c r="C245" s="5"/>
      <c r="D245" s="9"/>
      <c r="E245" s="9"/>
      <c r="F245" s="5" t="s">
        <v>18</v>
      </c>
      <c r="G245" s="9"/>
      <c r="H245" s="5" t="s">
        <v>20</v>
      </c>
      <c r="I245" s="9"/>
      <c r="J245" s="8" t="s">
        <v>21</v>
      </c>
      <c r="K245" s="9"/>
      <c r="L245" s="8" t="s">
        <v>22</v>
      </c>
      <c r="M245" s="9"/>
      <c r="N245" s="5"/>
      <c r="O245" s="5"/>
    </row>
    <row r="246" ht="22.5" customHeight="1">
      <c r="A246" s="5"/>
      <c r="B246" s="5"/>
      <c r="C246" s="5"/>
      <c r="D246" s="9"/>
      <c r="E246" s="9"/>
      <c r="F246" s="5" t="s">
        <v>18</v>
      </c>
      <c r="G246" s="9"/>
      <c r="H246" s="5" t="s">
        <v>20</v>
      </c>
      <c r="I246" s="9"/>
      <c r="J246" s="8" t="s">
        <v>21</v>
      </c>
      <c r="K246" s="9"/>
      <c r="L246" s="8" t="s">
        <v>22</v>
      </c>
      <c r="M246" s="9"/>
      <c r="N246" s="5"/>
      <c r="O246" s="5"/>
    </row>
    <row r="247" ht="22.5" customHeight="1">
      <c r="A247" s="5"/>
      <c r="B247" s="5"/>
      <c r="C247" s="5"/>
      <c r="D247" s="9"/>
      <c r="E247" s="9"/>
      <c r="F247" s="5" t="s">
        <v>18</v>
      </c>
      <c r="G247" s="9"/>
      <c r="H247" s="5" t="s">
        <v>20</v>
      </c>
      <c r="I247" s="9"/>
      <c r="J247" s="8" t="s">
        <v>21</v>
      </c>
      <c r="K247" s="9"/>
      <c r="L247" s="8" t="s">
        <v>22</v>
      </c>
      <c r="M247" s="9"/>
      <c r="N247" s="5"/>
      <c r="O247" s="5"/>
    </row>
    <row r="248" ht="22.5" customHeight="1">
      <c r="A248" s="5"/>
      <c r="B248" s="5"/>
      <c r="C248" s="5"/>
      <c r="D248" s="9"/>
      <c r="E248" s="9"/>
      <c r="F248" s="5" t="s">
        <v>18</v>
      </c>
      <c r="G248" s="9"/>
      <c r="H248" s="5" t="s">
        <v>20</v>
      </c>
      <c r="I248" s="9"/>
      <c r="J248" s="8" t="s">
        <v>21</v>
      </c>
      <c r="K248" s="9"/>
      <c r="L248" s="8" t="s">
        <v>22</v>
      </c>
      <c r="M248" s="9"/>
      <c r="N248" s="5"/>
      <c r="O248" s="5"/>
    </row>
    <row r="249" ht="22.5" customHeight="1">
      <c r="A249" s="5"/>
      <c r="B249" s="5"/>
      <c r="C249" s="5"/>
      <c r="D249" s="9"/>
      <c r="E249" s="9"/>
      <c r="F249" s="5" t="s">
        <v>18</v>
      </c>
      <c r="G249" s="9"/>
      <c r="H249" s="5" t="s">
        <v>20</v>
      </c>
      <c r="I249" s="9"/>
      <c r="J249" s="8" t="s">
        <v>21</v>
      </c>
      <c r="K249" s="9"/>
      <c r="L249" s="8" t="s">
        <v>22</v>
      </c>
      <c r="M249" s="9"/>
      <c r="N249" s="5"/>
      <c r="O249" s="5"/>
    </row>
    <row r="250" ht="22.5" customHeight="1">
      <c r="A250" s="5"/>
      <c r="B250" s="5"/>
      <c r="C250" s="5"/>
      <c r="D250" s="9"/>
      <c r="E250" s="9"/>
      <c r="F250" s="5" t="s">
        <v>18</v>
      </c>
      <c r="G250" s="9"/>
      <c r="H250" s="5" t="s">
        <v>20</v>
      </c>
      <c r="I250" s="9"/>
      <c r="J250" s="8" t="s">
        <v>21</v>
      </c>
      <c r="K250" s="9"/>
      <c r="L250" s="8" t="s">
        <v>22</v>
      </c>
      <c r="M250" s="9"/>
      <c r="N250" s="5"/>
      <c r="O250" s="5"/>
    </row>
    <row r="251" ht="22.5" customHeight="1">
      <c r="A251" s="5"/>
      <c r="B251" s="5"/>
      <c r="C251" s="5"/>
      <c r="D251" s="9"/>
      <c r="E251" s="9"/>
      <c r="F251" s="5" t="s">
        <v>18</v>
      </c>
      <c r="G251" s="9"/>
      <c r="H251" s="5" t="s">
        <v>20</v>
      </c>
      <c r="I251" s="9"/>
      <c r="J251" s="8" t="s">
        <v>21</v>
      </c>
      <c r="K251" s="9"/>
      <c r="L251" s="8" t="s">
        <v>22</v>
      </c>
      <c r="M251" s="9"/>
      <c r="N251" s="5"/>
      <c r="O251" s="5"/>
    </row>
    <row r="252" ht="22.5" customHeight="1">
      <c r="A252" s="5"/>
      <c r="B252" s="5"/>
      <c r="C252" s="5"/>
      <c r="D252" s="9"/>
      <c r="E252" s="9"/>
      <c r="F252" s="5" t="s">
        <v>18</v>
      </c>
      <c r="G252" s="9"/>
      <c r="H252" s="5" t="s">
        <v>20</v>
      </c>
      <c r="I252" s="9"/>
      <c r="J252" s="8" t="s">
        <v>21</v>
      </c>
      <c r="K252" s="9"/>
      <c r="L252" s="8" t="s">
        <v>22</v>
      </c>
      <c r="M252" s="9"/>
      <c r="N252" s="5"/>
      <c r="O252" s="5"/>
    </row>
    <row r="253" ht="22.5" customHeight="1">
      <c r="A253" s="5"/>
      <c r="B253" s="5"/>
      <c r="C253" s="5"/>
      <c r="D253" s="9"/>
      <c r="E253" s="9"/>
      <c r="F253" s="5" t="s">
        <v>18</v>
      </c>
      <c r="G253" s="9"/>
      <c r="H253" s="5" t="s">
        <v>20</v>
      </c>
      <c r="I253" s="9"/>
      <c r="J253" s="8" t="s">
        <v>21</v>
      </c>
      <c r="K253" s="9"/>
      <c r="L253" s="8" t="s">
        <v>22</v>
      </c>
      <c r="M253" s="9"/>
      <c r="N253" s="5"/>
      <c r="O253" s="5"/>
    </row>
    <row r="254" ht="22.5" customHeight="1">
      <c r="A254" s="5"/>
      <c r="B254" s="5"/>
      <c r="C254" s="5"/>
      <c r="D254" s="9"/>
      <c r="E254" s="9"/>
      <c r="F254" s="5" t="s">
        <v>18</v>
      </c>
      <c r="G254" s="9"/>
      <c r="H254" s="5" t="s">
        <v>20</v>
      </c>
      <c r="I254" s="9"/>
      <c r="J254" s="8" t="s">
        <v>21</v>
      </c>
      <c r="K254" s="9"/>
      <c r="L254" s="8" t="s">
        <v>22</v>
      </c>
      <c r="M254" s="9"/>
      <c r="N254" s="5"/>
      <c r="O254" s="5"/>
    </row>
    <row r="255" ht="22.5" customHeight="1">
      <c r="A255" s="5"/>
      <c r="B255" s="5"/>
      <c r="C255" s="5"/>
      <c r="D255" s="9"/>
      <c r="E255" s="9"/>
      <c r="F255" s="5" t="s">
        <v>18</v>
      </c>
      <c r="G255" s="9"/>
      <c r="H255" s="5" t="s">
        <v>20</v>
      </c>
      <c r="I255" s="9"/>
      <c r="J255" s="8" t="s">
        <v>21</v>
      </c>
      <c r="K255" s="9"/>
      <c r="L255" s="8" t="s">
        <v>22</v>
      </c>
      <c r="M255" s="9"/>
      <c r="N255" s="5"/>
      <c r="O255" s="5"/>
    </row>
    <row r="256" ht="22.5" customHeight="1">
      <c r="A256" s="5"/>
      <c r="B256" s="5"/>
      <c r="C256" s="5"/>
      <c r="D256" s="9"/>
      <c r="E256" s="9"/>
      <c r="F256" s="5" t="s">
        <v>18</v>
      </c>
      <c r="G256" s="9"/>
      <c r="H256" s="5" t="s">
        <v>20</v>
      </c>
      <c r="I256" s="9"/>
      <c r="J256" s="8" t="s">
        <v>21</v>
      </c>
      <c r="K256" s="9"/>
      <c r="L256" s="8" t="s">
        <v>22</v>
      </c>
      <c r="M256" s="9"/>
      <c r="N256" s="5"/>
      <c r="O256" s="5"/>
    </row>
    <row r="257" ht="22.5" customHeight="1">
      <c r="A257" s="3"/>
      <c r="B257" s="5"/>
      <c r="C257" s="5"/>
      <c r="D257" s="9"/>
      <c r="E257" s="9"/>
      <c r="F257" s="5" t="s">
        <v>18</v>
      </c>
      <c r="G257" s="9"/>
      <c r="H257" s="5" t="s">
        <v>20</v>
      </c>
      <c r="I257" s="9"/>
      <c r="J257" s="8" t="s">
        <v>21</v>
      </c>
      <c r="K257" s="9"/>
      <c r="L257" s="8" t="s">
        <v>22</v>
      </c>
      <c r="M257" s="9"/>
      <c r="N257" s="5"/>
      <c r="O257" s="5"/>
    </row>
    <row r="258" ht="22.5" customHeight="1">
      <c r="A258" s="5"/>
      <c r="B258" s="5"/>
      <c r="C258" s="5"/>
      <c r="D258" s="9"/>
      <c r="E258" s="9"/>
      <c r="F258" s="5" t="s">
        <v>18</v>
      </c>
      <c r="G258" s="9"/>
      <c r="H258" s="5" t="s">
        <v>20</v>
      </c>
      <c r="I258" s="9"/>
      <c r="J258" s="8" t="s">
        <v>21</v>
      </c>
      <c r="K258" s="9"/>
      <c r="L258" s="8" t="s">
        <v>22</v>
      </c>
      <c r="M258" s="9"/>
      <c r="N258" s="5"/>
      <c r="O258" s="5"/>
    </row>
    <row r="259" ht="22.5" customHeight="1">
      <c r="A259" s="5"/>
      <c r="B259" s="5"/>
      <c r="C259" s="5"/>
      <c r="D259" s="9"/>
      <c r="E259" s="9"/>
      <c r="F259" s="5" t="s">
        <v>18</v>
      </c>
      <c r="G259" s="9"/>
      <c r="H259" s="5" t="s">
        <v>20</v>
      </c>
      <c r="I259" s="9"/>
      <c r="J259" s="8" t="s">
        <v>21</v>
      </c>
      <c r="K259" s="9"/>
      <c r="L259" s="8" t="s">
        <v>22</v>
      </c>
      <c r="M259" s="9"/>
      <c r="N259" s="5"/>
      <c r="O259" s="5"/>
    </row>
    <row r="260" ht="22.5" customHeight="1">
      <c r="A260" s="5"/>
      <c r="B260" s="5"/>
      <c r="C260" s="5"/>
      <c r="D260" s="9"/>
      <c r="E260" s="9"/>
      <c r="F260" s="5" t="s">
        <v>18</v>
      </c>
      <c r="G260" s="9"/>
      <c r="H260" s="5" t="s">
        <v>20</v>
      </c>
      <c r="I260" s="9"/>
      <c r="J260" s="8" t="s">
        <v>21</v>
      </c>
      <c r="K260" s="9"/>
      <c r="L260" s="8" t="s">
        <v>22</v>
      </c>
      <c r="M260" s="9"/>
      <c r="N260" s="5"/>
      <c r="O260" s="5"/>
    </row>
    <row r="261" ht="22.5" customHeight="1">
      <c r="A261" s="5"/>
      <c r="B261" s="5"/>
      <c r="C261" s="5"/>
      <c r="D261" s="9"/>
      <c r="E261" s="9"/>
      <c r="F261" s="5" t="s">
        <v>18</v>
      </c>
      <c r="G261" s="9"/>
      <c r="H261" s="5" t="s">
        <v>20</v>
      </c>
      <c r="I261" s="9"/>
      <c r="J261" s="8" t="s">
        <v>21</v>
      </c>
      <c r="K261" s="9"/>
      <c r="L261" s="8" t="s">
        <v>22</v>
      </c>
      <c r="M261" s="9"/>
      <c r="N261" s="5"/>
      <c r="O261" s="5"/>
    </row>
    <row r="262" ht="22.5" customHeight="1">
      <c r="A262" s="5"/>
      <c r="B262" s="5"/>
      <c r="C262" s="5"/>
      <c r="D262" s="9"/>
      <c r="E262" s="9"/>
      <c r="F262" s="5" t="s">
        <v>18</v>
      </c>
      <c r="G262" s="9"/>
      <c r="H262" s="5" t="s">
        <v>20</v>
      </c>
      <c r="I262" s="9"/>
      <c r="J262" s="8" t="s">
        <v>21</v>
      </c>
      <c r="K262" s="9"/>
      <c r="L262" s="8" t="s">
        <v>22</v>
      </c>
      <c r="M262" s="9"/>
      <c r="N262" s="5"/>
      <c r="O262" s="5"/>
    </row>
    <row r="263" ht="22.5" customHeight="1">
      <c r="A263" s="5"/>
      <c r="B263" s="5"/>
      <c r="C263" s="5"/>
      <c r="D263" s="9"/>
      <c r="E263" s="9"/>
      <c r="F263" s="5" t="s">
        <v>18</v>
      </c>
      <c r="G263" s="9"/>
      <c r="H263" s="5" t="s">
        <v>20</v>
      </c>
      <c r="I263" s="9"/>
      <c r="J263" s="8" t="s">
        <v>21</v>
      </c>
      <c r="K263" s="9"/>
      <c r="L263" s="8" t="s">
        <v>22</v>
      </c>
      <c r="M263" s="9"/>
      <c r="N263" s="5"/>
      <c r="O263" s="5"/>
    </row>
    <row r="264" ht="22.5" customHeight="1">
      <c r="A264" s="5"/>
      <c r="B264" s="5"/>
      <c r="C264" s="5"/>
      <c r="D264" s="9"/>
      <c r="E264" s="9"/>
      <c r="F264" s="5" t="s">
        <v>18</v>
      </c>
      <c r="G264" s="9"/>
      <c r="H264" s="5" t="s">
        <v>20</v>
      </c>
      <c r="I264" s="9"/>
      <c r="J264" s="8" t="s">
        <v>21</v>
      </c>
      <c r="K264" s="9"/>
      <c r="L264" s="8" t="s">
        <v>22</v>
      </c>
      <c r="M264" s="9"/>
      <c r="N264" s="5"/>
      <c r="O264" s="5"/>
    </row>
    <row r="265" ht="22.5" customHeight="1">
      <c r="A265" s="5"/>
      <c r="B265" s="5"/>
      <c r="C265" s="5"/>
      <c r="D265" s="9"/>
      <c r="E265" s="9"/>
      <c r="F265" s="5" t="s">
        <v>18</v>
      </c>
      <c r="G265" s="9"/>
      <c r="H265" s="5" t="s">
        <v>20</v>
      </c>
      <c r="I265" s="9"/>
      <c r="J265" s="8" t="s">
        <v>21</v>
      </c>
      <c r="K265" s="9"/>
      <c r="L265" s="8" t="s">
        <v>22</v>
      </c>
      <c r="M265" s="9"/>
      <c r="N265" s="5"/>
      <c r="O265" s="5"/>
    </row>
    <row r="266" ht="22.5" customHeight="1">
      <c r="A266" s="5"/>
      <c r="B266" s="5"/>
      <c r="C266" s="5"/>
      <c r="D266" s="9"/>
      <c r="E266" s="9"/>
      <c r="F266" s="5" t="s">
        <v>18</v>
      </c>
      <c r="G266" s="9"/>
      <c r="H266" s="5" t="s">
        <v>20</v>
      </c>
      <c r="I266" s="9"/>
      <c r="J266" s="8" t="s">
        <v>21</v>
      </c>
      <c r="K266" s="9"/>
      <c r="L266" s="8" t="s">
        <v>22</v>
      </c>
      <c r="M266" s="9"/>
      <c r="N266" s="5"/>
      <c r="O266" s="5"/>
    </row>
    <row r="267" ht="22.5" customHeight="1">
      <c r="A267" s="5"/>
      <c r="B267" s="5"/>
      <c r="C267" s="5"/>
      <c r="D267" s="9"/>
      <c r="E267" s="9"/>
      <c r="F267" s="5" t="s">
        <v>18</v>
      </c>
      <c r="G267" s="9"/>
      <c r="H267" s="5" t="s">
        <v>20</v>
      </c>
      <c r="I267" s="9"/>
      <c r="J267" s="8" t="s">
        <v>21</v>
      </c>
      <c r="K267" s="9"/>
      <c r="L267" s="8" t="s">
        <v>22</v>
      </c>
      <c r="M267" s="9"/>
      <c r="N267" s="5"/>
      <c r="O267" s="5"/>
    </row>
    <row r="268" ht="22.5" customHeight="1">
      <c r="A268" s="5"/>
      <c r="B268" s="5"/>
      <c r="C268" s="5"/>
      <c r="D268" s="9"/>
      <c r="E268" s="9"/>
      <c r="F268" s="5" t="s">
        <v>18</v>
      </c>
      <c r="G268" s="9"/>
      <c r="H268" s="5" t="s">
        <v>20</v>
      </c>
      <c r="I268" s="9"/>
      <c r="J268" s="8" t="s">
        <v>21</v>
      </c>
      <c r="K268" s="9"/>
      <c r="L268" s="8" t="s">
        <v>22</v>
      </c>
      <c r="M268" s="9"/>
      <c r="N268" s="5"/>
      <c r="O268" s="5"/>
    </row>
    <row r="269" ht="22.5" customHeight="1">
      <c r="A269" s="5"/>
      <c r="B269" s="5"/>
      <c r="C269" s="5"/>
      <c r="D269" s="9"/>
      <c r="E269" s="9"/>
      <c r="F269" s="5" t="s">
        <v>18</v>
      </c>
      <c r="G269" s="9"/>
      <c r="H269" s="5" t="s">
        <v>20</v>
      </c>
      <c r="I269" s="9"/>
      <c r="J269" s="8" t="s">
        <v>21</v>
      </c>
      <c r="K269" s="9"/>
      <c r="L269" s="8" t="s">
        <v>22</v>
      </c>
      <c r="M269" s="9"/>
      <c r="N269" s="5"/>
      <c r="O269" s="5"/>
    </row>
    <row r="270" ht="22.5" customHeight="1">
      <c r="A270" s="5"/>
      <c r="B270" s="5"/>
      <c r="C270" s="5"/>
      <c r="D270" s="9"/>
      <c r="E270" s="9"/>
      <c r="F270" s="5" t="s">
        <v>18</v>
      </c>
      <c r="G270" s="9"/>
      <c r="H270" s="5" t="s">
        <v>20</v>
      </c>
      <c r="I270" s="9"/>
      <c r="J270" s="8" t="s">
        <v>21</v>
      </c>
      <c r="K270" s="9"/>
      <c r="L270" s="8" t="s">
        <v>22</v>
      </c>
      <c r="M270" s="9"/>
      <c r="N270" s="5"/>
      <c r="O270" s="5"/>
    </row>
    <row r="271" ht="22.5" customHeight="1">
      <c r="A271" s="5"/>
      <c r="B271" s="5"/>
      <c r="C271" s="5"/>
      <c r="D271" s="9"/>
      <c r="E271" s="9"/>
      <c r="F271" s="5" t="s">
        <v>18</v>
      </c>
      <c r="G271" s="9"/>
      <c r="H271" s="5" t="s">
        <v>20</v>
      </c>
      <c r="I271" s="9"/>
      <c r="J271" s="8" t="s">
        <v>21</v>
      </c>
      <c r="K271" s="9"/>
      <c r="L271" s="8" t="s">
        <v>22</v>
      </c>
      <c r="M271" s="9"/>
      <c r="N271" s="5"/>
      <c r="O271" s="5"/>
    </row>
    <row r="272" ht="22.5" customHeight="1">
      <c r="A272" s="5"/>
      <c r="B272" s="5"/>
      <c r="C272" s="5"/>
      <c r="D272" s="9"/>
      <c r="E272" s="9"/>
      <c r="F272" s="5" t="s">
        <v>18</v>
      </c>
      <c r="G272" s="9"/>
      <c r="H272" s="5" t="s">
        <v>20</v>
      </c>
      <c r="I272" s="9"/>
      <c r="J272" s="8" t="s">
        <v>21</v>
      </c>
      <c r="K272" s="9"/>
      <c r="L272" s="8" t="s">
        <v>22</v>
      </c>
      <c r="M272" s="9"/>
      <c r="N272" s="5"/>
      <c r="O272" s="5"/>
    </row>
    <row r="273" ht="22.5" customHeight="1">
      <c r="A273" s="5"/>
      <c r="B273" s="5"/>
      <c r="C273" s="5"/>
      <c r="D273" s="9"/>
      <c r="E273" s="9"/>
      <c r="F273" s="5" t="s">
        <v>18</v>
      </c>
      <c r="G273" s="9"/>
      <c r="H273" s="5" t="s">
        <v>20</v>
      </c>
      <c r="I273" s="9"/>
      <c r="J273" s="8" t="s">
        <v>21</v>
      </c>
      <c r="K273" s="9"/>
      <c r="L273" s="8" t="s">
        <v>22</v>
      </c>
      <c r="M273" s="9"/>
      <c r="N273" s="5"/>
      <c r="O273" s="5"/>
    </row>
    <row r="274" ht="22.5" customHeight="1">
      <c r="A274" s="5"/>
      <c r="B274" s="5"/>
      <c r="C274" s="5"/>
      <c r="D274" s="9"/>
      <c r="E274" s="9"/>
      <c r="F274" s="5" t="s">
        <v>18</v>
      </c>
      <c r="G274" s="9"/>
      <c r="H274" s="5" t="s">
        <v>20</v>
      </c>
      <c r="I274" s="9"/>
      <c r="J274" s="8" t="s">
        <v>21</v>
      </c>
      <c r="K274" s="9"/>
      <c r="L274" s="8" t="s">
        <v>22</v>
      </c>
      <c r="M274" s="9"/>
      <c r="N274" s="5"/>
      <c r="O274" s="5"/>
    </row>
    <row r="275" ht="22.5" customHeight="1">
      <c r="A275" s="5"/>
      <c r="B275" s="5"/>
      <c r="C275" s="5"/>
      <c r="D275" s="9"/>
      <c r="E275" s="9"/>
      <c r="F275" s="5" t="s">
        <v>18</v>
      </c>
      <c r="G275" s="9"/>
      <c r="H275" s="5" t="s">
        <v>20</v>
      </c>
      <c r="I275" s="9"/>
      <c r="J275" s="8" t="s">
        <v>21</v>
      </c>
      <c r="K275" s="9"/>
      <c r="L275" s="8" t="s">
        <v>22</v>
      </c>
      <c r="M275" s="9"/>
      <c r="N275" s="5"/>
      <c r="O275" s="5"/>
    </row>
    <row r="276" ht="22.5" customHeight="1">
      <c r="A276" s="5"/>
      <c r="B276" s="5"/>
      <c r="C276" s="5"/>
      <c r="D276" s="9"/>
      <c r="E276" s="9"/>
      <c r="F276" s="5" t="s">
        <v>18</v>
      </c>
      <c r="G276" s="9"/>
      <c r="H276" s="5" t="s">
        <v>20</v>
      </c>
      <c r="I276" s="9"/>
      <c r="J276" s="8" t="s">
        <v>21</v>
      </c>
      <c r="K276" s="9"/>
      <c r="L276" s="8" t="s">
        <v>22</v>
      </c>
      <c r="M276" s="9"/>
      <c r="N276" s="5"/>
      <c r="O276" s="5"/>
    </row>
    <row r="277" ht="22.5" customHeight="1">
      <c r="A277" s="5"/>
      <c r="B277" s="5"/>
      <c r="C277" s="5"/>
      <c r="D277" s="9"/>
      <c r="E277" s="9"/>
      <c r="F277" s="5" t="s">
        <v>18</v>
      </c>
      <c r="G277" s="9"/>
      <c r="H277" s="5" t="s">
        <v>20</v>
      </c>
      <c r="I277" s="9"/>
      <c r="J277" s="8" t="s">
        <v>21</v>
      </c>
      <c r="K277" s="9"/>
      <c r="L277" s="8" t="s">
        <v>22</v>
      </c>
      <c r="M277" s="9"/>
      <c r="N277" s="5"/>
      <c r="O277" s="5"/>
    </row>
    <row r="278" ht="22.5" customHeight="1">
      <c r="A278" s="5"/>
      <c r="B278" s="5"/>
      <c r="C278" s="5"/>
      <c r="D278" s="9"/>
      <c r="E278" s="9"/>
      <c r="F278" s="5" t="s">
        <v>18</v>
      </c>
      <c r="G278" s="9"/>
      <c r="H278" s="5" t="s">
        <v>20</v>
      </c>
      <c r="I278" s="9"/>
      <c r="J278" s="8" t="s">
        <v>21</v>
      </c>
      <c r="K278" s="9"/>
      <c r="L278" s="8" t="s">
        <v>22</v>
      </c>
      <c r="M278" s="9"/>
      <c r="N278" s="5"/>
      <c r="O278" s="5"/>
    </row>
    <row r="279" ht="22.5" customHeight="1">
      <c r="A279" s="5"/>
      <c r="B279" s="5"/>
      <c r="C279" s="5"/>
      <c r="D279" s="9"/>
      <c r="E279" s="9"/>
      <c r="F279" s="5" t="s">
        <v>18</v>
      </c>
      <c r="G279" s="9"/>
      <c r="H279" s="5" t="s">
        <v>20</v>
      </c>
      <c r="I279" s="9"/>
      <c r="J279" s="8" t="s">
        <v>21</v>
      </c>
      <c r="K279" s="9"/>
      <c r="L279" s="8" t="s">
        <v>22</v>
      </c>
      <c r="M279" s="9"/>
      <c r="N279" s="5"/>
      <c r="O279" s="5"/>
    </row>
    <row r="280" ht="22.5" customHeight="1">
      <c r="A280" s="5"/>
      <c r="B280" s="5"/>
      <c r="C280" s="5"/>
      <c r="D280" s="9"/>
      <c r="E280" s="9"/>
      <c r="F280" s="5" t="s">
        <v>18</v>
      </c>
      <c r="G280" s="9"/>
      <c r="H280" s="5" t="s">
        <v>20</v>
      </c>
      <c r="I280" s="9"/>
      <c r="J280" s="8" t="s">
        <v>21</v>
      </c>
      <c r="K280" s="9"/>
      <c r="L280" s="8" t="s">
        <v>22</v>
      </c>
      <c r="M280" s="9"/>
      <c r="N280" s="5"/>
      <c r="O280" s="5"/>
    </row>
    <row r="281" ht="22.5" customHeight="1">
      <c r="A281" s="5"/>
      <c r="B281" s="5"/>
      <c r="C281" s="5"/>
      <c r="D281" s="9"/>
      <c r="E281" s="9"/>
      <c r="F281" s="5" t="s">
        <v>18</v>
      </c>
      <c r="G281" s="9"/>
      <c r="H281" s="5" t="s">
        <v>20</v>
      </c>
      <c r="I281" s="9"/>
      <c r="J281" s="8" t="s">
        <v>21</v>
      </c>
      <c r="K281" s="9"/>
      <c r="L281" s="8" t="s">
        <v>22</v>
      </c>
      <c r="M281" s="9"/>
      <c r="N281" s="5"/>
      <c r="O281" s="5"/>
    </row>
    <row r="282" ht="22.5" customHeight="1">
      <c r="A282" s="5"/>
      <c r="B282" s="5"/>
      <c r="C282" s="5"/>
      <c r="D282" s="9"/>
      <c r="E282" s="9"/>
      <c r="F282" s="5" t="s">
        <v>18</v>
      </c>
      <c r="G282" s="9"/>
      <c r="H282" s="5" t="s">
        <v>20</v>
      </c>
      <c r="I282" s="9"/>
      <c r="J282" s="8" t="s">
        <v>21</v>
      </c>
      <c r="K282" s="9"/>
      <c r="L282" s="8" t="s">
        <v>22</v>
      </c>
      <c r="M282" s="9"/>
      <c r="N282" s="5"/>
      <c r="O282" s="5"/>
    </row>
    <row r="283" ht="22.5" customHeight="1">
      <c r="A283" s="5"/>
      <c r="B283" s="5"/>
      <c r="C283" s="5"/>
      <c r="D283" s="9"/>
      <c r="E283" s="9"/>
      <c r="F283" s="5" t="s">
        <v>18</v>
      </c>
      <c r="G283" s="9"/>
      <c r="H283" s="5" t="s">
        <v>20</v>
      </c>
      <c r="I283" s="9"/>
      <c r="J283" s="8" t="s">
        <v>21</v>
      </c>
      <c r="K283" s="9"/>
      <c r="L283" s="8" t="s">
        <v>22</v>
      </c>
      <c r="M283" s="9"/>
      <c r="N283" s="5"/>
      <c r="O283" s="5"/>
    </row>
    <row r="284" ht="22.5" customHeight="1">
      <c r="A284" s="5"/>
      <c r="B284" s="5"/>
      <c r="C284" s="5"/>
      <c r="D284" s="9"/>
      <c r="E284" s="9"/>
      <c r="F284" s="5" t="s">
        <v>18</v>
      </c>
      <c r="G284" s="9"/>
      <c r="H284" s="5" t="s">
        <v>20</v>
      </c>
      <c r="I284" s="9"/>
      <c r="J284" s="8" t="s">
        <v>21</v>
      </c>
      <c r="K284" s="9"/>
      <c r="L284" s="8" t="s">
        <v>22</v>
      </c>
      <c r="M284" s="9"/>
      <c r="N284" s="5"/>
      <c r="O284" s="5"/>
    </row>
    <row r="285" ht="22.5" customHeight="1">
      <c r="A285" s="5"/>
      <c r="B285" s="5"/>
      <c r="C285" s="5"/>
      <c r="D285" s="9"/>
      <c r="E285" s="9"/>
      <c r="F285" s="5" t="s">
        <v>18</v>
      </c>
      <c r="G285" s="9"/>
      <c r="H285" s="5" t="s">
        <v>20</v>
      </c>
      <c r="I285" s="9"/>
      <c r="J285" s="8" t="s">
        <v>21</v>
      </c>
      <c r="K285" s="9"/>
      <c r="L285" s="8" t="s">
        <v>22</v>
      </c>
      <c r="M285" s="9"/>
      <c r="N285" s="5"/>
      <c r="O285" s="5"/>
    </row>
    <row r="286" ht="22.5" customHeight="1">
      <c r="A286" s="5"/>
      <c r="B286" s="5"/>
      <c r="C286" s="5"/>
      <c r="D286" s="9"/>
      <c r="E286" s="9"/>
      <c r="F286" s="5" t="s">
        <v>18</v>
      </c>
      <c r="G286" s="9"/>
      <c r="H286" s="5" t="s">
        <v>20</v>
      </c>
      <c r="I286" s="9"/>
      <c r="J286" s="8" t="s">
        <v>21</v>
      </c>
      <c r="K286" s="9"/>
      <c r="L286" s="8" t="s">
        <v>22</v>
      </c>
      <c r="M286" s="9"/>
      <c r="N286" s="5"/>
      <c r="O286" s="5"/>
    </row>
    <row r="287" ht="22.5" customHeight="1">
      <c r="A287" s="5"/>
      <c r="B287" s="5"/>
      <c r="C287" s="5"/>
      <c r="D287" s="9"/>
      <c r="E287" s="9"/>
      <c r="F287" s="5" t="s">
        <v>18</v>
      </c>
      <c r="G287" s="9"/>
      <c r="H287" s="5" t="s">
        <v>20</v>
      </c>
      <c r="I287" s="9"/>
      <c r="J287" s="8" t="s">
        <v>21</v>
      </c>
      <c r="K287" s="9"/>
      <c r="L287" s="8" t="s">
        <v>22</v>
      </c>
      <c r="M287" s="9"/>
      <c r="N287" s="5"/>
      <c r="O287" s="5"/>
    </row>
    <row r="288" ht="22.5" customHeight="1">
      <c r="A288" s="5"/>
      <c r="B288" s="5"/>
      <c r="C288" s="5"/>
      <c r="D288" s="9"/>
      <c r="E288" s="9"/>
      <c r="F288" s="5" t="s">
        <v>18</v>
      </c>
      <c r="G288" s="9"/>
      <c r="H288" s="5" t="s">
        <v>20</v>
      </c>
      <c r="I288" s="9"/>
      <c r="J288" s="8" t="s">
        <v>21</v>
      </c>
      <c r="K288" s="9"/>
      <c r="L288" s="8" t="s">
        <v>22</v>
      </c>
      <c r="M288" s="9"/>
      <c r="N288" s="5"/>
      <c r="O288" s="5"/>
    </row>
    <row r="289" ht="22.5" customHeight="1">
      <c r="A289" s="5"/>
      <c r="B289" s="5"/>
      <c r="C289" s="5"/>
      <c r="D289" s="9"/>
      <c r="E289" s="9"/>
      <c r="F289" s="5" t="s">
        <v>18</v>
      </c>
      <c r="G289" s="9"/>
      <c r="H289" s="5" t="s">
        <v>20</v>
      </c>
      <c r="I289" s="9"/>
      <c r="J289" s="8" t="s">
        <v>21</v>
      </c>
      <c r="K289" s="9"/>
      <c r="L289" s="8" t="s">
        <v>22</v>
      </c>
      <c r="M289" s="9"/>
      <c r="N289" s="5"/>
      <c r="O289" s="5"/>
    </row>
    <row r="290" ht="22.5" customHeight="1">
      <c r="A290" s="5"/>
      <c r="B290" s="5"/>
      <c r="C290" s="5"/>
      <c r="D290" s="9"/>
      <c r="E290" s="9"/>
      <c r="F290" s="5" t="s">
        <v>18</v>
      </c>
      <c r="G290" s="9"/>
      <c r="H290" s="5" t="s">
        <v>20</v>
      </c>
      <c r="I290" s="9"/>
      <c r="J290" s="8" t="s">
        <v>21</v>
      </c>
      <c r="K290" s="9"/>
      <c r="L290" s="8" t="s">
        <v>22</v>
      </c>
      <c r="M290" s="9"/>
      <c r="N290" s="5"/>
      <c r="O290" s="5"/>
    </row>
    <row r="291" ht="22.5" customHeight="1">
      <c r="A291" s="5"/>
      <c r="B291" s="5"/>
      <c r="C291" s="5"/>
      <c r="D291" s="9"/>
      <c r="E291" s="9"/>
      <c r="F291" s="5" t="s">
        <v>18</v>
      </c>
      <c r="G291" s="9"/>
      <c r="H291" s="5" t="s">
        <v>20</v>
      </c>
      <c r="I291" s="9"/>
      <c r="J291" s="8" t="s">
        <v>21</v>
      </c>
      <c r="K291" s="9"/>
      <c r="L291" s="8" t="s">
        <v>22</v>
      </c>
      <c r="M291" s="9"/>
      <c r="N291" s="5"/>
      <c r="O291" s="5"/>
    </row>
    <row r="292" ht="22.5" customHeight="1">
      <c r="A292" s="5"/>
      <c r="B292" s="5"/>
      <c r="C292" s="5"/>
      <c r="D292" s="9"/>
      <c r="E292" s="9"/>
      <c r="F292" s="5" t="s">
        <v>18</v>
      </c>
      <c r="G292" s="9"/>
      <c r="H292" s="5" t="s">
        <v>20</v>
      </c>
      <c r="I292" s="9"/>
      <c r="J292" s="8" t="s">
        <v>21</v>
      </c>
      <c r="K292" s="9"/>
      <c r="L292" s="8" t="s">
        <v>22</v>
      </c>
      <c r="M292" s="9"/>
      <c r="N292" s="5"/>
      <c r="O292" s="5"/>
    </row>
    <row r="293" ht="22.5" customHeight="1">
      <c r="A293" s="5"/>
      <c r="B293" s="5"/>
      <c r="C293" s="5"/>
      <c r="D293" s="9"/>
      <c r="E293" s="9"/>
      <c r="F293" s="5" t="s">
        <v>18</v>
      </c>
      <c r="G293" s="9"/>
      <c r="H293" s="5" t="s">
        <v>20</v>
      </c>
      <c r="I293" s="9"/>
      <c r="J293" s="8" t="s">
        <v>21</v>
      </c>
      <c r="K293" s="9"/>
      <c r="L293" s="8" t="s">
        <v>22</v>
      </c>
      <c r="M293" s="9"/>
      <c r="N293" s="5"/>
      <c r="O293" s="5"/>
    </row>
    <row r="294" ht="22.5" customHeight="1">
      <c r="A294" s="5"/>
      <c r="B294" s="5"/>
      <c r="C294" s="5"/>
      <c r="D294" s="9"/>
      <c r="E294" s="9"/>
      <c r="F294" s="5" t="s">
        <v>18</v>
      </c>
      <c r="G294" s="9"/>
      <c r="H294" s="5" t="s">
        <v>20</v>
      </c>
      <c r="I294" s="9"/>
      <c r="J294" s="8" t="s">
        <v>21</v>
      </c>
      <c r="K294" s="9"/>
      <c r="L294" s="8" t="s">
        <v>22</v>
      </c>
      <c r="M294" s="9"/>
      <c r="N294" s="5"/>
      <c r="O294" s="5"/>
    </row>
    <row r="295" ht="22.5" customHeight="1">
      <c r="A295" s="5"/>
      <c r="B295" s="5"/>
      <c r="C295" s="5"/>
      <c r="D295" s="9"/>
      <c r="E295" s="9"/>
      <c r="F295" s="5" t="s">
        <v>18</v>
      </c>
      <c r="G295" s="9"/>
      <c r="H295" s="5" t="s">
        <v>20</v>
      </c>
      <c r="I295" s="9"/>
      <c r="J295" s="8" t="s">
        <v>21</v>
      </c>
      <c r="K295" s="9"/>
      <c r="L295" s="8" t="s">
        <v>22</v>
      </c>
      <c r="M295" s="9"/>
      <c r="N295" s="5"/>
      <c r="O295" s="5"/>
    </row>
    <row r="296" ht="22.5" customHeight="1">
      <c r="A296" s="5"/>
      <c r="B296" s="5"/>
      <c r="C296" s="5"/>
      <c r="D296" s="9"/>
      <c r="E296" s="9"/>
      <c r="F296" s="5" t="s">
        <v>18</v>
      </c>
      <c r="G296" s="9"/>
      <c r="H296" s="5" t="s">
        <v>20</v>
      </c>
      <c r="I296" s="9"/>
      <c r="J296" s="8" t="s">
        <v>21</v>
      </c>
      <c r="K296" s="9"/>
      <c r="L296" s="8" t="s">
        <v>22</v>
      </c>
      <c r="M296" s="9"/>
      <c r="N296" s="5"/>
      <c r="O296" s="5"/>
    </row>
    <row r="297" ht="22.5" customHeight="1">
      <c r="A297" s="5"/>
      <c r="B297" s="5"/>
      <c r="C297" s="5"/>
      <c r="D297" s="9"/>
      <c r="E297" s="9"/>
      <c r="F297" s="5" t="s">
        <v>18</v>
      </c>
      <c r="G297" s="9"/>
      <c r="H297" s="5" t="s">
        <v>20</v>
      </c>
      <c r="I297" s="9"/>
      <c r="J297" s="8" t="s">
        <v>21</v>
      </c>
      <c r="K297" s="9"/>
      <c r="L297" s="8" t="s">
        <v>22</v>
      </c>
      <c r="M297" s="9"/>
      <c r="N297" s="5"/>
      <c r="O297" s="5"/>
    </row>
    <row r="298" ht="22.5" customHeight="1">
      <c r="A298" s="5"/>
      <c r="B298" s="5"/>
      <c r="C298" s="5"/>
      <c r="D298" s="9"/>
      <c r="E298" s="9"/>
      <c r="F298" s="5" t="s">
        <v>18</v>
      </c>
      <c r="G298" s="9"/>
      <c r="H298" s="5" t="s">
        <v>20</v>
      </c>
      <c r="I298" s="9"/>
      <c r="J298" s="8" t="s">
        <v>21</v>
      </c>
      <c r="K298" s="9"/>
      <c r="L298" s="8" t="s">
        <v>22</v>
      </c>
      <c r="M298" s="9"/>
      <c r="N298" s="5"/>
      <c r="O298" s="5"/>
    </row>
    <row r="299" ht="22.5" customHeight="1">
      <c r="A299" s="5"/>
      <c r="B299" s="5"/>
      <c r="C299" s="5"/>
      <c r="D299" s="9"/>
      <c r="E299" s="9"/>
      <c r="F299" s="5" t="s">
        <v>18</v>
      </c>
      <c r="G299" s="9"/>
      <c r="H299" s="5" t="s">
        <v>20</v>
      </c>
      <c r="I299" s="9"/>
      <c r="J299" s="8" t="s">
        <v>21</v>
      </c>
      <c r="K299" s="9"/>
      <c r="L299" s="8" t="s">
        <v>22</v>
      </c>
      <c r="M299" s="9"/>
      <c r="N299" s="5"/>
      <c r="O299" s="5"/>
    </row>
    <row r="300" ht="22.5" customHeight="1">
      <c r="A300" s="5"/>
      <c r="B300" s="5"/>
      <c r="C300" s="5"/>
      <c r="D300" s="9"/>
      <c r="E300" s="9"/>
      <c r="F300" s="5" t="s">
        <v>18</v>
      </c>
      <c r="G300" s="9"/>
      <c r="H300" s="5" t="s">
        <v>20</v>
      </c>
      <c r="I300" s="9"/>
      <c r="J300" s="8" t="s">
        <v>21</v>
      </c>
      <c r="K300" s="9"/>
      <c r="L300" s="8" t="s">
        <v>22</v>
      </c>
      <c r="M300" s="9"/>
      <c r="N300" s="5"/>
      <c r="O300" s="5"/>
    </row>
    <row r="301" ht="22.5" customHeight="1">
      <c r="A301" s="5"/>
      <c r="B301" s="5"/>
      <c r="C301" s="5"/>
      <c r="D301" s="9"/>
      <c r="E301" s="9"/>
      <c r="F301" s="5" t="s">
        <v>18</v>
      </c>
      <c r="G301" s="9"/>
      <c r="H301" s="5" t="s">
        <v>20</v>
      </c>
      <c r="I301" s="9"/>
      <c r="J301" s="8" t="s">
        <v>21</v>
      </c>
      <c r="K301" s="9"/>
      <c r="L301" s="8" t="s">
        <v>22</v>
      </c>
      <c r="M301" s="9"/>
      <c r="N301" s="5"/>
      <c r="O301" s="5"/>
    </row>
    <row r="302" ht="22.5" customHeight="1">
      <c r="A302" s="5"/>
      <c r="B302" s="5"/>
      <c r="C302" s="5"/>
      <c r="D302" s="9"/>
      <c r="E302" s="9"/>
      <c r="F302" s="5" t="s">
        <v>18</v>
      </c>
      <c r="G302" s="9"/>
      <c r="H302" s="5" t="s">
        <v>20</v>
      </c>
      <c r="I302" s="9"/>
      <c r="J302" s="8" t="s">
        <v>21</v>
      </c>
      <c r="K302" s="9"/>
      <c r="L302" s="8" t="s">
        <v>22</v>
      </c>
      <c r="M302" s="9"/>
      <c r="N302" s="5"/>
      <c r="O302" s="5"/>
    </row>
    <row r="303" ht="22.5" customHeight="1">
      <c r="A303" s="5"/>
      <c r="B303" s="5"/>
      <c r="C303" s="5"/>
      <c r="D303" s="9"/>
      <c r="E303" s="9"/>
      <c r="F303" s="5" t="s">
        <v>18</v>
      </c>
      <c r="G303" s="9"/>
      <c r="H303" s="5" t="s">
        <v>20</v>
      </c>
      <c r="I303" s="9"/>
      <c r="J303" s="8" t="s">
        <v>21</v>
      </c>
      <c r="K303" s="9"/>
      <c r="L303" s="8" t="s">
        <v>22</v>
      </c>
      <c r="M303" s="9"/>
      <c r="N303" s="5"/>
      <c r="O303" s="5"/>
    </row>
    <row r="304" ht="22.5" customHeight="1">
      <c r="A304" s="5"/>
      <c r="B304" s="5"/>
      <c r="C304" s="5"/>
      <c r="D304" s="9"/>
      <c r="E304" s="9"/>
      <c r="F304" s="5" t="s">
        <v>18</v>
      </c>
      <c r="G304" s="9"/>
      <c r="H304" s="5" t="s">
        <v>20</v>
      </c>
      <c r="I304" s="9"/>
      <c r="J304" s="8" t="s">
        <v>21</v>
      </c>
      <c r="K304" s="9"/>
      <c r="L304" s="8" t="s">
        <v>22</v>
      </c>
      <c r="M304" s="9"/>
      <c r="N304" s="5"/>
      <c r="O304" s="5"/>
    </row>
    <row r="305" ht="22.5" customHeight="1">
      <c r="A305" s="5"/>
      <c r="B305" s="5"/>
      <c r="C305" s="5"/>
      <c r="D305" s="9"/>
      <c r="E305" s="9"/>
      <c r="F305" s="5" t="s">
        <v>18</v>
      </c>
      <c r="G305" s="9"/>
      <c r="H305" s="5" t="s">
        <v>20</v>
      </c>
      <c r="I305" s="9"/>
      <c r="J305" s="8" t="s">
        <v>21</v>
      </c>
      <c r="K305" s="9"/>
      <c r="L305" s="8" t="s">
        <v>22</v>
      </c>
      <c r="M305" s="9"/>
      <c r="N305" s="5"/>
      <c r="O305" s="5"/>
    </row>
    <row r="306" ht="22.5" customHeight="1">
      <c r="A306" s="5"/>
      <c r="B306" s="5"/>
      <c r="C306" s="5"/>
      <c r="D306" s="9"/>
      <c r="E306" s="9"/>
      <c r="F306" s="5" t="s">
        <v>18</v>
      </c>
      <c r="G306" s="9"/>
      <c r="H306" s="5" t="s">
        <v>20</v>
      </c>
      <c r="I306" s="9"/>
      <c r="J306" s="8" t="s">
        <v>21</v>
      </c>
      <c r="K306" s="9"/>
      <c r="L306" s="8" t="s">
        <v>22</v>
      </c>
      <c r="M306" s="9"/>
      <c r="N306" s="5"/>
      <c r="O306" s="5"/>
    </row>
    <row r="307" ht="22.5" customHeight="1">
      <c r="A307" s="5"/>
      <c r="B307" s="5"/>
      <c r="C307" s="5"/>
      <c r="D307" s="9"/>
      <c r="E307" s="9"/>
      <c r="F307" s="5" t="s">
        <v>18</v>
      </c>
      <c r="G307" s="9"/>
      <c r="H307" s="5" t="s">
        <v>20</v>
      </c>
      <c r="I307" s="9"/>
      <c r="J307" s="8" t="s">
        <v>21</v>
      </c>
      <c r="K307" s="9"/>
      <c r="L307" s="8" t="s">
        <v>22</v>
      </c>
      <c r="M307" s="9"/>
      <c r="N307" s="5"/>
      <c r="O307" s="5"/>
    </row>
    <row r="308" ht="22.5" customHeight="1">
      <c r="A308" s="5"/>
      <c r="B308" s="5"/>
      <c r="C308" s="5"/>
      <c r="D308" s="9"/>
      <c r="E308" s="9"/>
      <c r="F308" s="5" t="s">
        <v>18</v>
      </c>
      <c r="G308" s="9"/>
      <c r="H308" s="5" t="s">
        <v>20</v>
      </c>
      <c r="I308" s="9"/>
      <c r="J308" s="8" t="s">
        <v>21</v>
      </c>
      <c r="K308" s="9"/>
      <c r="L308" s="8" t="s">
        <v>22</v>
      </c>
      <c r="M308" s="9"/>
      <c r="N308" s="5"/>
      <c r="O308" s="5"/>
    </row>
    <row r="309" ht="22.5" customHeight="1">
      <c r="A309" s="5"/>
      <c r="B309" s="5"/>
      <c r="C309" s="5"/>
      <c r="D309" s="9"/>
      <c r="E309" s="9"/>
      <c r="F309" s="5" t="s">
        <v>18</v>
      </c>
      <c r="G309" s="9"/>
      <c r="H309" s="5" t="s">
        <v>20</v>
      </c>
      <c r="I309" s="9"/>
      <c r="J309" s="8" t="s">
        <v>21</v>
      </c>
      <c r="K309" s="9"/>
      <c r="L309" s="8" t="s">
        <v>22</v>
      </c>
      <c r="M309" s="9"/>
      <c r="N309" s="5"/>
      <c r="O309" s="5"/>
    </row>
    <row r="310" ht="22.5" customHeight="1">
      <c r="A310" s="5"/>
      <c r="B310" s="5"/>
      <c r="C310" s="5"/>
      <c r="D310" s="9"/>
      <c r="E310" s="9"/>
      <c r="F310" s="5" t="s">
        <v>18</v>
      </c>
      <c r="G310" s="9"/>
      <c r="H310" s="5" t="s">
        <v>20</v>
      </c>
      <c r="I310" s="9"/>
      <c r="J310" s="8" t="s">
        <v>21</v>
      </c>
      <c r="K310" s="9"/>
      <c r="L310" s="8" t="s">
        <v>22</v>
      </c>
      <c r="M310" s="9"/>
      <c r="N310" s="5"/>
      <c r="O310" s="5"/>
    </row>
    <row r="311" ht="22.5" customHeight="1">
      <c r="A311" s="5"/>
      <c r="B311" s="5"/>
      <c r="C311" s="5"/>
      <c r="D311" s="9"/>
      <c r="E311" s="9"/>
      <c r="F311" s="5" t="s">
        <v>18</v>
      </c>
      <c r="G311" s="9"/>
      <c r="H311" s="5" t="s">
        <v>20</v>
      </c>
      <c r="I311" s="9"/>
      <c r="J311" s="8" t="s">
        <v>21</v>
      </c>
      <c r="K311" s="9"/>
      <c r="L311" s="8" t="s">
        <v>22</v>
      </c>
      <c r="M311" s="9"/>
      <c r="N311" s="5"/>
      <c r="O311" s="5"/>
    </row>
    <row r="312" ht="22.5" customHeight="1">
      <c r="A312" s="5"/>
      <c r="B312" s="5"/>
      <c r="C312" s="5"/>
      <c r="D312" s="9"/>
      <c r="E312" s="9"/>
      <c r="F312" s="5" t="s">
        <v>18</v>
      </c>
      <c r="G312" s="9"/>
      <c r="H312" s="5" t="s">
        <v>20</v>
      </c>
      <c r="I312" s="9"/>
      <c r="J312" s="8" t="s">
        <v>21</v>
      </c>
      <c r="K312" s="9"/>
      <c r="L312" s="8" t="s">
        <v>22</v>
      </c>
      <c r="M312" s="9"/>
      <c r="N312" s="5"/>
      <c r="O312" s="5"/>
    </row>
    <row r="313" ht="22.5" customHeight="1">
      <c r="A313" s="5"/>
      <c r="B313" s="5"/>
      <c r="C313" s="5"/>
      <c r="D313" s="9"/>
      <c r="E313" s="9"/>
      <c r="F313" s="5" t="s">
        <v>18</v>
      </c>
      <c r="G313" s="9"/>
      <c r="H313" s="5" t="s">
        <v>20</v>
      </c>
      <c r="I313" s="9"/>
      <c r="J313" s="8" t="s">
        <v>21</v>
      </c>
      <c r="K313" s="9"/>
      <c r="L313" s="8" t="s">
        <v>22</v>
      </c>
      <c r="M313" s="9"/>
      <c r="N313" s="5"/>
      <c r="O313" s="5"/>
    </row>
    <row r="314" ht="22.5" customHeight="1">
      <c r="A314" s="5"/>
      <c r="B314" s="5"/>
      <c r="C314" s="5"/>
      <c r="D314" s="9"/>
      <c r="E314" s="9"/>
      <c r="F314" s="5" t="s">
        <v>18</v>
      </c>
      <c r="G314" s="9"/>
      <c r="H314" s="5" t="s">
        <v>20</v>
      </c>
      <c r="I314" s="9"/>
      <c r="J314" s="8" t="s">
        <v>21</v>
      </c>
      <c r="K314" s="9"/>
      <c r="L314" s="8" t="s">
        <v>22</v>
      </c>
      <c r="M314" s="9"/>
      <c r="N314" s="5"/>
      <c r="O314" s="5"/>
    </row>
    <row r="315" ht="22.5" customHeight="1">
      <c r="A315" s="5"/>
      <c r="B315" s="5"/>
      <c r="C315" s="5"/>
      <c r="D315" s="9"/>
      <c r="E315" s="9"/>
      <c r="F315" s="5" t="s">
        <v>18</v>
      </c>
      <c r="G315" s="9"/>
      <c r="H315" s="5" t="s">
        <v>20</v>
      </c>
      <c r="I315" s="9"/>
      <c r="J315" s="8" t="s">
        <v>21</v>
      </c>
      <c r="K315" s="9"/>
      <c r="L315" s="8" t="s">
        <v>22</v>
      </c>
      <c r="M315" s="9"/>
      <c r="N315" s="5"/>
      <c r="O315" s="5"/>
    </row>
    <row r="316" ht="22.5" customHeight="1">
      <c r="A316" s="5"/>
      <c r="B316" s="5"/>
      <c r="C316" s="5"/>
      <c r="D316" s="9"/>
      <c r="E316" s="9"/>
      <c r="F316" s="5" t="s">
        <v>18</v>
      </c>
      <c r="G316" s="9"/>
      <c r="H316" s="5" t="s">
        <v>20</v>
      </c>
      <c r="I316" s="9"/>
      <c r="J316" s="8" t="s">
        <v>21</v>
      </c>
      <c r="K316" s="9"/>
      <c r="L316" s="8" t="s">
        <v>22</v>
      </c>
      <c r="M316" s="9"/>
      <c r="N316" s="5"/>
      <c r="O316" s="5"/>
    </row>
    <row r="317" ht="22.5" customHeight="1">
      <c r="A317" s="5"/>
      <c r="B317" s="5"/>
      <c r="C317" s="5"/>
      <c r="D317" s="9"/>
      <c r="E317" s="9"/>
      <c r="F317" s="5" t="s">
        <v>18</v>
      </c>
      <c r="G317" s="9"/>
      <c r="H317" s="5" t="s">
        <v>20</v>
      </c>
      <c r="I317" s="9"/>
      <c r="J317" s="8" t="s">
        <v>21</v>
      </c>
      <c r="K317" s="9"/>
      <c r="L317" s="8" t="s">
        <v>22</v>
      </c>
      <c r="M317" s="9"/>
      <c r="N317" s="5"/>
      <c r="O317" s="5"/>
    </row>
    <row r="318" ht="22.5" customHeight="1">
      <c r="A318" s="5"/>
      <c r="B318" s="5"/>
      <c r="C318" s="5"/>
      <c r="D318" s="9"/>
      <c r="E318" s="9"/>
      <c r="F318" s="5" t="s">
        <v>18</v>
      </c>
      <c r="G318" s="9"/>
      <c r="H318" s="5" t="s">
        <v>20</v>
      </c>
      <c r="I318" s="9"/>
      <c r="J318" s="8" t="s">
        <v>21</v>
      </c>
      <c r="K318" s="9"/>
      <c r="L318" s="8" t="s">
        <v>22</v>
      </c>
      <c r="M318" s="9"/>
      <c r="N318" s="5"/>
      <c r="O318" s="5"/>
    </row>
    <row r="319" ht="22.5" customHeight="1">
      <c r="A319" s="5"/>
      <c r="B319" s="5"/>
      <c r="C319" s="5"/>
      <c r="D319" s="9"/>
      <c r="E319" s="9"/>
      <c r="F319" s="5" t="s">
        <v>18</v>
      </c>
      <c r="G319" s="9"/>
      <c r="H319" s="5" t="s">
        <v>20</v>
      </c>
      <c r="I319" s="9"/>
      <c r="J319" s="8" t="s">
        <v>21</v>
      </c>
      <c r="K319" s="9"/>
      <c r="L319" s="8" t="s">
        <v>22</v>
      </c>
      <c r="M319" s="9"/>
      <c r="N319" s="5"/>
      <c r="O319" s="5"/>
    </row>
    <row r="320" ht="22.5" customHeight="1">
      <c r="A320" s="5"/>
      <c r="B320" s="5"/>
      <c r="C320" s="5"/>
      <c r="D320" s="9"/>
      <c r="E320" s="9"/>
      <c r="F320" s="5" t="s">
        <v>18</v>
      </c>
      <c r="G320" s="9"/>
      <c r="H320" s="5" t="s">
        <v>20</v>
      </c>
      <c r="I320" s="9"/>
      <c r="J320" s="8" t="s">
        <v>21</v>
      </c>
      <c r="K320" s="9"/>
      <c r="L320" s="8" t="s">
        <v>22</v>
      </c>
      <c r="M320" s="9"/>
      <c r="N320" s="5"/>
      <c r="O320" s="5"/>
    </row>
    <row r="321" ht="22.5" customHeight="1">
      <c r="A321" s="5"/>
      <c r="B321" s="5"/>
      <c r="C321" s="5"/>
      <c r="D321" s="9"/>
      <c r="E321" s="9"/>
      <c r="F321" s="5" t="s">
        <v>18</v>
      </c>
      <c r="G321" s="9"/>
      <c r="H321" s="5" t="s">
        <v>20</v>
      </c>
      <c r="I321" s="9"/>
      <c r="J321" s="8" t="s">
        <v>21</v>
      </c>
      <c r="K321" s="9"/>
      <c r="L321" s="8" t="s">
        <v>22</v>
      </c>
      <c r="M321" s="9"/>
      <c r="N321" s="5"/>
      <c r="O321" s="5"/>
    </row>
    <row r="322" ht="22.5" customHeight="1">
      <c r="A322" s="5"/>
      <c r="B322" s="5"/>
      <c r="C322" s="5"/>
      <c r="D322" s="9"/>
      <c r="E322" s="9"/>
      <c r="F322" s="5" t="s">
        <v>18</v>
      </c>
      <c r="G322" s="9"/>
      <c r="H322" s="5" t="s">
        <v>20</v>
      </c>
      <c r="I322" s="9"/>
      <c r="J322" s="8" t="s">
        <v>21</v>
      </c>
      <c r="K322" s="9"/>
      <c r="L322" s="8" t="s">
        <v>22</v>
      </c>
      <c r="M322" s="9"/>
      <c r="N322" s="5"/>
      <c r="O322" s="5"/>
    </row>
    <row r="323" ht="22.5" customHeight="1">
      <c r="A323" s="5"/>
      <c r="B323" s="5"/>
      <c r="C323" s="5"/>
      <c r="D323" s="9"/>
      <c r="E323" s="9"/>
      <c r="F323" s="5" t="s">
        <v>18</v>
      </c>
      <c r="G323" s="9"/>
      <c r="H323" s="5" t="s">
        <v>20</v>
      </c>
      <c r="I323" s="9"/>
      <c r="J323" s="8" t="s">
        <v>21</v>
      </c>
      <c r="K323" s="9"/>
      <c r="L323" s="8" t="s">
        <v>22</v>
      </c>
      <c r="M323" s="9"/>
      <c r="N323" s="5"/>
      <c r="O323" s="5"/>
    </row>
    <row r="324" ht="22.5" customHeight="1">
      <c r="A324" s="5"/>
      <c r="B324" s="5"/>
      <c r="C324" s="5"/>
      <c r="D324" s="9"/>
      <c r="E324" s="9"/>
      <c r="F324" s="5" t="s">
        <v>18</v>
      </c>
      <c r="G324" s="9"/>
      <c r="H324" s="5" t="s">
        <v>20</v>
      </c>
      <c r="I324" s="9"/>
      <c r="J324" s="8" t="s">
        <v>21</v>
      </c>
      <c r="K324" s="9"/>
      <c r="L324" s="8" t="s">
        <v>22</v>
      </c>
      <c r="M324" s="9"/>
      <c r="N324" s="5"/>
      <c r="O324" s="5"/>
    </row>
    <row r="325" ht="22.5" customHeight="1">
      <c r="A325" s="31"/>
      <c r="B325" s="15"/>
      <c r="C325" s="5"/>
      <c r="D325" s="9"/>
      <c r="E325" s="9"/>
      <c r="F325" s="5" t="s">
        <v>18</v>
      </c>
      <c r="G325" s="9"/>
      <c r="H325" s="5" t="s">
        <v>20</v>
      </c>
      <c r="I325" s="9"/>
      <c r="J325" s="8" t="s">
        <v>21</v>
      </c>
      <c r="K325" s="9"/>
      <c r="L325" s="8" t="s">
        <v>22</v>
      </c>
      <c r="M325" s="9"/>
      <c r="N325" s="5"/>
      <c r="O325" s="5"/>
    </row>
    <row r="326" ht="22.5" customHeight="1">
      <c r="A326" s="5"/>
      <c r="B326" s="5"/>
      <c r="C326" s="5"/>
      <c r="D326" s="9"/>
      <c r="E326" s="9"/>
      <c r="F326" s="5" t="s">
        <v>18</v>
      </c>
      <c r="G326" s="9"/>
      <c r="H326" s="5" t="s">
        <v>20</v>
      </c>
      <c r="I326" s="9"/>
      <c r="J326" s="8" t="s">
        <v>21</v>
      </c>
      <c r="K326" s="9"/>
      <c r="L326" s="8" t="s">
        <v>22</v>
      </c>
      <c r="M326" s="9"/>
      <c r="N326" s="5"/>
      <c r="O326" s="5"/>
    </row>
    <row r="327" ht="22.5" customHeight="1">
      <c r="A327" s="5"/>
      <c r="B327" s="5"/>
      <c r="C327" s="5"/>
      <c r="D327" s="9"/>
      <c r="E327" s="9"/>
      <c r="F327" s="5" t="s">
        <v>18</v>
      </c>
      <c r="G327" s="9"/>
      <c r="H327" s="5" t="s">
        <v>20</v>
      </c>
      <c r="I327" s="9"/>
      <c r="J327" s="8" t="s">
        <v>21</v>
      </c>
      <c r="K327" s="9"/>
      <c r="L327" s="8" t="s">
        <v>22</v>
      </c>
      <c r="M327" s="9"/>
      <c r="N327" s="5"/>
      <c r="O327" s="5"/>
    </row>
    <row r="328" ht="22.5" customHeight="1">
      <c r="A328" s="5"/>
      <c r="B328" s="5"/>
      <c r="C328" s="5"/>
      <c r="D328" s="9"/>
      <c r="E328" s="9"/>
      <c r="F328" s="5" t="s">
        <v>18</v>
      </c>
      <c r="G328" s="9"/>
      <c r="H328" s="5" t="s">
        <v>20</v>
      </c>
      <c r="I328" s="9"/>
      <c r="J328" s="8" t="s">
        <v>21</v>
      </c>
      <c r="K328" s="9"/>
      <c r="L328" s="8" t="s">
        <v>22</v>
      </c>
      <c r="M328" s="9"/>
      <c r="N328" s="5"/>
      <c r="O328" s="5"/>
    </row>
    <row r="329" ht="22.5" customHeight="1">
      <c r="A329" s="5"/>
      <c r="B329" s="5"/>
      <c r="C329" s="5"/>
      <c r="D329" s="9"/>
      <c r="E329" s="9"/>
      <c r="F329" s="5" t="s">
        <v>18</v>
      </c>
      <c r="G329" s="9"/>
      <c r="H329" s="5" t="s">
        <v>20</v>
      </c>
      <c r="I329" s="9"/>
      <c r="J329" s="8" t="s">
        <v>21</v>
      </c>
      <c r="K329" s="9"/>
      <c r="L329" s="8" t="s">
        <v>22</v>
      </c>
      <c r="M329" s="9"/>
      <c r="N329" s="5"/>
      <c r="O329" s="5"/>
    </row>
    <row r="330" ht="22.5" customHeight="1">
      <c r="A330" s="5"/>
      <c r="B330" s="5"/>
      <c r="C330" s="5"/>
      <c r="D330" s="9"/>
      <c r="E330" s="9"/>
      <c r="F330" s="5" t="s">
        <v>18</v>
      </c>
      <c r="G330" s="9"/>
      <c r="H330" s="5" t="s">
        <v>20</v>
      </c>
      <c r="I330" s="9"/>
      <c r="J330" s="8" t="s">
        <v>21</v>
      </c>
      <c r="K330" s="9"/>
      <c r="L330" s="8" t="s">
        <v>22</v>
      </c>
      <c r="M330" s="9"/>
      <c r="N330" s="5"/>
      <c r="O330" s="5"/>
    </row>
    <row r="331" ht="22.5" customHeight="1">
      <c r="A331" s="5"/>
      <c r="B331" s="5"/>
      <c r="C331" s="5"/>
      <c r="D331" s="9"/>
      <c r="E331" s="9"/>
      <c r="F331" s="5" t="s">
        <v>18</v>
      </c>
      <c r="G331" s="9"/>
      <c r="H331" s="5" t="s">
        <v>20</v>
      </c>
      <c r="I331" s="9"/>
      <c r="J331" s="8" t="s">
        <v>21</v>
      </c>
      <c r="K331" s="9"/>
      <c r="L331" s="8" t="s">
        <v>22</v>
      </c>
      <c r="M331" s="9"/>
      <c r="N331" s="5"/>
      <c r="O331" s="5"/>
    </row>
    <row r="332" ht="22.5" customHeight="1">
      <c r="A332" s="5"/>
      <c r="B332" s="5"/>
      <c r="C332" s="5"/>
      <c r="D332" s="9"/>
      <c r="E332" s="9"/>
      <c r="F332" s="5" t="s">
        <v>18</v>
      </c>
      <c r="G332" s="9"/>
      <c r="H332" s="5" t="s">
        <v>20</v>
      </c>
      <c r="I332" s="9"/>
      <c r="J332" s="8" t="s">
        <v>21</v>
      </c>
      <c r="K332" s="9"/>
      <c r="L332" s="8" t="s">
        <v>22</v>
      </c>
      <c r="M332" s="9"/>
      <c r="N332" s="5"/>
      <c r="O332" s="5"/>
    </row>
    <row r="333" ht="22.5" customHeight="1">
      <c r="A333" s="5"/>
      <c r="B333" s="5"/>
      <c r="C333" s="5"/>
      <c r="D333" s="9"/>
      <c r="E333" s="9"/>
      <c r="F333" s="5" t="s">
        <v>18</v>
      </c>
      <c r="G333" s="9"/>
      <c r="H333" s="5" t="s">
        <v>20</v>
      </c>
      <c r="I333" s="9"/>
      <c r="J333" s="8" t="s">
        <v>21</v>
      </c>
      <c r="K333" s="9"/>
      <c r="L333" s="8" t="s">
        <v>22</v>
      </c>
      <c r="M333" s="9"/>
      <c r="N333" s="5"/>
      <c r="O333" s="5"/>
    </row>
    <row r="334" ht="22.5" customHeight="1">
      <c r="A334" s="5"/>
      <c r="B334" s="5"/>
      <c r="C334" s="5"/>
      <c r="D334" s="9"/>
      <c r="E334" s="9"/>
      <c r="F334" s="5" t="s">
        <v>18</v>
      </c>
      <c r="G334" s="9"/>
      <c r="H334" s="5" t="s">
        <v>20</v>
      </c>
      <c r="I334" s="9"/>
      <c r="J334" s="8" t="s">
        <v>21</v>
      </c>
      <c r="K334" s="9"/>
      <c r="L334" s="8" t="s">
        <v>22</v>
      </c>
      <c r="M334" s="9"/>
      <c r="N334" s="5"/>
      <c r="O334" s="5"/>
    </row>
    <row r="335" ht="22.5" customHeight="1">
      <c r="A335" s="5"/>
      <c r="B335" s="5"/>
      <c r="C335" s="5"/>
      <c r="D335" s="9"/>
      <c r="E335" s="9"/>
      <c r="F335" s="5" t="s">
        <v>18</v>
      </c>
      <c r="G335" s="9"/>
      <c r="H335" s="5" t="s">
        <v>20</v>
      </c>
      <c r="I335" s="9"/>
      <c r="J335" s="8" t="s">
        <v>21</v>
      </c>
      <c r="K335" s="9"/>
      <c r="L335" s="8" t="s">
        <v>22</v>
      </c>
      <c r="M335" s="9"/>
      <c r="N335" s="5"/>
      <c r="O335" s="5"/>
    </row>
    <row r="336" ht="22.5" customHeight="1">
      <c r="A336" s="5"/>
      <c r="B336" s="5"/>
      <c r="C336" s="5"/>
      <c r="D336" s="9"/>
      <c r="E336" s="9"/>
      <c r="F336" s="5" t="s">
        <v>18</v>
      </c>
      <c r="G336" s="9"/>
      <c r="H336" s="5" t="s">
        <v>20</v>
      </c>
      <c r="I336" s="9"/>
      <c r="J336" s="8" t="s">
        <v>21</v>
      </c>
      <c r="K336" s="9"/>
      <c r="L336" s="8" t="s">
        <v>22</v>
      </c>
      <c r="M336" s="9"/>
      <c r="N336" s="5"/>
      <c r="O336" s="5"/>
    </row>
    <row r="337" ht="22.5" customHeight="1">
      <c r="A337" s="5"/>
      <c r="B337" s="5"/>
      <c r="C337" s="5"/>
      <c r="D337" s="9"/>
      <c r="E337" s="9"/>
      <c r="F337" s="5" t="s">
        <v>18</v>
      </c>
      <c r="G337" s="9"/>
      <c r="H337" s="5" t="s">
        <v>20</v>
      </c>
      <c r="I337" s="9"/>
      <c r="J337" s="8" t="s">
        <v>21</v>
      </c>
      <c r="K337" s="9"/>
      <c r="L337" s="8" t="s">
        <v>22</v>
      </c>
      <c r="M337" s="9"/>
      <c r="N337" s="5"/>
      <c r="O337" s="5"/>
    </row>
    <row r="338" ht="22.5" customHeight="1">
      <c r="A338" s="5"/>
      <c r="B338" s="5"/>
      <c r="C338" s="5"/>
      <c r="D338" s="9"/>
      <c r="E338" s="9"/>
      <c r="F338" s="5" t="s">
        <v>18</v>
      </c>
      <c r="G338" s="9"/>
      <c r="H338" s="5" t="s">
        <v>20</v>
      </c>
      <c r="I338" s="9"/>
      <c r="J338" s="8" t="s">
        <v>21</v>
      </c>
      <c r="K338" s="9"/>
      <c r="L338" s="8" t="s">
        <v>22</v>
      </c>
      <c r="M338" s="9"/>
      <c r="N338" s="5"/>
      <c r="O338" s="5"/>
    </row>
    <row r="339" ht="22.5" customHeight="1">
      <c r="A339" s="5"/>
      <c r="B339" s="5"/>
      <c r="C339" s="5"/>
      <c r="D339" s="9"/>
      <c r="E339" s="9"/>
      <c r="F339" s="5" t="s">
        <v>18</v>
      </c>
      <c r="G339" s="9"/>
      <c r="H339" s="5" t="s">
        <v>20</v>
      </c>
      <c r="I339" s="9"/>
      <c r="J339" s="8" t="s">
        <v>21</v>
      </c>
      <c r="K339" s="9"/>
      <c r="L339" s="8" t="s">
        <v>22</v>
      </c>
      <c r="M339" s="9"/>
      <c r="N339" s="5"/>
      <c r="O339" s="5"/>
    </row>
    <row r="340" ht="22.5" customHeight="1">
      <c r="A340" s="5"/>
      <c r="B340" s="5"/>
      <c r="C340" s="5"/>
      <c r="D340" s="9"/>
      <c r="E340" s="9"/>
      <c r="F340" s="5" t="s">
        <v>18</v>
      </c>
      <c r="G340" s="9"/>
      <c r="H340" s="5" t="s">
        <v>20</v>
      </c>
      <c r="I340" s="9"/>
      <c r="J340" s="8" t="s">
        <v>21</v>
      </c>
      <c r="K340" s="9"/>
      <c r="L340" s="8" t="s">
        <v>22</v>
      </c>
      <c r="M340" s="9"/>
      <c r="N340" s="5"/>
      <c r="O340" s="5"/>
    </row>
    <row r="341" ht="22.5" customHeight="1">
      <c r="A341" s="5"/>
      <c r="B341" s="5"/>
      <c r="C341" s="5"/>
      <c r="D341" s="9"/>
      <c r="E341" s="9"/>
      <c r="F341" s="5" t="s">
        <v>18</v>
      </c>
      <c r="G341" s="9"/>
      <c r="H341" s="5" t="s">
        <v>20</v>
      </c>
      <c r="I341" s="9"/>
      <c r="J341" s="8" t="s">
        <v>21</v>
      </c>
      <c r="K341" s="9"/>
      <c r="L341" s="8" t="s">
        <v>22</v>
      </c>
      <c r="M341" s="9"/>
      <c r="N341" s="5"/>
      <c r="O341" s="5"/>
    </row>
    <row r="342" ht="22.5" customHeight="1">
      <c r="A342" s="5"/>
      <c r="B342" s="5"/>
      <c r="C342" s="5"/>
      <c r="D342" s="9"/>
      <c r="E342" s="9"/>
      <c r="F342" s="5" t="s">
        <v>18</v>
      </c>
      <c r="G342" s="9"/>
      <c r="H342" s="5" t="s">
        <v>20</v>
      </c>
      <c r="I342" s="9"/>
      <c r="J342" s="8" t="s">
        <v>21</v>
      </c>
      <c r="K342" s="9"/>
      <c r="L342" s="8" t="s">
        <v>22</v>
      </c>
      <c r="M342" s="9"/>
      <c r="N342" s="5"/>
      <c r="O342" s="5"/>
    </row>
    <row r="343" ht="22.5" customHeight="1">
      <c r="A343" s="5"/>
      <c r="B343" s="5"/>
      <c r="C343" s="5"/>
      <c r="D343" s="9"/>
      <c r="E343" s="9"/>
      <c r="F343" s="5" t="s">
        <v>18</v>
      </c>
      <c r="G343" s="9"/>
      <c r="H343" s="5" t="s">
        <v>20</v>
      </c>
      <c r="I343" s="9"/>
      <c r="J343" s="8" t="s">
        <v>21</v>
      </c>
      <c r="K343" s="9"/>
      <c r="L343" s="8" t="s">
        <v>22</v>
      </c>
      <c r="M343" s="9"/>
      <c r="N343" s="5"/>
      <c r="O343" s="5"/>
    </row>
    <row r="344" ht="22.5" customHeight="1">
      <c r="A344" s="5"/>
      <c r="B344" s="5"/>
      <c r="C344" s="5"/>
      <c r="D344" s="9"/>
      <c r="E344" s="9"/>
      <c r="F344" s="5" t="s">
        <v>18</v>
      </c>
      <c r="G344" s="9"/>
      <c r="H344" s="5" t="s">
        <v>20</v>
      </c>
      <c r="I344" s="9"/>
      <c r="J344" s="8" t="s">
        <v>21</v>
      </c>
      <c r="K344" s="9"/>
      <c r="L344" s="8" t="s">
        <v>22</v>
      </c>
      <c r="M344" s="9"/>
      <c r="N344" s="5"/>
      <c r="O344" s="5"/>
    </row>
    <row r="345" ht="22.5" customHeight="1">
      <c r="A345" s="5"/>
      <c r="B345" s="5"/>
      <c r="C345" s="5"/>
      <c r="D345" s="9"/>
      <c r="E345" s="9"/>
      <c r="F345" s="5" t="s">
        <v>18</v>
      </c>
      <c r="G345" s="9"/>
      <c r="H345" s="5" t="s">
        <v>20</v>
      </c>
      <c r="I345" s="9"/>
      <c r="J345" s="8" t="s">
        <v>21</v>
      </c>
      <c r="K345" s="9"/>
      <c r="L345" s="8" t="s">
        <v>22</v>
      </c>
      <c r="M345" s="9"/>
      <c r="N345" s="5"/>
      <c r="O345" s="5"/>
    </row>
    <row r="346" ht="22.5" customHeight="1">
      <c r="A346" s="5"/>
      <c r="B346" s="5"/>
      <c r="C346" s="5"/>
      <c r="D346" s="9"/>
      <c r="E346" s="9"/>
      <c r="F346" s="5" t="s">
        <v>18</v>
      </c>
      <c r="G346" s="9"/>
      <c r="H346" s="5" t="s">
        <v>20</v>
      </c>
      <c r="I346" s="9"/>
      <c r="J346" s="8" t="s">
        <v>21</v>
      </c>
      <c r="K346" s="9"/>
      <c r="L346" s="8" t="s">
        <v>22</v>
      </c>
      <c r="M346" s="9"/>
      <c r="N346" s="5"/>
      <c r="O346" s="5"/>
    </row>
    <row r="347" ht="22.5" customHeight="1">
      <c r="A347" s="5"/>
      <c r="B347" s="5"/>
      <c r="C347" s="5"/>
      <c r="D347" s="9"/>
      <c r="E347" s="9"/>
      <c r="F347" s="5" t="s">
        <v>18</v>
      </c>
      <c r="G347" s="9"/>
      <c r="H347" s="5" t="s">
        <v>20</v>
      </c>
      <c r="I347" s="9"/>
      <c r="J347" s="8" t="s">
        <v>21</v>
      </c>
      <c r="K347" s="9"/>
      <c r="L347" s="8" t="s">
        <v>22</v>
      </c>
      <c r="M347" s="9"/>
      <c r="N347" s="5"/>
      <c r="O347" s="5"/>
    </row>
    <row r="348" ht="22.5" customHeight="1">
      <c r="A348" s="5"/>
      <c r="B348" s="5"/>
      <c r="C348" s="5"/>
      <c r="D348" s="9"/>
      <c r="E348" s="9"/>
      <c r="F348" s="5" t="s">
        <v>18</v>
      </c>
      <c r="G348" s="9"/>
      <c r="H348" s="5" t="s">
        <v>20</v>
      </c>
      <c r="I348" s="9"/>
      <c r="J348" s="8" t="s">
        <v>21</v>
      </c>
      <c r="K348" s="9"/>
      <c r="L348" s="8" t="s">
        <v>22</v>
      </c>
      <c r="M348" s="9"/>
      <c r="N348" s="5"/>
      <c r="O348" s="5"/>
    </row>
    <row r="349" ht="22.5" customHeight="1">
      <c r="A349" s="5"/>
      <c r="B349" s="5"/>
      <c r="C349" s="5"/>
      <c r="D349" s="9"/>
      <c r="E349" s="9"/>
      <c r="F349" s="5" t="s">
        <v>18</v>
      </c>
      <c r="G349" s="9"/>
      <c r="H349" s="5" t="s">
        <v>20</v>
      </c>
      <c r="I349" s="9"/>
      <c r="J349" s="8" t="s">
        <v>21</v>
      </c>
      <c r="K349" s="9"/>
      <c r="L349" s="8" t="s">
        <v>22</v>
      </c>
      <c r="M349" s="9"/>
      <c r="N349" s="5"/>
      <c r="O349" s="5"/>
    </row>
    <row r="350" ht="22.5" customHeight="1">
      <c r="A350" s="5"/>
      <c r="B350" s="5"/>
      <c r="C350" s="5"/>
      <c r="D350" s="9"/>
      <c r="E350" s="9"/>
      <c r="F350" s="5" t="s">
        <v>18</v>
      </c>
      <c r="G350" s="9"/>
      <c r="H350" s="5" t="s">
        <v>20</v>
      </c>
      <c r="I350" s="9"/>
      <c r="J350" s="8" t="s">
        <v>21</v>
      </c>
      <c r="K350" s="9"/>
      <c r="L350" s="8" t="s">
        <v>22</v>
      </c>
      <c r="M350" s="9"/>
      <c r="N350" s="5"/>
      <c r="O350" s="5"/>
    </row>
    <row r="351" ht="22.5" customHeight="1">
      <c r="A351" s="5"/>
      <c r="B351" s="5"/>
      <c r="C351" s="5"/>
      <c r="D351" s="9"/>
      <c r="E351" s="9"/>
      <c r="F351" s="5" t="s">
        <v>18</v>
      </c>
      <c r="G351" s="9"/>
      <c r="H351" s="5" t="s">
        <v>20</v>
      </c>
      <c r="I351" s="9"/>
      <c r="J351" s="8" t="s">
        <v>21</v>
      </c>
      <c r="K351" s="9"/>
      <c r="L351" s="8" t="s">
        <v>22</v>
      </c>
      <c r="M351" s="9"/>
      <c r="N351" s="5"/>
      <c r="O351" s="5"/>
    </row>
    <row r="352" ht="22.5" customHeight="1">
      <c r="A352" s="5"/>
      <c r="B352" s="5"/>
      <c r="C352" s="5"/>
      <c r="D352" s="9"/>
      <c r="E352" s="9"/>
      <c r="F352" s="5" t="s">
        <v>18</v>
      </c>
      <c r="G352" s="9"/>
      <c r="H352" s="5" t="s">
        <v>20</v>
      </c>
      <c r="I352" s="9"/>
      <c r="J352" s="8" t="s">
        <v>21</v>
      </c>
      <c r="K352" s="9"/>
      <c r="L352" s="8" t="s">
        <v>22</v>
      </c>
      <c r="M352" s="9"/>
      <c r="N352" s="5"/>
      <c r="O352" s="5"/>
    </row>
    <row r="353" ht="22.5" customHeight="1">
      <c r="A353" s="5"/>
      <c r="B353" s="5"/>
      <c r="C353" s="5"/>
      <c r="D353" s="9"/>
      <c r="E353" s="9"/>
      <c r="F353" s="5" t="s">
        <v>18</v>
      </c>
      <c r="G353" s="9"/>
      <c r="H353" s="5" t="s">
        <v>20</v>
      </c>
      <c r="I353" s="9"/>
      <c r="J353" s="8" t="s">
        <v>21</v>
      </c>
      <c r="K353" s="9"/>
      <c r="L353" s="8" t="s">
        <v>22</v>
      </c>
      <c r="M353" s="9"/>
      <c r="N353" s="5"/>
      <c r="O353" s="5"/>
    </row>
    <row r="354" ht="22.5" customHeight="1">
      <c r="A354" s="5"/>
      <c r="B354" s="5"/>
      <c r="C354" s="5"/>
      <c r="D354" s="9"/>
      <c r="E354" s="9"/>
      <c r="F354" s="5" t="s">
        <v>18</v>
      </c>
      <c r="G354" s="9"/>
      <c r="H354" s="5" t="s">
        <v>20</v>
      </c>
      <c r="I354" s="9"/>
      <c r="J354" s="8" t="s">
        <v>21</v>
      </c>
      <c r="K354" s="9"/>
      <c r="L354" s="8" t="s">
        <v>22</v>
      </c>
      <c r="M354" s="9"/>
      <c r="N354" s="5"/>
      <c r="O354" s="5"/>
    </row>
    <row r="355" ht="22.5" customHeight="1">
      <c r="A355" s="5"/>
      <c r="B355" s="5"/>
      <c r="C355" s="5"/>
      <c r="D355" s="9"/>
      <c r="E355" s="9"/>
      <c r="F355" s="5" t="s">
        <v>18</v>
      </c>
      <c r="G355" s="9"/>
      <c r="H355" s="5" t="s">
        <v>20</v>
      </c>
      <c r="I355" s="9"/>
      <c r="J355" s="8" t="s">
        <v>21</v>
      </c>
      <c r="K355" s="9"/>
      <c r="L355" s="8" t="s">
        <v>22</v>
      </c>
      <c r="M355" s="9"/>
      <c r="N355" s="5"/>
      <c r="O355" s="5"/>
    </row>
    <row r="356" ht="22.5" customHeight="1">
      <c r="A356" s="5"/>
      <c r="B356" s="5"/>
      <c r="C356" s="5"/>
      <c r="D356" s="9"/>
      <c r="E356" s="9"/>
      <c r="F356" s="5" t="s">
        <v>18</v>
      </c>
      <c r="G356" s="9"/>
      <c r="H356" s="5" t="s">
        <v>20</v>
      </c>
      <c r="I356" s="9"/>
      <c r="J356" s="8" t="s">
        <v>21</v>
      </c>
      <c r="K356" s="9"/>
      <c r="L356" s="8" t="s">
        <v>22</v>
      </c>
      <c r="M356" s="9"/>
      <c r="N356" s="5"/>
      <c r="O356" s="5"/>
    </row>
    <row r="357" ht="22.5" customHeight="1">
      <c r="A357" s="5"/>
      <c r="B357" s="5"/>
      <c r="C357" s="5"/>
      <c r="D357" s="9"/>
      <c r="E357" s="9"/>
      <c r="F357" s="5" t="s">
        <v>18</v>
      </c>
      <c r="G357" s="9"/>
      <c r="H357" s="5" t="s">
        <v>20</v>
      </c>
      <c r="I357" s="9"/>
      <c r="J357" s="8" t="s">
        <v>21</v>
      </c>
      <c r="K357" s="9"/>
      <c r="L357" s="8" t="s">
        <v>22</v>
      </c>
      <c r="M357" s="9"/>
      <c r="N357" s="5"/>
      <c r="O357" s="5"/>
    </row>
    <row r="358" ht="22.5" customHeight="1">
      <c r="A358" s="5"/>
      <c r="B358" s="5"/>
      <c r="C358" s="5"/>
      <c r="D358" s="9"/>
      <c r="E358" s="9"/>
      <c r="F358" s="5" t="s">
        <v>18</v>
      </c>
      <c r="G358" s="9"/>
      <c r="H358" s="5" t="s">
        <v>20</v>
      </c>
      <c r="I358" s="9"/>
      <c r="J358" s="8" t="s">
        <v>21</v>
      </c>
      <c r="K358" s="9"/>
      <c r="L358" s="8" t="s">
        <v>22</v>
      </c>
      <c r="M358" s="9"/>
      <c r="N358" s="5"/>
      <c r="O358" s="5"/>
    </row>
    <row r="359" ht="22.5" customHeight="1">
      <c r="A359" s="5"/>
      <c r="B359" s="5"/>
      <c r="C359" s="5"/>
      <c r="D359" s="9"/>
      <c r="E359" s="9"/>
      <c r="F359" s="5" t="s">
        <v>18</v>
      </c>
      <c r="G359" s="9"/>
      <c r="H359" s="5" t="s">
        <v>20</v>
      </c>
      <c r="I359" s="9"/>
      <c r="J359" s="8" t="s">
        <v>21</v>
      </c>
      <c r="K359" s="9"/>
      <c r="L359" s="8" t="s">
        <v>22</v>
      </c>
      <c r="M359" s="9"/>
      <c r="N359" s="5"/>
      <c r="O359" s="5"/>
    </row>
    <row r="360" ht="22.5" customHeight="1">
      <c r="A360" s="5"/>
      <c r="B360" s="5"/>
      <c r="C360" s="5"/>
      <c r="D360" s="9"/>
      <c r="E360" s="9"/>
      <c r="F360" s="5" t="s">
        <v>18</v>
      </c>
      <c r="G360" s="9"/>
      <c r="H360" s="5" t="s">
        <v>20</v>
      </c>
      <c r="I360" s="9"/>
      <c r="J360" s="8" t="s">
        <v>21</v>
      </c>
      <c r="K360" s="9"/>
      <c r="L360" s="8" t="s">
        <v>22</v>
      </c>
      <c r="M360" s="9"/>
      <c r="N360" s="5"/>
      <c r="O360" s="5"/>
    </row>
    <row r="361" ht="22.5" customHeight="1">
      <c r="A361" s="5"/>
      <c r="B361" s="5"/>
      <c r="C361" s="5"/>
      <c r="D361" s="9"/>
      <c r="E361" s="9"/>
      <c r="F361" s="5" t="s">
        <v>18</v>
      </c>
      <c r="G361" s="9"/>
      <c r="H361" s="5" t="s">
        <v>20</v>
      </c>
      <c r="I361" s="9"/>
      <c r="J361" s="8" t="s">
        <v>21</v>
      </c>
      <c r="K361" s="9"/>
      <c r="L361" s="8" t="s">
        <v>22</v>
      </c>
      <c r="M361" s="9"/>
      <c r="N361" s="5"/>
      <c r="O361" s="5"/>
    </row>
    <row r="362" ht="22.5" customHeight="1">
      <c r="A362" s="5"/>
      <c r="B362" s="5"/>
      <c r="C362" s="5"/>
      <c r="D362" s="9"/>
      <c r="E362" s="9"/>
      <c r="F362" s="5" t="s">
        <v>18</v>
      </c>
      <c r="G362" s="9"/>
      <c r="H362" s="5" t="s">
        <v>20</v>
      </c>
      <c r="I362" s="9"/>
      <c r="J362" s="8" t="s">
        <v>21</v>
      </c>
      <c r="K362" s="9"/>
      <c r="L362" s="8" t="s">
        <v>22</v>
      </c>
      <c r="M362" s="9"/>
      <c r="N362" s="5"/>
      <c r="O362" s="5"/>
    </row>
    <row r="363" ht="22.5" customHeight="1">
      <c r="A363" s="5"/>
      <c r="B363" s="5"/>
      <c r="C363" s="5"/>
      <c r="D363" s="9"/>
      <c r="E363" s="9"/>
      <c r="F363" s="5" t="s">
        <v>18</v>
      </c>
      <c r="G363" s="9"/>
      <c r="H363" s="5" t="s">
        <v>20</v>
      </c>
      <c r="I363" s="9"/>
      <c r="J363" s="8" t="s">
        <v>21</v>
      </c>
      <c r="K363" s="9"/>
      <c r="L363" s="8" t="s">
        <v>22</v>
      </c>
      <c r="M363" s="9"/>
      <c r="N363" s="5"/>
      <c r="O363" s="5"/>
    </row>
    <row r="364" ht="22.5" customHeight="1">
      <c r="A364" s="5"/>
      <c r="B364" s="5"/>
      <c r="C364" s="5"/>
      <c r="D364" s="9"/>
      <c r="E364" s="9"/>
      <c r="F364" s="5" t="s">
        <v>18</v>
      </c>
      <c r="G364" s="9"/>
      <c r="H364" s="5" t="s">
        <v>20</v>
      </c>
      <c r="I364" s="9"/>
      <c r="J364" s="8" t="s">
        <v>21</v>
      </c>
      <c r="K364" s="9"/>
      <c r="L364" s="8" t="s">
        <v>22</v>
      </c>
      <c r="M364" s="9"/>
      <c r="N364" s="5"/>
      <c r="O364" s="5"/>
    </row>
    <row r="365" ht="22.5" customHeight="1">
      <c r="A365" s="5"/>
      <c r="B365" s="5"/>
      <c r="C365" s="5"/>
      <c r="D365" s="9"/>
      <c r="E365" s="9"/>
      <c r="F365" s="5" t="s">
        <v>18</v>
      </c>
      <c r="G365" s="9"/>
      <c r="H365" s="5" t="s">
        <v>20</v>
      </c>
      <c r="I365" s="9"/>
      <c r="J365" s="8" t="s">
        <v>21</v>
      </c>
      <c r="K365" s="9"/>
      <c r="L365" s="8" t="s">
        <v>22</v>
      </c>
      <c r="M365" s="9"/>
      <c r="N365" s="5"/>
      <c r="O365" s="5"/>
    </row>
    <row r="366" ht="22.5" customHeight="1">
      <c r="A366" s="5"/>
      <c r="B366" s="5"/>
      <c r="C366" s="5"/>
      <c r="D366" s="9"/>
      <c r="E366" s="9"/>
      <c r="F366" s="5" t="s">
        <v>18</v>
      </c>
      <c r="G366" s="9"/>
      <c r="H366" s="5" t="s">
        <v>20</v>
      </c>
      <c r="I366" s="9"/>
      <c r="J366" s="8" t="s">
        <v>21</v>
      </c>
      <c r="K366" s="9"/>
      <c r="L366" s="8" t="s">
        <v>22</v>
      </c>
      <c r="M366" s="9"/>
      <c r="N366" s="5"/>
      <c r="O366" s="5"/>
    </row>
    <row r="367" ht="22.5" customHeight="1">
      <c r="A367" s="5"/>
      <c r="B367" s="5"/>
      <c r="C367" s="5"/>
      <c r="D367" s="9"/>
      <c r="E367" s="9"/>
      <c r="F367" s="5" t="s">
        <v>18</v>
      </c>
      <c r="G367" s="9"/>
      <c r="H367" s="5" t="s">
        <v>20</v>
      </c>
      <c r="I367" s="9"/>
      <c r="J367" s="8" t="s">
        <v>21</v>
      </c>
      <c r="K367" s="9"/>
      <c r="L367" s="8" t="s">
        <v>22</v>
      </c>
      <c r="M367" s="9"/>
      <c r="N367" s="5"/>
      <c r="O367" s="5"/>
    </row>
    <row r="368" ht="22.5" customHeight="1">
      <c r="A368" s="5"/>
      <c r="B368" s="5"/>
      <c r="C368" s="5"/>
      <c r="D368" s="9"/>
      <c r="E368" s="9"/>
      <c r="F368" s="5" t="s">
        <v>18</v>
      </c>
      <c r="G368" s="9"/>
      <c r="H368" s="5" t="s">
        <v>20</v>
      </c>
      <c r="I368" s="9"/>
      <c r="J368" s="8" t="s">
        <v>21</v>
      </c>
      <c r="K368" s="9"/>
      <c r="L368" s="8" t="s">
        <v>22</v>
      </c>
      <c r="M368" s="9"/>
      <c r="N368" s="5"/>
      <c r="O368" s="5"/>
    </row>
    <row r="369" ht="22.5" customHeight="1">
      <c r="A369" s="5"/>
      <c r="B369" s="5"/>
      <c r="C369" s="5"/>
      <c r="D369" s="9"/>
      <c r="E369" s="9"/>
      <c r="F369" s="5" t="s">
        <v>18</v>
      </c>
      <c r="G369" s="9"/>
      <c r="H369" s="5" t="s">
        <v>20</v>
      </c>
      <c r="I369" s="9"/>
      <c r="J369" s="8" t="s">
        <v>21</v>
      </c>
      <c r="K369" s="9"/>
      <c r="L369" s="8" t="s">
        <v>22</v>
      </c>
      <c r="M369" s="9"/>
      <c r="N369" s="5"/>
      <c r="O369" s="5"/>
    </row>
    <row r="370" ht="22.5" customHeight="1">
      <c r="A370" s="5"/>
      <c r="B370" s="5"/>
      <c r="C370" s="5"/>
      <c r="D370" s="9"/>
      <c r="E370" s="9"/>
      <c r="F370" s="5" t="s">
        <v>18</v>
      </c>
      <c r="G370" s="9"/>
      <c r="H370" s="5" t="s">
        <v>20</v>
      </c>
      <c r="I370" s="9"/>
      <c r="J370" s="8" t="s">
        <v>21</v>
      </c>
      <c r="K370" s="9"/>
      <c r="L370" s="8" t="s">
        <v>22</v>
      </c>
      <c r="M370" s="9"/>
      <c r="N370" s="5"/>
      <c r="O370" s="5"/>
    </row>
    <row r="371" ht="22.5" customHeight="1">
      <c r="A371" s="5"/>
      <c r="B371" s="5"/>
      <c r="C371" s="5"/>
      <c r="D371" s="9"/>
      <c r="E371" s="9"/>
      <c r="F371" s="5" t="s">
        <v>18</v>
      </c>
      <c r="G371" s="9"/>
      <c r="H371" s="5" t="s">
        <v>20</v>
      </c>
      <c r="I371" s="9"/>
      <c r="J371" s="8" t="s">
        <v>21</v>
      </c>
      <c r="K371" s="9"/>
      <c r="L371" s="8" t="s">
        <v>22</v>
      </c>
      <c r="M371" s="9"/>
      <c r="N371" s="5"/>
      <c r="O371" s="5"/>
    </row>
    <row r="372" ht="22.5" customHeight="1">
      <c r="A372" s="5"/>
      <c r="B372" s="5"/>
      <c r="C372" s="5"/>
      <c r="D372" s="9"/>
      <c r="E372" s="9"/>
      <c r="F372" s="5" t="s">
        <v>18</v>
      </c>
      <c r="G372" s="9"/>
      <c r="H372" s="5" t="s">
        <v>20</v>
      </c>
      <c r="I372" s="9"/>
      <c r="J372" s="8" t="s">
        <v>21</v>
      </c>
      <c r="K372" s="9"/>
      <c r="L372" s="8" t="s">
        <v>22</v>
      </c>
      <c r="M372" s="9"/>
      <c r="N372" s="5"/>
      <c r="O372" s="5"/>
    </row>
    <row r="373" ht="22.5" customHeight="1">
      <c r="A373" s="5"/>
      <c r="B373" s="5"/>
      <c r="C373" s="5"/>
      <c r="D373" s="9"/>
      <c r="E373" s="9"/>
      <c r="F373" s="5" t="s">
        <v>18</v>
      </c>
      <c r="G373" s="9"/>
      <c r="H373" s="5" t="s">
        <v>20</v>
      </c>
      <c r="I373" s="9"/>
      <c r="J373" s="8" t="s">
        <v>21</v>
      </c>
      <c r="K373" s="9"/>
      <c r="L373" s="8" t="s">
        <v>22</v>
      </c>
      <c r="M373" s="9"/>
      <c r="N373" s="5"/>
      <c r="O373" s="5"/>
    </row>
    <row r="374" ht="22.5" customHeight="1">
      <c r="A374" s="5"/>
      <c r="B374" s="5"/>
      <c r="C374" s="5"/>
      <c r="D374" s="9"/>
      <c r="E374" s="9"/>
      <c r="F374" s="5" t="s">
        <v>18</v>
      </c>
      <c r="G374" s="9"/>
      <c r="H374" s="5" t="s">
        <v>20</v>
      </c>
      <c r="I374" s="9"/>
      <c r="J374" s="8" t="s">
        <v>21</v>
      </c>
      <c r="K374" s="9"/>
      <c r="L374" s="8" t="s">
        <v>22</v>
      </c>
      <c r="M374" s="9"/>
      <c r="N374" s="5"/>
      <c r="O374" s="5"/>
    </row>
    <row r="375" ht="22.5" customHeight="1">
      <c r="A375" s="5"/>
      <c r="B375" s="5"/>
      <c r="C375" s="5"/>
      <c r="D375" s="9"/>
      <c r="E375" s="9"/>
      <c r="F375" s="5" t="s">
        <v>18</v>
      </c>
      <c r="G375" s="9"/>
      <c r="H375" s="5" t="s">
        <v>20</v>
      </c>
      <c r="I375" s="9"/>
      <c r="J375" s="8" t="s">
        <v>21</v>
      </c>
      <c r="K375" s="9"/>
      <c r="L375" s="8" t="s">
        <v>22</v>
      </c>
      <c r="M375" s="9"/>
      <c r="N375" s="5"/>
      <c r="O375" s="5"/>
    </row>
    <row r="376" ht="22.5" customHeight="1">
      <c r="A376" s="5"/>
      <c r="B376" s="5"/>
      <c r="C376" s="5"/>
      <c r="D376" s="9"/>
      <c r="E376" s="9"/>
      <c r="F376" s="5" t="s">
        <v>18</v>
      </c>
      <c r="G376" s="9"/>
      <c r="H376" s="5" t="s">
        <v>20</v>
      </c>
      <c r="I376" s="9"/>
      <c r="J376" s="8" t="s">
        <v>21</v>
      </c>
      <c r="K376" s="9"/>
      <c r="L376" s="8" t="s">
        <v>22</v>
      </c>
      <c r="M376" s="9"/>
      <c r="N376" s="5"/>
      <c r="O376" s="5"/>
    </row>
    <row r="377" ht="22.5" customHeight="1">
      <c r="A377" s="5"/>
      <c r="B377" s="5"/>
      <c r="C377" s="5"/>
      <c r="D377" s="9"/>
      <c r="E377" s="9"/>
      <c r="F377" s="5" t="s">
        <v>18</v>
      </c>
      <c r="G377" s="9"/>
      <c r="H377" s="5" t="s">
        <v>20</v>
      </c>
      <c r="I377" s="9"/>
      <c r="J377" s="8" t="s">
        <v>21</v>
      </c>
      <c r="K377" s="9"/>
      <c r="L377" s="8" t="s">
        <v>22</v>
      </c>
      <c r="M377" s="9"/>
      <c r="N377" s="5"/>
      <c r="O377" s="5"/>
    </row>
    <row r="378" ht="22.5" customHeight="1">
      <c r="A378" s="5"/>
      <c r="B378" s="5"/>
      <c r="C378" s="5"/>
      <c r="D378" s="9"/>
      <c r="E378" s="9"/>
      <c r="F378" s="5" t="s">
        <v>18</v>
      </c>
      <c r="G378" s="9"/>
      <c r="H378" s="5" t="s">
        <v>20</v>
      </c>
      <c r="I378" s="9"/>
      <c r="J378" s="8" t="s">
        <v>21</v>
      </c>
      <c r="K378" s="9"/>
      <c r="L378" s="8" t="s">
        <v>22</v>
      </c>
      <c r="M378" s="9"/>
      <c r="N378" s="5"/>
      <c r="O378" s="5"/>
    </row>
    <row r="379" ht="22.5" customHeight="1">
      <c r="A379" s="5"/>
      <c r="B379" s="5"/>
      <c r="C379" s="5"/>
      <c r="D379" s="9"/>
      <c r="E379" s="9"/>
      <c r="F379" s="5" t="s">
        <v>18</v>
      </c>
      <c r="G379" s="9"/>
      <c r="H379" s="5" t="s">
        <v>20</v>
      </c>
      <c r="I379" s="9"/>
      <c r="J379" s="8" t="s">
        <v>21</v>
      </c>
      <c r="K379" s="9"/>
      <c r="L379" s="8" t="s">
        <v>22</v>
      </c>
      <c r="M379" s="9"/>
      <c r="N379" s="5"/>
      <c r="O379" s="5"/>
    </row>
    <row r="380" ht="22.5" customHeight="1">
      <c r="A380" s="5"/>
      <c r="B380" s="5"/>
      <c r="C380" s="5"/>
      <c r="D380" s="9"/>
      <c r="E380" s="9"/>
      <c r="F380" s="5" t="s">
        <v>18</v>
      </c>
      <c r="G380" s="9"/>
      <c r="H380" s="5" t="s">
        <v>20</v>
      </c>
      <c r="I380" s="9"/>
      <c r="J380" s="8" t="s">
        <v>21</v>
      </c>
      <c r="K380" s="9"/>
      <c r="L380" s="8" t="s">
        <v>22</v>
      </c>
      <c r="M380" s="9"/>
      <c r="N380" s="5"/>
      <c r="O380" s="5"/>
    </row>
    <row r="381" ht="22.5" customHeight="1">
      <c r="A381" s="5"/>
      <c r="B381" s="5"/>
      <c r="C381" s="5"/>
      <c r="D381" s="9"/>
      <c r="E381" s="9"/>
      <c r="F381" s="5" t="s">
        <v>18</v>
      </c>
      <c r="G381" s="9"/>
      <c r="H381" s="5" t="s">
        <v>20</v>
      </c>
      <c r="I381" s="9"/>
      <c r="J381" s="8" t="s">
        <v>21</v>
      </c>
      <c r="K381" s="9"/>
      <c r="L381" s="8" t="s">
        <v>22</v>
      </c>
      <c r="M381" s="9"/>
      <c r="N381" s="5"/>
      <c r="O381" s="5"/>
    </row>
    <row r="382" ht="22.5" customHeight="1">
      <c r="A382" s="5"/>
      <c r="B382" s="5"/>
      <c r="C382" s="5"/>
      <c r="D382" s="9"/>
      <c r="E382" s="9"/>
      <c r="F382" s="5" t="s">
        <v>18</v>
      </c>
      <c r="G382" s="9"/>
      <c r="H382" s="5" t="s">
        <v>20</v>
      </c>
      <c r="I382" s="9"/>
      <c r="J382" s="8" t="s">
        <v>21</v>
      </c>
      <c r="K382" s="9"/>
      <c r="L382" s="8" t="s">
        <v>22</v>
      </c>
      <c r="M382" s="9"/>
      <c r="N382" s="5"/>
      <c r="O382" s="5"/>
    </row>
    <row r="383" ht="22.5" customHeight="1">
      <c r="A383" s="5"/>
      <c r="B383" s="5"/>
      <c r="C383" s="5"/>
      <c r="D383" s="9"/>
      <c r="E383" s="9"/>
      <c r="F383" s="5" t="s">
        <v>18</v>
      </c>
      <c r="G383" s="9"/>
      <c r="H383" s="5" t="s">
        <v>20</v>
      </c>
      <c r="I383" s="9"/>
      <c r="J383" s="8" t="s">
        <v>21</v>
      </c>
      <c r="K383" s="9"/>
      <c r="L383" s="8" t="s">
        <v>22</v>
      </c>
      <c r="M383" s="9"/>
      <c r="N383" s="5"/>
      <c r="O383" s="5"/>
    </row>
    <row r="384" ht="22.5" customHeight="1">
      <c r="A384" s="5"/>
      <c r="B384" s="5"/>
      <c r="C384" s="5"/>
      <c r="D384" s="9"/>
      <c r="E384" s="9"/>
      <c r="F384" s="5" t="s">
        <v>18</v>
      </c>
      <c r="G384" s="9"/>
      <c r="H384" s="5" t="s">
        <v>20</v>
      </c>
      <c r="I384" s="9"/>
      <c r="J384" s="8" t="s">
        <v>21</v>
      </c>
      <c r="K384" s="9"/>
      <c r="L384" s="8" t="s">
        <v>22</v>
      </c>
      <c r="M384" s="9"/>
      <c r="N384" s="5"/>
      <c r="O384" s="5"/>
    </row>
    <row r="385" ht="22.5" customHeight="1">
      <c r="A385" s="5"/>
      <c r="B385" s="5"/>
      <c r="C385" s="5"/>
      <c r="D385" s="9"/>
      <c r="E385" s="9"/>
      <c r="F385" s="5" t="s">
        <v>18</v>
      </c>
      <c r="G385" s="9"/>
      <c r="H385" s="5" t="s">
        <v>20</v>
      </c>
      <c r="I385" s="9"/>
      <c r="J385" s="8" t="s">
        <v>21</v>
      </c>
      <c r="K385" s="9"/>
      <c r="L385" s="8" t="s">
        <v>22</v>
      </c>
      <c r="M385" s="9"/>
      <c r="N385" s="5"/>
      <c r="O385" s="5"/>
    </row>
    <row r="386" ht="22.5" customHeight="1">
      <c r="A386" s="5"/>
      <c r="B386" s="5"/>
      <c r="C386" s="5"/>
      <c r="D386" s="9"/>
      <c r="E386" s="9"/>
      <c r="F386" s="5" t="s">
        <v>18</v>
      </c>
      <c r="G386" s="9"/>
      <c r="H386" s="5" t="s">
        <v>20</v>
      </c>
      <c r="I386" s="9"/>
      <c r="J386" s="8" t="s">
        <v>21</v>
      </c>
      <c r="K386" s="9"/>
      <c r="L386" s="8" t="s">
        <v>22</v>
      </c>
      <c r="M386" s="9"/>
      <c r="N386" s="5"/>
      <c r="O386" s="5"/>
    </row>
    <row r="387" ht="22.5" customHeight="1">
      <c r="A387" s="5"/>
      <c r="B387" s="5"/>
      <c r="C387" s="5"/>
      <c r="D387" s="9"/>
      <c r="E387" s="9"/>
      <c r="F387" s="5" t="s">
        <v>18</v>
      </c>
      <c r="G387" s="9"/>
      <c r="H387" s="5" t="s">
        <v>20</v>
      </c>
      <c r="I387" s="9"/>
      <c r="J387" s="8" t="s">
        <v>21</v>
      </c>
      <c r="K387" s="9"/>
      <c r="L387" s="8" t="s">
        <v>22</v>
      </c>
      <c r="M387" s="9"/>
      <c r="N387" s="5"/>
      <c r="O387" s="5"/>
    </row>
    <row r="388" ht="22.5" customHeight="1">
      <c r="A388" s="5"/>
      <c r="B388" s="5"/>
      <c r="C388" s="5"/>
      <c r="D388" s="9"/>
      <c r="E388" s="9"/>
      <c r="F388" s="5" t="s">
        <v>18</v>
      </c>
      <c r="G388" s="9"/>
      <c r="H388" s="5" t="s">
        <v>20</v>
      </c>
      <c r="I388" s="9"/>
      <c r="J388" s="8" t="s">
        <v>21</v>
      </c>
      <c r="K388" s="9"/>
      <c r="L388" s="8" t="s">
        <v>22</v>
      </c>
      <c r="M388" s="9"/>
      <c r="N388" s="5"/>
      <c r="O388" s="5"/>
    </row>
    <row r="389" ht="22.5" customHeight="1">
      <c r="A389" s="5"/>
      <c r="B389" s="5"/>
      <c r="C389" s="5"/>
      <c r="D389" s="9"/>
      <c r="E389" s="9"/>
      <c r="F389" s="5" t="s">
        <v>18</v>
      </c>
      <c r="G389" s="9"/>
      <c r="H389" s="5" t="s">
        <v>20</v>
      </c>
      <c r="I389" s="9"/>
      <c r="J389" s="8" t="s">
        <v>21</v>
      </c>
      <c r="K389" s="9"/>
      <c r="L389" s="8" t="s">
        <v>22</v>
      </c>
      <c r="M389" s="9"/>
      <c r="N389" s="5"/>
      <c r="O389" s="5"/>
    </row>
    <row r="390" ht="22.5" customHeight="1">
      <c r="A390" s="5"/>
      <c r="B390" s="5"/>
      <c r="C390" s="5"/>
      <c r="D390" s="9"/>
      <c r="E390" s="9"/>
      <c r="F390" s="5" t="s">
        <v>18</v>
      </c>
      <c r="G390" s="9"/>
      <c r="H390" s="5" t="s">
        <v>20</v>
      </c>
      <c r="I390" s="9"/>
      <c r="J390" s="8" t="s">
        <v>21</v>
      </c>
      <c r="K390" s="9"/>
      <c r="L390" s="8" t="s">
        <v>22</v>
      </c>
      <c r="M390" s="9"/>
      <c r="N390" s="5"/>
      <c r="O390" s="5"/>
    </row>
    <row r="391" ht="22.5" customHeight="1">
      <c r="A391" s="5"/>
      <c r="B391" s="5"/>
      <c r="C391" s="5"/>
      <c r="D391" s="9"/>
      <c r="E391" s="9"/>
      <c r="F391" s="5" t="s">
        <v>18</v>
      </c>
      <c r="G391" s="9"/>
      <c r="H391" s="5" t="s">
        <v>20</v>
      </c>
      <c r="I391" s="9"/>
      <c r="J391" s="8" t="s">
        <v>21</v>
      </c>
      <c r="K391" s="9"/>
      <c r="L391" s="8" t="s">
        <v>22</v>
      </c>
      <c r="M391" s="9"/>
      <c r="N391" s="5"/>
      <c r="O391" s="5"/>
    </row>
    <row r="392" ht="22.5" customHeight="1">
      <c r="A392" s="5"/>
      <c r="B392" s="5"/>
      <c r="C392" s="5"/>
      <c r="D392" s="9"/>
      <c r="E392" s="9"/>
      <c r="F392" s="5" t="s">
        <v>18</v>
      </c>
      <c r="G392" s="9"/>
      <c r="H392" s="5" t="s">
        <v>20</v>
      </c>
      <c r="I392" s="9"/>
      <c r="J392" s="8" t="s">
        <v>21</v>
      </c>
      <c r="K392" s="9"/>
      <c r="L392" s="8" t="s">
        <v>22</v>
      </c>
      <c r="M392" s="9"/>
      <c r="N392" s="5"/>
      <c r="O392" s="5"/>
    </row>
    <row r="393" ht="22.5" customHeight="1">
      <c r="A393" s="5"/>
      <c r="B393" s="5"/>
      <c r="C393" s="5"/>
      <c r="D393" s="9"/>
      <c r="E393" s="9"/>
      <c r="F393" s="5" t="s">
        <v>18</v>
      </c>
      <c r="G393" s="9"/>
      <c r="H393" s="5" t="s">
        <v>20</v>
      </c>
      <c r="I393" s="9"/>
      <c r="J393" s="8" t="s">
        <v>21</v>
      </c>
      <c r="K393" s="9"/>
      <c r="L393" s="8" t="s">
        <v>22</v>
      </c>
      <c r="M393" s="9"/>
      <c r="N393" s="5"/>
      <c r="O393" s="5"/>
    </row>
    <row r="394" ht="22.5" customHeight="1">
      <c r="A394" s="5"/>
      <c r="B394" s="5"/>
      <c r="C394" s="5"/>
      <c r="D394" s="9"/>
      <c r="E394" s="9"/>
      <c r="F394" s="5" t="s">
        <v>18</v>
      </c>
      <c r="G394" s="9"/>
      <c r="H394" s="5" t="s">
        <v>20</v>
      </c>
      <c r="I394" s="9"/>
      <c r="J394" s="8" t="s">
        <v>21</v>
      </c>
      <c r="K394" s="9"/>
      <c r="L394" s="8" t="s">
        <v>22</v>
      </c>
      <c r="M394" s="9"/>
      <c r="N394" s="5"/>
      <c r="O394" s="5"/>
    </row>
    <row r="395" ht="22.5" customHeight="1">
      <c r="A395" s="5"/>
      <c r="B395" s="5"/>
      <c r="C395" s="5"/>
      <c r="D395" s="9"/>
      <c r="E395" s="9"/>
      <c r="F395" s="5" t="s">
        <v>18</v>
      </c>
      <c r="G395" s="9"/>
      <c r="H395" s="5" t="s">
        <v>20</v>
      </c>
      <c r="I395" s="9"/>
      <c r="J395" s="8" t="s">
        <v>21</v>
      </c>
      <c r="K395" s="9"/>
      <c r="L395" s="8" t="s">
        <v>22</v>
      </c>
      <c r="M395" s="9"/>
      <c r="N395" s="5"/>
      <c r="O395" s="5"/>
    </row>
    <row r="396" ht="22.5" customHeight="1">
      <c r="A396" s="5"/>
      <c r="B396" s="5"/>
      <c r="C396" s="5"/>
      <c r="D396" s="9"/>
      <c r="E396" s="9"/>
      <c r="F396" s="5" t="s">
        <v>18</v>
      </c>
      <c r="G396" s="9"/>
      <c r="H396" s="5" t="s">
        <v>20</v>
      </c>
      <c r="I396" s="9"/>
      <c r="J396" s="8" t="s">
        <v>21</v>
      </c>
      <c r="K396" s="9"/>
      <c r="L396" s="8" t="s">
        <v>22</v>
      </c>
      <c r="M396" s="9"/>
      <c r="N396" s="5"/>
      <c r="O396" s="5"/>
    </row>
    <row r="397" ht="22.5" customHeight="1">
      <c r="A397" s="5"/>
      <c r="B397" s="5"/>
      <c r="C397" s="5"/>
      <c r="D397" s="9"/>
      <c r="E397" s="9"/>
      <c r="F397" s="5" t="s">
        <v>18</v>
      </c>
      <c r="G397" s="9"/>
      <c r="H397" s="5" t="s">
        <v>20</v>
      </c>
      <c r="I397" s="9"/>
      <c r="J397" s="8" t="s">
        <v>21</v>
      </c>
      <c r="K397" s="9"/>
      <c r="L397" s="8" t="s">
        <v>22</v>
      </c>
      <c r="M397" s="9"/>
      <c r="N397" s="5"/>
      <c r="O397" s="5"/>
    </row>
    <row r="398" ht="22.5" customHeight="1">
      <c r="A398" s="5"/>
      <c r="B398" s="5"/>
      <c r="C398" s="5"/>
      <c r="D398" s="9"/>
      <c r="E398" s="9"/>
      <c r="F398" s="5" t="s">
        <v>18</v>
      </c>
      <c r="G398" s="9"/>
      <c r="H398" s="5" t="s">
        <v>20</v>
      </c>
      <c r="I398" s="9"/>
      <c r="J398" s="8" t="s">
        <v>21</v>
      </c>
      <c r="K398" s="9"/>
      <c r="L398" s="8" t="s">
        <v>22</v>
      </c>
      <c r="M398" s="9"/>
      <c r="N398" s="5"/>
      <c r="O398" s="5"/>
    </row>
    <row r="399" ht="22.5" customHeight="1">
      <c r="A399" s="5"/>
      <c r="B399" s="5"/>
      <c r="C399" s="5"/>
      <c r="D399" s="9"/>
      <c r="E399" s="9"/>
      <c r="F399" s="5" t="s">
        <v>18</v>
      </c>
      <c r="G399" s="9"/>
      <c r="H399" s="5" t="s">
        <v>20</v>
      </c>
      <c r="I399" s="9"/>
      <c r="J399" s="8" t="s">
        <v>21</v>
      </c>
      <c r="K399" s="9"/>
      <c r="L399" s="8" t="s">
        <v>22</v>
      </c>
      <c r="M399" s="9"/>
      <c r="N399" s="5"/>
      <c r="O399" s="5"/>
    </row>
    <row r="400" ht="22.5" customHeight="1">
      <c r="A400" s="5"/>
      <c r="B400" s="5"/>
      <c r="C400" s="5"/>
      <c r="D400" s="9"/>
      <c r="E400" s="9"/>
      <c r="F400" s="5" t="s">
        <v>18</v>
      </c>
      <c r="G400" s="9"/>
      <c r="H400" s="5" t="s">
        <v>20</v>
      </c>
      <c r="I400" s="9"/>
      <c r="J400" s="8" t="s">
        <v>21</v>
      </c>
      <c r="K400" s="9"/>
      <c r="L400" s="8" t="s">
        <v>22</v>
      </c>
      <c r="M400" s="9"/>
      <c r="N400" s="5"/>
      <c r="O400" s="5"/>
    </row>
    <row r="401" ht="22.5" customHeight="1">
      <c r="A401" s="5"/>
      <c r="B401" s="5"/>
      <c r="C401" s="5"/>
      <c r="D401" s="9"/>
      <c r="E401" s="9"/>
      <c r="F401" s="5" t="s">
        <v>18</v>
      </c>
      <c r="G401" s="9"/>
      <c r="H401" s="5" t="s">
        <v>20</v>
      </c>
      <c r="I401" s="9"/>
      <c r="J401" s="8" t="s">
        <v>21</v>
      </c>
      <c r="K401" s="9"/>
      <c r="L401" s="8" t="s">
        <v>22</v>
      </c>
      <c r="M401" s="9"/>
      <c r="N401" s="5"/>
      <c r="O401" s="5"/>
    </row>
    <row r="402" ht="22.5" customHeight="1">
      <c r="A402" s="5"/>
      <c r="B402" s="5"/>
      <c r="C402" s="5"/>
      <c r="D402" s="9"/>
      <c r="E402" s="9"/>
      <c r="F402" s="5" t="s">
        <v>18</v>
      </c>
      <c r="G402" s="9"/>
      <c r="H402" s="5" t="s">
        <v>20</v>
      </c>
      <c r="I402" s="9"/>
      <c r="J402" s="8" t="s">
        <v>21</v>
      </c>
      <c r="K402" s="9"/>
      <c r="L402" s="8" t="s">
        <v>22</v>
      </c>
      <c r="M402" s="9"/>
      <c r="N402" s="5"/>
      <c r="O402" s="5"/>
    </row>
    <row r="403" ht="22.5" customHeight="1">
      <c r="A403" s="5"/>
      <c r="B403" s="5"/>
      <c r="C403" s="5"/>
      <c r="D403" s="9"/>
      <c r="E403" s="9"/>
      <c r="F403" s="5" t="s">
        <v>18</v>
      </c>
      <c r="G403" s="9"/>
      <c r="H403" s="5" t="s">
        <v>20</v>
      </c>
      <c r="I403" s="9"/>
      <c r="J403" s="8" t="s">
        <v>21</v>
      </c>
      <c r="K403" s="9"/>
      <c r="L403" s="8" t="s">
        <v>22</v>
      </c>
      <c r="M403" s="9"/>
      <c r="N403" s="5"/>
      <c r="O403" s="5"/>
    </row>
    <row r="404" ht="22.5" customHeight="1">
      <c r="A404" s="5"/>
      <c r="B404" s="5"/>
      <c r="C404" s="5"/>
      <c r="D404" s="9"/>
      <c r="E404" s="9"/>
      <c r="F404" s="5" t="s">
        <v>18</v>
      </c>
      <c r="G404" s="9"/>
      <c r="H404" s="5" t="s">
        <v>20</v>
      </c>
      <c r="I404" s="9"/>
      <c r="J404" s="8" t="s">
        <v>21</v>
      </c>
      <c r="K404" s="9"/>
      <c r="L404" s="8" t="s">
        <v>22</v>
      </c>
      <c r="M404" s="9"/>
      <c r="N404" s="5"/>
      <c r="O404" s="5"/>
    </row>
    <row r="405" ht="22.5" customHeight="1">
      <c r="A405" s="5"/>
      <c r="B405" s="5"/>
      <c r="C405" s="5"/>
      <c r="D405" s="9"/>
      <c r="E405" s="9"/>
      <c r="F405" s="5" t="s">
        <v>18</v>
      </c>
      <c r="G405" s="9"/>
      <c r="H405" s="5" t="s">
        <v>20</v>
      </c>
      <c r="I405" s="9"/>
      <c r="J405" s="8" t="s">
        <v>21</v>
      </c>
      <c r="K405" s="9"/>
      <c r="L405" s="8" t="s">
        <v>22</v>
      </c>
      <c r="M405" s="9"/>
      <c r="N405" s="5"/>
      <c r="O405" s="5"/>
    </row>
    <row r="406" ht="22.5" customHeight="1">
      <c r="A406" s="5"/>
      <c r="B406" s="5"/>
      <c r="C406" s="5"/>
      <c r="D406" s="9"/>
      <c r="E406" s="9"/>
      <c r="F406" s="5" t="s">
        <v>18</v>
      </c>
      <c r="G406" s="9"/>
      <c r="H406" s="5" t="s">
        <v>20</v>
      </c>
      <c r="I406" s="9"/>
      <c r="J406" s="8" t="s">
        <v>21</v>
      </c>
      <c r="K406" s="9"/>
      <c r="L406" s="8" t="s">
        <v>22</v>
      </c>
      <c r="M406" s="9"/>
      <c r="N406" s="5"/>
      <c r="O406" s="5"/>
    </row>
    <row r="407" ht="22.5" customHeight="1">
      <c r="A407" s="5"/>
      <c r="B407" s="5"/>
      <c r="C407" s="5"/>
      <c r="D407" s="9"/>
      <c r="E407" s="9"/>
      <c r="F407" s="5" t="s">
        <v>18</v>
      </c>
      <c r="G407" s="9"/>
      <c r="H407" s="5" t="s">
        <v>20</v>
      </c>
      <c r="I407" s="9"/>
      <c r="J407" s="8" t="s">
        <v>21</v>
      </c>
      <c r="K407" s="9"/>
      <c r="L407" s="8" t="s">
        <v>22</v>
      </c>
      <c r="M407" s="9"/>
      <c r="N407" s="5"/>
      <c r="O407" s="5"/>
    </row>
    <row r="408" ht="22.5" customHeight="1">
      <c r="A408" s="5"/>
      <c r="B408" s="5"/>
      <c r="C408" s="5"/>
      <c r="D408" s="9"/>
      <c r="E408" s="9"/>
      <c r="F408" s="5" t="s">
        <v>18</v>
      </c>
      <c r="G408" s="9"/>
      <c r="H408" s="5" t="s">
        <v>20</v>
      </c>
      <c r="I408" s="9"/>
      <c r="J408" s="8" t="s">
        <v>21</v>
      </c>
      <c r="K408" s="9"/>
      <c r="L408" s="8" t="s">
        <v>22</v>
      </c>
      <c r="M408" s="9"/>
      <c r="N408" s="5"/>
      <c r="O408" s="5"/>
    </row>
    <row r="409" ht="22.5" customHeight="1">
      <c r="A409" s="5"/>
      <c r="B409" s="5"/>
      <c r="C409" s="5"/>
      <c r="D409" s="9"/>
      <c r="E409" s="9"/>
      <c r="F409" s="5" t="s">
        <v>18</v>
      </c>
      <c r="G409" s="9"/>
      <c r="H409" s="5" t="s">
        <v>20</v>
      </c>
      <c r="I409" s="9"/>
      <c r="J409" s="8" t="s">
        <v>21</v>
      </c>
      <c r="K409" s="9"/>
      <c r="L409" s="8" t="s">
        <v>22</v>
      </c>
      <c r="M409" s="9"/>
      <c r="N409" s="5"/>
      <c r="O409" s="5"/>
    </row>
    <row r="410" ht="22.5" customHeight="1">
      <c r="A410" s="5"/>
      <c r="B410" s="5"/>
      <c r="C410" s="5"/>
      <c r="D410" s="9"/>
      <c r="E410" s="9"/>
      <c r="F410" s="5" t="s">
        <v>18</v>
      </c>
      <c r="G410" s="9"/>
      <c r="H410" s="5" t="s">
        <v>20</v>
      </c>
      <c r="I410" s="9"/>
      <c r="J410" s="8" t="s">
        <v>21</v>
      </c>
      <c r="K410" s="9"/>
      <c r="L410" s="8" t="s">
        <v>22</v>
      </c>
      <c r="M410" s="9"/>
      <c r="N410" s="5"/>
      <c r="O410" s="5"/>
    </row>
    <row r="411" ht="22.5" customHeight="1">
      <c r="A411" s="5"/>
      <c r="B411" s="5"/>
      <c r="C411" s="5"/>
      <c r="D411" s="9"/>
      <c r="E411" s="9"/>
      <c r="F411" s="5" t="s">
        <v>18</v>
      </c>
      <c r="G411" s="9"/>
      <c r="H411" s="5" t="s">
        <v>20</v>
      </c>
      <c r="I411" s="9"/>
      <c r="J411" s="8" t="s">
        <v>21</v>
      </c>
      <c r="K411" s="9"/>
      <c r="L411" s="8" t="s">
        <v>22</v>
      </c>
      <c r="M411" s="9"/>
      <c r="N411" s="5"/>
      <c r="O411" s="5"/>
    </row>
    <row r="412" ht="22.5" customHeight="1">
      <c r="A412" s="5"/>
      <c r="B412" s="5"/>
      <c r="C412" s="5"/>
      <c r="D412" s="9"/>
      <c r="E412" s="9"/>
      <c r="F412" s="5" t="s">
        <v>18</v>
      </c>
      <c r="G412" s="9"/>
      <c r="H412" s="5" t="s">
        <v>20</v>
      </c>
      <c r="I412" s="9"/>
      <c r="J412" s="8" t="s">
        <v>21</v>
      </c>
      <c r="K412" s="9"/>
      <c r="L412" s="8" t="s">
        <v>22</v>
      </c>
      <c r="M412" s="9"/>
      <c r="N412" s="5"/>
      <c r="O412" s="5"/>
    </row>
    <row r="413" ht="22.5" customHeight="1">
      <c r="A413" s="5"/>
      <c r="B413" s="5"/>
      <c r="C413" s="5"/>
      <c r="D413" s="9"/>
      <c r="E413" s="9"/>
      <c r="F413" s="5" t="s">
        <v>18</v>
      </c>
      <c r="G413" s="9"/>
      <c r="H413" s="5" t="s">
        <v>20</v>
      </c>
      <c r="I413" s="9"/>
      <c r="J413" s="8" t="s">
        <v>21</v>
      </c>
      <c r="K413" s="9"/>
      <c r="L413" s="8" t="s">
        <v>22</v>
      </c>
      <c r="M413" s="9"/>
      <c r="N413" s="5"/>
      <c r="O413" s="5"/>
    </row>
    <row r="414" ht="22.5" customHeight="1">
      <c r="A414" s="5"/>
      <c r="B414" s="5"/>
      <c r="C414" s="5"/>
      <c r="D414" s="9"/>
      <c r="E414" s="9"/>
      <c r="F414" s="5" t="s">
        <v>18</v>
      </c>
      <c r="G414" s="9"/>
      <c r="H414" s="5" t="s">
        <v>20</v>
      </c>
      <c r="I414" s="9"/>
      <c r="J414" s="8" t="s">
        <v>21</v>
      </c>
      <c r="K414" s="9"/>
      <c r="L414" s="8" t="s">
        <v>22</v>
      </c>
      <c r="M414" s="9"/>
      <c r="N414" s="5"/>
      <c r="O414" s="5"/>
    </row>
    <row r="415" ht="22.5" customHeight="1">
      <c r="A415" s="5"/>
      <c r="B415" s="5"/>
      <c r="C415" s="5"/>
      <c r="D415" s="9"/>
      <c r="E415" s="9"/>
      <c r="F415" s="5" t="s">
        <v>18</v>
      </c>
      <c r="G415" s="9"/>
      <c r="H415" s="5" t="s">
        <v>20</v>
      </c>
      <c r="I415" s="9"/>
      <c r="J415" s="8" t="s">
        <v>21</v>
      </c>
      <c r="K415" s="9"/>
      <c r="L415" s="8" t="s">
        <v>22</v>
      </c>
      <c r="M415" s="9"/>
      <c r="N415" s="5"/>
      <c r="O415" s="5"/>
    </row>
    <row r="416" ht="22.5" customHeight="1">
      <c r="A416" s="5"/>
      <c r="B416" s="5"/>
      <c r="C416" s="5"/>
      <c r="D416" s="9"/>
      <c r="E416" s="9"/>
      <c r="F416" s="5" t="s">
        <v>18</v>
      </c>
      <c r="G416" s="9"/>
      <c r="H416" s="5" t="s">
        <v>20</v>
      </c>
      <c r="I416" s="9"/>
      <c r="J416" s="8" t="s">
        <v>21</v>
      </c>
      <c r="K416" s="9"/>
      <c r="L416" s="8" t="s">
        <v>22</v>
      </c>
      <c r="M416" s="9"/>
      <c r="N416" s="5"/>
      <c r="O416" s="5"/>
    </row>
    <row r="417" ht="22.5" customHeight="1">
      <c r="A417" s="5"/>
      <c r="B417" s="5"/>
      <c r="C417" s="5"/>
      <c r="D417" s="9"/>
      <c r="E417" s="9"/>
      <c r="F417" s="5" t="s">
        <v>18</v>
      </c>
      <c r="G417" s="9"/>
      <c r="H417" s="5" t="s">
        <v>20</v>
      </c>
      <c r="I417" s="9"/>
      <c r="J417" s="8" t="s">
        <v>21</v>
      </c>
      <c r="K417" s="9"/>
      <c r="L417" s="8" t="s">
        <v>22</v>
      </c>
      <c r="M417" s="9"/>
      <c r="N417" s="5"/>
      <c r="O417" s="5"/>
    </row>
    <row r="418" ht="22.5" customHeight="1">
      <c r="A418" s="5"/>
      <c r="B418" s="5"/>
      <c r="C418" s="5"/>
      <c r="D418" s="9"/>
      <c r="E418" s="9"/>
      <c r="F418" s="5" t="s">
        <v>18</v>
      </c>
      <c r="G418" s="9"/>
      <c r="H418" s="5" t="s">
        <v>20</v>
      </c>
      <c r="I418" s="9"/>
      <c r="J418" s="8" t="s">
        <v>21</v>
      </c>
      <c r="K418" s="9"/>
      <c r="L418" s="8" t="s">
        <v>22</v>
      </c>
      <c r="M418" s="9"/>
      <c r="N418" s="5"/>
      <c r="O418" s="5"/>
    </row>
    <row r="419" ht="22.5" customHeight="1">
      <c r="A419" s="5"/>
      <c r="B419" s="5"/>
      <c r="C419" s="5"/>
      <c r="D419" s="9"/>
      <c r="E419" s="9"/>
      <c r="F419" s="5" t="s">
        <v>18</v>
      </c>
      <c r="G419" s="9"/>
      <c r="H419" s="5" t="s">
        <v>20</v>
      </c>
      <c r="I419" s="9"/>
      <c r="J419" s="8" t="s">
        <v>21</v>
      </c>
      <c r="K419" s="9"/>
      <c r="L419" s="8" t="s">
        <v>22</v>
      </c>
      <c r="M419" s="9"/>
      <c r="N419" s="5"/>
      <c r="O419" s="5"/>
    </row>
    <row r="420" ht="22.5" customHeight="1">
      <c r="A420" s="5"/>
      <c r="B420" s="5"/>
      <c r="C420" s="5"/>
      <c r="D420" s="9"/>
      <c r="E420" s="9"/>
      <c r="F420" s="5" t="s">
        <v>18</v>
      </c>
      <c r="G420" s="9"/>
      <c r="H420" s="5" t="s">
        <v>20</v>
      </c>
      <c r="I420" s="9"/>
      <c r="J420" s="8" t="s">
        <v>21</v>
      </c>
      <c r="K420" s="9"/>
      <c r="L420" s="8" t="s">
        <v>22</v>
      </c>
      <c r="M420" s="9"/>
      <c r="N420" s="5"/>
      <c r="O420" s="5"/>
    </row>
    <row r="421" ht="22.5" customHeight="1">
      <c r="A421" s="5"/>
      <c r="B421" s="5"/>
      <c r="C421" s="5"/>
      <c r="D421" s="9"/>
      <c r="E421" s="9"/>
      <c r="F421" s="5" t="s">
        <v>18</v>
      </c>
      <c r="G421" s="9"/>
      <c r="H421" s="5" t="s">
        <v>20</v>
      </c>
      <c r="I421" s="9"/>
      <c r="J421" s="8" t="s">
        <v>21</v>
      </c>
      <c r="K421" s="9"/>
      <c r="L421" s="8" t="s">
        <v>22</v>
      </c>
      <c r="M421" s="9"/>
      <c r="N421" s="5"/>
      <c r="O421" s="5"/>
    </row>
    <row r="422" ht="22.5" customHeight="1">
      <c r="A422" s="5"/>
      <c r="B422" s="5"/>
      <c r="C422" s="5"/>
      <c r="D422" s="9"/>
      <c r="E422" s="9"/>
      <c r="F422" s="5" t="s">
        <v>18</v>
      </c>
      <c r="G422" s="9"/>
      <c r="H422" s="5" t="s">
        <v>20</v>
      </c>
      <c r="I422" s="9"/>
      <c r="J422" s="8" t="s">
        <v>21</v>
      </c>
      <c r="K422" s="9"/>
      <c r="L422" s="8" t="s">
        <v>22</v>
      </c>
      <c r="M422" s="9"/>
      <c r="N422" s="5"/>
      <c r="O422" s="5"/>
    </row>
    <row r="423" ht="22.5" customHeight="1">
      <c r="A423" s="5"/>
      <c r="B423" s="5"/>
      <c r="C423" s="5"/>
      <c r="D423" s="9"/>
      <c r="E423" s="9"/>
      <c r="F423" s="5" t="s">
        <v>18</v>
      </c>
      <c r="G423" s="9"/>
      <c r="H423" s="5" t="s">
        <v>20</v>
      </c>
      <c r="I423" s="9"/>
      <c r="J423" s="8" t="s">
        <v>21</v>
      </c>
      <c r="K423" s="9"/>
      <c r="L423" s="8" t="s">
        <v>22</v>
      </c>
      <c r="M423" s="9"/>
      <c r="N423" s="5"/>
      <c r="O423" s="5"/>
    </row>
    <row r="424" ht="22.5" customHeight="1">
      <c r="A424" s="5"/>
      <c r="B424" s="5"/>
      <c r="C424" s="5"/>
      <c r="D424" s="9"/>
      <c r="E424" s="9"/>
      <c r="F424" s="5" t="s">
        <v>18</v>
      </c>
      <c r="G424" s="9"/>
      <c r="H424" s="5" t="s">
        <v>20</v>
      </c>
      <c r="I424" s="9"/>
      <c r="J424" s="8" t="s">
        <v>21</v>
      </c>
      <c r="K424" s="9"/>
      <c r="L424" s="8" t="s">
        <v>22</v>
      </c>
      <c r="M424" s="9"/>
      <c r="N424" s="5"/>
      <c r="O424" s="5"/>
    </row>
    <row r="425" ht="22.5" customHeight="1">
      <c r="A425" s="5"/>
      <c r="B425" s="5"/>
      <c r="C425" s="5"/>
      <c r="D425" s="9"/>
      <c r="E425" s="9"/>
      <c r="F425" s="5" t="s">
        <v>18</v>
      </c>
      <c r="G425" s="9"/>
      <c r="H425" s="5" t="s">
        <v>20</v>
      </c>
      <c r="I425" s="9"/>
      <c r="J425" s="8" t="s">
        <v>21</v>
      </c>
      <c r="K425" s="9"/>
      <c r="L425" s="8" t="s">
        <v>22</v>
      </c>
      <c r="M425" s="9"/>
      <c r="N425" s="5"/>
      <c r="O425" s="5"/>
    </row>
    <row r="426" ht="22.5" customHeight="1">
      <c r="A426" s="5"/>
      <c r="B426" s="5"/>
      <c r="C426" s="5"/>
      <c r="D426" s="9"/>
      <c r="E426" s="9"/>
      <c r="F426" s="5" t="s">
        <v>18</v>
      </c>
      <c r="G426" s="9"/>
      <c r="H426" s="5" t="s">
        <v>20</v>
      </c>
      <c r="I426" s="9"/>
      <c r="J426" s="8" t="s">
        <v>21</v>
      </c>
      <c r="K426" s="9"/>
      <c r="L426" s="8" t="s">
        <v>22</v>
      </c>
      <c r="M426" s="9"/>
      <c r="N426" s="5"/>
      <c r="O426" s="5"/>
    </row>
    <row r="427" ht="22.5" customHeight="1">
      <c r="A427" s="5"/>
      <c r="B427" s="5"/>
      <c r="C427" s="5"/>
      <c r="D427" s="9"/>
      <c r="E427" s="9"/>
      <c r="F427" s="5" t="s">
        <v>18</v>
      </c>
      <c r="G427" s="9"/>
      <c r="H427" s="5" t="s">
        <v>20</v>
      </c>
      <c r="I427" s="9"/>
      <c r="J427" s="8" t="s">
        <v>21</v>
      </c>
      <c r="K427" s="9"/>
      <c r="L427" s="8" t="s">
        <v>22</v>
      </c>
      <c r="M427" s="9"/>
      <c r="N427" s="5"/>
      <c r="O427" s="5"/>
    </row>
    <row r="428" ht="22.5" customHeight="1">
      <c r="A428" s="5"/>
      <c r="B428" s="5"/>
      <c r="C428" s="5"/>
      <c r="D428" s="9"/>
      <c r="E428" s="9"/>
      <c r="F428" s="5" t="s">
        <v>18</v>
      </c>
      <c r="G428" s="9"/>
      <c r="H428" s="5" t="s">
        <v>20</v>
      </c>
      <c r="I428" s="9"/>
      <c r="J428" s="8" t="s">
        <v>21</v>
      </c>
      <c r="K428" s="9"/>
      <c r="L428" s="8" t="s">
        <v>22</v>
      </c>
      <c r="M428" s="9"/>
      <c r="N428" s="5"/>
      <c r="O428" s="5"/>
    </row>
    <row r="429" ht="22.5" customHeight="1">
      <c r="A429" s="5"/>
      <c r="B429" s="5"/>
      <c r="C429" s="5"/>
      <c r="D429" s="9"/>
      <c r="E429" s="9"/>
      <c r="F429" s="5" t="s">
        <v>18</v>
      </c>
      <c r="G429" s="9"/>
      <c r="H429" s="5" t="s">
        <v>20</v>
      </c>
      <c r="I429" s="9"/>
      <c r="J429" s="8" t="s">
        <v>21</v>
      </c>
      <c r="K429" s="9"/>
      <c r="L429" s="8" t="s">
        <v>22</v>
      </c>
      <c r="M429" s="9"/>
      <c r="N429" s="5"/>
      <c r="O429" s="5"/>
    </row>
    <row r="430" ht="22.5" customHeight="1">
      <c r="A430" s="5"/>
      <c r="B430" s="5"/>
      <c r="C430" s="5"/>
      <c r="D430" s="9"/>
      <c r="E430" s="9"/>
      <c r="F430" s="5" t="s">
        <v>18</v>
      </c>
      <c r="G430" s="9"/>
      <c r="H430" s="5" t="s">
        <v>20</v>
      </c>
      <c r="I430" s="9"/>
      <c r="J430" s="8" t="s">
        <v>21</v>
      </c>
      <c r="K430" s="9"/>
      <c r="L430" s="8" t="s">
        <v>22</v>
      </c>
      <c r="M430" s="9"/>
      <c r="N430" s="5"/>
      <c r="O430" s="5"/>
    </row>
    <row r="431" ht="22.5" customHeight="1">
      <c r="A431" s="5"/>
      <c r="B431" s="5"/>
      <c r="C431" s="5"/>
      <c r="D431" s="9"/>
      <c r="E431" s="9"/>
      <c r="F431" s="5" t="s">
        <v>18</v>
      </c>
      <c r="G431" s="9"/>
      <c r="H431" s="5" t="s">
        <v>20</v>
      </c>
      <c r="I431" s="9"/>
      <c r="J431" s="8" t="s">
        <v>21</v>
      </c>
      <c r="K431" s="9"/>
      <c r="L431" s="8" t="s">
        <v>22</v>
      </c>
      <c r="M431" s="9"/>
      <c r="N431" s="5"/>
      <c r="O431" s="5"/>
    </row>
    <row r="432" ht="22.5" customHeight="1">
      <c r="A432" s="5"/>
      <c r="B432" s="5"/>
      <c r="C432" s="5"/>
      <c r="D432" s="9"/>
      <c r="E432" s="9"/>
      <c r="F432" s="5" t="s">
        <v>18</v>
      </c>
      <c r="G432" s="9"/>
      <c r="H432" s="5" t="s">
        <v>20</v>
      </c>
      <c r="I432" s="9"/>
      <c r="J432" s="8" t="s">
        <v>21</v>
      </c>
      <c r="K432" s="9"/>
      <c r="L432" s="8" t="s">
        <v>22</v>
      </c>
      <c r="M432" s="9"/>
      <c r="N432" s="5"/>
      <c r="O432" s="5"/>
    </row>
    <row r="433" ht="22.5" customHeight="1">
      <c r="A433" s="5"/>
      <c r="B433" s="5"/>
      <c r="C433" s="5"/>
      <c r="D433" s="9"/>
      <c r="E433" s="9"/>
      <c r="F433" s="5" t="s">
        <v>18</v>
      </c>
      <c r="G433" s="9"/>
      <c r="H433" s="5" t="s">
        <v>20</v>
      </c>
      <c r="I433" s="9"/>
      <c r="J433" s="8" t="s">
        <v>21</v>
      </c>
      <c r="K433" s="9"/>
      <c r="L433" s="8" t="s">
        <v>22</v>
      </c>
      <c r="M433" s="9"/>
      <c r="N433" s="5"/>
      <c r="O433" s="5"/>
    </row>
    <row r="434" ht="22.5" customHeight="1">
      <c r="A434" s="5"/>
      <c r="B434" s="5"/>
      <c r="C434" s="5"/>
      <c r="D434" s="9"/>
      <c r="E434" s="9"/>
      <c r="F434" s="5" t="s">
        <v>18</v>
      </c>
      <c r="G434" s="9"/>
      <c r="H434" s="5" t="s">
        <v>20</v>
      </c>
      <c r="I434" s="9"/>
      <c r="J434" s="8" t="s">
        <v>21</v>
      </c>
      <c r="K434" s="9"/>
      <c r="L434" s="8" t="s">
        <v>22</v>
      </c>
      <c r="M434" s="9"/>
      <c r="N434" s="5"/>
      <c r="O434" s="5"/>
    </row>
    <row r="435" ht="22.5" customHeight="1">
      <c r="A435" s="5"/>
      <c r="B435" s="5"/>
      <c r="C435" s="5"/>
      <c r="D435" s="9"/>
      <c r="E435" s="9"/>
      <c r="F435" s="5" t="s">
        <v>18</v>
      </c>
      <c r="G435" s="9"/>
      <c r="H435" s="5" t="s">
        <v>20</v>
      </c>
      <c r="I435" s="9"/>
      <c r="J435" s="8" t="s">
        <v>21</v>
      </c>
      <c r="K435" s="9"/>
      <c r="L435" s="8" t="s">
        <v>22</v>
      </c>
      <c r="M435" s="9"/>
      <c r="N435" s="5"/>
      <c r="O435" s="5"/>
    </row>
    <row r="436" ht="22.5" customHeight="1">
      <c r="A436" s="5"/>
      <c r="B436" s="5"/>
      <c r="C436" s="5"/>
      <c r="D436" s="9"/>
      <c r="E436" s="9"/>
      <c r="F436" s="5" t="s">
        <v>18</v>
      </c>
      <c r="G436" s="9"/>
      <c r="H436" s="5" t="s">
        <v>20</v>
      </c>
      <c r="I436" s="9"/>
      <c r="J436" s="8" t="s">
        <v>21</v>
      </c>
      <c r="K436" s="9"/>
      <c r="L436" s="8" t="s">
        <v>22</v>
      </c>
      <c r="M436" s="9"/>
      <c r="N436" s="5"/>
      <c r="O436" s="5"/>
    </row>
    <row r="437" ht="22.5" customHeight="1">
      <c r="A437" s="5"/>
      <c r="B437" s="5"/>
      <c r="C437" s="5"/>
      <c r="D437" s="9"/>
      <c r="E437" s="9"/>
      <c r="F437" s="5" t="s">
        <v>18</v>
      </c>
      <c r="G437" s="9"/>
      <c r="H437" s="5" t="s">
        <v>20</v>
      </c>
      <c r="I437" s="9"/>
      <c r="J437" s="8" t="s">
        <v>21</v>
      </c>
      <c r="K437" s="9"/>
      <c r="L437" s="8" t="s">
        <v>22</v>
      </c>
      <c r="M437" s="9"/>
      <c r="N437" s="5"/>
      <c r="O437" s="5"/>
    </row>
    <row r="438" ht="22.5" customHeight="1">
      <c r="A438" s="5"/>
      <c r="B438" s="5"/>
      <c r="C438" s="5"/>
      <c r="D438" s="9"/>
      <c r="E438" s="9"/>
      <c r="F438" s="5" t="s">
        <v>18</v>
      </c>
      <c r="G438" s="9"/>
      <c r="H438" s="5" t="s">
        <v>20</v>
      </c>
      <c r="I438" s="9"/>
      <c r="J438" s="8" t="s">
        <v>21</v>
      </c>
      <c r="K438" s="9"/>
      <c r="L438" s="8" t="s">
        <v>22</v>
      </c>
      <c r="M438" s="9"/>
      <c r="N438" s="5"/>
      <c r="O438" s="5"/>
    </row>
    <row r="439" ht="22.5" customHeight="1">
      <c r="A439" s="5"/>
      <c r="B439" s="5"/>
      <c r="C439" s="5"/>
      <c r="D439" s="9"/>
      <c r="E439" s="9"/>
      <c r="F439" s="5" t="s">
        <v>18</v>
      </c>
      <c r="G439" s="9"/>
      <c r="H439" s="5" t="s">
        <v>20</v>
      </c>
      <c r="I439" s="9"/>
      <c r="J439" s="8" t="s">
        <v>21</v>
      </c>
      <c r="K439" s="9"/>
      <c r="L439" s="8" t="s">
        <v>22</v>
      </c>
      <c r="M439" s="9"/>
      <c r="N439" s="5"/>
      <c r="O439" s="5"/>
    </row>
    <row r="440" ht="22.5" customHeight="1">
      <c r="A440" s="5"/>
      <c r="B440" s="5"/>
      <c r="C440" s="5"/>
      <c r="D440" s="9"/>
      <c r="E440" s="9"/>
      <c r="F440" s="5" t="s">
        <v>18</v>
      </c>
      <c r="G440" s="9"/>
      <c r="H440" s="5" t="s">
        <v>20</v>
      </c>
      <c r="I440" s="9"/>
      <c r="J440" s="8" t="s">
        <v>21</v>
      </c>
      <c r="K440" s="9"/>
      <c r="L440" s="8" t="s">
        <v>22</v>
      </c>
      <c r="M440" s="9"/>
      <c r="N440" s="5"/>
      <c r="O440" s="5"/>
    </row>
    <row r="441" ht="22.5" customHeight="1">
      <c r="A441" s="5"/>
      <c r="B441" s="5"/>
      <c r="C441" s="5"/>
      <c r="D441" s="9"/>
      <c r="E441" s="9"/>
      <c r="F441" s="5" t="s">
        <v>18</v>
      </c>
      <c r="G441" s="9"/>
      <c r="H441" s="5" t="s">
        <v>20</v>
      </c>
      <c r="I441" s="9"/>
      <c r="J441" s="8" t="s">
        <v>21</v>
      </c>
      <c r="K441" s="9"/>
      <c r="L441" s="8" t="s">
        <v>22</v>
      </c>
      <c r="M441" s="9"/>
      <c r="N441" s="5"/>
      <c r="O441" s="5"/>
    </row>
    <row r="442" ht="22.5" customHeight="1">
      <c r="A442" s="5"/>
      <c r="B442" s="5"/>
      <c r="C442" s="5"/>
      <c r="D442" s="9"/>
      <c r="E442" s="9"/>
      <c r="F442" s="5" t="s">
        <v>18</v>
      </c>
      <c r="G442" s="9"/>
      <c r="H442" s="5" t="s">
        <v>20</v>
      </c>
      <c r="I442" s="9"/>
      <c r="J442" s="8" t="s">
        <v>21</v>
      </c>
      <c r="K442" s="9"/>
      <c r="L442" s="8" t="s">
        <v>22</v>
      </c>
      <c r="M442" s="9"/>
      <c r="N442" s="5"/>
      <c r="O442" s="5"/>
    </row>
    <row r="443" ht="22.5" customHeight="1">
      <c r="A443" s="5"/>
      <c r="B443" s="5"/>
      <c r="C443" s="5"/>
      <c r="D443" s="9"/>
      <c r="E443" s="9"/>
      <c r="F443" s="5" t="s">
        <v>18</v>
      </c>
      <c r="G443" s="9"/>
      <c r="H443" s="5" t="s">
        <v>20</v>
      </c>
      <c r="I443" s="9"/>
      <c r="J443" s="8" t="s">
        <v>21</v>
      </c>
      <c r="K443" s="9"/>
      <c r="L443" s="8" t="s">
        <v>22</v>
      </c>
      <c r="M443" s="9"/>
      <c r="N443" s="5"/>
      <c r="O443" s="5"/>
    </row>
    <row r="444" ht="22.5" customHeight="1">
      <c r="A444" s="5"/>
      <c r="B444" s="5"/>
      <c r="C444" s="5"/>
      <c r="D444" s="9"/>
      <c r="E444" s="9"/>
      <c r="F444" s="5" t="s">
        <v>18</v>
      </c>
      <c r="G444" s="9"/>
      <c r="H444" s="5" t="s">
        <v>20</v>
      </c>
      <c r="I444" s="9"/>
      <c r="J444" s="8" t="s">
        <v>21</v>
      </c>
      <c r="K444" s="9"/>
      <c r="L444" s="8" t="s">
        <v>22</v>
      </c>
      <c r="M444" s="9"/>
      <c r="N444" s="5"/>
      <c r="O444" s="5"/>
    </row>
    <row r="445" ht="22.5" customHeight="1">
      <c r="A445" s="5"/>
      <c r="B445" s="5"/>
      <c r="C445" s="5"/>
      <c r="D445" s="9"/>
      <c r="E445" s="9"/>
      <c r="F445" s="5" t="s">
        <v>18</v>
      </c>
      <c r="G445" s="9"/>
      <c r="H445" s="5" t="s">
        <v>20</v>
      </c>
      <c r="I445" s="9"/>
      <c r="J445" s="8" t="s">
        <v>21</v>
      </c>
      <c r="K445" s="9"/>
      <c r="L445" s="8" t="s">
        <v>22</v>
      </c>
      <c r="M445" s="9"/>
      <c r="N445" s="5"/>
      <c r="O445" s="5"/>
    </row>
    <row r="446" ht="22.5" customHeight="1">
      <c r="A446" s="5"/>
      <c r="B446" s="5"/>
      <c r="C446" s="5"/>
      <c r="D446" s="9"/>
      <c r="E446" s="9"/>
      <c r="F446" s="5" t="s">
        <v>18</v>
      </c>
      <c r="G446" s="9"/>
      <c r="H446" s="5" t="s">
        <v>20</v>
      </c>
      <c r="I446" s="9"/>
      <c r="J446" s="8" t="s">
        <v>21</v>
      </c>
      <c r="K446" s="9"/>
      <c r="L446" s="8" t="s">
        <v>22</v>
      </c>
      <c r="M446" s="9"/>
      <c r="N446" s="5"/>
      <c r="O446" s="5"/>
    </row>
    <row r="447" ht="22.5" customHeight="1">
      <c r="A447" s="5"/>
      <c r="B447" s="5"/>
      <c r="C447" s="5"/>
      <c r="D447" s="9"/>
      <c r="E447" s="9"/>
      <c r="F447" s="5" t="s">
        <v>18</v>
      </c>
      <c r="G447" s="9"/>
      <c r="H447" s="5" t="s">
        <v>20</v>
      </c>
      <c r="I447" s="9"/>
      <c r="J447" s="8" t="s">
        <v>21</v>
      </c>
      <c r="K447" s="9"/>
      <c r="L447" s="8" t="s">
        <v>22</v>
      </c>
      <c r="M447" s="9"/>
      <c r="N447" s="5"/>
      <c r="O447" s="5"/>
    </row>
    <row r="448" ht="22.5" customHeight="1">
      <c r="A448" s="5"/>
      <c r="B448" s="5"/>
      <c r="C448" s="5"/>
      <c r="D448" s="9"/>
      <c r="E448" s="9"/>
      <c r="F448" s="5" t="s">
        <v>18</v>
      </c>
      <c r="G448" s="9"/>
      <c r="H448" s="5" t="s">
        <v>20</v>
      </c>
      <c r="I448" s="9"/>
      <c r="J448" s="8" t="s">
        <v>21</v>
      </c>
      <c r="K448" s="9"/>
      <c r="L448" s="8" t="s">
        <v>22</v>
      </c>
      <c r="M448" s="9"/>
      <c r="N448" s="5"/>
      <c r="O448" s="5"/>
    </row>
    <row r="449" ht="22.5" customHeight="1">
      <c r="A449" s="5"/>
      <c r="B449" s="5"/>
      <c r="C449" s="5"/>
      <c r="D449" s="9"/>
      <c r="E449" s="9"/>
      <c r="F449" s="5" t="s">
        <v>18</v>
      </c>
      <c r="G449" s="9"/>
      <c r="H449" s="5" t="s">
        <v>20</v>
      </c>
      <c r="I449" s="9"/>
      <c r="J449" s="8" t="s">
        <v>21</v>
      </c>
      <c r="K449" s="9"/>
      <c r="L449" s="8" t="s">
        <v>22</v>
      </c>
      <c r="M449" s="9"/>
      <c r="N449" s="5"/>
      <c r="O449" s="5"/>
    </row>
    <row r="450" ht="22.5" customHeight="1">
      <c r="A450" s="5"/>
      <c r="B450" s="5"/>
      <c r="C450" s="5"/>
      <c r="D450" s="9"/>
      <c r="E450" s="9"/>
      <c r="F450" s="5" t="s">
        <v>18</v>
      </c>
      <c r="G450" s="9"/>
      <c r="H450" s="5" t="s">
        <v>20</v>
      </c>
      <c r="I450" s="9"/>
      <c r="J450" s="8" t="s">
        <v>21</v>
      </c>
      <c r="K450" s="9"/>
      <c r="L450" s="8" t="s">
        <v>22</v>
      </c>
      <c r="M450" s="9"/>
      <c r="N450" s="5"/>
      <c r="O450" s="5"/>
    </row>
    <row r="451" ht="22.5" customHeight="1">
      <c r="A451" s="5"/>
      <c r="B451" s="5"/>
      <c r="C451" s="5"/>
      <c r="D451" s="9"/>
      <c r="E451" s="9"/>
      <c r="F451" s="5" t="s">
        <v>18</v>
      </c>
      <c r="G451" s="9"/>
      <c r="H451" s="5" t="s">
        <v>20</v>
      </c>
      <c r="I451" s="9"/>
      <c r="J451" s="8" t="s">
        <v>21</v>
      </c>
      <c r="K451" s="9"/>
      <c r="L451" s="8" t="s">
        <v>22</v>
      </c>
      <c r="M451" s="9"/>
      <c r="N451" s="5"/>
      <c r="O451" s="5"/>
    </row>
    <row r="452" ht="22.5" customHeight="1">
      <c r="A452" s="5"/>
      <c r="B452" s="5"/>
      <c r="C452" s="5"/>
      <c r="D452" s="9"/>
      <c r="E452" s="9"/>
      <c r="F452" s="5" t="s">
        <v>18</v>
      </c>
      <c r="G452" s="9"/>
      <c r="H452" s="5" t="s">
        <v>20</v>
      </c>
      <c r="I452" s="9"/>
      <c r="J452" s="8" t="s">
        <v>21</v>
      </c>
      <c r="K452" s="9"/>
      <c r="L452" s="8" t="s">
        <v>22</v>
      </c>
      <c r="M452" s="9"/>
      <c r="N452" s="5"/>
      <c r="O452" s="5"/>
    </row>
    <row r="453" ht="22.5" customHeight="1">
      <c r="A453" s="5"/>
      <c r="B453" s="5"/>
      <c r="C453" s="5"/>
      <c r="D453" s="9"/>
      <c r="E453" s="9"/>
      <c r="F453" s="5" t="s">
        <v>18</v>
      </c>
      <c r="G453" s="9"/>
      <c r="H453" s="5" t="s">
        <v>20</v>
      </c>
      <c r="I453" s="9"/>
      <c r="J453" s="8" t="s">
        <v>21</v>
      </c>
      <c r="K453" s="9"/>
      <c r="L453" s="8" t="s">
        <v>22</v>
      </c>
      <c r="M453" s="9"/>
      <c r="N453" s="5"/>
      <c r="O453" s="5"/>
    </row>
    <row r="454" ht="22.5" customHeight="1">
      <c r="A454" s="5"/>
      <c r="B454" s="5"/>
      <c r="C454" s="5"/>
      <c r="D454" s="9"/>
      <c r="E454" s="9"/>
      <c r="F454" s="5" t="s">
        <v>18</v>
      </c>
      <c r="G454" s="9"/>
      <c r="H454" s="5" t="s">
        <v>20</v>
      </c>
      <c r="I454" s="9"/>
      <c r="J454" s="8" t="s">
        <v>21</v>
      </c>
      <c r="K454" s="9"/>
      <c r="L454" s="8" t="s">
        <v>22</v>
      </c>
      <c r="M454" s="9"/>
      <c r="N454" s="5"/>
      <c r="O454" s="5"/>
    </row>
    <row r="455" ht="22.5" customHeight="1">
      <c r="A455" s="5"/>
      <c r="B455" s="5"/>
      <c r="C455" s="5"/>
      <c r="D455" s="9"/>
      <c r="E455" s="9"/>
      <c r="F455" s="5" t="s">
        <v>18</v>
      </c>
      <c r="G455" s="9"/>
      <c r="H455" s="5" t="s">
        <v>20</v>
      </c>
      <c r="I455" s="9"/>
      <c r="J455" s="8" t="s">
        <v>21</v>
      </c>
      <c r="K455" s="9"/>
      <c r="L455" s="8" t="s">
        <v>22</v>
      </c>
      <c r="M455" s="9"/>
      <c r="N455" s="5"/>
      <c r="O455" s="5"/>
    </row>
    <row r="456" ht="22.5" customHeight="1">
      <c r="A456" s="5"/>
      <c r="B456" s="5"/>
      <c r="C456" s="5"/>
      <c r="D456" s="9"/>
      <c r="E456" s="9"/>
      <c r="F456" s="5" t="s">
        <v>18</v>
      </c>
      <c r="G456" s="9"/>
      <c r="H456" s="5" t="s">
        <v>20</v>
      </c>
      <c r="I456" s="9"/>
      <c r="J456" s="8" t="s">
        <v>21</v>
      </c>
      <c r="K456" s="9"/>
      <c r="L456" s="8" t="s">
        <v>22</v>
      </c>
      <c r="M456" s="9"/>
      <c r="N456" s="5"/>
      <c r="O456" s="5"/>
    </row>
    <row r="457" ht="22.5" customHeight="1">
      <c r="A457" s="5"/>
      <c r="B457" s="5"/>
      <c r="C457" s="5"/>
      <c r="D457" s="9"/>
      <c r="E457" s="9"/>
      <c r="F457" s="5" t="s">
        <v>18</v>
      </c>
      <c r="G457" s="9"/>
      <c r="H457" s="5" t="s">
        <v>20</v>
      </c>
      <c r="I457" s="9"/>
      <c r="J457" s="8" t="s">
        <v>21</v>
      </c>
      <c r="K457" s="9"/>
      <c r="L457" s="8" t="s">
        <v>22</v>
      </c>
      <c r="M457" s="9"/>
      <c r="N457" s="5"/>
      <c r="O457" s="5"/>
    </row>
    <row r="458" ht="22.5" customHeight="1">
      <c r="A458" s="5"/>
      <c r="B458" s="5"/>
      <c r="C458" s="5"/>
      <c r="D458" s="9"/>
      <c r="E458" s="9"/>
      <c r="F458" s="5" t="s">
        <v>18</v>
      </c>
      <c r="G458" s="9"/>
      <c r="H458" s="5" t="s">
        <v>20</v>
      </c>
      <c r="I458" s="9"/>
      <c r="J458" s="8" t="s">
        <v>21</v>
      </c>
      <c r="K458" s="9"/>
      <c r="L458" s="8" t="s">
        <v>22</v>
      </c>
      <c r="M458" s="9"/>
      <c r="N458" s="5"/>
      <c r="O458" s="5"/>
    </row>
    <row r="459" ht="22.5" customHeight="1">
      <c r="A459" s="5"/>
      <c r="B459" s="5"/>
      <c r="C459" s="5"/>
      <c r="D459" s="9"/>
      <c r="E459" s="9"/>
      <c r="F459" s="5" t="s">
        <v>18</v>
      </c>
      <c r="G459" s="9"/>
      <c r="H459" s="5" t="s">
        <v>20</v>
      </c>
      <c r="I459" s="9"/>
      <c r="J459" s="8" t="s">
        <v>21</v>
      </c>
      <c r="K459" s="9"/>
      <c r="L459" s="8" t="s">
        <v>22</v>
      </c>
      <c r="M459" s="9"/>
      <c r="N459" s="5"/>
      <c r="O459" s="5"/>
    </row>
    <row r="460" ht="22.5" customHeight="1">
      <c r="A460" s="5"/>
      <c r="B460" s="5"/>
      <c r="C460" s="5"/>
      <c r="D460" s="9"/>
      <c r="E460" s="9"/>
      <c r="F460" s="5" t="s">
        <v>18</v>
      </c>
      <c r="G460" s="9"/>
      <c r="H460" s="5" t="s">
        <v>20</v>
      </c>
      <c r="I460" s="9"/>
      <c r="J460" s="8" t="s">
        <v>21</v>
      </c>
      <c r="K460" s="9"/>
      <c r="L460" s="8" t="s">
        <v>22</v>
      </c>
      <c r="M460" s="9"/>
      <c r="N460" s="5"/>
      <c r="O460" s="5"/>
    </row>
    <row r="461" ht="22.5" customHeight="1">
      <c r="A461" s="5"/>
      <c r="B461" s="5"/>
      <c r="C461" s="5"/>
      <c r="D461" s="9"/>
      <c r="E461" s="9"/>
      <c r="F461" s="5" t="s">
        <v>18</v>
      </c>
      <c r="G461" s="9"/>
      <c r="H461" s="5" t="s">
        <v>20</v>
      </c>
      <c r="I461" s="9"/>
      <c r="J461" s="8" t="s">
        <v>21</v>
      </c>
      <c r="K461" s="9"/>
      <c r="L461" s="8" t="s">
        <v>22</v>
      </c>
      <c r="M461" s="9"/>
      <c r="N461" s="5"/>
      <c r="O461" s="5"/>
    </row>
    <row r="462" ht="22.5" customHeight="1">
      <c r="A462" s="5"/>
      <c r="B462" s="5"/>
      <c r="C462" s="5"/>
      <c r="D462" s="9"/>
      <c r="E462" s="9"/>
      <c r="F462" s="5" t="s">
        <v>18</v>
      </c>
      <c r="G462" s="9"/>
      <c r="H462" s="5" t="s">
        <v>20</v>
      </c>
      <c r="I462" s="9"/>
      <c r="J462" s="8" t="s">
        <v>21</v>
      </c>
      <c r="K462" s="9"/>
      <c r="L462" s="8" t="s">
        <v>22</v>
      </c>
      <c r="M462" s="9"/>
      <c r="N462" s="5"/>
      <c r="O462" s="5"/>
    </row>
    <row r="463" ht="22.5" customHeight="1">
      <c r="A463" s="5"/>
      <c r="B463" s="5"/>
      <c r="C463" s="5"/>
      <c r="D463" s="9"/>
      <c r="E463" s="9"/>
      <c r="F463" s="5" t="s">
        <v>18</v>
      </c>
      <c r="G463" s="9"/>
      <c r="H463" s="5" t="s">
        <v>20</v>
      </c>
      <c r="I463" s="9"/>
      <c r="J463" s="8" t="s">
        <v>21</v>
      </c>
      <c r="K463" s="9"/>
      <c r="L463" s="8" t="s">
        <v>22</v>
      </c>
      <c r="M463" s="9"/>
      <c r="N463" s="5"/>
      <c r="O463" s="5"/>
    </row>
    <row r="464" ht="22.5" customHeight="1">
      <c r="A464" s="5"/>
      <c r="B464" s="5"/>
      <c r="C464" s="5"/>
      <c r="D464" s="9"/>
      <c r="E464" s="9"/>
      <c r="F464" s="5" t="s">
        <v>18</v>
      </c>
      <c r="G464" s="9"/>
      <c r="H464" s="5" t="s">
        <v>20</v>
      </c>
      <c r="I464" s="9"/>
      <c r="J464" s="8" t="s">
        <v>21</v>
      </c>
      <c r="K464" s="9"/>
      <c r="L464" s="8" t="s">
        <v>22</v>
      </c>
      <c r="M464" s="9"/>
      <c r="N464" s="5"/>
      <c r="O464" s="5"/>
    </row>
    <row r="465" ht="22.5" customHeight="1">
      <c r="A465" s="5"/>
      <c r="B465" s="5"/>
      <c r="C465" s="5"/>
      <c r="D465" s="9"/>
      <c r="E465" s="9"/>
      <c r="F465" s="5" t="s">
        <v>18</v>
      </c>
      <c r="G465" s="9"/>
      <c r="H465" s="5" t="s">
        <v>20</v>
      </c>
      <c r="I465" s="9"/>
      <c r="J465" s="8" t="s">
        <v>21</v>
      </c>
      <c r="K465" s="9"/>
      <c r="L465" s="8" t="s">
        <v>22</v>
      </c>
      <c r="M465" s="9"/>
      <c r="N465" s="5"/>
      <c r="O465" s="5"/>
    </row>
    <row r="466" ht="22.5" customHeight="1">
      <c r="A466" s="5"/>
      <c r="B466" s="5"/>
      <c r="C466" s="5"/>
      <c r="D466" s="9"/>
      <c r="E466" s="9"/>
      <c r="F466" s="5" t="s">
        <v>18</v>
      </c>
      <c r="G466" s="9"/>
      <c r="H466" s="5" t="s">
        <v>20</v>
      </c>
      <c r="I466" s="9"/>
      <c r="J466" s="8" t="s">
        <v>21</v>
      </c>
      <c r="K466" s="9"/>
      <c r="L466" s="8" t="s">
        <v>22</v>
      </c>
      <c r="M466" s="9"/>
      <c r="N466" s="5"/>
      <c r="O466" s="5"/>
    </row>
    <row r="467" ht="22.5" customHeight="1">
      <c r="A467" s="5"/>
      <c r="B467" s="5"/>
      <c r="C467" s="5"/>
      <c r="D467" s="9"/>
      <c r="E467" s="9"/>
      <c r="F467" s="5" t="s">
        <v>18</v>
      </c>
      <c r="G467" s="9"/>
      <c r="H467" s="5" t="s">
        <v>20</v>
      </c>
      <c r="I467" s="9"/>
      <c r="J467" s="8" t="s">
        <v>21</v>
      </c>
      <c r="K467" s="9"/>
      <c r="L467" s="8" t="s">
        <v>22</v>
      </c>
      <c r="M467" s="9"/>
      <c r="N467" s="5"/>
      <c r="O467" s="5"/>
    </row>
    <row r="468" ht="22.5" customHeight="1">
      <c r="A468" s="5"/>
      <c r="B468" s="5"/>
      <c r="C468" s="5"/>
      <c r="D468" s="9"/>
      <c r="E468" s="9"/>
      <c r="F468" s="5" t="s">
        <v>18</v>
      </c>
      <c r="G468" s="9"/>
      <c r="H468" s="5" t="s">
        <v>20</v>
      </c>
      <c r="I468" s="9"/>
      <c r="J468" s="8" t="s">
        <v>21</v>
      </c>
      <c r="K468" s="9"/>
      <c r="L468" s="8" t="s">
        <v>22</v>
      </c>
      <c r="M468" s="9"/>
      <c r="N468" s="5"/>
      <c r="O468" s="5"/>
    </row>
    <row r="469" ht="22.5" customHeight="1">
      <c r="A469" s="5"/>
      <c r="B469" s="5"/>
      <c r="C469" s="5"/>
      <c r="D469" s="9"/>
      <c r="E469" s="9"/>
      <c r="F469" s="5" t="s">
        <v>18</v>
      </c>
      <c r="G469" s="9"/>
      <c r="H469" s="5" t="s">
        <v>20</v>
      </c>
      <c r="I469" s="9"/>
      <c r="J469" s="8" t="s">
        <v>21</v>
      </c>
      <c r="K469" s="9"/>
      <c r="L469" s="8" t="s">
        <v>22</v>
      </c>
      <c r="M469" s="9"/>
      <c r="N469" s="5"/>
      <c r="O469" s="5"/>
    </row>
    <row r="470" ht="22.5" customHeight="1">
      <c r="A470" s="5"/>
      <c r="B470" s="5"/>
      <c r="C470" s="5"/>
      <c r="D470" s="9"/>
      <c r="E470" s="9"/>
      <c r="F470" s="5" t="s">
        <v>18</v>
      </c>
      <c r="G470" s="9"/>
      <c r="H470" s="5" t="s">
        <v>20</v>
      </c>
      <c r="I470" s="9"/>
      <c r="J470" s="8" t="s">
        <v>21</v>
      </c>
      <c r="K470" s="9"/>
      <c r="L470" s="8" t="s">
        <v>22</v>
      </c>
      <c r="M470" s="9"/>
      <c r="N470" s="5"/>
      <c r="O470" s="5"/>
    </row>
    <row r="471" ht="22.5" customHeight="1">
      <c r="A471" s="5"/>
      <c r="B471" s="5"/>
      <c r="C471" s="5"/>
      <c r="D471" s="9"/>
      <c r="E471" s="9"/>
      <c r="F471" s="5" t="s">
        <v>18</v>
      </c>
      <c r="G471" s="9"/>
      <c r="H471" s="5" t="s">
        <v>20</v>
      </c>
      <c r="I471" s="9"/>
      <c r="J471" s="8" t="s">
        <v>21</v>
      </c>
      <c r="K471" s="9"/>
      <c r="L471" s="8" t="s">
        <v>22</v>
      </c>
      <c r="M471" s="9"/>
      <c r="N471" s="5"/>
      <c r="O471" s="5"/>
    </row>
    <row r="472" ht="22.5" customHeight="1">
      <c r="A472" s="5"/>
      <c r="B472" s="5"/>
      <c r="C472" s="5"/>
      <c r="D472" s="9"/>
      <c r="E472" s="9"/>
      <c r="F472" s="5" t="s">
        <v>18</v>
      </c>
      <c r="G472" s="9"/>
      <c r="H472" s="5" t="s">
        <v>20</v>
      </c>
      <c r="I472" s="9"/>
      <c r="J472" s="8" t="s">
        <v>21</v>
      </c>
      <c r="K472" s="9"/>
      <c r="L472" s="8" t="s">
        <v>22</v>
      </c>
      <c r="M472" s="9"/>
      <c r="N472" s="5"/>
      <c r="O472" s="5"/>
    </row>
    <row r="473" ht="22.5" customHeight="1">
      <c r="A473" s="5"/>
      <c r="B473" s="5"/>
      <c r="C473" s="5"/>
      <c r="D473" s="9"/>
      <c r="E473" s="9"/>
      <c r="F473" s="5" t="s">
        <v>18</v>
      </c>
      <c r="G473" s="9"/>
      <c r="H473" s="5" t="s">
        <v>20</v>
      </c>
      <c r="I473" s="9"/>
      <c r="J473" s="8" t="s">
        <v>21</v>
      </c>
      <c r="K473" s="9"/>
      <c r="L473" s="8" t="s">
        <v>22</v>
      </c>
      <c r="M473" s="9"/>
      <c r="N473" s="5"/>
      <c r="O473" s="5"/>
    </row>
    <row r="474" ht="22.5" customHeight="1">
      <c r="A474" s="5"/>
      <c r="B474" s="5"/>
      <c r="C474" s="5"/>
      <c r="D474" s="9"/>
      <c r="E474" s="9"/>
      <c r="F474" s="5" t="s">
        <v>18</v>
      </c>
      <c r="G474" s="9"/>
      <c r="H474" s="5" t="s">
        <v>20</v>
      </c>
      <c r="I474" s="9"/>
      <c r="J474" s="8" t="s">
        <v>21</v>
      </c>
      <c r="K474" s="9"/>
      <c r="L474" s="8" t="s">
        <v>22</v>
      </c>
      <c r="M474" s="9"/>
      <c r="N474" s="5"/>
      <c r="O474" s="5"/>
    </row>
    <row r="475" ht="22.5" customHeight="1">
      <c r="A475" s="5"/>
      <c r="B475" s="5"/>
      <c r="C475" s="5"/>
      <c r="D475" s="9"/>
      <c r="E475" s="9"/>
      <c r="F475" s="5" t="s">
        <v>18</v>
      </c>
      <c r="G475" s="9"/>
      <c r="H475" s="5" t="s">
        <v>20</v>
      </c>
      <c r="I475" s="9"/>
      <c r="J475" s="8" t="s">
        <v>21</v>
      </c>
      <c r="K475" s="9"/>
      <c r="L475" s="8" t="s">
        <v>22</v>
      </c>
      <c r="M475" s="9"/>
      <c r="N475" s="5"/>
      <c r="O475" s="5"/>
    </row>
    <row r="476" ht="22.5" customHeight="1">
      <c r="A476" s="5"/>
      <c r="B476" s="5"/>
      <c r="C476" s="5"/>
      <c r="D476" s="9"/>
      <c r="E476" s="9"/>
      <c r="F476" s="5" t="s">
        <v>18</v>
      </c>
      <c r="G476" s="9"/>
      <c r="H476" s="5" t="s">
        <v>20</v>
      </c>
      <c r="I476" s="9"/>
      <c r="J476" s="8" t="s">
        <v>21</v>
      </c>
      <c r="K476" s="9"/>
      <c r="L476" s="8" t="s">
        <v>22</v>
      </c>
      <c r="M476" s="9"/>
      <c r="N476" s="5"/>
      <c r="O476" s="5"/>
    </row>
    <row r="477" ht="22.5" customHeight="1">
      <c r="A477" s="5"/>
      <c r="B477" s="5"/>
      <c r="C477" s="5"/>
      <c r="D477" s="9"/>
      <c r="E477" s="9"/>
      <c r="F477" s="5" t="s">
        <v>18</v>
      </c>
      <c r="G477" s="9"/>
      <c r="H477" s="5" t="s">
        <v>20</v>
      </c>
      <c r="I477" s="9"/>
      <c r="J477" s="8" t="s">
        <v>21</v>
      </c>
      <c r="K477" s="9"/>
      <c r="L477" s="8" t="s">
        <v>22</v>
      </c>
      <c r="M477" s="9"/>
      <c r="N477" s="5"/>
      <c r="O477" s="5"/>
    </row>
    <row r="478" ht="22.5" customHeight="1">
      <c r="A478" s="5"/>
      <c r="B478" s="5"/>
      <c r="C478" s="5"/>
      <c r="D478" s="9"/>
      <c r="E478" s="9"/>
      <c r="F478" s="5" t="s">
        <v>18</v>
      </c>
      <c r="G478" s="9"/>
      <c r="H478" s="5" t="s">
        <v>20</v>
      </c>
      <c r="I478" s="9"/>
      <c r="J478" s="8" t="s">
        <v>21</v>
      </c>
      <c r="K478" s="9"/>
      <c r="L478" s="8" t="s">
        <v>22</v>
      </c>
      <c r="M478" s="9"/>
      <c r="N478" s="5"/>
      <c r="O478" s="5"/>
    </row>
    <row r="479" ht="22.5" customHeight="1">
      <c r="A479" s="5"/>
      <c r="B479" s="5"/>
      <c r="C479" s="5"/>
      <c r="D479" s="9"/>
      <c r="E479" s="9"/>
      <c r="F479" s="5" t="s">
        <v>18</v>
      </c>
      <c r="G479" s="9"/>
      <c r="H479" s="5" t="s">
        <v>20</v>
      </c>
      <c r="I479" s="9"/>
      <c r="J479" s="8" t="s">
        <v>21</v>
      </c>
      <c r="K479" s="9"/>
      <c r="L479" s="8" t="s">
        <v>22</v>
      </c>
      <c r="M479" s="9"/>
      <c r="N479" s="5"/>
      <c r="O479" s="5"/>
    </row>
    <row r="480" ht="22.5" customHeight="1">
      <c r="A480" s="5"/>
      <c r="B480" s="5"/>
      <c r="C480" s="5"/>
      <c r="D480" s="9"/>
      <c r="E480" s="9"/>
      <c r="F480" s="5" t="s">
        <v>18</v>
      </c>
      <c r="G480" s="9"/>
      <c r="H480" s="5" t="s">
        <v>20</v>
      </c>
      <c r="I480" s="9"/>
      <c r="J480" s="8" t="s">
        <v>21</v>
      </c>
      <c r="K480" s="9"/>
      <c r="L480" s="8" t="s">
        <v>22</v>
      </c>
      <c r="M480" s="9"/>
      <c r="N480" s="5"/>
      <c r="O480" s="5"/>
    </row>
    <row r="481" ht="22.5" customHeight="1">
      <c r="A481" s="5"/>
      <c r="B481" s="5"/>
      <c r="C481" s="5"/>
      <c r="D481" s="9"/>
      <c r="E481" s="9"/>
      <c r="F481" s="5" t="s">
        <v>18</v>
      </c>
      <c r="G481" s="9"/>
      <c r="H481" s="5" t="s">
        <v>20</v>
      </c>
      <c r="I481" s="9"/>
      <c r="J481" s="8" t="s">
        <v>21</v>
      </c>
      <c r="K481" s="9"/>
      <c r="L481" s="8" t="s">
        <v>22</v>
      </c>
      <c r="M481" s="9"/>
      <c r="N481" s="5"/>
      <c r="O481" s="5"/>
    </row>
    <row r="482" ht="22.5" customHeight="1">
      <c r="A482" s="5"/>
      <c r="B482" s="5"/>
      <c r="C482" s="5"/>
      <c r="D482" s="9"/>
      <c r="E482" s="9"/>
      <c r="F482" s="5" t="s">
        <v>18</v>
      </c>
      <c r="G482" s="9"/>
      <c r="H482" s="5" t="s">
        <v>20</v>
      </c>
      <c r="I482" s="9"/>
      <c r="J482" s="8" t="s">
        <v>21</v>
      </c>
      <c r="K482" s="9"/>
      <c r="L482" s="8" t="s">
        <v>22</v>
      </c>
      <c r="M482" s="9"/>
      <c r="N482" s="5"/>
      <c r="O482" s="5"/>
    </row>
    <row r="483" ht="22.5" customHeight="1">
      <c r="A483" s="5"/>
      <c r="B483" s="5"/>
      <c r="C483" s="5"/>
      <c r="D483" s="9"/>
      <c r="E483" s="9"/>
      <c r="F483" s="5" t="s">
        <v>18</v>
      </c>
      <c r="G483" s="9"/>
      <c r="H483" s="5" t="s">
        <v>20</v>
      </c>
      <c r="I483" s="9"/>
      <c r="J483" s="8" t="s">
        <v>21</v>
      </c>
      <c r="K483" s="9"/>
      <c r="L483" s="8" t="s">
        <v>22</v>
      </c>
      <c r="M483" s="9"/>
      <c r="N483" s="5"/>
      <c r="O483" s="5"/>
    </row>
    <row r="484" ht="22.5" customHeight="1">
      <c r="A484" s="5"/>
      <c r="B484" s="5"/>
      <c r="C484" s="5"/>
      <c r="D484" s="9"/>
      <c r="E484" s="9"/>
      <c r="F484" s="5" t="s">
        <v>18</v>
      </c>
      <c r="G484" s="9"/>
      <c r="H484" s="5" t="s">
        <v>20</v>
      </c>
      <c r="I484" s="9"/>
      <c r="J484" s="8" t="s">
        <v>21</v>
      </c>
      <c r="K484" s="9"/>
      <c r="L484" s="8" t="s">
        <v>22</v>
      </c>
      <c r="M484" s="9"/>
      <c r="N484" s="5"/>
      <c r="O484" s="5"/>
    </row>
    <row r="485" ht="22.5" customHeight="1">
      <c r="A485" s="5"/>
      <c r="B485" s="5"/>
      <c r="C485" s="5"/>
      <c r="D485" s="9"/>
      <c r="E485" s="9"/>
      <c r="F485" s="5" t="s">
        <v>18</v>
      </c>
      <c r="G485" s="9"/>
      <c r="H485" s="5" t="s">
        <v>20</v>
      </c>
      <c r="I485" s="9"/>
      <c r="J485" s="8" t="s">
        <v>21</v>
      </c>
      <c r="K485" s="9"/>
      <c r="L485" s="8" t="s">
        <v>22</v>
      </c>
      <c r="M485" s="9"/>
      <c r="N485" s="5"/>
      <c r="O485" s="5"/>
    </row>
    <row r="486" ht="22.5" customHeight="1">
      <c r="A486" s="5"/>
      <c r="B486" s="5"/>
      <c r="C486" s="5"/>
      <c r="D486" s="9"/>
      <c r="E486" s="9"/>
      <c r="F486" s="5" t="s">
        <v>18</v>
      </c>
      <c r="G486" s="9"/>
      <c r="H486" s="5" t="s">
        <v>20</v>
      </c>
      <c r="I486" s="9"/>
      <c r="J486" s="8" t="s">
        <v>21</v>
      </c>
      <c r="K486" s="9"/>
      <c r="L486" s="8" t="s">
        <v>22</v>
      </c>
      <c r="M486" s="9"/>
      <c r="N486" s="5"/>
      <c r="O486" s="5"/>
    </row>
    <row r="487" ht="22.5" customHeight="1">
      <c r="A487" s="5"/>
      <c r="B487" s="5"/>
      <c r="C487" s="5"/>
      <c r="D487" s="9"/>
      <c r="E487" s="9"/>
      <c r="F487" s="5" t="s">
        <v>18</v>
      </c>
      <c r="G487" s="9"/>
      <c r="H487" s="5" t="s">
        <v>20</v>
      </c>
      <c r="I487" s="9"/>
      <c r="J487" s="8" t="s">
        <v>21</v>
      </c>
      <c r="K487" s="9"/>
      <c r="L487" s="8" t="s">
        <v>22</v>
      </c>
      <c r="M487" s="9"/>
      <c r="N487" s="5"/>
      <c r="O487" s="5"/>
    </row>
    <row r="488" ht="22.5" customHeight="1">
      <c r="A488" s="5"/>
      <c r="B488" s="5"/>
      <c r="C488" s="5"/>
      <c r="D488" s="9"/>
      <c r="E488" s="9"/>
      <c r="F488" s="5" t="s">
        <v>18</v>
      </c>
      <c r="G488" s="9"/>
      <c r="H488" s="5" t="s">
        <v>20</v>
      </c>
      <c r="I488" s="9"/>
      <c r="J488" s="8" t="s">
        <v>21</v>
      </c>
      <c r="K488" s="9"/>
      <c r="L488" s="8" t="s">
        <v>22</v>
      </c>
      <c r="M488" s="9"/>
      <c r="N488" s="5"/>
      <c r="O488" s="5"/>
    </row>
    <row r="489" ht="22.5" customHeight="1">
      <c r="A489" s="5"/>
      <c r="B489" s="5"/>
      <c r="C489" s="5"/>
      <c r="D489" s="9"/>
      <c r="E489" s="9"/>
      <c r="F489" s="5" t="s">
        <v>18</v>
      </c>
      <c r="G489" s="9"/>
      <c r="H489" s="5" t="s">
        <v>20</v>
      </c>
      <c r="I489" s="9"/>
      <c r="J489" s="8" t="s">
        <v>21</v>
      </c>
      <c r="K489" s="9"/>
      <c r="L489" s="8" t="s">
        <v>22</v>
      </c>
      <c r="M489" s="9"/>
      <c r="N489" s="5"/>
      <c r="O489" s="5"/>
    </row>
    <row r="490" ht="22.5" customHeight="1">
      <c r="A490" s="5"/>
      <c r="B490" s="5"/>
      <c r="C490" s="5"/>
      <c r="D490" s="9"/>
      <c r="E490" s="9"/>
      <c r="F490" s="5" t="s">
        <v>18</v>
      </c>
      <c r="G490" s="9"/>
      <c r="H490" s="5" t="s">
        <v>20</v>
      </c>
      <c r="I490" s="9"/>
      <c r="J490" s="8" t="s">
        <v>21</v>
      </c>
      <c r="K490" s="9"/>
      <c r="L490" s="8" t="s">
        <v>22</v>
      </c>
      <c r="M490" s="9"/>
      <c r="N490" s="5"/>
      <c r="O490" s="5"/>
    </row>
    <row r="491" ht="22.5" customHeight="1">
      <c r="A491" s="5"/>
      <c r="B491" s="5"/>
      <c r="C491" s="5"/>
      <c r="D491" s="9"/>
      <c r="E491" s="9"/>
      <c r="F491" s="5" t="s">
        <v>18</v>
      </c>
      <c r="G491" s="9"/>
      <c r="H491" s="5" t="s">
        <v>20</v>
      </c>
      <c r="I491" s="9"/>
      <c r="J491" s="8" t="s">
        <v>21</v>
      </c>
      <c r="K491" s="9"/>
      <c r="L491" s="8" t="s">
        <v>22</v>
      </c>
      <c r="M491" s="9"/>
      <c r="N491" s="5"/>
      <c r="O491" s="5"/>
    </row>
    <row r="492" ht="22.5" customHeight="1">
      <c r="A492" s="5"/>
      <c r="B492" s="5"/>
      <c r="C492" s="5"/>
      <c r="D492" s="9"/>
      <c r="E492" s="9"/>
      <c r="F492" s="5" t="s">
        <v>18</v>
      </c>
      <c r="G492" s="9"/>
      <c r="H492" s="5" t="s">
        <v>20</v>
      </c>
      <c r="I492" s="9"/>
      <c r="J492" s="8" t="s">
        <v>21</v>
      </c>
      <c r="K492" s="9"/>
      <c r="L492" s="8" t="s">
        <v>22</v>
      </c>
      <c r="M492" s="9"/>
      <c r="N492" s="5"/>
      <c r="O492" s="5"/>
    </row>
    <row r="493" ht="22.5" customHeight="1">
      <c r="A493" s="5"/>
      <c r="B493" s="5"/>
      <c r="C493" s="5"/>
      <c r="D493" s="9"/>
      <c r="E493" s="9"/>
      <c r="F493" s="5" t="s">
        <v>18</v>
      </c>
      <c r="G493" s="9"/>
      <c r="H493" s="5" t="s">
        <v>20</v>
      </c>
      <c r="I493" s="9"/>
      <c r="J493" s="8" t="s">
        <v>21</v>
      </c>
      <c r="K493" s="9"/>
      <c r="L493" s="8" t="s">
        <v>22</v>
      </c>
      <c r="M493" s="9"/>
      <c r="N493" s="5"/>
      <c r="O493" s="5"/>
    </row>
    <row r="494" ht="22.5" customHeight="1">
      <c r="A494" s="5"/>
      <c r="B494" s="5"/>
      <c r="C494" s="5"/>
      <c r="D494" s="9"/>
      <c r="E494" s="9"/>
      <c r="F494" s="5" t="s">
        <v>18</v>
      </c>
      <c r="G494" s="9"/>
      <c r="H494" s="5" t="s">
        <v>20</v>
      </c>
      <c r="I494" s="9"/>
      <c r="J494" s="8" t="s">
        <v>21</v>
      </c>
      <c r="K494" s="9"/>
      <c r="L494" s="8" t="s">
        <v>22</v>
      </c>
      <c r="M494" s="9"/>
      <c r="N494" s="5"/>
      <c r="O494" s="5"/>
    </row>
    <row r="495" ht="22.5" customHeight="1">
      <c r="A495" s="5"/>
      <c r="B495" s="5"/>
      <c r="C495" s="5"/>
      <c r="D495" s="9"/>
      <c r="E495" s="9"/>
      <c r="F495" s="5" t="s">
        <v>18</v>
      </c>
      <c r="G495" s="9"/>
      <c r="H495" s="5" t="s">
        <v>20</v>
      </c>
      <c r="I495" s="9"/>
      <c r="J495" s="8" t="s">
        <v>21</v>
      </c>
      <c r="K495" s="9"/>
      <c r="L495" s="8" t="s">
        <v>22</v>
      </c>
      <c r="M495" s="9"/>
      <c r="N495" s="5"/>
      <c r="O495" s="5"/>
    </row>
    <row r="496" ht="22.5" customHeight="1">
      <c r="A496" s="5"/>
      <c r="B496" s="5"/>
      <c r="C496" s="5"/>
      <c r="D496" s="9"/>
      <c r="E496" s="9"/>
      <c r="F496" s="5" t="s">
        <v>18</v>
      </c>
      <c r="G496" s="9"/>
      <c r="H496" s="5" t="s">
        <v>20</v>
      </c>
      <c r="I496" s="9"/>
      <c r="J496" s="8" t="s">
        <v>21</v>
      </c>
      <c r="K496" s="9"/>
      <c r="L496" s="8" t="s">
        <v>22</v>
      </c>
      <c r="M496" s="9"/>
      <c r="N496" s="5"/>
      <c r="O496" s="5"/>
    </row>
    <row r="497" ht="22.5" customHeight="1">
      <c r="A497" s="5"/>
      <c r="B497" s="5"/>
      <c r="C497" s="5"/>
      <c r="D497" s="9"/>
      <c r="E497" s="9"/>
      <c r="F497" s="5" t="s">
        <v>18</v>
      </c>
      <c r="G497" s="9"/>
      <c r="H497" s="5" t="s">
        <v>20</v>
      </c>
      <c r="I497" s="9"/>
      <c r="J497" s="8" t="s">
        <v>21</v>
      </c>
      <c r="K497" s="9"/>
      <c r="L497" s="8" t="s">
        <v>22</v>
      </c>
      <c r="M497" s="9"/>
      <c r="N497" s="5"/>
      <c r="O497" s="5"/>
    </row>
    <row r="498" ht="22.5" customHeight="1">
      <c r="A498" s="5"/>
      <c r="B498" s="5"/>
      <c r="C498" s="5"/>
      <c r="D498" s="9"/>
      <c r="E498" s="9"/>
      <c r="F498" s="5" t="s">
        <v>18</v>
      </c>
      <c r="G498" s="9"/>
      <c r="H498" s="5" t="s">
        <v>20</v>
      </c>
      <c r="I498" s="9"/>
      <c r="J498" s="8" t="s">
        <v>21</v>
      </c>
      <c r="K498" s="9"/>
      <c r="L498" s="8" t="s">
        <v>22</v>
      </c>
      <c r="M498" s="9"/>
      <c r="N498" s="5"/>
      <c r="O498" s="5"/>
    </row>
    <row r="499" ht="22.5" customHeight="1">
      <c r="A499" s="5"/>
      <c r="B499" s="5"/>
      <c r="C499" s="5"/>
      <c r="D499" s="9"/>
      <c r="E499" s="9"/>
      <c r="F499" s="5" t="s">
        <v>18</v>
      </c>
      <c r="G499" s="9"/>
      <c r="H499" s="5" t="s">
        <v>20</v>
      </c>
      <c r="I499" s="9"/>
      <c r="J499" s="8" t="s">
        <v>21</v>
      </c>
      <c r="K499" s="9"/>
      <c r="L499" s="8" t="s">
        <v>22</v>
      </c>
      <c r="M499" s="9"/>
      <c r="N499" s="5"/>
      <c r="O499" s="5"/>
    </row>
    <row r="500" ht="22.5" customHeight="1">
      <c r="A500" s="5"/>
      <c r="B500" s="5"/>
      <c r="C500" s="5"/>
      <c r="D500" s="9"/>
      <c r="E500" s="9"/>
      <c r="F500" s="5" t="s">
        <v>18</v>
      </c>
      <c r="G500" s="9"/>
      <c r="H500" s="5" t="s">
        <v>20</v>
      </c>
      <c r="I500" s="9"/>
      <c r="J500" s="8" t="s">
        <v>21</v>
      </c>
      <c r="K500" s="9"/>
      <c r="L500" s="8" t="s">
        <v>22</v>
      </c>
      <c r="M500" s="9"/>
      <c r="N500" s="5"/>
      <c r="O500" s="5"/>
    </row>
    <row r="501" ht="22.5" customHeight="1">
      <c r="A501" s="5"/>
      <c r="B501" s="5"/>
      <c r="C501" s="5"/>
      <c r="D501" s="9"/>
      <c r="E501" s="9"/>
      <c r="F501" s="5" t="s">
        <v>18</v>
      </c>
      <c r="G501" s="9"/>
      <c r="H501" s="5" t="s">
        <v>20</v>
      </c>
      <c r="I501" s="9"/>
      <c r="J501" s="8" t="s">
        <v>21</v>
      </c>
      <c r="K501" s="9"/>
      <c r="L501" s="8" t="s">
        <v>22</v>
      </c>
      <c r="M501" s="9"/>
      <c r="N501" s="5"/>
      <c r="O501" s="5"/>
    </row>
    <row r="502" ht="22.5" customHeight="1">
      <c r="A502" s="5"/>
      <c r="B502" s="5"/>
      <c r="C502" s="5"/>
      <c r="D502" s="9"/>
      <c r="E502" s="9"/>
      <c r="F502" s="5" t="s">
        <v>18</v>
      </c>
      <c r="G502" s="9"/>
      <c r="H502" s="5" t="s">
        <v>20</v>
      </c>
      <c r="I502" s="9"/>
      <c r="J502" s="8" t="s">
        <v>21</v>
      </c>
      <c r="K502" s="9"/>
      <c r="L502" s="8" t="s">
        <v>22</v>
      </c>
      <c r="M502" s="9"/>
      <c r="N502" s="5"/>
      <c r="O502" s="5"/>
    </row>
    <row r="503" ht="22.5" customHeight="1">
      <c r="A503" s="5"/>
      <c r="B503" s="5"/>
      <c r="C503" s="5"/>
      <c r="D503" s="9"/>
      <c r="E503" s="9"/>
      <c r="F503" s="5" t="s">
        <v>18</v>
      </c>
      <c r="G503" s="9"/>
      <c r="H503" s="5" t="s">
        <v>20</v>
      </c>
      <c r="I503" s="9"/>
      <c r="J503" s="8" t="s">
        <v>21</v>
      </c>
      <c r="K503" s="9"/>
      <c r="L503" s="8" t="s">
        <v>22</v>
      </c>
      <c r="M503" s="9"/>
      <c r="N503" s="5"/>
      <c r="O503" s="5"/>
    </row>
    <row r="504" ht="22.5" customHeight="1">
      <c r="A504" s="5"/>
      <c r="B504" s="5"/>
      <c r="C504" s="5"/>
      <c r="D504" s="9"/>
      <c r="E504" s="9"/>
      <c r="F504" s="5" t="s">
        <v>18</v>
      </c>
      <c r="G504" s="9"/>
      <c r="H504" s="5" t="s">
        <v>20</v>
      </c>
      <c r="I504" s="9"/>
      <c r="J504" s="8" t="s">
        <v>21</v>
      </c>
      <c r="K504" s="9"/>
      <c r="L504" s="8" t="s">
        <v>22</v>
      </c>
      <c r="M504" s="9"/>
      <c r="N504" s="5"/>
      <c r="O504" s="5"/>
    </row>
    <row r="505" ht="22.5" customHeight="1">
      <c r="A505" s="5"/>
      <c r="B505" s="5"/>
      <c r="C505" s="5"/>
      <c r="D505" s="9"/>
      <c r="E505" s="9"/>
      <c r="F505" s="5" t="s">
        <v>18</v>
      </c>
      <c r="G505" s="9"/>
      <c r="H505" s="5" t="s">
        <v>20</v>
      </c>
      <c r="I505" s="9"/>
      <c r="J505" s="8" t="s">
        <v>21</v>
      </c>
      <c r="K505" s="9"/>
      <c r="L505" s="8" t="s">
        <v>22</v>
      </c>
      <c r="M505" s="9"/>
      <c r="N505" s="5"/>
      <c r="O505" s="5"/>
    </row>
    <row r="506" ht="22.5" customHeight="1">
      <c r="A506" s="5"/>
      <c r="B506" s="5"/>
      <c r="C506" s="5"/>
      <c r="D506" s="9"/>
      <c r="E506" s="9"/>
      <c r="F506" s="5" t="s">
        <v>18</v>
      </c>
      <c r="G506" s="9"/>
      <c r="H506" s="5" t="s">
        <v>20</v>
      </c>
      <c r="I506" s="9"/>
      <c r="J506" s="8" t="s">
        <v>21</v>
      </c>
      <c r="K506" s="9"/>
      <c r="L506" s="8" t="s">
        <v>22</v>
      </c>
      <c r="M506" s="9"/>
      <c r="N506" s="5"/>
      <c r="O506" s="5"/>
    </row>
    <row r="507" ht="22.5" customHeight="1">
      <c r="A507" s="5"/>
      <c r="B507" s="5"/>
      <c r="C507" s="5"/>
      <c r="D507" s="9"/>
      <c r="E507" s="9"/>
      <c r="F507" s="5" t="s">
        <v>18</v>
      </c>
      <c r="G507" s="9"/>
      <c r="H507" s="5" t="s">
        <v>20</v>
      </c>
      <c r="I507" s="9"/>
      <c r="J507" s="8" t="s">
        <v>21</v>
      </c>
      <c r="K507" s="9"/>
      <c r="L507" s="8" t="s">
        <v>22</v>
      </c>
      <c r="M507" s="9"/>
      <c r="N507" s="5"/>
      <c r="O507" s="5"/>
    </row>
    <row r="508" ht="22.5" customHeight="1">
      <c r="A508" s="5"/>
      <c r="B508" s="5"/>
      <c r="C508" s="5"/>
      <c r="D508" s="9"/>
      <c r="E508" s="9"/>
      <c r="F508" s="5" t="s">
        <v>18</v>
      </c>
      <c r="G508" s="9"/>
      <c r="H508" s="5" t="s">
        <v>20</v>
      </c>
      <c r="I508" s="9"/>
      <c r="J508" s="8" t="s">
        <v>21</v>
      </c>
      <c r="K508" s="9"/>
      <c r="L508" s="8" t="s">
        <v>22</v>
      </c>
      <c r="M508" s="9"/>
      <c r="N508" s="5"/>
      <c r="O508" s="5"/>
    </row>
    <row r="509" ht="22.5" customHeight="1">
      <c r="A509" s="5"/>
      <c r="B509" s="5"/>
      <c r="C509" s="5"/>
      <c r="D509" s="9"/>
      <c r="E509" s="9"/>
      <c r="F509" s="5" t="s">
        <v>18</v>
      </c>
      <c r="G509" s="9"/>
      <c r="H509" s="5" t="s">
        <v>20</v>
      </c>
      <c r="I509" s="9"/>
      <c r="J509" s="8" t="s">
        <v>21</v>
      </c>
      <c r="K509" s="9"/>
      <c r="L509" s="8" t="s">
        <v>22</v>
      </c>
      <c r="M509" s="9"/>
      <c r="N509" s="5"/>
      <c r="O509" s="5"/>
    </row>
    <row r="510" ht="22.5" customHeight="1">
      <c r="A510" s="5"/>
      <c r="B510" s="5"/>
      <c r="C510" s="5"/>
      <c r="D510" s="9"/>
      <c r="E510" s="9"/>
      <c r="F510" s="5" t="s">
        <v>18</v>
      </c>
      <c r="G510" s="9"/>
      <c r="H510" s="5" t="s">
        <v>20</v>
      </c>
      <c r="I510" s="9"/>
      <c r="J510" s="8" t="s">
        <v>21</v>
      </c>
      <c r="K510" s="9"/>
      <c r="L510" s="8" t="s">
        <v>22</v>
      </c>
      <c r="M510" s="9"/>
      <c r="N510" s="5"/>
      <c r="O510" s="5"/>
    </row>
    <row r="511" ht="22.5" customHeight="1">
      <c r="A511" s="5"/>
      <c r="B511" s="5"/>
      <c r="C511" s="5"/>
      <c r="D511" s="9"/>
      <c r="E511" s="9"/>
      <c r="F511" s="5" t="s">
        <v>18</v>
      </c>
      <c r="G511" s="9"/>
      <c r="H511" s="5" t="s">
        <v>20</v>
      </c>
      <c r="I511" s="9"/>
      <c r="J511" s="8" t="s">
        <v>21</v>
      </c>
      <c r="K511" s="9"/>
      <c r="L511" s="8" t="s">
        <v>22</v>
      </c>
      <c r="M511" s="9"/>
      <c r="N511" s="5"/>
      <c r="O511" s="5"/>
    </row>
    <row r="512" ht="22.5" customHeight="1">
      <c r="A512" s="5"/>
      <c r="B512" s="5"/>
      <c r="C512" s="5"/>
      <c r="D512" s="9"/>
      <c r="E512" s="9"/>
      <c r="F512" s="5" t="s">
        <v>18</v>
      </c>
      <c r="G512" s="9"/>
      <c r="H512" s="5" t="s">
        <v>20</v>
      </c>
      <c r="I512" s="9"/>
      <c r="J512" s="8" t="s">
        <v>21</v>
      </c>
      <c r="K512" s="9"/>
      <c r="L512" s="8" t="s">
        <v>22</v>
      </c>
      <c r="M512" s="9"/>
      <c r="N512" s="5"/>
      <c r="O512" s="5"/>
    </row>
    <row r="513" ht="22.5" customHeight="1">
      <c r="A513" s="5"/>
      <c r="B513" s="5"/>
      <c r="C513" s="5"/>
      <c r="D513" s="9"/>
      <c r="E513" s="9"/>
      <c r="F513" s="5" t="s">
        <v>18</v>
      </c>
      <c r="G513" s="9"/>
      <c r="H513" s="5" t="s">
        <v>20</v>
      </c>
      <c r="I513" s="9"/>
      <c r="J513" s="8" t="s">
        <v>21</v>
      </c>
      <c r="K513" s="9"/>
      <c r="L513" s="8" t="s">
        <v>22</v>
      </c>
      <c r="M513" s="9"/>
      <c r="N513" s="5"/>
      <c r="O513" s="5"/>
    </row>
    <row r="514" ht="22.5" customHeight="1">
      <c r="A514" s="5"/>
      <c r="B514" s="5"/>
      <c r="C514" s="5"/>
      <c r="D514" s="9"/>
      <c r="E514" s="9"/>
      <c r="F514" s="5" t="s">
        <v>18</v>
      </c>
      <c r="G514" s="9"/>
      <c r="H514" s="5" t="s">
        <v>20</v>
      </c>
      <c r="I514" s="9"/>
      <c r="J514" s="8" t="s">
        <v>21</v>
      </c>
      <c r="K514" s="9"/>
      <c r="L514" s="8" t="s">
        <v>22</v>
      </c>
      <c r="M514" s="9"/>
      <c r="N514" s="5"/>
      <c r="O514" s="5"/>
    </row>
    <row r="515" ht="22.5" customHeight="1">
      <c r="A515" s="5"/>
      <c r="B515" s="5"/>
      <c r="C515" s="5"/>
      <c r="D515" s="9"/>
      <c r="E515" s="9"/>
      <c r="F515" s="5" t="s">
        <v>18</v>
      </c>
      <c r="G515" s="9"/>
      <c r="H515" s="5" t="s">
        <v>20</v>
      </c>
      <c r="I515" s="9"/>
      <c r="J515" s="8" t="s">
        <v>21</v>
      </c>
      <c r="K515" s="9"/>
      <c r="L515" s="8" t="s">
        <v>22</v>
      </c>
      <c r="M515" s="9"/>
      <c r="N515" s="5"/>
      <c r="O515" s="5"/>
    </row>
    <row r="516" ht="22.5" customHeight="1">
      <c r="A516" s="5"/>
      <c r="B516" s="5"/>
      <c r="C516" s="5"/>
      <c r="D516" s="9"/>
      <c r="E516" s="9"/>
      <c r="F516" s="5" t="s">
        <v>18</v>
      </c>
      <c r="G516" s="9"/>
      <c r="H516" s="5" t="s">
        <v>20</v>
      </c>
      <c r="I516" s="9"/>
      <c r="J516" s="8" t="s">
        <v>21</v>
      </c>
      <c r="K516" s="9"/>
      <c r="L516" s="8" t="s">
        <v>22</v>
      </c>
      <c r="M516" s="9"/>
      <c r="N516" s="5"/>
      <c r="O516" s="5"/>
    </row>
    <row r="517" ht="22.5" customHeight="1">
      <c r="A517" s="5"/>
      <c r="B517" s="5"/>
      <c r="C517" s="5"/>
      <c r="D517" s="9"/>
      <c r="E517" s="9"/>
      <c r="F517" s="5" t="s">
        <v>18</v>
      </c>
      <c r="G517" s="9"/>
      <c r="H517" s="5" t="s">
        <v>20</v>
      </c>
      <c r="I517" s="9"/>
      <c r="J517" s="8" t="s">
        <v>21</v>
      </c>
      <c r="K517" s="9"/>
      <c r="L517" s="8" t="s">
        <v>22</v>
      </c>
      <c r="M517" s="9"/>
      <c r="N517" s="5"/>
      <c r="O517" s="5"/>
    </row>
    <row r="518" ht="22.5" customHeight="1">
      <c r="A518" s="5"/>
      <c r="B518" s="5"/>
      <c r="C518" s="5"/>
      <c r="D518" s="9"/>
      <c r="E518" s="9"/>
      <c r="F518" s="5" t="s">
        <v>18</v>
      </c>
      <c r="G518" s="9"/>
      <c r="H518" s="5" t="s">
        <v>20</v>
      </c>
      <c r="I518" s="9"/>
      <c r="J518" s="8" t="s">
        <v>21</v>
      </c>
      <c r="K518" s="9"/>
      <c r="L518" s="8" t="s">
        <v>22</v>
      </c>
      <c r="M518" s="9"/>
      <c r="N518" s="5"/>
      <c r="O518" s="5"/>
    </row>
    <row r="519" ht="22.5" customHeight="1">
      <c r="A519" s="5"/>
      <c r="B519" s="5"/>
      <c r="C519" s="5"/>
      <c r="D519" s="9"/>
      <c r="E519" s="9"/>
      <c r="F519" s="5" t="s">
        <v>18</v>
      </c>
      <c r="G519" s="9"/>
      <c r="H519" s="5" t="s">
        <v>20</v>
      </c>
      <c r="I519" s="9"/>
      <c r="J519" s="8" t="s">
        <v>21</v>
      </c>
      <c r="K519" s="9"/>
      <c r="L519" s="8" t="s">
        <v>22</v>
      </c>
      <c r="M519" s="9"/>
      <c r="N519" s="5"/>
      <c r="O519" s="5"/>
    </row>
    <row r="520" ht="22.5" customHeight="1">
      <c r="A520" s="5"/>
      <c r="B520" s="5"/>
      <c r="C520" s="5"/>
      <c r="D520" s="9"/>
      <c r="E520" s="9"/>
      <c r="F520" s="5" t="s">
        <v>18</v>
      </c>
      <c r="G520" s="9"/>
      <c r="H520" s="5" t="s">
        <v>20</v>
      </c>
      <c r="I520" s="9"/>
      <c r="J520" s="8" t="s">
        <v>21</v>
      </c>
      <c r="K520" s="9"/>
      <c r="L520" s="8" t="s">
        <v>22</v>
      </c>
      <c r="M520" s="9"/>
      <c r="N520" s="5"/>
      <c r="O520" s="5"/>
    </row>
    <row r="521" ht="22.5" customHeight="1">
      <c r="A521" s="5"/>
      <c r="B521" s="5"/>
      <c r="C521" s="5"/>
      <c r="D521" s="9"/>
      <c r="E521" s="9"/>
      <c r="F521" s="5" t="s">
        <v>18</v>
      </c>
      <c r="G521" s="9"/>
      <c r="H521" s="5" t="s">
        <v>20</v>
      </c>
      <c r="I521" s="9"/>
      <c r="J521" s="8" t="s">
        <v>21</v>
      </c>
      <c r="K521" s="9"/>
      <c r="L521" s="8" t="s">
        <v>22</v>
      </c>
      <c r="M521" s="9"/>
      <c r="N521" s="5"/>
      <c r="O521" s="5"/>
    </row>
    <row r="522" ht="22.5" customHeight="1">
      <c r="A522" s="5"/>
      <c r="B522" s="5"/>
      <c r="C522" s="5"/>
      <c r="D522" s="9"/>
      <c r="E522" s="9"/>
      <c r="F522" s="5" t="s">
        <v>18</v>
      </c>
      <c r="G522" s="9"/>
      <c r="H522" s="5" t="s">
        <v>20</v>
      </c>
      <c r="I522" s="9"/>
      <c r="J522" s="8" t="s">
        <v>21</v>
      </c>
      <c r="K522" s="9"/>
      <c r="L522" s="8" t="s">
        <v>22</v>
      </c>
      <c r="M522" s="9"/>
      <c r="N522" s="5"/>
      <c r="O522" s="5"/>
    </row>
    <row r="523" ht="22.5" customHeight="1">
      <c r="A523" s="5"/>
      <c r="B523" s="5"/>
      <c r="C523" s="5"/>
      <c r="D523" s="9"/>
      <c r="E523" s="9"/>
      <c r="F523" s="5" t="s">
        <v>18</v>
      </c>
      <c r="G523" s="9"/>
      <c r="H523" s="5" t="s">
        <v>20</v>
      </c>
      <c r="I523" s="9"/>
      <c r="J523" s="8" t="s">
        <v>21</v>
      </c>
      <c r="K523" s="9"/>
      <c r="L523" s="8" t="s">
        <v>22</v>
      </c>
      <c r="M523" s="9"/>
      <c r="N523" s="5"/>
      <c r="O523" s="5"/>
    </row>
    <row r="524" ht="22.5" customHeight="1">
      <c r="A524" s="5"/>
      <c r="B524" s="5"/>
      <c r="C524" s="5"/>
      <c r="D524" s="9"/>
      <c r="E524" s="9"/>
      <c r="F524" s="5" t="s">
        <v>18</v>
      </c>
      <c r="G524" s="9"/>
      <c r="H524" s="5" t="s">
        <v>20</v>
      </c>
      <c r="I524" s="9"/>
      <c r="J524" s="8" t="s">
        <v>21</v>
      </c>
      <c r="K524" s="9"/>
      <c r="L524" s="8" t="s">
        <v>22</v>
      </c>
      <c r="M524" s="9"/>
      <c r="N524" s="5"/>
      <c r="O524" s="5"/>
    </row>
    <row r="525" ht="22.5" customHeight="1">
      <c r="A525" s="5"/>
      <c r="B525" s="5"/>
      <c r="C525" s="5"/>
      <c r="D525" s="9"/>
      <c r="E525" s="9"/>
      <c r="F525" s="5" t="s">
        <v>18</v>
      </c>
      <c r="G525" s="9"/>
      <c r="H525" s="5" t="s">
        <v>20</v>
      </c>
      <c r="I525" s="9"/>
      <c r="J525" s="8" t="s">
        <v>21</v>
      </c>
      <c r="K525" s="9"/>
      <c r="L525" s="8" t="s">
        <v>22</v>
      </c>
      <c r="M525" s="9"/>
      <c r="N525" s="5"/>
      <c r="O525" s="5"/>
    </row>
    <row r="526" ht="22.5" customHeight="1">
      <c r="A526" s="5"/>
      <c r="B526" s="5"/>
      <c r="C526" s="5"/>
      <c r="D526" s="9"/>
      <c r="E526" s="9"/>
      <c r="F526" s="5" t="s">
        <v>18</v>
      </c>
      <c r="G526" s="9"/>
      <c r="H526" s="5" t="s">
        <v>20</v>
      </c>
      <c r="I526" s="9"/>
      <c r="J526" s="8" t="s">
        <v>21</v>
      </c>
      <c r="K526" s="9"/>
      <c r="L526" s="8" t="s">
        <v>22</v>
      </c>
      <c r="M526" s="9"/>
      <c r="N526" s="5"/>
      <c r="O526" s="5"/>
    </row>
    <row r="527" ht="22.5" customHeight="1">
      <c r="A527" s="5"/>
      <c r="B527" s="5"/>
      <c r="C527" s="5"/>
      <c r="D527" s="9"/>
      <c r="E527" s="9"/>
      <c r="F527" s="5" t="s">
        <v>18</v>
      </c>
      <c r="G527" s="9"/>
      <c r="H527" s="5" t="s">
        <v>20</v>
      </c>
      <c r="I527" s="9"/>
      <c r="J527" s="8" t="s">
        <v>21</v>
      </c>
      <c r="K527" s="9"/>
      <c r="L527" s="8" t="s">
        <v>22</v>
      </c>
      <c r="M527" s="9"/>
      <c r="N527" s="5"/>
      <c r="O527" s="5"/>
    </row>
    <row r="528" ht="22.5" customHeight="1">
      <c r="A528" s="5"/>
      <c r="B528" s="5"/>
      <c r="C528" s="5"/>
      <c r="D528" s="9"/>
      <c r="E528" s="9"/>
      <c r="F528" s="5" t="s">
        <v>18</v>
      </c>
      <c r="G528" s="9"/>
      <c r="H528" s="5" t="s">
        <v>20</v>
      </c>
      <c r="I528" s="9"/>
      <c r="J528" s="8" t="s">
        <v>21</v>
      </c>
      <c r="K528" s="9"/>
      <c r="L528" s="8" t="s">
        <v>22</v>
      </c>
      <c r="M528" s="9"/>
      <c r="N528" s="5"/>
      <c r="O528" s="5"/>
    </row>
    <row r="529" ht="22.5" customHeight="1">
      <c r="A529" s="5"/>
      <c r="B529" s="5"/>
      <c r="C529" s="5"/>
      <c r="D529" s="9"/>
      <c r="E529" s="9"/>
      <c r="F529" s="5" t="s">
        <v>18</v>
      </c>
      <c r="G529" s="9"/>
      <c r="H529" s="5" t="s">
        <v>20</v>
      </c>
      <c r="I529" s="9"/>
      <c r="J529" s="8" t="s">
        <v>21</v>
      </c>
      <c r="K529" s="9"/>
      <c r="L529" s="8" t="s">
        <v>22</v>
      </c>
      <c r="M529" s="9"/>
      <c r="N529" s="5"/>
      <c r="O529" s="5"/>
    </row>
    <row r="530" ht="22.5" customHeight="1">
      <c r="A530" s="5"/>
      <c r="B530" s="5"/>
      <c r="C530" s="5"/>
      <c r="D530" s="9"/>
      <c r="E530" s="9"/>
      <c r="F530" s="5" t="s">
        <v>18</v>
      </c>
      <c r="G530" s="9"/>
      <c r="H530" s="5" t="s">
        <v>20</v>
      </c>
      <c r="I530" s="9"/>
      <c r="J530" s="8" t="s">
        <v>21</v>
      </c>
      <c r="K530" s="9"/>
      <c r="L530" s="8" t="s">
        <v>22</v>
      </c>
      <c r="M530" s="9"/>
      <c r="N530" s="5"/>
      <c r="O530" s="5"/>
    </row>
    <row r="531" ht="22.5" customHeight="1">
      <c r="A531" s="5"/>
      <c r="B531" s="5"/>
      <c r="C531" s="5"/>
      <c r="D531" s="9"/>
      <c r="E531" s="9"/>
      <c r="F531" s="5" t="s">
        <v>18</v>
      </c>
      <c r="G531" s="9"/>
      <c r="H531" s="5" t="s">
        <v>20</v>
      </c>
      <c r="I531" s="9"/>
      <c r="J531" s="8" t="s">
        <v>21</v>
      </c>
      <c r="K531" s="9"/>
      <c r="L531" s="8" t="s">
        <v>22</v>
      </c>
      <c r="M531" s="9"/>
      <c r="N531" s="5"/>
      <c r="O531" s="5"/>
    </row>
    <row r="532" ht="22.5" customHeight="1">
      <c r="A532" s="5"/>
      <c r="B532" s="5"/>
      <c r="C532" s="5"/>
      <c r="D532" s="9"/>
      <c r="E532" s="9"/>
      <c r="F532" s="5" t="s">
        <v>18</v>
      </c>
      <c r="G532" s="9"/>
      <c r="H532" s="5" t="s">
        <v>20</v>
      </c>
      <c r="I532" s="9"/>
      <c r="J532" s="8" t="s">
        <v>21</v>
      </c>
      <c r="K532" s="9"/>
      <c r="L532" s="8" t="s">
        <v>22</v>
      </c>
      <c r="M532" s="9"/>
      <c r="N532" s="5"/>
      <c r="O532" s="5"/>
    </row>
    <row r="533" ht="22.5" customHeight="1">
      <c r="A533" s="5"/>
      <c r="B533" s="5"/>
      <c r="C533" s="5"/>
      <c r="D533" s="9"/>
      <c r="E533" s="9"/>
      <c r="F533" s="5" t="s">
        <v>18</v>
      </c>
      <c r="G533" s="9"/>
      <c r="H533" s="5" t="s">
        <v>20</v>
      </c>
      <c r="I533" s="9"/>
      <c r="J533" s="8" t="s">
        <v>21</v>
      </c>
      <c r="K533" s="9"/>
      <c r="L533" s="8" t="s">
        <v>22</v>
      </c>
      <c r="M533" s="9"/>
      <c r="N533" s="5"/>
      <c r="O533" s="5"/>
    </row>
    <row r="534" ht="22.5" customHeight="1">
      <c r="A534" s="5"/>
      <c r="B534" s="5"/>
      <c r="C534" s="5"/>
      <c r="D534" s="9"/>
      <c r="E534" s="9"/>
      <c r="F534" s="5" t="s">
        <v>18</v>
      </c>
      <c r="G534" s="9"/>
      <c r="H534" s="5" t="s">
        <v>20</v>
      </c>
      <c r="I534" s="9"/>
      <c r="J534" s="8" t="s">
        <v>21</v>
      </c>
      <c r="K534" s="9"/>
      <c r="L534" s="8" t="s">
        <v>22</v>
      </c>
      <c r="M534" s="9"/>
      <c r="N534" s="5"/>
      <c r="O534" s="5"/>
    </row>
    <row r="535" ht="22.5" customHeight="1">
      <c r="A535" s="5"/>
      <c r="B535" s="5"/>
      <c r="C535" s="5"/>
      <c r="D535" s="9"/>
      <c r="E535" s="9"/>
      <c r="F535" s="5" t="s">
        <v>18</v>
      </c>
      <c r="G535" s="9"/>
      <c r="H535" s="5" t="s">
        <v>20</v>
      </c>
      <c r="I535" s="9"/>
      <c r="J535" s="8" t="s">
        <v>21</v>
      </c>
      <c r="K535" s="9"/>
      <c r="L535" s="8" t="s">
        <v>22</v>
      </c>
      <c r="M535" s="9"/>
      <c r="N535" s="5"/>
      <c r="O535" s="5"/>
    </row>
    <row r="536" ht="22.5" customHeight="1">
      <c r="A536" s="5"/>
      <c r="B536" s="5"/>
      <c r="C536" s="5"/>
      <c r="D536" s="9"/>
      <c r="E536" s="9"/>
      <c r="F536" s="5" t="s">
        <v>18</v>
      </c>
      <c r="G536" s="9"/>
      <c r="H536" s="5" t="s">
        <v>20</v>
      </c>
      <c r="I536" s="9"/>
      <c r="J536" s="8" t="s">
        <v>21</v>
      </c>
      <c r="K536" s="9"/>
      <c r="L536" s="8" t="s">
        <v>22</v>
      </c>
      <c r="M536" s="9"/>
      <c r="N536" s="5"/>
      <c r="O536" s="5"/>
    </row>
    <row r="537" ht="22.5" customHeight="1">
      <c r="A537" s="5"/>
      <c r="B537" s="5"/>
      <c r="C537" s="5"/>
      <c r="D537" s="9"/>
      <c r="E537" s="9"/>
      <c r="F537" s="5" t="s">
        <v>18</v>
      </c>
      <c r="G537" s="9"/>
      <c r="H537" s="5" t="s">
        <v>20</v>
      </c>
      <c r="I537" s="9"/>
      <c r="J537" s="8" t="s">
        <v>21</v>
      </c>
      <c r="K537" s="9"/>
      <c r="L537" s="8" t="s">
        <v>22</v>
      </c>
      <c r="M537" s="9"/>
      <c r="N537" s="5"/>
      <c r="O537" s="5"/>
    </row>
    <row r="538" ht="22.5" customHeight="1">
      <c r="A538" s="5"/>
      <c r="B538" s="5"/>
      <c r="C538" s="5"/>
      <c r="D538" s="9"/>
      <c r="E538" s="9"/>
      <c r="F538" s="5" t="s">
        <v>18</v>
      </c>
      <c r="G538" s="9"/>
      <c r="H538" s="5" t="s">
        <v>20</v>
      </c>
      <c r="I538" s="9"/>
      <c r="J538" s="8" t="s">
        <v>21</v>
      </c>
      <c r="K538" s="9"/>
      <c r="L538" s="8" t="s">
        <v>22</v>
      </c>
      <c r="M538" s="9"/>
      <c r="N538" s="5"/>
      <c r="O538" s="5"/>
    </row>
    <row r="539" ht="22.5" customHeight="1">
      <c r="A539" s="5"/>
      <c r="B539" s="5"/>
      <c r="C539" s="5"/>
      <c r="D539" s="9"/>
      <c r="E539" s="9"/>
      <c r="F539" s="5" t="s">
        <v>18</v>
      </c>
      <c r="G539" s="9"/>
      <c r="H539" s="5" t="s">
        <v>20</v>
      </c>
      <c r="I539" s="9"/>
      <c r="J539" s="8" t="s">
        <v>21</v>
      </c>
      <c r="K539" s="9"/>
      <c r="L539" s="8" t="s">
        <v>22</v>
      </c>
      <c r="M539" s="9"/>
      <c r="N539" s="5"/>
      <c r="O539" s="5"/>
    </row>
    <row r="540" ht="22.5" customHeight="1">
      <c r="A540" s="5"/>
      <c r="B540" s="5"/>
      <c r="C540" s="5"/>
      <c r="D540" s="9"/>
      <c r="E540" s="9"/>
      <c r="F540" s="5" t="s">
        <v>18</v>
      </c>
      <c r="G540" s="9"/>
      <c r="H540" s="5" t="s">
        <v>20</v>
      </c>
      <c r="I540" s="9"/>
      <c r="J540" s="8" t="s">
        <v>21</v>
      </c>
      <c r="K540" s="9"/>
      <c r="L540" s="8" t="s">
        <v>22</v>
      </c>
      <c r="M540" s="9"/>
      <c r="N540" s="5"/>
      <c r="O540" s="5"/>
    </row>
    <row r="541" ht="22.5" customHeight="1">
      <c r="A541" s="5"/>
      <c r="B541" s="5"/>
      <c r="C541" s="5"/>
      <c r="D541" s="9"/>
      <c r="E541" s="9"/>
      <c r="F541" s="5" t="s">
        <v>18</v>
      </c>
      <c r="G541" s="9"/>
      <c r="H541" s="5" t="s">
        <v>20</v>
      </c>
      <c r="I541" s="9"/>
      <c r="J541" s="8" t="s">
        <v>21</v>
      </c>
      <c r="K541" s="9"/>
      <c r="L541" s="8" t="s">
        <v>22</v>
      </c>
      <c r="M541" s="9"/>
      <c r="N541" s="5"/>
      <c r="O541" s="5"/>
    </row>
    <row r="542" ht="22.5" customHeight="1">
      <c r="A542" s="5"/>
      <c r="B542" s="5"/>
      <c r="C542" s="5"/>
      <c r="D542" s="9"/>
      <c r="E542" s="9"/>
      <c r="F542" s="5" t="s">
        <v>18</v>
      </c>
      <c r="G542" s="9"/>
      <c r="H542" s="5" t="s">
        <v>20</v>
      </c>
      <c r="I542" s="9"/>
      <c r="J542" s="8" t="s">
        <v>21</v>
      </c>
      <c r="K542" s="9"/>
      <c r="L542" s="8" t="s">
        <v>22</v>
      </c>
      <c r="M542" s="9"/>
      <c r="N542" s="5"/>
      <c r="O542" s="5"/>
    </row>
    <row r="543" ht="22.5" customHeight="1">
      <c r="A543" s="5"/>
      <c r="B543" s="5"/>
      <c r="C543" s="5"/>
      <c r="D543" s="9"/>
      <c r="E543" s="9"/>
      <c r="F543" s="5" t="s">
        <v>18</v>
      </c>
      <c r="G543" s="9"/>
      <c r="H543" s="5" t="s">
        <v>20</v>
      </c>
      <c r="I543" s="9"/>
      <c r="J543" s="8" t="s">
        <v>21</v>
      </c>
      <c r="K543" s="9"/>
      <c r="L543" s="8" t="s">
        <v>22</v>
      </c>
      <c r="M543" s="9"/>
      <c r="N543" s="5"/>
      <c r="O543" s="5"/>
    </row>
    <row r="544" ht="22.5" customHeight="1">
      <c r="A544" s="5"/>
      <c r="B544" s="5"/>
      <c r="C544" s="5"/>
      <c r="D544" s="9"/>
      <c r="E544" s="9"/>
      <c r="F544" s="5" t="s">
        <v>18</v>
      </c>
      <c r="G544" s="9"/>
      <c r="H544" s="5" t="s">
        <v>20</v>
      </c>
      <c r="I544" s="9"/>
      <c r="J544" s="8" t="s">
        <v>21</v>
      </c>
      <c r="K544" s="9"/>
      <c r="L544" s="8" t="s">
        <v>22</v>
      </c>
      <c r="M544" s="9"/>
      <c r="N544" s="5"/>
      <c r="O544" s="5"/>
    </row>
    <row r="545" ht="22.5" customHeight="1">
      <c r="A545" s="5"/>
      <c r="B545" s="5"/>
      <c r="C545" s="5"/>
      <c r="D545" s="9"/>
      <c r="E545" s="9"/>
      <c r="F545" s="5" t="s">
        <v>18</v>
      </c>
      <c r="G545" s="9"/>
      <c r="H545" s="5" t="s">
        <v>20</v>
      </c>
      <c r="I545" s="9"/>
      <c r="J545" s="8" t="s">
        <v>21</v>
      </c>
      <c r="K545" s="9"/>
      <c r="L545" s="8" t="s">
        <v>22</v>
      </c>
      <c r="M545" s="9"/>
      <c r="N545" s="5"/>
      <c r="O545" s="5"/>
    </row>
    <row r="546" ht="22.5" customHeight="1">
      <c r="A546" s="5"/>
      <c r="B546" s="5"/>
      <c r="C546" s="5"/>
      <c r="D546" s="9"/>
      <c r="E546" s="9"/>
      <c r="F546" s="5" t="s">
        <v>18</v>
      </c>
      <c r="G546" s="9"/>
      <c r="H546" s="5" t="s">
        <v>20</v>
      </c>
      <c r="I546" s="9"/>
      <c r="J546" s="8" t="s">
        <v>21</v>
      </c>
      <c r="K546" s="9"/>
      <c r="L546" s="8" t="s">
        <v>22</v>
      </c>
      <c r="M546" s="9"/>
      <c r="N546" s="5"/>
      <c r="O546" s="5"/>
    </row>
    <row r="547" ht="22.5" customHeight="1">
      <c r="A547" s="5"/>
      <c r="B547" s="5"/>
      <c r="C547" s="5"/>
      <c r="D547" s="9"/>
      <c r="E547" s="9"/>
      <c r="F547" s="5" t="s">
        <v>18</v>
      </c>
      <c r="G547" s="9"/>
      <c r="H547" s="5" t="s">
        <v>20</v>
      </c>
      <c r="I547" s="9"/>
      <c r="J547" s="8" t="s">
        <v>21</v>
      </c>
      <c r="K547" s="9"/>
      <c r="L547" s="8" t="s">
        <v>22</v>
      </c>
      <c r="M547" s="9"/>
      <c r="N547" s="5"/>
      <c r="O547" s="5"/>
    </row>
    <row r="548" ht="22.5" customHeight="1">
      <c r="A548" s="5"/>
      <c r="B548" s="5"/>
      <c r="C548" s="5"/>
      <c r="D548" s="9"/>
      <c r="E548" s="9"/>
      <c r="F548" s="5" t="s">
        <v>18</v>
      </c>
      <c r="G548" s="9"/>
      <c r="H548" s="5" t="s">
        <v>20</v>
      </c>
      <c r="I548" s="9"/>
      <c r="J548" s="8" t="s">
        <v>21</v>
      </c>
      <c r="K548" s="9"/>
      <c r="L548" s="8" t="s">
        <v>22</v>
      </c>
      <c r="M548" s="9"/>
      <c r="N548" s="5"/>
      <c r="O548" s="5"/>
    </row>
    <row r="549" ht="22.5" customHeight="1">
      <c r="A549" s="5"/>
      <c r="B549" s="5"/>
      <c r="C549" s="5"/>
      <c r="D549" s="9"/>
      <c r="E549" s="9"/>
      <c r="F549" s="5" t="s">
        <v>18</v>
      </c>
      <c r="G549" s="9"/>
      <c r="H549" s="5" t="s">
        <v>20</v>
      </c>
      <c r="I549" s="9"/>
      <c r="J549" s="8" t="s">
        <v>21</v>
      </c>
      <c r="K549" s="9"/>
      <c r="L549" s="8" t="s">
        <v>22</v>
      </c>
      <c r="M549" s="9"/>
      <c r="N549" s="5"/>
      <c r="O549" s="5"/>
    </row>
    <row r="550" ht="22.5" customHeight="1">
      <c r="A550" s="5"/>
      <c r="B550" s="5"/>
      <c r="C550" s="5"/>
      <c r="D550" s="9"/>
      <c r="E550" s="9"/>
      <c r="F550" s="5" t="s">
        <v>18</v>
      </c>
      <c r="G550" s="9"/>
      <c r="H550" s="5" t="s">
        <v>20</v>
      </c>
      <c r="I550" s="9"/>
      <c r="J550" s="8" t="s">
        <v>21</v>
      </c>
      <c r="K550" s="9"/>
      <c r="L550" s="8" t="s">
        <v>22</v>
      </c>
      <c r="M550" s="9"/>
      <c r="N550" s="5"/>
      <c r="O550" s="5"/>
    </row>
    <row r="551" ht="22.5" customHeight="1">
      <c r="A551" s="5"/>
      <c r="B551" s="5"/>
      <c r="C551" s="5"/>
      <c r="D551" s="9"/>
      <c r="E551" s="9"/>
      <c r="F551" s="5" t="s">
        <v>18</v>
      </c>
      <c r="G551" s="9"/>
      <c r="H551" s="5" t="s">
        <v>20</v>
      </c>
      <c r="I551" s="9"/>
      <c r="J551" s="8" t="s">
        <v>21</v>
      </c>
      <c r="K551" s="9"/>
      <c r="L551" s="8" t="s">
        <v>22</v>
      </c>
      <c r="M551" s="9"/>
      <c r="N551" s="5"/>
      <c r="O551" s="5"/>
    </row>
    <row r="552" ht="22.5" customHeight="1">
      <c r="A552" s="5"/>
      <c r="B552" s="5"/>
      <c r="C552" s="5"/>
      <c r="D552" s="9"/>
      <c r="E552" s="9"/>
      <c r="F552" s="5" t="s">
        <v>18</v>
      </c>
      <c r="G552" s="9"/>
      <c r="H552" s="5" t="s">
        <v>20</v>
      </c>
      <c r="I552" s="9"/>
      <c r="J552" s="8" t="s">
        <v>21</v>
      </c>
      <c r="K552" s="9"/>
      <c r="L552" s="8" t="s">
        <v>22</v>
      </c>
      <c r="M552" s="9"/>
      <c r="N552" s="5"/>
      <c r="O552" s="5"/>
    </row>
    <row r="553" ht="22.5" customHeight="1">
      <c r="A553" s="5"/>
      <c r="B553" s="5"/>
      <c r="C553" s="5"/>
      <c r="D553" s="9"/>
      <c r="E553" s="9"/>
      <c r="F553" s="5" t="s">
        <v>18</v>
      </c>
      <c r="G553" s="9"/>
      <c r="H553" s="5" t="s">
        <v>20</v>
      </c>
      <c r="I553" s="9"/>
      <c r="J553" s="8" t="s">
        <v>21</v>
      </c>
      <c r="K553" s="9"/>
      <c r="L553" s="8" t="s">
        <v>22</v>
      </c>
      <c r="M553" s="9"/>
      <c r="N553" s="5"/>
      <c r="O553" s="5"/>
    </row>
    <row r="554" ht="22.5" customHeight="1">
      <c r="A554" s="5"/>
      <c r="B554" s="5"/>
      <c r="C554" s="5"/>
      <c r="D554" s="9"/>
      <c r="E554" s="9"/>
      <c r="F554" s="5" t="s">
        <v>18</v>
      </c>
      <c r="G554" s="9"/>
      <c r="H554" s="5" t="s">
        <v>20</v>
      </c>
      <c r="I554" s="9"/>
      <c r="J554" s="8" t="s">
        <v>21</v>
      </c>
      <c r="K554" s="9"/>
      <c r="L554" s="8" t="s">
        <v>22</v>
      </c>
      <c r="M554" s="9"/>
      <c r="N554" s="5"/>
      <c r="O554" s="5"/>
    </row>
    <row r="555" ht="22.5" customHeight="1">
      <c r="A555" s="5"/>
      <c r="B555" s="5"/>
      <c r="C555" s="5"/>
      <c r="D555" s="9"/>
      <c r="E555" s="9"/>
      <c r="F555" s="5" t="s">
        <v>18</v>
      </c>
      <c r="G555" s="9"/>
      <c r="H555" s="5" t="s">
        <v>20</v>
      </c>
      <c r="I555" s="9"/>
      <c r="J555" s="8" t="s">
        <v>21</v>
      </c>
      <c r="K555" s="9"/>
      <c r="L555" s="8" t="s">
        <v>22</v>
      </c>
      <c r="M555" s="9"/>
      <c r="N555" s="5"/>
      <c r="O555" s="5"/>
    </row>
    <row r="556" ht="22.5" customHeight="1">
      <c r="A556" s="5"/>
      <c r="B556" s="5"/>
      <c r="C556" s="5"/>
      <c r="D556" s="9"/>
      <c r="E556" s="9"/>
      <c r="F556" s="5" t="s">
        <v>18</v>
      </c>
      <c r="G556" s="9"/>
      <c r="H556" s="5" t="s">
        <v>20</v>
      </c>
      <c r="I556" s="9"/>
      <c r="J556" s="8" t="s">
        <v>21</v>
      </c>
      <c r="K556" s="9"/>
      <c r="L556" s="8" t="s">
        <v>22</v>
      </c>
      <c r="M556" s="9"/>
      <c r="N556" s="5"/>
      <c r="O556" s="5"/>
    </row>
    <row r="557" ht="22.5" customHeight="1">
      <c r="A557" s="5"/>
      <c r="B557" s="5"/>
      <c r="C557" s="5"/>
      <c r="D557" s="9"/>
      <c r="E557" s="9"/>
      <c r="F557" s="5" t="s">
        <v>18</v>
      </c>
      <c r="G557" s="9"/>
      <c r="H557" s="5" t="s">
        <v>20</v>
      </c>
      <c r="I557" s="9"/>
      <c r="J557" s="8" t="s">
        <v>21</v>
      </c>
      <c r="K557" s="9"/>
      <c r="L557" s="8" t="s">
        <v>22</v>
      </c>
      <c r="M557" s="9"/>
      <c r="N557" s="5"/>
      <c r="O557" s="5"/>
    </row>
    <row r="558" ht="22.5" customHeight="1">
      <c r="A558" s="5"/>
      <c r="B558" s="5"/>
      <c r="C558" s="5"/>
      <c r="D558" s="9"/>
      <c r="E558" s="9"/>
      <c r="F558" s="5" t="s">
        <v>18</v>
      </c>
      <c r="G558" s="9"/>
      <c r="H558" s="5" t="s">
        <v>20</v>
      </c>
      <c r="I558" s="9"/>
      <c r="J558" s="8" t="s">
        <v>21</v>
      </c>
      <c r="K558" s="9"/>
      <c r="L558" s="8" t="s">
        <v>22</v>
      </c>
      <c r="M558" s="9"/>
      <c r="N558" s="5"/>
      <c r="O558" s="5"/>
    </row>
    <row r="559" ht="22.5" customHeight="1">
      <c r="A559" s="5"/>
      <c r="B559" s="5"/>
      <c r="C559" s="5"/>
      <c r="D559" s="9"/>
      <c r="E559" s="9"/>
      <c r="F559" s="5" t="s">
        <v>18</v>
      </c>
      <c r="G559" s="9"/>
      <c r="H559" s="5" t="s">
        <v>20</v>
      </c>
      <c r="I559" s="9"/>
      <c r="J559" s="8" t="s">
        <v>21</v>
      </c>
      <c r="K559" s="9"/>
      <c r="L559" s="8" t="s">
        <v>22</v>
      </c>
      <c r="M559" s="9"/>
      <c r="N559" s="5"/>
      <c r="O559" s="5"/>
    </row>
    <row r="560" ht="22.5" customHeight="1">
      <c r="A560" s="5"/>
      <c r="B560" s="5"/>
      <c r="C560" s="5"/>
      <c r="D560" s="9"/>
      <c r="E560" s="9"/>
      <c r="F560" s="5" t="s">
        <v>18</v>
      </c>
      <c r="G560" s="9"/>
      <c r="H560" s="5" t="s">
        <v>20</v>
      </c>
      <c r="I560" s="9"/>
      <c r="J560" s="8" t="s">
        <v>21</v>
      </c>
      <c r="K560" s="9"/>
      <c r="L560" s="8" t="s">
        <v>22</v>
      </c>
      <c r="M560" s="9"/>
      <c r="N560" s="5"/>
      <c r="O560" s="5"/>
    </row>
    <row r="561" ht="22.5" customHeight="1">
      <c r="A561" s="5"/>
      <c r="B561" s="5"/>
      <c r="C561" s="5"/>
      <c r="D561" s="9"/>
      <c r="E561" s="9"/>
      <c r="F561" s="5" t="s">
        <v>18</v>
      </c>
      <c r="G561" s="9"/>
      <c r="H561" s="5" t="s">
        <v>20</v>
      </c>
      <c r="I561" s="9"/>
      <c r="J561" s="8" t="s">
        <v>21</v>
      </c>
      <c r="K561" s="9"/>
      <c r="L561" s="8" t="s">
        <v>22</v>
      </c>
      <c r="M561" s="9"/>
      <c r="N561" s="5"/>
      <c r="O561" s="5"/>
    </row>
    <row r="562" ht="22.5" customHeight="1">
      <c r="A562" s="5"/>
      <c r="B562" s="5"/>
      <c r="C562" s="5"/>
      <c r="D562" s="9"/>
      <c r="E562" s="9"/>
      <c r="F562" s="5" t="s">
        <v>18</v>
      </c>
      <c r="G562" s="9"/>
      <c r="H562" s="5" t="s">
        <v>20</v>
      </c>
      <c r="I562" s="9"/>
      <c r="J562" s="8" t="s">
        <v>21</v>
      </c>
      <c r="K562" s="9"/>
      <c r="L562" s="8" t="s">
        <v>22</v>
      </c>
      <c r="M562" s="9"/>
      <c r="N562" s="5"/>
      <c r="O562" s="5"/>
    </row>
    <row r="563" ht="22.5" customHeight="1">
      <c r="A563" s="5"/>
      <c r="B563" s="5"/>
      <c r="C563" s="5"/>
      <c r="D563" s="9"/>
      <c r="E563" s="9"/>
      <c r="F563" s="5" t="s">
        <v>18</v>
      </c>
      <c r="G563" s="9"/>
      <c r="H563" s="5" t="s">
        <v>20</v>
      </c>
      <c r="I563" s="9"/>
      <c r="J563" s="8" t="s">
        <v>21</v>
      </c>
      <c r="K563" s="9"/>
      <c r="L563" s="8" t="s">
        <v>22</v>
      </c>
      <c r="M563" s="9"/>
      <c r="N563" s="5"/>
      <c r="O563" s="5"/>
    </row>
    <row r="564" ht="22.5" customHeight="1">
      <c r="A564" s="5"/>
      <c r="B564" s="5"/>
      <c r="C564" s="5"/>
      <c r="D564" s="9"/>
      <c r="E564" s="9"/>
      <c r="F564" s="5" t="s">
        <v>18</v>
      </c>
      <c r="G564" s="9"/>
      <c r="H564" s="5" t="s">
        <v>20</v>
      </c>
      <c r="I564" s="9"/>
      <c r="J564" s="8" t="s">
        <v>21</v>
      </c>
      <c r="K564" s="9"/>
      <c r="L564" s="8" t="s">
        <v>22</v>
      </c>
      <c r="M564" s="9"/>
      <c r="N564" s="5"/>
      <c r="O564" s="5"/>
    </row>
    <row r="565" ht="22.5" customHeight="1">
      <c r="A565" s="5"/>
      <c r="B565" s="5"/>
      <c r="C565" s="5"/>
      <c r="D565" s="9"/>
      <c r="E565" s="9"/>
      <c r="F565" s="5" t="s">
        <v>18</v>
      </c>
      <c r="G565" s="9"/>
      <c r="H565" s="5" t="s">
        <v>20</v>
      </c>
      <c r="I565" s="9"/>
      <c r="J565" s="8" t="s">
        <v>21</v>
      </c>
      <c r="K565" s="9"/>
      <c r="L565" s="8" t="s">
        <v>22</v>
      </c>
      <c r="M565" s="9"/>
      <c r="N565" s="5"/>
      <c r="O565" s="5"/>
    </row>
    <row r="566" ht="22.5" customHeight="1">
      <c r="A566" s="5"/>
      <c r="B566" s="5"/>
      <c r="C566" s="5"/>
      <c r="D566" s="9"/>
      <c r="E566" s="9"/>
      <c r="F566" s="5" t="s">
        <v>18</v>
      </c>
      <c r="G566" s="9"/>
      <c r="H566" s="5" t="s">
        <v>20</v>
      </c>
      <c r="I566" s="9"/>
      <c r="J566" s="8" t="s">
        <v>21</v>
      </c>
      <c r="K566" s="9"/>
      <c r="L566" s="8" t="s">
        <v>22</v>
      </c>
      <c r="M566" s="9"/>
      <c r="N566" s="5"/>
      <c r="O566" s="5"/>
    </row>
    <row r="567" ht="22.5" customHeight="1">
      <c r="A567" s="5"/>
      <c r="B567" s="5"/>
      <c r="C567" s="5"/>
      <c r="D567" s="9"/>
      <c r="E567" s="9"/>
      <c r="F567" s="5" t="s">
        <v>18</v>
      </c>
      <c r="G567" s="9"/>
      <c r="H567" s="5" t="s">
        <v>20</v>
      </c>
      <c r="I567" s="9"/>
      <c r="J567" s="8" t="s">
        <v>21</v>
      </c>
      <c r="K567" s="9"/>
      <c r="L567" s="8" t="s">
        <v>22</v>
      </c>
      <c r="M567" s="9"/>
      <c r="N567" s="5"/>
      <c r="O567" s="5"/>
    </row>
    <row r="568" ht="22.5" customHeight="1">
      <c r="A568" s="5"/>
      <c r="B568" s="5"/>
      <c r="C568" s="5"/>
      <c r="D568" s="9"/>
      <c r="E568" s="9"/>
      <c r="F568" s="5" t="s">
        <v>18</v>
      </c>
      <c r="G568" s="9"/>
      <c r="H568" s="5" t="s">
        <v>20</v>
      </c>
      <c r="I568" s="9"/>
      <c r="J568" s="8" t="s">
        <v>21</v>
      </c>
      <c r="K568" s="9"/>
      <c r="L568" s="8" t="s">
        <v>22</v>
      </c>
      <c r="M568" s="9"/>
      <c r="N568" s="5"/>
      <c r="O568" s="5"/>
    </row>
    <row r="569" ht="22.5" customHeight="1">
      <c r="A569" s="5"/>
      <c r="B569" s="5"/>
      <c r="C569" s="5"/>
      <c r="D569" s="9"/>
      <c r="E569" s="9"/>
      <c r="F569" s="5" t="s">
        <v>18</v>
      </c>
      <c r="G569" s="9"/>
      <c r="H569" s="5" t="s">
        <v>20</v>
      </c>
      <c r="I569" s="9"/>
      <c r="J569" s="8" t="s">
        <v>21</v>
      </c>
      <c r="K569" s="9"/>
      <c r="L569" s="8" t="s">
        <v>22</v>
      </c>
      <c r="M569" s="9"/>
      <c r="N569" s="5"/>
      <c r="O569" s="5"/>
    </row>
    <row r="570" ht="22.5" customHeight="1">
      <c r="A570" s="5"/>
      <c r="B570" s="5"/>
      <c r="C570" s="5"/>
      <c r="D570" s="9"/>
      <c r="E570" s="9"/>
      <c r="F570" s="5" t="s">
        <v>18</v>
      </c>
      <c r="G570" s="9"/>
      <c r="H570" s="5" t="s">
        <v>20</v>
      </c>
      <c r="I570" s="9"/>
      <c r="J570" s="8" t="s">
        <v>21</v>
      </c>
      <c r="K570" s="9"/>
      <c r="L570" s="8" t="s">
        <v>22</v>
      </c>
      <c r="M570" s="9"/>
      <c r="N570" s="5"/>
      <c r="O570" s="5"/>
    </row>
    <row r="571" ht="22.5" customHeight="1">
      <c r="A571" s="5"/>
      <c r="B571" s="5"/>
      <c r="C571" s="5"/>
      <c r="D571" s="9"/>
      <c r="E571" s="9"/>
      <c r="F571" s="5" t="s">
        <v>18</v>
      </c>
      <c r="G571" s="9"/>
      <c r="H571" s="5" t="s">
        <v>20</v>
      </c>
      <c r="I571" s="9"/>
      <c r="J571" s="8" t="s">
        <v>21</v>
      </c>
      <c r="K571" s="9"/>
      <c r="L571" s="8" t="s">
        <v>22</v>
      </c>
      <c r="M571" s="9"/>
      <c r="N571" s="5"/>
      <c r="O571" s="5"/>
    </row>
    <row r="572" ht="22.5" customHeight="1">
      <c r="A572" s="5"/>
      <c r="B572" s="5"/>
      <c r="C572" s="5"/>
      <c r="D572" s="9"/>
      <c r="E572" s="9"/>
      <c r="F572" s="5" t="s">
        <v>18</v>
      </c>
      <c r="G572" s="9"/>
      <c r="H572" s="5" t="s">
        <v>20</v>
      </c>
      <c r="I572" s="9"/>
      <c r="J572" s="8" t="s">
        <v>21</v>
      </c>
      <c r="K572" s="9"/>
      <c r="L572" s="8" t="s">
        <v>22</v>
      </c>
      <c r="M572" s="9"/>
      <c r="N572" s="5"/>
      <c r="O572" s="5"/>
    </row>
    <row r="573" ht="22.5" customHeight="1">
      <c r="A573" s="5"/>
      <c r="B573" s="5"/>
      <c r="C573" s="5"/>
      <c r="D573" s="9"/>
      <c r="E573" s="9"/>
      <c r="F573" s="5" t="s">
        <v>18</v>
      </c>
      <c r="G573" s="9"/>
      <c r="H573" s="5" t="s">
        <v>20</v>
      </c>
      <c r="I573" s="9"/>
      <c r="J573" s="8" t="s">
        <v>21</v>
      </c>
      <c r="K573" s="9"/>
      <c r="L573" s="8" t="s">
        <v>22</v>
      </c>
      <c r="M573" s="9"/>
      <c r="N573" s="5"/>
      <c r="O573" s="5"/>
    </row>
    <row r="574" ht="22.5" customHeight="1">
      <c r="A574" s="5"/>
      <c r="B574" s="5"/>
      <c r="C574" s="5"/>
      <c r="D574" s="9"/>
      <c r="E574" s="9"/>
      <c r="F574" s="5" t="s">
        <v>18</v>
      </c>
      <c r="G574" s="9"/>
      <c r="H574" s="5" t="s">
        <v>20</v>
      </c>
      <c r="I574" s="9"/>
      <c r="J574" s="8" t="s">
        <v>21</v>
      </c>
      <c r="K574" s="9"/>
      <c r="L574" s="8" t="s">
        <v>22</v>
      </c>
      <c r="M574" s="9"/>
      <c r="N574" s="5"/>
      <c r="O574" s="5"/>
    </row>
    <row r="575" ht="22.5" customHeight="1">
      <c r="A575" s="5"/>
      <c r="B575" s="5"/>
      <c r="C575" s="5"/>
      <c r="D575" s="9"/>
      <c r="E575" s="9"/>
      <c r="F575" s="5" t="s">
        <v>18</v>
      </c>
      <c r="G575" s="9"/>
      <c r="H575" s="5" t="s">
        <v>20</v>
      </c>
      <c r="I575" s="9"/>
      <c r="J575" s="8" t="s">
        <v>21</v>
      </c>
      <c r="K575" s="9"/>
      <c r="L575" s="8" t="s">
        <v>22</v>
      </c>
      <c r="M575" s="9"/>
      <c r="N575" s="5"/>
      <c r="O575" s="5"/>
    </row>
    <row r="576" ht="22.5" customHeight="1">
      <c r="A576" s="5"/>
      <c r="B576" s="5"/>
      <c r="C576" s="5"/>
      <c r="D576" s="9"/>
      <c r="E576" s="9"/>
      <c r="F576" s="5" t="s">
        <v>18</v>
      </c>
      <c r="G576" s="9"/>
      <c r="H576" s="5" t="s">
        <v>20</v>
      </c>
      <c r="I576" s="9"/>
      <c r="J576" s="8" t="s">
        <v>21</v>
      </c>
      <c r="K576" s="9"/>
      <c r="L576" s="8" t="s">
        <v>22</v>
      </c>
      <c r="M576" s="9"/>
      <c r="N576" s="5"/>
      <c r="O576" s="5"/>
    </row>
    <row r="577" ht="22.5" customHeight="1">
      <c r="A577" s="5"/>
      <c r="B577" s="5"/>
      <c r="C577" s="5"/>
      <c r="D577" s="9"/>
      <c r="E577" s="9"/>
      <c r="F577" s="5" t="s">
        <v>18</v>
      </c>
      <c r="G577" s="9"/>
      <c r="H577" s="5" t="s">
        <v>20</v>
      </c>
      <c r="I577" s="9"/>
      <c r="J577" s="8" t="s">
        <v>21</v>
      </c>
      <c r="K577" s="9"/>
      <c r="L577" s="8" t="s">
        <v>22</v>
      </c>
      <c r="M577" s="9"/>
      <c r="N577" s="5"/>
      <c r="O577" s="5"/>
    </row>
    <row r="578" ht="22.5" customHeight="1">
      <c r="A578" s="5"/>
      <c r="B578" s="5"/>
      <c r="C578" s="5"/>
      <c r="D578" s="9"/>
      <c r="E578" s="9"/>
      <c r="F578" s="5" t="s">
        <v>18</v>
      </c>
      <c r="G578" s="9"/>
      <c r="H578" s="5" t="s">
        <v>20</v>
      </c>
      <c r="I578" s="9"/>
      <c r="J578" s="8" t="s">
        <v>21</v>
      </c>
      <c r="K578" s="9"/>
      <c r="L578" s="8" t="s">
        <v>22</v>
      </c>
      <c r="M578" s="9"/>
      <c r="N578" s="5"/>
      <c r="O578" s="5"/>
    </row>
    <row r="579" ht="22.5" customHeight="1">
      <c r="A579" s="5"/>
      <c r="B579" s="5"/>
      <c r="C579" s="5"/>
      <c r="D579" s="9"/>
      <c r="E579" s="9"/>
      <c r="F579" s="5" t="s">
        <v>18</v>
      </c>
      <c r="G579" s="9"/>
      <c r="H579" s="5" t="s">
        <v>20</v>
      </c>
      <c r="I579" s="9"/>
      <c r="J579" s="8" t="s">
        <v>21</v>
      </c>
      <c r="K579" s="9"/>
      <c r="L579" s="8" t="s">
        <v>22</v>
      </c>
      <c r="M579" s="9"/>
      <c r="N579" s="5"/>
      <c r="O579" s="5"/>
    </row>
    <row r="580" ht="22.5" customHeight="1">
      <c r="A580" s="5"/>
      <c r="B580" s="5"/>
      <c r="C580" s="5"/>
      <c r="D580" s="9"/>
      <c r="E580" s="9"/>
      <c r="F580" s="5" t="s">
        <v>18</v>
      </c>
      <c r="G580" s="9"/>
      <c r="H580" s="5" t="s">
        <v>20</v>
      </c>
      <c r="I580" s="9"/>
      <c r="J580" s="8" t="s">
        <v>21</v>
      </c>
      <c r="K580" s="9"/>
      <c r="L580" s="8" t="s">
        <v>22</v>
      </c>
      <c r="M580" s="9"/>
      <c r="N580" s="5"/>
      <c r="O580" s="5"/>
    </row>
    <row r="581" ht="22.5" customHeight="1">
      <c r="A581" s="5"/>
      <c r="B581" s="5"/>
      <c r="C581" s="5"/>
      <c r="D581" s="9"/>
      <c r="E581" s="9"/>
      <c r="F581" s="5" t="s">
        <v>18</v>
      </c>
      <c r="G581" s="9"/>
      <c r="H581" s="5" t="s">
        <v>20</v>
      </c>
      <c r="I581" s="9"/>
      <c r="J581" s="8" t="s">
        <v>21</v>
      </c>
      <c r="K581" s="9"/>
      <c r="L581" s="8" t="s">
        <v>22</v>
      </c>
      <c r="M581" s="9"/>
      <c r="N581" s="5"/>
      <c r="O581" s="5"/>
    </row>
    <row r="582" ht="22.5" customHeight="1">
      <c r="A582" s="5"/>
      <c r="B582" s="5"/>
      <c r="C582" s="5"/>
      <c r="D582" s="9"/>
      <c r="E582" s="9"/>
      <c r="F582" s="5" t="s">
        <v>18</v>
      </c>
      <c r="G582" s="9"/>
      <c r="H582" s="5" t="s">
        <v>20</v>
      </c>
      <c r="I582" s="9"/>
      <c r="J582" s="8" t="s">
        <v>21</v>
      </c>
      <c r="K582" s="9"/>
      <c r="L582" s="8" t="s">
        <v>22</v>
      </c>
      <c r="M582" s="9"/>
      <c r="N582" s="5"/>
      <c r="O582" s="5"/>
    </row>
    <row r="583" ht="22.5" customHeight="1">
      <c r="A583" s="5"/>
      <c r="B583" s="5"/>
      <c r="C583" s="5"/>
      <c r="D583" s="9"/>
      <c r="E583" s="9"/>
      <c r="F583" s="5" t="s">
        <v>18</v>
      </c>
      <c r="G583" s="9"/>
      <c r="H583" s="5" t="s">
        <v>20</v>
      </c>
      <c r="I583" s="9"/>
      <c r="J583" s="8" t="s">
        <v>21</v>
      </c>
      <c r="K583" s="9"/>
      <c r="L583" s="8" t="s">
        <v>22</v>
      </c>
      <c r="M583" s="9"/>
      <c r="N583" s="5"/>
      <c r="O583" s="5"/>
    </row>
    <row r="584" ht="22.5" customHeight="1">
      <c r="A584" s="5"/>
      <c r="B584" s="5"/>
      <c r="C584" s="5"/>
      <c r="D584" s="9"/>
      <c r="E584" s="9"/>
      <c r="F584" s="5" t="s">
        <v>18</v>
      </c>
      <c r="G584" s="9"/>
      <c r="H584" s="5" t="s">
        <v>20</v>
      </c>
      <c r="I584" s="9"/>
      <c r="J584" s="8" t="s">
        <v>21</v>
      </c>
      <c r="K584" s="9"/>
      <c r="L584" s="8" t="s">
        <v>22</v>
      </c>
      <c r="M584" s="9"/>
      <c r="N584" s="5"/>
      <c r="O584" s="5"/>
    </row>
    <row r="585" ht="22.5" customHeight="1">
      <c r="A585" s="5"/>
      <c r="B585" s="5"/>
      <c r="C585" s="5"/>
      <c r="D585" s="9"/>
      <c r="E585" s="9"/>
      <c r="F585" s="5" t="s">
        <v>18</v>
      </c>
      <c r="G585" s="9"/>
      <c r="H585" s="5" t="s">
        <v>20</v>
      </c>
      <c r="I585" s="9"/>
      <c r="J585" s="8" t="s">
        <v>21</v>
      </c>
      <c r="K585" s="9"/>
      <c r="L585" s="8" t="s">
        <v>22</v>
      </c>
      <c r="M585" s="9"/>
      <c r="N585" s="5"/>
      <c r="O585" s="5"/>
    </row>
    <row r="586" ht="22.5" customHeight="1">
      <c r="A586" s="5"/>
      <c r="B586" s="5"/>
      <c r="C586" s="5"/>
      <c r="D586" s="9"/>
      <c r="E586" s="9"/>
      <c r="F586" s="5" t="s">
        <v>18</v>
      </c>
      <c r="G586" s="9"/>
      <c r="H586" s="5" t="s">
        <v>20</v>
      </c>
      <c r="I586" s="9"/>
      <c r="J586" s="8" t="s">
        <v>21</v>
      </c>
      <c r="K586" s="9"/>
      <c r="L586" s="8" t="s">
        <v>22</v>
      </c>
      <c r="M586" s="9"/>
      <c r="N586" s="5"/>
      <c r="O586" s="5"/>
    </row>
    <row r="587" ht="22.5" customHeight="1">
      <c r="A587" s="5"/>
      <c r="B587" s="5"/>
      <c r="C587" s="5"/>
      <c r="D587" s="9"/>
      <c r="E587" s="9"/>
      <c r="F587" s="5" t="s">
        <v>18</v>
      </c>
      <c r="G587" s="9"/>
      <c r="H587" s="5" t="s">
        <v>20</v>
      </c>
      <c r="I587" s="9"/>
      <c r="J587" s="8" t="s">
        <v>21</v>
      </c>
      <c r="K587" s="9"/>
      <c r="L587" s="8" t="s">
        <v>22</v>
      </c>
      <c r="M587" s="9"/>
      <c r="N587" s="5"/>
      <c r="O587" s="5"/>
    </row>
    <row r="588" ht="22.5" customHeight="1">
      <c r="A588" s="5"/>
      <c r="B588" s="5"/>
      <c r="C588" s="5"/>
      <c r="D588" s="9"/>
      <c r="E588" s="9"/>
      <c r="F588" s="5" t="s">
        <v>18</v>
      </c>
      <c r="G588" s="9"/>
      <c r="H588" s="5" t="s">
        <v>20</v>
      </c>
      <c r="I588" s="9"/>
      <c r="J588" s="8" t="s">
        <v>21</v>
      </c>
      <c r="K588" s="9"/>
      <c r="L588" s="8" t="s">
        <v>22</v>
      </c>
      <c r="M588" s="9"/>
      <c r="N588" s="5"/>
      <c r="O588" s="5"/>
    </row>
    <row r="589" ht="22.5" customHeight="1">
      <c r="A589" s="5"/>
      <c r="B589" s="5"/>
      <c r="C589" s="5"/>
      <c r="D589" s="9"/>
      <c r="E589" s="9"/>
      <c r="F589" s="5" t="s">
        <v>18</v>
      </c>
      <c r="G589" s="9"/>
      <c r="H589" s="5" t="s">
        <v>20</v>
      </c>
      <c r="I589" s="9"/>
      <c r="J589" s="8" t="s">
        <v>21</v>
      </c>
      <c r="K589" s="9"/>
      <c r="L589" s="8" t="s">
        <v>22</v>
      </c>
      <c r="M589" s="9"/>
      <c r="N589" s="5"/>
      <c r="O589" s="5"/>
    </row>
    <row r="590" ht="22.5" customHeight="1">
      <c r="A590" s="5"/>
      <c r="B590" s="5"/>
      <c r="C590" s="5"/>
      <c r="D590" s="9"/>
      <c r="E590" s="9"/>
      <c r="F590" s="5" t="s">
        <v>18</v>
      </c>
      <c r="G590" s="9"/>
      <c r="H590" s="5" t="s">
        <v>20</v>
      </c>
      <c r="I590" s="9"/>
      <c r="J590" s="8" t="s">
        <v>21</v>
      </c>
      <c r="K590" s="9"/>
      <c r="L590" s="8" t="s">
        <v>22</v>
      </c>
      <c r="M590" s="9"/>
      <c r="N590" s="5"/>
      <c r="O590" s="5"/>
    </row>
    <row r="591" ht="22.5" customHeight="1">
      <c r="A591" s="5"/>
      <c r="B591" s="5"/>
      <c r="C591" s="5"/>
      <c r="D591" s="9"/>
      <c r="E591" s="9"/>
      <c r="F591" s="5" t="s">
        <v>18</v>
      </c>
      <c r="G591" s="9"/>
      <c r="H591" s="5" t="s">
        <v>20</v>
      </c>
      <c r="I591" s="9"/>
      <c r="J591" s="8" t="s">
        <v>21</v>
      </c>
      <c r="K591" s="9"/>
      <c r="L591" s="8" t="s">
        <v>22</v>
      </c>
      <c r="M591" s="9"/>
      <c r="N591" s="5"/>
      <c r="O591" s="5"/>
    </row>
    <row r="592" ht="22.5" customHeight="1">
      <c r="A592" s="5"/>
      <c r="B592" s="5"/>
      <c r="C592" s="5"/>
      <c r="D592" s="9"/>
      <c r="E592" s="9"/>
      <c r="F592" s="5" t="s">
        <v>18</v>
      </c>
      <c r="G592" s="9"/>
      <c r="H592" s="5" t="s">
        <v>20</v>
      </c>
      <c r="I592" s="9"/>
      <c r="J592" s="8" t="s">
        <v>21</v>
      </c>
      <c r="K592" s="9"/>
      <c r="L592" s="8" t="s">
        <v>22</v>
      </c>
      <c r="M592" s="9"/>
      <c r="N592" s="5"/>
      <c r="O592" s="5"/>
    </row>
    <row r="593" ht="22.5" customHeight="1">
      <c r="A593" s="5"/>
      <c r="B593" s="5"/>
      <c r="C593" s="5"/>
      <c r="D593" s="9"/>
      <c r="E593" s="9"/>
      <c r="F593" s="5" t="s">
        <v>18</v>
      </c>
      <c r="G593" s="9"/>
      <c r="H593" s="5" t="s">
        <v>20</v>
      </c>
      <c r="I593" s="9"/>
      <c r="J593" s="8" t="s">
        <v>21</v>
      </c>
      <c r="K593" s="9"/>
      <c r="L593" s="8" t="s">
        <v>22</v>
      </c>
      <c r="M593" s="9"/>
      <c r="N593" s="5"/>
      <c r="O593" s="5"/>
    </row>
    <row r="594" ht="22.5" customHeight="1">
      <c r="A594" s="5"/>
      <c r="B594" s="5"/>
      <c r="C594" s="5"/>
      <c r="D594" s="9"/>
      <c r="E594" s="9"/>
      <c r="F594" s="5" t="s">
        <v>18</v>
      </c>
      <c r="G594" s="9"/>
      <c r="H594" s="5" t="s">
        <v>20</v>
      </c>
      <c r="I594" s="9"/>
      <c r="J594" s="8" t="s">
        <v>21</v>
      </c>
      <c r="K594" s="9"/>
      <c r="L594" s="8" t="s">
        <v>22</v>
      </c>
      <c r="M594" s="9"/>
      <c r="N594" s="5"/>
      <c r="O594" s="5"/>
    </row>
    <row r="595" ht="22.5" customHeight="1">
      <c r="A595" s="5"/>
      <c r="B595" s="5"/>
      <c r="C595" s="5"/>
      <c r="D595" s="9"/>
      <c r="E595" s="9"/>
      <c r="F595" s="5" t="s">
        <v>18</v>
      </c>
      <c r="G595" s="9"/>
      <c r="H595" s="5" t="s">
        <v>20</v>
      </c>
      <c r="I595" s="9"/>
      <c r="J595" s="8" t="s">
        <v>21</v>
      </c>
      <c r="K595" s="9"/>
      <c r="L595" s="8" t="s">
        <v>22</v>
      </c>
      <c r="M595" s="9"/>
      <c r="N595" s="5"/>
      <c r="O595" s="5"/>
    </row>
    <row r="596" ht="22.5" customHeight="1">
      <c r="A596" s="5"/>
      <c r="B596" s="5"/>
      <c r="C596" s="5"/>
      <c r="D596" s="9"/>
      <c r="E596" s="9"/>
      <c r="F596" s="5" t="s">
        <v>18</v>
      </c>
      <c r="G596" s="9"/>
      <c r="H596" s="5" t="s">
        <v>20</v>
      </c>
      <c r="I596" s="9"/>
      <c r="J596" s="8" t="s">
        <v>21</v>
      </c>
      <c r="K596" s="9"/>
      <c r="L596" s="8" t="s">
        <v>22</v>
      </c>
      <c r="M596" s="9"/>
      <c r="N596" s="5"/>
      <c r="O596" s="5"/>
    </row>
    <row r="597" ht="22.5" customHeight="1">
      <c r="A597" s="5"/>
      <c r="B597" s="5"/>
      <c r="C597" s="5"/>
      <c r="D597" s="9"/>
      <c r="E597" s="9"/>
      <c r="F597" s="5" t="s">
        <v>18</v>
      </c>
      <c r="G597" s="9"/>
      <c r="H597" s="5" t="s">
        <v>20</v>
      </c>
      <c r="I597" s="9"/>
      <c r="J597" s="8" t="s">
        <v>21</v>
      </c>
      <c r="K597" s="9"/>
      <c r="L597" s="8" t="s">
        <v>22</v>
      </c>
      <c r="M597" s="9"/>
      <c r="N597" s="5"/>
      <c r="O597" s="5"/>
    </row>
    <row r="598" ht="22.5" customHeight="1">
      <c r="A598" s="5"/>
      <c r="B598" s="5"/>
      <c r="C598" s="5"/>
      <c r="D598" s="9"/>
      <c r="E598" s="9"/>
      <c r="F598" s="5" t="s">
        <v>18</v>
      </c>
      <c r="G598" s="9"/>
      <c r="H598" s="5" t="s">
        <v>20</v>
      </c>
      <c r="I598" s="9"/>
      <c r="J598" s="8" t="s">
        <v>21</v>
      </c>
      <c r="K598" s="9"/>
      <c r="L598" s="8" t="s">
        <v>22</v>
      </c>
      <c r="M598" s="9"/>
      <c r="N598" s="5"/>
      <c r="O598" s="5"/>
    </row>
    <row r="599" ht="22.5" customHeight="1">
      <c r="A599" s="5"/>
      <c r="B599" s="5"/>
      <c r="C599" s="5"/>
      <c r="D599" s="9"/>
      <c r="E599" s="9"/>
      <c r="F599" s="5" t="s">
        <v>18</v>
      </c>
      <c r="G599" s="9"/>
      <c r="H599" s="5" t="s">
        <v>20</v>
      </c>
      <c r="I599" s="9"/>
      <c r="J599" s="8" t="s">
        <v>21</v>
      </c>
      <c r="K599" s="9"/>
      <c r="L599" s="8" t="s">
        <v>22</v>
      </c>
      <c r="M599" s="9"/>
      <c r="N599" s="5"/>
      <c r="O599" s="5"/>
    </row>
    <row r="600" ht="22.5" customHeight="1">
      <c r="A600" s="5"/>
      <c r="B600" s="5"/>
      <c r="C600" s="5"/>
      <c r="D600" s="9"/>
      <c r="E600" s="9"/>
      <c r="F600" s="5" t="s">
        <v>18</v>
      </c>
      <c r="G600" s="9"/>
      <c r="H600" s="5" t="s">
        <v>20</v>
      </c>
      <c r="I600" s="9"/>
      <c r="J600" s="8" t="s">
        <v>21</v>
      </c>
      <c r="K600" s="9"/>
      <c r="L600" s="8" t="s">
        <v>22</v>
      </c>
      <c r="M600" s="9"/>
      <c r="N600" s="5"/>
      <c r="O600" s="5"/>
    </row>
    <row r="601" ht="22.5" customHeight="1">
      <c r="A601" s="5"/>
      <c r="B601" s="5"/>
      <c r="C601" s="5"/>
      <c r="D601" s="9"/>
      <c r="E601" s="9"/>
      <c r="F601" s="5" t="s">
        <v>18</v>
      </c>
      <c r="G601" s="9"/>
      <c r="H601" s="5" t="s">
        <v>20</v>
      </c>
      <c r="I601" s="9"/>
      <c r="J601" s="8" t="s">
        <v>21</v>
      </c>
      <c r="K601" s="9"/>
      <c r="L601" s="8" t="s">
        <v>22</v>
      </c>
      <c r="M601" s="9"/>
      <c r="N601" s="5"/>
      <c r="O601" s="5"/>
    </row>
    <row r="602" ht="22.5" customHeight="1">
      <c r="A602" s="5"/>
      <c r="B602" s="5"/>
      <c r="C602" s="5"/>
      <c r="D602" s="9"/>
      <c r="E602" s="9"/>
      <c r="F602" s="5" t="s">
        <v>18</v>
      </c>
      <c r="G602" s="9"/>
      <c r="H602" s="5" t="s">
        <v>20</v>
      </c>
      <c r="I602" s="9"/>
      <c r="J602" s="8" t="s">
        <v>21</v>
      </c>
      <c r="K602" s="9"/>
      <c r="L602" s="8" t="s">
        <v>22</v>
      </c>
      <c r="M602" s="9"/>
      <c r="N602" s="5"/>
      <c r="O602" s="5"/>
    </row>
    <row r="603" ht="22.5" customHeight="1">
      <c r="A603" s="5"/>
      <c r="B603" s="5"/>
      <c r="C603" s="5"/>
      <c r="D603" s="9"/>
      <c r="E603" s="9"/>
      <c r="F603" s="5" t="s">
        <v>18</v>
      </c>
      <c r="G603" s="9"/>
      <c r="H603" s="5" t="s">
        <v>20</v>
      </c>
      <c r="I603" s="9"/>
      <c r="J603" s="8" t="s">
        <v>21</v>
      </c>
      <c r="K603" s="9"/>
      <c r="L603" s="8" t="s">
        <v>22</v>
      </c>
      <c r="M603" s="9"/>
      <c r="N603" s="5"/>
      <c r="O603" s="5"/>
    </row>
    <row r="604" ht="22.5" customHeight="1">
      <c r="A604" s="5"/>
      <c r="B604" s="5"/>
      <c r="C604" s="5"/>
      <c r="D604" s="9"/>
      <c r="E604" s="9"/>
      <c r="F604" s="5" t="s">
        <v>18</v>
      </c>
      <c r="G604" s="9"/>
      <c r="H604" s="5" t="s">
        <v>20</v>
      </c>
      <c r="I604" s="9"/>
      <c r="J604" s="8" t="s">
        <v>21</v>
      </c>
      <c r="K604" s="9"/>
      <c r="L604" s="8" t="s">
        <v>22</v>
      </c>
      <c r="M604" s="9"/>
      <c r="N604" s="5"/>
      <c r="O604" s="5"/>
    </row>
    <row r="605" ht="22.5" customHeight="1">
      <c r="A605" s="5"/>
      <c r="B605" s="5"/>
      <c r="C605" s="5"/>
      <c r="D605" s="9"/>
      <c r="E605" s="9"/>
      <c r="F605" s="5" t="s">
        <v>18</v>
      </c>
      <c r="G605" s="9"/>
      <c r="H605" s="5" t="s">
        <v>20</v>
      </c>
      <c r="I605" s="9"/>
      <c r="J605" s="8" t="s">
        <v>21</v>
      </c>
      <c r="K605" s="9"/>
      <c r="L605" s="8" t="s">
        <v>22</v>
      </c>
      <c r="M605" s="9"/>
      <c r="N605" s="5"/>
      <c r="O605" s="5"/>
    </row>
    <row r="606" ht="22.5" customHeight="1">
      <c r="A606" s="5"/>
      <c r="B606" s="5"/>
      <c r="C606" s="5"/>
      <c r="D606" s="9"/>
      <c r="E606" s="9"/>
      <c r="F606" s="5" t="s">
        <v>18</v>
      </c>
      <c r="G606" s="9"/>
      <c r="H606" s="5" t="s">
        <v>20</v>
      </c>
      <c r="I606" s="9"/>
      <c r="J606" s="8" t="s">
        <v>21</v>
      </c>
      <c r="K606" s="9"/>
      <c r="L606" s="8" t="s">
        <v>22</v>
      </c>
      <c r="M606" s="9"/>
      <c r="N606" s="5"/>
      <c r="O606" s="5"/>
    </row>
    <row r="607" ht="22.5" customHeight="1">
      <c r="A607" s="5"/>
      <c r="B607" s="5"/>
      <c r="C607" s="5"/>
      <c r="D607" s="9"/>
      <c r="E607" s="9"/>
      <c r="F607" s="5" t="s">
        <v>18</v>
      </c>
      <c r="G607" s="9"/>
      <c r="H607" s="5" t="s">
        <v>20</v>
      </c>
      <c r="I607" s="9"/>
      <c r="J607" s="8" t="s">
        <v>21</v>
      </c>
      <c r="K607" s="9"/>
      <c r="L607" s="8" t="s">
        <v>22</v>
      </c>
      <c r="M607" s="9"/>
      <c r="N607" s="5"/>
      <c r="O607" s="5"/>
    </row>
    <row r="608" ht="22.5" customHeight="1">
      <c r="A608" s="5"/>
      <c r="B608" s="5"/>
      <c r="C608" s="5"/>
      <c r="D608" s="9"/>
      <c r="E608" s="9"/>
      <c r="F608" s="5" t="s">
        <v>18</v>
      </c>
      <c r="G608" s="9"/>
      <c r="H608" s="5" t="s">
        <v>20</v>
      </c>
      <c r="I608" s="9"/>
      <c r="J608" s="8" t="s">
        <v>21</v>
      </c>
      <c r="K608" s="9"/>
      <c r="L608" s="8" t="s">
        <v>22</v>
      </c>
      <c r="M608" s="9"/>
      <c r="N608" s="5"/>
      <c r="O608" s="5"/>
    </row>
    <row r="609" ht="22.5" customHeight="1">
      <c r="A609" s="5"/>
      <c r="B609" s="5"/>
      <c r="C609" s="5"/>
      <c r="D609" s="9"/>
      <c r="E609" s="9"/>
      <c r="F609" s="5" t="s">
        <v>18</v>
      </c>
      <c r="G609" s="9"/>
      <c r="H609" s="5" t="s">
        <v>20</v>
      </c>
      <c r="I609" s="9"/>
      <c r="J609" s="8" t="s">
        <v>21</v>
      </c>
      <c r="K609" s="9"/>
      <c r="L609" s="8" t="s">
        <v>22</v>
      </c>
      <c r="M609" s="9"/>
      <c r="N609" s="5"/>
      <c r="O609" s="5"/>
    </row>
    <row r="610" ht="22.5" customHeight="1">
      <c r="A610" s="5"/>
      <c r="B610" s="5"/>
      <c r="C610" s="5"/>
      <c r="D610" s="9"/>
      <c r="E610" s="9"/>
      <c r="F610" s="5" t="s">
        <v>18</v>
      </c>
      <c r="G610" s="9"/>
      <c r="H610" s="5" t="s">
        <v>20</v>
      </c>
      <c r="I610" s="9"/>
      <c r="J610" s="8" t="s">
        <v>21</v>
      </c>
      <c r="K610" s="9"/>
      <c r="L610" s="8" t="s">
        <v>22</v>
      </c>
      <c r="M610" s="9"/>
      <c r="N610" s="5"/>
      <c r="O610" s="5"/>
    </row>
    <row r="611" ht="22.5" customHeight="1">
      <c r="A611" s="5"/>
      <c r="B611" s="5"/>
      <c r="C611" s="5"/>
      <c r="D611" s="9"/>
      <c r="E611" s="9"/>
      <c r="F611" s="5" t="s">
        <v>18</v>
      </c>
      <c r="G611" s="9"/>
      <c r="H611" s="5" t="s">
        <v>20</v>
      </c>
      <c r="I611" s="9"/>
      <c r="J611" s="8" t="s">
        <v>21</v>
      </c>
      <c r="K611" s="9"/>
      <c r="L611" s="8" t="s">
        <v>22</v>
      </c>
      <c r="M611" s="9"/>
      <c r="N611" s="5"/>
      <c r="O611" s="5"/>
    </row>
    <row r="612" ht="22.5" customHeight="1">
      <c r="A612" s="5"/>
      <c r="B612" s="5"/>
      <c r="C612" s="5"/>
      <c r="D612" s="9"/>
      <c r="E612" s="9"/>
      <c r="F612" s="5" t="s">
        <v>18</v>
      </c>
      <c r="G612" s="9"/>
      <c r="H612" s="5" t="s">
        <v>20</v>
      </c>
      <c r="I612" s="9"/>
      <c r="J612" s="8" t="s">
        <v>21</v>
      </c>
      <c r="K612" s="9"/>
      <c r="L612" s="8" t="s">
        <v>22</v>
      </c>
      <c r="M612" s="9"/>
      <c r="N612" s="5"/>
      <c r="O612" s="5"/>
    </row>
    <row r="613" ht="22.5" customHeight="1">
      <c r="A613" s="5"/>
      <c r="B613" s="5"/>
      <c r="C613" s="5"/>
      <c r="D613" s="9"/>
      <c r="E613" s="9"/>
      <c r="F613" s="5" t="s">
        <v>18</v>
      </c>
      <c r="G613" s="9"/>
      <c r="H613" s="5" t="s">
        <v>20</v>
      </c>
      <c r="I613" s="9"/>
      <c r="J613" s="8" t="s">
        <v>21</v>
      </c>
      <c r="K613" s="9"/>
      <c r="L613" s="8" t="s">
        <v>22</v>
      </c>
      <c r="M613" s="9"/>
      <c r="N613" s="5"/>
      <c r="O613" s="5"/>
    </row>
    <row r="614" ht="22.5" customHeight="1">
      <c r="A614" s="5"/>
      <c r="B614" s="5"/>
      <c r="C614" s="5"/>
      <c r="D614" s="9"/>
      <c r="E614" s="9"/>
      <c r="F614" s="5" t="s">
        <v>18</v>
      </c>
      <c r="G614" s="9"/>
      <c r="H614" s="5" t="s">
        <v>20</v>
      </c>
      <c r="I614" s="9"/>
      <c r="J614" s="8" t="s">
        <v>21</v>
      </c>
      <c r="K614" s="9"/>
      <c r="L614" s="8" t="s">
        <v>22</v>
      </c>
      <c r="M614" s="9"/>
      <c r="N614" s="5"/>
      <c r="O614" s="5"/>
    </row>
    <row r="615" ht="22.5" customHeight="1">
      <c r="A615" s="5"/>
      <c r="B615" s="5"/>
      <c r="C615" s="5"/>
      <c r="D615" s="9"/>
      <c r="E615" s="9"/>
      <c r="F615" s="5" t="s">
        <v>18</v>
      </c>
      <c r="G615" s="9"/>
      <c r="H615" s="5" t="s">
        <v>20</v>
      </c>
      <c r="I615" s="9"/>
      <c r="J615" s="8" t="s">
        <v>21</v>
      </c>
      <c r="K615" s="9"/>
      <c r="L615" s="8" t="s">
        <v>22</v>
      </c>
      <c r="M615" s="9"/>
      <c r="N615" s="5"/>
      <c r="O615" s="5"/>
    </row>
    <row r="616" ht="22.5" customHeight="1">
      <c r="A616" s="5"/>
      <c r="B616" s="5"/>
      <c r="C616" s="5"/>
      <c r="D616" s="9"/>
      <c r="E616" s="9"/>
      <c r="F616" s="5" t="s">
        <v>18</v>
      </c>
      <c r="G616" s="9"/>
      <c r="H616" s="5" t="s">
        <v>20</v>
      </c>
      <c r="I616" s="9"/>
      <c r="J616" s="8" t="s">
        <v>21</v>
      </c>
      <c r="K616" s="9"/>
      <c r="L616" s="8" t="s">
        <v>22</v>
      </c>
      <c r="M616" s="9"/>
      <c r="N616" s="5"/>
      <c r="O616" s="5"/>
    </row>
    <row r="617" ht="22.5" customHeight="1">
      <c r="A617" s="5"/>
      <c r="B617" s="5"/>
      <c r="C617" s="5"/>
      <c r="D617" s="9"/>
      <c r="E617" s="9"/>
      <c r="F617" s="5" t="s">
        <v>18</v>
      </c>
      <c r="G617" s="9"/>
      <c r="H617" s="5" t="s">
        <v>20</v>
      </c>
      <c r="I617" s="9"/>
      <c r="J617" s="8" t="s">
        <v>21</v>
      </c>
      <c r="K617" s="9"/>
      <c r="L617" s="8" t="s">
        <v>22</v>
      </c>
      <c r="M617" s="9"/>
      <c r="N617" s="5"/>
      <c r="O617" s="5"/>
    </row>
    <row r="618" ht="22.5" customHeight="1">
      <c r="A618" s="5"/>
      <c r="B618" s="5"/>
      <c r="C618" s="5"/>
      <c r="D618" s="9"/>
      <c r="E618" s="9"/>
      <c r="F618" s="5" t="s">
        <v>18</v>
      </c>
      <c r="G618" s="9"/>
      <c r="H618" s="5" t="s">
        <v>20</v>
      </c>
      <c r="I618" s="9"/>
      <c r="J618" s="8" t="s">
        <v>21</v>
      </c>
      <c r="K618" s="9"/>
      <c r="L618" s="8" t="s">
        <v>22</v>
      </c>
      <c r="M618" s="9"/>
      <c r="N618" s="5"/>
      <c r="O618" s="5"/>
    </row>
    <row r="619" ht="22.5" customHeight="1">
      <c r="A619" s="5"/>
      <c r="B619" s="5"/>
      <c r="C619" s="5"/>
      <c r="D619" s="9"/>
      <c r="E619" s="9"/>
      <c r="F619" s="5" t="s">
        <v>18</v>
      </c>
      <c r="G619" s="9"/>
      <c r="H619" s="5" t="s">
        <v>20</v>
      </c>
      <c r="I619" s="9"/>
      <c r="J619" s="8" t="s">
        <v>21</v>
      </c>
      <c r="K619" s="9"/>
      <c r="L619" s="8" t="s">
        <v>22</v>
      </c>
      <c r="M619" s="9"/>
      <c r="N619" s="5"/>
      <c r="O619" s="5"/>
    </row>
    <row r="620" ht="22.5" customHeight="1">
      <c r="A620" s="5"/>
      <c r="B620" s="5"/>
      <c r="C620" s="5"/>
      <c r="D620" s="9"/>
      <c r="E620" s="9"/>
      <c r="F620" s="5" t="s">
        <v>18</v>
      </c>
      <c r="G620" s="9"/>
      <c r="H620" s="5" t="s">
        <v>20</v>
      </c>
      <c r="I620" s="9"/>
      <c r="J620" s="8" t="s">
        <v>21</v>
      </c>
      <c r="K620" s="9"/>
      <c r="L620" s="8" t="s">
        <v>22</v>
      </c>
      <c r="M620" s="9"/>
      <c r="N620" s="5"/>
      <c r="O620" s="5"/>
    </row>
    <row r="621" ht="22.5" customHeight="1">
      <c r="A621" s="5"/>
      <c r="B621" s="5"/>
      <c r="C621" s="5"/>
      <c r="D621" s="9"/>
      <c r="E621" s="9"/>
      <c r="F621" s="5" t="s">
        <v>18</v>
      </c>
      <c r="G621" s="9"/>
      <c r="H621" s="5" t="s">
        <v>20</v>
      </c>
      <c r="I621" s="9"/>
      <c r="J621" s="8" t="s">
        <v>21</v>
      </c>
      <c r="K621" s="9"/>
      <c r="L621" s="8" t="s">
        <v>22</v>
      </c>
      <c r="M621" s="9"/>
      <c r="N621" s="5"/>
      <c r="O621" s="5"/>
    </row>
    <row r="622" ht="22.5" customHeight="1">
      <c r="A622" s="5"/>
      <c r="B622" s="5"/>
      <c r="C622" s="5"/>
      <c r="D622" s="9"/>
      <c r="E622" s="9"/>
      <c r="F622" s="5" t="s">
        <v>18</v>
      </c>
      <c r="G622" s="9"/>
      <c r="H622" s="5" t="s">
        <v>20</v>
      </c>
      <c r="I622" s="9"/>
      <c r="J622" s="8" t="s">
        <v>21</v>
      </c>
      <c r="K622" s="9"/>
      <c r="L622" s="8" t="s">
        <v>22</v>
      </c>
      <c r="M622" s="9"/>
      <c r="N622" s="5"/>
      <c r="O622" s="5"/>
    </row>
    <row r="623" ht="22.5" customHeight="1">
      <c r="A623" s="5"/>
      <c r="B623" s="5"/>
      <c r="C623" s="5"/>
      <c r="D623" s="9"/>
      <c r="E623" s="9"/>
      <c r="F623" s="5" t="s">
        <v>18</v>
      </c>
      <c r="G623" s="9"/>
      <c r="H623" s="5" t="s">
        <v>20</v>
      </c>
      <c r="I623" s="9"/>
      <c r="J623" s="8" t="s">
        <v>21</v>
      </c>
      <c r="K623" s="9"/>
      <c r="L623" s="8" t="s">
        <v>22</v>
      </c>
      <c r="M623" s="9"/>
      <c r="N623" s="5"/>
      <c r="O623" s="5"/>
    </row>
    <row r="624" ht="22.5" customHeight="1">
      <c r="A624" s="5"/>
      <c r="B624" s="5"/>
      <c r="C624" s="5"/>
      <c r="D624" s="9"/>
      <c r="E624" s="9"/>
      <c r="F624" s="5" t="s">
        <v>18</v>
      </c>
      <c r="G624" s="9"/>
      <c r="H624" s="5" t="s">
        <v>20</v>
      </c>
      <c r="I624" s="9"/>
      <c r="J624" s="8" t="s">
        <v>21</v>
      </c>
      <c r="K624" s="9"/>
      <c r="L624" s="8" t="s">
        <v>22</v>
      </c>
      <c r="M624" s="9"/>
      <c r="N624" s="5"/>
      <c r="O624" s="5"/>
    </row>
    <row r="625" ht="22.5" customHeight="1">
      <c r="A625" s="5"/>
      <c r="B625" s="5"/>
      <c r="C625" s="5"/>
      <c r="D625" s="9"/>
      <c r="E625" s="9"/>
      <c r="F625" s="5" t="s">
        <v>18</v>
      </c>
      <c r="G625" s="9"/>
      <c r="H625" s="5" t="s">
        <v>20</v>
      </c>
      <c r="I625" s="9"/>
      <c r="J625" s="8" t="s">
        <v>21</v>
      </c>
      <c r="K625" s="9"/>
      <c r="L625" s="8" t="s">
        <v>22</v>
      </c>
      <c r="M625" s="9"/>
      <c r="N625" s="5"/>
      <c r="O625" s="5"/>
    </row>
    <row r="626" ht="22.5" customHeight="1">
      <c r="A626" s="5"/>
      <c r="B626" s="5"/>
      <c r="C626" s="5"/>
      <c r="D626" s="9"/>
      <c r="E626" s="9"/>
      <c r="F626" s="5" t="s">
        <v>18</v>
      </c>
      <c r="G626" s="9"/>
      <c r="H626" s="5" t="s">
        <v>20</v>
      </c>
      <c r="I626" s="9"/>
      <c r="J626" s="8" t="s">
        <v>21</v>
      </c>
      <c r="K626" s="9"/>
      <c r="L626" s="8" t="s">
        <v>22</v>
      </c>
      <c r="M626" s="9"/>
      <c r="N626" s="5"/>
      <c r="O626" s="5"/>
    </row>
    <row r="627" ht="22.5" customHeight="1">
      <c r="A627" s="5"/>
      <c r="B627" s="5"/>
      <c r="C627" s="5"/>
      <c r="D627" s="9"/>
      <c r="E627" s="9"/>
      <c r="F627" s="5" t="s">
        <v>18</v>
      </c>
      <c r="G627" s="9"/>
      <c r="H627" s="5" t="s">
        <v>20</v>
      </c>
      <c r="I627" s="9"/>
      <c r="J627" s="8" t="s">
        <v>21</v>
      </c>
      <c r="K627" s="9"/>
      <c r="L627" s="8" t="s">
        <v>22</v>
      </c>
      <c r="M627" s="9"/>
      <c r="N627" s="5"/>
      <c r="O627" s="5"/>
    </row>
    <row r="628" ht="22.5" customHeight="1">
      <c r="A628" s="5"/>
      <c r="B628" s="5"/>
      <c r="C628" s="5"/>
      <c r="D628" s="9"/>
      <c r="E628" s="9"/>
      <c r="F628" s="5" t="s">
        <v>18</v>
      </c>
      <c r="G628" s="9"/>
      <c r="H628" s="5" t="s">
        <v>20</v>
      </c>
      <c r="I628" s="9"/>
      <c r="J628" s="8" t="s">
        <v>21</v>
      </c>
      <c r="K628" s="9"/>
      <c r="L628" s="8" t="s">
        <v>22</v>
      </c>
      <c r="M628" s="9"/>
      <c r="N628" s="5"/>
      <c r="O628" s="5"/>
    </row>
    <row r="629" ht="22.5" customHeight="1">
      <c r="A629" s="5"/>
      <c r="B629" s="5"/>
      <c r="C629" s="5"/>
      <c r="D629" s="9"/>
      <c r="E629" s="9"/>
      <c r="F629" s="5" t="s">
        <v>18</v>
      </c>
      <c r="G629" s="9"/>
      <c r="H629" s="5" t="s">
        <v>20</v>
      </c>
      <c r="I629" s="9"/>
      <c r="J629" s="8" t="s">
        <v>21</v>
      </c>
      <c r="K629" s="9"/>
      <c r="L629" s="8" t="s">
        <v>22</v>
      </c>
      <c r="M629" s="9"/>
      <c r="N629" s="5"/>
      <c r="O629" s="5"/>
    </row>
    <row r="630" ht="22.5" customHeight="1">
      <c r="A630" s="5"/>
      <c r="B630" s="5"/>
      <c r="C630" s="5"/>
      <c r="D630" s="9"/>
      <c r="E630" s="9"/>
      <c r="F630" s="5" t="s">
        <v>18</v>
      </c>
      <c r="G630" s="9"/>
      <c r="H630" s="5" t="s">
        <v>20</v>
      </c>
      <c r="I630" s="9"/>
      <c r="J630" s="8" t="s">
        <v>21</v>
      </c>
      <c r="K630" s="9"/>
      <c r="L630" s="8" t="s">
        <v>22</v>
      </c>
      <c r="M630" s="9"/>
      <c r="N630" s="5"/>
      <c r="O630" s="5"/>
    </row>
    <row r="631" ht="22.5" customHeight="1">
      <c r="A631" s="5"/>
      <c r="B631" s="5"/>
      <c r="C631" s="5"/>
      <c r="D631" s="9"/>
      <c r="E631" s="9"/>
      <c r="F631" s="5" t="s">
        <v>18</v>
      </c>
      <c r="G631" s="9"/>
      <c r="H631" s="5" t="s">
        <v>20</v>
      </c>
      <c r="I631" s="9"/>
      <c r="J631" s="8" t="s">
        <v>21</v>
      </c>
      <c r="K631" s="9"/>
      <c r="L631" s="8" t="s">
        <v>22</v>
      </c>
      <c r="M631" s="9"/>
      <c r="N631" s="5"/>
      <c r="O631" s="5"/>
    </row>
    <row r="632" ht="22.5" customHeight="1">
      <c r="A632" s="5"/>
      <c r="B632" s="5"/>
      <c r="C632" s="5"/>
      <c r="D632" s="9"/>
      <c r="E632" s="9"/>
      <c r="F632" s="5" t="s">
        <v>18</v>
      </c>
      <c r="G632" s="9"/>
      <c r="H632" s="5" t="s">
        <v>20</v>
      </c>
      <c r="I632" s="9"/>
      <c r="J632" s="8" t="s">
        <v>21</v>
      </c>
      <c r="K632" s="9"/>
      <c r="L632" s="8" t="s">
        <v>22</v>
      </c>
      <c r="M632" s="9"/>
      <c r="N632" s="5"/>
      <c r="O632" s="5"/>
    </row>
    <row r="633" ht="22.5" customHeight="1">
      <c r="A633" s="5"/>
      <c r="B633" s="5"/>
      <c r="C633" s="5"/>
      <c r="D633" s="9"/>
      <c r="E633" s="9"/>
      <c r="F633" s="5" t="s">
        <v>18</v>
      </c>
      <c r="G633" s="9"/>
      <c r="H633" s="5" t="s">
        <v>20</v>
      </c>
      <c r="I633" s="9"/>
      <c r="J633" s="8" t="s">
        <v>21</v>
      </c>
      <c r="K633" s="9"/>
      <c r="L633" s="8" t="s">
        <v>22</v>
      </c>
      <c r="M633" s="9"/>
      <c r="N633" s="5"/>
      <c r="O633" s="5"/>
    </row>
    <row r="634" ht="22.5" customHeight="1">
      <c r="A634" s="5"/>
      <c r="B634" s="5"/>
      <c r="C634" s="5"/>
      <c r="D634" s="9"/>
      <c r="E634" s="9"/>
      <c r="F634" s="5" t="s">
        <v>18</v>
      </c>
      <c r="G634" s="9"/>
      <c r="H634" s="5" t="s">
        <v>20</v>
      </c>
      <c r="I634" s="9"/>
      <c r="J634" s="8" t="s">
        <v>21</v>
      </c>
      <c r="K634" s="9"/>
      <c r="L634" s="8" t="s">
        <v>22</v>
      </c>
      <c r="M634" s="9"/>
      <c r="N634" s="5"/>
      <c r="O634" s="5"/>
    </row>
    <row r="635" ht="22.5" customHeight="1">
      <c r="A635" s="5"/>
      <c r="B635" s="5"/>
      <c r="C635" s="5"/>
      <c r="D635" s="9"/>
      <c r="E635" s="9"/>
      <c r="F635" s="5" t="s">
        <v>18</v>
      </c>
      <c r="G635" s="9"/>
      <c r="H635" s="5" t="s">
        <v>20</v>
      </c>
      <c r="I635" s="9"/>
      <c r="J635" s="8" t="s">
        <v>21</v>
      </c>
      <c r="K635" s="9"/>
      <c r="L635" s="8" t="s">
        <v>22</v>
      </c>
      <c r="M635" s="9"/>
      <c r="N635" s="5"/>
      <c r="O635" s="5"/>
    </row>
    <row r="636" ht="22.5" customHeight="1">
      <c r="A636" s="5"/>
      <c r="B636" s="5"/>
      <c r="C636" s="5"/>
      <c r="D636" s="9"/>
      <c r="E636" s="9"/>
      <c r="F636" s="5" t="s">
        <v>18</v>
      </c>
      <c r="G636" s="9"/>
      <c r="H636" s="5" t="s">
        <v>20</v>
      </c>
      <c r="I636" s="9"/>
      <c r="J636" s="8" t="s">
        <v>21</v>
      </c>
      <c r="K636" s="9"/>
      <c r="L636" s="8" t="s">
        <v>22</v>
      </c>
      <c r="M636" s="9"/>
      <c r="N636" s="5"/>
      <c r="O636" s="5"/>
    </row>
    <row r="637" ht="22.5" customHeight="1">
      <c r="A637" s="5"/>
      <c r="B637" s="5"/>
      <c r="C637" s="5"/>
      <c r="D637" s="9"/>
      <c r="E637" s="9"/>
      <c r="F637" s="5" t="s">
        <v>18</v>
      </c>
      <c r="G637" s="9"/>
      <c r="H637" s="5" t="s">
        <v>20</v>
      </c>
      <c r="I637" s="9"/>
      <c r="J637" s="8" t="s">
        <v>21</v>
      </c>
      <c r="K637" s="9"/>
      <c r="L637" s="8" t="s">
        <v>22</v>
      </c>
      <c r="M637" s="9"/>
      <c r="N637" s="5"/>
      <c r="O637" s="5"/>
    </row>
    <row r="638" ht="22.5" customHeight="1">
      <c r="A638" s="5"/>
      <c r="B638" s="5"/>
      <c r="C638" s="5"/>
      <c r="D638" s="9"/>
      <c r="E638" s="9"/>
      <c r="F638" s="5" t="s">
        <v>18</v>
      </c>
      <c r="G638" s="9"/>
      <c r="H638" s="5" t="s">
        <v>20</v>
      </c>
      <c r="I638" s="9"/>
      <c r="J638" s="8" t="s">
        <v>21</v>
      </c>
      <c r="K638" s="9"/>
      <c r="L638" s="8" t="s">
        <v>22</v>
      </c>
      <c r="M638" s="9"/>
      <c r="N638" s="5"/>
      <c r="O638" s="5"/>
    </row>
    <row r="639" ht="22.5" customHeight="1">
      <c r="A639" s="5"/>
      <c r="B639" s="5"/>
      <c r="C639" s="5"/>
      <c r="D639" s="9"/>
      <c r="E639" s="9"/>
      <c r="F639" s="5" t="s">
        <v>18</v>
      </c>
      <c r="G639" s="9"/>
      <c r="H639" s="5" t="s">
        <v>20</v>
      </c>
      <c r="I639" s="9"/>
      <c r="J639" s="8" t="s">
        <v>21</v>
      </c>
      <c r="K639" s="9"/>
      <c r="L639" s="8" t="s">
        <v>22</v>
      </c>
      <c r="M639" s="9"/>
      <c r="N639" s="5"/>
      <c r="O639" s="5"/>
    </row>
    <row r="640" ht="22.5" customHeight="1">
      <c r="A640" s="5"/>
      <c r="B640" s="5"/>
      <c r="C640" s="5"/>
      <c r="D640" s="9"/>
      <c r="E640" s="9"/>
      <c r="F640" s="5" t="s">
        <v>18</v>
      </c>
      <c r="G640" s="9"/>
      <c r="H640" s="5" t="s">
        <v>20</v>
      </c>
      <c r="I640" s="9"/>
      <c r="J640" s="8" t="s">
        <v>21</v>
      </c>
      <c r="K640" s="9"/>
      <c r="L640" s="8" t="s">
        <v>22</v>
      </c>
      <c r="M640" s="9"/>
      <c r="N640" s="5"/>
      <c r="O640" s="5"/>
    </row>
    <row r="641" ht="22.5" customHeight="1">
      <c r="A641" s="5"/>
      <c r="B641" s="5"/>
      <c r="C641" s="5"/>
      <c r="D641" s="9"/>
      <c r="E641" s="9"/>
      <c r="F641" s="5" t="s">
        <v>18</v>
      </c>
      <c r="G641" s="9"/>
      <c r="H641" s="5" t="s">
        <v>20</v>
      </c>
      <c r="I641" s="9"/>
      <c r="J641" s="8" t="s">
        <v>21</v>
      </c>
      <c r="K641" s="9"/>
      <c r="L641" s="8" t="s">
        <v>22</v>
      </c>
      <c r="M641" s="9"/>
      <c r="N641" s="5"/>
      <c r="O641" s="5"/>
    </row>
    <row r="642" ht="22.5" customHeight="1">
      <c r="A642" s="5"/>
      <c r="B642" s="5"/>
      <c r="C642" s="5"/>
      <c r="D642" s="9"/>
      <c r="E642" s="9"/>
      <c r="F642" s="5" t="s">
        <v>18</v>
      </c>
      <c r="G642" s="9"/>
      <c r="H642" s="5" t="s">
        <v>20</v>
      </c>
      <c r="I642" s="9"/>
      <c r="J642" s="8" t="s">
        <v>21</v>
      </c>
      <c r="K642" s="9"/>
      <c r="L642" s="8" t="s">
        <v>22</v>
      </c>
      <c r="M642" s="9"/>
      <c r="N642" s="5"/>
      <c r="O642" s="5"/>
    </row>
    <row r="643" ht="22.5" customHeight="1">
      <c r="A643" s="5"/>
      <c r="B643" s="5"/>
      <c r="C643" s="5"/>
      <c r="D643" s="9"/>
      <c r="E643" s="9"/>
      <c r="F643" s="5" t="s">
        <v>18</v>
      </c>
      <c r="G643" s="9"/>
      <c r="H643" s="5" t="s">
        <v>20</v>
      </c>
      <c r="I643" s="9"/>
      <c r="J643" s="8" t="s">
        <v>21</v>
      </c>
      <c r="K643" s="9"/>
      <c r="L643" s="8" t="s">
        <v>22</v>
      </c>
      <c r="M643" s="9"/>
      <c r="N643" s="5"/>
      <c r="O643" s="5"/>
    </row>
    <row r="644" ht="22.5" customHeight="1">
      <c r="A644" s="5"/>
      <c r="B644" s="5"/>
      <c r="C644" s="5"/>
      <c r="D644" s="9"/>
      <c r="E644" s="9"/>
      <c r="F644" s="5" t="s">
        <v>18</v>
      </c>
      <c r="G644" s="9"/>
      <c r="H644" s="5" t="s">
        <v>20</v>
      </c>
      <c r="I644" s="9"/>
      <c r="J644" s="8" t="s">
        <v>21</v>
      </c>
      <c r="K644" s="9"/>
      <c r="L644" s="8" t="s">
        <v>22</v>
      </c>
      <c r="M644" s="9"/>
      <c r="N644" s="5"/>
      <c r="O644" s="5"/>
    </row>
    <row r="645" ht="22.5" customHeight="1">
      <c r="A645" s="5"/>
      <c r="B645" s="5"/>
      <c r="C645" s="5"/>
      <c r="D645" s="9"/>
      <c r="E645" s="9"/>
      <c r="F645" s="5" t="s">
        <v>18</v>
      </c>
      <c r="G645" s="9"/>
      <c r="H645" s="5" t="s">
        <v>20</v>
      </c>
      <c r="I645" s="9"/>
      <c r="J645" s="8" t="s">
        <v>21</v>
      </c>
      <c r="K645" s="9"/>
      <c r="L645" s="8" t="s">
        <v>22</v>
      </c>
      <c r="M645" s="9"/>
      <c r="N645" s="5"/>
      <c r="O645" s="5"/>
    </row>
    <row r="646" ht="22.5" customHeight="1">
      <c r="A646" s="5"/>
      <c r="B646" s="5"/>
      <c r="C646" s="5"/>
      <c r="D646" s="9"/>
      <c r="E646" s="9"/>
      <c r="F646" s="5" t="s">
        <v>18</v>
      </c>
      <c r="G646" s="9"/>
      <c r="H646" s="5" t="s">
        <v>20</v>
      </c>
      <c r="I646" s="9"/>
      <c r="J646" s="8" t="s">
        <v>21</v>
      </c>
      <c r="K646" s="9"/>
      <c r="L646" s="8" t="s">
        <v>22</v>
      </c>
      <c r="M646" s="9"/>
      <c r="N646" s="5"/>
      <c r="O646" s="5"/>
    </row>
    <row r="647" ht="22.5" customHeight="1">
      <c r="A647" s="5"/>
      <c r="B647" s="5"/>
      <c r="C647" s="5"/>
      <c r="D647" s="9"/>
      <c r="E647" s="9"/>
      <c r="F647" s="5" t="s">
        <v>18</v>
      </c>
      <c r="G647" s="9"/>
      <c r="H647" s="5" t="s">
        <v>20</v>
      </c>
      <c r="I647" s="9"/>
      <c r="J647" s="8" t="s">
        <v>21</v>
      </c>
      <c r="K647" s="9"/>
      <c r="L647" s="8" t="s">
        <v>22</v>
      </c>
      <c r="M647" s="9"/>
      <c r="N647" s="5"/>
      <c r="O647" s="5"/>
    </row>
    <row r="648" ht="22.5" customHeight="1">
      <c r="A648" s="5"/>
      <c r="B648" s="5"/>
      <c r="C648" s="5"/>
      <c r="D648" s="9"/>
      <c r="E648" s="9"/>
      <c r="F648" s="5" t="s">
        <v>18</v>
      </c>
      <c r="G648" s="9"/>
      <c r="H648" s="5" t="s">
        <v>20</v>
      </c>
      <c r="I648" s="9"/>
      <c r="J648" s="8" t="s">
        <v>21</v>
      </c>
      <c r="K648" s="9"/>
      <c r="L648" s="8" t="s">
        <v>22</v>
      </c>
      <c r="M648" s="9"/>
      <c r="N648" s="5"/>
      <c r="O648" s="5"/>
    </row>
    <row r="649" ht="22.5" customHeight="1">
      <c r="A649" s="5"/>
      <c r="B649" s="5"/>
      <c r="C649" s="5"/>
      <c r="D649" s="9"/>
      <c r="E649" s="9"/>
      <c r="F649" s="5" t="s">
        <v>18</v>
      </c>
      <c r="G649" s="9"/>
      <c r="H649" s="5" t="s">
        <v>20</v>
      </c>
      <c r="I649" s="9"/>
      <c r="J649" s="8" t="s">
        <v>21</v>
      </c>
      <c r="K649" s="9"/>
      <c r="L649" s="8" t="s">
        <v>22</v>
      </c>
      <c r="M649" s="9"/>
      <c r="N649" s="5"/>
      <c r="O649" s="5"/>
    </row>
    <row r="650" ht="22.5" customHeight="1">
      <c r="A650" s="5"/>
      <c r="B650" s="5"/>
      <c r="C650" s="5"/>
      <c r="D650" s="9"/>
      <c r="E650" s="9"/>
      <c r="F650" s="5" t="s">
        <v>18</v>
      </c>
      <c r="G650" s="9"/>
      <c r="H650" s="5" t="s">
        <v>20</v>
      </c>
      <c r="I650" s="9"/>
      <c r="J650" s="8" t="s">
        <v>21</v>
      </c>
      <c r="K650" s="9"/>
      <c r="L650" s="8" t="s">
        <v>22</v>
      </c>
      <c r="M650" s="9"/>
      <c r="N650" s="5"/>
      <c r="O650" s="5"/>
    </row>
    <row r="651" ht="22.5" customHeight="1">
      <c r="A651" s="5"/>
      <c r="B651" s="5"/>
      <c r="C651" s="5"/>
      <c r="D651" s="9"/>
      <c r="E651" s="9"/>
      <c r="F651" s="5" t="s">
        <v>18</v>
      </c>
      <c r="G651" s="9"/>
      <c r="H651" s="5" t="s">
        <v>20</v>
      </c>
      <c r="I651" s="9"/>
      <c r="J651" s="8" t="s">
        <v>21</v>
      </c>
      <c r="K651" s="9"/>
      <c r="L651" s="8" t="s">
        <v>22</v>
      </c>
      <c r="M651" s="9"/>
      <c r="N651" s="5"/>
      <c r="O651" s="5"/>
    </row>
    <row r="652" ht="22.5" customHeight="1">
      <c r="A652" s="5"/>
      <c r="B652" s="5"/>
      <c r="C652" s="5"/>
      <c r="D652" s="9"/>
      <c r="E652" s="9"/>
      <c r="F652" s="5" t="s">
        <v>18</v>
      </c>
      <c r="G652" s="9"/>
      <c r="H652" s="5" t="s">
        <v>20</v>
      </c>
      <c r="I652" s="9"/>
      <c r="J652" s="8" t="s">
        <v>21</v>
      </c>
      <c r="K652" s="9"/>
      <c r="L652" s="8" t="s">
        <v>22</v>
      </c>
      <c r="M652" s="9"/>
      <c r="N652" s="5"/>
      <c r="O652" s="5"/>
    </row>
    <row r="653" ht="22.5" customHeight="1">
      <c r="A653" s="5"/>
      <c r="B653" s="5"/>
      <c r="C653" s="5"/>
      <c r="D653" s="9"/>
      <c r="E653" s="9"/>
      <c r="F653" s="5" t="s">
        <v>18</v>
      </c>
      <c r="G653" s="9"/>
      <c r="H653" s="5" t="s">
        <v>20</v>
      </c>
      <c r="I653" s="9"/>
      <c r="J653" s="8" t="s">
        <v>21</v>
      </c>
      <c r="K653" s="9"/>
      <c r="L653" s="8" t="s">
        <v>22</v>
      </c>
      <c r="M653" s="9"/>
      <c r="N653" s="5"/>
      <c r="O653" s="5"/>
    </row>
    <row r="654" ht="22.5" customHeight="1">
      <c r="A654" s="5"/>
      <c r="B654" s="5"/>
      <c r="C654" s="5"/>
      <c r="D654" s="9"/>
      <c r="E654" s="9"/>
      <c r="F654" s="5" t="s">
        <v>18</v>
      </c>
      <c r="G654" s="9"/>
      <c r="H654" s="5" t="s">
        <v>20</v>
      </c>
      <c r="I654" s="9"/>
      <c r="J654" s="8" t="s">
        <v>21</v>
      </c>
      <c r="K654" s="9"/>
      <c r="L654" s="8" t="s">
        <v>22</v>
      </c>
      <c r="M654" s="9"/>
      <c r="N654" s="5"/>
      <c r="O654" s="5"/>
    </row>
    <row r="655" ht="22.5" customHeight="1">
      <c r="A655" s="5"/>
      <c r="B655" s="5"/>
      <c r="C655" s="5"/>
      <c r="D655" s="9"/>
      <c r="E655" s="9"/>
      <c r="F655" s="5" t="s">
        <v>18</v>
      </c>
      <c r="G655" s="9"/>
      <c r="H655" s="5" t="s">
        <v>20</v>
      </c>
      <c r="I655" s="9"/>
      <c r="J655" s="8" t="s">
        <v>21</v>
      </c>
      <c r="K655" s="9"/>
      <c r="L655" s="8" t="s">
        <v>22</v>
      </c>
      <c r="M655" s="9"/>
      <c r="N655" s="5"/>
      <c r="O655" s="5"/>
    </row>
    <row r="656" ht="22.5" customHeight="1">
      <c r="A656" s="5"/>
      <c r="B656" s="5"/>
      <c r="C656" s="5"/>
      <c r="D656" s="9"/>
      <c r="E656" s="9"/>
      <c r="F656" s="5" t="s">
        <v>18</v>
      </c>
      <c r="G656" s="9"/>
      <c r="H656" s="5" t="s">
        <v>20</v>
      </c>
      <c r="I656" s="9"/>
      <c r="J656" s="8" t="s">
        <v>21</v>
      </c>
      <c r="K656" s="9"/>
      <c r="L656" s="8" t="s">
        <v>22</v>
      </c>
      <c r="M656" s="9"/>
      <c r="N656" s="5"/>
      <c r="O656" s="5"/>
    </row>
    <row r="657" ht="22.5" customHeight="1">
      <c r="A657" s="5"/>
      <c r="B657" s="5"/>
      <c r="C657" s="5"/>
      <c r="D657" s="9"/>
      <c r="E657" s="9"/>
      <c r="F657" s="5" t="s">
        <v>18</v>
      </c>
      <c r="G657" s="9"/>
      <c r="H657" s="5" t="s">
        <v>20</v>
      </c>
      <c r="I657" s="9"/>
      <c r="J657" s="8" t="s">
        <v>21</v>
      </c>
      <c r="K657" s="9"/>
      <c r="L657" s="8" t="s">
        <v>22</v>
      </c>
      <c r="M657" s="9"/>
      <c r="N657" s="5"/>
      <c r="O657" s="5"/>
    </row>
    <row r="658" ht="22.5" customHeight="1">
      <c r="A658" s="5"/>
      <c r="B658" s="5"/>
      <c r="C658" s="5"/>
      <c r="D658" s="9"/>
      <c r="E658" s="9"/>
      <c r="F658" s="5" t="s">
        <v>18</v>
      </c>
      <c r="G658" s="9"/>
      <c r="H658" s="5" t="s">
        <v>20</v>
      </c>
      <c r="I658" s="9"/>
      <c r="J658" s="8" t="s">
        <v>21</v>
      </c>
      <c r="K658" s="9"/>
      <c r="L658" s="8" t="s">
        <v>22</v>
      </c>
      <c r="M658" s="9"/>
      <c r="N658" s="5"/>
      <c r="O658" s="5"/>
    </row>
    <row r="659" ht="22.5" customHeight="1">
      <c r="A659" s="5"/>
      <c r="B659" s="5"/>
      <c r="C659" s="5"/>
      <c r="D659" s="9"/>
      <c r="E659" s="9"/>
      <c r="F659" s="5" t="s">
        <v>18</v>
      </c>
      <c r="G659" s="9"/>
      <c r="H659" s="5" t="s">
        <v>20</v>
      </c>
      <c r="I659" s="9"/>
      <c r="J659" s="8" t="s">
        <v>21</v>
      </c>
      <c r="K659" s="9"/>
      <c r="L659" s="8" t="s">
        <v>22</v>
      </c>
      <c r="M659" s="9"/>
      <c r="N659" s="5"/>
      <c r="O659" s="5"/>
    </row>
    <row r="660" ht="22.5" customHeight="1">
      <c r="A660" s="5"/>
      <c r="B660" s="5"/>
      <c r="C660" s="5"/>
      <c r="D660" s="9"/>
      <c r="E660" s="9"/>
      <c r="F660" s="5" t="s">
        <v>18</v>
      </c>
      <c r="G660" s="9"/>
      <c r="H660" s="5" t="s">
        <v>20</v>
      </c>
      <c r="I660" s="9"/>
      <c r="J660" s="8" t="s">
        <v>21</v>
      </c>
      <c r="K660" s="9"/>
      <c r="L660" s="8" t="s">
        <v>22</v>
      </c>
      <c r="M660" s="9"/>
      <c r="N660" s="5"/>
      <c r="O660" s="5"/>
    </row>
    <row r="661" ht="22.5" customHeight="1">
      <c r="A661" s="5"/>
      <c r="B661" s="5"/>
      <c r="C661" s="5"/>
      <c r="D661" s="9"/>
      <c r="E661" s="9"/>
      <c r="F661" s="5" t="s">
        <v>18</v>
      </c>
      <c r="G661" s="9"/>
      <c r="H661" s="5" t="s">
        <v>20</v>
      </c>
      <c r="I661" s="9"/>
      <c r="J661" s="8" t="s">
        <v>21</v>
      </c>
      <c r="K661" s="9"/>
      <c r="L661" s="8" t="s">
        <v>22</v>
      </c>
      <c r="M661" s="9"/>
      <c r="N661" s="5"/>
      <c r="O661" s="5"/>
    </row>
    <row r="662" ht="22.5" customHeight="1">
      <c r="A662" s="5"/>
      <c r="B662" s="5"/>
      <c r="C662" s="5"/>
      <c r="D662" s="9"/>
      <c r="E662" s="9"/>
      <c r="F662" s="5" t="s">
        <v>18</v>
      </c>
      <c r="G662" s="9"/>
      <c r="H662" s="5" t="s">
        <v>20</v>
      </c>
      <c r="I662" s="9"/>
      <c r="J662" s="8" t="s">
        <v>21</v>
      </c>
      <c r="K662" s="9"/>
      <c r="L662" s="8" t="s">
        <v>22</v>
      </c>
      <c r="M662" s="9"/>
      <c r="N662" s="5"/>
      <c r="O662" s="5"/>
    </row>
    <row r="663" ht="22.5" customHeight="1">
      <c r="A663" s="5"/>
      <c r="B663" s="5"/>
      <c r="C663" s="5"/>
      <c r="D663" s="9"/>
      <c r="E663" s="9"/>
      <c r="F663" s="5" t="s">
        <v>18</v>
      </c>
      <c r="G663" s="9"/>
      <c r="H663" s="5" t="s">
        <v>20</v>
      </c>
      <c r="I663" s="9"/>
      <c r="J663" s="8" t="s">
        <v>21</v>
      </c>
      <c r="K663" s="9"/>
      <c r="L663" s="8" t="s">
        <v>22</v>
      </c>
      <c r="M663" s="9"/>
      <c r="N663" s="5"/>
      <c r="O663" s="5"/>
    </row>
    <row r="664" ht="22.5" customHeight="1">
      <c r="A664" s="5"/>
      <c r="B664" s="5"/>
      <c r="C664" s="5"/>
      <c r="D664" s="9"/>
      <c r="E664" s="9"/>
      <c r="F664" s="5" t="s">
        <v>18</v>
      </c>
      <c r="G664" s="9"/>
      <c r="H664" s="5" t="s">
        <v>20</v>
      </c>
      <c r="I664" s="9"/>
      <c r="J664" s="8" t="s">
        <v>21</v>
      </c>
      <c r="K664" s="9"/>
      <c r="L664" s="8" t="s">
        <v>22</v>
      </c>
      <c r="M664" s="9"/>
      <c r="N664" s="5"/>
      <c r="O664" s="5"/>
    </row>
    <row r="665" ht="22.5" customHeight="1">
      <c r="A665" s="5"/>
      <c r="B665" s="5"/>
      <c r="C665" s="5"/>
      <c r="D665" s="9"/>
      <c r="E665" s="9"/>
      <c r="F665" s="5" t="s">
        <v>18</v>
      </c>
      <c r="G665" s="9"/>
      <c r="H665" s="5" t="s">
        <v>20</v>
      </c>
      <c r="I665" s="9"/>
      <c r="J665" s="8" t="s">
        <v>21</v>
      </c>
      <c r="K665" s="9"/>
      <c r="L665" s="8" t="s">
        <v>22</v>
      </c>
      <c r="M665" s="9"/>
      <c r="N665" s="5"/>
      <c r="O665" s="5"/>
    </row>
    <row r="666" ht="22.5" customHeight="1">
      <c r="A666" s="5"/>
      <c r="B666" s="5"/>
      <c r="C666" s="5"/>
      <c r="D666" s="9"/>
      <c r="E666" s="9"/>
      <c r="F666" s="5" t="s">
        <v>18</v>
      </c>
      <c r="G666" s="9"/>
      <c r="H666" s="5" t="s">
        <v>20</v>
      </c>
      <c r="I666" s="9"/>
      <c r="J666" s="8" t="s">
        <v>21</v>
      </c>
      <c r="K666" s="9"/>
      <c r="L666" s="8" t="s">
        <v>22</v>
      </c>
      <c r="M666" s="9"/>
      <c r="N666" s="5"/>
      <c r="O666" s="5"/>
    </row>
    <row r="667" ht="22.5" customHeight="1">
      <c r="A667" s="5"/>
      <c r="B667" s="5"/>
      <c r="C667" s="5"/>
      <c r="D667" s="9"/>
      <c r="E667" s="9"/>
      <c r="F667" s="5" t="s">
        <v>18</v>
      </c>
      <c r="G667" s="9"/>
      <c r="H667" s="5" t="s">
        <v>20</v>
      </c>
      <c r="I667" s="9"/>
      <c r="J667" s="8" t="s">
        <v>21</v>
      </c>
      <c r="K667" s="9"/>
      <c r="L667" s="8" t="s">
        <v>22</v>
      </c>
      <c r="M667" s="9"/>
      <c r="N667" s="5"/>
      <c r="O667" s="5"/>
    </row>
    <row r="668" ht="22.5" customHeight="1">
      <c r="A668" s="5"/>
      <c r="B668" s="5"/>
      <c r="C668" s="5"/>
      <c r="D668" s="9"/>
      <c r="E668" s="9"/>
      <c r="F668" s="5" t="s">
        <v>18</v>
      </c>
      <c r="G668" s="9"/>
      <c r="H668" s="5" t="s">
        <v>20</v>
      </c>
      <c r="I668" s="9"/>
      <c r="J668" s="8" t="s">
        <v>21</v>
      </c>
      <c r="K668" s="9"/>
      <c r="L668" s="8" t="s">
        <v>22</v>
      </c>
      <c r="M668" s="9"/>
      <c r="N668" s="5"/>
      <c r="O668" s="5"/>
    </row>
    <row r="669" ht="22.5" customHeight="1">
      <c r="A669" s="5"/>
      <c r="B669" s="5"/>
      <c r="C669" s="5"/>
      <c r="D669" s="9"/>
      <c r="E669" s="9"/>
      <c r="F669" s="5" t="s">
        <v>18</v>
      </c>
      <c r="G669" s="9"/>
      <c r="H669" s="5" t="s">
        <v>20</v>
      </c>
      <c r="I669" s="9"/>
      <c r="J669" s="8" t="s">
        <v>21</v>
      </c>
      <c r="K669" s="9"/>
      <c r="L669" s="8" t="s">
        <v>22</v>
      </c>
      <c r="M669" s="9"/>
      <c r="N669" s="5"/>
      <c r="O669" s="5"/>
    </row>
    <row r="670" ht="22.5" customHeight="1">
      <c r="A670" s="5"/>
      <c r="B670" s="5"/>
      <c r="C670" s="5"/>
      <c r="D670" s="9"/>
      <c r="E670" s="9"/>
      <c r="F670" s="5" t="s">
        <v>18</v>
      </c>
      <c r="G670" s="9"/>
      <c r="H670" s="5" t="s">
        <v>20</v>
      </c>
      <c r="I670" s="9"/>
      <c r="J670" s="8" t="s">
        <v>21</v>
      </c>
      <c r="K670" s="9"/>
      <c r="L670" s="8" t="s">
        <v>22</v>
      </c>
      <c r="M670" s="9"/>
      <c r="N670" s="5"/>
      <c r="O670" s="5"/>
    </row>
    <row r="671" ht="22.5" customHeight="1">
      <c r="A671" s="5"/>
      <c r="B671" s="5"/>
      <c r="C671" s="5"/>
      <c r="D671" s="9"/>
      <c r="E671" s="9"/>
      <c r="F671" s="5" t="s">
        <v>18</v>
      </c>
      <c r="G671" s="9"/>
      <c r="H671" s="5" t="s">
        <v>20</v>
      </c>
      <c r="I671" s="9"/>
      <c r="J671" s="8" t="s">
        <v>21</v>
      </c>
      <c r="K671" s="9"/>
      <c r="L671" s="8" t="s">
        <v>22</v>
      </c>
      <c r="M671" s="9"/>
      <c r="N671" s="5"/>
      <c r="O671" s="5"/>
    </row>
    <row r="672" ht="22.5" customHeight="1">
      <c r="A672" s="5"/>
      <c r="B672" s="5"/>
      <c r="C672" s="5"/>
      <c r="D672" s="9"/>
      <c r="E672" s="9"/>
      <c r="F672" s="5" t="s">
        <v>18</v>
      </c>
      <c r="G672" s="9"/>
      <c r="H672" s="5" t="s">
        <v>20</v>
      </c>
      <c r="I672" s="9"/>
      <c r="J672" s="8" t="s">
        <v>21</v>
      </c>
      <c r="K672" s="9"/>
      <c r="L672" s="8" t="s">
        <v>22</v>
      </c>
      <c r="M672" s="9"/>
      <c r="N672" s="5"/>
      <c r="O672" s="5"/>
    </row>
    <row r="673" ht="22.5" customHeight="1">
      <c r="A673" s="5"/>
      <c r="B673" s="5"/>
      <c r="C673" s="5"/>
      <c r="D673" s="9"/>
      <c r="E673" s="9"/>
      <c r="F673" s="5" t="s">
        <v>18</v>
      </c>
      <c r="G673" s="9"/>
      <c r="H673" s="5" t="s">
        <v>20</v>
      </c>
      <c r="I673" s="9"/>
      <c r="J673" s="8" t="s">
        <v>21</v>
      </c>
      <c r="K673" s="9"/>
      <c r="L673" s="8" t="s">
        <v>22</v>
      </c>
      <c r="M673" s="9"/>
      <c r="N673" s="5"/>
      <c r="O673" s="5"/>
    </row>
    <row r="674" ht="22.5" customHeight="1">
      <c r="A674" s="5"/>
      <c r="B674" s="5"/>
      <c r="C674" s="5"/>
      <c r="D674" s="9"/>
      <c r="E674" s="9"/>
      <c r="F674" s="5" t="s">
        <v>18</v>
      </c>
      <c r="G674" s="9"/>
      <c r="H674" s="5" t="s">
        <v>20</v>
      </c>
      <c r="I674" s="9"/>
      <c r="J674" s="8" t="s">
        <v>21</v>
      </c>
      <c r="K674" s="9"/>
      <c r="L674" s="8" t="s">
        <v>22</v>
      </c>
      <c r="M674" s="9"/>
      <c r="N674" s="5"/>
      <c r="O674" s="5"/>
    </row>
    <row r="675" ht="22.5" customHeight="1">
      <c r="A675" s="5"/>
      <c r="B675" s="5"/>
      <c r="C675" s="5"/>
      <c r="D675" s="9"/>
      <c r="E675" s="9"/>
      <c r="F675" s="5" t="s">
        <v>18</v>
      </c>
      <c r="G675" s="9"/>
      <c r="H675" s="5" t="s">
        <v>20</v>
      </c>
      <c r="I675" s="9"/>
      <c r="J675" s="8" t="s">
        <v>21</v>
      </c>
      <c r="K675" s="9"/>
      <c r="L675" s="8" t="s">
        <v>22</v>
      </c>
      <c r="M675" s="9"/>
      <c r="N675" s="5"/>
      <c r="O675" s="5"/>
    </row>
    <row r="676" ht="22.5" customHeight="1">
      <c r="A676" s="5"/>
      <c r="B676" s="5"/>
      <c r="C676" s="5"/>
      <c r="D676" s="9"/>
      <c r="E676" s="9"/>
      <c r="F676" s="5" t="s">
        <v>18</v>
      </c>
      <c r="G676" s="9"/>
      <c r="H676" s="5" t="s">
        <v>20</v>
      </c>
      <c r="I676" s="9"/>
      <c r="J676" s="8" t="s">
        <v>21</v>
      </c>
      <c r="K676" s="9"/>
      <c r="L676" s="8" t="s">
        <v>22</v>
      </c>
      <c r="M676" s="9"/>
      <c r="N676" s="5"/>
      <c r="O676" s="5"/>
    </row>
    <row r="677" ht="22.5" customHeight="1">
      <c r="A677" s="5"/>
      <c r="B677" s="5"/>
      <c r="C677" s="5"/>
      <c r="D677" s="9"/>
      <c r="E677" s="9"/>
      <c r="F677" s="5" t="s">
        <v>18</v>
      </c>
      <c r="G677" s="9"/>
      <c r="H677" s="5" t="s">
        <v>20</v>
      </c>
      <c r="I677" s="9"/>
      <c r="J677" s="8" t="s">
        <v>21</v>
      </c>
      <c r="K677" s="9"/>
      <c r="L677" s="8" t="s">
        <v>22</v>
      </c>
      <c r="M677" s="9"/>
      <c r="N677" s="5"/>
      <c r="O677" s="5"/>
    </row>
    <row r="678" ht="22.5" customHeight="1">
      <c r="A678" s="5"/>
      <c r="B678" s="5"/>
      <c r="C678" s="5"/>
      <c r="D678" s="9"/>
      <c r="E678" s="9"/>
      <c r="F678" s="5" t="s">
        <v>18</v>
      </c>
      <c r="G678" s="9"/>
      <c r="H678" s="5" t="s">
        <v>20</v>
      </c>
      <c r="I678" s="9"/>
      <c r="J678" s="8" t="s">
        <v>21</v>
      </c>
      <c r="K678" s="9"/>
      <c r="L678" s="8" t="s">
        <v>22</v>
      </c>
      <c r="M678" s="9"/>
      <c r="N678" s="5"/>
      <c r="O678" s="5"/>
    </row>
    <row r="679" ht="22.5" customHeight="1">
      <c r="A679" s="5"/>
      <c r="B679" s="5"/>
      <c r="C679" s="5"/>
      <c r="D679" s="9"/>
      <c r="E679" s="9"/>
      <c r="F679" s="5" t="s">
        <v>18</v>
      </c>
      <c r="G679" s="9"/>
      <c r="H679" s="5" t="s">
        <v>20</v>
      </c>
      <c r="I679" s="9"/>
      <c r="J679" s="8" t="s">
        <v>21</v>
      </c>
      <c r="K679" s="9"/>
      <c r="L679" s="8" t="s">
        <v>22</v>
      </c>
      <c r="M679" s="9"/>
      <c r="N679" s="5"/>
      <c r="O679" s="5"/>
    </row>
    <row r="680" ht="22.5" customHeight="1">
      <c r="A680" s="5"/>
      <c r="B680" s="5"/>
      <c r="C680" s="5"/>
      <c r="D680" s="9"/>
      <c r="E680" s="9"/>
      <c r="F680" s="5" t="s">
        <v>18</v>
      </c>
      <c r="G680" s="9"/>
      <c r="H680" s="5" t="s">
        <v>20</v>
      </c>
      <c r="I680" s="9"/>
      <c r="J680" s="8" t="s">
        <v>21</v>
      </c>
      <c r="K680" s="9"/>
      <c r="L680" s="8" t="s">
        <v>22</v>
      </c>
      <c r="M680" s="9"/>
      <c r="N680" s="5"/>
      <c r="O680" s="5"/>
    </row>
    <row r="681" ht="22.5" customHeight="1">
      <c r="A681" s="5"/>
      <c r="B681" s="5"/>
      <c r="C681" s="5"/>
      <c r="D681" s="9"/>
      <c r="E681" s="9"/>
      <c r="F681" s="5" t="s">
        <v>18</v>
      </c>
      <c r="G681" s="9"/>
      <c r="H681" s="5" t="s">
        <v>20</v>
      </c>
      <c r="I681" s="9"/>
      <c r="J681" s="8" t="s">
        <v>21</v>
      </c>
      <c r="K681" s="9"/>
      <c r="L681" s="8" t="s">
        <v>22</v>
      </c>
      <c r="M681" s="9"/>
      <c r="N681" s="5"/>
      <c r="O681" s="5"/>
    </row>
    <row r="682" ht="22.5" customHeight="1">
      <c r="A682" s="5"/>
      <c r="B682" s="5"/>
      <c r="C682" s="5"/>
      <c r="D682" s="9"/>
      <c r="E682" s="9"/>
      <c r="F682" s="5" t="s">
        <v>18</v>
      </c>
      <c r="G682" s="9"/>
      <c r="H682" s="5" t="s">
        <v>20</v>
      </c>
      <c r="I682" s="9"/>
      <c r="J682" s="8" t="s">
        <v>21</v>
      </c>
      <c r="K682" s="9"/>
      <c r="L682" s="8" t="s">
        <v>22</v>
      </c>
      <c r="M682" s="9"/>
      <c r="N682" s="5"/>
      <c r="O682" s="5"/>
    </row>
    <row r="683" ht="22.5" customHeight="1">
      <c r="A683" s="5"/>
      <c r="B683" s="5"/>
      <c r="C683" s="5"/>
      <c r="D683" s="9"/>
      <c r="E683" s="9"/>
      <c r="F683" s="5" t="s">
        <v>18</v>
      </c>
      <c r="G683" s="9"/>
      <c r="H683" s="5" t="s">
        <v>20</v>
      </c>
      <c r="I683" s="9"/>
      <c r="J683" s="8" t="s">
        <v>21</v>
      </c>
      <c r="K683" s="9"/>
      <c r="L683" s="8" t="s">
        <v>22</v>
      </c>
      <c r="M683" s="9"/>
      <c r="N683" s="5"/>
      <c r="O683" s="5"/>
    </row>
    <row r="684" ht="22.5" customHeight="1">
      <c r="A684" s="5"/>
      <c r="B684" s="5"/>
      <c r="C684" s="5"/>
      <c r="D684" s="9"/>
      <c r="E684" s="9"/>
      <c r="F684" s="5" t="s">
        <v>18</v>
      </c>
      <c r="G684" s="9"/>
      <c r="H684" s="5" t="s">
        <v>20</v>
      </c>
      <c r="I684" s="9"/>
      <c r="J684" s="8" t="s">
        <v>21</v>
      </c>
      <c r="K684" s="9"/>
      <c r="L684" s="8" t="s">
        <v>22</v>
      </c>
      <c r="M684" s="9"/>
      <c r="N684" s="5"/>
      <c r="O684" s="5"/>
    </row>
    <row r="685" ht="22.5" customHeight="1">
      <c r="A685" s="5"/>
      <c r="B685" s="5"/>
      <c r="C685" s="5"/>
      <c r="D685" s="9"/>
      <c r="E685" s="9"/>
      <c r="F685" s="5" t="s">
        <v>18</v>
      </c>
      <c r="G685" s="9"/>
      <c r="H685" s="5" t="s">
        <v>20</v>
      </c>
      <c r="I685" s="9"/>
      <c r="J685" s="8" t="s">
        <v>21</v>
      </c>
      <c r="K685" s="9"/>
      <c r="L685" s="8" t="s">
        <v>22</v>
      </c>
      <c r="M685" s="9"/>
      <c r="N685" s="5"/>
      <c r="O685" s="5"/>
    </row>
    <row r="686" ht="22.5" customHeight="1">
      <c r="A686" s="5"/>
      <c r="B686" s="5"/>
      <c r="C686" s="5"/>
      <c r="D686" s="9"/>
      <c r="E686" s="9"/>
      <c r="F686" s="5" t="s">
        <v>18</v>
      </c>
      <c r="G686" s="9"/>
      <c r="H686" s="5" t="s">
        <v>20</v>
      </c>
      <c r="I686" s="9"/>
      <c r="J686" s="8" t="s">
        <v>21</v>
      </c>
      <c r="K686" s="9"/>
      <c r="L686" s="8" t="s">
        <v>22</v>
      </c>
      <c r="M686" s="9"/>
      <c r="N686" s="5"/>
      <c r="O686" s="5"/>
    </row>
    <row r="687" ht="22.5" customHeight="1">
      <c r="A687" s="5"/>
      <c r="B687" s="5"/>
      <c r="C687" s="5"/>
      <c r="D687" s="9"/>
      <c r="E687" s="9"/>
      <c r="F687" s="5" t="s">
        <v>18</v>
      </c>
      <c r="G687" s="9"/>
      <c r="H687" s="5" t="s">
        <v>20</v>
      </c>
      <c r="I687" s="9"/>
      <c r="J687" s="8" t="s">
        <v>21</v>
      </c>
      <c r="K687" s="9"/>
      <c r="L687" s="8" t="s">
        <v>22</v>
      </c>
      <c r="M687" s="9"/>
      <c r="N687" s="5"/>
      <c r="O687" s="5"/>
    </row>
    <row r="688" ht="22.5" customHeight="1">
      <c r="A688" s="5"/>
      <c r="B688" s="5"/>
      <c r="C688" s="5"/>
      <c r="D688" s="9"/>
      <c r="E688" s="9"/>
      <c r="F688" s="5" t="s">
        <v>18</v>
      </c>
      <c r="G688" s="9"/>
      <c r="H688" s="5" t="s">
        <v>20</v>
      </c>
      <c r="I688" s="9"/>
      <c r="J688" s="8" t="s">
        <v>21</v>
      </c>
      <c r="K688" s="9"/>
      <c r="L688" s="8" t="s">
        <v>22</v>
      </c>
      <c r="M688" s="9"/>
      <c r="N688" s="5"/>
      <c r="O688" s="5"/>
    </row>
    <row r="689" ht="22.5" customHeight="1">
      <c r="A689" s="5"/>
      <c r="B689" s="5"/>
      <c r="C689" s="5"/>
      <c r="D689" s="9"/>
      <c r="E689" s="9"/>
      <c r="F689" s="5" t="s">
        <v>18</v>
      </c>
      <c r="G689" s="9"/>
      <c r="H689" s="5" t="s">
        <v>20</v>
      </c>
      <c r="I689" s="9"/>
      <c r="J689" s="8" t="s">
        <v>21</v>
      </c>
      <c r="K689" s="9"/>
      <c r="L689" s="8" t="s">
        <v>22</v>
      </c>
      <c r="M689" s="9"/>
      <c r="N689" s="5"/>
      <c r="O689" s="5"/>
    </row>
    <row r="690" ht="22.5" customHeight="1">
      <c r="A690" s="5"/>
      <c r="B690" s="5"/>
      <c r="C690" s="5"/>
      <c r="D690" s="9"/>
      <c r="E690" s="9"/>
      <c r="F690" s="5" t="s">
        <v>18</v>
      </c>
      <c r="G690" s="9"/>
      <c r="H690" s="5" t="s">
        <v>20</v>
      </c>
      <c r="I690" s="9"/>
      <c r="J690" s="8" t="s">
        <v>21</v>
      </c>
      <c r="K690" s="9"/>
      <c r="L690" s="8" t="s">
        <v>22</v>
      </c>
      <c r="M690" s="9"/>
      <c r="N690" s="5"/>
      <c r="O690" s="5"/>
    </row>
    <row r="691" ht="22.5" customHeight="1">
      <c r="A691" s="5"/>
      <c r="B691" s="5"/>
      <c r="C691" s="5"/>
      <c r="D691" s="9"/>
      <c r="E691" s="9"/>
      <c r="F691" s="5" t="s">
        <v>18</v>
      </c>
      <c r="G691" s="9"/>
      <c r="H691" s="5" t="s">
        <v>20</v>
      </c>
      <c r="I691" s="9"/>
      <c r="J691" s="8" t="s">
        <v>21</v>
      </c>
      <c r="K691" s="9"/>
      <c r="L691" s="8" t="s">
        <v>22</v>
      </c>
      <c r="M691" s="9"/>
      <c r="N691" s="5"/>
      <c r="O691" s="5"/>
    </row>
    <row r="692" ht="22.5" customHeight="1">
      <c r="A692" s="5"/>
      <c r="B692" s="5"/>
      <c r="C692" s="5"/>
      <c r="D692" s="9"/>
      <c r="E692" s="9"/>
      <c r="F692" s="5" t="s">
        <v>18</v>
      </c>
      <c r="G692" s="9"/>
      <c r="H692" s="5" t="s">
        <v>20</v>
      </c>
      <c r="I692" s="9"/>
      <c r="J692" s="8" t="s">
        <v>21</v>
      </c>
      <c r="K692" s="9"/>
      <c r="L692" s="8" t="s">
        <v>22</v>
      </c>
      <c r="M692" s="9"/>
      <c r="N692" s="5"/>
      <c r="O692" s="5"/>
    </row>
    <row r="693" ht="22.5" customHeight="1">
      <c r="A693" s="5"/>
      <c r="B693" s="5"/>
      <c r="C693" s="5"/>
      <c r="D693" s="9"/>
      <c r="E693" s="9"/>
      <c r="F693" s="5" t="s">
        <v>18</v>
      </c>
      <c r="G693" s="9"/>
      <c r="H693" s="5" t="s">
        <v>20</v>
      </c>
      <c r="I693" s="9"/>
      <c r="J693" s="8" t="s">
        <v>21</v>
      </c>
      <c r="K693" s="9"/>
      <c r="L693" s="8" t="s">
        <v>22</v>
      </c>
      <c r="M693" s="9"/>
      <c r="N693" s="5"/>
      <c r="O693" s="5"/>
    </row>
    <row r="694" ht="22.5" customHeight="1">
      <c r="A694" s="5"/>
      <c r="B694" s="5"/>
      <c r="C694" s="5"/>
      <c r="D694" s="9"/>
      <c r="E694" s="9"/>
      <c r="F694" s="5" t="s">
        <v>18</v>
      </c>
      <c r="G694" s="9"/>
      <c r="H694" s="5" t="s">
        <v>20</v>
      </c>
      <c r="I694" s="9"/>
      <c r="J694" s="8" t="s">
        <v>21</v>
      </c>
      <c r="K694" s="9"/>
      <c r="L694" s="8" t="s">
        <v>22</v>
      </c>
      <c r="M694" s="9"/>
      <c r="N694" s="5"/>
      <c r="O694" s="5"/>
    </row>
    <row r="695" ht="22.5" customHeight="1">
      <c r="A695" s="5"/>
      <c r="B695" s="5"/>
      <c r="C695" s="5"/>
      <c r="D695" s="9"/>
      <c r="E695" s="9"/>
      <c r="F695" s="5" t="s">
        <v>18</v>
      </c>
      <c r="G695" s="9"/>
      <c r="H695" s="5" t="s">
        <v>20</v>
      </c>
      <c r="I695" s="9"/>
      <c r="J695" s="8" t="s">
        <v>21</v>
      </c>
      <c r="K695" s="9"/>
      <c r="L695" s="8" t="s">
        <v>22</v>
      </c>
      <c r="M695" s="9"/>
      <c r="N695" s="5"/>
      <c r="O695" s="5"/>
    </row>
    <row r="696" ht="22.5" customHeight="1">
      <c r="A696" s="5"/>
      <c r="B696" s="5"/>
      <c r="C696" s="5"/>
      <c r="D696" s="9"/>
      <c r="E696" s="9"/>
      <c r="F696" s="5" t="s">
        <v>18</v>
      </c>
      <c r="G696" s="9"/>
      <c r="H696" s="5" t="s">
        <v>20</v>
      </c>
      <c r="I696" s="9"/>
      <c r="J696" s="8" t="s">
        <v>21</v>
      </c>
      <c r="K696" s="9"/>
      <c r="L696" s="8" t="s">
        <v>22</v>
      </c>
      <c r="M696" s="9"/>
      <c r="N696" s="5"/>
      <c r="O696" s="5"/>
    </row>
    <row r="697" ht="22.5" customHeight="1">
      <c r="A697" s="5"/>
      <c r="B697" s="5"/>
      <c r="C697" s="5"/>
      <c r="D697" s="9"/>
      <c r="E697" s="9"/>
      <c r="F697" s="5" t="s">
        <v>18</v>
      </c>
      <c r="G697" s="9"/>
      <c r="H697" s="5" t="s">
        <v>20</v>
      </c>
      <c r="I697" s="9"/>
      <c r="J697" s="8" t="s">
        <v>21</v>
      </c>
      <c r="K697" s="9"/>
      <c r="L697" s="8" t="s">
        <v>22</v>
      </c>
      <c r="M697" s="9"/>
      <c r="N697" s="5"/>
      <c r="O697" s="5"/>
    </row>
    <row r="698" ht="22.5" customHeight="1">
      <c r="A698" s="5"/>
      <c r="B698" s="5"/>
      <c r="C698" s="5"/>
      <c r="D698" s="9"/>
      <c r="E698" s="9"/>
      <c r="F698" s="5" t="s">
        <v>18</v>
      </c>
      <c r="G698" s="9"/>
      <c r="H698" s="5" t="s">
        <v>20</v>
      </c>
      <c r="I698" s="9"/>
      <c r="J698" s="8" t="s">
        <v>21</v>
      </c>
      <c r="K698" s="9"/>
      <c r="L698" s="8" t="s">
        <v>22</v>
      </c>
      <c r="M698" s="9"/>
      <c r="N698" s="5"/>
      <c r="O698" s="5"/>
    </row>
    <row r="699" ht="22.5" customHeight="1">
      <c r="A699" s="5"/>
      <c r="B699" s="5"/>
      <c r="C699" s="5"/>
      <c r="D699" s="9"/>
      <c r="E699" s="9"/>
      <c r="F699" s="5" t="s">
        <v>18</v>
      </c>
      <c r="G699" s="9"/>
      <c r="H699" s="5" t="s">
        <v>20</v>
      </c>
      <c r="I699" s="9"/>
      <c r="J699" s="8" t="s">
        <v>21</v>
      </c>
      <c r="K699" s="9"/>
      <c r="L699" s="8" t="s">
        <v>22</v>
      </c>
      <c r="M699" s="9"/>
      <c r="N699" s="5"/>
      <c r="O699" s="5"/>
    </row>
    <row r="700" ht="22.5" customHeight="1">
      <c r="A700" s="5"/>
      <c r="B700" s="5"/>
      <c r="C700" s="5"/>
      <c r="D700" s="9"/>
      <c r="E700" s="9"/>
      <c r="F700" s="5" t="s">
        <v>18</v>
      </c>
      <c r="G700" s="9"/>
      <c r="H700" s="5" t="s">
        <v>20</v>
      </c>
      <c r="I700" s="9"/>
      <c r="J700" s="8" t="s">
        <v>21</v>
      </c>
      <c r="K700" s="9"/>
      <c r="L700" s="8" t="s">
        <v>22</v>
      </c>
      <c r="M700" s="9"/>
      <c r="N700" s="5"/>
      <c r="O700" s="5"/>
    </row>
    <row r="701" ht="22.5" customHeight="1">
      <c r="A701" s="5"/>
      <c r="B701" s="5"/>
      <c r="C701" s="5"/>
      <c r="D701" s="9"/>
      <c r="E701" s="9"/>
      <c r="F701" s="5" t="s">
        <v>18</v>
      </c>
      <c r="G701" s="9"/>
      <c r="H701" s="5" t="s">
        <v>20</v>
      </c>
      <c r="I701" s="9"/>
      <c r="J701" s="8" t="s">
        <v>21</v>
      </c>
      <c r="K701" s="9"/>
      <c r="L701" s="8" t="s">
        <v>22</v>
      </c>
      <c r="M701" s="9"/>
      <c r="N701" s="5"/>
      <c r="O701" s="5"/>
    </row>
    <row r="702" ht="22.5" customHeight="1">
      <c r="A702" s="5"/>
      <c r="B702" s="5"/>
      <c r="C702" s="5"/>
      <c r="D702" s="9"/>
      <c r="E702" s="9"/>
      <c r="F702" s="5" t="s">
        <v>18</v>
      </c>
      <c r="G702" s="9"/>
      <c r="H702" s="5" t="s">
        <v>20</v>
      </c>
      <c r="I702" s="9"/>
      <c r="J702" s="8" t="s">
        <v>21</v>
      </c>
      <c r="K702" s="9"/>
      <c r="L702" s="8" t="s">
        <v>22</v>
      </c>
      <c r="M702" s="9"/>
      <c r="N702" s="5"/>
      <c r="O702" s="5"/>
    </row>
    <row r="703" ht="22.5" customHeight="1">
      <c r="A703" s="5"/>
      <c r="B703" s="5"/>
      <c r="C703" s="5"/>
      <c r="D703" s="9"/>
      <c r="E703" s="9"/>
      <c r="F703" s="5" t="s">
        <v>18</v>
      </c>
      <c r="G703" s="9"/>
      <c r="H703" s="5" t="s">
        <v>20</v>
      </c>
      <c r="I703" s="9"/>
      <c r="J703" s="8" t="s">
        <v>21</v>
      </c>
      <c r="K703" s="9"/>
      <c r="L703" s="8" t="s">
        <v>22</v>
      </c>
      <c r="M703" s="9"/>
      <c r="N703" s="5"/>
      <c r="O703" s="5"/>
    </row>
    <row r="704" ht="22.5" customHeight="1">
      <c r="A704" s="5"/>
      <c r="B704" s="5"/>
      <c r="C704" s="5"/>
      <c r="D704" s="9"/>
      <c r="E704" s="9"/>
      <c r="F704" s="5" t="s">
        <v>18</v>
      </c>
      <c r="G704" s="9"/>
      <c r="H704" s="5" t="s">
        <v>20</v>
      </c>
      <c r="I704" s="9"/>
      <c r="J704" s="8" t="s">
        <v>21</v>
      </c>
      <c r="K704" s="9"/>
      <c r="L704" s="8" t="s">
        <v>22</v>
      </c>
      <c r="M704" s="9"/>
      <c r="N704" s="5"/>
      <c r="O704" s="5"/>
    </row>
    <row r="705" ht="22.5" customHeight="1">
      <c r="A705" s="5"/>
      <c r="B705" s="5"/>
      <c r="C705" s="5"/>
      <c r="D705" s="9"/>
      <c r="E705" s="9"/>
      <c r="F705" s="5" t="s">
        <v>18</v>
      </c>
      <c r="G705" s="9"/>
      <c r="H705" s="5" t="s">
        <v>20</v>
      </c>
      <c r="I705" s="9"/>
      <c r="J705" s="8" t="s">
        <v>21</v>
      </c>
      <c r="K705" s="9"/>
      <c r="L705" s="8" t="s">
        <v>22</v>
      </c>
      <c r="M705" s="9"/>
      <c r="N705" s="5"/>
      <c r="O705" s="5"/>
    </row>
    <row r="706" ht="22.5" customHeight="1">
      <c r="A706" s="5"/>
      <c r="B706" s="5"/>
      <c r="C706" s="5"/>
      <c r="D706" s="9"/>
      <c r="E706" s="9"/>
      <c r="F706" s="5" t="s">
        <v>18</v>
      </c>
      <c r="G706" s="9"/>
      <c r="H706" s="5" t="s">
        <v>20</v>
      </c>
      <c r="I706" s="9"/>
      <c r="J706" s="8" t="s">
        <v>21</v>
      </c>
      <c r="K706" s="9"/>
      <c r="L706" s="8" t="s">
        <v>22</v>
      </c>
      <c r="M706" s="9"/>
      <c r="N706" s="5"/>
      <c r="O706" s="5"/>
    </row>
    <row r="707" ht="22.5" customHeight="1">
      <c r="A707" s="5"/>
      <c r="B707" s="5"/>
      <c r="C707" s="5"/>
      <c r="D707" s="9"/>
      <c r="E707" s="9"/>
      <c r="F707" s="5" t="s">
        <v>18</v>
      </c>
      <c r="G707" s="9"/>
      <c r="H707" s="5" t="s">
        <v>20</v>
      </c>
      <c r="I707" s="9"/>
      <c r="J707" s="8" t="s">
        <v>21</v>
      </c>
      <c r="K707" s="9"/>
      <c r="L707" s="8" t="s">
        <v>22</v>
      </c>
      <c r="M707" s="9"/>
      <c r="N707" s="5"/>
      <c r="O707" s="5"/>
    </row>
    <row r="708" ht="22.5" customHeight="1">
      <c r="A708" s="5"/>
      <c r="B708" s="5"/>
      <c r="C708" s="5"/>
      <c r="D708" s="9"/>
      <c r="E708" s="9"/>
      <c r="F708" s="5" t="s">
        <v>18</v>
      </c>
      <c r="G708" s="9"/>
      <c r="H708" s="5" t="s">
        <v>20</v>
      </c>
      <c r="I708" s="9"/>
      <c r="J708" s="8" t="s">
        <v>21</v>
      </c>
      <c r="K708" s="9"/>
      <c r="L708" s="8" t="s">
        <v>22</v>
      </c>
      <c r="M708" s="9"/>
      <c r="N708" s="5"/>
      <c r="O708" s="5"/>
    </row>
    <row r="709" ht="22.5" customHeight="1">
      <c r="A709" s="5"/>
      <c r="B709" s="5"/>
      <c r="C709" s="5"/>
      <c r="D709" s="9"/>
      <c r="E709" s="9"/>
      <c r="F709" s="5" t="s">
        <v>18</v>
      </c>
      <c r="G709" s="9"/>
      <c r="H709" s="5" t="s">
        <v>20</v>
      </c>
      <c r="I709" s="9"/>
      <c r="J709" s="8" t="s">
        <v>21</v>
      </c>
      <c r="K709" s="9"/>
      <c r="L709" s="8" t="s">
        <v>22</v>
      </c>
      <c r="M709" s="9"/>
      <c r="N709" s="5"/>
      <c r="O709" s="5"/>
    </row>
    <row r="710" ht="22.5" customHeight="1">
      <c r="A710" s="5"/>
      <c r="B710" s="5"/>
      <c r="C710" s="5"/>
      <c r="D710" s="9"/>
      <c r="E710" s="9"/>
      <c r="F710" s="5" t="s">
        <v>18</v>
      </c>
      <c r="G710" s="9"/>
      <c r="H710" s="5" t="s">
        <v>20</v>
      </c>
      <c r="I710" s="9"/>
      <c r="J710" s="8" t="s">
        <v>21</v>
      </c>
      <c r="K710" s="9"/>
      <c r="L710" s="8" t="s">
        <v>22</v>
      </c>
      <c r="M710" s="9"/>
      <c r="N710" s="5"/>
      <c r="O710" s="5"/>
    </row>
    <row r="711" ht="22.5" customHeight="1">
      <c r="A711" s="5"/>
      <c r="B711" s="5"/>
      <c r="C711" s="5"/>
      <c r="D711" s="9"/>
      <c r="E711" s="9"/>
      <c r="F711" s="5" t="s">
        <v>18</v>
      </c>
      <c r="G711" s="9"/>
      <c r="H711" s="5" t="s">
        <v>20</v>
      </c>
      <c r="I711" s="9"/>
      <c r="J711" s="8" t="s">
        <v>21</v>
      </c>
      <c r="K711" s="9"/>
      <c r="L711" s="8" t="s">
        <v>22</v>
      </c>
      <c r="M711" s="9"/>
      <c r="N711" s="5"/>
      <c r="O711" s="5"/>
    </row>
    <row r="712" ht="22.5" customHeight="1">
      <c r="A712" s="5"/>
      <c r="B712" s="5"/>
      <c r="C712" s="5"/>
      <c r="D712" s="9"/>
      <c r="E712" s="9"/>
      <c r="F712" s="5" t="s">
        <v>18</v>
      </c>
      <c r="G712" s="9"/>
      <c r="H712" s="5" t="s">
        <v>20</v>
      </c>
      <c r="I712" s="9"/>
      <c r="J712" s="8" t="s">
        <v>21</v>
      </c>
      <c r="K712" s="9"/>
      <c r="L712" s="8" t="s">
        <v>22</v>
      </c>
      <c r="M712" s="9"/>
      <c r="N712" s="5"/>
      <c r="O712" s="5"/>
    </row>
    <row r="713" ht="22.5" customHeight="1">
      <c r="A713" s="5"/>
      <c r="B713" s="5"/>
      <c r="C713" s="5"/>
      <c r="D713" s="9"/>
      <c r="E713" s="9"/>
      <c r="F713" s="5" t="s">
        <v>18</v>
      </c>
      <c r="G713" s="9"/>
      <c r="H713" s="5" t="s">
        <v>20</v>
      </c>
      <c r="I713" s="9"/>
      <c r="J713" s="8" t="s">
        <v>21</v>
      </c>
      <c r="K713" s="9"/>
      <c r="L713" s="8" t="s">
        <v>22</v>
      </c>
      <c r="M713" s="9"/>
      <c r="N713" s="5"/>
      <c r="O713" s="5"/>
    </row>
    <row r="714" ht="22.5" customHeight="1">
      <c r="A714" s="5"/>
      <c r="B714" s="5"/>
      <c r="C714" s="5"/>
      <c r="D714" s="9"/>
      <c r="E714" s="9"/>
      <c r="F714" s="5" t="s">
        <v>18</v>
      </c>
      <c r="G714" s="9"/>
      <c r="H714" s="5" t="s">
        <v>20</v>
      </c>
      <c r="I714" s="9"/>
      <c r="J714" s="8" t="s">
        <v>21</v>
      </c>
      <c r="K714" s="9"/>
      <c r="L714" s="8" t="s">
        <v>22</v>
      </c>
      <c r="M714" s="9"/>
      <c r="N714" s="5"/>
      <c r="O714" s="5"/>
    </row>
    <row r="715" ht="22.5" customHeight="1">
      <c r="A715" s="5"/>
      <c r="B715" s="5"/>
      <c r="C715" s="5"/>
      <c r="D715" s="9"/>
      <c r="E715" s="9"/>
      <c r="F715" s="5" t="s">
        <v>18</v>
      </c>
      <c r="G715" s="9"/>
      <c r="H715" s="5" t="s">
        <v>20</v>
      </c>
      <c r="I715" s="9"/>
      <c r="J715" s="8" t="s">
        <v>21</v>
      </c>
      <c r="K715" s="9"/>
      <c r="L715" s="8" t="s">
        <v>22</v>
      </c>
      <c r="M715" s="9"/>
      <c r="N715" s="5"/>
      <c r="O715" s="5"/>
    </row>
    <row r="716" ht="22.5" customHeight="1">
      <c r="A716" s="5"/>
      <c r="B716" s="5"/>
      <c r="C716" s="5"/>
      <c r="D716" s="9"/>
      <c r="E716" s="9"/>
      <c r="F716" s="5" t="s">
        <v>18</v>
      </c>
      <c r="G716" s="9"/>
      <c r="H716" s="5" t="s">
        <v>20</v>
      </c>
      <c r="I716" s="9"/>
      <c r="J716" s="8" t="s">
        <v>21</v>
      </c>
      <c r="K716" s="9"/>
      <c r="L716" s="8" t="s">
        <v>22</v>
      </c>
      <c r="M716" s="9"/>
      <c r="N716" s="5"/>
      <c r="O716" s="5"/>
    </row>
    <row r="717" ht="22.5" customHeight="1">
      <c r="A717" s="5"/>
      <c r="B717" s="5"/>
      <c r="C717" s="5"/>
      <c r="D717" s="9"/>
      <c r="E717" s="9"/>
      <c r="F717" s="5" t="s">
        <v>18</v>
      </c>
      <c r="G717" s="9"/>
      <c r="H717" s="5" t="s">
        <v>20</v>
      </c>
      <c r="I717" s="9"/>
      <c r="J717" s="8" t="s">
        <v>21</v>
      </c>
      <c r="K717" s="9"/>
      <c r="L717" s="8" t="s">
        <v>22</v>
      </c>
      <c r="M717" s="9"/>
      <c r="N717" s="5"/>
      <c r="O717" s="5"/>
    </row>
    <row r="718" ht="22.5" customHeight="1">
      <c r="A718" s="5"/>
      <c r="B718" s="5"/>
      <c r="C718" s="5"/>
      <c r="D718" s="9"/>
      <c r="E718" s="9"/>
      <c r="F718" s="5" t="s">
        <v>18</v>
      </c>
      <c r="G718" s="9"/>
      <c r="H718" s="5" t="s">
        <v>20</v>
      </c>
      <c r="I718" s="9"/>
      <c r="J718" s="8" t="s">
        <v>21</v>
      </c>
      <c r="K718" s="9"/>
      <c r="L718" s="8" t="s">
        <v>22</v>
      </c>
      <c r="M718" s="9"/>
      <c r="N718" s="5"/>
      <c r="O718" s="5"/>
    </row>
    <row r="719" ht="22.5" customHeight="1">
      <c r="A719" s="5"/>
      <c r="B719" s="5"/>
      <c r="C719" s="5"/>
      <c r="D719" s="9"/>
      <c r="E719" s="9"/>
      <c r="F719" s="5" t="s">
        <v>18</v>
      </c>
      <c r="G719" s="9"/>
      <c r="H719" s="5" t="s">
        <v>20</v>
      </c>
      <c r="I719" s="9"/>
      <c r="J719" s="8" t="s">
        <v>21</v>
      </c>
      <c r="K719" s="9"/>
      <c r="L719" s="8" t="s">
        <v>22</v>
      </c>
      <c r="M719" s="9"/>
      <c r="N719" s="5"/>
      <c r="O719" s="5"/>
    </row>
    <row r="720" ht="22.5" customHeight="1">
      <c r="A720" s="5"/>
      <c r="B720" s="5"/>
      <c r="C720" s="5"/>
      <c r="D720" s="9"/>
      <c r="E720" s="9"/>
      <c r="F720" s="5" t="s">
        <v>18</v>
      </c>
      <c r="G720" s="9"/>
      <c r="H720" s="5" t="s">
        <v>20</v>
      </c>
      <c r="I720" s="9"/>
      <c r="J720" s="8" t="s">
        <v>21</v>
      </c>
      <c r="K720" s="9"/>
      <c r="L720" s="8" t="s">
        <v>22</v>
      </c>
      <c r="M720" s="9"/>
      <c r="N720" s="5"/>
      <c r="O720" s="5"/>
    </row>
    <row r="721" ht="22.5" customHeight="1">
      <c r="A721" s="5"/>
      <c r="B721" s="5"/>
      <c r="C721" s="5"/>
      <c r="D721" s="9"/>
      <c r="E721" s="9"/>
      <c r="F721" s="5" t="s">
        <v>18</v>
      </c>
      <c r="G721" s="9"/>
      <c r="H721" s="5" t="s">
        <v>20</v>
      </c>
      <c r="I721" s="9"/>
      <c r="J721" s="8" t="s">
        <v>21</v>
      </c>
      <c r="K721" s="9"/>
      <c r="L721" s="8" t="s">
        <v>22</v>
      </c>
      <c r="M721" s="9"/>
      <c r="N721" s="5"/>
      <c r="O721" s="5"/>
    </row>
    <row r="722" ht="22.5" customHeight="1">
      <c r="A722" s="5"/>
      <c r="B722" s="5"/>
      <c r="C722" s="5"/>
      <c r="D722" s="9"/>
      <c r="E722" s="9"/>
      <c r="F722" s="5" t="s">
        <v>18</v>
      </c>
      <c r="G722" s="9"/>
      <c r="H722" s="5" t="s">
        <v>20</v>
      </c>
      <c r="I722" s="9"/>
      <c r="J722" s="8" t="s">
        <v>21</v>
      </c>
      <c r="K722" s="9"/>
      <c r="L722" s="8" t="s">
        <v>22</v>
      </c>
      <c r="M722" s="9"/>
      <c r="N722" s="5"/>
      <c r="O722" s="5"/>
    </row>
    <row r="723" ht="22.5" customHeight="1">
      <c r="A723" s="5"/>
      <c r="B723" s="5"/>
      <c r="C723" s="5"/>
      <c r="D723" s="9"/>
      <c r="E723" s="9"/>
      <c r="F723" s="5" t="s">
        <v>18</v>
      </c>
      <c r="G723" s="9"/>
      <c r="H723" s="5" t="s">
        <v>20</v>
      </c>
      <c r="I723" s="9"/>
      <c r="J723" s="8" t="s">
        <v>21</v>
      </c>
      <c r="K723" s="9"/>
      <c r="L723" s="8" t="s">
        <v>22</v>
      </c>
      <c r="M723" s="9"/>
      <c r="N723" s="5"/>
      <c r="O723" s="5"/>
    </row>
    <row r="724" ht="22.5" customHeight="1">
      <c r="A724" s="5"/>
      <c r="B724" s="5"/>
      <c r="C724" s="5"/>
      <c r="D724" s="9"/>
      <c r="E724" s="9"/>
      <c r="F724" s="5"/>
      <c r="G724" s="9"/>
      <c r="H724" s="5"/>
      <c r="I724" s="9"/>
      <c r="J724" s="8"/>
      <c r="K724" s="9"/>
      <c r="L724" s="8"/>
      <c r="M724" s="9"/>
      <c r="N724" s="5"/>
      <c r="O724" s="5"/>
    </row>
    <row r="725" ht="22.5" customHeight="1">
      <c r="A725" s="5"/>
      <c r="B725" s="5"/>
      <c r="C725" s="5"/>
      <c r="D725" s="9"/>
      <c r="E725" s="9"/>
      <c r="F725" s="5"/>
      <c r="G725" s="9"/>
      <c r="H725" s="5"/>
      <c r="I725" s="9"/>
      <c r="J725" s="8"/>
      <c r="K725" s="9"/>
      <c r="L725" s="8"/>
      <c r="M725" s="9"/>
      <c r="N725" s="5"/>
      <c r="O725" s="5"/>
    </row>
    <row r="726" ht="22.5" customHeight="1">
      <c r="A726" s="5"/>
      <c r="B726" s="5"/>
      <c r="C726" s="5"/>
      <c r="D726" s="9"/>
      <c r="E726" s="9"/>
      <c r="F726" s="5"/>
      <c r="G726" s="9"/>
      <c r="H726" s="5"/>
      <c r="I726" s="9"/>
      <c r="J726" s="8"/>
      <c r="K726" s="9"/>
      <c r="L726" s="8"/>
      <c r="M726" s="9"/>
      <c r="N726" s="5"/>
      <c r="O726" s="5"/>
    </row>
    <row r="727" ht="22.5" customHeight="1">
      <c r="A727" s="5"/>
      <c r="B727" s="5"/>
      <c r="C727" s="5"/>
      <c r="D727" s="9"/>
      <c r="E727" s="9"/>
      <c r="F727" s="5"/>
      <c r="G727" s="9"/>
      <c r="H727" s="5"/>
      <c r="I727" s="9"/>
      <c r="J727" s="8"/>
      <c r="K727" s="9"/>
      <c r="L727" s="8"/>
      <c r="M727" s="9"/>
      <c r="N727" s="5"/>
      <c r="O727" s="5"/>
    </row>
    <row r="728" ht="22.5" customHeight="1">
      <c r="A728" s="5"/>
      <c r="B728" s="5"/>
      <c r="C728" s="5"/>
      <c r="D728" s="9"/>
      <c r="E728" s="9"/>
      <c r="F728" s="5"/>
      <c r="G728" s="9"/>
      <c r="H728" s="5"/>
      <c r="I728" s="9"/>
      <c r="J728" s="8"/>
      <c r="K728" s="9"/>
      <c r="L728" s="8"/>
      <c r="M728" s="9"/>
      <c r="N728" s="5"/>
      <c r="O728" s="5"/>
    </row>
    <row r="729" ht="22.5" customHeight="1">
      <c r="A729" s="5"/>
      <c r="B729" s="5"/>
      <c r="C729" s="5"/>
      <c r="D729" s="9"/>
      <c r="E729" s="9"/>
      <c r="F729" s="5"/>
      <c r="G729" s="9"/>
      <c r="H729" s="5"/>
      <c r="I729" s="9"/>
      <c r="J729" s="8"/>
      <c r="K729" s="9"/>
      <c r="L729" s="8"/>
      <c r="M729" s="9"/>
      <c r="N729" s="5"/>
      <c r="O729" s="5"/>
    </row>
    <row r="730" ht="22.5" customHeight="1">
      <c r="A730" s="5"/>
      <c r="B730" s="5"/>
      <c r="C730" s="5"/>
      <c r="D730" s="9"/>
      <c r="E730" s="9"/>
      <c r="F730" s="5"/>
      <c r="G730" s="9"/>
      <c r="H730" s="5"/>
      <c r="I730" s="9"/>
      <c r="J730" s="8"/>
      <c r="K730" s="9"/>
      <c r="L730" s="8"/>
      <c r="M730" s="9"/>
      <c r="N730" s="5"/>
      <c r="O730" s="5"/>
    </row>
    <row r="731" ht="22.5" customHeight="1">
      <c r="A731" s="5"/>
      <c r="B731" s="5"/>
      <c r="C731" s="5"/>
      <c r="D731" s="9"/>
      <c r="E731" s="9"/>
      <c r="F731" s="5"/>
      <c r="G731" s="9"/>
      <c r="H731" s="5"/>
      <c r="I731" s="9"/>
      <c r="J731" s="8"/>
      <c r="K731" s="9"/>
      <c r="L731" s="8"/>
      <c r="M731" s="9"/>
      <c r="N731" s="5"/>
      <c r="O731" s="5"/>
    </row>
    <row r="732" ht="22.5" customHeight="1">
      <c r="A732" s="5"/>
      <c r="B732" s="5"/>
      <c r="C732" s="5"/>
      <c r="D732" s="9"/>
      <c r="E732" s="9"/>
      <c r="F732" s="5"/>
      <c r="G732" s="9"/>
      <c r="H732" s="5"/>
      <c r="I732" s="9"/>
      <c r="J732" s="8"/>
      <c r="K732" s="9"/>
      <c r="L732" s="8"/>
      <c r="M732" s="9"/>
      <c r="N732" s="5"/>
      <c r="O732" s="5"/>
    </row>
    <row r="733" ht="22.5" customHeight="1">
      <c r="A733" s="5"/>
      <c r="B733" s="5"/>
      <c r="C733" s="5"/>
      <c r="D733" s="9"/>
      <c r="E733" s="9"/>
      <c r="F733" s="5"/>
      <c r="G733" s="9"/>
      <c r="H733" s="5"/>
      <c r="I733" s="9"/>
      <c r="J733" s="8"/>
      <c r="K733" s="9"/>
      <c r="L733" s="8"/>
      <c r="M733" s="9"/>
      <c r="N733" s="5"/>
      <c r="O733" s="5"/>
    </row>
    <row r="734" ht="22.5" customHeight="1">
      <c r="A734" s="5"/>
      <c r="B734" s="5"/>
      <c r="C734" s="5"/>
      <c r="D734" s="9"/>
      <c r="E734" s="9"/>
      <c r="F734" s="5"/>
      <c r="G734" s="9"/>
      <c r="H734" s="5"/>
      <c r="I734" s="9"/>
      <c r="J734" s="8"/>
      <c r="K734" s="9"/>
      <c r="L734" s="8"/>
      <c r="M734" s="9"/>
      <c r="N734" s="5"/>
      <c r="O734" s="5"/>
    </row>
    <row r="735" ht="22.5" customHeight="1">
      <c r="A735" s="5"/>
      <c r="B735" s="5"/>
      <c r="C735" s="5"/>
      <c r="D735" s="9"/>
      <c r="E735" s="9"/>
      <c r="F735" s="5"/>
      <c r="G735" s="9"/>
      <c r="H735" s="5"/>
      <c r="I735" s="9"/>
      <c r="J735" s="8"/>
      <c r="K735" s="9"/>
      <c r="L735" s="8"/>
      <c r="M735" s="9"/>
      <c r="N735" s="5"/>
      <c r="O735" s="5"/>
    </row>
    <row r="736" ht="22.5" customHeight="1">
      <c r="A736" s="5"/>
      <c r="B736" s="5"/>
      <c r="C736" s="5"/>
      <c r="D736" s="9"/>
      <c r="E736" s="9"/>
      <c r="F736" s="5"/>
      <c r="G736" s="9"/>
      <c r="H736" s="5"/>
      <c r="I736" s="9"/>
      <c r="J736" s="8"/>
      <c r="K736" s="9"/>
      <c r="L736" s="8"/>
      <c r="M736" s="9"/>
      <c r="N736" s="5"/>
      <c r="O736" s="5"/>
    </row>
    <row r="737" ht="22.5" customHeight="1">
      <c r="A737" s="5"/>
      <c r="B737" s="5"/>
      <c r="C737" s="5"/>
      <c r="D737" s="9"/>
      <c r="E737" s="9"/>
      <c r="F737" s="5"/>
      <c r="G737" s="9"/>
      <c r="H737" s="5"/>
      <c r="I737" s="9"/>
      <c r="J737" s="8"/>
      <c r="K737" s="9"/>
      <c r="L737" s="8"/>
      <c r="M737" s="9"/>
      <c r="N737" s="5"/>
      <c r="O737" s="5"/>
    </row>
    <row r="738" ht="22.5" customHeight="1">
      <c r="A738" s="5"/>
      <c r="B738" s="5"/>
      <c r="C738" s="5"/>
      <c r="D738" s="9"/>
      <c r="E738" s="9"/>
      <c r="F738" s="5"/>
      <c r="G738" s="9"/>
      <c r="H738" s="5"/>
      <c r="I738" s="9"/>
      <c r="J738" s="8"/>
      <c r="K738" s="9"/>
      <c r="L738" s="8"/>
      <c r="M738" s="9"/>
      <c r="N738" s="5"/>
      <c r="O738" s="5"/>
    </row>
    <row r="739" ht="22.5" customHeight="1">
      <c r="A739" s="5"/>
      <c r="B739" s="5"/>
      <c r="C739" s="5"/>
      <c r="D739" s="9"/>
      <c r="E739" s="9"/>
      <c r="F739" s="5"/>
      <c r="G739" s="9"/>
      <c r="H739" s="5"/>
      <c r="I739" s="9"/>
      <c r="J739" s="8"/>
      <c r="K739" s="9"/>
      <c r="L739" s="8"/>
      <c r="M739" s="9"/>
      <c r="N739" s="5"/>
      <c r="O739" s="5"/>
    </row>
    <row r="740" ht="22.5" customHeight="1">
      <c r="A740" s="5"/>
      <c r="B740" s="5"/>
      <c r="C740" s="5"/>
      <c r="D740" s="9"/>
      <c r="E740" s="9"/>
      <c r="F740" s="5"/>
      <c r="G740" s="9"/>
      <c r="H740" s="5"/>
      <c r="I740" s="9"/>
      <c r="J740" s="8"/>
      <c r="K740" s="9"/>
      <c r="L740" s="8"/>
      <c r="M740" s="9"/>
      <c r="N740" s="5"/>
      <c r="O740" s="5"/>
    </row>
    <row r="741" ht="22.5" customHeight="1">
      <c r="A741" s="5"/>
      <c r="B741" s="5"/>
      <c r="C741" s="5"/>
      <c r="D741" s="9"/>
      <c r="E741" s="9"/>
      <c r="F741" s="5"/>
      <c r="G741" s="9"/>
      <c r="H741" s="5"/>
      <c r="I741" s="9"/>
      <c r="J741" s="8"/>
      <c r="K741" s="9"/>
      <c r="L741" s="8"/>
      <c r="M741" s="9"/>
      <c r="N741" s="5"/>
      <c r="O741" s="5"/>
    </row>
    <row r="742" ht="22.5" customHeight="1">
      <c r="A742" s="5"/>
      <c r="B742" s="5"/>
      <c r="C742" s="5"/>
      <c r="D742" s="9"/>
      <c r="E742" s="9"/>
      <c r="F742" s="5"/>
      <c r="G742" s="9"/>
      <c r="H742" s="5"/>
      <c r="I742" s="9"/>
      <c r="J742" s="8"/>
      <c r="K742" s="9"/>
      <c r="L742" s="8"/>
      <c r="M742" s="9"/>
      <c r="N742" s="5"/>
      <c r="O742" s="5"/>
    </row>
    <row r="743" ht="22.5" customHeight="1">
      <c r="A743" s="5"/>
      <c r="B743" s="5"/>
      <c r="C743" s="5"/>
      <c r="D743" s="9"/>
      <c r="E743" s="9"/>
      <c r="F743" s="5"/>
      <c r="G743" s="9"/>
      <c r="H743" s="5"/>
      <c r="I743" s="9"/>
      <c r="J743" s="8"/>
      <c r="K743" s="9"/>
      <c r="L743" s="8"/>
      <c r="M743" s="9"/>
      <c r="N743" s="5"/>
      <c r="O743" s="5"/>
    </row>
    <row r="744" ht="22.5" customHeight="1">
      <c r="A744" s="5"/>
      <c r="B744" s="5"/>
      <c r="C744" s="5"/>
      <c r="D744" s="9"/>
      <c r="E744" s="9"/>
      <c r="F744" s="5"/>
      <c r="G744" s="9"/>
      <c r="H744" s="5"/>
      <c r="I744" s="9"/>
      <c r="J744" s="8"/>
      <c r="K744" s="9"/>
      <c r="L744" s="8"/>
      <c r="M744" s="9"/>
      <c r="N744" s="5"/>
      <c r="O744" s="5"/>
    </row>
    <row r="745" ht="22.5" customHeight="1">
      <c r="A745" s="5"/>
      <c r="B745" s="5"/>
      <c r="C745" s="5"/>
      <c r="D745" s="9"/>
      <c r="E745" s="9"/>
      <c r="F745" s="5"/>
      <c r="G745" s="9"/>
      <c r="H745" s="5"/>
      <c r="I745" s="9"/>
      <c r="J745" s="8"/>
      <c r="K745" s="9"/>
      <c r="L745" s="8"/>
      <c r="M745" s="9"/>
      <c r="N745" s="5"/>
      <c r="O745" s="5"/>
    </row>
    <row r="746" ht="22.5" customHeight="1">
      <c r="A746" s="5"/>
      <c r="B746" s="5"/>
      <c r="C746" s="5"/>
      <c r="D746" s="9"/>
      <c r="E746" s="9"/>
      <c r="F746" s="5"/>
      <c r="G746" s="9"/>
      <c r="H746" s="5"/>
      <c r="I746" s="9"/>
      <c r="J746" s="8"/>
      <c r="K746" s="9"/>
      <c r="L746" s="8"/>
      <c r="M746" s="9"/>
      <c r="N746" s="5"/>
      <c r="O746" s="5"/>
    </row>
    <row r="747" ht="22.5" customHeight="1">
      <c r="A747" s="5"/>
      <c r="B747" s="5"/>
      <c r="C747" s="5"/>
      <c r="D747" s="9"/>
      <c r="E747" s="9"/>
      <c r="F747" s="5"/>
      <c r="G747" s="9"/>
      <c r="H747" s="5"/>
      <c r="I747" s="9"/>
      <c r="J747" s="8"/>
      <c r="K747" s="9"/>
      <c r="L747" s="8"/>
      <c r="M747" s="9"/>
      <c r="N747" s="5"/>
      <c r="O747" s="5"/>
    </row>
    <row r="748" ht="22.5" customHeight="1">
      <c r="A748" s="5"/>
      <c r="B748" s="5"/>
      <c r="C748" s="5"/>
      <c r="D748" s="9"/>
      <c r="E748" s="9"/>
      <c r="F748" s="5"/>
      <c r="G748" s="9"/>
      <c r="H748" s="5"/>
      <c r="I748" s="9"/>
      <c r="J748" s="8"/>
      <c r="K748" s="9"/>
      <c r="L748" s="8"/>
      <c r="M748" s="9"/>
      <c r="N748" s="5"/>
      <c r="O748" s="5"/>
    </row>
    <row r="749" ht="22.5" customHeight="1">
      <c r="A749" s="5"/>
      <c r="B749" s="5"/>
      <c r="C749" s="5"/>
      <c r="D749" s="9"/>
      <c r="E749" s="9"/>
      <c r="F749" s="5"/>
      <c r="G749" s="9"/>
      <c r="H749" s="5"/>
      <c r="I749" s="9"/>
      <c r="J749" s="8"/>
      <c r="K749" s="9"/>
      <c r="L749" s="8"/>
      <c r="M749" s="9"/>
      <c r="N749" s="5"/>
      <c r="O749" s="5"/>
    </row>
    <row r="750" ht="22.5" customHeight="1">
      <c r="A750" s="5"/>
      <c r="B750" s="5"/>
      <c r="C750" s="5"/>
      <c r="D750" s="9"/>
      <c r="E750" s="9"/>
      <c r="F750" s="5"/>
      <c r="G750" s="9"/>
      <c r="H750" s="5"/>
      <c r="I750" s="9"/>
      <c r="J750" s="8"/>
      <c r="K750" s="9"/>
      <c r="L750" s="8"/>
      <c r="M750" s="9"/>
      <c r="N750" s="5"/>
      <c r="O750" s="5"/>
    </row>
    <row r="751" ht="22.5" customHeight="1">
      <c r="A751" s="5"/>
      <c r="B751" s="5"/>
      <c r="C751" s="5"/>
      <c r="D751" s="9"/>
      <c r="E751" s="9"/>
      <c r="F751" s="5"/>
      <c r="G751" s="9"/>
      <c r="H751" s="5"/>
      <c r="I751" s="9"/>
      <c r="J751" s="8"/>
      <c r="K751" s="9"/>
      <c r="L751" s="8"/>
      <c r="M751" s="9"/>
      <c r="N751" s="5"/>
      <c r="O751" s="5"/>
    </row>
    <row r="752" ht="22.5" customHeight="1">
      <c r="A752" s="5"/>
      <c r="B752" s="5"/>
      <c r="C752" s="5"/>
      <c r="D752" s="9"/>
      <c r="E752" s="9"/>
      <c r="F752" s="5"/>
      <c r="G752" s="9"/>
      <c r="H752" s="5"/>
      <c r="I752" s="9"/>
      <c r="J752" s="8"/>
      <c r="K752" s="9"/>
      <c r="L752" s="8"/>
      <c r="M752" s="9"/>
      <c r="N752" s="5"/>
      <c r="O752" s="5"/>
    </row>
    <row r="753" ht="22.5" customHeight="1">
      <c r="A753" s="5"/>
      <c r="B753" s="5"/>
      <c r="C753" s="5"/>
      <c r="D753" s="9"/>
      <c r="E753" s="9"/>
      <c r="F753" s="5"/>
      <c r="G753" s="9"/>
      <c r="H753" s="5"/>
      <c r="I753" s="9"/>
      <c r="J753" s="8"/>
      <c r="K753" s="9"/>
      <c r="L753" s="8"/>
      <c r="M753" s="9"/>
      <c r="N753" s="5"/>
      <c r="O753" s="5"/>
    </row>
    <row r="754" ht="22.5" customHeight="1">
      <c r="A754" s="5"/>
      <c r="B754" s="5"/>
      <c r="C754" s="5"/>
      <c r="D754" s="9"/>
      <c r="E754" s="9"/>
      <c r="F754" s="5"/>
      <c r="G754" s="9"/>
      <c r="H754" s="5"/>
      <c r="I754" s="9"/>
      <c r="J754" s="8"/>
      <c r="K754" s="9"/>
      <c r="L754" s="8"/>
      <c r="M754" s="9"/>
      <c r="N754" s="5"/>
      <c r="O754" s="5"/>
    </row>
    <row r="755" ht="22.5" customHeight="1">
      <c r="A755" s="5"/>
      <c r="B755" s="5"/>
      <c r="C755" s="5"/>
      <c r="D755" s="9"/>
      <c r="E755" s="9"/>
      <c r="F755" s="5"/>
      <c r="G755" s="9"/>
      <c r="H755" s="5"/>
      <c r="I755" s="9"/>
      <c r="J755" s="8"/>
      <c r="K755" s="9"/>
      <c r="L755" s="8"/>
      <c r="M755" s="9"/>
      <c r="N755" s="5"/>
      <c r="O755" s="5"/>
    </row>
    <row r="756" ht="22.5" customHeight="1">
      <c r="A756" s="5"/>
      <c r="B756" s="5"/>
      <c r="C756" s="5"/>
      <c r="D756" s="9"/>
      <c r="E756" s="9"/>
      <c r="F756" s="5"/>
      <c r="G756" s="9"/>
      <c r="H756" s="5"/>
      <c r="I756" s="9"/>
      <c r="J756" s="8"/>
      <c r="K756" s="9"/>
      <c r="L756" s="8"/>
      <c r="M756" s="9"/>
      <c r="N756" s="5"/>
      <c r="O756" s="5"/>
    </row>
    <row r="757" ht="22.5" customHeight="1">
      <c r="A757" s="5"/>
      <c r="B757" s="5"/>
      <c r="C757" s="5"/>
      <c r="D757" s="9"/>
      <c r="E757" s="9"/>
      <c r="F757" s="5"/>
      <c r="G757" s="9"/>
      <c r="H757" s="5"/>
      <c r="I757" s="9"/>
      <c r="J757" s="8"/>
      <c r="K757" s="9"/>
      <c r="L757" s="8"/>
      <c r="M757" s="9"/>
      <c r="N757" s="5"/>
      <c r="O757" s="5"/>
    </row>
    <row r="758" ht="22.5" customHeight="1">
      <c r="A758" s="5"/>
      <c r="B758" s="5"/>
      <c r="C758" s="5"/>
      <c r="D758" s="9"/>
      <c r="E758" s="9"/>
      <c r="F758" s="5"/>
      <c r="G758" s="9"/>
      <c r="H758" s="5"/>
      <c r="I758" s="9"/>
      <c r="J758" s="8"/>
      <c r="K758" s="9"/>
      <c r="L758" s="8"/>
      <c r="M758" s="9"/>
      <c r="N758" s="5"/>
      <c r="O758" s="5"/>
    </row>
    <row r="759" ht="22.5" customHeight="1">
      <c r="A759" s="5"/>
      <c r="B759" s="5"/>
      <c r="C759" s="5"/>
      <c r="D759" s="9"/>
      <c r="E759" s="9"/>
      <c r="F759" s="5"/>
      <c r="G759" s="9"/>
      <c r="H759" s="5"/>
      <c r="I759" s="9"/>
      <c r="J759" s="8"/>
      <c r="K759" s="9"/>
      <c r="L759" s="8"/>
      <c r="M759" s="9"/>
      <c r="N759" s="5"/>
      <c r="O759" s="5"/>
    </row>
    <row r="760" ht="22.5" customHeight="1">
      <c r="A760" s="5"/>
      <c r="B760" s="5"/>
      <c r="C760" s="5"/>
      <c r="D760" s="9"/>
      <c r="E760" s="9"/>
      <c r="F760" s="5"/>
      <c r="G760" s="9"/>
      <c r="H760" s="5"/>
      <c r="I760" s="9"/>
      <c r="J760" s="8"/>
      <c r="K760" s="9"/>
      <c r="L760" s="8"/>
      <c r="M760" s="9"/>
      <c r="N760" s="5"/>
      <c r="O760" s="5"/>
    </row>
    <row r="761" ht="22.5" customHeight="1">
      <c r="A761" s="5"/>
      <c r="B761" s="5"/>
      <c r="C761" s="5"/>
      <c r="D761" s="9"/>
      <c r="E761" s="9"/>
      <c r="F761" s="5"/>
      <c r="G761" s="9"/>
      <c r="H761" s="5"/>
      <c r="I761" s="9"/>
      <c r="J761" s="8"/>
      <c r="K761" s="9"/>
      <c r="L761" s="8"/>
      <c r="M761" s="9"/>
      <c r="N761" s="5"/>
      <c r="O761" s="5"/>
    </row>
    <row r="762" ht="22.5" customHeight="1">
      <c r="A762" s="5"/>
      <c r="B762" s="5"/>
      <c r="C762" s="5"/>
      <c r="D762" s="9"/>
      <c r="E762" s="9"/>
      <c r="F762" s="5"/>
      <c r="G762" s="9"/>
      <c r="H762" s="5"/>
      <c r="I762" s="9"/>
      <c r="J762" s="8"/>
      <c r="K762" s="9"/>
      <c r="L762" s="8"/>
      <c r="M762" s="9"/>
      <c r="N762" s="5"/>
      <c r="O762" s="5"/>
    </row>
    <row r="763" ht="22.5" customHeight="1">
      <c r="A763" s="5"/>
      <c r="B763" s="5"/>
      <c r="C763" s="5"/>
      <c r="D763" s="9"/>
      <c r="E763" s="9"/>
      <c r="F763" s="5"/>
      <c r="G763" s="9"/>
      <c r="H763" s="5"/>
      <c r="I763" s="9"/>
      <c r="J763" s="8"/>
      <c r="K763" s="9"/>
      <c r="L763" s="8"/>
      <c r="M763" s="9"/>
      <c r="N763" s="5"/>
      <c r="O763" s="5"/>
    </row>
    <row r="764" ht="22.5" customHeight="1">
      <c r="A764" s="5"/>
      <c r="B764" s="5"/>
      <c r="C764" s="5"/>
      <c r="D764" s="9"/>
      <c r="E764" s="9"/>
      <c r="F764" s="5"/>
      <c r="G764" s="9"/>
      <c r="H764" s="5"/>
      <c r="I764" s="9"/>
      <c r="J764" s="8"/>
      <c r="K764" s="9"/>
      <c r="L764" s="8"/>
      <c r="M764" s="9"/>
      <c r="N764" s="5"/>
      <c r="O764" s="5"/>
    </row>
    <row r="765" ht="22.5" customHeight="1">
      <c r="A765" s="5"/>
      <c r="B765" s="5"/>
      <c r="C765" s="5"/>
      <c r="D765" s="9"/>
      <c r="E765" s="9"/>
      <c r="F765" s="5"/>
      <c r="G765" s="9"/>
      <c r="H765" s="5"/>
      <c r="I765" s="9"/>
      <c r="J765" s="8"/>
      <c r="K765" s="9"/>
      <c r="L765" s="8"/>
      <c r="M765" s="9"/>
      <c r="N765" s="5"/>
      <c r="O765" s="5"/>
    </row>
    <row r="766" ht="22.5" customHeight="1">
      <c r="A766" s="5"/>
      <c r="B766" s="5"/>
      <c r="C766" s="5"/>
      <c r="D766" s="9"/>
      <c r="E766" s="9"/>
      <c r="F766" s="5"/>
      <c r="G766" s="9"/>
      <c r="H766" s="5"/>
      <c r="I766" s="9"/>
      <c r="J766" s="8"/>
      <c r="K766" s="9"/>
      <c r="L766" s="8"/>
      <c r="M766" s="9"/>
      <c r="N766" s="5"/>
      <c r="O766" s="5"/>
    </row>
    <row r="767" ht="22.5" customHeight="1">
      <c r="A767" s="5"/>
      <c r="B767" s="5"/>
      <c r="C767" s="5"/>
      <c r="D767" s="9"/>
      <c r="E767" s="9"/>
      <c r="F767" s="5"/>
      <c r="G767" s="9"/>
      <c r="H767" s="5"/>
      <c r="I767" s="9"/>
      <c r="J767" s="8"/>
      <c r="K767" s="9"/>
      <c r="L767" s="8"/>
      <c r="M767" s="9"/>
      <c r="N767" s="5"/>
      <c r="O767" s="5"/>
    </row>
    <row r="768" ht="22.5" customHeight="1">
      <c r="A768" s="41"/>
      <c r="B768" s="41"/>
      <c r="C768" s="42"/>
      <c r="D768" s="57"/>
      <c r="E768" s="57"/>
      <c r="F768" s="5" t="s">
        <v>18</v>
      </c>
      <c r="G768" s="24"/>
      <c r="H768" s="5" t="s">
        <v>20</v>
      </c>
      <c r="I768" s="24"/>
      <c r="J768" s="8" t="s">
        <v>21</v>
      </c>
      <c r="K768" s="24"/>
      <c r="L768" s="8" t="s">
        <v>22</v>
      </c>
      <c r="M768" s="24"/>
      <c r="N768" s="10"/>
      <c r="O768" s="10"/>
    </row>
    <row r="769" ht="22.5" customHeight="1">
      <c r="A769" s="41"/>
      <c r="B769" s="41"/>
      <c r="C769" s="42"/>
      <c r="D769" s="57"/>
      <c r="E769" s="57"/>
      <c r="F769" s="5" t="s">
        <v>18</v>
      </c>
      <c r="G769" s="24"/>
      <c r="H769" s="5" t="s">
        <v>20</v>
      </c>
      <c r="I769" s="24"/>
      <c r="J769" s="8" t="s">
        <v>21</v>
      </c>
      <c r="K769" s="24"/>
      <c r="L769" s="8" t="s">
        <v>22</v>
      </c>
      <c r="M769" s="24"/>
      <c r="N769" s="10"/>
      <c r="O769" s="10"/>
    </row>
    <row r="770" ht="22.5" customHeight="1">
      <c r="A770" s="41"/>
      <c r="B770" s="41"/>
      <c r="C770" s="42"/>
      <c r="D770" s="57"/>
      <c r="E770" s="57"/>
      <c r="F770" s="5" t="s">
        <v>18</v>
      </c>
      <c r="G770" s="24"/>
      <c r="H770" s="5" t="s">
        <v>20</v>
      </c>
      <c r="I770" s="24"/>
      <c r="J770" s="8" t="s">
        <v>21</v>
      </c>
      <c r="K770" s="24"/>
      <c r="L770" s="8" t="s">
        <v>22</v>
      </c>
      <c r="M770" s="24"/>
      <c r="N770" s="10"/>
      <c r="O770" s="10"/>
    </row>
    <row r="771" ht="22.5" customHeight="1">
      <c r="A771" s="41"/>
      <c r="B771" s="41"/>
      <c r="C771" s="42"/>
      <c r="D771" s="57"/>
      <c r="E771" s="57"/>
      <c r="F771" s="5" t="s">
        <v>18</v>
      </c>
      <c r="G771" s="24"/>
      <c r="H771" s="5" t="s">
        <v>20</v>
      </c>
      <c r="I771" s="24"/>
      <c r="J771" s="8" t="s">
        <v>21</v>
      </c>
      <c r="K771" s="24"/>
      <c r="L771" s="8" t="s">
        <v>22</v>
      </c>
      <c r="M771" s="24"/>
      <c r="N771" s="10"/>
      <c r="O771" s="10"/>
    </row>
    <row r="772" ht="22.5" customHeight="1">
      <c r="A772" s="41"/>
      <c r="B772" s="41"/>
      <c r="C772" s="42"/>
      <c r="D772" s="57"/>
      <c r="E772" s="57"/>
      <c r="F772" s="5" t="s">
        <v>18</v>
      </c>
      <c r="G772" s="24"/>
      <c r="H772" s="5" t="s">
        <v>20</v>
      </c>
      <c r="I772" s="24"/>
      <c r="J772" s="8" t="s">
        <v>21</v>
      </c>
      <c r="K772" s="24"/>
      <c r="L772" s="8" t="s">
        <v>22</v>
      </c>
      <c r="M772" s="24"/>
      <c r="N772" s="10"/>
      <c r="O772" s="10"/>
    </row>
    <row r="773" ht="22.5" customHeight="1">
      <c r="A773" s="41"/>
      <c r="B773" s="41"/>
      <c r="C773" s="42"/>
      <c r="D773" s="57"/>
      <c r="E773" s="57"/>
      <c r="F773" s="5" t="s">
        <v>18</v>
      </c>
      <c r="G773" s="24"/>
      <c r="H773" s="5" t="s">
        <v>20</v>
      </c>
      <c r="I773" s="24"/>
      <c r="J773" s="8" t="s">
        <v>21</v>
      </c>
      <c r="K773" s="24"/>
      <c r="L773" s="8" t="s">
        <v>22</v>
      </c>
      <c r="M773" s="24"/>
      <c r="N773" s="10"/>
      <c r="O773" s="10"/>
    </row>
    <row r="774" ht="22.5" customHeight="1">
      <c r="A774" s="41"/>
      <c r="B774" s="41"/>
      <c r="C774" s="42"/>
      <c r="D774" s="57"/>
      <c r="E774" s="57"/>
      <c r="F774" s="5" t="s">
        <v>18</v>
      </c>
      <c r="G774" s="24"/>
      <c r="H774" s="5" t="s">
        <v>20</v>
      </c>
      <c r="I774" s="24"/>
      <c r="J774" s="8" t="s">
        <v>21</v>
      </c>
      <c r="K774" s="24"/>
      <c r="L774" s="8" t="s">
        <v>22</v>
      </c>
      <c r="M774" s="24"/>
      <c r="N774" s="10"/>
      <c r="O774" s="10"/>
    </row>
    <row r="775" ht="22.5" customHeight="1">
      <c r="A775" s="41"/>
      <c r="B775" s="41"/>
      <c r="C775" s="42"/>
      <c r="D775" s="57"/>
      <c r="E775" s="57"/>
      <c r="F775" s="5" t="s">
        <v>18</v>
      </c>
      <c r="G775" s="24"/>
      <c r="H775" s="5" t="s">
        <v>20</v>
      </c>
      <c r="I775" s="24"/>
      <c r="J775" s="8" t="s">
        <v>21</v>
      </c>
      <c r="K775" s="24"/>
      <c r="L775" s="8" t="s">
        <v>22</v>
      </c>
      <c r="M775" s="24"/>
      <c r="N775" s="10"/>
      <c r="O775" s="10"/>
    </row>
    <row r="776" ht="22.5" customHeight="1">
      <c r="A776" s="41"/>
      <c r="B776" s="41"/>
      <c r="C776" s="42"/>
      <c r="D776" s="57"/>
      <c r="E776" s="57"/>
      <c r="F776" s="5" t="s">
        <v>18</v>
      </c>
      <c r="G776" s="24"/>
      <c r="H776" s="5" t="s">
        <v>20</v>
      </c>
      <c r="I776" s="24"/>
      <c r="J776" s="8" t="s">
        <v>21</v>
      </c>
      <c r="K776" s="24"/>
      <c r="L776" s="8" t="s">
        <v>22</v>
      </c>
      <c r="M776" s="24"/>
      <c r="N776" s="10"/>
      <c r="O776" s="10"/>
    </row>
    <row r="777" ht="22.5" customHeight="1">
      <c r="A777" s="41"/>
      <c r="B777" s="41"/>
      <c r="C777" s="42"/>
      <c r="D777" s="57"/>
      <c r="E777" s="57"/>
      <c r="F777" s="5" t="s">
        <v>18</v>
      </c>
      <c r="G777" s="24"/>
      <c r="H777" s="5" t="s">
        <v>20</v>
      </c>
      <c r="I777" s="24"/>
      <c r="J777" s="8" t="s">
        <v>21</v>
      </c>
      <c r="K777" s="24"/>
      <c r="L777" s="8" t="s">
        <v>22</v>
      </c>
      <c r="M777" s="24"/>
      <c r="N777" s="10"/>
      <c r="O777" s="10"/>
    </row>
    <row r="778" ht="22.5" customHeight="1">
      <c r="A778" s="41"/>
      <c r="B778" s="41"/>
      <c r="C778" s="42"/>
      <c r="D778" s="57"/>
      <c r="E778" s="57"/>
      <c r="F778" s="5" t="s">
        <v>18</v>
      </c>
      <c r="G778" s="24"/>
      <c r="H778" s="5" t="s">
        <v>20</v>
      </c>
      <c r="I778" s="24"/>
      <c r="J778" s="8" t="s">
        <v>21</v>
      </c>
      <c r="K778" s="24"/>
      <c r="L778" s="8" t="s">
        <v>22</v>
      </c>
      <c r="M778" s="24"/>
      <c r="N778" s="10"/>
      <c r="O778" s="10"/>
    </row>
    <row r="779" ht="22.5" customHeight="1">
      <c r="A779" s="41"/>
      <c r="B779" s="41"/>
      <c r="C779" s="42"/>
      <c r="D779" s="57"/>
      <c r="E779" s="57"/>
      <c r="F779" s="5" t="s">
        <v>18</v>
      </c>
      <c r="G779" s="24"/>
      <c r="H779" s="5" t="s">
        <v>20</v>
      </c>
      <c r="I779" s="24"/>
      <c r="J779" s="8" t="s">
        <v>21</v>
      </c>
      <c r="K779" s="24"/>
      <c r="L779" s="8" t="s">
        <v>22</v>
      </c>
      <c r="M779" s="24"/>
      <c r="N779" s="10"/>
      <c r="O779" s="10"/>
    </row>
    <row r="780" ht="22.5" customHeight="1">
      <c r="A780" s="41"/>
      <c r="B780" s="41"/>
      <c r="C780" s="42"/>
      <c r="D780" s="57"/>
      <c r="E780" s="57"/>
      <c r="F780" s="5" t="s">
        <v>18</v>
      </c>
      <c r="G780" s="24"/>
      <c r="H780" s="5" t="s">
        <v>20</v>
      </c>
      <c r="I780" s="24"/>
      <c r="J780" s="8" t="s">
        <v>21</v>
      </c>
      <c r="K780" s="24"/>
      <c r="L780" s="8" t="s">
        <v>22</v>
      </c>
      <c r="M780" s="24"/>
      <c r="N780" s="10"/>
      <c r="O780" s="10"/>
    </row>
    <row r="781" ht="22.5" customHeight="1">
      <c r="A781" s="41"/>
      <c r="B781" s="41"/>
      <c r="C781" s="42"/>
      <c r="D781" s="57"/>
      <c r="E781" s="57"/>
      <c r="F781" s="5" t="s">
        <v>18</v>
      </c>
      <c r="G781" s="24"/>
      <c r="H781" s="5" t="s">
        <v>20</v>
      </c>
      <c r="I781" s="24"/>
      <c r="J781" s="8" t="s">
        <v>21</v>
      </c>
      <c r="K781" s="24"/>
      <c r="L781" s="8" t="s">
        <v>22</v>
      </c>
      <c r="M781" s="24"/>
      <c r="N781" s="10"/>
      <c r="O781" s="10"/>
    </row>
    <row r="782" ht="22.5" customHeight="1">
      <c r="A782" s="41"/>
      <c r="B782" s="41"/>
      <c r="C782" s="42"/>
      <c r="D782" s="57"/>
      <c r="E782" s="57"/>
      <c r="F782" s="5" t="s">
        <v>18</v>
      </c>
      <c r="G782" s="24"/>
      <c r="H782" s="5" t="s">
        <v>20</v>
      </c>
      <c r="I782" s="24"/>
      <c r="J782" s="8" t="s">
        <v>21</v>
      </c>
      <c r="K782" s="24"/>
      <c r="L782" s="8" t="s">
        <v>22</v>
      </c>
      <c r="M782" s="24"/>
      <c r="N782" s="10"/>
      <c r="O782" s="10"/>
    </row>
    <row r="783" ht="22.5" customHeight="1">
      <c r="A783" s="41"/>
      <c r="B783" s="41"/>
      <c r="C783" s="42"/>
      <c r="D783" s="57"/>
      <c r="E783" s="57"/>
      <c r="F783" s="5" t="s">
        <v>18</v>
      </c>
      <c r="G783" s="24"/>
      <c r="H783" s="5" t="s">
        <v>20</v>
      </c>
      <c r="I783" s="24"/>
      <c r="J783" s="8" t="s">
        <v>21</v>
      </c>
      <c r="K783" s="24"/>
      <c r="L783" s="8" t="s">
        <v>22</v>
      </c>
      <c r="M783" s="24"/>
      <c r="N783" s="10"/>
      <c r="O783" s="10"/>
    </row>
    <row r="784" ht="22.5" customHeight="1">
      <c r="A784" s="41"/>
      <c r="B784" s="41"/>
      <c r="C784" s="42"/>
      <c r="D784" s="57"/>
      <c r="E784" s="57"/>
      <c r="F784" s="5" t="s">
        <v>18</v>
      </c>
      <c r="G784" s="24"/>
      <c r="H784" s="5" t="s">
        <v>20</v>
      </c>
      <c r="I784" s="24"/>
      <c r="J784" s="8" t="s">
        <v>21</v>
      </c>
      <c r="K784" s="24"/>
      <c r="L784" s="8" t="s">
        <v>22</v>
      </c>
      <c r="M784" s="24"/>
      <c r="N784" s="10"/>
      <c r="O784" s="10"/>
    </row>
    <row r="785" ht="22.5" customHeight="1">
      <c r="A785" s="41"/>
      <c r="B785" s="41"/>
      <c r="C785" s="42"/>
      <c r="D785" s="57"/>
      <c r="E785" s="57"/>
      <c r="F785" s="5" t="s">
        <v>18</v>
      </c>
      <c r="G785" s="24"/>
      <c r="H785" s="5" t="s">
        <v>20</v>
      </c>
      <c r="I785" s="24"/>
      <c r="J785" s="8" t="s">
        <v>21</v>
      </c>
      <c r="K785" s="24"/>
      <c r="L785" s="8" t="s">
        <v>22</v>
      </c>
      <c r="M785" s="24"/>
      <c r="N785" s="10"/>
      <c r="O785" s="10"/>
    </row>
    <row r="786" ht="22.5" customHeight="1">
      <c r="A786" s="41"/>
      <c r="B786" s="41"/>
      <c r="C786" s="42"/>
      <c r="D786" s="57"/>
      <c r="E786" s="57"/>
      <c r="F786" s="5" t="s">
        <v>18</v>
      </c>
      <c r="G786" s="24"/>
      <c r="H786" s="5" t="s">
        <v>20</v>
      </c>
      <c r="I786" s="24"/>
      <c r="J786" s="8" t="s">
        <v>21</v>
      </c>
      <c r="K786" s="24"/>
      <c r="L786" s="8" t="s">
        <v>22</v>
      </c>
      <c r="M786" s="24"/>
      <c r="N786" s="10"/>
      <c r="O786" s="10"/>
    </row>
    <row r="787" ht="22.5" customHeight="1">
      <c r="A787" s="41"/>
      <c r="B787" s="41"/>
      <c r="C787" s="42"/>
      <c r="D787" s="57"/>
      <c r="E787" s="57"/>
      <c r="F787" s="5" t="s">
        <v>18</v>
      </c>
      <c r="G787" s="24"/>
      <c r="H787" s="5" t="s">
        <v>20</v>
      </c>
      <c r="I787" s="24"/>
      <c r="J787" s="8" t="s">
        <v>21</v>
      </c>
      <c r="K787" s="24"/>
      <c r="L787" s="8" t="s">
        <v>22</v>
      </c>
      <c r="M787" s="24"/>
      <c r="N787" s="10"/>
      <c r="O787" s="10"/>
    </row>
    <row r="788" ht="22.5" customHeight="1">
      <c r="A788" s="41"/>
      <c r="B788" s="41"/>
      <c r="C788" s="42"/>
      <c r="D788" s="57"/>
      <c r="E788" s="57"/>
      <c r="F788" s="5" t="s">
        <v>18</v>
      </c>
      <c r="G788" s="24"/>
      <c r="H788" s="5" t="s">
        <v>20</v>
      </c>
      <c r="I788" s="24"/>
      <c r="J788" s="8" t="s">
        <v>21</v>
      </c>
      <c r="K788" s="24"/>
      <c r="L788" s="8" t="s">
        <v>22</v>
      </c>
      <c r="M788" s="24"/>
      <c r="N788" s="10"/>
      <c r="O788" s="10"/>
    </row>
    <row r="789" ht="22.5" customHeight="1">
      <c r="A789" s="41"/>
      <c r="B789" s="41"/>
      <c r="C789" s="42"/>
      <c r="D789" s="57"/>
      <c r="E789" s="57"/>
      <c r="F789" s="5" t="s">
        <v>18</v>
      </c>
      <c r="G789" s="24"/>
      <c r="H789" s="5" t="s">
        <v>20</v>
      </c>
      <c r="I789" s="24"/>
      <c r="J789" s="8" t="s">
        <v>21</v>
      </c>
      <c r="K789" s="24"/>
      <c r="L789" s="8" t="s">
        <v>22</v>
      </c>
      <c r="M789" s="24"/>
      <c r="N789" s="10"/>
      <c r="O789" s="10"/>
    </row>
    <row r="790" ht="22.5" customHeight="1">
      <c r="A790" s="41"/>
      <c r="B790" s="41"/>
      <c r="C790" s="42"/>
      <c r="D790" s="57"/>
      <c r="E790" s="57"/>
      <c r="F790" s="5" t="s">
        <v>18</v>
      </c>
      <c r="G790" s="24"/>
      <c r="H790" s="5" t="s">
        <v>20</v>
      </c>
      <c r="I790" s="24"/>
      <c r="J790" s="8" t="s">
        <v>21</v>
      </c>
      <c r="K790" s="24"/>
      <c r="L790" s="8" t="s">
        <v>22</v>
      </c>
      <c r="M790" s="24"/>
      <c r="N790" s="10"/>
      <c r="O790" s="10"/>
    </row>
    <row r="791" ht="22.5" customHeight="1">
      <c r="A791" s="41"/>
      <c r="B791" s="41"/>
      <c r="C791" s="42"/>
      <c r="D791" s="57"/>
      <c r="E791" s="57"/>
      <c r="F791" s="5" t="s">
        <v>18</v>
      </c>
      <c r="G791" s="24"/>
      <c r="H791" s="5" t="s">
        <v>20</v>
      </c>
      <c r="I791" s="24"/>
      <c r="J791" s="8" t="s">
        <v>21</v>
      </c>
      <c r="K791" s="24"/>
      <c r="L791" s="8" t="s">
        <v>22</v>
      </c>
      <c r="M791" s="24"/>
      <c r="N791" s="10"/>
      <c r="O791" s="10"/>
    </row>
    <row r="792" ht="22.5" customHeight="1">
      <c r="A792" s="41"/>
      <c r="B792" s="41"/>
      <c r="C792" s="42"/>
      <c r="D792" s="57"/>
      <c r="E792" s="57"/>
      <c r="F792" s="5" t="s">
        <v>18</v>
      </c>
      <c r="G792" s="24"/>
      <c r="H792" s="5" t="s">
        <v>20</v>
      </c>
      <c r="I792" s="24"/>
      <c r="J792" s="8" t="s">
        <v>21</v>
      </c>
      <c r="K792" s="24"/>
      <c r="L792" s="8" t="s">
        <v>22</v>
      </c>
      <c r="M792" s="24"/>
      <c r="N792" s="10"/>
      <c r="O792" s="10"/>
    </row>
    <row r="793" ht="22.5" customHeight="1">
      <c r="A793" s="41"/>
      <c r="B793" s="41"/>
      <c r="C793" s="42"/>
      <c r="D793" s="57"/>
      <c r="E793" s="57"/>
      <c r="F793" s="5" t="s">
        <v>18</v>
      </c>
      <c r="G793" s="24"/>
      <c r="H793" s="5" t="s">
        <v>20</v>
      </c>
      <c r="I793" s="24"/>
      <c r="J793" s="8" t="s">
        <v>21</v>
      </c>
      <c r="K793" s="24"/>
      <c r="L793" s="8" t="s">
        <v>22</v>
      </c>
      <c r="M793" s="24"/>
      <c r="N793" s="10"/>
      <c r="O793" s="10"/>
    </row>
    <row r="794" ht="22.5" customHeight="1">
      <c r="A794" s="41"/>
      <c r="B794" s="41"/>
      <c r="C794" s="42"/>
      <c r="D794" s="57"/>
      <c r="E794" s="57"/>
      <c r="F794" s="5" t="s">
        <v>18</v>
      </c>
      <c r="G794" s="24"/>
      <c r="H794" s="5" t="s">
        <v>20</v>
      </c>
      <c r="I794" s="24"/>
      <c r="J794" s="8" t="s">
        <v>21</v>
      </c>
      <c r="K794" s="24"/>
      <c r="L794" s="8" t="s">
        <v>22</v>
      </c>
      <c r="M794" s="24"/>
      <c r="N794" s="10"/>
      <c r="O794" s="10"/>
    </row>
    <row r="795" ht="22.5" customHeight="1">
      <c r="A795" s="41"/>
      <c r="B795" s="41"/>
      <c r="C795" s="42"/>
      <c r="D795" s="57"/>
      <c r="E795" s="57"/>
      <c r="F795" s="5" t="s">
        <v>18</v>
      </c>
      <c r="G795" s="24"/>
      <c r="H795" s="5" t="s">
        <v>20</v>
      </c>
      <c r="I795" s="24"/>
      <c r="J795" s="8" t="s">
        <v>21</v>
      </c>
      <c r="K795" s="24"/>
      <c r="L795" s="8" t="s">
        <v>22</v>
      </c>
      <c r="M795" s="24"/>
      <c r="N795" s="10"/>
      <c r="O795" s="10"/>
    </row>
    <row r="796" ht="22.5" customHeight="1">
      <c r="A796" s="41"/>
      <c r="B796" s="41"/>
      <c r="C796" s="42"/>
      <c r="D796" s="57"/>
      <c r="E796" s="57"/>
      <c r="F796" s="5" t="s">
        <v>18</v>
      </c>
      <c r="G796" s="24"/>
      <c r="H796" s="5" t="s">
        <v>20</v>
      </c>
      <c r="I796" s="24"/>
      <c r="J796" s="8" t="s">
        <v>21</v>
      </c>
      <c r="K796" s="24"/>
      <c r="L796" s="8" t="s">
        <v>22</v>
      </c>
      <c r="M796" s="24"/>
      <c r="N796" s="10"/>
      <c r="O796" s="10"/>
    </row>
    <row r="797" ht="22.5" customHeight="1">
      <c r="A797" s="41"/>
      <c r="B797" s="41"/>
      <c r="C797" s="42"/>
      <c r="D797" s="57"/>
      <c r="E797" s="57"/>
      <c r="F797" s="5" t="s">
        <v>18</v>
      </c>
      <c r="G797" s="24"/>
      <c r="H797" s="5" t="s">
        <v>20</v>
      </c>
      <c r="I797" s="24"/>
      <c r="J797" s="8" t="s">
        <v>21</v>
      </c>
      <c r="K797" s="24"/>
      <c r="L797" s="8" t="s">
        <v>22</v>
      </c>
      <c r="M797" s="24"/>
      <c r="N797" s="10"/>
      <c r="O797" s="10"/>
    </row>
    <row r="798" ht="22.5" customHeight="1">
      <c r="A798" s="41"/>
      <c r="B798" s="41"/>
      <c r="C798" s="42"/>
      <c r="D798" s="57"/>
      <c r="E798" s="57"/>
      <c r="F798" s="5" t="s">
        <v>18</v>
      </c>
      <c r="G798" s="24"/>
      <c r="H798" s="5" t="s">
        <v>20</v>
      </c>
      <c r="I798" s="24"/>
      <c r="J798" s="8" t="s">
        <v>21</v>
      </c>
      <c r="K798" s="24"/>
      <c r="L798" s="8" t="s">
        <v>22</v>
      </c>
      <c r="M798" s="24"/>
      <c r="N798" s="10"/>
      <c r="O798" s="10"/>
    </row>
    <row r="799" ht="22.5" customHeight="1">
      <c r="A799" s="41"/>
      <c r="B799" s="41"/>
      <c r="C799" s="42"/>
      <c r="D799" s="57"/>
      <c r="E799" s="57"/>
      <c r="F799" s="5" t="s">
        <v>18</v>
      </c>
      <c r="G799" s="24"/>
      <c r="H799" s="5" t="s">
        <v>20</v>
      </c>
      <c r="I799" s="24"/>
      <c r="J799" s="8" t="s">
        <v>21</v>
      </c>
      <c r="K799" s="24"/>
      <c r="L799" s="8" t="s">
        <v>22</v>
      </c>
      <c r="M799" s="24"/>
      <c r="N799" s="10"/>
      <c r="O799" s="10"/>
    </row>
    <row r="800" ht="22.5" customHeight="1">
      <c r="A800" s="41"/>
      <c r="B800" s="41"/>
      <c r="C800" s="42"/>
      <c r="D800" s="57"/>
      <c r="E800" s="57"/>
      <c r="F800" s="5" t="s">
        <v>18</v>
      </c>
      <c r="G800" s="24"/>
      <c r="H800" s="5" t="s">
        <v>20</v>
      </c>
      <c r="I800" s="24"/>
      <c r="J800" s="8" t="s">
        <v>21</v>
      </c>
      <c r="K800" s="24"/>
      <c r="L800" s="8" t="s">
        <v>22</v>
      </c>
      <c r="M800" s="24"/>
      <c r="N800" s="10"/>
      <c r="O800" s="10"/>
    </row>
    <row r="801" ht="22.5" customHeight="1">
      <c r="A801" s="41"/>
      <c r="B801" s="41"/>
      <c r="C801" s="42"/>
      <c r="D801" s="57"/>
      <c r="E801" s="57"/>
      <c r="F801" s="5" t="s">
        <v>18</v>
      </c>
      <c r="G801" s="24"/>
      <c r="H801" s="5" t="s">
        <v>20</v>
      </c>
      <c r="I801" s="24"/>
      <c r="J801" s="8" t="s">
        <v>21</v>
      </c>
      <c r="K801" s="24"/>
      <c r="L801" s="8" t="s">
        <v>22</v>
      </c>
      <c r="M801" s="24"/>
      <c r="N801" s="10"/>
      <c r="O801" s="10"/>
    </row>
    <row r="802" ht="22.5" customHeight="1">
      <c r="A802" s="41"/>
      <c r="B802" s="41"/>
      <c r="C802" s="42"/>
      <c r="D802" s="57"/>
      <c r="E802" s="57"/>
      <c r="F802" s="5" t="s">
        <v>18</v>
      </c>
      <c r="G802" s="24"/>
      <c r="H802" s="5" t="s">
        <v>20</v>
      </c>
      <c r="I802" s="24"/>
      <c r="J802" s="8" t="s">
        <v>21</v>
      </c>
      <c r="K802" s="24"/>
      <c r="L802" s="8" t="s">
        <v>22</v>
      </c>
      <c r="M802" s="24"/>
      <c r="N802" s="10"/>
      <c r="O802" s="10"/>
    </row>
    <row r="803" ht="22.5" customHeight="1">
      <c r="A803" s="41"/>
      <c r="B803" s="41"/>
      <c r="C803" s="42"/>
      <c r="D803" s="57"/>
      <c r="E803" s="57"/>
      <c r="F803" s="5" t="s">
        <v>18</v>
      </c>
      <c r="G803" s="24"/>
      <c r="H803" s="5" t="s">
        <v>20</v>
      </c>
      <c r="I803" s="24"/>
      <c r="J803" s="8" t="s">
        <v>21</v>
      </c>
      <c r="K803" s="24"/>
      <c r="L803" s="8" t="s">
        <v>22</v>
      </c>
      <c r="M803" s="24"/>
      <c r="N803" s="10"/>
      <c r="O803" s="10"/>
    </row>
    <row r="804" ht="22.5" customHeight="1">
      <c r="A804" s="41"/>
      <c r="B804" s="41"/>
      <c r="C804" s="42"/>
      <c r="D804" s="57"/>
      <c r="E804" s="57"/>
      <c r="F804" s="5" t="s">
        <v>18</v>
      </c>
      <c r="G804" s="24"/>
      <c r="H804" s="5" t="s">
        <v>20</v>
      </c>
      <c r="I804" s="24"/>
      <c r="J804" s="8" t="s">
        <v>21</v>
      </c>
      <c r="K804" s="24"/>
      <c r="L804" s="8" t="s">
        <v>22</v>
      </c>
      <c r="M804" s="24"/>
      <c r="N804" s="10"/>
      <c r="O804" s="10"/>
    </row>
    <row r="805" ht="22.5" customHeight="1">
      <c r="A805" s="41"/>
      <c r="B805" s="41"/>
      <c r="C805" s="42"/>
      <c r="D805" s="57"/>
      <c r="E805" s="57"/>
      <c r="F805" s="5" t="s">
        <v>18</v>
      </c>
      <c r="G805" s="24"/>
      <c r="H805" s="5" t="s">
        <v>20</v>
      </c>
      <c r="I805" s="24"/>
      <c r="J805" s="8" t="s">
        <v>21</v>
      </c>
      <c r="K805" s="24"/>
      <c r="L805" s="8" t="s">
        <v>22</v>
      </c>
      <c r="M805" s="24"/>
      <c r="N805" s="10"/>
      <c r="O805" s="10"/>
    </row>
    <row r="806" ht="22.5" customHeight="1">
      <c r="A806" s="41"/>
      <c r="B806" s="41"/>
      <c r="C806" s="42"/>
      <c r="D806" s="57"/>
      <c r="E806" s="57"/>
      <c r="F806" s="5" t="s">
        <v>18</v>
      </c>
      <c r="G806" s="24"/>
      <c r="H806" s="5" t="s">
        <v>20</v>
      </c>
      <c r="I806" s="24"/>
      <c r="J806" s="8" t="s">
        <v>21</v>
      </c>
      <c r="K806" s="24"/>
      <c r="L806" s="8" t="s">
        <v>22</v>
      </c>
      <c r="M806" s="24"/>
      <c r="N806" s="10"/>
      <c r="O806" s="10"/>
    </row>
    <row r="807" ht="22.5" customHeight="1">
      <c r="A807" s="41"/>
      <c r="B807" s="41"/>
      <c r="C807" s="42"/>
      <c r="D807" s="57"/>
      <c r="E807" s="57"/>
      <c r="F807" s="5" t="s">
        <v>18</v>
      </c>
      <c r="G807" s="24"/>
      <c r="H807" s="5" t="s">
        <v>20</v>
      </c>
      <c r="I807" s="24"/>
      <c r="J807" s="8" t="s">
        <v>21</v>
      </c>
      <c r="K807" s="24"/>
      <c r="L807" s="8" t="s">
        <v>22</v>
      </c>
      <c r="M807" s="24"/>
      <c r="N807" s="10"/>
      <c r="O807" s="10"/>
    </row>
    <row r="808" ht="22.5" customHeight="1">
      <c r="A808" s="41"/>
      <c r="B808" s="41"/>
      <c r="C808" s="42"/>
      <c r="D808" s="57"/>
      <c r="E808" s="57"/>
      <c r="F808" s="5" t="s">
        <v>18</v>
      </c>
      <c r="G808" s="24"/>
      <c r="H808" s="5" t="s">
        <v>20</v>
      </c>
      <c r="I808" s="24"/>
      <c r="J808" s="8" t="s">
        <v>21</v>
      </c>
      <c r="K808" s="24"/>
      <c r="L808" s="8" t="s">
        <v>22</v>
      </c>
      <c r="M808" s="24"/>
      <c r="N808" s="10"/>
      <c r="O808" s="10"/>
    </row>
    <row r="809" ht="22.5" customHeight="1">
      <c r="A809" s="41"/>
      <c r="B809" s="41"/>
      <c r="C809" s="42"/>
      <c r="D809" s="57"/>
      <c r="E809" s="57"/>
      <c r="F809" s="5" t="s">
        <v>18</v>
      </c>
      <c r="G809" s="24"/>
      <c r="H809" s="5" t="s">
        <v>20</v>
      </c>
      <c r="I809" s="24"/>
      <c r="J809" s="8" t="s">
        <v>21</v>
      </c>
      <c r="K809" s="24"/>
      <c r="L809" s="8" t="s">
        <v>22</v>
      </c>
      <c r="M809" s="24"/>
      <c r="N809" s="10"/>
      <c r="O809" s="10"/>
    </row>
    <row r="810" ht="22.5" customHeight="1">
      <c r="A810" s="41"/>
      <c r="B810" s="41"/>
      <c r="C810" s="42"/>
      <c r="D810" s="57"/>
      <c r="E810" s="57"/>
      <c r="F810" s="5" t="s">
        <v>18</v>
      </c>
      <c r="G810" s="24"/>
      <c r="H810" s="5" t="s">
        <v>20</v>
      </c>
      <c r="I810" s="24"/>
      <c r="J810" s="8" t="s">
        <v>21</v>
      </c>
      <c r="K810" s="24"/>
      <c r="L810" s="8" t="s">
        <v>22</v>
      </c>
      <c r="M810" s="24"/>
      <c r="N810" s="10"/>
      <c r="O810" s="10"/>
    </row>
  </sheetData>
  <dataValidations>
    <dataValidation type="list" allowBlank="1" sqref="E2:E810">
      <formula1>"Contacted,Awaiting Response,Closed - Won,Closed - Lost,Call not Recieved,Referred to,Awaiting payment,international num ,form filled,enroll in next batch"</formula1>
    </dataValidation>
    <dataValidation type="list" allowBlank="1" sqref="I2:I810 K2:K810 M2:M810">
      <formula1>"Call Recieved,Not Recieved,Please Call later,Not attempt,Client lost"</formula1>
    </dataValidation>
    <dataValidation type="list" allowBlank="1" sqref="D2:D810">
      <formula1>"Call Attended,Not Attended"</formula1>
    </dataValidation>
    <dataValidation type="list" allowBlank="1" sqref="G2:G810">
      <formula1>"Call Recieved,Not Recieved,Please Call later,Not attempted,Client lost"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15" max="15" width="46.25"/>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58" t="s">
        <v>362</v>
      </c>
      <c r="O1" s="2" t="s">
        <v>13</v>
      </c>
      <c r="P1" s="2" t="s">
        <v>14</v>
      </c>
      <c r="Q1" s="2" t="s">
        <v>363</v>
      </c>
    </row>
    <row r="2" ht="22.5" customHeight="1">
      <c r="A2" s="59"/>
      <c r="B2" s="60" t="s">
        <v>364</v>
      </c>
      <c r="C2" s="59"/>
      <c r="D2" s="61" t="s">
        <v>34</v>
      </c>
      <c r="E2" s="61" t="s">
        <v>30</v>
      </c>
      <c r="F2" s="59" t="s">
        <v>18</v>
      </c>
      <c r="G2" s="61" t="s">
        <v>31</v>
      </c>
      <c r="H2" s="59" t="s">
        <v>20</v>
      </c>
      <c r="I2" s="62"/>
      <c r="J2" s="63" t="s">
        <v>21</v>
      </c>
      <c r="K2" s="62"/>
      <c r="L2" s="63" t="s">
        <v>22</v>
      </c>
      <c r="M2" s="62"/>
      <c r="N2" s="62"/>
      <c r="O2" s="60" t="s">
        <v>365</v>
      </c>
      <c r="P2" s="59"/>
      <c r="Q2" s="59"/>
    </row>
    <row r="3" ht="22.5" customHeight="1">
      <c r="A3" s="64" t="s">
        <v>366</v>
      </c>
      <c r="B3" s="60" t="s">
        <v>367</v>
      </c>
      <c r="D3" s="61" t="s">
        <v>34</v>
      </c>
      <c r="E3" s="61" t="s">
        <v>35</v>
      </c>
      <c r="F3" s="59" t="s">
        <v>18</v>
      </c>
      <c r="G3" s="61" t="s">
        <v>31</v>
      </c>
      <c r="H3" s="59" t="s">
        <v>20</v>
      </c>
      <c r="I3" s="62"/>
      <c r="J3" s="63" t="s">
        <v>21</v>
      </c>
      <c r="K3" s="62"/>
      <c r="L3" s="63" t="s">
        <v>22</v>
      </c>
      <c r="M3" s="62"/>
      <c r="N3" s="62"/>
      <c r="O3" s="60" t="s">
        <v>368</v>
      </c>
      <c r="P3" s="59"/>
      <c r="Q3" s="59"/>
    </row>
    <row r="4" ht="22.5" customHeight="1">
      <c r="A4" s="59"/>
      <c r="B4" s="60" t="s">
        <v>369</v>
      </c>
      <c r="C4" s="59"/>
      <c r="D4" s="61" t="s">
        <v>16</v>
      </c>
      <c r="E4" s="61" t="s">
        <v>40</v>
      </c>
      <c r="F4" s="59" t="s">
        <v>18</v>
      </c>
      <c r="G4" s="61" t="s">
        <v>19</v>
      </c>
      <c r="H4" s="59" t="s">
        <v>20</v>
      </c>
      <c r="I4" s="61" t="s">
        <v>31</v>
      </c>
      <c r="J4" s="63" t="s">
        <v>21</v>
      </c>
      <c r="K4" s="61" t="s">
        <v>31</v>
      </c>
      <c r="L4" s="63" t="s">
        <v>22</v>
      </c>
      <c r="M4" s="61" t="s">
        <v>19</v>
      </c>
      <c r="N4" s="62"/>
      <c r="O4" s="60" t="s">
        <v>370</v>
      </c>
      <c r="P4" s="59"/>
      <c r="Q4" s="59"/>
    </row>
    <row r="5" ht="22.5" customHeight="1">
      <c r="A5" s="59"/>
      <c r="B5" s="60" t="s">
        <v>371</v>
      </c>
      <c r="C5" s="59"/>
      <c r="D5" s="61" t="s">
        <v>16</v>
      </c>
      <c r="E5" s="61" t="s">
        <v>49</v>
      </c>
      <c r="F5" s="59" t="s">
        <v>18</v>
      </c>
      <c r="G5" s="61" t="s">
        <v>50</v>
      </c>
      <c r="H5" s="59" t="s">
        <v>20</v>
      </c>
      <c r="I5" s="61" t="s">
        <v>50</v>
      </c>
      <c r="J5" s="63" t="s">
        <v>21</v>
      </c>
      <c r="K5" s="61" t="s">
        <v>50</v>
      </c>
      <c r="L5" s="63" t="s">
        <v>22</v>
      </c>
      <c r="M5" s="61" t="s">
        <v>50</v>
      </c>
      <c r="N5" s="62"/>
      <c r="O5" s="60" t="s">
        <v>372</v>
      </c>
      <c r="P5" s="59"/>
      <c r="Q5" s="59"/>
    </row>
    <row r="6" ht="22.5" customHeight="1">
      <c r="A6" s="59"/>
      <c r="B6" s="60" t="s">
        <v>373</v>
      </c>
      <c r="C6" s="59"/>
      <c r="D6" s="61" t="s">
        <v>16</v>
      </c>
      <c r="E6" s="61" t="s">
        <v>40</v>
      </c>
      <c r="F6" s="59" t="s">
        <v>18</v>
      </c>
      <c r="G6" s="61" t="s">
        <v>19</v>
      </c>
      <c r="H6" s="59" t="s">
        <v>20</v>
      </c>
      <c r="I6" s="61" t="s">
        <v>19</v>
      </c>
      <c r="J6" s="63" t="s">
        <v>21</v>
      </c>
      <c r="K6" s="62"/>
      <c r="L6" s="63" t="s">
        <v>22</v>
      </c>
      <c r="M6" s="61" t="s">
        <v>31</v>
      </c>
      <c r="N6" s="62"/>
      <c r="O6" s="60" t="s">
        <v>374</v>
      </c>
      <c r="P6" s="59"/>
      <c r="Q6" s="59"/>
    </row>
    <row r="7" ht="22.5" customHeight="1">
      <c r="A7" s="59"/>
      <c r="B7" s="60" t="s">
        <v>375</v>
      </c>
      <c r="C7" s="59"/>
      <c r="D7" s="61" t="s">
        <v>16</v>
      </c>
      <c r="E7" s="61" t="s">
        <v>17</v>
      </c>
      <c r="F7" s="59" t="s">
        <v>18</v>
      </c>
      <c r="G7" s="61" t="s">
        <v>19</v>
      </c>
      <c r="H7" s="59" t="s">
        <v>20</v>
      </c>
      <c r="I7" s="61" t="s">
        <v>19</v>
      </c>
      <c r="J7" s="63" t="s">
        <v>21</v>
      </c>
      <c r="K7" s="61" t="s">
        <v>19</v>
      </c>
      <c r="L7" s="63" t="s">
        <v>22</v>
      </c>
      <c r="M7" s="61" t="s">
        <v>19</v>
      </c>
      <c r="N7" s="62"/>
      <c r="O7" s="60" t="s">
        <v>376</v>
      </c>
      <c r="P7" s="59"/>
      <c r="Q7" s="59"/>
    </row>
    <row r="8" ht="22.5" customHeight="1">
      <c r="A8" s="59"/>
      <c r="B8" s="60" t="s">
        <v>377</v>
      </c>
      <c r="C8" s="59"/>
      <c r="D8" s="61" t="s">
        <v>16</v>
      </c>
      <c r="E8" s="61" t="s">
        <v>17</v>
      </c>
      <c r="F8" s="59" t="s">
        <v>18</v>
      </c>
      <c r="G8" s="61" t="s">
        <v>19</v>
      </c>
      <c r="H8" s="59" t="s">
        <v>20</v>
      </c>
      <c r="I8" s="61" t="s">
        <v>19</v>
      </c>
      <c r="J8" s="63" t="s">
        <v>21</v>
      </c>
      <c r="K8" s="61" t="s">
        <v>19</v>
      </c>
      <c r="L8" s="63" t="s">
        <v>22</v>
      </c>
      <c r="M8" s="61" t="s">
        <v>19</v>
      </c>
      <c r="N8" s="62"/>
      <c r="O8" s="60" t="s">
        <v>378</v>
      </c>
      <c r="P8" s="59"/>
      <c r="Q8" s="59"/>
    </row>
    <row r="9" ht="22.5" customHeight="1">
      <c r="A9" s="59"/>
      <c r="B9" s="65" t="s">
        <v>379</v>
      </c>
      <c r="C9" s="59"/>
      <c r="D9" s="61" t="s">
        <v>34</v>
      </c>
      <c r="E9" s="61" t="s">
        <v>30</v>
      </c>
      <c r="F9" s="59" t="s">
        <v>18</v>
      </c>
      <c r="G9" s="61" t="s">
        <v>31</v>
      </c>
      <c r="H9" s="59" t="s">
        <v>20</v>
      </c>
      <c r="I9" s="66"/>
      <c r="J9" s="63" t="s">
        <v>21</v>
      </c>
      <c r="K9" s="61" t="s">
        <v>31</v>
      </c>
      <c r="L9" s="63" t="s">
        <v>22</v>
      </c>
      <c r="M9" s="61" t="s">
        <v>31</v>
      </c>
      <c r="N9" s="62"/>
      <c r="O9" s="60" t="s">
        <v>374</v>
      </c>
      <c r="P9" s="59"/>
      <c r="Q9" s="59"/>
    </row>
    <row r="10" ht="22.5" customHeight="1">
      <c r="A10" s="59"/>
      <c r="B10" s="60" t="s">
        <v>380</v>
      </c>
      <c r="C10" s="59"/>
      <c r="D10" s="61" t="s">
        <v>34</v>
      </c>
      <c r="E10" s="61" t="s">
        <v>40</v>
      </c>
      <c r="F10" s="59" t="s">
        <v>18</v>
      </c>
      <c r="G10" s="61" t="s">
        <v>31</v>
      </c>
      <c r="H10" s="59" t="s">
        <v>20</v>
      </c>
      <c r="I10" s="66"/>
      <c r="J10" s="63" t="s">
        <v>21</v>
      </c>
      <c r="K10" s="61" t="s">
        <v>19</v>
      </c>
      <c r="L10" s="63" t="s">
        <v>22</v>
      </c>
      <c r="M10" s="61" t="s">
        <v>19</v>
      </c>
      <c r="N10" s="62"/>
      <c r="O10" s="60" t="s">
        <v>139</v>
      </c>
      <c r="P10" s="59"/>
      <c r="Q10" s="59"/>
    </row>
    <row r="11" ht="22.5" customHeight="1">
      <c r="A11" s="67"/>
      <c r="B11" s="60" t="s">
        <v>381</v>
      </c>
      <c r="C11" s="59"/>
      <c r="D11" s="61" t="s">
        <v>16</v>
      </c>
      <c r="E11" s="61" t="s">
        <v>49</v>
      </c>
      <c r="F11" s="59" t="s">
        <v>18</v>
      </c>
      <c r="G11" s="61" t="s">
        <v>50</v>
      </c>
      <c r="H11" s="59" t="s">
        <v>20</v>
      </c>
      <c r="I11" s="61" t="s">
        <v>50</v>
      </c>
      <c r="J11" s="63" t="s">
        <v>21</v>
      </c>
      <c r="K11" s="61" t="s">
        <v>50</v>
      </c>
      <c r="L11" s="63" t="s">
        <v>22</v>
      </c>
      <c r="M11" s="61" t="s">
        <v>50</v>
      </c>
      <c r="N11" s="62"/>
      <c r="O11" s="60" t="s">
        <v>372</v>
      </c>
      <c r="P11" s="59"/>
      <c r="Q11" s="59"/>
    </row>
    <row r="12" ht="22.5" customHeight="1">
      <c r="A12" s="59"/>
      <c r="B12" s="60" t="s">
        <v>382</v>
      </c>
      <c r="C12" s="59"/>
      <c r="D12" s="61" t="s">
        <v>16</v>
      </c>
      <c r="E12" s="61" t="s">
        <v>49</v>
      </c>
      <c r="F12" s="59" t="s">
        <v>18</v>
      </c>
      <c r="G12" s="61" t="s">
        <v>50</v>
      </c>
      <c r="H12" s="59" t="s">
        <v>20</v>
      </c>
      <c r="I12" s="61" t="s">
        <v>50</v>
      </c>
      <c r="J12" s="63" t="s">
        <v>21</v>
      </c>
      <c r="K12" s="61" t="s">
        <v>50</v>
      </c>
      <c r="L12" s="63" t="s">
        <v>22</v>
      </c>
      <c r="M12" s="61" t="s">
        <v>50</v>
      </c>
      <c r="N12" s="62"/>
      <c r="O12" s="60" t="s">
        <v>152</v>
      </c>
      <c r="P12" s="59"/>
      <c r="Q12" s="59"/>
    </row>
    <row r="13" ht="22.5" customHeight="1">
      <c r="A13" s="59"/>
      <c r="B13" s="60" t="s">
        <v>383</v>
      </c>
      <c r="C13" s="59"/>
      <c r="D13" s="61" t="s">
        <v>16</v>
      </c>
      <c r="E13" s="61" t="s">
        <v>17</v>
      </c>
      <c r="F13" s="59" t="s">
        <v>18</v>
      </c>
      <c r="G13" s="61" t="s">
        <v>19</v>
      </c>
      <c r="H13" s="59" t="s">
        <v>20</v>
      </c>
      <c r="I13" s="61" t="s">
        <v>19</v>
      </c>
      <c r="J13" s="63" t="s">
        <v>21</v>
      </c>
      <c r="K13" s="61" t="s">
        <v>19</v>
      </c>
      <c r="L13" s="63" t="s">
        <v>22</v>
      </c>
      <c r="M13" s="61" t="s">
        <v>19</v>
      </c>
      <c r="N13" s="62"/>
      <c r="O13" s="60" t="s">
        <v>376</v>
      </c>
      <c r="P13" s="59"/>
      <c r="Q13" s="59"/>
    </row>
    <row r="14" ht="22.5" customHeight="1">
      <c r="A14" s="59"/>
      <c r="B14" s="60" t="s">
        <v>384</v>
      </c>
      <c r="C14" s="59"/>
      <c r="D14" s="61" t="s">
        <v>34</v>
      </c>
      <c r="E14" s="61" t="s">
        <v>49</v>
      </c>
      <c r="F14" s="59" t="s">
        <v>18</v>
      </c>
      <c r="G14" s="61" t="s">
        <v>50</v>
      </c>
      <c r="H14" s="59" t="s">
        <v>20</v>
      </c>
      <c r="I14" s="61" t="s">
        <v>50</v>
      </c>
      <c r="J14" s="63" t="s">
        <v>21</v>
      </c>
      <c r="K14" s="61" t="s">
        <v>50</v>
      </c>
      <c r="L14" s="63" t="s">
        <v>22</v>
      </c>
      <c r="M14" s="61" t="s">
        <v>50</v>
      </c>
      <c r="N14" s="62"/>
      <c r="O14" s="60" t="s">
        <v>372</v>
      </c>
      <c r="P14" s="59"/>
      <c r="Q14" s="59"/>
    </row>
    <row r="15" ht="22.5" customHeight="1">
      <c r="A15" s="59"/>
      <c r="B15" s="60" t="s">
        <v>385</v>
      </c>
      <c r="C15" s="59"/>
      <c r="D15" s="61" t="s">
        <v>16</v>
      </c>
      <c r="E15" s="61" t="s">
        <v>17</v>
      </c>
      <c r="F15" s="59" t="s">
        <v>18</v>
      </c>
      <c r="G15" s="61" t="s">
        <v>19</v>
      </c>
      <c r="H15" s="59" t="s">
        <v>20</v>
      </c>
      <c r="I15" s="61" t="s">
        <v>19</v>
      </c>
      <c r="J15" s="63" t="s">
        <v>21</v>
      </c>
      <c r="K15" s="61" t="s">
        <v>19</v>
      </c>
      <c r="L15" s="63" t="s">
        <v>22</v>
      </c>
      <c r="M15" s="61" t="s">
        <v>19</v>
      </c>
      <c r="N15" s="62"/>
      <c r="O15" s="60" t="s">
        <v>376</v>
      </c>
      <c r="P15" s="59"/>
      <c r="Q15" s="59"/>
    </row>
    <row r="16" ht="22.5" customHeight="1">
      <c r="A16" s="59"/>
      <c r="B16" s="60" t="s">
        <v>386</v>
      </c>
      <c r="C16" s="59"/>
      <c r="D16" s="62"/>
      <c r="E16" s="61" t="s">
        <v>35</v>
      </c>
      <c r="F16" s="59" t="s">
        <v>18</v>
      </c>
      <c r="G16" s="62"/>
      <c r="H16" s="59" t="s">
        <v>20</v>
      </c>
      <c r="I16" s="62"/>
      <c r="J16" s="63" t="s">
        <v>21</v>
      </c>
      <c r="K16" s="62"/>
      <c r="L16" s="63" t="s">
        <v>22</v>
      </c>
      <c r="M16" s="62"/>
      <c r="N16" s="62"/>
      <c r="O16" s="60" t="s">
        <v>387</v>
      </c>
      <c r="P16" s="59"/>
      <c r="Q16" s="59"/>
    </row>
    <row r="17" ht="22.5" customHeight="1">
      <c r="A17" s="59"/>
      <c r="B17" s="64" t="s">
        <v>388</v>
      </c>
      <c r="C17" s="59"/>
      <c r="D17" s="61" t="s">
        <v>16</v>
      </c>
      <c r="E17" s="61" t="s">
        <v>17</v>
      </c>
      <c r="F17" s="59" t="s">
        <v>18</v>
      </c>
      <c r="G17" s="61" t="s">
        <v>19</v>
      </c>
      <c r="H17" s="59" t="s">
        <v>20</v>
      </c>
      <c r="I17" s="61" t="s">
        <v>19</v>
      </c>
      <c r="J17" s="63" t="s">
        <v>21</v>
      </c>
      <c r="K17" s="61" t="s">
        <v>19</v>
      </c>
      <c r="L17" s="63" t="s">
        <v>22</v>
      </c>
      <c r="M17" s="61" t="s">
        <v>19</v>
      </c>
      <c r="N17" s="62"/>
      <c r="O17" s="60" t="s">
        <v>376</v>
      </c>
      <c r="P17" s="59"/>
      <c r="Q17" s="59"/>
    </row>
    <row r="18" ht="22.5" customHeight="1">
      <c r="A18" s="59"/>
      <c r="B18" s="60" t="s">
        <v>389</v>
      </c>
      <c r="C18" s="59"/>
      <c r="D18" s="61" t="s">
        <v>16</v>
      </c>
      <c r="E18" s="61" t="s">
        <v>40</v>
      </c>
      <c r="F18" s="59" t="s">
        <v>18</v>
      </c>
      <c r="G18" s="61" t="s">
        <v>31</v>
      </c>
      <c r="H18" s="59" t="s">
        <v>20</v>
      </c>
      <c r="I18" s="61" t="s">
        <v>19</v>
      </c>
      <c r="J18" s="63" t="s">
        <v>21</v>
      </c>
      <c r="K18" s="61" t="s">
        <v>19</v>
      </c>
      <c r="L18" s="63" t="s">
        <v>22</v>
      </c>
      <c r="M18" s="61" t="s">
        <v>19</v>
      </c>
      <c r="N18" s="62"/>
      <c r="O18" s="60" t="s">
        <v>390</v>
      </c>
      <c r="P18" s="59"/>
      <c r="Q18" s="59"/>
    </row>
    <row r="19" ht="22.5" customHeight="1">
      <c r="A19" s="59"/>
      <c r="B19" s="60" t="s">
        <v>391</v>
      </c>
      <c r="C19" s="59"/>
      <c r="D19" s="61" t="s">
        <v>16</v>
      </c>
      <c r="E19" s="61" t="s">
        <v>17</v>
      </c>
      <c r="F19" s="59" t="s">
        <v>18</v>
      </c>
      <c r="G19" s="61" t="s">
        <v>19</v>
      </c>
      <c r="H19" s="59" t="s">
        <v>20</v>
      </c>
      <c r="I19" s="61" t="s">
        <v>19</v>
      </c>
      <c r="J19" s="63" t="s">
        <v>21</v>
      </c>
      <c r="K19" s="61" t="s">
        <v>19</v>
      </c>
      <c r="L19" s="63" t="s">
        <v>22</v>
      </c>
      <c r="M19" s="61" t="s">
        <v>19</v>
      </c>
      <c r="N19" s="62"/>
      <c r="O19" s="60" t="s">
        <v>376</v>
      </c>
      <c r="P19" s="59"/>
      <c r="Q19" s="59"/>
    </row>
    <row r="20" ht="22.5" customHeight="1">
      <c r="A20" s="59"/>
      <c r="B20" s="60" t="s">
        <v>392</v>
      </c>
      <c r="C20" s="59"/>
      <c r="D20" s="61" t="s">
        <v>34</v>
      </c>
      <c r="E20" s="61" t="s">
        <v>30</v>
      </c>
      <c r="F20" s="59" t="s">
        <v>18</v>
      </c>
      <c r="G20" s="62"/>
      <c r="H20" s="59" t="s">
        <v>20</v>
      </c>
      <c r="I20" s="61" t="s">
        <v>31</v>
      </c>
      <c r="J20" s="63" t="s">
        <v>21</v>
      </c>
      <c r="K20" s="62"/>
      <c r="L20" s="63" t="s">
        <v>22</v>
      </c>
      <c r="M20" s="62"/>
      <c r="N20" s="62"/>
      <c r="O20" s="60" t="s">
        <v>374</v>
      </c>
      <c r="P20" s="59"/>
      <c r="Q20" s="59"/>
    </row>
    <row r="21" ht="22.5" customHeight="1">
      <c r="A21" s="59"/>
      <c r="B21" s="60" t="s">
        <v>393</v>
      </c>
      <c r="C21" s="59"/>
      <c r="D21" s="61" t="s">
        <v>16</v>
      </c>
      <c r="E21" s="61" t="s">
        <v>17</v>
      </c>
      <c r="F21" s="59" t="s">
        <v>18</v>
      </c>
      <c r="G21" s="61" t="s">
        <v>19</v>
      </c>
      <c r="H21" s="59" t="s">
        <v>20</v>
      </c>
      <c r="I21" s="61" t="s">
        <v>19</v>
      </c>
      <c r="J21" s="63" t="s">
        <v>21</v>
      </c>
      <c r="K21" s="61" t="s">
        <v>19</v>
      </c>
      <c r="L21" s="63" t="s">
        <v>22</v>
      </c>
      <c r="M21" s="61" t="s">
        <v>19</v>
      </c>
      <c r="N21" s="62"/>
      <c r="O21" s="60" t="s">
        <v>376</v>
      </c>
      <c r="P21" s="59"/>
      <c r="Q21" s="59"/>
    </row>
    <row r="22" ht="22.5" customHeight="1">
      <c r="A22" s="59"/>
      <c r="B22" s="60" t="s">
        <v>394</v>
      </c>
      <c r="C22" s="59"/>
      <c r="D22" s="61" t="s">
        <v>16</v>
      </c>
      <c r="E22" s="61" t="s">
        <v>17</v>
      </c>
      <c r="F22" s="59" t="s">
        <v>18</v>
      </c>
      <c r="G22" s="61" t="s">
        <v>19</v>
      </c>
      <c r="H22" s="59" t="s">
        <v>20</v>
      </c>
      <c r="I22" s="61" t="s">
        <v>19</v>
      </c>
      <c r="J22" s="63" t="s">
        <v>21</v>
      </c>
      <c r="K22" s="61" t="s">
        <v>19</v>
      </c>
      <c r="L22" s="63" t="s">
        <v>22</v>
      </c>
      <c r="M22" s="61" t="s">
        <v>19</v>
      </c>
      <c r="N22" s="62"/>
      <c r="O22" s="60" t="s">
        <v>376</v>
      </c>
      <c r="P22" s="59"/>
      <c r="Q22" s="59"/>
    </row>
    <row r="23" ht="22.5" customHeight="1">
      <c r="A23" s="64" t="s">
        <v>395</v>
      </c>
      <c r="B23" s="60" t="s">
        <v>396</v>
      </c>
      <c r="D23" s="61" t="s">
        <v>34</v>
      </c>
      <c r="E23" s="61" t="s">
        <v>49</v>
      </c>
      <c r="F23" s="59" t="s">
        <v>18</v>
      </c>
      <c r="G23" s="61" t="s">
        <v>50</v>
      </c>
      <c r="H23" s="59" t="s">
        <v>20</v>
      </c>
      <c r="I23" s="61" t="s">
        <v>50</v>
      </c>
      <c r="J23" s="63" t="s">
        <v>21</v>
      </c>
      <c r="K23" s="61" t="s">
        <v>50</v>
      </c>
      <c r="L23" s="63" t="s">
        <v>22</v>
      </c>
      <c r="M23" s="61" t="s">
        <v>50</v>
      </c>
      <c r="N23" s="62"/>
      <c r="O23" s="60" t="s">
        <v>397</v>
      </c>
      <c r="P23" s="59"/>
      <c r="Q23" s="59"/>
    </row>
    <row r="24" ht="22.5" customHeight="1">
      <c r="A24" s="59"/>
      <c r="B24" s="60" t="s">
        <v>398</v>
      </c>
      <c r="C24" s="59"/>
      <c r="D24" s="61" t="s">
        <v>16</v>
      </c>
      <c r="E24" s="61" t="s">
        <v>17</v>
      </c>
      <c r="F24" s="59" t="s">
        <v>18</v>
      </c>
      <c r="G24" s="61" t="s">
        <v>19</v>
      </c>
      <c r="H24" s="59" t="s">
        <v>20</v>
      </c>
      <c r="I24" s="61" t="s">
        <v>19</v>
      </c>
      <c r="J24" s="63" t="s">
        <v>21</v>
      </c>
      <c r="K24" s="61" t="s">
        <v>19</v>
      </c>
      <c r="L24" s="63" t="s">
        <v>22</v>
      </c>
      <c r="M24" s="61" t="s">
        <v>19</v>
      </c>
      <c r="N24" s="62"/>
      <c r="O24" s="60" t="s">
        <v>376</v>
      </c>
      <c r="P24" s="59"/>
      <c r="Q24" s="59"/>
    </row>
    <row r="25" ht="22.5" customHeight="1">
      <c r="A25" s="59"/>
      <c r="B25" s="60" t="s">
        <v>399</v>
      </c>
      <c r="D25" s="68"/>
      <c r="E25" s="61" t="s">
        <v>25</v>
      </c>
      <c r="F25" s="59" t="s">
        <v>18</v>
      </c>
      <c r="G25" s="61"/>
      <c r="H25" s="59" t="s">
        <v>20</v>
      </c>
      <c r="I25" s="61"/>
      <c r="J25" s="63" t="s">
        <v>21</v>
      </c>
      <c r="K25" s="61"/>
      <c r="L25" s="63" t="s">
        <v>22</v>
      </c>
      <c r="M25" s="61"/>
      <c r="N25" s="62"/>
      <c r="O25" s="60" t="s">
        <v>400</v>
      </c>
      <c r="P25" s="59"/>
      <c r="Q25" s="59"/>
    </row>
    <row r="26" ht="22.5" customHeight="1">
      <c r="A26" s="59"/>
      <c r="B26" s="60" t="s">
        <v>401</v>
      </c>
      <c r="C26" s="59"/>
      <c r="D26" s="61" t="s">
        <v>16</v>
      </c>
      <c r="E26" s="61" t="s">
        <v>49</v>
      </c>
      <c r="F26" s="59" t="s">
        <v>18</v>
      </c>
      <c r="G26" s="61" t="s">
        <v>50</v>
      </c>
      <c r="H26" s="59" t="s">
        <v>20</v>
      </c>
      <c r="I26" s="61" t="s">
        <v>50</v>
      </c>
      <c r="J26" s="63" t="s">
        <v>21</v>
      </c>
      <c r="K26" s="61" t="s">
        <v>50</v>
      </c>
      <c r="L26" s="63" t="s">
        <v>22</v>
      </c>
      <c r="M26" s="61" t="s">
        <v>50</v>
      </c>
      <c r="N26" s="62"/>
      <c r="O26" s="60" t="s">
        <v>372</v>
      </c>
      <c r="P26" s="59"/>
      <c r="Q26" s="59"/>
    </row>
    <row r="27" ht="22.5" customHeight="1">
      <c r="A27" s="59"/>
      <c r="B27" s="60" t="s">
        <v>402</v>
      </c>
      <c r="C27" s="59"/>
      <c r="D27" s="61" t="s">
        <v>16</v>
      </c>
      <c r="E27" s="61" t="s">
        <v>49</v>
      </c>
      <c r="F27" s="59" t="s">
        <v>18</v>
      </c>
      <c r="G27" s="61" t="s">
        <v>50</v>
      </c>
      <c r="H27" s="59" t="s">
        <v>20</v>
      </c>
      <c r="I27" s="61" t="s">
        <v>50</v>
      </c>
      <c r="J27" s="63" t="s">
        <v>21</v>
      </c>
      <c r="K27" s="61" t="s">
        <v>50</v>
      </c>
      <c r="L27" s="63" t="s">
        <v>22</v>
      </c>
      <c r="M27" s="61" t="s">
        <v>50</v>
      </c>
      <c r="N27" s="62"/>
      <c r="O27" s="60" t="s">
        <v>403</v>
      </c>
      <c r="P27" s="59"/>
      <c r="Q27" s="59"/>
    </row>
    <row r="28" ht="22.5" customHeight="1">
      <c r="A28" s="59"/>
      <c r="B28" s="60" t="s">
        <v>404</v>
      </c>
      <c r="C28" s="59"/>
      <c r="D28" s="61" t="s">
        <v>16</v>
      </c>
      <c r="E28" s="61" t="s">
        <v>17</v>
      </c>
      <c r="F28" s="59" t="s">
        <v>18</v>
      </c>
      <c r="G28" s="61" t="s">
        <v>19</v>
      </c>
      <c r="H28" s="59" t="s">
        <v>20</v>
      </c>
      <c r="I28" s="61" t="s">
        <v>19</v>
      </c>
      <c r="J28" s="63" t="s">
        <v>21</v>
      </c>
      <c r="K28" s="61" t="s">
        <v>19</v>
      </c>
      <c r="L28" s="63" t="s">
        <v>22</v>
      </c>
      <c r="M28" s="61" t="s">
        <v>19</v>
      </c>
      <c r="N28" s="62"/>
      <c r="O28" s="60" t="s">
        <v>376</v>
      </c>
      <c r="P28" s="59"/>
      <c r="Q28" s="59"/>
    </row>
    <row r="29" ht="22.5" customHeight="1">
      <c r="A29" s="59"/>
      <c r="B29" s="60" t="s">
        <v>405</v>
      </c>
      <c r="C29" s="59"/>
      <c r="D29" s="61" t="s">
        <v>34</v>
      </c>
      <c r="E29" s="61" t="s">
        <v>49</v>
      </c>
      <c r="F29" s="59" t="s">
        <v>18</v>
      </c>
      <c r="G29" s="61" t="s">
        <v>50</v>
      </c>
      <c r="H29" s="59" t="s">
        <v>20</v>
      </c>
      <c r="I29" s="61" t="s">
        <v>50</v>
      </c>
      <c r="J29" s="63" t="s">
        <v>21</v>
      </c>
      <c r="K29" s="61" t="s">
        <v>50</v>
      </c>
      <c r="L29" s="63" t="s">
        <v>22</v>
      </c>
      <c r="M29" s="61" t="s">
        <v>50</v>
      </c>
      <c r="N29" s="62"/>
      <c r="O29" s="60" t="s">
        <v>406</v>
      </c>
      <c r="P29" s="59"/>
      <c r="Q29" s="59"/>
    </row>
    <row r="30" ht="22.5" customHeight="1">
      <c r="A30" s="60" t="s">
        <v>407</v>
      </c>
      <c r="B30" s="60" t="s">
        <v>408</v>
      </c>
      <c r="C30" s="59"/>
      <c r="D30" s="61" t="s">
        <v>16</v>
      </c>
      <c r="E30" s="61" t="s">
        <v>409</v>
      </c>
      <c r="F30" s="59" t="s">
        <v>18</v>
      </c>
      <c r="G30" s="61" t="s">
        <v>19</v>
      </c>
      <c r="H30" s="59" t="s">
        <v>20</v>
      </c>
      <c r="I30" s="61" t="s">
        <v>19</v>
      </c>
      <c r="J30" s="63" t="s">
        <v>21</v>
      </c>
      <c r="K30" s="61" t="s">
        <v>19</v>
      </c>
      <c r="L30" s="63" t="s">
        <v>22</v>
      </c>
      <c r="M30" s="61" t="s">
        <v>19</v>
      </c>
      <c r="N30" s="62"/>
      <c r="O30" s="60" t="s">
        <v>376</v>
      </c>
      <c r="P30" s="59"/>
      <c r="Q30" s="59"/>
    </row>
    <row r="31" ht="22.5" customHeight="1">
      <c r="A31" s="59"/>
      <c r="B31" s="60" t="s">
        <v>410</v>
      </c>
      <c r="C31" s="59"/>
      <c r="D31" s="61" t="s">
        <v>16</v>
      </c>
      <c r="E31" s="61" t="s">
        <v>17</v>
      </c>
      <c r="F31" s="59" t="s">
        <v>18</v>
      </c>
      <c r="G31" s="61" t="s">
        <v>19</v>
      </c>
      <c r="H31" s="59" t="s">
        <v>20</v>
      </c>
      <c r="I31" s="61" t="s">
        <v>19</v>
      </c>
      <c r="J31" s="63" t="s">
        <v>21</v>
      </c>
      <c r="K31" s="61" t="s">
        <v>19</v>
      </c>
      <c r="L31" s="63" t="s">
        <v>22</v>
      </c>
      <c r="M31" s="61" t="s">
        <v>19</v>
      </c>
      <c r="N31" s="62"/>
      <c r="O31" s="60" t="s">
        <v>376</v>
      </c>
      <c r="P31" s="59"/>
      <c r="Q31" s="59"/>
    </row>
    <row r="32" ht="22.5" customHeight="1">
      <c r="A32" s="59"/>
      <c r="B32" s="60" t="s">
        <v>411</v>
      </c>
      <c r="C32" s="59"/>
      <c r="D32" s="61" t="s">
        <v>34</v>
      </c>
      <c r="E32" s="61" t="s">
        <v>30</v>
      </c>
      <c r="F32" s="59" t="s">
        <v>18</v>
      </c>
      <c r="G32" s="62"/>
      <c r="H32" s="59" t="s">
        <v>20</v>
      </c>
      <c r="I32" s="61" t="s">
        <v>31</v>
      </c>
      <c r="J32" s="63" t="s">
        <v>21</v>
      </c>
      <c r="K32" s="62"/>
      <c r="L32" s="63" t="s">
        <v>22</v>
      </c>
      <c r="M32" s="62"/>
      <c r="N32" s="62"/>
      <c r="O32" s="60" t="s">
        <v>412</v>
      </c>
      <c r="P32" s="59"/>
      <c r="Q32" s="59"/>
    </row>
    <row r="33" ht="22.5" customHeight="1">
      <c r="A33" s="59"/>
      <c r="B33" s="60" t="s">
        <v>413</v>
      </c>
      <c r="C33" s="59"/>
      <c r="D33" s="61" t="s">
        <v>16</v>
      </c>
      <c r="E33" s="61" t="s">
        <v>17</v>
      </c>
      <c r="F33" s="59" t="s">
        <v>18</v>
      </c>
      <c r="G33" s="61" t="s">
        <v>19</v>
      </c>
      <c r="H33" s="59" t="s">
        <v>20</v>
      </c>
      <c r="I33" s="61" t="s">
        <v>19</v>
      </c>
      <c r="J33" s="63" t="s">
        <v>21</v>
      </c>
      <c r="K33" s="61" t="s">
        <v>19</v>
      </c>
      <c r="L33" s="63" t="s">
        <v>22</v>
      </c>
      <c r="M33" s="61" t="s">
        <v>19</v>
      </c>
      <c r="N33" s="62"/>
      <c r="O33" s="60" t="s">
        <v>376</v>
      </c>
      <c r="P33" s="59"/>
      <c r="Q33" s="59"/>
    </row>
    <row r="34" ht="22.5" customHeight="1">
      <c r="A34" s="59"/>
      <c r="B34" s="60" t="s">
        <v>414</v>
      </c>
      <c r="C34" s="59"/>
      <c r="D34" s="61" t="s">
        <v>34</v>
      </c>
      <c r="E34" s="61" t="s">
        <v>49</v>
      </c>
      <c r="F34" s="59" t="s">
        <v>18</v>
      </c>
      <c r="G34" s="61" t="s">
        <v>50</v>
      </c>
      <c r="H34" s="59" t="s">
        <v>20</v>
      </c>
      <c r="I34" s="61" t="s">
        <v>50</v>
      </c>
      <c r="J34" s="63" t="s">
        <v>21</v>
      </c>
      <c r="K34" s="61" t="s">
        <v>50</v>
      </c>
      <c r="L34" s="63" t="s">
        <v>22</v>
      </c>
      <c r="M34" s="61" t="s">
        <v>50</v>
      </c>
      <c r="N34" s="62"/>
      <c r="O34" s="60" t="s">
        <v>372</v>
      </c>
      <c r="P34" s="59"/>
      <c r="Q34" s="59"/>
    </row>
    <row r="35" ht="22.5" customHeight="1">
      <c r="A35" s="59"/>
      <c r="B35" s="60" t="s">
        <v>415</v>
      </c>
      <c r="C35" s="59"/>
      <c r="D35" s="61" t="s">
        <v>34</v>
      </c>
      <c r="E35" s="61" t="s">
        <v>40</v>
      </c>
      <c r="F35" s="59" t="s">
        <v>18</v>
      </c>
      <c r="G35" s="61" t="s">
        <v>31</v>
      </c>
      <c r="H35" s="59" t="s">
        <v>20</v>
      </c>
      <c r="I35" s="61" t="s">
        <v>31</v>
      </c>
      <c r="J35" s="63" t="s">
        <v>21</v>
      </c>
      <c r="K35" s="61" t="s">
        <v>19</v>
      </c>
      <c r="L35" s="63" t="s">
        <v>22</v>
      </c>
      <c r="M35" s="61" t="s">
        <v>19</v>
      </c>
      <c r="N35" s="62"/>
      <c r="O35" s="60" t="s">
        <v>416</v>
      </c>
      <c r="P35" s="59"/>
      <c r="Q35" s="59"/>
    </row>
    <row r="36" ht="22.5" customHeight="1">
      <c r="A36" s="60" t="s">
        <v>417</v>
      </c>
      <c r="B36" s="60" t="s">
        <v>418</v>
      </c>
      <c r="C36" s="59"/>
      <c r="D36" s="61" t="s">
        <v>34</v>
      </c>
      <c r="E36" s="61" t="s">
        <v>419</v>
      </c>
      <c r="F36" s="59" t="s">
        <v>18</v>
      </c>
      <c r="G36" s="61" t="s">
        <v>31</v>
      </c>
      <c r="H36" s="59" t="s">
        <v>20</v>
      </c>
      <c r="I36" s="61" t="s">
        <v>19</v>
      </c>
      <c r="J36" s="63" t="s">
        <v>21</v>
      </c>
      <c r="K36" s="62"/>
      <c r="L36" s="63" t="s">
        <v>22</v>
      </c>
      <c r="M36" s="61" t="s">
        <v>19</v>
      </c>
      <c r="N36" s="62"/>
      <c r="O36" s="60" t="s">
        <v>420</v>
      </c>
      <c r="P36" s="59"/>
      <c r="Q36" s="59"/>
    </row>
    <row r="37" ht="22.5" customHeight="1">
      <c r="A37" s="59"/>
      <c r="B37" s="60" t="s">
        <v>421</v>
      </c>
      <c r="C37" s="59"/>
      <c r="D37" s="61" t="s">
        <v>34</v>
      </c>
      <c r="E37" s="61" t="s">
        <v>30</v>
      </c>
      <c r="F37" s="59" t="s">
        <v>18</v>
      </c>
      <c r="G37" s="62"/>
      <c r="H37" s="59" t="s">
        <v>20</v>
      </c>
      <c r="I37" s="61" t="s">
        <v>31</v>
      </c>
      <c r="J37" s="63" t="s">
        <v>21</v>
      </c>
      <c r="K37" s="62"/>
      <c r="L37" s="63" t="s">
        <v>22</v>
      </c>
      <c r="M37" s="62"/>
      <c r="N37" s="62"/>
      <c r="O37" s="60" t="s">
        <v>422</v>
      </c>
      <c r="P37" s="59"/>
      <c r="Q37" s="59"/>
    </row>
    <row r="38" ht="22.5" customHeight="1">
      <c r="A38" s="59"/>
      <c r="B38" s="60" t="s">
        <v>423</v>
      </c>
      <c r="C38" s="59"/>
      <c r="D38" s="61" t="s">
        <v>34</v>
      </c>
      <c r="E38" s="61" t="s">
        <v>30</v>
      </c>
      <c r="F38" s="59" t="s">
        <v>18</v>
      </c>
      <c r="G38" s="62"/>
      <c r="H38" s="59" t="s">
        <v>20</v>
      </c>
      <c r="I38" s="61" t="s">
        <v>31</v>
      </c>
      <c r="J38" s="63" t="s">
        <v>21</v>
      </c>
      <c r="K38" s="62"/>
      <c r="L38" s="63" t="s">
        <v>22</v>
      </c>
      <c r="M38" s="62"/>
      <c r="N38" s="62"/>
      <c r="O38" s="60" t="s">
        <v>424</v>
      </c>
      <c r="P38" s="59"/>
      <c r="Q38" s="59"/>
    </row>
    <row r="39" ht="22.5" customHeight="1">
      <c r="A39" s="59"/>
      <c r="B39" s="60" t="s">
        <v>425</v>
      </c>
      <c r="C39" s="59"/>
      <c r="D39" s="61" t="s">
        <v>34</v>
      </c>
      <c r="E39" s="61" t="s">
        <v>49</v>
      </c>
      <c r="F39" s="59" t="s">
        <v>18</v>
      </c>
      <c r="G39" s="61" t="s">
        <v>50</v>
      </c>
      <c r="H39" s="59" t="s">
        <v>20</v>
      </c>
      <c r="I39" s="61" t="s">
        <v>50</v>
      </c>
      <c r="J39" s="63" t="s">
        <v>21</v>
      </c>
      <c r="K39" s="61" t="s">
        <v>50</v>
      </c>
      <c r="L39" s="63" t="s">
        <v>22</v>
      </c>
      <c r="M39" s="61" t="s">
        <v>50</v>
      </c>
      <c r="N39" s="62"/>
      <c r="O39" s="60" t="s">
        <v>152</v>
      </c>
      <c r="P39" s="59"/>
      <c r="Q39" s="59"/>
    </row>
    <row r="40" ht="22.5" customHeight="1">
      <c r="A40" s="59"/>
      <c r="B40" s="60" t="s">
        <v>426</v>
      </c>
      <c r="C40" s="59"/>
      <c r="D40" s="61" t="s">
        <v>16</v>
      </c>
      <c r="E40" s="61" t="s">
        <v>49</v>
      </c>
      <c r="F40" s="59" t="s">
        <v>18</v>
      </c>
      <c r="G40" s="61" t="s">
        <v>50</v>
      </c>
      <c r="H40" s="59" t="s">
        <v>20</v>
      </c>
      <c r="I40" s="61" t="s">
        <v>50</v>
      </c>
      <c r="J40" s="63" t="s">
        <v>21</v>
      </c>
      <c r="K40" s="61" t="s">
        <v>50</v>
      </c>
      <c r="L40" s="63" t="s">
        <v>22</v>
      </c>
      <c r="M40" s="61" t="s">
        <v>50</v>
      </c>
      <c r="N40" s="62"/>
      <c r="O40" s="60" t="s">
        <v>427</v>
      </c>
      <c r="P40" s="59"/>
      <c r="Q40" s="59"/>
    </row>
    <row r="41" ht="22.5" customHeight="1">
      <c r="A41" s="59"/>
      <c r="B41" s="60" t="s">
        <v>428</v>
      </c>
      <c r="C41" s="59"/>
      <c r="D41" s="61" t="s">
        <v>34</v>
      </c>
      <c r="E41" s="61" t="s">
        <v>49</v>
      </c>
      <c r="F41" s="59" t="s">
        <v>18</v>
      </c>
      <c r="G41" s="61" t="s">
        <v>50</v>
      </c>
      <c r="H41" s="59" t="s">
        <v>20</v>
      </c>
      <c r="I41" s="61" t="s">
        <v>50</v>
      </c>
      <c r="J41" s="63" t="s">
        <v>21</v>
      </c>
      <c r="K41" s="61" t="s">
        <v>50</v>
      </c>
      <c r="L41" s="63" t="s">
        <v>22</v>
      </c>
      <c r="M41" s="61" t="s">
        <v>50</v>
      </c>
      <c r="N41" s="62"/>
      <c r="O41" s="60" t="s">
        <v>374</v>
      </c>
      <c r="P41" s="59"/>
      <c r="Q41" s="59"/>
    </row>
    <row r="42" ht="22.5" customHeight="1">
      <c r="A42" s="59"/>
      <c r="B42" s="60" t="s">
        <v>429</v>
      </c>
      <c r="C42" s="59"/>
      <c r="D42" s="61" t="s">
        <v>34</v>
      </c>
      <c r="E42" s="61" t="s">
        <v>49</v>
      </c>
      <c r="F42" s="59" t="s">
        <v>18</v>
      </c>
      <c r="G42" s="61" t="s">
        <v>50</v>
      </c>
      <c r="H42" s="59" t="s">
        <v>20</v>
      </c>
      <c r="I42" s="61" t="s">
        <v>50</v>
      </c>
      <c r="J42" s="63" t="s">
        <v>21</v>
      </c>
      <c r="K42" s="61" t="s">
        <v>50</v>
      </c>
      <c r="L42" s="63" t="s">
        <v>22</v>
      </c>
      <c r="M42" s="61" t="s">
        <v>50</v>
      </c>
      <c r="N42" s="62"/>
      <c r="O42" s="60" t="s">
        <v>372</v>
      </c>
      <c r="P42" s="59"/>
      <c r="Q42" s="59"/>
    </row>
    <row r="43" ht="22.5" customHeight="1">
      <c r="B43" s="64" t="s">
        <v>430</v>
      </c>
      <c r="C43" s="59"/>
      <c r="D43" s="61" t="s">
        <v>34</v>
      </c>
      <c r="E43" s="61" t="s">
        <v>49</v>
      </c>
      <c r="F43" s="59" t="s">
        <v>18</v>
      </c>
      <c r="G43" s="61" t="s">
        <v>50</v>
      </c>
      <c r="H43" s="59" t="s">
        <v>20</v>
      </c>
      <c r="I43" s="61" t="s">
        <v>50</v>
      </c>
      <c r="J43" s="63" t="s">
        <v>21</v>
      </c>
      <c r="K43" s="61" t="s">
        <v>50</v>
      </c>
      <c r="L43" s="63" t="s">
        <v>22</v>
      </c>
      <c r="M43" s="61" t="s">
        <v>50</v>
      </c>
      <c r="N43" s="62"/>
      <c r="O43" s="60" t="s">
        <v>372</v>
      </c>
      <c r="P43" s="59"/>
      <c r="Q43" s="59"/>
    </row>
    <row r="44" ht="22.5" customHeight="1">
      <c r="B44" s="60" t="s">
        <v>431</v>
      </c>
      <c r="C44" s="59"/>
      <c r="D44" s="61" t="s">
        <v>16</v>
      </c>
      <c r="E44" s="61" t="s">
        <v>17</v>
      </c>
      <c r="F44" s="59" t="s">
        <v>18</v>
      </c>
      <c r="G44" s="61" t="s">
        <v>19</v>
      </c>
      <c r="H44" s="59" t="s">
        <v>20</v>
      </c>
      <c r="I44" s="61" t="s">
        <v>19</v>
      </c>
      <c r="J44" s="63" t="s">
        <v>21</v>
      </c>
      <c r="K44" s="61" t="s">
        <v>19</v>
      </c>
      <c r="L44" s="63" t="s">
        <v>22</v>
      </c>
      <c r="M44" s="61" t="s">
        <v>19</v>
      </c>
      <c r="N44" s="62"/>
      <c r="O44" s="60" t="s">
        <v>376</v>
      </c>
      <c r="P44" s="59"/>
      <c r="Q44" s="59"/>
    </row>
    <row r="45" ht="22.5" customHeight="1">
      <c r="B45" s="60" t="s">
        <v>432</v>
      </c>
      <c r="C45" s="59"/>
      <c r="D45" s="61" t="s">
        <v>34</v>
      </c>
      <c r="E45" s="61" t="s">
        <v>409</v>
      </c>
      <c r="F45" s="59" t="s">
        <v>18</v>
      </c>
      <c r="G45" s="61"/>
      <c r="H45" s="59" t="s">
        <v>20</v>
      </c>
      <c r="I45" s="61" t="s">
        <v>31</v>
      </c>
      <c r="J45" s="63" t="s">
        <v>21</v>
      </c>
      <c r="K45" s="61" t="s">
        <v>31</v>
      </c>
      <c r="L45" s="63" t="s">
        <v>22</v>
      </c>
      <c r="M45" s="62"/>
      <c r="N45" s="62"/>
      <c r="O45" s="60" t="s">
        <v>433</v>
      </c>
      <c r="P45" s="59"/>
      <c r="Q45" s="59"/>
    </row>
    <row r="46" ht="22.5" customHeight="1">
      <c r="A46" s="59"/>
      <c r="B46" s="60" t="s">
        <v>434</v>
      </c>
      <c r="C46" s="59"/>
      <c r="D46" s="61" t="s">
        <v>34</v>
      </c>
      <c r="E46" s="61" t="s">
        <v>35</v>
      </c>
      <c r="F46" s="59" t="s">
        <v>18</v>
      </c>
      <c r="G46" s="62"/>
      <c r="H46" s="59" t="s">
        <v>20</v>
      </c>
      <c r="I46" s="61" t="s">
        <v>19</v>
      </c>
      <c r="J46" s="63" t="s">
        <v>21</v>
      </c>
      <c r="K46" s="61" t="s">
        <v>31</v>
      </c>
      <c r="L46" s="63" t="s">
        <v>22</v>
      </c>
      <c r="M46" s="61" t="s">
        <v>31</v>
      </c>
      <c r="N46" s="62"/>
      <c r="O46" s="60" t="s">
        <v>435</v>
      </c>
      <c r="P46" s="59"/>
      <c r="Q46" s="59"/>
    </row>
    <row r="47" ht="22.5" customHeight="1">
      <c r="A47" s="59"/>
      <c r="B47" s="60" t="s">
        <v>436</v>
      </c>
      <c r="C47" s="59"/>
      <c r="D47" s="61" t="s">
        <v>34</v>
      </c>
      <c r="E47" s="61" t="s">
        <v>30</v>
      </c>
      <c r="F47" s="59" t="s">
        <v>18</v>
      </c>
      <c r="G47" s="62"/>
      <c r="H47" s="59" t="s">
        <v>20</v>
      </c>
      <c r="I47" s="62"/>
      <c r="J47" s="63" t="s">
        <v>21</v>
      </c>
      <c r="K47" s="61" t="s">
        <v>31</v>
      </c>
      <c r="L47" s="63" t="s">
        <v>22</v>
      </c>
      <c r="M47" s="62"/>
      <c r="N47" s="62"/>
      <c r="O47" s="60" t="s">
        <v>437</v>
      </c>
      <c r="P47" s="59"/>
      <c r="Q47" s="59"/>
    </row>
    <row r="48" ht="22.5" customHeight="1">
      <c r="A48" s="59"/>
      <c r="B48" s="60" t="s">
        <v>438</v>
      </c>
      <c r="C48" s="59"/>
      <c r="D48" s="61" t="s">
        <v>16</v>
      </c>
      <c r="E48" s="61" t="s">
        <v>17</v>
      </c>
      <c r="F48" s="59" t="s">
        <v>18</v>
      </c>
      <c r="G48" s="61" t="s">
        <v>19</v>
      </c>
      <c r="H48" s="59" t="s">
        <v>20</v>
      </c>
      <c r="I48" s="61" t="s">
        <v>19</v>
      </c>
      <c r="J48" s="63" t="s">
        <v>21</v>
      </c>
      <c r="K48" s="61" t="s">
        <v>19</v>
      </c>
      <c r="L48" s="63" t="s">
        <v>22</v>
      </c>
      <c r="M48" s="61" t="s">
        <v>19</v>
      </c>
      <c r="N48" s="62"/>
      <c r="O48" s="60" t="s">
        <v>376</v>
      </c>
      <c r="P48" s="59"/>
      <c r="Q48" s="59"/>
    </row>
    <row r="49" ht="22.5" customHeight="1">
      <c r="A49" s="59"/>
      <c r="B49" s="60" t="s">
        <v>439</v>
      </c>
      <c r="C49" s="59"/>
      <c r="D49" s="61" t="s">
        <v>16</v>
      </c>
      <c r="E49" s="61" t="s">
        <v>17</v>
      </c>
      <c r="F49" s="59" t="s">
        <v>18</v>
      </c>
      <c r="G49" s="61" t="s">
        <v>19</v>
      </c>
      <c r="H49" s="59" t="s">
        <v>20</v>
      </c>
      <c r="I49" s="61" t="s">
        <v>19</v>
      </c>
      <c r="J49" s="63" t="s">
        <v>21</v>
      </c>
      <c r="K49" s="61" t="s">
        <v>19</v>
      </c>
      <c r="L49" s="63" t="s">
        <v>22</v>
      </c>
      <c r="M49" s="61" t="s">
        <v>19</v>
      </c>
      <c r="N49" s="62"/>
      <c r="O49" s="60" t="s">
        <v>376</v>
      </c>
      <c r="P49" s="59"/>
      <c r="Q49" s="59"/>
    </row>
    <row r="50" ht="22.5" customHeight="1">
      <c r="A50" s="59"/>
      <c r="B50" s="60" t="s">
        <v>440</v>
      </c>
      <c r="C50" s="59"/>
      <c r="D50" s="61" t="s">
        <v>16</v>
      </c>
      <c r="E50" s="61" t="s">
        <v>49</v>
      </c>
      <c r="F50" s="59" t="s">
        <v>18</v>
      </c>
      <c r="G50" s="61" t="s">
        <v>50</v>
      </c>
      <c r="H50" s="59" t="s">
        <v>20</v>
      </c>
      <c r="I50" s="61" t="s">
        <v>50</v>
      </c>
      <c r="J50" s="63" t="s">
        <v>21</v>
      </c>
      <c r="K50" s="61" t="s">
        <v>50</v>
      </c>
      <c r="L50" s="63" t="s">
        <v>22</v>
      </c>
      <c r="M50" s="61" t="s">
        <v>50</v>
      </c>
      <c r="N50" s="62"/>
      <c r="O50" s="60" t="s">
        <v>152</v>
      </c>
      <c r="P50" s="59"/>
      <c r="Q50" s="59"/>
    </row>
    <row r="51" ht="22.5" customHeight="1">
      <c r="A51" s="59"/>
      <c r="B51" s="60" t="s">
        <v>441</v>
      </c>
      <c r="C51" s="59"/>
      <c r="D51" s="61" t="s">
        <v>34</v>
      </c>
      <c r="E51" s="61" t="s">
        <v>40</v>
      </c>
      <c r="F51" s="59" t="s">
        <v>18</v>
      </c>
      <c r="G51" s="61" t="s">
        <v>19</v>
      </c>
      <c r="H51" s="59" t="s">
        <v>20</v>
      </c>
      <c r="I51" s="61" t="s">
        <v>19</v>
      </c>
      <c r="J51" s="63" t="s">
        <v>21</v>
      </c>
      <c r="K51" s="61" t="s">
        <v>31</v>
      </c>
      <c r="L51" s="63" t="s">
        <v>22</v>
      </c>
      <c r="M51" s="61" t="s">
        <v>19</v>
      </c>
      <c r="N51" s="62"/>
      <c r="O51" s="60" t="s">
        <v>442</v>
      </c>
      <c r="P51" s="59"/>
      <c r="Q51" s="59"/>
    </row>
    <row r="52" ht="22.5" customHeight="1">
      <c r="A52" s="59"/>
      <c r="B52" s="60" t="s">
        <v>443</v>
      </c>
      <c r="C52" s="59"/>
      <c r="D52" s="61" t="s">
        <v>16</v>
      </c>
      <c r="E52" s="61" t="s">
        <v>17</v>
      </c>
      <c r="F52" s="59" t="s">
        <v>18</v>
      </c>
      <c r="G52" s="61" t="s">
        <v>19</v>
      </c>
      <c r="H52" s="59" t="s">
        <v>20</v>
      </c>
      <c r="I52" s="61" t="s">
        <v>19</v>
      </c>
      <c r="J52" s="63" t="s">
        <v>21</v>
      </c>
      <c r="K52" s="61" t="s">
        <v>19</v>
      </c>
      <c r="L52" s="63" t="s">
        <v>22</v>
      </c>
      <c r="M52" s="61" t="s">
        <v>19</v>
      </c>
      <c r="N52" s="62"/>
      <c r="O52" s="60" t="s">
        <v>376</v>
      </c>
      <c r="P52" s="59"/>
      <c r="Q52" s="59"/>
    </row>
    <row r="53" ht="22.5" customHeight="1">
      <c r="A53" s="59"/>
      <c r="B53" s="60" t="s">
        <v>444</v>
      </c>
      <c r="C53" s="59"/>
      <c r="D53" s="61" t="s">
        <v>16</v>
      </c>
      <c r="E53" s="61" t="s">
        <v>419</v>
      </c>
      <c r="F53" s="59" t="s">
        <v>18</v>
      </c>
      <c r="G53" s="61" t="s">
        <v>19</v>
      </c>
      <c r="H53" s="59" t="s">
        <v>20</v>
      </c>
      <c r="I53" s="62"/>
      <c r="J53" s="63" t="s">
        <v>21</v>
      </c>
      <c r="K53" s="61" t="s">
        <v>19</v>
      </c>
      <c r="L53" s="63" t="s">
        <v>22</v>
      </c>
      <c r="M53" s="61" t="s">
        <v>19</v>
      </c>
      <c r="N53" s="62"/>
      <c r="O53" s="60" t="s">
        <v>445</v>
      </c>
      <c r="P53" s="59"/>
      <c r="Q53" s="59"/>
    </row>
    <row r="54" ht="22.5" customHeight="1">
      <c r="A54" s="59"/>
      <c r="B54" s="60" t="s">
        <v>446</v>
      </c>
      <c r="C54" s="59"/>
      <c r="D54" s="61" t="s">
        <v>34</v>
      </c>
      <c r="E54" s="61" t="s">
        <v>49</v>
      </c>
      <c r="F54" s="59" t="s">
        <v>18</v>
      </c>
      <c r="G54" s="61" t="s">
        <v>50</v>
      </c>
      <c r="H54" s="59" t="s">
        <v>20</v>
      </c>
      <c r="I54" s="61" t="s">
        <v>50</v>
      </c>
      <c r="J54" s="63" t="s">
        <v>21</v>
      </c>
      <c r="K54" s="61" t="s">
        <v>50</v>
      </c>
      <c r="L54" s="63" t="s">
        <v>22</v>
      </c>
      <c r="M54" s="61" t="s">
        <v>50</v>
      </c>
      <c r="N54" s="62"/>
      <c r="O54" s="60" t="s">
        <v>447</v>
      </c>
      <c r="P54" s="59"/>
      <c r="Q54" s="59"/>
    </row>
    <row r="55" ht="22.5" customHeight="1">
      <c r="A55" s="59"/>
      <c r="B55" s="60" t="s">
        <v>448</v>
      </c>
      <c r="C55" s="59"/>
      <c r="D55" s="61" t="s">
        <v>16</v>
      </c>
      <c r="E55" s="61" t="s">
        <v>17</v>
      </c>
      <c r="F55" s="59" t="s">
        <v>18</v>
      </c>
      <c r="G55" s="61" t="s">
        <v>19</v>
      </c>
      <c r="H55" s="59" t="s">
        <v>20</v>
      </c>
      <c r="I55" s="61" t="s">
        <v>19</v>
      </c>
      <c r="J55" s="63" t="s">
        <v>21</v>
      </c>
      <c r="K55" s="61" t="s">
        <v>19</v>
      </c>
      <c r="L55" s="63" t="s">
        <v>22</v>
      </c>
      <c r="M55" s="61" t="s">
        <v>19</v>
      </c>
      <c r="N55" s="62"/>
      <c r="O55" s="60" t="s">
        <v>376</v>
      </c>
      <c r="P55" s="59"/>
      <c r="Q55" s="59"/>
    </row>
    <row r="56" ht="22.5" customHeight="1">
      <c r="A56" s="59"/>
      <c r="B56" s="60" t="s">
        <v>449</v>
      </c>
      <c r="C56" s="59"/>
      <c r="D56" s="61" t="s">
        <v>34</v>
      </c>
      <c r="E56" s="61" t="s">
        <v>409</v>
      </c>
      <c r="F56" s="59" t="s">
        <v>18</v>
      </c>
      <c r="G56" s="62"/>
      <c r="H56" s="59" t="s">
        <v>20</v>
      </c>
      <c r="I56" s="62"/>
      <c r="J56" s="63" t="s">
        <v>21</v>
      </c>
      <c r="K56" s="61" t="s">
        <v>31</v>
      </c>
      <c r="L56" s="63" t="s">
        <v>22</v>
      </c>
      <c r="M56" s="62"/>
      <c r="N56" s="62"/>
      <c r="O56" s="60" t="s">
        <v>450</v>
      </c>
      <c r="P56" s="59"/>
      <c r="Q56" s="59"/>
    </row>
    <row r="57" ht="22.5" customHeight="1">
      <c r="A57" s="59"/>
      <c r="B57" s="60" t="s">
        <v>451</v>
      </c>
      <c r="C57" s="59"/>
      <c r="D57" s="62"/>
      <c r="E57" s="61" t="s">
        <v>49</v>
      </c>
      <c r="F57" s="59" t="s">
        <v>18</v>
      </c>
      <c r="G57" s="61" t="s">
        <v>50</v>
      </c>
      <c r="H57" s="59" t="s">
        <v>20</v>
      </c>
      <c r="I57" s="61" t="s">
        <v>50</v>
      </c>
      <c r="J57" s="60" t="s">
        <v>50</v>
      </c>
      <c r="K57" s="61" t="s">
        <v>50</v>
      </c>
      <c r="L57" s="63" t="s">
        <v>22</v>
      </c>
      <c r="M57" s="62"/>
      <c r="N57" s="62"/>
      <c r="O57" s="60" t="s">
        <v>452</v>
      </c>
      <c r="P57" s="59"/>
      <c r="Q57" s="59"/>
    </row>
    <row r="58" ht="22.5" customHeight="1">
      <c r="A58" s="59"/>
      <c r="B58" s="60" t="s">
        <v>453</v>
      </c>
      <c r="C58" s="59"/>
      <c r="D58" s="61" t="s">
        <v>16</v>
      </c>
      <c r="E58" s="61" t="s">
        <v>17</v>
      </c>
      <c r="F58" s="59" t="s">
        <v>18</v>
      </c>
      <c r="G58" s="61" t="s">
        <v>19</v>
      </c>
      <c r="H58" s="59" t="s">
        <v>20</v>
      </c>
      <c r="I58" s="61" t="s">
        <v>19</v>
      </c>
      <c r="J58" s="63" t="s">
        <v>21</v>
      </c>
      <c r="K58" s="61" t="s">
        <v>19</v>
      </c>
      <c r="L58" s="63" t="s">
        <v>22</v>
      </c>
      <c r="M58" s="61" t="s">
        <v>19</v>
      </c>
      <c r="N58" s="62"/>
      <c r="O58" s="60" t="s">
        <v>376</v>
      </c>
      <c r="P58" s="59"/>
      <c r="Q58" s="59"/>
    </row>
    <row r="59" ht="22.5" customHeight="1">
      <c r="A59" s="59"/>
      <c r="B59" s="60" t="s">
        <v>454</v>
      </c>
      <c r="C59" s="59"/>
      <c r="D59" s="61" t="s">
        <v>16</v>
      </c>
      <c r="E59" s="61" t="s">
        <v>49</v>
      </c>
      <c r="F59" s="59" t="s">
        <v>18</v>
      </c>
      <c r="G59" s="61" t="s">
        <v>50</v>
      </c>
      <c r="H59" s="59" t="s">
        <v>20</v>
      </c>
      <c r="I59" s="61" t="s">
        <v>50</v>
      </c>
      <c r="J59" s="63" t="s">
        <v>21</v>
      </c>
      <c r="K59" s="61" t="s">
        <v>50</v>
      </c>
      <c r="L59" s="63" t="s">
        <v>22</v>
      </c>
      <c r="M59" s="61" t="s">
        <v>50</v>
      </c>
      <c r="N59" s="62"/>
      <c r="O59" s="60" t="s">
        <v>152</v>
      </c>
      <c r="P59" s="59"/>
      <c r="Q59" s="59"/>
    </row>
    <row r="60" ht="22.5" customHeight="1">
      <c r="A60" s="59"/>
      <c r="B60" s="60" t="s">
        <v>455</v>
      </c>
      <c r="C60" s="59"/>
      <c r="D60" s="61" t="s">
        <v>34</v>
      </c>
      <c r="E60" s="61" t="s">
        <v>40</v>
      </c>
      <c r="F60" s="59" t="s">
        <v>18</v>
      </c>
      <c r="G60" s="61" t="s">
        <v>19</v>
      </c>
      <c r="H60" s="59" t="s">
        <v>20</v>
      </c>
      <c r="I60" s="61" t="s">
        <v>19</v>
      </c>
      <c r="J60" s="63" t="s">
        <v>21</v>
      </c>
      <c r="K60" s="61" t="s">
        <v>19</v>
      </c>
      <c r="L60" s="63" t="s">
        <v>22</v>
      </c>
      <c r="M60" s="61" t="s">
        <v>31</v>
      </c>
      <c r="N60" s="62"/>
      <c r="O60" s="60" t="s">
        <v>456</v>
      </c>
      <c r="P60" s="59"/>
      <c r="Q60" s="59"/>
    </row>
    <row r="61" ht="22.5" customHeight="1">
      <c r="A61" s="59"/>
      <c r="B61" s="60" t="s">
        <v>457</v>
      </c>
      <c r="C61" s="59"/>
      <c r="D61" s="61" t="s">
        <v>16</v>
      </c>
      <c r="E61" s="61" t="s">
        <v>17</v>
      </c>
      <c r="F61" s="59" t="s">
        <v>18</v>
      </c>
      <c r="G61" s="61" t="s">
        <v>19</v>
      </c>
      <c r="H61" s="59" t="s">
        <v>20</v>
      </c>
      <c r="I61" s="61" t="s">
        <v>19</v>
      </c>
      <c r="J61" s="63" t="s">
        <v>21</v>
      </c>
      <c r="K61" s="61" t="s">
        <v>19</v>
      </c>
      <c r="L61" s="63" t="s">
        <v>22</v>
      </c>
      <c r="M61" s="61" t="s">
        <v>19</v>
      </c>
      <c r="N61" s="62"/>
      <c r="O61" s="60" t="s">
        <v>376</v>
      </c>
      <c r="P61" s="59"/>
      <c r="Q61" s="59"/>
    </row>
    <row r="62" ht="22.5" customHeight="1">
      <c r="A62" s="59"/>
      <c r="B62" s="60" t="s">
        <v>458</v>
      </c>
      <c r="C62" s="59"/>
      <c r="D62" s="61" t="s">
        <v>34</v>
      </c>
      <c r="E62" s="61" t="s">
        <v>40</v>
      </c>
      <c r="F62" s="59" t="s">
        <v>18</v>
      </c>
      <c r="G62" s="61" t="s">
        <v>19</v>
      </c>
      <c r="H62" s="59" t="s">
        <v>20</v>
      </c>
      <c r="I62" s="61" t="s">
        <v>19</v>
      </c>
      <c r="J62" s="63" t="s">
        <v>21</v>
      </c>
      <c r="K62" s="61" t="s">
        <v>19</v>
      </c>
      <c r="L62" s="63" t="s">
        <v>22</v>
      </c>
      <c r="M62" s="61" t="s">
        <v>26</v>
      </c>
      <c r="N62" s="62"/>
      <c r="O62" s="60" t="s">
        <v>459</v>
      </c>
      <c r="P62" s="59"/>
      <c r="Q62" s="59"/>
    </row>
    <row r="63" ht="22.5" customHeight="1">
      <c r="A63" s="59"/>
      <c r="B63" s="60" t="s">
        <v>460</v>
      </c>
      <c r="C63" s="59"/>
      <c r="D63" s="61" t="s">
        <v>16</v>
      </c>
      <c r="E63" s="61" t="s">
        <v>49</v>
      </c>
      <c r="F63" s="59" t="s">
        <v>18</v>
      </c>
      <c r="G63" s="61" t="s">
        <v>50</v>
      </c>
      <c r="H63" s="59" t="s">
        <v>20</v>
      </c>
      <c r="I63" s="61" t="s">
        <v>50</v>
      </c>
      <c r="J63" s="63" t="s">
        <v>21</v>
      </c>
      <c r="K63" s="61" t="s">
        <v>50</v>
      </c>
      <c r="L63" s="63" t="s">
        <v>22</v>
      </c>
      <c r="M63" s="61" t="s">
        <v>50</v>
      </c>
      <c r="N63" s="62"/>
      <c r="O63" s="60" t="s">
        <v>152</v>
      </c>
      <c r="P63" s="59"/>
      <c r="Q63" s="59"/>
    </row>
    <row r="64" ht="22.5" customHeight="1">
      <c r="A64" s="69" t="s">
        <v>461</v>
      </c>
      <c r="B64" s="60" t="s">
        <v>462</v>
      </c>
      <c r="C64" s="59"/>
      <c r="D64" s="61" t="s">
        <v>34</v>
      </c>
      <c r="E64" s="61" t="s">
        <v>49</v>
      </c>
      <c r="F64" s="59" t="s">
        <v>18</v>
      </c>
      <c r="G64" s="61" t="s">
        <v>50</v>
      </c>
      <c r="H64" s="59" t="s">
        <v>20</v>
      </c>
      <c r="I64" s="61" t="s">
        <v>50</v>
      </c>
      <c r="J64" s="63" t="s">
        <v>21</v>
      </c>
      <c r="K64" s="61" t="s">
        <v>50</v>
      </c>
      <c r="L64" s="63" t="s">
        <v>22</v>
      </c>
      <c r="M64" s="61" t="s">
        <v>50</v>
      </c>
      <c r="N64" s="62"/>
      <c r="O64" s="60" t="s">
        <v>463</v>
      </c>
      <c r="P64" s="59"/>
      <c r="Q64" s="59"/>
    </row>
    <row r="65" ht="22.5" customHeight="1">
      <c r="A65" s="59"/>
      <c r="B65" s="65" t="s">
        <v>464</v>
      </c>
      <c r="C65" s="59"/>
      <c r="D65" s="61" t="s">
        <v>34</v>
      </c>
      <c r="E65" s="61" t="s">
        <v>30</v>
      </c>
      <c r="F65" s="59" t="s">
        <v>18</v>
      </c>
      <c r="G65" s="61" t="s">
        <v>19</v>
      </c>
      <c r="H65" s="59" t="s">
        <v>20</v>
      </c>
      <c r="I65" s="61" t="s">
        <v>26</v>
      </c>
      <c r="J65" s="63" t="s">
        <v>21</v>
      </c>
      <c r="K65" s="62"/>
      <c r="L65" s="63" t="s">
        <v>22</v>
      </c>
      <c r="M65" s="61" t="s">
        <v>31</v>
      </c>
      <c r="N65" s="62"/>
      <c r="O65" s="60" t="s">
        <v>465</v>
      </c>
      <c r="P65" s="59"/>
      <c r="Q65" s="59"/>
    </row>
    <row r="66" ht="22.5" customHeight="1">
      <c r="A66" s="59"/>
      <c r="B66" s="60" t="s">
        <v>466</v>
      </c>
      <c r="C66" s="59"/>
      <c r="D66" s="61" t="s">
        <v>34</v>
      </c>
      <c r="E66" s="61" t="s">
        <v>40</v>
      </c>
      <c r="F66" s="59" t="s">
        <v>18</v>
      </c>
      <c r="G66" s="61" t="s">
        <v>19</v>
      </c>
      <c r="H66" s="59" t="s">
        <v>20</v>
      </c>
      <c r="I66" s="61" t="s">
        <v>31</v>
      </c>
      <c r="J66" s="63" t="s">
        <v>21</v>
      </c>
      <c r="K66" s="61" t="s">
        <v>19</v>
      </c>
      <c r="L66" s="63" t="s">
        <v>22</v>
      </c>
      <c r="M66" s="61" t="s">
        <v>19</v>
      </c>
      <c r="N66" s="62"/>
      <c r="O66" s="60" t="s">
        <v>467</v>
      </c>
      <c r="P66" s="59"/>
      <c r="Q66" s="59"/>
    </row>
    <row r="67" ht="22.5" customHeight="1">
      <c r="A67" s="59"/>
      <c r="B67" s="60" t="s">
        <v>468</v>
      </c>
      <c r="C67" s="59"/>
      <c r="D67" s="61" t="s">
        <v>16</v>
      </c>
      <c r="E67" s="61" t="s">
        <v>17</v>
      </c>
      <c r="F67" s="59" t="s">
        <v>18</v>
      </c>
      <c r="G67" s="61" t="s">
        <v>19</v>
      </c>
      <c r="H67" s="59" t="s">
        <v>20</v>
      </c>
      <c r="I67" s="61" t="s">
        <v>19</v>
      </c>
      <c r="J67" s="63" t="s">
        <v>21</v>
      </c>
      <c r="K67" s="61" t="s">
        <v>19</v>
      </c>
      <c r="L67" s="63" t="s">
        <v>22</v>
      </c>
      <c r="M67" s="61" t="s">
        <v>19</v>
      </c>
      <c r="N67" s="62"/>
      <c r="O67" s="60" t="s">
        <v>376</v>
      </c>
      <c r="P67" s="59"/>
      <c r="Q67" s="59"/>
    </row>
    <row r="68" ht="22.5" customHeight="1">
      <c r="A68" s="59"/>
      <c r="B68" s="60" t="s">
        <v>469</v>
      </c>
      <c r="C68" s="59"/>
      <c r="D68" s="61" t="s">
        <v>16</v>
      </c>
      <c r="E68" s="61" t="s">
        <v>49</v>
      </c>
      <c r="F68" s="59" t="s">
        <v>18</v>
      </c>
      <c r="G68" s="61" t="s">
        <v>50</v>
      </c>
      <c r="H68" s="59" t="s">
        <v>20</v>
      </c>
      <c r="I68" s="61" t="s">
        <v>50</v>
      </c>
      <c r="J68" s="63" t="s">
        <v>21</v>
      </c>
      <c r="K68" s="61" t="s">
        <v>50</v>
      </c>
      <c r="L68" s="63" t="s">
        <v>22</v>
      </c>
      <c r="M68" s="61" t="s">
        <v>50</v>
      </c>
      <c r="N68" s="62"/>
      <c r="O68" s="60" t="s">
        <v>470</v>
      </c>
      <c r="P68" s="59"/>
      <c r="Q68" s="59"/>
    </row>
    <row r="69" ht="22.5" customHeight="1">
      <c r="A69" s="59"/>
      <c r="B69" s="70" t="s">
        <v>471</v>
      </c>
      <c r="C69" s="59"/>
      <c r="D69" s="62"/>
      <c r="E69" s="61" t="s">
        <v>30</v>
      </c>
      <c r="F69" s="59" t="s">
        <v>18</v>
      </c>
      <c r="G69" s="62"/>
      <c r="H69" s="59" t="s">
        <v>20</v>
      </c>
      <c r="I69" s="62"/>
      <c r="J69" s="63" t="s">
        <v>21</v>
      </c>
      <c r="K69" s="62"/>
      <c r="L69" s="63" t="s">
        <v>22</v>
      </c>
      <c r="M69" s="62"/>
      <c r="N69" s="62"/>
      <c r="O69" s="60" t="s">
        <v>472</v>
      </c>
      <c r="P69" s="59"/>
      <c r="Q69" s="59"/>
    </row>
    <row r="70" ht="22.5" customHeight="1">
      <c r="A70" s="71"/>
      <c r="B70" s="60" t="s">
        <v>473</v>
      </c>
      <c r="C70" s="59"/>
      <c r="D70" s="61" t="s">
        <v>16</v>
      </c>
      <c r="E70" s="61" t="s">
        <v>25</v>
      </c>
      <c r="F70" s="59" t="s">
        <v>18</v>
      </c>
      <c r="G70" s="62"/>
      <c r="H70" s="59" t="s">
        <v>20</v>
      </c>
      <c r="I70" s="61" t="s">
        <v>19</v>
      </c>
      <c r="J70" s="63" t="s">
        <v>21</v>
      </c>
      <c r="K70" s="62"/>
      <c r="L70" s="63" t="s">
        <v>22</v>
      </c>
      <c r="M70" s="61" t="s">
        <v>19</v>
      </c>
      <c r="N70" s="62"/>
      <c r="O70" s="60" t="s">
        <v>376</v>
      </c>
      <c r="P70" s="59"/>
      <c r="Q70" s="59"/>
    </row>
    <row r="71" ht="22.5" customHeight="1">
      <c r="A71" s="59"/>
      <c r="B71" s="60" t="s">
        <v>474</v>
      </c>
      <c r="C71" s="59"/>
      <c r="D71" s="61" t="s">
        <v>16</v>
      </c>
      <c r="E71" s="61" t="s">
        <v>49</v>
      </c>
      <c r="F71" s="59" t="s">
        <v>18</v>
      </c>
      <c r="G71" s="61" t="s">
        <v>50</v>
      </c>
      <c r="H71" s="59" t="s">
        <v>20</v>
      </c>
      <c r="I71" s="61" t="s">
        <v>50</v>
      </c>
      <c r="J71" s="63" t="s">
        <v>21</v>
      </c>
      <c r="K71" s="61" t="s">
        <v>50</v>
      </c>
      <c r="L71" s="63" t="s">
        <v>22</v>
      </c>
      <c r="M71" s="61" t="s">
        <v>50</v>
      </c>
      <c r="N71" s="62"/>
      <c r="O71" s="60" t="s">
        <v>475</v>
      </c>
      <c r="P71" s="59"/>
      <c r="Q71" s="59"/>
    </row>
    <row r="72" ht="22.5" customHeight="1">
      <c r="A72" s="59"/>
      <c r="B72" s="60" t="s">
        <v>476</v>
      </c>
      <c r="C72" s="59"/>
      <c r="D72" s="61" t="s">
        <v>34</v>
      </c>
      <c r="E72" s="61" t="s">
        <v>30</v>
      </c>
      <c r="F72" s="59" t="s">
        <v>18</v>
      </c>
      <c r="G72" s="62"/>
      <c r="H72" s="59" t="s">
        <v>20</v>
      </c>
      <c r="I72" s="62"/>
      <c r="J72" s="63" t="s">
        <v>21</v>
      </c>
      <c r="K72" s="62"/>
      <c r="L72" s="63" t="s">
        <v>22</v>
      </c>
      <c r="M72" s="61" t="s">
        <v>31</v>
      </c>
      <c r="N72" s="62"/>
      <c r="O72" s="60" t="s">
        <v>477</v>
      </c>
      <c r="P72" s="59"/>
      <c r="Q72" s="59"/>
    </row>
    <row r="73" ht="22.5" customHeight="1">
      <c r="A73" s="59"/>
      <c r="B73" s="60" t="s">
        <v>478</v>
      </c>
      <c r="C73" s="59"/>
      <c r="D73" s="61" t="s">
        <v>16</v>
      </c>
      <c r="E73" s="61" t="s">
        <v>49</v>
      </c>
      <c r="F73" s="59" t="s">
        <v>18</v>
      </c>
      <c r="G73" s="61" t="s">
        <v>50</v>
      </c>
      <c r="H73" s="59" t="s">
        <v>20</v>
      </c>
      <c r="I73" s="61" t="s">
        <v>50</v>
      </c>
      <c r="J73" s="63" t="s">
        <v>21</v>
      </c>
      <c r="K73" s="61" t="s">
        <v>50</v>
      </c>
      <c r="L73" s="63" t="s">
        <v>22</v>
      </c>
      <c r="M73" s="61" t="s">
        <v>50</v>
      </c>
      <c r="N73" s="62"/>
      <c r="O73" s="60" t="s">
        <v>479</v>
      </c>
      <c r="P73" s="59"/>
      <c r="Q73" s="59"/>
    </row>
    <row r="74" ht="22.5" customHeight="1">
      <c r="A74" s="59"/>
      <c r="B74" s="60" t="s">
        <v>480</v>
      </c>
      <c r="C74" s="59"/>
      <c r="D74" s="61" t="s">
        <v>16</v>
      </c>
      <c r="E74" s="61" t="s">
        <v>49</v>
      </c>
      <c r="F74" s="59" t="s">
        <v>18</v>
      </c>
      <c r="G74" s="61" t="s">
        <v>50</v>
      </c>
      <c r="H74" s="59" t="s">
        <v>20</v>
      </c>
      <c r="I74" s="61" t="s">
        <v>50</v>
      </c>
      <c r="J74" s="63" t="s">
        <v>21</v>
      </c>
      <c r="K74" s="61" t="s">
        <v>50</v>
      </c>
      <c r="L74" s="63" t="s">
        <v>22</v>
      </c>
      <c r="M74" s="61" t="s">
        <v>50</v>
      </c>
      <c r="N74" s="62"/>
      <c r="O74" s="60" t="s">
        <v>481</v>
      </c>
      <c r="P74" s="59"/>
      <c r="Q74" s="59"/>
    </row>
    <row r="75" ht="22.5" customHeight="1">
      <c r="A75" s="59"/>
      <c r="B75" s="60" t="s">
        <v>482</v>
      </c>
      <c r="C75" s="59"/>
      <c r="D75" s="61" t="s">
        <v>16</v>
      </c>
      <c r="E75" s="61" t="s">
        <v>17</v>
      </c>
      <c r="F75" s="59" t="s">
        <v>18</v>
      </c>
      <c r="G75" s="61" t="s">
        <v>19</v>
      </c>
      <c r="H75" s="59" t="s">
        <v>20</v>
      </c>
      <c r="I75" s="61" t="s">
        <v>19</v>
      </c>
      <c r="J75" s="63" t="s">
        <v>21</v>
      </c>
      <c r="K75" s="61" t="s">
        <v>19</v>
      </c>
      <c r="L75" s="63" t="s">
        <v>22</v>
      </c>
      <c r="M75" s="61" t="s">
        <v>19</v>
      </c>
      <c r="N75" s="62"/>
      <c r="O75" s="60" t="s">
        <v>376</v>
      </c>
      <c r="P75" s="59"/>
      <c r="Q75" s="59"/>
    </row>
    <row r="76" ht="22.5" customHeight="1">
      <c r="A76" s="59"/>
      <c r="B76" s="60" t="s">
        <v>483</v>
      </c>
      <c r="C76" s="59"/>
      <c r="D76" s="61" t="s">
        <v>34</v>
      </c>
      <c r="E76" s="61" t="s">
        <v>40</v>
      </c>
      <c r="F76" s="59" t="s">
        <v>18</v>
      </c>
      <c r="G76" s="61" t="s">
        <v>31</v>
      </c>
      <c r="H76" s="59" t="s">
        <v>20</v>
      </c>
      <c r="I76" s="61" t="s">
        <v>19</v>
      </c>
      <c r="J76" s="63" t="s">
        <v>21</v>
      </c>
      <c r="K76" s="61" t="s">
        <v>19</v>
      </c>
      <c r="L76" s="63" t="s">
        <v>22</v>
      </c>
      <c r="M76" s="61" t="s">
        <v>26</v>
      </c>
      <c r="N76" s="62"/>
      <c r="O76" s="60" t="s">
        <v>374</v>
      </c>
      <c r="P76" s="59"/>
      <c r="Q76" s="59"/>
    </row>
    <row r="77" ht="22.5" customHeight="1">
      <c r="A77" s="59"/>
      <c r="B77" s="60" t="s">
        <v>484</v>
      </c>
      <c r="C77" s="59"/>
      <c r="D77" s="61" t="s">
        <v>16</v>
      </c>
      <c r="E77" s="61" t="s">
        <v>17</v>
      </c>
      <c r="F77" s="59" t="s">
        <v>18</v>
      </c>
      <c r="G77" s="61" t="s">
        <v>19</v>
      </c>
      <c r="H77" s="59" t="s">
        <v>20</v>
      </c>
      <c r="I77" s="61" t="s">
        <v>19</v>
      </c>
      <c r="J77" s="63" t="s">
        <v>21</v>
      </c>
      <c r="K77" s="61" t="s">
        <v>19</v>
      </c>
      <c r="L77" s="63" t="s">
        <v>22</v>
      </c>
      <c r="M77" s="61" t="s">
        <v>19</v>
      </c>
      <c r="N77" s="62"/>
      <c r="O77" s="60"/>
      <c r="P77" s="59"/>
      <c r="Q77" s="59"/>
    </row>
    <row r="78" ht="22.5" customHeight="1">
      <c r="A78" s="59"/>
      <c r="B78" s="60" t="s">
        <v>485</v>
      </c>
      <c r="C78" s="59"/>
      <c r="D78" s="61" t="s">
        <v>16</v>
      </c>
      <c r="E78" s="61" t="s">
        <v>17</v>
      </c>
      <c r="F78" s="59" t="s">
        <v>18</v>
      </c>
      <c r="G78" s="61" t="s">
        <v>19</v>
      </c>
      <c r="H78" s="59" t="s">
        <v>20</v>
      </c>
      <c r="I78" s="61" t="s">
        <v>19</v>
      </c>
      <c r="J78" s="63" t="s">
        <v>21</v>
      </c>
      <c r="K78" s="61" t="s">
        <v>19</v>
      </c>
      <c r="L78" s="63" t="s">
        <v>22</v>
      </c>
      <c r="M78" s="61" t="s">
        <v>19</v>
      </c>
      <c r="N78" s="62"/>
      <c r="O78" s="60" t="s">
        <v>376</v>
      </c>
      <c r="P78" s="59"/>
      <c r="Q78" s="59"/>
    </row>
    <row r="79" ht="22.5" customHeight="1">
      <c r="D79" s="66"/>
      <c r="E79" s="66"/>
      <c r="G79" s="66"/>
      <c r="I79" s="66"/>
      <c r="K79" s="66"/>
      <c r="M79" s="66"/>
      <c r="N79" s="66"/>
    </row>
    <row r="80" ht="22.5" customHeight="1">
      <c r="D80" s="66"/>
      <c r="E80" s="66"/>
      <c r="G80" s="66"/>
      <c r="I80" s="66"/>
      <c r="K80" s="66"/>
      <c r="M80" s="66"/>
      <c r="N80" s="66"/>
    </row>
    <row r="81" ht="22.5" customHeight="1">
      <c r="D81" s="66"/>
      <c r="E81" s="66"/>
      <c r="G81" s="66"/>
      <c r="I81" s="66"/>
      <c r="K81" s="66"/>
      <c r="M81" s="66"/>
      <c r="N81" s="66"/>
    </row>
    <row r="82" ht="22.5" customHeight="1">
      <c r="D82" s="66"/>
      <c r="E82" s="66"/>
      <c r="G82" s="66"/>
      <c r="I82" s="66"/>
      <c r="K82" s="66"/>
      <c r="M82" s="66"/>
      <c r="N82" s="66"/>
    </row>
    <row r="83" ht="22.5" customHeight="1">
      <c r="D83" s="66"/>
      <c r="E83" s="66"/>
      <c r="G83" s="66"/>
      <c r="I83" s="66"/>
      <c r="K83" s="66"/>
      <c r="M83" s="66"/>
      <c r="N83" s="66"/>
    </row>
    <row r="84" ht="22.5" customHeight="1">
      <c r="D84" s="66"/>
      <c r="E84" s="66"/>
      <c r="G84" s="66"/>
      <c r="I84" s="66"/>
      <c r="K84" s="66"/>
      <c r="M84" s="66"/>
      <c r="N84" s="66"/>
    </row>
    <row r="85" ht="22.5" customHeight="1">
      <c r="D85" s="66"/>
      <c r="E85" s="66"/>
      <c r="G85" s="66"/>
      <c r="I85" s="66"/>
      <c r="K85" s="66"/>
      <c r="M85" s="66"/>
      <c r="N85" s="66"/>
    </row>
    <row r="86" ht="22.5" customHeight="1">
      <c r="D86" s="66"/>
      <c r="E86" s="66"/>
      <c r="G86" s="66"/>
      <c r="I86" s="66"/>
      <c r="K86" s="66"/>
      <c r="M86" s="66"/>
      <c r="N86" s="66"/>
    </row>
    <row r="87" ht="22.5" customHeight="1">
      <c r="A87" s="59"/>
      <c r="D87" s="66"/>
      <c r="E87" s="66"/>
      <c r="G87" s="66"/>
      <c r="I87" s="66"/>
      <c r="K87" s="66"/>
      <c r="M87" s="66"/>
      <c r="N87" s="66"/>
      <c r="Q87" s="59"/>
    </row>
    <row r="88" ht="22.5" customHeight="1">
      <c r="D88" s="66"/>
      <c r="E88" s="66"/>
      <c r="G88" s="66"/>
      <c r="I88" s="66"/>
      <c r="K88" s="66"/>
      <c r="M88" s="66"/>
      <c r="N88" s="62"/>
      <c r="O88" s="60" t="s">
        <v>376</v>
      </c>
      <c r="P88" s="59"/>
      <c r="Q88" s="59"/>
    </row>
    <row r="89" ht="22.5" customHeight="1">
      <c r="D89" s="66"/>
      <c r="E89" s="66"/>
      <c r="G89" s="66"/>
      <c r="I89" s="66"/>
      <c r="K89" s="66"/>
      <c r="M89" s="66"/>
      <c r="N89" s="66"/>
      <c r="Q89" s="59"/>
    </row>
  </sheetData>
  <dataValidations>
    <dataValidation type="list" allowBlank="1" sqref="E2:E89">
      <formula1>"Contacted,Awaiting Response,Closed - Won,Closed - Lost,Call not Recieved,Referred to,Awaiting payment,international num ,form filled,enroll in next batch,demo "</formula1>
    </dataValidation>
    <dataValidation type="list" allowBlank="1" sqref="D2:D89">
      <formula1>"Call Attended,Not Attended"</formula1>
    </dataValidation>
    <dataValidation type="list" allowBlank="1" sqref="G2:G89 I2:I89 K2:K89 M2:M89">
      <formula1>"Call Recieved,Not Recieved,Please Call later,Not attempted,Client lost"</formula1>
    </dataValidation>
    <dataValidation type="list" allowBlank="1" sqref="N2:N89">
      <formula1>"non qualified,qualified"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s>
  <sheetData>
    <row r="1">
      <c r="A1" s="72" t="s">
        <v>486</v>
      </c>
      <c r="B1" s="72" t="s">
        <v>487</v>
      </c>
    </row>
    <row r="2">
      <c r="A2" s="72" t="s">
        <v>260</v>
      </c>
      <c r="B2" s="72" t="s">
        <v>261</v>
      </c>
    </row>
    <row r="3">
      <c r="A3" s="72" t="s">
        <v>220</v>
      </c>
      <c r="B3" s="72" t="s">
        <v>221</v>
      </c>
    </row>
    <row r="4">
      <c r="A4" s="72" t="s">
        <v>280</v>
      </c>
      <c r="B4" s="72" t="s">
        <v>281</v>
      </c>
    </row>
    <row r="5">
      <c r="A5" s="72" t="s">
        <v>488</v>
      </c>
      <c r="B5" s="72" t="s">
        <v>174</v>
      </c>
    </row>
    <row r="6">
      <c r="A6" s="72" t="s">
        <v>184</v>
      </c>
      <c r="B6" s="72" t="s">
        <v>185</v>
      </c>
    </row>
    <row r="7">
      <c r="A7" s="72" t="s">
        <v>201</v>
      </c>
      <c r="B7" s="72" t="s">
        <v>202</v>
      </c>
    </row>
    <row r="8">
      <c r="A8" s="72" t="s">
        <v>489</v>
      </c>
      <c r="B8" s="72" t="s">
        <v>205</v>
      </c>
    </row>
    <row r="9">
      <c r="A9" s="72" t="s">
        <v>286</v>
      </c>
      <c r="B9" s="72" t="s">
        <v>287</v>
      </c>
    </row>
    <row r="10">
      <c r="A10" s="72" t="s">
        <v>270</v>
      </c>
      <c r="B10" s="72" t="s">
        <v>271</v>
      </c>
    </row>
    <row r="11">
      <c r="A11" s="72" t="s">
        <v>248</v>
      </c>
      <c r="B11" s="72" t="s">
        <v>278</v>
      </c>
    </row>
    <row r="12">
      <c r="A12" s="72" t="s">
        <v>490</v>
      </c>
      <c r="B12" s="72" t="s">
        <v>326</v>
      </c>
    </row>
    <row r="13">
      <c r="A13" s="72" t="s">
        <v>300</v>
      </c>
      <c r="B13" s="72" t="s">
        <v>301</v>
      </c>
    </row>
    <row r="14">
      <c r="A14" s="72" t="s">
        <v>491</v>
      </c>
      <c r="B14" s="72" t="s">
        <v>336</v>
      </c>
    </row>
    <row r="15">
      <c r="A15" s="72" t="s">
        <v>349</v>
      </c>
      <c r="B15" s="72" t="s">
        <v>350</v>
      </c>
    </row>
    <row r="16">
      <c r="A16" s="72" t="s">
        <v>177</v>
      </c>
      <c r="B16" s="72" t="s">
        <v>178</v>
      </c>
    </row>
    <row r="17">
      <c r="A17" s="72" t="s">
        <v>283</v>
      </c>
      <c r="B17" s="72" t="s">
        <v>284</v>
      </c>
    </row>
    <row r="18">
      <c r="A18" s="72" t="s">
        <v>197</v>
      </c>
      <c r="B18" s="72" t="s">
        <v>198</v>
      </c>
    </row>
    <row r="19">
      <c r="A19" s="72" t="s">
        <v>306</v>
      </c>
      <c r="B19" s="72" t="s">
        <v>307</v>
      </c>
    </row>
    <row r="20">
      <c r="A20" s="72" t="s">
        <v>492</v>
      </c>
      <c r="B20" s="72" t="s">
        <v>156</v>
      </c>
    </row>
    <row r="21">
      <c r="A21" s="72" t="s">
        <v>241</v>
      </c>
      <c r="B21" s="72" t="s">
        <v>242</v>
      </c>
    </row>
    <row r="22">
      <c r="A22" s="72" t="s">
        <v>244</v>
      </c>
      <c r="B22" s="72" t="s">
        <v>245</v>
      </c>
    </row>
    <row r="23">
      <c r="A23" s="72" t="s">
        <v>181</v>
      </c>
      <c r="B23" s="72" t="s">
        <v>182</v>
      </c>
    </row>
    <row r="24">
      <c r="A24" s="72" t="s">
        <v>493</v>
      </c>
      <c r="B24" s="72" t="s">
        <v>251</v>
      </c>
    </row>
    <row r="25">
      <c r="A25" s="72" t="s">
        <v>257</v>
      </c>
      <c r="B25" s="72" t="s">
        <v>258</v>
      </c>
    </row>
    <row r="26">
      <c r="A26" s="72" t="s">
        <v>213</v>
      </c>
      <c r="B26" s="72" t="s">
        <v>214</v>
      </c>
    </row>
    <row r="27">
      <c r="A27" s="72" t="s">
        <v>224</v>
      </c>
      <c r="B27" s="72" t="s">
        <v>225</v>
      </c>
    </row>
    <row r="28">
      <c r="A28" s="72" t="s">
        <v>312</v>
      </c>
      <c r="B28" s="72" t="s">
        <v>313</v>
      </c>
    </row>
    <row r="29">
      <c r="A29" s="72" t="s">
        <v>494</v>
      </c>
      <c r="B29" s="72" t="s">
        <v>290</v>
      </c>
    </row>
    <row r="30">
      <c r="A30" s="72" t="s">
        <v>318</v>
      </c>
      <c r="B30" s="72" t="s">
        <v>319</v>
      </c>
    </row>
    <row r="31">
      <c r="A31" s="72" t="s">
        <v>293</v>
      </c>
      <c r="B31" s="72" t="s">
        <v>294</v>
      </c>
    </row>
    <row r="32">
      <c r="A32" s="72" t="s">
        <v>297</v>
      </c>
      <c r="B32" s="72" t="s">
        <v>298</v>
      </c>
    </row>
    <row r="33">
      <c r="A33" s="72" t="s">
        <v>327</v>
      </c>
      <c r="B33" s="72" t="s">
        <v>328</v>
      </c>
    </row>
    <row r="34">
      <c r="A34" s="72" t="s">
        <v>303</v>
      </c>
      <c r="B34" s="72" t="s">
        <v>304</v>
      </c>
    </row>
    <row r="35">
      <c r="A35" s="72" t="s">
        <v>495</v>
      </c>
      <c r="B35" s="72" t="s">
        <v>335</v>
      </c>
    </row>
    <row r="36">
      <c r="A36" s="72" t="s">
        <v>338</v>
      </c>
      <c r="B36" s="72" t="s">
        <v>339</v>
      </c>
    </row>
    <row r="37">
      <c r="A37" s="72" t="s">
        <v>341</v>
      </c>
      <c r="B37" s="72" t="s">
        <v>342</v>
      </c>
    </row>
    <row r="38">
      <c r="A38" s="72" t="s">
        <v>343</v>
      </c>
      <c r="B38" s="72" t="s">
        <v>344</v>
      </c>
    </row>
    <row r="39">
      <c r="A39" s="72" t="s">
        <v>352</v>
      </c>
      <c r="B39" s="72" t="s">
        <v>353</v>
      </c>
    </row>
    <row r="40">
      <c r="A40" s="72" t="s">
        <v>496</v>
      </c>
      <c r="B40" s="72" t="s">
        <v>355</v>
      </c>
    </row>
    <row r="41">
      <c r="A41" s="72" t="s">
        <v>309</v>
      </c>
      <c r="B41" s="72" t="s">
        <v>310</v>
      </c>
    </row>
    <row r="42">
      <c r="A42" s="72" t="s">
        <v>360</v>
      </c>
      <c r="B42" s="72" t="s">
        <v>361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1">
      <c r="A1" s="73" t="s">
        <v>497</v>
      </c>
    </row>
    <row r="2">
      <c r="A2" s="73" t="s">
        <v>498</v>
      </c>
    </row>
    <row r="3">
      <c r="A3" s="72" t="s">
        <v>499</v>
      </c>
    </row>
    <row r="4">
      <c r="A4" s="72" t="s">
        <v>500</v>
      </c>
    </row>
    <row r="5">
      <c r="A5" s="74" t="s">
        <v>501</v>
      </c>
    </row>
    <row r="6">
      <c r="A6" s="72" t="s">
        <v>502</v>
      </c>
    </row>
    <row r="7">
      <c r="A7" s="72" t="s">
        <v>503</v>
      </c>
    </row>
    <row r="8">
      <c r="A8" s="72" t="s">
        <v>504</v>
      </c>
    </row>
    <row r="9">
      <c r="A9" s="72" t="s">
        <v>505</v>
      </c>
    </row>
    <row r="10">
      <c r="A10" s="72" t="s">
        <v>506</v>
      </c>
    </row>
    <row r="11">
      <c r="A11" s="72" t="s">
        <v>507</v>
      </c>
    </row>
    <row r="12">
      <c r="A12" s="72" t="s">
        <v>508</v>
      </c>
    </row>
    <row r="13">
      <c r="A13" s="72" t="s">
        <v>509</v>
      </c>
    </row>
    <row r="14">
      <c r="A14" s="72" t="s">
        <v>510</v>
      </c>
    </row>
    <row r="15">
      <c r="A15" s="72" t="s">
        <v>511</v>
      </c>
    </row>
    <row r="16">
      <c r="A16" s="72" t="s">
        <v>512</v>
      </c>
    </row>
    <row r="17">
      <c r="A17" s="72" t="s">
        <v>513</v>
      </c>
    </row>
    <row r="18">
      <c r="A18" s="72" t="s">
        <v>514</v>
      </c>
    </row>
    <row r="19">
      <c r="A19" s="72" t="s">
        <v>515</v>
      </c>
    </row>
    <row r="20">
      <c r="A20" s="72" t="s">
        <v>516</v>
      </c>
    </row>
    <row r="21">
      <c r="A21" s="75" t="s">
        <v>517</v>
      </c>
    </row>
    <row r="22">
      <c r="A22" s="73" t="s">
        <v>518</v>
      </c>
    </row>
    <row r="23">
      <c r="A23" s="73" t="s">
        <v>519</v>
      </c>
    </row>
    <row r="24">
      <c r="A24" s="73" t="s">
        <v>520</v>
      </c>
    </row>
    <row r="25">
      <c r="A25" s="73" t="s">
        <v>521</v>
      </c>
    </row>
    <row r="26">
      <c r="A26" s="73" t="s">
        <v>522</v>
      </c>
    </row>
    <row r="27">
      <c r="A27" s="73" t="s">
        <v>523</v>
      </c>
    </row>
    <row r="28">
      <c r="A28" s="73" t="s">
        <v>524</v>
      </c>
    </row>
    <row r="29">
      <c r="A29" s="73" t="s">
        <v>525</v>
      </c>
    </row>
    <row r="30">
      <c r="A30" s="73" t="s">
        <v>526</v>
      </c>
    </row>
    <row r="31">
      <c r="A31" s="73" t="s">
        <v>527</v>
      </c>
    </row>
    <row r="32">
      <c r="A32" s="73" t="s">
        <v>528</v>
      </c>
    </row>
    <row r="33">
      <c r="A33" s="73" t="s">
        <v>529</v>
      </c>
    </row>
    <row r="34">
      <c r="A34" s="73" t="s">
        <v>530</v>
      </c>
    </row>
    <row r="35">
      <c r="A35" s="72" t="s">
        <v>531</v>
      </c>
    </row>
    <row r="36">
      <c r="A36" s="72" t="s">
        <v>532</v>
      </c>
    </row>
    <row r="37">
      <c r="A37" s="74" t="s">
        <v>533</v>
      </c>
    </row>
    <row r="38">
      <c r="A38" s="75" t="s">
        <v>534</v>
      </c>
    </row>
    <row r="39">
      <c r="A39" s="76" t="s">
        <v>535</v>
      </c>
    </row>
    <row r="40">
      <c r="A40" s="77" t="s">
        <v>536</v>
      </c>
    </row>
    <row r="41">
      <c r="A41" s="73" t="s">
        <v>537</v>
      </c>
    </row>
    <row r="42">
      <c r="A42" s="73" t="s">
        <v>538</v>
      </c>
    </row>
    <row r="43">
      <c r="A43" s="76" t="s">
        <v>539</v>
      </c>
    </row>
    <row r="44">
      <c r="A44" s="73" t="s">
        <v>540</v>
      </c>
    </row>
    <row r="45">
      <c r="A45" s="76" t="s">
        <v>541</v>
      </c>
    </row>
    <row r="46">
      <c r="A46" s="76" t="s">
        <v>542</v>
      </c>
    </row>
    <row r="47">
      <c r="A47" s="73" t="s">
        <v>543</v>
      </c>
    </row>
    <row r="48">
      <c r="A48" s="73" t="s">
        <v>544</v>
      </c>
    </row>
    <row r="49">
      <c r="A49" s="76" t="s">
        <v>545</v>
      </c>
    </row>
    <row r="50">
      <c r="A50" s="73" t="s">
        <v>546</v>
      </c>
    </row>
    <row r="51">
      <c r="A51" s="73" t="s">
        <v>547</v>
      </c>
    </row>
    <row r="52">
      <c r="A52" s="73" t="s">
        <v>548</v>
      </c>
    </row>
    <row r="53">
      <c r="A53" s="76" t="s">
        <v>549</v>
      </c>
    </row>
    <row r="54">
      <c r="A54" s="73" t="s">
        <v>550</v>
      </c>
    </row>
    <row r="55">
      <c r="A55" s="73" t="s">
        <v>551</v>
      </c>
    </row>
    <row r="56">
      <c r="A56" s="73" t="s">
        <v>552</v>
      </c>
    </row>
    <row r="57">
      <c r="A57" s="73" t="s">
        <v>553</v>
      </c>
    </row>
    <row r="58">
      <c r="A58" s="78" t="s">
        <v>554</v>
      </c>
    </row>
    <row r="59">
      <c r="A59" s="73" t="s">
        <v>555</v>
      </c>
    </row>
    <row r="60">
      <c r="A60" s="73" t="s">
        <v>556</v>
      </c>
    </row>
    <row r="61">
      <c r="A61" s="73" t="s">
        <v>557</v>
      </c>
    </row>
    <row r="62">
      <c r="A62" s="76" t="s">
        <v>558</v>
      </c>
    </row>
    <row r="63">
      <c r="A63" s="73" t="s">
        <v>559</v>
      </c>
    </row>
    <row r="64">
      <c r="A64" s="73" t="s">
        <v>560</v>
      </c>
    </row>
    <row r="65">
      <c r="A65" s="73" t="s">
        <v>561</v>
      </c>
    </row>
    <row r="66">
      <c r="A66" s="73" t="s">
        <v>562</v>
      </c>
    </row>
    <row r="67">
      <c r="A67" s="73" t="s">
        <v>563</v>
      </c>
    </row>
    <row r="68">
      <c r="A68" s="73" t="s">
        <v>564</v>
      </c>
    </row>
    <row r="69">
      <c r="A69" s="73" t="s">
        <v>565</v>
      </c>
    </row>
    <row r="70">
      <c r="A70" s="76" t="s">
        <v>566</v>
      </c>
    </row>
    <row r="71">
      <c r="A71" s="73" t="s">
        <v>567</v>
      </c>
    </row>
    <row r="72">
      <c r="A72" s="79" t="s">
        <v>568</v>
      </c>
    </row>
    <row r="73">
      <c r="A73" s="73" t="s">
        <v>569</v>
      </c>
    </row>
    <row r="74">
      <c r="A74" s="73" t="s">
        <v>570</v>
      </c>
    </row>
    <row r="75">
      <c r="A75" s="76" t="s">
        <v>571</v>
      </c>
    </row>
    <row r="76">
      <c r="A76" s="76" t="s">
        <v>572</v>
      </c>
    </row>
    <row r="77">
      <c r="A77" s="76" t="s">
        <v>573</v>
      </c>
    </row>
    <row r="78">
      <c r="A78" s="73" t="s">
        <v>574</v>
      </c>
    </row>
    <row r="79">
      <c r="A79" s="73" t="s">
        <v>575</v>
      </c>
    </row>
    <row r="80">
      <c r="A80" s="73" t="s">
        <v>576</v>
      </c>
    </row>
    <row r="81">
      <c r="A81" s="73" t="s">
        <v>577</v>
      </c>
    </row>
    <row r="82">
      <c r="A82" s="73" t="s">
        <v>578</v>
      </c>
    </row>
    <row r="83">
      <c r="A83" s="77" t="s">
        <v>579</v>
      </c>
    </row>
    <row r="84">
      <c r="A84" s="76" t="s">
        <v>580</v>
      </c>
    </row>
    <row r="85">
      <c r="A85" s="76" t="s">
        <v>581</v>
      </c>
    </row>
    <row r="86">
      <c r="A86" s="73" t="s">
        <v>582</v>
      </c>
    </row>
    <row r="87">
      <c r="A87" s="73" t="s">
        <v>583</v>
      </c>
    </row>
    <row r="88">
      <c r="A88" s="73" t="s">
        <v>584</v>
      </c>
    </row>
    <row r="89">
      <c r="A89" s="73" t="s">
        <v>585</v>
      </c>
    </row>
    <row r="90">
      <c r="A90" s="73" t="s">
        <v>586</v>
      </c>
    </row>
    <row r="91">
      <c r="A91" s="73" t="s">
        <v>587</v>
      </c>
    </row>
    <row r="92">
      <c r="A92" s="73" t="s">
        <v>588</v>
      </c>
    </row>
    <row r="93">
      <c r="A93" s="73" t="s">
        <v>589</v>
      </c>
    </row>
    <row r="94">
      <c r="A94" s="73" t="s">
        <v>590</v>
      </c>
    </row>
    <row r="95">
      <c r="A95" s="79" t="s">
        <v>591</v>
      </c>
    </row>
    <row r="96">
      <c r="A96" s="73" t="s">
        <v>592</v>
      </c>
    </row>
    <row r="97">
      <c r="A97" s="73" t="s">
        <v>593</v>
      </c>
    </row>
    <row r="98">
      <c r="A98" s="73" t="s">
        <v>594</v>
      </c>
    </row>
    <row r="99">
      <c r="A99" s="73" t="s">
        <v>595</v>
      </c>
    </row>
    <row r="100">
      <c r="A100" s="73" t="s">
        <v>596</v>
      </c>
    </row>
    <row r="101">
      <c r="A101" s="73" t="s">
        <v>597</v>
      </c>
    </row>
    <row r="102">
      <c r="A102" s="73" t="s">
        <v>598</v>
      </c>
    </row>
    <row r="103">
      <c r="A103" s="73" t="s">
        <v>599</v>
      </c>
    </row>
    <row r="104">
      <c r="A104" s="73" t="s">
        <v>600</v>
      </c>
    </row>
    <row r="105">
      <c r="A105" s="76" t="s">
        <v>601</v>
      </c>
    </row>
    <row r="106">
      <c r="A106" s="73" t="s">
        <v>602</v>
      </c>
    </row>
    <row r="107">
      <c r="A107" s="73" t="s">
        <v>603</v>
      </c>
    </row>
    <row r="108">
      <c r="A108" s="73" t="s">
        <v>604</v>
      </c>
    </row>
    <row r="109">
      <c r="A109" s="73" t="s">
        <v>605</v>
      </c>
    </row>
    <row r="110">
      <c r="A110" s="72" t="s">
        <v>606</v>
      </c>
    </row>
    <row r="111">
      <c r="A111" s="73" t="s">
        <v>607</v>
      </c>
    </row>
    <row r="112">
      <c r="A112" s="73" t="s">
        <v>608</v>
      </c>
    </row>
    <row r="113">
      <c r="A113" s="73" t="s">
        <v>609</v>
      </c>
    </row>
    <row r="114">
      <c r="A114" s="73" t="s">
        <v>610</v>
      </c>
    </row>
    <row r="115">
      <c r="A115" s="73" t="s">
        <v>611</v>
      </c>
    </row>
    <row r="116">
      <c r="A116" s="73" t="s">
        <v>612</v>
      </c>
    </row>
    <row r="117">
      <c r="A117" s="73" t="s">
        <v>613</v>
      </c>
    </row>
    <row r="118">
      <c r="A118" s="73" t="s">
        <v>614</v>
      </c>
    </row>
    <row r="119">
      <c r="A119" s="73" t="s">
        <v>615</v>
      </c>
    </row>
    <row r="120">
      <c r="A120" s="76" t="s">
        <v>616</v>
      </c>
    </row>
    <row r="121">
      <c r="A121" s="79" t="s">
        <v>617</v>
      </c>
    </row>
    <row r="122">
      <c r="A122" s="73" t="s">
        <v>618</v>
      </c>
    </row>
    <row r="123">
      <c r="A123" s="73" t="s">
        <v>619</v>
      </c>
    </row>
    <row r="124">
      <c r="A124" s="73" t="s">
        <v>620</v>
      </c>
    </row>
    <row r="125">
      <c r="A125" s="73" t="s">
        <v>621</v>
      </c>
    </row>
    <row r="126">
      <c r="A126" s="73" t="s">
        <v>622</v>
      </c>
    </row>
    <row r="127">
      <c r="A127" s="73" t="s">
        <v>623</v>
      </c>
    </row>
    <row r="128">
      <c r="A128" s="73" t="s">
        <v>624</v>
      </c>
    </row>
    <row r="129">
      <c r="A129" s="73" t="s">
        <v>625</v>
      </c>
    </row>
    <row r="130">
      <c r="A130" s="73" t="s">
        <v>626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7.5"/>
    <col customWidth="1" min="6" max="6" width="15.88"/>
    <col customWidth="1" min="7" max="7" width="14.0"/>
    <col customWidth="1" min="8" max="8" width="15.38"/>
    <col customWidth="1" min="9" max="9" width="13.13"/>
    <col customWidth="1" min="10" max="11" width="14.13"/>
    <col customWidth="1" min="13" max="13" width="14.0"/>
  </cols>
  <sheetData>
    <row r="1" ht="22.5" customHeight="1">
      <c r="A1" s="1" t="s">
        <v>0</v>
      </c>
      <c r="B1" s="1" t="s">
        <v>1</v>
      </c>
      <c r="C1" s="1" t="s">
        <v>627</v>
      </c>
      <c r="D1" s="1" t="s">
        <v>3</v>
      </c>
      <c r="E1" s="1" t="s">
        <v>4</v>
      </c>
      <c r="F1" s="1" t="s">
        <v>5</v>
      </c>
      <c r="G1" s="1" t="s">
        <v>6</v>
      </c>
      <c r="H1" s="1" t="s">
        <v>7</v>
      </c>
      <c r="I1" s="1" t="s">
        <v>8</v>
      </c>
      <c r="J1" s="1" t="s">
        <v>9</v>
      </c>
      <c r="K1" s="1" t="s">
        <v>10</v>
      </c>
      <c r="L1" s="2" t="s">
        <v>11</v>
      </c>
      <c r="M1" s="2" t="s">
        <v>12</v>
      </c>
      <c r="N1" s="2" t="s">
        <v>13</v>
      </c>
      <c r="O1" s="2" t="s">
        <v>14</v>
      </c>
      <c r="P1" s="80" t="s">
        <v>628</v>
      </c>
    </row>
    <row r="2" ht="22.5" customHeight="1">
      <c r="A2" s="81" t="s">
        <v>629</v>
      </c>
      <c r="B2" s="82" t="s">
        <v>630</v>
      </c>
      <c r="C2" s="59">
        <f t="shared" ref="C2:C121" si="1">COUNTIF(G2:M2, "Not attempted") + COUNTIF(G2:M2, "Not Recieved")</f>
        <v>0</v>
      </c>
      <c r="D2" s="61" t="s">
        <v>34</v>
      </c>
      <c r="E2" s="61" t="s">
        <v>49</v>
      </c>
      <c r="F2" s="59" t="s">
        <v>18</v>
      </c>
      <c r="G2" s="61" t="s">
        <v>50</v>
      </c>
      <c r="H2" s="59" t="s">
        <v>20</v>
      </c>
      <c r="I2" s="61" t="s">
        <v>31</v>
      </c>
      <c r="J2" s="63" t="s">
        <v>21</v>
      </c>
      <c r="K2" s="61" t="s">
        <v>50</v>
      </c>
      <c r="L2" s="63" t="s">
        <v>22</v>
      </c>
      <c r="M2" s="83" t="s">
        <v>50</v>
      </c>
      <c r="N2" s="60" t="s">
        <v>372</v>
      </c>
      <c r="O2" s="60"/>
      <c r="P2" s="84"/>
    </row>
    <row r="3" ht="22.5" customHeight="1">
      <c r="A3" s="81" t="s">
        <v>631</v>
      </c>
      <c r="B3" s="60" t="s">
        <v>632</v>
      </c>
      <c r="C3" s="59">
        <f t="shared" si="1"/>
        <v>2</v>
      </c>
      <c r="D3" s="61" t="s">
        <v>34</v>
      </c>
      <c r="E3" s="61" t="s">
        <v>40</v>
      </c>
      <c r="F3" s="59" t="s">
        <v>18</v>
      </c>
      <c r="G3" s="61" t="s">
        <v>31</v>
      </c>
      <c r="H3" s="59" t="s">
        <v>20</v>
      </c>
      <c r="I3" s="61" t="s">
        <v>19</v>
      </c>
      <c r="J3" s="63" t="s">
        <v>21</v>
      </c>
      <c r="K3" s="61" t="s">
        <v>31</v>
      </c>
      <c r="L3" s="63" t="s">
        <v>22</v>
      </c>
      <c r="M3" s="83" t="s">
        <v>19</v>
      </c>
      <c r="N3" s="60" t="s">
        <v>633</v>
      </c>
      <c r="O3" s="60"/>
      <c r="P3" s="84"/>
    </row>
    <row r="4" ht="22.5" customHeight="1">
      <c r="A4" s="67"/>
      <c r="B4" s="82" t="s">
        <v>634</v>
      </c>
      <c r="C4" s="59">
        <f t="shared" si="1"/>
        <v>1</v>
      </c>
      <c r="D4" s="61" t="s">
        <v>34</v>
      </c>
      <c r="E4" s="61" t="s">
        <v>635</v>
      </c>
      <c r="F4" s="59" t="s">
        <v>18</v>
      </c>
      <c r="G4" s="61" t="s">
        <v>31</v>
      </c>
      <c r="H4" s="59" t="s">
        <v>20</v>
      </c>
      <c r="I4" s="61" t="s">
        <v>31</v>
      </c>
      <c r="J4" s="63" t="s">
        <v>21</v>
      </c>
      <c r="K4" s="61" t="s">
        <v>19</v>
      </c>
      <c r="L4" s="63" t="s">
        <v>22</v>
      </c>
      <c r="M4" s="61" t="s">
        <v>31</v>
      </c>
      <c r="N4" s="60" t="s">
        <v>636</v>
      </c>
      <c r="O4" s="60"/>
      <c r="P4" s="84"/>
    </row>
    <row r="5" ht="22.5" customHeight="1">
      <c r="A5" s="81" t="s">
        <v>637</v>
      </c>
      <c r="B5" s="60" t="s">
        <v>638</v>
      </c>
      <c r="C5" s="59">
        <f t="shared" si="1"/>
        <v>0</v>
      </c>
      <c r="D5" s="61" t="s">
        <v>34</v>
      </c>
      <c r="E5" s="61" t="s">
        <v>49</v>
      </c>
      <c r="F5" s="59" t="s">
        <v>18</v>
      </c>
      <c r="G5" s="61" t="s">
        <v>50</v>
      </c>
      <c r="H5" s="59" t="s">
        <v>20</v>
      </c>
      <c r="I5" s="61" t="s">
        <v>31</v>
      </c>
      <c r="J5" s="63" t="s">
        <v>21</v>
      </c>
      <c r="K5" s="61" t="s">
        <v>50</v>
      </c>
      <c r="L5" s="63" t="s">
        <v>22</v>
      </c>
      <c r="M5" s="83" t="s">
        <v>50</v>
      </c>
      <c r="N5" s="60" t="s">
        <v>372</v>
      </c>
      <c r="O5" s="60"/>
      <c r="P5" s="84"/>
    </row>
    <row r="6" ht="22.5" customHeight="1">
      <c r="A6" s="81" t="s">
        <v>637</v>
      </c>
      <c r="B6" s="82" t="s">
        <v>639</v>
      </c>
      <c r="C6" s="59">
        <f t="shared" si="1"/>
        <v>2</v>
      </c>
      <c r="D6" s="61" t="s">
        <v>34</v>
      </c>
      <c r="E6" s="61" t="s">
        <v>49</v>
      </c>
      <c r="F6" s="59" t="s">
        <v>18</v>
      </c>
      <c r="G6" s="61" t="s">
        <v>31</v>
      </c>
      <c r="H6" s="59" t="s">
        <v>20</v>
      </c>
      <c r="I6" s="61" t="s">
        <v>640</v>
      </c>
      <c r="J6" s="63" t="s">
        <v>21</v>
      </c>
      <c r="K6" s="61" t="s">
        <v>31</v>
      </c>
      <c r="L6" s="63" t="s">
        <v>22</v>
      </c>
      <c r="M6" s="61" t="s">
        <v>640</v>
      </c>
      <c r="N6" s="60" t="s">
        <v>372</v>
      </c>
      <c r="O6" s="60"/>
      <c r="P6" s="84"/>
    </row>
    <row r="7" ht="22.5" customHeight="1">
      <c r="A7" s="81" t="s">
        <v>641</v>
      </c>
      <c r="B7" s="60" t="s">
        <v>642</v>
      </c>
      <c r="C7" s="59">
        <f t="shared" si="1"/>
        <v>0</v>
      </c>
      <c r="D7" s="61" t="s">
        <v>34</v>
      </c>
      <c r="E7" s="61" t="s">
        <v>49</v>
      </c>
      <c r="F7" s="59" t="s">
        <v>18</v>
      </c>
      <c r="G7" s="61" t="s">
        <v>31</v>
      </c>
      <c r="H7" s="59" t="s">
        <v>20</v>
      </c>
      <c r="I7" s="61" t="s">
        <v>31</v>
      </c>
      <c r="J7" s="63" t="s">
        <v>21</v>
      </c>
      <c r="K7" s="61" t="s">
        <v>31</v>
      </c>
      <c r="L7" s="63" t="s">
        <v>22</v>
      </c>
      <c r="M7" s="61" t="s">
        <v>31</v>
      </c>
      <c r="N7" s="60" t="s">
        <v>372</v>
      </c>
      <c r="O7" s="60"/>
      <c r="P7" s="84"/>
    </row>
    <row r="8" ht="22.5" customHeight="1">
      <c r="A8" s="81" t="s">
        <v>637</v>
      </c>
      <c r="B8" s="60" t="s">
        <v>643</v>
      </c>
      <c r="C8" s="59">
        <f t="shared" si="1"/>
        <v>0</v>
      </c>
      <c r="D8" s="61" t="s">
        <v>34</v>
      </c>
      <c r="E8" s="61" t="s">
        <v>49</v>
      </c>
      <c r="F8" s="59" t="s">
        <v>18</v>
      </c>
      <c r="G8" s="61" t="s">
        <v>50</v>
      </c>
      <c r="H8" s="59" t="s">
        <v>20</v>
      </c>
      <c r="I8" s="61" t="s">
        <v>31</v>
      </c>
      <c r="J8" s="63" t="s">
        <v>21</v>
      </c>
      <c r="K8" s="61" t="s">
        <v>50</v>
      </c>
      <c r="L8" s="63" t="s">
        <v>22</v>
      </c>
      <c r="M8" s="83" t="s">
        <v>50</v>
      </c>
      <c r="N8" s="60" t="s">
        <v>372</v>
      </c>
      <c r="O8" s="59"/>
      <c r="P8" s="59"/>
    </row>
    <row r="9" ht="22.5" customHeight="1">
      <c r="A9" s="81" t="s">
        <v>637</v>
      </c>
      <c r="B9" s="64" t="s">
        <v>644</v>
      </c>
      <c r="C9" s="59">
        <f t="shared" si="1"/>
        <v>0</v>
      </c>
      <c r="D9" s="85" t="s">
        <v>34</v>
      </c>
      <c r="E9" s="85" t="s">
        <v>49</v>
      </c>
      <c r="G9" s="85" t="s">
        <v>50</v>
      </c>
      <c r="I9" s="85" t="s">
        <v>50</v>
      </c>
      <c r="K9" s="85" t="s">
        <v>31</v>
      </c>
      <c r="M9" s="85" t="s">
        <v>50</v>
      </c>
      <c r="N9" s="60" t="s">
        <v>372</v>
      </c>
    </row>
    <row r="10" ht="22.5" customHeight="1">
      <c r="A10" s="81" t="s">
        <v>645</v>
      </c>
      <c r="B10" s="82" t="s">
        <v>646</v>
      </c>
      <c r="C10" s="59">
        <f t="shared" si="1"/>
        <v>1</v>
      </c>
      <c r="D10" s="61" t="s">
        <v>34</v>
      </c>
      <c r="E10" s="61" t="s">
        <v>49</v>
      </c>
      <c r="F10" s="59" t="s">
        <v>18</v>
      </c>
      <c r="G10" s="61" t="s">
        <v>50</v>
      </c>
      <c r="H10" s="59" t="s">
        <v>20</v>
      </c>
      <c r="I10" s="61" t="s">
        <v>31</v>
      </c>
      <c r="J10" s="63" t="s">
        <v>21</v>
      </c>
      <c r="K10" s="61" t="s">
        <v>19</v>
      </c>
      <c r="L10" s="63" t="s">
        <v>22</v>
      </c>
      <c r="M10" s="61" t="s">
        <v>50</v>
      </c>
      <c r="N10" s="60" t="s">
        <v>372</v>
      </c>
      <c r="O10" s="59"/>
      <c r="P10" s="59"/>
    </row>
    <row r="11" ht="22.5" customHeight="1">
      <c r="A11" s="67"/>
      <c r="B11" s="60" t="s">
        <v>647</v>
      </c>
      <c r="C11" s="59">
        <f t="shared" si="1"/>
        <v>1</v>
      </c>
      <c r="D11" s="61" t="s">
        <v>34</v>
      </c>
      <c r="E11" s="61" t="s">
        <v>635</v>
      </c>
      <c r="F11" s="59" t="s">
        <v>18</v>
      </c>
      <c r="G11" s="61" t="s">
        <v>31</v>
      </c>
      <c r="H11" s="59" t="s">
        <v>20</v>
      </c>
      <c r="I11" s="61" t="s">
        <v>19</v>
      </c>
      <c r="J11" s="63" t="s">
        <v>21</v>
      </c>
      <c r="K11" s="61" t="s">
        <v>31</v>
      </c>
      <c r="L11" s="63" t="s">
        <v>22</v>
      </c>
      <c r="M11" s="61" t="s">
        <v>31</v>
      </c>
      <c r="N11" s="60" t="s">
        <v>648</v>
      </c>
      <c r="O11" s="59"/>
      <c r="P11" s="59"/>
    </row>
    <row r="12" ht="22.5" customHeight="1">
      <c r="A12" s="81" t="s">
        <v>637</v>
      </c>
      <c r="B12" s="82" t="s">
        <v>649</v>
      </c>
      <c r="C12" s="59">
        <f t="shared" si="1"/>
        <v>1</v>
      </c>
      <c r="D12" s="61" t="s">
        <v>34</v>
      </c>
      <c r="E12" s="61" t="s">
        <v>49</v>
      </c>
      <c r="F12" s="59" t="s">
        <v>18</v>
      </c>
      <c r="G12" s="61" t="s">
        <v>31</v>
      </c>
      <c r="H12" s="59" t="s">
        <v>20</v>
      </c>
      <c r="I12" s="61" t="s">
        <v>31</v>
      </c>
      <c r="J12" s="63" t="s">
        <v>21</v>
      </c>
      <c r="K12" s="61" t="s">
        <v>31</v>
      </c>
      <c r="L12" s="63" t="s">
        <v>22</v>
      </c>
      <c r="M12" s="61" t="s">
        <v>19</v>
      </c>
      <c r="N12" s="60" t="s">
        <v>372</v>
      </c>
      <c r="O12" s="60"/>
      <c r="P12" s="84"/>
    </row>
    <row r="13" ht="22.5" customHeight="1">
      <c r="A13" s="81" t="s">
        <v>637</v>
      </c>
      <c r="B13" s="60" t="s">
        <v>650</v>
      </c>
      <c r="C13" s="59">
        <f t="shared" si="1"/>
        <v>1</v>
      </c>
      <c r="D13" s="61" t="s">
        <v>16</v>
      </c>
      <c r="E13" s="61" t="s">
        <v>49</v>
      </c>
      <c r="F13" s="59" t="s">
        <v>18</v>
      </c>
      <c r="G13" s="61" t="s">
        <v>19</v>
      </c>
      <c r="H13" s="59" t="s">
        <v>20</v>
      </c>
      <c r="I13" s="61" t="s">
        <v>50</v>
      </c>
      <c r="J13" s="63" t="s">
        <v>21</v>
      </c>
      <c r="K13" s="61" t="s">
        <v>50</v>
      </c>
      <c r="L13" s="63" t="s">
        <v>22</v>
      </c>
      <c r="M13" s="83" t="s">
        <v>50</v>
      </c>
      <c r="N13" s="60" t="s">
        <v>372</v>
      </c>
      <c r="O13" s="59"/>
      <c r="P13" s="59"/>
    </row>
    <row r="14" ht="22.5" customHeight="1">
      <c r="A14" s="81" t="s">
        <v>637</v>
      </c>
      <c r="B14" s="82" t="s">
        <v>651</v>
      </c>
      <c r="C14" s="59">
        <f t="shared" si="1"/>
        <v>3</v>
      </c>
      <c r="D14" s="61" t="s">
        <v>34</v>
      </c>
      <c r="E14" s="61" t="s">
        <v>635</v>
      </c>
      <c r="F14" s="59" t="s">
        <v>18</v>
      </c>
      <c r="G14" s="61" t="s">
        <v>19</v>
      </c>
      <c r="H14" s="59" t="s">
        <v>20</v>
      </c>
      <c r="I14" s="61" t="s">
        <v>31</v>
      </c>
      <c r="J14" s="63" t="s">
        <v>21</v>
      </c>
      <c r="K14" s="61" t="s">
        <v>19</v>
      </c>
      <c r="L14" s="63" t="s">
        <v>22</v>
      </c>
      <c r="M14" s="83" t="s">
        <v>19</v>
      </c>
      <c r="N14" s="60" t="s">
        <v>376</v>
      </c>
      <c r="O14" s="59"/>
      <c r="P14" s="59"/>
    </row>
    <row r="15" ht="22.5" customHeight="1">
      <c r="A15" s="81" t="s">
        <v>637</v>
      </c>
      <c r="B15" s="60" t="s">
        <v>652</v>
      </c>
      <c r="C15" s="59">
        <f t="shared" si="1"/>
        <v>0</v>
      </c>
      <c r="D15" s="61" t="s">
        <v>34</v>
      </c>
      <c r="E15" s="61" t="s">
        <v>49</v>
      </c>
      <c r="F15" s="59" t="s">
        <v>18</v>
      </c>
      <c r="G15" s="61" t="s">
        <v>31</v>
      </c>
      <c r="H15" s="59" t="s">
        <v>20</v>
      </c>
      <c r="I15" s="61" t="s">
        <v>31</v>
      </c>
      <c r="J15" s="63" t="s">
        <v>21</v>
      </c>
      <c r="K15" s="61" t="s">
        <v>50</v>
      </c>
      <c r="L15" s="63" t="s">
        <v>22</v>
      </c>
      <c r="M15" s="83" t="s">
        <v>50</v>
      </c>
      <c r="N15" s="60" t="s">
        <v>372</v>
      </c>
      <c r="O15" s="59"/>
      <c r="P15" s="59"/>
    </row>
    <row r="16" ht="22.5" customHeight="1">
      <c r="A16" s="81" t="s">
        <v>653</v>
      </c>
      <c r="B16" s="60" t="s">
        <v>654</v>
      </c>
      <c r="C16" s="59">
        <f t="shared" si="1"/>
        <v>0</v>
      </c>
      <c r="D16" s="61" t="s">
        <v>34</v>
      </c>
      <c r="E16" s="61" t="s">
        <v>635</v>
      </c>
      <c r="F16" s="59" t="s">
        <v>18</v>
      </c>
      <c r="G16" s="61" t="s">
        <v>31</v>
      </c>
      <c r="H16" s="59" t="s">
        <v>20</v>
      </c>
      <c r="I16" s="61" t="s">
        <v>31</v>
      </c>
      <c r="J16" s="63" t="s">
        <v>21</v>
      </c>
      <c r="K16" s="61" t="s">
        <v>31</v>
      </c>
      <c r="L16" s="63" t="s">
        <v>22</v>
      </c>
      <c r="M16" s="83" t="s">
        <v>31</v>
      </c>
      <c r="N16" s="60" t="s">
        <v>636</v>
      </c>
      <c r="O16" s="59"/>
      <c r="P16" s="59"/>
    </row>
    <row r="17" ht="22.5" customHeight="1">
      <c r="A17" s="81" t="s">
        <v>637</v>
      </c>
      <c r="B17" s="86" t="s">
        <v>655</v>
      </c>
      <c r="C17" s="59">
        <f t="shared" si="1"/>
        <v>2</v>
      </c>
      <c r="D17" s="61" t="s">
        <v>34</v>
      </c>
      <c r="E17" s="61" t="s">
        <v>656</v>
      </c>
      <c r="F17" s="59" t="s">
        <v>18</v>
      </c>
      <c r="G17" s="61" t="s">
        <v>19</v>
      </c>
      <c r="H17" s="59" t="s">
        <v>20</v>
      </c>
      <c r="I17" s="61" t="s">
        <v>26</v>
      </c>
      <c r="J17" s="63" t="s">
        <v>21</v>
      </c>
      <c r="K17" s="61" t="s">
        <v>19</v>
      </c>
      <c r="L17" s="63" t="s">
        <v>22</v>
      </c>
      <c r="M17" s="83" t="s">
        <v>31</v>
      </c>
      <c r="N17" s="60" t="s">
        <v>657</v>
      </c>
      <c r="O17" s="59"/>
      <c r="P17" s="59"/>
    </row>
    <row r="18" ht="22.5" customHeight="1">
      <c r="A18" s="81" t="s">
        <v>637</v>
      </c>
      <c r="B18" s="82" t="s">
        <v>658</v>
      </c>
      <c r="C18" s="59">
        <f t="shared" si="1"/>
        <v>0</v>
      </c>
      <c r="D18" s="61" t="s">
        <v>34</v>
      </c>
      <c r="E18" s="61" t="s">
        <v>49</v>
      </c>
      <c r="F18" s="59" t="s">
        <v>18</v>
      </c>
      <c r="G18" s="61" t="s">
        <v>31</v>
      </c>
      <c r="H18" s="59" t="s">
        <v>20</v>
      </c>
      <c r="I18" s="61" t="s">
        <v>31</v>
      </c>
      <c r="J18" s="63" t="s">
        <v>21</v>
      </c>
      <c r="K18" s="61" t="s">
        <v>50</v>
      </c>
      <c r="L18" s="63" t="s">
        <v>22</v>
      </c>
      <c r="M18" s="83" t="s">
        <v>50</v>
      </c>
      <c r="N18" s="60" t="s">
        <v>372</v>
      </c>
      <c r="O18" s="60"/>
      <c r="P18" s="84"/>
    </row>
    <row r="19" ht="22.5" customHeight="1">
      <c r="A19" s="81" t="s">
        <v>637</v>
      </c>
      <c r="B19" s="82" t="s">
        <v>659</v>
      </c>
      <c r="C19" s="59">
        <f t="shared" si="1"/>
        <v>1</v>
      </c>
      <c r="D19" s="61" t="s">
        <v>34</v>
      </c>
      <c r="E19" s="61" t="s">
        <v>49</v>
      </c>
      <c r="F19" s="59" t="s">
        <v>18</v>
      </c>
      <c r="G19" s="61" t="s">
        <v>50</v>
      </c>
      <c r="H19" s="59" t="s">
        <v>20</v>
      </c>
      <c r="I19" s="61" t="s">
        <v>50</v>
      </c>
      <c r="J19" s="63" t="s">
        <v>21</v>
      </c>
      <c r="K19" s="61" t="s">
        <v>50</v>
      </c>
      <c r="L19" s="63" t="s">
        <v>22</v>
      </c>
      <c r="M19" s="83" t="s">
        <v>19</v>
      </c>
      <c r="N19" s="60" t="s">
        <v>372</v>
      </c>
      <c r="O19" s="59"/>
      <c r="P19" s="59"/>
    </row>
    <row r="20" ht="22.5" customHeight="1">
      <c r="A20" s="81" t="s">
        <v>637</v>
      </c>
      <c r="B20" s="60" t="s">
        <v>660</v>
      </c>
      <c r="C20" s="59">
        <f t="shared" si="1"/>
        <v>0</v>
      </c>
      <c r="D20" s="61" t="s">
        <v>34</v>
      </c>
      <c r="E20" s="61" t="s">
        <v>49</v>
      </c>
      <c r="F20" s="59" t="s">
        <v>18</v>
      </c>
      <c r="G20" s="61" t="s">
        <v>31</v>
      </c>
      <c r="H20" s="59" t="s">
        <v>20</v>
      </c>
      <c r="I20" s="61" t="s">
        <v>50</v>
      </c>
      <c r="J20" s="63" t="s">
        <v>21</v>
      </c>
      <c r="K20" s="61" t="s">
        <v>50</v>
      </c>
      <c r="L20" s="63" t="s">
        <v>22</v>
      </c>
      <c r="M20" s="61" t="s">
        <v>50</v>
      </c>
      <c r="N20" s="60" t="s">
        <v>372</v>
      </c>
      <c r="O20" s="59"/>
      <c r="P20" s="59"/>
    </row>
    <row r="21" ht="22.5" customHeight="1">
      <c r="A21" s="59"/>
      <c r="B21" s="60" t="s">
        <v>661</v>
      </c>
      <c r="C21" s="59">
        <f t="shared" si="1"/>
        <v>3</v>
      </c>
      <c r="D21" s="61" t="s">
        <v>34</v>
      </c>
      <c r="E21" s="61" t="s">
        <v>49</v>
      </c>
      <c r="F21" s="59" t="s">
        <v>18</v>
      </c>
      <c r="G21" s="61" t="s">
        <v>19</v>
      </c>
      <c r="H21" s="59" t="s">
        <v>20</v>
      </c>
      <c r="I21" s="61" t="s">
        <v>31</v>
      </c>
      <c r="J21" s="63" t="s">
        <v>21</v>
      </c>
      <c r="K21" s="61" t="s">
        <v>19</v>
      </c>
      <c r="L21" s="63" t="s">
        <v>22</v>
      </c>
      <c r="M21" s="83" t="s">
        <v>19</v>
      </c>
      <c r="N21" s="60" t="s">
        <v>372</v>
      </c>
      <c r="O21" s="59"/>
      <c r="P21" s="59"/>
    </row>
    <row r="22" ht="22.5" customHeight="1">
      <c r="A22" s="67"/>
      <c r="B22" s="60" t="s">
        <v>662</v>
      </c>
      <c r="C22" s="59">
        <f t="shared" si="1"/>
        <v>1</v>
      </c>
      <c r="D22" s="61" t="s">
        <v>34</v>
      </c>
      <c r="E22" s="61" t="s">
        <v>49</v>
      </c>
      <c r="F22" s="59" t="s">
        <v>18</v>
      </c>
      <c r="G22" s="61" t="s">
        <v>26</v>
      </c>
      <c r="H22" s="59" t="s">
        <v>20</v>
      </c>
      <c r="I22" s="61" t="s">
        <v>19</v>
      </c>
      <c r="J22" s="63" t="s">
        <v>21</v>
      </c>
      <c r="K22" s="61" t="s">
        <v>31</v>
      </c>
      <c r="L22" s="63" t="s">
        <v>22</v>
      </c>
      <c r="M22" s="83" t="s">
        <v>31</v>
      </c>
      <c r="N22" s="60" t="s">
        <v>372</v>
      </c>
      <c r="O22" s="60"/>
      <c r="P22" s="84"/>
    </row>
    <row r="23" ht="22.5" customHeight="1">
      <c r="A23" s="81" t="s">
        <v>637</v>
      </c>
      <c r="B23" s="82" t="s">
        <v>663</v>
      </c>
      <c r="C23" s="59">
        <f t="shared" si="1"/>
        <v>1</v>
      </c>
      <c r="D23" s="61" t="s">
        <v>34</v>
      </c>
      <c r="E23" s="61" t="s">
        <v>49</v>
      </c>
      <c r="F23" s="59" t="s">
        <v>18</v>
      </c>
      <c r="G23" s="61" t="s">
        <v>50</v>
      </c>
      <c r="H23" s="59" t="s">
        <v>20</v>
      </c>
      <c r="I23" s="61" t="s">
        <v>19</v>
      </c>
      <c r="J23" s="63" t="s">
        <v>21</v>
      </c>
      <c r="K23" s="61" t="s">
        <v>26</v>
      </c>
      <c r="L23" s="63" t="s">
        <v>22</v>
      </c>
      <c r="M23" s="83" t="s">
        <v>50</v>
      </c>
      <c r="N23" s="60" t="s">
        <v>372</v>
      </c>
      <c r="O23" s="59"/>
      <c r="P23" s="59"/>
    </row>
    <row r="24" ht="22.5" customHeight="1">
      <c r="A24" s="81" t="s">
        <v>637</v>
      </c>
      <c r="B24" s="60" t="s">
        <v>664</v>
      </c>
      <c r="C24" s="59">
        <f t="shared" si="1"/>
        <v>0</v>
      </c>
      <c r="D24" s="61" t="s">
        <v>34</v>
      </c>
      <c r="E24" s="61" t="s">
        <v>49</v>
      </c>
      <c r="F24" s="59" t="s">
        <v>18</v>
      </c>
      <c r="G24" s="61" t="s">
        <v>50</v>
      </c>
      <c r="H24" s="59" t="s">
        <v>20</v>
      </c>
      <c r="I24" s="61" t="s">
        <v>31</v>
      </c>
      <c r="J24" s="63" t="s">
        <v>21</v>
      </c>
      <c r="K24" s="61" t="s">
        <v>50</v>
      </c>
      <c r="L24" s="63" t="s">
        <v>22</v>
      </c>
      <c r="M24" s="83" t="s">
        <v>50</v>
      </c>
      <c r="N24" s="60" t="s">
        <v>372</v>
      </c>
      <c r="O24" s="59"/>
      <c r="P24" s="59"/>
    </row>
    <row r="25" ht="22.5" customHeight="1">
      <c r="A25" s="81" t="s">
        <v>637</v>
      </c>
      <c r="B25" s="60" t="s">
        <v>665</v>
      </c>
      <c r="C25" s="59">
        <f t="shared" si="1"/>
        <v>4</v>
      </c>
      <c r="D25" s="61" t="s">
        <v>34</v>
      </c>
      <c r="E25" s="61" t="s">
        <v>40</v>
      </c>
      <c r="F25" s="59" t="s">
        <v>18</v>
      </c>
      <c r="G25" s="61" t="s">
        <v>19</v>
      </c>
      <c r="H25" s="59" t="s">
        <v>20</v>
      </c>
      <c r="I25" s="61" t="s">
        <v>19</v>
      </c>
      <c r="J25" s="63" t="s">
        <v>21</v>
      </c>
      <c r="K25" s="61" t="s">
        <v>19</v>
      </c>
      <c r="L25" s="63" t="s">
        <v>22</v>
      </c>
      <c r="M25" s="61" t="s">
        <v>19</v>
      </c>
      <c r="N25" s="60" t="s">
        <v>376</v>
      </c>
      <c r="O25" s="59"/>
      <c r="P25" s="59"/>
    </row>
    <row r="26" ht="22.5" customHeight="1">
      <c r="A26" s="81" t="s">
        <v>637</v>
      </c>
      <c r="B26" s="60" t="s">
        <v>666</v>
      </c>
      <c r="C26" s="59">
        <f t="shared" si="1"/>
        <v>0</v>
      </c>
      <c r="D26" s="61" t="s">
        <v>34</v>
      </c>
      <c r="E26" s="61" t="s">
        <v>49</v>
      </c>
      <c r="F26" s="59" t="s">
        <v>18</v>
      </c>
      <c r="G26" s="61" t="s">
        <v>50</v>
      </c>
      <c r="H26" s="59" t="s">
        <v>20</v>
      </c>
      <c r="I26" s="61" t="s">
        <v>31</v>
      </c>
      <c r="J26" s="63" t="s">
        <v>21</v>
      </c>
      <c r="K26" s="61" t="s">
        <v>50</v>
      </c>
      <c r="L26" s="63" t="s">
        <v>22</v>
      </c>
      <c r="M26" s="83" t="s">
        <v>50</v>
      </c>
      <c r="N26" s="60" t="s">
        <v>372</v>
      </c>
      <c r="O26" s="59"/>
      <c r="P26" s="59"/>
    </row>
    <row r="27" ht="22.5" customHeight="1">
      <c r="A27" s="81" t="s">
        <v>667</v>
      </c>
      <c r="B27" s="82" t="s">
        <v>668</v>
      </c>
      <c r="C27" s="59">
        <f t="shared" si="1"/>
        <v>2</v>
      </c>
      <c r="D27" s="61" t="s">
        <v>34</v>
      </c>
      <c r="E27" s="61" t="s">
        <v>49</v>
      </c>
      <c r="F27" s="59" t="s">
        <v>18</v>
      </c>
      <c r="G27" s="61" t="s">
        <v>31</v>
      </c>
      <c r="H27" s="59" t="s">
        <v>20</v>
      </c>
      <c r="I27" s="61" t="s">
        <v>19</v>
      </c>
      <c r="J27" s="63" t="s">
        <v>21</v>
      </c>
      <c r="K27" s="61" t="s">
        <v>31</v>
      </c>
      <c r="L27" s="63" t="s">
        <v>22</v>
      </c>
      <c r="M27" s="61" t="s">
        <v>19</v>
      </c>
      <c r="N27" s="60" t="s">
        <v>372</v>
      </c>
      <c r="O27" s="60"/>
      <c r="P27" s="84"/>
    </row>
    <row r="28" ht="22.5" customHeight="1">
      <c r="A28" s="81" t="s">
        <v>637</v>
      </c>
      <c r="B28" s="60" t="s">
        <v>669</v>
      </c>
      <c r="C28" s="59">
        <f t="shared" si="1"/>
        <v>1</v>
      </c>
      <c r="D28" s="61" t="s">
        <v>16</v>
      </c>
      <c r="E28" s="61" t="s">
        <v>49</v>
      </c>
      <c r="F28" s="59" t="s">
        <v>18</v>
      </c>
      <c r="G28" s="61" t="s">
        <v>19</v>
      </c>
      <c r="H28" s="59" t="s">
        <v>20</v>
      </c>
      <c r="I28" s="61" t="s">
        <v>50</v>
      </c>
      <c r="J28" s="63" t="s">
        <v>21</v>
      </c>
      <c r="K28" s="61" t="s">
        <v>50</v>
      </c>
      <c r="L28" s="63" t="s">
        <v>22</v>
      </c>
      <c r="M28" s="83" t="s">
        <v>50</v>
      </c>
      <c r="N28" s="60" t="s">
        <v>372</v>
      </c>
      <c r="O28" s="59"/>
      <c r="P28" s="59"/>
    </row>
    <row r="29" ht="22.5" customHeight="1">
      <c r="A29" s="81" t="s">
        <v>637</v>
      </c>
      <c r="B29" s="60" t="s">
        <v>670</v>
      </c>
      <c r="C29" s="59">
        <f t="shared" si="1"/>
        <v>2</v>
      </c>
      <c r="D29" s="61" t="s">
        <v>34</v>
      </c>
      <c r="E29" s="61" t="s">
        <v>49</v>
      </c>
      <c r="F29" s="59" t="s">
        <v>18</v>
      </c>
      <c r="G29" s="61" t="s">
        <v>50</v>
      </c>
      <c r="H29" s="59" t="s">
        <v>20</v>
      </c>
      <c r="I29" s="61" t="s">
        <v>31</v>
      </c>
      <c r="J29" s="63" t="s">
        <v>21</v>
      </c>
      <c r="K29" s="61" t="s">
        <v>19</v>
      </c>
      <c r="L29" s="63" t="s">
        <v>22</v>
      </c>
      <c r="M29" s="61" t="s">
        <v>19</v>
      </c>
      <c r="N29" s="60" t="s">
        <v>372</v>
      </c>
      <c r="O29" s="60"/>
      <c r="P29" s="84"/>
    </row>
    <row r="30" ht="22.5" customHeight="1">
      <c r="A30" s="81" t="s">
        <v>637</v>
      </c>
      <c r="B30" s="87" t="s">
        <v>671</v>
      </c>
      <c r="C30" s="59">
        <f t="shared" si="1"/>
        <v>0</v>
      </c>
      <c r="D30" s="61" t="s">
        <v>34</v>
      </c>
      <c r="E30" s="61" t="s">
        <v>30</v>
      </c>
      <c r="F30" s="59" t="s">
        <v>18</v>
      </c>
      <c r="G30" s="61" t="s">
        <v>31</v>
      </c>
      <c r="H30" s="59" t="s">
        <v>20</v>
      </c>
      <c r="I30" s="61" t="s">
        <v>31</v>
      </c>
      <c r="J30" s="63" t="s">
        <v>21</v>
      </c>
      <c r="K30" s="61" t="s">
        <v>31</v>
      </c>
      <c r="L30" s="63" t="s">
        <v>22</v>
      </c>
      <c r="M30" s="61" t="s">
        <v>31</v>
      </c>
      <c r="N30" s="60" t="s">
        <v>672</v>
      </c>
      <c r="O30" s="60"/>
      <c r="P30" s="84"/>
    </row>
    <row r="31" ht="22.5" customHeight="1">
      <c r="A31" s="81" t="s">
        <v>637</v>
      </c>
      <c r="B31" s="60" t="s">
        <v>673</v>
      </c>
      <c r="C31" s="59">
        <f t="shared" si="1"/>
        <v>0</v>
      </c>
      <c r="D31" s="61" t="s">
        <v>34</v>
      </c>
      <c r="E31" s="61" t="s">
        <v>49</v>
      </c>
      <c r="F31" s="59" t="s">
        <v>18</v>
      </c>
      <c r="G31" s="61" t="s">
        <v>50</v>
      </c>
      <c r="H31" s="59" t="s">
        <v>20</v>
      </c>
      <c r="I31" s="61" t="s">
        <v>50</v>
      </c>
      <c r="J31" s="63" t="s">
        <v>21</v>
      </c>
      <c r="K31" s="61" t="s">
        <v>31</v>
      </c>
      <c r="L31" s="63" t="s">
        <v>22</v>
      </c>
      <c r="M31" s="83" t="s">
        <v>50</v>
      </c>
      <c r="N31" s="60" t="s">
        <v>674</v>
      </c>
      <c r="O31" s="59"/>
      <c r="P31" s="59"/>
    </row>
    <row r="32" ht="22.5" customHeight="1">
      <c r="A32" s="67"/>
      <c r="B32" s="60" t="s">
        <v>675</v>
      </c>
      <c r="C32" s="59">
        <f t="shared" si="1"/>
        <v>2</v>
      </c>
      <c r="D32" s="61" t="s">
        <v>34</v>
      </c>
      <c r="E32" s="61" t="s">
        <v>49</v>
      </c>
      <c r="F32" s="59" t="s">
        <v>18</v>
      </c>
      <c r="G32" s="61" t="s">
        <v>19</v>
      </c>
      <c r="H32" s="59" t="s">
        <v>20</v>
      </c>
      <c r="I32" s="61" t="s">
        <v>31</v>
      </c>
      <c r="J32" s="63" t="s">
        <v>21</v>
      </c>
      <c r="K32" s="61" t="s">
        <v>31</v>
      </c>
      <c r="L32" s="63" t="s">
        <v>22</v>
      </c>
      <c r="M32" s="61" t="s">
        <v>640</v>
      </c>
      <c r="N32" s="60" t="s">
        <v>676</v>
      </c>
      <c r="O32" s="59"/>
      <c r="P32" s="59"/>
    </row>
    <row r="33" ht="22.5" customHeight="1">
      <c r="A33" s="81" t="s">
        <v>637</v>
      </c>
      <c r="B33" s="82" t="s">
        <v>677</v>
      </c>
      <c r="C33" s="59">
        <f t="shared" si="1"/>
        <v>1</v>
      </c>
      <c r="D33" s="61" t="s">
        <v>34</v>
      </c>
      <c r="E33" s="61" t="s">
        <v>49</v>
      </c>
      <c r="F33" s="59" t="s">
        <v>18</v>
      </c>
      <c r="G33" s="61" t="s">
        <v>50</v>
      </c>
      <c r="H33" s="59" t="s">
        <v>20</v>
      </c>
      <c r="I33" s="61" t="s">
        <v>50</v>
      </c>
      <c r="J33" s="63" t="s">
        <v>21</v>
      </c>
      <c r="K33" s="61" t="s">
        <v>50</v>
      </c>
      <c r="L33" s="63" t="s">
        <v>22</v>
      </c>
      <c r="M33" s="61" t="s">
        <v>19</v>
      </c>
      <c r="N33" s="60" t="s">
        <v>372</v>
      </c>
      <c r="O33" s="59"/>
      <c r="P33" s="59"/>
    </row>
    <row r="34" ht="22.5" customHeight="1">
      <c r="A34" s="67"/>
      <c r="B34" s="60" t="s">
        <v>678</v>
      </c>
      <c r="C34" s="59">
        <f t="shared" si="1"/>
        <v>0</v>
      </c>
      <c r="D34" s="61" t="s">
        <v>34</v>
      </c>
      <c r="E34" s="61" t="s">
        <v>635</v>
      </c>
      <c r="F34" s="59" t="s">
        <v>18</v>
      </c>
      <c r="G34" s="61" t="s">
        <v>31</v>
      </c>
      <c r="H34" s="59" t="s">
        <v>20</v>
      </c>
      <c r="I34" s="61" t="s">
        <v>31</v>
      </c>
      <c r="J34" s="63" t="s">
        <v>21</v>
      </c>
      <c r="K34" s="61" t="s">
        <v>31</v>
      </c>
      <c r="L34" s="63" t="s">
        <v>22</v>
      </c>
      <c r="M34" s="61" t="s">
        <v>31</v>
      </c>
      <c r="N34" s="60" t="s">
        <v>636</v>
      </c>
      <c r="O34" s="59"/>
      <c r="P34" s="59"/>
    </row>
    <row r="35" ht="22.5" customHeight="1">
      <c r="A35" s="81" t="s">
        <v>637</v>
      </c>
      <c r="B35" s="82" t="s">
        <v>679</v>
      </c>
      <c r="C35" s="59">
        <f t="shared" si="1"/>
        <v>4</v>
      </c>
      <c r="D35" s="61" t="s">
        <v>34</v>
      </c>
      <c r="E35" s="61" t="s">
        <v>49</v>
      </c>
      <c r="F35" s="59" t="s">
        <v>18</v>
      </c>
      <c r="G35" s="61" t="s">
        <v>19</v>
      </c>
      <c r="H35" s="59" t="s">
        <v>20</v>
      </c>
      <c r="I35" s="61" t="s">
        <v>19</v>
      </c>
      <c r="J35" s="63" t="s">
        <v>21</v>
      </c>
      <c r="K35" s="61" t="s">
        <v>19</v>
      </c>
      <c r="L35" s="63" t="s">
        <v>22</v>
      </c>
      <c r="M35" s="83" t="s">
        <v>19</v>
      </c>
      <c r="N35" s="60" t="s">
        <v>372</v>
      </c>
      <c r="O35" s="59"/>
      <c r="P35" s="59"/>
    </row>
    <row r="36" ht="22.5" customHeight="1">
      <c r="A36" s="81" t="s">
        <v>637</v>
      </c>
      <c r="B36" s="60" t="s">
        <v>680</v>
      </c>
      <c r="C36" s="59">
        <f t="shared" si="1"/>
        <v>0</v>
      </c>
      <c r="D36" s="61" t="s">
        <v>34</v>
      </c>
      <c r="E36" s="61" t="s">
        <v>49</v>
      </c>
      <c r="F36" s="59" t="s">
        <v>18</v>
      </c>
      <c r="G36" s="61" t="s">
        <v>50</v>
      </c>
      <c r="H36" s="59" t="s">
        <v>20</v>
      </c>
      <c r="I36" s="61" t="s">
        <v>50</v>
      </c>
      <c r="J36" s="63" t="s">
        <v>21</v>
      </c>
      <c r="K36" s="61" t="s">
        <v>50</v>
      </c>
      <c r="L36" s="63" t="s">
        <v>22</v>
      </c>
      <c r="M36" s="83" t="s">
        <v>50</v>
      </c>
      <c r="N36" s="60" t="s">
        <v>372</v>
      </c>
      <c r="O36" s="59"/>
      <c r="P36" s="59"/>
    </row>
    <row r="37" ht="22.5" customHeight="1">
      <c r="A37" s="81" t="s">
        <v>637</v>
      </c>
      <c r="B37" s="82" t="s">
        <v>681</v>
      </c>
      <c r="C37" s="59">
        <f t="shared" si="1"/>
        <v>0</v>
      </c>
      <c r="D37" s="61" t="s">
        <v>34</v>
      </c>
      <c r="E37" s="61" t="s">
        <v>49</v>
      </c>
      <c r="F37" s="59" t="s">
        <v>18</v>
      </c>
      <c r="G37" s="61" t="s">
        <v>31</v>
      </c>
      <c r="H37" s="59" t="s">
        <v>20</v>
      </c>
      <c r="I37" s="61" t="s">
        <v>50</v>
      </c>
      <c r="J37" s="63" t="s">
        <v>21</v>
      </c>
      <c r="K37" s="61" t="s">
        <v>50</v>
      </c>
      <c r="L37" s="63" t="s">
        <v>22</v>
      </c>
      <c r="M37" s="83" t="s">
        <v>50</v>
      </c>
      <c r="N37" s="60" t="s">
        <v>372</v>
      </c>
      <c r="O37" s="59"/>
      <c r="P37" s="59"/>
    </row>
    <row r="38" ht="22.5" customHeight="1">
      <c r="A38" s="60" t="s">
        <v>682</v>
      </c>
      <c r="B38" s="60" t="s">
        <v>683</v>
      </c>
      <c r="C38" s="59">
        <f t="shared" si="1"/>
        <v>3</v>
      </c>
      <c r="D38" s="61" t="s">
        <v>34</v>
      </c>
      <c r="E38" s="61" t="s">
        <v>635</v>
      </c>
      <c r="F38" s="59" t="s">
        <v>18</v>
      </c>
      <c r="G38" s="61" t="s">
        <v>31</v>
      </c>
      <c r="H38" s="59" t="s">
        <v>20</v>
      </c>
      <c r="I38" s="61" t="s">
        <v>19</v>
      </c>
      <c r="J38" s="63" t="s">
        <v>21</v>
      </c>
      <c r="K38" s="61" t="s">
        <v>19</v>
      </c>
      <c r="L38" s="63" t="s">
        <v>22</v>
      </c>
      <c r="M38" s="61" t="s">
        <v>19</v>
      </c>
      <c r="N38" s="60" t="s">
        <v>684</v>
      </c>
      <c r="O38" s="60" t="s">
        <v>685</v>
      </c>
      <c r="P38" s="84"/>
    </row>
    <row r="39" ht="22.5" customHeight="1">
      <c r="A39" s="81" t="s">
        <v>637</v>
      </c>
      <c r="B39" s="81" t="s">
        <v>686</v>
      </c>
      <c r="C39" s="59">
        <f t="shared" si="1"/>
        <v>0</v>
      </c>
      <c r="D39" s="61" t="s">
        <v>16</v>
      </c>
      <c r="E39" s="61" t="s">
        <v>49</v>
      </c>
      <c r="F39" s="59" t="s">
        <v>18</v>
      </c>
      <c r="G39" s="61" t="s">
        <v>50</v>
      </c>
      <c r="H39" s="59" t="s">
        <v>20</v>
      </c>
      <c r="I39" s="61" t="s">
        <v>50</v>
      </c>
      <c r="J39" s="63" t="s">
        <v>21</v>
      </c>
      <c r="K39" s="61" t="s">
        <v>50</v>
      </c>
      <c r="L39" s="63" t="s">
        <v>22</v>
      </c>
      <c r="M39" s="83" t="s">
        <v>50</v>
      </c>
      <c r="N39" s="60" t="s">
        <v>372</v>
      </c>
      <c r="O39" s="59"/>
      <c r="P39" s="59"/>
    </row>
    <row r="40" ht="22.5" customHeight="1">
      <c r="A40" s="81" t="s">
        <v>637</v>
      </c>
      <c r="B40" s="82" t="s">
        <v>687</v>
      </c>
      <c r="C40" s="59">
        <f t="shared" si="1"/>
        <v>0</v>
      </c>
      <c r="D40" s="61" t="s">
        <v>34</v>
      </c>
      <c r="E40" s="61" t="s">
        <v>49</v>
      </c>
      <c r="F40" s="59" t="s">
        <v>18</v>
      </c>
      <c r="G40" s="61" t="s">
        <v>50</v>
      </c>
      <c r="H40" s="59" t="s">
        <v>20</v>
      </c>
      <c r="I40" s="61" t="s">
        <v>31</v>
      </c>
      <c r="J40" s="63" t="s">
        <v>21</v>
      </c>
      <c r="K40" s="61" t="s">
        <v>50</v>
      </c>
      <c r="L40" s="63" t="s">
        <v>22</v>
      </c>
      <c r="M40" s="83" t="s">
        <v>50</v>
      </c>
      <c r="N40" s="60" t="s">
        <v>372</v>
      </c>
      <c r="O40" s="59"/>
      <c r="P40" s="59"/>
    </row>
    <row r="41" ht="22.5" customHeight="1">
      <c r="A41" s="81" t="s">
        <v>637</v>
      </c>
      <c r="B41" s="60" t="s">
        <v>688</v>
      </c>
      <c r="C41" s="59">
        <f t="shared" si="1"/>
        <v>1</v>
      </c>
      <c r="D41" s="61" t="s">
        <v>16</v>
      </c>
      <c r="E41" s="61" t="s">
        <v>49</v>
      </c>
      <c r="F41" s="59" t="s">
        <v>18</v>
      </c>
      <c r="G41" s="61" t="s">
        <v>50</v>
      </c>
      <c r="H41" s="59" t="s">
        <v>20</v>
      </c>
      <c r="I41" s="61" t="s">
        <v>50</v>
      </c>
      <c r="J41" s="63" t="s">
        <v>21</v>
      </c>
      <c r="K41" s="61" t="s">
        <v>19</v>
      </c>
      <c r="L41" s="63" t="s">
        <v>22</v>
      </c>
      <c r="M41" s="83" t="s">
        <v>50</v>
      </c>
      <c r="N41" s="60" t="s">
        <v>372</v>
      </c>
      <c r="O41" s="59"/>
      <c r="P41" s="59"/>
    </row>
    <row r="42" ht="22.5" customHeight="1">
      <c r="A42" s="81" t="s">
        <v>637</v>
      </c>
      <c r="B42" s="60" t="s">
        <v>689</v>
      </c>
      <c r="C42" s="59">
        <f t="shared" si="1"/>
        <v>0</v>
      </c>
      <c r="D42" s="61" t="s">
        <v>34</v>
      </c>
      <c r="E42" s="61" t="s">
        <v>49</v>
      </c>
      <c r="F42" s="59" t="s">
        <v>18</v>
      </c>
      <c r="G42" s="61" t="s">
        <v>31</v>
      </c>
      <c r="H42" s="59" t="s">
        <v>20</v>
      </c>
      <c r="I42" s="61" t="s">
        <v>31</v>
      </c>
      <c r="J42" s="63" t="s">
        <v>21</v>
      </c>
      <c r="K42" s="61" t="s">
        <v>50</v>
      </c>
      <c r="L42" s="63" t="s">
        <v>22</v>
      </c>
      <c r="M42" s="61" t="s">
        <v>50</v>
      </c>
      <c r="N42" s="60" t="s">
        <v>372</v>
      </c>
      <c r="O42" s="60"/>
      <c r="P42" s="84"/>
    </row>
    <row r="43" ht="22.5" customHeight="1">
      <c r="A43" s="81" t="s">
        <v>637</v>
      </c>
      <c r="B43" s="60" t="s">
        <v>690</v>
      </c>
      <c r="C43" s="59">
        <f t="shared" si="1"/>
        <v>1</v>
      </c>
      <c r="D43" s="61" t="s">
        <v>34</v>
      </c>
      <c r="E43" s="61" t="s">
        <v>49</v>
      </c>
      <c r="F43" s="59" t="s">
        <v>18</v>
      </c>
      <c r="G43" s="61" t="s">
        <v>19</v>
      </c>
      <c r="H43" s="59" t="s">
        <v>20</v>
      </c>
      <c r="I43" s="61" t="s">
        <v>50</v>
      </c>
      <c r="J43" s="63" t="s">
        <v>21</v>
      </c>
      <c r="K43" s="61" t="s">
        <v>50</v>
      </c>
      <c r="L43" s="63" t="s">
        <v>22</v>
      </c>
      <c r="M43" s="83" t="s">
        <v>50</v>
      </c>
      <c r="N43" s="60" t="s">
        <v>372</v>
      </c>
      <c r="O43" s="59"/>
      <c r="P43" s="59"/>
    </row>
    <row r="44" ht="22.5" customHeight="1">
      <c r="A44" s="60" t="s">
        <v>691</v>
      </c>
      <c r="B44" s="60" t="s">
        <v>692</v>
      </c>
      <c r="C44" s="59">
        <f t="shared" si="1"/>
        <v>0</v>
      </c>
      <c r="D44" s="61" t="s">
        <v>34</v>
      </c>
      <c r="E44" s="61" t="s">
        <v>49</v>
      </c>
      <c r="F44" s="59" t="s">
        <v>18</v>
      </c>
      <c r="G44" s="61" t="s">
        <v>31</v>
      </c>
      <c r="H44" s="59" t="s">
        <v>20</v>
      </c>
      <c r="I44" s="61" t="s">
        <v>31</v>
      </c>
      <c r="J44" s="63" t="s">
        <v>21</v>
      </c>
      <c r="K44" s="61" t="s">
        <v>50</v>
      </c>
      <c r="L44" s="63" t="s">
        <v>22</v>
      </c>
      <c r="M44" s="61" t="s">
        <v>50</v>
      </c>
      <c r="N44" s="60" t="s">
        <v>372</v>
      </c>
      <c r="O44" s="59"/>
      <c r="P44" s="59"/>
    </row>
    <row r="45" ht="22.5" customHeight="1">
      <c r="A45" s="81" t="s">
        <v>637</v>
      </c>
      <c r="B45" s="60" t="s">
        <v>693</v>
      </c>
      <c r="C45" s="59">
        <f t="shared" si="1"/>
        <v>1</v>
      </c>
      <c r="D45" s="61" t="s">
        <v>34</v>
      </c>
      <c r="E45" s="61" t="s">
        <v>49</v>
      </c>
      <c r="F45" s="59" t="s">
        <v>18</v>
      </c>
      <c r="G45" s="61" t="s">
        <v>19</v>
      </c>
      <c r="H45" s="59" t="s">
        <v>20</v>
      </c>
      <c r="I45" s="61" t="s">
        <v>31</v>
      </c>
      <c r="J45" s="63" t="s">
        <v>21</v>
      </c>
      <c r="K45" s="61" t="s">
        <v>31</v>
      </c>
      <c r="L45" s="63" t="s">
        <v>22</v>
      </c>
      <c r="M45" s="83" t="s">
        <v>50</v>
      </c>
      <c r="N45" s="60" t="s">
        <v>372</v>
      </c>
      <c r="O45" s="60"/>
      <c r="P45" s="84"/>
    </row>
    <row r="46" ht="22.5" customHeight="1">
      <c r="A46" s="60" t="s">
        <v>694</v>
      </c>
      <c r="B46" s="60" t="s">
        <v>695</v>
      </c>
      <c r="C46" s="59">
        <f t="shared" si="1"/>
        <v>3</v>
      </c>
      <c r="D46" s="61" t="s">
        <v>34</v>
      </c>
      <c r="E46" s="61" t="s">
        <v>40</v>
      </c>
      <c r="F46" s="59" t="s">
        <v>18</v>
      </c>
      <c r="G46" s="61" t="s">
        <v>31</v>
      </c>
      <c r="H46" s="59" t="s">
        <v>20</v>
      </c>
      <c r="I46" s="61" t="s">
        <v>19</v>
      </c>
      <c r="J46" s="63" t="s">
        <v>21</v>
      </c>
      <c r="K46" s="61" t="s">
        <v>19</v>
      </c>
      <c r="L46" s="63" t="s">
        <v>22</v>
      </c>
      <c r="M46" s="61" t="s">
        <v>19</v>
      </c>
      <c r="N46" s="60" t="s">
        <v>696</v>
      </c>
      <c r="O46" s="59"/>
      <c r="P46" s="59"/>
    </row>
    <row r="47" ht="22.5" customHeight="1">
      <c r="A47" s="81" t="s">
        <v>637</v>
      </c>
      <c r="B47" s="60" t="s">
        <v>697</v>
      </c>
      <c r="C47" s="59">
        <f t="shared" si="1"/>
        <v>0</v>
      </c>
      <c r="D47" s="61" t="s">
        <v>34</v>
      </c>
      <c r="E47" s="61" t="s">
        <v>49</v>
      </c>
      <c r="F47" s="59" t="s">
        <v>18</v>
      </c>
      <c r="G47" s="61" t="s">
        <v>50</v>
      </c>
      <c r="H47" s="59" t="s">
        <v>20</v>
      </c>
      <c r="I47" s="61" t="s">
        <v>50</v>
      </c>
      <c r="J47" s="63" t="s">
        <v>21</v>
      </c>
      <c r="K47" s="61" t="s">
        <v>50</v>
      </c>
      <c r="L47" s="63" t="s">
        <v>22</v>
      </c>
      <c r="M47" s="61" t="s">
        <v>31</v>
      </c>
      <c r="N47" s="60" t="s">
        <v>372</v>
      </c>
      <c r="O47" s="60"/>
      <c r="P47" s="84"/>
    </row>
    <row r="48" ht="22.5" customHeight="1">
      <c r="A48" s="81" t="s">
        <v>637</v>
      </c>
      <c r="B48" s="60" t="s">
        <v>698</v>
      </c>
      <c r="C48" s="59">
        <f t="shared" si="1"/>
        <v>0</v>
      </c>
      <c r="D48" s="61" t="s">
        <v>34</v>
      </c>
      <c r="E48" s="61" t="s">
        <v>49</v>
      </c>
      <c r="F48" s="59" t="s">
        <v>18</v>
      </c>
      <c r="G48" s="61" t="s">
        <v>31</v>
      </c>
      <c r="H48" s="59" t="s">
        <v>20</v>
      </c>
      <c r="I48" s="61" t="s">
        <v>50</v>
      </c>
      <c r="J48" s="63" t="s">
        <v>21</v>
      </c>
      <c r="K48" s="61" t="s">
        <v>50</v>
      </c>
      <c r="L48" s="63" t="s">
        <v>22</v>
      </c>
      <c r="M48" s="61" t="s">
        <v>50</v>
      </c>
      <c r="N48" s="60" t="s">
        <v>372</v>
      </c>
      <c r="O48" s="59"/>
      <c r="P48" s="59"/>
    </row>
    <row r="49" ht="22.5" customHeight="1">
      <c r="A49" s="81" t="s">
        <v>637</v>
      </c>
      <c r="B49" s="60" t="s">
        <v>699</v>
      </c>
      <c r="C49" s="59">
        <f t="shared" si="1"/>
        <v>0</v>
      </c>
      <c r="D49" s="61" t="s">
        <v>34</v>
      </c>
      <c r="E49" s="61" t="s">
        <v>49</v>
      </c>
      <c r="F49" s="59" t="s">
        <v>18</v>
      </c>
      <c r="G49" s="61" t="s">
        <v>31</v>
      </c>
      <c r="H49" s="59" t="s">
        <v>20</v>
      </c>
      <c r="I49" s="61" t="s">
        <v>50</v>
      </c>
      <c r="J49" s="63" t="s">
        <v>21</v>
      </c>
      <c r="K49" s="61" t="s">
        <v>50</v>
      </c>
      <c r="L49" s="63" t="s">
        <v>22</v>
      </c>
      <c r="M49" s="83" t="s">
        <v>50</v>
      </c>
      <c r="N49" s="60" t="s">
        <v>372</v>
      </c>
      <c r="O49" s="59"/>
      <c r="P49" s="59"/>
    </row>
    <row r="50" ht="22.5" customHeight="1">
      <c r="A50" s="81" t="s">
        <v>492</v>
      </c>
      <c r="B50" s="60" t="s">
        <v>700</v>
      </c>
      <c r="C50" s="59">
        <f t="shared" si="1"/>
        <v>0</v>
      </c>
      <c r="D50" s="61" t="s">
        <v>34</v>
      </c>
      <c r="E50" s="61" t="s">
        <v>49</v>
      </c>
      <c r="F50" s="59" t="s">
        <v>18</v>
      </c>
      <c r="G50" s="61" t="s">
        <v>50</v>
      </c>
      <c r="H50" s="59" t="s">
        <v>20</v>
      </c>
      <c r="I50" s="61" t="s">
        <v>50</v>
      </c>
      <c r="J50" s="63" t="s">
        <v>21</v>
      </c>
      <c r="K50" s="61" t="s">
        <v>50</v>
      </c>
      <c r="L50" s="63" t="s">
        <v>22</v>
      </c>
      <c r="M50" s="61" t="s">
        <v>31</v>
      </c>
      <c r="N50" s="60" t="s">
        <v>372</v>
      </c>
      <c r="O50" s="59"/>
      <c r="P50" s="59"/>
    </row>
    <row r="51" ht="22.5" customHeight="1">
      <c r="A51" s="60" t="s">
        <v>701</v>
      </c>
      <c r="B51" s="82" t="s">
        <v>702</v>
      </c>
      <c r="C51" s="59">
        <f t="shared" si="1"/>
        <v>4</v>
      </c>
      <c r="D51" s="61" t="s">
        <v>16</v>
      </c>
      <c r="E51" s="61" t="s">
        <v>49</v>
      </c>
      <c r="F51" s="59" t="s">
        <v>18</v>
      </c>
      <c r="G51" s="61" t="s">
        <v>19</v>
      </c>
      <c r="H51" s="59" t="s">
        <v>20</v>
      </c>
      <c r="I51" s="61" t="s">
        <v>19</v>
      </c>
      <c r="J51" s="63" t="s">
        <v>21</v>
      </c>
      <c r="K51" s="61" t="s">
        <v>19</v>
      </c>
      <c r="L51" s="63" t="s">
        <v>22</v>
      </c>
      <c r="M51" s="83" t="s">
        <v>19</v>
      </c>
      <c r="N51" s="60" t="s">
        <v>703</v>
      </c>
      <c r="O51" s="59"/>
      <c r="P51" s="59"/>
    </row>
    <row r="52" ht="22.5" customHeight="1">
      <c r="A52" s="81" t="s">
        <v>637</v>
      </c>
      <c r="B52" s="87" t="s">
        <v>704</v>
      </c>
      <c r="C52" s="59">
        <f t="shared" si="1"/>
        <v>0</v>
      </c>
      <c r="D52" s="61" t="s">
        <v>34</v>
      </c>
      <c r="E52" s="61" t="s">
        <v>49</v>
      </c>
      <c r="F52" s="59" t="s">
        <v>18</v>
      </c>
      <c r="G52" s="61" t="s">
        <v>31</v>
      </c>
      <c r="H52" s="59" t="s">
        <v>20</v>
      </c>
      <c r="I52" s="61" t="s">
        <v>50</v>
      </c>
      <c r="J52" s="63" t="s">
        <v>21</v>
      </c>
      <c r="K52" s="61" t="s">
        <v>50</v>
      </c>
      <c r="L52" s="63" t="s">
        <v>22</v>
      </c>
      <c r="M52" s="83" t="s">
        <v>50</v>
      </c>
      <c r="N52" s="60" t="s">
        <v>372</v>
      </c>
      <c r="O52" s="60"/>
      <c r="P52" s="84"/>
    </row>
    <row r="53" ht="22.5" customHeight="1">
      <c r="A53" s="59"/>
      <c r="B53" s="60" t="s">
        <v>705</v>
      </c>
      <c r="C53" s="59">
        <f t="shared" si="1"/>
        <v>4</v>
      </c>
      <c r="D53" s="61" t="s">
        <v>16</v>
      </c>
      <c r="E53" s="61" t="s">
        <v>49</v>
      </c>
      <c r="F53" s="59" t="s">
        <v>18</v>
      </c>
      <c r="G53" s="61" t="s">
        <v>19</v>
      </c>
      <c r="H53" s="59" t="s">
        <v>20</v>
      </c>
      <c r="I53" s="61" t="s">
        <v>19</v>
      </c>
      <c r="J53" s="63" t="s">
        <v>21</v>
      </c>
      <c r="K53" s="61" t="s">
        <v>19</v>
      </c>
      <c r="L53" s="63" t="s">
        <v>22</v>
      </c>
      <c r="M53" s="83" t="s">
        <v>19</v>
      </c>
      <c r="N53" s="60" t="s">
        <v>372</v>
      </c>
      <c r="O53" s="59"/>
      <c r="P53" s="59"/>
    </row>
    <row r="54" ht="22.5" customHeight="1">
      <c r="A54" s="81" t="s">
        <v>637</v>
      </c>
      <c r="B54" s="60" t="s">
        <v>706</v>
      </c>
      <c r="C54" s="59">
        <f t="shared" si="1"/>
        <v>1</v>
      </c>
      <c r="D54" s="61" t="s">
        <v>34</v>
      </c>
      <c r="E54" s="61" t="s">
        <v>49</v>
      </c>
      <c r="F54" s="59" t="s">
        <v>18</v>
      </c>
      <c r="G54" s="61" t="s">
        <v>19</v>
      </c>
      <c r="H54" s="59" t="s">
        <v>20</v>
      </c>
      <c r="I54" s="61" t="s">
        <v>50</v>
      </c>
      <c r="J54" s="63" t="s">
        <v>21</v>
      </c>
      <c r="K54" s="61" t="s">
        <v>50</v>
      </c>
      <c r="L54" s="63" t="s">
        <v>22</v>
      </c>
      <c r="M54" s="61" t="s">
        <v>31</v>
      </c>
      <c r="N54" s="60" t="s">
        <v>372</v>
      </c>
      <c r="O54" s="59"/>
      <c r="P54" s="59"/>
    </row>
    <row r="55" ht="22.5" customHeight="1">
      <c r="A55" s="59"/>
      <c r="B55" s="82" t="s">
        <v>707</v>
      </c>
      <c r="C55" s="59">
        <f t="shared" si="1"/>
        <v>2</v>
      </c>
      <c r="D55" s="61" t="s">
        <v>34</v>
      </c>
      <c r="E55" s="61" t="s">
        <v>656</v>
      </c>
      <c r="F55" s="59" t="s">
        <v>18</v>
      </c>
      <c r="G55" s="61" t="s">
        <v>19</v>
      </c>
      <c r="H55" s="59" t="s">
        <v>20</v>
      </c>
      <c r="I55" s="61" t="s">
        <v>31</v>
      </c>
      <c r="J55" s="63" t="s">
        <v>21</v>
      </c>
      <c r="K55" s="61" t="s">
        <v>19</v>
      </c>
      <c r="L55" s="63" t="s">
        <v>22</v>
      </c>
      <c r="M55" s="61" t="s">
        <v>31</v>
      </c>
      <c r="N55" s="59"/>
      <c r="O55" s="59"/>
      <c r="P55" s="59"/>
    </row>
    <row r="56" ht="22.5" customHeight="1">
      <c r="A56" s="81" t="s">
        <v>637</v>
      </c>
      <c r="B56" s="60" t="s">
        <v>708</v>
      </c>
      <c r="C56" s="59">
        <f t="shared" si="1"/>
        <v>1</v>
      </c>
      <c r="D56" s="61" t="s">
        <v>16</v>
      </c>
      <c r="E56" s="61" t="s">
        <v>49</v>
      </c>
      <c r="F56" s="59" t="s">
        <v>18</v>
      </c>
      <c r="G56" s="61" t="s">
        <v>19</v>
      </c>
      <c r="H56" s="59" t="s">
        <v>20</v>
      </c>
      <c r="I56" s="61" t="s">
        <v>50</v>
      </c>
      <c r="J56" s="63" t="s">
        <v>21</v>
      </c>
      <c r="K56" s="61" t="s">
        <v>50</v>
      </c>
      <c r="L56" s="63" t="s">
        <v>22</v>
      </c>
      <c r="M56" s="83" t="s">
        <v>50</v>
      </c>
      <c r="N56" s="60" t="s">
        <v>372</v>
      </c>
      <c r="O56" s="59"/>
      <c r="P56" s="59"/>
    </row>
    <row r="57" ht="22.5" customHeight="1">
      <c r="A57" s="81" t="s">
        <v>637</v>
      </c>
      <c r="B57" s="60" t="s">
        <v>709</v>
      </c>
      <c r="C57" s="59">
        <f t="shared" si="1"/>
        <v>1</v>
      </c>
      <c r="D57" s="61" t="s">
        <v>34</v>
      </c>
      <c r="E57" s="61" t="s">
        <v>49</v>
      </c>
      <c r="F57" s="59" t="s">
        <v>18</v>
      </c>
      <c r="G57" s="61" t="s">
        <v>19</v>
      </c>
      <c r="H57" s="59" t="s">
        <v>20</v>
      </c>
      <c r="I57" s="61" t="s">
        <v>50</v>
      </c>
      <c r="J57" s="63" t="s">
        <v>21</v>
      </c>
      <c r="K57" s="61" t="s">
        <v>50</v>
      </c>
      <c r="L57" s="63" t="s">
        <v>22</v>
      </c>
      <c r="M57" s="61" t="s">
        <v>31</v>
      </c>
      <c r="N57" s="60" t="s">
        <v>372</v>
      </c>
      <c r="O57" s="59"/>
      <c r="P57" s="59"/>
    </row>
    <row r="58" ht="22.5" customHeight="1">
      <c r="A58" s="60" t="s">
        <v>710</v>
      </c>
      <c r="B58" s="60" t="s">
        <v>711</v>
      </c>
      <c r="C58" s="59">
        <f t="shared" si="1"/>
        <v>0</v>
      </c>
      <c r="D58" s="61" t="s">
        <v>34</v>
      </c>
      <c r="E58" s="61" t="s">
        <v>635</v>
      </c>
      <c r="F58" s="59" t="s">
        <v>18</v>
      </c>
      <c r="G58" s="61" t="s">
        <v>31</v>
      </c>
      <c r="H58" s="59" t="s">
        <v>20</v>
      </c>
      <c r="I58" s="61" t="s">
        <v>31</v>
      </c>
      <c r="J58" s="63" t="s">
        <v>21</v>
      </c>
      <c r="K58" s="61" t="s">
        <v>31</v>
      </c>
      <c r="L58" s="63" t="s">
        <v>22</v>
      </c>
      <c r="M58" s="61" t="s">
        <v>31</v>
      </c>
      <c r="N58" s="60" t="s">
        <v>703</v>
      </c>
      <c r="O58" s="60" t="s">
        <v>712</v>
      </c>
      <c r="P58" s="84"/>
    </row>
    <row r="59" ht="22.5" customHeight="1">
      <c r="A59" s="60" t="s">
        <v>713</v>
      </c>
      <c r="B59" s="60" t="s">
        <v>714</v>
      </c>
      <c r="C59" s="59">
        <f t="shared" si="1"/>
        <v>0</v>
      </c>
      <c r="D59" s="61" t="s">
        <v>34</v>
      </c>
      <c r="E59" s="61" t="s">
        <v>49</v>
      </c>
      <c r="F59" s="59" t="s">
        <v>18</v>
      </c>
      <c r="G59" s="61" t="s">
        <v>31</v>
      </c>
      <c r="H59" s="59" t="s">
        <v>20</v>
      </c>
      <c r="I59" s="61" t="s">
        <v>31</v>
      </c>
      <c r="J59" s="63" t="s">
        <v>21</v>
      </c>
      <c r="K59" s="61" t="s">
        <v>31</v>
      </c>
      <c r="L59" s="63" t="s">
        <v>22</v>
      </c>
      <c r="M59" s="61" t="s">
        <v>31</v>
      </c>
      <c r="N59" s="60" t="s">
        <v>372</v>
      </c>
      <c r="O59" s="60"/>
      <c r="P59" s="84"/>
    </row>
    <row r="60" ht="22.5" customHeight="1">
      <c r="A60" s="59"/>
      <c r="B60" s="60" t="s">
        <v>715</v>
      </c>
      <c r="C60" s="59">
        <f t="shared" si="1"/>
        <v>2</v>
      </c>
      <c r="D60" s="61" t="s">
        <v>34</v>
      </c>
      <c r="E60" s="61" t="s">
        <v>49</v>
      </c>
      <c r="F60" s="59" t="s">
        <v>18</v>
      </c>
      <c r="G60" s="61" t="s">
        <v>31</v>
      </c>
      <c r="H60" s="59" t="s">
        <v>20</v>
      </c>
      <c r="I60" s="61" t="s">
        <v>31</v>
      </c>
      <c r="J60" s="63" t="s">
        <v>21</v>
      </c>
      <c r="K60" s="61" t="s">
        <v>19</v>
      </c>
      <c r="L60" s="63" t="s">
        <v>22</v>
      </c>
      <c r="M60" s="61" t="s">
        <v>19</v>
      </c>
      <c r="N60" s="60" t="s">
        <v>716</v>
      </c>
      <c r="O60" s="60"/>
      <c r="P60" s="84"/>
    </row>
    <row r="61" ht="22.5" customHeight="1">
      <c r="B61" s="88" t="s">
        <v>717</v>
      </c>
      <c r="C61" s="59">
        <f t="shared" si="1"/>
        <v>0</v>
      </c>
      <c r="D61" s="85" t="s">
        <v>34</v>
      </c>
      <c r="E61" s="85" t="s">
        <v>656</v>
      </c>
      <c r="G61" s="66"/>
      <c r="I61" s="66"/>
      <c r="K61" s="85" t="s">
        <v>31</v>
      </c>
      <c r="M61" s="66"/>
      <c r="N61" s="64" t="s">
        <v>703</v>
      </c>
    </row>
    <row r="62" ht="22.5" customHeight="1">
      <c r="A62" s="81" t="s">
        <v>637</v>
      </c>
      <c r="B62" s="60" t="s">
        <v>718</v>
      </c>
      <c r="C62" s="59">
        <f t="shared" si="1"/>
        <v>0</v>
      </c>
      <c r="D62" s="61" t="s">
        <v>34</v>
      </c>
      <c r="E62" s="61" t="s">
        <v>49</v>
      </c>
      <c r="F62" s="59" t="s">
        <v>18</v>
      </c>
      <c r="G62" s="61" t="s">
        <v>31</v>
      </c>
      <c r="H62" s="59" t="s">
        <v>20</v>
      </c>
      <c r="I62" s="61" t="s">
        <v>50</v>
      </c>
      <c r="J62" s="63" t="s">
        <v>21</v>
      </c>
      <c r="K62" s="61" t="s">
        <v>50</v>
      </c>
      <c r="L62" s="63" t="s">
        <v>22</v>
      </c>
      <c r="M62" s="61" t="s">
        <v>50</v>
      </c>
      <c r="N62" s="60" t="s">
        <v>716</v>
      </c>
      <c r="O62" s="59"/>
      <c r="P62" s="59"/>
    </row>
    <row r="63" ht="22.5" customHeight="1">
      <c r="A63" s="81" t="s">
        <v>637</v>
      </c>
      <c r="B63" s="60" t="s">
        <v>719</v>
      </c>
      <c r="C63" s="59">
        <f t="shared" si="1"/>
        <v>0</v>
      </c>
      <c r="D63" s="61" t="s">
        <v>16</v>
      </c>
      <c r="E63" s="61" t="s">
        <v>49</v>
      </c>
      <c r="F63" s="59" t="s">
        <v>18</v>
      </c>
      <c r="G63" s="61" t="s">
        <v>50</v>
      </c>
      <c r="H63" s="59" t="s">
        <v>20</v>
      </c>
      <c r="I63" s="61" t="s">
        <v>50</v>
      </c>
      <c r="J63" s="63" t="s">
        <v>21</v>
      </c>
      <c r="K63" s="61" t="s">
        <v>50</v>
      </c>
      <c r="L63" s="63" t="s">
        <v>22</v>
      </c>
      <c r="M63" s="61" t="s">
        <v>50</v>
      </c>
      <c r="N63" s="60" t="s">
        <v>720</v>
      </c>
      <c r="O63" s="59"/>
      <c r="P63" s="59"/>
    </row>
    <row r="64" ht="22.5" customHeight="1">
      <c r="A64" s="81" t="s">
        <v>637</v>
      </c>
      <c r="B64" s="60" t="s">
        <v>721</v>
      </c>
      <c r="C64" s="59">
        <f t="shared" si="1"/>
        <v>0</v>
      </c>
      <c r="D64" s="61" t="s">
        <v>34</v>
      </c>
      <c r="E64" s="61" t="s">
        <v>49</v>
      </c>
      <c r="F64" s="59" t="s">
        <v>18</v>
      </c>
      <c r="G64" s="61" t="s">
        <v>31</v>
      </c>
      <c r="H64" s="59" t="s">
        <v>20</v>
      </c>
      <c r="I64" s="61" t="s">
        <v>50</v>
      </c>
      <c r="J64" s="63" t="s">
        <v>21</v>
      </c>
      <c r="K64" s="61" t="s">
        <v>31</v>
      </c>
      <c r="L64" s="63" t="s">
        <v>22</v>
      </c>
      <c r="M64" s="61" t="s">
        <v>50</v>
      </c>
      <c r="N64" s="60" t="s">
        <v>720</v>
      </c>
      <c r="O64" s="59"/>
      <c r="P64" s="59"/>
    </row>
    <row r="65" ht="22.5" customHeight="1">
      <c r="A65" s="81" t="s">
        <v>637</v>
      </c>
      <c r="B65" s="60" t="s">
        <v>722</v>
      </c>
      <c r="C65" s="59">
        <f t="shared" si="1"/>
        <v>0</v>
      </c>
      <c r="D65" s="61" t="s">
        <v>34</v>
      </c>
      <c r="E65" s="61" t="s">
        <v>49</v>
      </c>
      <c r="F65" s="59" t="s">
        <v>18</v>
      </c>
      <c r="G65" s="61" t="s">
        <v>31</v>
      </c>
      <c r="H65" s="59" t="s">
        <v>20</v>
      </c>
      <c r="I65" s="61" t="s">
        <v>50</v>
      </c>
      <c r="J65" s="63" t="s">
        <v>21</v>
      </c>
      <c r="K65" s="61" t="s">
        <v>50</v>
      </c>
      <c r="L65" s="63" t="s">
        <v>22</v>
      </c>
      <c r="M65" s="83" t="s">
        <v>50</v>
      </c>
      <c r="N65" s="60" t="s">
        <v>720</v>
      </c>
      <c r="O65" s="59"/>
      <c r="P65" s="59"/>
    </row>
    <row r="66" ht="22.5" customHeight="1">
      <c r="A66" s="81" t="s">
        <v>637</v>
      </c>
      <c r="B66" s="60" t="s">
        <v>723</v>
      </c>
      <c r="C66" s="59">
        <f t="shared" si="1"/>
        <v>0</v>
      </c>
      <c r="D66" s="61" t="s">
        <v>34</v>
      </c>
      <c r="E66" s="61" t="s">
        <v>49</v>
      </c>
      <c r="F66" s="59" t="s">
        <v>18</v>
      </c>
      <c r="G66" s="61" t="s">
        <v>31</v>
      </c>
      <c r="H66" s="59" t="s">
        <v>20</v>
      </c>
      <c r="I66" s="61" t="s">
        <v>50</v>
      </c>
      <c r="J66" s="63" t="s">
        <v>21</v>
      </c>
      <c r="K66" s="61" t="s">
        <v>50</v>
      </c>
      <c r="L66" s="63" t="s">
        <v>22</v>
      </c>
      <c r="M66" s="83" t="s">
        <v>50</v>
      </c>
      <c r="N66" s="60" t="s">
        <v>720</v>
      </c>
      <c r="O66" s="59"/>
      <c r="P66" s="59"/>
    </row>
    <row r="67" ht="22.5" customHeight="1">
      <c r="A67" s="60" t="s">
        <v>724</v>
      </c>
      <c r="B67" s="82" t="s">
        <v>725</v>
      </c>
      <c r="C67" s="59">
        <f t="shared" si="1"/>
        <v>0</v>
      </c>
      <c r="D67" s="61" t="s">
        <v>34</v>
      </c>
      <c r="E67" s="61" t="s">
        <v>49</v>
      </c>
      <c r="F67" s="59" t="s">
        <v>18</v>
      </c>
      <c r="G67" s="61" t="s">
        <v>31</v>
      </c>
      <c r="H67" s="59" t="s">
        <v>20</v>
      </c>
      <c r="I67" s="61" t="s">
        <v>31</v>
      </c>
      <c r="J67" s="63" t="s">
        <v>21</v>
      </c>
      <c r="K67" s="61" t="s">
        <v>31</v>
      </c>
      <c r="L67" s="63" t="s">
        <v>22</v>
      </c>
      <c r="M67" s="61" t="s">
        <v>31</v>
      </c>
      <c r="N67" s="60" t="s">
        <v>720</v>
      </c>
      <c r="O67" s="60"/>
      <c r="P67" s="84"/>
    </row>
    <row r="68" ht="22.5" customHeight="1">
      <c r="A68" s="59"/>
      <c r="B68" s="86" t="s">
        <v>726</v>
      </c>
      <c r="C68" s="59">
        <f t="shared" si="1"/>
        <v>1</v>
      </c>
      <c r="D68" s="61" t="s">
        <v>34</v>
      </c>
      <c r="E68" s="61" t="s">
        <v>656</v>
      </c>
      <c r="F68" s="59" t="s">
        <v>18</v>
      </c>
      <c r="G68" s="61" t="s">
        <v>31</v>
      </c>
      <c r="H68" s="59" t="s">
        <v>20</v>
      </c>
      <c r="I68" s="61" t="s">
        <v>31</v>
      </c>
      <c r="J68" s="63" t="s">
        <v>21</v>
      </c>
      <c r="K68" s="61" t="s">
        <v>19</v>
      </c>
      <c r="L68" s="63" t="s">
        <v>22</v>
      </c>
      <c r="M68" s="61" t="s">
        <v>31</v>
      </c>
      <c r="N68" s="60" t="s">
        <v>727</v>
      </c>
      <c r="O68" s="59"/>
      <c r="P68" s="59"/>
    </row>
    <row r="69" ht="22.5" customHeight="1">
      <c r="A69" s="81" t="s">
        <v>637</v>
      </c>
      <c r="B69" s="60" t="s">
        <v>728</v>
      </c>
      <c r="C69" s="59">
        <f t="shared" si="1"/>
        <v>2</v>
      </c>
      <c r="D69" s="61" t="s">
        <v>34</v>
      </c>
      <c r="E69" s="61" t="s">
        <v>40</v>
      </c>
      <c r="F69" s="59" t="s">
        <v>18</v>
      </c>
      <c r="G69" s="61" t="s">
        <v>19</v>
      </c>
      <c r="H69" s="59" t="s">
        <v>20</v>
      </c>
      <c r="I69" s="61" t="s">
        <v>31</v>
      </c>
      <c r="J69" s="63" t="s">
        <v>21</v>
      </c>
      <c r="K69" s="61" t="s">
        <v>31</v>
      </c>
      <c r="L69" s="63" t="s">
        <v>22</v>
      </c>
      <c r="M69" s="61" t="s">
        <v>19</v>
      </c>
      <c r="N69" s="60" t="s">
        <v>696</v>
      </c>
      <c r="O69" s="59"/>
      <c r="P69" s="59"/>
    </row>
    <row r="70" ht="22.5" customHeight="1">
      <c r="A70" s="81" t="s">
        <v>637</v>
      </c>
      <c r="B70" s="60" t="s">
        <v>729</v>
      </c>
      <c r="C70" s="59">
        <f t="shared" si="1"/>
        <v>0</v>
      </c>
      <c r="D70" s="61" t="s">
        <v>34</v>
      </c>
      <c r="E70" s="61" t="s">
        <v>49</v>
      </c>
      <c r="F70" s="59" t="s">
        <v>18</v>
      </c>
      <c r="G70" s="61" t="s">
        <v>31</v>
      </c>
      <c r="H70" s="59" t="s">
        <v>20</v>
      </c>
      <c r="I70" s="61" t="s">
        <v>31</v>
      </c>
      <c r="J70" s="63" t="s">
        <v>21</v>
      </c>
      <c r="K70" s="61" t="s">
        <v>50</v>
      </c>
      <c r="L70" s="63" t="s">
        <v>22</v>
      </c>
      <c r="M70" s="61" t="s">
        <v>50</v>
      </c>
      <c r="N70" s="60" t="s">
        <v>720</v>
      </c>
      <c r="O70" s="59"/>
      <c r="P70" s="59"/>
      <c r="Q70" s="89"/>
      <c r="R70" s="89"/>
      <c r="S70" s="89"/>
      <c r="T70" s="89"/>
      <c r="U70" s="89"/>
      <c r="V70" s="89"/>
      <c r="W70" s="89"/>
      <c r="X70" s="89"/>
      <c r="Y70" s="89"/>
      <c r="Z70" s="89"/>
    </row>
    <row r="71" ht="22.5" customHeight="1">
      <c r="A71" s="81" t="s">
        <v>637</v>
      </c>
      <c r="B71" s="60" t="s">
        <v>730</v>
      </c>
      <c r="C71" s="59">
        <f t="shared" si="1"/>
        <v>0</v>
      </c>
      <c r="D71" s="61" t="s">
        <v>34</v>
      </c>
      <c r="E71" s="61" t="s">
        <v>49</v>
      </c>
      <c r="F71" s="59" t="s">
        <v>18</v>
      </c>
      <c r="G71" s="61" t="s">
        <v>50</v>
      </c>
      <c r="H71" s="59" t="s">
        <v>20</v>
      </c>
      <c r="I71" s="61" t="s">
        <v>31</v>
      </c>
      <c r="J71" s="63" t="s">
        <v>21</v>
      </c>
      <c r="K71" s="61" t="s">
        <v>50</v>
      </c>
      <c r="L71" s="63" t="s">
        <v>22</v>
      </c>
      <c r="M71" s="83" t="s">
        <v>50</v>
      </c>
      <c r="N71" s="60" t="s">
        <v>372</v>
      </c>
      <c r="O71" s="59"/>
      <c r="P71" s="59"/>
    </row>
    <row r="72" ht="22.5" customHeight="1">
      <c r="A72" s="81" t="s">
        <v>637</v>
      </c>
      <c r="B72" s="60" t="s">
        <v>731</v>
      </c>
      <c r="C72" s="59">
        <f t="shared" si="1"/>
        <v>1</v>
      </c>
      <c r="D72" s="61" t="s">
        <v>34</v>
      </c>
      <c r="E72" s="61" t="s">
        <v>49</v>
      </c>
      <c r="F72" s="59" t="s">
        <v>18</v>
      </c>
      <c r="G72" s="61" t="s">
        <v>50</v>
      </c>
      <c r="H72" s="59" t="s">
        <v>20</v>
      </c>
      <c r="I72" s="61" t="s">
        <v>31</v>
      </c>
      <c r="J72" s="63" t="s">
        <v>21</v>
      </c>
      <c r="K72" s="61" t="s">
        <v>50</v>
      </c>
      <c r="L72" s="63" t="s">
        <v>22</v>
      </c>
      <c r="M72" s="61" t="s">
        <v>19</v>
      </c>
      <c r="N72" s="60" t="s">
        <v>372</v>
      </c>
      <c r="O72" s="59"/>
      <c r="P72" s="59"/>
      <c r="Q72" s="90"/>
      <c r="R72" s="90"/>
      <c r="S72" s="90"/>
      <c r="T72" s="90"/>
      <c r="U72" s="90"/>
      <c r="V72" s="90"/>
      <c r="W72" s="90"/>
      <c r="X72" s="90"/>
      <c r="Y72" s="90"/>
      <c r="Z72" s="90"/>
    </row>
    <row r="73" ht="22.5" customHeight="1">
      <c r="A73" s="81" t="s">
        <v>637</v>
      </c>
      <c r="B73" s="82" t="s">
        <v>732</v>
      </c>
      <c r="C73" s="59">
        <f t="shared" si="1"/>
        <v>3</v>
      </c>
      <c r="D73" s="61" t="s">
        <v>34</v>
      </c>
      <c r="E73" s="61" t="s">
        <v>40</v>
      </c>
      <c r="F73" s="59" t="s">
        <v>18</v>
      </c>
      <c r="G73" s="61" t="s">
        <v>19</v>
      </c>
      <c r="H73" s="59" t="s">
        <v>20</v>
      </c>
      <c r="I73" s="61" t="s">
        <v>19</v>
      </c>
      <c r="J73" s="63" t="s">
        <v>21</v>
      </c>
      <c r="K73" s="61" t="s">
        <v>31</v>
      </c>
      <c r="L73" s="63" t="s">
        <v>22</v>
      </c>
      <c r="M73" s="61" t="s">
        <v>19</v>
      </c>
      <c r="N73" s="60" t="s">
        <v>376</v>
      </c>
      <c r="O73" s="59"/>
      <c r="P73" s="59"/>
    </row>
    <row r="74" ht="22.5" customHeight="1">
      <c r="A74" s="81" t="s">
        <v>637</v>
      </c>
      <c r="B74" s="60" t="s">
        <v>733</v>
      </c>
      <c r="C74" s="59">
        <f t="shared" si="1"/>
        <v>0</v>
      </c>
      <c r="D74" s="61" t="s">
        <v>34</v>
      </c>
      <c r="E74" s="61" t="s">
        <v>49</v>
      </c>
      <c r="F74" s="59" t="s">
        <v>18</v>
      </c>
      <c r="G74" s="61" t="s">
        <v>50</v>
      </c>
      <c r="H74" s="59" t="s">
        <v>20</v>
      </c>
      <c r="I74" s="61" t="s">
        <v>50</v>
      </c>
      <c r="J74" s="63" t="s">
        <v>21</v>
      </c>
      <c r="K74" s="61" t="s">
        <v>50</v>
      </c>
      <c r="L74" s="63" t="s">
        <v>22</v>
      </c>
      <c r="M74" s="83" t="s">
        <v>50</v>
      </c>
      <c r="N74" s="60" t="s">
        <v>372</v>
      </c>
      <c r="O74" s="59"/>
      <c r="P74" s="59"/>
    </row>
    <row r="75" ht="22.5" customHeight="1">
      <c r="A75" s="81" t="s">
        <v>637</v>
      </c>
      <c r="B75" s="60" t="s">
        <v>734</v>
      </c>
      <c r="C75" s="59">
        <f t="shared" si="1"/>
        <v>4</v>
      </c>
      <c r="D75" s="61" t="s">
        <v>34</v>
      </c>
      <c r="E75" s="61" t="s">
        <v>40</v>
      </c>
      <c r="F75" s="59" t="s">
        <v>18</v>
      </c>
      <c r="G75" s="61" t="s">
        <v>19</v>
      </c>
      <c r="H75" s="59" t="s">
        <v>20</v>
      </c>
      <c r="I75" s="61" t="s">
        <v>19</v>
      </c>
      <c r="J75" s="63" t="s">
        <v>21</v>
      </c>
      <c r="K75" s="61" t="s">
        <v>19</v>
      </c>
      <c r="L75" s="63" t="s">
        <v>22</v>
      </c>
      <c r="M75" s="83" t="s">
        <v>19</v>
      </c>
      <c r="N75" s="60" t="s">
        <v>376</v>
      </c>
      <c r="O75" s="59"/>
      <c r="P75" s="59"/>
    </row>
    <row r="76" ht="22.5" customHeight="1">
      <c r="A76" s="81" t="s">
        <v>637</v>
      </c>
      <c r="B76" s="60" t="s">
        <v>735</v>
      </c>
      <c r="C76" s="59">
        <f t="shared" si="1"/>
        <v>1</v>
      </c>
      <c r="D76" s="61" t="s">
        <v>34</v>
      </c>
      <c r="E76" s="61" t="s">
        <v>49</v>
      </c>
      <c r="F76" s="59" t="s">
        <v>18</v>
      </c>
      <c r="G76" s="61" t="s">
        <v>31</v>
      </c>
      <c r="H76" s="59" t="s">
        <v>20</v>
      </c>
      <c r="I76" s="61" t="s">
        <v>50</v>
      </c>
      <c r="J76" s="63" t="s">
        <v>21</v>
      </c>
      <c r="K76" s="61" t="s">
        <v>50</v>
      </c>
      <c r="L76" s="63" t="s">
        <v>22</v>
      </c>
      <c r="M76" s="83" t="s">
        <v>19</v>
      </c>
      <c r="N76" s="60" t="s">
        <v>372</v>
      </c>
      <c r="O76" s="59"/>
      <c r="P76" s="59"/>
    </row>
    <row r="77" ht="22.5" customHeight="1">
      <c r="A77" s="60" t="s">
        <v>736</v>
      </c>
      <c r="B77" s="60" t="s">
        <v>737</v>
      </c>
      <c r="C77" s="59">
        <f t="shared" si="1"/>
        <v>3</v>
      </c>
      <c r="D77" s="61" t="s">
        <v>34</v>
      </c>
      <c r="E77" s="61" t="s">
        <v>49</v>
      </c>
      <c r="F77" s="59" t="s">
        <v>18</v>
      </c>
      <c r="G77" s="61" t="s">
        <v>31</v>
      </c>
      <c r="H77" s="59" t="s">
        <v>20</v>
      </c>
      <c r="I77" s="61" t="s">
        <v>19</v>
      </c>
      <c r="J77" s="63" t="s">
        <v>21</v>
      </c>
      <c r="K77" s="61" t="s">
        <v>19</v>
      </c>
      <c r="L77" s="63" t="s">
        <v>22</v>
      </c>
      <c r="M77" s="83" t="s">
        <v>19</v>
      </c>
      <c r="N77" s="60" t="s">
        <v>738</v>
      </c>
      <c r="O77" s="59"/>
      <c r="P77" s="59"/>
    </row>
    <row r="78" ht="22.5" customHeight="1">
      <c r="A78" s="81" t="s">
        <v>637</v>
      </c>
      <c r="B78" s="60" t="s">
        <v>739</v>
      </c>
      <c r="C78" s="59">
        <f t="shared" si="1"/>
        <v>0</v>
      </c>
      <c r="D78" s="61" t="s">
        <v>34</v>
      </c>
      <c r="E78" s="61" t="s">
        <v>49</v>
      </c>
      <c r="F78" s="59" t="s">
        <v>18</v>
      </c>
      <c r="G78" s="61" t="s">
        <v>31</v>
      </c>
      <c r="H78" s="59" t="s">
        <v>20</v>
      </c>
      <c r="I78" s="61" t="s">
        <v>50</v>
      </c>
      <c r="J78" s="63" t="s">
        <v>21</v>
      </c>
      <c r="K78" s="61" t="s">
        <v>50</v>
      </c>
      <c r="L78" s="63" t="s">
        <v>22</v>
      </c>
      <c r="M78" s="83" t="s">
        <v>50</v>
      </c>
      <c r="N78" s="60" t="s">
        <v>372</v>
      </c>
      <c r="O78" s="59"/>
      <c r="P78" s="59"/>
    </row>
    <row r="79" ht="22.5" customHeight="1">
      <c r="A79" s="81" t="s">
        <v>637</v>
      </c>
      <c r="B79" s="64" t="s">
        <v>740</v>
      </c>
      <c r="C79" s="59">
        <f t="shared" si="1"/>
        <v>0</v>
      </c>
      <c r="D79" s="85" t="s">
        <v>34</v>
      </c>
      <c r="E79" s="85" t="s">
        <v>49</v>
      </c>
      <c r="G79" s="85" t="s">
        <v>50</v>
      </c>
      <c r="I79" s="85" t="s">
        <v>50</v>
      </c>
      <c r="K79" s="85" t="s">
        <v>31</v>
      </c>
      <c r="M79" s="85" t="s">
        <v>50</v>
      </c>
      <c r="N79" s="64" t="s">
        <v>372</v>
      </c>
    </row>
    <row r="80" ht="22.5" customHeight="1">
      <c r="A80" s="60" t="s">
        <v>741</v>
      </c>
      <c r="B80" s="91" t="s">
        <v>742</v>
      </c>
      <c r="C80" s="59">
        <f t="shared" si="1"/>
        <v>1</v>
      </c>
      <c r="D80" s="61" t="s">
        <v>34</v>
      </c>
      <c r="E80" s="61" t="s">
        <v>656</v>
      </c>
      <c r="F80" s="59" t="s">
        <v>18</v>
      </c>
      <c r="G80" s="61" t="s">
        <v>31</v>
      </c>
      <c r="H80" s="59" t="s">
        <v>20</v>
      </c>
      <c r="I80" s="61" t="s">
        <v>31</v>
      </c>
      <c r="J80" s="63" t="s">
        <v>21</v>
      </c>
      <c r="K80" s="61" t="s">
        <v>31</v>
      </c>
      <c r="L80" s="63" t="s">
        <v>22</v>
      </c>
      <c r="M80" s="61" t="s">
        <v>19</v>
      </c>
      <c r="N80" s="60" t="s">
        <v>743</v>
      </c>
      <c r="O80" s="59"/>
      <c r="P80" s="59"/>
    </row>
    <row r="81" ht="22.5" customHeight="1">
      <c r="A81" s="60" t="s">
        <v>744</v>
      </c>
      <c r="B81" s="60" t="s">
        <v>745</v>
      </c>
      <c r="C81" s="59">
        <f t="shared" si="1"/>
        <v>1</v>
      </c>
      <c r="D81" s="61" t="s">
        <v>34</v>
      </c>
      <c r="E81" s="61" t="s">
        <v>49</v>
      </c>
      <c r="F81" s="59" t="s">
        <v>18</v>
      </c>
      <c r="G81" s="61" t="s">
        <v>50</v>
      </c>
      <c r="H81" s="59" t="s">
        <v>20</v>
      </c>
      <c r="I81" s="61" t="s">
        <v>19</v>
      </c>
      <c r="J81" s="63" t="s">
        <v>21</v>
      </c>
      <c r="K81" s="61" t="s">
        <v>50</v>
      </c>
      <c r="L81" s="63" t="s">
        <v>22</v>
      </c>
      <c r="M81" s="61" t="s">
        <v>50</v>
      </c>
      <c r="N81" s="60" t="s">
        <v>152</v>
      </c>
      <c r="O81" s="60"/>
      <c r="P81" s="84"/>
    </row>
    <row r="82" ht="22.5" customHeight="1">
      <c r="A82" s="60" t="s">
        <v>746</v>
      </c>
      <c r="B82" s="82" t="s">
        <v>747</v>
      </c>
      <c r="C82" s="59">
        <f t="shared" si="1"/>
        <v>3</v>
      </c>
      <c r="D82" s="61" t="s">
        <v>34</v>
      </c>
      <c r="E82" s="61" t="s">
        <v>40</v>
      </c>
      <c r="F82" s="59" t="s">
        <v>18</v>
      </c>
      <c r="G82" s="61" t="s">
        <v>19</v>
      </c>
      <c r="H82" s="59" t="s">
        <v>20</v>
      </c>
      <c r="I82" s="61" t="s">
        <v>31</v>
      </c>
      <c r="J82" s="63" t="s">
        <v>21</v>
      </c>
      <c r="K82" s="61" t="s">
        <v>19</v>
      </c>
      <c r="L82" s="63" t="s">
        <v>22</v>
      </c>
      <c r="M82" s="61" t="s">
        <v>19</v>
      </c>
      <c r="N82" s="60" t="s">
        <v>376</v>
      </c>
      <c r="O82" s="59"/>
      <c r="P82" s="59"/>
    </row>
    <row r="83" ht="22.5" customHeight="1">
      <c r="A83" s="81" t="s">
        <v>637</v>
      </c>
      <c r="B83" s="60" t="s">
        <v>748</v>
      </c>
      <c r="C83" s="59">
        <f t="shared" si="1"/>
        <v>1</v>
      </c>
      <c r="D83" s="61" t="s">
        <v>34</v>
      </c>
      <c r="E83" s="61" t="s">
        <v>49</v>
      </c>
      <c r="F83" s="59" t="s">
        <v>18</v>
      </c>
      <c r="G83" s="61" t="s">
        <v>31</v>
      </c>
      <c r="H83" s="59" t="s">
        <v>20</v>
      </c>
      <c r="I83" s="61" t="s">
        <v>50</v>
      </c>
      <c r="J83" s="63" t="s">
        <v>21</v>
      </c>
      <c r="K83" s="61" t="s">
        <v>50</v>
      </c>
      <c r="L83" s="63" t="s">
        <v>22</v>
      </c>
      <c r="M83" s="61" t="s">
        <v>19</v>
      </c>
      <c r="N83" s="60" t="s">
        <v>372</v>
      </c>
      <c r="O83" s="59"/>
      <c r="P83" s="59"/>
    </row>
    <row r="84" ht="22.5" customHeight="1">
      <c r="A84" s="60" t="s">
        <v>749</v>
      </c>
      <c r="B84" s="60" t="s">
        <v>750</v>
      </c>
      <c r="C84" s="59">
        <f t="shared" si="1"/>
        <v>0</v>
      </c>
      <c r="D84" s="61" t="s">
        <v>34</v>
      </c>
      <c r="E84" s="61" t="s">
        <v>49</v>
      </c>
      <c r="F84" s="59" t="s">
        <v>18</v>
      </c>
      <c r="G84" s="61" t="s">
        <v>31</v>
      </c>
      <c r="H84" s="59" t="s">
        <v>20</v>
      </c>
      <c r="I84" s="61" t="s">
        <v>50</v>
      </c>
      <c r="J84" s="63" t="s">
        <v>21</v>
      </c>
      <c r="K84" s="61" t="s">
        <v>50</v>
      </c>
      <c r="L84" s="63" t="s">
        <v>22</v>
      </c>
      <c r="M84" s="83" t="s">
        <v>50</v>
      </c>
      <c r="N84" s="60" t="s">
        <v>152</v>
      </c>
      <c r="O84" s="59"/>
      <c r="P84" s="59"/>
    </row>
    <row r="85" ht="22.5" customHeight="1">
      <c r="A85" s="60" t="s">
        <v>751</v>
      </c>
      <c r="B85" s="92" t="s">
        <v>752</v>
      </c>
      <c r="C85" s="59">
        <f t="shared" si="1"/>
        <v>2</v>
      </c>
      <c r="D85" s="61" t="s">
        <v>34</v>
      </c>
      <c r="E85" s="61" t="s">
        <v>656</v>
      </c>
      <c r="F85" s="59" t="s">
        <v>18</v>
      </c>
      <c r="G85" s="61" t="s">
        <v>19</v>
      </c>
      <c r="H85" s="59" t="s">
        <v>20</v>
      </c>
      <c r="I85" s="61" t="s">
        <v>19</v>
      </c>
      <c r="J85" s="63" t="s">
        <v>21</v>
      </c>
      <c r="K85" s="61" t="s">
        <v>31</v>
      </c>
      <c r="L85" s="63" t="s">
        <v>22</v>
      </c>
      <c r="M85" s="61" t="s">
        <v>31</v>
      </c>
      <c r="N85" s="60" t="s">
        <v>727</v>
      </c>
      <c r="O85" s="59"/>
      <c r="P85" s="59"/>
    </row>
    <row r="86" ht="22.5" customHeight="1">
      <c r="A86" s="59"/>
      <c r="B86" s="60" t="s">
        <v>753</v>
      </c>
      <c r="C86" s="59">
        <f t="shared" si="1"/>
        <v>1</v>
      </c>
      <c r="D86" s="61" t="s">
        <v>16</v>
      </c>
      <c r="E86" s="61" t="s">
        <v>49</v>
      </c>
      <c r="F86" s="59" t="s">
        <v>18</v>
      </c>
      <c r="G86" s="61" t="s">
        <v>19</v>
      </c>
      <c r="H86" s="59" t="s">
        <v>20</v>
      </c>
      <c r="I86" s="61" t="s">
        <v>50</v>
      </c>
      <c r="J86" s="63" t="s">
        <v>21</v>
      </c>
      <c r="K86" s="61" t="s">
        <v>50</v>
      </c>
      <c r="L86" s="63" t="s">
        <v>22</v>
      </c>
      <c r="M86" s="61" t="s">
        <v>50</v>
      </c>
      <c r="N86" s="60" t="s">
        <v>372</v>
      </c>
      <c r="O86" s="59"/>
      <c r="P86" s="59"/>
    </row>
    <row r="87" ht="22.5" customHeight="1">
      <c r="A87" s="87" t="s">
        <v>637</v>
      </c>
      <c r="B87" s="82" t="s">
        <v>754</v>
      </c>
      <c r="C87" s="93">
        <f t="shared" si="1"/>
        <v>1</v>
      </c>
      <c r="D87" s="94" t="s">
        <v>34</v>
      </c>
      <c r="E87" s="94" t="s">
        <v>49</v>
      </c>
      <c r="F87" s="93" t="s">
        <v>18</v>
      </c>
      <c r="G87" s="94" t="s">
        <v>50</v>
      </c>
      <c r="H87" s="93" t="s">
        <v>20</v>
      </c>
      <c r="I87" s="94" t="s">
        <v>31</v>
      </c>
      <c r="J87" s="95" t="s">
        <v>21</v>
      </c>
      <c r="K87" s="94" t="s">
        <v>50</v>
      </c>
      <c r="L87" s="95" t="s">
        <v>22</v>
      </c>
      <c r="M87" s="96" t="s">
        <v>19</v>
      </c>
      <c r="N87" s="60" t="s">
        <v>372</v>
      </c>
      <c r="O87" s="93"/>
      <c r="P87" s="93"/>
    </row>
    <row r="88" ht="22.5" customHeight="1">
      <c r="A88" s="60" t="s">
        <v>755</v>
      </c>
      <c r="B88" s="60" t="s">
        <v>756</v>
      </c>
      <c r="C88" s="59">
        <f t="shared" si="1"/>
        <v>3</v>
      </c>
      <c r="D88" s="61" t="s">
        <v>34</v>
      </c>
      <c r="E88" s="61" t="s">
        <v>49</v>
      </c>
      <c r="F88" s="59" t="s">
        <v>18</v>
      </c>
      <c r="G88" s="61" t="s">
        <v>31</v>
      </c>
      <c r="H88" s="59" t="s">
        <v>20</v>
      </c>
      <c r="I88" s="61" t="s">
        <v>19</v>
      </c>
      <c r="J88" s="63" t="s">
        <v>21</v>
      </c>
      <c r="K88" s="61" t="s">
        <v>19</v>
      </c>
      <c r="L88" s="63" t="s">
        <v>22</v>
      </c>
      <c r="M88" s="61" t="s">
        <v>19</v>
      </c>
      <c r="N88" s="60" t="s">
        <v>372</v>
      </c>
      <c r="O88" s="59"/>
      <c r="P88" s="59"/>
    </row>
    <row r="89" ht="22.5" customHeight="1">
      <c r="A89" s="97" t="s">
        <v>757</v>
      </c>
      <c r="B89" s="98" t="s">
        <v>534</v>
      </c>
      <c r="C89" s="99">
        <f t="shared" si="1"/>
        <v>3</v>
      </c>
      <c r="D89" s="100" t="s">
        <v>34</v>
      </c>
      <c r="E89" s="100" t="s">
        <v>49</v>
      </c>
      <c r="F89" s="99" t="s">
        <v>18</v>
      </c>
      <c r="G89" s="100" t="s">
        <v>31</v>
      </c>
      <c r="H89" s="99" t="s">
        <v>20</v>
      </c>
      <c r="I89" s="100" t="s">
        <v>19</v>
      </c>
      <c r="J89" s="101" t="s">
        <v>21</v>
      </c>
      <c r="K89" s="100" t="s">
        <v>19</v>
      </c>
      <c r="L89" s="101" t="s">
        <v>22</v>
      </c>
      <c r="M89" s="102" t="s">
        <v>19</v>
      </c>
      <c r="N89" s="98" t="s">
        <v>372</v>
      </c>
      <c r="O89" s="99"/>
      <c r="P89" s="99"/>
    </row>
    <row r="90" ht="22.5" customHeight="1">
      <c r="A90" s="81" t="s">
        <v>637</v>
      </c>
      <c r="B90" s="60" t="s">
        <v>758</v>
      </c>
      <c r="C90" s="59">
        <f t="shared" si="1"/>
        <v>2</v>
      </c>
      <c r="D90" s="61" t="s">
        <v>34</v>
      </c>
      <c r="E90" s="61" t="s">
        <v>40</v>
      </c>
      <c r="F90" s="59" t="s">
        <v>18</v>
      </c>
      <c r="G90" s="61" t="s">
        <v>31</v>
      </c>
      <c r="H90" s="59" t="s">
        <v>20</v>
      </c>
      <c r="I90" s="61" t="s">
        <v>19</v>
      </c>
      <c r="J90" s="63" t="s">
        <v>21</v>
      </c>
      <c r="K90" s="61" t="s">
        <v>31</v>
      </c>
      <c r="L90" s="63" t="s">
        <v>22</v>
      </c>
      <c r="M90" s="61" t="s">
        <v>19</v>
      </c>
      <c r="N90" s="60" t="s">
        <v>696</v>
      </c>
      <c r="O90" s="59"/>
      <c r="P90" s="59"/>
    </row>
    <row r="91" ht="22.5" customHeight="1">
      <c r="A91" s="87" t="s">
        <v>637</v>
      </c>
      <c r="B91" s="82" t="s">
        <v>535</v>
      </c>
      <c r="C91" s="59">
        <f t="shared" si="1"/>
        <v>1</v>
      </c>
      <c r="D91" s="61" t="s">
        <v>34</v>
      </c>
      <c r="E91" s="61" t="s">
        <v>49</v>
      </c>
      <c r="F91" s="59" t="s">
        <v>18</v>
      </c>
      <c r="G91" s="61" t="s">
        <v>19</v>
      </c>
      <c r="H91" s="59" t="s">
        <v>20</v>
      </c>
      <c r="I91" s="61" t="s">
        <v>31</v>
      </c>
      <c r="J91" s="63" t="s">
        <v>21</v>
      </c>
      <c r="K91" s="61" t="s">
        <v>50</v>
      </c>
      <c r="L91" s="63" t="s">
        <v>22</v>
      </c>
      <c r="M91" s="83" t="s">
        <v>50</v>
      </c>
      <c r="N91" s="60" t="s">
        <v>372</v>
      </c>
      <c r="O91" s="59"/>
      <c r="P91" s="59"/>
    </row>
    <row r="92" ht="22.5" customHeight="1">
      <c r="A92" s="60" t="s">
        <v>759</v>
      </c>
      <c r="B92" s="82" t="s">
        <v>536</v>
      </c>
      <c r="C92" s="59">
        <f t="shared" si="1"/>
        <v>2</v>
      </c>
      <c r="D92" s="61" t="s">
        <v>34</v>
      </c>
      <c r="E92" s="61" t="s">
        <v>49</v>
      </c>
      <c r="F92" s="59" t="s">
        <v>18</v>
      </c>
      <c r="G92" s="61" t="s">
        <v>31</v>
      </c>
      <c r="H92" s="59" t="s">
        <v>20</v>
      </c>
      <c r="I92" s="61" t="s">
        <v>31</v>
      </c>
      <c r="J92" s="63" t="s">
        <v>21</v>
      </c>
      <c r="K92" s="61" t="s">
        <v>19</v>
      </c>
      <c r="L92" s="63" t="s">
        <v>22</v>
      </c>
      <c r="M92" s="61" t="s">
        <v>640</v>
      </c>
      <c r="N92" s="60" t="s">
        <v>372</v>
      </c>
      <c r="O92" s="60"/>
      <c r="P92" s="84"/>
    </row>
    <row r="93" ht="22.5" customHeight="1">
      <c r="A93" s="87" t="s">
        <v>637</v>
      </c>
      <c r="B93" s="82" t="s">
        <v>537</v>
      </c>
      <c r="C93" s="59">
        <f t="shared" si="1"/>
        <v>0</v>
      </c>
      <c r="D93" s="61" t="s">
        <v>34</v>
      </c>
      <c r="E93" s="61" t="s">
        <v>49</v>
      </c>
      <c r="F93" s="59" t="s">
        <v>18</v>
      </c>
      <c r="G93" s="61" t="s">
        <v>31</v>
      </c>
      <c r="H93" s="59" t="s">
        <v>20</v>
      </c>
      <c r="I93" s="61" t="s">
        <v>50</v>
      </c>
      <c r="J93" s="63" t="s">
        <v>21</v>
      </c>
      <c r="K93" s="61" t="s">
        <v>50</v>
      </c>
      <c r="L93" s="63" t="s">
        <v>22</v>
      </c>
      <c r="M93" s="83" t="s">
        <v>50</v>
      </c>
      <c r="N93" s="60" t="s">
        <v>372</v>
      </c>
      <c r="O93" s="59"/>
      <c r="P93" s="59"/>
    </row>
    <row r="94" ht="22.5" customHeight="1">
      <c r="A94" s="60" t="s">
        <v>760</v>
      </c>
      <c r="B94" s="60" t="s">
        <v>761</v>
      </c>
      <c r="C94" s="59">
        <f t="shared" si="1"/>
        <v>1</v>
      </c>
      <c r="D94" s="61" t="s">
        <v>34</v>
      </c>
      <c r="E94" s="61" t="s">
        <v>635</v>
      </c>
      <c r="F94" s="59" t="s">
        <v>18</v>
      </c>
      <c r="G94" s="61" t="s">
        <v>19</v>
      </c>
      <c r="H94" s="59" t="s">
        <v>20</v>
      </c>
      <c r="I94" s="61" t="s">
        <v>31</v>
      </c>
      <c r="J94" s="63" t="s">
        <v>21</v>
      </c>
      <c r="K94" s="61" t="s">
        <v>31</v>
      </c>
      <c r="L94" s="63" t="s">
        <v>22</v>
      </c>
      <c r="M94" s="61" t="s">
        <v>31</v>
      </c>
      <c r="N94" s="60" t="s">
        <v>762</v>
      </c>
      <c r="O94" s="60" t="s">
        <v>763</v>
      </c>
      <c r="P94" s="84"/>
    </row>
    <row r="95" ht="22.5" customHeight="1">
      <c r="A95" s="81" t="s">
        <v>637</v>
      </c>
      <c r="B95" s="82" t="s">
        <v>538</v>
      </c>
      <c r="C95" s="59">
        <f t="shared" si="1"/>
        <v>1</v>
      </c>
      <c r="D95" s="61" t="s">
        <v>34</v>
      </c>
      <c r="E95" s="61" t="s">
        <v>49</v>
      </c>
      <c r="F95" s="59" t="s">
        <v>18</v>
      </c>
      <c r="G95" s="61" t="s">
        <v>31</v>
      </c>
      <c r="H95" s="59" t="s">
        <v>20</v>
      </c>
      <c r="I95" s="61" t="s">
        <v>19</v>
      </c>
      <c r="J95" s="63" t="s">
        <v>21</v>
      </c>
      <c r="K95" s="61" t="s">
        <v>31</v>
      </c>
      <c r="L95" s="63" t="s">
        <v>22</v>
      </c>
      <c r="M95" s="61" t="s">
        <v>50</v>
      </c>
      <c r="N95" s="60" t="s">
        <v>372</v>
      </c>
      <c r="O95" s="59"/>
      <c r="P95" s="59"/>
    </row>
    <row r="96" ht="22.5" customHeight="1">
      <c r="A96" s="87" t="s">
        <v>637</v>
      </c>
      <c r="B96" s="82" t="s">
        <v>539</v>
      </c>
      <c r="C96" s="59">
        <f t="shared" si="1"/>
        <v>3</v>
      </c>
      <c r="D96" s="61" t="s">
        <v>34</v>
      </c>
      <c r="E96" s="61" t="s">
        <v>49</v>
      </c>
      <c r="F96" s="59" t="s">
        <v>18</v>
      </c>
      <c r="G96" s="61" t="s">
        <v>19</v>
      </c>
      <c r="H96" s="59" t="s">
        <v>20</v>
      </c>
      <c r="I96" s="61" t="s">
        <v>19</v>
      </c>
      <c r="J96" s="63" t="s">
        <v>21</v>
      </c>
      <c r="K96" s="61" t="s">
        <v>31</v>
      </c>
      <c r="L96" s="63" t="s">
        <v>22</v>
      </c>
      <c r="M96" s="61" t="s">
        <v>640</v>
      </c>
      <c r="N96" s="60" t="s">
        <v>372</v>
      </c>
      <c r="O96" s="60"/>
      <c r="P96" s="84"/>
    </row>
    <row r="97" ht="22.5" customHeight="1">
      <c r="A97" s="60" t="s">
        <v>764</v>
      </c>
      <c r="B97" s="82" t="s">
        <v>540</v>
      </c>
      <c r="C97" s="59">
        <f t="shared" si="1"/>
        <v>0</v>
      </c>
      <c r="D97" s="61" t="s">
        <v>34</v>
      </c>
      <c r="E97" s="61" t="s">
        <v>49</v>
      </c>
      <c r="F97" s="59" t="s">
        <v>18</v>
      </c>
      <c r="G97" s="61" t="s">
        <v>31</v>
      </c>
      <c r="H97" s="59" t="s">
        <v>20</v>
      </c>
      <c r="I97" s="61" t="s">
        <v>31</v>
      </c>
      <c r="J97" s="63" t="s">
        <v>21</v>
      </c>
      <c r="K97" s="61" t="s">
        <v>31</v>
      </c>
      <c r="L97" s="63" t="s">
        <v>22</v>
      </c>
      <c r="M97" s="61" t="s">
        <v>31</v>
      </c>
      <c r="N97" s="60" t="s">
        <v>372</v>
      </c>
      <c r="O97" s="60"/>
      <c r="P97" s="84"/>
    </row>
    <row r="98" ht="22.5" customHeight="1">
      <c r="A98" s="81" t="s">
        <v>637</v>
      </c>
      <c r="B98" s="60" t="s">
        <v>765</v>
      </c>
      <c r="C98" s="59">
        <f t="shared" si="1"/>
        <v>3</v>
      </c>
      <c r="D98" s="61" t="s">
        <v>34</v>
      </c>
      <c r="E98" s="61" t="s">
        <v>656</v>
      </c>
      <c r="F98" s="59" t="s">
        <v>18</v>
      </c>
      <c r="G98" s="61" t="s">
        <v>31</v>
      </c>
      <c r="H98" s="59" t="s">
        <v>20</v>
      </c>
      <c r="I98" s="61" t="s">
        <v>19</v>
      </c>
      <c r="J98" s="63" t="s">
        <v>21</v>
      </c>
      <c r="K98" s="61" t="s">
        <v>19</v>
      </c>
      <c r="L98" s="63" t="s">
        <v>22</v>
      </c>
      <c r="M98" s="61" t="s">
        <v>19</v>
      </c>
      <c r="N98" s="60" t="s">
        <v>766</v>
      </c>
      <c r="O98" s="59"/>
      <c r="P98" s="59"/>
    </row>
    <row r="99" ht="22.5" customHeight="1">
      <c r="A99" s="60" t="s">
        <v>488</v>
      </c>
      <c r="B99" s="60" t="s">
        <v>767</v>
      </c>
      <c r="C99" s="59">
        <f t="shared" si="1"/>
        <v>4</v>
      </c>
      <c r="D99" s="61" t="s">
        <v>16</v>
      </c>
      <c r="E99" s="61" t="s">
        <v>17</v>
      </c>
      <c r="F99" s="59" t="s">
        <v>18</v>
      </c>
      <c r="G99" s="61" t="s">
        <v>19</v>
      </c>
      <c r="H99" s="59" t="s">
        <v>20</v>
      </c>
      <c r="I99" s="61" t="s">
        <v>19</v>
      </c>
      <c r="J99" s="63" t="s">
        <v>21</v>
      </c>
      <c r="K99" s="61" t="s">
        <v>19</v>
      </c>
      <c r="L99" s="63" t="s">
        <v>22</v>
      </c>
      <c r="M99" s="61" t="s">
        <v>19</v>
      </c>
      <c r="N99" s="60" t="s">
        <v>376</v>
      </c>
      <c r="O99" s="59"/>
      <c r="P99" s="59"/>
    </row>
    <row r="100" ht="22.5" customHeight="1">
      <c r="A100" s="71"/>
      <c r="B100" s="92" t="s">
        <v>768</v>
      </c>
      <c r="C100" s="59">
        <f t="shared" si="1"/>
        <v>1</v>
      </c>
      <c r="D100" s="61" t="s">
        <v>34</v>
      </c>
      <c r="E100" s="61" t="s">
        <v>656</v>
      </c>
      <c r="F100" s="59" t="s">
        <v>18</v>
      </c>
      <c r="G100" s="61" t="s">
        <v>640</v>
      </c>
      <c r="H100" s="59" t="s">
        <v>20</v>
      </c>
      <c r="I100" s="61" t="s">
        <v>31</v>
      </c>
      <c r="J100" s="63" t="s">
        <v>21</v>
      </c>
      <c r="K100" s="61" t="s">
        <v>26</v>
      </c>
      <c r="L100" s="63" t="s">
        <v>22</v>
      </c>
      <c r="M100" s="61" t="s">
        <v>31</v>
      </c>
      <c r="N100" s="60" t="s">
        <v>769</v>
      </c>
      <c r="O100" s="59"/>
      <c r="P100" s="59"/>
    </row>
    <row r="101" ht="22.5" customHeight="1">
      <c r="A101" s="60" t="s">
        <v>493</v>
      </c>
      <c r="B101" s="60" t="s">
        <v>770</v>
      </c>
      <c r="C101" s="59">
        <f t="shared" si="1"/>
        <v>4</v>
      </c>
      <c r="D101" s="61" t="s">
        <v>16</v>
      </c>
      <c r="E101" s="61" t="s">
        <v>17</v>
      </c>
      <c r="F101" s="59" t="s">
        <v>18</v>
      </c>
      <c r="G101" s="61" t="s">
        <v>19</v>
      </c>
      <c r="H101" s="59" t="s">
        <v>20</v>
      </c>
      <c r="I101" s="61" t="s">
        <v>19</v>
      </c>
      <c r="J101" s="63" t="s">
        <v>21</v>
      </c>
      <c r="K101" s="61" t="s">
        <v>19</v>
      </c>
      <c r="L101" s="63" t="s">
        <v>22</v>
      </c>
      <c r="M101" s="61" t="s">
        <v>19</v>
      </c>
      <c r="N101" s="60" t="s">
        <v>376</v>
      </c>
      <c r="O101" s="59"/>
      <c r="P101" s="59"/>
    </row>
    <row r="102" ht="22.5" customHeight="1">
      <c r="A102" s="81" t="s">
        <v>771</v>
      </c>
      <c r="B102" s="82" t="s">
        <v>541</v>
      </c>
      <c r="C102" s="59">
        <f t="shared" si="1"/>
        <v>0</v>
      </c>
      <c r="D102" s="61" t="s">
        <v>34</v>
      </c>
      <c r="E102" s="61" t="s">
        <v>49</v>
      </c>
      <c r="F102" s="59" t="s">
        <v>18</v>
      </c>
      <c r="G102" s="61" t="s">
        <v>31</v>
      </c>
      <c r="H102" s="59" t="s">
        <v>20</v>
      </c>
      <c r="I102" s="61" t="s">
        <v>50</v>
      </c>
      <c r="J102" s="63" t="s">
        <v>21</v>
      </c>
      <c r="K102" s="61" t="s">
        <v>50</v>
      </c>
      <c r="L102" s="63" t="s">
        <v>22</v>
      </c>
      <c r="M102" s="61" t="s">
        <v>50</v>
      </c>
      <c r="N102" s="60" t="s">
        <v>372</v>
      </c>
      <c r="O102" s="59"/>
      <c r="P102" s="59"/>
    </row>
    <row r="103" ht="22.5" customHeight="1">
      <c r="A103" s="60" t="s">
        <v>489</v>
      </c>
      <c r="B103" s="60" t="s">
        <v>772</v>
      </c>
      <c r="C103" s="59">
        <f t="shared" si="1"/>
        <v>4</v>
      </c>
      <c r="D103" s="61" t="s">
        <v>16</v>
      </c>
      <c r="E103" s="61" t="s">
        <v>17</v>
      </c>
      <c r="F103" s="59" t="s">
        <v>18</v>
      </c>
      <c r="G103" s="61" t="s">
        <v>19</v>
      </c>
      <c r="H103" s="59" t="s">
        <v>20</v>
      </c>
      <c r="I103" s="61" t="s">
        <v>19</v>
      </c>
      <c r="J103" s="63" t="s">
        <v>21</v>
      </c>
      <c r="K103" s="61" t="s">
        <v>19</v>
      </c>
      <c r="L103" s="63" t="s">
        <v>22</v>
      </c>
      <c r="M103" s="61" t="s">
        <v>19</v>
      </c>
      <c r="N103" s="60" t="s">
        <v>376</v>
      </c>
      <c r="O103" s="59"/>
      <c r="P103" s="59"/>
    </row>
    <row r="104" ht="22.5" customHeight="1">
      <c r="A104" s="87" t="s">
        <v>637</v>
      </c>
      <c r="B104" s="82" t="s">
        <v>542</v>
      </c>
      <c r="C104" s="59">
        <f t="shared" si="1"/>
        <v>0</v>
      </c>
      <c r="D104" s="61" t="s">
        <v>34</v>
      </c>
      <c r="E104" s="61" t="s">
        <v>49</v>
      </c>
      <c r="F104" s="59" t="s">
        <v>18</v>
      </c>
      <c r="G104" s="61" t="s">
        <v>31</v>
      </c>
      <c r="H104" s="59" t="s">
        <v>20</v>
      </c>
      <c r="I104" s="61" t="s">
        <v>31</v>
      </c>
      <c r="J104" s="63" t="s">
        <v>21</v>
      </c>
      <c r="K104" s="61" t="s">
        <v>50</v>
      </c>
      <c r="L104" s="63" t="s">
        <v>22</v>
      </c>
      <c r="M104" s="61" t="s">
        <v>50</v>
      </c>
      <c r="N104" s="60" t="s">
        <v>372</v>
      </c>
      <c r="O104" s="59"/>
      <c r="P104" s="59"/>
    </row>
    <row r="105" ht="22.5" customHeight="1">
      <c r="A105" s="87" t="s">
        <v>637</v>
      </c>
      <c r="B105" s="82" t="s">
        <v>543</v>
      </c>
      <c r="C105" s="59">
        <f t="shared" si="1"/>
        <v>0</v>
      </c>
      <c r="D105" s="61" t="s">
        <v>34</v>
      </c>
      <c r="E105" s="61" t="s">
        <v>49</v>
      </c>
      <c r="F105" s="59" t="s">
        <v>18</v>
      </c>
      <c r="G105" s="61" t="s">
        <v>31</v>
      </c>
      <c r="H105" s="59" t="s">
        <v>20</v>
      </c>
      <c r="I105" s="61" t="s">
        <v>50</v>
      </c>
      <c r="J105" s="63" t="s">
        <v>21</v>
      </c>
      <c r="K105" s="61" t="s">
        <v>50</v>
      </c>
      <c r="L105" s="63" t="s">
        <v>22</v>
      </c>
      <c r="M105" s="83" t="s">
        <v>50</v>
      </c>
      <c r="N105" s="60" t="s">
        <v>372</v>
      </c>
      <c r="O105" s="59"/>
      <c r="P105" s="59"/>
    </row>
    <row r="106" ht="22.5" customHeight="1">
      <c r="A106" s="60" t="s">
        <v>637</v>
      </c>
      <c r="B106" s="82" t="s">
        <v>773</v>
      </c>
      <c r="C106" s="59">
        <f t="shared" si="1"/>
        <v>2</v>
      </c>
      <c r="D106" s="61" t="s">
        <v>34</v>
      </c>
      <c r="E106" s="61" t="s">
        <v>35</v>
      </c>
      <c r="F106" s="59" t="s">
        <v>18</v>
      </c>
      <c r="G106" s="61" t="s">
        <v>31</v>
      </c>
      <c r="H106" s="59" t="s">
        <v>20</v>
      </c>
      <c r="I106" s="61" t="s">
        <v>31</v>
      </c>
      <c r="J106" s="63" t="s">
        <v>21</v>
      </c>
      <c r="K106" s="61" t="s">
        <v>19</v>
      </c>
      <c r="L106" s="63" t="s">
        <v>22</v>
      </c>
      <c r="M106" s="61" t="s">
        <v>640</v>
      </c>
      <c r="N106" s="60" t="s">
        <v>774</v>
      </c>
      <c r="O106" s="60" t="s">
        <v>775</v>
      </c>
      <c r="P106" s="59"/>
    </row>
    <row r="107" ht="22.5" customHeight="1">
      <c r="A107" s="81" t="s">
        <v>637</v>
      </c>
      <c r="B107" s="60" t="s">
        <v>776</v>
      </c>
      <c r="C107" s="59">
        <f t="shared" si="1"/>
        <v>4</v>
      </c>
      <c r="D107" s="61" t="s">
        <v>34</v>
      </c>
      <c r="E107" s="61" t="s">
        <v>40</v>
      </c>
      <c r="F107" s="59" t="s">
        <v>18</v>
      </c>
      <c r="G107" s="61" t="s">
        <v>19</v>
      </c>
      <c r="H107" s="59" t="s">
        <v>20</v>
      </c>
      <c r="I107" s="61" t="s">
        <v>19</v>
      </c>
      <c r="J107" s="63" t="s">
        <v>21</v>
      </c>
      <c r="K107" s="61" t="s">
        <v>19</v>
      </c>
      <c r="L107" s="63" t="s">
        <v>22</v>
      </c>
      <c r="M107" s="61" t="s">
        <v>19</v>
      </c>
      <c r="N107" s="60" t="s">
        <v>376</v>
      </c>
      <c r="O107" s="59"/>
      <c r="P107" s="59"/>
    </row>
    <row r="108" ht="22.5" customHeight="1">
      <c r="A108" s="87" t="s">
        <v>637</v>
      </c>
      <c r="B108" s="82" t="s">
        <v>544</v>
      </c>
      <c r="C108" s="59">
        <f t="shared" si="1"/>
        <v>1</v>
      </c>
      <c r="D108" s="61" t="s">
        <v>16</v>
      </c>
      <c r="E108" s="61" t="s">
        <v>49</v>
      </c>
      <c r="F108" s="59" t="s">
        <v>18</v>
      </c>
      <c r="G108" s="61" t="s">
        <v>50</v>
      </c>
      <c r="H108" s="59" t="s">
        <v>20</v>
      </c>
      <c r="I108" s="61" t="s">
        <v>19</v>
      </c>
      <c r="J108" s="63" t="s">
        <v>21</v>
      </c>
      <c r="K108" s="61" t="s">
        <v>50</v>
      </c>
      <c r="L108" s="63" t="s">
        <v>22</v>
      </c>
      <c r="M108" s="83" t="s">
        <v>50</v>
      </c>
      <c r="N108" s="60" t="s">
        <v>372</v>
      </c>
      <c r="O108" s="59"/>
      <c r="P108" s="59"/>
    </row>
    <row r="109" ht="22.5" customHeight="1">
      <c r="A109" s="59"/>
      <c r="B109" s="82" t="s">
        <v>545</v>
      </c>
      <c r="C109" s="59">
        <f t="shared" si="1"/>
        <v>1</v>
      </c>
      <c r="D109" s="61" t="s">
        <v>34</v>
      </c>
      <c r="E109" s="61" t="s">
        <v>49</v>
      </c>
      <c r="F109" s="59" t="s">
        <v>18</v>
      </c>
      <c r="G109" s="61" t="s">
        <v>19</v>
      </c>
      <c r="H109" s="59" t="s">
        <v>20</v>
      </c>
      <c r="I109" s="61" t="s">
        <v>31</v>
      </c>
      <c r="J109" s="63" t="s">
        <v>21</v>
      </c>
      <c r="K109" s="61" t="s">
        <v>31</v>
      </c>
      <c r="L109" s="63" t="s">
        <v>22</v>
      </c>
      <c r="M109" s="61" t="s">
        <v>31</v>
      </c>
      <c r="N109" s="60" t="s">
        <v>372</v>
      </c>
      <c r="O109" s="60"/>
      <c r="P109" s="84"/>
    </row>
    <row r="110" ht="22.5" customHeight="1">
      <c r="A110" s="87" t="s">
        <v>637</v>
      </c>
      <c r="B110" s="82" t="s">
        <v>546</v>
      </c>
      <c r="C110" s="59">
        <f t="shared" si="1"/>
        <v>0</v>
      </c>
      <c r="D110" s="61" t="s">
        <v>34</v>
      </c>
      <c r="E110" s="61" t="s">
        <v>49</v>
      </c>
      <c r="F110" s="59" t="s">
        <v>18</v>
      </c>
      <c r="G110" s="61" t="s">
        <v>50</v>
      </c>
      <c r="H110" s="59" t="s">
        <v>20</v>
      </c>
      <c r="I110" s="61" t="s">
        <v>50</v>
      </c>
      <c r="J110" s="63" t="s">
        <v>21</v>
      </c>
      <c r="K110" s="61" t="s">
        <v>50</v>
      </c>
      <c r="L110" s="63" t="s">
        <v>22</v>
      </c>
      <c r="M110" s="61" t="s">
        <v>50</v>
      </c>
      <c r="N110" s="60" t="s">
        <v>372</v>
      </c>
      <c r="O110" s="59"/>
      <c r="P110" s="59"/>
    </row>
    <row r="111" ht="22.5" customHeight="1">
      <c r="A111" s="59"/>
      <c r="B111" s="86" t="s">
        <v>777</v>
      </c>
      <c r="C111" s="59">
        <f t="shared" si="1"/>
        <v>2</v>
      </c>
      <c r="D111" s="61" t="s">
        <v>34</v>
      </c>
      <c r="E111" s="61" t="s">
        <v>656</v>
      </c>
      <c r="F111" s="59" t="s">
        <v>18</v>
      </c>
      <c r="G111" s="61" t="s">
        <v>31</v>
      </c>
      <c r="H111" s="59" t="s">
        <v>20</v>
      </c>
      <c r="I111" s="61" t="s">
        <v>19</v>
      </c>
      <c r="J111" s="63" t="s">
        <v>21</v>
      </c>
      <c r="K111" s="61" t="s">
        <v>19</v>
      </c>
      <c r="L111" s="63" t="s">
        <v>22</v>
      </c>
      <c r="M111" s="61" t="s">
        <v>31</v>
      </c>
      <c r="N111" s="60" t="s">
        <v>778</v>
      </c>
      <c r="O111" s="59"/>
      <c r="P111" s="59"/>
    </row>
    <row r="112" ht="22.5" customHeight="1">
      <c r="A112" s="81" t="s">
        <v>637</v>
      </c>
      <c r="B112" s="82" t="s">
        <v>779</v>
      </c>
      <c r="C112" s="59">
        <f t="shared" si="1"/>
        <v>2</v>
      </c>
      <c r="D112" s="61" t="s">
        <v>34</v>
      </c>
      <c r="E112" s="61" t="s">
        <v>40</v>
      </c>
      <c r="F112" s="59" t="s">
        <v>18</v>
      </c>
      <c r="G112" s="61" t="s">
        <v>31</v>
      </c>
      <c r="H112" s="59" t="s">
        <v>20</v>
      </c>
      <c r="I112" s="61" t="s">
        <v>31</v>
      </c>
      <c r="J112" s="63" t="s">
        <v>21</v>
      </c>
      <c r="K112" s="61" t="s">
        <v>19</v>
      </c>
      <c r="L112" s="63" t="s">
        <v>22</v>
      </c>
      <c r="M112" s="61" t="s">
        <v>19</v>
      </c>
      <c r="N112" s="60" t="s">
        <v>696</v>
      </c>
      <c r="O112" s="59"/>
      <c r="P112" s="59"/>
    </row>
    <row r="113" ht="22.5" customHeight="1">
      <c r="A113" s="59"/>
      <c r="B113" s="103" t="s">
        <v>780</v>
      </c>
      <c r="C113" s="59">
        <f t="shared" si="1"/>
        <v>1</v>
      </c>
      <c r="D113" s="61" t="s">
        <v>34</v>
      </c>
      <c r="E113" s="61" t="s">
        <v>656</v>
      </c>
      <c r="F113" s="59" t="s">
        <v>18</v>
      </c>
      <c r="G113" s="61" t="s">
        <v>31</v>
      </c>
      <c r="H113" s="59" t="s">
        <v>20</v>
      </c>
      <c r="I113" s="61" t="s">
        <v>31</v>
      </c>
      <c r="J113" s="63" t="s">
        <v>21</v>
      </c>
      <c r="K113" s="61" t="s">
        <v>19</v>
      </c>
      <c r="L113" s="63" t="s">
        <v>22</v>
      </c>
      <c r="M113" s="83" t="s">
        <v>31</v>
      </c>
      <c r="N113" s="60" t="s">
        <v>781</v>
      </c>
      <c r="O113" s="59"/>
      <c r="P113" s="59"/>
    </row>
    <row r="114" ht="22.5" customHeight="1">
      <c r="A114" s="81" t="s">
        <v>782</v>
      </c>
      <c r="B114" s="82" t="s">
        <v>783</v>
      </c>
      <c r="C114" s="59">
        <f t="shared" si="1"/>
        <v>2</v>
      </c>
      <c r="D114" s="61" t="s">
        <v>34</v>
      </c>
      <c r="E114" s="61" t="s">
        <v>40</v>
      </c>
      <c r="F114" s="59" t="s">
        <v>18</v>
      </c>
      <c r="G114" s="61" t="s">
        <v>31</v>
      </c>
      <c r="H114" s="59" t="s">
        <v>20</v>
      </c>
      <c r="I114" s="61" t="s">
        <v>19</v>
      </c>
      <c r="J114" s="63" t="s">
        <v>21</v>
      </c>
      <c r="K114" s="61" t="s">
        <v>31</v>
      </c>
      <c r="L114" s="63" t="s">
        <v>22</v>
      </c>
      <c r="M114" s="83" t="s">
        <v>19</v>
      </c>
      <c r="N114" s="60" t="s">
        <v>696</v>
      </c>
      <c r="O114" s="59"/>
      <c r="P114" s="59"/>
    </row>
    <row r="115" ht="22.5" customHeight="1">
      <c r="A115" s="81" t="s">
        <v>637</v>
      </c>
      <c r="B115" s="60" t="s">
        <v>784</v>
      </c>
      <c r="C115" s="59">
        <f t="shared" si="1"/>
        <v>2</v>
      </c>
      <c r="D115" s="61" t="s">
        <v>34</v>
      </c>
      <c r="E115" s="61" t="s">
        <v>40</v>
      </c>
      <c r="F115" s="59" t="s">
        <v>18</v>
      </c>
      <c r="G115" s="61" t="s">
        <v>31</v>
      </c>
      <c r="H115" s="59" t="s">
        <v>20</v>
      </c>
      <c r="I115" s="61" t="s">
        <v>31</v>
      </c>
      <c r="J115" s="63" t="s">
        <v>21</v>
      </c>
      <c r="K115" s="61" t="s">
        <v>19</v>
      </c>
      <c r="L115" s="63" t="s">
        <v>22</v>
      </c>
      <c r="M115" s="61" t="s">
        <v>19</v>
      </c>
      <c r="N115" s="60" t="s">
        <v>376</v>
      </c>
      <c r="O115" s="59"/>
      <c r="P115" s="59"/>
    </row>
    <row r="116" ht="22.5" customHeight="1">
      <c r="A116" s="59"/>
      <c r="B116" s="86" t="s">
        <v>785</v>
      </c>
      <c r="C116" s="59">
        <f t="shared" si="1"/>
        <v>2</v>
      </c>
      <c r="D116" s="61" t="s">
        <v>34</v>
      </c>
      <c r="E116" s="61" t="s">
        <v>656</v>
      </c>
      <c r="F116" s="59" t="s">
        <v>18</v>
      </c>
      <c r="G116" s="61" t="s">
        <v>19</v>
      </c>
      <c r="H116" s="59" t="s">
        <v>20</v>
      </c>
      <c r="I116" s="61" t="s">
        <v>19</v>
      </c>
      <c r="J116" s="63" t="s">
        <v>21</v>
      </c>
      <c r="K116" s="61" t="s">
        <v>31</v>
      </c>
      <c r="L116" s="63" t="s">
        <v>22</v>
      </c>
      <c r="M116" s="61" t="s">
        <v>31</v>
      </c>
      <c r="N116" s="60" t="s">
        <v>409</v>
      </c>
      <c r="O116" s="60" t="s">
        <v>786</v>
      </c>
      <c r="P116" s="84"/>
    </row>
    <row r="117" ht="22.5" customHeight="1">
      <c r="A117" s="60" t="s">
        <v>494</v>
      </c>
      <c r="B117" s="60" t="s">
        <v>787</v>
      </c>
      <c r="C117" s="59">
        <f t="shared" si="1"/>
        <v>4</v>
      </c>
      <c r="D117" s="61" t="s">
        <v>16</v>
      </c>
      <c r="E117" s="61" t="s">
        <v>17</v>
      </c>
      <c r="F117" s="59" t="s">
        <v>18</v>
      </c>
      <c r="G117" s="61" t="s">
        <v>19</v>
      </c>
      <c r="H117" s="59" t="s">
        <v>20</v>
      </c>
      <c r="I117" s="61" t="s">
        <v>19</v>
      </c>
      <c r="J117" s="63" t="s">
        <v>21</v>
      </c>
      <c r="K117" s="61" t="s">
        <v>19</v>
      </c>
      <c r="L117" s="63" t="s">
        <v>22</v>
      </c>
      <c r="M117" s="61" t="s">
        <v>19</v>
      </c>
      <c r="N117" s="59"/>
      <c r="O117" s="59"/>
      <c r="P117" s="59"/>
    </row>
    <row r="118" ht="22.5" customHeight="1">
      <c r="A118" s="87" t="s">
        <v>637</v>
      </c>
      <c r="B118" s="82" t="s">
        <v>547</v>
      </c>
      <c r="C118" s="59">
        <f t="shared" si="1"/>
        <v>1</v>
      </c>
      <c r="D118" s="61" t="s">
        <v>34</v>
      </c>
      <c r="E118" s="61" t="s">
        <v>49</v>
      </c>
      <c r="F118" s="59" t="s">
        <v>18</v>
      </c>
      <c r="G118" s="61" t="s">
        <v>31</v>
      </c>
      <c r="H118" s="59" t="s">
        <v>20</v>
      </c>
      <c r="I118" s="61" t="s">
        <v>50</v>
      </c>
      <c r="J118" s="63" t="s">
        <v>21</v>
      </c>
      <c r="K118" s="61" t="s">
        <v>50</v>
      </c>
      <c r="L118" s="63" t="s">
        <v>22</v>
      </c>
      <c r="M118" s="61" t="s">
        <v>19</v>
      </c>
      <c r="N118" s="60" t="s">
        <v>372</v>
      </c>
      <c r="O118" s="59"/>
      <c r="P118" s="59"/>
    </row>
    <row r="119" ht="22.5" customHeight="1">
      <c r="A119" s="60" t="s">
        <v>490</v>
      </c>
      <c r="B119" s="60" t="s">
        <v>788</v>
      </c>
      <c r="C119" s="59">
        <f t="shared" si="1"/>
        <v>4</v>
      </c>
      <c r="D119" s="61" t="s">
        <v>16</v>
      </c>
      <c r="E119" s="61" t="s">
        <v>17</v>
      </c>
      <c r="F119" s="59" t="s">
        <v>18</v>
      </c>
      <c r="G119" s="61" t="s">
        <v>19</v>
      </c>
      <c r="H119" s="59" t="s">
        <v>20</v>
      </c>
      <c r="I119" s="61" t="s">
        <v>19</v>
      </c>
      <c r="J119" s="63" t="s">
        <v>21</v>
      </c>
      <c r="K119" s="61" t="s">
        <v>19</v>
      </c>
      <c r="L119" s="63" t="s">
        <v>22</v>
      </c>
      <c r="M119" s="61" t="s">
        <v>19</v>
      </c>
      <c r="N119" s="59"/>
      <c r="O119" s="59"/>
      <c r="P119" s="59"/>
    </row>
    <row r="120" ht="22.5" customHeight="1">
      <c r="A120" s="81" t="s">
        <v>637</v>
      </c>
      <c r="B120" s="60" t="s">
        <v>789</v>
      </c>
      <c r="C120" s="59">
        <f t="shared" si="1"/>
        <v>3</v>
      </c>
      <c r="D120" s="61" t="s">
        <v>34</v>
      </c>
      <c r="E120" s="61" t="s">
        <v>40</v>
      </c>
      <c r="F120" s="59" t="s">
        <v>18</v>
      </c>
      <c r="G120" s="61" t="s">
        <v>19</v>
      </c>
      <c r="H120" s="59" t="s">
        <v>20</v>
      </c>
      <c r="I120" s="61" t="s">
        <v>31</v>
      </c>
      <c r="J120" s="63" t="s">
        <v>21</v>
      </c>
      <c r="K120" s="61" t="s">
        <v>19</v>
      </c>
      <c r="L120" s="63" t="s">
        <v>22</v>
      </c>
      <c r="M120" s="61" t="s">
        <v>19</v>
      </c>
      <c r="N120" s="60" t="s">
        <v>376</v>
      </c>
      <c r="O120" s="59"/>
      <c r="P120" s="59"/>
    </row>
    <row r="121" ht="22.5" customHeight="1">
      <c r="A121" s="60" t="s">
        <v>495</v>
      </c>
      <c r="B121" s="82" t="s">
        <v>548</v>
      </c>
      <c r="C121" s="59">
        <f t="shared" si="1"/>
        <v>1</v>
      </c>
      <c r="D121" s="61" t="s">
        <v>16</v>
      </c>
      <c r="E121" s="61" t="s">
        <v>49</v>
      </c>
      <c r="F121" s="59" t="s">
        <v>18</v>
      </c>
      <c r="G121" s="61" t="s">
        <v>50</v>
      </c>
      <c r="H121" s="59" t="s">
        <v>20</v>
      </c>
      <c r="I121" s="61" t="s">
        <v>50</v>
      </c>
      <c r="J121" s="63" t="s">
        <v>21</v>
      </c>
      <c r="K121" s="61" t="s">
        <v>50</v>
      </c>
      <c r="L121" s="63" t="s">
        <v>22</v>
      </c>
      <c r="M121" s="61" t="s">
        <v>19</v>
      </c>
      <c r="N121" s="60" t="s">
        <v>372</v>
      </c>
      <c r="O121" s="59"/>
      <c r="P121" s="59"/>
    </row>
    <row r="122" ht="22.5" customHeight="1">
      <c r="A122" s="87" t="s">
        <v>637</v>
      </c>
      <c r="B122" s="82" t="s">
        <v>549</v>
      </c>
      <c r="C122" s="60">
        <v>0.0</v>
      </c>
      <c r="D122" s="61" t="s">
        <v>34</v>
      </c>
      <c r="E122" s="61" t="s">
        <v>49</v>
      </c>
      <c r="F122" s="59" t="s">
        <v>18</v>
      </c>
      <c r="G122" s="61" t="s">
        <v>19</v>
      </c>
      <c r="H122" s="59" t="s">
        <v>20</v>
      </c>
      <c r="I122" s="61" t="s">
        <v>31</v>
      </c>
      <c r="J122" s="63" t="s">
        <v>21</v>
      </c>
      <c r="K122" s="61" t="s">
        <v>19</v>
      </c>
      <c r="L122" s="63" t="s">
        <v>22</v>
      </c>
      <c r="M122" s="61" t="s">
        <v>19</v>
      </c>
      <c r="N122" s="60" t="s">
        <v>372</v>
      </c>
      <c r="O122" s="59"/>
      <c r="P122" s="59"/>
      <c r="Q122" s="104"/>
      <c r="R122" s="104"/>
      <c r="S122" s="104"/>
      <c r="T122" s="104"/>
      <c r="U122" s="104"/>
      <c r="V122" s="104"/>
      <c r="W122" s="104"/>
      <c r="X122" s="104"/>
      <c r="Y122" s="104"/>
      <c r="Z122" s="104"/>
    </row>
    <row r="123" ht="22.5" customHeight="1">
      <c r="A123" s="81"/>
      <c r="B123" s="82" t="s">
        <v>790</v>
      </c>
      <c r="C123" s="59">
        <f t="shared" ref="C123:C207" si="2">COUNTIF(G123:M123, "Not attempted") + COUNTIF(G123:M123, "Not Recieved")</f>
        <v>2</v>
      </c>
      <c r="D123" s="61" t="s">
        <v>34</v>
      </c>
      <c r="E123" s="61" t="s">
        <v>40</v>
      </c>
      <c r="F123" s="59" t="s">
        <v>18</v>
      </c>
      <c r="G123" s="61" t="s">
        <v>19</v>
      </c>
      <c r="H123" s="59" t="s">
        <v>20</v>
      </c>
      <c r="I123" s="61" t="s">
        <v>31</v>
      </c>
      <c r="J123" s="63" t="s">
        <v>21</v>
      </c>
      <c r="K123" s="61" t="s">
        <v>31</v>
      </c>
      <c r="L123" s="63" t="s">
        <v>22</v>
      </c>
      <c r="M123" s="61" t="s">
        <v>19</v>
      </c>
      <c r="N123" s="60" t="s">
        <v>376</v>
      </c>
      <c r="O123" s="59"/>
      <c r="P123" s="59"/>
    </row>
    <row r="124" ht="22.5" customHeight="1">
      <c r="A124" s="60" t="s">
        <v>491</v>
      </c>
      <c r="B124" s="60" t="s">
        <v>791</v>
      </c>
      <c r="C124" s="59">
        <f t="shared" si="2"/>
        <v>4</v>
      </c>
      <c r="D124" s="61" t="s">
        <v>16</v>
      </c>
      <c r="E124" s="61" t="s">
        <v>17</v>
      </c>
      <c r="F124" s="59" t="s">
        <v>18</v>
      </c>
      <c r="G124" s="61" t="s">
        <v>19</v>
      </c>
      <c r="H124" s="59" t="s">
        <v>20</v>
      </c>
      <c r="I124" s="61" t="s">
        <v>19</v>
      </c>
      <c r="J124" s="63" t="s">
        <v>21</v>
      </c>
      <c r="K124" s="61" t="s">
        <v>19</v>
      </c>
      <c r="L124" s="63" t="s">
        <v>22</v>
      </c>
      <c r="M124" s="61" t="s">
        <v>19</v>
      </c>
      <c r="N124" s="59"/>
      <c r="O124" s="59"/>
      <c r="P124" s="59"/>
    </row>
    <row r="125" ht="22.5" customHeight="1">
      <c r="A125" s="60" t="s">
        <v>792</v>
      </c>
      <c r="B125" s="60" t="s">
        <v>793</v>
      </c>
      <c r="C125" s="59">
        <f t="shared" si="2"/>
        <v>2</v>
      </c>
      <c r="D125" s="61" t="s">
        <v>34</v>
      </c>
      <c r="E125" s="61" t="s">
        <v>40</v>
      </c>
      <c r="F125" s="59" t="s">
        <v>18</v>
      </c>
      <c r="G125" s="61" t="s">
        <v>31</v>
      </c>
      <c r="H125" s="59" t="s">
        <v>20</v>
      </c>
      <c r="I125" s="61" t="s">
        <v>19</v>
      </c>
      <c r="J125" s="63" t="s">
        <v>21</v>
      </c>
      <c r="K125" s="61" t="s">
        <v>19</v>
      </c>
      <c r="L125" s="63" t="s">
        <v>22</v>
      </c>
      <c r="M125" s="61" t="s">
        <v>31</v>
      </c>
      <c r="N125" s="60" t="s">
        <v>696</v>
      </c>
      <c r="O125" s="59"/>
      <c r="P125" s="59"/>
    </row>
    <row r="126" ht="22.5" customHeight="1">
      <c r="A126" s="60" t="s">
        <v>496</v>
      </c>
      <c r="B126" s="60" t="s">
        <v>794</v>
      </c>
      <c r="C126" s="59">
        <f t="shared" si="2"/>
        <v>4</v>
      </c>
      <c r="D126" s="61" t="s">
        <v>16</v>
      </c>
      <c r="E126" s="61" t="s">
        <v>17</v>
      </c>
      <c r="F126" s="59" t="s">
        <v>18</v>
      </c>
      <c r="G126" s="61" t="s">
        <v>19</v>
      </c>
      <c r="H126" s="59" t="s">
        <v>20</v>
      </c>
      <c r="I126" s="61" t="s">
        <v>19</v>
      </c>
      <c r="J126" s="63" t="s">
        <v>21</v>
      </c>
      <c r="K126" s="61" t="s">
        <v>19</v>
      </c>
      <c r="L126" s="63" t="s">
        <v>22</v>
      </c>
      <c r="M126" s="61" t="s">
        <v>19</v>
      </c>
      <c r="N126" s="59"/>
      <c r="O126" s="59"/>
      <c r="P126" s="59"/>
    </row>
    <row r="127" ht="22.5" customHeight="1">
      <c r="A127" s="59"/>
      <c r="B127" s="60" t="s">
        <v>795</v>
      </c>
      <c r="C127" s="59">
        <f t="shared" si="2"/>
        <v>2</v>
      </c>
      <c r="D127" s="61" t="s">
        <v>34</v>
      </c>
      <c r="E127" s="61" t="s">
        <v>656</v>
      </c>
      <c r="F127" s="59" t="s">
        <v>18</v>
      </c>
      <c r="G127" s="61" t="s">
        <v>31</v>
      </c>
      <c r="H127" s="59" t="s">
        <v>20</v>
      </c>
      <c r="I127" s="61" t="s">
        <v>31</v>
      </c>
      <c r="J127" s="63" t="s">
        <v>21</v>
      </c>
      <c r="K127" s="61" t="s">
        <v>640</v>
      </c>
      <c r="L127" s="63" t="s">
        <v>22</v>
      </c>
      <c r="M127" s="61" t="s">
        <v>640</v>
      </c>
      <c r="N127" s="60" t="s">
        <v>727</v>
      </c>
      <c r="O127" s="59"/>
      <c r="P127" s="59"/>
    </row>
    <row r="128" ht="22.5" customHeight="1">
      <c r="A128" s="87" t="s">
        <v>637</v>
      </c>
      <c r="B128" s="82" t="s">
        <v>550</v>
      </c>
      <c r="C128" s="59">
        <f t="shared" si="2"/>
        <v>0</v>
      </c>
      <c r="D128" s="61" t="s">
        <v>34</v>
      </c>
      <c r="E128" s="61" t="s">
        <v>49</v>
      </c>
      <c r="F128" s="59" t="s">
        <v>18</v>
      </c>
      <c r="G128" s="61" t="s">
        <v>31</v>
      </c>
      <c r="H128" s="59" t="s">
        <v>20</v>
      </c>
      <c r="I128" s="61" t="s">
        <v>31</v>
      </c>
      <c r="J128" s="63" t="s">
        <v>21</v>
      </c>
      <c r="K128" s="61" t="s">
        <v>50</v>
      </c>
      <c r="L128" s="63" t="s">
        <v>22</v>
      </c>
      <c r="M128" s="61" t="s">
        <v>50</v>
      </c>
      <c r="N128" s="60" t="s">
        <v>372</v>
      </c>
      <c r="O128" s="59"/>
      <c r="P128" s="59"/>
    </row>
    <row r="129" ht="22.5" customHeight="1">
      <c r="A129" s="60" t="s">
        <v>796</v>
      </c>
      <c r="B129" s="60" t="s">
        <v>797</v>
      </c>
      <c r="C129" s="59">
        <f t="shared" si="2"/>
        <v>4</v>
      </c>
      <c r="D129" s="61" t="s">
        <v>16</v>
      </c>
      <c r="E129" s="61" t="s">
        <v>17</v>
      </c>
      <c r="F129" s="59" t="s">
        <v>18</v>
      </c>
      <c r="G129" s="61" t="s">
        <v>19</v>
      </c>
      <c r="H129" s="59" t="s">
        <v>20</v>
      </c>
      <c r="I129" s="61" t="s">
        <v>19</v>
      </c>
      <c r="J129" s="63" t="s">
        <v>21</v>
      </c>
      <c r="K129" s="61" t="s">
        <v>19</v>
      </c>
      <c r="L129" s="63" t="s">
        <v>22</v>
      </c>
      <c r="M129" s="61" t="s">
        <v>19</v>
      </c>
      <c r="N129" s="59"/>
      <c r="O129" s="59"/>
      <c r="P129" s="59"/>
    </row>
    <row r="130" ht="22.5" customHeight="1">
      <c r="A130" s="87" t="s">
        <v>637</v>
      </c>
      <c r="B130" s="82" t="s">
        <v>551</v>
      </c>
      <c r="C130" s="59">
        <f t="shared" si="2"/>
        <v>0</v>
      </c>
      <c r="D130" s="61" t="s">
        <v>34</v>
      </c>
      <c r="E130" s="61" t="s">
        <v>49</v>
      </c>
      <c r="F130" s="59" t="s">
        <v>18</v>
      </c>
      <c r="G130" s="61" t="s">
        <v>31</v>
      </c>
      <c r="H130" s="59" t="s">
        <v>20</v>
      </c>
      <c r="I130" s="61" t="s">
        <v>50</v>
      </c>
      <c r="J130" s="63" t="s">
        <v>21</v>
      </c>
      <c r="K130" s="61" t="s">
        <v>50</v>
      </c>
      <c r="L130" s="63" t="s">
        <v>22</v>
      </c>
      <c r="M130" s="83" t="s">
        <v>50</v>
      </c>
      <c r="N130" s="60" t="s">
        <v>372</v>
      </c>
      <c r="O130" s="59"/>
      <c r="P130" s="59"/>
    </row>
    <row r="131" ht="22.5" customHeight="1">
      <c r="A131" s="60" t="s">
        <v>798</v>
      </c>
      <c r="B131" s="60" t="s">
        <v>799</v>
      </c>
      <c r="C131" s="59">
        <f t="shared" si="2"/>
        <v>4</v>
      </c>
      <c r="D131" s="61" t="s">
        <v>16</v>
      </c>
      <c r="E131" s="61" t="s">
        <v>17</v>
      </c>
      <c r="F131" s="59" t="s">
        <v>18</v>
      </c>
      <c r="G131" s="61" t="s">
        <v>19</v>
      </c>
      <c r="H131" s="59" t="s">
        <v>20</v>
      </c>
      <c r="I131" s="61" t="s">
        <v>19</v>
      </c>
      <c r="J131" s="63" t="s">
        <v>21</v>
      </c>
      <c r="K131" s="61" t="s">
        <v>19</v>
      </c>
      <c r="L131" s="63" t="s">
        <v>22</v>
      </c>
      <c r="M131" s="61" t="s">
        <v>19</v>
      </c>
      <c r="N131" s="59"/>
      <c r="O131" s="59"/>
      <c r="P131" s="59"/>
    </row>
    <row r="132" ht="22.5" customHeight="1">
      <c r="A132" s="87" t="s">
        <v>637</v>
      </c>
      <c r="B132" s="82" t="s">
        <v>552</v>
      </c>
      <c r="C132" s="59">
        <f t="shared" si="2"/>
        <v>0</v>
      </c>
      <c r="D132" s="61" t="s">
        <v>34</v>
      </c>
      <c r="E132" s="61" t="s">
        <v>49</v>
      </c>
      <c r="F132" s="59" t="s">
        <v>18</v>
      </c>
      <c r="G132" s="61" t="s">
        <v>31</v>
      </c>
      <c r="H132" s="59" t="s">
        <v>20</v>
      </c>
      <c r="I132" s="61" t="s">
        <v>50</v>
      </c>
      <c r="J132" s="63" t="s">
        <v>21</v>
      </c>
      <c r="K132" s="61" t="s">
        <v>50</v>
      </c>
      <c r="L132" s="63" t="s">
        <v>22</v>
      </c>
      <c r="M132" s="61" t="s">
        <v>50</v>
      </c>
      <c r="N132" s="60" t="s">
        <v>372</v>
      </c>
      <c r="O132" s="59"/>
      <c r="P132" s="59"/>
    </row>
    <row r="133" ht="22.5" customHeight="1">
      <c r="A133" s="87" t="s">
        <v>637</v>
      </c>
      <c r="B133" s="82" t="s">
        <v>553</v>
      </c>
      <c r="C133" s="59">
        <f t="shared" si="2"/>
        <v>0</v>
      </c>
      <c r="D133" s="61" t="s">
        <v>34</v>
      </c>
      <c r="E133" s="61" t="s">
        <v>49</v>
      </c>
      <c r="F133" s="59" t="s">
        <v>18</v>
      </c>
      <c r="G133" s="61" t="s">
        <v>31</v>
      </c>
      <c r="H133" s="59" t="s">
        <v>20</v>
      </c>
      <c r="I133" s="61" t="s">
        <v>50</v>
      </c>
      <c r="J133" s="63" t="s">
        <v>21</v>
      </c>
      <c r="K133" s="61" t="s">
        <v>50</v>
      </c>
      <c r="L133" s="63" t="s">
        <v>22</v>
      </c>
      <c r="M133" s="83" t="s">
        <v>50</v>
      </c>
      <c r="N133" s="60" t="s">
        <v>372</v>
      </c>
      <c r="O133" s="59"/>
      <c r="P133" s="59"/>
    </row>
    <row r="134" ht="22.5" customHeight="1">
      <c r="A134" s="81" t="s">
        <v>637</v>
      </c>
      <c r="B134" s="105" t="s">
        <v>554</v>
      </c>
      <c r="C134" s="59">
        <f t="shared" si="2"/>
        <v>0</v>
      </c>
      <c r="D134" s="61" t="s">
        <v>34</v>
      </c>
      <c r="E134" s="61" t="s">
        <v>49</v>
      </c>
      <c r="F134" s="59" t="s">
        <v>18</v>
      </c>
      <c r="G134" s="61" t="s">
        <v>31</v>
      </c>
      <c r="H134" s="59" t="s">
        <v>20</v>
      </c>
      <c r="I134" s="61" t="s">
        <v>50</v>
      </c>
      <c r="J134" s="63" t="s">
        <v>21</v>
      </c>
      <c r="K134" s="61" t="s">
        <v>50</v>
      </c>
      <c r="L134" s="63" t="s">
        <v>22</v>
      </c>
      <c r="M134" s="61" t="s">
        <v>31</v>
      </c>
      <c r="N134" s="60" t="s">
        <v>372</v>
      </c>
      <c r="O134" s="59"/>
      <c r="P134" s="59"/>
    </row>
    <row r="135" ht="22.5" customHeight="1">
      <c r="A135" s="87" t="s">
        <v>637</v>
      </c>
      <c r="B135" s="82" t="s">
        <v>555</v>
      </c>
      <c r="C135" s="59">
        <f t="shared" si="2"/>
        <v>0</v>
      </c>
      <c r="D135" s="61" t="s">
        <v>34</v>
      </c>
      <c r="E135" s="61" t="s">
        <v>49</v>
      </c>
      <c r="F135" s="59" t="s">
        <v>18</v>
      </c>
      <c r="G135" s="61" t="s">
        <v>31</v>
      </c>
      <c r="H135" s="59" t="s">
        <v>20</v>
      </c>
      <c r="I135" s="61" t="s">
        <v>50</v>
      </c>
      <c r="J135" s="63" t="s">
        <v>21</v>
      </c>
      <c r="K135" s="61" t="s">
        <v>50</v>
      </c>
      <c r="L135" s="63" t="s">
        <v>22</v>
      </c>
      <c r="M135" s="61" t="s">
        <v>50</v>
      </c>
      <c r="N135" s="60" t="s">
        <v>372</v>
      </c>
      <c r="O135" s="59"/>
      <c r="P135" s="59"/>
    </row>
    <row r="136" ht="22.5" customHeight="1">
      <c r="A136" s="87" t="s">
        <v>637</v>
      </c>
      <c r="B136" s="82" t="s">
        <v>556</v>
      </c>
      <c r="C136" s="59">
        <f t="shared" si="2"/>
        <v>0</v>
      </c>
      <c r="D136" s="61" t="s">
        <v>34</v>
      </c>
      <c r="E136" s="61" t="s">
        <v>49</v>
      </c>
      <c r="F136" s="59" t="s">
        <v>18</v>
      </c>
      <c r="G136" s="61" t="s">
        <v>31</v>
      </c>
      <c r="H136" s="59" t="s">
        <v>20</v>
      </c>
      <c r="I136" s="61" t="s">
        <v>50</v>
      </c>
      <c r="J136" s="63" t="s">
        <v>21</v>
      </c>
      <c r="K136" s="61" t="s">
        <v>50</v>
      </c>
      <c r="L136" s="63" t="s">
        <v>22</v>
      </c>
      <c r="M136" s="61" t="s">
        <v>50</v>
      </c>
      <c r="N136" s="60" t="s">
        <v>372</v>
      </c>
      <c r="O136" s="59"/>
      <c r="P136" s="59"/>
    </row>
    <row r="137" ht="22.5" customHeight="1">
      <c r="A137" s="60" t="s">
        <v>800</v>
      </c>
      <c r="B137" s="60" t="s">
        <v>801</v>
      </c>
      <c r="C137" s="59">
        <f t="shared" si="2"/>
        <v>4</v>
      </c>
      <c r="D137" s="61" t="s">
        <v>16</v>
      </c>
      <c r="E137" s="61" t="s">
        <v>17</v>
      </c>
      <c r="F137" s="59" t="s">
        <v>18</v>
      </c>
      <c r="G137" s="61" t="s">
        <v>19</v>
      </c>
      <c r="H137" s="59" t="s">
        <v>20</v>
      </c>
      <c r="I137" s="61" t="s">
        <v>19</v>
      </c>
      <c r="J137" s="63" t="s">
        <v>21</v>
      </c>
      <c r="K137" s="61" t="s">
        <v>19</v>
      </c>
      <c r="L137" s="63" t="s">
        <v>22</v>
      </c>
      <c r="M137" s="61" t="s">
        <v>19</v>
      </c>
      <c r="N137" s="59"/>
      <c r="O137" s="59"/>
      <c r="P137" s="59"/>
    </row>
    <row r="138" ht="22.5" customHeight="1">
      <c r="A138" s="87" t="s">
        <v>637</v>
      </c>
      <c r="B138" s="82" t="s">
        <v>557</v>
      </c>
      <c r="C138" s="59">
        <f t="shared" si="2"/>
        <v>1</v>
      </c>
      <c r="D138" s="61" t="s">
        <v>34</v>
      </c>
      <c r="E138" s="61" t="s">
        <v>49</v>
      </c>
      <c r="F138" s="59" t="s">
        <v>18</v>
      </c>
      <c r="G138" s="61" t="s">
        <v>19</v>
      </c>
      <c r="H138" s="59" t="s">
        <v>20</v>
      </c>
      <c r="I138" s="61" t="s">
        <v>50</v>
      </c>
      <c r="J138" s="63" t="s">
        <v>21</v>
      </c>
      <c r="K138" s="61" t="s">
        <v>50</v>
      </c>
      <c r="L138" s="63" t="s">
        <v>22</v>
      </c>
      <c r="M138" s="61" t="s">
        <v>31</v>
      </c>
      <c r="N138" s="60" t="s">
        <v>372</v>
      </c>
      <c r="O138" s="59"/>
      <c r="P138" s="59"/>
    </row>
    <row r="139" ht="22.5" customHeight="1">
      <c r="A139" s="60" t="s">
        <v>802</v>
      </c>
      <c r="B139" s="60" t="s">
        <v>803</v>
      </c>
      <c r="C139" s="59">
        <f t="shared" si="2"/>
        <v>4</v>
      </c>
      <c r="D139" s="61" t="s">
        <v>16</v>
      </c>
      <c r="E139" s="61" t="s">
        <v>17</v>
      </c>
      <c r="F139" s="59" t="s">
        <v>18</v>
      </c>
      <c r="G139" s="61" t="s">
        <v>19</v>
      </c>
      <c r="H139" s="59" t="s">
        <v>20</v>
      </c>
      <c r="I139" s="61" t="s">
        <v>19</v>
      </c>
      <c r="J139" s="63" t="s">
        <v>21</v>
      </c>
      <c r="K139" s="61" t="s">
        <v>19</v>
      </c>
      <c r="L139" s="63" t="s">
        <v>22</v>
      </c>
      <c r="M139" s="61" t="s">
        <v>19</v>
      </c>
      <c r="N139" s="59"/>
      <c r="O139" s="59"/>
      <c r="P139" s="59"/>
    </row>
    <row r="140" ht="22.5" customHeight="1">
      <c r="A140" s="81" t="s">
        <v>637</v>
      </c>
      <c r="B140" s="82" t="s">
        <v>804</v>
      </c>
      <c r="C140" s="59">
        <f t="shared" si="2"/>
        <v>3</v>
      </c>
      <c r="D140" s="61" t="s">
        <v>34</v>
      </c>
      <c r="E140" s="61" t="s">
        <v>40</v>
      </c>
      <c r="F140" s="59" t="s">
        <v>18</v>
      </c>
      <c r="G140" s="61" t="s">
        <v>19</v>
      </c>
      <c r="H140" s="59" t="s">
        <v>20</v>
      </c>
      <c r="I140" s="61" t="s">
        <v>19</v>
      </c>
      <c r="J140" s="63" t="s">
        <v>21</v>
      </c>
      <c r="K140" s="61" t="s">
        <v>19</v>
      </c>
      <c r="L140" s="63" t="s">
        <v>22</v>
      </c>
      <c r="M140" s="61" t="s">
        <v>31</v>
      </c>
      <c r="N140" s="60" t="s">
        <v>696</v>
      </c>
      <c r="O140" s="59"/>
      <c r="P140" s="59"/>
    </row>
    <row r="141" ht="22.5" customHeight="1">
      <c r="A141" s="81" t="s">
        <v>637</v>
      </c>
      <c r="B141" s="60" t="s">
        <v>805</v>
      </c>
      <c r="C141" s="59">
        <f t="shared" si="2"/>
        <v>4</v>
      </c>
      <c r="D141" s="61" t="s">
        <v>34</v>
      </c>
      <c r="E141" s="61" t="s">
        <v>40</v>
      </c>
      <c r="F141" s="59" t="s">
        <v>18</v>
      </c>
      <c r="G141" s="61" t="s">
        <v>19</v>
      </c>
      <c r="H141" s="59" t="s">
        <v>20</v>
      </c>
      <c r="I141" s="61" t="s">
        <v>19</v>
      </c>
      <c r="J141" s="63" t="s">
        <v>21</v>
      </c>
      <c r="K141" s="61" t="s">
        <v>19</v>
      </c>
      <c r="L141" s="63" t="s">
        <v>22</v>
      </c>
      <c r="M141" s="61" t="s">
        <v>19</v>
      </c>
      <c r="N141" s="60" t="s">
        <v>376</v>
      </c>
      <c r="O141" s="59"/>
      <c r="P141" s="59"/>
    </row>
    <row r="142" ht="22.5" customHeight="1">
      <c r="A142" s="59"/>
      <c r="B142" s="60" t="s">
        <v>806</v>
      </c>
      <c r="C142" s="59">
        <f t="shared" si="2"/>
        <v>1</v>
      </c>
      <c r="D142" s="61" t="s">
        <v>34</v>
      </c>
      <c r="E142" s="61" t="s">
        <v>656</v>
      </c>
      <c r="F142" s="59" t="s">
        <v>18</v>
      </c>
      <c r="G142" s="61" t="s">
        <v>31</v>
      </c>
      <c r="H142" s="59" t="s">
        <v>20</v>
      </c>
      <c r="I142" s="61" t="s">
        <v>31</v>
      </c>
      <c r="J142" s="63" t="s">
        <v>21</v>
      </c>
      <c r="K142" s="61" t="s">
        <v>19</v>
      </c>
      <c r="L142" s="63" t="s">
        <v>22</v>
      </c>
      <c r="M142" s="61" t="s">
        <v>31</v>
      </c>
      <c r="N142" s="60" t="s">
        <v>807</v>
      </c>
      <c r="O142" s="59"/>
      <c r="P142" s="59"/>
    </row>
    <row r="143" ht="22.5" customHeight="1">
      <c r="A143" s="60" t="s">
        <v>808</v>
      </c>
      <c r="B143" s="60" t="s">
        <v>809</v>
      </c>
      <c r="C143" s="59">
        <f t="shared" si="2"/>
        <v>4</v>
      </c>
      <c r="D143" s="61" t="s">
        <v>16</v>
      </c>
      <c r="E143" s="61" t="s">
        <v>17</v>
      </c>
      <c r="F143" s="59" t="s">
        <v>18</v>
      </c>
      <c r="G143" s="61" t="s">
        <v>19</v>
      </c>
      <c r="H143" s="59" t="s">
        <v>20</v>
      </c>
      <c r="I143" s="61" t="s">
        <v>19</v>
      </c>
      <c r="J143" s="63" t="s">
        <v>21</v>
      </c>
      <c r="K143" s="61" t="s">
        <v>19</v>
      </c>
      <c r="L143" s="63" t="s">
        <v>22</v>
      </c>
      <c r="M143" s="61" t="s">
        <v>19</v>
      </c>
      <c r="N143" s="59"/>
      <c r="O143" s="59"/>
      <c r="P143" s="59"/>
    </row>
    <row r="144" ht="22.5" customHeight="1">
      <c r="A144" s="81" t="s">
        <v>637</v>
      </c>
      <c r="B144" s="60" t="s">
        <v>810</v>
      </c>
      <c r="C144" s="59">
        <f t="shared" si="2"/>
        <v>4</v>
      </c>
      <c r="D144" s="61" t="s">
        <v>34</v>
      </c>
      <c r="E144" s="61" t="s">
        <v>40</v>
      </c>
      <c r="F144" s="59" t="s">
        <v>18</v>
      </c>
      <c r="G144" s="61" t="s">
        <v>19</v>
      </c>
      <c r="H144" s="59" t="s">
        <v>20</v>
      </c>
      <c r="I144" s="61" t="s">
        <v>19</v>
      </c>
      <c r="J144" s="63" t="s">
        <v>21</v>
      </c>
      <c r="K144" s="61" t="s">
        <v>19</v>
      </c>
      <c r="L144" s="63" t="s">
        <v>22</v>
      </c>
      <c r="M144" s="61" t="s">
        <v>19</v>
      </c>
      <c r="N144" s="60" t="s">
        <v>376</v>
      </c>
      <c r="O144" s="59"/>
      <c r="P144" s="59"/>
      <c r="Q144" s="89"/>
      <c r="R144" s="89"/>
      <c r="S144" s="89"/>
      <c r="T144" s="89"/>
      <c r="U144" s="89"/>
      <c r="V144" s="89"/>
      <c r="W144" s="89"/>
      <c r="X144" s="89"/>
      <c r="Y144" s="89"/>
      <c r="Z144" s="89"/>
    </row>
    <row r="145" ht="22.5" customHeight="1">
      <c r="A145" s="59"/>
      <c r="B145" s="82" t="s">
        <v>558</v>
      </c>
      <c r="C145" s="59">
        <f t="shared" si="2"/>
        <v>3</v>
      </c>
      <c r="D145" s="61" t="s">
        <v>34</v>
      </c>
      <c r="E145" s="61" t="s">
        <v>49</v>
      </c>
      <c r="F145" s="59" t="s">
        <v>18</v>
      </c>
      <c r="G145" s="61" t="s">
        <v>31</v>
      </c>
      <c r="H145" s="59" t="s">
        <v>20</v>
      </c>
      <c r="I145" s="61" t="s">
        <v>19</v>
      </c>
      <c r="J145" s="63" t="s">
        <v>21</v>
      </c>
      <c r="K145" s="61" t="s">
        <v>640</v>
      </c>
      <c r="L145" s="63" t="s">
        <v>22</v>
      </c>
      <c r="M145" s="61" t="s">
        <v>640</v>
      </c>
      <c r="N145" s="60" t="s">
        <v>372</v>
      </c>
      <c r="O145" s="59"/>
      <c r="P145" s="59"/>
    </row>
    <row r="146" ht="22.5" customHeight="1">
      <c r="A146" s="60" t="s">
        <v>811</v>
      </c>
      <c r="B146" s="82" t="s">
        <v>559</v>
      </c>
      <c r="C146" s="59">
        <f t="shared" si="2"/>
        <v>1</v>
      </c>
      <c r="D146" s="61" t="s">
        <v>34</v>
      </c>
      <c r="E146" s="61" t="s">
        <v>49</v>
      </c>
      <c r="F146" s="59" t="s">
        <v>18</v>
      </c>
      <c r="G146" s="61" t="s">
        <v>31</v>
      </c>
      <c r="H146" s="59" t="s">
        <v>20</v>
      </c>
      <c r="I146" s="61" t="s">
        <v>19</v>
      </c>
      <c r="J146" s="63" t="s">
        <v>21</v>
      </c>
      <c r="K146" s="61" t="s">
        <v>50</v>
      </c>
      <c r="L146" s="63" t="s">
        <v>22</v>
      </c>
      <c r="M146" s="61" t="s">
        <v>50</v>
      </c>
      <c r="N146" s="60" t="s">
        <v>372</v>
      </c>
      <c r="O146" s="59"/>
      <c r="P146" s="59"/>
    </row>
    <row r="147" ht="22.5" customHeight="1">
      <c r="A147" s="59"/>
      <c r="B147" s="60" t="s">
        <v>812</v>
      </c>
      <c r="C147" s="59">
        <f t="shared" si="2"/>
        <v>4</v>
      </c>
      <c r="D147" s="62"/>
      <c r="E147" s="61" t="s">
        <v>813</v>
      </c>
      <c r="F147" s="59" t="s">
        <v>18</v>
      </c>
      <c r="G147" s="61" t="s">
        <v>640</v>
      </c>
      <c r="H147" s="59" t="s">
        <v>20</v>
      </c>
      <c r="I147" s="61" t="s">
        <v>640</v>
      </c>
      <c r="J147" s="63" t="s">
        <v>21</v>
      </c>
      <c r="K147" s="61" t="s">
        <v>640</v>
      </c>
      <c r="L147" s="63" t="s">
        <v>22</v>
      </c>
      <c r="M147" s="61" t="s">
        <v>640</v>
      </c>
      <c r="N147" s="59"/>
      <c r="O147" s="59"/>
      <c r="P147" s="59"/>
      <c r="Q147" s="106"/>
      <c r="R147" s="106"/>
      <c r="S147" s="106"/>
      <c r="T147" s="106"/>
      <c r="U147" s="106"/>
      <c r="V147" s="106"/>
      <c r="W147" s="106"/>
      <c r="X147" s="106"/>
      <c r="Y147" s="106"/>
      <c r="Z147" s="106"/>
    </row>
    <row r="148" ht="22.5" customHeight="1">
      <c r="A148" s="81" t="s">
        <v>637</v>
      </c>
      <c r="B148" s="82" t="s">
        <v>560</v>
      </c>
      <c r="C148" s="59">
        <f t="shared" si="2"/>
        <v>0</v>
      </c>
      <c r="D148" s="61" t="s">
        <v>34</v>
      </c>
      <c r="E148" s="61" t="s">
        <v>49</v>
      </c>
      <c r="F148" s="59" t="s">
        <v>18</v>
      </c>
      <c r="G148" s="61" t="s">
        <v>50</v>
      </c>
      <c r="H148" s="59" t="s">
        <v>20</v>
      </c>
      <c r="I148" s="61" t="s">
        <v>50</v>
      </c>
      <c r="J148" s="63" t="s">
        <v>21</v>
      </c>
      <c r="K148" s="61" t="s">
        <v>50</v>
      </c>
      <c r="L148" s="63" t="s">
        <v>22</v>
      </c>
      <c r="M148" s="61" t="s">
        <v>31</v>
      </c>
      <c r="N148" s="60" t="s">
        <v>372</v>
      </c>
      <c r="O148" s="59"/>
      <c r="P148" s="59"/>
    </row>
    <row r="149" ht="22.5" customHeight="1">
      <c r="A149" s="60" t="s">
        <v>814</v>
      </c>
      <c r="B149" s="60" t="s">
        <v>815</v>
      </c>
      <c r="C149" s="59">
        <f t="shared" si="2"/>
        <v>0</v>
      </c>
      <c r="D149" s="61" t="s">
        <v>34</v>
      </c>
      <c r="E149" s="61" t="s">
        <v>635</v>
      </c>
      <c r="F149" s="59" t="s">
        <v>18</v>
      </c>
      <c r="G149" s="61" t="s">
        <v>31</v>
      </c>
      <c r="H149" s="59" t="s">
        <v>20</v>
      </c>
      <c r="I149" s="61" t="s">
        <v>31</v>
      </c>
      <c r="J149" s="63" t="s">
        <v>21</v>
      </c>
      <c r="K149" s="61" t="s">
        <v>31</v>
      </c>
      <c r="L149" s="63" t="s">
        <v>22</v>
      </c>
      <c r="M149" s="61" t="s">
        <v>31</v>
      </c>
      <c r="N149" s="60" t="s">
        <v>816</v>
      </c>
      <c r="O149" s="59"/>
      <c r="P149" s="59"/>
    </row>
    <row r="150" ht="22.5" customHeight="1">
      <c r="A150" s="81" t="s">
        <v>637</v>
      </c>
      <c r="B150" s="60" t="s">
        <v>817</v>
      </c>
      <c r="C150" s="59">
        <f t="shared" si="2"/>
        <v>1</v>
      </c>
      <c r="D150" s="61" t="s">
        <v>34</v>
      </c>
      <c r="E150" s="61" t="s">
        <v>40</v>
      </c>
      <c r="F150" s="59" t="s">
        <v>18</v>
      </c>
      <c r="G150" s="61" t="s">
        <v>31</v>
      </c>
      <c r="H150" s="59" t="s">
        <v>20</v>
      </c>
      <c r="I150" s="61" t="s">
        <v>31</v>
      </c>
      <c r="J150" s="63" t="s">
        <v>21</v>
      </c>
      <c r="K150" s="61" t="s">
        <v>19</v>
      </c>
      <c r="L150" s="63" t="s">
        <v>22</v>
      </c>
      <c r="M150" s="61" t="s">
        <v>31</v>
      </c>
      <c r="N150" s="60" t="s">
        <v>696</v>
      </c>
      <c r="O150" s="59"/>
      <c r="P150" s="59"/>
    </row>
    <row r="151" ht="22.5" customHeight="1">
      <c r="A151" s="59"/>
      <c r="B151" s="86" t="s">
        <v>818</v>
      </c>
      <c r="C151" s="59">
        <f t="shared" si="2"/>
        <v>2</v>
      </c>
      <c r="D151" s="61" t="s">
        <v>34</v>
      </c>
      <c r="E151" s="61" t="s">
        <v>656</v>
      </c>
      <c r="F151" s="59" t="s">
        <v>18</v>
      </c>
      <c r="G151" s="61" t="s">
        <v>640</v>
      </c>
      <c r="H151" s="59" t="s">
        <v>20</v>
      </c>
      <c r="I151" s="61" t="s">
        <v>31</v>
      </c>
      <c r="J151" s="63" t="s">
        <v>21</v>
      </c>
      <c r="K151" s="61" t="s">
        <v>31</v>
      </c>
      <c r="L151" s="63" t="s">
        <v>22</v>
      </c>
      <c r="M151" s="61" t="s">
        <v>640</v>
      </c>
      <c r="N151" s="60" t="s">
        <v>819</v>
      </c>
      <c r="O151" s="59"/>
      <c r="P151" s="59"/>
    </row>
    <row r="152" ht="22.5" customHeight="1">
      <c r="A152" s="59"/>
      <c r="B152" s="60" t="s">
        <v>820</v>
      </c>
      <c r="C152" s="59">
        <f t="shared" si="2"/>
        <v>4</v>
      </c>
      <c r="D152" s="61" t="s">
        <v>16</v>
      </c>
      <c r="E152" s="61" t="s">
        <v>656</v>
      </c>
      <c r="F152" s="59" t="s">
        <v>18</v>
      </c>
      <c r="G152" s="61" t="s">
        <v>19</v>
      </c>
      <c r="H152" s="59" t="s">
        <v>20</v>
      </c>
      <c r="I152" s="61" t="s">
        <v>19</v>
      </c>
      <c r="J152" s="63" t="s">
        <v>21</v>
      </c>
      <c r="K152" s="61" t="s">
        <v>19</v>
      </c>
      <c r="L152" s="63" t="s">
        <v>22</v>
      </c>
      <c r="M152" s="61" t="s">
        <v>19</v>
      </c>
      <c r="N152" s="60" t="s">
        <v>821</v>
      </c>
      <c r="O152" s="59"/>
      <c r="P152" s="59"/>
    </row>
    <row r="153" ht="22.5" customHeight="1">
      <c r="A153" s="87" t="s">
        <v>637</v>
      </c>
      <c r="B153" s="82" t="s">
        <v>561</v>
      </c>
      <c r="C153" s="59">
        <f t="shared" si="2"/>
        <v>0</v>
      </c>
      <c r="D153" s="61" t="s">
        <v>34</v>
      </c>
      <c r="E153" s="61" t="s">
        <v>49</v>
      </c>
      <c r="F153" s="59" t="s">
        <v>18</v>
      </c>
      <c r="G153" s="61" t="s">
        <v>50</v>
      </c>
      <c r="H153" s="59" t="s">
        <v>20</v>
      </c>
      <c r="I153" s="61" t="s">
        <v>31</v>
      </c>
      <c r="J153" s="63" t="s">
        <v>21</v>
      </c>
      <c r="K153" s="61" t="s">
        <v>50</v>
      </c>
      <c r="L153" s="63" t="s">
        <v>22</v>
      </c>
      <c r="M153" s="61" t="s">
        <v>50</v>
      </c>
      <c r="N153" s="60" t="s">
        <v>372</v>
      </c>
      <c r="O153" s="59"/>
      <c r="P153" s="59"/>
    </row>
    <row r="154" ht="22.5" customHeight="1">
      <c r="A154" s="81" t="s">
        <v>637</v>
      </c>
      <c r="B154" s="82" t="s">
        <v>562</v>
      </c>
      <c r="C154" s="59">
        <f t="shared" si="2"/>
        <v>0</v>
      </c>
      <c r="D154" s="61" t="s">
        <v>34</v>
      </c>
      <c r="E154" s="61" t="s">
        <v>49</v>
      </c>
      <c r="F154" s="59" t="s">
        <v>18</v>
      </c>
      <c r="G154" s="61" t="s">
        <v>31</v>
      </c>
      <c r="H154" s="59" t="s">
        <v>20</v>
      </c>
      <c r="I154" s="61" t="s">
        <v>50</v>
      </c>
      <c r="J154" s="63" t="s">
        <v>21</v>
      </c>
      <c r="K154" s="61" t="s">
        <v>50</v>
      </c>
      <c r="L154" s="63" t="s">
        <v>22</v>
      </c>
      <c r="M154" s="61" t="s">
        <v>31</v>
      </c>
      <c r="N154" s="60" t="s">
        <v>372</v>
      </c>
      <c r="O154" s="59"/>
      <c r="P154" s="59"/>
    </row>
    <row r="155" ht="22.5" customHeight="1">
      <c r="A155" s="60" t="s">
        <v>822</v>
      </c>
      <c r="B155" s="60" t="s">
        <v>823</v>
      </c>
      <c r="C155" s="59">
        <f t="shared" si="2"/>
        <v>4</v>
      </c>
      <c r="D155" s="61" t="s">
        <v>16</v>
      </c>
      <c r="E155" s="61" t="s">
        <v>17</v>
      </c>
      <c r="F155" s="59" t="s">
        <v>18</v>
      </c>
      <c r="G155" s="61" t="s">
        <v>19</v>
      </c>
      <c r="H155" s="59" t="s">
        <v>20</v>
      </c>
      <c r="I155" s="61" t="s">
        <v>19</v>
      </c>
      <c r="J155" s="63" t="s">
        <v>21</v>
      </c>
      <c r="K155" s="61" t="s">
        <v>19</v>
      </c>
      <c r="L155" s="63" t="s">
        <v>22</v>
      </c>
      <c r="M155" s="61" t="s">
        <v>19</v>
      </c>
      <c r="N155" s="59"/>
      <c r="O155" s="59"/>
      <c r="P155" s="59"/>
    </row>
    <row r="156" ht="22.5" customHeight="1">
      <c r="A156" s="60" t="s">
        <v>824</v>
      </c>
      <c r="B156" s="60" t="s">
        <v>825</v>
      </c>
      <c r="C156" s="59">
        <f t="shared" si="2"/>
        <v>4</v>
      </c>
      <c r="D156" s="61" t="s">
        <v>16</v>
      </c>
      <c r="E156" s="61" t="s">
        <v>17</v>
      </c>
      <c r="F156" s="59" t="s">
        <v>18</v>
      </c>
      <c r="G156" s="61" t="s">
        <v>19</v>
      </c>
      <c r="H156" s="59" t="s">
        <v>20</v>
      </c>
      <c r="I156" s="61" t="s">
        <v>19</v>
      </c>
      <c r="J156" s="63" t="s">
        <v>21</v>
      </c>
      <c r="K156" s="61" t="s">
        <v>19</v>
      </c>
      <c r="L156" s="63" t="s">
        <v>22</v>
      </c>
      <c r="M156" s="61" t="s">
        <v>19</v>
      </c>
      <c r="N156" s="59"/>
      <c r="O156" s="59"/>
      <c r="P156" s="59"/>
    </row>
    <row r="157" ht="22.5" customHeight="1">
      <c r="A157" s="60" t="s">
        <v>826</v>
      </c>
      <c r="B157" s="60" t="s">
        <v>827</v>
      </c>
      <c r="C157" s="59">
        <f t="shared" si="2"/>
        <v>4</v>
      </c>
      <c r="D157" s="61" t="s">
        <v>16</v>
      </c>
      <c r="E157" s="61" t="s">
        <v>17</v>
      </c>
      <c r="F157" s="59" t="s">
        <v>18</v>
      </c>
      <c r="G157" s="61" t="s">
        <v>19</v>
      </c>
      <c r="H157" s="59" t="s">
        <v>20</v>
      </c>
      <c r="I157" s="61" t="s">
        <v>19</v>
      </c>
      <c r="J157" s="63" t="s">
        <v>21</v>
      </c>
      <c r="K157" s="61" t="s">
        <v>19</v>
      </c>
      <c r="L157" s="63" t="s">
        <v>22</v>
      </c>
      <c r="M157" s="61" t="s">
        <v>19</v>
      </c>
      <c r="N157" s="59"/>
      <c r="O157" s="59"/>
      <c r="P157" s="59"/>
    </row>
    <row r="158" ht="22.5" customHeight="1">
      <c r="A158" s="81" t="s">
        <v>637</v>
      </c>
      <c r="B158" s="82" t="s">
        <v>563</v>
      </c>
      <c r="C158" s="59">
        <f t="shared" si="2"/>
        <v>0</v>
      </c>
      <c r="D158" s="61" t="s">
        <v>34</v>
      </c>
      <c r="E158" s="61" t="s">
        <v>49</v>
      </c>
      <c r="F158" s="59" t="s">
        <v>18</v>
      </c>
      <c r="G158" s="61" t="s">
        <v>50</v>
      </c>
      <c r="H158" s="59" t="s">
        <v>20</v>
      </c>
      <c r="I158" s="61" t="s">
        <v>31</v>
      </c>
      <c r="J158" s="63" t="s">
        <v>21</v>
      </c>
      <c r="K158" s="61" t="s">
        <v>50</v>
      </c>
      <c r="L158" s="63" t="s">
        <v>22</v>
      </c>
      <c r="M158" s="61" t="s">
        <v>50</v>
      </c>
      <c r="N158" s="60" t="s">
        <v>372</v>
      </c>
      <c r="O158" s="59"/>
      <c r="P158" s="59"/>
    </row>
    <row r="159" ht="22.5" customHeight="1">
      <c r="A159" s="60" t="s">
        <v>828</v>
      </c>
      <c r="B159" s="60" t="s">
        <v>829</v>
      </c>
      <c r="C159" s="59">
        <f t="shared" si="2"/>
        <v>4</v>
      </c>
      <c r="D159" s="61" t="s">
        <v>16</v>
      </c>
      <c r="E159" s="61" t="s">
        <v>17</v>
      </c>
      <c r="F159" s="59" t="s">
        <v>18</v>
      </c>
      <c r="G159" s="61" t="s">
        <v>19</v>
      </c>
      <c r="H159" s="59" t="s">
        <v>20</v>
      </c>
      <c r="I159" s="61" t="s">
        <v>19</v>
      </c>
      <c r="J159" s="63" t="s">
        <v>21</v>
      </c>
      <c r="K159" s="61" t="s">
        <v>19</v>
      </c>
      <c r="L159" s="63" t="s">
        <v>22</v>
      </c>
      <c r="M159" s="61" t="s">
        <v>19</v>
      </c>
      <c r="N159" s="59"/>
      <c r="O159" s="59"/>
      <c r="P159" s="59"/>
    </row>
    <row r="160" ht="22.5" customHeight="1">
      <c r="A160" s="60" t="s">
        <v>830</v>
      </c>
      <c r="B160" s="60" t="s">
        <v>831</v>
      </c>
      <c r="C160" s="59">
        <f t="shared" si="2"/>
        <v>4</v>
      </c>
      <c r="D160" s="61" t="s">
        <v>16</v>
      </c>
      <c r="E160" s="61" t="s">
        <v>17</v>
      </c>
      <c r="F160" s="59" t="s">
        <v>18</v>
      </c>
      <c r="G160" s="61" t="s">
        <v>19</v>
      </c>
      <c r="H160" s="59" t="s">
        <v>20</v>
      </c>
      <c r="I160" s="61" t="s">
        <v>19</v>
      </c>
      <c r="J160" s="63" t="s">
        <v>21</v>
      </c>
      <c r="K160" s="61" t="s">
        <v>19</v>
      </c>
      <c r="L160" s="63" t="s">
        <v>22</v>
      </c>
      <c r="M160" s="61" t="s">
        <v>19</v>
      </c>
      <c r="N160" s="59"/>
      <c r="O160" s="59"/>
      <c r="P160" s="59"/>
    </row>
    <row r="161" ht="22.5" customHeight="1">
      <c r="A161" s="81" t="s">
        <v>637</v>
      </c>
      <c r="B161" s="60" t="s">
        <v>832</v>
      </c>
      <c r="C161" s="59">
        <f t="shared" si="2"/>
        <v>2</v>
      </c>
      <c r="D161" s="61" t="s">
        <v>34</v>
      </c>
      <c r="E161" s="61" t="s">
        <v>40</v>
      </c>
      <c r="F161" s="59" t="s">
        <v>18</v>
      </c>
      <c r="G161" s="61" t="s">
        <v>26</v>
      </c>
      <c r="H161" s="59" t="s">
        <v>20</v>
      </c>
      <c r="I161" s="61" t="s">
        <v>19</v>
      </c>
      <c r="J161" s="63" t="s">
        <v>21</v>
      </c>
      <c r="K161" s="61" t="s">
        <v>31</v>
      </c>
      <c r="L161" s="63" t="s">
        <v>22</v>
      </c>
      <c r="M161" s="61" t="s">
        <v>19</v>
      </c>
      <c r="N161" s="60" t="s">
        <v>833</v>
      </c>
      <c r="O161" s="59"/>
      <c r="P161" s="59"/>
    </row>
    <row r="162" ht="22.5" customHeight="1">
      <c r="A162" s="81" t="s">
        <v>637</v>
      </c>
      <c r="B162" s="60" t="s">
        <v>834</v>
      </c>
      <c r="C162" s="59">
        <f t="shared" si="2"/>
        <v>3</v>
      </c>
      <c r="D162" s="61" t="s">
        <v>34</v>
      </c>
      <c r="E162" s="61" t="s">
        <v>40</v>
      </c>
      <c r="F162" s="59" t="s">
        <v>18</v>
      </c>
      <c r="G162" s="61" t="s">
        <v>19</v>
      </c>
      <c r="H162" s="59" t="s">
        <v>20</v>
      </c>
      <c r="I162" s="61" t="s">
        <v>19</v>
      </c>
      <c r="J162" s="63" t="s">
        <v>21</v>
      </c>
      <c r="K162" s="61" t="s">
        <v>31</v>
      </c>
      <c r="L162" s="63" t="s">
        <v>22</v>
      </c>
      <c r="M162" s="61" t="s">
        <v>19</v>
      </c>
      <c r="N162" s="60" t="s">
        <v>376</v>
      </c>
      <c r="O162" s="59"/>
      <c r="P162" s="59"/>
    </row>
    <row r="163" ht="22.5" customHeight="1">
      <c r="A163" s="60" t="s">
        <v>637</v>
      </c>
      <c r="B163" s="60" t="s">
        <v>835</v>
      </c>
      <c r="C163" s="59">
        <f t="shared" si="2"/>
        <v>2</v>
      </c>
      <c r="D163" s="61" t="s">
        <v>34</v>
      </c>
      <c r="E163" s="61" t="s">
        <v>35</v>
      </c>
      <c r="F163" s="59" t="s">
        <v>18</v>
      </c>
      <c r="G163" s="61" t="s">
        <v>19</v>
      </c>
      <c r="H163" s="59" t="s">
        <v>20</v>
      </c>
      <c r="I163" s="61" t="s">
        <v>31</v>
      </c>
      <c r="J163" s="63" t="s">
        <v>21</v>
      </c>
      <c r="K163" s="61" t="s">
        <v>31</v>
      </c>
      <c r="L163" s="63" t="s">
        <v>22</v>
      </c>
      <c r="M163" s="61" t="s">
        <v>640</v>
      </c>
      <c r="N163" s="60" t="s">
        <v>836</v>
      </c>
      <c r="O163" s="60"/>
      <c r="P163" s="84"/>
    </row>
    <row r="164" ht="22.5" customHeight="1">
      <c r="A164" s="60" t="s">
        <v>837</v>
      </c>
      <c r="B164" s="60" t="s">
        <v>838</v>
      </c>
      <c r="C164" s="59">
        <f t="shared" si="2"/>
        <v>4</v>
      </c>
      <c r="D164" s="61" t="s">
        <v>16</v>
      </c>
      <c r="E164" s="61" t="s">
        <v>17</v>
      </c>
      <c r="F164" s="59" t="s">
        <v>18</v>
      </c>
      <c r="G164" s="61" t="s">
        <v>19</v>
      </c>
      <c r="H164" s="59" t="s">
        <v>20</v>
      </c>
      <c r="I164" s="61" t="s">
        <v>19</v>
      </c>
      <c r="J164" s="63" t="s">
        <v>21</v>
      </c>
      <c r="K164" s="61" t="s">
        <v>19</v>
      </c>
      <c r="L164" s="63" t="s">
        <v>22</v>
      </c>
      <c r="M164" s="61" t="s">
        <v>19</v>
      </c>
      <c r="N164" s="60" t="s">
        <v>376</v>
      </c>
      <c r="O164" s="59"/>
      <c r="P164" s="59"/>
    </row>
    <row r="165" ht="22.5" customHeight="1">
      <c r="A165" s="60" t="s">
        <v>839</v>
      </c>
      <c r="B165" s="60" t="s">
        <v>840</v>
      </c>
      <c r="C165" s="59">
        <f t="shared" si="2"/>
        <v>4</v>
      </c>
      <c r="D165" s="61" t="s">
        <v>16</v>
      </c>
      <c r="E165" s="61" t="s">
        <v>17</v>
      </c>
      <c r="F165" s="59" t="s">
        <v>18</v>
      </c>
      <c r="G165" s="61" t="s">
        <v>19</v>
      </c>
      <c r="H165" s="59" t="s">
        <v>20</v>
      </c>
      <c r="I165" s="61" t="s">
        <v>19</v>
      </c>
      <c r="J165" s="63" t="s">
        <v>21</v>
      </c>
      <c r="K165" s="61" t="s">
        <v>19</v>
      </c>
      <c r="L165" s="63" t="s">
        <v>22</v>
      </c>
      <c r="M165" s="61" t="s">
        <v>19</v>
      </c>
      <c r="N165" s="60" t="s">
        <v>376</v>
      </c>
      <c r="O165" s="59"/>
      <c r="P165" s="59"/>
    </row>
    <row r="166" ht="22.5" customHeight="1">
      <c r="A166" s="81" t="s">
        <v>637</v>
      </c>
      <c r="B166" s="60" t="s">
        <v>841</v>
      </c>
      <c r="C166" s="59">
        <f t="shared" si="2"/>
        <v>1</v>
      </c>
      <c r="D166" s="61" t="s">
        <v>34</v>
      </c>
      <c r="E166" s="61" t="s">
        <v>635</v>
      </c>
      <c r="F166" s="59" t="s">
        <v>18</v>
      </c>
      <c r="G166" s="61" t="s">
        <v>31</v>
      </c>
      <c r="H166" s="59" t="s">
        <v>20</v>
      </c>
      <c r="I166" s="61" t="s">
        <v>31</v>
      </c>
      <c r="J166" s="63" t="s">
        <v>21</v>
      </c>
      <c r="K166" s="61" t="s">
        <v>640</v>
      </c>
      <c r="L166" s="63" t="s">
        <v>22</v>
      </c>
      <c r="M166" s="61" t="s">
        <v>31</v>
      </c>
      <c r="N166" s="60" t="s">
        <v>842</v>
      </c>
      <c r="O166" s="60" t="s">
        <v>843</v>
      </c>
      <c r="P166" s="59"/>
    </row>
    <row r="167" ht="22.5" customHeight="1">
      <c r="A167" s="81" t="s">
        <v>637</v>
      </c>
      <c r="B167" s="82" t="s">
        <v>844</v>
      </c>
      <c r="C167" s="59">
        <f t="shared" si="2"/>
        <v>1</v>
      </c>
      <c r="D167" s="61" t="s">
        <v>34</v>
      </c>
      <c r="E167" s="61" t="s">
        <v>40</v>
      </c>
      <c r="F167" s="59" t="s">
        <v>18</v>
      </c>
      <c r="G167" s="61" t="s">
        <v>31</v>
      </c>
      <c r="H167" s="59" t="s">
        <v>20</v>
      </c>
      <c r="I167" s="61" t="s">
        <v>31</v>
      </c>
      <c r="J167" s="63" t="s">
        <v>21</v>
      </c>
      <c r="K167" s="61" t="s">
        <v>19</v>
      </c>
      <c r="L167" s="63" t="s">
        <v>22</v>
      </c>
      <c r="M167" s="61" t="s">
        <v>31</v>
      </c>
      <c r="N167" s="60" t="s">
        <v>696</v>
      </c>
      <c r="O167" s="59"/>
      <c r="P167" s="59"/>
    </row>
    <row r="168" ht="22.5" customHeight="1">
      <c r="A168" s="81" t="s">
        <v>637</v>
      </c>
      <c r="B168" s="86" t="s">
        <v>845</v>
      </c>
      <c r="C168" s="59">
        <f t="shared" si="2"/>
        <v>2</v>
      </c>
      <c r="D168" s="61" t="s">
        <v>34</v>
      </c>
      <c r="E168" s="61" t="s">
        <v>656</v>
      </c>
      <c r="F168" s="59" t="s">
        <v>18</v>
      </c>
      <c r="G168" s="61" t="s">
        <v>31</v>
      </c>
      <c r="H168" s="59" t="s">
        <v>20</v>
      </c>
      <c r="I168" s="61" t="s">
        <v>31</v>
      </c>
      <c r="J168" s="63" t="s">
        <v>21</v>
      </c>
      <c r="K168" s="61" t="s">
        <v>19</v>
      </c>
      <c r="L168" s="63" t="s">
        <v>22</v>
      </c>
      <c r="M168" s="61" t="s">
        <v>19</v>
      </c>
      <c r="N168" s="60" t="s">
        <v>409</v>
      </c>
      <c r="O168" s="59"/>
      <c r="P168" s="59"/>
    </row>
    <row r="169" ht="22.5" customHeight="1">
      <c r="A169" s="60" t="s">
        <v>846</v>
      </c>
      <c r="B169" s="60" t="s">
        <v>847</v>
      </c>
      <c r="C169" s="59">
        <f t="shared" si="2"/>
        <v>4</v>
      </c>
      <c r="D169" s="61" t="s">
        <v>16</v>
      </c>
      <c r="E169" s="61" t="s">
        <v>17</v>
      </c>
      <c r="F169" s="59" t="s">
        <v>18</v>
      </c>
      <c r="G169" s="61" t="s">
        <v>19</v>
      </c>
      <c r="H169" s="59" t="s">
        <v>20</v>
      </c>
      <c r="I169" s="61" t="s">
        <v>19</v>
      </c>
      <c r="J169" s="63" t="s">
        <v>21</v>
      </c>
      <c r="K169" s="61" t="s">
        <v>19</v>
      </c>
      <c r="L169" s="63" t="s">
        <v>22</v>
      </c>
      <c r="M169" s="61" t="s">
        <v>19</v>
      </c>
      <c r="N169" s="59"/>
      <c r="O169" s="59"/>
      <c r="P169" s="59"/>
    </row>
    <row r="170" ht="22.5" customHeight="1">
      <c r="A170" s="81" t="s">
        <v>637</v>
      </c>
      <c r="B170" s="60" t="s">
        <v>848</v>
      </c>
      <c r="C170" s="59">
        <f t="shared" si="2"/>
        <v>3</v>
      </c>
      <c r="D170" s="61" t="s">
        <v>34</v>
      </c>
      <c r="E170" s="61" t="s">
        <v>40</v>
      </c>
      <c r="F170" s="59" t="s">
        <v>18</v>
      </c>
      <c r="G170" s="61" t="s">
        <v>26</v>
      </c>
      <c r="H170" s="59" t="s">
        <v>20</v>
      </c>
      <c r="I170" s="61" t="s">
        <v>19</v>
      </c>
      <c r="J170" s="63" t="s">
        <v>21</v>
      </c>
      <c r="K170" s="61" t="s">
        <v>19</v>
      </c>
      <c r="L170" s="63" t="s">
        <v>22</v>
      </c>
      <c r="M170" s="61" t="s">
        <v>19</v>
      </c>
      <c r="N170" s="60" t="s">
        <v>849</v>
      </c>
      <c r="O170" s="59"/>
      <c r="P170" s="59"/>
    </row>
    <row r="171" ht="22.5" customHeight="1">
      <c r="A171" s="60" t="s">
        <v>850</v>
      </c>
      <c r="B171" s="60" t="s">
        <v>851</v>
      </c>
      <c r="C171" s="59">
        <f t="shared" si="2"/>
        <v>4</v>
      </c>
      <c r="D171" s="61" t="s">
        <v>16</v>
      </c>
      <c r="E171" s="61" t="s">
        <v>17</v>
      </c>
      <c r="F171" s="59" t="s">
        <v>18</v>
      </c>
      <c r="G171" s="61" t="s">
        <v>19</v>
      </c>
      <c r="H171" s="59" t="s">
        <v>20</v>
      </c>
      <c r="I171" s="61" t="s">
        <v>19</v>
      </c>
      <c r="J171" s="63" t="s">
        <v>21</v>
      </c>
      <c r="K171" s="61" t="s">
        <v>19</v>
      </c>
      <c r="L171" s="63" t="s">
        <v>22</v>
      </c>
      <c r="M171" s="61" t="s">
        <v>19</v>
      </c>
      <c r="N171" s="59"/>
      <c r="O171" s="59"/>
      <c r="P171" s="59"/>
    </row>
    <row r="172" ht="22.5" customHeight="1">
      <c r="A172" s="60" t="s">
        <v>852</v>
      </c>
      <c r="B172" s="60" t="s">
        <v>853</v>
      </c>
      <c r="C172" s="59">
        <f t="shared" si="2"/>
        <v>4</v>
      </c>
      <c r="D172" s="61" t="s">
        <v>16</v>
      </c>
      <c r="E172" s="61" t="s">
        <v>17</v>
      </c>
      <c r="F172" s="59" t="s">
        <v>18</v>
      </c>
      <c r="G172" s="61" t="s">
        <v>19</v>
      </c>
      <c r="H172" s="59" t="s">
        <v>20</v>
      </c>
      <c r="I172" s="61" t="s">
        <v>19</v>
      </c>
      <c r="J172" s="63" t="s">
        <v>21</v>
      </c>
      <c r="K172" s="61" t="s">
        <v>19</v>
      </c>
      <c r="L172" s="63" t="s">
        <v>22</v>
      </c>
      <c r="M172" s="61" t="s">
        <v>19</v>
      </c>
      <c r="N172" s="59"/>
      <c r="O172" s="59"/>
      <c r="P172" s="59"/>
    </row>
    <row r="173" ht="22.5" customHeight="1">
      <c r="A173" s="60" t="s">
        <v>854</v>
      </c>
      <c r="B173" s="60" t="s">
        <v>855</v>
      </c>
      <c r="C173" s="59">
        <f t="shared" si="2"/>
        <v>4</v>
      </c>
      <c r="D173" s="61" t="s">
        <v>16</v>
      </c>
      <c r="E173" s="61" t="s">
        <v>17</v>
      </c>
      <c r="F173" s="59" t="s">
        <v>18</v>
      </c>
      <c r="G173" s="61" t="s">
        <v>19</v>
      </c>
      <c r="H173" s="59" t="s">
        <v>20</v>
      </c>
      <c r="I173" s="61" t="s">
        <v>19</v>
      </c>
      <c r="J173" s="63" t="s">
        <v>21</v>
      </c>
      <c r="K173" s="61" t="s">
        <v>19</v>
      </c>
      <c r="L173" s="63" t="s">
        <v>22</v>
      </c>
      <c r="M173" s="61" t="s">
        <v>19</v>
      </c>
      <c r="N173" s="59"/>
      <c r="O173" s="59"/>
      <c r="P173" s="59"/>
    </row>
    <row r="174" ht="22.5" customHeight="1">
      <c r="A174" s="59"/>
      <c r="B174" s="60" t="s">
        <v>856</v>
      </c>
      <c r="C174" s="59">
        <f t="shared" si="2"/>
        <v>3</v>
      </c>
      <c r="D174" s="61" t="s">
        <v>34</v>
      </c>
      <c r="E174" s="61" t="s">
        <v>656</v>
      </c>
      <c r="F174" s="59" t="s">
        <v>18</v>
      </c>
      <c r="G174" s="61" t="s">
        <v>31</v>
      </c>
      <c r="H174" s="59" t="s">
        <v>20</v>
      </c>
      <c r="I174" s="61" t="s">
        <v>640</v>
      </c>
      <c r="J174" s="63" t="s">
        <v>21</v>
      </c>
      <c r="K174" s="61" t="s">
        <v>640</v>
      </c>
      <c r="L174" s="63" t="s">
        <v>22</v>
      </c>
      <c r="M174" s="61" t="s">
        <v>640</v>
      </c>
      <c r="N174" s="60" t="s">
        <v>857</v>
      </c>
      <c r="O174" s="59"/>
      <c r="P174" s="59"/>
    </row>
    <row r="175" ht="22.5" customHeight="1">
      <c r="A175" s="60" t="s">
        <v>858</v>
      </c>
      <c r="B175" s="86" t="s">
        <v>859</v>
      </c>
      <c r="C175" s="59">
        <f t="shared" si="2"/>
        <v>2</v>
      </c>
      <c r="D175" s="61" t="s">
        <v>34</v>
      </c>
      <c r="E175" s="61" t="s">
        <v>656</v>
      </c>
      <c r="F175" s="59" t="s">
        <v>18</v>
      </c>
      <c r="G175" s="61" t="s">
        <v>31</v>
      </c>
      <c r="H175" s="59" t="s">
        <v>20</v>
      </c>
      <c r="I175" s="61" t="s">
        <v>31</v>
      </c>
      <c r="J175" s="63" t="s">
        <v>21</v>
      </c>
      <c r="K175" s="61" t="s">
        <v>19</v>
      </c>
      <c r="L175" s="63" t="s">
        <v>22</v>
      </c>
      <c r="M175" s="61" t="s">
        <v>640</v>
      </c>
      <c r="N175" s="60" t="s">
        <v>860</v>
      </c>
      <c r="O175" s="59"/>
      <c r="P175" s="59"/>
    </row>
    <row r="176" ht="22.5" customHeight="1">
      <c r="A176" s="60" t="s">
        <v>637</v>
      </c>
      <c r="B176" s="82" t="s">
        <v>861</v>
      </c>
      <c r="C176" s="59">
        <f t="shared" si="2"/>
        <v>2</v>
      </c>
      <c r="D176" s="61" t="s">
        <v>34</v>
      </c>
      <c r="E176" s="61" t="s">
        <v>35</v>
      </c>
      <c r="F176" s="59" t="s">
        <v>18</v>
      </c>
      <c r="G176" s="61" t="s">
        <v>31</v>
      </c>
      <c r="H176" s="59" t="s">
        <v>20</v>
      </c>
      <c r="I176" s="61" t="s">
        <v>31</v>
      </c>
      <c r="J176" s="63" t="s">
        <v>21</v>
      </c>
      <c r="K176" s="61" t="s">
        <v>640</v>
      </c>
      <c r="L176" s="63" t="s">
        <v>22</v>
      </c>
      <c r="M176" s="61" t="s">
        <v>640</v>
      </c>
      <c r="N176" s="60" t="s">
        <v>862</v>
      </c>
      <c r="O176" s="60" t="s">
        <v>863</v>
      </c>
      <c r="P176" s="59"/>
    </row>
    <row r="177" ht="22.5" customHeight="1">
      <c r="A177" s="87" t="s">
        <v>637</v>
      </c>
      <c r="B177" s="82" t="s">
        <v>564</v>
      </c>
      <c r="C177" s="59">
        <f t="shared" si="2"/>
        <v>0</v>
      </c>
      <c r="D177" s="61" t="s">
        <v>16</v>
      </c>
      <c r="E177" s="61" t="s">
        <v>49</v>
      </c>
      <c r="F177" s="59" t="s">
        <v>18</v>
      </c>
      <c r="G177" s="61" t="s">
        <v>50</v>
      </c>
      <c r="H177" s="59" t="s">
        <v>20</v>
      </c>
      <c r="I177" s="61" t="s">
        <v>50</v>
      </c>
      <c r="J177" s="63" t="s">
        <v>21</v>
      </c>
      <c r="K177" s="61" t="s">
        <v>50</v>
      </c>
      <c r="L177" s="63" t="s">
        <v>22</v>
      </c>
      <c r="M177" s="61" t="s">
        <v>50</v>
      </c>
      <c r="N177" s="60" t="s">
        <v>372</v>
      </c>
      <c r="O177" s="59"/>
      <c r="P177" s="59"/>
    </row>
    <row r="178" ht="22.5" customHeight="1">
      <c r="A178" s="87" t="s">
        <v>637</v>
      </c>
      <c r="B178" s="82" t="s">
        <v>565</v>
      </c>
      <c r="C178" s="59">
        <f t="shared" si="2"/>
        <v>0</v>
      </c>
      <c r="D178" s="61" t="s">
        <v>34</v>
      </c>
      <c r="E178" s="61" t="s">
        <v>49</v>
      </c>
      <c r="F178" s="59" t="s">
        <v>18</v>
      </c>
      <c r="G178" s="61" t="s">
        <v>31</v>
      </c>
      <c r="H178" s="59" t="s">
        <v>20</v>
      </c>
      <c r="I178" s="61" t="s">
        <v>50</v>
      </c>
      <c r="J178" s="63" t="s">
        <v>21</v>
      </c>
      <c r="K178" s="61" t="s">
        <v>50</v>
      </c>
      <c r="L178" s="63" t="s">
        <v>22</v>
      </c>
      <c r="M178" s="61" t="s">
        <v>50</v>
      </c>
      <c r="N178" s="60" t="s">
        <v>372</v>
      </c>
      <c r="O178" s="59"/>
      <c r="P178" s="59"/>
    </row>
    <row r="179" ht="22.5" customHeight="1">
      <c r="A179" s="87" t="s">
        <v>637</v>
      </c>
      <c r="B179" s="82" t="s">
        <v>566</v>
      </c>
      <c r="C179" s="59">
        <f t="shared" si="2"/>
        <v>1</v>
      </c>
      <c r="D179" s="61" t="s">
        <v>34</v>
      </c>
      <c r="E179" s="61" t="s">
        <v>49</v>
      </c>
      <c r="F179" s="59" t="s">
        <v>18</v>
      </c>
      <c r="G179" s="61" t="s">
        <v>50</v>
      </c>
      <c r="H179" s="59" t="s">
        <v>20</v>
      </c>
      <c r="I179" s="61" t="s">
        <v>50</v>
      </c>
      <c r="J179" s="63" t="s">
        <v>21</v>
      </c>
      <c r="K179" s="61" t="s">
        <v>50</v>
      </c>
      <c r="L179" s="63" t="s">
        <v>22</v>
      </c>
      <c r="M179" s="61" t="s">
        <v>640</v>
      </c>
      <c r="N179" s="60" t="s">
        <v>372</v>
      </c>
      <c r="O179" s="59"/>
      <c r="P179" s="59"/>
    </row>
    <row r="180" ht="22.5" customHeight="1">
      <c r="A180" s="60" t="s">
        <v>864</v>
      </c>
      <c r="B180" s="60" t="s">
        <v>865</v>
      </c>
      <c r="C180" s="59">
        <f t="shared" si="2"/>
        <v>4</v>
      </c>
      <c r="D180" s="61" t="s">
        <v>16</v>
      </c>
      <c r="E180" s="61" t="s">
        <v>17</v>
      </c>
      <c r="F180" s="59" t="s">
        <v>18</v>
      </c>
      <c r="G180" s="61" t="s">
        <v>19</v>
      </c>
      <c r="H180" s="59" t="s">
        <v>20</v>
      </c>
      <c r="I180" s="61" t="s">
        <v>19</v>
      </c>
      <c r="J180" s="63" t="s">
        <v>21</v>
      </c>
      <c r="K180" s="61" t="s">
        <v>19</v>
      </c>
      <c r="L180" s="63" t="s">
        <v>22</v>
      </c>
      <c r="M180" s="61" t="s">
        <v>19</v>
      </c>
      <c r="N180" s="59"/>
      <c r="O180" s="59"/>
      <c r="P180" s="59"/>
    </row>
    <row r="181" ht="22.5" customHeight="1">
      <c r="A181" s="60" t="s">
        <v>866</v>
      </c>
      <c r="B181" s="60" t="s">
        <v>867</v>
      </c>
      <c r="C181" s="59">
        <f t="shared" si="2"/>
        <v>4</v>
      </c>
      <c r="D181" s="61" t="s">
        <v>16</v>
      </c>
      <c r="E181" s="61" t="s">
        <v>635</v>
      </c>
      <c r="F181" s="59" t="s">
        <v>18</v>
      </c>
      <c r="G181" s="61" t="s">
        <v>19</v>
      </c>
      <c r="H181" s="59" t="s">
        <v>20</v>
      </c>
      <c r="I181" s="61" t="s">
        <v>19</v>
      </c>
      <c r="J181" s="63" t="s">
        <v>21</v>
      </c>
      <c r="K181" s="61" t="s">
        <v>19</v>
      </c>
      <c r="L181" s="63" t="s">
        <v>22</v>
      </c>
      <c r="M181" s="61" t="s">
        <v>19</v>
      </c>
      <c r="N181" s="59"/>
      <c r="O181" s="59"/>
      <c r="P181" s="59"/>
    </row>
    <row r="182" ht="22.5" customHeight="1">
      <c r="A182" s="59"/>
      <c r="B182" s="60" t="s">
        <v>868</v>
      </c>
      <c r="C182" s="59">
        <f t="shared" si="2"/>
        <v>4</v>
      </c>
      <c r="D182" s="61" t="s">
        <v>16</v>
      </c>
      <c r="E182" s="61" t="s">
        <v>656</v>
      </c>
      <c r="F182" s="59" t="s">
        <v>18</v>
      </c>
      <c r="G182" s="61" t="s">
        <v>19</v>
      </c>
      <c r="H182" s="59" t="s">
        <v>20</v>
      </c>
      <c r="I182" s="61" t="s">
        <v>19</v>
      </c>
      <c r="J182" s="63" t="s">
        <v>21</v>
      </c>
      <c r="K182" s="61" t="s">
        <v>19</v>
      </c>
      <c r="L182" s="63" t="s">
        <v>22</v>
      </c>
      <c r="M182" s="61" t="s">
        <v>19</v>
      </c>
      <c r="N182" s="59"/>
      <c r="O182" s="59"/>
      <c r="P182" s="59"/>
    </row>
    <row r="183" ht="22.5" customHeight="1">
      <c r="A183" s="87" t="s">
        <v>637</v>
      </c>
      <c r="B183" s="82" t="s">
        <v>567</v>
      </c>
      <c r="C183" s="59">
        <f t="shared" si="2"/>
        <v>0</v>
      </c>
      <c r="D183" s="61" t="s">
        <v>34</v>
      </c>
      <c r="E183" s="61" t="s">
        <v>49</v>
      </c>
      <c r="F183" s="59" t="s">
        <v>18</v>
      </c>
      <c r="G183" s="61" t="s">
        <v>31</v>
      </c>
      <c r="H183" s="59" t="s">
        <v>20</v>
      </c>
      <c r="I183" s="61" t="s">
        <v>50</v>
      </c>
      <c r="J183" s="60" t="s">
        <v>50</v>
      </c>
      <c r="K183" s="61" t="s">
        <v>50</v>
      </c>
      <c r="L183" s="60" t="s">
        <v>50</v>
      </c>
      <c r="M183" s="61" t="s">
        <v>50</v>
      </c>
      <c r="N183" s="60" t="s">
        <v>372</v>
      </c>
      <c r="O183" s="59"/>
      <c r="P183" s="59"/>
    </row>
    <row r="184" ht="22.5" customHeight="1">
      <c r="A184" s="60" t="s">
        <v>869</v>
      </c>
      <c r="B184" s="60" t="s">
        <v>870</v>
      </c>
      <c r="C184" s="59">
        <f t="shared" si="2"/>
        <v>4</v>
      </c>
      <c r="D184" s="61" t="s">
        <v>16</v>
      </c>
      <c r="E184" s="61" t="s">
        <v>17</v>
      </c>
      <c r="F184" s="59" t="s">
        <v>18</v>
      </c>
      <c r="G184" s="61" t="s">
        <v>19</v>
      </c>
      <c r="H184" s="59" t="s">
        <v>20</v>
      </c>
      <c r="I184" s="61" t="s">
        <v>19</v>
      </c>
      <c r="J184" s="63" t="s">
        <v>21</v>
      </c>
      <c r="K184" s="61" t="s">
        <v>19</v>
      </c>
      <c r="L184" s="63" t="s">
        <v>22</v>
      </c>
      <c r="M184" s="61" t="s">
        <v>19</v>
      </c>
      <c r="N184" s="59"/>
      <c r="O184" s="59"/>
      <c r="P184" s="59"/>
    </row>
    <row r="185" ht="22.5" customHeight="1">
      <c r="A185" s="87" t="s">
        <v>637</v>
      </c>
      <c r="B185" s="82" t="s">
        <v>871</v>
      </c>
      <c r="C185" s="93">
        <f t="shared" si="2"/>
        <v>2</v>
      </c>
      <c r="D185" s="94" t="s">
        <v>34</v>
      </c>
      <c r="E185" s="94" t="s">
        <v>40</v>
      </c>
      <c r="F185" s="93" t="s">
        <v>18</v>
      </c>
      <c r="G185" s="94" t="s">
        <v>31</v>
      </c>
      <c r="H185" s="93" t="s">
        <v>20</v>
      </c>
      <c r="I185" s="94" t="s">
        <v>31</v>
      </c>
      <c r="J185" s="95" t="s">
        <v>21</v>
      </c>
      <c r="K185" s="94" t="s">
        <v>19</v>
      </c>
      <c r="L185" s="95" t="s">
        <v>22</v>
      </c>
      <c r="M185" s="94" t="s">
        <v>19</v>
      </c>
      <c r="N185" s="82" t="s">
        <v>872</v>
      </c>
      <c r="O185" s="82"/>
      <c r="P185" s="107"/>
      <c r="Q185" s="108"/>
      <c r="R185" s="108"/>
      <c r="S185" s="108"/>
      <c r="T185" s="108"/>
      <c r="U185" s="108"/>
      <c r="V185" s="108"/>
      <c r="W185" s="108"/>
      <c r="X185" s="108"/>
      <c r="Y185" s="108"/>
      <c r="Z185" s="108"/>
    </row>
    <row r="186" ht="22.5" customHeight="1">
      <c r="A186" s="60" t="s">
        <v>873</v>
      </c>
      <c r="B186" s="82" t="s">
        <v>568</v>
      </c>
      <c r="C186" s="59">
        <f t="shared" si="2"/>
        <v>1</v>
      </c>
      <c r="D186" s="61" t="s">
        <v>34</v>
      </c>
      <c r="E186" s="61" t="s">
        <v>49</v>
      </c>
      <c r="F186" s="59" t="s">
        <v>18</v>
      </c>
      <c r="G186" s="61" t="s">
        <v>50</v>
      </c>
      <c r="H186" s="59" t="s">
        <v>20</v>
      </c>
      <c r="I186" s="61" t="s">
        <v>50</v>
      </c>
      <c r="J186" s="63" t="s">
        <v>21</v>
      </c>
      <c r="K186" s="61" t="s">
        <v>50</v>
      </c>
      <c r="L186" s="63" t="s">
        <v>22</v>
      </c>
      <c r="M186" s="61" t="s">
        <v>640</v>
      </c>
      <c r="N186" s="60" t="s">
        <v>372</v>
      </c>
      <c r="O186" s="59"/>
      <c r="P186" s="59"/>
    </row>
    <row r="187" ht="22.5" customHeight="1">
      <c r="A187" s="60" t="s">
        <v>874</v>
      </c>
      <c r="B187" s="60" t="s">
        <v>875</v>
      </c>
      <c r="C187" s="59">
        <f t="shared" si="2"/>
        <v>4</v>
      </c>
      <c r="D187" s="61" t="s">
        <v>16</v>
      </c>
      <c r="E187" s="61" t="s">
        <v>17</v>
      </c>
      <c r="F187" s="59" t="s">
        <v>18</v>
      </c>
      <c r="G187" s="61" t="s">
        <v>19</v>
      </c>
      <c r="H187" s="59" t="s">
        <v>20</v>
      </c>
      <c r="I187" s="61" t="s">
        <v>19</v>
      </c>
      <c r="J187" s="63" t="s">
        <v>21</v>
      </c>
      <c r="K187" s="61" t="s">
        <v>19</v>
      </c>
      <c r="L187" s="63" t="s">
        <v>22</v>
      </c>
      <c r="M187" s="61" t="s">
        <v>19</v>
      </c>
      <c r="N187" s="60" t="s">
        <v>376</v>
      </c>
      <c r="O187" s="59"/>
      <c r="P187" s="59"/>
    </row>
    <row r="188" ht="22.5" customHeight="1">
      <c r="A188" s="59"/>
      <c r="B188" s="82" t="s">
        <v>569</v>
      </c>
      <c r="C188" s="59">
        <f t="shared" si="2"/>
        <v>0</v>
      </c>
      <c r="D188" s="61" t="s">
        <v>34</v>
      </c>
      <c r="E188" s="61" t="s">
        <v>49</v>
      </c>
      <c r="F188" s="59" t="s">
        <v>18</v>
      </c>
      <c r="G188" s="61" t="s">
        <v>31</v>
      </c>
      <c r="H188" s="59" t="s">
        <v>20</v>
      </c>
      <c r="I188" s="61" t="s">
        <v>50</v>
      </c>
      <c r="J188" s="63" t="s">
        <v>21</v>
      </c>
      <c r="K188" s="61" t="s">
        <v>50</v>
      </c>
      <c r="L188" s="63" t="s">
        <v>22</v>
      </c>
      <c r="M188" s="83" t="s">
        <v>50</v>
      </c>
      <c r="N188" s="60" t="s">
        <v>372</v>
      </c>
      <c r="O188" s="59"/>
      <c r="P188" s="59"/>
    </row>
    <row r="189" ht="22.5" customHeight="1">
      <c r="A189" s="60" t="s">
        <v>876</v>
      </c>
      <c r="B189" s="82" t="s">
        <v>570</v>
      </c>
      <c r="C189" s="59">
        <f t="shared" si="2"/>
        <v>1</v>
      </c>
      <c r="D189" s="61" t="s">
        <v>34</v>
      </c>
      <c r="E189" s="61" t="s">
        <v>49</v>
      </c>
      <c r="F189" s="59" t="s">
        <v>18</v>
      </c>
      <c r="G189" s="61" t="s">
        <v>50</v>
      </c>
      <c r="H189" s="59" t="s">
        <v>20</v>
      </c>
      <c r="I189" s="61" t="s">
        <v>19</v>
      </c>
      <c r="J189" s="63" t="s">
        <v>21</v>
      </c>
      <c r="K189" s="61" t="s">
        <v>31</v>
      </c>
      <c r="L189" s="63" t="s">
        <v>22</v>
      </c>
      <c r="M189" s="61" t="s">
        <v>50</v>
      </c>
      <c r="N189" s="60" t="s">
        <v>372</v>
      </c>
      <c r="O189" s="59"/>
      <c r="P189" s="59"/>
    </row>
    <row r="190" ht="22.5" customHeight="1">
      <c r="A190" s="59"/>
      <c r="B190" s="82" t="s">
        <v>571</v>
      </c>
      <c r="C190" s="59">
        <f t="shared" si="2"/>
        <v>1</v>
      </c>
      <c r="D190" s="61" t="s">
        <v>34</v>
      </c>
      <c r="E190" s="61" t="s">
        <v>49</v>
      </c>
      <c r="F190" s="59" t="s">
        <v>18</v>
      </c>
      <c r="G190" s="61" t="s">
        <v>31</v>
      </c>
      <c r="H190" s="59" t="s">
        <v>20</v>
      </c>
      <c r="I190" s="61" t="s">
        <v>31</v>
      </c>
      <c r="J190" s="63" t="s">
        <v>21</v>
      </c>
      <c r="K190" s="61" t="s">
        <v>31</v>
      </c>
      <c r="L190" s="63" t="s">
        <v>22</v>
      </c>
      <c r="M190" s="61" t="s">
        <v>640</v>
      </c>
      <c r="N190" s="60" t="s">
        <v>372</v>
      </c>
      <c r="O190" s="59"/>
      <c r="P190" s="59"/>
    </row>
    <row r="191" ht="22.5" customHeight="1">
      <c r="A191" s="59"/>
      <c r="B191" s="82" t="s">
        <v>572</v>
      </c>
      <c r="C191" s="59">
        <f t="shared" si="2"/>
        <v>3</v>
      </c>
      <c r="D191" s="61" t="s">
        <v>34</v>
      </c>
      <c r="E191" s="61" t="s">
        <v>49</v>
      </c>
      <c r="F191" s="59" t="s">
        <v>18</v>
      </c>
      <c r="G191" s="61" t="s">
        <v>31</v>
      </c>
      <c r="H191" s="59" t="s">
        <v>20</v>
      </c>
      <c r="I191" s="61" t="s">
        <v>19</v>
      </c>
      <c r="J191" s="63" t="s">
        <v>21</v>
      </c>
      <c r="K191" s="61" t="s">
        <v>19</v>
      </c>
      <c r="L191" s="63" t="s">
        <v>22</v>
      </c>
      <c r="M191" s="61" t="s">
        <v>640</v>
      </c>
      <c r="N191" s="60" t="s">
        <v>372</v>
      </c>
      <c r="O191" s="59"/>
      <c r="P191" s="59"/>
    </row>
    <row r="192" ht="22.5" customHeight="1">
      <c r="A192" s="60" t="s">
        <v>877</v>
      </c>
      <c r="B192" s="60" t="s">
        <v>878</v>
      </c>
      <c r="C192" s="59">
        <f t="shared" si="2"/>
        <v>4</v>
      </c>
      <c r="D192" s="61" t="s">
        <v>16</v>
      </c>
      <c r="E192" s="61" t="s">
        <v>17</v>
      </c>
      <c r="F192" s="59" t="s">
        <v>18</v>
      </c>
      <c r="G192" s="61" t="s">
        <v>19</v>
      </c>
      <c r="H192" s="59" t="s">
        <v>20</v>
      </c>
      <c r="I192" s="61" t="s">
        <v>19</v>
      </c>
      <c r="J192" s="63" t="s">
        <v>21</v>
      </c>
      <c r="K192" s="61" t="s">
        <v>19</v>
      </c>
      <c r="L192" s="63" t="s">
        <v>22</v>
      </c>
      <c r="M192" s="61" t="s">
        <v>19</v>
      </c>
      <c r="N192" s="59"/>
      <c r="O192" s="59"/>
      <c r="P192" s="59"/>
    </row>
    <row r="193" ht="22.5" customHeight="1">
      <c r="A193" s="81" t="s">
        <v>637</v>
      </c>
      <c r="B193" s="60" t="s">
        <v>879</v>
      </c>
      <c r="C193" s="59">
        <f t="shared" si="2"/>
        <v>3</v>
      </c>
      <c r="D193" s="61" t="s">
        <v>34</v>
      </c>
      <c r="E193" s="61" t="s">
        <v>40</v>
      </c>
      <c r="F193" s="59" t="s">
        <v>18</v>
      </c>
      <c r="G193" s="61" t="s">
        <v>31</v>
      </c>
      <c r="H193" s="59" t="s">
        <v>20</v>
      </c>
      <c r="I193" s="61" t="s">
        <v>19</v>
      </c>
      <c r="J193" s="63" t="s">
        <v>21</v>
      </c>
      <c r="K193" s="61" t="s">
        <v>19</v>
      </c>
      <c r="L193" s="63" t="s">
        <v>22</v>
      </c>
      <c r="M193" s="61" t="s">
        <v>640</v>
      </c>
      <c r="N193" s="60" t="s">
        <v>696</v>
      </c>
      <c r="O193" s="59"/>
      <c r="P193" s="59"/>
    </row>
    <row r="194" ht="22.5" customHeight="1">
      <c r="A194" s="81" t="s">
        <v>637</v>
      </c>
      <c r="B194" s="86" t="s">
        <v>880</v>
      </c>
      <c r="C194" s="59">
        <f t="shared" si="2"/>
        <v>1</v>
      </c>
      <c r="D194" s="61" t="s">
        <v>34</v>
      </c>
      <c r="E194" s="61" t="s">
        <v>656</v>
      </c>
      <c r="F194" s="59" t="s">
        <v>18</v>
      </c>
      <c r="G194" s="61" t="s">
        <v>31</v>
      </c>
      <c r="H194" s="59" t="s">
        <v>20</v>
      </c>
      <c r="I194" s="61" t="s">
        <v>31</v>
      </c>
      <c r="J194" s="63" t="s">
        <v>21</v>
      </c>
      <c r="K194" s="61" t="s">
        <v>31</v>
      </c>
      <c r="L194" s="63" t="s">
        <v>22</v>
      </c>
      <c r="M194" s="61" t="s">
        <v>640</v>
      </c>
      <c r="N194" s="60" t="s">
        <v>881</v>
      </c>
      <c r="O194" s="59"/>
      <c r="P194" s="59"/>
    </row>
    <row r="195" ht="22.5" customHeight="1">
      <c r="A195" s="59"/>
      <c r="B195" s="82" t="s">
        <v>573</v>
      </c>
      <c r="C195" s="59">
        <f t="shared" si="2"/>
        <v>0</v>
      </c>
      <c r="D195" s="61" t="s">
        <v>34</v>
      </c>
      <c r="E195" s="61" t="s">
        <v>49</v>
      </c>
      <c r="F195" s="59" t="s">
        <v>18</v>
      </c>
      <c r="G195" s="61" t="s">
        <v>31</v>
      </c>
      <c r="H195" s="59" t="s">
        <v>20</v>
      </c>
      <c r="I195" s="61" t="s">
        <v>50</v>
      </c>
      <c r="J195" s="63" t="s">
        <v>21</v>
      </c>
      <c r="K195" s="61" t="s">
        <v>50</v>
      </c>
      <c r="L195" s="63" t="s">
        <v>22</v>
      </c>
      <c r="M195" s="61" t="s">
        <v>50</v>
      </c>
      <c r="N195" s="60" t="s">
        <v>372</v>
      </c>
      <c r="O195" s="59"/>
      <c r="P195" s="59"/>
    </row>
    <row r="196" ht="22.5" customHeight="1">
      <c r="A196" s="81" t="s">
        <v>637</v>
      </c>
      <c r="B196" s="60" t="s">
        <v>882</v>
      </c>
      <c r="C196" s="59">
        <f t="shared" si="2"/>
        <v>4</v>
      </c>
      <c r="D196" s="61" t="s">
        <v>34</v>
      </c>
      <c r="E196" s="61" t="s">
        <v>40</v>
      </c>
      <c r="F196" s="59" t="s">
        <v>18</v>
      </c>
      <c r="G196" s="61" t="s">
        <v>19</v>
      </c>
      <c r="H196" s="59" t="s">
        <v>20</v>
      </c>
      <c r="I196" s="61" t="s">
        <v>19</v>
      </c>
      <c r="J196" s="63" t="s">
        <v>21</v>
      </c>
      <c r="K196" s="61" t="s">
        <v>19</v>
      </c>
      <c r="L196" s="63" t="s">
        <v>22</v>
      </c>
      <c r="M196" s="61" t="s">
        <v>19</v>
      </c>
      <c r="N196" s="60" t="s">
        <v>376</v>
      </c>
      <c r="O196" s="59"/>
      <c r="P196" s="59"/>
    </row>
    <row r="197" ht="22.5" customHeight="1">
      <c r="A197" s="60" t="s">
        <v>883</v>
      </c>
      <c r="B197" s="82" t="s">
        <v>574</v>
      </c>
      <c r="C197" s="59">
        <f t="shared" si="2"/>
        <v>0</v>
      </c>
      <c r="D197" s="61" t="s">
        <v>16</v>
      </c>
      <c r="E197" s="61" t="s">
        <v>49</v>
      </c>
      <c r="F197" s="59" t="s">
        <v>18</v>
      </c>
      <c r="G197" s="61" t="s">
        <v>50</v>
      </c>
      <c r="H197" s="59" t="s">
        <v>20</v>
      </c>
      <c r="I197" s="61" t="s">
        <v>50</v>
      </c>
      <c r="J197" s="63" t="s">
        <v>21</v>
      </c>
      <c r="K197" s="61" t="s">
        <v>50</v>
      </c>
      <c r="L197" s="63" t="s">
        <v>22</v>
      </c>
      <c r="M197" s="61" t="s">
        <v>50</v>
      </c>
      <c r="N197" s="60" t="s">
        <v>372</v>
      </c>
      <c r="O197" s="59"/>
      <c r="P197" s="59"/>
    </row>
    <row r="198" ht="22.5" customHeight="1">
      <c r="A198" s="59"/>
      <c r="B198" s="82" t="s">
        <v>884</v>
      </c>
      <c r="C198" s="59">
        <f t="shared" si="2"/>
        <v>0</v>
      </c>
      <c r="D198" s="61" t="s">
        <v>34</v>
      </c>
      <c r="E198" s="61" t="s">
        <v>635</v>
      </c>
      <c r="F198" s="59" t="s">
        <v>18</v>
      </c>
      <c r="G198" s="61" t="s">
        <v>31</v>
      </c>
      <c r="H198" s="59" t="s">
        <v>20</v>
      </c>
      <c r="I198" s="61" t="s">
        <v>31</v>
      </c>
      <c r="J198" s="63" t="s">
        <v>21</v>
      </c>
      <c r="K198" s="61" t="s">
        <v>31</v>
      </c>
      <c r="L198" s="63" t="s">
        <v>22</v>
      </c>
      <c r="M198" s="61" t="s">
        <v>31</v>
      </c>
      <c r="N198" s="60" t="s">
        <v>885</v>
      </c>
      <c r="O198" s="59"/>
      <c r="P198" s="59"/>
    </row>
    <row r="199" ht="22.5" customHeight="1">
      <c r="A199" s="59"/>
      <c r="B199" s="82" t="s">
        <v>575</v>
      </c>
      <c r="C199" s="59">
        <f t="shared" si="2"/>
        <v>0</v>
      </c>
      <c r="D199" s="61" t="s">
        <v>34</v>
      </c>
      <c r="E199" s="61" t="s">
        <v>49</v>
      </c>
      <c r="F199" s="59" t="s">
        <v>18</v>
      </c>
      <c r="G199" s="61" t="s">
        <v>31</v>
      </c>
      <c r="H199" s="59" t="s">
        <v>20</v>
      </c>
      <c r="I199" s="61" t="s">
        <v>50</v>
      </c>
      <c r="J199" s="63" t="s">
        <v>21</v>
      </c>
      <c r="K199" s="61" t="s">
        <v>50</v>
      </c>
      <c r="L199" s="63" t="s">
        <v>22</v>
      </c>
      <c r="M199" s="61" t="s">
        <v>50</v>
      </c>
      <c r="N199" s="60" t="s">
        <v>372</v>
      </c>
      <c r="O199" s="59"/>
      <c r="P199" s="59"/>
    </row>
    <row r="200" ht="22.5" customHeight="1">
      <c r="A200" s="59"/>
      <c r="B200" s="82" t="s">
        <v>576</v>
      </c>
      <c r="C200" s="59">
        <f t="shared" si="2"/>
        <v>0</v>
      </c>
      <c r="D200" s="61" t="s">
        <v>34</v>
      </c>
      <c r="E200" s="61" t="s">
        <v>49</v>
      </c>
      <c r="F200" s="59" t="s">
        <v>18</v>
      </c>
      <c r="G200" s="61" t="s">
        <v>31</v>
      </c>
      <c r="H200" s="59" t="s">
        <v>20</v>
      </c>
      <c r="I200" s="61" t="s">
        <v>50</v>
      </c>
      <c r="J200" s="63" t="s">
        <v>21</v>
      </c>
      <c r="K200" s="61" t="s">
        <v>50</v>
      </c>
      <c r="L200" s="63" t="s">
        <v>22</v>
      </c>
      <c r="M200" s="83" t="s">
        <v>50</v>
      </c>
      <c r="N200" s="60" t="s">
        <v>372</v>
      </c>
      <c r="O200" s="59"/>
      <c r="P200" s="59"/>
    </row>
    <row r="201" ht="22.5" customHeight="1">
      <c r="A201" s="59"/>
      <c r="B201" s="82" t="s">
        <v>577</v>
      </c>
      <c r="C201" s="59">
        <f t="shared" si="2"/>
        <v>0</v>
      </c>
      <c r="D201" s="61" t="s">
        <v>34</v>
      </c>
      <c r="E201" s="61" t="s">
        <v>49</v>
      </c>
      <c r="F201" s="59" t="s">
        <v>18</v>
      </c>
      <c r="G201" s="61" t="s">
        <v>31</v>
      </c>
      <c r="H201" s="59" t="s">
        <v>20</v>
      </c>
      <c r="I201" s="61" t="s">
        <v>50</v>
      </c>
      <c r="J201" s="63" t="s">
        <v>21</v>
      </c>
      <c r="K201" s="61" t="s">
        <v>50</v>
      </c>
      <c r="L201" s="63" t="s">
        <v>22</v>
      </c>
      <c r="M201" s="61" t="s">
        <v>50</v>
      </c>
      <c r="N201" s="60" t="s">
        <v>372</v>
      </c>
      <c r="O201" s="60"/>
      <c r="P201" s="84"/>
    </row>
    <row r="202" ht="22.5" customHeight="1">
      <c r="A202" s="59"/>
      <c r="B202" s="82" t="s">
        <v>578</v>
      </c>
      <c r="C202" s="59">
        <f t="shared" si="2"/>
        <v>0</v>
      </c>
      <c r="D202" s="61" t="s">
        <v>34</v>
      </c>
      <c r="E202" s="61" t="s">
        <v>49</v>
      </c>
      <c r="F202" s="59" t="s">
        <v>18</v>
      </c>
      <c r="G202" s="61" t="s">
        <v>31</v>
      </c>
      <c r="H202" s="59" t="s">
        <v>20</v>
      </c>
      <c r="I202" s="61" t="s">
        <v>50</v>
      </c>
      <c r="J202" s="63" t="s">
        <v>21</v>
      </c>
      <c r="K202" s="61" t="s">
        <v>50</v>
      </c>
      <c r="L202" s="63" t="s">
        <v>22</v>
      </c>
      <c r="M202" s="83" t="s">
        <v>50</v>
      </c>
      <c r="N202" s="60" t="s">
        <v>372</v>
      </c>
      <c r="O202" s="59"/>
      <c r="P202" s="59"/>
    </row>
    <row r="203" ht="22.5" customHeight="1">
      <c r="A203" s="59"/>
      <c r="B203" s="82" t="s">
        <v>579</v>
      </c>
      <c r="C203" s="59">
        <f t="shared" si="2"/>
        <v>0</v>
      </c>
      <c r="D203" s="61" t="s">
        <v>34</v>
      </c>
      <c r="E203" s="61" t="s">
        <v>49</v>
      </c>
      <c r="F203" s="59" t="s">
        <v>18</v>
      </c>
      <c r="G203" s="61" t="s">
        <v>50</v>
      </c>
      <c r="H203" s="59" t="s">
        <v>20</v>
      </c>
      <c r="I203" s="61" t="s">
        <v>50</v>
      </c>
      <c r="J203" s="63" t="s">
        <v>21</v>
      </c>
      <c r="K203" s="61" t="s">
        <v>31</v>
      </c>
      <c r="L203" s="63" t="s">
        <v>22</v>
      </c>
      <c r="M203" s="61" t="s">
        <v>50</v>
      </c>
      <c r="N203" s="60" t="s">
        <v>372</v>
      </c>
      <c r="O203" s="59"/>
      <c r="P203" s="59"/>
    </row>
    <row r="204" ht="22.5" customHeight="1">
      <c r="A204" s="67"/>
      <c r="B204" s="60" t="s">
        <v>886</v>
      </c>
      <c r="C204" s="59">
        <f t="shared" si="2"/>
        <v>4</v>
      </c>
      <c r="D204" s="61" t="s">
        <v>16</v>
      </c>
      <c r="E204" s="61" t="s">
        <v>635</v>
      </c>
      <c r="F204" s="59" t="s">
        <v>18</v>
      </c>
      <c r="G204" s="61" t="s">
        <v>19</v>
      </c>
      <c r="H204" s="59" t="s">
        <v>20</v>
      </c>
      <c r="I204" s="61" t="s">
        <v>19</v>
      </c>
      <c r="J204" s="63" t="s">
        <v>21</v>
      </c>
      <c r="K204" s="61" t="s">
        <v>19</v>
      </c>
      <c r="L204" s="63" t="s">
        <v>22</v>
      </c>
      <c r="M204" s="61" t="s">
        <v>19</v>
      </c>
      <c r="N204" s="59"/>
      <c r="O204" s="59"/>
      <c r="P204" s="59"/>
    </row>
    <row r="205" ht="22.5" customHeight="1">
      <c r="A205" s="81" t="s">
        <v>637</v>
      </c>
      <c r="B205" s="60" t="s">
        <v>887</v>
      </c>
      <c r="C205" s="59">
        <f t="shared" si="2"/>
        <v>3</v>
      </c>
      <c r="D205" s="61" t="s">
        <v>34</v>
      </c>
      <c r="E205" s="61" t="s">
        <v>40</v>
      </c>
      <c r="F205" s="59" t="s">
        <v>18</v>
      </c>
      <c r="G205" s="61" t="s">
        <v>19</v>
      </c>
      <c r="H205" s="59" t="s">
        <v>20</v>
      </c>
      <c r="I205" s="61" t="s">
        <v>19</v>
      </c>
      <c r="J205" s="63" t="s">
        <v>21</v>
      </c>
      <c r="K205" s="61" t="s">
        <v>31</v>
      </c>
      <c r="L205" s="63" t="s">
        <v>22</v>
      </c>
      <c r="M205" s="61" t="s">
        <v>19</v>
      </c>
      <c r="N205" s="60" t="s">
        <v>376</v>
      </c>
      <c r="O205" s="59"/>
      <c r="P205" s="59"/>
    </row>
    <row r="206" ht="22.5" customHeight="1">
      <c r="A206" s="60" t="s">
        <v>888</v>
      </c>
      <c r="B206" s="82" t="s">
        <v>580</v>
      </c>
      <c r="C206" s="59">
        <f t="shared" si="2"/>
        <v>2</v>
      </c>
      <c r="D206" s="61" t="s">
        <v>34</v>
      </c>
      <c r="E206" s="61" t="s">
        <v>49</v>
      </c>
      <c r="F206" s="59" t="s">
        <v>18</v>
      </c>
      <c r="G206" s="61" t="s">
        <v>31</v>
      </c>
      <c r="H206" s="59" t="s">
        <v>20</v>
      </c>
      <c r="I206" s="61" t="s">
        <v>19</v>
      </c>
      <c r="J206" s="63" t="s">
        <v>21</v>
      </c>
      <c r="K206" s="61" t="s">
        <v>19</v>
      </c>
      <c r="L206" s="63" t="s">
        <v>22</v>
      </c>
      <c r="M206" s="61" t="s">
        <v>31</v>
      </c>
      <c r="N206" s="60" t="s">
        <v>372</v>
      </c>
      <c r="O206" s="60"/>
      <c r="P206" s="84"/>
    </row>
    <row r="207" ht="22.5" customHeight="1">
      <c r="A207" s="60" t="s">
        <v>889</v>
      </c>
      <c r="B207" s="60" t="s">
        <v>890</v>
      </c>
      <c r="C207" s="59">
        <f t="shared" si="2"/>
        <v>4</v>
      </c>
      <c r="D207" s="62"/>
      <c r="E207" s="61" t="s">
        <v>635</v>
      </c>
      <c r="F207" s="59" t="s">
        <v>18</v>
      </c>
      <c r="G207" s="61" t="s">
        <v>640</v>
      </c>
      <c r="H207" s="59" t="s">
        <v>20</v>
      </c>
      <c r="I207" s="61" t="s">
        <v>640</v>
      </c>
      <c r="J207" s="63" t="s">
        <v>21</v>
      </c>
      <c r="K207" s="61" t="s">
        <v>640</v>
      </c>
      <c r="L207" s="63" t="s">
        <v>22</v>
      </c>
      <c r="M207" s="61" t="s">
        <v>640</v>
      </c>
      <c r="N207" s="60" t="s">
        <v>891</v>
      </c>
      <c r="O207" s="59"/>
      <c r="P207" s="59"/>
    </row>
    <row r="208" ht="22.5" customHeight="1">
      <c r="A208" s="59"/>
      <c r="B208" s="82" t="s">
        <v>581</v>
      </c>
      <c r="C208" s="60">
        <v>1.0</v>
      </c>
      <c r="D208" s="61" t="s">
        <v>34</v>
      </c>
      <c r="E208" s="61" t="s">
        <v>49</v>
      </c>
      <c r="F208" s="59" t="s">
        <v>18</v>
      </c>
      <c r="G208" s="61" t="s">
        <v>19</v>
      </c>
      <c r="H208" s="59" t="s">
        <v>20</v>
      </c>
      <c r="I208" s="61" t="s">
        <v>31</v>
      </c>
      <c r="J208" s="63" t="s">
        <v>21</v>
      </c>
      <c r="K208" s="61" t="s">
        <v>19</v>
      </c>
      <c r="L208" s="63" t="s">
        <v>22</v>
      </c>
      <c r="M208" s="61" t="s">
        <v>640</v>
      </c>
      <c r="N208" s="60" t="s">
        <v>372</v>
      </c>
      <c r="O208" s="59"/>
      <c r="P208" s="59"/>
    </row>
    <row r="209" ht="22.5" customHeight="1">
      <c r="A209" s="60" t="s">
        <v>892</v>
      </c>
      <c r="B209" s="60" t="s">
        <v>893</v>
      </c>
      <c r="C209" s="59">
        <f t="shared" ref="C209:C428" si="3">COUNTIF(G209:M209, "Not attempted") + COUNTIF(G209:M209, "Not Recieved")</f>
        <v>4</v>
      </c>
      <c r="D209" s="61" t="s">
        <v>16</v>
      </c>
      <c r="E209" s="61" t="s">
        <v>17</v>
      </c>
      <c r="F209" s="59" t="s">
        <v>18</v>
      </c>
      <c r="G209" s="61" t="s">
        <v>19</v>
      </c>
      <c r="H209" s="59" t="s">
        <v>20</v>
      </c>
      <c r="I209" s="61" t="s">
        <v>19</v>
      </c>
      <c r="J209" s="63" t="s">
        <v>21</v>
      </c>
      <c r="K209" s="61" t="s">
        <v>19</v>
      </c>
      <c r="L209" s="63" t="s">
        <v>22</v>
      </c>
      <c r="M209" s="61" t="s">
        <v>19</v>
      </c>
      <c r="N209" s="59"/>
      <c r="O209" s="59"/>
      <c r="P209" s="59"/>
    </row>
    <row r="210" ht="22.5" customHeight="1">
      <c r="A210" s="60" t="s">
        <v>894</v>
      </c>
      <c r="B210" s="60" t="s">
        <v>895</v>
      </c>
      <c r="C210" s="59">
        <f t="shared" si="3"/>
        <v>4</v>
      </c>
      <c r="D210" s="61" t="s">
        <v>16</v>
      </c>
      <c r="E210" s="61" t="s">
        <v>17</v>
      </c>
      <c r="F210" s="59" t="s">
        <v>18</v>
      </c>
      <c r="G210" s="61" t="s">
        <v>19</v>
      </c>
      <c r="H210" s="59" t="s">
        <v>20</v>
      </c>
      <c r="I210" s="61" t="s">
        <v>19</v>
      </c>
      <c r="J210" s="63" t="s">
        <v>21</v>
      </c>
      <c r="K210" s="61" t="s">
        <v>19</v>
      </c>
      <c r="L210" s="63" t="s">
        <v>22</v>
      </c>
      <c r="M210" s="61" t="s">
        <v>19</v>
      </c>
      <c r="N210" s="59"/>
      <c r="O210" s="59"/>
      <c r="P210" s="59"/>
    </row>
    <row r="211" ht="22.5" customHeight="1">
      <c r="A211" s="81" t="s">
        <v>637</v>
      </c>
      <c r="B211" s="60" t="s">
        <v>896</v>
      </c>
      <c r="C211" s="59">
        <f t="shared" si="3"/>
        <v>3</v>
      </c>
      <c r="D211" s="61" t="s">
        <v>34</v>
      </c>
      <c r="E211" s="61" t="s">
        <v>40</v>
      </c>
      <c r="F211" s="59" t="s">
        <v>18</v>
      </c>
      <c r="G211" s="61" t="s">
        <v>19</v>
      </c>
      <c r="H211" s="59" t="s">
        <v>20</v>
      </c>
      <c r="I211" s="61" t="s">
        <v>19</v>
      </c>
      <c r="J211" s="63" t="s">
        <v>21</v>
      </c>
      <c r="K211" s="61" t="s">
        <v>31</v>
      </c>
      <c r="L211" s="63" t="s">
        <v>22</v>
      </c>
      <c r="M211" s="61" t="s">
        <v>640</v>
      </c>
      <c r="N211" s="60" t="s">
        <v>376</v>
      </c>
      <c r="O211" s="59"/>
      <c r="P211" s="59"/>
    </row>
    <row r="212" ht="22.5" customHeight="1">
      <c r="A212" s="60" t="s">
        <v>897</v>
      </c>
      <c r="B212" s="60" t="s">
        <v>898</v>
      </c>
      <c r="C212" s="59">
        <f t="shared" si="3"/>
        <v>4</v>
      </c>
      <c r="D212" s="61" t="s">
        <v>16</v>
      </c>
      <c r="E212" s="61" t="s">
        <v>17</v>
      </c>
      <c r="F212" s="59" t="s">
        <v>18</v>
      </c>
      <c r="G212" s="61" t="s">
        <v>19</v>
      </c>
      <c r="H212" s="59" t="s">
        <v>20</v>
      </c>
      <c r="I212" s="61" t="s">
        <v>19</v>
      </c>
      <c r="J212" s="63" t="s">
        <v>21</v>
      </c>
      <c r="K212" s="61" t="s">
        <v>19</v>
      </c>
      <c r="L212" s="63" t="s">
        <v>22</v>
      </c>
      <c r="M212" s="61" t="s">
        <v>19</v>
      </c>
      <c r="N212" s="59"/>
      <c r="O212" s="59"/>
      <c r="P212" s="59"/>
    </row>
    <row r="213" ht="22.5" customHeight="1">
      <c r="A213" s="60" t="s">
        <v>899</v>
      </c>
      <c r="B213" s="60" t="s">
        <v>900</v>
      </c>
      <c r="C213" s="59">
        <f t="shared" si="3"/>
        <v>4</v>
      </c>
      <c r="D213" s="61" t="s">
        <v>16</v>
      </c>
      <c r="E213" s="61" t="s">
        <v>17</v>
      </c>
      <c r="F213" s="59" t="s">
        <v>18</v>
      </c>
      <c r="G213" s="61" t="s">
        <v>19</v>
      </c>
      <c r="H213" s="59" t="s">
        <v>20</v>
      </c>
      <c r="I213" s="61" t="s">
        <v>19</v>
      </c>
      <c r="J213" s="63" t="s">
        <v>21</v>
      </c>
      <c r="K213" s="61" t="s">
        <v>19</v>
      </c>
      <c r="L213" s="63" t="s">
        <v>22</v>
      </c>
      <c r="M213" s="61" t="s">
        <v>19</v>
      </c>
      <c r="N213" s="59"/>
      <c r="O213" s="59"/>
      <c r="P213" s="59"/>
    </row>
    <row r="214" ht="22.5" customHeight="1">
      <c r="A214" s="60" t="s">
        <v>901</v>
      </c>
      <c r="B214" s="60" t="s">
        <v>902</v>
      </c>
      <c r="C214" s="59">
        <f t="shared" si="3"/>
        <v>4</v>
      </c>
      <c r="D214" s="61" t="s">
        <v>16</v>
      </c>
      <c r="E214" s="61" t="s">
        <v>17</v>
      </c>
      <c r="F214" s="59" t="s">
        <v>18</v>
      </c>
      <c r="G214" s="61" t="s">
        <v>19</v>
      </c>
      <c r="H214" s="59" t="s">
        <v>20</v>
      </c>
      <c r="I214" s="61" t="s">
        <v>19</v>
      </c>
      <c r="J214" s="63" t="s">
        <v>21</v>
      </c>
      <c r="K214" s="61" t="s">
        <v>19</v>
      </c>
      <c r="L214" s="63" t="s">
        <v>22</v>
      </c>
      <c r="M214" s="61" t="s">
        <v>19</v>
      </c>
      <c r="N214" s="59"/>
      <c r="O214" s="59"/>
      <c r="P214" s="59"/>
    </row>
    <row r="215" ht="22.5" customHeight="1">
      <c r="A215" s="59"/>
      <c r="B215" s="60" t="s">
        <v>903</v>
      </c>
      <c r="C215" s="59">
        <f t="shared" si="3"/>
        <v>4</v>
      </c>
      <c r="D215" s="62"/>
      <c r="E215" s="61" t="s">
        <v>813</v>
      </c>
      <c r="F215" s="59" t="s">
        <v>18</v>
      </c>
      <c r="G215" s="61" t="s">
        <v>640</v>
      </c>
      <c r="H215" s="59" t="s">
        <v>20</v>
      </c>
      <c r="I215" s="61" t="s">
        <v>640</v>
      </c>
      <c r="J215" s="63" t="s">
        <v>21</v>
      </c>
      <c r="K215" s="61" t="s">
        <v>19</v>
      </c>
      <c r="L215" s="63" t="s">
        <v>22</v>
      </c>
      <c r="M215" s="61" t="s">
        <v>640</v>
      </c>
      <c r="N215" s="59"/>
      <c r="O215" s="59"/>
      <c r="P215" s="59"/>
    </row>
    <row r="216" ht="22.5" customHeight="1">
      <c r="A216" s="60" t="s">
        <v>904</v>
      </c>
      <c r="B216" s="60" t="s">
        <v>905</v>
      </c>
      <c r="C216" s="59">
        <f t="shared" si="3"/>
        <v>4</v>
      </c>
      <c r="D216" s="61" t="s">
        <v>16</v>
      </c>
      <c r="E216" s="61" t="s">
        <v>17</v>
      </c>
      <c r="F216" s="59" t="s">
        <v>18</v>
      </c>
      <c r="G216" s="61" t="s">
        <v>19</v>
      </c>
      <c r="H216" s="59" t="s">
        <v>20</v>
      </c>
      <c r="I216" s="61" t="s">
        <v>19</v>
      </c>
      <c r="J216" s="63" t="s">
        <v>21</v>
      </c>
      <c r="K216" s="61" t="s">
        <v>19</v>
      </c>
      <c r="L216" s="63" t="s">
        <v>22</v>
      </c>
      <c r="M216" s="61" t="s">
        <v>19</v>
      </c>
      <c r="N216" s="59"/>
      <c r="O216" s="59"/>
      <c r="P216" s="59"/>
    </row>
    <row r="217" ht="22.5" customHeight="1">
      <c r="A217" s="81" t="s">
        <v>637</v>
      </c>
      <c r="B217" s="60" t="s">
        <v>906</v>
      </c>
      <c r="C217" s="59">
        <f t="shared" si="3"/>
        <v>3</v>
      </c>
      <c r="D217" s="61" t="s">
        <v>34</v>
      </c>
      <c r="E217" s="61" t="s">
        <v>40</v>
      </c>
      <c r="F217" s="59" t="s">
        <v>18</v>
      </c>
      <c r="G217" s="61" t="s">
        <v>19</v>
      </c>
      <c r="H217" s="59" t="s">
        <v>20</v>
      </c>
      <c r="I217" s="61" t="s">
        <v>19</v>
      </c>
      <c r="J217" s="63" t="s">
        <v>21</v>
      </c>
      <c r="K217" s="61" t="s">
        <v>31</v>
      </c>
      <c r="L217" s="63" t="s">
        <v>22</v>
      </c>
      <c r="M217" s="61" t="s">
        <v>640</v>
      </c>
      <c r="N217" s="60" t="s">
        <v>685</v>
      </c>
      <c r="O217" s="59"/>
      <c r="P217" s="59"/>
    </row>
    <row r="218" ht="22.5" customHeight="1">
      <c r="A218" s="81" t="s">
        <v>637</v>
      </c>
      <c r="B218" s="82" t="s">
        <v>907</v>
      </c>
      <c r="C218" s="59">
        <f t="shared" si="3"/>
        <v>3</v>
      </c>
      <c r="D218" s="61" t="s">
        <v>34</v>
      </c>
      <c r="E218" s="61" t="s">
        <v>40</v>
      </c>
      <c r="F218" s="59" t="s">
        <v>18</v>
      </c>
      <c r="G218" s="61" t="s">
        <v>19</v>
      </c>
      <c r="H218" s="59" t="s">
        <v>20</v>
      </c>
      <c r="I218" s="61" t="s">
        <v>19</v>
      </c>
      <c r="J218" s="63" t="s">
        <v>21</v>
      </c>
      <c r="K218" s="61" t="s">
        <v>31</v>
      </c>
      <c r="L218" s="63" t="s">
        <v>22</v>
      </c>
      <c r="M218" s="61" t="s">
        <v>640</v>
      </c>
      <c r="N218" s="60" t="s">
        <v>908</v>
      </c>
      <c r="O218" s="59"/>
      <c r="P218" s="59"/>
    </row>
    <row r="219" ht="22.5" customHeight="1">
      <c r="A219" s="60" t="s">
        <v>909</v>
      </c>
      <c r="B219" s="60" t="s">
        <v>910</v>
      </c>
      <c r="C219" s="59">
        <f t="shared" si="3"/>
        <v>1</v>
      </c>
      <c r="D219" s="61" t="s">
        <v>16</v>
      </c>
      <c r="E219" s="61" t="s">
        <v>49</v>
      </c>
      <c r="F219" s="59" t="s">
        <v>18</v>
      </c>
      <c r="G219" s="61" t="s">
        <v>50</v>
      </c>
      <c r="H219" s="59" t="s">
        <v>20</v>
      </c>
      <c r="I219" s="61" t="s">
        <v>50</v>
      </c>
      <c r="J219" s="63" t="s">
        <v>21</v>
      </c>
      <c r="K219" s="61" t="s">
        <v>50</v>
      </c>
      <c r="L219" s="63" t="s">
        <v>22</v>
      </c>
      <c r="M219" s="61" t="s">
        <v>19</v>
      </c>
      <c r="N219" s="60" t="s">
        <v>911</v>
      </c>
      <c r="O219" s="59"/>
      <c r="P219" s="59"/>
    </row>
    <row r="220" ht="22.5" customHeight="1">
      <c r="A220" s="59"/>
      <c r="B220" s="60" t="s">
        <v>912</v>
      </c>
      <c r="C220" s="59">
        <f t="shared" si="3"/>
        <v>1</v>
      </c>
      <c r="D220" s="61" t="s">
        <v>34</v>
      </c>
      <c r="E220" s="61" t="s">
        <v>635</v>
      </c>
      <c r="F220" s="59" t="s">
        <v>18</v>
      </c>
      <c r="G220" s="61" t="s">
        <v>31</v>
      </c>
      <c r="H220" s="59" t="s">
        <v>20</v>
      </c>
      <c r="I220" s="61" t="s">
        <v>31</v>
      </c>
      <c r="J220" s="63" t="s">
        <v>21</v>
      </c>
      <c r="K220" s="61" t="s">
        <v>26</v>
      </c>
      <c r="L220" s="63" t="s">
        <v>22</v>
      </c>
      <c r="M220" s="61" t="s">
        <v>640</v>
      </c>
      <c r="N220" s="60" t="s">
        <v>913</v>
      </c>
      <c r="O220" s="60" t="s">
        <v>914</v>
      </c>
      <c r="P220" s="84"/>
    </row>
    <row r="221" ht="22.5" customHeight="1">
      <c r="A221" s="81" t="s">
        <v>637</v>
      </c>
      <c r="B221" s="86" t="s">
        <v>915</v>
      </c>
      <c r="C221" s="59">
        <f t="shared" si="3"/>
        <v>2</v>
      </c>
      <c r="D221" s="61" t="s">
        <v>34</v>
      </c>
      <c r="E221" s="61" t="s">
        <v>656</v>
      </c>
      <c r="F221" s="59" t="s">
        <v>18</v>
      </c>
      <c r="G221" s="61" t="s">
        <v>31</v>
      </c>
      <c r="H221" s="59" t="s">
        <v>20</v>
      </c>
      <c r="I221" s="61" t="s">
        <v>19</v>
      </c>
      <c r="J221" s="63" t="s">
        <v>21</v>
      </c>
      <c r="K221" s="61" t="s">
        <v>31</v>
      </c>
      <c r="L221" s="63" t="s">
        <v>22</v>
      </c>
      <c r="M221" s="61" t="s">
        <v>640</v>
      </c>
      <c r="N221" s="60" t="s">
        <v>916</v>
      </c>
      <c r="O221" s="60" t="s">
        <v>917</v>
      </c>
      <c r="P221" s="84"/>
    </row>
    <row r="222" ht="22.5" customHeight="1">
      <c r="A222" s="60" t="s">
        <v>918</v>
      </c>
      <c r="B222" s="60" t="s">
        <v>919</v>
      </c>
      <c r="C222" s="59">
        <f t="shared" si="3"/>
        <v>4</v>
      </c>
      <c r="D222" s="61" t="s">
        <v>16</v>
      </c>
      <c r="E222" s="61" t="s">
        <v>17</v>
      </c>
      <c r="F222" s="59" t="s">
        <v>18</v>
      </c>
      <c r="G222" s="61" t="s">
        <v>19</v>
      </c>
      <c r="H222" s="59" t="s">
        <v>20</v>
      </c>
      <c r="I222" s="61" t="s">
        <v>19</v>
      </c>
      <c r="J222" s="63" t="s">
        <v>21</v>
      </c>
      <c r="K222" s="61" t="s">
        <v>19</v>
      </c>
      <c r="L222" s="63" t="s">
        <v>22</v>
      </c>
      <c r="M222" s="61" t="s">
        <v>19</v>
      </c>
      <c r="N222" s="59"/>
      <c r="O222" s="59"/>
      <c r="P222" s="59"/>
    </row>
    <row r="223" ht="22.5" customHeight="1">
      <c r="A223" s="60" t="s">
        <v>920</v>
      </c>
      <c r="B223" s="60" t="s">
        <v>921</v>
      </c>
      <c r="C223" s="59">
        <f t="shared" si="3"/>
        <v>4</v>
      </c>
      <c r="D223" s="61" t="s">
        <v>16</v>
      </c>
      <c r="E223" s="61" t="s">
        <v>17</v>
      </c>
      <c r="F223" s="59" t="s">
        <v>18</v>
      </c>
      <c r="G223" s="61" t="s">
        <v>19</v>
      </c>
      <c r="H223" s="59" t="s">
        <v>20</v>
      </c>
      <c r="I223" s="61" t="s">
        <v>19</v>
      </c>
      <c r="J223" s="63" t="s">
        <v>21</v>
      </c>
      <c r="K223" s="61" t="s">
        <v>19</v>
      </c>
      <c r="L223" s="63" t="s">
        <v>22</v>
      </c>
      <c r="M223" s="61" t="s">
        <v>19</v>
      </c>
      <c r="N223" s="59"/>
      <c r="O223" s="59"/>
      <c r="P223" s="59"/>
    </row>
    <row r="224" ht="22.5" customHeight="1">
      <c r="A224" s="60" t="s">
        <v>922</v>
      </c>
      <c r="B224" s="82" t="s">
        <v>923</v>
      </c>
      <c r="C224" s="59">
        <f t="shared" si="3"/>
        <v>4</v>
      </c>
      <c r="D224" s="61" t="s">
        <v>16</v>
      </c>
      <c r="E224" s="61" t="s">
        <v>635</v>
      </c>
      <c r="F224" s="59" t="s">
        <v>18</v>
      </c>
      <c r="G224" s="61" t="s">
        <v>19</v>
      </c>
      <c r="H224" s="59" t="s">
        <v>20</v>
      </c>
      <c r="I224" s="61" t="s">
        <v>19</v>
      </c>
      <c r="J224" s="63" t="s">
        <v>21</v>
      </c>
      <c r="K224" s="61" t="s">
        <v>19</v>
      </c>
      <c r="L224" s="63" t="s">
        <v>22</v>
      </c>
      <c r="M224" s="61" t="s">
        <v>19</v>
      </c>
      <c r="N224" s="59"/>
      <c r="O224" s="59"/>
      <c r="P224" s="59"/>
    </row>
    <row r="225" ht="22.5" customHeight="1">
      <c r="A225" s="60" t="s">
        <v>924</v>
      </c>
      <c r="B225" s="60" t="s">
        <v>925</v>
      </c>
      <c r="C225" s="59">
        <f t="shared" si="3"/>
        <v>4</v>
      </c>
      <c r="D225" s="61" t="s">
        <v>16</v>
      </c>
      <c r="E225" s="61" t="s">
        <v>17</v>
      </c>
      <c r="F225" s="59" t="s">
        <v>18</v>
      </c>
      <c r="G225" s="61" t="s">
        <v>19</v>
      </c>
      <c r="H225" s="59" t="s">
        <v>20</v>
      </c>
      <c r="I225" s="61" t="s">
        <v>19</v>
      </c>
      <c r="J225" s="63" t="s">
        <v>21</v>
      </c>
      <c r="K225" s="61" t="s">
        <v>19</v>
      </c>
      <c r="L225" s="63" t="s">
        <v>22</v>
      </c>
      <c r="M225" s="61" t="s">
        <v>19</v>
      </c>
      <c r="N225" s="60" t="s">
        <v>376</v>
      </c>
      <c r="O225" s="59"/>
      <c r="P225" s="59"/>
    </row>
    <row r="226" ht="22.5" customHeight="1">
      <c r="A226" s="81" t="s">
        <v>637</v>
      </c>
      <c r="B226" s="60" t="s">
        <v>926</v>
      </c>
      <c r="C226" s="59">
        <f t="shared" si="3"/>
        <v>1</v>
      </c>
      <c r="D226" s="61" t="s">
        <v>34</v>
      </c>
      <c r="E226" s="61" t="s">
        <v>40</v>
      </c>
      <c r="F226" s="59" t="s">
        <v>18</v>
      </c>
      <c r="G226" s="61" t="s">
        <v>31</v>
      </c>
      <c r="H226" s="59" t="s">
        <v>20</v>
      </c>
      <c r="I226" s="61" t="s">
        <v>26</v>
      </c>
      <c r="J226" s="63" t="s">
        <v>21</v>
      </c>
      <c r="K226" s="61" t="s">
        <v>640</v>
      </c>
      <c r="L226" s="63" t="s">
        <v>22</v>
      </c>
      <c r="M226" s="61" t="s">
        <v>31</v>
      </c>
      <c r="N226" s="60" t="s">
        <v>927</v>
      </c>
      <c r="O226" s="59"/>
      <c r="P226" s="59"/>
    </row>
    <row r="227" ht="22.5" customHeight="1">
      <c r="A227" s="81" t="s">
        <v>637</v>
      </c>
      <c r="B227" s="60" t="s">
        <v>928</v>
      </c>
      <c r="C227" s="59">
        <f t="shared" si="3"/>
        <v>0</v>
      </c>
      <c r="D227" s="61" t="s">
        <v>34</v>
      </c>
      <c r="E227" s="61" t="s">
        <v>40</v>
      </c>
      <c r="F227" s="59" t="s">
        <v>18</v>
      </c>
      <c r="G227" s="61" t="s">
        <v>31</v>
      </c>
      <c r="H227" s="59" t="s">
        <v>20</v>
      </c>
      <c r="I227" s="61" t="s">
        <v>31</v>
      </c>
      <c r="J227" s="63" t="s">
        <v>21</v>
      </c>
      <c r="K227" s="61" t="s">
        <v>31</v>
      </c>
      <c r="L227" s="63" t="s">
        <v>22</v>
      </c>
      <c r="M227" s="61" t="s">
        <v>31</v>
      </c>
      <c r="N227" s="60" t="s">
        <v>696</v>
      </c>
      <c r="O227" s="59"/>
      <c r="P227" s="59"/>
    </row>
    <row r="228" ht="22.5" customHeight="1">
      <c r="A228" s="81" t="s">
        <v>637</v>
      </c>
      <c r="B228" s="82" t="s">
        <v>582</v>
      </c>
      <c r="C228" s="59">
        <f t="shared" si="3"/>
        <v>1</v>
      </c>
      <c r="D228" s="61" t="s">
        <v>16</v>
      </c>
      <c r="E228" s="61" t="s">
        <v>49</v>
      </c>
      <c r="F228" s="59" t="s">
        <v>18</v>
      </c>
      <c r="G228" s="61" t="s">
        <v>19</v>
      </c>
      <c r="H228" s="59" t="s">
        <v>20</v>
      </c>
      <c r="I228" s="61" t="s">
        <v>50</v>
      </c>
      <c r="J228" s="63" t="s">
        <v>21</v>
      </c>
      <c r="K228" s="61" t="s">
        <v>50</v>
      </c>
      <c r="L228" s="63" t="s">
        <v>22</v>
      </c>
      <c r="M228" s="83" t="s">
        <v>50</v>
      </c>
      <c r="N228" s="60" t="s">
        <v>372</v>
      </c>
      <c r="O228" s="59"/>
      <c r="P228" s="59"/>
    </row>
    <row r="229" ht="22.5" customHeight="1">
      <c r="A229" s="81" t="s">
        <v>637</v>
      </c>
      <c r="B229" s="82" t="s">
        <v>583</v>
      </c>
      <c r="C229" s="59">
        <f t="shared" si="3"/>
        <v>0</v>
      </c>
      <c r="D229" s="61" t="s">
        <v>34</v>
      </c>
      <c r="E229" s="61" t="s">
        <v>49</v>
      </c>
      <c r="F229" s="59" t="s">
        <v>18</v>
      </c>
      <c r="G229" s="61" t="s">
        <v>50</v>
      </c>
      <c r="H229" s="59" t="s">
        <v>20</v>
      </c>
      <c r="I229" s="61" t="s">
        <v>50</v>
      </c>
      <c r="J229" s="63" t="s">
        <v>21</v>
      </c>
      <c r="K229" s="61" t="s">
        <v>50</v>
      </c>
      <c r="L229" s="63" t="s">
        <v>22</v>
      </c>
      <c r="M229" s="83" t="s">
        <v>50</v>
      </c>
      <c r="N229" s="60" t="s">
        <v>372</v>
      </c>
      <c r="O229" s="59"/>
      <c r="P229" s="59"/>
    </row>
    <row r="230" ht="22.5" customHeight="1">
      <c r="A230" s="81" t="s">
        <v>637</v>
      </c>
      <c r="B230" s="82" t="s">
        <v>584</v>
      </c>
      <c r="C230" s="59">
        <f t="shared" si="3"/>
        <v>0</v>
      </c>
      <c r="D230" s="61" t="s">
        <v>34</v>
      </c>
      <c r="E230" s="61" t="s">
        <v>49</v>
      </c>
      <c r="F230" s="59" t="s">
        <v>18</v>
      </c>
      <c r="G230" s="61" t="s">
        <v>50</v>
      </c>
      <c r="H230" s="59" t="s">
        <v>20</v>
      </c>
      <c r="I230" s="61" t="s">
        <v>50</v>
      </c>
      <c r="J230" s="63" t="s">
        <v>21</v>
      </c>
      <c r="K230" s="61" t="s">
        <v>50</v>
      </c>
      <c r="L230" s="63" t="s">
        <v>22</v>
      </c>
      <c r="M230" s="61" t="s">
        <v>31</v>
      </c>
      <c r="N230" s="60" t="s">
        <v>372</v>
      </c>
      <c r="O230" s="59"/>
      <c r="P230" s="59"/>
    </row>
    <row r="231" ht="22.5" customHeight="1">
      <c r="A231" s="60" t="s">
        <v>929</v>
      </c>
      <c r="B231" s="60" t="s">
        <v>930</v>
      </c>
      <c r="C231" s="59">
        <f t="shared" si="3"/>
        <v>4</v>
      </c>
      <c r="D231" s="61" t="s">
        <v>16</v>
      </c>
      <c r="E231" s="61" t="s">
        <v>17</v>
      </c>
      <c r="F231" s="59" t="s">
        <v>18</v>
      </c>
      <c r="G231" s="61" t="s">
        <v>19</v>
      </c>
      <c r="H231" s="59" t="s">
        <v>20</v>
      </c>
      <c r="I231" s="61" t="s">
        <v>19</v>
      </c>
      <c r="J231" s="63" t="s">
        <v>21</v>
      </c>
      <c r="K231" s="61" t="s">
        <v>19</v>
      </c>
      <c r="L231" s="63" t="s">
        <v>22</v>
      </c>
      <c r="M231" s="61" t="s">
        <v>19</v>
      </c>
      <c r="N231" s="59"/>
      <c r="O231" s="59"/>
      <c r="P231" s="59"/>
    </row>
    <row r="232" ht="22.5" customHeight="1">
      <c r="A232" s="60" t="s">
        <v>931</v>
      </c>
      <c r="B232" s="60" t="s">
        <v>932</v>
      </c>
      <c r="C232" s="59">
        <f t="shared" si="3"/>
        <v>4</v>
      </c>
      <c r="D232" s="61" t="s">
        <v>16</v>
      </c>
      <c r="E232" s="61" t="s">
        <v>17</v>
      </c>
      <c r="F232" s="59" t="s">
        <v>18</v>
      </c>
      <c r="G232" s="61" t="s">
        <v>19</v>
      </c>
      <c r="H232" s="59" t="s">
        <v>20</v>
      </c>
      <c r="I232" s="61" t="s">
        <v>19</v>
      </c>
      <c r="J232" s="63" t="s">
        <v>21</v>
      </c>
      <c r="K232" s="61" t="s">
        <v>19</v>
      </c>
      <c r="L232" s="63" t="s">
        <v>22</v>
      </c>
      <c r="M232" s="61" t="s">
        <v>19</v>
      </c>
      <c r="N232" s="59"/>
      <c r="O232" s="59"/>
      <c r="P232" s="59"/>
    </row>
    <row r="233" ht="22.5" customHeight="1">
      <c r="A233" s="59"/>
      <c r="B233" s="60" t="s">
        <v>933</v>
      </c>
      <c r="C233" s="59">
        <f t="shared" si="3"/>
        <v>3</v>
      </c>
      <c r="D233" s="61" t="s">
        <v>34</v>
      </c>
      <c r="E233" s="61" t="s">
        <v>30</v>
      </c>
      <c r="F233" s="59" t="s">
        <v>18</v>
      </c>
      <c r="G233" s="61" t="s">
        <v>31</v>
      </c>
      <c r="H233" s="59" t="s">
        <v>20</v>
      </c>
      <c r="I233" s="61" t="s">
        <v>640</v>
      </c>
      <c r="J233" s="63" t="s">
        <v>21</v>
      </c>
      <c r="K233" s="61" t="s">
        <v>640</v>
      </c>
      <c r="L233" s="63" t="s">
        <v>22</v>
      </c>
      <c r="M233" s="61" t="s">
        <v>640</v>
      </c>
      <c r="N233" s="60" t="s">
        <v>908</v>
      </c>
      <c r="O233" s="59"/>
      <c r="P233" s="59"/>
      <c r="Q233" s="109"/>
      <c r="R233" s="109"/>
      <c r="S233" s="109"/>
      <c r="T233" s="109"/>
      <c r="U233" s="109"/>
      <c r="V233" s="109"/>
      <c r="W233" s="109"/>
      <c r="X233" s="109"/>
      <c r="Y233" s="109"/>
      <c r="Z233" s="109"/>
    </row>
    <row r="234" ht="22.5" customHeight="1">
      <c r="A234" s="59"/>
      <c r="B234" s="82" t="s">
        <v>585</v>
      </c>
      <c r="C234" s="59">
        <f t="shared" si="3"/>
        <v>0</v>
      </c>
      <c r="D234" s="61" t="s">
        <v>34</v>
      </c>
      <c r="E234" s="61" t="s">
        <v>49</v>
      </c>
      <c r="F234" s="59" t="s">
        <v>18</v>
      </c>
      <c r="G234" s="61" t="s">
        <v>31</v>
      </c>
      <c r="H234" s="59" t="s">
        <v>20</v>
      </c>
      <c r="I234" s="61" t="s">
        <v>50</v>
      </c>
      <c r="J234" s="63" t="s">
        <v>21</v>
      </c>
      <c r="K234" s="61" t="s">
        <v>50</v>
      </c>
      <c r="L234" s="63" t="s">
        <v>22</v>
      </c>
      <c r="M234" s="61" t="s">
        <v>50</v>
      </c>
      <c r="N234" s="60" t="s">
        <v>372</v>
      </c>
      <c r="O234" s="59"/>
      <c r="P234" s="59"/>
    </row>
    <row r="235" ht="22.5" customHeight="1">
      <c r="A235" s="59"/>
      <c r="B235" s="82" t="s">
        <v>586</v>
      </c>
      <c r="C235" s="59">
        <f t="shared" si="3"/>
        <v>3</v>
      </c>
      <c r="D235" s="61" t="s">
        <v>34</v>
      </c>
      <c r="E235" s="61" t="s">
        <v>49</v>
      </c>
      <c r="F235" s="59" t="s">
        <v>18</v>
      </c>
      <c r="G235" s="61" t="s">
        <v>19</v>
      </c>
      <c r="H235" s="59" t="s">
        <v>20</v>
      </c>
      <c r="I235" s="61" t="s">
        <v>640</v>
      </c>
      <c r="J235" s="63" t="s">
        <v>21</v>
      </c>
      <c r="K235" s="61" t="s">
        <v>31</v>
      </c>
      <c r="L235" s="63" t="s">
        <v>22</v>
      </c>
      <c r="M235" s="61" t="s">
        <v>640</v>
      </c>
      <c r="N235" s="60" t="s">
        <v>913</v>
      </c>
      <c r="O235" s="59"/>
      <c r="P235" s="59"/>
    </row>
    <row r="236" ht="22.5" customHeight="1">
      <c r="A236" s="59"/>
      <c r="B236" s="82" t="s">
        <v>587</v>
      </c>
      <c r="C236" s="59">
        <f t="shared" si="3"/>
        <v>0</v>
      </c>
      <c r="D236" s="61" t="s">
        <v>34</v>
      </c>
      <c r="E236" s="61" t="s">
        <v>49</v>
      </c>
      <c r="F236" s="59" t="s">
        <v>18</v>
      </c>
      <c r="G236" s="61" t="s">
        <v>31</v>
      </c>
      <c r="H236" s="59" t="s">
        <v>20</v>
      </c>
      <c r="I236" s="61" t="s">
        <v>50</v>
      </c>
      <c r="J236" s="63" t="s">
        <v>21</v>
      </c>
      <c r="K236" s="61" t="s">
        <v>50</v>
      </c>
      <c r="L236" s="63" t="s">
        <v>22</v>
      </c>
      <c r="M236" s="61" t="s">
        <v>50</v>
      </c>
      <c r="N236" s="60" t="s">
        <v>372</v>
      </c>
      <c r="O236" s="59"/>
      <c r="P236" s="59"/>
    </row>
    <row r="237" ht="22.5" customHeight="1">
      <c r="A237" s="59"/>
      <c r="B237" s="82" t="s">
        <v>588</v>
      </c>
      <c r="C237" s="59">
        <f t="shared" si="3"/>
        <v>0</v>
      </c>
      <c r="D237" s="61" t="s">
        <v>34</v>
      </c>
      <c r="E237" s="61" t="s">
        <v>49</v>
      </c>
      <c r="F237" s="59" t="s">
        <v>18</v>
      </c>
      <c r="G237" s="61" t="s">
        <v>31</v>
      </c>
      <c r="H237" s="59" t="s">
        <v>20</v>
      </c>
      <c r="I237" s="61" t="s">
        <v>50</v>
      </c>
      <c r="J237" s="63" t="s">
        <v>21</v>
      </c>
      <c r="K237" s="61" t="s">
        <v>50</v>
      </c>
      <c r="L237" s="63" t="s">
        <v>22</v>
      </c>
      <c r="M237" s="61" t="s">
        <v>50</v>
      </c>
      <c r="N237" s="60" t="s">
        <v>372</v>
      </c>
      <c r="O237" s="59"/>
      <c r="P237" s="59"/>
    </row>
    <row r="238" ht="22.5" customHeight="1">
      <c r="A238" s="82" t="s">
        <v>934</v>
      </c>
      <c r="B238" s="82" t="s">
        <v>935</v>
      </c>
      <c r="C238" s="59">
        <f t="shared" si="3"/>
        <v>4</v>
      </c>
      <c r="D238" s="94" t="s">
        <v>16</v>
      </c>
      <c r="E238" s="94" t="s">
        <v>17</v>
      </c>
      <c r="F238" s="93" t="s">
        <v>18</v>
      </c>
      <c r="G238" s="94" t="s">
        <v>19</v>
      </c>
      <c r="H238" s="93" t="s">
        <v>20</v>
      </c>
      <c r="I238" s="61" t="s">
        <v>19</v>
      </c>
      <c r="J238" s="95" t="s">
        <v>21</v>
      </c>
      <c r="K238" s="94" t="s">
        <v>19</v>
      </c>
      <c r="L238" s="95" t="s">
        <v>22</v>
      </c>
      <c r="M238" s="61" t="s">
        <v>19</v>
      </c>
      <c r="N238" s="93"/>
      <c r="O238" s="93"/>
      <c r="P238" s="82" t="s">
        <v>936</v>
      </c>
    </row>
    <row r="239" ht="22.5" customHeight="1">
      <c r="A239" s="60" t="s">
        <v>937</v>
      </c>
      <c r="B239" s="60" t="s">
        <v>938</v>
      </c>
      <c r="C239" s="59">
        <f t="shared" si="3"/>
        <v>4</v>
      </c>
      <c r="D239" s="61" t="s">
        <v>16</v>
      </c>
      <c r="E239" s="61" t="s">
        <v>17</v>
      </c>
      <c r="F239" s="59" t="s">
        <v>18</v>
      </c>
      <c r="G239" s="61" t="s">
        <v>19</v>
      </c>
      <c r="H239" s="59" t="s">
        <v>20</v>
      </c>
      <c r="I239" s="61" t="s">
        <v>19</v>
      </c>
      <c r="J239" s="63" t="s">
        <v>21</v>
      </c>
      <c r="K239" s="61" t="s">
        <v>19</v>
      </c>
      <c r="L239" s="63" t="s">
        <v>22</v>
      </c>
      <c r="M239" s="61" t="s">
        <v>19</v>
      </c>
      <c r="N239" s="59"/>
      <c r="O239" s="59"/>
      <c r="P239" s="59"/>
    </row>
    <row r="240" ht="22.5" customHeight="1">
      <c r="A240" s="81" t="s">
        <v>637</v>
      </c>
      <c r="B240" s="60" t="s">
        <v>939</v>
      </c>
      <c r="C240" s="59">
        <f t="shared" si="3"/>
        <v>3</v>
      </c>
      <c r="D240" s="61" t="s">
        <v>34</v>
      </c>
      <c r="E240" s="61" t="s">
        <v>40</v>
      </c>
      <c r="F240" s="59" t="s">
        <v>18</v>
      </c>
      <c r="G240" s="61" t="s">
        <v>31</v>
      </c>
      <c r="H240" s="59" t="s">
        <v>20</v>
      </c>
      <c r="I240" s="61" t="s">
        <v>19</v>
      </c>
      <c r="J240" s="63" t="s">
        <v>21</v>
      </c>
      <c r="K240" s="61" t="s">
        <v>19</v>
      </c>
      <c r="L240" s="63" t="s">
        <v>22</v>
      </c>
      <c r="M240" s="61" t="s">
        <v>19</v>
      </c>
      <c r="N240" s="60" t="s">
        <v>376</v>
      </c>
      <c r="O240" s="59"/>
      <c r="P240" s="59"/>
    </row>
    <row r="241" ht="22.5" customHeight="1">
      <c r="A241" s="59"/>
      <c r="B241" s="82" t="s">
        <v>589</v>
      </c>
      <c r="C241" s="59">
        <f t="shared" si="3"/>
        <v>0</v>
      </c>
      <c r="D241" s="61" t="s">
        <v>34</v>
      </c>
      <c r="E241" s="61" t="s">
        <v>49</v>
      </c>
      <c r="F241" s="59" t="s">
        <v>18</v>
      </c>
      <c r="G241" s="61" t="s">
        <v>31</v>
      </c>
      <c r="H241" s="59" t="s">
        <v>20</v>
      </c>
      <c r="I241" s="61" t="s">
        <v>50</v>
      </c>
      <c r="J241" s="63" t="s">
        <v>21</v>
      </c>
      <c r="K241" s="61" t="s">
        <v>50</v>
      </c>
      <c r="L241" s="63" t="s">
        <v>22</v>
      </c>
      <c r="M241" s="61" t="s">
        <v>50</v>
      </c>
      <c r="N241" s="60" t="s">
        <v>372</v>
      </c>
      <c r="O241" s="59"/>
      <c r="P241" s="59"/>
    </row>
    <row r="242" ht="22.5" customHeight="1">
      <c r="A242" s="60" t="s">
        <v>940</v>
      </c>
      <c r="B242" s="60" t="s">
        <v>941</v>
      </c>
      <c r="C242" s="59">
        <f t="shared" si="3"/>
        <v>4</v>
      </c>
      <c r="D242" s="61" t="s">
        <v>16</v>
      </c>
      <c r="E242" s="61" t="s">
        <v>17</v>
      </c>
      <c r="F242" s="59" t="s">
        <v>18</v>
      </c>
      <c r="G242" s="61" t="s">
        <v>19</v>
      </c>
      <c r="H242" s="59" t="s">
        <v>20</v>
      </c>
      <c r="I242" s="61" t="s">
        <v>19</v>
      </c>
      <c r="J242" s="63" t="s">
        <v>21</v>
      </c>
      <c r="K242" s="61" t="s">
        <v>19</v>
      </c>
      <c r="L242" s="63" t="s">
        <v>22</v>
      </c>
      <c r="M242" s="61" t="s">
        <v>19</v>
      </c>
      <c r="N242" s="59"/>
      <c r="O242" s="59"/>
      <c r="P242" s="59"/>
    </row>
    <row r="243" ht="22.5" customHeight="1">
      <c r="A243" s="59"/>
      <c r="B243" s="60" t="s">
        <v>942</v>
      </c>
      <c r="C243" s="59">
        <f t="shared" si="3"/>
        <v>3</v>
      </c>
      <c r="D243" s="61" t="s">
        <v>34</v>
      </c>
      <c r="E243" s="61" t="s">
        <v>656</v>
      </c>
      <c r="F243" s="59" t="s">
        <v>18</v>
      </c>
      <c r="G243" s="61" t="s">
        <v>19</v>
      </c>
      <c r="H243" s="59" t="s">
        <v>20</v>
      </c>
      <c r="I243" s="61" t="s">
        <v>640</v>
      </c>
      <c r="J243" s="63" t="s">
        <v>21</v>
      </c>
      <c r="K243" s="61" t="s">
        <v>31</v>
      </c>
      <c r="L243" s="63" t="s">
        <v>22</v>
      </c>
      <c r="M243" s="61" t="s">
        <v>640</v>
      </c>
      <c r="N243" s="59"/>
      <c r="O243" s="59"/>
      <c r="P243" s="59"/>
    </row>
    <row r="244" ht="22.5" customHeight="1">
      <c r="A244" s="81" t="s">
        <v>637</v>
      </c>
      <c r="B244" s="82" t="s">
        <v>943</v>
      </c>
      <c r="C244" s="59">
        <f t="shared" si="3"/>
        <v>1</v>
      </c>
      <c r="D244" s="61" t="s">
        <v>34</v>
      </c>
      <c r="E244" s="61" t="s">
        <v>40</v>
      </c>
      <c r="F244" s="59" t="s">
        <v>18</v>
      </c>
      <c r="G244" s="61" t="s">
        <v>31</v>
      </c>
      <c r="H244" s="59" t="s">
        <v>20</v>
      </c>
      <c r="I244" s="61" t="s">
        <v>31</v>
      </c>
      <c r="J244" s="63" t="s">
        <v>21</v>
      </c>
      <c r="K244" s="61" t="s">
        <v>26</v>
      </c>
      <c r="L244" s="63" t="s">
        <v>22</v>
      </c>
      <c r="M244" s="61" t="s">
        <v>640</v>
      </c>
      <c r="N244" s="60" t="s">
        <v>944</v>
      </c>
      <c r="O244" s="59"/>
      <c r="P244" s="59"/>
    </row>
    <row r="245" ht="22.5" customHeight="1">
      <c r="A245" s="60" t="s">
        <v>945</v>
      </c>
      <c r="B245" s="60" t="s">
        <v>946</v>
      </c>
      <c r="C245" s="59">
        <f t="shared" si="3"/>
        <v>4</v>
      </c>
      <c r="D245" s="61" t="s">
        <v>16</v>
      </c>
      <c r="E245" s="61" t="s">
        <v>17</v>
      </c>
      <c r="F245" s="59" t="s">
        <v>18</v>
      </c>
      <c r="G245" s="61" t="s">
        <v>19</v>
      </c>
      <c r="H245" s="59" t="s">
        <v>20</v>
      </c>
      <c r="I245" s="61" t="s">
        <v>19</v>
      </c>
      <c r="J245" s="63" t="s">
        <v>21</v>
      </c>
      <c r="K245" s="61" t="s">
        <v>19</v>
      </c>
      <c r="L245" s="63" t="s">
        <v>22</v>
      </c>
      <c r="M245" s="61" t="s">
        <v>19</v>
      </c>
      <c r="N245" s="59"/>
      <c r="O245" s="59"/>
      <c r="P245" s="59"/>
    </row>
    <row r="246" ht="22.5" customHeight="1">
      <c r="A246" s="81" t="s">
        <v>637</v>
      </c>
      <c r="B246" s="82" t="s">
        <v>590</v>
      </c>
      <c r="C246" s="59">
        <f t="shared" si="3"/>
        <v>0</v>
      </c>
      <c r="D246" s="61" t="s">
        <v>34</v>
      </c>
      <c r="E246" s="61" t="s">
        <v>49</v>
      </c>
      <c r="F246" s="59" t="s">
        <v>18</v>
      </c>
      <c r="G246" s="61" t="s">
        <v>31</v>
      </c>
      <c r="H246" s="59" t="s">
        <v>20</v>
      </c>
      <c r="I246" s="61" t="s">
        <v>50</v>
      </c>
      <c r="J246" s="63" t="s">
        <v>21</v>
      </c>
      <c r="K246" s="61" t="s">
        <v>50</v>
      </c>
      <c r="L246" s="63" t="s">
        <v>22</v>
      </c>
      <c r="M246" s="61" t="s">
        <v>50</v>
      </c>
      <c r="N246" s="60" t="s">
        <v>372</v>
      </c>
      <c r="O246" s="60"/>
      <c r="P246" s="84"/>
    </row>
    <row r="247" ht="22.5" customHeight="1">
      <c r="A247" s="59"/>
      <c r="B247" s="82" t="s">
        <v>947</v>
      </c>
      <c r="C247" s="59">
        <f t="shared" si="3"/>
        <v>3</v>
      </c>
      <c r="D247" s="61" t="s">
        <v>34</v>
      </c>
      <c r="E247" s="61" t="s">
        <v>635</v>
      </c>
      <c r="F247" s="59" t="s">
        <v>18</v>
      </c>
      <c r="G247" s="61" t="s">
        <v>31</v>
      </c>
      <c r="H247" s="59" t="s">
        <v>20</v>
      </c>
      <c r="I247" s="61" t="s">
        <v>640</v>
      </c>
      <c r="J247" s="63" t="s">
        <v>21</v>
      </c>
      <c r="K247" s="61" t="s">
        <v>640</v>
      </c>
      <c r="L247" s="63" t="s">
        <v>22</v>
      </c>
      <c r="M247" s="61" t="s">
        <v>640</v>
      </c>
      <c r="N247" s="60" t="s">
        <v>948</v>
      </c>
      <c r="O247" s="59"/>
      <c r="P247" s="59"/>
    </row>
    <row r="248" ht="22.5" customHeight="1">
      <c r="A248" s="60" t="s">
        <v>949</v>
      </c>
      <c r="B248" s="60" t="s">
        <v>950</v>
      </c>
      <c r="C248" s="59">
        <f t="shared" si="3"/>
        <v>4</v>
      </c>
      <c r="D248" s="61" t="s">
        <v>16</v>
      </c>
      <c r="E248" s="61" t="s">
        <v>17</v>
      </c>
      <c r="F248" s="59" t="s">
        <v>18</v>
      </c>
      <c r="G248" s="61" t="s">
        <v>19</v>
      </c>
      <c r="H248" s="59" t="s">
        <v>20</v>
      </c>
      <c r="I248" s="61" t="s">
        <v>19</v>
      </c>
      <c r="J248" s="63" t="s">
        <v>21</v>
      </c>
      <c r="K248" s="61" t="s">
        <v>19</v>
      </c>
      <c r="L248" s="63" t="s">
        <v>22</v>
      </c>
      <c r="M248" s="61" t="s">
        <v>19</v>
      </c>
      <c r="N248" s="59"/>
      <c r="O248" s="59"/>
      <c r="P248" s="59"/>
    </row>
    <row r="249" ht="22.5" customHeight="1">
      <c r="A249" s="59"/>
      <c r="B249" s="82" t="s">
        <v>591</v>
      </c>
      <c r="C249" s="59">
        <f t="shared" si="3"/>
        <v>4</v>
      </c>
      <c r="D249" s="61" t="s">
        <v>34</v>
      </c>
      <c r="E249" s="61" t="s">
        <v>49</v>
      </c>
      <c r="F249" s="59" t="s">
        <v>18</v>
      </c>
      <c r="G249" s="61" t="s">
        <v>640</v>
      </c>
      <c r="H249" s="59" t="s">
        <v>20</v>
      </c>
      <c r="I249" s="61" t="s">
        <v>640</v>
      </c>
      <c r="J249" s="63" t="s">
        <v>21</v>
      </c>
      <c r="K249" s="61" t="s">
        <v>640</v>
      </c>
      <c r="L249" s="63" t="s">
        <v>22</v>
      </c>
      <c r="M249" s="61" t="s">
        <v>640</v>
      </c>
      <c r="N249" s="60" t="s">
        <v>372</v>
      </c>
      <c r="O249" s="60"/>
      <c r="P249" s="84"/>
    </row>
    <row r="250" ht="22.5" customHeight="1">
      <c r="A250" s="60" t="s">
        <v>951</v>
      </c>
      <c r="B250" s="60" t="s">
        <v>952</v>
      </c>
      <c r="C250" s="59">
        <f t="shared" si="3"/>
        <v>4</v>
      </c>
      <c r="D250" s="61" t="s">
        <v>16</v>
      </c>
      <c r="E250" s="61" t="s">
        <v>17</v>
      </c>
      <c r="F250" s="59" t="s">
        <v>18</v>
      </c>
      <c r="G250" s="61" t="s">
        <v>19</v>
      </c>
      <c r="H250" s="59" t="s">
        <v>20</v>
      </c>
      <c r="I250" s="61" t="s">
        <v>19</v>
      </c>
      <c r="J250" s="63" t="s">
        <v>21</v>
      </c>
      <c r="K250" s="61" t="s">
        <v>19</v>
      </c>
      <c r="L250" s="63" t="s">
        <v>22</v>
      </c>
      <c r="M250" s="61" t="s">
        <v>19</v>
      </c>
      <c r="N250" s="59"/>
      <c r="O250" s="59"/>
      <c r="P250" s="59"/>
    </row>
    <row r="251" ht="22.5" customHeight="1">
      <c r="A251" s="81" t="s">
        <v>637</v>
      </c>
      <c r="B251" s="60" t="s">
        <v>953</v>
      </c>
      <c r="C251" s="59">
        <f t="shared" si="3"/>
        <v>2</v>
      </c>
      <c r="D251" s="61" t="s">
        <v>34</v>
      </c>
      <c r="E251" s="61" t="s">
        <v>40</v>
      </c>
      <c r="F251" s="59" t="s">
        <v>18</v>
      </c>
      <c r="G251" s="61" t="s">
        <v>31</v>
      </c>
      <c r="H251" s="59" t="s">
        <v>20</v>
      </c>
      <c r="I251" s="61" t="s">
        <v>31</v>
      </c>
      <c r="J251" s="63" t="s">
        <v>21</v>
      </c>
      <c r="K251" s="61" t="s">
        <v>640</v>
      </c>
      <c r="L251" s="63" t="s">
        <v>22</v>
      </c>
      <c r="M251" s="61" t="s">
        <v>640</v>
      </c>
      <c r="N251" s="60" t="s">
        <v>696</v>
      </c>
      <c r="O251" s="59"/>
      <c r="P251" s="59"/>
    </row>
    <row r="252" ht="22.5" customHeight="1">
      <c r="A252" s="93"/>
      <c r="B252" s="82" t="s">
        <v>954</v>
      </c>
      <c r="C252" s="59">
        <f t="shared" si="3"/>
        <v>3</v>
      </c>
      <c r="D252" s="94" t="s">
        <v>34</v>
      </c>
      <c r="E252" s="94" t="s">
        <v>656</v>
      </c>
      <c r="F252" s="93" t="s">
        <v>18</v>
      </c>
      <c r="G252" s="94" t="s">
        <v>31</v>
      </c>
      <c r="H252" s="93" t="s">
        <v>20</v>
      </c>
      <c r="I252" s="94" t="s">
        <v>640</v>
      </c>
      <c r="J252" s="95" t="s">
        <v>21</v>
      </c>
      <c r="K252" s="94" t="s">
        <v>640</v>
      </c>
      <c r="L252" s="95" t="s">
        <v>22</v>
      </c>
      <c r="M252" s="94" t="s">
        <v>640</v>
      </c>
      <c r="N252" s="82" t="s">
        <v>696</v>
      </c>
      <c r="O252" s="93"/>
      <c r="P252" s="93"/>
    </row>
    <row r="253" ht="22.5" customHeight="1">
      <c r="A253" s="81" t="s">
        <v>637</v>
      </c>
      <c r="B253" s="60" t="s">
        <v>955</v>
      </c>
      <c r="C253" s="59">
        <f t="shared" si="3"/>
        <v>3</v>
      </c>
      <c r="D253" s="61" t="s">
        <v>34</v>
      </c>
      <c r="E253" s="61" t="s">
        <v>40</v>
      </c>
      <c r="F253" s="59" t="s">
        <v>18</v>
      </c>
      <c r="G253" s="61" t="s">
        <v>19</v>
      </c>
      <c r="H253" s="59" t="s">
        <v>20</v>
      </c>
      <c r="I253" s="61" t="s">
        <v>19</v>
      </c>
      <c r="J253" s="63" t="s">
        <v>21</v>
      </c>
      <c r="K253" s="61" t="s">
        <v>31</v>
      </c>
      <c r="L253" s="63" t="s">
        <v>22</v>
      </c>
      <c r="M253" s="61" t="s">
        <v>19</v>
      </c>
      <c r="N253" s="60" t="s">
        <v>376</v>
      </c>
      <c r="O253" s="59"/>
      <c r="P253" s="59"/>
    </row>
    <row r="254" ht="22.5" customHeight="1">
      <c r="A254" s="59"/>
      <c r="B254" s="60" t="s">
        <v>956</v>
      </c>
      <c r="C254" s="59">
        <f t="shared" si="3"/>
        <v>3</v>
      </c>
      <c r="D254" s="61" t="s">
        <v>34</v>
      </c>
      <c r="E254" s="61" t="s">
        <v>656</v>
      </c>
      <c r="F254" s="59" t="s">
        <v>18</v>
      </c>
      <c r="G254" s="61" t="s">
        <v>19</v>
      </c>
      <c r="H254" s="59" t="s">
        <v>20</v>
      </c>
      <c r="I254" s="61" t="s">
        <v>640</v>
      </c>
      <c r="J254" s="63" t="s">
        <v>21</v>
      </c>
      <c r="K254" s="61" t="s">
        <v>31</v>
      </c>
      <c r="L254" s="63" t="s">
        <v>22</v>
      </c>
      <c r="M254" s="61" t="s">
        <v>640</v>
      </c>
      <c r="N254" s="60" t="s">
        <v>727</v>
      </c>
      <c r="O254" s="59"/>
      <c r="P254" s="59"/>
    </row>
    <row r="255" ht="22.5" customHeight="1">
      <c r="A255" s="60" t="s">
        <v>957</v>
      </c>
      <c r="B255" s="86" t="s">
        <v>958</v>
      </c>
      <c r="C255" s="59">
        <f t="shared" si="3"/>
        <v>3</v>
      </c>
      <c r="D255" s="61" t="s">
        <v>34</v>
      </c>
      <c r="E255" s="61" t="s">
        <v>656</v>
      </c>
      <c r="F255" s="59" t="s">
        <v>18</v>
      </c>
      <c r="G255" s="61" t="s">
        <v>31</v>
      </c>
      <c r="H255" s="59" t="s">
        <v>20</v>
      </c>
      <c r="I255" s="61" t="s">
        <v>640</v>
      </c>
      <c r="J255" s="63" t="s">
        <v>21</v>
      </c>
      <c r="K255" s="61" t="s">
        <v>640</v>
      </c>
      <c r="L255" s="63" t="s">
        <v>22</v>
      </c>
      <c r="M255" s="61" t="s">
        <v>640</v>
      </c>
      <c r="N255" s="60" t="s">
        <v>727</v>
      </c>
      <c r="O255" s="59"/>
      <c r="P255" s="59"/>
    </row>
    <row r="256" ht="22.5" customHeight="1">
      <c r="A256" s="81" t="s">
        <v>637</v>
      </c>
      <c r="B256" s="60" t="s">
        <v>959</v>
      </c>
      <c r="C256" s="59">
        <f t="shared" si="3"/>
        <v>3</v>
      </c>
      <c r="D256" s="61" t="s">
        <v>34</v>
      </c>
      <c r="E256" s="61" t="s">
        <v>40</v>
      </c>
      <c r="F256" s="59" t="s">
        <v>18</v>
      </c>
      <c r="G256" s="61" t="s">
        <v>31</v>
      </c>
      <c r="H256" s="59" t="s">
        <v>20</v>
      </c>
      <c r="I256" s="61" t="s">
        <v>19</v>
      </c>
      <c r="J256" s="63" t="s">
        <v>21</v>
      </c>
      <c r="K256" s="61" t="s">
        <v>19</v>
      </c>
      <c r="L256" s="63" t="s">
        <v>22</v>
      </c>
      <c r="M256" s="61" t="s">
        <v>19</v>
      </c>
      <c r="N256" s="60" t="s">
        <v>376</v>
      </c>
      <c r="O256" s="59"/>
      <c r="P256" s="59"/>
    </row>
    <row r="257" ht="22.5" customHeight="1">
      <c r="A257" s="81" t="s">
        <v>637</v>
      </c>
      <c r="B257" s="82" t="s">
        <v>592</v>
      </c>
      <c r="C257" s="59">
        <f t="shared" si="3"/>
        <v>0</v>
      </c>
      <c r="D257" s="61" t="s">
        <v>34</v>
      </c>
      <c r="E257" s="61" t="s">
        <v>49</v>
      </c>
      <c r="F257" s="59" t="s">
        <v>18</v>
      </c>
      <c r="G257" s="61" t="s">
        <v>31</v>
      </c>
      <c r="H257" s="59" t="s">
        <v>20</v>
      </c>
      <c r="I257" s="61" t="s">
        <v>50</v>
      </c>
      <c r="J257" s="63" t="s">
        <v>21</v>
      </c>
      <c r="K257" s="61" t="s">
        <v>50</v>
      </c>
      <c r="L257" s="63" t="s">
        <v>22</v>
      </c>
      <c r="M257" s="61" t="s">
        <v>50</v>
      </c>
      <c r="N257" s="60" t="s">
        <v>372</v>
      </c>
      <c r="O257" s="59"/>
      <c r="P257" s="59"/>
    </row>
    <row r="258" ht="22.5" customHeight="1">
      <c r="A258" s="60" t="s">
        <v>960</v>
      </c>
      <c r="B258" s="60" t="s">
        <v>961</v>
      </c>
      <c r="C258" s="59">
        <f t="shared" si="3"/>
        <v>4</v>
      </c>
      <c r="D258" s="61" t="s">
        <v>16</v>
      </c>
      <c r="E258" s="61" t="s">
        <v>17</v>
      </c>
      <c r="F258" s="59" t="s">
        <v>18</v>
      </c>
      <c r="G258" s="61" t="s">
        <v>19</v>
      </c>
      <c r="H258" s="59" t="s">
        <v>20</v>
      </c>
      <c r="I258" s="61" t="s">
        <v>19</v>
      </c>
      <c r="J258" s="63" t="s">
        <v>21</v>
      </c>
      <c r="K258" s="61" t="s">
        <v>19</v>
      </c>
      <c r="L258" s="63" t="s">
        <v>22</v>
      </c>
      <c r="M258" s="61" t="s">
        <v>19</v>
      </c>
      <c r="N258" s="60" t="s">
        <v>376</v>
      </c>
      <c r="O258" s="59"/>
      <c r="P258" s="59"/>
    </row>
    <row r="259" ht="22.5" customHeight="1">
      <c r="A259" s="81" t="s">
        <v>637</v>
      </c>
      <c r="B259" s="60" t="s">
        <v>962</v>
      </c>
      <c r="C259" s="59">
        <f t="shared" si="3"/>
        <v>3</v>
      </c>
      <c r="D259" s="61" t="s">
        <v>34</v>
      </c>
      <c r="E259" s="61" t="s">
        <v>40</v>
      </c>
      <c r="F259" s="59" t="s">
        <v>18</v>
      </c>
      <c r="G259" s="61" t="s">
        <v>19</v>
      </c>
      <c r="H259" s="59" t="s">
        <v>20</v>
      </c>
      <c r="I259" s="61" t="s">
        <v>19</v>
      </c>
      <c r="J259" s="63" t="s">
        <v>21</v>
      </c>
      <c r="K259" s="61" t="s">
        <v>640</v>
      </c>
      <c r="L259" s="63" t="s">
        <v>22</v>
      </c>
      <c r="M259" s="61" t="s">
        <v>31</v>
      </c>
      <c r="N259" s="60" t="s">
        <v>685</v>
      </c>
      <c r="O259" s="59"/>
      <c r="P259" s="59"/>
    </row>
    <row r="260" ht="22.5" customHeight="1">
      <c r="A260" s="81" t="s">
        <v>637</v>
      </c>
      <c r="B260" s="82" t="s">
        <v>593</v>
      </c>
      <c r="C260" s="59">
        <f t="shared" si="3"/>
        <v>0</v>
      </c>
      <c r="D260" s="61" t="s">
        <v>34</v>
      </c>
      <c r="E260" s="61" t="s">
        <v>49</v>
      </c>
      <c r="F260" s="59" t="s">
        <v>18</v>
      </c>
      <c r="G260" s="61" t="s">
        <v>50</v>
      </c>
      <c r="H260" s="59" t="s">
        <v>20</v>
      </c>
      <c r="I260" s="61" t="s">
        <v>50</v>
      </c>
      <c r="J260" s="63" t="s">
        <v>21</v>
      </c>
      <c r="K260" s="61" t="s">
        <v>50</v>
      </c>
      <c r="L260" s="63" t="s">
        <v>22</v>
      </c>
      <c r="M260" s="61" t="s">
        <v>31</v>
      </c>
      <c r="N260" s="60" t="s">
        <v>372</v>
      </c>
      <c r="O260" s="59"/>
      <c r="P260" s="59"/>
    </row>
    <row r="261" ht="22.5" customHeight="1">
      <c r="A261" s="81" t="s">
        <v>637</v>
      </c>
      <c r="B261" s="60" t="s">
        <v>963</v>
      </c>
      <c r="C261" s="59">
        <f t="shared" si="3"/>
        <v>3</v>
      </c>
      <c r="D261" s="61" t="s">
        <v>34</v>
      </c>
      <c r="E261" s="61" t="s">
        <v>40</v>
      </c>
      <c r="F261" s="59" t="s">
        <v>18</v>
      </c>
      <c r="G261" s="61" t="s">
        <v>19</v>
      </c>
      <c r="H261" s="59" t="s">
        <v>20</v>
      </c>
      <c r="I261" s="61" t="s">
        <v>19</v>
      </c>
      <c r="J261" s="63" t="s">
        <v>21</v>
      </c>
      <c r="K261" s="61" t="s">
        <v>640</v>
      </c>
      <c r="L261" s="63" t="s">
        <v>22</v>
      </c>
      <c r="M261" s="61" t="s">
        <v>31</v>
      </c>
      <c r="N261" s="60" t="s">
        <v>964</v>
      </c>
      <c r="O261" s="59"/>
      <c r="P261" s="59"/>
    </row>
    <row r="262" ht="22.5" customHeight="1">
      <c r="A262" s="81" t="s">
        <v>637</v>
      </c>
      <c r="B262" s="82" t="s">
        <v>594</v>
      </c>
      <c r="C262" s="59">
        <f t="shared" si="3"/>
        <v>0</v>
      </c>
      <c r="D262" s="61" t="s">
        <v>34</v>
      </c>
      <c r="E262" s="61" t="s">
        <v>49</v>
      </c>
      <c r="F262" s="59" t="s">
        <v>18</v>
      </c>
      <c r="G262" s="61" t="s">
        <v>50</v>
      </c>
      <c r="H262" s="59" t="s">
        <v>20</v>
      </c>
      <c r="I262" s="61" t="s">
        <v>31</v>
      </c>
      <c r="J262" s="63" t="s">
        <v>21</v>
      </c>
      <c r="K262" s="61" t="s">
        <v>50</v>
      </c>
      <c r="L262" s="63" t="s">
        <v>22</v>
      </c>
      <c r="M262" s="61" t="s">
        <v>50</v>
      </c>
      <c r="N262" s="60" t="s">
        <v>372</v>
      </c>
      <c r="O262" s="59"/>
      <c r="P262" s="59"/>
    </row>
    <row r="263" ht="22.5" customHeight="1">
      <c r="A263" s="60" t="s">
        <v>965</v>
      </c>
      <c r="B263" s="60" t="s">
        <v>966</v>
      </c>
      <c r="C263" s="59">
        <f t="shared" si="3"/>
        <v>4</v>
      </c>
      <c r="D263" s="61" t="s">
        <v>16</v>
      </c>
      <c r="E263" s="61" t="s">
        <v>17</v>
      </c>
      <c r="F263" s="59" t="s">
        <v>18</v>
      </c>
      <c r="G263" s="61" t="s">
        <v>19</v>
      </c>
      <c r="H263" s="59" t="s">
        <v>20</v>
      </c>
      <c r="I263" s="61" t="s">
        <v>19</v>
      </c>
      <c r="J263" s="63" t="s">
        <v>21</v>
      </c>
      <c r="K263" s="61" t="s">
        <v>19</v>
      </c>
      <c r="L263" s="63" t="s">
        <v>22</v>
      </c>
      <c r="M263" s="61" t="s">
        <v>19</v>
      </c>
      <c r="N263" s="59"/>
      <c r="O263" s="59"/>
      <c r="P263" s="59"/>
    </row>
    <row r="264" ht="22.5" customHeight="1">
      <c r="A264" s="60" t="s">
        <v>967</v>
      </c>
      <c r="B264" s="60" t="s">
        <v>968</v>
      </c>
      <c r="C264" s="59">
        <f t="shared" si="3"/>
        <v>4</v>
      </c>
      <c r="D264" s="61" t="s">
        <v>16</v>
      </c>
      <c r="E264" s="61" t="s">
        <v>17</v>
      </c>
      <c r="F264" s="59" t="s">
        <v>18</v>
      </c>
      <c r="G264" s="61" t="s">
        <v>19</v>
      </c>
      <c r="H264" s="59" t="s">
        <v>20</v>
      </c>
      <c r="I264" s="61" t="s">
        <v>19</v>
      </c>
      <c r="J264" s="63" t="s">
        <v>21</v>
      </c>
      <c r="K264" s="61" t="s">
        <v>19</v>
      </c>
      <c r="L264" s="63" t="s">
        <v>22</v>
      </c>
      <c r="M264" s="61" t="s">
        <v>19</v>
      </c>
      <c r="N264" s="59"/>
      <c r="O264" s="59"/>
      <c r="P264" s="59"/>
    </row>
    <row r="265" ht="22.5" customHeight="1">
      <c r="A265" s="59"/>
      <c r="B265" s="86" t="s">
        <v>969</v>
      </c>
      <c r="C265" s="59">
        <f t="shared" si="3"/>
        <v>3</v>
      </c>
      <c r="D265" s="61" t="s">
        <v>34</v>
      </c>
      <c r="E265" s="61" t="s">
        <v>656</v>
      </c>
      <c r="F265" s="59" t="s">
        <v>18</v>
      </c>
      <c r="G265" s="61" t="s">
        <v>640</v>
      </c>
      <c r="H265" s="59" t="s">
        <v>20</v>
      </c>
      <c r="I265" s="61" t="s">
        <v>31</v>
      </c>
      <c r="J265" s="63" t="s">
        <v>21</v>
      </c>
      <c r="K265" s="61" t="s">
        <v>640</v>
      </c>
      <c r="L265" s="63" t="s">
        <v>22</v>
      </c>
      <c r="M265" s="61" t="s">
        <v>640</v>
      </c>
      <c r="N265" s="60" t="s">
        <v>970</v>
      </c>
      <c r="O265" s="59"/>
      <c r="P265" s="59"/>
    </row>
    <row r="266" ht="22.5" customHeight="1">
      <c r="A266" s="59"/>
      <c r="B266" s="82" t="s">
        <v>595</v>
      </c>
      <c r="C266" s="59">
        <f t="shared" si="3"/>
        <v>1</v>
      </c>
      <c r="D266" s="61" t="s">
        <v>16</v>
      </c>
      <c r="E266" s="61" t="s">
        <v>49</v>
      </c>
      <c r="F266" s="59" t="s">
        <v>18</v>
      </c>
      <c r="G266" s="61" t="s">
        <v>50</v>
      </c>
      <c r="H266" s="59" t="s">
        <v>20</v>
      </c>
      <c r="I266" s="61" t="s">
        <v>19</v>
      </c>
      <c r="J266" s="63" t="s">
        <v>21</v>
      </c>
      <c r="K266" s="61" t="s">
        <v>50</v>
      </c>
      <c r="L266" s="63" t="s">
        <v>22</v>
      </c>
      <c r="M266" s="61" t="s">
        <v>50</v>
      </c>
      <c r="N266" s="60" t="s">
        <v>372</v>
      </c>
      <c r="O266" s="59"/>
      <c r="P266" s="59"/>
    </row>
    <row r="267" ht="22.5" customHeight="1">
      <c r="A267" s="81" t="s">
        <v>637</v>
      </c>
      <c r="B267" s="60" t="s">
        <v>971</v>
      </c>
      <c r="C267" s="59">
        <f t="shared" si="3"/>
        <v>2</v>
      </c>
      <c r="D267" s="61" t="s">
        <v>34</v>
      </c>
      <c r="E267" s="61" t="s">
        <v>40</v>
      </c>
      <c r="F267" s="59" t="s">
        <v>18</v>
      </c>
      <c r="G267" s="61" t="s">
        <v>26</v>
      </c>
      <c r="H267" s="59" t="s">
        <v>20</v>
      </c>
      <c r="I267" s="61" t="s">
        <v>31</v>
      </c>
      <c r="J267" s="63" t="s">
        <v>21</v>
      </c>
      <c r="K267" s="61" t="s">
        <v>19</v>
      </c>
      <c r="L267" s="63" t="s">
        <v>22</v>
      </c>
      <c r="M267" s="61" t="s">
        <v>640</v>
      </c>
      <c r="N267" s="60" t="s">
        <v>696</v>
      </c>
      <c r="O267" s="59"/>
      <c r="P267" s="59"/>
    </row>
    <row r="268" ht="22.5" customHeight="1">
      <c r="A268" s="81" t="s">
        <v>637</v>
      </c>
      <c r="B268" s="60" t="s">
        <v>972</v>
      </c>
      <c r="C268" s="59">
        <f t="shared" si="3"/>
        <v>2</v>
      </c>
      <c r="D268" s="61" t="s">
        <v>34</v>
      </c>
      <c r="E268" s="61" t="s">
        <v>40</v>
      </c>
      <c r="F268" s="59" t="s">
        <v>18</v>
      </c>
      <c r="G268" s="61" t="s">
        <v>31</v>
      </c>
      <c r="H268" s="59" t="s">
        <v>20</v>
      </c>
      <c r="I268" s="61" t="s">
        <v>31</v>
      </c>
      <c r="J268" s="63" t="s">
        <v>21</v>
      </c>
      <c r="K268" s="61" t="s">
        <v>640</v>
      </c>
      <c r="L268" s="63" t="s">
        <v>22</v>
      </c>
      <c r="M268" s="61" t="s">
        <v>640</v>
      </c>
      <c r="N268" s="60" t="s">
        <v>696</v>
      </c>
      <c r="O268" s="59"/>
      <c r="P268" s="59"/>
    </row>
    <row r="269" ht="22.5" customHeight="1">
      <c r="A269" s="60" t="s">
        <v>973</v>
      </c>
      <c r="B269" s="60" t="s">
        <v>974</v>
      </c>
      <c r="C269" s="59">
        <f t="shared" si="3"/>
        <v>4</v>
      </c>
      <c r="D269" s="61" t="s">
        <v>16</v>
      </c>
      <c r="E269" s="61" t="s">
        <v>17</v>
      </c>
      <c r="F269" s="59" t="s">
        <v>18</v>
      </c>
      <c r="G269" s="61" t="s">
        <v>19</v>
      </c>
      <c r="H269" s="59" t="s">
        <v>20</v>
      </c>
      <c r="I269" s="61" t="s">
        <v>19</v>
      </c>
      <c r="J269" s="63" t="s">
        <v>21</v>
      </c>
      <c r="K269" s="61" t="s">
        <v>19</v>
      </c>
      <c r="L269" s="63" t="s">
        <v>22</v>
      </c>
      <c r="M269" s="61" t="s">
        <v>19</v>
      </c>
      <c r="N269" s="59"/>
      <c r="O269" s="59"/>
      <c r="P269" s="59"/>
    </row>
    <row r="270" ht="22.5" customHeight="1">
      <c r="A270" s="60" t="s">
        <v>975</v>
      </c>
      <c r="B270" s="60" t="s">
        <v>976</v>
      </c>
      <c r="C270" s="59">
        <f t="shared" si="3"/>
        <v>4</v>
      </c>
      <c r="D270" s="61" t="s">
        <v>16</v>
      </c>
      <c r="E270" s="61" t="s">
        <v>17</v>
      </c>
      <c r="F270" s="59" t="s">
        <v>18</v>
      </c>
      <c r="G270" s="61" t="s">
        <v>19</v>
      </c>
      <c r="H270" s="59" t="s">
        <v>20</v>
      </c>
      <c r="I270" s="61" t="s">
        <v>19</v>
      </c>
      <c r="J270" s="63" t="s">
        <v>21</v>
      </c>
      <c r="K270" s="61" t="s">
        <v>19</v>
      </c>
      <c r="L270" s="63" t="s">
        <v>22</v>
      </c>
      <c r="M270" s="61" t="s">
        <v>19</v>
      </c>
      <c r="N270" s="59"/>
      <c r="O270" s="59"/>
      <c r="P270" s="59"/>
    </row>
    <row r="271" ht="22.5" customHeight="1">
      <c r="A271" s="82" t="s">
        <v>977</v>
      </c>
      <c r="B271" s="82" t="s">
        <v>978</v>
      </c>
      <c r="C271" s="59">
        <f t="shared" si="3"/>
        <v>4</v>
      </c>
      <c r="D271" s="94" t="s">
        <v>16</v>
      </c>
      <c r="E271" s="94" t="s">
        <v>17</v>
      </c>
      <c r="F271" s="93" t="s">
        <v>18</v>
      </c>
      <c r="G271" s="94" t="s">
        <v>19</v>
      </c>
      <c r="H271" s="93" t="s">
        <v>20</v>
      </c>
      <c r="I271" s="61" t="s">
        <v>19</v>
      </c>
      <c r="J271" s="95" t="s">
        <v>21</v>
      </c>
      <c r="K271" s="94" t="s">
        <v>19</v>
      </c>
      <c r="L271" s="95" t="s">
        <v>22</v>
      </c>
      <c r="M271" s="61" t="s">
        <v>19</v>
      </c>
      <c r="N271" s="82"/>
      <c r="O271" s="93"/>
      <c r="P271" s="93"/>
    </row>
    <row r="272" ht="22.5" customHeight="1">
      <c r="A272" s="60" t="s">
        <v>979</v>
      </c>
      <c r="B272" s="60" t="s">
        <v>980</v>
      </c>
      <c r="C272" s="59">
        <f t="shared" si="3"/>
        <v>4</v>
      </c>
      <c r="D272" s="61" t="s">
        <v>16</v>
      </c>
      <c r="E272" s="61" t="s">
        <v>17</v>
      </c>
      <c r="F272" s="59" t="s">
        <v>18</v>
      </c>
      <c r="G272" s="61" t="s">
        <v>19</v>
      </c>
      <c r="H272" s="59" t="s">
        <v>20</v>
      </c>
      <c r="I272" s="61" t="s">
        <v>19</v>
      </c>
      <c r="J272" s="63" t="s">
        <v>21</v>
      </c>
      <c r="K272" s="61" t="s">
        <v>19</v>
      </c>
      <c r="L272" s="63" t="s">
        <v>22</v>
      </c>
      <c r="M272" s="61" t="s">
        <v>19</v>
      </c>
      <c r="N272" s="60" t="s">
        <v>376</v>
      </c>
      <c r="O272" s="59"/>
      <c r="P272" s="59"/>
    </row>
    <row r="273" ht="22.5" customHeight="1">
      <c r="A273" s="81" t="s">
        <v>637</v>
      </c>
      <c r="B273" s="82" t="s">
        <v>981</v>
      </c>
      <c r="C273" s="59">
        <f t="shared" si="3"/>
        <v>3</v>
      </c>
      <c r="D273" s="61" t="s">
        <v>34</v>
      </c>
      <c r="E273" s="61" t="s">
        <v>40</v>
      </c>
      <c r="F273" s="59" t="s">
        <v>18</v>
      </c>
      <c r="G273" s="61" t="s">
        <v>31</v>
      </c>
      <c r="H273" s="59" t="s">
        <v>20</v>
      </c>
      <c r="I273" s="61" t="s">
        <v>19</v>
      </c>
      <c r="J273" s="63" t="s">
        <v>21</v>
      </c>
      <c r="K273" s="61" t="s">
        <v>19</v>
      </c>
      <c r="L273" s="63" t="s">
        <v>22</v>
      </c>
      <c r="M273" s="61" t="s">
        <v>19</v>
      </c>
      <c r="N273" s="60" t="s">
        <v>376</v>
      </c>
      <c r="O273" s="59"/>
      <c r="P273" s="59"/>
    </row>
    <row r="274" ht="22.5" customHeight="1">
      <c r="A274" s="59"/>
      <c r="B274" s="60" t="s">
        <v>982</v>
      </c>
      <c r="C274" s="59">
        <f t="shared" si="3"/>
        <v>3</v>
      </c>
      <c r="D274" s="61" t="s">
        <v>34</v>
      </c>
      <c r="E274" s="61" t="s">
        <v>656</v>
      </c>
      <c r="F274" s="59" t="s">
        <v>18</v>
      </c>
      <c r="G274" s="61" t="s">
        <v>31</v>
      </c>
      <c r="H274" s="59" t="s">
        <v>20</v>
      </c>
      <c r="I274" s="61" t="s">
        <v>640</v>
      </c>
      <c r="J274" s="63" t="s">
        <v>21</v>
      </c>
      <c r="K274" s="61" t="s">
        <v>640</v>
      </c>
      <c r="L274" s="63" t="s">
        <v>22</v>
      </c>
      <c r="M274" s="61" t="s">
        <v>640</v>
      </c>
      <c r="N274" s="60" t="s">
        <v>983</v>
      </c>
      <c r="O274" s="59"/>
      <c r="P274" s="59"/>
    </row>
    <row r="275" ht="22.5" customHeight="1">
      <c r="A275" s="59"/>
      <c r="B275" s="82" t="s">
        <v>596</v>
      </c>
      <c r="C275" s="59">
        <f t="shared" si="3"/>
        <v>0</v>
      </c>
      <c r="D275" s="61" t="s">
        <v>34</v>
      </c>
      <c r="E275" s="61" t="s">
        <v>49</v>
      </c>
      <c r="F275" s="59" t="s">
        <v>18</v>
      </c>
      <c r="G275" s="61" t="s">
        <v>50</v>
      </c>
      <c r="H275" s="59" t="s">
        <v>20</v>
      </c>
      <c r="I275" s="61" t="s">
        <v>50</v>
      </c>
      <c r="J275" s="63" t="s">
        <v>21</v>
      </c>
      <c r="K275" s="61" t="s">
        <v>50</v>
      </c>
      <c r="L275" s="63" t="s">
        <v>22</v>
      </c>
      <c r="M275" s="61" t="s">
        <v>50</v>
      </c>
      <c r="N275" s="60" t="s">
        <v>372</v>
      </c>
      <c r="O275" s="59"/>
      <c r="P275" s="59"/>
    </row>
    <row r="276" ht="22.5" customHeight="1">
      <c r="A276" s="60" t="s">
        <v>984</v>
      </c>
      <c r="B276" s="60" t="s">
        <v>985</v>
      </c>
      <c r="C276" s="59">
        <f t="shared" si="3"/>
        <v>4</v>
      </c>
      <c r="D276" s="61" t="s">
        <v>16</v>
      </c>
      <c r="E276" s="61" t="s">
        <v>17</v>
      </c>
      <c r="F276" s="59" t="s">
        <v>18</v>
      </c>
      <c r="G276" s="61" t="s">
        <v>19</v>
      </c>
      <c r="H276" s="59" t="s">
        <v>20</v>
      </c>
      <c r="I276" s="61" t="s">
        <v>19</v>
      </c>
      <c r="J276" s="63" t="s">
        <v>21</v>
      </c>
      <c r="K276" s="61" t="s">
        <v>19</v>
      </c>
      <c r="L276" s="63" t="s">
        <v>22</v>
      </c>
      <c r="M276" s="61" t="s">
        <v>19</v>
      </c>
      <c r="N276" s="59"/>
      <c r="O276" s="59"/>
      <c r="P276" s="59"/>
    </row>
    <row r="277" ht="22.5" customHeight="1">
      <c r="A277" s="59"/>
      <c r="B277" s="82" t="s">
        <v>986</v>
      </c>
      <c r="C277" s="59">
        <f t="shared" si="3"/>
        <v>3</v>
      </c>
      <c r="D277" s="61" t="s">
        <v>34</v>
      </c>
      <c r="E277" s="61" t="s">
        <v>635</v>
      </c>
      <c r="F277" s="59" t="s">
        <v>18</v>
      </c>
      <c r="G277" s="61" t="s">
        <v>31</v>
      </c>
      <c r="H277" s="59" t="s">
        <v>20</v>
      </c>
      <c r="I277" s="61" t="s">
        <v>640</v>
      </c>
      <c r="J277" s="63" t="s">
        <v>21</v>
      </c>
      <c r="K277" s="61" t="s">
        <v>640</v>
      </c>
      <c r="L277" s="63" t="s">
        <v>22</v>
      </c>
      <c r="M277" s="61" t="s">
        <v>640</v>
      </c>
      <c r="N277" s="60" t="s">
        <v>987</v>
      </c>
      <c r="O277" s="59"/>
      <c r="P277" s="59"/>
    </row>
    <row r="278" ht="22.5" customHeight="1">
      <c r="A278" s="60" t="s">
        <v>988</v>
      </c>
      <c r="B278" s="110" t="s">
        <v>989</v>
      </c>
      <c r="C278" s="59">
        <f t="shared" si="3"/>
        <v>4</v>
      </c>
      <c r="D278" s="61" t="s">
        <v>16</v>
      </c>
      <c r="E278" s="61" t="s">
        <v>17</v>
      </c>
      <c r="F278" s="59" t="s">
        <v>18</v>
      </c>
      <c r="G278" s="61" t="s">
        <v>19</v>
      </c>
      <c r="H278" s="59" t="s">
        <v>20</v>
      </c>
      <c r="I278" s="61" t="s">
        <v>19</v>
      </c>
      <c r="J278" s="63" t="s">
        <v>21</v>
      </c>
      <c r="K278" s="61" t="s">
        <v>19</v>
      </c>
      <c r="L278" s="63" t="s">
        <v>22</v>
      </c>
      <c r="M278" s="61" t="s">
        <v>19</v>
      </c>
      <c r="N278" s="59"/>
      <c r="O278" s="59"/>
      <c r="P278" s="59"/>
    </row>
    <row r="279" ht="22.5" customHeight="1">
      <c r="A279" s="59"/>
      <c r="B279" s="86" t="s">
        <v>990</v>
      </c>
      <c r="C279" s="59">
        <f t="shared" si="3"/>
        <v>2</v>
      </c>
      <c r="D279" s="61" t="s">
        <v>34</v>
      </c>
      <c r="E279" s="61" t="s">
        <v>656</v>
      </c>
      <c r="F279" s="59" t="s">
        <v>18</v>
      </c>
      <c r="G279" s="61" t="s">
        <v>26</v>
      </c>
      <c r="H279" s="59" t="s">
        <v>20</v>
      </c>
      <c r="I279" s="61" t="s">
        <v>640</v>
      </c>
      <c r="J279" s="63" t="s">
        <v>21</v>
      </c>
      <c r="K279" s="61" t="s">
        <v>31</v>
      </c>
      <c r="L279" s="63" t="s">
        <v>22</v>
      </c>
      <c r="M279" s="61" t="s">
        <v>640</v>
      </c>
      <c r="N279" s="60" t="s">
        <v>991</v>
      </c>
      <c r="O279" s="59"/>
      <c r="P279" s="59"/>
    </row>
    <row r="280" ht="22.5" customHeight="1">
      <c r="A280" s="81" t="s">
        <v>637</v>
      </c>
      <c r="B280" s="82" t="s">
        <v>597</v>
      </c>
      <c r="C280" s="59">
        <f t="shared" si="3"/>
        <v>0</v>
      </c>
      <c r="D280" s="61" t="s">
        <v>34</v>
      </c>
      <c r="E280" s="61" t="s">
        <v>49</v>
      </c>
      <c r="F280" s="59" t="s">
        <v>18</v>
      </c>
      <c r="G280" s="61" t="s">
        <v>50</v>
      </c>
      <c r="H280" s="59" t="s">
        <v>20</v>
      </c>
      <c r="I280" s="61" t="s">
        <v>31</v>
      </c>
      <c r="J280" s="63" t="s">
        <v>21</v>
      </c>
      <c r="K280" s="61" t="s">
        <v>50</v>
      </c>
      <c r="L280" s="63" t="s">
        <v>22</v>
      </c>
      <c r="M280" s="61" t="s">
        <v>50</v>
      </c>
      <c r="N280" s="60" t="s">
        <v>372</v>
      </c>
      <c r="O280" s="59"/>
      <c r="P280" s="59"/>
    </row>
    <row r="281" ht="22.5" customHeight="1">
      <c r="A281" s="81" t="s">
        <v>637</v>
      </c>
      <c r="B281" s="82" t="s">
        <v>598</v>
      </c>
      <c r="C281" s="59">
        <f t="shared" si="3"/>
        <v>0</v>
      </c>
      <c r="D281" s="61" t="s">
        <v>34</v>
      </c>
      <c r="E281" s="61" t="s">
        <v>49</v>
      </c>
      <c r="F281" s="59" t="s">
        <v>18</v>
      </c>
      <c r="G281" s="61" t="s">
        <v>50</v>
      </c>
      <c r="H281" s="59" t="s">
        <v>20</v>
      </c>
      <c r="I281" s="61" t="s">
        <v>31</v>
      </c>
      <c r="J281" s="63" t="s">
        <v>21</v>
      </c>
      <c r="K281" s="61" t="s">
        <v>31</v>
      </c>
      <c r="L281" s="63" t="s">
        <v>22</v>
      </c>
      <c r="M281" s="61" t="s">
        <v>50</v>
      </c>
      <c r="N281" s="60" t="s">
        <v>372</v>
      </c>
      <c r="O281" s="59"/>
      <c r="P281" s="59"/>
    </row>
    <row r="282" ht="22.5" customHeight="1">
      <c r="A282" s="60" t="s">
        <v>992</v>
      </c>
      <c r="B282" s="82" t="s">
        <v>993</v>
      </c>
      <c r="C282" s="59">
        <f t="shared" si="3"/>
        <v>1</v>
      </c>
      <c r="D282" s="61" t="s">
        <v>16</v>
      </c>
      <c r="E282" s="61" t="s">
        <v>49</v>
      </c>
      <c r="F282" s="59" t="s">
        <v>18</v>
      </c>
      <c r="G282" s="61" t="s">
        <v>50</v>
      </c>
      <c r="H282" s="59" t="s">
        <v>20</v>
      </c>
      <c r="I282" s="61" t="s">
        <v>50</v>
      </c>
      <c r="J282" s="63" t="s">
        <v>21</v>
      </c>
      <c r="K282" s="61" t="s">
        <v>50</v>
      </c>
      <c r="L282" s="63" t="s">
        <v>22</v>
      </c>
      <c r="M282" s="61" t="s">
        <v>19</v>
      </c>
      <c r="N282" s="60" t="s">
        <v>372</v>
      </c>
      <c r="O282" s="59"/>
      <c r="P282" s="59"/>
    </row>
    <row r="283" ht="22.5" customHeight="1">
      <c r="A283" s="60" t="s">
        <v>994</v>
      </c>
      <c r="B283" s="60" t="s">
        <v>995</v>
      </c>
      <c r="C283" s="59">
        <f t="shared" si="3"/>
        <v>4</v>
      </c>
      <c r="D283" s="61" t="s">
        <v>16</v>
      </c>
      <c r="E283" s="61" t="s">
        <v>17</v>
      </c>
      <c r="F283" s="59" t="s">
        <v>18</v>
      </c>
      <c r="G283" s="61" t="s">
        <v>19</v>
      </c>
      <c r="H283" s="59" t="s">
        <v>20</v>
      </c>
      <c r="I283" s="61" t="s">
        <v>19</v>
      </c>
      <c r="J283" s="63" t="s">
        <v>21</v>
      </c>
      <c r="K283" s="61" t="s">
        <v>19</v>
      </c>
      <c r="L283" s="63" t="s">
        <v>22</v>
      </c>
      <c r="M283" s="61" t="s">
        <v>19</v>
      </c>
      <c r="N283" s="59"/>
      <c r="O283" s="59"/>
      <c r="P283" s="59"/>
    </row>
    <row r="284" ht="22.5" customHeight="1">
      <c r="A284" s="59"/>
      <c r="B284" s="60" t="s">
        <v>996</v>
      </c>
      <c r="C284" s="59">
        <f t="shared" si="3"/>
        <v>3</v>
      </c>
      <c r="D284" s="61" t="s">
        <v>34</v>
      </c>
      <c r="E284" s="61" t="s">
        <v>656</v>
      </c>
      <c r="F284" s="59" t="s">
        <v>18</v>
      </c>
      <c r="G284" s="61" t="s">
        <v>640</v>
      </c>
      <c r="H284" s="59" t="s">
        <v>20</v>
      </c>
      <c r="I284" s="61" t="s">
        <v>640</v>
      </c>
      <c r="J284" s="63" t="s">
        <v>21</v>
      </c>
      <c r="K284" s="61" t="s">
        <v>31</v>
      </c>
      <c r="L284" s="63" t="s">
        <v>22</v>
      </c>
      <c r="M284" s="61" t="s">
        <v>640</v>
      </c>
      <c r="N284" s="60" t="s">
        <v>997</v>
      </c>
      <c r="O284" s="59"/>
      <c r="P284" s="59"/>
    </row>
    <row r="285" ht="22.5" customHeight="1">
      <c r="A285" s="59"/>
      <c r="B285" s="82" t="s">
        <v>599</v>
      </c>
      <c r="C285" s="59">
        <f t="shared" si="3"/>
        <v>0</v>
      </c>
      <c r="D285" s="61" t="s">
        <v>34</v>
      </c>
      <c r="E285" s="61" t="s">
        <v>49</v>
      </c>
      <c r="F285" s="59" t="s">
        <v>18</v>
      </c>
      <c r="G285" s="61" t="s">
        <v>50</v>
      </c>
      <c r="H285" s="59" t="s">
        <v>20</v>
      </c>
      <c r="I285" s="61" t="s">
        <v>50</v>
      </c>
      <c r="J285" s="63" t="s">
        <v>21</v>
      </c>
      <c r="K285" s="61" t="s">
        <v>50</v>
      </c>
      <c r="L285" s="63" t="s">
        <v>22</v>
      </c>
      <c r="M285" s="61" t="s">
        <v>50</v>
      </c>
      <c r="N285" s="60" t="s">
        <v>372</v>
      </c>
      <c r="O285" s="59"/>
      <c r="P285" s="59"/>
    </row>
    <row r="286" ht="22.5" customHeight="1">
      <c r="A286" s="81" t="s">
        <v>637</v>
      </c>
      <c r="B286" s="82" t="s">
        <v>600</v>
      </c>
      <c r="C286" s="59">
        <f t="shared" si="3"/>
        <v>0</v>
      </c>
      <c r="D286" s="61" t="s">
        <v>34</v>
      </c>
      <c r="E286" s="61" t="s">
        <v>49</v>
      </c>
      <c r="F286" s="59" t="s">
        <v>18</v>
      </c>
      <c r="G286" s="61" t="s">
        <v>50</v>
      </c>
      <c r="H286" s="59" t="s">
        <v>20</v>
      </c>
      <c r="I286" s="61" t="s">
        <v>31</v>
      </c>
      <c r="J286" s="63" t="s">
        <v>21</v>
      </c>
      <c r="K286" s="61" t="s">
        <v>50</v>
      </c>
      <c r="L286" s="63" t="s">
        <v>22</v>
      </c>
      <c r="M286" s="61" t="s">
        <v>50</v>
      </c>
      <c r="N286" s="60" t="s">
        <v>372</v>
      </c>
      <c r="O286" s="59"/>
      <c r="P286" s="59"/>
    </row>
    <row r="287" ht="22.5" customHeight="1">
      <c r="A287" s="81" t="s">
        <v>637</v>
      </c>
      <c r="B287" s="60" t="s">
        <v>998</v>
      </c>
      <c r="C287" s="59">
        <f t="shared" si="3"/>
        <v>4</v>
      </c>
      <c r="D287" s="61" t="s">
        <v>34</v>
      </c>
      <c r="E287" s="61" t="s">
        <v>40</v>
      </c>
      <c r="F287" s="59" t="s">
        <v>18</v>
      </c>
      <c r="G287" s="61" t="s">
        <v>19</v>
      </c>
      <c r="H287" s="59" t="s">
        <v>20</v>
      </c>
      <c r="I287" s="61" t="s">
        <v>19</v>
      </c>
      <c r="J287" s="63" t="s">
        <v>21</v>
      </c>
      <c r="K287" s="61" t="s">
        <v>19</v>
      </c>
      <c r="L287" s="63" t="s">
        <v>22</v>
      </c>
      <c r="M287" s="61" t="s">
        <v>19</v>
      </c>
      <c r="N287" s="60" t="s">
        <v>376</v>
      </c>
      <c r="O287" s="59"/>
      <c r="P287" s="59"/>
    </row>
    <row r="288" ht="22.5" customHeight="1">
      <c r="A288" s="59"/>
      <c r="B288" s="82" t="s">
        <v>601</v>
      </c>
      <c r="C288" s="59">
        <f t="shared" si="3"/>
        <v>0</v>
      </c>
      <c r="D288" s="61" t="s">
        <v>34</v>
      </c>
      <c r="E288" s="61" t="s">
        <v>49</v>
      </c>
      <c r="F288" s="59" t="s">
        <v>18</v>
      </c>
      <c r="G288" s="61" t="s">
        <v>50</v>
      </c>
      <c r="H288" s="59" t="s">
        <v>20</v>
      </c>
      <c r="I288" s="61" t="s">
        <v>50</v>
      </c>
      <c r="J288" s="63" t="s">
        <v>21</v>
      </c>
      <c r="K288" s="61" t="s">
        <v>50</v>
      </c>
      <c r="L288" s="63" t="s">
        <v>22</v>
      </c>
      <c r="M288" s="61" t="s">
        <v>31</v>
      </c>
      <c r="N288" s="60" t="s">
        <v>372</v>
      </c>
      <c r="O288" s="59"/>
      <c r="P288" s="59"/>
    </row>
    <row r="289" ht="22.5" customHeight="1">
      <c r="A289" s="59"/>
      <c r="B289" s="60" t="s">
        <v>999</v>
      </c>
      <c r="C289" s="59">
        <f t="shared" si="3"/>
        <v>3</v>
      </c>
      <c r="D289" s="61" t="s">
        <v>34</v>
      </c>
      <c r="E289" s="61" t="s">
        <v>656</v>
      </c>
      <c r="F289" s="59" t="s">
        <v>18</v>
      </c>
      <c r="G289" s="61" t="s">
        <v>640</v>
      </c>
      <c r="H289" s="59" t="s">
        <v>20</v>
      </c>
      <c r="I289" s="61" t="s">
        <v>640</v>
      </c>
      <c r="J289" s="63" t="s">
        <v>21</v>
      </c>
      <c r="K289" s="61" t="s">
        <v>640</v>
      </c>
      <c r="L289" s="63" t="s">
        <v>22</v>
      </c>
      <c r="M289" s="61" t="s">
        <v>31</v>
      </c>
      <c r="N289" s="60" t="s">
        <v>1000</v>
      </c>
      <c r="O289" s="59"/>
      <c r="P289" s="59"/>
    </row>
    <row r="290" ht="22.5" customHeight="1">
      <c r="A290" s="60" t="s">
        <v>1001</v>
      </c>
      <c r="B290" s="60" t="s">
        <v>1002</v>
      </c>
      <c r="C290" s="59">
        <f t="shared" si="3"/>
        <v>4</v>
      </c>
      <c r="D290" s="61" t="s">
        <v>16</v>
      </c>
      <c r="E290" s="61" t="s">
        <v>17</v>
      </c>
      <c r="F290" s="59" t="s">
        <v>18</v>
      </c>
      <c r="G290" s="61" t="s">
        <v>19</v>
      </c>
      <c r="H290" s="59" t="s">
        <v>20</v>
      </c>
      <c r="I290" s="61" t="s">
        <v>19</v>
      </c>
      <c r="J290" s="63" t="s">
        <v>21</v>
      </c>
      <c r="K290" s="61" t="s">
        <v>19</v>
      </c>
      <c r="L290" s="63" t="s">
        <v>22</v>
      </c>
      <c r="M290" s="61" t="s">
        <v>19</v>
      </c>
      <c r="N290" s="60" t="s">
        <v>376</v>
      </c>
      <c r="O290" s="59"/>
      <c r="P290" s="59"/>
    </row>
    <row r="291" ht="22.5" customHeight="1">
      <c r="A291" s="81" t="s">
        <v>637</v>
      </c>
      <c r="B291" s="60" t="s">
        <v>1003</v>
      </c>
      <c r="C291" s="59">
        <f t="shared" si="3"/>
        <v>2</v>
      </c>
      <c r="D291" s="61" t="s">
        <v>34</v>
      </c>
      <c r="E291" s="61" t="s">
        <v>40</v>
      </c>
      <c r="F291" s="59" t="s">
        <v>18</v>
      </c>
      <c r="G291" s="61" t="s">
        <v>31</v>
      </c>
      <c r="H291" s="59" t="s">
        <v>20</v>
      </c>
      <c r="I291" s="61" t="s">
        <v>31</v>
      </c>
      <c r="J291" s="63" t="s">
        <v>21</v>
      </c>
      <c r="K291" s="61" t="s">
        <v>640</v>
      </c>
      <c r="L291" s="63" t="s">
        <v>22</v>
      </c>
      <c r="M291" s="61" t="s">
        <v>640</v>
      </c>
      <c r="N291" s="60" t="s">
        <v>696</v>
      </c>
      <c r="O291" s="59"/>
      <c r="P291" s="59"/>
    </row>
    <row r="292" ht="22.5" customHeight="1">
      <c r="A292" s="59"/>
      <c r="B292" s="82" t="s">
        <v>602</v>
      </c>
      <c r="C292" s="59">
        <f t="shared" si="3"/>
        <v>0</v>
      </c>
      <c r="D292" s="61" t="s">
        <v>34</v>
      </c>
      <c r="E292" s="61" t="s">
        <v>49</v>
      </c>
      <c r="F292" s="59" t="s">
        <v>18</v>
      </c>
      <c r="G292" s="61" t="s">
        <v>50</v>
      </c>
      <c r="H292" s="59" t="s">
        <v>20</v>
      </c>
      <c r="I292" s="61" t="s">
        <v>50</v>
      </c>
      <c r="J292" s="63" t="s">
        <v>21</v>
      </c>
      <c r="K292" s="61" t="s">
        <v>50</v>
      </c>
      <c r="L292" s="63" t="s">
        <v>22</v>
      </c>
      <c r="M292" s="61" t="s">
        <v>50</v>
      </c>
      <c r="N292" s="60" t="s">
        <v>372</v>
      </c>
      <c r="O292" s="59"/>
      <c r="P292" s="59"/>
    </row>
    <row r="293" ht="22.5" customHeight="1">
      <c r="A293" s="59"/>
      <c r="B293" s="60" t="s">
        <v>1004</v>
      </c>
      <c r="C293" s="59">
        <f t="shared" si="3"/>
        <v>3</v>
      </c>
      <c r="D293" s="61" t="s">
        <v>34</v>
      </c>
      <c r="E293" s="61" t="s">
        <v>30</v>
      </c>
      <c r="F293" s="59" t="s">
        <v>18</v>
      </c>
      <c r="G293" s="61" t="s">
        <v>31</v>
      </c>
      <c r="H293" s="59" t="s">
        <v>20</v>
      </c>
      <c r="I293" s="61" t="s">
        <v>640</v>
      </c>
      <c r="J293" s="63" t="s">
        <v>21</v>
      </c>
      <c r="K293" s="61" t="s">
        <v>640</v>
      </c>
      <c r="L293" s="63" t="s">
        <v>22</v>
      </c>
      <c r="M293" s="61" t="s">
        <v>640</v>
      </c>
      <c r="N293" s="60" t="s">
        <v>1005</v>
      </c>
      <c r="O293" s="59"/>
      <c r="P293" s="59"/>
    </row>
    <row r="294" ht="22.5" customHeight="1">
      <c r="A294" s="59"/>
      <c r="B294" s="82" t="s">
        <v>603</v>
      </c>
      <c r="C294" s="59">
        <f t="shared" si="3"/>
        <v>0</v>
      </c>
      <c r="D294" s="61" t="s">
        <v>34</v>
      </c>
      <c r="E294" s="61" t="s">
        <v>49</v>
      </c>
      <c r="F294" s="59" t="s">
        <v>18</v>
      </c>
      <c r="G294" s="61" t="s">
        <v>31</v>
      </c>
      <c r="H294" s="59" t="s">
        <v>20</v>
      </c>
      <c r="I294" s="61" t="s">
        <v>50</v>
      </c>
      <c r="J294" s="63" t="s">
        <v>21</v>
      </c>
      <c r="K294" s="61" t="s">
        <v>50</v>
      </c>
      <c r="L294" s="63" t="s">
        <v>22</v>
      </c>
      <c r="M294" s="61" t="s">
        <v>50</v>
      </c>
      <c r="N294" s="60" t="s">
        <v>372</v>
      </c>
      <c r="O294" s="59"/>
      <c r="P294" s="59"/>
    </row>
    <row r="295" ht="22.5" customHeight="1">
      <c r="A295" s="60" t="s">
        <v>1006</v>
      </c>
      <c r="B295" s="60" t="s">
        <v>1007</v>
      </c>
      <c r="C295" s="59">
        <f t="shared" si="3"/>
        <v>4</v>
      </c>
      <c r="D295" s="61" t="s">
        <v>16</v>
      </c>
      <c r="E295" s="61" t="s">
        <v>17</v>
      </c>
      <c r="F295" s="59" t="s">
        <v>18</v>
      </c>
      <c r="G295" s="61" t="s">
        <v>19</v>
      </c>
      <c r="H295" s="59" t="s">
        <v>20</v>
      </c>
      <c r="I295" s="61" t="s">
        <v>19</v>
      </c>
      <c r="J295" s="63" t="s">
        <v>21</v>
      </c>
      <c r="K295" s="61" t="s">
        <v>19</v>
      </c>
      <c r="L295" s="63" t="s">
        <v>22</v>
      </c>
      <c r="M295" s="61" t="s">
        <v>19</v>
      </c>
      <c r="N295" s="60" t="s">
        <v>376</v>
      </c>
      <c r="O295" s="59"/>
      <c r="P295" s="59"/>
    </row>
    <row r="296" ht="22.5" customHeight="1">
      <c r="A296" s="81" t="s">
        <v>637</v>
      </c>
      <c r="B296" s="86" t="s">
        <v>1008</v>
      </c>
      <c r="C296" s="59">
        <f t="shared" si="3"/>
        <v>2</v>
      </c>
      <c r="D296" s="61" t="s">
        <v>34</v>
      </c>
      <c r="E296" s="61" t="s">
        <v>656</v>
      </c>
      <c r="F296" s="59" t="s">
        <v>18</v>
      </c>
      <c r="G296" s="61" t="s">
        <v>31</v>
      </c>
      <c r="H296" s="59" t="s">
        <v>20</v>
      </c>
      <c r="I296" s="61" t="s">
        <v>19</v>
      </c>
      <c r="J296" s="63" t="s">
        <v>21</v>
      </c>
      <c r="K296" s="61" t="s">
        <v>640</v>
      </c>
      <c r="L296" s="63" t="s">
        <v>22</v>
      </c>
      <c r="M296" s="61" t="s">
        <v>31</v>
      </c>
      <c r="N296" s="60" t="s">
        <v>376</v>
      </c>
      <c r="O296" s="59"/>
      <c r="P296" s="59"/>
    </row>
    <row r="297" ht="22.5" customHeight="1">
      <c r="A297" s="60" t="s">
        <v>1009</v>
      </c>
      <c r="B297" s="60" t="s">
        <v>1010</v>
      </c>
      <c r="C297" s="59">
        <f t="shared" si="3"/>
        <v>4</v>
      </c>
      <c r="D297" s="61" t="s">
        <v>16</v>
      </c>
      <c r="E297" s="61" t="s">
        <v>17</v>
      </c>
      <c r="F297" s="59" t="s">
        <v>18</v>
      </c>
      <c r="G297" s="61" t="s">
        <v>19</v>
      </c>
      <c r="H297" s="59" t="s">
        <v>20</v>
      </c>
      <c r="I297" s="61" t="s">
        <v>19</v>
      </c>
      <c r="J297" s="63" t="s">
        <v>21</v>
      </c>
      <c r="K297" s="61" t="s">
        <v>19</v>
      </c>
      <c r="L297" s="63" t="s">
        <v>22</v>
      </c>
      <c r="M297" s="61" t="s">
        <v>19</v>
      </c>
      <c r="N297" s="59"/>
      <c r="O297" s="59"/>
      <c r="P297" s="59"/>
    </row>
    <row r="298" ht="22.5" customHeight="1">
      <c r="A298" s="60" t="s">
        <v>637</v>
      </c>
      <c r="B298" s="60" t="s">
        <v>1011</v>
      </c>
      <c r="C298" s="59">
        <f t="shared" si="3"/>
        <v>3</v>
      </c>
      <c r="D298" s="61" t="s">
        <v>34</v>
      </c>
      <c r="E298" s="61" t="s">
        <v>35</v>
      </c>
      <c r="F298" s="59" t="s">
        <v>18</v>
      </c>
      <c r="G298" s="61" t="s">
        <v>31</v>
      </c>
      <c r="H298" s="59" t="s">
        <v>20</v>
      </c>
      <c r="I298" s="61" t="s">
        <v>640</v>
      </c>
      <c r="J298" s="63" t="s">
        <v>21</v>
      </c>
      <c r="K298" s="61" t="s">
        <v>640</v>
      </c>
      <c r="L298" s="63" t="s">
        <v>22</v>
      </c>
      <c r="M298" s="61" t="s">
        <v>640</v>
      </c>
      <c r="N298" s="60" t="s">
        <v>1012</v>
      </c>
      <c r="O298" s="60"/>
      <c r="P298" s="59"/>
    </row>
    <row r="299" ht="22.5" customHeight="1">
      <c r="A299" s="60" t="s">
        <v>1013</v>
      </c>
      <c r="B299" s="60" t="s">
        <v>1014</v>
      </c>
      <c r="C299" s="59">
        <f t="shared" si="3"/>
        <v>4</v>
      </c>
      <c r="D299" s="61" t="s">
        <v>16</v>
      </c>
      <c r="E299" s="61" t="s">
        <v>17</v>
      </c>
      <c r="F299" s="59" t="s">
        <v>18</v>
      </c>
      <c r="G299" s="61" t="s">
        <v>19</v>
      </c>
      <c r="H299" s="59" t="s">
        <v>20</v>
      </c>
      <c r="I299" s="61" t="s">
        <v>19</v>
      </c>
      <c r="J299" s="63" t="s">
        <v>21</v>
      </c>
      <c r="K299" s="61" t="s">
        <v>19</v>
      </c>
      <c r="L299" s="63" t="s">
        <v>22</v>
      </c>
      <c r="M299" s="61" t="s">
        <v>19</v>
      </c>
      <c r="N299" s="59"/>
      <c r="O299" s="59"/>
      <c r="P299" s="59"/>
      <c r="Q299" s="108"/>
      <c r="R299" s="108"/>
      <c r="S299" s="108"/>
      <c r="T299" s="108"/>
      <c r="U299" s="108"/>
      <c r="V299" s="108"/>
      <c r="W299" s="108"/>
      <c r="X299" s="108"/>
      <c r="Y299" s="108"/>
      <c r="Z299" s="108"/>
    </row>
    <row r="300" ht="22.5" customHeight="1">
      <c r="A300" s="81" t="s">
        <v>637</v>
      </c>
      <c r="B300" s="60" t="s">
        <v>1015</v>
      </c>
      <c r="C300" s="59">
        <f t="shared" si="3"/>
        <v>4</v>
      </c>
      <c r="D300" s="61" t="s">
        <v>34</v>
      </c>
      <c r="E300" s="61" t="s">
        <v>40</v>
      </c>
      <c r="F300" s="59" t="s">
        <v>18</v>
      </c>
      <c r="G300" s="61" t="s">
        <v>19</v>
      </c>
      <c r="H300" s="59" t="s">
        <v>20</v>
      </c>
      <c r="I300" s="61" t="s">
        <v>19</v>
      </c>
      <c r="J300" s="63" t="s">
        <v>21</v>
      </c>
      <c r="K300" s="61" t="s">
        <v>640</v>
      </c>
      <c r="L300" s="63" t="s">
        <v>22</v>
      </c>
      <c r="M300" s="61" t="s">
        <v>19</v>
      </c>
      <c r="N300" s="60" t="s">
        <v>376</v>
      </c>
      <c r="O300" s="59"/>
      <c r="P300" s="59"/>
    </row>
    <row r="301" ht="22.5" customHeight="1">
      <c r="A301" s="60" t="s">
        <v>1016</v>
      </c>
      <c r="B301" s="60" t="s">
        <v>1017</v>
      </c>
      <c r="C301" s="59">
        <f t="shared" si="3"/>
        <v>4</v>
      </c>
      <c r="D301" s="61" t="s">
        <v>16</v>
      </c>
      <c r="E301" s="61" t="s">
        <v>17</v>
      </c>
      <c r="F301" s="59" t="s">
        <v>18</v>
      </c>
      <c r="G301" s="61" t="s">
        <v>19</v>
      </c>
      <c r="H301" s="59" t="s">
        <v>20</v>
      </c>
      <c r="I301" s="61" t="s">
        <v>19</v>
      </c>
      <c r="J301" s="63" t="s">
        <v>21</v>
      </c>
      <c r="K301" s="61" t="s">
        <v>19</v>
      </c>
      <c r="L301" s="63" t="s">
        <v>22</v>
      </c>
      <c r="M301" s="61" t="s">
        <v>19</v>
      </c>
      <c r="N301" s="59"/>
      <c r="O301" s="59"/>
      <c r="P301" s="59"/>
      <c r="Q301" s="89"/>
      <c r="R301" s="89"/>
      <c r="S301" s="89"/>
      <c r="T301" s="89"/>
      <c r="U301" s="89"/>
      <c r="V301" s="89"/>
      <c r="W301" s="89"/>
      <c r="X301" s="89"/>
      <c r="Y301" s="89"/>
      <c r="Z301" s="89"/>
    </row>
    <row r="302" ht="22.5" customHeight="1">
      <c r="A302" s="60" t="s">
        <v>1018</v>
      </c>
      <c r="B302" s="60" t="s">
        <v>1019</v>
      </c>
      <c r="C302" s="59">
        <f t="shared" si="3"/>
        <v>4</v>
      </c>
      <c r="D302" s="61" t="s">
        <v>16</v>
      </c>
      <c r="E302" s="61" t="s">
        <v>17</v>
      </c>
      <c r="F302" s="59" t="s">
        <v>18</v>
      </c>
      <c r="G302" s="61" t="s">
        <v>19</v>
      </c>
      <c r="H302" s="59" t="s">
        <v>20</v>
      </c>
      <c r="I302" s="61" t="s">
        <v>19</v>
      </c>
      <c r="J302" s="63" t="s">
        <v>21</v>
      </c>
      <c r="K302" s="61" t="s">
        <v>19</v>
      </c>
      <c r="L302" s="63" t="s">
        <v>22</v>
      </c>
      <c r="M302" s="61" t="s">
        <v>19</v>
      </c>
      <c r="N302" s="59"/>
      <c r="O302" s="59"/>
      <c r="P302" s="59"/>
    </row>
    <row r="303" ht="22.5" customHeight="1">
      <c r="A303" s="59"/>
      <c r="B303" s="82" t="s">
        <v>604</v>
      </c>
      <c r="C303" s="59">
        <f t="shared" si="3"/>
        <v>1</v>
      </c>
      <c r="D303" s="61" t="s">
        <v>16</v>
      </c>
      <c r="E303" s="61" t="s">
        <v>49</v>
      </c>
      <c r="F303" s="59" t="s">
        <v>18</v>
      </c>
      <c r="G303" s="61" t="s">
        <v>19</v>
      </c>
      <c r="H303" s="59" t="s">
        <v>20</v>
      </c>
      <c r="I303" s="61" t="s">
        <v>50</v>
      </c>
      <c r="J303" s="63" t="s">
        <v>21</v>
      </c>
      <c r="K303" s="61" t="s">
        <v>50</v>
      </c>
      <c r="L303" s="63" t="s">
        <v>22</v>
      </c>
      <c r="M303" s="61" t="s">
        <v>50</v>
      </c>
      <c r="N303" s="60" t="s">
        <v>372</v>
      </c>
      <c r="O303" s="59"/>
      <c r="P303" s="59"/>
    </row>
    <row r="304" ht="22.5" customHeight="1">
      <c r="A304" s="60" t="s">
        <v>1020</v>
      </c>
      <c r="B304" s="60" t="s">
        <v>1021</v>
      </c>
      <c r="C304" s="59">
        <f t="shared" si="3"/>
        <v>4</v>
      </c>
      <c r="D304" s="61" t="s">
        <v>16</v>
      </c>
      <c r="E304" s="61" t="s">
        <v>17</v>
      </c>
      <c r="F304" s="59" t="s">
        <v>18</v>
      </c>
      <c r="G304" s="61" t="s">
        <v>19</v>
      </c>
      <c r="H304" s="59" t="s">
        <v>20</v>
      </c>
      <c r="I304" s="61" t="s">
        <v>19</v>
      </c>
      <c r="J304" s="63" t="s">
        <v>21</v>
      </c>
      <c r="K304" s="61" t="s">
        <v>19</v>
      </c>
      <c r="L304" s="63" t="s">
        <v>22</v>
      </c>
      <c r="M304" s="61" t="s">
        <v>19</v>
      </c>
      <c r="N304" s="59"/>
      <c r="O304" s="59"/>
      <c r="P304" s="59"/>
    </row>
    <row r="305" ht="22.5" customHeight="1">
      <c r="A305" s="60" t="s">
        <v>1022</v>
      </c>
      <c r="B305" s="60" t="s">
        <v>1023</v>
      </c>
      <c r="C305" s="59">
        <f t="shared" si="3"/>
        <v>4</v>
      </c>
      <c r="D305" s="61" t="s">
        <v>16</v>
      </c>
      <c r="E305" s="61" t="s">
        <v>17</v>
      </c>
      <c r="F305" s="59" t="s">
        <v>18</v>
      </c>
      <c r="G305" s="61" t="s">
        <v>19</v>
      </c>
      <c r="H305" s="59" t="s">
        <v>20</v>
      </c>
      <c r="I305" s="61" t="s">
        <v>19</v>
      </c>
      <c r="J305" s="63" t="s">
        <v>21</v>
      </c>
      <c r="K305" s="61" t="s">
        <v>19</v>
      </c>
      <c r="L305" s="63" t="s">
        <v>22</v>
      </c>
      <c r="M305" s="61" t="s">
        <v>19</v>
      </c>
      <c r="N305" s="59"/>
      <c r="O305" s="59"/>
      <c r="P305" s="59"/>
    </row>
    <row r="306" ht="22.5" customHeight="1">
      <c r="A306" s="59"/>
      <c r="B306" s="82" t="s">
        <v>1024</v>
      </c>
      <c r="C306" s="59">
        <f t="shared" si="3"/>
        <v>3</v>
      </c>
      <c r="D306" s="61" t="s">
        <v>34</v>
      </c>
      <c r="E306" s="61" t="s">
        <v>656</v>
      </c>
      <c r="F306" s="59" t="s">
        <v>18</v>
      </c>
      <c r="G306" s="61" t="s">
        <v>31</v>
      </c>
      <c r="H306" s="59" t="s">
        <v>20</v>
      </c>
      <c r="I306" s="61" t="s">
        <v>640</v>
      </c>
      <c r="J306" s="63" t="s">
        <v>21</v>
      </c>
      <c r="K306" s="61" t="s">
        <v>640</v>
      </c>
      <c r="L306" s="63" t="s">
        <v>22</v>
      </c>
      <c r="M306" s="61" t="s">
        <v>640</v>
      </c>
      <c r="N306" s="60" t="s">
        <v>1025</v>
      </c>
      <c r="O306" s="59"/>
      <c r="P306" s="59"/>
    </row>
    <row r="307" ht="22.5" customHeight="1">
      <c r="A307" s="81" t="s">
        <v>637</v>
      </c>
      <c r="B307" s="82" t="s">
        <v>1026</v>
      </c>
      <c r="C307" s="59">
        <f t="shared" si="3"/>
        <v>3</v>
      </c>
      <c r="D307" s="61" t="s">
        <v>34</v>
      </c>
      <c r="E307" s="61" t="s">
        <v>40</v>
      </c>
      <c r="F307" s="59" t="s">
        <v>18</v>
      </c>
      <c r="G307" s="61" t="s">
        <v>26</v>
      </c>
      <c r="H307" s="59" t="s">
        <v>20</v>
      </c>
      <c r="I307" s="61" t="s">
        <v>19</v>
      </c>
      <c r="J307" s="63" t="s">
        <v>21</v>
      </c>
      <c r="K307" s="61" t="s">
        <v>640</v>
      </c>
      <c r="L307" s="63" t="s">
        <v>22</v>
      </c>
      <c r="M307" s="61" t="s">
        <v>640</v>
      </c>
      <c r="N307" s="60" t="s">
        <v>1027</v>
      </c>
      <c r="O307" s="59"/>
      <c r="P307" s="59"/>
    </row>
    <row r="308" ht="22.5" customHeight="1">
      <c r="A308" s="59"/>
      <c r="B308" s="82" t="s">
        <v>605</v>
      </c>
      <c r="C308" s="59">
        <f t="shared" si="3"/>
        <v>0</v>
      </c>
      <c r="D308" s="61" t="s">
        <v>34</v>
      </c>
      <c r="E308" s="61" t="s">
        <v>49</v>
      </c>
      <c r="F308" s="59" t="s">
        <v>18</v>
      </c>
      <c r="G308" s="61" t="s">
        <v>50</v>
      </c>
      <c r="H308" s="59" t="s">
        <v>20</v>
      </c>
      <c r="I308" s="61" t="s">
        <v>50</v>
      </c>
      <c r="J308" s="63" t="s">
        <v>21</v>
      </c>
      <c r="K308" s="61" t="s">
        <v>50</v>
      </c>
      <c r="L308" s="63" t="s">
        <v>22</v>
      </c>
      <c r="M308" s="61" t="s">
        <v>50</v>
      </c>
      <c r="N308" s="60" t="s">
        <v>372</v>
      </c>
      <c r="O308" s="59"/>
      <c r="P308" s="59"/>
    </row>
    <row r="309" ht="22.5" customHeight="1">
      <c r="B309" s="82" t="s">
        <v>606</v>
      </c>
      <c r="C309" s="59">
        <f t="shared" si="3"/>
        <v>0</v>
      </c>
      <c r="D309" s="85" t="s">
        <v>34</v>
      </c>
      <c r="E309" s="85" t="s">
        <v>49</v>
      </c>
      <c r="G309" s="85" t="s">
        <v>50</v>
      </c>
      <c r="I309" s="85" t="s">
        <v>50</v>
      </c>
      <c r="K309" s="85" t="s">
        <v>31</v>
      </c>
      <c r="M309" s="85" t="s">
        <v>50</v>
      </c>
      <c r="N309" s="60" t="s">
        <v>372</v>
      </c>
    </row>
    <row r="310" ht="22.5" customHeight="1">
      <c r="A310" s="60" t="s">
        <v>1028</v>
      </c>
      <c r="B310" s="60" t="s">
        <v>1029</v>
      </c>
      <c r="C310" s="59">
        <f t="shared" si="3"/>
        <v>4</v>
      </c>
      <c r="D310" s="61" t="s">
        <v>16</v>
      </c>
      <c r="E310" s="61" t="s">
        <v>17</v>
      </c>
      <c r="F310" s="59" t="s">
        <v>18</v>
      </c>
      <c r="G310" s="61" t="s">
        <v>19</v>
      </c>
      <c r="H310" s="59" t="s">
        <v>20</v>
      </c>
      <c r="I310" s="61" t="s">
        <v>19</v>
      </c>
      <c r="J310" s="63" t="s">
        <v>21</v>
      </c>
      <c r="K310" s="61" t="s">
        <v>19</v>
      </c>
      <c r="L310" s="63" t="s">
        <v>22</v>
      </c>
      <c r="M310" s="61" t="s">
        <v>19</v>
      </c>
      <c r="N310" s="59"/>
      <c r="O310" s="59"/>
      <c r="P310" s="59"/>
    </row>
    <row r="311" ht="22.5" customHeight="1">
      <c r="A311" s="60" t="s">
        <v>1030</v>
      </c>
      <c r="B311" s="60" t="s">
        <v>1031</v>
      </c>
      <c r="C311" s="59">
        <f t="shared" si="3"/>
        <v>4</v>
      </c>
      <c r="D311" s="61" t="s">
        <v>16</v>
      </c>
      <c r="E311" s="61" t="s">
        <v>17</v>
      </c>
      <c r="F311" s="59" t="s">
        <v>18</v>
      </c>
      <c r="G311" s="61" t="s">
        <v>19</v>
      </c>
      <c r="H311" s="59" t="s">
        <v>20</v>
      </c>
      <c r="I311" s="61" t="s">
        <v>19</v>
      </c>
      <c r="J311" s="63" t="s">
        <v>21</v>
      </c>
      <c r="K311" s="61" t="s">
        <v>19</v>
      </c>
      <c r="L311" s="63" t="s">
        <v>22</v>
      </c>
      <c r="M311" s="61" t="s">
        <v>19</v>
      </c>
      <c r="N311" s="59"/>
      <c r="O311" s="59"/>
      <c r="P311" s="59"/>
    </row>
    <row r="312" ht="22.5" customHeight="1">
      <c r="A312" s="59"/>
      <c r="B312" s="82" t="s">
        <v>607</v>
      </c>
      <c r="C312" s="59">
        <f t="shared" si="3"/>
        <v>3</v>
      </c>
      <c r="D312" s="61" t="s">
        <v>34</v>
      </c>
      <c r="E312" s="61" t="s">
        <v>49</v>
      </c>
      <c r="F312" s="59" t="s">
        <v>18</v>
      </c>
      <c r="G312" s="61" t="s">
        <v>31</v>
      </c>
      <c r="H312" s="59" t="s">
        <v>20</v>
      </c>
      <c r="I312" s="61" t="s">
        <v>640</v>
      </c>
      <c r="J312" s="63" t="s">
        <v>21</v>
      </c>
      <c r="K312" s="61" t="s">
        <v>640</v>
      </c>
      <c r="L312" s="63" t="s">
        <v>22</v>
      </c>
      <c r="M312" s="61" t="s">
        <v>640</v>
      </c>
      <c r="N312" s="60" t="s">
        <v>372</v>
      </c>
      <c r="O312" s="59"/>
      <c r="P312" s="59"/>
    </row>
    <row r="313" ht="22.5" customHeight="1">
      <c r="A313" s="60" t="s">
        <v>1032</v>
      </c>
      <c r="B313" s="60" t="s">
        <v>1033</v>
      </c>
      <c r="C313" s="59">
        <f t="shared" si="3"/>
        <v>4</v>
      </c>
      <c r="D313" s="61" t="s">
        <v>16</v>
      </c>
      <c r="E313" s="61" t="s">
        <v>635</v>
      </c>
      <c r="F313" s="59" t="s">
        <v>18</v>
      </c>
      <c r="G313" s="61" t="s">
        <v>19</v>
      </c>
      <c r="H313" s="59" t="s">
        <v>20</v>
      </c>
      <c r="I313" s="61" t="s">
        <v>19</v>
      </c>
      <c r="J313" s="63" t="s">
        <v>21</v>
      </c>
      <c r="K313" s="61" t="s">
        <v>19</v>
      </c>
      <c r="L313" s="63" t="s">
        <v>22</v>
      </c>
      <c r="M313" s="61" t="s">
        <v>19</v>
      </c>
      <c r="N313" s="59"/>
      <c r="O313" s="59"/>
      <c r="P313" s="59"/>
    </row>
    <row r="314" ht="22.5" customHeight="1">
      <c r="A314" s="60" t="s">
        <v>1034</v>
      </c>
      <c r="B314" s="82" t="s">
        <v>608</v>
      </c>
      <c r="C314" s="59">
        <f t="shared" si="3"/>
        <v>1</v>
      </c>
      <c r="D314" s="61" t="s">
        <v>16</v>
      </c>
      <c r="E314" s="61" t="s">
        <v>49</v>
      </c>
      <c r="F314" s="59" t="s">
        <v>18</v>
      </c>
      <c r="G314" s="61" t="s">
        <v>19</v>
      </c>
      <c r="H314" s="59" t="s">
        <v>20</v>
      </c>
      <c r="I314" s="61" t="s">
        <v>50</v>
      </c>
      <c r="J314" s="63" t="s">
        <v>21</v>
      </c>
      <c r="K314" s="61" t="s">
        <v>50</v>
      </c>
      <c r="L314" s="63" t="s">
        <v>22</v>
      </c>
      <c r="M314" s="61" t="s">
        <v>50</v>
      </c>
      <c r="N314" s="60" t="s">
        <v>372</v>
      </c>
      <c r="O314" s="59"/>
      <c r="P314" s="59"/>
    </row>
    <row r="315" ht="22.5" customHeight="1">
      <c r="A315" s="60" t="s">
        <v>1035</v>
      </c>
      <c r="B315" s="60" t="s">
        <v>1036</v>
      </c>
      <c r="C315" s="59">
        <f t="shared" si="3"/>
        <v>4</v>
      </c>
      <c r="D315" s="61" t="s">
        <v>16</v>
      </c>
      <c r="E315" s="61" t="s">
        <v>17</v>
      </c>
      <c r="F315" s="59" t="s">
        <v>18</v>
      </c>
      <c r="G315" s="61" t="s">
        <v>19</v>
      </c>
      <c r="H315" s="59" t="s">
        <v>20</v>
      </c>
      <c r="I315" s="61" t="s">
        <v>19</v>
      </c>
      <c r="J315" s="63" t="s">
        <v>21</v>
      </c>
      <c r="K315" s="61" t="s">
        <v>19</v>
      </c>
      <c r="L315" s="63" t="s">
        <v>22</v>
      </c>
      <c r="M315" s="61" t="s">
        <v>19</v>
      </c>
      <c r="N315" s="59"/>
      <c r="O315" s="59"/>
      <c r="P315" s="59"/>
    </row>
    <row r="316" ht="22.5" customHeight="1">
      <c r="A316" s="81" t="s">
        <v>637</v>
      </c>
      <c r="B316" s="86" t="s">
        <v>1037</v>
      </c>
      <c r="C316" s="59">
        <f t="shared" si="3"/>
        <v>1</v>
      </c>
      <c r="D316" s="61" t="s">
        <v>34</v>
      </c>
      <c r="E316" s="61" t="s">
        <v>30</v>
      </c>
      <c r="F316" s="59" t="s">
        <v>18</v>
      </c>
      <c r="G316" s="61" t="s">
        <v>31</v>
      </c>
      <c r="H316" s="59" t="s">
        <v>20</v>
      </c>
      <c r="I316" s="61" t="s">
        <v>19</v>
      </c>
      <c r="J316" s="63" t="s">
        <v>21</v>
      </c>
      <c r="K316" s="61" t="s">
        <v>26</v>
      </c>
      <c r="L316" s="63" t="s">
        <v>22</v>
      </c>
      <c r="M316" s="61" t="s">
        <v>31</v>
      </c>
      <c r="N316" s="60" t="s">
        <v>1038</v>
      </c>
      <c r="O316" s="59"/>
      <c r="P316" s="59"/>
    </row>
    <row r="317" ht="22.5" customHeight="1">
      <c r="A317" s="60" t="s">
        <v>1039</v>
      </c>
      <c r="B317" s="60" t="s">
        <v>1040</v>
      </c>
      <c r="C317" s="59">
        <f t="shared" si="3"/>
        <v>4</v>
      </c>
      <c r="D317" s="61" t="s">
        <v>16</v>
      </c>
      <c r="E317" s="61" t="s">
        <v>17</v>
      </c>
      <c r="F317" s="59" t="s">
        <v>18</v>
      </c>
      <c r="G317" s="61" t="s">
        <v>19</v>
      </c>
      <c r="H317" s="59" t="s">
        <v>20</v>
      </c>
      <c r="I317" s="61" t="s">
        <v>19</v>
      </c>
      <c r="J317" s="63" t="s">
        <v>21</v>
      </c>
      <c r="K317" s="61" t="s">
        <v>19</v>
      </c>
      <c r="L317" s="63" t="s">
        <v>22</v>
      </c>
      <c r="M317" s="61" t="s">
        <v>19</v>
      </c>
      <c r="N317" s="59"/>
      <c r="O317" s="59"/>
      <c r="P317" s="59"/>
    </row>
    <row r="318" ht="22.5" customHeight="1">
      <c r="A318" s="60" t="s">
        <v>1041</v>
      </c>
      <c r="B318" s="60" t="s">
        <v>1042</v>
      </c>
      <c r="C318" s="59">
        <f t="shared" si="3"/>
        <v>4</v>
      </c>
      <c r="D318" s="61" t="s">
        <v>16</v>
      </c>
      <c r="E318" s="61" t="s">
        <v>17</v>
      </c>
      <c r="F318" s="59" t="s">
        <v>18</v>
      </c>
      <c r="G318" s="61" t="s">
        <v>19</v>
      </c>
      <c r="H318" s="59" t="s">
        <v>20</v>
      </c>
      <c r="I318" s="61" t="s">
        <v>19</v>
      </c>
      <c r="J318" s="63" t="s">
        <v>21</v>
      </c>
      <c r="K318" s="61" t="s">
        <v>19</v>
      </c>
      <c r="L318" s="63" t="s">
        <v>22</v>
      </c>
      <c r="M318" s="61" t="s">
        <v>19</v>
      </c>
      <c r="N318" s="59"/>
      <c r="O318" s="59"/>
      <c r="P318" s="59"/>
    </row>
    <row r="319" ht="22.5" customHeight="1">
      <c r="A319" s="60" t="s">
        <v>1043</v>
      </c>
      <c r="B319" s="60" t="s">
        <v>1044</v>
      </c>
      <c r="C319" s="59">
        <f t="shared" si="3"/>
        <v>4</v>
      </c>
      <c r="D319" s="61" t="s">
        <v>16</v>
      </c>
      <c r="E319" s="61" t="s">
        <v>17</v>
      </c>
      <c r="F319" s="59" t="s">
        <v>18</v>
      </c>
      <c r="G319" s="61" t="s">
        <v>19</v>
      </c>
      <c r="H319" s="59" t="s">
        <v>20</v>
      </c>
      <c r="I319" s="61" t="s">
        <v>19</v>
      </c>
      <c r="J319" s="63" t="s">
        <v>21</v>
      </c>
      <c r="K319" s="61" t="s">
        <v>19</v>
      </c>
      <c r="L319" s="63" t="s">
        <v>22</v>
      </c>
      <c r="M319" s="61" t="s">
        <v>19</v>
      </c>
      <c r="N319" s="59"/>
      <c r="O319" s="59"/>
      <c r="P319" s="59"/>
    </row>
    <row r="320" ht="22.5" customHeight="1">
      <c r="A320" s="81" t="s">
        <v>637</v>
      </c>
      <c r="B320" s="60" t="s">
        <v>1045</v>
      </c>
      <c r="C320" s="59">
        <f t="shared" si="3"/>
        <v>3</v>
      </c>
      <c r="D320" s="61" t="s">
        <v>34</v>
      </c>
      <c r="E320" s="61" t="s">
        <v>40</v>
      </c>
      <c r="F320" s="59" t="s">
        <v>18</v>
      </c>
      <c r="G320" s="61" t="s">
        <v>26</v>
      </c>
      <c r="H320" s="59" t="s">
        <v>20</v>
      </c>
      <c r="I320" s="61" t="s">
        <v>19</v>
      </c>
      <c r="J320" s="63" t="s">
        <v>21</v>
      </c>
      <c r="K320" s="61" t="s">
        <v>640</v>
      </c>
      <c r="L320" s="63" t="s">
        <v>22</v>
      </c>
      <c r="M320" s="61" t="s">
        <v>19</v>
      </c>
      <c r="N320" s="60" t="s">
        <v>376</v>
      </c>
      <c r="O320" s="59"/>
      <c r="P320" s="59"/>
    </row>
    <row r="321" ht="22.5" customHeight="1">
      <c r="A321" s="59"/>
      <c r="B321" s="82" t="s">
        <v>609</v>
      </c>
      <c r="C321" s="59">
        <f t="shared" si="3"/>
        <v>0</v>
      </c>
      <c r="D321" s="61" t="s">
        <v>34</v>
      </c>
      <c r="E321" s="61" t="s">
        <v>49</v>
      </c>
      <c r="F321" s="59" t="s">
        <v>18</v>
      </c>
      <c r="G321" s="61" t="s">
        <v>50</v>
      </c>
      <c r="H321" s="59" t="s">
        <v>20</v>
      </c>
      <c r="I321" s="61" t="s">
        <v>50</v>
      </c>
      <c r="J321" s="63" t="s">
        <v>21</v>
      </c>
      <c r="K321" s="61" t="s">
        <v>50</v>
      </c>
      <c r="L321" s="63" t="s">
        <v>22</v>
      </c>
      <c r="M321" s="61" t="s">
        <v>50</v>
      </c>
      <c r="N321" s="60" t="s">
        <v>372</v>
      </c>
      <c r="O321" s="59"/>
      <c r="P321" s="59"/>
    </row>
    <row r="322" ht="22.5" customHeight="1">
      <c r="A322" s="60" t="s">
        <v>1046</v>
      </c>
      <c r="B322" s="60" t="s">
        <v>1047</v>
      </c>
      <c r="C322" s="59">
        <f t="shared" si="3"/>
        <v>4</v>
      </c>
      <c r="D322" s="61" t="s">
        <v>16</v>
      </c>
      <c r="E322" s="61" t="s">
        <v>17</v>
      </c>
      <c r="F322" s="59" t="s">
        <v>18</v>
      </c>
      <c r="G322" s="61" t="s">
        <v>19</v>
      </c>
      <c r="H322" s="59" t="s">
        <v>20</v>
      </c>
      <c r="I322" s="61" t="s">
        <v>19</v>
      </c>
      <c r="J322" s="63" t="s">
        <v>21</v>
      </c>
      <c r="K322" s="61" t="s">
        <v>19</v>
      </c>
      <c r="L322" s="63" t="s">
        <v>22</v>
      </c>
      <c r="M322" s="61" t="s">
        <v>19</v>
      </c>
      <c r="N322" s="59"/>
      <c r="O322" s="59"/>
      <c r="P322" s="59"/>
    </row>
    <row r="323" ht="22.5" customHeight="1">
      <c r="A323" s="60" t="s">
        <v>1048</v>
      </c>
      <c r="B323" s="60" t="s">
        <v>1049</v>
      </c>
      <c r="C323" s="59">
        <f t="shared" si="3"/>
        <v>4</v>
      </c>
      <c r="D323" s="61" t="s">
        <v>16</v>
      </c>
      <c r="E323" s="61" t="s">
        <v>17</v>
      </c>
      <c r="F323" s="59" t="s">
        <v>18</v>
      </c>
      <c r="G323" s="61" t="s">
        <v>19</v>
      </c>
      <c r="H323" s="59" t="s">
        <v>20</v>
      </c>
      <c r="I323" s="61" t="s">
        <v>19</v>
      </c>
      <c r="J323" s="63" t="s">
        <v>21</v>
      </c>
      <c r="K323" s="61" t="s">
        <v>19</v>
      </c>
      <c r="L323" s="63" t="s">
        <v>22</v>
      </c>
      <c r="M323" s="61" t="s">
        <v>19</v>
      </c>
      <c r="N323" s="59"/>
      <c r="O323" s="59"/>
      <c r="P323" s="59"/>
    </row>
    <row r="324" ht="22.5" customHeight="1">
      <c r="A324" s="60" t="s">
        <v>1050</v>
      </c>
      <c r="B324" s="60" t="s">
        <v>1051</v>
      </c>
      <c r="C324" s="59">
        <f t="shared" si="3"/>
        <v>4</v>
      </c>
      <c r="D324" s="61" t="s">
        <v>16</v>
      </c>
      <c r="E324" s="61" t="s">
        <v>17</v>
      </c>
      <c r="F324" s="59" t="s">
        <v>18</v>
      </c>
      <c r="G324" s="61" t="s">
        <v>19</v>
      </c>
      <c r="H324" s="59" t="s">
        <v>20</v>
      </c>
      <c r="I324" s="61" t="s">
        <v>19</v>
      </c>
      <c r="J324" s="63" t="s">
        <v>21</v>
      </c>
      <c r="K324" s="61" t="s">
        <v>19</v>
      </c>
      <c r="L324" s="63" t="s">
        <v>22</v>
      </c>
      <c r="M324" s="61" t="s">
        <v>19</v>
      </c>
      <c r="N324" s="59"/>
      <c r="O324" s="59"/>
      <c r="P324" s="59"/>
    </row>
    <row r="325" ht="22.5" customHeight="1">
      <c r="A325" s="81" t="s">
        <v>637</v>
      </c>
      <c r="B325" s="60" t="s">
        <v>1052</v>
      </c>
      <c r="C325" s="59">
        <f t="shared" si="3"/>
        <v>3</v>
      </c>
      <c r="D325" s="61" t="s">
        <v>34</v>
      </c>
      <c r="E325" s="61" t="s">
        <v>40</v>
      </c>
      <c r="F325" s="59" t="s">
        <v>18</v>
      </c>
      <c r="G325" s="61" t="s">
        <v>31</v>
      </c>
      <c r="H325" s="59" t="s">
        <v>20</v>
      </c>
      <c r="I325" s="61" t="s">
        <v>19</v>
      </c>
      <c r="J325" s="63" t="s">
        <v>21</v>
      </c>
      <c r="K325" s="61" t="s">
        <v>640</v>
      </c>
      <c r="L325" s="63" t="s">
        <v>22</v>
      </c>
      <c r="M325" s="61" t="s">
        <v>19</v>
      </c>
      <c r="N325" s="60" t="s">
        <v>376</v>
      </c>
      <c r="O325" s="59"/>
      <c r="P325" s="59"/>
      <c r="Q325" s="109"/>
      <c r="R325" s="109"/>
      <c r="S325" s="109"/>
      <c r="T325" s="109"/>
      <c r="U325" s="109"/>
      <c r="V325" s="109"/>
      <c r="W325" s="109"/>
      <c r="X325" s="109"/>
      <c r="Y325" s="109"/>
      <c r="Z325" s="109"/>
    </row>
    <row r="326" ht="22.5" customHeight="1">
      <c r="A326" s="60" t="s">
        <v>1053</v>
      </c>
      <c r="B326" s="60" t="s">
        <v>1054</v>
      </c>
      <c r="C326" s="59">
        <f t="shared" si="3"/>
        <v>4</v>
      </c>
      <c r="D326" s="61" t="s">
        <v>16</v>
      </c>
      <c r="E326" s="61" t="s">
        <v>17</v>
      </c>
      <c r="F326" s="59" t="s">
        <v>18</v>
      </c>
      <c r="G326" s="61" t="s">
        <v>19</v>
      </c>
      <c r="H326" s="59" t="s">
        <v>20</v>
      </c>
      <c r="I326" s="61" t="s">
        <v>19</v>
      </c>
      <c r="J326" s="63" t="s">
        <v>21</v>
      </c>
      <c r="K326" s="61" t="s">
        <v>19</v>
      </c>
      <c r="L326" s="63" t="s">
        <v>22</v>
      </c>
      <c r="M326" s="61" t="s">
        <v>19</v>
      </c>
      <c r="N326" s="59"/>
      <c r="O326" s="59"/>
      <c r="P326" s="59"/>
    </row>
    <row r="327" ht="22.5" customHeight="1">
      <c r="A327" s="60" t="s">
        <v>1055</v>
      </c>
      <c r="B327" s="60" t="s">
        <v>1056</v>
      </c>
      <c r="C327" s="59">
        <f t="shared" si="3"/>
        <v>4</v>
      </c>
      <c r="D327" s="61" t="s">
        <v>16</v>
      </c>
      <c r="E327" s="61" t="s">
        <v>17</v>
      </c>
      <c r="F327" s="59" t="s">
        <v>18</v>
      </c>
      <c r="G327" s="61" t="s">
        <v>19</v>
      </c>
      <c r="H327" s="59" t="s">
        <v>20</v>
      </c>
      <c r="I327" s="61" t="s">
        <v>19</v>
      </c>
      <c r="J327" s="63" t="s">
        <v>21</v>
      </c>
      <c r="K327" s="61" t="s">
        <v>19</v>
      </c>
      <c r="L327" s="63" t="s">
        <v>22</v>
      </c>
      <c r="M327" s="61" t="s">
        <v>19</v>
      </c>
      <c r="N327" s="59"/>
      <c r="O327" s="59"/>
      <c r="P327" s="59"/>
    </row>
    <row r="328" ht="22.5" customHeight="1">
      <c r="A328" s="60" t="s">
        <v>1057</v>
      </c>
      <c r="B328" s="60" t="s">
        <v>1058</v>
      </c>
      <c r="C328" s="59">
        <f t="shared" si="3"/>
        <v>4</v>
      </c>
      <c r="D328" s="61" t="s">
        <v>16</v>
      </c>
      <c r="E328" s="61" t="s">
        <v>17</v>
      </c>
      <c r="F328" s="59" t="s">
        <v>18</v>
      </c>
      <c r="G328" s="61" t="s">
        <v>19</v>
      </c>
      <c r="H328" s="59" t="s">
        <v>20</v>
      </c>
      <c r="I328" s="61" t="s">
        <v>19</v>
      </c>
      <c r="J328" s="63" t="s">
        <v>21</v>
      </c>
      <c r="K328" s="61" t="s">
        <v>19</v>
      </c>
      <c r="L328" s="63" t="s">
        <v>22</v>
      </c>
      <c r="M328" s="61" t="s">
        <v>19</v>
      </c>
      <c r="N328" s="59"/>
      <c r="O328" s="59"/>
      <c r="P328" s="59"/>
    </row>
    <row r="329" ht="22.5" customHeight="1">
      <c r="A329" s="60" t="s">
        <v>1059</v>
      </c>
      <c r="B329" s="60" t="s">
        <v>1060</v>
      </c>
      <c r="C329" s="59">
        <f t="shared" si="3"/>
        <v>4</v>
      </c>
      <c r="D329" s="61" t="s">
        <v>16</v>
      </c>
      <c r="E329" s="61" t="s">
        <v>17</v>
      </c>
      <c r="F329" s="59" t="s">
        <v>18</v>
      </c>
      <c r="G329" s="61" t="s">
        <v>19</v>
      </c>
      <c r="H329" s="59" t="s">
        <v>20</v>
      </c>
      <c r="I329" s="61" t="s">
        <v>19</v>
      </c>
      <c r="J329" s="63" t="s">
        <v>21</v>
      </c>
      <c r="K329" s="61" t="s">
        <v>19</v>
      </c>
      <c r="L329" s="63" t="s">
        <v>22</v>
      </c>
      <c r="M329" s="61" t="s">
        <v>19</v>
      </c>
      <c r="N329" s="59"/>
      <c r="O329" s="59"/>
      <c r="P329" s="59"/>
    </row>
    <row r="330" ht="22.5" customHeight="1">
      <c r="A330" s="59"/>
      <c r="B330" s="82" t="s">
        <v>610</v>
      </c>
      <c r="C330" s="59">
        <f t="shared" si="3"/>
        <v>1</v>
      </c>
      <c r="D330" s="61" t="s">
        <v>16</v>
      </c>
      <c r="E330" s="61" t="s">
        <v>49</v>
      </c>
      <c r="F330" s="59" t="s">
        <v>18</v>
      </c>
      <c r="G330" s="61" t="s">
        <v>50</v>
      </c>
      <c r="H330" s="59" t="s">
        <v>20</v>
      </c>
      <c r="I330" s="61" t="s">
        <v>19</v>
      </c>
      <c r="J330" s="63" t="s">
        <v>21</v>
      </c>
      <c r="K330" s="61" t="s">
        <v>50</v>
      </c>
      <c r="L330" s="63" t="s">
        <v>22</v>
      </c>
      <c r="M330" s="61" t="s">
        <v>50</v>
      </c>
      <c r="N330" s="60" t="s">
        <v>372</v>
      </c>
      <c r="O330" s="59"/>
      <c r="P330" s="59"/>
    </row>
    <row r="331" ht="22.5" customHeight="1">
      <c r="A331" s="81" t="s">
        <v>637</v>
      </c>
      <c r="B331" s="60" t="s">
        <v>1061</v>
      </c>
      <c r="C331" s="59">
        <f t="shared" si="3"/>
        <v>4</v>
      </c>
      <c r="D331" s="61" t="s">
        <v>34</v>
      </c>
      <c r="E331" s="61" t="s">
        <v>40</v>
      </c>
      <c r="F331" s="59" t="s">
        <v>18</v>
      </c>
      <c r="G331" s="61" t="s">
        <v>19</v>
      </c>
      <c r="H331" s="59" t="s">
        <v>20</v>
      </c>
      <c r="I331" s="61" t="s">
        <v>19</v>
      </c>
      <c r="J331" s="63" t="s">
        <v>21</v>
      </c>
      <c r="K331" s="61" t="s">
        <v>640</v>
      </c>
      <c r="L331" s="63" t="s">
        <v>22</v>
      </c>
      <c r="M331" s="61" t="s">
        <v>19</v>
      </c>
      <c r="N331" s="60" t="s">
        <v>376</v>
      </c>
      <c r="O331" s="59"/>
      <c r="P331" s="59"/>
    </row>
    <row r="332" ht="22.5" customHeight="1">
      <c r="A332" s="59"/>
      <c r="B332" s="110" t="s">
        <v>1062</v>
      </c>
      <c r="C332" s="59">
        <f t="shared" si="3"/>
        <v>2</v>
      </c>
      <c r="D332" s="61" t="s">
        <v>34</v>
      </c>
      <c r="E332" s="61" t="s">
        <v>30</v>
      </c>
      <c r="F332" s="59" t="s">
        <v>18</v>
      </c>
      <c r="G332" s="61" t="s">
        <v>31</v>
      </c>
      <c r="H332" s="59" t="s">
        <v>20</v>
      </c>
      <c r="I332" s="61" t="s">
        <v>31</v>
      </c>
      <c r="J332" s="63" t="s">
        <v>21</v>
      </c>
      <c r="K332" s="61" t="s">
        <v>640</v>
      </c>
      <c r="L332" s="63" t="s">
        <v>22</v>
      </c>
      <c r="M332" s="61" t="s">
        <v>640</v>
      </c>
      <c r="N332" s="60" t="s">
        <v>727</v>
      </c>
      <c r="O332" s="59"/>
      <c r="P332" s="59"/>
    </row>
    <row r="333" ht="22.5" customHeight="1">
      <c r="A333" s="60" t="s">
        <v>1063</v>
      </c>
      <c r="B333" s="60" t="s">
        <v>1064</v>
      </c>
      <c r="C333" s="59">
        <f t="shared" si="3"/>
        <v>4</v>
      </c>
      <c r="D333" s="61" t="s">
        <v>16</v>
      </c>
      <c r="E333" s="61" t="s">
        <v>17</v>
      </c>
      <c r="F333" s="59" t="s">
        <v>18</v>
      </c>
      <c r="G333" s="61" t="s">
        <v>19</v>
      </c>
      <c r="H333" s="59" t="s">
        <v>20</v>
      </c>
      <c r="I333" s="61" t="s">
        <v>19</v>
      </c>
      <c r="J333" s="63" t="s">
        <v>21</v>
      </c>
      <c r="K333" s="61" t="s">
        <v>19</v>
      </c>
      <c r="L333" s="63" t="s">
        <v>22</v>
      </c>
      <c r="M333" s="61" t="s">
        <v>19</v>
      </c>
      <c r="N333" s="59"/>
      <c r="O333" s="59"/>
      <c r="P333" s="59"/>
    </row>
    <row r="334" ht="22.5" customHeight="1">
      <c r="A334" s="60" t="s">
        <v>1065</v>
      </c>
      <c r="B334" s="60" t="s">
        <v>1066</v>
      </c>
      <c r="C334" s="59">
        <f t="shared" si="3"/>
        <v>4</v>
      </c>
      <c r="D334" s="61" t="s">
        <v>16</v>
      </c>
      <c r="E334" s="61" t="s">
        <v>17</v>
      </c>
      <c r="F334" s="59" t="s">
        <v>18</v>
      </c>
      <c r="G334" s="61" t="s">
        <v>19</v>
      </c>
      <c r="H334" s="59" t="s">
        <v>20</v>
      </c>
      <c r="I334" s="61" t="s">
        <v>19</v>
      </c>
      <c r="J334" s="63" t="s">
        <v>21</v>
      </c>
      <c r="K334" s="61" t="s">
        <v>19</v>
      </c>
      <c r="L334" s="63" t="s">
        <v>22</v>
      </c>
      <c r="M334" s="61" t="s">
        <v>19</v>
      </c>
      <c r="N334" s="59"/>
      <c r="O334" s="59"/>
      <c r="P334" s="59"/>
    </row>
    <row r="335" ht="22.5" customHeight="1">
      <c r="A335" s="59"/>
      <c r="B335" s="82" t="s">
        <v>611</v>
      </c>
      <c r="C335" s="59">
        <f t="shared" si="3"/>
        <v>0</v>
      </c>
      <c r="D335" s="61" t="s">
        <v>34</v>
      </c>
      <c r="E335" s="61" t="s">
        <v>49</v>
      </c>
      <c r="F335" s="59" t="s">
        <v>18</v>
      </c>
      <c r="G335" s="61" t="s">
        <v>50</v>
      </c>
      <c r="H335" s="59" t="s">
        <v>20</v>
      </c>
      <c r="I335" s="61" t="s">
        <v>50</v>
      </c>
      <c r="J335" s="63" t="s">
        <v>21</v>
      </c>
      <c r="K335" s="61" t="s">
        <v>50</v>
      </c>
      <c r="L335" s="63" t="s">
        <v>22</v>
      </c>
      <c r="M335" s="61" t="s">
        <v>50</v>
      </c>
      <c r="N335" s="60" t="s">
        <v>372</v>
      </c>
      <c r="O335" s="59"/>
      <c r="P335" s="59"/>
    </row>
    <row r="336" ht="22.5" customHeight="1">
      <c r="A336" s="60" t="s">
        <v>1067</v>
      </c>
      <c r="B336" s="60" t="s">
        <v>1068</v>
      </c>
      <c r="C336" s="59">
        <f t="shared" si="3"/>
        <v>4</v>
      </c>
      <c r="D336" s="61" t="s">
        <v>16</v>
      </c>
      <c r="E336" s="61" t="s">
        <v>17</v>
      </c>
      <c r="F336" s="59" t="s">
        <v>18</v>
      </c>
      <c r="G336" s="61" t="s">
        <v>19</v>
      </c>
      <c r="H336" s="59" t="s">
        <v>20</v>
      </c>
      <c r="I336" s="61" t="s">
        <v>19</v>
      </c>
      <c r="J336" s="63" t="s">
        <v>21</v>
      </c>
      <c r="K336" s="61" t="s">
        <v>19</v>
      </c>
      <c r="L336" s="63" t="s">
        <v>22</v>
      </c>
      <c r="M336" s="61" t="s">
        <v>19</v>
      </c>
      <c r="N336" s="59"/>
      <c r="O336" s="59"/>
      <c r="P336" s="59"/>
    </row>
    <row r="337" ht="22.5" customHeight="1">
      <c r="A337" s="60" t="s">
        <v>1069</v>
      </c>
      <c r="B337" s="60" t="s">
        <v>1070</v>
      </c>
      <c r="C337" s="59">
        <f t="shared" si="3"/>
        <v>4</v>
      </c>
      <c r="D337" s="61" t="s">
        <v>16</v>
      </c>
      <c r="E337" s="61" t="s">
        <v>17</v>
      </c>
      <c r="F337" s="59" t="s">
        <v>18</v>
      </c>
      <c r="G337" s="61" t="s">
        <v>19</v>
      </c>
      <c r="H337" s="59" t="s">
        <v>20</v>
      </c>
      <c r="I337" s="61" t="s">
        <v>19</v>
      </c>
      <c r="J337" s="63" t="s">
        <v>21</v>
      </c>
      <c r="K337" s="61" t="s">
        <v>19</v>
      </c>
      <c r="L337" s="63" t="s">
        <v>22</v>
      </c>
      <c r="M337" s="61" t="s">
        <v>19</v>
      </c>
      <c r="N337" s="59"/>
      <c r="O337" s="59"/>
      <c r="P337" s="59"/>
    </row>
    <row r="338" ht="22.5" customHeight="1">
      <c r="A338" s="81" t="s">
        <v>637</v>
      </c>
      <c r="B338" s="82" t="s">
        <v>1071</v>
      </c>
      <c r="C338" s="59">
        <f t="shared" si="3"/>
        <v>2</v>
      </c>
      <c r="D338" s="61" t="s">
        <v>34</v>
      </c>
      <c r="E338" s="61" t="s">
        <v>635</v>
      </c>
      <c r="F338" s="59" t="s">
        <v>18</v>
      </c>
      <c r="G338" s="61" t="s">
        <v>640</v>
      </c>
      <c r="H338" s="59" t="s">
        <v>20</v>
      </c>
      <c r="I338" s="61" t="s">
        <v>31</v>
      </c>
      <c r="J338" s="63" t="s">
        <v>21</v>
      </c>
      <c r="K338" s="61" t="s">
        <v>31</v>
      </c>
      <c r="L338" s="63" t="s">
        <v>22</v>
      </c>
      <c r="M338" s="61" t="s">
        <v>640</v>
      </c>
      <c r="N338" s="60"/>
      <c r="O338" s="59"/>
      <c r="P338" s="59"/>
    </row>
    <row r="339" ht="22.5" customHeight="1">
      <c r="A339" s="60" t="s">
        <v>1072</v>
      </c>
      <c r="B339" s="60" t="s">
        <v>1073</v>
      </c>
      <c r="C339" s="59">
        <f t="shared" si="3"/>
        <v>4</v>
      </c>
      <c r="D339" s="61" t="s">
        <v>16</v>
      </c>
      <c r="E339" s="61" t="s">
        <v>17</v>
      </c>
      <c r="F339" s="59" t="s">
        <v>18</v>
      </c>
      <c r="G339" s="61" t="s">
        <v>19</v>
      </c>
      <c r="H339" s="59" t="s">
        <v>20</v>
      </c>
      <c r="I339" s="61" t="s">
        <v>19</v>
      </c>
      <c r="J339" s="63" t="s">
        <v>21</v>
      </c>
      <c r="K339" s="61" t="s">
        <v>19</v>
      </c>
      <c r="L339" s="63" t="s">
        <v>22</v>
      </c>
      <c r="M339" s="61" t="s">
        <v>19</v>
      </c>
      <c r="N339" s="59"/>
      <c r="O339" s="59"/>
      <c r="P339" s="59"/>
    </row>
    <row r="340" ht="22.5" customHeight="1">
      <c r="A340" s="81" t="s">
        <v>637</v>
      </c>
      <c r="B340" s="60" t="s">
        <v>1074</v>
      </c>
      <c r="C340" s="59">
        <f t="shared" si="3"/>
        <v>3</v>
      </c>
      <c r="D340" s="61" t="s">
        <v>34</v>
      </c>
      <c r="E340" s="61" t="s">
        <v>40</v>
      </c>
      <c r="F340" s="59" t="s">
        <v>18</v>
      </c>
      <c r="G340" s="61" t="s">
        <v>19</v>
      </c>
      <c r="H340" s="59" t="s">
        <v>20</v>
      </c>
      <c r="I340" s="61" t="s">
        <v>19</v>
      </c>
      <c r="J340" s="63" t="s">
        <v>21</v>
      </c>
      <c r="K340" s="61" t="s">
        <v>26</v>
      </c>
      <c r="L340" s="63" t="s">
        <v>22</v>
      </c>
      <c r="M340" s="61" t="s">
        <v>640</v>
      </c>
      <c r="N340" s="60" t="s">
        <v>376</v>
      </c>
      <c r="O340" s="59"/>
      <c r="P340" s="59"/>
    </row>
    <row r="341" ht="22.5" customHeight="1">
      <c r="A341" s="59"/>
      <c r="B341" s="86" t="s">
        <v>1075</v>
      </c>
      <c r="C341" s="59">
        <f t="shared" si="3"/>
        <v>3</v>
      </c>
      <c r="D341" s="61" t="s">
        <v>34</v>
      </c>
      <c r="E341" s="61" t="s">
        <v>656</v>
      </c>
      <c r="F341" s="59" t="s">
        <v>18</v>
      </c>
      <c r="G341" s="61" t="s">
        <v>640</v>
      </c>
      <c r="H341" s="59" t="s">
        <v>20</v>
      </c>
      <c r="I341" s="61" t="s">
        <v>640</v>
      </c>
      <c r="J341" s="63" t="s">
        <v>21</v>
      </c>
      <c r="K341" s="61" t="s">
        <v>31</v>
      </c>
      <c r="L341" s="63" t="s">
        <v>22</v>
      </c>
      <c r="M341" s="61" t="s">
        <v>640</v>
      </c>
      <c r="N341" s="60" t="s">
        <v>727</v>
      </c>
      <c r="O341" s="59"/>
      <c r="P341" s="59"/>
    </row>
    <row r="342" ht="22.5" customHeight="1">
      <c r="A342" s="60" t="s">
        <v>1076</v>
      </c>
      <c r="B342" s="60" t="s">
        <v>1077</v>
      </c>
      <c r="C342" s="59">
        <f t="shared" si="3"/>
        <v>4</v>
      </c>
      <c r="D342" s="61" t="s">
        <v>16</v>
      </c>
      <c r="E342" s="61" t="s">
        <v>17</v>
      </c>
      <c r="F342" s="59" t="s">
        <v>18</v>
      </c>
      <c r="G342" s="61" t="s">
        <v>19</v>
      </c>
      <c r="H342" s="59" t="s">
        <v>20</v>
      </c>
      <c r="I342" s="61" t="s">
        <v>19</v>
      </c>
      <c r="J342" s="63" t="s">
        <v>21</v>
      </c>
      <c r="K342" s="61" t="s">
        <v>19</v>
      </c>
      <c r="L342" s="63" t="s">
        <v>22</v>
      </c>
      <c r="M342" s="61" t="s">
        <v>19</v>
      </c>
      <c r="N342" s="59"/>
      <c r="O342" s="59"/>
      <c r="P342" s="59"/>
    </row>
    <row r="343" ht="22.5" customHeight="1">
      <c r="A343" s="59"/>
      <c r="B343" s="60" t="s">
        <v>1078</v>
      </c>
      <c r="C343" s="59">
        <f t="shared" si="3"/>
        <v>4</v>
      </c>
      <c r="D343" s="61" t="s">
        <v>16</v>
      </c>
      <c r="E343" s="61" t="s">
        <v>49</v>
      </c>
      <c r="F343" s="59" t="s">
        <v>18</v>
      </c>
      <c r="G343" s="61" t="s">
        <v>19</v>
      </c>
      <c r="H343" s="59" t="s">
        <v>20</v>
      </c>
      <c r="I343" s="61" t="s">
        <v>640</v>
      </c>
      <c r="J343" s="63" t="s">
        <v>21</v>
      </c>
      <c r="K343" s="61" t="s">
        <v>640</v>
      </c>
      <c r="L343" s="63" t="s">
        <v>22</v>
      </c>
      <c r="M343" s="61" t="s">
        <v>640</v>
      </c>
      <c r="N343" s="59"/>
      <c r="O343" s="59"/>
      <c r="P343" s="59"/>
    </row>
    <row r="344" ht="22.5" customHeight="1">
      <c r="A344" s="60" t="s">
        <v>1079</v>
      </c>
      <c r="B344" s="60" t="s">
        <v>1080</v>
      </c>
      <c r="C344" s="59">
        <f t="shared" si="3"/>
        <v>4</v>
      </c>
      <c r="D344" s="61" t="s">
        <v>16</v>
      </c>
      <c r="E344" s="61" t="s">
        <v>17</v>
      </c>
      <c r="F344" s="59" t="s">
        <v>18</v>
      </c>
      <c r="G344" s="61" t="s">
        <v>19</v>
      </c>
      <c r="H344" s="59" t="s">
        <v>20</v>
      </c>
      <c r="I344" s="61" t="s">
        <v>19</v>
      </c>
      <c r="J344" s="63" t="s">
        <v>21</v>
      </c>
      <c r="K344" s="61" t="s">
        <v>19</v>
      </c>
      <c r="L344" s="63" t="s">
        <v>22</v>
      </c>
      <c r="M344" s="61" t="s">
        <v>19</v>
      </c>
      <c r="N344" s="59"/>
      <c r="O344" s="59"/>
      <c r="P344" s="59"/>
    </row>
    <row r="345" ht="22.5" customHeight="1">
      <c r="A345" s="81" t="s">
        <v>637</v>
      </c>
      <c r="B345" s="82" t="s">
        <v>612</v>
      </c>
      <c r="C345" s="59">
        <f t="shared" si="3"/>
        <v>0</v>
      </c>
      <c r="D345" s="61" t="s">
        <v>34</v>
      </c>
      <c r="E345" s="61" t="s">
        <v>49</v>
      </c>
      <c r="F345" s="59" t="s">
        <v>18</v>
      </c>
      <c r="G345" s="61" t="s">
        <v>26</v>
      </c>
      <c r="H345" s="59" t="s">
        <v>20</v>
      </c>
      <c r="I345" s="61" t="s">
        <v>31</v>
      </c>
      <c r="J345" s="63" t="s">
        <v>21</v>
      </c>
      <c r="K345" s="61" t="s">
        <v>50</v>
      </c>
      <c r="L345" s="63" t="s">
        <v>22</v>
      </c>
      <c r="M345" s="61" t="s">
        <v>50</v>
      </c>
      <c r="N345" s="60" t="s">
        <v>1081</v>
      </c>
      <c r="O345" s="59"/>
      <c r="P345" s="59"/>
    </row>
    <row r="346" ht="22.5" customHeight="1">
      <c r="A346" s="60" t="s">
        <v>1082</v>
      </c>
      <c r="B346" s="60" t="s">
        <v>1083</v>
      </c>
      <c r="C346" s="59">
        <f t="shared" si="3"/>
        <v>4</v>
      </c>
      <c r="D346" s="61" t="s">
        <v>16</v>
      </c>
      <c r="E346" s="61" t="s">
        <v>17</v>
      </c>
      <c r="F346" s="59" t="s">
        <v>18</v>
      </c>
      <c r="G346" s="61" t="s">
        <v>19</v>
      </c>
      <c r="H346" s="59" t="s">
        <v>20</v>
      </c>
      <c r="I346" s="61" t="s">
        <v>19</v>
      </c>
      <c r="J346" s="63" t="s">
        <v>21</v>
      </c>
      <c r="K346" s="61" t="s">
        <v>19</v>
      </c>
      <c r="L346" s="63" t="s">
        <v>22</v>
      </c>
      <c r="M346" s="61" t="s">
        <v>19</v>
      </c>
      <c r="N346" s="59"/>
      <c r="O346" s="59"/>
      <c r="P346" s="59"/>
    </row>
    <row r="347" ht="22.5" customHeight="1">
      <c r="A347" s="81" t="s">
        <v>637</v>
      </c>
      <c r="B347" s="82" t="s">
        <v>613</v>
      </c>
      <c r="C347" s="59">
        <f t="shared" si="3"/>
        <v>0</v>
      </c>
      <c r="D347" s="61" t="s">
        <v>34</v>
      </c>
      <c r="E347" s="61" t="s">
        <v>49</v>
      </c>
      <c r="F347" s="59" t="s">
        <v>18</v>
      </c>
      <c r="G347" s="61" t="s">
        <v>31</v>
      </c>
      <c r="H347" s="59" t="s">
        <v>20</v>
      </c>
      <c r="I347" s="61" t="s">
        <v>50</v>
      </c>
      <c r="J347" s="63" t="s">
        <v>21</v>
      </c>
      <c r="K347" s="61" t="s">
        <v>50</v>
      </c>
      <c r="L347" s="63" t="s">
        <v>22</v>
      </c>
      <c r="M347" s="61" t="s">
        <v>50</v>
      </c>
      <c r="N347" s="60" t="s">
        <v>152</v>
      </c>
      <c r="O347" s="59"/>
      <c r="P347" s="59"/>
    </row>
    <row r="348" ht="22.5" customHeight="1">
      <c r="A348" s="60" t="s">
        <v>1084</v>
      </c>
      <c r="B348" s="60" t="s">
        <v>1085</v>
      </c>
      <c r="C348" s="59">
        <f t="shared" si="3"/>
        <v>4</v>
      </c>
      <c r="D348" s="61" t="s">
        <v>16</v>
      </c>
      <c r="E348" s="61" t="s">
        <v>17</v>
      </c>
      <c r="F348" s="59" t="s">
        <v>18</v>
      </c>
      <c r="G348" s="61" t="s">
        <v>19</v>
      </c>
      <c r="H348" s="59" t="s">
        <v>20</v>
      </c>
      <c r="I348" s="61" t="s">
        <v>19</v>
      </c>
      <c r="J348" s="63" t="s">
        <v>21</v>
      </c>
      <c r="K348" s="61" t="s">
        <v>19</v>
      </c>
      <c r="L348" s="63" t="s">
        <v>22</v>
      </c>
      <c r="M348" s="61" t="s">
        <v>19</v>
      </c>
      <c r="N348" s="59"/>
      <c r="O348" s="59"/>
      <c r="P348" s="59"/>
    </row>
    <row r="349" ht="22.5" customHeight="1">
      <c r="A349" s="60" t="s">
        <v>1086</v>
      </c>
      <c r="B349" s="60" t="s">
        <v>1087</v>
      </c>
      <c r="C349" s="59">
        <f t="shared" si="3"/>
        <v>4</v>
      </c>
      <c r="D349" s="61" t="s">
        <v>16</v>
      </c>
      <c r="E349" s="61" t="s">
        <v>17</v>
      </c>
      <c r="F349" s="59" t="s">
        <v>18</v>
      </c>
      <c r="G349" s="61" t="s">
        <v>19</v>
      </c>
      <c r="H349" s="59" t="s">
        <v>20</v>
      </c>
      <c r="I349" s="61" t="s">
        <v>19</v>
      </c>
      <c r="J349" s="63" t="s">
        <v>21</v>
      </c>
      <c r="K349" s="61" t="s">
        <v>19</v>
      </c>
      <c r="L349" s="63" t="s">
        <v>22</v>
      </c>
      <c r="M349" s="61" t="s">
        <v>19</v>
      </c>
      <c r="N349" s="59"/>
      <c r="O349" s="59"/>
      <c r="P349" s="59"/>
    </row>
    <row r="350" ht="22.5" customHeight="1">
      <c r="A350" s="60" t="s">
        <v>1088</v>
      </c>
      <c r="B350" s="60" t="s">
        <v>1089</v>
      </c>
      <c r="C350" s="59">
        <f t="shared" si="3"/>
        <v>4</v>
      </c>
      <c r="D350" s="61" t="s">
        <v>16</v>
      </c>
      <c r="E350" s="61" t="s">
        <v>17</v>
      </c>
      <c r="F350" s="59" t="s">
        <v>18</v>
      </c>
      <c r="G350" s="61" t="s">
        <v>19</v>
      </c>
      <c r="H350" s="59" t="s">
        <v>20</v>
      </c>
      <c r="I350" s="61" t="s">
        <v>19</v>
      </c>
      <c r="J350" s="63" t="s">
        <v>21</v>
      </c>
      <c r="K350" s="61" t="s">
        <v>19</v>
      </c>
      <c r="L350" s="63" t="s">
        <v>22</v>
      </c>
      <c r="M350" s="61" t="s">
        <v>19</v>
      </c>
      <c r="N350" s="59"/>
      <c r="O350" s="59"/>
      <c r="P350" s="59"/>
    </row>
    <row r="351" ht="22.5" customHeight="1">
      <c r="A351" s="59"/>
      <c r="B351" s="82" t="s">
        <v>614</v>
      </c>
      <c r="C351" s="59">
        <f t="shared" si="3"/>
        <v>3</v>
      </c>
      <c r="D351" s="61" t="s">
        <v>34</v>
      </c>
      <c r="E351" s="61" t="s">
        <v>49</v>
      </c>
      <c r="F351" s="59" t="s">
        <v>18</v>
      </c>
      <c r="G351" s="61" t="s">
        <v>31</v>
      </c>
      <c r="H351" s="59" t="s">
        <v>20</v>
      </c>
      <c r="I351" s="61" t="s">
        <v>640</v>
      </c>
      <c r="J351" s="63" t="s">
        <v>21</v>
      </c>
      <c r="K351" s="61" t="s">
        <v>640</v>
      </c>
      <c r="L351" s="63" t="s">
        <v>22</v>
      </c>
      <c r="M351" s="61" t="s">
        <v>640</v>
      </c>
      <c r="N351" s="59"/>
      <c r="O351" s="59"/>
      <c r="P351" s="59"/>
    </row>
    <row r="352" ht="22.5" customHeight="1">
      <c r="A352" s="59"/>
      <c r="B352" s="60" t="s">
        <v>1090</v>
      </c>
      <c r="C352" s="59">
        <f t="shared" si="3"/>
        <v>3</v>
      </c>
      <c r="D352" s="61" t="s">
        <v>34</v>
      </c>
      <c r="E352" s="61" t="s">
        <v>49</v>
      </c>
      <c r="F352" s="59" t="s">
        <v>18</v>
      </c>
      <c r="G352" s="61" t="s">
        <v>31</v>
      </c>
      <c r="H352" s="59" t="s">
        <v>20</v>
      </c>
      <c r="I352" s="61" t="s">
        <v>640</v>
      </c>
      <c r="J352" s="63" t="s">
        <v>21</v>
      </c>
      <c r="K352" s="61" t="s">
        <v>640</v>
      </c>
      <c r="L352" s="63" t="s">
        <v>22</v>
      </c>
      <c r="M352" s="61" t="s">
        <v>640</v>
      </c>
      <c r="N352" s="59"/>
      <c r="O352" s="59"/>
      <c r="P352" s="59"/>
    </row>
    <row r="353" ht="22.5" customHeight="1">
      <c r="A353" s="60" t="s">
        <v>1091</v>
      </c>
      <c r="B353" s="82" t="s">
        <v>615</v>
      </c>
      <c r="C353" s="59">
        <f t="shared" si="3"/>
        <v>1</v>
      </c>
      <c r="D353" s="61" t="s">
        <v>16</v>
      </c>
      <c r="E353" s="61" t="s">
        <v>49</v>
      </c>
      <c r="F353" s="59" t="s">
        <v>18</v>
      </c>
      <c r="G353" s="61" t="s">
        <v>19</v>
      </c>
      <c r="H353" s="59" t="s">
        <v>20</v>
      </c>
      <c r="I353" s="61" t="s">
        <v>50</v>
      </c>
      <c r="J353" s="63" t="s">
        <v>21</v>
      </c>
      <c r="K353" s="61" t="s">
        <v>50</v>
      </c>
      <c r="L353" s="63" t="s">
        <v>22</v>
      </c>
      <c r="M353" s="61" t="s">
        <v>50</v>
      </c>
      <c r="N353" s="60" t="s">
        <v>1092</v>
      </c>
      <c r="O353" s="59"/>
      <c r="P353" s="59"/>
    </row>
    <row r="354" ht="22.5" customHeight="1">
      <c r="A354" s="60" t="s">
        <v>1093</v>
      </c>
      <c r="B354" s="60" t="s">
        <v>1094</v>
      </c>
      <c r="C354" s="59">
        <f t="shared" si="3"/>
        <v>4</v>
      </c>
      <c r="D354" s="61" t="s">
        <v>16</v>
      </c>
      <c r="E354" s="61" t="s">
        <v>17</v>
      </c>
      <c r="F354" s="59" t="s">
        <v>18</v>
      </c>
      <c r="G354" s="61" t="s">
        <v>19</v>
      </c>
      <c r="H354" s="59" t="s">
        <v>20</v>
      </c>
      <c r="I354" s="61" t="s">
        <v>19</v>
      </c>
      <c r="J354" s="63" t="s">
        <v>21</v>
      </c>
      <c r="K354" s="61" t="s">
        <v>19</v>
      </c>
      <c r="L354" s="63" t="s">
        <v>22</v>
      </c>
      <c r="M354" s="61" t="s">
        <v>19</v>
      </c>
      <c r="N354" s="59"/>
      <c r="O354" s="59"/>
      <c r="P354" s="59"/>
    </row>
    <row r="355" ht="22.5" customHeight="1">
      <c r="A355" s="60" t="s">
        <v>1095</v>
      </c>
      <c r="B355" s="60" t="s">
        <v>1096</v>
      </c>
      <c r="C355" s="59">
        <f t="shared" si="3"/>
        <v>4</v>
      </c>
      <c r="D355" s="61" t="s">
        <v>16</v>
      </c>
      <c r="E355" s="61" t="s">
        <v>17</v>
      </c>
      <c r="F355" s="59" t="s">
        <v>18</v>
      </c>
      <c r="G355" s="61" t="s">
        <v>19</v>
      </c>
      <c r="H355" s="59" t="s">
        <v>20</v>
      </c>
      <c r="I355" s="61" t="s">
        <v>19</v>
      </c>
      <c r="J355" s="63" t="s">
        <v>21</v>
      </c>
      <c r="K355" s="61" t="s">
        <v>19</v>
      </c>
      <c r="L355" s="63" t="s">
        <v>22</v>
      </c>
      <c r="M355" s="61" t="s">
        <v>19</v>
      </c>
      <c r="N355" s="59"/>
      <c r="O355" s="59"/>
      <c r="P355" s="59"/>
    </row>
    <row r="356" ht="22.5" customHeight="1">
      <c r="A356" s="60" t="s">
        <v>1097</v>
      </c>
      <c r="B356" s="60" t="s">
        <v>1098</v>
      </c>
      <c r="C356" s="59">
        <f t="shared" si="3"/>
        <v>4</v>
      </c>
      <c r="D356" s="61" t="s">
        <v>16</v>
      </c>
      <c r="E356" s="61" t="s">
        <v>17</v>
      </c>
      <c r="F356" s="59" t="s">
        <v>18</v>
      </c>
      <c r="G356" s="61" t="s">
        <v>19</v>
      </c>
      <c r="H356" s="59" t="s">
        <v>20</v>
      </c>
      <c r="I356" s="61" t="s">
        <v>19</v>
      </c>
      <c r="J356" s="63" t="s">
        <v>21</v>
      </c>
      <c r="K356" s="61" t="s">
        <v>19</v>
      </c>
      <c r="L356" s="63" t="s">
        <v>22</v>
      </c>
      <c r="M356" s="61" t="s">
        <v>19</v>
      </c>
      <c r="N356" s="59"/>
      <c r="O356" s="59"/>
      <c r="P356" s="59"/>
    </row>
    <row r="357" ht="22.5" customHeight="1">
      <c r="A357" s="60" t="s">
        <v>1099</v>
      </c>
      <c r="B357" s="60" t="s">
        <v>1100</v>
      </c>
      <c r="C357" s="59">
        <f t="shared" si="3"/>
        <v>4</v>
      </c>
      <c r="D357" s="61" t="s">
        <v>16</v>
      </c>
      <c r="E357" s="61" t="s">
        <v>17</v>
      </c>
      <c r="F357" s="59" t="s">
        <v>18</v>
      </c>
      <c r="G357" s="61" t="s">
        <v>19</v>
      </c>
      <c r="H357" s="59" t="s">
        <v>20</v>
      </c>
      <c r="I357" s="61" t="s">
        <v>19</v>
      </c>
      <c r="J357" s="63" t="s">
        <v>21</v>
      </c>
      <c r="K357" s="61" t="s">
        <v>19</v>
      </c>
      <c r="L357" s="63" t="s">
        <v>22</v>
      </c>
      <c r="M357" s="61" t="s">
        <v>19</v>
      </c>
      <c r="N357" s="59"/>
      <c r="O357" s="59"/>
      <c r="P357" s="59"/>
    </row>
    <row r="358" ht="22.5" customHeight="1">
      <c r="A358" s="81" t="s">
        <v>637</v>
      </c>
      <c r="B358" s="82" t="s">
        <v>616</v>
      </c>
      <c r="C358" s="59">
        <f t="shared" si="3"/>
        <v>3</v>
      </c>
      <c r="D358" s="61" t="s">
        <v>34</v>
      </c>
      <c r="E358" s="61" t="s">
        <v>49</v>
      </c>
      <c r="F358" s="59" t="s">
        <v>18</v>
      </c>
      <c r="G358" s="61" t="s">
        <v>31</v>
      </c>
      <c r="H358" s="59" t="s">
        <v>20</v>
      </c>
      <c r="I358" s="61" t="s">
        <v>19</v>
      </c>
      <c r="J358" s="63" t="s">
        <v>21</v>
      </c>
      <c r="K358" s="61" t="s">
        <v>19</v>
      </c>
      <c r="L358" s="63" t="s">
        <v>22</v>
      </c>
      <c r="M358" s="61" t="s">
        <v>640</v>
      </c>
      <c r="N358" s="60" t="s">
        <v>376</v>
      </c>
      <c r="O358" s="59"/>
      <c r="P358" s="59"/>
    </row>
    <row r="359" ht="22.5" customHeight="1">
      <c r="A359" s="60" t="s">
        <v>1101</v>
      </c>
      <c r="B359" s="60" t="s">
        <v>1102</v>
      </c>
      <c r="C359" s="59">
        <f t="shared" si="3"/>
        <v>4</v>
      </c>
      <c r="D359" s="61" t="s">
        <v>16</v>
      </c>
      <c r="E359" s="61" t="s">
        <v>17</v>
      </c>
      <c r="F359" s="59" t="s">
        <v>18</v>
      </c>
      <c r="G359" s="61" t="s">
        <v>19</v>
      </c>
      <c r="H359" s="59" t="s">
        <v>20</v>
      </c>
      <c r="I359" s="61" t="s">
        <v>19</v>
      </c>
      <c r="J359" s="63" t="s">
        <v>21</v>
      </c>
      <c r="K359" s="61" t="s">
        <v>19</v>
      </c>
      <c r="L359" s="63" t="s">
        <v>22</v>
      </c>
      <c r="M359" s="61" t="s">
        <v>19</v>
      </c>
      <c r="N359" s="59"/>
      <c r="O359" s="59"/>
      <c r="P359" s="59"/>
    </row>
    <row r="360" ht="22.5" customHeight="1">
      <c r="A360" s="60" t="s">
        <v>1103</v>
      </c>
      <c r="B360" s="60" t="s">
        <v>1104</v>
      </c>
      <c r="C360" s="59">
        <f t="shared" si="3"/>
        <v>4</v>
      </c>
      <c r="D360" s="61" t="s">
        <v>16</v>
      </c>
      <c r="E360" s="61" t="s">
        <v>17</v>
      </c>
      <c r="F360" s="59" t="s">
        <v>18</v>
      </c>
      <c r="G360" s="61" t="s">
        <v>19</v>
      </c>
      <c r="H360" s="59" t="s">
        <v>20</v>
      </c>
      <c r="I360" s="61" t="s">
        <v>19</v>
      </c>
      <c r="J360" s="63" t="s">
        <v>21</v>
      </c>
      <c r="K360" s="61" t="s">
        <v>19</v>
      </c>
      <c r="L360" s="63" t="s">
        <v>22</v>
      </c>
      <c r="M360" s="61" t="s">
        <v>19</v>
      </c>
      <c r="N360" s="59"/>
      <c r="O360" s="59"/>
      <c r="P360" s="59"/>
    </row>
    <row r="361" ht="22.5" customHeight="1">
      <c r="A361" s="60" t="s">
        <v>1105</v>
      </c>
      <c r="B361" s="60" t="s">
        <v>1106</v>
      </c>
      <c r="C361" s="59">
        <f t="shared" si="3"/>
        <v>4</v>
      </c>
      <c r="D361" s="61" t="s">
        <v>16</v>
      </c>
      <c r="E361" s="61" t="s">
        <v>17</v>
      </c>
      <c r="F361" s="59" t="s">
        <v>18</v>
      </c>
      <c r="G361" s="61" t="s">
        <v>19</v>
      </c>
      <c r="H361" s="59" t="s">
        <v>20</v>
      </c>
      <c r="I361" s="61" t="s">
        <v>19</v>
      </c>
      <c r="J361" s="63" t="s">
        <v>21</v>
      </c>
      <c r="K361" s="61" t="s">
        <v>19</v>
      </c>
      <c r="L361" s="63" t="s">
        <v>22</v>
      </c>
      <c r="M361" s="61" t="s">
        <v>19</v>
      </c>
      <c r="N361" s="59"/>
      <c r="O361" s="59"/>
      <c r="P361" s="59"/>
    </row>
    <row r="362" ht="22.5" customHeight="1">
      <c r="A362" s="60" t="s">
        <v>1107</v>
      </c>
      <c r="B362" s="60" t="s">
        <v>1108</v>
      </c>
      <c r="C362" s="59">
        <f t="shared" si="3"/>
        <v>4</v>
      </c>
      <c r="D362" s="61" t="s">
        <v>16</v>
      </c>
      <c r="E362" s="61" t="s">
        <v>17</v>
      </c>
      <c r="F362" s="59" t="s">
        <v>18</v>
      </c>
      <c r="G362" s="61" t="s">
        <v>19</v>
      </c>
      <c r="H362" s="59" t="s">
        <v>20</v>
      </c>
      <c r="I362" s="61" t="s">
        <v>19</v>
      </c>
      <c r="J362" s="63" t="s">
        <v>21</v>
      </c>
      <c r="K362" s="61" t="s">
        <v>19</v>
      </c>
      <c r="L362" s="63" t="s">
        <v>22</v>
      </c>
      <c r="M362" s="61" t="s">
        <v>19</v>
      </c>
      <c r="N362" s="59"/>
      <c r="O362" s="59"/>
      <c r="P362" s="59"/>
    </row>
    <row r="363" ht="22.5" customHeight="1">
      <c r="A363" s="60" t="s">
        <v>1109</v>
      </c>
      <c r="B363" s="60" t="s">
        <v>1110</v>
      </c>
      <c r="C363" s="59">
        <f t="shared" si="3"/>
        <v>4</v>
      </c>
      <c r="D363" s="61" t="s">
        <v>16</v>
      </c>
      <c r="E363" s="61" t="s">
        <v>17</v>
      </c>
      <c r="F363" s="59" t="s">
        <v>18</v>
      </c>
      <c r="G363" s="61" t="s">
        <v>19</v>
      </c>
      <c r="H363" s="59" t="s">
        <v>20</v>
      </c>
      <c r="I363" s="61" t="s">
        <v>19</v>
      </c>
      <c r="J363" s="63" t="s">
        <v>21</v>
      </c>
      <c r="K363" s="61" t="s">
        <v>19</v>
      </c>
      <c r="L363" s="63" t="s">
        <v>22</v>
      </c>
      <c r="M363" s="61" t="s">
        <v>640</v>
      </c>
      <c r="N363" s="59"/>
      <c r="O363" s="59"/>
      <c r="P363" s="59"/>
    </row>
    <row r="364" ht="22.5" customHeight="1">
      <c r="A364" s="59"/>
      <c r="B364" s="82" t="s">
        <v>617</v>
      </c>
      <c r="C364" s="59">
        <f t="shared" si="3"/>
        <v>3</v>
      </c>
      <c r="D364" s="61" t="s">
        <v>34</v>
      </c>
      <c r="E364" s="61" t="s">
        <v>49</v>
      </c>
      <c r="F364" s="59" t="s">
        <v>18</v>
      </c>
      <c r="G364" s="61" t="s">
        <v>31</v>
      </c>
      <c r="H364" s="59" t="s">
        <v>20</v>
      </c>
      <c r="I364" s="61" t="s">
        <v>640</v>
      </c>
      <c r="J364" s="63" t="s">
        <v>21</v>
      </c>
      <c r="K364" s="61" t="s">
        <v>640</v>
      </c>
      <c r="L364" s="63" t="s">
        <v>22</v>
      </c>
      <c r="M364" s="61" t="s">
        <v>640</v>
      </c>
      <c r="N364" s="60" t="s">
        <v>1111</v>
      </c>
      <c r="O364" s="59"/>
      <c r="P364" s="59"/>
    </row>
    <row r="365" ht="22.5" customHeight="1">
      <c r="A365" s="60" t="s">
        <v>1112</v>
      </c>
      <c r="B365" s="60" t="s">
        <v>1113</v>
      </c>
      <c r="C365" s="59">
        <f t="shared" si="3"/>
        <v>4</v>
      </c>
      <c r="D365" s="61" t="s">
        <v>16</v>
      </c>
      <c r="E365" s="61" t="s">
        <v>17</v>
      </c>
      <c r="F365" s="59" t="s">
        <v>18</v>
      </c>
      <c r="G365" s="61" t="s">
        <v>19</v>
      </c>
      <c r="H365" s="59" t="s">
        <v>20</v>
      </c>
      <c r="I365" s="61" t="s">
        <v>19</v>
      </c>
      <c r="J365" s="63" t="s">
        <v>21</v>
      </c>
      <c r="K365" s="61" t="s">
        <v>19</v>
      </c>
      <c r="L365" s="63" t="s">
        <v>22</v>
      </c>
      <c r="M365" s="61" t="s">
        <v>640</v>
      </c>
      <c r="N365" s="59"/>
      <c r="O365" s="59"/>
      <c r="P365" s="59"/>
    </row>
    <row r="366" ht="22.5" customHeight="1">
      <c r="A366" s="60" t="s">
        <v>1114</v>
      </c>
      <c r="B366" s="60" t="s">
        <v>1115</v>
      </c>
      <c r="C366" s="59">
        <f t="shared" si="3"/>
        <v>4</v>
      </c>
      <c r="D366" s="61" t="s">
        <v>16</v>
      </c>
      <c r="E366" s="61" t="s">
        <v>17</v>
      </c>
      <c r="F366" s="59" t="s">
        <v>18</v>
      </c>
      <c r="G366" s="61" t="s">
        <v>19</v>
      </c>
      <c r="H366" s="59" t="s">
        <v>20</v>
      </c>
      <c r="I366" s="61" t="s">
        <v>19</v>
      </c>
      <c r="J366" s="63" t="s">
        <v>21</v>
      </c>
      <c r="K366" s="61" t="s">
        <v>19</v>
      </c>
      <c r="L366" s="63" t="s">
        <v>22</v>
      </c>
      <c r="M366" s="61" t="s">
        <v>640</v>
      </c>
      <c r="N366" s="59"/>
      <c r="O366" s="59"/>
      <c r="P366" s="59"/>
    </row>
    <row r="367" ht="22.5" customHeight="1">
      <c r="A367" s="65" t="s">
        <v>1116</v>
      </c>
      <c r="B367" s="65" t="s">
        <v>1117</v>
      </c>
      <c r="C367" s="111">
        <f t="shared" si="3"/>
        <v>4</v>
      </c>
      <c r="D367" s="112" t="s">
        <v>16</v>
      </c>
      <c r="E367" s="112" t="s">
        <v>17</v>
      </c>
      <c r="F367" s="111" t="s">
        <v>18</v>
      </c>
      <c r="G367" s="112" t="s">
        <v>19</v>
      </c>
      <c r="H367" s="111" t="s">
        <v>20</v>
      </c>
      <c r="I367" s="112" t="s">
        <v>19</v>
      </c>
      <c r="J367" s="113" t="s">
        <v>21</v>
      </c>
      <c r="K367" s="112" t="s">
        <v>19</v>
      </c>
      <c r="L367" s="113" t="s">
        <v>22</v>
      </c>
      <c r="M367" s="112" t="s">
        <v>640</v>
      </c>
      <c r="N367" s="111"/>
      <c r="O367" s="111"/>
      <c r="P367" s="111"/>
    </row>
    <row r="368" ht="22.5" customHeight="1">
      <c r="A368" s="59"/>
      <c r="B368" s="82" t="s">
        <v>618</v>
      </c>
      <c r="C368" s="59">
        <f t="shared" si="3"/>
        <v>0</v>
      </c>
      <c r="D368" s="61" t="s">
        <v>34</v>
      </c>
      <c r="E368" s="61" t="s">
        <v>49</v>
      </c>
      <c r="F368" s="59" t="s">
        <v>18</v>
      </c>
      <c r="G368" s="61" t="s">
        <v>50</v>
      </c>
      <c r="H368" s="59" t="s">
        <v>20</v>
      </c>
      <c r="I368" s="61" t="s">
        <v>31</v>
      </c>
      <c r="J368" s="63" t="s">
        <v>21</v>
      </c>
      <c r="K368" s="61" t="s">
        <v>50</v>
      </c>
      <c r="L368" s="63" t="s">
        <v>22</v>
      </c>
      <c r="M368" s="61" t="s">
        <v>50</v>
      </c>
      <c r="N368" s="60" t="s">
        <v>372</v>
      </c>
      <c r="O368" s="60" t="s">
        <v>372</v>
      </c>
      <c r="P368" s="59"/>
    </row>
    <row r="369" ht="22.5" customHeight="1">
      <c r="A369" s="114"/>
      <c r="B369" s="115" t="s">
        <v>1118</v>
      </c>
      <c r="C369" s="59">
        <f t="shared" si="3"/>
        <v>4</v>
      </c>
      <c r="D369" s="116"/>
      <c r="E369" s="116"/>
      <c r="F369" s="114" t="s">
        <v>18</v>
      </c>
      <c r="G369" s="117" t="s">
        <v>640</v>
      </c>
      <c r="H369" s="114" t="s">
        <v>20</v>
      </c>
      <c r="I369" s="117" t="s">
        <v>640</v>
      </c>
      <c r="J369" s="118" t="s">
        <v>21</v>
      </c>
      <c r="K369" s="117" t="s">
        <v>640</v>
      </c>
      <c r="L369" s="118" t="s">
        <v>22</v>
      </c>
      <c r="M369" s="117" t="s">
        <v>640</v>
      </c>
      <c r="N369" s="114"/>
      <c r="O369" s="114"/>
      <c r="P369" s="114"/>
      <c r="Q369" s="119"/>
      <c r="R369" s="119"/>
      <c r="S369" s="119"/>
      <c r="T369" s="119"/>
      <c r="U369" s="119"/>
      <c r="V369" s="119"/>
      <c r="W369" s="119"/>
      <c r="X369" s="119"/>
      <c r="Y369" s="119"/>
      <c r="Z369" s="119"/>
    </row>
    <row r="370" ht="22.5" customHeight="1">
      <c r="A370" s="60" t="s">
        <v>1119</v>
      </c>
      <c r="B370" s="60" t="s">
        <v>1120</v>
      </c>
      <c r="C370" s="59">
        <f t="shared" si="3"/>
        <v>4</v>
      </c>
      <c r="D370" s="61" t="s">
        <v>16</v>
      </c>
      <c r="E370" s="61" t="s">
        <v>17</v>
      </c>
      <c r="F370" s="59" t="s">
        <v>18</v>
      </c>
      <c r="G370" s="61" t="s">
        <v>19</v>
      </c>
      <c r="H370" s="59" t="s">
        <v>20</v>
      </c>
      <c r="I370" s="61" t="s">
        <v>19</v>
      </c>
      <c r="J370" s="63" t="s">
        <v>21</v>
      </c>
      <c r="K370" s="61" t="s">
        <v>19</v>
      </c>
      <c r="L370" s="63" t="s">
        <v>22</v>
      </c>
      <c r="M370" s="61" t="s">
        <v>19</v>
      </c>
      <c r="N370" s="59"/>
      <c r="O370" s="59"/>
      <c r="P370" s="59"/>
    </row>
    <row r="371" ht="22.5" customHeight="1">
      <c r="A371" s="81" t="s">
        <v>637</v>
      </c>
      <c r="B371" s="60" t="s">
        <v>1121</v>
      </c>
      <c r="C371" s="59">
        <f t="shared" si="3"/>
        <v>3</v>
      </c>
      <c r="D371" s="61" t="s">
        <v>34</v>
      </c>
      <c r="E371" s="61" t="s">
        <v>40</v>
      </c>
      <c r="F371" s="59" t="s">
        <v>18</v>
      </c>
      <c r="G371" s="61" t="s">
        <v>31</v>
      </c>
      <c r="H371" s="59" t="s">
        <v>20</v>
      </c>
      <c r="I371" s="61" t="s">
        <v>19</v>
      </c>
      <c r="J371" s="63" t="s">
        <v>21</v>
      </c>
      <c r="K371" s="61" t="s">
        <v>19</v>
      </c>
      <c r="L371" s="63" t="s">
        <v>22</v>
      </c>
      <c r="M371" s="61" t="s">
        <v>19</v>
      </c>
      <c r="N371" s="60" t="s">
        <v>376</v>
      </c>
      <c r="O371" s="59"/>
      <c r="P371" s="59"/>
    </row>
    <row r="372" ht="22.5" customHeight="1">
      <c r="A372" s="81" t="s">
        <v>637</v>
      </c>
      <c r="B372" s="60" t="s">
        <v>1122</v>
      </c>
      <c r="C372" s="59">
        <f t="shared" si="3"/>
        <v>3</v>
      </c>
      <c r="D372" s="61" t="s">
        <v>34</v>
      </c>
      <c r="E372" s="61" t="s">
        <v>40</v>
      </c>
      <c r="F372" s="59" t="s">
        <v>18</v>
      </c>
      <c r="G372" s="61" t="s">
        <v>31</v>
      </c>
      <c r="H372" s="59" t="s">
        <v>20</v>
      </c>
      <c r="I372" s="61" t="s">
        <v>19</v>
      </c>
      <c r="J372" s="63" t="s">
        <v>21</v>
      </c>
      <c r="K372" s="61" t="s">
        <v>19</v>
      </c>
      <c r="L372" s="63" t="s">
        <v>22</v>
      </c>
      <c r="M372" s="61" t="s">
        <v>19</v>
      </c>
      <c r="N372" s="60" t="s">
        <v>376</v>
      </c>
      <c r="O372" s="59"/>
      <c r="P372" s="59"/>
    </row>
    <row r="373" ht="22.5" customHeight="1">
      <c r="A373" s="60" t="s">
        <v>1123</v>
      </c>
      <c r="B373" s="60" t="s">
        <v>1124</v>
      </c>
      <c r="C373" s="59">
        <f t="shared" si="3"/>
        <v>4</v>
      </c>
      <c r="D373" s="61" t="s">
        <v>16</v>
      </c>
      <c r="E373" s="61" t="s">
        <v>17</v>
      </c>
      <c r="F373" s="59" t="s">
        <v>18</v>
      </c>
      <c r="G373" s="61" t="s">
        <v>19</v>
      </c>
      <c r="H373" s="59" t="s">
        <v>20</v>
      </c>
      <c r="I373" s="61" t="s">
        <v>19</v>
      </c>
      <c r="J373" s="63" t="s">
        <v>21</v>
      </c>
      <c r="K373" s="61" t="s">
        <v>19</v>
      </c>
      <c r="L373" s="63" t="s">
        <v>22</v>
      </c>
      <c r="M373" s="61" t="s">
        <v>19</v>
      </c>
      <c r="N373" s="59"/>
      <c r="O373" s="59"/>
      <c r="P373" s="59"/>
    </row>
    <row r="374" ht="22.5" customHeight="1">
      <c r="A374" s="60" t="s">
        <v>637</v>
      </c>
      <c r="B374" s="60" t="s">
        <v>1125</v>
      </c>
      <c r="C374" s="59">
        <f t="shared" si="3"/>
        <v>1</v>
      </c>
      <c r="D374" s="61" t="s">
        <v>34</v>
      </c>
      <c r="E374" s="61" t="s">
        <v>35</v>
      </c>
      <c r="F374" s="59" t="s">
        <v>18</v>
      </c>
      <c r="G374" s="61" t="s">
        <v>31</v>
      </c>
      <c r="H374" s="59" t="s">
        <v>20</v>
      </c>
      <c r="I374" s="61" t="s">
        <v>31</v>
      </c>
      <c r="J374" s="63" t="s">
        <v>21</v>
      </c>
      <c r="K374" s="61" t="s">
        <v>31</v>
      </c>
      <c r="L374" s="63" t="s">
        <v>22</v>
      </c>
      <c r="M374" s="61" t="s">
        <v>640</v>
      </c>
      <c r="N374" s="60" t="s">
        <v>1126</v>
      </c>
      <c r="O374" s="59"/>
      <c r="P374" s="59"/>
    </row>
    <row r="375" ht="22.5" customHeight="1">
      <c r="A375" s="60" t="s">
        <v>1127</v>
      </c>
      <c r="B375" s="60" t="s">
        <v>1128</v>
      </c>
      <c r="C375" s="59">
        <f t="shared" si="3"/>
        <v>4</v>
      </c>
      <c r="D375" s="61" t="s">
        <v>16</v>
      </c>
      <c r="E375" s="61" t="s">
        <v>17</v>
      </c>
      <c r="F375" s="59" t="s">
        <v>18</v>
      </c>
      <c r="G375" s="61" t="s">
        <v>19</v>
      </c>
      <c r="H375" s="59" t="s">
        <v>20</v>
      </c>
      <c r="I375" s="61" t="s">
        <v>19</v>
      </c>
      <c r="J375" s="63" t="s">
        <v>21</v>
      </c>
      <c r="K375" s="61" t="s">
        <v>19</v>
      </c>
      <c r="L375" s="63" t="s">
        <v>22</v>
      </c>
      <c r="M375" s="61" t="s">
        <v>19</v>
      </c>
      <c r="N375" s="59"/>
      <c r="O375" s="59"/>
      <c r="P375" s="59"/>
    </row>
    <row r="376" ht="22.5" customHeight="1">
      <c r="A376" s="59"/>
      <c r="B376" s="60" t="s">
        <v>1129</v>
      </c>
      <c r="C376" s="59">
        <f t="shared" si="3"/>
        <v>4</v>
      </c>
      <c r="D376" s="62"/>
      <c r="E376" s="61" t="s">
        <v>813</v>
      </c>
      <c r="F376" s="59" t="s">
        <v>18</v>
      </c>
      <c r="G376" s="61" t="s">
        <v>640</v>
      </c>
      <c r="H376" s="59" t="s">
        <v>20</v>
      </c>
      <c r="I376" s="61" t="s">
        <v>640</v>
      </c>
      <c r="J376" s="63" t="s">
        <v>21</v>
      </c>
      <c r="K376" s="61" t="s">
        <v>640</v>
      </c>
      <c r="L376" s="63" t="s">
        <v>22</v>
      </c>
      <c r="M376" s="61" t="s">
        <v>640</v>
      </c>
      <c r="N376" s="59"/>
      <c r="O376" s="59"/>
      <c r="P376" s="59"/>
    </row>
    <row r="377" ht="22.5" customHeight="1">
      <c r="A377" s="59"/>
      <c r="B377" s="82" t="s">
        <v>619</v>
      </c>
      <c r="C377" s="59">
        <f t="shared" si="3"/>
        <v>0</v>
      </c>
      <c r="D377" s="61" t="s">
        <v>34</v>
      </c>
      <c r="E377" s="61" t="s">
        <v>49</v>
      </c>
      <c r="F377" s="59" t="s">
        <v>18</v>
      </c>
      <c r="G377" s="61" t="s">
        <v>31</v>
      </c>
      <c r="H377" s="59" t="s">
        <v>20</v>
      </c>
      <c r="I377" s="61" t="s">
        <v>50</v>
      </c>
      <c r="J377" s="63" t="s">
        <v>21</v>
      </c>
      <c r="K377" s="61" t="s">
        <v>50</v>
      </c>
      <c r="L377" s="63" t="s">
        <v>22</v>
      </c>
      <c r="M377" s="61" t="s">
        <v>50</v>
      </c>
      <c r="N377" s="60" t="s">
        <v>372</v>
      </c>
      <c r="O377" s="59"/>
      <c r="P377" s="59"/>
      <c r="Q377" s="89"/>
      <c r="R377" s="89"/>
      <c r="S377" s="89"/>
      <c r="T377" s="89"/>
      <c r="U377" s="89"/>
      <c r="V377" s="89"/>
      <c r="W377" s="89"/>
      <c r="X377" s="89"/>
      <c r="Y377" s="89"/>
      <c r="Z377" s="89"/>
    </row>
    <row r="378" ht="22.5" customHeight="1">
      <c r="A378" s="59"/>
      <c r="B378" s="82" t="s">
        <v>620</v>
      </c>
      <c r="C378" s="59">
        <f t="shared" si="3"/>
        <v>1</v>
      </c>
      <c r="D378" s="61" t="s">
        <v>34</v>
      </c>
      <c r="E378" s="61" t="s">
        <v>49</v>
      </c>
      <c r="F378" s="59" t="s">
        <v>18</v>
      </c>
      <c r="G378" s="61" t="s">
        <v>19</v>
      </c>
      <c r="H378" s="59" t="s">
        <v>20</v>
      </c>
      <c r="I378" s="61" t="s">
        <v>31</v>
      </c>
      <c r="J378" s="63" t="s">
        <v>21</v>
      </c>
      <c r="K378" s="61" t="s">
        <v>50</v>
      </c>
      <c r="L378" s="63" t="s">
        <v>22</v>
      </c>
      <c r="M378" s="61" t="s">
        <v>50</v>
      </c>
      <c r="N378" s="60" t="s">
        <v>152</v>
      </c>
      <c r="O378" s="59"/>
      <c r="P378" s="59"/>
    </row>
    <row r="379" ht="22.5" customHeight="1">
      <c r="A379" s="59"/>
      <c r="B379" s="60" t="s">
        <v>621</v>
      </c>
      <c r="C379" s="59">
        <f t="shared" si="3"/>
        <v>1</v>
      </c>
      <c r="D379" s="61" t="s">
        <v>34</v>
      </c>
      <c r="E379" s="61" t="s">
        <v>49</v>
      </c>
      <c r="F379" s="59" t="s">
        <v>18</v>
      </c>
      <c r="G379" s="61" t="s">
        <v>19</v>
      </c>
      <c r="H379" s="59" t="s">
        <v>20</v>
      </c>
      <c r="I379" s="61" t="s">
        <v>31</v>
      </c>
      <c r="J379" s="63" t="s">
        <v>21</v>
      </c>
      <c r="K379" s="61" t="s">
        <v>50</v>
      </c>
      <c r="L379" s="63" t="s">
        <v>22</v>
      </c>
      <c r="M379" s="61" t="s">
        <v>50</v>
      </c>
      <c r="N379" s="60" t="s">
        <v>1081</v>
      </c>
      <c r="O379" s="59"/>
      <c r="P379" s="59"/>
    </row>
    <row r="380" ht="22.5" customHeight="1">
      <c r="A380" s="60" t="s">
        <v>1130</v>
      </c>
      <c r="B380" s="60" t="s">
        <v>1131</v>
      </c>
      <c r="C380" s="59">
        <f t="shared" si="3"/>
        <v>4</v>
      </c>
      <c r="D380" s="61" t="s">
        <v>16</v>
      </c>
      <c r="E380" s="61" t="s">
        <v>17</v>
      </c>
      <c r="F380" s="59" t="s">
        <v>18</v>
      </c>
      <c r="G380" s="61" t="s">
        <v>19</v>
      </c>
      <c r="H380" s="59" t="s">
        <v>20</v>
      </c>
      <c r="I380" s="61" t="s">
        <v>19</v>
      </c>
      <c r="J380" s="63" t="s">
        <v>21</v>
      </c>
      <c r="K380" s="61" t="s">
        <v>19</v>
      </c>
      <c r="L380" s="63" t="s">
        <v>22</v>
      </c>
      <c r="M380" s="61" t="s">
        <v>640</v>
      </c>
      <c r="N380" s="59"/>
      <c r="O380" s="59"/>
      <c r="P380" s="59"/>
    </row>
    <row r="381" ht="22.5" customHeight="1">
      <c r="A381" s="60" t="s">
        <v>637</v>
      </c>
      <c r="B381" s="60" t="s">
        <v>1132</v>
      </c>
      <c r="C381" s="59">
        <f t="shared" si="3"/>
        <v>3</v>
      </c>
      <c r="D381" s="61" t="s">
        <v>34</v>
      </c>
      <c r="E381" s="61" t="s">
        <v>35</v>
      </c>
      <c r="F381" s="59" t="s">
        <v>18</v>
      </c>
      <c r="G381" s="61" t="s">
        <v>31</v>
      </c>
      <c r="H381" s="59" t="s">
        <v>20</v>
      </c>
      <c r="I381" s="61" t="s">
        <v>19</v>
      </c>
      <c r="J381" s="63" t="s">
        <v>21</v>
      </c>
      <c r="K381" s="61" t="s">
        <v>19</v>
      </c>
      <c r="L381" s="63" t="s">
        <v>22</v>
      </c>
      <c r="M381" s="61" t="s">
        <v>640</v>
      </c>
      <c r="N381" s="60" t="s">
        <v>1133</v>
      </c>
      <c r="O381" s="59"/>
      <c r="P381" s="59"/>
    </row>
    <row r="382" ht="22.5" customHeight="1">
      <c r="A382" s="60" t="s">
        <v>1134</v>
      </c>
      <c r="B382" s="60" t="s">
        <v>622</v>
      </c>
      <c r="C382" s="59">
        <f t="shared" si="3"/>
        <v>1</v>
      </c>
      <c r="D382" s="61" t="s">
        <v>16</v>
      </c>
      <c r="E382" s="61" t="s">
        <v>49</v>
      </c>
      <c r="F382" s="59" t="s">
        <v>18</v>
      </c>
      <c r="G382" s="61" t="s">
        <v>50</v>
      </c>
      <c r="H382" s="59" t="s">
        <v>20</v>
      </c>
      <c r="I382" s="61" t="s">
        <v>50</v>
      </c>
      <c r="J382" s="63" t="s">
        <v>21</v>
      </c>
      <c r="K382" s="61" t="s">
        <v>19</v>
      </c>
      <c r="L382" s="63" t="s">
        <v>22</v>
      </c>
      <c r="M382" s="61" t="s">
        <v>50</v>
      </c>
      <c r="N382" s="60" t="s">
        <v>372</v>
      </c>
      <c r="O382" s="59"/>
      <c r="P382" s="59"/>
    </row>
    <row r="383" ht="22.5" customHeight="1">
      <c r="A383" s="60" t="s">
        <v>1135</v>
      </c>
      <c r="B383" s="60" t="s">
        <v>623</v>
      </c>
      <c r="C383" s="59">
        <f t="shared" si="3"/>
        <v>0</v>
      </c>
      <c r="D383" s="61" t="s">
        <v>34</v>
      </c>
      <c r="E383" s="61" t="s">
        <v>49</v>
      </c>
      <c r="F383" s="59" t="s">
        <v>18</v>
      </c>
      <c r="G383" s="61" t="s">
        <v>50</v>
      </c>
      <c r="H383" s="59" t="s">
        <v>20</v>
      </c>
      <c r="I383" s="61" t="s">
        <v>31</v>
      </c>
      <c r="J383" s="63" t="s">
        <v>21</v>
      </c>
      <c r="K383" s="61" t="s">
        <v>50</v>
      </c>
      <c r="L383" s="63" t="s">
        <v>22</v>
      </c>
      <c r="M383" s="61" t="s">
        <v>50</v>
      </c>
      <c r="N383" s="60" t="s">
        <v>51</v>
      </c>
      <c r="O383" s="59"/>
      <c r="P383" s="59"/>
    </row>
    <row r="384" ht="22.5" customHeight="1">
      <c r="A384" s="59"/>
      <c r="B384" s="60" t="s">
        <v>624</v>
      </c>
      <c r="C384" s="59">
        <f t="shared" si="3"/>
        <v>0</v>
      </c>
      <c r="D384" s="61" t="s">
        <v>34</v>
      </c>
      <c r="E384" s="61" t="s">
        <v>49</v>
      </c>
      <c r="F384" s="59" t="s">
        <v>18</v>
      </c>
      <c r="G384" s="61" t="s">
        <v>31</v>
      </c>
      <c r="H384" s="59" t="s">
        <v>20</v>
      </c>
      <c r="I384" s="61" t="s">
        <v>50</v>
      </c>
      <c r="J384" s="63" t="s">
        <v>21</v>
      </c>
      <c r="K384" s="61" t="s">
        <v>50</v>
      </c>
      <c r="L384" s="63" t="s">
        <v>22</v>
      </c>
      <c r="M384" s="61" t="s">
        <v>50</v>
      </c>
      <c r="N384" s="60" t="s">
        <v>372</v>
      </c>
      <c r="O384" s="59"/>
      <c r="P384" s="59"/>
    </row>
    <row r="385" ht="22.5" customHeight="1">
      <c r="A385" s="59"/>
      <c r="B385" s="82" t="s">
        <v>1136</v>
      </c>
      <c r="C385" s="59">
        <f t="shared" si="3"/>
        <v>3</v>
      </c>
      <c r="D385" s="61" t="s">
        <v>34</v>
      </c>
      <c r="E385" s="61" t="s">
        <v>656</v>
      </c>
      <c r="F385" s="59" t="s">
        <v>18</v>
      </c>
      <c r="G385" s="61" t="s">
        <v>19</v>
      </c>
      <c r="H385" s="59" t="s">
        <v>20</v>
      </c>
      <c r="I385" s="61" t="s">
        <v>19</v>
      </c>
      <c r="J385" s="63" t="s">
        <v>21</v>
      </c>
      <c r="K385" s="61" t="s">
        <v>19</v>
      </c>
      <c r="L385" s="63" t="s">
        <v>22</v>
      </c>
      <c r="M385" s="61" t="s">
        <v>31</v>
      </c>
      <c r="N385" s="59"/>
      <c r="O385" s="59"/>
      <c r="P385" s="59"/>
    </row>
    <row r="386" ht="22.5" customHeight="1">
      <c r="A386" s="59"/>
      <c r="B386" s="60" t="s">
        <v>625</v>
      </c>
      <c r="C386" s="59">
        <f t="shared" si="3"/>
        <v>0</v>
      </c>
      <c r="D386" s="61" t="s">
        <v>34</v>
      </c>
      <c r="E386" s="61" t="s">
        <v>49</v>
      </c>
      <c r="F386" s="59" t="s">
        <v>18</v>
      </c>
      <c r="G386" s="61" t="s">
        <v>31</v>
      </c>
      <c r="H386" s="59" t="s">
        <v>20</v>
      </c>
      <c r="I386" s="61" t="s">
        <v>50</v>
      </c>
      <c r="J386" s="63" t="s">
        <v>21</v>
      </c>
      <c r="K386" s="61" t="s">
        <v>50</v>
      </c>
      <c r="L386" s="63" t="s">
        <v>22</v>
      </c>
      <c r="M386" s="61" t="s">
        <v>50</v>
      </c>
      <c r="N386" s="60" t="s">
        <v>372</v>
      </c>
      <c r="O386" s="59"/>
      <c r="P386" s="59"/>
    </row>
    <row r="387" ht="22.5" customHeight="1">
      <c r="A387" s="99"/>
      <c r="B387" s="98" t="s">
        <v>626</v>
      </c>
      <c r="C387" s="99">
        <f t="shared" si="3"/>
        <v>0</v>
      </c>
      <c r="D387" s="100" t="s">
        <v>34</v>
      </c>
      <c r="E387" s="100" t="s">
        <v>49</v>
      </c>
      <c r="F387" s="99" t="s">
        <v>18</v>
      </c>
      <c r="G387" s="100" t="s">
        <v>31</v>
      </c>
      <c r="H387" s="99" t="s">
        <v>20</v>
      </c>
      <c r="I387" s="100" t="s">
        <v>50</v>
      </c>
      <c r="J387" s="101" t="s">
        <v>21</v>
      </c>
      <c r="K387" s="100" t="s">
        <v>50</v>
      </c>
      <c r="L387" s="101" t="s">
        <v>22</v>
      </c>
      <c r="M387" s="100" t="s">
        <v>50</v>
      </c>
      <c r="N387" s="98" t="s">
        <v>372</v>
      </c>
      <c r="O387" s="99"/>
      <c r="P387" s="99"/>
    </row>
    <row r="388" ht="22.5" customHeight="1">
      <c r="A388" s="59"/>
      <c r="B388" s="60" t="s">
        <v>1137</v>
      </c>
      <c r="C388" s="59">
        <f t="shared" si="3"/>
        <v>3</v>
      </c>
      <c r="D388" s="61" t="s">
        <v>34</v>
      </c>
      <c r="E388" s="61" t="s">
        <v>30</v>
      </c>
      <c r="F388" s="59" t="s">
        <v>18</v>
      </c>
      <c r="G388" s="61" t="s">
        <v>31</v>
      </c>
      <c r="H388" s="59" t="s">
        <v>20</v>
      </c>
      <c r="I388" s="61" t="s">
        <v>19</v>
      </c>
      <c r="J388" s="63" t="s">
        <v>21</v>
      </c>
      <c r="K388" s="61" t="s">
        <v>19</v>
      </c>
      <c r="L388" s="63" t="s">
        <v>22</v>
      </c>
      <c r="M388" s="61" t="s">
        <v>19</v>
      </c>
      <c r="N388" s="60" t="s">
        <v>908</v>
      </c>
      <c r="O388" s="59"/>
      <c r="P388" s="59"/>
    </row>
    <row r="389" ht="22.5" customHeight="1">
      <c r="A389" s="59"/>
      <c r="B389" s="60" t="s">
        <v>1138</v>
      </c>
      <c r="C389" s="59">
        <f t="shared" si="3"/>
        <v>0</v>
      </c>
      <c r="D389" s="61" t="s">
        <v>34</v>
      </c>
      <c r="E389" s="61" t="s">
        <v>49</v>
      </c>
      <c r="F389" s="59" t="s">
        <v>18</v>
      </c>
      <c r="G389" s="61" t="s">
        <v>31</v>
      </c>
      <c r="H389" s="59" t="s">
        <v>20</v>
      </c>
      <c r="I389" s="61" t="s">
        <v>50</v>
      </c>
      <c r="J389" s="63" t="s">
        <v>21</v>
      </c>
      <c r="K389" s="61" t="s">
        <v>50</v>
      </c>
      <c r="L389" s="63" t="s">
        <v>22</v>
      </c>
      <c r="M389" s="61" t="s">
        <v>50</v>
      </c>
      <c r="N389" s="60" t="s">
        <v>372</v>
      </c>
      <c r="O389" s="59"/>
      <c r="P389" s="59"/>
    </row>
    <row r="390" ht="22.5" customHeight="1">
      <c r="A390" s="59"/>
      <c r="B390" s="60" t="s">
        <v>1139</v>
      </c>
      <c r="C390" s="59">
        <f t="shared" si="3"/>
        <v>0</v>
      </c>
      <c r="D390" s="61" t="s">
        <v>34</v>
      </c>
      <c r="E390" s="61" t="s">
        <v>49</v>
      </c>
      <c r="F390" s="59" t="s">
        <v>18</v>
      </c>
      <c r="G390" s="61" t="s">
        <v>31</v>
      </c>
      <c r="H390" s="59" t="s">
        <v>20</v>
      </c>
      <c r="I390" s="61" t="s">
        <v>50</v>
      </c>
      <c r="J390" s="63" t="s">
        <v>21</v>
      </c>
      <c r="K390" s="61" t="s">
        <v>50</v>
      </c>
      <c r="L390" s="63" t="s">
        <v>22</v>
      </c>
      <c r="M390" s="61" t="s">
        <v>50</v>
      </c>
      <c r="N390" s="60" t="s">
        <v>372</v>
      </c>
      <c r="O390" s="59"/>
      <c r="P390" s="59"/>
    </row>
    <row r="391" ht="22.5" customHeight="1">
      <c r="A391" s="81" t="s">
        <v>637</v>
      </c>
      <c r="B391" s="60" t="s">
        <v>1140</v>
      </c>
      <c r="C391" s="59">
        <f t="shared" si="3"/>
        <v>3</v>
      </c>
      <c r="D391" s="61" t="s">
        <v>34</v>
      </c>
      <c r="E391" s="61" t="s">
        <v>40</v>
      </c>
      <c r="F391" s="59" t="s">
        <v>18</v>
      </c>
      <c r="G391" s="61" t="s">
        <v>31</v>
      </c>
      <c r="H391" s="59" t="s">
        <v>20</v>
      </c>
      <c r="I391" s="61" t="s">
        <v>19</v>
      </c>
      <c r="J391" s="63" t="s">
        <v>21</v>
      </c>
      <c r="K391" s="61" t="s">
        <v>19</v>
      </c>
      <c r="L391" s="63" t="s">
        <v>22</v>
      </c>
      <c r="M391" s="61" t="s">
        <v>19</v>
      </c>
      <c r="N391" s="60" t="s">
        <v>376</v>
      </c>
      <c r="O391" s="59"/>
      <c r="P391" s="59"/>
    </row>
    <row r="392" ht="22.5" customHeight="1">
      <c r="A392" s="59"/>
      <c r="B392" s="60" t="s">
        <v>1141</v>
      </c>
      <c r="C392" s="59">
        <f t="shared" si="3"/>
        <v>1</v>
      </c>
      <c r="D392" s="61" t="s">
        <v>34</v>
      </c>
      <c r="E392" s="61" t="s">
        <v>25</v>
      </c>
      <c r="F392" s="59" t="s">
        <v>18</v>
      </c>
      <c r="G392" s="61" t="s">
        <v>31</v>
      </c>
      <c r="H392" s="59" t="s">
        <v>20</v>
      </c>
      <c r="I392" s="61" t="s">
        <v>31</v>
      </c>
      <c r="J392" s="63" t="s">
        <v>21</v>
      </c>
      <c r="K392" s="61" t="s">
        <v>31</v>
      </c>
      <c r="L392" s="63" t="s">
        <v>22</v>
      </c>
      <c r="M392" s="61" t="s">
        <v>19</v>
      </c>
      <c r="N392" s="60" t="s">
        <v>1142</v>
      </c>
      <c r="O392" s="59"/>
      <c r="P392" s="59"/>
    </row>
    <row r="393" ht="22.5" customHeight="1">
      <c r="A393" s="60" t="s">
        <v>1143</v>
      </c>
      <c r="B393" s="60" t="s">
        <v>1144</v>
      </c>
      <c r="C393" s="59">
        <f t="shared" si="3"/>
        <v>4</v>
      </c>
      <c r="D393" s="61" t="s">
        <v>16</v>
      </c>
      <c r="E393" s="61" t="s">
        <v>17</v>
      </c>
      <c r="F393" s="59" t="s">
        <v>18</v>
      </c>
      <c r="G393" s="61" t="s">
        <v>19</v>
      </c>
      <c r="H393" s="59" t="s">
        <v>20</v>
      </c>
      <c r="I393" s="61" t="s">
        <v>19</v>
      </c>
      <c r="J393" s="63" t="s">
        <v>21</v>
      </c>
      <c r="K393" s="61" t="s">
        <v>19</v>
      </c>
      <c r="L393" s="63" t="s">
        <v>22</v>
      </c>
      <c r="M393" s="61" t="s">
        <v>19</v>
      </c>
      <c r="N393" s="59"/>
      <c r="O393" s="59"/>
      <c r="P393" s="59"/>
    </row>
    <row r="394" ht="22.5" customHeight="1">
      <c r="A394" s="60" t="s">
        <v>1145</v>
      </c>
      <c r="B394" s="60" t="s">
        <v>1146</v>
      </c>
      <c r="C394" s="59">
        <f t="shared" si="3"/>
        <v>4</v>
      </c>
      <c r="D394" s="61" t="s">
        <v>16</v>
      </c>
      <c r="E394" s="61" t="s">
        <v>17</v>
      </c>
      <c r="F394" s="59" t="s">
        <v>18</v>
      </c>
      <c r="G394" s="61" t="s">
        <v>19</v>
      </c>
      <c r="H394" s="59" t="s">
        <v>20</v>
      </c>
      <c r="I394" s="61" t="s">
        <v>19</v>
      </c>
      <c r="J394" s="63" t="s">
        <v>21</v>
      </c>
      <c r="K394" s="61" t="s">
        <v>19</v>
      </c>
      <c r="L394" s="63" t="s">
        <v>22</v>
      </c>
      <c r="M394" s="61" t="s">
        <v>19</v>
      </c>
      <c r="N394" s="59"/>
      <c r="O394" s="59"/>
      <c r="P394" s="59"/>
    </row>
    <row r="395" ht="22.5" customHeight="1">
      <c r="A395" s="60" t="s">
        <v>1147</v>
      </c>
      <c r="B395" s="60" t="s">
        <v>1148</v>
      </c>
      <c r="C395" s="59">
        <f t="shared" si="3"/>
        <v>4</v>
      </c>
      <c r="D395" s="61" t="s">
        <v>16</v>
      </c>
      <c r="E395" s="61" t="s">
        <v>17</v>
      </c>
      <c r="F395" s="59" t="s">
        <v>18</v>
      </c>
      <c r="G395" s="61" t="s">
        <v>19</v>
      </c>
      <c r="H395" s="59" t="s">
        <v>20</v>
      </c>
      <c r="I395" s="61" t="s">
        <v>19</v>
      </c>
      <c r="J395" s="63" t="s">
        <v>21</v>
      </c>
      <c r="K395" s="61" t="s">
        <v>19</v>
      </c>
      <c r="L395" s="63" t="s">
        <v>22</v>
      </c>
      <c r="M395" s="61" t="s">
        <v>19</v>
      </c>
      <c r="N395" s="59"/>
      <c r="O395" s="59"/>
      <c r="P395" s="59"/>
    </row>
    <row r="396" ht="22.5" customHeight="1">
      <c r="A396" s="60" t="s">
        <v>1149</v>
      </c>
      <c r="B396" s="60" t="s">
        <v>1150</v>
      </c>
      <c r="C396" s="59">
        <f t="shared" si="3"/>
        <v>4</v>
      </c>
      <c r="D396" s="61" t="s">
        <v>16</v>
      </c>
      <c r="E396" s="61" t="s">
        <v>17</v>
      </c>
      <c r="F396" s="59" t="s">
        <v>18</v>
      </c>
      <c r="G396" s="61" t="s">
        <v>19</v>
      </c>
      <c r="H396" s="59" t="s">
        <v>20</v>
      </c>
      <c r="I396" s="61" t="s">
        <v>19</v>
      </c>
      <c r="J396" s="63" t="s">
        <v>21</v>
      </c>
      <c r="K396" s="61" t="s">
        <v>19</v>
      </c>
      <c r="L396" s="63" t="s">
        <v>22</v>
      </c>
      <c r="M396" s="61" t="s">
        <v>19</v>
      </c>
      <c r="N396" s="59"/>
      <c r="O396" s="59"/>
      <c r="P396" s="59"/>
    </row>
    <row r="397" ht="22.5" customHeight="1">
      <c r="A397" s="87" t="s">
        <v>637</v>
      </c>
      <c r="B397" s="82" t="s">
        <v>517</v>
      </c>
      <c r="C397" s="93">
        <f t="shared" si="3"/>
        <v>3</v>
      </c>
      <c r="D397" s="94" t="s">
        <v>34</v>
      </c>
      <c r="E397" s="94" t="s">
        <v>40</v>
      </c>
      <c r="F397" s="93" t="s">
        <v>18</v>
      </c>
      <c r="G397" s="94" t="s">
        <v>19</v>
      </c>
      <c r="H397" s="93" t="s">
        <v>20</v>
      </c>
      <c r="I397" s="94" t="s">
        <v>19</v>
      </c>
      <c r="J397" s="95" t="s">
        <v>21</v>
      </c>
      <c r="K397" s="94" t="s">
        <v>26</v>
      </c>
      <c r="L397" s="95" t="s">
        <v>22</v>
      </c>
      <c r="M397" s="94" t="s">
        <v>19</v>
      </c>
      <c r="N397" s="82" t="s">
        <v>376</v>
      </c>
      <c r="O397" s="93"/>
      <c r="P397" s="93"/>
    </row>
    <row r="398" ht="22.5" customHeight="1">
      <c r="A398" s="59"/>
      <c r="B398" s="60" t="s">
        <v>1151</v>
      </c>
      <c r="C398" s="59">
        <f t="shared" si="3"/>
        <v>0</v>
      </c>
      <c r="D398" s="61" t="s">
        <v>34</v>
      </c>
      <c r="E398" s="61" t="s">
        <v>49</v>
      </c>
      <c r="F398" s="59" t="s">
        <v>18</v>
      </c>
      <c r="G398" s="61" t="s">
        <v>50</v>
      </c>
      <c r="H398" s="59" t="s">
        <v>20</v>
      </c>
      <c r="I398" s="61" t="s">
        <v>50</v>
      </c>
      <c r="J398" s="63" t="s">
        <v>21</v>
      </c>
      <c r="K398" s="61" t="s">
        <v>31</v>
      </c>
      <c r="L398" s="63" t="s">
        <v>22</v>
      </c>
      <c r="M398" s="61" t="s">
        <v>50</v>
      </c>
      <c r="N398" s="59"/>
      <c r="O398" s="59"/>
      <c r="P398" s="59"/>
    </row>
    <row r="399" ht="22.5" customHeight="1">
      <c r="A399" s="59"/>
      <c r="B399" s="82" t="s">
        <v>1152</v>
      </c>
      <c r="C399" s="59">
        <f t="shared" si="3"/>
        <v>1</v>
      </c>
      <c r="D399" s="61" t="s">
        <v>34</v>
      </c>
      <c r="E399" s="61" t="s">
        <v>656</v>
      </c>
      <c r="F399" s="59" t="s">
        <v>18</v>
      </c>
      <c r="G399" s="61" t="s">
        <v>31</v>
      </c>
      <c r="H399" s="59" t="s">
        <v>20</v>
      </c>
      <c r="I399" s="61" t="s">
        <v>31</v>
      </c>
      <c r="J399" s="63" t="s">
        <v>21</v>
      </c>
      <c r="K399" s="61" t="s">
        <v>31</v>
      </c>
      <c r="L399" s="63" t="s">
        <v>22</v>
      </c>
      <c r="M399" s="61" t="s">
        <v>19</v>
      </c>
      <c r="N399" s="60" t="s">
        <v>1153</v>
      </c>
      <c r="O399" s="59"/>
      <c r="P399" s="59"/>
    </row>
    <row r="400" ht="22.5" customHeight="1">
      <c r="A400" s="59"/>
      <c r="B400" s="60" t="s">
        <v>1154</v>
      </c>
      <c r="C400" s="59">
        <f t="shared" si="3"/>
        <v>0</v>
      </c>
      <c r="D400" s="61" t="s">
        <v>34</v>
      </c>
      <c r="E400" s="61" t="s">
        <v>49</v>
      </c>
      <c r="F400" s="59" t="s">
        <v>18</v>
      </c>
      <c r="G400" s="61" t="s">
        <v>31</v>
      </c>
      <c r="H400" s="59" t="s">
        <v>20</v>
      </c>
      <c r="I400" s="61" t="s">
        <v>50</v>
      </c>
      <c r="J400" s="63" t="s">
        <v>21</v>
      </c>
      <c r="K400" s="61" t="s">
        <v>50</v>
      </c>
      <c r="L400" s="63" t="s">
        <v>22</v>
      </c>
      <c r="M400" s="61" t="s">
        <v>50</v>
      </c>
      <c r="N400" s="60" t="s">
        <v>372</v>
      </c>
      <c r="O400" s="59"/>
      <c r="P400" s="59"/>
    </row>
    <row r="401" ht="22.5" customHeight="1">
      <c r="A401" s="59"/>
      <c r="B401" s="60" t="s">
        <v>1155</v>
      </c>
      <c r="C401" s="59">
        <f t="shared" si="3"/>
        <v>0</v>
      </c>
      <c r="D401" s="61" t="s">
        <v>34</v>
      </c>
      <c r="E401" s="61" t="s">
        <v>49</v>
      </c>
      <c r="F401" s="59" t="s">
        <v>18</v>
      </c>
      <c r="G401" s="61" t="s">
        <v>31</v>
      </c>
      <c r="H401" s="59" t="s">
        <v>20</v>
      </c>
      <c r="I401" s="61" t="s">
        <v>50</v>
      </c>
      <c r="J401" s="63" t="s">
        <v>21</v>
      </c>
      <c r="K401" s="61" t="s">
        <v>50</v>
      </c>
      <c r="L401" s="63" t="s">
        <v>22</v>
      </c>
      <c r="M401" s="61" t="s">
        <v>50</v>
      </c>
      <c r="N401" s="60" t="s">
        <v>1156</v>
      </c>
      <c r="O401" s="59"/>
      <c r="P401" s="59"/>
    </row>
    <row r="402" ht="22.5" customHeight="1">
      <c r="A402" s="59"/>
      <c r="B402" s="60" t="s">
        <v>1157</v>
      </c>
      <c r="C402" s="59">
        <f t="shared" si="3"/>
        <v>0</v>
      </c>
      <c r="D402" s="61" t="s">
        <v>34</v>
      </c>
      <c r="E402" s="61" t="s">
        <v>49</v>
      </c>
      <c r="F402" s="59" t="s">
        <v>18</v>
      </c>
      <c r="G402" s="61" t="s">
        <v>50</v>
      </c>
      <c r="H402" s="59" t="s">
        <v>20</v>
      </c>
      <c r="I402" s="61" t="s">
        <v>50</v>
      </c>
      <c r="J402" s="63" t="s">
        <v>21</v>
      </c>
      <c r="K402" s="61" t="s">
        <v>31</v>
      </c>
      <c r="L402" s="63" t="s">
        <v>22</v>
      </c>
      <c r="M402" s="61" t="s">
        <v>50</v>
      </c>
      <c r="N402" s="60" t="s">
        <v>1158</v>
      </c>
      <c r="O402" s="59"/>
      <c r="P402" s="59"/>
    </row>
    <row r="403" ht="22.5" customHeight="1">
      <c r="A403" s="59"/>
      <c r="B403" s="60" t="s">
        <v>1159</v>
      </c>
      <c r="C403" s="59">
        <f t="shared" si="3"/>
        <v>0</v>
      </c>
      <c r="D403" s="61" t="s">
        <v>34</v>
      </c>
      <c r="E403" s="61" t="s">
        <v>49</v>
      </c>
      <c r="F403" s="59" t="s">
        <v>18</v>
      </c>
      <c r="G403" s="61" t="s">
        <v>31</v>
      </c>
      <c r="H403" s="59" t="s">
        <v>20</v>
      </c>
      <c r="I403" s="61" t="s">
        <v>50</v>
      </c>
      <c r="J403" s="63" t="s">
        <v>21</v>
      </c>
      <c r="K403" s="61" t="s">
        <v>50</v>
      </c>
      <c r="L403" s="63" t="s">
        <v>22</v>
      </c>
      <c r="M403" s="61" t="s">
        <v>50</v>
      </c>
      <c r="N403" s="60" t="s">
        <v>372</v>
      </c>
      <c r="O403" s="59"/>
      <c r="P403" s="59"/>
    </row>
    <row r="404" ht="22.5" customHeight="1">
      <c r="A404" s="59"/>
      <c r="B404" s="60" t="s">
        <v>1160</v>
      </c>
      <c r="C404" s="59">
        <f t="shared" si="3"/>
        <v>0</v>
      </c>
      <c r="D404" s="61" t="s">
        <v>34</v>
      </c>
      <c r="E404" s="61" t="s">
        <v>49</v>
      </c>
      <c r="F404" s="59" t="s">
        <v>18</v>
      </c>
      <c r="G404" s="61" t="s">
        <v>31</v>
      </c>
      <c r="H404" s="59" t="s">
        <v>20</v>
      </c>
      <c r="I404" s="61" t="s">
        <v>50</v>
      </c>
      <c r="J404" s="63" t="s">
        <v>21</v>
      </c>
      <c r="K404" s="61" t="s">
        <v>50</v>
      </c>
      <c r="L404" s="63" t="s">
        <v>22</v>
      </c>
      <c r="M404" s="61" t="s">
        <v>50</v>
      </c>
      <c r="N404" s="60" t="s">
        <v>372</v>
      </c>
      <c r="O404" s="59"/>
      <c r="P404" s="59"/>
      <c r="Q404" s="89"/>
      <c r="R404" s="89"/>
      <c r="S404" s="89"/>
      <c r="T404" s="89"/>
      <c r="U404" s="89"/>
      <c r="V404" s="89"/>
      <c r="W404" s="89"/>
      <c r="X404" s="89"/>
      <c r="Y404" s="89"/>
      <c r="Z404" s="89"/>
    </row>
    <row r="405" ht="22.5" customHeight="1">
      <c r="A405" s="59"/>
      <c r="B405" s="82" t="s">
        <v>1161</v>
      </c>
      <c r="C405" s="59">
        <f t="shared" si="3"/>
        <v>1</v>
      </c>
      <c r="D405" s="61" t="s">
        <v>34</v>
      </c>
      <c r="E405" s="61" t="s">
        <v>656</v>
      </c>
      <c r="F405" s="59" t="s">
        <v>18</v>
      </c>
      <c r="G405" s="61" t="s">
        <v>31</v>
      </c>
      <c r="H405" s="59" t="s">
        <v>20</v>
      </c>
      <c r="I405" s="61" t="s">
        <v>26</v>
      </c>
      <c r="J405" s="63" t="s">
        <v>21</v>
      </c>
      <c r="K405" s="61" t="s">
        <v>19</v>
      </c>
      <c r="L405" s="63" t="s">
        <v>22</v>
      </c>
      <c r="M405" s="61" t="s">
        <v>31</v>
      </c>
      <c r="N405" s="60" t="s">
        <v>696</v>
      </c>
      <c r="O405" s="59"/>
      <c r="P405" s="59"/>
    </row>
    <row r="406" ht="22.5" customHeight="1">
      <c r="A406" s="81" t="s">
        <v>637</v>
      </c>
      <c r="B406" s="60" t="s">
        <v>518</v>
      </c>
      <c r="C406" s="59">
        <f t="shared" si="3"/>
        <v>1</v>
      </c>
      <c r="D406" s="61" t="s">
        <v>34</v>
      </c>
      <c r="E406" s="61" t="s">
        <v>40</v>
      </c>
      <c r="F406" s="59" t="s">
        <v>18</v>
      </c>
      <c r="G406" s="61" t="s">
        <v>26</v>
      </c>
      <c r="H406" s="59" t="s">
        <v>20</v>
      </c>
      <c r="I406" s="61" t="s">
        <v>19</v>
      </c>
      <c r="J406" s="63" t="s">
        <v>21</v>
      </c>
      <c r="K406" s="61" t="s">
        <v>31</v>
      </c>
      <c r="L406" s="63" t="s">
        <v>22</v>
      </c>
      <c r="M406" s="61" t="s">
        <v>31</v>
      </c>
      <c r="N406" s="60" t="s">
        <v>376</v>
      </c>
      <c r="O406" s="60"/>
      <c r="P406" s="59"/>
    </row>
    <row r="407" ht="22.5" customHeight="1">
      <c r="A407" s="59"/>
      <c r="B407" s="60" t="s">
        <v>1162</v>
      </c>
      <c r="C407" s="59">
        <f t="shared" si="3"/>
        <v>0</v>
      </c>
      <c r="D407" s="61" t="s">
        <v>34</v>
      </c>
      <c r="E407" s="61" t="s">
        <v>49</v>
      </c>
      <c r="F407" s="59" t="s">
        <v>18</v>
      </c>
      <c r="G407" s="61" t="s">
        <v>31</v>
      </c>
      <c r="H407" s="59" t="s">
        <v>20</v>
      </c>
      <c r="I407" s="61" t="s">
        <v>50</v>
      </c>
      <c r="J407" s="63" t="s">
        <v>21</v>
      </c>
      <c r="K407" s="61" t="s">
        <v>50</v>
      </c>
      <c r="L407" s="63" t="s">
        <v>22</v>
      </c>
      <c r="M407" s="61" t="s">
        <v>50</v>
      </c>
      <c r="N407" s="60" t="s">
        <v>372</v>
      </c>
      <c r="O407" s="59"/>
      <c r="P407" s="59"/>
    </row>
    <row r="408" ht="22.5" customHeight="1">
      <c r="A408" s="81" t="s">
        <v>637</v>
      </c>
      <c r="B408" s="60" t="s">
        <v>519</v>
      </c>
      <c r="C408" s="59">
        <f t="shared" si="3"/>
        <v>3</v>
      </c>
      <c r="D408" s="61" t="s">
        <v>34</v>
      </c>
      <c r="E408" s="61" t="s">
        <v>40</v>
      </c>
      <c r="F408" s="59" t="s">
        <v>18</v>
      </c>
      <c r="G408" s="61" t="s">
        <v>19</v>
      </c>
      <c r="H408" s="59" t="s">
        <v>20</v>
      </c>
      <c r="I408" s="61" t="s">
        <v>19</v>
      </c>
      <c r="J408" s="63" t="s">
        <v>21</v>
      </c>
      <c r="K408" s="61" t="s">
        <v>19</v>
      </c>
      <c r="L408" s="63" t="s">
        <v>22</v>
      </c>
      <c r="M408" s="61" t="s">
        <v>31</v>
      </c>
      <c r="N408" s="60" t="s">
        <v>376</v>
      </c>
      <c r="O408" s="59"/>
      <c r="P408" s="59"/>
    </row>
    <row r="409" ht="22.5" customHeight="1">
      <c r="A409" s="81" t="s">
        <v>637</v>
      </c>
      <c r="B409" s="60" t="s">
        <v>520</v>
      </c>
      <c r="C409" s="59">
        <f t="shared" si="3"/>
        <v>3</v>
      </c>
      <c r="D409" s="61" t="s">
        <v>34</v>
      </c>
      <c r="E409" s="61" t="s">
        <v>40</v>
      </c>
      <c r="F409" s="59" t="s">
        <v>18</v>
      </c>
      <c r="G409" s="61" t="s">
        <v>26</v>
      </c>
      <c r="H409" s="59" t="s">
        <v>20</v>
      </c>
      <c r="I409" s="61" t="s">
        <v>19</v>
      </c>
      <c r="J409" s="63" t="s">
        <v>21</v>
      </c>
      <c r="K409" s="61" t="s">
        <v>19</v>
      </c>
      <c r="L409" s="63" t="s">
        <v>22</v>
      </c>
      <c r="M409" s="61" t="s">
        <v>19</v>
      </c>
      <c r="N409" s="60" t="s">
        <v>376</v>
      </c>
      <c r="O409" s="59"/>
      <c r="P409" s="59"/>
    </row>
    <row r="410" ht="22.5" customHeight="1">
      <c r="A410" s="60" t="s">
        <v>1163</v>
      </c>
      <c r="B410" s="60" t="s">
        <v>1164</v>
      </c>
      <c r="C410" s="59">
        <f t="shared" si="3"/>
        <v>4</v>
      </c>
      <c r="D410" s="61" t="s">
        <v>16</v>
      </c>
      <c r="E410" s="61" t="s">
        <v>17</v>
      </c>
      <c r="F410" s="59" t="s">
        <v>18</v>
      </c>
      <c r="G410" s="61" t="s">
        <v>19</v>
      </c>
      <c r="H410" s="59" t="s">
        <v>20</v>
      </c>
      <c r="I410" s="61" t="s">
        <v>19</v>
      </c>
      <c r="J410" s="63" t="s">
        <v>21</v>
      </c>
      <c r="K410" s="61" t="s">
        <v>19</v>
      </c>
      <c r="L410" s="63" t="s">
        <v>22</v>
      </c>
      <c r="M410" s="61" t="s">
        <v>19</v>
      </c>
      <c r="N410" s="59"/>
      <c r="O410" s="59"/>
      <c r="P410" s="59"/>
    </row>
    <row r="411" ht="22.5" customHeight="1">
      <c r="A411" s="59"/>
      <c r="B411" s="60" t="s">
        <v>1165</v>
      </c>
      <c r="C411" s="59">
        <f t="shared" si="3"/>
        <v>1</v>
      </c>
      <c r="D411" s="61" t="s">
        <v>34</v>
      </c>
      <c r="E411" s="61" t="s">
        <v>49</v>
      </c>
      <c r="F411" s="59" t="s">
        <v>18</v>
      </c>
      <c r="G411" s="61" t="s">
        <v>19</v>
      </c>
      <c r="H411" s="59" t="s">
        <v>20</v>
      </c>
      <c r="I411" s="61" t="s">
        <v>50</v>
      </c>
      <c r="J411" s="63" t="s">
        <v>21</v>
      </c>
      <c r="K411" s="61" t="s">
        <v>50</v>
      </c>
      <c r="L411" s="63" t="s">
        <v>22</v>
      </c>
      <c r="M411" s="61" t="s">
        <v>50</v>
      </c>
      <c r="N411" s="60" t="s">
        <v>372</v>
      </c>
      <c r="O411" s="59"/>
      <c r="P411" s="59"/>
    </row>
    <row r="412" ht="22.5" customHeight="1">
      <c r="A412" s="59"/>
      <c r="B412" s="60" t="s">
        <v>1166</v>
      </c>
      <c r="C412" s="59">
        <f t="shared" si="3"/>
        <v>1</v>
      </c>
      <c r="D412" s="61" t="s">
        <v>34</v>
      </c>
      <c r="E412" s="61" t="s">
        <v>49</v>
      </c>
      <c r="F412" s="59" t="s">
        <v>18</v>
      </c>
      <c r="G412" s="61" t="s">
        <v>19</v>
      </c>
      <c r="H412" s="59" t="s">
        <v>20</v>
      </c>
      <c r="I412" s="61" t="s">
        <v>50</v>
      </c>
      <c r="J412" s="63" t="s">
        <v>21</v>
      </c>
      <c r="K412" s="61" t="s">
        <v>50</v>
      </c>
      <c r="L412" s="63" t="s">
        <v>22</v>
      </c>
      <c r="M412" s="61" t="s">
        <v>50</v>
      </c>
      <c r="N412" s="60" t="s">
        <v>372</v>
      </c>
      <c r="O412" s="59"/>
      <c r="P412" s="59"/>
    </row>
    <row r="413" ht="22.5" customHeight="1">
      <c r="A413" s="59"/>
      <c r="B413" s="60" t="s">
        <v>1167</v>
      </c>
      <c r="C413" s="59">
        <f t="shared" si="3"/>
        <v>0</v>
      </c>
      <c r="D413" s="61" t="s">
        <v>34</v>
      </c>
      <c r="E413" s="61" t="s">
        <v>49</v>
      </c>
      <c r="F413" s="59" t="s">
        <v>18</v>
      </c>
      <c r="G413" s="61" t="s">
        <v>31</v>
      </c>
      <c r="H413" s="59" t="s">
        <v>20</v>
      </c>
      <c r="I413" s="61" t="s">
        <v>50</v>
      </c>
      <c r="J413" s="63" t="s">
        <v>21</v>
      </c>
      <c r="K413" s="61" t="s">
        <v>50</v>
      </c>
      <c r="L413" s="63" t="s">
        <v>22</v>
      </c>
      <c r="M413" s="61" t="s">
        <v>50</v>
      </c>
      <c r="N413" s="60" t="s">
        <v>372</v>
      </c>
      <c r="O413" s="59"/>
      <c r="P413" s="59"/>
    </row>
    <row r="414" ht="22.5" customHeight="1">
      <c r="A414" s="59"/>
      <c r="B414" s="60" t="s">
        <v>1168</v>
      </c>
      <c r="C414" s="59">
        <f t="shared" si="3"/>
        <v>0</v>
      </c>
      <c r="D414" s="61" t="s">
        <v>34</v>
      </c>
      <c r="E414" s="61" t="s">
        <v>49</v>
      </c>
      <c r="F414" s="59" t="s">
        <v>18</v>
      </c>
      <c r="G414" s="61" t="s">
        <v>50</v>
      </c>
      <c r="H414" s="59" t="s">
        <v>20</v>
      </c>
      <c r="I414" s="61" t="s">
        <v>31</v>
      </c>
      <c r="J414" s="63" t="s">
        <v>21</v>
      </c>
      <c r="K414" s="61" t="s">
        <v>50</v>
      </c>
      <c r="L414" s="63" t="s">
        <v>22</v>
      </c>
      <c r="M414" s="61" t="s">
        <v>50</v>
      </c>
      <c r="N414" s="60" t="s">
        <v>152</v>
      </c>
      <c r="O414" s="59"/>
      <c r="P414" s="59"/>
    </row>
    <row r="415" ht="22.5" customHeight="1">
      <c r="A415" s="59"/>
      <c r="B415" s="110" t="s">
        <v>1169</v>
      </c>
      <c r="C415" s="59">
        <f t="shared" si="3"/>
        <v>2</v>
      </c>
      <c r="D415" s="61" t="s">
        <v>34</v>
      </c>
      <c r="E415" s="61" t="s">
        <v>30</v>
      </c>
      <c r="F415" s="59" t="s">
        <v>18</v>
      </c>
      <c r="G415" s="61" t="s">
        <v>31</v>
      </c>
      <c r="H415" s="59" t="s">
        <v>20</v>
      </c>
      <c r="I415" s="61" t="s">
        <v>31</v>
      </c>
      <c r="J415" s="63" t="s">
        <v>21</v>
      </c>
      <c r="K415" s="61" t="s">
        <v>640</v>
      </c>
      <c r="L415" s="63" t="s">
        <v>22</v>
      </c>
      <c r="M415" s="61" t="s">
        <v>640</v>
      </c>
      <c r="N415" s="60" t="s">
        <v>1170</v>
      </c>
      <c r="O415" s="60" t="s">
        <v>1171</v>
      </c>
      <c r="P415" s="59"/>
    </row>
    <row r="416" ht="22.5" customHeight="1">
      <c r="A416" s="59"/>
      <c r="B416" s="60" t="s">
        <v>1172</v>
      </c>
      <c r="C416" s="59">
        <f t="shared" si="3"/>
        <v>0</v>
      </c>
      <c r="D416" s="61" t="s">
        <v>34</v>
      </c>
      <c r="E416" s="61" t="s">
        <v>49</v>
      </c>
      <c r="F416" s="59" t="s">
        <v>18</v>
      </c>
      <c r="G416" s="61" t="s">
        <v>50</v>
      </c>
      <c r="H416" s="59" t="s">
        <v>20</v>
      </c>
      <c r="I416" s="61" t="s">
        <v>50</v>
      </c>
      <c r="J416" s="63" t="s">
        <v>21</v>
      </c>
      <c r="K416" s="61" t="s">
        <v>50</v>
      </c>
      <c r="L416" s="63" t="s">
        <v>22</v>
      </c>
      <c r="M416" s="61" t="s">
        <v>31</v>
      </c>
      <c r="N416" s="60" t="s">
        <v>372</v>
      </c>
      <c r="O416" s="59"/>
      <c r="P416" s="59"/>
    </row>
    <row r="417" ht="22.5" customHeight="1">
      <c r="A417" s="81" t="s">
        <v>637</v>
      </c>
      <c r="B417" s="60" t="s">
        <v>521</v>
      </c>
      <c r="C417" s="59">
        <f t="shared" si="3"/>
        <v>3</v>
      </c>
      <c r="D417" s="61" t="s">
        <v>34</v>
      </c>
      <c r="E417" s="61" t="s">
        <v>40</v>
      </c>
      <c r="F417" s="59" t="s">
        <v>18</v>
      </c>
      <c r="G417" s="61" t="s">
        <v>31</v>
      </c>
      <c r="H417" s="59" t="s">
        <v>20</v>
      </c>
      <c r="I417" s="61" t="s">
        <v>19</v>
      </c>
      <c r="J417" s="63" t="s">
        <v>21</v>
      </c>
      <c r="K417" s="61" t="s">
        <v>19</v>
      </c>
      <c r="L417" s="63" t="s">
        <v>22</v>
      </c>
      <c r="M417" s="61" t="s">
        <v>19</v>
      </c>
      <c r="N417" s="60" t="s">
        <v>376</v>
      </c>
      <c r="O417" s="59"/>
      <c r="P417" s="59"/>
    </row>
    <row r="418" ht="22.5" customHeight="1">
      <c r="A418" s="59"/>
      <c r="B418" s="60" t="s">
        <v>1173</v>
      </c>
      <c r="C418" s="59">
        <f t="shared" si="3"/>
        <v>0</v>
      </c>
      <c r="D418" s="61" t="s">
        <v>34</v>
      </c>
      <c r="E418" s="61" t="s">
        <v>49</v>
      </c>
      <c r="F418" s="59" t="s">
        <v>18</v>
      </c>
      <c r="G418" s="61" t="s">
        <v>31</v>
      </c>
      <c r="H418" s="59" t="s">
        <v>20</v>
      </c>
      <c r="I418" s="61" t="s">
        <v>50</v>
      </c>
      <c r="J418" s="63" t="s">
        <v>21</v>
      </c>
      <c r="K418" s="61" t="s">
        <v>50</v>
      </c>
      <c r="L418" s="63" t="s">
        <v>22</v>
      </c>
      <c r="M418" s="61" t="s">
        <v>50</v>
      </c>
      <c r="N418" s="60" t="s">
        <v>1174</v>
      </c>
      <c r="O418" s="59"/>
      <c r="P418" s="59"/>
    </row>
    <row r="419" ht="22.5" customHeight="1">
      <c r="A419" s="59"/>
      <c r="B419" s="60" t="s">
        <v>1175</v>
      </c>
      <c r="C419" s="59">
        <f t="shared" si="3"/>
        <v>0</v>
      </c>
      <c r="D419" s="61" t="s">
        <v>34</v>
      </c>
      <c r="E419" s="61" t="s">
        <v>49</v>
      </c>
      <c r="F419" s="59" t="s">
        <v>18</v>
      </c>
      <c r="G419" s="61" t="s">
        <v>50</v>
      </c>
      <c r="H419" s="59" t="s">
        <v>20</v>
      </c>
      <c r="I419" s="61" t="s">
        <v>31</v>
      </c>
      <c r="J419" s="63" t="s">
        <v>21</v>
      </c>
      <c r="K419" s="61" t="s">
        <v>50</v>
      </c>
      <c r="L419" s="63" t="s">
        <v>22</v>
      </c>
      <c r="M419" s="61" t="s">
        <v>50</v>
      </c>
      <c r="N419" s="60" t="s">
        <v>372</v>
      </c>
      <c r="O419" s="59"/>
      <c r="P419" s="59"/>
    </row>
    <row r="420" ht="22.5" customHeight="1">
      <c r="A420" s="59"/>
      <c r="B420" s="60" t="s">
        <v>1176</v>
      </c>
      <c r="C420" s="59">
        <f t="shared" si="3"/>
        <v>4</v>
      </c>
      <c r="D420" s="62"/>
      <c r="E420" s="61" t="s">
        <v>813</v>
      </c>
      <c r="F420" s="59" t="s">
        <v>18</v>
      </c>
      <c r="G420" s="61" t="s">
        <v>640</v>
      </c>
      <c r="H420" s="59" t="s">
        <v>20</v>
      </c>
      <c r="I420" s="61" t="s">
        <v>640</v>
      </c>
      <c r="J420" s="63" t="s">
        <v>21</v>
      </c>
      <c r="K420" s="61" t="s">
        <v>640</v>
      </c>
      <c r="L420" s="63" t="s">
        <v>22</v>
      </c>
      <c r="M420" s="61" t="s">
        <v>640</v>
      </c>
      <c r="N420" s="59"/>
      <c r="O420" s="59"/>
      <c r="P420" s="59"/>
    </row>
    <row r="421" ht="22.5" customHeight="1">
      <c r="A421" s="59"/>
      <c r="B421" s="86" t="s">
        <v>1177</v>
      </c>
      <c r="C421" s="59">
        <f t="shared" si="3"/>
        <v>1</v>
      </c>
      <c r="D421" s="61" t="s">
        <v>34</v>
      </c>
      <c r="E421" s="61" t="s">
        <v>656</v>
      </c>
      <c r="F421" s="59" t="s">
        <v>18</v>
      </c>
      <c r="G421" s="61" t="s">
        <v>31</v>
      </c>
      <c r="H421" s="59" t="s">
        <v>20</v>
      </c>
      <c r="I421" s="61" t="s">
        <v>31</v>
      </c>
      <c r="J421" s="63" t="s">
        <v>21</v>
      </c>
      <c r="K421" s="61" t="s">
        <v>31</v>
      </c>
      <c r="L421" s="63" t="s">
        <v>22</v>
      </c>
      <c r="M421" s="61" t="s">
        <v>640</v>
      </c>
      <c r="N421" s="60" t="s">
        <v>1178</v>
      </c>
      <c r="O421" s="60" t="s">
        <v>1179</v>
      </c>
      <c r="P421" s="59"/>
    </row>
    <row r="422" ht="22.5" customHeight="1">
      <c r="A422" s="60" t="s">
        <v>1180</v>
      </c>
      <c r="B422" s="60" t="s">
        <v>1181</v>
      </c>
      <c r="C422" s="59">
        <f t="shared" si="3"/>
        <v>4</v>
      </c>
      <c r="D422" s="61" t="s">
        <v>16</v>
      </c>
      <c r="E422" s="61" t="s">
        <v>17</v>
      </c>
      <c r="F422" s="59" t="s">
        <v>18</v>
      </c>
      <c r="G422" s="61" t="s">
        <v>19</v>
      </c>
      <c r="H422" s="59" t="s">
        <v>20</v>
      </c>
      <c r="I422" s="61" t="s">
        <v>19</v>
      </c>
      <c r="J422" s="63" t="s">
        <v>21</v>
      </c>
      <c r="K422" s="61" t="s">
        <v>19</v>
      </c>
      <c r="L422" s="63" t="s">
        <v>22</v>
      </c>
      <c r="M422" s="61" t="s">
        <v>19</v>
      </c>
      <c r="N422" s="59"/>
      <c r="O422" s="59"/>
      <c r="P422" s="59"/>
    </row>
    <row r="423" ht="22.5" customHeight="1">
      <c r="A423" s="81" t="s">
        <v>637</v>
      </c>
      <c r="B423" s="60" t="s">
        <v>522</v>
      </c>
      <c r="C423" s="59">
        <f t="shared" si="3"/>
        <v>3</v>
      </c>
      <c r="D423" s="61" t="s">
        <v>34</v>
      </c>
      <c r="E423" s="61" t="s">
        <v>40</v>
      </c>
      <c r="F423" s="59" t="s">
        <v>18</v>
      </c>
      <c r="G423" s="61" t="s">
        <v>19</v>
      </c>
      <c r="H423" s="59" t="s">
        <v>20</v>
      </c>
      <c r="I423" s="61" t="s">
        <v>19</v>
      </c>
      <c r="J423" s="63" t="s">
        <v>21</v>
      </c>
      <c r="K423" s="61" t="s">
        <v>31</v>
      </c>
      <c r="L423" s="63" t="s">
        <v>22</v>
      </c>
      <c r="M423" s="61" t="s">
        <v>19</v>
      </c>
      <c r="N423" s="60" t="s">
        <v>376</v>
      </c>
      <c r="O423" s="59"/>
      <c r="P423" s="59"/>
    </row>
    <row r="424" ht="22.5" customHeight="1">
      <c r="A424" s="59"/>
      <c r="B424" s="60" t="s">
        <v>1182</v>
      </c>
      <c r="C424" s="59">
        <f t="shared" si="3"/>
        <v>2</v>
      </c>
      <c r="D424" s="61" t="s">
        <v>34</v>
      </c>
      <c r="E424" s="61" t="s">
        <v>30</v>
      </c>
      <c r="F424" s="59" t="s">
        <v>18</v>
      </c>
      <c r="G424" s="61" t="s">
        <v>640</v>
      </c>
      <c r="H424" s="59" t="s">
        <v>20</v>
      </c>
      <c r="I424" s="61" t="s">
        <v>31</v>
      </c>
      <c r="J424" s="63" t="s">
        <v>21</v>
      </c>
      <c r="K424" s="61" t="s">
        <v>31</v>
      </c>
      <c r="L424" s="63" t="s">
        <v>22</v>
      </c>
      <c r="M424" s="61" t="s">
        <v>19</v>
      </c>
      <c r="N424" s="60" t="s">
        <v>1183</v>
      </c>
      <c r="O424" s="60" t="s">
        <v>1184</v>
      </c>
      <c r="P424" s="59"/>
    </row>
    <row r="425" ht="22.5" customHeight="1">
      <c r="A425" s="59"/>
      <c r="B425" s="60" t="s">
        <v>1185</v>
      </c>
      <c r="C425" s="59">
        <f t="shared" si="3"/>
        <v>3</v>
      </c>
      <c r="D425" s="61" t="s">
        <v>34</v>
      </c>
      <c r="E425" s="61" t="s">
        <v>49</v>
      </c>
      <c r="F425" s="59" t="s">
        <v>18</v>
      </c>
      <c r="G425" s="61" t="s">
        <v>19</v>
      </c>
      <c r="H425" s="59" t="s">
        <v>20</v>
      </c>
      <c r="I425" s="61" t="s">
        <v>31</v>
      </c>
      <c r="J425" s="63" t="s">
        <v>21</v>
      </c>
      <c r="K425" s="61" t="s">
        <v>19</v>
      </c>
      <c r="L425" s="63" t="s">
        <v>22</v>
      </c>
      <c r="M425" s="61" t="s">
        <v>19</v>
      </c>
      <c r="N425" s="60" t="s">
        <v>1186</v>
      </c>
      <c r="O425" s="59"/>
      <c r="P425" s="59"/>
    </row>
    <row r="426" ht="22.5" customHeight="1">
      <c r="A426" s="60" t="s">
        <v>1187</v>
      </c>
      <c r="B426" s="60" t="s">
        <v>1188</v>
      </c>
      <c r="C426" s="59">
        <f t="shared" si="3"/>
        <v>3</v>
      </c>
      <c r="D426" s="61" t="s">
        <v>34</v>
      </c>
      <c r="E426" s="61" t="s">
        <v>49</v>
      </c>
      <c r="F426" s="59" t="s">
        <v>18</v>
      </c>
      <c r="G426" s="61" t="s">
        <v>19</v>
      </c>
      <c r="H426" s="59" t="s">
        <v>20</v>
      </c>
      <c r="I426" s="61" t="s">
        <v>31</v>
      </c>
      <c r="J426" s="63" t="s">
        <v>21</v>
      </c>
      <c r="K426" s="61" t="s">
        <v>19</v>
      </c>
      <c r="L426" s="63" t="s">
        <v>22</v>
      </c>
      <c r="M426" s="61" t="s">
        <v>19</v>
      </c>
      <c r="N426" s="60" t="s">
        <v>1189</v>
      </c>
      <c r="O426" s="59"/>
      <c r="P426" s="59"/>
    </row>
    <row r="427" ht="22.5" customHeight="1">
      <c r="A427" s="60" t="s">
        <v>637</v>
      </c>
      <c r="B427" s="82" t="s">
        <v>1190</v>
      </c>
      <c r="C427" s="59">
        <f t="shared" si="3"/>
        <v>1</v>
      </c>
      <c r="D427" s="61" t="s">
        <v>34</v>
      </c>
      <c r="E427" s="61" t="s">
        <v>35</v>
      </c>
      <c r="F427" s="59" t="s">
        <v>18</v>
      </c>
      <c r="G427" s="61" t="s">
        <v>31</v>
      </c>
      <c r="H427" s="59" t="s">
        <v>20</v>
      </c>
      <c r="I427" s="61" t="s">
        <v>31</v>
      </c>
      <c r="J427" s="63" t="s">
        <v>21</v>
      </c>
      <c r="K427" s="61" t="s">
        <v>31</v>
      </c>
      <c r="L427" s="63" t="s">
        <v>22</v>
      </c>
      <c r="M427" s="61" t="s">
        <v>640</v>
      </c>
      <c r="N427" s="60" t="s">
        <v>1191</v>
      </c>
      <c r="O427" s="59"/>
      <c r="P427" s="59"/>
    </row>
    <row r="428" ht="22.5" customHeight="1">
      <c r="A428" s="59"/>
      <c r="B428" s="60" t="s">
        <v>1192</v>
      </c>
      <c r="C428" s="59">
        <f t="shared" si="3"/>
        <v>0</v>
      </c>
      <c r="D428" s="61" t="s">
        <v>34</v>
      </c>
      <c r="E428" s="61" t="s">
        <v>49</v>
      </c>
      <c r="F428" s="59" t="s">
        <v>18</v>
      </c>
      <c r="G428" s="61" t="s">
        <v>31</v>
      </c>
      <c r="H428" s="59" t="s">
        <v>20</v>
      </c>
      <c r="I428" s="61" t="s">
        <v>50</v>
      </c>
      <c r="J428" s="63" t="s">
        <v>21</v>
      </c>
      <c r="K428" s="61" t="s">
        <v>50</v>
      </c>
      <c r="L428" s="63" t="s">
        <v>22</v>
      </c>
      <c r="M428" s="61" t="s">
        <v>50</v>
      </c>
      <c r="N428" s="60" t="s">
        <v>1081</v>
      </c>
      <c r="O428" s="59"/>
      <c r="P428" s="59"/>
    </row>
    <row r="429" ht="22.5" customHeight="1">
      <c r="A429" s="59"/>
      <c r="B429" s="60" t="s">
        <v>1193</v>
      </c>
      <c r="C429" s="60">
        <v>0.0</v>
      </c>
      <c r="D429" s="61" t="s">
        <v>34</v>
      </c>
      <c r="E429" s="61" t="s">
        <v>30</v>
      </c>
      <c r="F429" s="59" t="s">
        <v>18</v>
      </c>
      <c r="G429" s="61" t="s">
        <v>19</v>
      </c>
      <c r="H429" s="59" t="s">
        <v>20</v>
      </c>
      <c r="I429" s="61" t="s">
        <v>19</v>
      </c>
      <c r="J429" s="63" t="s">
        <v>21</v>
      </c>
      <c r="K429" s="61" t="s">
        <v>19</v>
      </c>
      <c r="L429" s="63" t="s">
        <v>22</v>
      </c>
      <c r="M429" s="61" t="s">
        <v>31</v>
      </c>
      <c r="N429" s="60" t="s">
        <v>762</v>
      </c>
      <c r="O429" s="59"/>
      <c r="P429" s="59"/>
    </row>
    <row r="430" ht="22.5" customHeight="1">
      <c r="A430" s="81" t="s">
        <v>637</v>
      </c>
      <c r="B430" s="60" t="s">
        <v>523</v>
      </c>
      <c r="C430" s="59">
        <f t="shared" ref="C430:C459" si="4">COUNTIF(G430:M430, "Not attempted") + COUNTIF(G430:M430, "Not Recieved")</f>
        <v>3</v>
      </c>
      <c r="D430" s="61" t="s">
        <v>34</v>
      </c>
      <c r="E430" s="61" t="s">
        <v>40</v>
      </c>
      <c r="F430" s="59" t="s">
        <v>18</v>
      </c>
      <c r="G430" s="61" t="s">
        <v>19</v>
      </c>
      <c r="H430" s="59" t="s">
        <v>20</v>
      </c>
      <c r="I430" s="61" t="s">
        <v>31</v>
      </c>
      <c r="J430" s="63" t="s">
        <v>21</v>
      </c>
      <c r="K430" s="61" t="s">
        <v>19</v>
      </c>
      <c r="L430" s="63" t="s">
        <v>22</v>
      </c>
      <c r="M430" s="61" t="s">
        <v>19</v>
      </c>
      <c r="N430" s="60" t="s">
        <v>376</v>
      </c>
      <c r="O430" s="59"/>
      <c r="P430" s="59"/>
    </row>
    <row r="431" ht="22.5" customHeight="1">
      <c r="A431" s="81" t="s">
        <v>637</v>
      </c>
      <c r="B431" s="60" t="s">
        <v>1194</v>
      </c>
      <c r="C431" s="59">
        <f t="shared" si="4"/>
        <v>0</v>
      </c>
      <c r="D431" s="61" t="s">
        <v>34</v>
      </c>
      <c r="E431" s="61" t="s">
        <v>49</v>
      </c>
      <c r="F431" s="59" t="s">
        <v>18</v>
      </c>
      <c r="G431" s="61" t="s">
        <v>50</v>
      </c>
      <c r="H431" s="59" t="s">
        <v>20</v>
      </c>
      <c r="I431" s="61" t="s">
        <v>31</v>
      </c>
      <c r="J431" s="63" t="s">
        <v>21</v>
      </c>
      <c r="K431" s="61" t="s">
        <v>50</v>
      </c>
      <c r="L431" s="63" t="s">
        <v>22</v>
      </c>
      <c r="M431" s="61" t="s">
        <v>50</v>
      </c>
      <c r="N431" s="60" t="s">
        <v>152</v>
      </c>
      <c r="O431" s="59"/>
      <c r="P431" s="59"/>
    </row>
    <row r="432" ht="22.5" customHeight="1">
      <c r="A432" s="81" t="s">
        <v>637</v>
      </c>
      <c r="B432" s="60" t="s">
        <v>1195</v>
      </c>
      <c r="C432" s="59">
        <f t="shared" si="4"/>
        <v>0</v>
      </c>
      <c r="D432" s="61" t="s">
        <v>34</v>
      </c>
      <c r="E432" s="61" t="s">
        <v>49</v>
      </c>
      <c r="F432" s="59" t="s">
        <v>18</v>
      </c>
      <c r="G432" s="61" t="s">
        <v>50</v>
      </c>
      <c r="H432" s="59" t="s">
        <v>20</v>
      </c>
      <c r="I432" s="61" t="s">
        <v>31</v>
      </c>
      <c r="J432" s="63" t="s">
        <v>21</v>
      </c>
      <c r="K432" s="61" t="s">
        <v>50</v>
      </c>
      <c r="L432" s="63" t="s">
        <v>22</v>
      </c>
      <c r="M432" s="61" t="s">
        <v>50</v>
      </c>
      <c r="N432" s="60" t="s">
        <v>1081</v>
      </c>
      <c r="O432" s="60"/>
      <c r="P432" s="59"/>
    </row>
    <row r="433" ht="22.5" customHeight="1">
      <c r="A433" s="59"/>
      <c r="B433" s="60" t="s">
        <v>1196</v>
      </c>
      <c r="C433" s="59">
        <f t="shared" si="4"/>
        <v>0</v>
      </c>
      <c r="D433" s="61" t="s">
        <v>34</v>
      </c>
      <c r="E433" s="61" t="s">
        <v>49</v>
      </c>
      <c r="F433" s="59" t="s">
        <v>18</v>
      </c>
      <c r="G433" s="61" t="s">
        <v>50</v>
      </c>
      <c r="H433" s="59" t="s">
        <v>20</v>
      </c>
      <c r="I433" s="61" t="s">
        <v>31</v>
      </c>
      <c r="J433" s="63" t="s">
        <v>21</v>
      </c>
      <c r="K433" s="61" t="s">
        <v>50</v>
      </c>
      <c r="L433" s="63" t="s">
        <v>22</v>
      </c>
      <c r="M433" s="61" t="s">
        <v>50</v>
      </c>
      <c r="N433" s="60" t="s">
        <v>372</v>
      </c>
      <c r="O433" s="60"/>
      <c r="P433" s="59"/>
    </row>
    <row r="434" ht="22.5" customHeight="1">
      <c r="A434" s="60" t="s">
        <v>637</v>
      </c>
      <c r="B434" s="60" t="s">
        <v>1197</v>
      </c>
      <c r="C434" s="59">
        <f t="shared" si="4"/>
        <v>0</v>
      </c>
      <c r="D434" s="61" t="s">
        <v>34</v>
      </c>
      <c r="E434" s="61" t="s">
        <v>35</v>
      </c>
      <c r="F434" s="59" t="s">
        <v>18</v>
      </c>
      <c r="G434" s="61" t="s">
        <v>31</v>
      </c>
      <c r="H434" s="59" t="s">
        <v>20</v>
      </c>
      <c r="I434" s="61" t="s">
        <v>31</v>
      </c>
      <c r="J434" s="63" t="s">
        <v>21</v>
      </c>
      <c r="K434" s="61" t="s">
        <v>31</v>
      </c>
      <c r="L434" s="63" t="s">
        <v>22</v>
      </c>
      <c r="M434" s="62"/>
      <c r="N434" s="60" t="s">
        <v>1198</v>
      </c>
      <c r="O434" s="59"/>
      <c r="P434" s="59"/>
    </row>
    <row r="435" ht="22.5" customHeight="1">
      <c r="A435" s="81" t="s">
        <v>637</v>
      </c>
      <c r="B435" s="82" t="s">
        <v>1199</v>
      </c>
      <c r="C435" s="59">
        <f t="shared" si="4"/>
        <v>1</v>
      </c>
      <c r="D435" s="61" t="s">
        <v>34</v>
      </c>
      <c r="E435" s="61" t="s">
        <v>49</v>
      </c>
      <c r="F435" s="59" t="s">
        <v>18</v>
      </c>
      <c r="G435" s="61" t="s">
        <v>19</v>
      </c>
      <c r="H435" s="59" t="s">
        <v>20</v>
      </c>
      <c r="I435" s="61" t="s">
        <v>31</v>
      </c>
      <c r="J435" s="63" t="s">
        <v>21</v>
      </c>
      <c r="K435" s="61" t="s">
        <v>50</v>
      </c>
      <c r="L435" s="63" t="s">
        <v>22</v>
      </c>
      <c r="M435" s="61" t="s">
        <v>50</v>
      </c>
      <c r="N435" s="60" t="s">
        <v>372</v>
      </c>
      <c r="O435" s="60"/>
    </row>
    <row r="436" ht="22.5" customHeight="1">
      <c r="A436" s="81" t="s">
        <v>637</v>
      </c>
      <c r="B436" s="60" t="s">
        <v>1200</v>
      </c>
      <c r="C436" s="59">
        <f t="shared" si="4"/>
        <v>2</v>
      </c>
      <c r="D436" s="61" t="s">
        <v>34</v>
      </c>
      <c r="E436" s="61" t="s">
        <v>30</v>
      </c>
      <c r="F436" s="59" t="s">
        <v>18</v>
      </c>
      <c r="G436" s="61" t="s">
        <v>31</v>
      </c>
      <c r="H436" s="59" t="s">
        <v>20</v>
      </c>
      <c r="I436" s="61" t="s">
        <v>31</v>
      </c>
      <c r="J436" s="63" t="s">
        <v>21</v>
      </c>
      <c r="K436" s="61" t="s">
        <v>19</v>
      </c>
      <c r="L436" s="63" t="s">
        <v>22</v>
      </c>
      <c r="M436" s="61" t="s">
        <v>19</v>
      </c>
      <c r="N436" s="60" t="s">
        <v>703</v>
      </c>
      <c r="O436" s="59"/>
      <c r="P436" s="59"/>
    </row>
    <row r="437" ht="22.5" customHeight="1">
      <c r="A437" s="64" t="s">
        <v>1201</v>
      </c>
      <c r="B437" s="64" t="s">
        <v>1202</v>
      </c>
      <c r="C437" s="59">
        <f t="shared" si="4"/>
        <v>4</v>
      </c>
      <c r="D437" s="85" t="s">
        <v>16</v>
      </c>
      <c r="E437" s="85" t="s">
        <v>17</v>
      </c>
      <c r="G437" s="85" t="s">
        <v>19</v>
      </c>
      <c r="I437" s="85" t="s">
        <v>19</v>
      </c>
      <c r="K437" s="85" t="s">
        <v>19</v>
      </c>
      <c r="M437" s="85" t="s">
        <v>19</v>
      </c>
    </row>
    <row r="438" ht="22.5" customHeight="1">
      <c r="A438" s="60" t="s">
        <v>1203</v>
      </c>
      <c r="B438" s="60" t="s">
        <v>1204</v>
      </c>
      <c r="C438" s="59">
        <f t="shared" si="4"/>
        <v>4</v>
      </c>
      <c r="D438" s="61" t="s">
        <v>16</v>
      </c>
      <c r="E438" s="61" t="s">
        <v>17</v>
      </c>
      <c r="F438" s="59" t="s">
        <v>18</v>
      </c>
      <c r="G438" s="61" t="s">
        <v>19</v>
      </c>
      <c r="H438" s="59" t="s">
        <v>20</v>
      </c>
      <c r="I438" s="61" t="s">
        <v>19</v>
      </c>
      <c r="J438" s="63" t="s">
        <v>21</v>
      </c>
      <c r="K438" s="61" t="s">
        <v>19</v>
      </c>
      <c r="L438" s="63" t="s">
        <v>22</v>
      </c>
      <c r="M438" s="61" t="s">
        <v>19</v>
      </c>
      <c r="N438" s="120"/>
      <c r="O438" s="59"/>
      <c r="P438" s="59"/>
    </row>
    <row r="439" ht="22.5" customHeight="1">
      <c r="A439" s="60" t="s">
        <v>637</v>
      </c>
      <c r="B439" s="60" t="s">
        <v>1205</v>
      </c>
      <c r="C439" s="59">
        <f t="shared" si="4"/>
        <v>1</v>
      </c>
      <c r="D439" s="61" t="s">
        <v>34</v>
      </c>
      <c r="E439" s="61" t="s">
        <v>35</v>
      </c>
      <c r="F439" s="59" t="s">
        <v>18</v>
      </c>
      <c r="G439" s="61" t="s">
        <v>31</v>
      </c>
      <c r="H439" s="59" t="s">
        <v>20</v>
      </c>
      <c r="I439" s="61" t="s">
        <v>31</v>
      </c>
      <c r="J439" s="63" t="s">
        <v>21</v>
      </c>
      <c r="K439" s="61" t="s">
        <v>19</v>
      </c>
      <c r="L439" s="63" t="s">
        <v>22</v>
      </c>
      <c r="M439" s="62"/>
      <c r="N439" s="60" t="s">
        <v>1206</v>
      </c>
      <c r="O439" s="60" t="s">
        <v>1207</v>
      </c>
      <c r="P439" s="59"/>
    </row>
    <row r="440" ht="22.5" customHeight="1">
      <c r="A440" s="60" t="s">
        <v>1208</v>
      </c>
      <c r="B440" s="60" t="s">
        <v>1209</v>
      </c>
      <c r="C440" s="59">
        <f t="shared" si="4"/>
        <v>4</v>
      </c>
      <c r="D440" s="61" t="s">
        <v>16</v>
      </c>
      <c r="E440" s="61" t="s">
        <v>17</v>
      </c>
      <c r="F440" s="59" t="s">
        <v>18</v>
      </c>
      <c r="G440" s="61" t="s">
        <v>19</v>
      </c>
      <c r="H440" s="59" t="s">
        <v>20</v>
      </c>
      <c r="I440" s="61" t="s">
        <v>19</v>
      </c>
      <c r="J440" s="63" t="s">
        <v>21</v>
      </c>
      <c r="K440" s="61" t="s">
        <v>19</v>
      </c>
      <c r="L440" s="63" t="s">
        <v>22</v>
      </c>
      <c r="M440" s="61" t="s">
        <v>19</v>
      </c>
      <c r="N440" s="60" t="s">
        <v>376</v>
      </c>
      <c r="O440" s="59"/>
      <c r="P440" s="59"/>
    </row>
    <row r="441" ht="22.5" customHeight="1">
      <c r="A441" s="59"/>
      <c r="B441" s="60" t="s">
        <v>1210</v>
      </c>
      <c r="C441" s="59">
        <f t="shared" si="4"/>
        <v>0</v>
      </c>
      <c r="D441" s="61" t="s">
        <v>34</v>
      </c>
      <c r="E441" s="61" t="s">
        <v>49</v>
      </c>
      <c r="F441" s="59" t="s">
        <v>18</v>
      </c>
      <c r="G441" s="61" t="s">
        <v>50</v>
      </c>
      <c r="H441" s="59" t="s">
        <v>20</v>
      </c>
      <c r="I441" s="61" t="s">
        <v>31</v>
      </c>
      <c r="J441" s="63" t="s">
        <v>21</v>
      </c>
      <c r="K441" s="61" t="s">
        <v>50</v>
      </c>
      <c r="L441" s="63" t="s">
        <v>22</v>
      </c>
      <c r="M441" s="61" t="s">
        <v>50</v>
      </c>
      <c r="N441" s="120"/>
      <c r="O441" s="60" t="s">
        <v>372</v>
      </c>
      <c r="P441" s="59"/>
    </row>
    <row r="442" ht="22.5" customHeight="1">
      <c r="A442" s="59"/>
      <c r="B442" s="60" t="s">
        <v>1211</v>
      </c>
      <c r="C442" s="59">
        <f t="shared" si="4"/>
        <v>0</v>
      </c>
      <c r="D442" s="61" t="s">
        <v>34</v>
      </c>
      <c r="E442" s="61" t="s">
        <v>49</v>
      </c>
      <c r="F442" s="59" t="s">
        <v>18</v>
      </c>
      <c r="G442" s="61" t="s">
        <v>31</v>
      </c>
      <c r="H442" s="59" t="s">
        <v>20</v>
      </c>
      <c r="I442" s="61" t="s">
        <v>50</v>
      </c>
      <c r="J442" s="63" t="s">
        <v>21</v>
      </c>
      <c r="K442" s="61" t="s">
        <v>50</v>
      </c>
      <c r="L442" s="63" t="s">
        <v>22</v>
      </c>
      <c r="M442" s="61" t="s">
        <v>50</v>
      </c>
      <c r="N442" s="60" t="s">
        <v>1212</v>
      </c>
      <c r="O442" s="59"/>
      <c r="P442" s="59"/>
    </row>
    <row r="443" ht="22.5" customHeight="1">
      <c r="A443" s="59"/>
      <c r="B443" s="86" t="s">
        <v>1213</v>
      </c>
      <c r="C443" s="59">
        <f t="shared" si="4"/>
        <v>0</v>
      </c>
      <c r="D443" s="61" t="s">
        <v>34</v>
      </c>
      <c r="E443" s="61" t="s">
        <v>656</v>
      </c>
      <c r="F443" s="59" t="s">
        <v>18</v>
      </c>
      <c r="G443" s="61" t="s">
        <v>26</v>
      </c>
      <c r="H443" s="59" t="s">
        <v>20</v>
      </c>
      <c r="I443" s="61" t="s">
        <v>31</v>
      </c>
      <c r="J443" s="63" t="s">
        <v>21</v>
      </c>
      <c r="K443" s="61" t="s">
        <v>31</v>
      </c>
      <c r="L443" s="63" t="s">
        <v>22</v>
      </c>
      <c r="M443" s="61" t="s">
        <v>31</v>
      </c>
      <c r="N443" s="60" t="s">
        <v>696</v>
      </c>
      <c r="O443" s="60"/>
      <c r="P443" s="59"/>
    </row>
    <row r="444" ht="22.5" customHeight="1">
      <c r="A444" s="60" t="s">
        <v>1214</v>
      </c>
      <c r="B444" s="60" t="s">
        <v>1215</v>
      </c>
      <c r="C444" s="59">
        <f t="shared" si="4"/>
        <v>4</v>
      </c>
      <c r="D444" s="61" t="s">
        <v>16</v>
      </c>
      <c r="E444" s="61" t="s">
        <v>17</v>
      </c>
      <c r="F444" s="59" t="s">
        <v>18</v>
      </c>
      <c r="G444" s="61" t="s">
        <v>19</v>
      </c>
      <c r="H444" s="59" t="s">
        <v>20</v>
      </c>
      <c r="I444" s="61" t="s">
        <v>19</v>
      </c>
      <c r="J444" s="63" t="s">
        <v>21</v>
      </c>
      <c r="K444" s="61" t="s">
        <v>19</v>
      </c>
      <c r="L444" s="63" t="s">
        <v>22</v>
      </c>
      <c r="M444" s="61" t="s">
        <v>19</v>
      </c>
      <c r="N444" s="120"/>
      <c r="O444" s="59"/>
      <c r="P444" s="59"/>
    </row>
    <row r="445" ht="22.5" customHeight="1">
      <c r="A445" s="60" t="s">
        <v>1216</v>
      </c>
      <c r="B445" s="60" t="s">
        <v>1217</v>
      </c>
      <c r="C445" s="59">
        <f t="shared" si="4"/>
        <v>4</v>
      </c>
      <c r="D445" s="61" t="s">
        <v>16</v>
      </c>
      <c r="E445" s="61" t="s">
        <v>17</v>
      </c>
      <c r="F445" s="59" t="s">
        <v>18</v>
      </c>
      <c r="G445" s="61" t="s">
        <v>19</v>
      </c>
      <c r="H445" s="59" t="s">
        <v>20</v>
      </c>
      <c r="I445" s="61" t="s">
        <v>19</v>
      </c>
      <c r="J445" s="63" t="s">
        <v>21</v>
      </c>
      <c r="K445" s="61" t="s">
        <v>19</v>
      </c>
      <c r="L445" s="63" t="s">
        <v>22</v>
      </c>
      <c r="M445" s="61" t="s">
        <v>19</v>
      </c>
      <c r="N445" s="120"/>
      <c r="O445" s="59"/>
      <c r="P445" s="59"/>
    </row>
    <row r="446" ht="22.5" customHeight="1">
      <c r="A446" s="81" t="s">
        <v>637</v>
      </c>
      <c r="B446" s="60" t="s">
        <v>524</v>
      </c>
      <c r="C446" s="59">
        <f t="shared" si="4"/>
        <v>3</v>
      </c>
      <c r="D446" s="61" t="s">
        <v>34</v>
      </c>
      <c r="E446" s="61" t="s">
        <v>40</v>
      </c>
      <c r="F446" s="59" t="s">
        <v>18</v>
      </c>
      <c r="G446" s="61" t="s">
        <v>31</v>
      </c>
      <c r="H446" s="59" t="s">
        <v>20</v>
      </c>
      <c r="I446" s="61" t="s">
        <v>19</v>
      </c>
      <c r="J446" s="63" t="s">
        <v>21</v>
      </c>
      <c r="K446" s="61" t="s">
        <v>19</v>
      </c>
      <c r="L446" s="63" t="s">
        <v>22</v>
      </c>
      <c r="M446" s="61" t="s">
        <v>19</v>
      </c>
      <c r="N446" s="60" t="s">
        <v>376</v>
      </c>
      <c r="O446" s="59"/>
      <c r="P446" s="59"/>
    </row>
    <row r="447" ht="22.5" customHeight="1">
      <c r="A447" s="59"/>
      <c r="B447" s="60" t="s">
        <v>1218</v>
      </c>
      <c r="C447" s="59">
        <f t="shared" si="4"/>
        <v>0</v>
      </c>
      <c r="D447" s="61" t="s">
        <v>34</v>
      </c>
      <c r="E447" s="61" t="s">
        <v>49</v>
      </c>
      <c r="F447" s="59" t="s">
        <v>18</v>
      </c>
      <c r="G447" s="61" t="s">
        <v>50</v>
      </c>
      <c r="H447" s="59" t="s">
        <v>20</v>
      </c>
      <c r="I447" s="61" t="s">
        <v>50</v>
      </c>
      <c r="J447" s="63" t="s">
        <v>21</v>
      </c>
      <c r="K447" s="61" t="s">
        <v>31</v>
      </c>
      <c r="L447" s="63" t="s">
        <v>22</v>
      </c>
      <c r="M447" s="61" t="s">
        <v>50</v>
      </c>
      <c r="N447" s="60" t="s">
        <v>372</v>
      </c>
      <c r="O447" s="59"/>
      <c r="P447" s="59"/>
    </row>
    <row r="448" ht="22.5" customHeight="1">
      <c r="A448" s="59"/>
      <c r="B448" s="60" t="s">
        <v>1219</v>
      </c>
      <c r="C448" s="59">
        <f t="shared" si="4"/>
        <v>0</v>
      </c>
      <c r="D448" s="61" t="s">
        <v>34</v>
      </c>
      <c r="E448" s="61" t="s">
        <v>49</v>
      </c>
      <c r="F448" s="59" t="s">
        <v>18</v>
      </c>
      <c r="G448" s="61" t="s">
        <v>50</v>
      </c>
      <c r="H448" s="59" t="s">
        <v>20</v>
      </c>
      <c r="I448" s="61" t="s">
        <v>31</v>
      </c>
      <c r="J448" s="63" t="s">
        <v>21</v>
      </c>
      <c r="K448" s="61" t="s">
        <v>50</v>
      </c>
      <c r="L448" s="63" t="s">
        <v>22</v>
      </c>
      <c r="M448" s="61" t="s">
        <v>50</v>
      </c>
      <c r="N448" s="60" t="s">
        <v>372</v>
      </c>
      <c r="O448" s="60" t="s">
        <v>372</v>
      </c>
      <c r="P448" s="59"/>
    </row>
    <row r="449" ht="22.5" customHeight="1">
      <c r="A449" s="59"/>
      <c r="B449" s="60" t="s">
        <v>1220</v>
      </c>
      <c r="C449" s="59">
        <f t="shared" si="4"/>
        <v>2</v>
      </c>
      <c r="D449" s="61" t="s">
        <v>34</v>
      </c>
      <c r="E449" s="61" t="s">
        <v>49</v>
      </c>
      <c r="F449" s="59" t="s">
        <v>18</v>
      </c>
      <c r="G449" s="61" t="s">
        <v>19</v>
      </c>
      <c r="H449" s="59" t="s">
        <v>20</v>
      </c>
      <c r="I449" s="61" t="s">
        <v>31</v>
      </c>
      <c r="J449" s="63" t="s">
        <v>21</v>
      </c>
      <c r="K449" s="61" t="s">
        <v>19</v>
      </c>
      <c r="L449" s="63" t="s">
        <v>22</v>
      </c>
      <c r="M449" s="61" t="s">
        <v>50</v>
      </c>
      <c r="N449" s="60" t="s">
        <v>1221</v>
      </c>
      <c r="O449" s="60"/>
      <c r="P449" s="59"/>
    </row>
    <row r="450" ht="22.5" customHeight="1">
      <c r="A450" s="59"/>
      <c r="B450" s="60" t="s">
        <v>1222</v>
      </c>
      <c r="C450" s="59">
        <f t="shared" si="4"/>
        <v>1</v>
      </c>
      <c r="D450" s="61" t="s">
        <v>16</v>
      </c>
      <c r="E450" s="61" t="s">
        <v>49</v>
      </c>
      <c r="F450" s="59" t="s">
        <v>18</v>
      </c>
      <c r="G450" s="61" t="s">
        <v>50</v>
      </c>
      <c r="H450" s="59" t="s">
        <v>20</v>
      </c>
      <c r="I450" s="61" t="s">
        <v>19</v>
      </c>
      <c r="J450" s="63" t="s">
        <v>21</v>
      </c>
      <c r="K450" s="61" t="s">
        <v>50</v>
      </c>
      <c r="L450" s="63" t="s">
        <v>22</v>
      </c>
      <c r="M450" s="61" t="s">
        <v>50</v>
      </c>
      <c r="N450" s="60" t="s">
        <v>372</v>
      </c>
      <c r="O450" s="59"/>
      <c r="P450" s="59"/>
    </row>
    <row r="451" ht="22.5" customHeight="1">
      <c r="A451" s="59"/>
      <c r="B451" s="60" t="s">
        <v>1223</v>
      </c>
      <c r="C451" s="59">
        <f t="shared" si="4"/>
        <v>0</v>
      </c>
      <c r="D451" s="61" t="s">
        <v>34</v>
      </c>
      <c r="E451" s="61" t="s">
        <v>49</v>
      </c>
      <c r="F451" s="59" t="s">
        <v>18</v>
      </c>
      <c r="G451" s="61" t="s">
        <v>50</v>
      </c>
      <c r="H451" s="59" t="s">
        <v>20</v>
      </c>
      <c r="I451" s="61" t="s">
        <v>31</v>
      </c>
      <c r="J451" s="63" t="s">
        <v>21</v>
      </c>
      <c r="K451" s="61" t="s">
        <v>50</v>
      </c>
      <c r="L451" s="63" t="s">
        <v>22</v>
      </c>
      <c r="M451" s="61" t="s">
        <v>50</v>
      </c>
      <c r="N451" s="60" t="s">
        <v>1158</v>
      </c>
      <c r="P451" s="59"/>
    </row>
    <row r="452" ht="22.5" customHeight="1">
      <c r="A452" s="59"/>
      <c r="B452" s="60" t="s">
        <v>1224</v>
      </c>
      <c r="C452" s="59">
        <f t="shared" si="4"/>
        <v>0</v>
      </c>
      <c r="D452" s="61" t="s">
        <v>34</v>
      </c>
      <c r="E452" s="61" t="s">
        <v>49</v>
      </c>
      <c r="F452" s="59" t="s">
        <v>18</v>
      </c>
      <c r="G452" s="61" t="s">
        <v>50</v>
      </c>
      <c r="H452" s="59" t="s">
        <v>20</v>
      </c>
      <c r="I452" s="61" t="s">
        <v>31</v>
      </c>
      <c r="J452" s="63" t="s">
        <v>21</v>
      </c>
      <c r="K452" s="61" t="s">
        <v>50</v>
      </c>
      <c r="L452" s="63" t="s">
        <v>22</v>
      </c>
      <c r="M452" s="61" t="s">
        <v>50</v>
      </c>
      <c r="N452" s="60" t="s">
        <v>372</v>
      </c>
      <c r="P452" s="59"/>
    </row>
    <row r="453" ht="22.5" customHeight="1">
      <c r="A453" s="59"/>
      <c r="B453" s="86" t="s">
        <v>1225</v>
      </c>
      <c r="C453" s="59">
        <f t="shared" si="4"/>
        <v>1</v>
      </c>
      <c r="D453" s="61" t="s">
        <v>34</v>
      </c>
      <c r="E453" s="61" t="s">
        <v>49</v>
      </c>
      <c r="F453" s="59" t="s">
        <v>18</v>
      </c>
      <c r="G453" s="61" t="s">
        <v>19</v>
      </c>
      <c r="H453" s="59" t="s">
        <v>20</v>
      </c>
      <c r="I453" s="61" t="s">
        <v>31</v>
      </c>
      <c r="J453" s="63" t="s">
        <v>21</v>
      </c>
      <c r="K453" s="61" t="s">
        <v>31</v>
      </c>
      <c r="L453" s="63" t="s">
        <v>22</v>
      </c>
      <c r="M453" s="62"/>
      <c r="N453" s="60" t="s">
        <v>372</v>
      </c>
      <c r="P453" s="59"/>
    </row>
    <row r="454" ht="22.5" customHeight="1">
      <c r="A454" s="60" t="s">
        <v>1226</v>
      </c>
      <c r="B454" s="60" t="s">
        <v>1227</v>
      </c>
      <c r="C454" s="59">
        <f t="shared" si="4"/>
        <v>4</v>
      </c>
      <c r="D454" s="61" t="s">
        <v>16</v>
      </c>
      <c r="E454" s="61" t="s">
        <v>17</v>
      </c>
      <c r="F454" s="59" t="s">
        <v>18</v>
      </c>
      <c r="G454" s="61" t="s">
        <v>19</v>
      </c>
      <c r="H454" s="59" t="s">
        <v>20</v>
      </c>
      <c r="I454" s="61" t="s">
        <v>19</v>
      </c>
      <c r="J454" s="63" t="s">
        <v>21</v>
      </c>
      <c r="K454" s="61" t="s">
        <v>19</v>
      </c>
      <c r="L454" s="63" t="s">
        <v>22</v>
      </c>
      <c r="M454" s="61" t="s">
        <v>19</v>
      </c>
      <c r="N454" s="120"/>
      <c r="O454" s="59"/>
      <c r="P454" s="59"/>
    </row>
    <row r="455" ht="22.5" customHeight="1">
      <c r="A455" s="60" t="s">
        <v>1228</v>
      </c>
      <c r="B455" s="60" t="s">
        <v>1229</v>
      </c>
      <c r="C455" s="59">
        <f t="shared" si="4"/>
        <v>4</v>
      </c>
      <c r="D455" s="61" t="s">
        <v>16</v>
      </c>
      <c r="E455" s="61" t="s">
        <v>17</v>
      </c>
      <c r="F455" s="59" t="s">
        <v>18</v>
      </c>
      <c r="G455" s="61" t="s">
        <v>19</v>
      </c>
      <c r="H455" s="59" t="s">
        <v>20</v>
      </c>
      <c r="I455" s="61" t="s">
        <v>19</v>
      </c>
      <c r="J455" s="63" t="s">
        <v>21</v>
      </c>
      <c r="K455" s="61" t="s">
        <v>19</v>
      </c>
      <c r="L455" s="63" t="s">
        <v>22</v>
      </c>
      <c r="M455" s="61" t="s">
        <v>19</v>
      </c>
      <c r="N455" s="120"/>
      <c r="O455" s="59"/>
      <c r="P455" s="59"/>
    </row>
    <row r="456" ht="22.5" customHeight="1">
      <c r="A456" s="60" t="s">
        <v>1230</v>
      </c>
      <c r="B456" s="60" t="s">
        <v>1231</v>
      </c>
      <c r="C456" s="59">
        <f t="shared" si="4"/>
        <v>4</v>
      </c>
      <c r="D456" s="61" t="s">
        <v>16</v>
      </c>
      <c r="E456" s="61" t="s">
        <v>17</v>
      </c>
      <c r="F456" s="59" t="s">
        <v>18</v>
      </c>
      <c r="G456" s="61" t="s">
        <v>19</v>
      </c>
      <c r="H456" s="59" t="s">
        <v>20</v>
      </c>
      <c r="I456" s="61" t="s">
        <v>19</v>
      </c>
      <c r="J456" s="63" t="s">
        <v>21</v>
      </c>
      <c r="K456" s="61" t="s">
        <v>19</v>
      </c>
      <c r="L456" s="63" t="s">
        <v>22</v>
      </c>
      <c r="M456" s="61" t="s">
        <v>19</v>
      </c>
      <c r="N456" s="120"/>
      <c r="O456" s="59"/>
      <c r="P456" s="59"/>
    </row>
    <row r="457" ht="22.5" customHeight="1">
      <c r="A457" s="60" t="s">
        <v>1232</v>
      </c>
      <c r="B457" s="60" t="s">
        <v>1233</v>
      </c>
      <c r="C457" s="59">
        <f t="shared" si="4"/>
        <v>4</v>
      </c>
      <c r="D457" s="61" t="s">
        <v>16</v>
      </c>
      <c r="E457" s="61" t="s">
        <v>17</v>
      </c>
      <c r="F457" s="59" t="s">
        <v>18</v>
      </c>
      <c r="G457" s="61" t="s">
        <v>19</v>
      </c>
      <c r="H457" s="59" t="s">
        <v>20</v>
      </c>
      <c r="I457" s="61" t="s">
        <v>19</v>
      </c>
      <c r="J457" s="63" t="s">
        <v>21</v>
      </c>
      <c r="K457" s="61" t="s">
        <v>19</v>
      </c>
      <c r="L457" s="63" t="s">
        <v>22</v>
      </c>
      <c r="M457" s="61" t="s">
        <v>19</v>
      </c>
      <c r="N457" s="120"/>
      <c r="O457" s="59"/>
      <c r="P457" s="59"/>
    </row>
    <row r="458" ht="22.5" customHeight="1">
      <c r="A458" s="81" t="s">
        <v>637</v>
      </c>
      <c r="B458" s="60" t="s">
        <v>525</v>
      </c>
      <c r="C458" s="59">
        <f t="shared" si="4"/>
        <v>3</v>
      </c>
      <c r="D458" s="61" t="s">
        <v>34</v>
      </c>
      <c r="E458" s="61" t="s">
        <v>40</v>
      </c>
      <c r="F458" s="59" t="s">
        <v>18</v>
      </c>
      <c r="G458" s="61" t="s">
        <v>31</v>
      </c>
      <c r="H458" s="59" t="s">
        <v>20</v>
      </c>
      <c r="I458" s="61" t="s">
        <v>19</v>
      </c>
      <c r="J458" s="63" t="s">
        <v>21</v>
      </c>
      <c r="K458" s="61" t="s">
        <v>19</v>
      </c>
      <c r="L458" s="63" t="s">
        <v>22</v>
      </c>
      <c r="M458" s="61" t="s">
        <v>19</v>
      </c>
      <c r="N458" s="60" t="s">
        <v>376</v>
      </c>
      <c r="O458" s="59"/>
      <c r="P458" s="59"/>
    </row>
    <row r="459" ht="22.5" customHeight="1">
      <c r="A459" s="59"/>
      <c r="B459" s="60" t="s">
        <v>1234</v>
      </c>
      <c r="C459" s="59">
        <f t="shared" si="4"/>
        <v>1</v>
      </c>
      <c r="D459" s="61" t="s">
        <v>16</v>
      </c>
      <c r="E459" s="61" t="s">
        <v>49</v>
      </c>
      <c r="F459" s="59" t="s">
        <v>18</v>
      </c>
      <c r="G459" s="61" t="s">
        <v>19</v>
      </c>
      <c r="H459" s="59" t="s">
        <v>20</v>
      </c>
      <c r="I459" s="61" t="s">
        <v>50</v>
      </c>
      <c r="J459" s="63" t="s">
        <v>21</v>
      </c>
      <c r="K459" s="61" t="s">
        <v>50</v>
      </c>
      <c r="L459" s="63" t="s">
        <v>22</v>
      </c>
      <c r="M459" s="61" t="s">
        <v>50</v>
      </c>
      <c r="N459" s="60" t="s">
        <v>372</v>
      </c>
      <c r="O459" s="59"/>
      <c r="P459" s="59"/>
    </row>
    <row r="460" ht="22.5" customHeight="1">
      <c r="A460" s="59"/>
      <c r="B460" s="88" t="s">
        <v>1235</v>
      </c>
      <c r="C460" s="60">
        <v>1.0</v>
      </c>
      <c r="D460" s="61" t="s">
        <v>34</v>
      </c>
      <c r="E460" s="61" t="s">
        <v>30</v>
      </c>
      <c r="F460" s="59" t="s">
        <v>18</v>
      </c>
      <c r="G460" s="61" t="s">
        <v>31</v>
      </c>
      <c r="H460" s="59" t="s">
        <v>20</v>
      </c>
      <c r="I460" s="61" t="s">
        <v>19</v>
      </c>
      <c r="J460" s="63" t="s">
        <v>21</v>
      </c>
      <c r="K460" s="61" t="s">
        <v>19</v>
      </c>
      <c r="L460" s="63" t="s">
        <v>22</v>
      </c>
      <c r="M460" s="62"/>
      <c r="N460" s="60" t="s">
        <v>1236</v>
      </c>
      <c r="O460" s="59"/>
      <c r="P460" s="59"/>
    </row>
    <row r="461" ht="22.5" customHeight="1">
      <c r="A461" s="59"/>
      <c r="B461" s="60" t="s">
        <v>1237</v>
      </c>
      <c r="C461" s="59">
        <f t="shared" ref="C461:C498" si="5">COUNTIF(G461:M461, "Not attempted") + COUNTIF(G461:M461, "Not Recieved")</f>
        <v>1</v>
      </c>
      <c r="D461" s="61" t="s">
        <v>16</v>
      </c>
      <c r="E461" s="61" t="s">
        <v>49</v>
      </c>
      <c r="F461" s="59" t="s">
        <v>18</v>
      </c>
      <c r="G461" s="61" t="s">
        <v>50</v>
      </c>
      <c r="H461" s="59" t="s">
        <v>20</v>
      </c>
      <c r="I461" s="61" t="s">
        <v>19</v>
      </c>
      <c r="J461" s="63" t="s">
        <v>21</v>
      </c>
      <c r="K461" s="61" t="s">
        <v>50</v>
      </c>
      <c r="L461" s="63" t="s">
        <v>22</v>
      </c>
      <c r="M461" s="61" t="s">
        <v>50</v>
      </c>
      <c r="N461" s="120"/>
      <c r="O461" s="59"/>
      <c r="P461" s="59"/>
    </row>
    <row r="462" ht="22.5" customHeight="1">
      <c r="A462" s="81" t="s">
        <v>637</v>
      </c>
      <c r="B462" s="60" t="s">
        <v>526</v>
      </c>
      <c r="C462" s="59">
        <f t="shared" si="5"/>
        <v>3</v>
      </c>
      <c r="D462" s="61" t="s">
        <v>34</v>
      </c>
      <c r="E462" s="61" t="s">
        <v>40</v>
      </c>
      <c r="F462" s="59" t="s">
        <v>18</v>
      </c>
      <c r="G462" s="61" t="s">
        <v>19</v>
      </c>
      <c r="H462" s="59" t="s">
        <v>20</v>
      </c>
      <c r="I462" s="61" t="s">
        <v>19</v>
      </c>
      <c r="J462" s="63" t="s">
        <v>21</v>
      </c>
      <c r="K462" s="61" t="s">
        <v>19</v>
      </c>
      <c r="L462" s="63" t="s">
        <v>22</v>
      </c>
      <c r="M462" s="61" t="s">
        <v>31</v>
      </c>
      <c r="N462" s="60" t="s">
        <v>376</v>
      </c>
      <c r="O462" s="59"/>
      <c r="P462" s="59"/>
    </row>
    <row r="463" ht="22.5" customHeight="1">
      <c r="A463" s="59"/>
      <c r="B463" s="60" t="s">
        <v>1238</v>
      </c>
      <c r="C463" s="59">
        <f t="shared" si="5"/>
        <v>0</v>
      </c>
      <c r="D463" s="61" t="s">
        <v>34</v>
      </c>
      <c r="E463" s="61" t="s">
        <v>49</v>
      </c>
      <c r="F463" s="59" t="s">
        <v>18</v>
      </c>
      <c r="G463" s="61" t="s">
        <v>50</v>
      </c>
      <c r="H463" s="59" t="s">
        <v>20</v>
      </c>
      <c r="I463" s="61" t="s">
        <v>31</v>
      </c>
      <c r="J463" s="63" t="s">
        <v>21</v>
      </c>
      <c r="K463" s="61" t="s">
        <v>50</v>
      </c>
      <c r="L463" s="63" t="s">
        <v>22</v>
      </c>
      <c r="M463" s="61" t="s">
        <v>50</v>
      </c>
      <c r="N463" s="60" t="s">
        <v>372</v>
      </c>
      <c r="P463" s="59"/>
    </row>
    <row r="464" ht="22.5" customHeight="1">
      <c r="A464" s="59"/>
      <c r="B464" s="60" t="s">
        <v>1239</v>
      </c>
      <c r="C464" s="59">
        <f t="shared" si="5"/>
        <v>0</v>
      </c>
      <c r="D464" s="61" t="s">
        <v>34</v>
      </c>
      <c r="E464" s="61" t="s">
        <v>49</v>
      </c>
      <c r="F464" s="59" t="s">
        <v>18</v>
      </c>
      <c r="G464" s="61" t="s">
        <v>50</v>
      </c>
      <c r="H464" s="59" t="s">
        <v>20</v>
      </c>
      <c r="I464" s="61" t="s">
        <v>31</v>
      </c>
      <c r="J464" s="63" t="s">
        <v>21</v>
      </c>
      <c r="K464" s="61" t="s">
        <v>50</v>
      </c>
      <c r="L464" s="63" t="s">
        <v>22</v>
      </c>
      <c r="M464" s="61" t="s">
        <v>50</v>
      </c>
      <c r="N464" s="60" t="s">
        <v>372</v>
      </c>
      <c r="O464" s="59"/>
      <c r="P464" s="59"/>
    </row>
    <row r="465" ht="22.5" customHeight="1">
      <c r="A465" s="59"/>
      <c r="B465" s="60" t="s">
        <v>1240</v>
      </c>
      <c r="C465" s="59">
        <f t="shared" si="5"/>
        <v>0</v>
      </c>
      <c r="D465" s="61" t="s">
        <v>34</v>
      </c>
      <c r="E465" s="61" t="s">
        <v>49</v>
      </c>
      <c r="F465" s="59" t="s">
        <v>18</v>
      </c>
      <c r="G465" s="61" t="s">
        <v>50</v>
      </c>
      <c r="H465" s="59" t="s">
        <v>20</v>
      </c>
      <c r="I465" s="61" t="s">
        <v>31</v>
      </c>
      <c r="J465" s="63" t="s">
        <v>21</v>
      </c>
      <c r="K465" s="61" t="s">
        <v>50</v>
      </c>
      <c r="L465" s="63" t="s">
        <v>22</v>
      </c>
      <c r="M465" s="61" t="s">
        <v>50</v>
      </c>
      <c r="N465" s="60" t="s">
        <v>372</v>
      </c>
      <c r="O465" s="59"/>
      <c r="P465" s="59"/>
    </row>
    <row r="466" ht="22.5" customHeight="1">
      <c r="A466" s="81" t="s">
        <v>637</v>
      </c>
      <c r="B466" s="60" t="s">
        <v>527</v>
      </c>
      <c r="C466" s="59">
        <f t="shared" si="5"/>
        <v>3</v>
      </c>
      <c r="D466" s="61" t="s">
        <v>34</v>
      </c>
      <c r="E466" s="61" t="s">
        <v>40</v>
      </c>
      <c r="F466" s="59" t="s">
        <v>18</v>
      </c>
      <c r="G466" s="61" t="s">
        <v>19</v>
      </c>
      <c r="H466" s="59" t="s">
        <v>20</v>
      </c>
      <c r="I466" s="61" t="s">
        <v>31</v>
      </c>
      <c r="J466" s="63" t="s">
        <v>21</v>
      </c>
      <c r="K466" s="61" t="s">
        <v>19</v>
      </c>
      <c r="L466" s="63" t="s">
        <v>22</v>
      </c>
      <c r="M466" s="61" t="s">
        <v>19</v>
      </c>
      <c r="N466" s="60" t="s">
        <v>376</v>
      </c>
      <c r="O466" s="59"/>
      <c r="P466" s="59"/>
      <c r="Q466" s="89"/>
      <c r="R466" s="89"/>
      <c r="S466" s="89"/>
      <c r="T466" s="89"/>
      <c r="U466" s="89"/>
      <c r="V466" s="89"/>
      <c r="W466" s="89"/>
      <c r="X466" s="89"/>
      <c r="Y466" s="89"/>
      <c r="Z466" s="89"/>
    </row>
    <row r="467" ht="22.5" customHeight="1">
      <c r="A467" s="59"/>
      <c r="B467" s="60" t="s">
        <v>1241</v>
      </c>
      <c r="C467" s="59">
        <f t="shared" si="5"/>
        <v>1</v>
      </c>
      <c r="D467" s="61" t="s">
        <v>34</v>
      </c>
      <c r="E467" s="61" t="s">
        <v>49</v>
      </c>
      <c r="F467" s="59" t="s">
        <v>18</v>
      </c>
      <c r="G467" s="61" t="s">
        <v>19</v>
      </c>
      <c r="H467" s="59" t="s">
        <v>20</v>
      </c>
      <c r="I467" s="61" t="s">
        <v>31</v>
      </c>
      <c r="J467" s="63" t="s">
        <v>21</v>
      </c>
      <c r="K467" s="61" t="s">
        <v>50</v>
      </c>
      <c r="L467" s="63" t="s">
        <v>22</v>
      </c>
      <c r="M467" s="61" t="s">
        <v>50</v>
      </c>
      <c r="N467" s="60" t="s">
        <v>1242</v>
      </c>
      <c r="P467" s="59"/>
    </row>
    <row r="468" ht="22.5" customHeight="1">
      <c r="A468" s="59"/>
      <c r="B468" s="60" t="s">
        <v>1243</v>
      </c>
      <c r="C468" s="59">
        <f t="shared" si="5"/>
        <v>0</v>
      </c>
      <c r="D468" s="61" t="s">
        <v>34</v>
      </c>
      <c r="E468" s="61" t="s">
        <v>49</v>
      </c>
      <c r="F468" s="59" t="s">
        <v>18</v>
      </c>
      <c r="G468" s="61" t="s">
        <v>31</v>
      </c>
      <c r="H468" s="59" t="s">
        <v>20</v>
      </c>
      <c r="I468" s="61" t="s">
        <v>50</v>
      </c>
      <c r="J468" s="63" t="s">
        <v>21</v>
      </c>
      <c r="K468" s="61" t="s">
        <v>50</v>
      </c>
      <c r="L468" s="63" t="s">
        <v>22</v>
      </c>
      <c r="M468" s="61" t="s">
        <v>50</v>
      </c>
      <c r="N468" s="60" t="s">
        <v>1174</v>
      </c>
      <c r="P468" s="59"/>
    </row>
    <row r="469" ht="22.5" customHeight="1">
      <c r="A469" s="59"/>
      <c r="B469" s="60" t="s">
        <v>1244</v>
      </c>
      <c r="C469" s="59">
        <f t="shared" si="5"/>
        <v>0</v>
      </c>
      <c r="D469" s="61" t="s">
        <v>34</v>
      </c>
      <c r="E469" s="61" t="s">
        <v>49</v>
      </c>
      <c r="F469" s="59" t="s">
        <v>18</v>
      </c>
      <c r="G469" s="61" t="s">
        <v>50</v>
      </c>
      <c r="H469" s="59" t="s">
        <v>20</v>
      </c>
      <c r="I469" s="61" t="s">
        <v>50</v>
      </c>
      <c r="J469" s="63" t="s">
        <v>21</v>
      </c>
      <c r="K469" s="61" t="s">
        <v>31</v>
      </c>
      <c r="L469" s="63" t="s">
        <v>22</v>
      </c>
      <c r="M469" s="61" t="s">
        <v>50</v>
      </c>
      <c r="N469" s="60" t="s">
        <v>1245</v>
      </c>
      <c r="O469" s="59"/>
      <c r="P469" s="59"/>
    </row>
    <row r="470" ht="22.5" customHeight="1">
      <c r="A470" s="60" t="s">
        <v>1246</v>
      </c>
      <c r="B470" s="60" t="s">
        <v>1247</v>
      </c>
      <c r="C470" s="59">
        <f t="shared" si="5"/>
        <v>4</v>
      </c>
      <c r="D470" s="61" t="s">
        <v>16</v>
      </c>
      <c r="E470" s="61" t="s">
        <v>17</v>
      </c>
      <c r="F470" s="59" t="s">
        <v>18</v>
      </c>
      <c r="G470" s="61" t="s">
        <v>19</v>
      </c>
      <c r="H470" s="59" t="s">
        <v>20</v>
      </c>
      <c r="I470" s="61" t="s">
        <v>19</v>
      </c>
      <c r="J470" s="63" t="s">
        <v>21</v>
      </c>
      <c r="K470" s="61" t="s">
        <v>19</v>
      </c>
      <c r="L470" s="63" t="s">
        <v>22</v>
      </c>
      <c r="M470" s="61" t="s">
        <v>19</v>
      </c>
      <c r="N470" s="120"/>
      <c r="O470" s="59"/>
      <c r="P470" s="59"/>
    </row>
    <row r="471" ht="22.5" customHeight="1">
      <c r="A471" s="81" t="s">
        <v>637</v>
      </c>
      <c r="B471" s="60" t="s">
        <v>1248</v>
      </c>
      <c r="C471" s="59">
        <f t="shared" si="5"/>
        <v>0</v>
      </c>
      <c r="D471" s="61" t="s">
        <v>34</v>
      </c>
      <c r="E471" s="61" t="s">
        <v>49</v>
      </c>
      <c r="F471" s="59" t="s">
        <v>18</v>
      </c>
      <c r="G471" s="61" t="s">
        <v>50</v>
      </c>
      <c r="H471" s="59" t="s">
        <v>20</v>
      </c>
      <c r="I471" s="61" t="s">
        <v>31</v>
      </c>
      <c r="J471" s="63" t="s">
        <v>21</v>
      </c>
      <c r="K471" s="61" t="s">
        <v>50</v>
      </c>
      <c r="L471" s="63" t="s">
        <v>22</v>
      </c>
      <c r="M471" s="61" t="s">
        <v>50</v>
      </c>
      <c r="N471" s="60" t="s">
        <v>372</v>
      </c>
      <c r="O471" s="59"/>
      <c r="P471" s="59"/>
    </row>
    <row r="472" ht="22.5" customHeight="1">
      <c r="A472" s="59"/>
      <c r="B472" s="60" t="s">
        <v>1249</v>
      </c>
      <c r="C472" s="59">
        <f t="shared" si="5"/>
        <v>0</v>
      </c>
      <c r="D472" s="61" t="s">
        <v>34</v>
      </c>
      <c r="E472" s="61" t="s">
        <v>49</v>
      </c>
      <c r="F472" s="59" t="s">
        <v>18</v>
      </c>
      <c r="G472" s="61" t="s">
        <v>31</v>
      </c>
      <c r="H472" s="59" t="s">
        <v>20</v>
      </c>
      <c r="I472" s="61" t="s">
        <v>50</v>
      </c>
      <c r="J472" s="63" t="s">
        <v>21</v>
      </c>
      <c r="K472" s="61" t="s">
        <v>50</v>
      </c>
      <c r="L472" s="63" t="s">
        <v>22</v>
      </c>
      <c r="M472" s="61" t="s">
        <v>50</v>
      </c>
      <c r="N472" s="60" t="s">
        <v>372</v>
      </c>
      <c r="O472" s="59"/>
      <c r="P472" s="59"/>
    </row>
    <row r="473" ht="22.5" customHeight="1">
      <c r="A473" s="59"/>
      <c r="B473" s="60" t="s">
        <v>1250</v>
      </c>
      <c r="C473" s="59">
        <f t="shared" si="5"/>
        <v>1</v>
      </c>
      <c r="D473" s="61" t="s">
        <v>34</v>
      </c>
      <c r="E473" s="61" t="s">
        <v>49</v>
      </c>
      <c r="F473" s="59" t="s">
        <v>18</v>
      </c>
      <c r="G473" s="61" t="s">
        <v>19</v>
      </c>
      <c r="H473" s="59" t="s">
        <v>20</v>
      </c>
      <c r="I473" s="61" t="s">
        <v>50</v>
      </c>
      <c r="J473" s="63" t="s">
        <v>21</v>
      </c>
      <c r="K473" s="61" t="s">
        <v>31</v>
      </c>
      <c r="L473" s="63" t="s">
        <v>22</v>
      </c>
      <c r="M473" s="61" t="s">
        <v>50</v>
      </c>
      <c r="N473" s="60" t="s">
        <v>1212</v>
      </c>
      <c r="O473" s="59"/>
      <c r="P473" s="59"/>
    </row>
    <row r="474" ht="22.5" customHeight="1">
      <c r="A474" s="81" t="s">
        <v>637</v>
      </c>
      <c r="B474" s="82" t="s">
        <v>1251</v>
      </c>
      <c r="C474" s="59">
        <f t="shared" si="5"/>
        <v>1</v>
      </c>
      <c r="D474" s="61" t="s">
        <v>34</v>
      </c>
      <c r="E474" s="61" t="s">
        <v>656</v>
      </c>
      <c r="F474" s="59" t="s">
        <v>18</v>
      </c>
      <c r="G474" s="61" t="s">
        <v>31</v>
      </c>
      <c r="H474" s="59" t="s">
        <v>20</v>
      </c>
      <c r="I474" s="61" t="s">
        <v>31</v>
      </c>
      <c r="J474" s="63" t="s">
        <v>21</v>
      </c>
      <c r="K474" s="61" t="s">
        <v>19</v>
      </c>
      <c r="L474" s="63" t="s">
        <v>22</v>
      </c>
      <c r="M474" s="62"/>
      <c r="N474" s="60" t="s">
        <v>727</v>
      </c>
      <c r="O474" s="59"/>
      <c r="P474" s="59"/>
    </row>
    <row r="475" ht="22.5" customHeight="1">
      <c r="A475" s="60" t="s">
        <v>1252</v>
      </c>
      <c r="B475" s="60" t="s">
        <v>1253</v>
      </c>
      <c r="C475" s="59">
        <f t="shared" si="5"/>
        <v>4</v>
      </c>
      <c r="D475" s="61" t="s">
        <v>16</v>
      </c>
      <c r="E475" s="61" t="s">
        <v>17</v>
      </c>
      <c r="F475" s="59" t="s">
        <v>18</v>
      </c>
      <c r="G475" s="61" t="s">
        <v>19</v>
      </c>
      <c r="H475" s="59" t="s">
        <v>20</v>
      </c>
      <c r="I475" s="61" t="s">
        <v>19</v>
      </c>
      <c r="J475" s="63" t="s">
        <v>21</v>
      </c>
      <c r="K475" s="61" t="s">
        <v>19</v>
      </c>
      <c r="L475" s="63" t="s">
        <v>22</v>
      </c>
      <c r="M475" s="61" t="s">
        <v>19</v>
      </c>
      <c r="N475" s="120"/>
      <c r="O475" s="59"/>
      <c r="P475" s="59"/>
    </row>
    <row r="476" ht="22.5" customHeight="1">
      <c r="A476" s="59"/>
      <c r="B476" s="60" t="s">
        <v>1254</v>
      </c>
      <c r="C476" s="59">
        <f t="shared" si="5"/>
        <v>0</v>
      </c>
      <c r="D476" s="61" t="s">
        <v>34</v>
      </c>
      <c r="E476" s="61" t="s">
        <v>49</v>
      </c>
      <c r="F476" s="59" t="s">
        <v>18</v>
      </c>
      <c r="G476" s="61" t="s">
        <v>50</v>
      </c>
      <c r="H476" s="59" t="s">
        <v>20</v>
      </c>
      <c r="I476" s="61" t="s">
        <v>31</v>
      </c>
      <c r="J476" s="63" t="s">
        <v>21</v>
      </c>
      <c r="K476" s="61" t="s">
        <v>50</v>
      </c>
      <c r="L476" s="63" t="s">
        <v>22</v>
      </c>
      <c r="M476" s="61" t="s">
        <v>50</v>
      </c>
      <c r="N476" s="60" t="s">
        <v>372</v>
      </c>
      <c r="P476" s="59"/>
    </row>
    <row r="477" ht="22.5" customHeight="1">
      <c r="A477" s="81" t="s">
        <v>637</v>
      </c>
      <c r="B477" s="60" t="s">
        <v>528</v>
      </c>
      <c r="C477" s="59">
        <f t="shared" si="5"/>
        <v>3</v>
      </c>
      <c r="D477" s="61" t="s">
        <v>34</v>
      </c>
      <c r="E477" s="61" t="s">
        <v>40</v>
      </c>
      <c r="F477" s="59" t="s">
        <v>18</v>
      </c>
      <c r="G477" s="61" t="s">
        <v>19</v>
      </c>
      <c r="H477" s="59" t="s">
        <v>20</v>
      </c>
      <c r="I477" s="61" t="s">
        <v>19</v>
      </c>
      <c r="J477" s="63" t="s">
        <v>21</v>
      </c>
      <c r="K477" s="61" t="s">
        <v>31</v>
      </c>
      <c r="L477" s="63" t="s">
        <v>22</v>
      </c>
      <c r="M477" s="61" t="s">
        <v>19</v>
      </c>
      <c r="N477" s="60" t="s">
        <v>376</v>
      </c>
      <c r="O477" s="60"/>
      <c r="P477" s="59"/>
    </row>
    <row r="478" ht="22.5" customHeight="1">
      <c r="A478" s="59"/>
      <c r="B478" s="60" t="s">
        <v>1255</v>
      </c>
      <c r="C478" s="59">
        <f t="shared" si="5"/>
        <v>0</v>
      </c>
      <c r="D478" s="61" t="s">
        <v>34</v>
      </c>
      <c r="E478" s="61" t="s">
        <v>49</v>
      </c>
      <c r="F478" s="59" t="s">
        <v>18</v>
      </c>
      <c r="G478" s="61" t="s">
        <v>50</v>
      </c>
      <c r="H478" s="59" t="s">
        <v>20</v>
      </c>
      <c r="I478" s="61" t="s">
        <v>50</v>
      </c>
      <c r="J478" s="63" t="s">
        <v>21</v>
      </c>
      <c r="K478" s="61" t="s">
        <v>50</v>
      </c>
      <c r="L478" s="63" t="s">
        <v>22</v>
      </c>
      <c r="M478" s="61" t="s">
        <v>50</v>
      </c>
      <c r="N478" s="60" t="s">
        <v>372</v>
      </c>
      <c r="P478" s="59"/>
    </row>
    <row r="479" ht="22.5" customHeight="1">
      <c r="A479" s="59"/>
      <c r="B479" s="60" t="s">
        <v>1256</v>
      </c>
      <c r="C479" s="59">
        <f t="shared" si="5"/>
        <v>0</v>
      </c>
      <c r="D479" s="61" t="s">
        <v>34</v>
      </c>
      <c r="E479" s="61" t="s">
        <v>49</v>
      </c>
      <c r="F479" s="59" t="s">
        <v>18</v>
      </c>
      <c r="G479" s="61" t="s">
        <v>50</v>
      </c>
      <c r="H479" s="59" t="s">
        <v>20</v>
      </c>
      <c r="I479" s="61" t="s">
        <v>50</v>
      </c>
      <c r="J479" s="63" t="s">
        <v>21</v>
      </c>
      <c r="K479" s="61" t="s">
        <v>50</v>
      </c>
      <c r="L479" s="63" t="s">
        <v>22</v>
      </c>
      <c r="M479" s="61" t="s">
        <v>50</v>
      </c>
      <c r="N479" s="60" t="s">
        <v>372</v>
      </c>
      <c r="P479" s="59"/>
    </row>
    <row r="480" ht="22.5" customHeight="1">
      <c r="A480" s="59"/>
      <c r="B480" s="60" t="s">
        <v>1257</v>
      </c>
      <c r="C480" s="59">
        <f t="shared" si="5"/>
        <v>1</v>
      </c>
      <c r="D480" s="61" t="s">
        <v>16</v>
      </c>
      <c r="E480" s="61" t="s">
        <v>49</v>
      </c>
      <c r="F480" s="59" t="s">
        <v>18</v>
      </c>
      <c r="G480" s="61" t="s">
        <v>19</v>
      </c>
      <c r="H480" s="59" t="s">
        <v>20</v>
      </c>
      <c r="I480" s="61" t="s">
        <v>50</v>
      </c>
      <c r="J480" s="63" t="s">
        <v>21</v>
      </c>
      <c r="K480" s="61" t="s">
        <v>50</v>
      </c>
      <c r="L480" s="63" t="s">
        <v>22</v>
      </c>
      <c r="M480" s="61" t="s">
        <v>50</v>
      </c>
      <c r="N480" s="60" t="s">
        <v>372</v>
      </c>
      <c r="O480" s="60"/>
      <c r="P480" s="59"/>
    </row>
    <row r="481" ht="22.5" customHeight="1">
      <c r="A481" s="82" t="s">
        <v>1258</v>
      </c>
      <c r="B481" s="82" t="s">
        <v>1259</v>
      </c>
      <c r="C481" s="93">
        <f t="shared" si="5"/>
        <v>4</v>
      </c>
      <c r="D481" s="94" t="s">
        <v>16</v>
      </c>
      <c r="E481" s="94" t="s">
        <v>17</v>
      </c>
      <c r="F481" s="93" t="s">
        <v>18</v>
      </c>
      <c r="G481" s="94" t="s">
        <v>19</v>
      </c>
      <c r="H481" s="93" t="s">
        <v>20</v>
      </c>
      <c r="I481" s="94" t="s">
        <v>19</v>
      </c>
      <c r="J481" s="95" t="s">
        <v>21</v>
      </c>
      <c r="K481" s="94" t="s">
        <v>19</v>
      </c>
      <c r="L481" s="95" t="s">
        <v>22</v>
      </c>
      <c r="M481" s="94" t="s">
        <v>19</v>
      </c>
      <c r="N481" s="121"/>
      <c r="O481" s="93"/>
      <c r="P481" s="93"/>
    </row>
    <row r="482" ht="22.5" customHeight="1">
      <c r="A482" s="59"/>
      <c r="B482" s="60" t="s">
        <v>1260</v>
      </c>
      <c r="C482" s="59">
        <f t="shared" si="5"/>
        <v>1</v>
      </c>
      <c r="D482" s="61" t="s">
        <v>34</v>
      </c>
      <c r="E482" s="61" t="s">
        <v>49</v>
      </c>
      <c r="F482" s="59" t="s">
        <v>18</v>
      </c>
      <c r="G482" s="61" t="s">
        <v>19</v>
      </c>
      <c r="H482" s="59" t="s">
        <v>20</v>
      </c>
      <c r="I482" s="61" t="s">
        <v>50</v>
      </c>
      <c r="J482" s="63" t="s">
        <v>21</v>
      </c>
      <c r="K482" s="61" t="s">
        <v>50</v>
      </c>
      <c r="L482" s="63" t="s">
        <v>22</v>
      </c>
      <c r="M482" s="61" t="s">
        <v>31</v>
      </c>
      <c r="N482" s="60" t="s">
        <v>372</v>
      </c>
      <c r="O482" s="59"/>
      <c r="P482" s="59"/>
    </row>
    <row r="483" ht="22.5" customHeight="1">
      <c r="A483" s="59"/>
      <c r="B483" s="60" t="s">
        <v>1261</v>
      </c>
      <c r="C483" s="59">
        <f t="shared" si="5"/>
        <v>1</v>
      </c>
      <c r="D483" s="61" t="s">
        <v>34</v>
      </c>
      <c r="E483" s="61" t="s">
        <v>49</v>
      </c>
      <c r="F483" s="59" t="s">
        <v>18</v>
      </c>
      <c r="G483" s="61" t="s">
        <v>19</v>
      </c>
      <c r="H483" s="59" t="s">
        <v>20</v>
      </c>
      <c r="I483" s="61" t="s">
        <v>50</v>
      </c>
      <c r="J483" s="63" t="s">
        <v>21</v>
      </c>
      <c r="K483" s="61" t="s">
        <v>50</v>
      </c>
      <c r="L483" s="63" t="s">
        <v>22</v>
      </c>
      <c r="M483" s="61" t="s">
        <v>31</v>
      </c>
      <c r="N483" s="60" t="s">
        <v>152</v>
      </c>
      <c r="O483" s="59"/>
      <c r="P483" s="59"/>
    </row>
    <row r="484" ht="22.5" customHeight="1">
      <c r="A484" s="59"/>
      <c r="B484" s="60" t="s">
        <v>1262</v>
      </c>
      <c r="C484" s="59">
        <f t="shared" si="5"/>
        <v>0</v>
      </c>
      <c r="D484" s="61" t="s">
        <v>34</v>
      </c>
      <c r="E484" s="61" t="s">
        <v>49</v>
      </c>
      <c r="F484" s="59" t="s">
        <v>18</v>
      </c>
      <c r="G484" s="61" t="s">
        <v>50</v>
      </c>
      <c r="H484" s="59" t="s">
        <v>20</v>
      </c>
      <c r="I484" s="61" t="s">
        <v>50</v>
      </c>
      <c r="J484" s="63" t="s">
        <v>21</v>
      </c>
      <c r="K484" s="61" t="s">
        <v>31</v>
      </c>
      <c r="L484" s="63" t="s">
        <v>22</v>
      </c>
      <c r="M484" s="61" t="s">
        <v>50</v>
      </c>
      <c r="N484" s="60" t="s">
        <v>372</v>
      </c>
      <c r="O484" s="59"/>
      <c r="P484" s="59"/>
    </row>
    <row r="485" ht="22.5" customHeight="1">
      <c r="A485" s="60" t="s">
        <v>1263</v>
      </c>
      <c r="B485" s="60" t="s">
        <v>497</v>
      </c>
      <c r="C485" s="59">
        <f t="shared" si="5"/>
        <v>4</v>
      </c>
      <c r="D485" s="61" t="s">
        <v>16</v>
      </c>
      <c r="E485" s="61" t="s">
        <v>17</v>
      </c>
      <c r="F485" s="59" t="s">
        <v>18</v>
      </c>
      <c r="G485" s="61" t="s">
        <v>19</v>
      </c>
      <c r="H485" s="59" t="s">
        <v>20</v>
      </c>
      <c r="I485" s="61" t="s">
        <v>19</v>
      </c>
      <c r="J485" s="63" t="s">
        <v>21</v>
      </c>
      <c r="K485" s="61" t="s">
        <v>19</v>
      </c>
      <c r="L485" s="63" t="s">
        <v>22</v>
      </c>
      <c r="M485" s="61" t="s">
        <v>19</v>
      </c>
      <c r="N485" s="120"/>
      <c r="O485" s="59"/>
      <c r="P485" s="59"/>
    </row>
    <row r="486" ht="22.5" customHeight="1">
      <c r="A486" s="59"/>
      <c r="B486" s="60" t="s">
        <v>1264</v>
      </c>
      <c r="C486" s="59">
        <f t="shared" si="5"/>
        <v>1</v>
      </c>
      <c r="D486" s="61" t="s">
        <v>34</v>
      </c>
      <c r="E486" s="61" t="s">
        <v>656</v>
      </c>
      <c r="F486" s="59" t="s">
        <v>18</v>
      </c>
      <c r="G486" s="61" t="s">
        <v>31</v>
      </c>
      <c r="H486" s="59" t="s">
        <v>20</v>
      </c>
      <c r="I486" s="61" t="s">
        <v>31</v>
      </c>
      <c r="J486" s="63" t="s">
        <v>21</v>
      </c>
      <c r="K486" s="61" t="s">
        <v>19</v>
      </c>
      <c r="L486" s="63" t="s">
        <v>22</v>
      </c>
      <c r="M486" s="62"/>
      <c r="N486" s="60" t="s">
        <v>1265</v>
      </c>
      <c r="O486" s="60" t="s">
        <v>1266</v>
      </c>
      <c r="P486" s="59"/>
    </row>
    <row r="487" ht="22.5" customHeight="1">
      <c r="A487" s="59"/>
      <c r="B487" s="60" t="s">
        <v>1267</v>
      </c>
      <c r="C487" s="59">
        <f t="shared" si="5"/>
        <v>0</v>
      </c>
      <c r="D487" s="61" t="s">
        <v>34</v>
      </c>
      <c r="E487" s="61" t="s">
        <v>49</v>
      </c>
      <c r="F487" s="59" t="s">
        <v>18</v>
      </c>
      <c r="G487" s="61" t="s">
        <v>50</v>
      </c>
      <c r="H487" s="59" t="s">
        <v>20</v>
      </c>
      <c r="I487" s="61" t="s">
        <v>50</v>
      </c>
      <c r="J487" s="63" t="s">
        <v>21</v>
      </c>
      <c r="K487" s="61" t="s">
        <v>50</v>
      </c>
      <c r="L487" s="63" t="s">
        <v>22</v>
      </c>
      <c r="M487" s="62"/>
      <c r="N487" s="60" t="s">
        <v>372</v>
      </c>
      <c r="P487" s="59"/>
    </row>
    <row r="488" ht="22.5" customHeight="1">
      <c r="A488" s="59"/>
      <c r="B488" s="60" t="s">
        <v>1268</v>
      </c>
      <c r="C488" s="59">
        <f t="shared" si="5"/>
        <v>0</v>
      </c>
      <c r="D488" s="61" t="s">
        <v>34</v>
      </c>
      <c r="E488" s="61" t="s">
        <v>49</v>
      </c>
      <c r="F488" s="59" t="s">
        <v>18</v>
      </c>
      <c r="G488" s="61" t="s">
        <v>31</v>
      </c>
      <c r="H488" s="59" t="s">
        <v>20</v>
      </c>
      <c r="I488" s="61" t="s">
        <v>50</v>
      </c>
      <c r="J488" s="63" t="s">
        <v>21</v>
      </c>
      <c r="K488" s="61" t="s">
        <v>50</v>
      </c>
      <c r="L488" s="63" t="s">
        <v>22</v>
      </c>
      <c r="M488" s="61" t="s">
        <v>50</v>
      </c>
      <c r="N488" s="60" t="s">
        <v>372</v>
      </c>
      <c r="P488" s="59"/>
    </row>
    <row r="489" ht="22.5" customHeight="1">
      <c r="A489" s="81" t="s">
        <v>637</v>
      </c>
      <c r="B489" s="60" t="s">
        <v>529</v>
      </c>
      <c r="C489" s="59">
        <f t="shared" si="5"/>
        <v>1</v>
      </c>
      <c r="D489" s="61" t="s">
        <v>34</v>
      </c>
      <c r="E489" s="61" t="s">
        <v>40</v>
      </c>
      <c r="F489" s="59" t="s">
        <v>18</v>
      </c>
      <c r="G489" s="61" t="s">
        <v>31</v>
      </c>
      <c r="H489" s="59" t="s">
        <v>20</v>
      </c>
      <c r="I489" s="61" t="s">
        <v>31</v>
      </c>
      <c r="J489" s="63" t="s">
        <v>21</v>
      </c>
      <c r="K489" s="61" t="s">
        <v>19</v>
      </c>
      <c r="L489" s="63" t="s">
        <v>22</v>
      </c>
      <c r="M489" s="62"/>
      <c r="N489" s="60" t="s">
        <v>927</v>
      </c>
      <c r="O489" s="59"/>
      <c r="P489" s="59"/>
    </row>
    <row r="490" ht="22.5" customHeight="1">
      <c r="A490" s="81" t="s">
        <v>637</v>
      </c>
      <c r="B490" s="60" t="s">
        <v>1269</v>
      </c>
      <c r="C490" s="59">
        <f t="shared" si="5"/>
        <v>0</v>
      </c>
      <c r="D490" s="61" t="s">
        <v>34</v>
      </c>
      <c r="E490" s="61" t="s">
        <v>49</v>
      </c>
      <c r="F490" s="59" t="s">
        <v>18</v>
      </c>
      <c r="G490" s="61" t="s">
        <v>31</v>
      </c>
      <c r="H490" s="59" t="s">
        <v>20</v>
      </c>
      <c r="I490" s="61" t="s">
        <v>50</v>
      </c>
      <c r="J490" s="63" t="s">
        <v>21</v>
      </c>
      <c r="K490" s="61" t="s">
        <v>50</v>
      </c>
      <c r="L490" s="63" t="s">
        <v>22</v>
      </c>
      <c r="M490" s="61" t="s">
        <v>50</v>
      </c>
      <c r="N490" s="60" t="s">
        <v>372</v>
      </c>
      <c r="O490" s="59"/>
      <c r="P490" s="59"/>
    </row>
    <row r="491" ht="22.5" customHeight="1">
      <c r="A491" s="59"/>
      <c r="B491" s="60" t="s">
        <v>1270</v>
      </c>
      <c r="C491" s="59">
        <f t="shared" si="5"/>
        <v>0</v>
      </c>
      <c r="D491" s="61" t="s">
        <v>34</v>
      </c>
      <c r="E491" s="61" t="s">
        <v>49</v>
      </c>
      <c r="F491" s="59" t="s">
        <v>18</v>
      </c>
      <c r="G491" s="61" t="s">
        <v>31</v>
      </c>
      <c r="H491" s="59" t="s">
        <v>20</v>
      </c>
      <c r="I491" s="61" t="s">
        <v>50</v>
      </c>
      <c r="J491" s="63" t="s">
        <v>21</v>
      </c>
      <c r="K491" s="61" t="s">
        <v>50</v>
      </c>
      <c r="L491" s="63" t="s">
        <v>22</v>
      </c>
      <c r="M491" s="61" t="s">
        <v>50</v>
      </c>
      <c r="N491" s="60" t="s">
        <v>372</v>
      </c>
      <c r="P491" s="59"/>
    </row>
    <row r="492" ht="22.5" customHeight="1">
      <c r="A492" s="81" t="s">
        <v>637</v>
      </c>
      <c r="B492" s="60" t="s">
        <v>1271</v>
      </c>
      <c r="C492" s="59">
        <f t="shared" si="5"/>
        <v>0</v>
      </c>
      <c r="D492" s="61" t="s">
        <v>34</v>
      </c>
      <c r="E492" s="61" t="s">
        <v>49</v>
      </c>
      <c r="F492" s="59" t="s">
        <v>18</v>
      </c>
      <c r="G492" s="61" t="s">
        <v>26</v>
      </c>
      <c r="H492" s="59" t="s">
        <v>20</v>
      </c>
      <c r="I492" s="61" t="s">
        <v>50</v>
      </c>
      <c r="J492" s="63" t="s">
        <v>21</v>
      </c>
      <c r="K492" s="61" t="s">
        <v>31</v>
      </c>
      <c r="L492" s="63" t="s">
        <v>22</v>
      </c>
      <c r="M492" s="61" t="s">
        <v>50</v>
      </c>
      <c r="N492" s="60" t="s">
        <v>51</v>
      </c>
      <c r="O492" s="59"/>
      <c r="P492" s="59"/>
    </row>
    <row r="493" ht="22.5" customHeight="1">
      <c r="A493" s="59"/>
      <c r="B493" s="60" t="s">
        <v>1272</v>
      </c>
      <c r="C493" s="59">
        <f t="shared" si="5"/>
        <v>0</v>
      </c>
      <c r="D493" s="61" t="s">
        <v>34</v>
      </c>
      <c r="E493" s="61" t="s">
        <v>49</v>
      </c>
      <c r="F493" s="59" t="s">
        <v>18</v>
      </c>
      <c r="G493" s="61" t="s">
        <v>31</v>
      </c>
      <c r="H493" s="59" t="s">
        <v>20</v>
      </c>
      <c r="I493" s="61" t="s">
        <v>50</v>
      </c>
      <c r="J493" s="63" t="s">
        <v>21</v>
      </c>
      <c r="K493" s="61" t="s">
        <v>31</v>
      </c>
      <c r="L493" s="63" t="s">
        <v>22</v>
      </c>
      <c r="M493" s="61" t="s">
        <v>50</v>
      </c>
      <c r="N493" s="60" t="s">
        <v>152</v>
      </c>
      <c r="O493" s="59"/>
      <c r="P493" s="59"/>
    </row>
    <row r="494" ht="22.5" customHeight="1">
      <c r="A494" s="59"/>
      <c r="B494" s="88" t="s">
        <v>1273</v>
      </c>
      <c r="C494" s="59">
        <f t="shared" si="5"/>
        <v>0</v>
      </c>
      <c r="D494" s="61" t="s">
        <v>34</v>
      </c>
      <c r="E494" s="61" t="s">
        <v>656</v>
      </c>
      <c r="F494" s="59" t="s">
        <v>18</v>
      </c>
      <c r="G494" s="61" t="s">
        <v>31</v>
      </c>
      <c r="H494" s="59" t="s">
        <v>20</v>
      </c>
      <c r="I494" s="62"/>
      <c r="J494" s="63" t="s">
        <v>21</v>
      </c>
      <c r="K494" s="61" t="s">
        <v>31</v>
      </c>
      <c r="L494" s="63" t="s">
        <v>22</v>
      </c>
      <c r="M494" s="62"/>
      <c r="N494" s="60" t="s">
        <v>1274</v>
      </c>
      <c r="P494" s="59"/>
    </row>
    <row r="495" ht="22.5" customHeight="1">
      <c r="A495" s="60" t="s">
        <v>637</v>
      </c>
      <c r="B495" s="60" t="s">
        <v>1275</v>
      </c>
      <c r="C495" s="59">
        <f t="shared" si="5"/>
        <v>0</v>
      </c>
      <c r="D495" s="61" t="s">
        <v>34</v>
      </c>
      <c r="E495" s="61" t="s">
        <v>635</v>
      </c>
      <c r="F495" s="59" t="s">
        <v>18</v>
      </c>
      <c r="G495" s="61" t="s">
        <v>31</v>
      </c>
      <c r="H495" s="59" t="s">
        <v>20</v>
      </c>
      <c r="I495" s="62"/>
      <c r="J495" s="63" t="s">
        <v>21</v>
      </c>
      <c r="K495" s="61" t="s">
        <v>31</v>
      </c>
      <c r="L495" s="63" t="s">
        <v>22</v>
      </c>
      <c r="M495" s="62"/>
      <c r="N495" s="60" t="s">
        <v>1276</v>
      </c>
      <c r="O495" s="60"/>
      <c r="P495" s="59"/>
    </row>
    <row r="496" ht="22.5" customHeight="1">
      <c r="A496" s="59"/>
      <c r="B496" s="60" t="s">
        <v>1277</v>
      </c>
      <c r="C496" s="59">
        <f t="shared" si="5"/>
        <v>1</v>
      </c>
      <c r="D496" s="61" t="s">
        <v>34</v>
      </c>
      <c r="E496" s="61" t="s">
        <v>656</v>
      </c>
      <c r="F496" s="59" t="s">
        <v>18</v>
      </c>
      <c r="G496" s="61" t="s">
        <v>31</v>
      </c>
      <c r="H496" s="59" t="s">
        <v>20</v>
      </c>
      <c r="I496" s="62"/>
      <c r="J496" s="63" t="s">
        <v>21</v>
      </c>
      <c r="K496" s="61" t="s">
        <v>19</v>
      </c>
      <c r="L496" s="63" t="s">
        <v>22</v>
      </c>
      <c r="M496" s="62"/>
      <c r="N496" s="60" t="s">
        <v>409</v>
      </c>
      <c r="P496" s="59"/>
    </row>
    <row r="497" ht="22.5" customHeight="1">
      <c r="A497" s="81" t="s">
        <v>637</v>
      </c>
      <c r="B497" s="60" t="s">
        <v>530</v>
      </c>
      <c r="C497" s="59">
        <f t="shared" si="5"/>
        <v>3</v>
      </c>
      <c r="D497" s="61" t="s">
        <v>34</v>
      </c>
      <c r="E497" s="61" t="s">
        <v>40</v>
      </c>
      <c r="F497" s="59" t="s">
        <v>18</v>
      </c>
      <c r="G497" s="61" t="s">
        <v>19</v>
      </c>
      <c r="H497" s="59" t="s">
        <v>20</v>
      </c>
      <c r="I497" s="61" t="s">
        <v>19</v>
      </c>
      <c r="J497" s="63" t="s">
        <v>21</v>
      </c>
      <c r="K497" s="61" t="s">
        <v>31</v>
      </c>
      <c r="L497" s="63" t="s">
        <v>22</v>
      </c>
      <c r="M497" s="61" t="s">
        <v>19</v>
      </c>
      <c r="N497" s="60" t="s">
        <v>376</v>
      </c>
      <c r="O497" s="59"/>
      <c r="P497" s="59"/>
    </row>
    <row r="498" ht="22.5" customHeight="1">
      <c r="A498" s="60" t="s">
        <v>1278</v>
      </c>
      <c r="B498" s="60" t="s">
        <v>498</v>
      </c>
      <c r="C498" s="59">
        <f t="shared" si="5"/>
        <v>4</v>
      </c>
      <c r="D498" s="61" t="s">
        <v>16</v>
      </c>
      <c r="E498" s="61" t="s">
        <v>17</v>
      </c>
      <c r="F498" s="59" t="s">
        <v>18</v>
      </c>
      <c r="G498" s="61" t="s">
        <v>19</v>
      </c>
      <c r="H498" s="59" t="s">
        <v>20</v>
      </c>
      <c r="I498" s="61" t="s">
        <v>19</v>
      </c>
      <c r="J498" s="63" t="s">
        <v>21</v>
      </c>
      <c r="K498" s="61" t="s">
        <v>19</v>
      </c>
      <c r="L498" s="63" t="s">
        <v>22</v>
      </c>
      <c r="M498" s="61" t="s">
        <v>19</v>
      </c>
      <c r="N498" s="120"/>
      <c r="O498" s="59"/>
      <c r="P498" s="59"/>
    </row>
    <row r="499" ht="22.5" customHeight="1">
      <c r="A499" s="59"/>
      <c r="B499" s="82" t="s">
        <v>1279</v>
      </c>
      <c r="C499" s="60">
        <v>1.0</v>
      </c>
      <c r="D499" s="61" t="s">
        <v>34</v>
      </c>
      <c r="E499" s="61" t="s">
        <v>49</v>
      </c>
      <c r="F499" s="59" t="s">
        <v>18</v>
      </c>
      <c r="G499" s="61" t="s">
        <v>50</v>
      </c>
      <c r="H499" s="59" t="s">
        <v>20</v>
      </c>
      <c r="I499" s="61" t="s">
        <v>31</v>
      </c>
      <c r="J499" s="63" t="s">
        <v>21</v>
      </c>
      <c r="K499" s="61" t="s">
        <v>19</v>
      </c>
      <c r="L499" s="63" t="s">
        <v>22</v>
      </c>
      <c r="M499" s="61" t="s">
        <v>50</v>
      </c>
      <c r="N499" s="60" t="s">
        <v>51</v>
      </c>
      <c r="O499" s="59"/>
      <c r="P499" s="59"/>
    </row>
    <row r="500" ht="22.5" customHeight="1">
      <c r="B500" s="64" t="s">
        <v>1280</v>
      </c>
      <c r="C500" s="59">
        <f t="shared" ref="C500:C534" si="6">COUNTIF(G500:M500, "Not attempted") + COUNTIF(G500:M500, "Not Recieved")</f>
        <v>1</v>
      </c>
      <c r="D500" s="85" t="s">
        <v>34</v>
      </c>
      <c r="E500" s="85" t="s">
        <v>49</v>
      </c>
      <c r="G500" s="85" t="s">
        <v>50</v>
      </c>
      <c r="I500" s="85" t="s">
        <v>50</v>
      </c>
      <c r="K500" s="85" t="s">
        <v>31</v>
      </c>
      <c r="M500" s="85" t="s">
        <v>19</v>
      </c>
      <c r="N500" s="64" t="s">
        <v>152</v>
      </c>
    </row>
    <row r="501" ht="22.5" customHeight="1">
      <c r="B501" s="82" t="s">
        <v>1281</v>
      </c>
      <c r="C501" s="59">
        <f t="shared" si="6"/>
        <v>0</v>
      </c>
      <c r="D501" s="85" t="s">
        <v>34</v>
      </c>
      <c r="E501" s="85" t="s">
        <v>49</v>
      </c>
      <c r="G501" s="85" t="s">
        <v>50</v>
      </c>
      <c r="I501" s="85" t="s">
        <v>50</v>
      </c>
      <c r="K501" s="85" t="s">
        <v>31</v>
      </c>
      <c r="M501" s="85" t="s">
        <v>50</v>
      </c>
      <c r="N501" s="64" t="s">
        <v>372</v>
      </c>
    </row>
    <row r="502" ht="22.5" customHeight="1">
      <c r="A502" s="64" t="s">
        <v>1282</v>
      </c>
      <c r="B502" s="64" t="s">
        <v>499</v>
      </c>
      <c r="C502" s="59">
        <f t="shared" si="6"/>
        <v>4</v>
      </c>
      <c r="D502" s="85" t="s">
        <v>16</v>
      </c>
      <c r="E502" s="85" t="s">
        <v>17</v>
      </c>
      <c r="G502" s="61" t="s">
        <v>19</v>
      </c>
      <c r="I502" s="85" t="s">
        <v>19</v>
      </c>
      <c r="K502" s="85" t="s">
        <v>19</v>
      </c>
      <c r="M502" s="61" t="s">
        <v>19</v>
      </c>
    </row>
    <row r="503" ht="22.5" customHeight="1">
      <c r="A503" s="64" t="s">
        <v>1283</v>
      </c>
      <c r="B503" s="64" t="s">
        <v>500</v>
      </c>
      <c r="C503" s="59">
        <f t="shared" si="6"/>
        <v>4</v>
      </c>
      <c r="D503" s="85" t="s">
        <v>16</v>
      </c>
      <c r="E503" s="85" t="s">
        <v>17</v>
      </c>
      <c r="G503" s="61" t="s">
        <v>19</v>
      </c>
      <c r="I503" s="85" t="s">
        <v>19</v>
      </c>
      <c r="K503" s="85" t="s">
        <v>19</v>
      </c>
      <c r="M503" s="61" t="s">
        <v>19</v>
      </c>
    </row>
    <row r="504" ht="22.5" customHeight="1">
      <c r="B504" s="64" t="s">
        <v>1284</v>
      </c>
      <c r="C504" s="59">
        <f t="shared" si="6"/>
        <v>0</v>
      </c>
      <c r="D504" s="85" t="s">
        <v>34</v>
      </c>
      <c r="E504" s="85" t="s">
        <v>49</v>
      </c>
      <c r="G504" s="85" t="s">
        <v>50</v>
      </c>
      <c r="I504" s="85" t="s">
        <v>50</v>
      </c>
      <c r="K504" s="85" t="s">
        <v>50</v>
      </c>
      <c r="M504" s="85" t="s">
        <v>31</v>
      </c>
      <c r="N504" s="64" t="s">
        <v>372</v>
      </c>
    </row>
    <row r="505" ht="22.5" customHeight="1">
      <c r="B505" s="64" t="s">
        <v>1285</v>
      </c>
      <c r="C505" s="59">
        <f t="shared" si="6"/>
        <v>0</v>
      </c>
      <c r="D505" s="85" t="s">
        <v>34</v>
      </c>
      <c r="E505" s="85" t="s">
        <v>49</v>
      </c>
      <c r="G505" s="85" t="s">
        <v>50</v>
      </c>
      <c r="I505" s="85" t="s">
        <v>50</v>
      </c>
      <c r="K505" s="85" t="s">
        <v>50</v>
      </c>
      <c r="M505" s="85" t="s">
        <v>31</v>
      </c>
      <c r="N505" s="64" t="s">
        <v>1158</v>
      </c>
    </row>
    <row r="506" ht="22.5" customHeight="1">
      <c r="A506" s="64" t="s">
        <v>1286</v>
      </c>
      <c r="B506" s="110" t="s">
        <v>501</v>
      </c>
      <c r="C506" s="59">
        <f t="shared" si="6"/>
        <v>4</v>
      </c>
      <c r="D506" s="85" t="s">
        <v>16</v>
      </c>
      <c r="E506" s="85" t="s">
        <v>17</v>
      </c>
      <c r="G506" s="61" t="s">
        <v>19</v>
      </c>
      <c r="I506" s="85" t="s">
        <v>19</v>
      </c>
      <c r="K506" s="85" t="s">
        <v>19</v>
      </c>
      <c r="M506" s="61" t="s">
        <v>19</v>
      </c>
    </row>
    <row r="507" ht="22.5" customHeight="1">
      <c r="B507" s="64" t="s">
        <v>1287</v>
      </c>
      <c r="C507" s="59">
        <f t="shared" si="6"/>
        <v>0</v>
      </c>
      <c r="D507" s="85" t="s">
        <v>34</v>
      </c>
      <c r="E507" s="85" t="s">
        <v>49</v>
      </c>
      <c r="G507" s="85" t="s">
        <v>50</v>
      </c>
      <c r="I507" s="85" t="s">
        <v>50</v>
      </c>
      <c r="K507" s="85" t="s">
        <v>50</v>
      </c>
      <c r="M507" s="85" t="s">
        <v>31</v>
      </c>
      <c r="N507" s="64" t="s">
        <v>1212</v>
      </c>
    </row>
    <row r="508" ht="22.5" customHeight="1">
      <c r="B508" s="64" t="s">
        <v>1288</v>
      </c>
      <c r="C508" s="59">
        <f t="shared" si="6"/>
        <v>0</v>
      </c>
      <c r="D508" s="85" t="s">
        <v>34</v>
      </c>
      <c r="E508" s="85" t="s">
        <v>49</v>
      </c>
      <c r="G508" s="85" t="s">
        <v>50</v>
      </c>
      <c r="I508" s="85" t="s">
        <v>50</v>
      </c>
      <c r="K508" s="85" t="s">
        <v>50</v>
      </c>
      <c r="M508" s="85" t="s">
        <v>31</v>
      </c>
      <c r="N508" s="64" t="s">
        <v>372</v>
      </c>
    </row>
    <row r="509" ht="22.5" customHeight="1">
      <c r="A509" s="81" t="s">
        <v>637</v>
      </c>
      <c r="B509" s="64" t="s">
        <v>1289</v>
      </c>
      <c r="C509" s="59">
        <f t="shared" si="6"/>
        <v>0</v>
      </c>
      <c r="D509" s="85" t="s">
        <v>34</v>
      </c>
      <c r="E509" s="85" t="s">
        <v>49</v>
      </c>
      <c r="G509" s="85" t="s">
        <v>31</v>
      </c>
      <c r="I509" s="85" t="s">
        <v>50</v>
      </c>
      <c r="K509" s="85" t="s">
        <v>50</v>
      </c>
      <c r="M509" s="85" t="s">
        <v>50</v>
      </c>
      <c r="N509" s="64" t="s">
        <v>372</v>
      </c>
    </row>
    <row r="510" ht="22.5" customHeight="1">
      <c r="A510" s="64" t="s">
        <v>1290</v>
      </c>
      <c r="B510" s="64" t="s">
        <v>502</v>
      </c>
      <c r="C510" s="59">
        <f t="shared" si="6"/>
        <v>4</v>
      </c>
      <c r="D510" s="85" t="s">
        <v>16</v>
      </c>
      <c r="E510" s="85" t="s">
        <v>17</v>
      </c>
      <c r="G510" s="85" t="s">
        <v>19</v>
      </c>
      <c r="I510" s="85" t="s">
        <v>19</v>
      </c>
      <c r="K510" s="85" t="s">
        <v>19</v>
      </c>
      <c r="M510" s="61" t="s">
        <v>19</v>
      </c>
    </row>
    <row r="511" ht="22.5" customHeight="1">
      <c r="A511" s="64" t="s">
        <v>1291</v>
      </c>
      <c r="B511" s="64" t="s">
        <v>503</v>
      </c>
      <c r="C511" s="59">
        <f t="shared" si="6"/>
        <v>4</v>
      </c>
      <c r="D511" s="85" t="s">
        <v>16</v>
      </c>
      <c r="E511" s="85" t="s">
        <v>17</v>
      </c>
      <c r="G511" s="85" t="s">
        <v>19</v>
      </c>
      <c r="I511" s="85" t="s">
        <v>19</v>
      </c>
      <c r="K511" s="85" t="s">
        <v>19</v>
      </c>
      <c r="M511" s="61" t="s">
        <v>19</v>
      </c>
    </row>
    <row r="512" ht="22.5" customHeight="1">
      <c r="A512" s="64" t="s">
        <v>1292</v>
      </c>
      <c r="B512" s="64" t="s">
        <v>504</v>
      </c>
      <c r="C512" s="59">
        <f t="shared" si="6"/>
        <v>4</v>
      </c>
      <c r="D512" s="85" t="s">
        <v>16</v>
      </c>
      <c r="E512" s="85" t="s">
        <v>17</v>
      </c>
      <c r="G512" s="85" t="s">
        <v>19</v>
      </c>
      <c r="I512" s="85" t="s">
        <v>19</v>
      </c>
      <c r="K512" s="85" t="s">
        <v>19</v>
      </c>
      <c r="M512" s="61" t="s">
        <v>19</v>
      </c>
    </row>
    <row r="513" ht="22.5" customHeight="1">
      <c r="A513" s="64" t="s">
        <v>1293</v>
      </c>
      <c r="B513" s="64" t="s">
        <v>505</v>
      </c>
      <c r="C513" s="59">
        <f t="shared" si="6"/>
        <v>3</v>
      </c>
      <c r="D513" s="85" t="s">
        <v>16</v>
      </c>
      <c r="E513" s="85" t="s">
        <v>17</v>
      </c>
      <c r="G513" s="85" t="s">
        <v>19</v>
      </c>
      <c r="I513" s="85" t="s">
        <v>19</v>
      </c>
      <c r="K513" s="85" t="s">
        <v>19</v>
      </c>
      <c r="M513" s="66"/>
    </row>
    <row r="514" ht="22.5" customHeight="1">
      <c r="A514" s="81" t="s">
        <v>637</v>
      </c>
      <c r="B514" s="64" t="s">
        <v>531</v>
      </c>
      <c r="C514" s="59">
        <f t="shared" si="6"/>
        <v>1</v>
      </c>
      <c r="D514" s="85" t="s">
        <v>34</v>
      </c>
      <c r="E514" s="85" t="s">
        <v>40</v>
      </c>
      <c r="G514" s="85" t="s">
        <v>31</v>
      </c>
      <c r="I514" s="85" t="s">
        <v>26</v>
      </c>
      <c r="K514" s="66"/>
      <c r="M514" s="85" t="s">
        <v>19</v>
      </c>
      <c r="N514" s="64" t="s">
        <v>927</v>
      </c>
    </row>
    <row r="515" ht="22.5" customHeight="1">
      <c r="B515" s="64" t="s">
        <v>1294</v>
      </c>
      <c r="C515" s="59">
        <f t="shared" si="6"/>
        <v>0</v>
      </c>
      <c r="D515" s="85" t="s">
        <v>34</v>
      </c>
      <c r="E515" s="85" t="s">
        <v>49</v>
      </c>
      <c r="G515" s="85" t="s">
        <v>31</v>
      </c>
      <c r="I515" s="85" t="s">
        <v>50</v>
      </c>
      <c r="K515" s="85" t="s">
        <v>50</v>
      </c>
      <c r="M515" s="85" t="s">
        <v>50</v>
      </c>
      <c r="N515" s="64" t="s">
        <v>372</v>
      </c>
    </row>
    <row r="516" ht="22.5" customHeight="1">
      <c r="A516" s="81" t="s">
        <v>637</v>
      </c>
      <c r="B516" s="64" t="s">
        <v>532</v>
      </c>
      <c r="C516" s="59">
        <f t="shared" si="6"/>
        <v>1</v>
      </c>
      <c r="D516" s="85" t="s">
        <v>34</v>
      </c>
      <c r="E516" s="85" t="s">
        <v>40</v>
      </c>
      <c r="G516" s="85" t="s">
        <v>31</v>
      </c>
      <c r="I516" s="85" t="s">
        <v>19</v>
      </c>
      <c r="K516" s="66"/>
      <c r="M516" s="85" t="s">
        <v>31</v>
      </c>
      <c r="N516" s="64" t="s">
        <v>1295</v>
      </c>
    </row>
    <row r="517" ht="22.5" customHeight="1">
      <c r="A517" s="64" t="s">
        <v>1296</v>
      </c>
      <c r="B517" s="64" t="s">
        <v>506</v>
      </c>
      <c r="C517" s="59">
        <f t="shared" si="6"/>
        <v>3</v>
      </c>
      <c r="D517" s="85" t="s">
        <v>16</v>
      </c>
      <c r="E517" s="85" t="s">
        <v>17</v>
      </c>
      <c r="G517" s="85" t="s">
        <v>19</v>
      </c>
      <c r="I517" s="85" t="s">
        <v>19</v>
      </c>
      <c r="K517" s="85" t="s">
        <v>19</v>
      </c>
      <c r="M517" s="66"/>
    </row>
    <row r="518" ht="22.5" customHeight="1">
      <c r="A518" s="64" t="s">
        <v>1297</v>
      </c>
      <c r="B518" s="64" t="s">
        <v>507</v>
      </c>
      <c r="C518" s="59">
        <f t="shared" si="6"/>
        <v>3</v>
      </c>
      <c r="D518" s="85" t="s">
        <v>16</v>
      </c>
      <c r="E518" s="85" t="s">
        <v>17</v>
      </c>
      <c r="G518" s="85" t="s">
        <v>19</v>
      </c>
      <c r="I518" s="85" t="s">
        <v>19</v>
      </c>
      <c r="K518" s="85" t="s">
        <v>19</v>
      </c>
      <c r="M518" s="66"/>
    </row>
    <row r="519" ht="22.5" customHeight="1">
      <c r="A519" s="81" t="s">
        <v>637</v>
      </c>
      <c r="B519" s="64" t="s">
        <v>1298</v>
      </c>
      <c r="C519" s="59">
        <f t="shared" si="6"/>
        <v>0</v>
      </c>
      <c r="D519" s="85" t="s">
        <v>34</v>
      </c>
      <c r="E519" s="85" t="s">
        <v>30</v>
      </c>
      <c r="G519" s="85" t="s">
        <v>31</v>
      </c>
      <c r="I519" s="85" t="s">
        <v>31</v>
      </c>
      <c r="K519" s="66"/>
      <c r="M519" s="66"/>
      <c r="N519" s="64" t="s">
        <v>1299</v>
      </c>
    </row>
    <row r="520" ht="22.5" customHeight="1">
      <c r="A520" s="64" t="s">
        <v>1300</v>
      </c>
      <c r="B520" s="64" t="s">
        <v>508</v>
      </c>
      <c r="C520" s="59">
        <f t="shared" si="6"/>
        <v>3</v>
      </c>
      <c r="D520" s="85" t="s">
        <v>16</v>
      </c>
      <c r="E520" s="85" t="s">
        <v>17</v>
      </c>
      <c r="G520" s="85" t="s">
        <v>19</v>
      </c>
      <c r="I520" s="85" t="s">
        <v>19</v>
      </c>
      <c r="K520" s="85" t="s">
        <v>19</v>
      </c>
      <c r="M520" s="66"/>
      <c r="N520" s="64" t="s">
        <v>376</v>
      </c>
    </row>
    <row r="521" ht="22.5" customHeight="1">
      <c r="B521" s="64" t="s">
        <v>1301</v>
      </c>
      <c r="C521" s="59">
        <f t="shared" si="6"/>
        <v>0</v>
      </c>
      <c r="D521" s="85" t="s">
        <v>34</v>
      </c>
      <c r="E521" s="85" t="s">
        <v>49</v>
      </c>
      <c r="G521" s="85" t="s">
        <v>31</v>
      </c>
      <c r="I521" s="85" t="s">
        <v>50</v>
      </c>
      <c r="K521" s="85" t="s">
        <v>50</v>
      </c>
      <c r="M521" s="85" t="s">
        <v>50</v>
      </c>
      <c r="N521" s="64" t="s">
        <v>372</v>
      </c>
    </row>
    <row r="522" ht="22.5" customHeight="1">
      <c r="A522" s="64" t="s">
        <v>1302</v>
      </c>
      <c r="B522" s="64" t="s">
        <v>509</v>
      </c>
      <c r="C522" s="59">
        <f t="shared" si="6"/>
        <v>3</v>
      </c>
      <c r="D522" s="85" t="s">
        <v>16</v>
      </c>
      <c r="E522" s="85" t="s">
        <v>17</v>
      </c>
      <c r="G522" s="85" t="s">
        <v>19</v>
      </c>
      <c r="I522" s="85" t="s">
        <v>19</v>
      </c>
      <c r="K522" s="85" t="s">
        <v>19</v>
      </c>
      <c r="M522" s="66"/>
    </row>
    <row r="523" ht="22.5" customHeight="1">
      <c r="A523" s="64" t="s">
        <v>1303</v>
      </c>
      <c r="B523" s="64" t="s">
        <v>510</v>
      </c>
      <c r="C523" s="59">
        <f t="shared" si="6"/>
        <v>3</v>
      </c>
      <c r="D523" s="85" t="s">
        <v>16</v>
      </c>
      <c r="E523" s="85" t="s">
        <v>17</v>
      </c>
      <c r="G523" s="85" t="s">
        <v>19</v>
      </c>
      <c r="I523" s="85" t="s">
        <v>19</v>
      </c>
      <c r="K523" s="85" t="s">
        <v>19</v>
      </c>
      <c r="M523" s="66"/>
    </row>
    <row r="524" ht="22.5" customHeight="1">
      <c r="B524" s="64" t="s">
        <v>1304</v>
      </c>
      <c r="C524" s="59">
        <f t="shared" si="6"/>
        <v>0</v>
      </c>
      <c r="D524" s="85" t="s">
        <v>34</v>
      </c>
      <c r="E524" s="85" t="s">
        <v>49</v>
      </c>
      <c r="G524" s="85" t="s">
        <v>31</v>
      </c>
      <c r="I524" s="66"/>
      <c r="K524" s="66"/>
      <c r="M524" s="66"/>
      <c r="N524" s="64" t="s">
        <v>372</v>
      </c>
    </row>
    <row r="525" ht="22.5" customHeight="1">
      <c r="A525" s="64" t="s">
        <v>1305</v>
      </c>
      <c r="B525" s="64" t="s">
        <v>511</v>
      </c>
      <c r="C525" s="59">
        <f t="shared" si="6"/>
        <v>3</v>
      </c>
      <c r="D525" s="85" t="s">
        <v>16</v>
      </c>
      <c r="E525" s="85" t="s">
        <v>17</v>
      </c>
      <c r="G525" s="85" t="s">
        <v>19</v>
      </c>
      <c r="I525" s="85" t="s">
        <v>19</v>
      </c>
      <c r="K525" s="85" t="s">
        <v>19</v>
      </c>
      <c r="M525" s="66"/>
    </row>
    <row r="526" ht="22.5" customHeight="1">
      <c r="A526" s="81" t="s">
        <v>637</v>
      </c>
      <c r="B526" s="86" t="s">
        <v>1306</v>
      </c>
      <c r="C526" s="59">
        <f t="shared" si="6"/>
        <v>2</v>
      </c>
      <c r="D526" s="85" t="s">
        <v>34</v>
      </c>
      <c r="E526" s="85" t="s">
        <v>635</v>
      </c>
      <c r="G526" s="85" t="s">
        <v>31</v>
      </c>
      <c r="I526" s="85" t="s">
        <v>19</v>
      </c>
      <c r="K526" s="66"/>
      <c r="M526" s="85" t="s">
        <v>19</v>
      </c>
      <c r="N526" s="64" t="s">
        <v>376</v>
      </c>
    </row>
    <row r="527" ht="22.5" customHeight="1">
      <c r="B527" s="64" t="s">
        <v>1307</v>
      </c>
      <c r="C527" s="59">
        <f t="shared" si="6"/>
        <v>0</v>
      </c>
      <c r="D527" s="85" t="s">
        <v>34</v>
      </c>
      <c r="E527" s="85" t="s">
        <v>49</v>
      </c>
      <c r="G527" s="85" t="s">
        <v>31</v>
      </c>
      <c r="I527" s="85" t="s">
        <v>50</v>
      </c>
      <c r="K527" s="85" t="s">
        <v>50</v>
      </c>
      <c r="M527" s="85" t="s">
        <v>50</v>
      </c>
      <c r="N527" s="64" t="s">
        <v>964</v>
      </c>
      <c r="O527" s="64" t="s">
        <v>1308</v>
      </c>
    </row>
    <row r="528" ht="22.5" customHeight="1">
      <c r="A528" s="64" t="s">
        <v>1309</v>
      </c>
      <c r="B528" s="64" t="s">
        <v>512</v>
      </c>
      <c r="C528" s="59">
        <f t="shared" si="6"/>
        <v>3</v>
      </c>
      <c r="D528" s="85" t="s">
        <v>16</v>
      </c>
      <c r="E528" s="85" t="s">
        <v>17</v>
      </c>
      <c r="G528" s="85" t="s">
        <v>19</v>
      </c>
      <c r="I528" s="85" t="s">
        <v>19</v>
      </c>
      <c r="K528" s="85" t="s">
        <v>19</v>
      </c>
      <c r="M528" s="66"/>
      <c r="N528" s="64" t="s">
        <v>376</v>
      </c>
    </row>
    <row r="529" ht="22.5" customHeight="1">
      <c r="A529" s="81" t="s">
        <v>637</v>
      </c>
      <c r="B529" s="82" t="s">
        <v>533</v>
      </c>
      <c r="C529" s="59">
        <f t="shared" si="6"/>
        <v>1</v>
      </c>
      <c r="D529" s="85" t="s">
        <v>34</v>
      </c>
      <c r="E529" s="85" t="s">
        <v>40</v>
      </c>
      <c r="G529" s="85" t="s">
        <v>31</v>
      </c>
      <c r="I529" s="85" t="s">
        <v>26</v>
      </c>
      <c r="K529" s="66"/>
      <c r="M529" s="85" t="s">
        <v>19</v>
      </c>
      <c r="N529" s="64" t="s">
        <v>927</v>
      </c>
    </row>
    <row r="530" ht="22.5" customHeight="1">
      <c r="A530" s="64" t="s">
        <v>1310</v>
      </c>
      <c r="B530" s="64" t="s">
        <v>513</v>
      </c>
      <c r="C530" s="59">
        <f t="shared" si="6"/>
        <v>3</v>
      </c>
      <c r="D530" s="85" t="s">
        <v>16</v>
      </c>
      <c r="E530" s="85" t="s">
        <v>17</v>
      </c>
      <c r="G530" s="85" t="s">
        <v>19</v>
      </c>
      <c r="I530" s="85" t="s">
        <v>19</v>
      </c>
      <c r="K530" s="85" t="s">
        <v>19</v>
      </c>
      <c r="M530" s="66"/>
      <c r="N530" s="64" t="s">
        <v>376</v>
      </c>
    </row>
    <row r="531" ht="22.5" customHeight="1">
      <c r="A531" s="64" t="s">
        <v>1311</v>
      </c>
      <c r="B531" s="64" t="s">
        <v>514</v>
      </c>
      <c r="C531" s="59">
        <f t="shared" si="6"/>
        <v>3</v>
      </c>
      <c r="D531" s="85" t="s">
        <v>16</v>
      </c>
      <c r="E531" s="85" t="s">
        <v>17</v>
      </c>
      <c r="G531" s="85" t="s">
        <v>19</v>
      </c>
      <c r="I531" s="85" t="s">
        <v>19</v>
      </c>
      <c r="K531" s="85" t="s">
        <v>19</v>
      </c>
      <c r="M531" s="66"/>
      <c r="N531" s="64" t="s">
        <v>376</v>
      </c>
    </row>
    <row r="532" ht="22.5" customHeight="1">
      <c r="B532" s="64" t="s">
        <v>1312</v>
      </c>
      <c r="C532" s="59">
        <f t="shared" si="6"/>
        <v>0</v>
      </c>
      <c r="D532" s="85" t="s">
        <v>34</v>
      </c>
      <c r="E532" s="85" t="s">
        <v>49</v>
      </c>
      <c r="G532" s="85" t="s">
        <v>31</v>
      </c>
      <c r="I532" s="85" t="s">
        <v>50</v>
      </c>
      <c r="K532" s="85" t="s">
        <v>50</v>
      </c>
      <c r="M532" s="85" t="s">
        <v>50</v>
      </c>
      <c r="N532" s="64" t="s">
        <v>372</v>
      </c>
    </row>
    <row r="533" ht="22.5" customHeight="1">
      <c r="A533" s="64" t="s">
        <v>1313</v>
      </c>
      <c r="B533" s="64" t="s">
        <v>515</v>
      </c>
      <c r="C533" s="59">
        <f t="shared" si="6"/>
        <v>4</v>
      </c>
      <c r="D533" s="85" t="s">
        <v>16</v>
      </c>
      <c r="E533" s="85" t="s">
        <v>17</v>
      </c>
      <c r="G533" s="85" t="s">
        <v>19</v>
      </c>
      <c r="I533" s="85" t="s">
        <v>19</v>
      </c>
      <c r="K533" s="85" t="s">
        <v>19</v>
      </c>
      <c r="M533" s="85" t="s">
        <v>19</v>
      </c>
    </row>
    <row r="534" ht="22.5" customHeight="1">
      <c r="A534" s="64" t="s">
        <v>1314</v>
      </c>
      <c r="B534" s="64" t="s">
        <v>516</v>
      </c>
      <c r="C534" s="59">
        <f t="shared" si="6"/>
        <v>4</v>
      </c>
      <c r="D534" s="85" t="s">
        <v>16</v>
      </c>
      <c r="E534" s="85" t="s">
        <v>17</v>
      </c>
      <c r="G534" s="85" t="s">
        <v>19</v>
      </c>
      <c r="I534" s="85" t="s">
        <v>19</v>
      </c>
      <c r="K534" s="85" t="s">
        <v>19</v>
      </c>
      <c r="M534" s="85" t="s">
        <v>19</v>
      </c>
    </row>
    <row r="535" ht="22.5" customHeight="1">
      <c r="D535" s="66"/>
      <c r="E535" s="66"/>
      <c r="G535" s="66"/>
      <c r="I535" s="66"/>
      <c r="K535" s="66"/>
      <c r="M535" s="66"/>
    </row>
    <row r="536" ht="22.5" customHeight="1">
      <c r="D536" s="66"/>
      <c r="E536" s="66"/>
      <c r="G536" s="66"/>
      <c r="I536" s="66"/>
      <c r="K536" s="66"/>
      <c r="M536" s="66"/>
    </row>
    <row r="537" ht="22.5" customHeight="1">
      <c r="D537" s="66"/>
      <c r="E537" s="66"/>
      <c r="G537" s="66"/>
      <c r="I537" s="66"/>
      <c r="K537" s="66"/>
      <c r="M537" s="66"/>
    </row>
    <row r="538" ht="22.5" customHeight="1">
      <c r="D538" s="66"/>
      <c r="E538" s="66"/>
      <c r="G538" s="66"/>
      <c r="I538" s="66"/>
      <c r="K538" s="66"/>
      <c r="M538" s="66"/>
    </row>
    <row r="539" ht="22.5" customHeight="1">
      <c r="D539" s="66"/>
      <c r="E539" s="66"/>
      <c r="G539" s="66"/>
      <c r="I539" s="66"/>
      <c r="K539" s="66"/>
      <c r="M539" s="66"/>
    </row>
    <row r="540" ht="22.5" customHeight="1">
      <c r="D540" s="66"/>
      <c r="E540" s="66"/>
      <c r="G540" s="66"/>
      <c r="I540" s="66"/>
      <c r="K540" s="66"/>
      <c r="M540" s="66"/>
    </row>
    <row r="541" ht="22.5" customHeight="1">
      <c r="D541" s="66"/>
      <c r="E541" s="66"/>
      <c r="G541" s="66"/>
      <c r="I541" s="66"/>
      <c r="K541" s="66"/>
      <c r="M541" s="66"/>
    </row>
    <row r="542" ht="22.5" customHeight="1">
      <c r="D542" s="66"/>
      <c r="E542" s="66"/>
      <c r="G542" s="66"/>
      <c r="I542" s="66"/>
      <c r="K542" s="66"/>
      <c r="M542" s="66"/>
    </row>
    <row r="543" ht="22.5" customHeight="1">
      <c r="D543" s="66"/>
      <c r="E543" s="66"/>
      <c r="G543" s="66"/>
      <c r="I543" s="66"/>
      <c r="K543" s="66"/>
      <c r="M543" s="66"/>
    </row>
    <row r="544" ht="22.5" customHeight="1">
      <c r="D544" s="66"/>
      <c r="E544" s="66"/>
      <c r="G544" s="66"/>
      <c r="I544" s="66"/>
      <c r="K544" s="66"/>
      <c r="M544" s="66"/>
    </row>
    <row r="545" ht="22.5" customHeight="1">
      <c r="D545" s="66"/>
      <c r="E545" s="66"/>
      <c r="G545" s="66"/>
      <c r="I545" s="66"/>
      <c r="K545" s="66"/>
      <c r="M545" s="66"/>
    </row>
    <row r="546" ht="22.5" customHeight="1">
      <c r="D546" s="66"/>
      <c r="E546" s="66"/>
      <c r="G546" s="66"/>
      <c r="I546" s="66"/>
      <c r="K546" s="66"/>
      <c r="M546" s="66"/>
    </row>
    <row r="547" ht="22.5" customHeight="1">
      <c r="D547" s="66"/>
      <c r="E547" s="66"/>
      <c r="G547" s="66"/>
      <c r="I547" s="66"/>
      <c r="K547" s="66"/>
      <c r="M547" s="66"/>
    </row>
    <row r="548" ht="22.5" customHeight="1">
      <c r="D548" s="66"/>
      <c r="E548" s="66"/>
      <c r="G548" s="66"/>
      <c r="I548" s="66"/>
      <c r="K548" s="66"/>
      <c r="M548" s="66"/>
    </row>
    <row r="549" ht="22.5" customHeight="1">
      <c r="D549" s="66"/>
      <c r="E549" s="66"/>
      <c r="G549" s="66"/>
      <c r="I549" s="66"/>
      <c r="K549" s="66"/>
      <c r="M549" s="66"/>
    </row>
    <row r="550" ht="22.5" customHeight="1">
      <c r="D550" s="66"/>
      <c r="E550" s="66"/>
      <c r="G550" s="66"/>
      <c r="I550" s="66"/>
      <c r="K550" s="66"/>
      <c r="M550" s="66"/>
    </row>
    <row r="551" ht="22.5" customHeight="1">
      <c r="D551" s="66"/>
      <c r="E551" s="66"/>
      <c r="G551" s="66"/>
      <c r="I551" s="66"/>
      <c r="K551" s="66"/>
      <c r="M551" s="66"/>
    </row>
    <row r="552" ht="22.5" customHeight="1">
      <c r="D552" s="66"/>
      <c r="E552" s="66"/>
      <c r="G552" s="66"/>
      <c r="I552" s="66"/>
      <c r="K552" s="66"/>
      <c r="M552" s="66"/>
    </row>
    <row r="553" ht="22.5" customHeight="1">
      <c r="D553" s="66"/>
      <c r="E553" s="66"/>
      <c r="G553" s="66"/>
      <c r="I553" s="66"/>
      <c r="K553" s="66"/>
      <c r="M553" s="66"/>
    </row>
    <row r="554" ht="22.5" customHeight="1">
      <c r="D554" s="66"/>
      <c r="E554" s="66"/>
      <c r="G554" s="66"/>
      <c r="I554" s="66"/>
      <c r="K554" s="66"/>
      <c r="M554" s="66"/>
    </row>
    <row r="555" ht="22.5" customHeight="1">
      <c r="D555" s="66"/>
      <c r="E555" s="66"/>
      <c r="G555" s="66"/>
      <c r="I555" s="66"/>
      <c r="K555" s="66"/>
      <c r="M555" s="66"/>
    </row>
    <row r="556" ht="22.5" customHeight="1">
      <c r="D556" s="66"/>
      <c r="E556" s="66"/>
      <c r="G556" s="66"/>
      <c r="I556" s="66"/>
      <c r="K556" s="66"/>
      <c r="M556" s="66"/>
    </row>
    <row r="557" ht="22.5" customHeight="1">
      <c r="D557" s="66"/>
      <c r="E557" s="66"/>
      <c r="G557" s="66"/>
      <c r="I557" s="66"/>
      <c r="K557" s="66"/>
      <c r="M557" s="66"/>
    </row>
    <row r="558" ht="22.5" customHeight="1">
      <c r="D558" s="66"/>
      <c r="E558" s="66"/>
      <c r="G558" s="66"/>
      <c r="I558" s="66"/>
      <c r="K558" s="66"/>
      <c r="M558" s="66"/>
    </row>
    <row r="559" ht="22.5" customHeight="1">
      <c r="D559" s="66"/>
      <c r="E559" s="66"/>
      <c r="G559" s="66"/>
      <c r="I559" s="66"/>
      <c r="K559" s="66"/>
      <c r="M559" s="66"/>
    </row>
    <row r="560" ht="22.5" customHeight="1">
      <c r="D560" s="66"/>
      <c r="E560" s="66"/>
      <c r="G560" s="66"/>
      <c r="I560" s="66"/>
      <c r="K560" s="66"/>
      <c r="M560" s="66"/>
    </row>
    <row r="561" ht="22.5" customHeight="1">
      <c r="D561" s="66"/>
      <c r="E561" s="66"/>
      <c r="G561" s="66"/>
      <c r="I561" s="66"/>
      <c r="K561" s="66"/>
      <c r="M561" s="66"/>
    </row>
    <row r="562" ht="22.5" customHeight="1">
      <c r="D562" s="66"/>
      <c r="E562" s="66"/>
      <c r="G562" s="66"/>
      <c r="I562" s="66"/>
      <c r="K562" s="66"/>
      <c r="M562" s="66"/>
    </row>
    <row r="563" ht="22.5" customHeight="1">
      <c r="D563" s="66"/>
      <c r="E563" s="66"/>
      <c r="G563" s="66"/>
      <c r="I563" s="66"/>
      <c r="K563" s="66"/>
      <c r="M563" s="66"/>
    </row>
    <row r="564" ht="22.5" customHeight="1">
      <c r="D564" s="66"/>
      <c r="E564" s="66"/>
      <c r="G564" s="66"/>
      <c r="I564" s="66"/>
      <c r="K564" s="66"/>
      <c r="M564" s="66"/>
    </row>
    <row r="565" ht="22.5" customHeight="1">
      <c r="D565" s="66"/>
      <c r="E565" s="66"/>
      <c r="G565" s="66"/>
      <c r="I565" s="66"/>
      <c r="K565" s="66"/>
      <c r="M565" s="66"/>
    </row>
    <row r="566" ht="22.5" customHeight="1">
      <c r="D566" s="66"/>
      <c r="E566" s="66"/>
      <c r="G566" s="66"/>
      <c r="I566" s="66"/>
      <c r="K566" s="66"/>
      <c r="M566" s="66"/>
    </row>
    <row r="567" ht="22.5" customHeight="1">
      <c r="D567" s="66"/>
      <c r="E567" s="66"/>
      <c r="G567" s="66"/>
      <c r="I567" s="66"/>
      <c r="K567" s="66"/>
      <c r="M567" s="66"/>
    </row>
    <row r="568" ht="22.5" customHeight="1">
      <c r="D568" s="66"/>
      <c r="E568" s="66"/>
      <c r="G568" s="66"/>
      <c r="I568" s="66"/>
      <c r="K568" s="66"/>
      <c r="M568" s="66"/>
    </row>
    <row r="569" ht="22.5" customHeight="1">
      <c r="D569" s="66"/>
      <c r="E569" s="66"/>
      <c r="G569" s="66"/>
      <c r="I569" s="66"/>
      <c r="K569" s="66"/>
      <c r="M569" s="66"/>
    </row>
    <row r="570" ht="22.5" customHeight="1">
      <c r="D570" s="66"/>
      <c r="E570" s="66"/>
      <c r="G570" s="66"/>
      <c r="I570" s="66"/>
      <c r="K570" s="66"/>
      <c r="M570" s="66"/>
    </row>
    <row r="571" ht="22.5" customHeight="1">
      <c r="D571" s="66"/>
      <c r="E571" s="66"/>
      <c r="G571" s="66"/>
      <c r="I571" s="66"/>
      <c r="K571" s="66"/>
      <c r="M571" s="66"/>
    </row>
    <row r="572" ht="22.5" customHeight="1">
      <c r="D572" s="66"/>
      <c r="E572" s="66"/>
      <c r="G572" s="66"/>
      <c r="I572" s="66"/>
      <c r="K572" s="66"/>
      <c r="M572" s="66"/>
    </row>
    <row r="573" ht="22.5" customHeight="1">
      <c r="D573" s="66"/>
      <c r="E573" s="66"/>
      <c r="G573" s="66"/>
      <c r="I573" s="66"/>
      <c r="K573" s="66"/>
      <c r="M573" s="66"/>
    </row>
    <row r="574" ht="22.5" customHeight="1">
      <c r="D574" s="66"/>
      <c r="E574" s="66"/>
      <c r="G574" s="66"/>
      <c r="I574" s="66"/>
      <c r="K574" s="66"/>
      <c r="M574" s="66"/>
    </row>
    <row r="575" ht="22.5" customHeight="1">
      <c r="D575" s="66"/>
      <c r="E575" s="66"/>
      <c r="G575" s="66"/>
      <c r="I575" s="66"/>
      <c r="K575" s="66"/>
      <c r="M575" s="66"/>
    </row>
    <row r="576" ht="22.5" customHeight="1">
      <c r="D576" s="66"/>
      <c r="E576" s="66"/>
      <c r="G576" s="66"/>
      <c r="I576" s="66"/>
      <c r="K576" s="66"/>
      <c r="M576" s="66"/>
    </row>
    <row r="577" ht="22.5" customHeight="1">
      <c r="D577" s="66"/>
      <c r="E577" s="66"/>
      <c r="G577" s="66"/>
      <c r="I577" s="66"/>
      <c r="K577" s="66"/>
      <c r="M577" s="66"/>
    </row>
    <row r="578" ht="22.5" customHeight="1">
      <c r="D578" s="66"/>
      <c r="E578" s="66"/>
      <c r="G578" s="66"/>
      <c r="I578" s="66"/>
      <c r="K578" s="66"/>
      <c r="M578" s="66"/>
    </row>
    <row r="579" ht="22.5" customHeight="1">
      <c r="D579" s="66"/>
      <c r="E579" s="66"/>
      <c r="G579" s="66"/>
      <c r="I579" s="66"/>
      <c r="K579" s="66"/>
      <c r="M579" s="66"/>
    </row>
    <row r="580" ht="22.5" customHeight="1">
      <c r="D580" s="66"/>
      <c r="E580" s="66"/>
      <c r="G580" s="66"/>
      <c r="I580" s="66"/>
      <c r="K580" s="66"/>
      <c r="M580" s="66"/>
    </row>
    <row r="581" ht="22.5" customHeight="1">
      <c r="D581" s="66"/>
      <c r="E581" s="66"/>
      <c r="G581" s="66"/>
      <c r="I581" s="66"/>
      <c r="K581" s="66"/>
      <c r="M581" s="66"/>
    </row>
    <row r="582" ht="22.5" customHeight="1">
      <c r="D582" s="66"/>
      <c r="E582" s="66"/>
      <c r="G582" s="66"/>
      <c r="I582" s="66"/>
      <c r="K582" s="66"/>
      <c r="M582" s="66"/>
    </row>
    <row r="583" ht="22.5" customHeight="1">
      <c r="D583" s="66"/>
      <c r="E583" s="66"/>
      <c r="G583" s="66"/>
      <c r="I583" s="66"/>
      <c r="K583" s="66"/>
      <c r="M583" s="66"/>
    </row>
    <row r="584" ht="22.5" customHeight="1">
      <c r="D584" s="66"/>
      <c r="E584" s="66"/>
      <c r="G584" s="66"/>
      <c r="I584" s="66"/>
      <c r="K584" s="66"/>
      <c r="M584" s="66"/>
    </row>
    <row r="585" ht="22.5" customHeight="1">
      <c r="D585" s="66"/>
      <c r="E585" s="66"/>
      <c r="G585" s="66"/>
      <c r="I585" s="66"/>
      <c r="K585" s="66"/>
      <c r="M585" s="66"/>
    </row>
    <row r="586" ht="22.5" customHeight="1">
      <c r="D586" s="66"/>
      <c r="E586" s="66"/>
      <c r="G586" s="66"/>
      <c r="I586" s="66"/>
      <c r="K586" s="66"/>
      <c r="M586" s="66"/>
    </row>
    <row r="587" ht="22.5" customHeight="1">
      <c r="D587" s="66"/>
      <c r="E587" s="66"/>
      <c r="G587" s="66"/>
      <c r="I587" s="66"/>
      <c r="K587" s="66"/>
      <c r="M587" s="66"/>
    </row>
    <row r="588" ht="22.5" customHeight="1">
      <c r="D588" s="66"/>
      <c r="E588" s="66"/>
      <c r="G588" s="66"/>
      <c r="I588" s="66"/>
      <c r="K588" s="66"/>
      <c r="M588" s="66"/>
    </row>
    <row r="589" ht="22.5" customHeight="1">
      <c r="D589" s="66"/>
      <c r="E589" s="66"/>
      <c r="G589" s="66"/>
      <c r="I589" s="66"/>
      <c r="K589" s="66"/>
      <c r="M589" s="66"/>
    </row>
    <row r="590" ht="22.5" customHeight="1">
      <c r="D590" s="66"/>
      <c r="E590" s="66"/>
      <c r="G590" s="66"/>
      <c r="I590" s="66"/>
      <c r="K590" s="66"/>
      <c r="M590" s="66"/>
    </row>
    <row r="591" ht="22.5" customHeight="1">
      <c r="D591" s="66"/>
      <c r="E591" s="66"/>
      <c r="G591" s="66"/>
      <c r="I591" s="66"/>
      <c r="K591" s="66"/>
      <c r="M591" s="66"/>
    </row>
    <row r="592" ht="22.5" customHeight="1">
      <c r="D592" s="66"/>
      <c r="E592" s="66"/>
      <c r="G592" s="66"/>
      <c r="I592" s="66"/>
      <c r="K592" s="66"/>
      <c r="M592" s="66"/>
    </row>
    <row r="593" ht="22.5" customHeight="1">
      <c r="D593" s="66"/>
      <c r="E593" s="66"/>
      <c r="G593" s="66"/>
      <c r="I593" s="66"/>
      <c r="K593" s="66"/>
      <c r="M593" s="66"/>
    </row>
    <row r="594" ht="22.5" customHeight="1">
      <c r="D594" s="66"/>
      <c r="E594" s="66"/>
      <c r="G594" s="66"/>
      <c r="I594" s="66"/>
      <c r="K594" s="66"/>
      <c r="M594" s="66"/>
    </row>
    <row r="595" ht="22.5" customHeight="1">
      <c r="D595" s="66"/>
      <c r="E595" s="66"/>
      <c r="G595" s="66"/>
      <c r="I595" s="66"/>
      <c r="K595" s="66"/>
      <c r="M595" s="66"/>
    </row>
    <row r="596" ht="22.5" customHeight="1">
      <c r="D596" s="66"/>
      <c r="E596" s="66"/>
      <c r="G596" s="66"/>
      <c r="I596" s="66"/>
      <c r="K596" s="66"/>
      <c r="M596" s="66"/>
    </row>
    <row r="597" ht="22.5" customHeight="1">
      <c r="D597" s="66"/>
      <c r="E597" s="66"/>
      <c r="G597" s="66"/>
      <c r="I597" s="66"/>
      <c r="K597" s="66"/>
      <c r="M597" s="66"/>
    </row>
    <row r="598" ht="22.5" customHeight="1">
      <c r="D598" s="66"/>
      <c r="E598" s="66"/>
      <c r="G598" s="66"/>
      <c r="I598" s="66"/>
      <c r="K598" s="66"/>
      <c r="M598" s="66"/>
    </row>
    <row r="599" ht="22.5" customHeight="1">
      <c r="D599" s="66"/>
      <c r="E599" s="66"/>
      <c r="G599" s="66"/>
      <c r="I599" s="66"/>
      <c r="K599" s="66"/>
      <c r="M599" s="66"/>
    </row>
    <row r="600" ht="22.5" customHeight="1">
      <c r="D600" s="66"/>
      <c r="E600" s="66"/>
      <c r="G600" s="66"/>
      <c r="I600" s="66"/>
      <c r="K600" s="66"/>
      <c r="M600" s="66"/>
    </row>
    <row r="601" ht="22.5" customHeight="1">
      <c r="D601" s="66"/>
      <c r="E601" s="66"/>
      <c r="G601" s="66"/>
      <c r="I601" s="66"/>
      <c r="K601" s="66"/>
      <c r="M601" s="66"/>
    </row>
    <row r="602" ht="22.5" customHeight="1">
      <c r="D602" s="66"/>
      <c r="E602" s="66"/>
      <c r="G602" s="66"/>
      <c r="I602" s="66"/>
      <c r="K602" s="66"/>
      <c r="M602" s="66"/>
    </row>
    <row r="603" ht="22.5" customHeight="1">
      <c r="D603" s="66"/>
      <c r="E603" s="66"/>
      <c r="G603" s="66"/>
      <c r="I603" s="66"/>
      <c r="K603" s="66"/>
      <c r="M603" s="66"/>
    </row>
    <row r="604" ht="22.5" customHeight="1">
      <c r="D604" s="66"/>
      <c r="E604" s="66"/>
      <c r="G604" s="66"/>
      <c r="I604" s="66"/>
      <c r="K604" s="66"/>
      <c r="M604" s="66"/>
    </row>
    <row r="605" ht="22.5" customHeight="1">
      <c r="D605" s="66"/>
      <c r="E605" s="66"/>
      <c r="G605" s="66"/>
      <c r="I605" s="66"/>
      <c r="K605" s="66"/>
      <c r="M605" s="66"/>
    </row>
    <row r="606" ht="22.5" customHeight="1">
      <c r="D606" s="66"/>
      <c r="E606" s="66"/>
      <c r="G606" s="66"/>
      <c r="I606" s="66"/>
      <c r="K606" s="66"/>
      <c r="M606" s="66"/>
    </row>
    <row r="607" ht="22.5" customHeight="1">
      <c r="D607" s="66"/>
      <c r="E607" s="66"/>
      <c r="G607" s="66"/>
      <c r="I607" s="66"/>
      <c r="K607" s="66"/>
      <c r="M607" s="66"/>
    </row>
    <row r="608" ht="22.5" customHeight="1">
      <c r="D608" s="66"/>
      <c r="E608" s="66"/>
      <c r="G608" s="66"/>
      <c r="I608" s="66"/>
      <c r="K608" s="66"/>
      <c r="M608" s="66"/>
    </row>
    <row r="609" ht="22.5" customHeight="1">
      <c r="D609" s="66"/>
      <c r="E609" s="66"/>
      <c r="G609" s="66"/>
      <c r="I609" s="66"/>
      <c r="K609" s="66"/>
      <c r="M609" s="66"/>
    </row>
    <row r="610" ht="22.5" customHeight="1">
      <c r="D610" s="66"/>
      <c r="E610" s="66"/>
      <c r="G610" s="66"/>
      <c r="I610" s="66"/>
      <c r="K610" s="66"/>
      <c r="M610" s="66"/>
    </row>
  </sheetData>
  <customSheetViews>
    <customSheetView guid="{AB9F3BDA-C58C-40C4-A658-601719A286A0}" filter="1" showAutoFilter="1">
      <autoFilter ref="$A$1:$P$610"/>
    </customSheetView>
    <customSheetView guid="{01F1D7D1-E099-4DCF-9114-8213CFF90C97}" filter="1" showAutoFilter="1">
      <autoFilter ref="$A$1:$P$610"/>
    </customSheetView>
    <customSheetView guid="{25FFF08A-66DA-41C7-B92C-A599274DF4E2}" filter="1" showAutoFilter="1">
      <autoFilter ref="$A$1:$P$610"/>
    </customSheetView>
    <customSheetView guid="{916BD683-69E9-453F-990B-184CF69AF4FE}" filter="1" showAutoFilter="1">
      <autoFilter ref="$A$1:$P$610"/>
    </customSheetView>
    <customSheetView guid="{9B516B4F-AD50-4C1B-96CE-8530977430D9}" filter="1" showAutoFilter="1">
      <autoFilter ref="$A$1:$P$610"/>
    </customSheetView>
    <customSheetView guid="{DDB49BB2-B4C4-41EF-82E3-FF0D9F747910}" filter="1" showAutoFilter="1">
      <autoFilter ref="$A$1:$P$610"/>
    </customSheetView>
    <customSheetView guid="{D8016F6B-5246-412D-8D48-A4B67B18A46D}" filter="1" showAutoFilter="1">
      <autoFilter ref="$A$1:$P$610"/>
    </customSheetView>
    <customSheetView guid="{AE8BB9E1-06E1-404F-B565-8EC2B0D80199}" filter="1" showAutoFilter="1">
      <autoFilter ref="$A$1:$P$610"/>
    </customSheetView>
    <customSheetView guid="{0B1A594A-7DEA-40E9-A340-693CC4259A9F}" filter="1" showAutoFilter="1">
      <autoFilter ref="$A$1:$P$610"/>
    </customSheetView>
    <customSheetView guid="{1C4A8125-7CA0-4FC3-91BD-C62BCE4E23FB}" filter="1" showAutoFilter="1">
      <autoFilter ref="$A$1:$P$610"/>
    </customSheetView>
    <customSheetView guid="{16532403-E150-4F54-8F24-810F82ABC52A}" filter="1" showAutoFilter="1">
      <autoFilter ref="$A$1:$P$610"/>
    </customSheetView>
    <customSheetView guid="{1FCD6E23-CE7E-4AA8-8D11-9D169EE5F5D6}" filter="1" showAutoFilter="1">
      <autoFilter ref="$A$1:$P$610"/>
    </customSheetView>
    <customSheetView guid="{8709B9B2-25BC-4FDE-BF13-ACDF5A469941}" filter="1" showAutoFilter="1">
      <autoFilter ref="$A$1:$P$610"/>
    </customSheetView>
    <customSheetView guid="{C2CD239C-F9A8-4445-8B32-E0D6C02498C7}" filter="1" showAutoFilter="1">
      <autoFilter ref="$A$1:$P$610"/>
    </customSheetView>
    <customSheetView guid="{5AD696C5-8B16-4D52-924C-2E402DD911F3}" filter="1" showAutoFilter="1">
      <autoFilter ref="$A$1:$P$610"/>
    </customSheetView>
    <customSheetView guid="{318B9C66-9802-4774-96C9-F11EDA50B150}" filter="1" showAutoFilter="1">
      <autoFilter ref="$A$1:$P$610"/>
    </customSheetView>
    <customSheetView guid="{74530CCB-0B76-46D4-ACB0-85DE1ED5A417}" filter="1" showAutoFilter="1">
      <autoFilter ref="$A$1:$P$610"/>
    </customSheetView>
    <customSheetView guid="{6EDF69C4-4BEE-47E7-8294-0963EEE972A1}" filter="1" showAutoFilter="1">
      <autoFilter ref="$A$1:$P$610"/>
    </customSheetView>
    <customSheetView guid="{E5FE9003-762D-425A-9359-3E3959FD9E0B}" filter="1" showAutoFilter="1">
      <autoFilter ref="$A$1:$P$610"/>
    </customSheetView>
    <customSheetView guid="{3B68DF9D-942E-4A60-B9F5-D7E141B1FEEC}" filter="1" showAutoFilter="1">
      <autoFilter ref="$A$1:$P$610"/>
    </customSheetView>
    <customSheetView guid="{11FCF255-BB8A-4152-A50C-8D16373AECDE}" filter="1" showAutoFilter="1">
      <autoFilter ref="$A$1:$P$610"/>
    </customSheetView>
    <customSheetView guid="{870DEA61-60D3-472D-A790-DA5E3253B3BE}" filter="1" showAutoFilter="1">
      <autoFilter ref="$A$1:$P$610"/>
    </customSheetView>
    <customSheetView guid="{42EE3BA9-A1E5-4649-B844-4E17ADFBEAF1}" filter="1" showAutoFilter="1">
      <autoFilter ref="$A$1:$P$610"/>
    </customSheetView>
    <customSheetView guid="{CF6B82BC-D7C6-4F15-9E3A-3A3EBC6610CD}" filter="1" showAutoFilter="1">
      <autoFilter ref="$A$1:$P$610"/>
    </customSheetView>
    <customSheetView guid="{ACAE55F5-F640-4ECA-B22F-A8CA353C80CA}" filter="1" showAutoFilter="1">
      <autoFilter ref="$A$1:$P$610"/>
    </customSheetView>
    <customSheetView guid="{6529CA7D-EB2D-48E3-B965-4E2F0E65DCC6}" filter="1" showAutoFilter="1">
      <autoFilter ref="$A$1:$P$610"/>
    </customSheetView>
    <customSheetView guid="{A104FE72-2CA9-4D96-BAEF-1498225EE7D5}" filter="1" showAutoFilter="1">
      <autoFilter ref="$A$1:$P$610"/>
    </customSheetView>
    <customSheetView guid="{89B90C25-05BC-4397-B7CC-8E10F1597734}" filter="1" showAutoFilter="1">
      <autoFilter ref="$A$1:$P$610"/>
    </customSheetView>
    <customSheetView guid="{0ED3DB75-60D0-4D90-9B88-3CA94695BA30}" filter="1" showAutoFilter="1">
      <autoFilter ref="$A$1:$P$610"/>
    </customSheetView>
    <customSheetView guid="{4849141E-3A24-458B-9741-F7DE6B9E6422}" filter="1" showAutoFilter="1">
      <autoFilter ref="$A$1:$P$610"/>
    </customSheetView>
    <customSheetView guid="{60C8AC33-B4F0-4103-8131-EC9807FAB241}" filter="1" showAutoFilter="1">
      <autoFilter ref="$A$1:$P$610"/>
    </customSheetView>
    <customSheetView guid="{1A8D33D6-5610-486E-970A-6EE0FA35DFD2}" filter="1" showAutoFilter="1">
      <autoFilter ref="$A$1:$P$610"/>
    </customSheetView>
    <customSheetView guid="{6ECAD644-DDEB-4B8D-B9DD-F47069530A83}" filter="1" showAutoFilter="1">
      <autoFilter ref="$A$1:$P$610"/>
    </customSheetView>
    <customSheetView guid="{59D52ED6-342A-412F-81B4-9AF63D7D4CAD}" filter="1" showAutoFilter="1">
      <autoFilter ref="$A$1:$P$610"/>
    </customSheetView>
    <customSheetView guid="{2A41C2A3-6711-4EE2-BC02-2E7E5EB26B79}" filter="1" showAutoFilter="1">
      <autoFilter ref="$A$1:$P$610"/>
    </customSheetView>
    <customSheetView guid="{E0BA8A09-13DE-4E83-AD0C-DBD93BC6E554}" filter="1" showAutoFilter="1">
      <autoFilter ref="$A$1:$P$610"/>
    </customSheetView>
    <customSheetView guid="{93C8A4C6-2ADC-4F51-9671-7561BBA58209}" filter="1" showAutoFilter="1">
      <autoFilter ref="$A$1:$P$610"/>
    </customSheetView>
    <customSheetView guid="{53655A4A-F7D0-4738-9B74-80EE9C11B88C}" filter="1" showAutoFilter="1">
      <autoFilter ref="$A$1:$P$610"/>
    </customSheetView>
    <customSheetView guid="{3014B581-897F-4C8A-B78D-CE52BAFA3A39}" filter="1" showAutoFilter="1">
      <autoFilter ref="$A$1:$P$610"/>
    </customSheetView>
    <customSheetView guid="{43851966-082A-4ADE-9443-EC6E714E4348}" filter="1" showAutoFilter="1">
      <autoFilter ref="$A$1:$P$610"/>
    </customSheetView>
    <customSheetView guid="{8E722F76-975F-4A06-8530-7C2A6749E366}" filter="1" showAutoFilter="1">
      <autoFilter ref="$A$1:$P$610"/>
    </customSheetView>
    <customSheetView guid="{599E6B7F-A0D0-4C2B-AC1C-C8C7C076F859}" filter="1" showAutoFilter="1">
      <autoFilter ref="$A$1:$P$610"/>
    </customSheetView>
    <customSheetView guid="{E20B81AE-3BD8-4866-AC84-479DE62FB72F}" filter="1" showAutoFilter="1">
      <autoFilter ref="$A$1:$P$610"/>
    </customSheetView>
    <customSheetView guid="{9D77ABC0-617A-4807-A4A7-E9F587F87454}" filter="1" showAutoFilter="1">
      <autoFilter ref="$A$1:$P$610"/>
    </customSheetView>
    <customSheetView guid="{3B5A3B61-F402-4057-8FF2-393F496A764B}" filter="1" showAutoFilter="1">
      <autoFilter ref="$A$1:$P$610"/>
    </customSheetView>
    <customSheetView guid="{8571C71F-6CDC-4813-82F4-34412D0E89F0}" filter="1" showAutoFilter="1">
      <autoFilter ref="$A$1:$P$610"/>
    </customSheetView>
    <customSheetView guid="{BB4AC7DF-3365-427C-9988-DF3D62DD32F5}" filter="1" showAutoFilter="1">
      <autoFilter ref="$A$1:$P$610"/>
    </customSheetView>
    <customSheetView guid="{E329A87C-DA13-40DA-8422-EEB0AF6BD938}" filter="1" showAutoFilter="1">
      <autoFilter ref="$A$1:$P$610"/>
    </customSheetView>
    <customSheetView guid="{6463532C-BD49-4B9D-8C2F-EE5BF7396BD0}" filter="1" showAutoFilter="1">
      <autoFilter ref="$A$1:$P$610"/>
    </customSheetView>
    <customSheetView guid="{F4EEA059-F4CE-4457-8604-CA6BDB9141D0}" filter="1" showAutoFilter="1">
      <autoFilter ref="$A$1:$P$610"/>
    </customSheetView>
    <customSheetView guid="{A7A6E8ED-4E4B-46E5-884A-44A954A8E9A6}" filter="1" showAutoFilter="1">
      <autoFilter ref="$A$1:$P$610"/>
    </customSheetView>
    <customSheetView guid="{11386E65-329C-4C20-B218-2B49751EA160}" filter="1" showAutoFilter="1">
      <autoFilter ref="$A$1:$P$610"/>
    </customSheetView>
    <customSheetView guid="{FDC5DBBB-632E-4C24-9B3B-48C8DA63E919}" filter="1" showAutoFilter="1">
      <autoFilter ref="$A$1:$P$610"/>
    </customSheetView>
    <customSheetView guid="{00AC7BC1-1622-4FEA-80BE-F917D49FFA67}" filter="1" showAutoFilter="1">
      <autoFilter ref="$A$1:$P$610"/>
    </customSheetView>
    <customSheetView guid="{B0FD48DB-2A07-4088-BE13-115271DC48CF}" filter="1" showAutoFilter="1">
      <autoFilter ref="$A$1:$P$610"/>
    </customSheetView>
    <customSheetView guid="{3BD62615-F0B8-49E7-A63A-92A49FA69787}" filter="1" showAutoFilter="1">
      <autoFilter ref="$A$1:$P$610"/>
    </customSheetView>
    <customSheetView guid="{97CD85E9-0BBD-45CD-A007-31243B499C78}" filter="1" showAutoFilter="1">
      <autoFilter ref="$A$1:$P$610"/>
    </customSheetView>
    <customSheetView guid="{CF3D11DE-D7F2-45FC-8CD4-79761E3D4F6E}" filter="1" showAutoFilter="1">
      <autoFilter ref="$A$1:$P$610"/>
    </customSheetView>
    <customSheetView guid="{028ECECE-2391-401B-9F91-2891D253E65E}" filter="1" showAutoFilter="1">
      <autoFilter ref="$A$1:$P$610"/>
    </customSheetView>
    <customSheetView guid="{CD10EF8D-764A-4BD0-B3FB-D48AAE4C5964}" filter="1" showAutoFilter="1">
      <autoFilter ref="$A$1:$P$610"/>
    </customSheetView>
    <customSheetView guid="{DA57DD75-3C64-4AF1-9668-261977003692}" filter="1" showAutoFilter="1">
      <autoFilter ref="$A$1:$P$610"/>
    </customSheetView>
    <customSheetView guid="{779D25FC-C155-4584-83D9-139306780279}" filter="1" showAutoFilter="1">
      <autoFilter ref="$A$1:$P$610"/>
    </customSheetView>
    <customSheetView guid="{83916D5B-EE94-4770-9A9C-1FDEA668B1A9}" filter="1" showAutoFilter="1">
      <autoFilter ref="$A$1:$P$610"/>
    </customSheetView>
    <customSheetView guid="{0EDE7776-14CC-4376-A780-6E81E7D4FDCF}" filter="1" showAutoFilter="1">
      <autoFilter ref="$A$1:$P$610"/>
    </customSheetView>
    <customSheetView guid="{D3289CBE-E162-431C-9FEF-6979D70DE615}" filter="1" showAutoFilter="1">
      <autoFilter ref="$A$1:$P$610"/>
    </customSheetView>
    <customSheetView guid="{DBA73DF4-0A67-4FD9-8A9F-9D1299944FD4}" filter="1" showAutoFilter="1">
      <autoFilter ref="$A$1:$P$610"/>
    </customSheetView>
    <customSheetView guid="{EA07CB7E-4C0C-475A-9774-E0F6AA186EE8}" filter="1" showAutoFilter="1">
      <autoFilter ref="$A$1:$P$610"/>
    </customSheetView>
    <customSheetView guid="{4A970BB1-6E36-44B6-8E12-5CE6E6943B03}" filter="1" showAutoFilter="1">
      <autoFilter ref="$A$1:$P$610"/>
    </customSheetView>
    <customSheetView guid="{4C9C11EC-DFF2-467F-AA4A-3F7C56377D41}" filter="1" showAutoFilter="1">
      <autoFilter ref="$A$1:$P$610"/>
    </customSheetView>
    <customSheetView guid="{25783412-2087-4617-B872-F2D369530F14}" filter="1" showAutoFilter="1">
      <autoFilter ref="$A$1:$P$610"/>
    </customSheetView>
    <customSheetView guid="{59412FAE-D09F-4966-84FA-7414B31AC02D}" filter="1" showAutoFilter="1">
      <autoFilter ref="$A$1:$P$610"/>
    </customSheetView>
  </customSheetViews>
  <dataValidations>
    <dataValidation type="list" allowBlank="1" sqref="D2:D610">
      <formula1>"Call Attended,Not Attended,Attempt Remains"</formula1>
    </dataValidation>
    <dataValidation type="list" allowBlank="1" sqref="E2:E610">
      <formula1>"Contacted,Awaiting Response,Closed - Won,Closed - Lost,Call not Recieved,Referred to,Awaiting payment,international num ,form filled,enroll in next batch,Demo"</formula1>
    </dataValidation>
    <dataValidation type="list" allowBlank="1" sqref="G2:G610 I2:I610 K2:K610 M2:M610">
      <formula1>"Call Recieved,Not Recieved,Please Call later,Not attempted,Client lost"</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13.63"/>
    <col customWidth="1" min="14" max="14" width="19.75"/>
    <col customWidth="1" min="15" max="15" width="61.3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58" t="s">
        <v>362</v>
      </c>
      <c r="O1" s="2" t="s">
        <v>13</v>
      </c>
      <c r="P1" s="2" t="s">
        <v>14</v>
      </c>
      <c r="Q1" s="2" t="s">
        <v>363</v>
      </c>
    </row>
    <row r="2" ht="22.5" customHeight="1">
      <c r="A2" s="67"/>
      <c r="B2" s="122" t="s">
        <v>1315</v>
      </c>
      <c r="C2" s="59">
        <f t="shared" ref="C2:C245" si="1">COUNTIF(G2:M2, "Not attempted")</f>
        <v>0</v>
      </c>
      <c r="D2" s="61" t="s">
        <v>34</v>
      </c>
      <c r="E2" s="61" t="s">
        <v>49</v>
      </c>
      <c r="F2" s="59" t="s">
        <v>18</v>
      </c>
      <c r="G2" s="61" t="s">
        <v>50</v>
      </c>
      <c r="H2" s="59" t="s">
        <v>20</v>
      </c>
      <c r="I2" s="61" t="s">
        <v>50</v>
      </c>
      <c r="J2" s="63" t="s">
        <v>21</v>
      </c>
      <c r="K2" s="61" t="s">
        <v>50</v>
      </c>
      <c r="L2" s="63" t="s">
        <v>22</v>
      </c>
      <c r="M2" s="61" t="s">
        <v>50</v>
      </c>
      <c r="N2" s="66"/>
      <c r="O2" s="60" t="s">
        <v>1316</v>
      </c>
      <c r="P2" s="60"/>
      <c r="Q2" s="60" t="s">
        <v>1317</v>
      </c>
    </row>
    <row r="3" ht="22.5" customHeight="1">
      <c r="A3" s="67"/>
      <c r="B3" s="122" t="s">
        <v>1318</v>
      </c>
      <c r="C3" s="59">
        <f t="shared" si="1"/>
        <v>0</v>
      </c>
      <c r="D3" s="61" t="s">
        <v>34</v>
      </c>
      <c r="E3" s="61" t="s">
        <v>49</v>
      </c>
      <c r="F3" s="59" t="s">
        <v>18</v>
      </c>
      <c r="G3" s="61" t="s">
        <v>50</v>
      </c>
      <c r="H3" s="59" t="s">
        <v>20</v>
      </c>
      <c r="I3" s="61" t="s">
        <v>50</v>
      </c>
      <c r="J3" s="63" t="s">
        <v>21</v>
      </c>
      <c r="K3" s="61" t="s">
        <v>50</v>
      </c>
      <c r="L3" s="63" t="s">
        <v>22</v>
      </c>
      <c r="M3" s="61" t="s">
        <v>50</v>
      </c>
      <c r="N3" s="66"/>
      <c r="O3" s="60" t="s">
        <v>211</v>
      </c>
      <c r="P3" s="59"/>
      <c r="Q3" s="60" t="s">
        <v>1317</v>
      </c>
    </row>
    <row r="4" ht="22.5" customHeight="1">
      <c r="A4" s="67"/>
      <c r="B4" s="122" t="s">
        <v>1319</v>
      </c>
      <c r="C4" s="59">
        <f t="shared" si="1"/>
        <v>0</v>
      </c>
      <c r="D4" s="61" t="s">
        <v>16</v>
      </c>
      <c r="E4" s="61" t="s">
        <v>49</v>
      </c>
      <c r="F4" s="59" t="s">
        <v>18</v>
      </c>
      <c r="G4" s="61" t="s">
        <v>50</v>
      </c>
      <c r="H4" s="59" t="s">
        <v>20</v>
      </c>
      <c r="I4" s="61" t="s">
        <v>50</v>
      </c>
      <c r="J4" s="63" t="s">
        <v>21</v>
      </c>
      <c r="K4" s="61" t="s">
        <v>50</v>
      </c>
      <c r="L4" s="63" t="s">
        <v>22</v>
      </c>
      <c r="M4" s="61" t="s">
        <v>50</v>
      </c>
      <c r="N4" s="66"/>
      <c r="O4" s="60" t="s">
        <v>1320</v>
      </c>
      <c r="P4" s="59"/>
      <c r="Q4" s="60" t="s">
        <v>1317</v>
      </c>
    </row>
    <row r="5" ht="22.5" customHeight="1">
      <c r="A5" s="67"/>
      <c r="B5" s="70" t="s">
        <v>1321</v>
      </c>
      <c r="C5" s="59">
        <f t="shared" si="1"/>
        <v>0</v>
      </c>
      <c r="D5" s="61" t="s">
        <v>16</v>
      </c>
      <c r="E5" s="61" t="s">
        <v>17</v>
      </c>
      <c r="F5" s="59" t="s">
        <v>18</v>
      </c>
      <c r="G5" s="61" t="s">
        <v>19</v>
      </c>
      <c r="H5" s="59" t="s">
        <v>20</v>
      </c>
      <c r="I5" s="61" t="s">
        <v>19</v>
      </c>
      <c r="J5" s="63" t="s">
        <v>21</v>
      </c>
      <c r="K5" s="61" t="s">
        <v>19</v>
      </c>
      <c r="L5" s="63" t="s">
        <v>22</v>
      </c>
      <c r="M5" s="61" t="s">
        <v>19</v>
      </c>
      <c r="N5" s="66"/>
      <c r="O5" s="60" t="s">
        <v>376</v>
      </c>
      <c r="P5" s="59"/>
      <c r="Q5" s="60" t="s">
        <v>1317</v>
      </c>
    </row>
    <row r="6" ht="22.5" customHeight="1">
      <c r="A6" s="67"/>
      <c r="B6" s="60" t="s">
        <v>1322</v>
      </c>
      <c r="C6" s="59">
        <f t="shared" si="1"/>
        <v>0</v>
      </c>
      <c r="D6" s="61" t="s">
        <v>16</v>
      </c>
      <c r="E6" s="61" t="s">
        <v>17</v>
      </c>
      <c r="F6" s="59" t="s">
        <v>18</v>
      </c>
      <c r="G6" s="61" t="s">
        <v>19</v>
      </c>
      <c r="H6" s="59" t="s">
        <v>20</v>
      </c>
      <c r="I6" s="61" t="s">
        <v>19</v>
      </c>
      <c r="J6" s="63" t="s">
        <v>21</v>
      </c>
      <c r="K6" s="61" t="s">
        <v>19</v>
      </c>
      <c r="L6" s="63" t="s">
        <v>22</v>
      </c>
      <c r="M6" s="61" t="s">
        <v>19</v>
      </c>
      <c r="N6" s="66"/>
      <c r="O6" s="60" t="s">
        <v>376</v>
      </c>
      <c r="P6" s="59"/>
      <c r="Q6" s="60" t="s">
        <v>1317</v>
      </c>
    </row>
    <row r="7" ht="22.5" customHeight="1">
      <c r="A7" s="67"/>
      <c r="B7" s="60" t="s">
        <v>1323</v>
      </c>
      <c r="C7" s="59">
        <f t="shared" si="1"/>
        <v>1</v>
      </c>
      <c r="D7" s="61" t="s">
        <v>34</v>
      </c>
      <c r="E7" s="61" t="s">
        <v>25</v>
      </c>
      <c r="F7" s="59" t="s">
        <v>18</v>
      </c>
      <c r="G7" s="61" t="s">
        <v>31</v>
      </c>
      <c r="H7" s="59" t="s">
        <v>20</v>
      </c>
      <c r="I7" s="61" t="s">
        <v>50</v>
      </c>
      <c r="J7" s="63" t="s">
        <v>21</v>
      </c>
      <c r="K7" s="61" t="s">
        <v>640</v>
      </c>
      <c r="L7" s="63" t="s">
        <v>22</v>
      </c>
      <c r="M7" s="61" t="s">
        <v>50</v>
      </c>
      <c r="N7" s="66"/>
      <c r="O7" s="60" t="s">
        <v>1324</v>
      </c>
      <c r="P7" s="59"/>
      <c r="Q7" s="60" t="s">
        <v>1317</v>
      </c>
    </row>
    <row r="8" ht="22.5" customHeight="1">
      <c r="A8" s="67"/>
      <c r="B8" s="64" t="s">
        <v>1325</v>
      </c>
      <c r="C8" s="59">
        <f t="shared" si="1"/>
        <v>0</v>
      </c>
      <c r="D8" s="61" t="s">
        <v>34</v>
      </c>
      <c r="E8" s="61" t="s">
        <v>49</v>
      </c>
      <c r="F8" s="59" t="s">
        <v>18</v>
      </c>
      <c r="G8" s="61" t="s">
        <v>50</v>
      </c>
      <c r="H8" s="59" t="s">
        <v>20</v>
      </c>
      <c r="I8" s="61" t="s">
        <v>50</v>
      </c>
      <c r="J8" s="63" t="s">
        <v>21</v>
      </c>
      <c r="K8" s="61" t="s">
        <v>50</v>
      </c>
      <c r="L8" s="63" t="s">
        <v>22</v>
      </c>
      <c r="M8" s="61" t="s">
        <v>50</v>
      </c>
      <c r="N8" s="66"/>
      <c r="O8" s="10" t="s">
        <v>1326</v>
      </c>
      <c r="P8" s="59"/>
      <c r="Q8" s="60" t="s">
        <v>1317</v>
      </c>
    </row>
    <row r="9" ht="22.5" customHeight="1">
      <c r="A9" s="123"/>
      <c r="B9" s="64" t="s">
        <v>1327</v>
      </c>
      <c r="C9" s="59">
        <f t="shared" si="1"/>
        <v>0</v>
      </c>
      <c r="D9" s="61" t="s">
        <v>34</v>
      </c>
      <c r="E9" s="61" t="s">
        <v>49</v>
      </c>
      <c r="F9" s="59" t="s">
        <v>18</v>
      </c>
      <c r="G9" s="61" t="s">
        <v>50</v>
      </c>
      <c r="H9" s="59" t="s">
        <v>20</v>
      </c>
      <c r="I9" s="61" t="s">
        <v>50</v>
      </c>
      <c r="J9" s="63" t="s">
        <v>21</v>
      </c>
      <c r="K9" s="61" t="s">
        <v>50</v>
      </c>
      <c r="L9" s="63" t="s">
        <v>22</v>
      </c>
      <c r="M9" s="61" t="s">
        <v>50</v>
      </c>
      <c r="N9" s="66"/>
      <c r="O9" s="10" t="s">
        <v>1328</v>
      </c>
      <c r="P9" s="59"/>
      <c r="Q9" s="60" t="s">
        <v>1317</v>
      </c>
    </row>
    <row r="10" ht="22.5" customHeight="1">
      <c r="A10" s="67"/>
      <c r="B10" s="70" t="s">
        <v>1329</v>
      </c>
      <c r="C10" s="59">
        <f t="shared" si="1"/>
        <v>0</v>
      </c>
      <c r="D10" s="61" t="s">
        <v>16</v>
      </c>
      <c r="E10" s="61" t="s">
        <v>17</v>
      </c>
      <c r="F10" s="59" t="s">
        <v>18</v>
      </c>
      <c r="G10" s="61" t="s">
        <v>19</v>
      </c>
      <c r="H10" s="59" t="s">
        <v>20</v>
      </c>
      <c r="I10" s="61" t="s">
        <v>19</v>
      </c>
      <c r="J10" s="63" t="s">
        <v>21</v>
      </c>
      <c r="K10" s="61" t="s">
        <v>19</v>
      </c>
      <c r="L10" s="63" t="s">
        <v>22</v>
      </c>
      <c r="M10" s="61" t="s">
        <v>19</v>
      </c>
      <c r="N10" s="66"/>
      <c r="O10" s="60" t="s">
        <v>376</v>
      </c>
      <c r="P10" s="59"/>
      <c r="Q10" s="60" t="s">
        <v>1317</v>
      </c>
    </row>
    <row r="11" ht="22.5" customHeight="1">
      <c r="A11" s="67"/>
      <c r="B11" s="60" t="s">
        <v>1330</v>
      </c>
      <c r="C11" s="59">
        <f t="shared" si="1"/>
        <v>4</v>
      </c>
      <c r="D11" s="61" t="s">
        <v>34</v>
      </c>
      <c r="E11" s="61" t="s">
        <v>635</v>
      </c>
      <c r="F11" s="59" t="s">
        <v>18</v>
      </c>
      <c r="G11" s="61" t="s">
        <v>640</v>
      </c>
      <c r="H11" s="59" t="s">
        <v>20</v>
      </c>
      <c r="I11" s="61" t="s">
        <v>640</v>
      </c>
      <c r="J11" s="63" t="s">
        <v>21</v>
      </c>
      <c r="K11" s="61" t="s">
        <v>640</v>
      </c>
      <c r="L11" s="63" t="s">
        <v>22</v>
      </c>
      <c r="M11" s="61" t="s">
        <v>640</v>
      </c>
      <c r="N11" s="85" t="s">
        <v>1331</v>
      </c>
      <c r="O11" s="60" t="s">
        <v>636</v>
      </c>
      <c r="P11" s="59"/>
      <c r="Q11" s="60" t="s">
        <v>1317</v>
      </c>
    </row>
    <row r="12" ht="22.5" customHeight="1">
      <c r="A12" s="67"/>
      <c r="B12" s="64" t="s">
        <v>1332</v>
      </c>
      <c r="C12" s="59">
        <f t="shared" si="1"/>
        <v>0</v>
      </c>
      <c r="D12" s="61" t="s">
        <v>34</v>
      </c>
      <c r="E12" s="61" t="s">
        <v>49</v>
      </c>
      <c r="F12" s="59" t="s">
        <v>18</v>
      </c>
      <c r="G12" s="61" t="s">
        <v>50</v>
      </c>
      <c r="H12" s="59" t="s">
        <v>20</v>
      </c>
      <c r="I12" s="61" t="s">
        <v>50</v>
      </c>
      <c r="J12" s="63" t="s">
        <v>21</v>
      </c>
      <c r="K12" s="61" t="s">
        <v>50</v>
      </c>
      <c r="L12" s="63" t="s">
        <v>22</v>
      </c>
      <c r="M12" s="61" t="s">
        <v>50</v>
      </c>
      <c r="N12" s="66"/>
      <c r="O12" s="60" t="s">
        <v>1333</v>
      </c>
      <c r="P12" s="59"/>
      <c r="Q12" s="60" t="s">
        <v>1317</v>
      </c>
    </row>
    <row r="13" ht="22.5" customHeight="1">
      <c r="A13" s="67"/>
      <c r="B13" s="60" t="s">
        <v>1334</v>
      </c>
      <c r="C13" s="59">
        <f t="shared" si="1"/>
        <v>0</v>
      </c>
      <c r="D13" s="61" t="s">
        <v>16</v>
      </c>
      <c r="E13" s="61" t="s">
        <v>17</v>
      </c>
      <c r="F13" s="59" t="s">
        <v>18</v>
      </c>
      <c r="G13" s="61" t="s">
        <v>19</v>
      </c>
      <c r="H13" s="59" t="s">
        <v>20</v>
      </c>
      <c r="I13" s="61" t="s">
        <v>19</v>
      </c>
      <c r="J13" s="63" t="s">
        <v>21</v>
      </c>
      <c r="K13" s="61" t="s">
        <v>19</v>
      </c>
      <c r="L13" s="63" t="s">
        <v>22</v>
      </c>
      <c r="M13" s="61" t="s">
        <v>19</v>
      </c>
      <c r="N13" s="66"/>
      <c r="O13" s="10" t="s">
        <v>376</v>
      </c>
      <c r="P13" s="59"/>
      <c r="Q13" s="60" t="s">
        <v>1317</v>
      </c>
    </row>
    <row r="14" ht="22.5" customHeight="1">
      <c r="A14" s="67"/>
      <c r="B14" s="64" t="s">
        <v>1335</v>
      </c>
      <c r="C14" s="59">
        <f t="shared" si="1"/>
        <v>0</v>
      </c>
      <c r="D14" s="61" t="s">
        <v>34</v>
      </c>
      <c r="E14" s="61" t="s">
        <v>49</v>
      </c>
      <c r="F14" s="59" t="s">
        <v>18</v>
      </c>
      <c r="G14" s="61" t="s">
        <v>50</v>
      </c>
      <c r="H14" s="59" t="s">
        <v>20</v>
      </c>
      <c r="I14" s="61" t="s">
        <v>50</v>
      </c>
      <c r="J14" s="63" t="s">
        <v>21</v>
      </c>
      <c r="K14" s="61" t="s">
        <v>50</v>
      </c>
      <c r="L14" s="63" t="s">
        <v>22</v>
      </c>
      <c r="M14" s="61" t="s">
        <v>50</v>
      </c>
      <c r="N14" s="66"/>
      <c r="O14" s="60" t="s">
        <v>1320</v>
      </c>
      <c r="P14" s="59"/>
      <c r="Q14" s="60" t="s">
        <v>1317</v>
      </c>
    </row>
    <row r="15" ht="22.5" customHeight="1">
      <c r="A15" s="67"/>
      <c r="B15" s="64" t="s">
        <v>1336</v>
      </c>
      <c r="C15" s="59">
        <f t="shared" si="1"/>
        <v>0</v>
      </c>
      <c r="D15" s="61" t="s">
        <v>16</v>
      </c>
      <c r="E15" s="61" t="s">
        <v>49</v>
      </c>
      <c r="F15" s="59" t="s">
        <v>18</v>
      </c>
      <c r="G15" s="61" t="s">
        <v>50</v>
      </c>
      <c r="H15" s="59" t="s">
        <v>20</v>
      </c>
      <c r="I15" s="61" t="s">
        <v>50</v>
      </c>
      <c r="J15" s="63" t="s">
        <v>21</v>
      </c>
      <c r="K15" s="61" t="s">
        <v>50</v>
      </c>
      <c r="L15" s="63" t="s">
        <v>22</v>
      </c>
      <c r="M15" s="61" t="s">
        <v>50</v>
      </c>
      <c r="N15" s="66"/>
      <c r="O15" s="60" t="s">
        <v>1328</v>
      </c>
      <c r="P15" s="59"/>
      <c r="Q15" s="60" t="s">
        <v>1317</v>
      </c>
    </row>
    <row r="16" ht="22.5" customHeight="1">
      <c r="A16" s="67"/>
      <c r="B16" s="60" t="s">
        <v>1337</v>
      </c>
      <c r="C16" s="59">
        <f t="shared" si="1"/>
        <v>0</v>
      </c>
      <c r="D16" s="61" t="s">
        <v>34</v>
      </c>
      <c r="E16" s="61" t="s">
        <v>40</v>
      </c>
      <c r="F16" s="59" t="s">
        <v>18</v>
      </c>
      <c r="G16" s="61" t="s">
        <v>19</v>
      </c>
      <c r="H16" s="59" t="s">
        <v>20</v>
      </c>
      <c r="I16" s="61" t="s">
        <v>26</v>
      </c>
      <c r="J16" s="63" t="s">
        <v>21</v>
      </c>
      <c r="K16" s="61" t="s">
        <v>19</v>
      </c>
      <c r="L16" s="63" t="s">
        <v>22</v>
      </c>
      <c r="M16" s="61" t="s">
        <v>19</v>
      </c>
      <c r="N16" s="66"/>
      <c r="O16" s="60" t="s">
        <v>1338</v>
      </c>
      <c r="P16" s="59"/>
      <c r="Q16" s="60" t="s">
        <v>1317</v>
      </c>
    </row>
    <row r="17" ht="22.5" customHeight="1">
      <c r="A17" s="67"/>
      <c r="B17" s="60" t="s">
        <v>1339</v>
      </c>
      <c r="C17" s="59">
        <f t="shared" si="1"/>
        <v>0</v>
      </c>
      <c r="D17" s="61" t="s">
        <v>16</v>
      </c>
      <c r="E17" s="61" t="s">
        <v>17</v>
      </c>
      <c r="F17" s="59" t="s">
        <v>18</v>
      </c>
      <c r="G17" s="61" t="s">
        <v>19</v>
      </c>
      <c r="H17" s="59" t="s">
        <v>20</v>
      </c>
      <c r="I17" s="61" t="s">
        <v>19</v>
      </c>
      <c r="J17" s="63" t="s">
        <v>21</v>
      </c>
      <c r="K17" s="61" t="s">
        <v>19</v>
      </c>
      <c r="L17" s="63" t="s">
        <v>22</v>
      </c>
      <c r="M17" s="61" t="s">
        <v>19</v>
      </c>
      <c r="N17" s="66"/>
      <c r="O17" s="60" t="s">
        <v>376</v>
      </c>
      <c r="P17" s="59"/>
      <c r="Q17" s="60" t="s">
        <v>1317</v>
      </c>
    </row>
    <row r="18" ht="22.5" customHeight="1">
      <c r="A18" s="67"/>
      <c r="B18" s="60" t="s">
        <v>1340</v>
      </c>
      <c r="C18" s="59">
        <f t="shared" si="1"/>
        <v>0</v>
      </c>
      <c r="D18" s="61" t="s">
        <v>16</v>
      </c>
      <c r="E18" s="61" t="s">
        <v>17</v>
      </c>
      <c r="F18" s="59" t="s">
        <v>18</v>
      </c>
      <c r="G18" s="61" t="s">
        <v>19</v>
      </c>
      <c r="H18" s="59" t="s">
        <v>20</v>
      </c>
      <c r="I18" s="61" t="s">
        <v>19</v>
      </c>
      <c r="J18" s="63" t="s">
        <v>21</v>
      </c>
      <c r="K18" s="61" t="s">
        <v>19</v>
      </c>
      <c r="L18" s="63" t="s">
        <v>22</v>
      </c>
      <c r="M18" s="61" t="s">
        <v>19</v>
      </c>
      <c r="N18" s="66"/>
      <c r="O18" s="60" t="s">
        <v>376</v>
      </c>
      <c r="P18" s="59"/>
      <c r="Q18" s="60" t="s">
        <v>1317</v>
      </c>
    </row>
    <row r="19" ht="22.5" customHeight="1">
      <c r="A19" s="67"/>
      <c r="B19" s="60" t="s">
        <v>1341</v>
      </c>
      <c r="C19" s="59">
        <f t="shared" si="1"/>
        <v>0</v>
      </c>
      <c r="D19" s="61" t="s">
        <v>16</v>
      </c>
      <c r="E19" s="61" t="s">
        <v>17</v>
      </c>
      <c r="F19" s="59" t="s">
        <v>18</v>
      </c>
      <c r="G19" s="61" t="s">
        <v>19</v>
      </c>
      <c r="H19" s="59" t="s">
        <v>20</v>
      </c>
      <c r="I19" s="61" t="s">
        <v>19</v>
      </c>
      <c r="J19" s="63" t="s">
        <v>21</v>
      </c>
      <c r="K19" s="61" t="s">
        <v>19</v>
      </c>
      <c r="L19" s="63" t="s">
        <v>22</v>
      </c>
      <c r="M19" s="61" t="s">
        <v>19</v>
      </c>
      <c r="N19" s="66"/>
      <c r="O19" s="60" t="s">
        <v>376</v>
      </c>
      <c r="P19" s="59"/>
      <c r="Q19" s="60" t="s">
        <v>1317</v>
      </c>
    </row>
    <row r="20" ht="22.5" customHeight="1">
      <c r="A20" s="67"/>
      <c r="B20" s="60" t="s">
        <v>1342</v>
      </c>
      <c r="C20" s="59">
        <f t="shared" si="1"/>
        <v>1</v>
      </c>
      <c r="D20" s="61" t="s">
        <v>34</v>
      </c>
      <c r="E20" s="61" t="s">
        <v>49</v>
      </c>
      <c r="F20" s="59" t="s">
        <v>18</v>
      </c>
      <c r="G20" s="61" t="s">
        <v>19</v>
      </c>
      <c r="H20" s="59" t="s">
        <v>20</v>
      </c>
      <c r="I20" s="61" t="s">
        <v>19</v>
      </c>
      <c r="J20" s="63" t="s">
        <v>21</v>
      </c>
      <c r="K20" s="61" t="s">
        <v>31</v>
      </c>
      <c r="L20" s="63" t="s">
        <v>22</v>
      </c>
      <c r="M20" s="61" t="s">
        <v>640</v>
      </c>
      <c r="N20" s="85" t="s">
        <v>1331</v>
      </c>
      <c r="O20" s="60" t="s">
        <v>1343</v>
      </c>
      <c r="P20" s="59"/>
      <c r="Q20" s="60" t="s">
        <v>1317</v>
      </c>
    </row>
    <row r="21" ht="22.5" customHeight="1">
      <c r="A21" s="67"/>
      <c r="B21" s="60" t="s">
        <v>1344</v>
      </c>
      <c r="C21" s="59">
        <f t="shared" si="1"/>
        <v>0</v>
      </c>
      <c r="D21" s="61" t="s">
        <v>16</v>
      </c>
      <c r="E21" s="61" t="s">
        <v>17</v>
      </c>
      <c r="F21" s="59" t="s">
        <v>18</v>
      </c>
      <c r="G21" s="61" t="s">
        <v>19</v>
      </c>
      <c r="H21" s="59" t="s">
        <v>20</v>
      </c>
      <c r="I21" s="61" t="s">
        <v>19</v>
      </c>
      <c r="J21" s="63" t="s">
        <v>21</v>
      </c>
      <c r="K21" s="61" t="s">
        <v>19</v>
      </c>
      <c r="L21" s="63" t="s">
        <v>22</v>
      </c>
      <c r="M21" s="61" t="s">
        <v>19</v>
      </c>
      <c r="N21" s="66"/>
      <c r="O21" s="10" t="s">
        <v>376</v>
      </c>
      <c r="P21" s="59"/>
      <c r="Q21" s="60" t="s">
        <v>1317</v>
      </c>
    </row>
    <row r="22" ht="22.5" customHeight="1">
      <c r="A22" s="67"/>
      <c r="B22" s="64" t="s">
        <v>1345</v>
      </c>
      <c r="C22" s="59">
        <f t="shared" si="1"/>
        <v>0</v>
      </c>
      <c r="D22" s="61" t="s">
        <v>34</v>
      </c>
      <c r="E22" s="61" t="s">
        <v>49</v>
      </c>
      <c r="F22" s="59" t="s">
        <v>18</v>
      </c>
      <c r="G22" s="61" t="s">
        <v>50</v>
      </c>
      <c r="H22" s="59" t="s">
        <v>20</v>
      </c>
      <c r="I22" s="61" t="s">
        <v>50</v>
      </c>
      <c r="J22" s="63" t="s">
        <v>21</v>
      </c>
      <c r="K22" s="61" t="s">
        <v>50</v>
      </c>
      <c r="L22" s="63" t="s">
        <v>22</v>
      </c>
      <c r="M22" s="61" t="s">
        <v>50</v>
      </c>
      <c r="N22" s="66"/>
      <c r="O22" s="60" t="s">
        <v>1346</v>
      </c>
      <c r="P22" s="59"/>
      <c r="Q22" s="60" t="s">
        <v>1317</v>
      </c>
    </row>
    <row r="23" ht="22.5" customHeight="1">
      <c r="A23" s="67"/>
      <c r="B23" s="64" t="s">
        <v>1347</v>
      </c>
      <c r="C23" s="59">
        <f t="shared" si="1"/>
        <v>0</v>
      </c>
      <c r="D23" s="61" t="s">
        <v>16</v>
      </c>
      <c r="E23" s="61" t="s">
        <v>49</v>
      </c>
      <c r="F23" s="59" t="s">
        <v>18</v>
      </c>
      <c r="G23" s="61" t="s">
        <v>50</v>
      </c>
      <c r="H23" s="59" t="s">
        <v>20</v>
      </c>
      <c r="I23" s="61" t="s">
        <v>50</v>
      </c>
      <c r="J23" s="63" t="s">
        <v>21</v>
      </c>
      <c r="K23" s="61" t="s">
        <v>50</v>
      </c>
      <c r="L23" s="63" t="s">
        <v>22</v>
      </c>
      <c r="M23" s="61" t="s">
        <v>50</v>
      </c>
      <c r="N23" s="66"/>
      <c r="O23" s="60" t="s">
        <v>1348</v>
      </c>
      <c r="P23" s="59"/>
      <c r="Q23" s="60" t="s">
        <v>1317</v>
      </c>
    </row>
    <row r="24" ht="22.5" customHeight="1">
      <c r="A24" s="67"/>
      <c r="B24" s="60" t="s">
        <v>1349</v>
      </c>
      <c r="C24" s="59">
        <f t="shared" si="1"/>
        <v>0</v>
      </c>
      <c r="D24" s="61" t="s">
        <v>16</v>
      </c>
      <c r="E24" s="61" t="s">
        <v>40</v>
      </c>
      <c r="F24" s="59" t="s">
        <v>18</v>
      </c>
      <c r="G24" s="61" t="s">
        <v>19</v>
      </c>
      <c r="H24" s="59" t="s">
        <v>20</v>
      </c>
      <c r="I24" s="61" t="s">
        <v>31</v>
      </c>
      <c r="J24" s="63" t="s">
        <v>21</v>
      </c>
      <c r="K24" s="61" t="s">
        <v>19</v>
      </c>
      <c r="L24" s="63" t="s">
        <v>22</v>
      </c>
      <c r="M24" s="61" t="s">
        <v>19</v>
      </c>
      <c r="N24" s="66"/>
      <c r="O24" s="60" t="s">
        <v>1350</v>
      </c>
      <c r="P24" s="59"/>
      <c r="Q24" s="60" t="s">
        <v>1351</v>
      </c>
    </row>
    <row r="25" ht="22.5" customHeight="1">
      <c r="A25" s="67"/>
      <c r="B25" s="64" t="s">
        <v>1352</v>
      </c>
      <c r="C25" s="59">
        <f t="shared" si="1"/>
        <v>0</v>
      </c>
      <c r="D25" s="61" t="s">
        <v>16</v>
      </c>
      <c r="E25" s="61" t="s">
        <v>49</v>
      </c>
      <c r="F25" s="59" t="s">
        <v>18</v>
      </c>
      <c r="G25" s="61" t="s">
        <v>50</v>
      </c>
      <c r="H25" s="59" t="s">
        <v>20</v>
      </c>
      <c r="I25" s="61" t="s">
        <v>50</v>
      </c>
      <c r="J25" s="63" t="s">
        <v>21</v>
      </c>
      <c r="K25" s="61" t="s">
        <v>50</v>
      </c>
      <c r="L25" s="63" t="s">
        <v>22</v>
      </c>
      <c r="M25" s="61" t="s">
        <v>50</v>
      </c>
      <c r="N25" s="66"/>
      <c r="O25" s="60" t="s">
        <v>1353</v>
      </c>
      <c r="P25" s="59"/>
      <c r="Q25" s="60" t="s">
        <v>1351</v>
      </c>
    </row>
    <row r="26" ht="22.5" customHeight="1">
      <c r="A26" s="67"/>
      <c r="B26" s="64" t="s">
        <v>1354</v>
      </c>
      <c r="C26" s="59">
        <f t="shared" si="1"/>
        <v>0</v>
      </c>
      <c r="D26" s="61" t="s">
        <v>34</v>
      </c>
      <c r="E26" s="61" t="s">
        <v>49</v>
      </c>
      <c r="F26" s="59" t="s">
        <v>18</v>
      </c>
      <c r="G26" s="61" t="s">
        <v>50</v>
      </c>
      <c r="H26" s="59" t="s">
        <v>20</v>
      </c>
      <c r="I26" s="61" t="s">
        <v>50</v>
      </c>
      <c r="J26" s="63" t="s">
        <v>21</v>
      </c>
      <c r="K26" s="61" t="s">
        <v>50</v>
      </c>
      <c r="L26" s="63" t="s">
        <v>22</v>
      </c>
      <c r="M26" s="61" t="s">
        <v>50</v>
      </c>
      <c r="N26" s="66"/>
      <c r="O26" s="60" t="s">
        <v>1338</v>
      </c>
      <c r="P26" s="59"/>
      <c r="Q26" s="60" t="s">
        <v>1351</v>
      </c>
    </row>
    <row r="27" ht="22.5" customHeight="1">
      <c r="A27" s="67"/>
      <c r="B27" s="64" t="s">
        <v>1355</v>
      </c>
      <c r="C27" s="59">
        <f t="shared" si="1"/>
        <v>0</v>
      </c>
      <c r="D27" s="61" t="s">
        <v>16</v>
      </c>
      <c r="E27" s="61" t="s">
        <v>49</v>
      </c>
      <c r="F27" s="59" t="s">
        <v>18</v>
      </c>
      <c r="G27" s="61" t="s">
        <v>50</v>
      </c>
      <c r="H27" s="59" t="s">
        <v>20</v>
      </c>
      <c r="I27" s="61" t="s">
        <v>50</v>
      </c>
      <c r="J27" s="63" t="s">
        <v>21</v>
      </c>
      <c r="K27" s="61" t="s">
        <v>50</v>
      </c>
      <c r="L27" s="63" t="s">
        <v>22</v>
      </c>
      <c r="M27" s="61" t="s">
        <v>50</v>
      </c>
      <c r="N27" s="66"/>
      <c r="O27" s="60" t="s">
        <v>211</v>
      </c>
      <c r="P27" s="59"/>
      <c r="Q27" s="60" t="s">
        <v>1351</v>
      </c>
    </row>
    <row r="28" ht="22.5" customHeight="1">
      <c r="A28" s="67"/>
      <c r="B28" s="60" t="s">
        <v>1356</v>
      </c>
      <c r="C28" s="59">
        <f t="shared" si="1"/>
        <v>0</v>
      </c>
      <c r="D28" s="61" t="s">
        <v>34</v>
      </c>
      <c r="E28" s="61" t="s">
        <v>40</v>
      </c>
      <c r="F28" s="59" t="s">
        <v>18</v>
      </c>
      <c r="G28" s="61" t="s">
        <v>31</v>
      </c>
      <c r="H28" s="59" t="s">
        <v>20</v>
      </c>
      <c r="I28" s="61" t="s">
        <v>31</v>
      </c>
      <c r="J28" s="63" t="s">
        <v>21</v>
      </c>
      <c r="K28" s="61" t="s">
        <v>19</v>
      </c>
      <c r="L28" s="63" t="s">
        <v>22</v>
      </c>
      <c r="M28" s="61" t="s">
        <v>19</v>
      </c>
      <c r="N28" s="85" t="s">
        <v>1331</v>
      </c>
      <c r="O28" s="60" t="s">
        <v>1357</v>
      </c>
      <c r="P28" s="59"/>
      <c r="Q28" s="60" t="s">
        <v>1351</v>
      </c>
    </row>
    <row r="29" ht="22.5" customHeight="1">
      <c r="A29" s="67"/>
      <c r="B29" s="64" t="s">
        <v>1358</v>
      </c>
      <c r="C29" s="59">
        <f t="shared" si="1"/>
        <v>0</v>
      </c>
      <c r="D29" s="61" t="s">
        <v>16</v>
      </c>
      <c r="E29" s="61" t="s">
        <v>49</v>
      </c>
      <c r="F29" s="59" t="s">
        <v>18</v>
      </c>
      <c r="G29" s="61" t="s">
        <v>50</v>
      </c>
      <c r="H29" s="59" t="s">
        <v>20</v>
      </c>
      <c r="I29" s="61" t="s">
        <v>50</v>
      </c>
      <c r="J29" s="63" t="s">
        <v>21</v>
      </c>
      <c r="K29" s="61" t="s">
        <v>50</v>
      </c>
      <c r="L29" s="63" t="s">
        <v>22</v>
      </c>
      <c r="M29" s="61" t="s">
        <v>50</v>
      </c>
      <c r="N29" s="66"/>
      <c r="O29" s="60" t="s">
        <v>1212</v>
      </c>
      <c r="P29" s="59"/>
      <c r="Q29" s="60" t="s">
        <v>1351</v>
      </c>
    </row>
    <row r="30" ht="22.5" customHeight="1">
      <c r="A30" s="67"/>
      <c r="B30" s="64" t="s">
        <v>1359</v>
      </c>
      <c r="C30" s="59">
        <f t="shared" si="1"/>
        <v>0</v>
      </c>
      <c r="D30" s="61" t="s">
        <v>34</v>
      </c>
      <c r="E30" s="61" t="s">
        <v>49</v>
      </c>
      <c r="F30" s="59" t="s">
        <v>18</v>
      </c>
      <c r="G30" s="61" t="s">
        <v>50</v>
      </c>
      <c r="H30" s="59" t="s">
        <v>20</v>
      </c>
      <c r="I30" s="61" t="s">
        <v>50</v>
      </c>
      <c r="J30" s="63" t="s">
        <v>21</v>
      </c>
      <c r="K30" s="61" t="s">
        <v>50</v>
      </c>
      <c r="L30" s="63" t="s">
        <v>22</v>
      </c>
      <c r="M30" s="61" t="s">
        <v>50</v>
      </c>
      <c r="N30" s="66"/>
      <c r="O30" s="60" t="s">
        <v>403</v>
      </c>
      <c r="P30" s="59"/>
      <c r="Q30" s="60" t="s">
        <v>1351</v>
      </c>
    </row>
    <row r="31" ht="22.5" customHeight="1">
      <c r="A31" s="67"/>
      <c r="B31" s="60" t="s">
        <v>1360</v>
      </c>
      <c r="C31" s="59">
        <f t="shared" si="1"/>
        <v>1</v>
      </c>
      <c r="D31" s="61" t="s">
        <v>34</v>
      </c>
      <c r="E31" s="61" t="s">
        <v>30</v>
      </c>
      <c r="F31" s="59" t="s">
        <v>18</v>
      </c>
      <c r="G31" s="61" t="s">
        <v>31</v>
      </c>
      <c r="H31" s="59" t="s">
        <v>20</v>
      </c>
      <c r="I31" s="61" t="s">
        <v>31</v>
      </c>
      <c r="J31" s="63" t="s">
        <v>21</v>
      </c>
      <c r="K31" s="61" t="s">
        <v>640</v>
      </c>
      <c r="L31" s="63" t="s">
        <v>22</v>
      </c>
      <c r="M31" s="61" t="s">
        <v>19</v>
      </c>
      <c r="N31" s="66"/>
      <c r="O31" s="60" t="s">
        <v>1361</v>
      </c>
      <c r="P31" s="59"/>
      <c r="Q31" s="60" t="s">
        <v>1351</v>
      </c>
    </row>
    <row r="32" ht="22.5" customHeight="1">
      <c r="A32" s="67"/>
      <c r="B32" s="64" t="s">
        <v>1362</v>
      </c>
      <c r="C32" s="59">
        <f t="shared" si="1"/>
        <v>0</v>
      </c>
      <c r="D32" s="61" t="s">
        <v>34</v>
      </c>
      <c r="E32" s="61" t="s">
        <v>49</v>
      </c>
      <c r="F32" s="59" t="s">
        <v>18</v>
      </c>
      <c r="G32" s="61" t="s">
        <v>50</v>
      </c>
      <c r="H32" s="59" t="s">
        <v>20</v>
      </c>
      <c r="I32" s="61" t="s">
        <v>50</v>
      </c>
      <c r="J32" s="63" t="s">
        <v>21</v>
      </c>
      <c r="K32" s="61" t="s">
        <v>50</v>
      </c>
      <c r="L32" s="63" t="s">
        <v>22</v>
      </c>
      <c r="M32" s="61" t="s">
        <v>50</v>
      </c>
      <c r="N32" s="85" t="s">
        <v>1331</v>
      </c>
      <c r="O32" s="60" t="s">
        <v>1363</v>
      </c>
      <c r="P32" s="59"/>
      <c r="Q32" s="60" t="s">
        <v>1351</v>
      </c>
    </row>
    <row r="33" ht="22.5" customHeight="1">
      <c r="A33" s="67"/>
      <c r="B33" s="60" t="s">
        <v>1364</v>
      </c>
      <c r="C33" s="59">
        <f t="shared" si="1"/>
        <v>0</v>
      </c>
      <c r="D33" s="61" t="s">
        <v>16</v>
      </c>
      <c r="E33" s="61" t="s">
        <v>40</v>
      </c>
      <c r="F33" s="59" t="s">
        <v>18</v>
      </c>
      <c r="G33" s="61" t="s">
        <v>19</v>
      </c>
      <c r="H33" s="59" t="s">
        <v>20</v>
      </c>
      <c r="I33" s="61" t="s">
        <v>31</v>
      </c>
      <c r="J33" s="63" t="s">
        <v>21</v>
      </c>
      <c r="K33" s="61" t="s">
        <v>19</v>
      </c>
      <c r="L33" s="63" t="s">
        <v>22</v>
      </c>
      <c r="M33" s="61" t="s">
        <v>19</v>
      </c>
      <c r="N33" s="66"/>
      <c r="O33" s="60" t="s">
        <v>1338</v>
      </c>
      <c r="P33" s="59"/>
      <c r="Q33" s="60" t="s">
        <v>1351</v>
      </c>
    </row>
    <row r="34" ht="22.5" customHeight="1">
      <c r="A34" s="67"/>
      <c r="B34" s="64" t="s">
        <v>1365</v>
      </c>
      <c r="C34" s="59">
        <f t="shared" si="1"/>
        <v>0</v>
      </c>
      <c r="D34" s="61" t="s">
        <v>34</v>
      </c>
      <c r="E34" s="61" t="s">
        <v>49</v>
      </c>
      <c r="F34" s="59" t="s">
        <v>18</v>
      </c>
      <c r="G34" s="61" t="s">
        <v>50</v>
      </c>
      <c r="H34" s="59" t="s">
        <v>20</v>
      </c>
      <c r="I34" s="61" t="s">
        <v>50</v>
      </c>
      <c r="J34" s="63" t="s">
        <v>21</v>
      </c>
      <c r="K34" s="61" t="s">
        <v>50</v>
      </c>
      <c r="L34" s="63" t="s">
        <v>22</v>
      </c>
      <c r="M34" s="61" t="s">
        <v>50</v>
      </c>
      <c r="N34" s="66"/>
      <c r="O34" s="60" t="s">
        <v>211</v>
      </c>
      <c r="P34" s="59"/>
      <c r="Q34" s="60" t="s">
        <v>1351</v>
      </c>
    </row>
    <row r="35" ht="22.5" customHeight="1">
      <c r="A35" s="67"/>
      <c r="B35" s="64" t="s">
        <v>1366</v>
      </c>
      <c r="C35" s="59">
        <f t="shared" si="1"/>
        <v>0</v>
      </c>
      <c r="D35" s="61" t="s">
        <v>34</v>
      </c>
      <c r="E35" s="61" t="s">
        <v>40</v>
      </c>
      <c r="F35" s="59" t="s">
        <v>18</v>
      </c>
      <c r="G35" s="61" t="s">
        <v>19</v>
      </c>
      <c r="H35" s="59" t="s">
        <v>20</v>
      </c>
      <c r="I35" s="61" t="s">
        <v>31</v>
      </c>
      <c r="J35" s="63" t="s">
        <v>21</v>
      </c>
      <c r="K35" s="61" t="s">
        <v>19</v>
      </c>
      <c r="L35" s="63" t="s">
        <v>22</v>
      </c>
      <c r="M35" s="61" t="s">
        <v>19</v>
      </c>
      <c r="N35" s="66"/>
      <c r="O35" s="60" t="s">
        <v>1367</v>
      </c>
      <c r="P35" s="59"/>
      <c r="Q35" s="60" t="s">
        <v>1351</v>
      </c>
    </row>
    <row r="36" ht="22.5" customHeight="1">
      <c r="A36" s="67"/>
      <c r="B36" s="64" t="s">
        <v>1368</v>
      </c>
      <c r="C36" s="59">
        <f t="shared" si="1"/>
        <v>0</v>
      </c>
      <c r="D36" s="61" t="s">
        <v>34</v>
      </c>
      <c r="E36" s="61" t="s">
        <v>49</v>
      </c>
      <c r="F36" s="59" t="s">
        <v>18</v>
      </c>
      <c r="G36" s="61" t="s">
        <v>50</v>
      </c>
      <c r="H36" s="59" t="s">
        <v>20</v>
      </c>
      <c r="I36" s="61" t="s">
        <v>50</v>
      </c>
      <c r="J36" s="63" t="s">
        <v>21</v>
      </c>
      <c r="K36" s="61" t="s">
        <v>50</v>
      </c>
      <c r="L36" s="63" t="s">
        <v>22</v>
      </c>
      <c r="M36" s="61" t="s">
        <v>50</v>
      </c>
      <c r="N36" s="66"/>
      <c r="O36" s="60" t="s">
        <v>1328</v>
      </c>
      <c r="P36" s="59"/>
      <c r="Q36" s="60" t="s">
        <v>1351</v>
      </c>
    </row>
    <row r="37" ht="22.5" customHeight="1">
      <c r="A37" s="67"/>
      <c r="B37" s="124" t="s">
        <v>1369</v>
      </c>
      <c r="C37" s="59">
        <f t="shared" si="1"/>
        <v>1</v>
      </c>
      <c r="D37" s="61" t="s">
        <v>16</v>
      </c>
      <c r="E37" s="61" t="s">
        <v>35</v>
      </c>
      <c r="F37" s="59" t="s">
        <v>18</v>
      </c>
      <c r="G37" s="61" t="s">
        <v>31</v>
      </c>
      <c r="H37" s="59" t="s">
        <v>20</v>
      </c>
      <c r="I37" s="61" t="s">
        <v>19</v>
      </c>
      <c r="J37" s="63" t="s">
        <v>21</v>
      </c>
      <c r="K37" s="61" t="s">
        <v>19</v>
      </c>
      <c r="L37" s="63" t="s">
        <v>22</v>
      </c>
      <c r="M37" s="61" t="s">
        <v>640</v>
      </c>
      <c r="N37" s="66"/>
      <c r="O37" s="60" t="s">
        <v>1370</v>
      </c>
      <c r="P37" s="59"/>
      <c r="Q37" s="60" t="s">
        <v>1351</v>
      </c>
    </row>
    <row r="38" ht="22.5" customHeight="1">
      <c r="A38" s="59"/>
      <c r="B38" s="60" t="s">
        <v>1371</v>
      </c>
      <c r="C38" s="59">
        <f t="shared" si="1"/>
        <v>0</v>
      </c>
      <c r="D38" s="61" t="s">
        <v>34</v>
      </c>
      <c r="E38" s="61" t="s">
        <v>30</v>
      </c>
      <c r="F38" s="59" t="s">
        <v>18</v>
      </c>
      <c r="G38" s="61" t="s">
        <v>19</v>
      </c>
      <c r="H38" s="59" t="s">
        <v>20</v>
      </c>
      <c r="I38" s="61" t="s">
        <v>31</v>
      </c>
      <c r="J38" s="63" t="s">
        <v>21</v>
      </c>
      <c r="K38" s="61" t="s">
        <v>31</v>
      </c>
      <c r="L38" s="63" t="s">
        <v>22</v>
      </c>
      <c r="M38" s="61" t="s">
        <v>19</v>
      </c>
      <c r="N38" s="85" t="s">
        <v>1331</v>
      </c>
      <c r="O38" s="60" t="s">
        <v>1372</v>
      </c>
      <c r="P38" s="59"/>
      <c r="Q38" s="60" t="s">
        <v>1351</v>
      </c>
    </row>
    <row r="39" ht="22.5" customHeight="1">
      <c r="A39" s="67"/>
      <c r="B39" s="60" t="s">
        <v>1373</v>
      </c>
      <c r="C39" s="59">
        <f t="shared" si="1"/>
        <v>0</v>
      </c>
      <c r="D39" s="61" t="s">
        <v>16</v>
      </c>
      <c r="E39" s="61" t="s">
        <v>17</v>
      </c>
      <c r="F39" s="59" t="s">
        <v>18</v>
      </c>
      <c r="G39" s="61" t="s">
        <v>19</v>
      </c>
      <c r="H39" s="59" t="s">
        <v>20</v>
      </c>
      <c r="I39" s="61" t="s">
        <v>19</v>
      </c>
      <c r="J39" s="63" t="s">
        <v>21</v>
      </c>
      <c r="K39" s="61" t="s">
        <v>19</v>
      </c>
      <c r="L39" s="63" t="s">
        <v>22</v>
      </c>
      <c r="M39" s="61" t="s">
        <v>19</v>
      </c>
      <c r="N39" s="66"/>
      <c r="O39" s="60" t="s">
        <v>376</v>
      </c>
      <c r="P39" s="59"/>
      <c r="Q39" s="60" t="s">
        <v>1351</v>
      </c>
    </row>
    <row r="40" ht="22.5" customHeight="1">
      <c r="A40" s="67"/>
      <c r="B40" s="64" t="s">
        <v>1374</v>
      </c>
      <c r="C40" s="59">
        <f t="shared" si="1"/>
        <v>0</v>
      </c>
      <c r="D40" s="61" t="s">
        <v>34</v>
      </c>
      <c r="E40" s="61" t="s">
        <v>49</v>
      </c>
      <c r="F40" s="59" t="s">
        <v>18</v>
      </c>
      <c r="G40" s="61" t="s">
        <v>50</v>
      </c>
      <c r="H40" s="59" t="s">
        <v>20</v>
      </c>
      <c r="I40" s="61" t="s">
        <v>50</v>
      </c>
      <c r="J40" s="63" t="s">
        <v>21</v>
      </c>
      <c r="K40" s="61" t="s">
        <v>50</v>
      </c>
      <c r="L40" s="63" t="s">
        <v>22</v>
      </c>
      <c r="M40" s="61" t="s">
        <v>50</v>
      </c>
      <c r="N40" s="85" t="s">
        <v>1331</v>
      </c>
      <c r="O40" s="60" t="s">
        <v>211</v>
      </c>
      <c r="P40" s="59"/>
      <c r="Q40" s="60" t="s">
        <v>1351</v>
      </c>
    </row>
    <row r="41" ht="22.5" customHeight="1">
      <c r="A41" s="67"/>
      <c r="B41" s="60" t="s">
        <v>1375</v>
      </c>
      <c r="C41" s="59">
        <f t="shared" si="1"/>
        <v>0</v>
      </c>
      <c r="D41" s="61" t="s">
        <v>16</v>
      </c>
      <c r="E41" s="61" t="s">
        <v>17</v>
      </c>
      <c r="F41" s="59" t="s">
        <v>18</v>
      </c>
      <c r="G41" s="61" t="s">
        <v>19</v>
      </c>
      <c r="H41" s="59" t="s">
        <v>20</v>
      </c>
      <c r="I41" s="61" t="s">
        <v>19</v>
      </c>
      <c r="J41" s="63" t="s">
        <v>21</v>
      </c>
      <c r="K41" s="61" t="s">
        <v>19</v>
      </c>
      <c r="L41" s="63" t="s">
        <v>22</v>
      </c>
      <c r="M41" s="61" t="s">
        <v>19</v>
      </c>
      <c r="N41" s="66"/>
      <c r="O41" s="60" t="s">
        <v>376</v>
      </c>
      <c r="P41" s="59"/>
      <c r="Q41" s="60" t="s">
        <v>1351</v>
      </c>
    </row>
    <row r="42" ht="22.5" customHeight="1">
      <c r="A42" s="67"/>
      <c r="B42" s="60" t="s">
        <v>1376</v>
      </c>
      <c r="C42" s="59">
        <f t="shared" si="1"/>
        <v>0</v>
      </c>
      <c r="D42" s="61" t="s">
        <v>16</v>
      </c>
      <c r="E42" s="61" t="s">
        <v>17</v>
      </c>
      <c r="F42" s="59" t="s">
        <v>18</v>
      </c>
      <c r="G42" s="61" t="s">
        <v>19</v>
      </c>
      <c r="H42" s="59" t="s">
        <v>20</v>
      </c>
      <c r="I42" s="61" t="s">
        <v>19</v>
      </c>
      <c r="J42" s="63" t="s">
        <v>21</v>
      </c>
      <c r="K42" s="61" t="s">
        <v>19</v>
      </c>
      <c r="L42" s="63" t="s">
        <v>22</v>
      </c>
      <c r="M42" s="61" t="s">
        <v>19</v>
      </c>
      <c r="N42" s="66"/>
      <c r="O42" s="60" t="s">
        <v>376</v>
      </c>
      <c r="P42" s="59"/>
      <c r="Q42" s="60" t="s">
        <v>1351</v>
      </c>
    </row>
    <row r="43" ht="22.5" customHeight="1">
      <c r="A43" s="67"/>
      <c r="B43" s="64" t="s">
        <v>1377</v>
      </c>
      <c r="C43" s="59">
        <f t="shared" si="1"/>
        <v>0</v>
      </c>
      <c r="D43" s="61" t="s">
        <v>34</v>
      </c>
      <c r="E43" s="61" t="s">
        <v>49</v>
      </c>
      <c r="F43" s="59" t="s">
        <v>18</v>
      </c>
      <c r="G43" s="61" t="s">
        <v>50</v>
      </c>
      <c r="H43" s="59" t="s">
        <v>20</v>
      </c>
      <c r="I43" s="61" t="s">
        <v>50</v>
      </c>
      <c r="J43" s="63" t="s">
        <v>21</v>
      </c>
      <c r="K43" s="61" t="s">
        <v>50</v>
      </c>
      <c r="L43" s="63" t="s">
        <v>22</v>
      </c>
      <c r="M43" s="61" t="s">
        <v>50</v>
      </c>
      <c r="N43" s="66"/>
      <c r="O43" s="60" t="s">
        <v>152</v>
      </c>
      <c r="P43" s="59"/>
      <c r="Q43" s="60" t="s">
        <v>1351</v>
      </c>
    </row>
    <row r="44" ht="22.5" customHeight="1">
      <c r="A44" s="67"/>
      <c r="B44" s="64" t="s">
        <v>1378</v>
      </c>
      <c r="C44" s="59">
        <f t="shared" si="1"/>
        <v>0</v>
      </c>
      <c r="D44" s="61" t="s">
        <v>16</v>
      </c>
      <c r="E44" s="61" t="s">
        <v>49</v>
      </c>
      <c r="F44" s="59" t="s">
        <v>18</v>
      </c>
      <c r="G44" s="61" t="s">
        <v>50</v>
      </c>
      <c r="H44" s="59" t="s">
        <v>20</v>
      </c>
      <c r="I44" s="61" t="s">
        <v>50</v>
      </c>
      <c r="J44" s="63" t="s">
        <v>21</v>
      </c>
      <c r="K44" s="61" t="s">
        <v>50</v>
      </c>
      <c r="L44" s="63" t="s">
        <v>22</v>
      </c>
      <c r="M44" s="61" t="s">
        <v>50</v>
      </c>
      <c r="N44" s="66"/>
      <c r="O44" s="60" t="s">
        <v>211</v>
      </c>
      <c r="P44" s="59"/>
      <c r="Q44" s="60" t="s">
        <v>1351</v>
      </c>
    </row>
    <row r="45" ht="22.5" customHeight="1">
      <c r="A45" s="59"/>
      <c r="B45" s="60" t="s">
        <v>1379</v>
      </c>
      <c r="C45" s="59">
        <f t="shared" si="1"/>
        <v>0</v>
      </c>
      <c r="D45" s="61" t="s">
        <v>16</v>
      </c>
      <c r="E45" s="61" t="s">
        <v>17</v>
      </c>
      <c r="F45" s="59" t="s">
        <v>18</v>
      </c>
      <c r="G45" s="61" t="s">
        <v>19</v>
      </c>
      <c r="H45" s="59" t="s">
        <v>20</v>
      </c>
      <c r="I45" s="61" t="s">
        <v>19</v>
      </c>
      <c r="J45" s="63" t="s">
        <v>21</v>
      </c>
      <c r="K45" s="61" t="s">
        <v>19</v>
      </c>
      <c r="L45" s="63" t="s">
        <v>22</v>
      </c>
      <c r="M45" s="61" t="s">
        <v>19</v>
      </c>
      <c r="N45" s="66"/>
      <c r="O45" s="60" t="s">
        <v>376</v>
      </c>
      <c r="P45" s="59"/>
      <c r="Q45" s="60" t="s">
        <v>1351</v>
      </c>
    </row>
    <row r="46" ht="22.5" customHeight="1">
      <c r="A46" s="67"/>
      <c r="B46" s="64" t="s">
        <v>1380</v>
      </c>
      <c r="C46" s="59">
        <f t="shared" si="1"/>
        <v>0</v>
      </c>
      <c r="D46" s="61" t="s">
        <v>34</v>
      </c>
      <c r="E46" s="61" t="s">
        <v>49</v>
      </c>
      <c r="F46" s="59" t="s">
        <v>18</v>
      </c>
      <c r="G46" s="61" t="s">
        <v>50</v>
      </c>
      <c r="H46" s="59" t="s">
        <v>20</v>
      </c>
      <c r="I46" s="61" t="s">
        <v>50</v>
      </c>
      <c r="J46" s="63" t="s">
        <v>21</v>
      </c>
      <c r="K46" s="61" t="s">
        <v>50</v>
      </c>
      <c r="L46" s="63" t="s">
        <v>22</v>
      </c>
      <c r="M46" s="61" t="s">
        <v>50</v>
      </c>
      <c r="N46" s="66"/>
      <c r="O46" s="60" t="s">
        <v>1381</v>
      </c>
      <c r="P46" s="59"/>
      <c r="Q46" s="64" t="s">
        <v>1382</v>
      </c>
    </row>
    <row r="47" ht="22.5" customHeight="1">
      <c r="A47" s="67"/>
      <c r="B47" s="64" t="s">
        <v>1383</v>
      </c>
      <c r="C47" s="59">
        <f t="shared" si="1"/>
        <v>0</v>
      </c>
      <c r="D47" s="61" t="s">
        <v>16</v>
      </c>
      <c r="E47" s="61" t="s">
        <v>49</v>
      </c>
      <c r="F47" s="59" t="s">
        <v>18</v>
      </c>
      <c r="G47" s="61" t="s">
        <v>50</v>
      </c>
      <c r="H47" s="59" t="s">
        <v>20</v>
      </c>
      <c r="I47" s="61" t="s">
        <v>50</v>
      </c>
      <c r="J47" s="63" t="s">
        <v>21</v>
      </c>
      <c r="K47" s="61" t="s">
        <v>50</v>
      </c>
      <c r="L47" s="63" t="s">
        <v>22</v>
      </c>
      <c r="M47" s="61" t="s">
        <v>50</v>
      </c>
      <c r="N47" s="66"/>
      <c r="O47" s="60" t="s">
        <v>211</v>
      </c>
      <c r="P47" s="59"/>
      <c r="Q47" s="64" t="s">
        <v>1382</v>
      </c>
    </row>
    <row r="48" ht="22.5" customHeight="1">
      <c r="A48" s="67"/>
      <c r="B48" s="60" t="s">
        <v>1384</v>
      </c>
      <c r="C48" s="59">
        <f t="shared" si="1"/>
        <v>0</v>
      </c>
      <c r="D48" s="61" t="s">
        <v>16</v>
      </c>
      <c r="E48" s="61" t="s">
        <v>49</v>
      </c>
      <c r="F48" s="59" t="s">
        <v>18</v>
      </c>
      <c r="G48" s="61" t="s">
        <v>50</v>
      </c>
      <c r="H48" s="59" t="s">
        <v>20</v>
      </c>
      <c r="I48" s="61" t="s">
        <v>50</v>
      </c>
      <c r="J48" s="63" t="s">
        <v>21</v>
      </c>
      <c r="K48" s="61" t="s">
        <v>50</v>
      </c>
      <c r="L48" s="63" t="s">
        <v>22</v>
      </c>
      <c r="M48" s="61" t="s">
        <v>50</v>
      </c>
      <c r="N48" s="66"/>
      <c r="O48" s="60" t="s">
        <v>1320</v>
      </c>
      <c r="P48" s="59"/>
      <c r="Q48" s="64" t="s">
        <v>1382</v>
      </c>
    </row>
    <row r="49" ht="22.5" customHeight="1">
      <c r="A49" s="67"/>
      <c r="B49" s="60" t="s">
        <v>1385</v>
      </c>
      <c r="C49" s="59">
        <f t="shared" si="1"/>
        <v>0</v>
      </c>
      <c r="D49" s="61" t="s">
        <v>16</v>
      </c>
      <c r="E49" s="61" t="s">
        <v>17</v>
      </c>
      <c r="F49" s="59" t="s">
        <v>18</v>
      </c>
      <c r="G49" s="61" t="s">
        <v>19</v>
      </c>
      <c r="H49" s="59" t="s">
        <v>20</v>
      </c>
      <c r="I49" s="61" t="s">
        <v>19</v>
      </c>
      <c r="J49" s="63" t="s">
        <v>21</v>
      </c>
      <c r="K49" s="61" t="s">
        <v>19</v>
      </c>
      <c r="L49" s="63" t="s">
        <v>22</v>
      </c>
      <c r="M49" s="61" t="s">
        <v>19</v>
      </c>
      <c r="N49" s="66"/>
      <c r="O49" s="60" t="s">
        <v>376</v>
      </c>
      <c r="P49" s="59"/>
      <c r="Q49" s="64" t="s">
        <v>1382</v>
      </c>
    </row>
    <row r="50" ht="22.5" customHeight="1">
      <c r="A50" s="67"/>
      <c r="B50" s="60" t="s">
        <v>1386</v>
      </c>
      <c r="C50" s="59">
        <f t="shared" si="1"/>
        <v>0</v>
      </c>
      <c r="D50" s="61" t="s">
        <v>16</v>
      </c>
      <c r="E50" s="61" t="s">
        <v>17</v>
      </c>
      <c r="F50" s="59" t="s">
        <v>18</v>
      </c>
      <c r="G50" s="61" t="s">
        <v>19</v>
      </c>
      <c r="H50" s="59" t="s">
        <v>20</v>
      </c>
      <c r="I50" s="61" t="s">
        <v>19</v>
      </c>
      <c r="J50" s="63" t="s">
        <v>21</v>
      </c>
      <c r="K50" s="61" t="s">
        <v>19</v>
      </c>
      <c r="L50" s="63" t="s">
        <v>22</v>
      </c>
      <c r="M50" s="61" t="s">
        <v>19</v>
      </c>
      <c r="N50" s="66"/>
      <c r="O50" s="60" t="s">
        <v>376</v>
      </c>
      <c r="P50" s="59"/>
      <c r="Q50" s="64" t="s">
        <v>1382</v>
      </c>
    </row>
    <row r="51" ht="22.5" customHeight="1">
      <c r="A51" s="67"/>
      <c r="B51" s="60" t="s">
        <v>1387</v>
      </c>
      <c r="C51" s="59">
        <f t="shared" si="1"/>
        <v>0</v>
      </c>
      <c r="D51" s="61" t="s">
        <v>16</v>
      </c>
      <c r="E51" s="61" t="s">
        <v>17</v>
      </c>
      <c r="F51" s="59" t="s">
        <v>18</v>
      </c>
      <c r="G51" s="61" t="s">
        <v>19</v>
      </c>
      <c r="H51" s="59" t="s">
        <v>20</v>
      </c>
      <c r="I51" s="61" t="s">
        <v>19</v>
      </c>
      <c r="J51" s="63" t="s">
        <v>21</v>
      </c>
      <c r="K51" s="61" t="s">
        <v>19</v>
      </c>
      <c r="L51" s="63" t="s">
        <v>22</v>
      </c>
      <c r="M51" s="61" t="s">
        <v>19</v>
      </c>
      <c r="N51" s="66"/>
      <c r="O51" s="60" t="s">
        <v>376</v>
      </c>
      <c r="P51" s="59"/>
      <c r="Q51" s="64" t="s">
        <v>1382</v>
      </c>
    </row>
    <row r="52" ht="22.5" customHeight="1">
      <c r="A52" s="67"/>
      <c r="B52" s="60" t="s">
        <v>1388</v>
      </c>
      <c r="C52" s="59">
        <f t="shared" si="1"/>
        <v>3</v>
      </c>
      <c r="D52" s="61" t="s">
        <v>34</v>
      </c>
      <c r="E52" s="61" t="s">
        <v>25</v>
      </c>
      <c r="F52" s="59" t="s">
        <v>18</v>
      </c>
      <c r="G52" s="61" t="s">
        <v>640</v>
      </c>
      <c r="H52" s="59" t="s">
        <v>20</v>
      </c>
      <c r="I52" s="61" t="s">
        <v>31</v>
      </c>
      <c r="J52" s="63" t="s">
        <v>21</v>
      </c>
      <c r="K52" s="61" t="s">
        <v>640</v>
      </c>
      <c r="L52" s="63" t="s">
        <v>22</v>
      </c>
      <c r="M52" s="61" t="s">
        <v>640</v>
      </c>
      <c r="N52" s="66"/>
      <c r="O52" s="60" t="s">
        <v>27</v>
      </c>
      <c r="P52" s="59"/>
      <c r="Q52" s="64" t="s">
        <v>1382</v>
      </c>
    </row>
    <row r="53" ht="22.5" customHeight="1">
      <c r="A53" s="67"/>
      <c r="B53" s="64" t="s">
        <v>1389</v>
      </c>
      <c r="C53" s="59">
        <f t="shared" si="1"/>
        <v>3</v>
      </c>
      <c r="D53" s="61" t="s">
        <v>34</v>
      </c>
      <c r="E53" s="61" t="s">
        <v>635</v>
      </c>
      <c r="F53" s="59" t="s">
        <v>18</v>
      </c>
      <c r="G53" s="61" t="s">
        <v>640</v>
      </c>
      <c r="H53" s="59" t="s">
        <v>20</v>
      </c>
      <c r="I53" s="61" t="s">
        <v>31</v>
      </c>
      <c r="J53" s="63" t="s">
        <v>21</v>
      </c>
      <c r="K53" s="61" t="s">
        <v>640</v>
      </c>
      <c r="L53" s="63" t="s">
        <v>22</v>
      </c>
      <c r="M53" s="61" t="s">
        <v>640</v>
      </c>
      <c r="N53" s="66"/>
      <c r="O53" s="60" t="s">
        <v>1390</v>
      </c>
      <c r="P53" s="59"/>
      <c r="Q53" s="64" t="s">
        <v>1382</v>
      </c>
    </row>
    <row r="54" ht="22.5" customHeight="1">
      <c r="A54" s="67"/>
      <c r="B54" s="60" t="s">
        <v>1391</v>
      </c>
      <c r="C54" s="59">
        <f t="shared" si="1"/>
        <v>1</v>
      </c>
      <c r="D54" s="61" t="s">
        <v>34</v>
      </c>
      <c r="E54" s="61" t="s">
        <v>25</v>
      </c>
      <c r="F54" s="59" t="s">
        <v>18</v>
      </c>
      <c r="G54" s="61" t="s">
        <v>19</v>
      </c>
      <c r="H54" s="59" t="s">
        <v>20</v>
      </c>
      <c r="I54" s="61" t="s">
        <v>50</v>
      </c>
      <c r="J54" s="63" t="s">
        <v>21</v>
      </c>
      <c r="K54" s="61" t="s">
        <v>640</v>
      </c>
      <c r="L54" s="63" t="s">
        <v>22</v>
      </c>
      <c r="M54" s="61" t="s">
        <v>50</v>
      </c>
      <c r="N54" s="66"/>
      <c r="O54" s="60" t="s">
        <v>1392</v>
      </c>
      <c r="P54" s="59"/>
      <c r="Q54" s="64" t="s">
        <v>1382</v>
      </c>
    </row>
    <row r="55" ht="22.5" customHeight="1">
      <c r="A55" s="59"/>
      <c r="B55" s="60" t="s">
        <v>1393</v>
      </c>
      <c r="C55" s="59">
        <f t="shared" si="1"/>
        <v>0</v>
      </c>
      <c r="D55" s="61" t="s">
        <v>16</v>
      </c>
      <c r="E55" s="61" t="s">
        <v>49</v>
      </c>
      <c r="F55" s="59" t="s">
        <v>18</v>
      </c>
      <c r="G55" s="61" t="s">
        <v>50</v>
      </c>
      <c r="H55" s="59" t="s">
        <v>20</v>
      </c>
      <c r="I55" s="61" t="s">
        <v>50</v>
      </c>
      <c r="J55" s="63" t="s">
        <v>21</v>
      </c>
      <c r="K55" s="61" t="s">
        <v>50</v>
      </c>
      <c r="L55" s="63" t="s">
        <v>22</v>
      </c>
      <c r="M55" s="61" t="s">
        <v>50</v>
      </c>
      <c r="N55" s="66"/>
      <c r="O55" s="60" t="s">
        <v>211</v>
      </c>
      <c r="P55" s="59"/>
      <c r="Q55" s="64" t="s">
        <v>1382</v>
      </c>
    </row>
    <row r="56" ht="22.5" customHeight="1">
      <c r="A56" s="67"/>
      <c r="B56" s="64" t="s">
        <v>1394</v>
      </c>
      <c r="C56" s="59">
        <f t="shared" si="1"/>
        <v>0</v>
      </c>
      <c r="D56" s="61" t="s">
        <v>16</v>
      </c>
      <c r="E56" s="61" t="s">
        <v>49</v>
      </c>
      <c r="F56" s="59" t="s">
        <v>18</v>
      </c>
      <c r="G56" s="61" t="s">
        <v>50</v>
      </c>
      <c r="H56" s="59" t="s">
        <v>20</v>
      </c>
      <c r="I56" s="61" t="s">
        <v>50</v>
      </c>
      <c r="J56" s="63" t="s">
        <v>21</v>
      </c>
      <c r="K56" s="61" t="s">
        <v>50</v>
      </c>
      <c r="L56" s="63" t="s">
        <v>22</v>
      </c>
      <c r="M56" s="61" t="s">
        <v>50</v>
      </c>
      <c r="N56" s="66"/>
      <c r="O56" s="60" t="s">
        <v>1395</v>
      </c>
      <c r="P56" s="59"/>
      <c r="Q56" s="64" t="s">
        <v>1382</v>
      </c>
    </row>
    <row r="57" ht="22.5" customHeight="1">
      <c r="A57" s="67"/>
      <c r="B57" s="60" t="s">
        <v>1396</v>
      </c>
      <c r="C57" s="59">
        <f t="shared" si="1"/>
        <v>4</v>
      </c>
      <c r="D57" s="62"/>
      <c r="E57" s="61" t="s">
        <v>635</v>
      </c>
      <c r="F57" s="59" t="s">
        <v>18</v>
      </c>
      <c r="G57" s="61" t="s">
        <v>640</v>
      </c>
      <c r="H57" s="59" t="s">
        <v>20</v>
      </c>
      <c r="I57" s="61" t="s">
        <v>640</v>
      </c>
      <c r="J57" s="63" t="s">
        <v>21</v>
      </c>
      <c r="K57" s="61" t="s">
        <v>640</v>
      </c>
      <c r="L57" s="63" t="s">
        <v>22</v>
      </c>
      <c r="M57" s="61" t="s">
        <v>640</v>
      </c>
      <c r="N57" s="66"/>
      <c r="O57" s="59"/>
      <c r="P57" s="59"/>
      <c r="Q57" s="64" t="s">
        <v>1382</v>
      </c>
    </row>
    <row r="58" ht="22.5" customHeight="1">
      <c r="A58" s="67"/>
      <c r="B58" s="60" t="s">
        <v>1397</v>
      </c>
      <c r="C58" s="59">
        <f t="shared" si="1"/>
        <v>0</v>
      </c>
      <c r="D58" s="61" t="s">
        <v>16</v>
      </c>
      <c r="E58" s="61" t="s">
        <v>40</v>
      </c>
      <c r="F58" s="59" t="s">
        <v>18</v>
      </c>
      <c r="G58" s="61" t="s">
        <v>19</v>
      </c>
      <c r="H58" s="59" t="s">
        <v>20</v>
      </c>
      <c r="I58" s="61" t="s">
        <v>19</v>
      </c>
      <c r="J58" s="63" t="s">
        <v>21</v>
      </c>
      <c r="K58" s="61" t="s">
        <v>19</v>
      </c>
      <c r="L58" s="63" t="s">
        <v>22</v>
      </c>
      <c r="M58" s="61" t="s">
        <v>31</v>
      </c>
      <c r="N58" s="66"/>
      <c r="O58" s="60" t="s">
        <v>1398</v>
      </c>
      <c r="P58" s="59"/>
      <c r="Q58" s="64" t="s">
        <v>1382</v>
      </c>
    </row>
    <row r="59" ht="22.5" customHeight="1">
      <c r="A59" s="67"/>
      <c r="B59" s="60" t="s">
        <v>1399</v>
      </c>
      <c r="C59" s="59">
        <f t="shared" si="1"/>
        <v>0</v>
      </c>
      <c r="D59" s="61" t="s">
        <v>34</v>
      </c>
      <c r="E59" s="61" t="s">
        <v>49</v>
      </c>
      <c r="F59" s="59" t="s">
        <v>18</v>
      </c>
      <c r="G59" s="61" t="s">
        <v>50</v>
      </c>
      <c r="H59" s="59" t="s">
        <v>20</v>
      </c>
      <c r="I59" s="61" t="s">
        <v>50</v>
      </c>
      <c r="J59" s="63" t="s">
        <v>21</v>
      </c>
      <c r="K59" s="61" t="s">
        <v>50</v>
      </c>
      <c r="L59" s="63" t="s">
        <v>22</v>
      </c>
      <c r="M59" s="61" t="s">
        <v>50</v>
      </c>
      <c r="N59" s="66"/>
      <c r="O59" s="60" t="s">
        <v>1400</v>
      </c>
      <c r="P59" s="59"/>
      <c r="Q59" s="64" t="s">
        <v>1382</v>
      </c>
    </row>
    <row r="60" ht="22.5" customHeight="1">
      <c r="A60" s="59"/>
      <c r="B60" s="60" t="s">
        <v>1401</v>
      </c>
      <c r="C60" s="59">
        <f t="shared" si="1"/>
        <v>2</v>
      </c>
      <c r="D60" s="61" t="s">
        <v>34</v>
      </c>
      <c r="E60" s="61" t="s">
        <v>25</v>
      </c>
      <c r="F60" s="59" t="s">
        <v>18</v>
      </c>
      <c r="G60" s="61" t="s">
        <v>19</v>
      </c>
      <c r="H60" s="59" t="s">
        <v>20</v>
      </c>
      <c r="I60" s="61" t="s">
        <v>640</v>
      </c>
      <c r="J60" s="63" t="s">
        <v>21</v>
      </c>
      <c r="K60" s="61" t="s">
        <v>31</v>
      </c>
      <c r="L60" s="63" t="s">
        <v>22</v>
      </c>
      <c r="M60" s="61" t="s">
        <v>640</v>
      </c>
      <c r="N60" s="85" t="s">
        <v>1331</v>
      </c>
      <c r="O60" s="125" t="s">
        <v>1402</v>
      </c>
      <c r="P60" s="59"/>
      <c r="Q60" s="64" t="s">
        <v>1382</v>
      </c>
    </row>
    <row r="61" ht="22.5" customHeight="1">
      <c r="A61" s="67"/>
      <c r="B61" s="60" t="s">
        <v>1403</v>
      </c>
      <c r="C61" s="59">
        <f t="shared" si="1"/>
        <v>0</v>
      </c>
      <c r="D61" s="61" t="s">
        <v>16</v>
      </c>
      <c r="E61" s="61" t="s">
        <v>40</v>
      </c>
      <c r="F61" s="59" t="s">
        <v>18</v>
      </c>
      <c r="G61" s="61" t="s">
        <v>19</v>
      </c>
      <c r="H61" s="59" t="s">
        <v>20</v>
      </c>
      <c r="I61" s="61" t="s">
        <v>19</v>
      </c>
      <c r="J61" s="63" t="s">
        <v>21</v>
      </c>
      <c r="K61" s="61" t="s">
        <v>19</v>
      </c>
      <c r="L61" s="63" t="s">
        <v>22</v>
      </c>
      <c r="M61" s="61" t="s">
        <v>31</v>
      </c>
      <c r="N61" s="85" t="s">
        <v>1331</v>
      </c>
      <c r="O61" s="60" t="s">
        <v>1404</v>
      </c>
      <c r="P61" s="59"/>
      <c r="Q61" s="64" t="s">
        <v>1382</v>
      </c>
    </row>
    <row r="62" ht="22.5" customHeight="1">
      <c r="A62" s="67"/>
      <c r="B62" s="64" t="s">
        <v>1405</v>
      </c>
      <c r="C62" s="59">
        <f t="shared" si="1"/>
        <v>0</v>
      </c>
      <c r="D62" s="61" t="s">
        <v>34</v>
      </c>
      <c r="E62" s="61" t="s">
        <v>49</v>
      </c>
      <c r="F62" s="59" t="s">
        <v>18</v>
      </c>
      <c r="G62" s="61" t="s">
        <v>50</v>
      </c>
      <c r="H62" s="59" t="s">
        <v>20</v>
      </c>
      <c r="I62" s="61" t="s">
        <v>50</v>
      </c>
      <c r="J62" s="63" t="s">
        <v>21</v>
      </c>
      <c r="K62" s="61" t="s">
        <v>50</v>
      </c>
      <c r="L62" s="63" t="s">
        <v>22</v>
      </c>
      <c r="M62" s="61" t="s">
        <v>50</v>
      </c>
      <c r="N62" s="66"/>
      <c r="O62" s="60" t="s">
        <v>1406</v>
      </c>
      <c r="P62" s="59"/>
      <c r="Q62" s="64" t="s">
        <v>1382</v>
      </c>
    </row>
    <row r="63" ht="22.5" customHeight="1">
      <c r="A63" s="67"/>
      <c r="B63" s="60" t="s">
        <v>1407</v>
      </c>
      <c r="C63" s="59">
        <f t="shared" si="1"/>
        <v>0</v>
      </c>
      <c r="D63" s="61" t="s">
        <v>34</v>
      </c>
      <c r="E63" s="61" t="s">
        <v>49</v>
      </c>
      <c r="F63" s="59" t="s">
        <v>18</v>
      </c>
      <c r="G63" s="61" t="s">
        <v>50</v>
      </c>
      <c r="H63" s="59" t="s">
        <v>20</v>
      </c>
      <c r="I63" s="61" t="s">
        <v>50</v>
      </c>
      <c r="J63" s="63" t="s">
        <v>21</v>
      </c>
      <c r="K63" s="61" t="s">
        <v>50</v>
      </c>
      <c r="L63" s="63" t="s">
        <v>22</v>
      </c>
      <c r="M63" s="61" t="s">
        <v>50</v>
      </c>
      <c r="N63" s="66"/>
      <c r="O63" s="60" t="s">
        <v>1408</v>
      </c>
      <c r="P63" s="59"/>
      <c r="Q63" s="64" t="s">
        <v>1382</v>
      </c>
    </row>
    <row r="64" ht="22.5" customHeight="1">
      <c r="A64" s="67"/>
      <c r="B64" s="60" t="s">
        <v>1409</v>
      </c>
      <c r="C64" s="59">
        <f t="shared" si="1"/>
        <v>0</v>
      </c>
      <c r="D64" s="61" t="s">
        <v>16</v>
      </c>
      <c r="E64" s="61" t="s">
        <v>49</v>
      </c>
      <c r="F64" s="59" t="s">
        <v>18</v>
      </c>
      <c r="G64" s="61" t="s">
        <v>50</v>
      </c>
      <c r="H64" s="59" t="s">
        <v>20</v>
      </c>
      <c r="I64" s="61" t="s">
        <v>50</v>
      </c>
      <c r="J64" s="63" t="s">
        <v>21</v>
      </c>
      <c r="K64" s="61" t="s">
        <v>50</v>
      </c>
      <c r="L64" s="63" t="s">
        <v>22</v>
      </c>
      <c r="M64" s="61" t="s">
        <v>50</v>
      </c>
      <c r="N64" s="66"/>
      <c r="O64" s="60" t="s">
        <v>1410</v>
      </c>
      <c r="P64" s="59"/>
      <c r="Q64" s="64" t="s">
        <v>1382</v>
      </c>
    </row>
    <row r="65" ht="22.5" customHeight="1">
      <c r="A65" s="67"/>
      <c r="B65" s="60" t="s">
        <v>1411</v>
      </c>
      <c r="C65" s="59">
        <f t="shared" si="1"/>
        <v>0</v>
      </c>
      <c r="D65" s="61" t="s">
        <v>16</v>
      </c>
      <c r="E65" s="61" t="s">
        <v>40</v>
      </c>
      <c r="F65" s="59" t="s">
        <v>18</v>
      </c>
      <c r="G65" s="61" t="s">
        <v>31</v>
      </c>
      <c r="H65" s="59" t="s">
        <v>20</v>
      </c>
      <c r="I65" s="61" t="s">
        <v>19</v>
      </c>
      <c r="J65" s="63" t="s">
        <v>21</v>
      </c>
      <c r="K65" s="61" t="s">
        <v>19</v>
      </c>
      <c r="L65" s="63" t="s">
        <v>22</v>
      </c>
      <c r="M65" s="61" t="s">
        <v>19</v>
      </c>
      <c r="N65" s="66"/>
      <c r="O65" s="60" t="s">
        <v>1412</v>
      </c>
      <c r="P65" s="59"/>
      <c r="Q65" s="64" t="s">
        <v>1382</v>
      </c>
    </row>
    <row r="66" ht="22.5" customHeight="1">
      <c r="A66" s="67"/>
      <c r="B66" s="64" t="s">
        <v>1413</v>
      </c>
      <c r="C66" s="59">
        <f t="shared" si="1"/>
        <v>0</v>
      </c>
      <c r="D66" s="61" t="s">
        <v>34</v>
      </c>
      <c r="E66" s="61" t="s">
        <v>49</v>
      </c>
      <c r="F66" s="59" t="s">
        <v>18</v>
      </c>
      <c r="G66" s="61" t="s">
        <v>50</v>
      </c>
      <c r="H66" s="59" t="s">
        <v>20</v>
      </c>
      <c r="I66" s="61" t="s">
        <v>50</v>
      </c>
      <c r="J66" s="63" t="s">
        <v>21</v>
      </c>
      <c r="K66" s="61" t="s">
        <v>50</v>
      </c>
      <c r="L66" s="63" t="s">
        <v>22</v>
      </c>
      <c r="M66" s="61" t="s">
        <v>50</v>
      </c>
      <c r="N66" s="66"/>
      <c r="O66" s="60" t="s">
        <v>1414</v>
      </c>
      <c r="P66" s="59"/>
      <c r="Q66" s="64" t="s">
        <v>1382</v>
      </c>
    </row>
    <row r="67" ht="22.5" customHeight="1">
      <c r="A67" s="67"/>
      <c r="B67" s="60" t="s">
        <v>1415</v>
      </c>
      <c r="C67" s="59">
        <f t="shared" si="1"/>
        <v>0</v>
      </c>
      <c r="D67" s="61" t="s">
        <v>16</v>
      </c>
      <c r="E67" s="61" t="s">
        <v>17</v>
      </c>
      <c r="F67" s="59" t="s">
        <v>18</v>
      </c>
      <c r="G67" s="61" t="s">
        <v>19</v>
      </c>
      <c r="H67" s="59" t="s">
        <v>20</v>
      </c>
      <c r="I67" s="61" t="s">
        <v>19</v>
      </c>
      <c r="J67" s="63" t="s">
        <v>21</v>
      </c>
      <c r="K67" s="61" t="s">
        <v>19</v>
      </c>
      <c r="L67" s="63" t="s">
        <v>22</v>
      </c>
      <c r="M67" s="61" t="s">
        <v>19</v>
      </c>
      <c r="N67" s="66"/>
      <c r="O67" s="60" t="s">
        <v>376</v>
      </c>
      <c r="P67" s="59"/>
      <c r="Q67" s="64" t="s">
        <v>1382</v>
      </c>
    </row>
    <row r="68" ht="22.5" customHeight="1">
      <c r="A68" s="126" t="s">
        <v>1416</v>
      </c>
      <c r="B68" s="60" t="s">
        <v>1417</v>
      </c>
      <c r="C68" s="59">
        <f t="shared" si="1"/>
        <v>0</v>
      </c>
      <c r="D68" s="61" t="s">
        <v>34</v>
      </c>
      <c r="E68" s="61" t="s">
        <v>635</v>
      </c>
      <c r="F68" s="59" t="s">
        <v>18</v>
      </c>
      <c r="G68" s="61" t="s">
        <v>50</v>
      </c>
      <c r="H68" s="59" t="s">
        <v>20</v>
      </c>
      <c r="I68" s="61" t="s">
        <v>50</v>
      </c>
      <c r="J68" s="63" t="s">
        <v>21</v>
      </c>
      <c r="K68" s="61" t="s">
        <v>50</v>
      </c>
      <c r="L68" s="63" t="s">
        <v>22</v>
      </c>
      <c r="M68" s="61" t="s">
        <v>50</v>
      </c>
      <c r="N68" s="66"/>
      <c r="O68" s="60" t="s">
        <v>1418</v>
      </c>
      <c r="P68" s="59"/>
      <c r="Q68" s="64" t="s">
        <v>1382</v>
      </c>
    </row>
    <row r="69" ht="22.5" customHeight="1">
      <c r="A69" s="67"/>
      <c r="B69" s="60" t="s">
        <v>1419</v>
      </c>
      <c r="C69" s="59">
        <f t="shared" si="1"/>
        <v>1</v>
      </c>
      <c r="D69" s="61" t="s">
        <v>16</v>
      </c>
      <c r="E69" s="61" t="s">
        <v>25</v>
      </c>
      <c r="F69" s="59" t="s">
        <v>18</v>
      </c>
      <c r="G69" s="61" t="s">
        <v>50</v>
      </c>
      <c r="H69" s="59" t="s">
        <v>20</v>
      </c>
      <c r="I69" s="61" t="s">
        <v>50</v>
      </c>
      <c r="J69" s="63" t="s">
        <v>21</v>
      </c>
      <c r="K69" s="61" t="s">
        <v>640</v>
      </c>
      <c r="L69" s="63" t="s">
        <v>22</v>
      </c>
      <c r="M69" s="61" t="s">
        <v>50</v>
      </c>
      <c r="N69" s="66"/>
      <c r="O69" s="60" t="s">
        <v>1420</v>
      </c>
      <c r="P69" s="59"/>
      <c r="Q69" s="64" t="s">
        <v>1382</v>
      </c>
    </row>
    <row r="70" ht="22.5" customHeight="1">
      <c r="A70" s="67"/>
      <c r="B70" s="60" t="s">
        <v>1421</v>
      </c>
      <c r="C70" s="59">
        <f t="shared" si="1"/>
        <v>0</v>
      </c>
      <c r="D70" s="61" t="s">
        <v>34</v>
      </c>
      <c r="E70" s="61" t="s">
        <v>49</v>
      </c>
      <c r="F70" s="59" t="s">
        <v>18</v>
      </c>
      <c r="G70" s="61" t="s">
        <v>50</v>
      </c>
      <c r="H70" s="59" t="s">
        <v>20</v>
      </c>
      <c r="I70" s="61" t="s">
        <v>50</v>
      </c>
      <c r="J70" s="63" t="s">
        <v>21</v>
      </c>
      <c r="K70" s="61" t="s">
        <v>50</v>
      </c>
      <c r="L70" s="63" t="s">
        <v>22</v>
      </c>
      <c r="M70" s="61" t="s">
        <v>50</v>
      </c>
      <c r="N70" s="66"/>
      <c r="O70" s="60" t="s">
        <v>152</v>
      </c>
      <c r="P70" s="59"/>
      <c r="Q70" s="64" t="s">
        <v>1382</v>
      </c>
    </row>
    <row r="71" ht="22.5" customHeight="1">
      <c r="A71" s="67"/>
      <c r="B71" s="64" t="s">
        <v>1422</v>
      </c>
      <c r="C71" s="59">
        <f t="shared" si="1"/>
        <v>0</v>
      </c>
      <c r="D71" s="61" t="s">
        <v>16</v>
      </c>
      <c r="E71" s="61" t="s">
        <v>49</v>
      </c>
      <c r="F71" s="59" t="s">
        <v>18</v>
      </c>
      <c r="G71" s="61" t="s">
        <v>50</v>
      </c>
      <c r="H71" s="59" t="s">
        <v>20</v>
      </c>
      <c r="I71" s="61" t="s">
        <v>50</v>
      </c>
      <c r="J71" s="63" t="s">
        <v>21</v>
      </c>
      <c r="K71" s="61" t="s">
        <v>50</v>
      </c>
      <c r="L71" s="63" t="s">
        <v>22</v>
      </c>
      <c r="M71" s="61" t="s">
        <v>50</v>
      </c>
      <c r="N71" s="66"/>
      <c r="O71" s="60" t="s">
        <v>211</v>
      </c>
      <c r="P71" s="59"/>
      <c r="Q71" s="64" t="s">
        <v>1382</v>
      </c>
    </row>
    <row r="72" ht="22.5" customHeight="1">
      <c r="A72" s="81" t="s">
        <v>1423</v>
      </c>
      <c r="B72" s="124" t="s">
        <v>1424</v>
      </c>
      <c r="C72" s="59">
        <f t="shared" si="1"/>
        <v>1</v>
      </c>
      <c r="D72" s="61" t="s">
        <v>34</v>
      </c>
      <c r="E72" s="61" t="s">
        <v>35</v>
      </c>
      <c r="F72" s="59" t="s">
        <v>18</v>
      </c>
      <c r="G72" s="61" t="s">
        <v>19</v>
      </c>
      <c r="H72" s="59" t="s">
        <v>20</v>
      </c>
      <c r="I72" s="61" t="s">
        <v>31</v>
      </c>
      <c r="J72" s="63" t="s">
        <v>21</v>
      </c>
      <c r="K72" s="61" t="s">
        <v>31</v>
      </c>
      <c r="L72" s="63" t="s">
        <v>22</v>
      </c>
      <c r="M72" s="61" t="s">
        <v>640</v>
      </c>
      <c r="N72" s="66"/>
      <c r="O72" s="60" t="s">
        <v>1425</v>
      </c>
      <c r="P72" s="59"/>
      <c r="Q72" s="64" t="s">
        <v>1382</v>
      </c>
    </row>
    <row r="73" ht="22.5" customHeight="1">
      <c r="A73" s="67"/>
      <c r="B73" s="64" t="s">
        <v>1426</v>
      </c>
      <c r="C73" s="59">
        <f t="shared" si="1"/>
        <v>3</v>
      </c>
      <c r="D73" s="61" t="s">
        <v>34</v>
      </c>
      <c r="E73" s="61" t="s">
        <v>25</v>
      </c>
      <c r="F73" s="59" t="s">
        <v>18</v>
      </c>
      <c r="G73" s="61" t="s">
        <v>640</v>
      </c>
      <c r="H73" s="59" t="s">
        <v>20</v>
      </c>
      <c r="I73" s="61" t="s">
        <v>31</v>
      </c>
      <c r="J73" s="63" t="s">
        <v>21</v>
      </c>
      <c r="K73" s="61" t="s">
        <v>640</v>
      </c>
      <c r="L73" s="63" t="s">
        <v>22</v>
      </c>
      <c r="M73" s="61" t="s">
        <v>640</v>
      </c>
      <c r="N73" s="66"/>
      <c r="O73" s="60" t="s">
        <v>1427</v>
      </c>
      <c r="P73" s="59"/>
      <c r="Q73" s="64" t="s">
        <v>1382</v>
      </c>
    </row>
    <row r="74" ht="22.5" customHeight="1">
      <c r="A74" s="67"/>
      <c r="B74" s="60" t="s">
        <v>1428</v>
      </c>
      <c r="C74" s="59">
        <f t="shared" si="1"/>
        <v>0</v>
      </c>
      <c r="D74" s="61" t="s">
        <v>34</v>
      </c>
      <c r="E74" s="61" t="s">
        <v>25</v>
      </c>
      <c r="F74" s="59" t="s">
        <v>18</v>
      </c>
      <c r="G74" s="61" t="s">
        <v>31</v>
      </c>
      <c r="H74" s="59" t="s">
        <v>20</v>
      </c>
      <c r="I74" s="61" t="s">
        <v>19</v>
      </c>
      <c r="J74" s="63" t="s">
        <v>21</v>
      </c>
      <c r="K74" s="61" t="s">
        <v>19</v>
      </c>
      <c r="L74" s="63" t="s">
        <v>22</v>
      </c>
      <c r="M74" s="61" t="s">
        <v>31</v>
      </c>
      <c r="N74" s="66"/>
      <c r="O74" s="60" t="s">
        <v>1429</v>
      </c>
      <c r="P74" s="59"/>
      <c r="Q74" s="64" t="s">
        <v>1382</v>
      </c>
    </row>
    <row r="75" ht="22.5" customHeight="1">
      <c r="A75" s="59"/>
      <c r="B75" s="64" t="s">
        <v>1430</v>
      </c>
      <c r="C75" s="59">
        <f t="shared" si="1"/>
        <v>0</v>
      </c>
      <c r="D75" s="61" t="s">
        <v>16</v>
      </c>
      <c r="E75" s="61" t="s">
        <v>49</v>
      </c>
      <c r="F75" s="59" t="s">
        <v>18</v>
      </c>
      <c r="G75" s="61" t="s">
        <v>50</v>
      </c>
      <c r="H75" s="59" t="s">
        <v>20</v>
      </c>
      <c r="I75" s="61" t="s">
        <v>50</v>
      </c>
      <c r="J75" s="63" t="s">
        <v>21</v>
      </c>
      <c r="K75" s="61" t="s">
        <v>50</v>
      </c>
      <c r="L75" s="63" t="s">
        <v>22</v>
      </c>
      <c r="M75" s="61" t="s">
        <v>50</v>
      </c>
      <c r="N75" s="66"/>
      <c r="O75" s="60" t="s">
        <v>211</v>
      </c>
      <c r="P75" s="59"/>
      <c r="Q75" s="64" t="s">
        <v>1431</v>
      </c>
    </row>
    <row r="76" ht="22.5" customHeight="1">
      <c r="A76" s="67"/>
      <c r="B76" s="60" t="s">
        <v>1432</v>
      </c>
      <c r="C76" s="59">
        <f t="shared" si="1"/>
        <v>0</v>
      </c>
      <c r="D76" s="61" t="s">
        <v>16</v>
      </c>
      <c r="E76" s="61" t="s">
        <v>17</v>
      </c>
      <c r="F76" s="59" t="s">
        <v>18</v>
      </c>
      <c r="G76" s="61" t="s">
        <v>19</v>
      </c>
      <c r="H76" s="59" t="s">
        <v>20</v>
      </c>
      <c r="I76" s="61" t="s">
        <v>19</v>
      </c>
      <c r="J76" s="63" t="s">
        <v>21</v>
      </c>
      <c r="K76" s="61" t="s">
        <v>19</v>
      </c>
      <c r="L76" s="63" t="s">
        <v>22</v>
      </c>
      <c r="M76" s="61" t="s">
        <v>19</v>
      </c>
      <c r="N76" s="66"/>
      <c r="O76" s="60" t="s">
        <v>376</v>
      </c>
      <c r="P76" s="59"/>
      <c r="Q76" s="64" t="s">
        <v>1431</v>
      </c>
    </row>
    <row r="77" ht="22.5" customHeight="1">
      <c r="A77" s="67"/>
      <c r="B77" s="60" t="s">
        <v>1433</v>
      </c>
      <c r="C77" s="59">
        <f t="shared" si="1"/>
        <v>1</v>
      </c>
      <c r="D77" s="61" t="s">
        <v>34</v>
      </c>
      <c r="E77" s="61" t="s">
        <v>30</v>
      </c>
      <c r="F77" s="59" t="s">
        <v>18</v>
      </c>
      <c r="G77" s="61" t="s">
        <v>31</v>
      </c>
      <c r="H77" s="59" t="s">
        <v>20</v>
      </c>
      <c r="I77" s="61" t="s">
        <v>31</v>
      </c>
      <c r="J77" s="63" t="s">
        <v>21</v>
      </c>
      <c r="K77" s="61" t="s">
        <v>640</v>
      </c>
      <c r="L77" s="63" t="s">
        <v>22</v>
      </c>
      <c r="M77" s="61" t="s">
        <v>31</v>
      </c>
      <c r="N77" s="66"/>
      <c r="O77" s="60" t="s">
        <v>1434</v>
      </c>
      <c r="P77" s="59"/>
      <c r="Q77" s="64" t="s">
        <v>1431</v>
      </c>
    </row>
    <row r="78" ht="22.5" customHeight="1">
      <c r="A78" s="67"/>
      <c r="B78" s="60" t="s">
        <v>1435</v>
      </c>
      <c r="C78" s="59">
        <f t="shared" si="1"/>
        <v>0</v>
      </c>
      <c r="D78" s="61" t="s">
        <v>34</v>
      </c>
      <c r="E78" s="61" t="s">
        <v>40</v>
      </c>
      <c r="F78" s="59" t="s">
        <v>18</v>
      </c>
      <c r="G78" s="61" t="s">
        <v>19</v>
      </c>
      <c r="H78" s="59" t="s">
        <v>20</v>
      </c>
      <c r="I78" s="61" t="s">
        <v>31</v>
      </c>
      <c r="J78" s="63" t="s">
        <v>21</v>
      </c>
      <c r="K78" s="61" t="s">
        <v>19</v>
      </c>
      <c r="L78" s="63" t="s">
        <v>22</v>
      </c>
      <c r="M78" s="61" t="s">
        <v>31</v>
      </c>
      <c r="N78" s="85" t="s">
        <v>1436</v>
      </c>
      <c r="O78" s="60" t="s">
        <v>1437</v>
      </c>
      <c r="P78" s="59"/>
      <c r="Q78" s="64" t="s">
        <v>1431</v>
      </c>
    </row>
    <row r="79" ht="22.5" customHeight="1">
      <c r="A79" s="67"/>
      <c r="B79" s="60" t="s">
        <v>1438</v>
      </c>
      <c r="C79" s="59">
        <f t="shared" si="1"/>
        <v>0</v>
      </c>
      <c r="D79" s="61" t="s">
        <v>34</v>
      </c>
      <c r="E79" s="61" t="s">
        <v>40</v>
      </c>
      <c r="F79" s="59" t="s">
        <v>18</v>
      </c>
      <c r="G79" s="61" t="s">
        <v>19</v>
      </c>
      <c r="H79" s="59" t="s">
        <v>20</v>
      </c>
      <c r="I79" s="61" t="s">
        <v>31</v>
      </c>
      <c r="J79" s="63" t="s">
        <v>21</v>
      </c>
      <c r="K79" s="61" t="s">
        <v>31</v>
      </c>
      <c r="L79" s="63" t="s">
        <v>22</v>
      </c>
      <c r="M79" s="61" t="s">
        <v>31</v>
      </c>
      <c r="N79" s="61" t="s">
        <v>1436</v>
      </c>
      <c r="O79" s="60" t="s">
        <v>1437</v>
      </c>
      <c r="P79" s="59"/>
      <c r="Q79" s="64" t="s">
        <v>1431</v>
      </c>
    </row>
    <row r="80" ht="22.5" customHeight="1">
      <c r="A80" s="67"/>
      <c r="B80" s="60" t="s">
        <v>1439</v>
      </c>
      <c r="C80" s="59">
        <f t="shared" si="1"/>
        <v>0</v>
      </c>
      <c r="D80" s="61" t="s">
        <v>16</v>
      </c>
      <c r="E80" s="61" t="s">
        <v>49</v>
      </c>
      <c r="F80" s="59" t="s">
        <v>18</v>
      </c>
      <c r="G80" s="61" t="s">
        <v>50</v>
      </c>
      <c r="H80" s="59" t="s">
        <v>20</v>
      </c>
      <c r="I80" s="61" t="s">
        <v>50</v>
      </c>
      <c r="J80" s="63" t="s">
        <v>21</v>
      </c>
      <c r="K80" s="61" t="s">
        <v>50</v>
      </c>
      <c r="L80" s="63" t="s">
        <v>22</v>
      </c>
      <c r="M80" s="61" t="s">
        <v>50</v>
      </c>
      <c r="N80" s="61" t="s">
        <v>1436</v>
      </c>
      <c r="O80" s="60" t="s">
        <v>211</v>
      </c>
      <c r="P80" s="59"/>
      <c r="Q80" s="64" t="s">
        <v>1431</v>
      </c>
    </row>
    <row r="81" ht="22.5" customHeight="1">
      <c r="A81" s="67"/>
      <c r="B81" s="60" t="s">
        <v>1440</v>
      </c>
      <c r="C81" s="59">
        <f t="shared" si="1"/>
        <v>0</v>
      </c>
      <c r="D81" s="61" t="s">
        <v>34</v>
      </c>
      <c r="E81" s="61" t="s">
        <v>49</v>
      </c>
      <c r="F81" s="59" t="s">
        <v>18</v>
      </c>
      <c r="G81" s="61" t="s">
        <v>50</v>
      </c>
      <c r="H81" s="59" t="s">
        <v>20</v>
      </c>
      <c r="I81" s="61" t="s">
        <v>50</v>
      </c>
      <c r="J81" s="63" t="s">
        <v>21</v>
      </c>
      <c r="K81" s="61" t="s">
        <v>50</v>
      </c>
      <c r="L81" s="63" t="s">
        <v>22</v>
      </c>
      <c r="M81" s="61" t="s">
        <v>50</v>
      </c>
      <c r="N81" s="61" t="s">
        <v>1436</v>
      </c>
      <c r="O81" s="60" t="s">
        <v>1441</v>
      </c>
      <c r="P81" s="59"/>
      <c r="Q81" s="64" t="s">
        <v>1431</v>
      </c>
    </row>
    <row r="82" ht="22.5" customHeight="1">
      <c r="A82" s="67"/>
      <c r="B82" s="60" t="s">
        <v>1442</v>
      </c>
      <c r="C82" s="59">
        <f t="shared" si="1"/>
        <v>0</v>
      </c>
      <c r="D82" s="61" t="s">
        <v>16</v>
      </c>
      <c r="E82" s="61" t="s">
        <v>17</v>
      </c>
      <c r="F82" s="59" t="s">
        <v>18</v>
      </c>
      <c r="G82" s="61" t="s">
        <v>19</v>
      </c>
      <c r="H82" s="59" t="s">
        <v>20</v>
      </c>
      <c r="I82" s="61" t="s">
        <v>19</v>
      </c>
      <c r="J82" s="63" t="s">
        <v>21</v>
      </c>
      <c r="K82" s="61" t="s">
        <v>19</v>
      </c>
      <c r="L82" s="63" t="s">
        <v>22</v>
      </c>
      <c r="M82" s="61" t="s">
        <v>19</v>
      </c>
      <c r="N82" s="61" t="s">
        <v>1436</v>
      </c>
      <c r="O82" s="60" t="s">
        <v>376</v>
      </c>
      <c r="P82" s="59"/>
      <c r="Q82" s="64" t="s">
        <v>1431</v>
      </c>
    </row>
    <row r="83" ht="22.5" customHeight="1">
      <c r="A83" s="67"/>
      <c r="B83" s="60" t="s">
        <v>1443</v>
      </c>
      <c r="C83" s="59">
        <f t="shared" si="1"/>
        <v>0</v>
      </c>
      <c r="D83" s="61" t="s">
        <v>16</v>
      </c>
      <c r="E83" s="61" t="s">
        <v>49</v>
      </c>
      <c r="F83" s="59" t="s">
        <v>18</v>
      </c>
      <c r="G83" s="61" t="s">
        <v>50</v>
      </c>
      <c r="H83" s="59" t="s">
        <v>20</v>
      </c>
      <c r="I83" s="61" t="s">
        <v>50</v>
      </c>
      <c r="J83" s="63" t="s">
        <v>21</v>
      </c>
      <c r="K83" s="61" t="s">
        <v>50</v>
      </c>
      <c r="L83" s="63" t="s">
        <v>22</v>
      </c>
      <c r="M83" s="61" t="s">
        <v>50</v>
      </c>
      <c r="N83" s="61" t="s">
        <v>1331</v>
      </c>
      <c r="O83" s="127" t="s">
        <v>1444</v>
      </c>
      <c r="P83" s="59"/>
      <c r="Q83" s="64" t="s">
        <v>1431</v>
      </c>
    </row>
    <row r="84" ht="22.5" customHeight="1">
      <c r="A84" s="67"/>
      <c r="B84" s="128" t="s">
        <v>1445</v>
      </c>
      <c r="C84" s="59">
        <f t="shared" si="1"/>
        <v>0</v>
      </c>
      <c r="D84" s="68"/>
      <c r="E84" s="61" t="s">
        <v>49</v>
      </c>
      <c r="F84" s="59" t="s">
        <v>18</v>
      </c>
      <c r="G84" s="61" t="s">
        <v>50</v>
      </c>
      <c r="H84" s="59" t="s">
        <v>20</v>
      </c>
      <c r="I84" s="61" t="s">
        <v>50</v>
      </c>
      <c r="J84" s="63" t="s">
        <v>21</v>
      </c>
      <c r="K84" s="61" t="s">
        <v>50</v>
      </c>
      <c r="L84" s="63" t="s">
        <v>22</v>
      </c>
      <c r="M84" s="61" t="s">
        <v>50</v>
      </c>
      <c r="N84" s="61" t="s">
        <v>1331</v>
      </c>
      <c r="O84" s="60" t="s">
        <v>1446</v>
      </c>
      <c r="P84" s="59"/>
      <c r="Q84" s="64" t="s">
        <v>1431</v>
      </c>
    </row>
    <row r="85" ht="22.5" customHeight="1">
      <c r="A85" s="67"/>
      <c r="B85" s="64" t="s">
        <v>1447</v>
      </c>
      <c r="C85" s="59">
        <f t="shared" si="1"/>
        <v>0</v>
      </c>
      <c r="D85" s="61" t="s">
        <v>34</v>
      </c>
      <c r="E85" s="61" t="s">
        <v>49</v>
      </c>
      <c r="F85" s="59" t="s">
        <v>18</v>
      </c>
      <c r="G85" s="61" t="s">
        <v>50</v>
      </c>
      <c r="H85" s="59" t="s">
        <v>20</v>
      </c>
      <c r="I85" s="61" t="s">
        <v>50</v>
      </c>
      <c r="J85" s="63" t="s">
        <v>21</v>
      </c>
      <c r="K85" s="61" t="s">
        <v>50</v>
      </c>
      <c r="L85" s="63" t="s">
        <v>22</v>
      </c>
      <c r="M85" s="61" t="s">
        <v>50</v>
      </c>
      <c r="N85" s="62"/>
      <c r="O85" s="60" t="s">
        <v>211</v>
      </c>
      <c r="P85" s="59"/>
      <c r="Q85" s="64" t="s">
        <v>1448</v>
      </c>
    </row>
    <row r="86" ht="22.5" customHeight="1">
      <c r="A86" s="67"/>
      <c r="B86" s="60" t="s">
        <v>1449</v>
      </c>
      <c r="C86" s="59">
        <f t="shared" si="1"/>
        <v>0</v>
      </c>
      <c r="D86" s="61" t="s">
        <v>16</v>
      </c>
      <c r="E86" s="61" t="s">
        <v>17</v>
      </c>
      <c r="F86" s="59" t="s">
        <v>18</v>
      </c>
      <c r="G86" s="61" t="s">
        <v>19</v>
      </c>
      <c r="H86" s="59" t="s">
        <v>20</v>
      </c>
      <c r="I86" s="61" t="s">
        <v>19</v>
      </c>
      <c r="J86" s="63" t="s">
        <v>21</v>
      </c>
      <c r="K86" s="61" t="s">
        <v>19</v>
      </c>
      <c r="L86" s="63" t="s">
        <v>22</v>
      </c>
      <c r="M86" s="61" t="s">
        <v>19</v>
      </c>
      <c r="N86" s="62"/>
      <c r="O86" s="60" t="s">
        <v>376</v>
      </c>
      <c r="P86" s="59"/>
      <c r="Q86" s="64" t="s">
        <v>1448</v>
      </c>
    </row>
    <row r="87" ht="22.5" customHeight="1">
      <c r="A87" s="67"/>
      <c r="B87" s="60" t="s">
        <v>1450</v>
      </c>
      <c r="C87" s="59">
        <f t="shared" si="1"/>
        <v>1</v>
      </c>
      <c r="D87" s="61" t="s">
        <v>16</v>
      </c>
      <c r="E87" s="61" t="s">
        <v>35</v>
      </c>
      <c r="F87" s="59" t="s">
        <v>18</v>
      </c>
      <c r="G87" s="61" t="s">
        <v>31</v>
      </c>
      <c r="H87" s="59" t="s">
        <v>20</v>
      </c>
      <c r="I87" s="61" t="s">
        <v>19</v>
      </c>
      <c r="J87" s="63" t="s">
        <v>21</v>
      </c>
      <c r="K87" s="61" t="s">
        <v>19</v>
      </c>
      <c r="L87" s="63" t="s">
        <v>22</v>
      </c>
      <c r="M87" s="61" t="s">
        <v>640</v>
      </c>
      <c r="N87" s="62"/>
      <c r="O87" s="60" t="s">
        <v>1451</v>
      </c>
      <c r="P87" s="59"/>
      <c r="Q87" s="64" t="s">
        <v>1448</v>
      </c>
    </row>
    <row r="88" ht="22.5" customHeight="1">
      <c r="A88" s="67"/>
      <c r="B88" s="60" t="s">
        <v>1452</v>
      </c>
      <c r="C88" s="59">
        <f t="shared" si="1"/>
        <v>0</v>
      </c>
      <c r="D88" s="61" t="s">
        <v>16</v>
      </c>
      <c r="E88" s="61" t="s">
        <v>40</v>
      </c>
      <c r="F88" s="59" t="s">
        <v>18</v>
      </c>
      <c r="G88" s="61" t="s">
        <v>31</v>
      </c>
      <c r="H88" s="59" t="s">
        <v>20</v>
      </c>
      <c r="I88" s="61" t="s">
        <v>19</v>
      </c>
      <c r="J88" s="63" t="s">
        <v>21</v>
      </c>
      <c r="K88" s="61" t="s">
        <v>19</v>
      </c>
      <c r="L88" s="63" t="s">
        <v>22</v>
      </c>
      <c r="M88" s="61" t="s">
        <v>31</v>
      </c>
      <c r="N88" s="62"/>
      <c r="O88" s="60" t="s">
        <v>1453</v>
      </c>
      <c r="P88" s="59"/>
      <c r="Q88" s="64" t="s">
        <v>1448</v>
      </c>
    </row>
    <row r="89" ht="22.5" customHeight="1">
      <c r="A89" s="67"/>
      <c r="B89" s="81" t="s">
        <v>1454</v>
      </c>
      <c r="C89" s="59">
        <f t="shared" si="1"/>
        <v>0</v>
      </c>
      <c r="D89" s="61" t="s">
        <v>16</v>
      </c>
      <c r="E89" s="61" t="s">
        <v>17</v>
      </c>
      <c r="F89" s="59" t="s">
        <v>18</v>
      </c>
      <c r="G89" s="61" t="s">
        <v>19</v>
      </c>
      <c r="H89" s="59" t="s">
        <v>20</v>
      </c>
      <c r="I89" s="61" t="s">
        <v>19</v>
      </c>
      <c r="J89" s="63" t="s">
        <v>21</v>
      </c>
      <c r="K89" s="61" t="s">
        <v>19</v>
      </c>
      <c r="L89" s="63" t="s">
        <v>22</v>
      </c>
      <c r="M89" s="61" t="s">
        <v>19</v>
      </c>
      <c r="N89" s="62"/>
      <c r="O89" s="60" t="s">
        <v>376</v>
      </c>
      <c r="P89" s="59"/>
      <c r="Q89" s="64" t="s">
        <v>1448</v>
      </c>
    </row>
    <row r="90" ht="22.5" customHeight="1">
      <c r="A90" s="67"/>
      <c r="B90" s="60" t="s">
        <v>1455</v>
      </c>
      <c r="C90" s="59">
        <f t="shared" si="1"/>
        <v>0</v>
      </c>
      <c r="D90" s="61" t="s">
        <v>34</v>
      </c>
      <c r="E90" s="61" t="s">
        <v>49</v>
      </c>
      <c r="F90" s="59" t="s">
        <v>18</v>
      </c>
      <c r="G90" s="61" t="s">
        <v>50</v>
      </c>
      <c r="H90" s="59" t="s">
        <v>20</v>
      </c>
      <c r="I90" s="61" t="s">
        <v>50</v>
      </c>
      <c r="J90" s="63" t="s">
        <v>21</v>
      </c>
      <c r="K90" s="61" t="s">
        <v>50</v>
      </c>
      <c r="L90" s="63" t="s">
        <v>22</v>
      </c>
      <c r="M90" s="61" t="s">
        <v>50</v>
      </c>
      <c r="N90" s="61" t="s">
        <v>1436</v>
      </c>
      <c r="O90" s="60" t="s">
        <v>1456</v>
      </c>
      <c r="P90" s="59"/>
      <c r="Q90" s="64" t="s">
        <v>1448</v>
      </c>
    </row>
    <row r="91" ht="22.5" customHeight="1">
      <c r="A91" s="67"/>
      <c r="B91" s="129" t="s">
        <v>1457</v>
      </c>
      <c r="C91" s="59">
        <f t="shared" si="1"/>
        <v>1</v>
      </c>
      <c r="D91" s="61" t="s">
        <v>34</v>
      </c>
      <c r="E91" s="61" t="s">
        <v>635</v>
      </c>
      <c r="F91" s="59" t="s">
        <v>18</v>
      </c>
      <c r="G91" s="61" t="s">
        <v>31</v>
      </c>
      <c r="H91" s="59" t="s">
        <v>20</v>
      </c>
      <c r="I91" s="61" t="s">
        <v>640</v>
      </c>
      <c r="J91" s="63" t="s">
        <v>21</v>
      </c>
      <c r="K91" s="61" t="s">
        <v>31</v>
      </c>
      <c r="L91" s="63" t="s">
        <v>22</v>
      </c>
      <c r="M91" s="61" t="s">
        <v>31</v>
      </c>
      <c r="N91" s="61" t="s">
        <v>1331</v>
      </c>
      <c r="O91" s="10" t="s">
        <v>1458</v>
      </c>
      <c r="P91" s="59"/>
      <c r="Q91" s="64" t="s">
        <v>1448</v>
      </c>
    </row>
    <row r="92" ht="22.5" customHeight="1">
      <c r="A92" s="81" t="s">
        <v>1459</v>
      </c>
      <c r="B92" s="130" t="s">
        <v>1460</v>
      </c>
      <c r="C92" s="59">
        <f t="shared" si="1"/>
        <v>1</v>
      </c>
      <c r="D92" s="61" t="s">
        <v>34</v>
      </c>
      <c r="E92" s="61" t="s">
        <v>35</v>
      </c>
      <c r="F92" s="59" t="s">
        <v>18</v>
      </c>
      <c r="G92" s="61" t="s">
        <v>19</v>
      </c>
      <c r="H92" s="59" t="s">
        <v>20</v>
      </c>
      <c r="I92" s="61" t="s">
        <v>19</v>
      </c>
      <c r="J92" s="63" t="s">
        <v>21</v>
      </c>
      <c r="K92" s="61" t="s">
        <v>31</v>
      </c>
      <c r="L92" s="63" t="s">
        <v>22</v>
      </c>
      <c r="M92" s="61" t="s">
        <v>640</v>
      </c>
      <c r="N92" s="61" t="s">
        <v>1331</v>
      </c>
      <c r="O92" s="64" t="s">
        <v>1461</v>
      </c>
      <c r="P92" s="59"/>
      <c r="Q92" s="64" t="s">
        <v>1448</v>
      </c>
    </row>
    <row r="93" ht="22.5" customHeight="1">
      <c r="A93" s="67"/>
      <c r="B93" s="64" t="s">
        <v>1462</v>
      </c>
      <c r="C93" s="59">
        <f t="shared" si="1"/>
        <v>0</v>
      </c>
      <c r="D93" s="61" t="s">
        <v>16</v>
      </c>
      <c r="E93" s="61" t="s">
        <v>49</v>
      </c>
      <c r="F93" s="59" t="s">
        <v>18</v>
      </c>
      <c r="G93" s="61" t="s">
        <v>50</v>
      </c>
      <c r="H93" s="59" t="s">
        <v>20</v>
      </c>
      <c r="I93" s="61" t="s">
        <v>50</v>
      </c>
      <c r="J93" s="63" t="s">
        <v>21</v>
      </c>
      <c r="K93" s="61" t="s">
        <v>50</v>
      </c>
      <c r="L93" s="63" t="s">
        <v>22</v>
      </c>
      <c r="M93" s="61" t="s">
        <v>50</v>
      </c>
      <c r="N93" s="62"/>
      <c r="O93" s="60" t="s">
        <v>1463</v>
      </c>
      <c r="P93" s="59"/>
      <c r="Q93" s="64" t="s">
        <v>1448</v>
      </c>
    </row>
    <row r="94" ht="22.5" customHeight="1">
      <c r="A94" s="67"/>
      <c r="B94" s="60" t="s">
        <v>1464</v>
      </c>
      <c r="C94" s="59">
        <f t="shared" si="1"/>
        <v>0</v>
      </c>
      <c r="D94" s="61" t="s">
        <v>34</v>
      </c>
      <c r="E94" s="61" t="s">
        <v>49</v>
      </c>
      <c r="F94" s="59" t="s">
        <v>18</v>
      </c>
      <c r="G94" s="61" t="s">
        <v>50</v>
      </c>
      <c r="H94" s="59" t="s">
        <v>20</v>
      </c>
      <c r="I94" s="61" t="s">
        <v>50</v>
      </c>
      <c r="J94" s="63" t="s">
        <v>21</v>
      </c>
      <c r="K94" s="61" t="s">
        <v>50</v>
      </c>
      <c r="L94" s="63" t="s">
        <v>22</v>
      </c>
      <c r="M94" s="61" t="s">
        <v>50</v>
      </c>
      <c r="N94" s="62"/>
      <c r="O94" s="60" t="s">
        <v>152</v>
      </c>
      <c r="P94" s="59"/>
      <c r="Q94" s="64" t="s">
        <v>1448</v>
      </c>
    </row>
    <row r="95" ht="22.5" customHeight="1">
      <c r="A95" s="67"/>
      <c r="B95" s="60" t="s">
        <v>1465</v>
      </c>
      <c r="C95" s="59">
        <f t="shared" si="1"/>
        <v>0</v>
      </c>
      <c r="D95" s="61" t="s">
        <v>34</v>
      </c>
      <c r="E95" s="61" t="s">
        <v>49</v>
      </c>
      <c r="F95" s="59" t="s">
        <v>18</v>
      </c>
      <c r="G95" s="61" t="s">
        <v>50</v>
      </c>
      <c r="H95" s="59" t="s">
        <v>20</v>
      </c>
      <c r="I95" s="61" t="s">
        <v>50</v>
      </c>
      <c r="J95" s="63" t="s">
        <v>21</v>
      </c>
      <c r="K95" s="61" t="s">
        <v>50</v>
      </c>
      <c r="L95" s="63" t="s">
        <v>22</v>
      </c>
      <c r="M95" s="61" t="s">
        <v>50</v>
      </c>
      <c r="N95" s="62"/>
      <c r="O95" s="60" t="s">
        <v>152</v>
      </c>
      <c r="P95" s="59"/>
      <c r="Q95" s="64" t="s">
        <v>1448</v>
      </c>
    </row>
    <row r="96" ht="22.5" customHeight="1">
      <c r="A96" s="67"/>
      <c r="B96" s="60" t="s">
        <v>1466</v>
      </c>
      <c r="C96" s="59">
        <f t="shared" si="1"/>
        <v>0</v>
      </c>
      <c r="D96" s="61" t="s">
        <v>16</v>
      </c>
      <c r="E96" s="61" t="s">
        <v>17</v>
      </c>
      <c r="F96" s="59" t="s">
        <v>18</v>
      </c>
      <c r="G96" s="61" t="s">
        <v>19</v>
      </c>
      <c r="H96" s="59" t="s">
        <v>20</v>
      </c>
      <c r="I96" s="61" t="s">
        <v>19</v>
      </c>
      <c r="J96" s="63" t="s">
        <v>21</v>
      </c>
      <c r="K96" s="61" t="s">
        <v>19</v>
      </c>
      <c r="L96" s="63" t="s">
        <v>22</v>
      </c>
      <c r="M96" s="61" t="s">
        <v>19</v>
      </c>
      <c r="N96" s="62"/>
      <c r="O96" s="60" t="s">
        <v>376</v>
      </c>
      <c r="P96" s="59"/>
      <c r="Q96" s="64" t="s">
        <v>1448</v>
      </c>
    </row>
    <row r="97" ht="22.5" customHeight="1">
      <c r="A97" s="67"/>
      <c r="B97" s="60" t="s">
        <v>1467</v>
      </c>
      <c r="C97" s="59">
        <f t="shared" si="1"/>
        <v>0</v>
      </c>
      <c r="D97" s="61" t="s">
        <v>16</v>
      </c>
      <c r="E97" s="61" t="s">
        <v>49</v>
      </c>
      <c r="F97" s="59" t="s">
        <v>18</v>
      </c>
      <c r="G97" s="61" t="s">
        <v>50</v>
      </c>
      <c r="H97" s="59" t="s">
        <v>20</v>
      </c>
      <c r="I97" s="61" t="s">
        <v>50</v>
      </c>
      <c r="J97" s="63" t="s">
        <v>21</v>
      </c>
      <c r="K97" s="61" t="s">
        <v>50</v>
      </c>
      <c r="L97" s="63" t="s">
        <v>22</v>
      </c>
      <c r="M97" s="61" t="s">
        <v>50</v>
      </c>
      <c r="N97" s="62"/>
      <c r="O97" s="60" t="s">
        <v>152</v>
      </c>
      <c r="P97" s="59"/>
      <c r="Q97" s="64" t="s">
        <v>1448</v>
      </c>
    </row>
    <row r="98" ht="22.5" customHeight="1">
      <c r="A98" s="67"/>
      <c r="B98" s="64" t="s">
        <v>1468</v>
      </c>
      <c r="C98" s="59">
        <f t="shared" si="1"/>
        <v>0</v>
      </c>
      <c r="D98" s="61" t="s">
        <v>34</v>
      </c>
      <c r="E98" s="61" t="s">
        <v>49</v>
      </c>
      <c r="F98" s="59" t="s">
        <v>18</v>
      </c>
      <c r="G98" s="61" t="s">
        <v>50</v>
      </c>
      <c r="H98" s="59" t="s">
        <v>20</v>
      </c>
      <c r="I98" s="61" t="s">
        <v>50</v>
      </c>
      <c r="J98" s="63" t="s">
        <v>21</v>
      </c>
      <c r="K98" s="61" t="s">
        <v>50</v>
      </c>
      <c r="L98" s="63" t="s">
        <v>22</v>
      </c>
      <c r="M98" s="61" t="s">
        <v>50</v>
      </c>
      <c r="N98" s="62"/>
      <c r="O98" s="60" t="s">
        <v>152</v>
      </c>
      <c r="P98" s="59"/>
      <c r="Q98" s="64" t="s">
        <v>1448</v>
      </c>
    </row>
    <row r="99" ht="22.5" customHeight="1">
      <c r="A99" s="67"/>
      <c r="B99" s="60" t="s">
        <v>1469</v>
      </c>
      <c r="C99" s="59">
        <f t="shared" si="1"/>
        <v>0</v>
      </c>
      <c r="D99" s="61" t="s">
        <v>34</v>
      </c>
      <c r="E99" s="61" t="s">
        <v>40</v>
      </c>
      <c r="F99" s="59" t="s">
        <v>18</v>
      </c>
      <c r="G99" s="61" t="s">
        <v>19</v>
      </c>
      <c r="H99" s="59" t="s">
        <v>20</v>
      </c>
      <c r="I99" s="61" t="s">
        <v>26</v>
      </c>
      <c r="J99" s="63" t="s">
        <v>21</v>
      </c>
      <c r="K99" s="61" t="s">
        <v>31</v>
      </c>
      <c r="L99" s="63" t="s">
        <v>22</v>
      </c>
      <c r="M99" s="61" t="s">
        <v>19</v>
      </c>
      <c r="N99" s="62"/>
      <c r="O99" s="60" t="s">
        <v>1470</v>
      </c>
      <c r="P99" s="59"/>
      <c r="Q99" s="64" t="s">
        <v>1448</v>
      </c>
    </row>
    <row r="100" ht="22.5" customHeight="1">
      <c r="A100" s="64" t="s">
        <v>1471</v>
      </c>
      <c r="B100" s="128" t="s">
        <v>1472</v>
      </c>
      <c r="C100" s="59">
        <f t="shared" si="1"/>
        <v>0</v>
      </c>
      <c r="D100" s="61" t="s">
        <v>16</v>
      </c>
      <c r="E100" s="61" t="s">
        <v>49</v>
      </c>
      <c r="F100" s="59" t="s">
        <v>18</v>
      </c>
      <c r="G100" s="61" t="s">
        <v>50</v>
      </c>
      <c r="H100" s="59" t="s">
        <v>20</v>
      </c>
      <c r="I100" s="61" t="s">
        <v>50</v>
      </c>
      <c r="J100" s="63" t="s">
        <v>21</v>
      </c>
      <c r="K100" s="61" t="s">
        <v>50</v>
      </c>
      <c r="L100" s="63" t="s">
        <v>22</v>
      </c>
      <c r="M100" s="61" t="s">
        <v>50</v>
      </c>
      <c r="N100" s="61" t="s">
        <v>1331</v>
      </c>
      <c r="O100" s="60" t="s">
        <v>1473</v>
      </c>
      <c r="P100" s="59"/>
      <c r="Q100" s="64" t="s">
        <v>1448</v>
      </c>
    </row>
    <row r="101" ht="22.5" customHeight="1">
      <c r="A101" s="67"/>
      <c r="B101" s="60" t="s">
        <v>1474</v>
      </c>
      <c r="C101" s="59">
        <f t="shared" si="1"/>
        <v>0</v>
      </c>
      <c r="D101" s="61" t="s">
        <v>16</v>
      </c>
      <c r="E101" s="61" t="s">
        <v>49</v>
      </c>
      <c r="F101" s="59" t="s">
        <v>18</v>
      </c>
      <c r="G101" s="61" t="s">
        <v>50</v>
      </c>
      <c r="H101" s="59" t="s">
        <v>20</v>
      </c>
      <c r="I101" s="61" t="s">
        <v>50</v>
      </c>
      <c r="J101" s="63" t="s">
        <v>21</v>
      </c>
      <c r="K101" s="61" t="s">
        <v>50</v>
      </c>
      <c r="L101" s="63" t="s">
        <v>22</v>
      </c>
      <c r="M101" s="61" t="s">
        <v>50</v>
      </c>
      <c r="N101" s="62"/>
      <c r="O101" s="60" t="s">
        <v>211</v>
      </c>
      <c r="P101" s="59"/>
      <c r="Q101" s="64" t="s">
        <v>1448</v>
      </c>
    </row>
    <row r="102" ht="22.5" customHeight="1">
      <c r="A102" s="67"/>
      <c r="B102" s="60" t="s">
        <v>1475</v>
      </c>
      <c r="C102" s="59">
        <f t="shared" si="1"/>
        <v>0</v>
      </c>
      <c r="D102" s="61" t="s">
        <v>16</v>
      </c>
      <c r="E102" s="61" t="s">
        <v>49</v>
      </c>
      <c r="F102" s="59" t="s">
        <v>18</v>
      </c>
      <c r="G102" s="61" t="s">
        <v>50</v>
      </c>
      <c r="H102" s="59" t="s">
        <v>20</v>
      </c>
      <c r="I102" s="61" t="s">
        <v>50</v>
      </c>
      <c r="J102" s="63" t="s">
        <v>21</v>
      </c>
      <c r="K102" s="61" t="s">
        <v>50</v>
      </c>
      <c r="L102" s="63" t="s">
        <v>22</v>
      </c>
      <c r="M102" s="61" t="s">
        <v>50</v>
      </c>
      <c r="N102" s="62"/>
      <c r="O102" s="60" t="s">
        <v>211</v>
      </c>
      <c r="P102" s="59"/>
      <c r="Q102" s="64" t="s">
        <v>1448</v>
      </c>
    </row>
    <row r="103" ht="22.5" customHeight="1">
      <c r="A103" s="59"/>
      <c r="B103" s="60" t="s">
        <v>1476</v>
      </c>
      <c r="C103" s="59">
        <f t="shared" si="1"/>
        <v>0</v>
      </c>
      <c r="D103" s="61" t="s">
        <v>34</v>
      </c>
      <c r="E103" s="61" t="s">
        <v>49</v>
      </c>
      <c r="F103" s="59" t="s">
        <v>18</v>
      </c>
      <c r="G103" s="61" t="s">
        <v>50</v>
      </c>
      <c r="H103" s="59" t="s">
        <v>20</v>
      </c>
      <c r="I103" s="61" t="s">
        <v>50</v>
      </c>
      <c r="J103" s="63" t="s">
        <v>21</v>
      </c>
      <c r="K103" s="61" t="s">
        <v>50</v>
      </c>
      <c r="L103" s="63" t="s">
        <v>22</v>
      </c>
      <c r="M103" s="61" t="s">
        <v>50</v>
      </c>
      <c r="N103" s="62"/>
      <c r="O103" s="60" t="s">
        <v>1477</v>
      </c>
      <c r="P103" s="59"/>
      <c r="Q103" s="64" t="s">
        <v>1448</v>
      </c>
    </row>
    <row r="104" ht="22.5" customHeight="1">
      <c r="A104" s="67"/>
      <c r="B104" s="64" t="s">
        <v>1478</v>
      </c>
      <c r="C104" s="59">
        <f t="shared" si="1"/>
        <v>0</v>
      </c>
      <c r="D104" s="61" t="s">
        <v>34</v>
      </c>
      <c r="E104" s="61" t="s">
        <v>49</v>
      </c>
      <c r="F104" s="59" t="s">
        <v>18</v>
      </c>
      <c r="G104" s="61" t="s">
        <v>50</v>
      </c>
      <c r="H104" s="59" t="s">
        <v>20</v>
      </c>
      <c r="I104" s="61" t="s">
        <v>50</v>
      </c>
      <c r="J104" s="63" t="s">
        <v>21</v>
      </c>
      <c r="K104" s="61" t="s">
        <v>50</v>
      </c>
      <c r="L104" s="63" t="s">
        <v>22</v>
      </c>
      <c r="M104" s="61" t="s">
        <v>50</v>
      </c>
      <c r="N104" s="62"/>
      <c r="O104" s="60" t="s">
        <v>1479</v>
      </c>
      <c r="P104" s="59"/>
      <c r="Q104" s="64" t="s">
        <v>1448</v>
      </c>
    </row>
    <row r="105" ht="22.5" customHeight="1">
      <c r="A105" s="67"/>
      <c r="B105" s="60" t="s">
        <v>1480</v>
      </c>
      <c r="C105" s="59">
        <f t="shared" si="1"/>
        <v>0</v>
      </c>
      <c r="D105" s="61" t="s">
        <v>16</v>
      </c>
      <c r="E105" s="61" t="s">
        <v>49</v>
      </c>
      <c r="F105" s="59" t="s">
        <v>18</v>
      </c>
      <c r="G105" s="61" t="s">
        <v>50</v>
      </c>
      <c r="H105" s="59" t="s">
        <v>20</v>
      </c>
      <c r="I105" s="61" t="s">
        <v>50</v>
      </c>
      <c r="J105" s="63" t="s">
        <v>21</v>
      </c>
      <c r="K105" s="61" t="s">
        <v>50</v>
      </c>
      <c r="L105" s="63" t="s">
        <v>22</v>
      </c>
      <c r="M105" s="61" t="s">
        <v>50</v>
      </c>
      <c r="N105" s="62"/>
      <c r="O105" s="60" t="s">
        <v>1481</v>
      </c>
      <c r="P105" s="59"/>
      <c r="Q105" s="64" t="s">
        <v>1448</v>
      </c>
    </row>
    <row r="106" ht="22.5" customHeight="1">
      <c r="A106" s="81" t="s">
        <v>1482</v>
      </c>
      <c r="B106" s="60" t="s">
        <v>1483</v>
      </c>
      <c r="C106" s="59">
        <f t="shared" si="1"/>
        <v>0</v>
      </c>
      <c r="D106" s="61" t="s">
        <v>16</v>
      </c>
      <c r="E106" s="61" t="s">
        <v>49</v>
      </c>
      <c r="F106" s="59" t="s">
        <v>18</v>
      </c>
      <c r="G106" s="61" t="s">
        <v>50</v>
      </c>
      <c r="H106" s="59" t="s">
        <v>20</v>
      </c>
      <c r="I106" s="61" t="s">
        <v>50</v>
      </c>
      <c r="J106" s="63" t="s">
        <v>21</v>
      </c>
      <c r="K106" s="61" t="s">
        <v>50</v>
      </c>
      <c r="L106" s="63" t="s">
        <v>22</v>
      </c>
      <c r="M106" s="61" t="s">
        <v>50</v>
      </c>
      <c r="N106" s="61" t="s">
        <v>1331</v>
      </c>
      <c r="O106" s="64" t="s">
        <v>1484</v>
      </c>
      <c r="P106" s="59"/>
      <c r="Q106" s="64" t="s">
        <v>1448</v>
      </c>
    </row>
    <row r="107" ht="22.5" customHeight="1">
      <c r="A107" s="67"/>
      <c r="B107" s="60" t="s">
        <v>1485</v>
      </c>
      <c r="C107" s="59">
        <f t="shared" si="1"/>
        <v>0</v>
      </c>
      <c r="D107" s="61" t="s">
        <v>16</v>
      </c>
      <c r="E107" s="61" t="s">
        <v>17</v>
      </c>
      <c r="F107" s="59" t="s">
        <v>18</v>
      </c>
      <c r="G107" s="61" t="s">
        <v>19</v>
      </c>
      <c r="H107" s="59" t="s">
        <v>20</v>
      </c>
      <c r="I107" s="61" t="s">
        <v>19</v>
      </c>
      <c r="J107" s="63" t="s">
        <v>21</v>
      </c>
      <c r="K107" s="61" t="s">
        <v>19</v>
      </c>
      <c r="L107" s="63" t="s">
        <v>22</v>
      </c>
      <c r="M107" s="61" t="s">
        <v>19</v>
      </c>
      <c r="N107" s="62"/>
      <c r="O107" s="60" t="s">
        <v>376</v>
      </c>
      <c r="P107" s="59"/>
      <c r="Q107" s="64" t="s">
        <v>1448</v>
      </c>
    </row>
    <row r="108" ht="22.5" customHeight="1">
      <c r="A108" s="67"/>
      <c r="B108" s="60" t="s">
        <v>1486</v>
      </c>
      <c r="C108" s="59">
        <f t="shared" si="1"/>
        <v>0</v>
      </c>
      <c r="D108" s="61" t="s">
        <v>16</v>
      </c>
      <c r="E108" s="61" t="s">
        <v>17</v>
      </c>
      <c r="F108" s="59" t="s">
        <v>18</v>
      </c>
      <c r="G108" s="61" t="s">
        <v>19</v>
      </c>
      <c r="H108" s="59" t="s">
        <v>20</v>
      </c>
      <c r="I108" s="61" t="s">
        <v>19</v>
      </c>
      <c r="J108" s="63" t="s">
        <v>21</v>
      </c>
      <c r="K108" s="61" t="s">
        <v>19</v>
      </c>
      <c r="L108" s="63" t="s">
        <v>22</v>
      </c>
      <c r="M108" s="61" t="s">
        <v>19</v>
      </c>
      <c r="N108" s="62"/>
      <c r="O108" s="60" t="s">
        <v>376</v>
      </c>
      <c r="P108" s="59"/>
      <c r="Q108" s="64" t="s">
        <v>1448</v>
      </c>
    </row>
    <row r="109" ht="22.5" customHeight="1">
      <c r="A109" s="59"/>
      <c r="B109" s="81" t="s">
        <v>1487</v>
      </c>
      <c r="C109" s="59">
        <f t="shared" si="1"/>
        <v>4</v>
      </c>
      <c r="D109" s="62"/>
      <c r="E109" s="61" t="s">
        <v>25</v>
      </c>
      <c r="F109" s="59" t="s">
        <v>18</v>
      </c>
      <c r="G109" s="61" t="s">
        <v>640</v>
      </c>
      <c r="H109" s="59" t="s">
        <v>20</v>
      </c>
      <c r="I109" s="61" t="s">
        <v>640</v>
      </c>
      <c r="J109" s="63" t="s">
        <v>21</v>
      </c>
      <c r="K109" s="61" t="s">
        <v>640</v>
      </c>
      <c r="L109" s="63" t="s">
        <v>22</v>
      </c>
      <c r="M109" s="61" t="s">
        <v>640</v>
      </c>
      <c r="N109" s="61" t="s">
        <v>1331</v>
      </c>
      <c r="O109" s="60" t="s">
        <v>1488</v>
      </c>
      <c r="P109" s="59"/>
      <c r="Q109" s="64" t="s">
        <v>1448</v>
      </c>
    </row>
    <row r="110" ht="22.5" customHeight="1">
      <c r="A110" s="67"/>
      <c r="B110" s="60" t="s">
        <v>1489</v>
      </c>
      <c r="C110" s="59">
        <f t="shared" si="1"/>
        <v>0</v>
      </c>
      <c r="D110" s="61" t="s">
        <v>16</v>
      </c>
      <c r="E110" s="61" t="s">
        <v>49</v>
      </c>
      <c r="F110" s="59" t="s">
        <v>18</v>
      </c>
      <c r="G110" s="61" t="s">
        <v>50</v>
      </c>
      <c r="H110" s="59" t="s">
        <v>20</v>
      </c>
      <c r="I110" s="61" t="s">
        <v>50</v>
      </c>
      <c r="J110" s="63" t="s">
        <v>21</v>
      </c>
      <c r="K110" s="61" t="s">
        <v>50</v>
      </c>
      <c r="L110" s="63" t="s">
        <v>22</v>
      </c>
      <c r="M110" s="61" t="s">
        <v>50</v>
      </c>
      <c r="N110" s="62"/>
      <c r="O110" s="60" t="s">
        <v>211</v>
      </c>
      <c r="P110" s="59"/>
      <c r="Q110" s="64" t="s">
        <v>1448</v>
      </c>
    </row>
    <row r="111" ht="22.5" customHeight="1">
      <c r="A111" s="59"/>
      <c r="B111" s="64" t="s">
        <v>1490</v>
      </c>
      <c r="C111" s="59">
        <f t="shared" si="1"/>
        <v>0</v>
      </c>
      <c r="D111" s="61" t="s">
        <v>34</v>
      </c>
      <c r="E111" s="61" t="s">
        <v>49</v>
      </c>
      <c r="F111" s="59" t="s">
        <v>18</v>
      </c>
      <c r="G111" s="61" t="s">
        <v>50</v>
      </c>
      <c r="H111" s="59" t="s">
        <v>20</v>
      </c>
      <c r="I111" s="61" t="s">
        <v>50</v>
      </c>
      <c r="J111" s="63" t="s">
        <v>21</v>
      </c>
      <c r="K111" s="61" t="s">
        <v>50</v>
      </c>
      <c r="L111" s="63" t="s">
        <v>22</v>
      </c>
      <c r="M111" s="61" t="s">
        <v>50</v>
      </c>
      <c r="N111" s="62"/>
      <c r="O111" s="60" t="s">
        <v>1491</v>
      </c>
      <c r="P111" s="59"/>
      <c r="Q111" s="64" t="s">
        <v>1448</v>
      </c>
    </row>
    <row r="112" ht="22.5" customHeight="1">
      <c r="A112" s="59"/>
      <c r="B112" s="60" t="s">
        <v>1492</v>
      </c>
      <c r="C112" s="60">
        <f t="shared" si="1"/>
        <v>0</v>
      </c>
      <c r="D112" s="61" t="s">
        <v>16</v>
      </c>
      <c r="E112" s="61" t="s">
        <v>17</v>
      </c>
      <c r="F112" s="59" t="s">
        <v>18</v>
      </c>
      <c r="G112" s="61" t="s">
        <v>19</v>
      </c>
      <c r="H112" s="59" t="s">
        <v>20</v>
      </c>
      <c r="I112" s="61" t="s">
        <v>19</v>
      </c>
      <c r="J112" s="63" t="s">
        <v>21</v>
      </c>
      <c r="K112" s="61" t="s">
        <v>19</v>
      </c>
      <c r="L112" s="63" t="s">
        <v>22</v>
      </c>
      <c r="M112" s="61" t="s">
        <v>19</v>
      </c>
      <c r="N112" s="62"/>
      <c r="O112" s="60" t="s">
        <v>376</v>
      </c>
      <c r="P112" s="59"/>
      <c r="Q112" s="64" t="s">
        <v>1448</v>
      </c>
    </row>
    <row r="113" ht="22.5" customHeight="1">
      <c r="A113" s="59"/>
      <c r="B113" s="60" t="s">
        <v>1493</v>
      </c>
      <c r="C113" s="59">
        <f t="shared" si="1"/>
        <v>0</v>
      </c>
      <c r="D113" s="62"/>
      <c r="E113" s="61" t="s">
        <v>49</v>
      </c>
      <c r="F113" s="59" t="s">
        <v>18</v>
      </c>
      <c r="G113" s="61" t="s">
        <v>50</v>
      </c>
      <c r="H113" s="59" t="s">
        <v>20</v>
      </c>
      <c r="I113" s="61" t="s">
        <v>50</v>
      </c>
      <c r="J113" s="63" t="s">
        <v>21</v>
      </c>
      <c r="K113" s="61" t="s">
        <v>50</v>
      </c>
      <c r="L113" s="63" t="s">
        <v>22</v>
      </c>
      <c r="M113" s="61" t="s">
        <v>50</v>
      </c>
      <c r="N113" s="62"/>
      <c r="O113" s="60" t="s">
        <v>1494</v>
      </c>
      <c r="P113" s="59"/>
      <c r="Q113" s="64" t="s">
        <v>1448</v>
      </c>
    </row>
    <row r="114" ht="22.5" customHeight="1">
      <c r="A114" s="59"/>
      <c r="B114" s="60" t="s">
        <v>1495</v>
      </c>
      <c r="C114" s="59">
        <f t="shared" si="1"/>
        <v>0</v>
      </c>
      <c r="D114" s="61" t="s">
        <v>16</v>
      </c>
      <c r="E114" s="61" t="s">
        <v>17</v>
      </c>
      <c r="F114" s="59" t="s">
        <v>18</v>
      </c>
      <c r="G114" s="61" t="s">
        <v>19</v>
      </c>
      <c r="H114" s="59" t="s">
        <v>20</v>
      </c>
      <c r="I114" s="61" t="s">
        <v>19</v>
      </c>
      <c r="J114" s="63" t="s">
        <v>21</v>
      </c>
      <c r="K114" s="61" t="s">
        <v>19</v>
      </c>
      <c r="L114" s="63" t="s">
        <v>22</v>
      </c>
      <c r="M114" s="61" t="s">
        <v>19</v>
      </c>
      <c r="N114" s="62"/>
      <c r="O114" s="60" t="s">
        <v>376</v>
      </c>
      <c r="P114" s="59"/>
      <c r="Q114" s="64" t="s">
        <v>1448</v>
      </c>
    </row>
    <row r="115" ht="22.5" customHeight="1">
      <c r="A115" s="59"/>
      <c r="B115" s="60" t="s">
        <v>1496</v>
      </c>
      <c r="C115" s="59">
        <f t="shared" si="1"/>
        <v>0</v>
      </c>
      <c r="D115" s="61" t="s">
        <v>16</v>
      </c>
      <c r="E115" s="61" t="s">
        <v>17</v>
      </c>
      <c r="F115" s="59" t="s">
        <v>18</v>
      </c>
      <c r="G115" s="61" t="s">
        <v>19</v>
      </c>
      <c r="H115" s="59" t="s">
        <v>20</v>
      </c>
      <c r="I115" s="61" t="s">
        <v>19</v>
      </c>
      <c r="J115" s="63" t="s">
        <v>21</v>
      </c>
      <c r="K115" s="61" t="s">
        <v>19</v>
      </c>
      <c r="L115" s="63" t="s">
        <v>22</v>
      </c>
      <c r="M115" s="61" t="s">
        <v>19</v>
      </c>
      <c r="N115" s="62"/>
      <c r="O115" s="60" t="s">
        <v>376</v>
      </c>
      <c r="P115" s="59"/>
      <c r="Q115" s="64" t="s">
        <v>1448</v>
      </c>
    </row>
    <row r="116" ht="22.5" customHeight="1">
      <c r="A116" s="59"/>
      <c r="B116" s="60" t="s">
        <v>1497</v>
      </c>
      <c r="C116" s="59">
        <f t="shared" si="1"/>
        <v>0</v>
      </c>
      <c r="D116" s="61" t="s">
        <v>34</v>
      </c>
      <c r="E116" s="61" t="s">
        <v>49</v>
      </c>
      <c r="F116" s="59" t="s">
        <v>18</v>
      </c>
      <c r="G116" s="61" t="s">
        <v>50</v>
      </c>
      <c r="H116" s="59" t="s">
        <v>20</v>
      </c>
      <c r="I116" s="61" t="s">
        <v>50</v>
      </c>
      <c r="J116" s="63" t="s">
        <v>21</v>
      </c>
      <c r="K116" s="61" t="s">
        <v>50</v>
      </c>
      <c r="L116" s="63" t="s">
        <v>22</v>
      </c>
      <c r="M116" s="61" t="s">
        <v>50</v>
      </c>
      <c r="N116" s="62"/>
      <c r="O116" s="60" t="s">
        <v>1498</v>
      </c>
      <c r="P116" s="59"/>
      <c r="Q116" s="64" t="s">
        <v>1448</v>
      </c>
    </row>
    <row r="117" ht="22.5" customHeight="1">
      <c r="A117" s="59"/>
      <c r="B117" s="60" t="s">
        <v>1499</v>
      </c>
      <c r="C117" s="59">
        <f t="shared" si="1"/>
        <v>0</v>
      </c>
      <c r="D117" s="61" t="s">
        <v>16</v>
      </c>
      <c r="E117" s="61" t="s">
        <v>40</v>
      </c>
      <c r="F117" s="59" t="s">
        <v>18</v>
      </c>
      <c r="G117" s="61" t="s">
        <v>31</v>
      </c>
      <c r="H117" s="59" t="s">
        <v>20</v>
      </c>
      <c r="I117" s="61" t="s">
        <v>31</v>
      </c>
      <c r="J117" s="63" t="s">
        <v>21</v>
      </c>
      <c r="K117" s="61" t="s">
        <v>31</v>
      </c>
      <c r="L117" s="63" t="s">
        <v>22</v>
      </c>
      <c r="M117" s="61" t="s">
        <v>19</v>
      </c>
      <c r="N117" s="62"/>
      <c r="O117" s="64" t="s">
        <v>1500</v>
      </c>
      <c r="P117" s="59"/>
      <c r="Q117" s="64" t="s">
        <v>1448</v>
      </c>
    </row>
    <row r="118" ht="22.5" customHeight="1">
      <c r="A118" s="59"/>
      <c r="B118" s="64" t="s">
        <v>1501</v>
      </c>
      <c r="C118" s="59">
        <f t="shared" si="1"/>
        <v>0</v>
      </c>
      <c r="D118" s="61" t="s">
        <v>16</v>
      </c>
      <c r="E118" s="61" t="s">
        <v>49</v>
      </c>
      <c r="F118" s="59" t="s">
        <v>18</v>
      </c>
      <c r="G118" s="61" t="s">
        <v>50</v>
      </c>
      <c r="H118" s="59" t="s">
        <v>20</v>
      </c>
      <c r="I118" s="61" t="s">
        <v>50</v>
      </c>
      <c r="J118" s="63" t="s">
        <v>21</v>
      </c>
      <c r="K118" s="61" t="s">
        <v>50</v>
      </c>
      <c r="L118" s="63" t="s">
        <v>22</v>
      </c>
      <c r="M118" s="61" t="s">
        <v>50</v>
      </c>
      <c r="N118" s="62"/>
      <c r="O118" s="60" t="s">
        <v>1408</v>
      </c>
      <c r="P118" s="59"/>
      <c r="Q118" s="64" t="s">
        <v>1502</v>
      </c>
    </row>
    <row r="119" ht="22.5" customHeight="1">
      <c r="A119" s="59"/>
      <c r="B119" s="60" t="s">
        <v>1503</v>
      </c>
      <c r="C119" s="59">
        <f t="shared" si="1"/>
        <v>0</v>
      </c>
      <c r="D119" s="61" t="s">
        <v>34</v>
      </c>
      <c r="E119" s="61" t="s">
        <v>49</v>
      </c>
      <c r="F119" s="59" t="s">
        <v>18</v>
      </c>
      <c r="G119" s="61" t="s">
        <v>50</v>
      </c>
      <c r="H119" s="59" t="s">
        <v>20</v>
      </c>
      <c r="I119" s="61" t="s">
        <v>50</v>
      </c>
      <c r="J119" s="63" t="s">
        <v>21</v>
      </c>
      <c r="K119" s="61" t="s">
        <v>50</v>
      </c>
      <c r="L119" s="63" t="s">
        <v>22</v>
      </c>
      <c r="M119" s="61" t="s">
        <v>50</v>
      </c>
      <c r="N119" s="62"/>
      <c r="O119" s="60" t="s">
        <v>1408</v>
      </c>
      <c r="P119" s="59"/>
      <c r="Q119" s="64" t="s">
        <v>1502</v>
      </c>
    </row>
    <row r="120" ht="22.5" customHeight="1">
      <c r="A120" s="59"/>
      <c r="B120" s="60" t="s">
        <v>1504</v>
      </c>
      <c r="C120" s="59">
        <f t="shared" si="1"/>
        <v>3</v>
      </c>
      <c r="D120" s="61" t="s">
        <v>34</v>
      </c>
      <c r="E120" s="61" t="s">
        <v>25</v>
      </c>
      <c r="F120" s="59" t="s">
        <v>18</v>
      </c>
      <c r="G120" s="61" t="s">
        <v>31</v>
      </c>
      <c r="H120" s="59" t="s">
        <v>20</v>
      </c>
      <c r="I120" s="61" t="s">
        <v>640</v>
      </c>
      <c r="J120" s="63" t="s">
        <v>21</v>
      </c>
      <c r="K120" s="61" t="s">
        <v>640</v>
      </c>
      <c r="L120" s="63" t="s">
        <v>22</v>
      </c>
      <c r="M120" s="61" t="s">
        <v>640</v>
      </c>
      <c r="N120" s="62"/>
      <c r="O120" s="60" t="s">
        <v>1505</v>
      </c>
      <c r="P120" s="59"/>
      <c r="Q120" s="64" t="s">
        <v>1502</v>
      </c>
    </row>
    <row r="121" ht="22.5" customHeight="1">
      <c r="A121" s="59"/>
      <c r="B121" s="60" t="s">
        <v>1506</v>
      </c>
      <c r="C121" s="59">
        <f t="shared" si="1"/>
        <v>0</v>
      </c>
      <c r="D121" s="61" t="s">
        <v>34</v>
      </c>
      <c r="E121" s="61" t="s">
        <v>49</v>
      </c>
      <c r="F121" s="59" t="s">
        <v>18</v>
      </c>
      <c r="G121" s="61" t="s">
        <v>50</v>
      </c>
      <c r="H121" s="59" t="s">
        <v>20</v>
      </c>
      <c r="I121" s="61" t="s">
        <v>50</v>
      </c>
      <c r="J121" s="63" t="s">
        <v>21</v>
      </c>
      <c r="K121" s="61" t="s">
        <v>50</v>
      </c>
      <c r="L121" s="63" t="s">
        <v>22</v>
      </c>
      <c r="M121" s="61" t="s">
        <v>50</v>
      </c>
      <c r="N121" s="62"/>
      <c r="O121" s="60" t="s">
        <v>211</v>
      </c>
      <c r="P121" s="59"/>
      <c r="Q121" s="64" t="s">
        <v>1502</v>
      </c>
    </row>
    <row r="122" ht="22.5" customHeight="1">
      <c r="A122" s="67"/>
      <c r="B122" s="60" t="s">
        <v>1507</v>
      </c>
      <c r="C122" s="59">
        <f t="shared" si="1"/>
        <v>0</v>
      </c>
      <c r="D122" s="61" t="s">
        <v>16</v>
      </c>
      <c r="E122" s="61" t="s">
        <v>40</v>
      </c>
      <c r="F122" s="59" t="s">
        <v>18</v>
      </c>
      <c r="G122" s="61" t="s">
        <v>19</v>
      </c>
      <c r="H122" s="59" t="s">
        <v>20</v>
      </c>
      <c r="I122" s="61" t="s">
        <v>19</v>
      </c>
      <c r="J122" s="63" t="s">
        <v>21</v>
      </c>
      <c r="K122" s="61" t="s">
        <v>19</v>
      </c>
      <c r="L122" s="63" t="s">
        <v>22</v>
      </c>
      <c r="M122" s="61" t="s">
        <v>19</v>
      </c>
      <c r="N122" s="62"/>
      <c r="O122" s="60" t="s">
        <v>1508</v>
      </c>
      <c r="P122" s="59"/>
      <c r="Q122" s="64" t="s">
        <v>1502</v>
      </c>
    </row>
    <row r="123" ht="22.5" customHeight="1">
      <c r="A123" s="59"/>
      <c r="B123" s="60" t="s">
        <v>1509</v>
      </c>
      <c r="C123" s="59">
        <f t="shared" si="1"/>
        <v>0</v>
      </c>
      <c r="D123" s="61" t="s">
        <v>16</v>
      </c>
      <c r="E123" s="61" t="s">
        <v>17</v>
      </c>
      <c r="F123" s="59" t="s">
        <v>18</v>
      </c>
      <c r="G123" s="61" t="s">
        <v>19</v>
      </c>
      <c r="H123" s="59" t="s">
        <v>20</v>
      </c>
      <c r="I123" s="61" t="s">
        <v>19</v>
      </c>
      <c r="J123" s="63" t="s">
        <v>21</v>
      </c>
      <c r="K123" s="61" t="s">
        <v>19</v>
      </c>
      <c r="L123" s="63" t="s">
        <v>22</v>
      </c>
      <c r="M123" s="61" t="s">
        <v>19</v>
      </c>
      <c r="N123" s="62"/>
      <c r="O123" s="60" t="s">
        <v>376</v>
      </c>
      <c r="P123" s="59"/>
      <c r="Q123" s="64" t="s">
        <v>1502</v>
      </c>
    </row>
    <row r="124" ht="22.5" customHeight="1">
      <c r="A124" s="59"/>
      <c r="B124" s="60" t="s">
        <v>1510</v>
      </c>
      <c r="C124" s="59">
        <f t="shared" si="1"/>
        <v>0</v>
      </c>
      <c r="D124" s="61" t="s">
        <v>16</v>
      </c>
      <c r="E124" s="61" t="s">
        <v>49</v>
      </c>
      <c r="F124" s="59" t="s">
        <v>18</v>
      </c>
      <c r="G124" s="61" t="s">
        <v>50</v>
      </c>
      <c r="H124" s="59" t="s">
        <v>20</v>
      </c>
      <c r="I124" s="61" t="s">
        <v>50</v>
      </c>
      <c r="J124" s="63" t="s">
        <v>21</v>
      </c>
      <c r="K124" s="61" t="s">
        <v>50</v>
      </c>
      <c r="L124" s="63" t="s">
        <v>22</v>
      </c>
      <c r="M124" s="61" t="s">
        <v>50</v>
      </c>
      <c r="N124" s="62"/>
      <c r="O124" s="60" t="s">
        <v>1511</v>
      </c>
      <c r="P124" s="59"/>
      <c r="Q124" s="64" t="s">
        <v>1502</v>
      </c>
    </row>
    <row r="125" ht="22.5" customHeight="1">
      <c r="A125" s="59"/>
      <c r="B125" s="60" t="s">
        <v>1512</v>
      </c>
      <c r="C125" s="59">
        <f t="shared" si="1"/>
        <v>0</v>
      </c>
      <c r="D125" s="61" t="s">
        <v>34</v>
      </c>
      <c r="E125" s="61" t="s">
        <v>49</v>
      </c>
      <c r="F125" s="59" t="s">
        <v>18</v>
      </c>
      <c r="G125" s="61" t="s">
        <v>50</v>
      </c>
      <c r="H125" s="59" t="s">
        <v>20</v>
      </c>
      <c r="I125" s="61" t="s">
        <v>50</v>
      </c>
      <c r="J125" s="63" t="s">
        <v>21</v>
      </c>
      <c r="K125" s="61" t="s">
        <v>50</v>
      </c>
      <c r="L125" s="63" t="s">
        <v>22</v>
      </c>
      <c r="M125" s="61" t="s">
        <v>50</v>
      </c>
      <c r="N125" s="62"/>
      <c r="O125" s="60" t="s">
        <v>1418</v>
      </c>
      <c r="P125" s="59"/>
      <c r="Q125" s="64" t="s">
        <v>1502</v>
      </c>
    </row>
    <row r="126" ht="22.5" customHeight="1">
      <c r="A126" s="59"/>
      <c r="B126" s="64" t="s">
        <v>1513</v>
      </c>
      <c r="C126" s="59">
        <f t="shared" si="1"/>
        <v>0</v>
      </c>
      <c r="D126" s="61" t="s">
        <v>34</v>
      </c>
      <c r="E126" s="61" t="s">
        <v>49</v>
      </c>
      <c r="F126" s="59" t="s">
        <v>18</v>
      </c>
      <c r="G126" s="61" t="s">
        <v>50</v>
      </c>
      <c r="H126" s="59" t="s">
        <v>20</v>
      </c>
      <c r="I126" s="61" t="s">
        <v>50</v>
      </c>
      <c r="J126" s="63" t="s">
        <v>21</v>
      </c>
      <c r="K126" s="61" t="s">
        <v>50</v>
      </c>
      <c r="L126" s="63" t="s">
        <v>22</v>
      </c>
      <c r="M126" s="61" t="s">
        <v>50</v>
      </c>
      <c r="N126" s="62"/>
      <c r="O126" s="60" t="s">
        <v>1514</v>
      </c>
      <c r="P126" s="59"/>
      <c r="Q126" s="64" t="s">
        <v>1502</v>
      </c>
    </row>
    <row r="127" ht="22.5" customHeight="1">
      <c r="A127" s="60" t="s">
        <v>1515</v>
      </c>
      <c r="B127" s="60" t="s">
        <v>1516</v>
      </c>
      <c r="C127" s="59">
        <f t="shared" si="1"/>
        <v>1</v>
      </c>
      <c r="D127" s="61" t="s">
        <v>34</v>
      </c>
      <c r="E127" s="61" t="s">
        <v>635</v>
      </c>
      <c r="F127" s="59" t="s">
        <v>18</v>
      </c>
      <c r="G127" s="61" t="s">
        <v>31</v>
      </c>
      <c r="H127" s="59" t="s">
        <v>20</v>
      </c>
      <c r="I127" s="61" t="s">
        <v>31</v>
      </c>
      <c r="J127" s="63" t="s">
        <v>21</v>
      </c>
      <c r="K127" s="61" t="s">
        <v>640</v>
      </c>
      <c r="L127" s="63" t="s">
        <v>22</v>
      </c>
      <c r="M127" s="61"/>
      <c r="N127" s="62"/>
      <c r="O127" s="131" t="s">
        <v>1517</v>
      </c>
      <c r="P127" s="59"/>
      <c r="Q127" s="64" t="s">
        <v>1502</v>
      </c>
    </row>
    <row r="128" ht="22.5" customHeight="1">
      <c r="A128" s="59"/>
      <c r="B128" s="60" t="s">
        <v>1518</v>
      </c>
      <c r="C128" s="59">
        <f t="shared" si="1"/>
        <v>0</v>
      </c>
      <c r="D128" s="61" t="s">
        <v>34</v>
      </c>
      <c r="E128" s="61" t="s">
        <v>49</v>
      </c>
      <c r="F128" s="59" t="s">
        <v>18</v>
      </c>
      <c r="G128" s="61" t="s">
        <v>50</v>
      </c>
      <c r="H128" s="59" t="s">
        <v>20</v>
      </c>
      <c r="I128" s="61" t="s">
        <v>50</v>
      </c>
      <c r="J128" s="63" t="s">
        <v>21</v>
      </c>
      <c r="K128" s="61" t="s">
        <v>50</v>
      </c>
      <c r="L128" s="63" t="s">
        <v>22</v>
      </c>
      <c r="M128" s="61" t="s">
        <v>50</v>
      </c>
      <c r="N128" s="62"/>
      <c r="O128" s="60" t="s">
        <v>1320</v>
      </c>
      <c r="P128" s="59"/>
      <c r="Q128" s="64" t="s">
        <v>1502</v>
      </c>
    </row>
    <row r="129" ht="22.5" customHeight="1">
      <c r="A129" s="59"/>
      <c r="B129" s="60" t="s">
        <v>1519</v>
      </c>
      <c r="C129" s="59">
        <f t="shared" si="1"/>
        <v>0</v>
      </c>
      <c r="D129" s="61" t="s">
        <v>34</v>
      </c>
      <c r="E129" s="61" t="s">
        <v>40</v>
      </c>
      <c r="F129" s="59" t="s">
        <v>18</v>
      </c>
      <c r="G129" s="61" t="s">
        <v>19</v>
      </c>
      <c r="H129" s="59" t="s">
        <v>20</v>
      </c>
      <c r="I129" s="61" t="s">
        <v>19</v>
      </c>
      <c r="J129" s="63" t="s">
        <v>21</v>
      </c>
      <c r="K129" s="61" t="s">
        <v>19</v>
      </c>
      <c r="L129" s="63" t="s">
        <v>22</v>
      </c>
      <c r="M129" s="61" t="s">
        <v>19</v>
      </c>
      <c r="N129" s="62"/>
      <c r="O129" s="60" t="s">
        <v>1520</v>
      </c>
      <c r="P129" s="59"/>
      <c r="Q129" s="64" t="s">
        <v>1502</v>
      </c>
    </row>
    <row r="130" ht="22.5" customHeight="1">
      <c r="A130" s="59"/>
      <c r="B130" s="60" t="s">
        <v>1521</v>
      </c>
      <c r="C130" s="59">
        <f t="shared" si="1"/>
        <v>0</v>
      </c>
      <c r="D130" s="61" t="s">
        <v>16</v>
      </c>
      <c r="E130" s="61" t="s">
        <v>17</v>
      </c>
      <c r="F130" s="59" t="s">
        <v>18</v>
      </c>
      <c r="G130" s="61" t="s">
        <v>19</v>
      </c>
      <c r="H130" s="59" t="s">
        <v>20</v>
      </c>
      <c r="I130" s="61" t="s">
        <v>19</v>
      </c>
      <c r="J130" s="63" t="s">
        <v>21</v>
      </c>
      <c r="K130" s="61" t="s">
        <v>19</v>
      </c>
      <c r="L130" s="63" t="s">
        <v>22</v>
      </c>
      <c r="M130" s="61" t="s">
        <v>19</v>
      </c>
      <c r="N130" s="62"/>
      <c r="O130" s="60" t="s">
        <v>376</v>
      </c>
      <c r="P130" s="59"/>
      <c r="Q130" s="64" t="s">
        <v>1502</v>
      </c>
    </row>
    <row r="131" ht="22.5" customHeight="1">
      <c r="A131" s="59"/>
      <c r="B131" s="64" t="s">
        <v>1522</v>
      </c>
      <c r="C131" s="59">
        <f t="shared" si="1"/>
        <v>0</v>
      </c>
      <c r="D131" s="61" t="s">
        <v>34</v>
      </c>
      <c r="E131" s="61" t="s">
        <v>49</v>
      </c>
      <c r="F131" s="59" t="s">
        <v>18</v>
      </c>
      <c r="G131" s="61" t="s">
        <v>50</v>
      </c>
      <c r="H131" s="59" t="s">
        <v>20</v>
      </c>
      <c r="I131" s="61" t="s">
        <v>50</v>
      </c>
      <c r="J131" s="63" t="s">
        <v>21</v>
      </c>
      <c r="K131" s="61" t="s">
        <v>50</v>
      </c>
      <c r="L131" s="63" t="s">
        <v>22</v>
      </c>
      <c r="M131" s="61" t="s">
        <v>50</v>
      </c>
      <c r="N131" s="62"/>
      <c r="O131" s="60" t="s">
        <v>1511</v>
      </c>
      <c r="P131" s="59"/>
      <c r="Q131" s="64" t="s">
        <v>1502</v>
      </c>
    </row>
    <row r="132" ht="22.5" customHeight="1">
      <c r="A132" s="59"/>
      <c r="B132" s="64" t="s">
        <v>1523</v>
      </c>
      <c r="C132" s="59">
        <f t="shared" si="1"/>
        <v>0</v>
      </c>
      <c r="D132" s="85" t="s">
        <v>16</v>
      </c>
      <c r="E132" s="85" t="s">
        <v>49</v>
      </c>
      <c r="F132" s="59" t="s">
        <v>18</v>
      </c>
      <c r="G132" s="85" t="s">
        <v>50</v>
      </c>
      <c r="H132" s="59" t="s">
        <v>20</v>
      </c>
      <c r="I132" s="85" t="s">
        <v>50</v>
      </c>
      <c r="J132" s="63" t="s">
        <v>21</v>
      </c>
      <c r="K132" s="85" t="s">
        <v>50</v>
      </c>
      <c r="L132" s="63" t="s">
        <v>22</v>
      </c>
      <c r="M132" s="85" t="s">
        <v>50</v>
      </c>
      <c r="N132" s="66"/>
      <c r="O132" s="64" t="s">
        <v>1524</v>
      </c>
      <c r="Q132" s="64" t="s">
        <v>1502</v>
      </c>
    </row>
    <row r="133" ht="22.5" customHeight="1">
      <c r="A133" s="59"/>
      <c r="B133" s="60" t="s">
        <v>1525</v>
      </c>
      <c r="C133" s="59">
        <f t="shared" si="1"/>
        <v>0</v>
      </c>
      <c r="D133" s="61" t="s">
        <v>16</v>
      </c>
      <c r="E133" s="61" t="s">
        <v>17</v>
      </c>
      <c r="F133" s="59" t="s">
        <v>18</v>
      </c>
      <c r="G133" s="61" t="s">
        <v>19</v>
      </c>
      <c r="H133" s="59" t="s">
        <v>20</v>
      </c>
      <c r="I133" s="61" t="s">
        <v>19</v>
      </c>
      <c r="J133" s="63" t="s">
        <v>21</v>
      </c>
      <c r="K133" s="61" t="s">
        <v>19</v>
      </c>
      <c r="L133" s="63" t="s">
        <v>22</v>
      </c>
      <c r="M133" s="61" t="s">
        <v>19</v>
      </c>
      <c r="N133" s="62"/>
      <c r="O133" s="60" t="s">
        <v>376</v>
      </c>
      <c r="P133" s="59"/>
      <c r="Q133" s="64" t="s">
        <v>1502</v>
      </c>
    </row>
    <row r="134" ht="22.5" customHeight="1">
      <c r="A134" s="59"/>
      <c r="B134" s="60" t="s">
        <v>1526</v>
      </c>
      <c r="C134" s="59">
        <f t="shared" si="1"/>
        <v>0</v>
      </c>
      <c r="D134" s="61" t="s">
        <v>16</v>
      </c>
      <c r="E134" s="61" t="s">
        <v>17</v>
      </c>
      <c r="F134" s="59" t="s">
        <v>18</v>
      </c>
      <c r="G134" s="61" t="s">
        <v>19</v>
      </c>
      <c r="H134" s="59" t="s">
        <v>20</v>
      </c>
      <c r="I134" s="61" t="s">
        <v>19</v>
      </c>
      <c r="J134" s="63" t="s">
        <v>21</v>
      </c>
      <c r="K134" s="61" t="s">
        <v>19</v>
      </c>
      <c r="L134" s="63" t="s">
        <v>22</v>
      </c>
      <c r="M134" s="61" t="s">
        <v>19</v>
      </c>
      <c r="N134" s="62"/>
      <c r="O134" s="60" t="s">
        <v>376</v>
      </c>
      <c r="P134" s="59"/>
      <c r="Q134" s="64" t="s">
        <v>1502</v>
      </c>
    </row>
    <row r="135" ht="22.5" customHeight="1">
      <c r="A135" s="59"/>
      <c r="B135" s="64" t="s">
        <v>1527</v>
      </c>
      <c r="C135" s="59">
        <f t="shared" si="1"/>
        <v>0</v>
      </c>
      <c r="D135" s="61" t="s">
        <v>34</v>
      </c>
      <c r="E135" s="61" t="s">
        <v>49</v>
      </c>
      <c r="F135" s="59" t="s">
        <v>18</v>
      </c>
      <c r="G135" s="61" t="s">
        <v>50</v>
      </c>
      <c r="H135" s="59" t="s">
        <v>20</v>
      </c>
      <c r="I135" s="61" t="s">
        <v>50</v>
      </c>
      <c r="J135" s="63" t="s">
        <v>21</v>
      </c>
      <c r="K135" s="61" t="s">
        <v>50</v>
      </c>
      <c r="L135" s="63" t="s">
        <v>22</v>
      </c>
      <c r="M135" s="61" t="s">
        <v>50</v>
      </c>
      <c r="N135" s="62"/>
      <c r="O135" s="60" t="s">
        <v>1528</v>
      </c>
      <c r="P135" s="59"/>
      <c r="Q135" s="64" t="s">
        <v>1502</v>
      </c>
    </row>
    <row r="136" ht="22.5" customHeight="1">
      <c r="A136" s="59"/>
      <c r="B136" s="60" t="s">
        <v>1529</v>
      </c>
      <c r="C136" s="59">
        <f t="shared" si="1"/>
        <v>0</v>
      </c>
      <c r="D136" s="61" t="s">
        <v>34</v>
      </c>
      <c r="E136" s="61" t="s">
        <v>40</v>
      </c>
      <c r="F136" s="59" t="s">
        <v>18</v>
      </c>
      <c r="G136" s="61" t="s">
        <v>19</v>
      </c>
      <c r="H136" s="59" t="s">
        <v>20</v>
      </c>
      <c r="I136" s="61" t="s">
        <v>31</v>
      </c>
      <c r="J136" s="63" t="s">
        <v>21</v>
      </c>
      <c r="K136" s="61" t="s">
        <v>19</v>
      </c>
      <c r="L136" s="63" t="s">
        <v>22</v>
      </c>
      <c r="M136" s="61" t="s">
        <v>19</v>
      </c>
      <c r="N136" s="62"/>
      <c r="O136" s="60" t="s">
        <v>1530</v>
      </c>
      <c r="P136" s="59"/>
      <c r="Q136" s="64" t="s">
        <v>1502</v>
      </c>
    </row>
    <row r="137" ht="22.5" customHeight="1">
      <c r="A137" s="59"/>
      <c r="B137" s="60" t="s">
        <v>1531</v>
      </c>
      <c r="C137" s="59">
        <f t="shared" si="1"/>
        <v>3</v>
      </c>
      <c r="D137" s="61" t="s">
        <v>34</v>
      </c>
      <c r="E137" s="61" t="s">
        <v>25</v>
      </c>
      <c r="F137" s="59" t="s">
        <v>18</v>
      </c>
      <c r="G137" s="61" t="s">
        <v>640</v>
      </c>
      <c r="H137" s="59" t="s">
        <v>20</v>
      </c>
      <c r="I137" s="61" t="s">
        <v>31</v>
      </c>
      <c r="J137" s="63" t="s">
        <v>21</v>
      </c>
      <c r="K137" s="61" t="s">
        <v>640</v>
      </c>
      <c r="L137" s="63" t="s">
        <v>22</v>
      </c>
      <c r="M137" s="61" t="s">
        <v>640</v>
      </c>
      <c r="N137" s="62"/>
      <c r="O137" s="60" t="s">
        <v>1532</v>
      </c>
      <c r="P137" s="59"/>
      <c r="Q137" s="64" t="s">
        <v>1502</v>
      </c>
    </row>
    <row r="138" ht="22.5" customHeight="1">
      <c r="A138" s="59"/>
      <c r="B138" s="60" t="s">
        <v>1533</v>
      </c>
      <c r="C138" s="59">
        <f t="shared" si="1"/>
        <v>0</v>
      </c>
      <c r="D138" s="61" t="s">
        <v>16</v>
      </c>
      <c r="E138" s="61" t="s">
        <v>49</v>
      </c>
      <c r="F138" s="59" t="s">
        <v>18</v>
      </c>
      <c r="G138" s="61" t="s">
        <v>50</v>
      </c>
      <c r="H138" s="59" t="s">
        <v>20</v>
      </c>
      <c r="I138" s="61" t="s">
        <v>50</v>
      </c>
      <c r="J138" s="63" t="s">
        <v>21</v>
      </c>
      <c r="K138" s="61" t="s">
        <v>50</v>
      </c>
      <c r="L138" s="63" t="s">
        <v>22</v>
      </c>
      <c r="M138" s="61" t="s">
        <v>50</v>
      </c>
      <c r="N138" s="62"/>
      <c r="O138" s="60" t="s">
        <v>211</v>
      </c>
      <c r="P138" s="59"/>
      <c r="Q138" s="64" t="s">
        <v>1502</v>
      </c>
    </row>
    <row r="139" ht="22.5" customHeight="1">
      <c r="A139" s="59"/>
      <c r="B139" s="60" t="s">
        <v>1534</v>
      </c>
      <c r="C139" s="59">
        <f t="shared" si="1"/>
        <v>0</v>
      </c>
      <c r="D139" s="61" t="s">
        <v>16</v>
      </c>
      <c r="E139" s="61" t="s">
        <v>17</v>
      </c>
      <c r="F139" s="59" t="s">
        <v>18</v>
      </c>
      <c r="G139" s="61" t="s">
        <v>19</v>
      </c>
      <c r="H139" s="59" t="s">
        <v>20</v>
      </c>
      <c r="I139" s="61" t="s">
        <v>19</v>
      </c>
      <c r="J139" s="63" t="s">
        <v>21</v>
      </c>
      <c r="K139" s="61" t="s">
        <v>19</v>
      </c>
      <c r="L139" s="63" t="s">
        <v>22</v>
      </c>
      <c r="M139" s="61" t="s">
        <v>19</v>
      </c>
      <c r="N139" s="62"/>
      <c r="O139" s="60" t="s">
        <v>376</v>
      </c>
      <c r="P139" s="59"/>
      <c r="Q139" s="64" t="s">
        <v>1502</v>
      </c>
    </row>
    <row r="140" ht="22.5" customHeight="1">
      <c r="A140" s="59"/>
      <c r="B140" s="60" t="s">
        <v>1535</v>
      </c>
      <c r="C140" s="59">
        <f t="shared" si="1"/>
        <v>3</v>
      </c>
      <c r="D140" s="61" t="s">
        <v>16</v>
      </c>
      <c r="E140" s="61" t="s">
        <v>25</v>
      </c>
      <c r="F140" s="59" t="s">
        <v>18</v>
      </c>
      <c r="G140" s="61" t="s">
        <v>640</v>
      </c>
      <c r="H140" s="59" t="s">
        <v>20</v>
      </c>
      <c r="I140" s="61" t="s">
        <v>19</v>
      </c>
      <c r="J140" s="63" t="s">
        <v>21</v>
      </c>
      <c r="K140" s="61" t="s">
        <v>640</v>
      </c>
      <c r="L140" s="63" t="s">
        <v>22</v>
      </c>
      <c r="M140" s="61" t="s">
        <v>640</v>
      </c>
      <c r="N140" s="61" t="s">
        <v>1331</v>
      </c>
      <c r="O140" s="60" t="s">
        <v>1536</v>
      </c>
      <c r="P140" s="59"/>
      <c r="Q140" s="64" t="s">
        <v>1502</v>
      </c>
    </row>
    <row r="141" ht="22.5" customHeight="1">
      <c r="A141" s="59"/>
      <c r="B141" s="60" t="s">
        <v>1537</v>
      </c>
      <c r="C141" s="59">
        <f t="shared" si="1"/>
        <v>0</v>
      </c>
      <c r="D141" s="61" t="s">
        <v>16</v>
      </c>
      <c r="E141" s="61" t="s">
        <v>40</v>
      </c>
      <c r="F141" s="59" t="s">
        <v>18</v>
      </c>
      <c r="G141" s="61" t="s">
        <v>31</v>
      </c>
      <c r="H141" s="59" t="s">
        <v>20</v>
      </c>
      <c r="I141" s="61" t="s">
        <v>31</v>
      </c>
      <c r="J141" s="63" t="s">
        <v>21</v>
      </c>
      <c r="K141" s="61" t="s">
        <v>19</v>
      </c>
      <c r="L141" s="63" t="s">
        <v>22</v>
      </c>
      <c r="M141" s="61" t="s">
        <v>19</v>
      </c>
      <c r="N141" s="62"/>
      <c r="O141" s="60" t="s">
        <v>1538</v>
      </c>
      <c r="P141" s="59"/>
      <c r="Q141" s="64" t="s">
        <v>1502</v>
      </c>
    </row>
    <row r="142" ht="22.5" customHeight="1">
      <c r="A142" s="59"/>
      <c r="B142" s="60" t="s">
        <v>1539</v>
      </c>
      <c r="C142" s="59">
        <f t="shared" si="1"/>
        <v>0</v>
      </c>
      <c r="D142" s="61" t="s">
        <v>16</v>
      </c>
      <c r="E142" s="61" t="s">
        <v>17</v>
      </c>
      <c r="F142" s="59" t="s">
        <v>18</v>
      </c>
      <c r="G142" s="61" t="s">
        <v>19</v>
      </c>
      <c r="H142" s="59" t="s">
        <v>20</v>
      </c>
      <c r="I142" s="61" t="s">
        <v>19</v>
      </c>
      <c r="J142" s="63" t="s">
        <v>21</v>
      </c>
      <c r="K142" s="61" t="s">
        <v>19</v>
      </c>
      <c r="L142" s="63" t="s">
        <v>22</v>
      </c>
      <c r="M142" s="61" t="s">
        <v>19</v>
      </c>
      <c r="N142" s="62"/>
      <c r="O142" s="60" t="s">
        <v>376</v>
      </c>
      <c r="P142" s="59"/>
      <c r="Q142" s="64" t="s">
        <v>1502</v>
      </c>
    </row>
    <row r="143" ht="22.5" customHeight="1">
      <c r="A143" s="67"/>
      <c r="B143" s="60" t="s">
        <v>1540</v>
      </c>
      <c r="C143" s="59">
        <f t="shared" si="1"/>
        <v>0</v>
      </c>
      <c r="D143" s="61" t="s">
        <v>16</v>
      </c>
      <c r="E143" s="61" t="s">
        <v>17</v>
      </c>
      <c r="F143" s="59" t="s">
        <v>18</v>
      </c>
      <c r="G143" s="61" t="s">
        <v>19</v>
      </c>
      <c r="H143" s="59" t="s">
        <v>20</v>
      </c>
      <c r="I143" s="61" t="s">
        <v>19</v>
      </c>
      <c r="J143" s="63" t="s">
        <v>21</v>
      </c>
      <c r="K143" s="61" t="s">
        <v>19</v>
      </c>
      <c r="L143" s="63" t="s">
        <v>22</v>
      </c>
      <c r="M143" s="61" t="s">
        <v>19</v>
      </c>
      <c r="N143" s="62"/>
      <c r="O143" s="60" t="s">
        <v>376</v>
      </c>
      <c r="P143" s="59"/>
      <c r="Q143" s="64" t="s">
        <v>1502</v>
      </c>
    </row>
    <row r="144" ht="22.5" customHeight="1">
      <c r="A144" s="59"/>
      <c r="B144" s="60" t="s">
        <v>1541</v>
      </c>
      <c r="C144" s="59">
        <f t="shared" si="1"/>
        <v>0</v>
      </c>
      <c r="D144" s="61" t="s">
        <v>16</v>
      </c>
      <c r="E144" s="61" t="s">
        <v>40</v>
      </c>
      <c r="F144" s="59" t="s">
        <v>18</v>
      </c>
      <c r="G144" s="61" t="s">
        <v>31</v>
      </c>
      <c r="H144" s="59" t="s">
        <v>20</v>
      </c>
      <c r="I144" s="61" t="s">
        <v>19</v>
      </c>
      <c r="J144" s="63" t="s">
        <v>21</v>
      </c>
      <c r="K144" s="61" t="s">
        <v>19</v>
      </c>
      <c r="L144" s="63" t="s">
        <v>22</v>
      </c>
      <c r="M144" s="61" t="s">
        <v>19</v>
      </c>
      <c r="N144" s="62"/>
      <c r="O144" s="60" t="s">
        <v>1542</v>
      </c>
      <c r="P144" s="59"/>
      <c r="Q144" s="64" t="s">
        <v>1502</v>
      </c>
    </row>
    <row r="145" ht="22.5" customHeight="1">
      <c r="A145" s="59"/>
      <c r="B145" s="60" t="s">
        <v>1543</v>
      </c>
      <c r="C145" s="59">
        <f t="shared" si="1"/>
        <v>0</v>
      </c>
      <c r="D145" s="61" t="s">
        <v>16</v>
      </c>
      <c r="E145" s="61" t="s">
        <v>49</v>
      </c>
      <c r="F145" s="59" t="s">
        <v>18</v>
      </c>
      <c r="G145" s="61" t="s">
        <v>50</v>
      </c>
      <c r="H145" s="59" t="s">
        <v>20</v>
      </c>
      <c r="I145" s="61" t="s">
        <v>50</v>
      </c>
      <c r="J145" s="63" t="s">
        <v>21</v>
      </c>
      <c r="K145" s="61" t="s">
        <v>50</v>
      </c>
      <c r="L145" s="63" t="s">
        <v>22</v>
      </c>
      <c r="M145" s="61" t="s">
        <v>50</v>
      </c>
      <c r="N145" s="62"/>
      <c r="O145" s="60" t="s">
        <v>211</v>
      </c>
      <c r="P145" s="59"/>
      <c r="Q145" s="64" t="s">
        <v>1502</v>
      </c>
    </row>
    <row r="146" ht="22.5" customHeight="1">
      <c r="A146" s="59"/>
      <c r="B146" s="60" t="s">
        <v>1544</v>
      </c>
      <c r="C146" s="59">
        <f t="shared" si="1"/>
        <v>0</v>
      </c>
      <c r="D146" s="61" t="s">
        <v>34</v>
      </c>
      <c r="E146" s="61" t="s">
        <v>49</v>
      </c>
      <c r="F146" s="59" t="s">
        <v>18</v>
      </c>
      <c r="G146" s="61" t="s">
        <v>50</v>
      </c>
      <c r="H146" s="59" t="s">
        <v>20</v>
      </c>
      <c r="I146" s="61" t="s">
        <v>50</v>
      </c>
      <c r="J146" s="63" t="s">
        <v>21</v>
      </c>
      <c r="K146" s="61" t="s">
        <v>50</v>
      </c>
      <c r="L146" s="63" t="s">
        <v>22</v>
      </c>
      <c r="M146" s="61" t="s">
        <v>50</v>
      </c>
      <c r="N146" s="62"/>
      <c r="O146" s="60" t="s">
        <v>211</v>
      </c>
      <c r="P146" s="59"/>
      <c r="Q146" s="64" t="s">
        <v>1502</v>
      </c>
    </row>
    <row r="147" ht="22.5" customHeight="1">
      <c r="A147" s="59"/>
      <c r="B147" s="60" t="s">
        <v>1545</v>
      </c>
      <c r="C147" s="59">
        <f t="shared" si="1"/>
        <v>0</v>
      </c>
      <c r="D147" s="61" t="s">
        <v>16</v>
      </c>
      <c r="E147" s="61" t="s">
        <v>49</v>
      </c>
      <c r="F147" s="59" t="s">
        <v>18</v>
      </c>
      <c r="G147" s="61" t="s">
        <v>50</v>
      </c>
      <c r="H147" s="59" t="s">
        <v>20</v>
      </c>
      <c r="I147" s="61" t="s">
        <v>50</v>
      </c>
      <c r="J147" s="63" t="s">
        <v>21</v>
      </c>
      <c r="K147" s="61" t="s">
        <v>50</v>
      </c>
      <c r="L147" s="63" t="s">
        <v>22</v>
      </c>
      <c r="M147" s="61" t="s">
        <v>50</v>
      </c>
      <c r="N147" s="62"/>
      <c r="O147" s="60" t="s">
        <v>1546</v>
      </c>
      <c r="P147" s="59"/>
      <c r="Q147" s="64" t="s">
        <v>1502</v>
      </c>
    </row>
    <row r="148" ht="22.5" customHeight="1">
      <c r="A148" s="67"/>
      <c r="B148" s="60" t="s">
        <v>1547</v>
      </c>
      <c r="C148" s="59">
        <f t="shared" si="1"/>
        <v>0</v>
      </c>
      <c r="D148" s="61" t="s">
        <v>16</v>
      </c>
      <c r="E148" s="61" t="s">
        <v>17</v>
      </c>
      <c r="F148" s="59" t="s">
        <v>18</v>
      </c>
      <c r="G148" s="61" t="s">
        <v>19</v>
      </c>
      <c r="H148" s="59" t="s">
        <v>20</v>
      </c>
      <c r="I148" s="61" t="s">
        <v>19</v>
      </c>
      <c r="J148" s="63" t="s">
        <v>21</v>
      </c>
      <c r="K148" s="61" t="s">
        <v>19</v>
      </c>
      <c r="L148" s="63" t="s">
        <v>22</v>
      </c>
      <c r="M148" s="61" t="s">
        <v>19</v>
      </c>
      <c r="N148" s="62"/>
      <c r="O148" s="60" t="s">
        <v>376</v>
      </c>
      <c r="P148" s="59"/>
      <c r="Q148" s="64" t="s">
        <v>1502</v>
      </c>
    </row>
    <row r="149" ht="22.5" customHeight="1">
      <c r="A149" s="59"/>
      <c r="B149" s="60" t="s">
        <v>1548</v>
      </c>
      <c r="C149" s="59">
        <f t="shared" si="1"/>
        <v>0</v>
      </c>
      <c r="D149" s="61" t="s">
        <v>16</v>
      </c>
      <c r="E149" s="61" t="s">
        <v>49</v>
      </c>
      <c r="F149" s="59" t="s">
        <v>18</v>
      </c>
      <c r="G149" s="61" t="s">
        <v>50</v>
      </c>
      <c r="H149" s="59" t="s">
        <v>20</v>
      </c>
      <c r="I149" s="61" t="s">
        <v>50</v>
      </c>
      <c r="J149" s="63" t="s">
        <v>21</v>
      </c>
      <c r="K149" s="61" t="s">
        <v>50</v>
      </c>
      <c r="L149" s="63" t="s">
        <v>22</v>
      </c>
      <c r="M149" s="61" t="s">
        <v>50</v>
      </c>
      <c r="N149" s="62"/>
      <c r="O149" s="60" t="s">
        <v>1549</v>
      </c>
      <c r="P149" s="59"/>
      <c r="Q149" s="64" t="s">
        <v>1502</v>
      </c>
    </row>
    <row r="150" ht="22.5" customHeight="1">
      <c r="A150" s="59"/>
      <c r="B150" s="60" t="s">
        <v>1550</v>
      </c>
      <c r="C150" s="59">
        <f t="shared" si="1"/>
        <v>0</v>
      </c>
      <c r="D150" s="61" t="s">
        <v>34</v>
      </c>
      <c r="E150" s="61" t="s">
        <v>49</v>
      </c>
      <c r="F150" s="59" t="s">
        <v>18</v>
      </c>
      <c r="G150" s="61" t="s">
        <v>50</v>
      </c>
      <c r="H150" s="59" t="s">
        <v>20</v>
      </c>
      <c r="I150" s="61" t="s">
        <v>50</v>
      </c>
      <c r="J150" s="63" t="s">
        <v>21</v>
      </c>
      <c r="K150" s="61" t="s">
        <v>50</v>
      </c>
      <c r="L150" s="63" t="s">
        <v>22</v>
      </c>
      <c r="M150" s="61" t="s">
        <v>50</v>
      </c>
      <c r="N150" s="62"/>
      <c r="O150" s="60" t="s">
        <v>1551</v>
      </c>
      <c r="P150" s="59"/>
      <c r="Q150" s="64" t="s">
        <v>1502</v>
      </c>
    </row>
    <row r="151" ht="22.5" customHeight="1">
      <c r="A151" s="59"/>
      <c r="B151" s="60" t="s">
        <v>1552</v>
      </c>
      <c r="C151" s="59">
        <f t="shared" si="1"/>
        <v>0</v>
      </c>
      <c r="D151" s="61" t="s">
        <v>16</v>
      </c>
      <c r="E151" s="61" t="s">
        <v>49</v>
      </c>
      <c r="F151" s="59" t="s">
        <v>18</v>
      </c>
      <c r="G151" s="61" t="s">
        <v>50</v>
      </c>
      <c r="H151" s="59" t="s">
        <v>20</v>
      </c>
      <c r="I151" s="61" t="s">
        <v>50</v>
      </c>
      <c r="J151" s="63" t="s">
        <v>21</v>
      </c>
      <c r="K151" s="61" t="s">
        <v>50</v>
      </c>
      <c r="L151" s="63" t="s">
        <v>22</v>
      </c>
      <c r="M151" s="61" t="s">
        <v>50</v>
      </c>
      <c r="N151" s="62"/>
      <c r="O151" s="60" t="s">
        <v>152</v>
      </c>
      <c r="P151" s="59"/>
      <c r="Q151" s="64" t="s">
        <v>1502</v>
      </c>
    </row>
    <row r="152" ht="22.5" customHeight="1">
      <c r="A152" s="59"/>
      <c r="B152" s="60" t="s">
        <v>1553</v>
      </c>
      <c r="C152" s="59">
        <f t="shared" si="1"/>
        <v>0</v>
      </c>
      <c r="D152" s="61" t="s">
        <v>16</v>
      </c>
      <c r="E152" s="61" t="s">
        <v>17</v>
      </c>
      <c r="F152" s="59" t="s">
        <v>18</v>
      </c>
      <c r="G152" s="61" t="s">
        <v>19</v>
      </c>
      <c r="H152" s="59" t="s">
        <v>20</v>
      </c>
      <c r="I152" s="61" t="s">
        <v>19</v>
      </c>
      <c r="J152" s="63" t="s">
        <v>21</v>
      </c>
      <c r="K152" s="61" t="s">
        <v>19</v>
      </c>
      <c r="L152" s="63" t="s">
        <v>22</v>
      </c>
      <c r="M152" s="61" t="s">
        <v>19</v>
      </c>
      <c r="N152" s="62"/>
      <c r="O152" s="60" t="s">
        <v>376</v>
      </c>
      <c r="P152" s="59"/>
      <c r="Q152" s="64" t="s">
        <v>1502</v>
      </c>
    </row>
    <row r="153" ht="22.5" customHeight="1">
      <c r="A153" s="59"/>
      <c r="B153" s="60" t="s">
        <v>1554</v>
      </c>
      <c r="C153" s="59">
        <f t="shared" si="1"/>
        <v>0</v>
      </c>
      <c r="D153" s="61" t="s">
        <v>16</v>
      </c>
      <c r="E153" s="61" t="s">
        <v>17</v>
      </c>
      <c r="F153" s="59" t="s">
        <v>18</v>
      </c>
      <c r="G153" s="61" t="s">
        <v>19</v>
      </c>
      <c r="H153" s="59" t="s">
        <v>20</v>
      </c>
      <c r="I153" s="61" t="s">
        <v>19</v>
      </c>
      <c r="J153" s="63" t="s">
        <v>21</v>
      </c>
      <c r="K153" s="61" t="s">
        <v>19</v>
      </c>
      <c r="L153" s="63" t="s">
        <v>22</v>
      </c>
      <c r="M153" s="61" t="s">
        <v>19</v>
      </c>
      <c r="N153" s="62"/>
      <c r="O153" s="60" t="s">
        <v>376</v>
      </c>
      <c r="P153" s="59"/>
      <c r="Q153" s="64" t="s">
        <v>1502</v>
      </c>
    </row>
    <row r="154" ht="22.5" customHeight="1">
      <c r="A154" s="59"/>
      <c r="B154" s="60" t="s">
        <v>1555</v>
      </c>
      <c r="C154" s="59">
        <f t="shared" si="1"/>
        <v>0</v>
      </c>
      <c r="D154" s="61" t="s">
        <v>34</v>
      </c>
      <c r="E154" s="61" t="s">
        <v>49</v>
      </c>
      <c r="F154" s="59" t="s">
        <v>18</v>
      </c>
      <c r="G154" s="61" t="s">
        <v>50</v>
      </c>
      <c r="H154" s="59" t="s">
        <v>20</v>
      </c>
      <c r="I154" s="61" t="s">
        <v>50</v>
      </c>
      <c r="J154" s="63" t="s">
        <v>21</v>
      </c>
      <c r="K154" s="61" t="s">
        <v>50</v>
      </c>
      <c r="L154" s="63" t="s">
        <v>22</v>
      </c>
      <c r="M154" s="61" t="s">
        <v>50</v>
      </c>
      <c r="N154" s="62"/>
      <c r="O154" s="60" t="s">
        <v>211</v>
      </c>
      <c r="P154" s="59"/>
      <c r="Q154" s="64" t="s">
        <v>1502</v>
      </c>
    </row>
    <row r="155" ht="22.5" customHeight="1">
      <c r="A155" s="59"/>
      <c r="B155" s="60" t="s">
        <v>1556</v>
      </c>
      <c r="C155" s="59">
        <f t="shared" si="1"/>
        <v>2</v>
      </c>
      <c r="D155" s="61" t="s">
        <v>34</v>
      </c>
      <c r="E155" s="61" t="s">
        <v>49</v>
      </c>
      <c r="F155" s="59" t="s">
        <v>18</v>
      </c>
      <c r="G155" s="61" t="s">
        <v>31</v>
      </c>
      <c r="H155" s="59" t="s">
        <v>20</v>
      </c>
      <c r="I155" s="61" t="s">
        <v>640</v>
      </c>
      <c r="J155" s="63" t="s">
        <v>21</v>
      </c>
      <c r="K155" s="61" t="s">
        <v>640</v>
      </c>
      <c r="L155" s="63" t="s">
        <v>22</v>
      </c>
      <c r="M155" s="61" t="s">
        <v>31</v>
      </c>
      <c r="N155" s="62"/>
      <c r="O155" s="80" t="s">
        <v>1557</v>
      </c>
      <c r="P155" s="59"/>
      <c r="Q155" s="64" t="s">
        <v>1502</v>
      </c>
    </row>
    <row r="156" ht="22.5" customHeight="1">
      <c r="A156" s="59"/>
      <c r="B156" s="60" t="s">
        <v>1558</v>
      </c>
      <c r="C156" s="59">
        <f t="shared" si="1"/>
        <v>0</v>
      </c>
      <c r="D156" s="61" t="s">
        <v>34</v>
      </c>
      <c r="E156" s="61" t="s">
        <v>49</v>
      </c>
      <c r="F156" s="59" t="s">
        <v>18</v>
      </c>
      <c r="G156" s="61" t="s">
        <v>50</v>
      </c>
      <c r="H156" s="59" t="s">
        <v>20</v>
      </c>
      <c r="I156" s="61" t="s">
        <v>50</v>
      </c>
      <c r="J156" s="63" t="s">
        <v>21</v>
      </c>
      <c r="K156" s="61" t="s">
        <v>50</v>
      </c>
      <c r="L156" s="63" t="s">
        <v>22</v>
      </c>
      <c r="M156" s="61" t="s">
        <v>50</v>
      </c>
      <c r="N156" s="62"/>
      <c r="O156" s="60" t="s">
        <v>211</v>
      </c>
      <c r="P156" s="59"/>
      <c r="Q156" s="64" t="s">
        <v>1502</v>
      </c>
    </row>
    <row r="157" ht="22.5" customHeight="1">
      <c r="A157" s="59"/>
      <c r="B157" s="60" t="s">
        <v>1559</v>
      </c>
      <c r="C157" s="59">
        <f t="shared" si="1"/>
        <v>2</v>
      </c>
      <c r="D157" s="61" t="s">
        <v>34</v>
      </c>
      <c r="E157" s="61" t="s">
        <v>30</v>
      </c>
      <c r="F157" s="59" t="s">
        <v>18</v>
      </c>
      <c r="G157" s="61" t="s">
        <v>640</v>
      </c>
      <c r="H157" s="59" t="s">
        <v>20</v>
      </c>
      <c r="I157" s="61" t="s">
        <v>31</v>
      </c>
      <c r="J157" s="63" t="s">
        <v>21</v>
      </c>
      <c r="K157" s="61" t="s">
        <v>640</v>
      </c>
      <c r="L157" s="63" t="s">
        <v>22</v>
      </c>
      <c r="M157" s="61" t="s">
        <v>31</v>
      </c>
      <c r="N157" s="62"/>
      <c r="O157" s="60" t="s">
        <v>1560</v>
      </c>
      <c r="P157" s="59"/>
      <c r="Q157" s="64" t="s">
        <v>1502</v>
      </c>
    </row>
    <row r="158" ht="22.5" customHeight="1">
      <c r="A158" s="59"/>
      <c r="B158" s="60" t="s">
        <v>1561</v>
      </c>
      <c r="C158" s="59">
        <f t="shared" si="1"/>
        <v>0</v>
      </c>
      <c r="D158" s="61" t="s">
        <v>16</v>
      </c>
      <c r="E158" s="61" t="s">
        <v>17</v>
      </c>
      <c r="F158" s="59" t="s">
        <v>18</v>
      </c>
      <c r="G158" s="61" t="s">
        <v>19</v>
      </c>
      <c r="H158" s="59" t="s">
        <v>20</v>
      </c>
      <c r="I158" s="61" t="s">
        <v>19</v>
      </c>
      <c r="J158" s="63" t="s">
        <v>21</v>
      </c>
      <c r="K158" s="61" t="s">
        <v>19</v>
      </c>
      <c r="L158" s="63" t="s">
        <v>22</v>
      </c>
      <c r="M158" s="61" t="s">
        <v>19</v>
      </c>
      <c r="N158" s="62"/>
      <c r="O158" s="60" t="s">
        <v>376</v>
      </c>
      <c r="P158" s="59"/>
      <c r="Q158" s="64" t="s">
        <v>1502</v>
      </c>
    </row>
    <row r="159" ht="22.5" customHeight="1">
      <c r="A159" s="59"/>
      <c r="B159" s="60" t="s">
        <v>1562</v>
      </c>
      <c r="C159" s="59">
        <f t="shared" si="1"/>
        <v>0</v>
      </c>
      <c r="D159" s="61" t="s">
        <v>16</v>
      </c>
      <c r="E159" s="61" t="s">
        <v>17</v>
      </c>
      <c r="F159" s="59" t="s">
        <v>18</v>
      </c>
      <c r="G159" s="61" t="s">
        <v>19</v>
      </c>
      <c r="H159" s="59" t="s">
        <v>20</v>
      </c>
      <c r="I159" s="61" t="s">
        <v>19</v>
      </c>
      <c r="J159" s="63" t="s">
        <v>21</v>
      </c>
      <c r="K159" s="61" t="s">
        <v>19</v>
      </c>
      <c r="L159" s="63" t="s">
        <v>22</v>
      </c>
      <c r="M159" s="61" t="s">
        <v>19</v>
      </c>
      <c r="N159" s="62"/>
      <c r="O159" s="60" t="s">
        <v>376</v>
      </c>
      <c r="P159" s="59"/>
      <c r="Q159" s="64" t="s">
        <v>1563</v>
      </c>
    </row>
    <row r="160" ht="22.5" customHeight="1">
      <c r="A160" s="59"/>
      <c r="B160" s="60" t="s">
        <v>1564</v>
      </c>
      <c r="C160" s="59">
        <f t="shared" si="1"/>
        <v>0</v>
      </c>
      <c r="D160" s="61" t="s">
        <v>16</v>
      </c>
      <c r="E160" s="61" t="s">
        <v>49</v>
      </c>
      <c r="F160" s="59" t="s">
        <v>18</v>
      </c>
      <c r="G160" s="61" t="s">
        <v>50</v>
      </c>
      <c r="H160" s="59" t="s">
        <v>20</v>
      </c>
      <c r="I160" s="61" t="s">
        <v>50</v>
      </c>
      <c r="J160" s="63" t="s">
        <v>21</v>
      </c>
      <c r="K160" s="61" t="s">
        <v>50</v>
      </c>
      <c r="L160" s="63" t="s">
        <v>22</v>
      </c>
      <c r="M160" s="61" t="s">
        <v>50</v>
      </c>
      <c r="N160" s="62"/>
      <c r="O160" s="60" t="s">
        <v>376</v>
      </c>
      <c r="P160" s="59"/>
      <c r="Q160" s="64" t="s">
        <v>1563</v>
      </c>
    </row>
    <row r="161" ht="22.5" customHeight="1">
      <c r="A161" s="59"/>
      <c r="B161" s="60" t="s">
        <v>1565</v>
      </c>
      <c r="C161" s="59">
        <f t="shared" si="1"/>
        <v>0</v>
      </c>
      <c r="D161" s="61" t="s">
        <v>34</v>
      </c>
      <c r="E161" s="61" t="s">
        <v>49</v>
      </c>
      <c r="F161" s="59" t="s">
        <v>18</v>
      </c>
      <c r="G161" s="61" t="s">
        <v>50</v>
      </c>
      <c r="H161" s="59" t="s">
        <v>20</v>
      </c>
      <c r="I161" s="61" t="s">
        <v>50</v>
      </c>
      <c r="J161" s="63" t="s">
        <v>21</v>
      </c>
      <c r="K161" s="61" t="s">
        <v>50</v>
      </c>
      <c r="L161" s="63" t="s">
        <v>22</v>
      </c>
      <c r="M161" s="61" t="s">
        <v>50</v>
      </c>
      <c r="N161" s="62"/>
      <c r="O161" s="60" t="s">
        <v>1566</v>
      </c>
      <c r="P161" s="59"/>
      <c r="Q161" s="64" t="s">
        <v>1563</v>
      </c>
    </row>
    <row r="162" ht="22.5" customHeight="1">
      <c r="A162" s="59"/>
      <c r="B162" s="60" t="s">
        <v>1567</v>
      </c>
      <c r="C162" s="59">
        <f t="shared" si="1"/>
        <v>0</v>
      </c>
      <c r="D162" s="61" t="s">
        <v>34</v>
      </c>
      <c r="E162" s="61" t="s">
        <v>40</v>
      </c>
      <c r="F162" s="59" t="s">
        <v>18</v>
      </c>
      <c r="G162" s="61" t="s">
        <v>19</v>
      </c>
      <c r="H162" s="59" t="s">
        <v>20</v>
      </c>
      <c r="I162" s="61" t="s">
        <v>19</v>
      </c>
      <c r="J162" s="63" t="s">
        <v>21</v>
      </c>
      <c r="K162" s="61" t="s">
        <v>31</v>
      </c>
      <c r="L162" s="63" t="s">
        <v>22</v>
      </c>
      <c r="M162" s="61" t="s">
        <v>19</v>
      </c>
      <c r="N162" s="62"/>
      <c r="O162" s="60" t="s">
        <v>1568</v>
      </c>
      <c r="P162" s="59"/>
      <c r="Q162" s="64" t="s">
        <v>1563</v>
      </c>
    </row>
    <row r="163" ht="22.5" customHeight="1">
      <c r="A163" s="59"/>
      <c r="B163" s="60" t="s">
        <v>1569</v>
      </c>
      <c r="C163" s="59">
        <f t="shared" si="1"/>
        <v>0</v>
      </c>
      <c r="D163" s="61" t="s">
        <v>34</v>
      </c>
      <c r="E163" s="61" t="s">
        <v>49</v>
      </c>
      <c r="F163" s="59" t="s">
        <v>18</v>
      </c>
      <c r="G163" s="61" t="s">
        <v>50</v>
      </c>
      <c r="H163" s="59" t="s">
        <v>20</v>
      </c>
      <c r="I163" s="61" t="s">
        <v>50</v>
      </c>
      <c r="J163" s="63" t="s">
        <v>21</v>
      </c>
      <c r="K163" s="61" t="s">
        <v>50</v>
      </c>
      <c r="L163" s="63" t="s">
        <v>22</v>
      </c>
      <c r="M163" s="61" t="s">
        <v>50</v>
      </c>
      <c r="N163" s="62"/>
      <c r="O163" s="60" t="s">
        <v>152</v>
      </c>
      <c r="P163" s="59"/>
      <c r="Q163" s="64" t="s">
        <v>1563</v>
      </c>
    </row>
    <row r="164" ht="22.5" customHeight="1">
      <c r="A164" s="59"/>
      <c r="B164" s="60" t="s">
        <v>1570</v>
      </c>
      <c r="C164" s="59">
        <f t="shared" si="1"/>
        <v>0</v>
      </c>
      <c r="D164" s="61" t="s">
        <v>16</v>
      </c>
      <c r="E164" s="61" t="s">
        <v>17</v>
      </c>
      <c r="F164" s="59" t="s">
        <v>18</v>
      </c>
      <c r="G164" s="61" t="s">
        <v>19</v>
      </c>
      <c r="H164" s="59" t="s">
        <v>20</v>
      </c>
      <c r="I164" s="61" t="s">
        <v>19</v>
      </c>
      <c r="J164" s="63" t="s">
        <v>21</v>
      </c>
      <c r="K164" s="61" t="s">
        <v>19</v>
      </c>
      <c r="L164" s="63" t="s">
        <v>22</v>
      </c>
      <c r="M164" s="61" t="s">
        <v>19</v>
      </c>
      <c r="N164" s="62"/>
      <c r="O164" s="60" t="s">
        <v>376</v>
      </c>
      <c r="P164" s="59"/>
      <c r="Q164" s="64" t="s">
        <v>1563</v>
      </c>
    </row>
    <row r="165" ht="22.5" customHeight="1">
      <c r="A165" s="59"/>
      <c r="B165" s="60" t="s">
        <v>1571</v>
      </c>
      <c r="C165" s="59">
        <f t="shared" si="1"/>
        <v>0</v>
      </c>
      <c r="D165" s="61" t="s">
        <v>34</v>
      </c>
      <c r="E165" s="61" t="s">
        <v>49</v>
      </c>
      <c r="F165" s="59" t="s">
        <v>18</v>
      </c>
      <c r="G165" s="61" t="s">
        <v>50</v>
      </c>
      <c r="H165" s="59" t="s">
        <v>20</v>
      </c>
      <c r="I165" s="61" t="s">
        <v>50</v>
      </c>
      <c r="J165" s="63" t="s">
        <v>21</v>
      </c>
      <c r="K165" s="61" t="s">
        <v>50</v>
      </c>
      <c r="L165" s="63" t="s">
        <v>22</v>
      </c>
      <c r="M165" s="61" t="s">
        <v>50</v>
      </c>
      <c r="N165" s="62"/>
      <c r="O165" s="60" t="s">
        <v>211</v>
      </c>
      <c r="P165" s="59"/>
      <c r="Q165" s="64" t="s">
        <v>1563</v>
      </c>
    </row>
    <row r="166" ht="22.5" customHeight="1">
      <c r="A166" s="59"/>
      <c r="B166" s="60" t="s">
        <v>1572</v>
      </c>
      <c r="C166" s="59">
        <f t="shared" si="1"/>
        <v>0</v>
      </c>
      <c r="D166" s="61" t="s">
        <v>34</v>
      </c>
      <c r="E166" s="61" t="s">
        <v>49</v>
      </c>
      <c r="F166" s="59" t="s">
        <v>18</v>
      </c>
      <c r="G166" s="61" t="s">
        <v>50</v>
      </c>
      <c r="H166" s="59" t="s">
        <v>20</v>
      </c>
      <c r="I166" s="61" t="s">
        <v>50</v>
      </c>
      <c r="J166" s="63" t="s">
        <v>21</v>
      </c>
      <c r="K166" s="61" t="s">
        <v>50</v>
      </c>
      <c r="L166" s="63" t="s">
        <v>22</v>
      </c>
      <c r="M166" s="61" t="s">
        <v>50</v>
      </c>
      <c r="N166" s="62"/>
      <c r="O166" s="60" t="s">
        <v>152</v>
      </c>
      <c r="P166" s="59"/>
      <c r="Q166" s="64" t="s">
        <v>1563</v>
      </c>
    </row>
    <row r="167" ht="22.5" customHeight="1">
      <c r="A167" s="59"/>
      <c r="B167" s="60" t="s">
        <v>1573</v>
      </c>
      <c r="C167" s="59">
        <f t="shared" si="1"/>
        <v>0</v>
      </c>
      <c r="D167" s="61" t="s">
        <v>16</v>
      </c>
      <c r="E167" s="61" t="s">
        <v>49</v>
      </c>
      <c r="F167" s="59" t="s">
        <v>18</v>
      </c>
      <c r="G167" s="61" t="s">
        <v>50</v>
      </c>
      <c r="H167" s="59" t="s">
        <v>20</v>
      </c>
      <c r="I167" s="61" t="s">
        <v>50</v>
      </c>
      <c r="J167" s="63" t="s">
        <v>21</v>
      </c>
      <c r="K167" s="61" t="s">
        <v>50</v>
      </c>
      <c r="L167" s="63" t="s">
        <v>22</v>
      </c>
      <c r="M167" s="61" t="s">
        <v>50</v>
      </c>
      <c r="N167" s="62"/>
      <c r="O167" s="60" t="s">
        <v>1574</v>
      </c>
      <c r="P167" s="59"/>
      <c r="Q167" s="64" t="s">
        <v>1563</v>
      </c>
    </row>
    <row r="168" ht="22.5" customHeight="1">
      <c r="A168" s="59"/>
      <c r="B168" s="60" t="s">
        <v>1575</v>
      </c>
      <c r="C168" s="59">
        <f t="shared" si="1"/>
        <v>0</v>
      </c>
      <c r="D168" s="61" t="s">
        <v>16</v>
      </c>
      <c r="E168" s="61" t="s">
        <v>40</v>
      </c>
      <c r="F168" s="59" t="s">
        <v>18</v>
      </c>
      <c r="G168" s="61" t="s">
        <v>19</v>
      </c>
      <c r="H168" s="59" t="s">
        <v>20</v>
      </c>
      <c r="I168" s="61" t="s">
        <v>31</v>
      </c>
      <c r="J168" s="63" t="s">
        <v>21</v>
      </c>
      <c r="K168" s="61" t="s">
        <v>19</v>
      </c>
      <c r="L168" s="63" t="s">
        <v>22</v>
      </c>
      <c r="M168" s="61" t="s">
        <v>19</v>
      </c>
      <c r="N168" s="62"/>
      <c r="O168" s="60" t="s">
        <v>1576</v>
      </c>
      <c r="P168" s="59"/>
      <c r="Q168" s="64" t="s">
        <v>1563</v>
      </c>
    </row>
    <row r="169" ht="22.5" customHeight="1">
      <c r="A169" s="59"/>
      <c r="B169" s="60" t="s">
        <v>1577</v>
      </c>
      <c r="C169" s="59">
        <f t="shared" si="1"/>
        <v>0</v>
      </c>
      <c r="D169" s="61" t="s">
        <v>34</v>
      </c>
      <c r="E169" s="61" t="s">
        <v>30</v>
      </c>
      <c r="F169" s="59" t="s">
        <v>18</v>
      </c>
      <c r="G169" s="61" t="s">
        <v>31</v>
      </c>
      <c r="H169" s="59" t="s">
        <v>20</v>
      </c>
      <c r="I169" s="61" t="s">
        <v>31</v>
      </c>
      <c r="J169" s="63" t="s">
        <v>21</v>
      </c>
      <c r="K169" s="61" t="s">
        <v>26</v>
      </c>
      <c r="L169" s="63" t="s">
        <v>22</v>
      </c>
      <c r="M169" s="61" t="s">
        <v>19</v>
      </c>
      <c r="N169" s="62"/>
      <c r="O169" s="132" t="s">
        <v>1578</v>
      </c>
      <c r="P169" s="59"/>
      <c r="Q169" s="64" t="s">
        <v>1563</v>
      </c>
    </row>
    <row r="170" ht="22.5" customHeight="1">
      <c r="A170" s="59"/>
      <c r="B170" s="81" t="s">
        <v>1579</v>
      </c>
      <c r="C170" s="59">
        <f t="shared" si="1"/>
        <v>0</v>
      </c>
      <c r="D170" s="61" t="s">
        <v>16</v>
      </c>
      <c r="E170" s="61" t="s">
        <v>17</v>
      </c>
      <c r="F170" s="59" t="s">
        <v>18</v>
      </c>
      <c r="G170" s="61" t="s">
        <v>19</v>
      </c>
      <c r="H170" s="59" t="s">
        <v>20</v>
      </c>
      <c r="I170" s="61" t="s">
        <v>19</v>
      </c>
      <c r="J170" s="63" t="s">
        <v>21</v>
      </c>
      <c r="K170" s="61" t="s">
        <v>19</v>
      </c>
      <c r="L170" s="63" t="s">
        <v>22</v>
      </c>
      <c r="M170" s="61" t="s">
        <v>19</v>
      </c>
      <c r="N170" s="62"/>
      <c r="O170" s="60" t="s">
        <v>376</v>
      </c>
      <c r="P170" s="59"/>
      <c r="Q170" s="64" t="s">
        <v>1563</v>
      </c>
    </row>
    <row r="171" ht="22.5" customHeight="1">
      <c r="A171" s="59"/>
      <c r="B171" s="60" t="s">
        <v>1580</v>
      </c>
      <c r="C171" s="59">
        <f t="shared" si="1"/>
        <v>0</v>
      </c>
      <c r="D171" s="61" t="s">
        <v>34</v>
      </c>
      <c r="E171" s="61" t="s">
        <v>49</v>
      </c>
      <c r="F171" s="59" t="s">
        <v>18</v>
      </c>
      <c r="G171" s="61" t="s">
        <v>50</v>
      </c>
      <c r="H171" s="59" t="s">
        <v>20</v>
      </c>
      <c r="I171" s="61" t="s">
        <v>50</v>
      </c>
      <c r="J171" s="63" t="s">
        <v>21</v>
      </c>
      <c r="K171" s="61" t="s">
        <v>50</v>
      </c>
      <c r="L171" s="63" t="s">
        <v>22</v>
      </c>
      <c r="M171" s="61" t="s">
        <v>50</v>
      </c>
      <c r="N171" s="62"/>
      <c r="O171" s="60" t="s">
        <v>1581</v>
      </c>
      <c r="P171" s="59"/>
      <c r="Q171" s="64" t="s">
        <v>1563</v>
      </c>
    </row>
    <row r="172" ht="22.5" customHeight="1">
      <c r="A172" s="59"/>
      <c r="B172" s="60" t="s">
        <v>1582</v>
      </c>
      <c r="C172" s="59">
        <f t="shared" si="1"/>
        <v>0</v>
      </c>
      <c r="D172" s="62"/>
      <c r="E172" s="61" t="s">
        <v>49</v>
      </c>
      <c r="F172" s="59" t="s">
        <v>18</v>
      </c>
      <c r="G172" s="61" t="s">
        <v>50</v>
      </c>
      <c r="H172" s="59" t="s">
        <v>20</v>
      </c>
      <c r="I172" s="61" t="s">
        <v>50</v>
      </c>
      <c r="J172" s="63" t="s">
        <v>21</v>
      </c>
      <c r="K172" s="61" t="s">
        <v>50</v>
      </c>
      <c r="L172" s="63" t="s">
        <v>22</v>
      </c>
      <c r="M172" s="61" t="s">
        <v>50</v>
      </c>
      <c r="N172" s="62"/>
      <c r="O172" s="60" t="s">
        <v>1583</v>
      </c>
      <c r="P172" s="59"/>
      <c r="Q172" s="64" t="s">
        <v>1563</v>
      </c>
    </row>
    <row r="173" ht="22.5" customHeight="1">
      <c r="A173" s="59"/>
      <c r="B173" s="60" t="s">
        <v>1584</v>
      </c>
      <c r="C173" s="59">
        <f t="shared" si="1"/>
        <v>0</v>
      </c>
      <c r="D173" s="61" t="s">
        <v>16</v>
      </c>
      <c r="E173" s="61" t="s">
        <v>49</v>
      </c>
      <c r="F173" s="59" t="s">
        <v>18</v>
      </c>
      <c r="G173" s="61" t="s">
        <v>50</v>
      </c>
      <c r="H173" s="59" t="s">
        <v>20</v>
      </c>
      <c r="I173" s="61" t="s">
        <v>50</v>
      </c>
      <c r="J173" s="63" t="s">
        <v>21</v>
      </c>
      <c r="K173" s="61" t="s">
        <v>50</v>
      </c>
      <c r="L173" s="63" t="s">
        <v>22</v>
      </c>
      <c r="M173" s="61" t="s">
        <v>50</v>
      </c>
      <c r="N173" s="62"/>
      <c r="O173" s="132" t="s">
        <v>1320</v>
      </c>
      <c r="P173" s="59"/>
      <c r="Q173" s="64" t="s">
        <v>1563</v>
      </c>
    </row>
    <row r="174" ht="22.5" customHeight="1">
      <c r="A174" s="59"/>
      <c r="B174" s="60" t="s">
        <v>1585</v>
      </c>
      <c r="C174" s="59">
        <f t="shared" si="1"/>
        <v>0</v>
      </c>
      <c r="D174" s="61" t="s">
        <v>16</v>
      </c>
      <c r="E174" s="61" t="s">
        <v>49</v>
      </c>
      <c r="F174" s="59" t="s">
        <v>18</v>
      </c>
      <c r="G174" s="61" t="s">
        <v>50</v>
      </c>
      <c r="H174" s="59" t="s">
        <v>20</v>
      </c>
      <c r="I174" s="61" t="s">
        <v>50</v>
      </c>
      <c r="J174" s="63" t="s">
        <v>21</v>
      </c>
      <c r="K174" s="61" t="s">
        <v>50</v>
      </c>
      <c r="L174" s="63" t="s">
        <v>22</v>
      </c>
      <c r="M174" s="61" t="s">
        <v>50</v>
      </c>
      <c r="N174" s="62"/>
      <c r="O174" s="60" t="s">
        <v>1586</v>
      </c>
      <c r="P174" s="59"/>
      <c r="Q174" s="64" t="s">
        <v>1563</v>
      </c>
    </row>
    <row r="175" ht="22.5" customHeight="1">
      <c r="A175" s="59"/>
      <c r="B175" s="70" t="s">
        <v>1587</v>
      </c>
      <c r="C175" s="59">
        <f t="shared" si="1"/>
        <v>0</v>
      </c>
      <c r="D175" s="61" t="s">
        <v>34</v>
      </c>
      <c r="E175" s="61" t="s">
        <v>49</v>
      </c>
      <c r="F175" s="59" t="s">
        <v>18</v>
      </c>
      <c r="G175" s="61" t="s">
        <v>50</v>
      </c>
      <c r="H175" s="59" t="s">
        <v>20</v>
      </c>
      <c r="I175" s="61" t="s">
        <v>50</v>
      </c>
      <c r="J175" s="63" t="s">
        <v>21</v>
      </c>
      <c r="K175" s="61" t="s">
        <v>50</v>
      </c>
      <c r="L175" s="63" t="s">
        <v>22</v>
      </c>
      <c r="M175" s="61" t="s">
        <v>50</v>
      </c>
      <c r="N175" s="62"/>
      <c r="O175" s="60" t="s">
        <v>1588</v>
      </c>
      <c r="P175" s="59"/>
      <c r="Q175" s="64" t="s">
        <v>1563</v>
      </c>
    </row>
    <row r="176" ht="22.5" customHeight="1">
      <c r="A176" s="59"/>
      <c r="B176" s="60" t="s">
        <v>1589</v>
      </c>
      <c r="C176" s="59">
        <f t="shared" si="1"/>
        <v>0</v>
      </c>
      <c r="D176" s="61" t="s">
        <v>34</v>
      </c>
      <c r="E176" s="61" t="s">
        <v>49</v>
      </c>
      <c r="F176" s="59" t="s">
        <v>18</v>
      </c>
      <c r="G176" s="61" t="s">
        <v>50</v>
      </c>
      <c r="H176" s="59" t="s">
        <v>20</v>
      </c>
      <c r="I176" s="61" t="s">
        <v>50</v>
      </c>
      <c r="J176" s="63" t="s">
        <v>21</v>
      </c>
      <c r="K176" s="61" t="s">
        <v>50</v>
      </c>
      <c r="L176" s="63" t="s">
        <v>22</v>
      </c>
      <c r="M176" s="61" t="s">
        <v>50</v>
      </c>
      <c r="N176" s="62"/>
      <c r="O176" s="60" t="s">
        <v>1590</v>
      </c>
      <c r="P176" s="59"/>
      <c r="Q176" s="64" t="s">
        <v>1563</v>
      </c>
    </row>
    <row r="177" ht="22.5" customHeight="1">
      <c r="A177" s="59"/>
      <c r="B177" s="60" t="s">
        <v>1591</v>
      </c>
      <c r="C177" s="59">
        <f t="shared" si="1"/>
        <v>0</v>
      </c>
      <c r="D177" s="61" t="s">
        <v>16</v>
      </c>
      <c r="E177" s="61" t="s">
        <v>49</v>
      </c>
      <c r="F177" s="59" t="s">
        <v>18</v>
      </c>
      <c r="G177" s="61" t="s">
        <v>50</v>
      </c>
      <c r="H177" s="59" t="s">
        <v>20</v>
      </c>
      <c r="I177" s="61" t="s">
        <v>50</v>
      </c>
      <c r="J177" s="63" t="s">
        <v>21</v>
      </c>
      <c r="K177" s="61" t="s">
        <v>50</v>
      </c>
      <c r="L177" s="63" t="s">
        <v>22</v>
      </c>
      <c r="M177" s="61" t="s">
        <v>50</v>
      </c>
      <c r="N177" s="62"/>
      <c r="O177" s="60" t="s">
        <v>152</v>
      </c>
      <c r="P177" s="59"/>
      <c r="Q177" s="64" t="s">
        <v>1563</v>
      </c>
    </row>
    <row r="178" ht="22.5" customHeight="1">
      <c r="A178" s="59"/>
      <c r="B178" s="60" t="s">
        <v>1592</v>
      </c>
      <c r="C178" s="59">
        <f t="shared" si="1"/>
        <v>0</v>
      </c>
      <c r="D178" s="61" t="s">
        <v>16</v>
      </c>
      <c r="E178" s="61" t="s">
        <v>49</v>
      </c>
      <c r="F178" s="59" t="s">
        <v>18</v>
      </c>
      <c r="G178" s="61" t="s">
        <v>50</v>
      </c>
      <c r="H178" s="59" t="s">
        <v>20</v>
      </c>
      <c r="I178" s="61" t="s">
        <v>50</v>
      </c>
      <c r="J178" s="63" t="s">
        <v>21</v>
      </c>
      <c r="K178" s="61" t="s">
        <v>50</v>
      </c>
      <c r="L178" s="63" t="s">
        <v>22</v>
      </c>
      <c r="M178" s="61" t="s">
        <v>50</v>
      </c>
      <c r="N178" s="62"/>
      <c r="O178" s="60" t="s">
        <v>1593</v>
      </c>
      <c r="P178" s="59"/>
      <c r="Q178" s="64" t="s">
        <v>1563</v>
      </c>
    </row>
    <row r="179" ht="22.5" customHeight="1">
      <c r="A179" s="59"/>
      <c r="B179" s="60" t="s">
        <v>1594</v>
      </c>
      <c r="C179" s="59">
        <f t="shared" si="1"/>
        <v>0</v>
      </c>
      <c r="D179" s="61" t="s">
        <v>34</v>
      </c>
      <c r="E179" s="61" t="s">
        <v>49</v>
      </c>
      <c r="F179" s="59" t="s">
        <v>18</v>
      </c>
      <c r="G179" s="61" t="s">
        <v>50</v>
      </c>
      <c r="H179" s="59" t="s">
        <v>20</v>
      </c>
      <c r="I179" s="61" t="s">
        <v>50</v>
      </c>
      <c r="J179" s="63" t="s">
        <v>21</v>
      </c>
      <c r="K179" s="61" t="s">
        <v>50</v>
      </c>
      <c r="L179" s="63" t="s">
        <v>22</v>
      </c>
      <c r="M179" s="61" t="s">
        <v>50</v>
      </c>
      <c r="N179" s="62"/>
      <c r="O179" s="60" t="s">
        <v>1595</v>
      </c>
      <c r="P179" s="59"/>
      <c r="Q179" s="64" t="s">
        <v>1563</v>
      </c>
    </row>
    <row r="180" ht="22.5" customHeight="1">
      <c r="A180" s="59"/>
      <c r="B180" s="60" t="s">
        <v>1596</v>
      </c>
      <c r="C180" s="59">
        <f t="shared" si="1"/>
        <v>2</v>
      </c>
      <c r="D180" s="61" t="s">
        <v>34</v>
      </c>
      <c r="E180" s="61" t="s">
        <v>25</v>
      </c>
      <c r="F180" s="59" t="s">
        <v>18</v>
      </c>
      <c r="G180" s="61" t="s">
        <v>640</v>
      </c>
      <c r="H180" s="59" t="s">
        <v>20</v>
      </c>
      <c r="I180" s="61" t="s">
        <v>19</v>
      </c>
      <c r="J180" s="63" t="s">
        <v>21</v>
      </c>
      <c r="K180" s="61" t="s">
        <v>31</v>
      </c>
      <c r="L180" s="63" t="s">
        <v>22</v>
      </c>
      <c r="M180" s="61" t="s">
        <v>640</v>
      </c>
      <c r="N180" s="62"/>
      <c r="O180" s="133" t="s">
        <v>1597</v>
      </c>
      <c r="P180" s="59"/>
      <c r="Q180" s="64" t="s">
        <v>1563</v>
      </c>
    </row>
    <row r="181" ht="22.5" customHeight="1">
      <c r="A181" s="59"/>
      <c r="B181" s="60" t="s">
        <v>1598</v>
      </c>
      <c r="C181" s="59">
        <f t="shared" si="1"/>
        <v>0</v>
      </c>
      <c r="D181" s="61" t="s">
        <v>34</v>
      </c>
      <c r="E181" s="61" t="s">
        <v>49</v>
      </c>
      <c r="F181" s="59" t="s">
        <v>18</v>
      </c>
      <c r="G181" s="61" t="s">
        <v>50</v>
      </c>
      <c r="H181" s="59" t="s">
        <v>20</v>
      </c>
      <c r="I181" s="61" t="s">
        <v>50</v>
      </c>
      <c r="J181" s="63" t="s">
        <v>21</v>
      </c>
      <c r="K181" s="61" t="s">
        <v>50</v>
      </c>
      <c r="L181" s="63" t="s">
        <v>22</v>
      </c>
      <c r="M181" s="61" t="s">
        <v>50</v>
      </c>
      <c r="N181" s="62"/>
      <c r="O181" s="60" t="s">
        <v>1599</v>
      </c>
      <c r="P181" s="59"/>
      <c r="Q181" s="64" t="s">
        <v>1563</v>
      </c>
    </row>
    <row r="182" ht="22.5" customHeight="1">
      <c r="A182" s="59"/>
      <c r="B182" s="60" t="s">
        <v>1600</v>
      </c>
      <c r="C182" s="59">
        <f t="shared" si="1"/>
        <v>0</v>
      </c>
      <c r="D182" s="61" t="s">
        <v>16</v>
      </c>
      <c r="E182" s="61" t="s">
        <v>49</v>
      </c>
      <c r="F182" s="59" t="s">
        <v>18</v>
      </c>
      <c r="G182" s="61" t="s">
        <v>50</v>
      </c>
      <c r="H182" s="59" t="s">
        <v>20</v>
      </c>
      <c r="I182" s="61" t="s">
        <v>50</v>
      </c>
      <c r="J182" s="63" t="s">
        <v>21</v>
      </c>
      <c r="K182" s="61" t="s">
        <v>50</v>
      </c>
      <c r="L182" s="63" t="s">
        <v>22</v>
      </c>
      <c r="M182" s="61" t="s">
        <v>50</v>
      </c>
      <c r="N182" s="62"/>
      <c r="O182" s="60" t="s">
        <v>211</v>
      </c>
      <c r="P182" s="59"/>
      <c r="Q182" s="64" t="s">
        <v>1563</v>
      </c>
    </row>
    <row r="183" ht="22.5" customHeight="1">
      <c r="A183" s="59"/>
      <c r="B183" s="60" t="s">
        <v>1601</v>
      </c>
      <c r="C183" s="59">
        <f t="shared" si="1"/>
        <v>0</v>
      </c>
      <c r="D183" s="61" t="s">
        <v>34</v>
      </c>
      <c r="E183" s="61" t="s">
        <v>49</v>
      </c>
      <c r="F183" s="59" t="s">
        <v>18</v>
      </c>
      <c r="G183" s="61" t="s">
        <v>50</v>
      </c>
      <c r="H183" s="59" t="s">
        <v>20</v>
      </c>
      <c r="I183" s="61" t="s">
        <v>50</v>
      </c>
      <c r="J183" s="63" t="s">
        <v>21</v>
      </c>
      <c r="K183" s="61" t="s">
        <v>50</v>
      </c>
      <c r="L183" s="63" t="s">
        <v>22</v>
      </c>
      <c r="M183" s="61" t="s">
        <v>50</v>
      </c>
      <c r="N183" s="62"/>
      <c r="O183" s="60" t="s">
        <v>1602</v>
      </c>
      <c r="P183" s="59"/>
      <c r="Q183" s="64" t="s">
        <v>1563</v>
      </c>
    </row>
    <row r="184" ht="22.5" customHeight="1">
      <c r="A184" s="59"/>
      <c r="B184" s="60" t="s">
        <v>1603</v>
      </c>
      <c r="C184" s="59">
        <f t="shared" si="1"/>
        <v>0</v>
      </c>
      <c r="D184" s="61" t="s">
        <v>16</v>
      </c>
      <c r="E184" s="61" t="s">
        <v>17</v>
      </c>
      <c r="F184" s="59" t="s">
        <v>18</v>
      </c>
      <c r="G184" s="61" t="s">
        <v>19</v>
      </c>
      <c r="H184" s="59" t="s">
        <v>20</v>
      </c>
      <c r="I184" s="61" t="s">
        <v>19</v>
      </c>
      <c r="J184" s="63" t="s">
        <v>21</v>
      </c>
      <c r="K184" s="61" t="s">
        <v>19</v>
      </c>
      <c r="L184" s="63" t="s">
        <v>22</v>
      </c>
      <c r="M184" s="61" t="s">
        <v>19</v>
      </c>
      <c r="N184" s="62"/>
      <c r="O184" s="60" t="s">
        <v>376</v>
      </c>
      <c r="P184" s="59"/>
      <c r="Q184" s="64" t="s">
        <v>1563</v>
      </c>
    </row>
    <row r="185" ht="22.5" customHeight="1">
      <c r="A185" s="59"/>
      <c r="B185" s="60" t="s">
        <v>1604</v>
      </c>
      <c r="C185" s="59">
        <f t="shared" si="1"/>
        <v>0</v>
      </c>
      <c r="D185" s="61" t="s">
        <v>16</v>
      </c>
      <c r="E185" s="61" t="s">
        <v>49</v>
      </c>
      <c r="F185" s="59" t="s">
        <v>18</v>
      </c>
      <c r="G185" s="61" t="s">
        <v>50</v>
      </c>
      <c r="H185" s="59" t="s">
        <v>20</v>
      </c>
      <c r="I185" s="61" t="s">
        <v>50</v>
      </c>
      <c r="J185" s="63" t="s">
        <v>21</v>
      </c>
      <c r="K185" s="61" t="s">
        <v>50</v>
      </c>
      <c r="L185" s="63" t="s">
        <v>22</v>
      </c>
      <c r="M185" s="61" t="s">
        <v>50</v>
      </c>
      <c r="N185" s="62"/>
      <c r="O185" s="60" t="s">
        <v>152</v>
      </c>
      <c r="P185" s="59"/>
      <c r="Q185" s="64" t="s">
        <v>1563</v>
      </c>
    </row>
    <row r="186" ht="22.5" customHeight="1">
      <c r="A186" s="59"/>
      <c r="B186" s="60" t="s">
        <v>1605</v>
      </c>
      <c r="C186" s="59">
        <f t="shared" si="1"/>
        <v>0</v>
      </c>
      <c r="D186" s="61" t="s">
        <v>34</v>
      </c>
      <c r="E186" s="61" t="s">
        <v>49</v>
      </c>
      <c r="F186" s="59" t="s">
        <v>18</v>
      </c>
      <c r="G186" s="61" t="s">
        <v>50</v>
      </c>
      <c r="H186" s="59" t="s">
        <v>20</v>
      </c>
      <c r="I186" s="61" t="s">
        <v>50</v>
      </c>
      <c r="J186" s="63" t="s">
        <v>21</v>
      </c>
      <c r="K186" s="61" t="s">
        <v>50</v>
      </c>
      <c r="L186" s="63" t="s">
        <v>22</v>
      </c>
      <c r="M186" s="61" t="s">
        <v>50</v>
      </c>
      <c r="N186" s="62"/>
      <c r="O186" s="60" t="s">
        <v>1606</v>
      </c>
      <c r="P186" s="59"/>
      <c r="Q186" s="64" t="s">
        <v>1563</v>
      </c>
    </row>
    <row r="187" ht="22.5" customHeight="1">
      <c r="A187" s="59"/>
      <c r="B187" s="60" t="s">
        <v>1607</v>
      </c>
      <c r="C187" s="59">
        <f t="shared" si="1"/>
        <v>0</v>
      </c>
      <c r="D187" s="61" t="s">
        <v>16</v>
      </c>
      <c r="E187" s="61" t="s">
        <v>49</v>
      </c>
      <c r="F187" s="59" t="s">
        <v>18</v>
      </c>
      <c r="G187" s="61" t="s">
        <v>50</v>
      </c>
      <c r="H187" s="59" t="s">
        <v>20</v>
      </c>
      <c r="I187" s="61" t="s">
        <v>50</v>
      </c>
      <c r="J187" s="63" t="s">
        <v>21</v>
      </c>
      <c r="K187" s="61" t="s">
        <v>50</v>
      </c>
      <c r="L187" s="63" t="s">
        <v>22</v>
      </c>
      <c r="M187" s="61" t="s">
        <v>50</v>
      </c>
      <c r="N187" s="62"/>
      <c r="O187" s="60" t="s">
        <v>152</v>
      </c>
      <c r="P187" s="59"/>
      <c r="Q187" s="64" t="s">
        <v>1563</v>
      </c>
    </row>
    <row r="188" ht="22.5" customHeight="1">
      <c r="A188" s="59"/>
      <c r="B188" s="60" t="s">
        <v>1608</v>
      </c>
      <c r="C188" s="59">
        <f t="shared" si="1"/>
        <v>0</v>
      </c>
      <c r="D188" s="61" t="s">
        <v>16</v>
      </c>
      <c r="E188" s="61" t="s">
        <v>49</v>
      </c>
      <c r="F188" s="59" t="s">
        <v>18</v>
      </c>
      <c r="G188" s="61" t="s">
        <v>50</v>
      </c>
      <c r="H188" s="59" t="s">
        <v>20</v>
      </c>
      <c r="I188" s="61" t="s">
        <v>50</v>
      </c>
      <c r="J188" s="63" t="s">
        <v>21</v>
      </c>
      <c r="K188" s="61" t="s">
        <v>50</v>
      </c>
      <c r="L188" s="63" t="s">
        <v>22</v>
      </c>
      <c r="M188" s="61" t="s">
        <v>50</v>
      </c>
      <c r="N188" s="62"/>
      <c r="O188" s="60" t="s">
        <v>211</v>
      </c>
      <c r="P188" s="59"/>
      <c r="Q188" s="64" t="s">
        <v>1563</v>
      </c>
    </row>
    <row r="189" ht="22.5" customHeight="1">
      <c r="A189" s="59"/>
      <c r="B189" s="60" t="s">
        <v>1609</v>
      </c>
      <c r="C189" s="59">
        <f t="shared" si="1"/>
        <v>0</v>
      </c>
      <c r="D189" s="61" t="s">
        <v>16</v>
      </c>
      <c r="E189" s="61" t="s">
        <v>17</v>
      </c>
      <c r="F189" s="59" t="s">
        <v>18</v>
      </c>
      <c r="G189" s="61" t="s">
        <v>19</v>
      </c>
      <c r="H189" s="59" t="s">
        <v>20</v>
      </c>
      <c r="I189" s="61" t="s">
        <v>19</v>
      </c>
      <c r="J189" s="63" t="s">
        <v>21</v>
      </c>
      <c r="K189" s="61" t="s">
        <v>19</v>
      </c>
      <c r="L189" s="63" t="s">
        <v>22</v>
      </c>
      <c r="M189" s="61" t="s">
        <v>19</v>
      </c>
      <c r="N189" s="62"/>
      <c r="O189" s="60" t="s">
        <v>376</v>
      </c>
      <c r="P189" s="59"/>
      <c r="Q189" s="64" t="s">
        <v>1563</v>
      </c>
    </row>
    <row r="190" ht="22.5" customHeight="1">
      <c r="A190" s="59"/>
      <c r="B190" s="60" t="s">
        <v>1610</v>
      </c>
      <c r="C190" s="59">
        <f t="shared" si="1"/>
        <v>0</v>
      </c>
      <c r="D190" s="61" t="s">
        <v>16</v>
      </c>
      <c r="E190" s="61" t="s">
        <v>49</v>
      </c>
      <c r="F190" s="59" t="s">
        <v>18</v>
      </c>
      <c r="G190" s="61" t="s">
        <v>50</v>
      </c>
      <c r="H190" s="59" t="s">
        <v>20</v>
      </c>
      <c r="I190" s="61" t="s">
        <v>50</v>
      </c>
      <c r="J190" s="63" t="s">
        <v>21</v>
      </c>
      <c r="K190" s="61" t="s">
        <v>50</v>
      </c>
      <c r="L190" s="63" t="s">
        <v>22</v>
      </c>
      <c r="M190" s="61" t="s">
        <v>50</v>
      </c>
      <c r="N190" s="62"/>
      <c r="O190" s="60" t="s">
        <v>1611</v>
      </c>
      <c r="P190" s="59"/>
      <c r="Q190" s="64" t="s">
        <v>1563</v>
      </c>
    </row>
    <row r="191" ht="22.5" customHeight="1">
      <c r="A191" s="59"/>
      <c r="B191" s="60" t="s">
        <v>1612</v>
      </c>
      <c r="C191" s="59">
        <f t="shared" si="1"/>
        <v>0</v>
      </c>
      <c r="D191" s="61" t="s">
        <v>34</v>
      </c>
      <c r="E191" s="61" t="s">
        <v>49</v>
      </c>
      <c r="F191" s="59" t="s">
        <v>18</v>
      </c>
      <c r="G191" s="61" t="s">
        <v>50</v>
      </c>
      <c r="H191" s="59" t="s">
        <v>20</v>
      </c>
      <c r="I191" s="61" t="s">
        <v>50</v>
      </c>
      <c r="J191" s="63" t="s">
        <v>21</v>
      </c>
      <c r="K191" s="61" t="s">
        <v>50</v>
      </c>
      <c r="L191" s="63" t="s">
        <v>22</v>
      </c>
      <c r="M191" s="61" t="s">
        <v>50</v>
      </c>
      <c r="N191" s="62"/>
      <c r="O191" s="60" t="s">
        <v>1613</v>
      </c>
      <c r="P191" s="59"/>
      <c r="Q191" s="64" t="s">
        <v>1563</v>
      </c>
    </row>
    <row r="192" ht="22.5" customHeight="1">
      <c r="A192" s="67"/>
      <c r="B192" s="60" t="s">
        <v>1614</v>
      </c>
      <c r="C192" s="59">
        <f t="shared" si="1"/>
        <v>0</v>
      </c>
      <c r="D192" s="61" t="s">
        <v>34</v>
      </c>
      <c r="E192" s="61" t="s">
        <v>49</v>
      </c>
      <c r="F192" s="59" t="s">
        <v>18</v>
      </c>
      <c r="G192" s="61" t="s">
        <v>50</v>
      </c>
      <c r="H192" s="59" t="s">
        <v>20</v>
      </c>
      <c r="I192" s="61" t="s">
        <v>50</v>
      </c>
      <c r="J192" s="63" t="s">
        <v>21</v>
      </c>
      <c r="K192" s="61" t="s">
        <v>50</v>
      </c>
      <c r="L192" s="63" t="s">
        <v>22</v>
      </c>
      <c r="M192" s="61" t="s">
        <v>50</v>
      </c>
      <c r="N192" s="62"/>
      <c r="O192" s="60" t="s">
        <v>211</v>
      </c>
      <c r="P192" s="59"/>
      <c r="Q192" s="64" t="s">
        <v>1563</v>
      </c>
    </row>
    <row r="193" ht="22.5" customHeight="1">
      <c r="A193" s="59"/>
      <c r="B193" s="60" t="s">
        <v>1615</v>
      </c>
      <c r="C193" s="59">
        <f t="shared" si="1"/>
        <v>0</v>
      </c>
      <c r="D193" s="61" t="s">
        <v>16</v>
      </c>
      <c r="E193" s="61" t="s">
        <v>49</v>
      </c>
      <c r="F193" s="59" t="s">
        <v>18</v>
      </c>
      <c r="G193" s="61" t="s">
        <v>50</v>
      </c>
      <c r="H193" s="59" t="s">
        <v>20</v>
      </c>
      <c r="I193" s="61" t="s">
        <v>50</v>
      </c>
      <c r="J193" s="63" t="s">
        <v>21</v>
      </c>
      <c r="K193" s="61" t="s">
        <v>50</v>
      </c>
      <c r="L193" s="63" t="s">
        <v>22</v>
      </c>
      <c r="M193" s="61" t="s">
        <v>50</v>
      </c>
      <c r="N193" s="62"/>
      <c r="O193" s="60" t="s">
        <v>1616</v>
      </c>
      <c r="P193" s="59"/>
      <c r="Q193" s="64" t="s">
        <v>1563</v>
      </c>
    </row>
    <row r="194" ht="22.5" customHeight="1">
      <c r="A194" s="59"/>
      <c r="B194" s="60" t="s">
        <v>1617</v>
      </c>
      <c r="C194" s="59">
        <f t="shared" si="1"/>
        <v>0</v>
      </c>
      <c r="D194" s="61" t="s">
        <v>16</v>
      </c>
      <c r="E194" s="61" t="s">
        <v>40</v>
      </c>
      <c r="F194" s="59" t="s">
        <v>18</v>
      </c>
      <c r="G194" s="61" t="s">
        <v>19</v>
      </c>
      <c r="H194" s="59" t="s">
        <v>20</v>
      </c>
      <c r="I194" s="61" t="s">
        <v>31</v>
      </c>
      <c r="J194" s="63" t="s">
        <v>21</v>
      </c>
      <c r="K194" s="61" t="s">
        <v>19</v>
      </c>
      <c r="L194" s="63" t="s">
        <v>22</v>
      </c>
      <c r="M194" s="61" t="s">
        <v>19</v>
      </c>
      <c r="N194" s="62"/>
      <c r="O194" s="60" t="s">
        <v>1618</v>
      </c>
      <c r="P194" s="59"/>
      <c r="Q194" s="64" t="s">
        <v>1563</v>
      </c>
    </row>
    <row r="195" ht="22.5" customHeight="1">
      <c r="A195" s="59"/>
      <c r="B195" s="64" t="s">
        <v>1619</v>
      </c>
      <c r="C195" s="59">
        <f t="shared" si="1"/>
        <v>1</v>
      </c>
      <c r="D195" s="61" t="s">
        <v>16</v>
      </c>
      <c r="E195" s="61" t="s">
        <v>635</v>
      </c>
      <c r="F195" s="59" t="s">
        <v>18</v>
      </c>
      <c r="G195" s="61" t="s">
        <v>19</v>
      </c>
      <c r="H195" s="59" t="s">
        <v>20</v>
      </c>
      <c r="I195" s="61" t="s">
        <v>31</v>
      </c>
      <c r="J195" s="63" t="s">
        <v>21</v>
      </c>
      <c r="K195" s="61" t="s">
        <v>31</v>
      </c>
      <c r="L195" s="63" t="s">
        <v>22</v>
      </c>
      <c r="M195" s="61" t="s">
        <v>640</v>
      </c>
      <c r="N195" s="62"/>
      <c r="O195" s="60" t="s">
        <v>1620</v>
      </c>
      <c r="P195" s="59"/>
      <c r="Q195" s="64" t="s">
        <v>1563</v>
      </c>
    </row>
    <row r="196" ht="22.5" customHeight="1">
      <c r="A196" s="59"/>
      <c r="B196" s="60" t="s">
        <v>1621</v>
      </c>
      <c r="C196" s="59">
        <f t="shared" si="1"/>
        <v>0</v>
      </c>
      <c r="D196" s="61" t="s">
        <v>16</v>
      </c>
      <c r="E196" s="61" t="s">
        <v>17</v>
      </c>
      <c r="F196" s="59" t="s">
        <v>18</v>
      </c>
      <c r="G196" s="61" t="s">
        <v>19</v>
      </c>
      <c r="H196" s="59" t="s">
        <v>20</v>
      </c>
      <c r="I196" s="61" t="s">
        <v>19</v>
      </c>
      <c r="J196" s="63" t="s">
        <v>21</v>
      </c>
      <c r="K196" s="61" t="s">
        <v>19</v>
      </c>
      <c r="L196" s="63" t="s">
        <v>22</v>
      </c>
      <c r="M196" s="61" t="s">
        <v>19</v>
      </c>
      <c r="N196" s="62"/>
      <c r="O196" s="60" t="s">
        <v>376</v>
      </c>
      <c r="P196" s="59"/>
      <c r="Q196" s="64" t="s">
        <v>1563</v>
      </c>
    </row>
    <row r="197" ht="22.5" customHeight="1">
      <c r="A197" s="59"/>
      <c r="B197" s="60" t="s">
        <v>1622</v>
      </c>
      <c r="C197" s="59">
        <f t="shared" si="1"/>
        <v>0</v>
      </c>
      <c r="D197" s="61" t="s">
        <v>34</v>
      </c>
      <c r="E197" s="61" t="s">
        <v>40</v>
      </c>
      <c r="F197" s="59" t="s">
        <v>18</v>
      </c>
      <c r="G197" s="61" t="s">
        <v>26</v>
      </c>
      <c r="H197" s="59" t="s">
        <v>20</v>
      </c>
      <c r="I197" s="61" t="s">
        <v>19</v>
      </c>
      <c r="J197" s="63" t="s">
        <v>21</v>
      </c>
      <c r="K197" s="61" t="s">
        <v>19</v>
      </c>
      <c r="L197" s="63" t="s">
        <v>22</v>
      </c>
      <c r="M197" s="61" t="s">
        <v>31</v>
      </c>
      <c r="N197" s="62"/>
      <c r="O197" s="60" t="s">
        <v>1623</v>
      </c>
      <c r="P197" s="59"/>
      <c r="Q197" s="64" t="s">
        <v>1563</v>
      </c>
    </row>
    <row r="198" ht="22.5" customHeight="1">
      <c r="A198" s="59"/>
      <c r="B198" s="60" t="s">
        <v>1624</v>
      </c>
      <c r="C198" s="59">
        <f t="shared" si="1"/>
        <v>0</v>
      </c>
      <c r="D198" s="61" t="s">
        <v>16</v>
      </c>
      <c r="E198" s="61" t="s">
        <v>40</v>
      </c>
      <c r="F198" s="59" t="s">
        <v>18</v>
      </c>
      <c r="G198" s="61" t="s">
        <v>31</v>
      </c>
      <c r="H198" s="59" t="s">
        <v>20</v>
      </c>
      <c r="I198" s="61" t="s">
        <v>19</v>
      </c>
      <c r="J198" s="63" t="s">
        <v>21</v>
      </c>
      <c r="K198" s="61" t="s">
        <v>19</v>
      </c>
      <c r="L198" s="63" t="s">
        <v>22</v>
      </c>
      <c r="M198" s="61" t="s">
        <v>19</v>
      </c>
      <c r="N198" s="62"/>
      <c r="O198" s="60" t="s">
        <v>1625</v>
      </c>
      <c r="P198" s="59"/>
      <c r="Q198" s="64" t="s">
        <v>1626</v>
      </c>
    </row>
    <row r="199" ht="22.5" customHeight="1">
      <c r="A199" s="59"/>
      <c r="B199" s="60" t="s">
        <v>1627</v>
      </c>
      <c r="C199" s="59">
        <f t="shared" si="1"/>
        <v>2</v>
      </c>
      <c r="D199" s="61" t="s">
        <v>16</v>
      </c>
      <c r="E199" s="61" t="s">
        <v>635</v>
      </c>
      <c r="F199" s="59" t="s">
        <v>18</v>
      </c>
      <c r="G199" s="61" t="s">
        <v>19</v>
      </c>
      <c r="H199" s="59" t="s">
        <v>20</v>
      </c>
      <c r="I199" s="61" t="s">
        <v>640</v>
      </c>
      <c r="J199" s="63" t="s">
        <v>21</v>
      </c>
      <c r="K199" s="61" t="s">
        <v>31</v>
      </c>
      <c r="L199" s="63" t="s">
        <v>22</v>
      </c>
      <c r="M199" s="61" t="s">
        <v>640</v>
      </c>
      <c r="N199" s="62"/>
      <c r="O199" s="60" t="s">
        <v>1628</v>
      </c>
      <c r="P199" s="59"/>
      <c r="Q199" s="64" t="s">
        <v>1626</v>
      </c>
    </row>
    <row r="200" ht="22.5" customHeight="1">
      <c r="A200" s="59"/>
      <c r="B200" s="60" t="s">
        <v>1629</v>
      </c>
      <c r="C200" s="59">
        <f t="shared" si="1"/>
        <v>0</v>
      </c>
      <c r="D200" s="61" t="s">
        <v>16</v>
      </c>
      <c r="E200" s="61" t="s">
        <v>17</v>
      </c>
      <c r="F200" s="59" t="s">
        <v>18</v>
      </c>
      <c r="G200" s="61" t="s">
        <v>19</v>
      </c>
      <c r="H200" s="59" t="s">
        <v>20</v>
      </c>
      <c r="I200" s="61" t="s">
        <v>19</v>
      </c>
      <c r="J200" s="63" t="s">
        <v>21</v>
      </c>
      <c r="K200" s="61" t="s">
        <v>19</v>
      </c>
      <c r="L200" s="63" t="s">
        <v>22</v>
      </c>
      <c r="M200" s="85" t="s">
        <v>19</v>
      </c>
      <c r="N200" s="62"/>
      <c r="O200" s="60" t="s">
        <v>376</v>
      </c>
      <c r="P200" s="59"/>
      <c r="Q200" s="64" t="s">
        <v>1626</v>
      </c>
    </row>
    <row r="201" ht="22.5" customHeight="1">
      <c r="A201" s="59"/>
      <c r="B201" s="60" t="s">
        <v>1630</v>
      </c>
      <c r="C201" s="59">
        <f t="shared" si="1"/>
        <v>0</v>
      </c>
      <c r="D201" s="61" t="s">
        <v>16</v>
      </c>
      <c r="E201" s="61" t="s">
        <v>49</v>
      </c>
      <c r="F201" s="59" t="s">
        <v>18</v>
      </c>
      <c r="G201" s="61" t="s">
        <v>50</v>
      </c>
      <c r="H201" s="59" t="s">
        <v>20</v>
      </c>
      <c r="I201" s="61" t="s">
        <v>50</v>
      </c>
      <c r="J201" s="63" t="s">
        <v>21</v>
      </c>
      <c r="K201" s="61" t="s">
        <v>50</v>
      </c>
      <c r="L201" s="63" t="s">
        <v>22</v>
      </c>
      <c r="M201" s="61" t="s">
        <v>50</v>
      </c>
      <c r="N201" s="62"/>
      <c r="O201" s="60" t="s">
        <v>1631</v>
      </c>
      <c r="P201" s="59"/>
      <c r="Q201" s="64" t="s">
        <v>1626</v>
      </c>
    </row>
    <row r="202" ht="22.5" customHeight="1">
      <c r="A202" s="64" t="s">
        <v>1632</v>
      </c>
      <c r="B202" s="60" t="s">
        <v>1633</v>
      </c>
      <c r="C202" s="59">
        <f t="shared" si="1"/>
        <v>1</v>
      </c>
      <c r="D202" s="61" t="s">
        <v>34</v>
      </c>
      <c r="E202" s="61" t="s">
        <v>635</v>
      </c>
      <c r="F202" s="59" t="s">
        <v>18</v>
      </c>
      <c r="G202" s="61" t="s">
        <v>26</v>
      </c>
      <c r="H202" s="59" t="s">
        <v>20</v>
      </c>
      <c r="I202" s="61" t="s">
        <v>26</v>
      </c>
      <c r="J202" s="63" t="s">
        <v>21</v>
      </c>
      <c r="K202" s="61" t="s">
        <v>19</v>
      </c>
      <c r="L202" s="63" t="s">
        <v>22</v>
      </c>
      <c r="M202" s="61" t="s">
        <v>640</v>
      </c>
      <c r="N202" s="62"/>
      <c r="O202" s="60" t="s">
        <v>636</v>
      </c>
      <c r="P202" s="59"/>
      <c r="Q202" s="64" t="s">
        <v>1626</v>
      </c>
    </row>
    <row r="203" ht="22.5" customHeight="1">
      <c r="A203" s="59"/>
      <c r="B203" s="60" t="s">
        <v>1634</v>
      </c>
      <c r="C203" s="59">
        <f t="shared" si="1"/>
        <v>1</v>
      </c>
      <c r="D203" s="61" t="s">
        <v>34</v>
      </c>
      <c r="E203" s="61" t="s">
        <v>40</v>
      </c>
      <c r="F203" s="59" t="s">
        <v>18</v>
      </c>
      <c r="G203" s="61" t="s">
        <v>31</v>
      </c>
      <c r="H203" s="59" t="s">
        <v>20</v>
      </c>
      <c r="I203" s="61" t="s">
        <v>31</v>
      </c>
      <c r="J203" s="63" t="s">
        <v>21</v>
      </c>
      <c r="K203" s="61" t="s">
        <v>19</v>
      </c>
      <c r="L203" s="63" t="s">
        <v>22</v>
      </c>
      <c r="M203" s="61" t="s">
        <v>640</v>
      </c>
      <c r="N203" s="62"/>
      <c r="O203" s="60" t="s">
        <v>1635</v>
      </c>
      <c r="P203" s="59"/>
      <c r="Q203" s="64" t="s">
        <v>1626</v>
      </c>
    </row>
    <row r="204" ht="22.5" customHeight="1">
      <c r="A204" s="59"/>
      <c r="B204" s="60" t="s">
        <v>1636</v>
      </c>
      <c r="C204" s="59">
        <f t="shared" si="1"/>
        <v>0</v>
      </c>
      <c r="D204" s="61" t="s">
        <v>16</v>
      </c>
      <c r="E204" s="61" t="s">
        <v>17</v>
      </c>
      <c r="F204" s="59" t="s">
        <v>18</v>
      </c>
      <c r="G204" s="61" t="s">
        <v>19</v>
      </c>
      <c r="H204" s="59" t="s">
        <v>20</v>
      </c>
      <c r="I204" s="61" t="s">
        <v>19</v>
      </c>
      <c r="J204" s="63" t="s">
        <v>21</v>
      </c>
      <c r="K204" s="61" t="s">
        <v>19</v>
      </c>
      <c r="L204" s="63" t="s">
        <v>22</v>
      </c>
      <c r="M204" s="61" t="s">
        <v>19</v>
      </c>
      <c r="N204" s="62"/>
      <c r="O204" s="60" t="s">
        <v>376</v>
      </c>
      <c r="P204" s="59"/>
      <c r="Q204" s="64" t="s">
        <v>1626</v>
      </c>
    </row>
    <row r="205" ht="22.5" customHeight="1">
      <c r="A205" s="59"/>
      <c r="B205" s="60" t="s">
        <v>1637</v>
      </c>
      <c r="C205" s="59">
        <f t="shared" si="1"/>
        <v>0</v>
      </c>
      <c r="D205" s="61" t="s">
        <v>16</v>
      </c>
      <c r="E205" s="61" t="s">
        <v>49</v>
      </c>
      <c r="F205" s="59" t="s">
        <v>18</v>
      </c>
      <c r="G205" s="61" t="s">
        <v>50</v>
      </c>
      <c r="H205" s="59" t="s">
        <v>20</v>
      </c>
      <c r="I205" s="61" t="s">
        <v>50</v>
      </c>
      <c r="J205" s="63" t="s">
        <v>21</v>
      </c>
      <c r="K205" s="61" t="s">
        <v>50</v>
      </c>
      <c r="L205" s="63" t="s">
        <v>22</v>
      </c>
      <c r="M205" s="61" t="s">
        <v>50</v>
      </c>
      <c r="N205" s="62"/>
      <c r="O205" s="60" t="s">
        <v>1638</v>
      </c>
      <c r="P205" s="59"/>
      <c r="Q205" s="64" t="s">
        <v>1626</v>
      </c>
    </row>
    <row r="206" ht="22.5" customHeight="1">
      <c r="A206" s="59"/>
      <c r="B206" s="60" t="s">
        <v>1639</v>
      </c>
      <c r="C206" s="59">
        <f t="shared" si="1"/>
        <v>0</v>
      </c>
      <c r="D206" s="61" t="s">
        <v>16</v>
      </c>
      <c r="E206" s="61" t="s">
        <v>49</v>
      </c>
      <c r="F206" s="59" t="s">
        <v>18</v>
      </c>
      <c r="G206" s="61" t="s">
        <v>50</v>
      </c>
      <c r="H206" s="59" t="s">
        <v>20</v>
      </c>
      <c r="I206" s="61" t="s">
        <v>50</v>
      </c>
      <c r="J206" s="63" t="s">
        <v>21</v>
      </c>
      <c r="K206" s="61" t="s">
        <v>50</v>
      </c>
      <c r="L206" s="63" t="s">
        <v>22</v>
      </c>
      <c r="M206" s="61" t="s">
        <v>50</v>
      </c>
      <c r="N206" s="62"/>
      <c r="O206" s="60" t="s">
        <v>1640</v>
      </c>
      <c r="P206" s="59"/>
      <c r="Q206" s="64" t="s">
        <v>1626</v>
      </c>
    </row>
    <row r="207" ht="22.5" customHeight="1">
      <c r="A207" s="59"/>
      <c r="B207" s="60" t="s">
        <v>1641</v>
      </c>
      <c r="C207" s="59">
        <f t="shared" si="1"/>
        <v>0</v>
      </c>
      <c r="D207" s="61" t="s">
        <v>34</v>
      </c>
      <c r="E207" s="61" t="s">
        <v>40</v>
      </c>
      <c r="F207" s="59" t="s">
        <v>18</v>
      </c>
      <c r="G207" s="61" t="s">
        <v>26</v>
      </c>
      <c r="H207" s="59" t="s">
        <v>20</v>
      </c>
      <c r="I207" s="61" t="s">
        <v>19</v>
      </c>
      <c r="J207" s="63" t="s">
        <v>21</v>
      </c>
      <c r="K207" s="61" t="s">
        <v>19</v>
      </c>
      <c r="L207" s="63" t="s">
        <v>22</v>
      </c>
      <c r="M207" s="61" t="s">
        <v>19</v>
      </c>
      <c r="N207" s="62"/>
      <c r="O207" s="60" t="s">
        <v>1642</v>
      </c>
      <c r="P207" s="59"/>
      <c r="Q207" s="64" t="s">
        <v>1626</v>
      </c>
    </row>
    <row r="208" ht="22.5" customHeight="1">
      <c r="A208" s="59"/>
      <c r="B208" s="60" t="s">
        <v>1643</v>
      </c>
      <c r="C208" s="59">
        <f t="shared" si="1"/>
        <v>0</v>
      </c>
      <c r="D208" s="61" t="s">
        <v>34</v>
      </c>
      <c r="E208" s="61" t="s">
        <v>49</v>
      </c>
      <c r="F208" s="59" t="s">
        <v>18</v>
      </c>
      <c r="G208" s="61" t="s">
        <v>50</v>
      </c>
      <c r="H208" s="59" t="s">
        <v>20</v>
      </c>
      <c r="I208" s="61" t="s">
        <v>50</v>
      </c>
      <c r="J208" s="63" t="s">
        <v>21</v>
      </c>
      <c r="K208" s="61" t="s">
        <v>50</v>
      </c>
      <c r="L208" s="63" t="s">
        <v>22</v>
      </c>
      <c r="M208" s="61" t="s">
        <v>50</v>
      </c>
      <c r="N208" s="62"/>
      <c r="O208" s="60" t="s">
        <v>152</v>
      </c>
      <c r="P208" s="59"/>
      <c r="Q208" s="64" t="s">
        <v>1626</v>
      </c>
    </row>
    <row r="209" ht="22.5" customHeight="1">
      <c r="A209" s="59"/>
      <c r="B209" s="60" t="s">
        <v>1644</v>
      </c>
      <c r="C209" s="59">
        <f t="shared" si="1"/>
        <v>0</v>
      </c>
      <c r="D209" s="61" t="s">
        <v>34</v>
      </c>
      <c r="E209" s="61" t="s">
        <v>40</v>
      </c>
      <c r="F209" s="59" t="s">
        <v>18</v>
      </c>
      <c r="G209" s="61" t="s">
        <v>26</v>
      </c>
      <c r="H209" s="59" t="s">
        <v>20</v>
      </c>
      <c r="I209" s="61" t="s">
        <v>19</v>
      </c>
      <c r="J209" s="63" t="s">
        <v>21</v>
      </c>
      <c r="K209" s="61" t="s">
        <v>19</v>
      </c>
      <c r="L209" s="63" t="s">
        <v>22</v>
      </c>
      <c r="M209" s="61" t="s">
        <v>19</v>
      </c>
      <c r="N209" s="62"/>
      <c r="O209" s="60" t="s">
        <v>1645</v>
      </c>
      <c r="P209" s="59"/>
      <c r="Q209" s="64" t="s">
        <v>1626</v>
      </c>
    </row>
    <row r="210" ht="22.5" customHeight="1">
      <c r="A210" s="59"/>
      <c r="B210" s="60" t="s">
        <v>1646</v>
      </c>
      <c r="C210" s="59">
        <f t="shared" si="1"/>
        <v>0</v>
      </c>
      <c r="D210" s="61" t="s">
        <v>16</v>
      </c>
      <c r="E210" s="61" t="s">
        <v>17</v>
      </c>
      <c r="F210" s="59" t="s">
        <v>18</v>
      </c>
      <c r="G210" s="61" t="s">
        <v>19</v>
      </c>
      <c r="H210" s="59" t="s">
        <v>20</v>
      </c>
      <c r="I210" s="61" t="s">
        <v>19</v>
      </c>
      <c r="J210" s="63" t="s">
        <v>21</v>
      </c>
      <c r="K210" s="61" t="s">
        <v>19</v>
      </c>
      <c r="L210" s="63" t="s">
        <v>22</v>
      </c>
      <c r="M210" s="61" t="s">
        <v>19</v>
      </c>
      <c r="N210" s="62"/>
      <c r="O210" s="60" t="s">
        <v>376</v>
      </c>
      <c r="P210" s="59"/>
      <c r="Q210" s="64" t="s">
        <v>1626</v>
      </c>
    </row>
    <row r="211" ht="22.5" customHeight="1">
      <c r="A211" s="59"/>
      <c r="B211" s="60" t="s">
        <v>1647</v>
      </c>
      <c r="C211" s="59">
        <f t="shared" si="1"/>
        <v>0</v>
      </c>
      <c r="D211" s="61" t="s">
        <v>34</v>
      </c>
      <c r="E211" s="61" t="s">
        <v>40</v>
      </c>
      <c r="F211" s="59" t="s">
        <v>18</v>
      </c>
      <c r="G211" s="61" t="s">
        <v>26</v>
      </c>
      <c r="H211" s="59" t="s">
        <v>20</v>
      </c>
      <c r="I211" s="61" t="s">
        <v>19</v>
      </c>
      <c r="J211" s="63" t="s">
        <v>21</v>
      </c>
      <c r="K211" s="61" t="s">
        <v>19</v>
      </c>
      <c r="L211" s="63" t="s">
        <v>22</v>
      </c>
      <c r="M211" s="61" t="s">
        <v>19</v>
      </c>
      <c r="N211" s="62"/>
      <c r="O211" s="60" t="s">
        <v>1648</v>
      </c>
      <c r="P211" s="59"/>
      <c r="Q211" s="64" t="s">
        <v>1626</v>
      </c>
    </row>
    <row r="212" ht="22.5" customHeight="1">
      <c r="A212" s="59"/>
      <c r="B212" s="60" t="s">
        <v>1649</v>
      </c>
      <c r="C212" s="59">
        <f t="shared" si="1"/>
        <v>0</v>
      </c>
      <c r="D212" s="61" t="s">
        <v>16</v>
      </c>
      <c r="E212" s="61" t="s">
        <v>30</v>
      </c>
      <c r="F212" s="59" t="s">
        <v>18</v>
      </c>
      <c r="G212" s="61" t="s">
        <v>19</v>
      </c>
      <c r="H212" s="59" t="s">
        <v>20</v>
      </c>
      <c r="I212" s="61" t="s">
        <v>19</v>
      </c>
      <c r="J212" s="63" t="s">
        <v>21</v>
      </c>
      <c r="K212" s="61" t="s">
        <v>19</v>
      </c>
      <c r="L212" s="63" t="s">
        <v>22</v>
      </c>
      <c r="M212" s="61" t="s">
        <v>19</v>
      </c>
      <c r="N212" s="62"/>
      <c r="O212" s="60" t="s">
        <v>1650</v>
      </c>
      <c r="P212" s="59"/>
      <c r="Q212" s="64" t="s">
        <v>1626</v>
      </c>
    </row>
    <row r="213" ht="22.5" customHeight="1">
      <c r="A213" s="59"/>
      <c r="B213" s="60" t="s">
        <v>1651</v>
      </c>
      <c r="C213" s="59">
        <f t="shared" si="1"/>
        <v>0</v>
      </c>
      <c r="D213" s="61" t="s">
        <v>16</v>
      </c>
      <c r="E213" s="61" t="s">
        <v>49</v>
      </c>
      <c r="F213" s="59" t="s">
        <v>18</v>
      </c>
      <c r="G213" s="61" t="s">
        <v>50</v>
      </c>
      <c r="H213" s="59" t="s">
        <v>20</v>
      </c>
      <c r="I213" s="61" t="s">
        <v>50</v>
      </c>
      <c r="J213" s="63" t="s">
        <v>21</v>
      </c>
      <c r="K213" s="61" t="s">
        <v>50</v>
      </c>
      <c r="L213" s="63" t="s">
        <v>22</v>
      </c>
      <c r="M213" s="61" t="s">
        <v>50</v>
      </c>
      <c r="N213" s="62"/>
      <c r="O213" s="60" t="s">
        <v>1511</v>
      </c>
      <c r="P213" s="59"/>
      <c r="Q213" s="64" t="s">
        <v>1626</v>
      </c>
    </row>
    <row r="214" ht="22.5" customHeight="1">
      <c r="A214" s="59"/>
      <c r="B214" s="60" t="s">
        <v>1652</v>
      </c>
      <c r="C214" s="59">
        <f t="shared" si="1"/>
        <v>0</v>
      </c>
      <c r="D214" s="61" t="s">
        <v>34</v>
      </c>
      <c r="E214" s="61" t="s">
        <v>49</v>
      </c>
      <c r="F214" s="59" t="s">
        <v>18</v>
      </c>
      <c r="G214" s="61" t="s">
        <v>50</v>
      </c>
      <c r="H214" s="59" t="s">
        <v>20</v>
      </c>
      <c r="I214" s="61" t="s">
        <v>50</v>
      </c>
      <c r="J214" s="63" t="s">
        <v>21</v>
      </c>
      <c r="K214" s="61" t="s">
        <v>50</v>
      </c>
      <c r="L214" s="63" t="s">
        <v>22</v>
      </c>
      <c r="M214" s="61" t="s">
        <v>50</v>
      </c>
      <c r="N214" s="62"/>
      <c r="O214" s="60" t="s">
        <v>1653</v>
      </c>
      <c r="P214" s="59"/>
      <c r="Q214" s="64" t="s">
        <v>1626</v>
      </c>
    </row>
    <row r="215" ht="22.5" customHeight="1">
      <c r="A215" s="59"/>
      <c r="B215" s="60" t="s">
        <v>1654</v>
      </c>
      <c r="C215" s="59">
        <f t="shared" si="1"/>
        <v>0</v>
      </c>
      <c r="D215" s="61" t="s">
        <v>16</v>
      </c>
      <c r="E215" s="61" t="s">
        <v>17</v>
      </c>
      <c r="F215" s="59" t="s">
        <v>18</v>
      </c>
      <c r="G215" s="61" t="s">
        <v>19</v>
      </c>
      <c r="H215" s="59" t="s">
        <v>20</v>
      </c>
      <c r="I215" s="61" t="s">
        <v>19</v>
      </c>
      <c r="J215" s="63" t="s">
        <v>21</v>
      </c>
      <c r="K215" s="61" t="s">
        <v>19</v>
      </c>
      <c r="L215" s="63" t="s">
        <v>22</v>
      </c>
      <c r="M215" s="61" t="s">
        <v>19</v>
      </c>
      <c r="N215" s="62"/>
      <c r="O215" s="60" t="s">
        <v>376</v>
      </c>
      <c r="P215" s="59"/>
      <c r="Q215" s="64" t="s">
        <v>1626</v>
      </c>
    </row>
    <row r="216" ht="22.5" customHeight="1">
      <c r="A216" s="59"/>
      <c r="B216" s="64" t="s">
        <v>1655</v>
      </c>
      <c r="C216" s="59">
        <f t="shared" si="1"/>
        <v>0</v>
      </c>
      <c r="D216" s="61" t="s">
        <v>16</v>
      </c>
      <c r="E216" s="61" t="s">
        <v>17</v>
      </c>
      <c r="F216" s="59" t="s">
        <v>18</v>
      </c>
      <c r="G216" s="61" t="s">
        <v>19</v>
      </c>
      <c r="H216" s="59" t="s">
        <v>20</v>
      </c>
      <c r="I216" s="61" t="s">
        <v>19</v>
      </c>
      <c r="J216" s="63" t="s">
        <v>21</v>
      </c>
      <c r="K216" s="61" t="s">
        <v>19</v>
      </c>
      <c r="L216" s="63" t="s">
        <v>22</v>
      </c>
      <c r="M216" s="61" t="s">
        <v>19</v>
      </c>
      <c r="N216" s="62"/>
      <c r="O216" s="60" t="s">
        <v>376</v>
      </c>
      <c r="P216" s="59"/>
      <c r="Q216" s="64" t="s">
        <v>1656</v>
      </c>
    </row>
    <row r="217" ht="22.5" customHeight="1">
      <c r="A217" s="59"/>
      <c r="B217" s="60" t="s">
        <v>1657</v>
      </c>
      <c r="C217" s="59">
        <f t="shared" si="1"/>
        <v>0</v>
      </c>
      <c r="D217" s="61" t="s">
        <v>16</v>
      </c>
      <c r="E217" s="61" t="s">
        <v>17</v>
      </c>
      <c r="F217" s="59" t="s">
        <v>18</v>
      </c>
      <c r="G217" s="61" t="s">
        <v>19</v>
      </c>
      <c r="H217" s="59" t="s">
        <v>20</v>
      </c>
      <c r="I217" s="61" t="s">
        <v>19</v>
      </c>
      <c r="J217" s="63" t="s">
        <v>21</v>
      </c>
      <c r="K217" s="61" t="s">
        <v>19</v>
      </c>
      <c r="L217" s="63" t="s">
        <v>22</v>
      </c>
      <c r="M217" s="61" t="s">
        <v>19</v>
      </c>
      <c r="N217" s="62"/>
      <c r="O217" s="60" t="s">
        <v>376</v>
      </c>
      <c r="P217" s="59"/>
      <c r="Q217" s="64" t="s">
        <v>1656</v>
      </c>
    </row>
    <row r="218" ht="22.5" customHeight="1">
      <c r="A218" s="59"/>
      <c r="B218" s="60" t="s">
        <v>1658</v>
      </c>
      <c r="C218" s="59">
        <f t="shared" si="1"/>
        <v>0</v>
      </c>
      <c r="D218" s="61" t="s">
        <v>16</v>
      </c>
      <c r="E218" s="61" t="s">
        <v>49</v>
      </c>
      <c r="F218" s="59" t="s">
        <v>18</v>
      </c>
      <c r="G218" s="61" t="s">
        <v>50</v>
      </c>
      <c r="H218" s="59" t="s">
        <v>20</v>
      </c>
      <c r="I218" s="61" t="s">
        <v>50</v>
      </c>
      <c r="J218" s="63" t="s">
        <v>21</v>
      </c>
      <c r="K218" s="61" t="s">
        <v>50</v>
      </c>
      <c r="L218" s="63" t="s">
        <v>22</v>
      </c>
      <c r="M218" s="61" t="s">
        <v>50</v>
      </c>
      <c r="N218" s="62"/>
      <c r="O218" s="60" t="s">
        <v>376</v>
      </c>
      <c r="P218" s="59"/>
      <c r="Q218" s="64" t="s">
        <v>1656</v>
      </c>
    </row>
    <row r="219" ht="22.5" customHeight="1">
      <c r="A219" s="59"/>
      <c r="B219" s="60" t="s">
        <v>1659</v>
      </c>
      <c r="C219" s="59">
        <f t="shared" si="1"/>
        <v>0</v>
      </c>
      <c r="D219" s="61" t="s">
        <v>16</v>
      </c>
      <c r="E219" s="61" t="s">
        <v>49</v>
      </c>
      <c r="F219" s="59" t="s">
        <v>18</v>
      </c>
      <c r="G219" s="61" t="s">
        <v>50</v>
      </c>
      <c r="H219" s="59" t="s">
        <v>20</v>
      </c>
      <c r="I219" s="61" t="s">
        <v>50</v>
      </c>
      <c r="J219" s="63" t="s">
        <v>21</v>
      </c>
      <c r="K219" s="61" t="s">
        <v>50</v>
      </c>
      <c r="L219" s="63" t="s">
        <v>22</v>
      </c>
      <c r="M219" s="61" t="s">
        <v>50</v>
      </c>
      <c r="N219" s="62"/>
      <c r="O219" s="60" t="s">
        <v>1660</v>
      </c>
      <c r="P219" s="59"/>
      <c r="Q219" s="64" t="s">
        <v>1656</v>
      </c>
    </row>
    <row r="220" ht="22.5" customHeight="1">
      <c r="A220" s="59"/>
      <c r="B220" s="60" t="s">
        <v>1661</v>
      </c>
      <c r="C220" s="59">
        <f t="shared" si="1"/>
        <v>0</v>
      </c>
      <c r="D220" s="61" t="s">
        <v>34</v>
      </c>
      <c r="E220" s="61" t="s">
        <v>49</v>
      </c>
      <c r="F220" s="59" t="s">
        <v>18</v>
      </c>
      <c r="G220" s="61" t="s">
        <v>50</v>
      </c>
      <c r="H220" s="59" t="s">
        <v>20</v>
      </c>
      <c r="I220" s="61" t="s">
        <v>50</v>
      </c>
      <c r="J220" s="63" t="s">
        <v>21</v>
      </c>
      <c r="K220" s="61" t="s">
        <v>50</v>
      </c>
      <c r="L220" s="63" t="s">
        <v>22</v>
      </c>
      <c r="M220" s="61" t="s">
        <v>50</v>
      </c>
      <c r="N220" s="62"/>
      <c r="O220" s="60" t="s">
        <v>1662</v>
      </c>
      <c r="P220" s="59"/>
      <c r="Q220" s="64" t="s">
        <v>1656</v>
      </c>
    </row>
    <row r="221" ht="22.5" customHeight="1">
      <c r="A221" s="59"/>
      <c r="B221" s="64" t="s">
        <v>1663</v>
      </c>
      <c r="C221" s="59">
        <f t="shared" si="1"/>
        <v>0</v>
      </c>
      <c r="D221" s="61" t="s">
        <v>16</v>
      </c>
      <c r="E221" s="61" t="s">
        <v>49</v>
      </c>
      <c r="F221" s="59" t="s">
        <v>18</v>
      </c>
      <c r="G221" s="61" t="s">
        <v>50</v>
      </c>
      <c r="H221" s="59" t="s">
        <v>20</v>
      </c>
      <c r="I221" s="61" t="s">
        <v>50</v>
      </c>
      <c r="J221" s="63" t="s">
        <v>21</v>
      </c>
      <c r="K221" s="61" t="s">
        <v>50</v>
      </c>
      <c r="L221" s="63" t="s">
        <v>22</v>
      </c>
      <c r="M221" s="61" t="s">
        <v>50</v>
      </c>
      <c r="N221" s="62"/>
      <c r="O221" s="60" t="s">
        <v>1664</v>
      </c>
      <c r="P221" s="59"/>
      <c r="Q221" s="64" t="s">
        <v>1656</v>
      </c>
    </row>
    <row r="222" ht="22.5" customHeight="1">
      <c r="A222" s="59"/>
      <c r="B222" s="60" t="s">
        <v>1665</v>
      </c>
      <c r="C222" s="59">
        <f t="shared" si="1"/>
        <v>0</v>
      </c>
      <c r="D222" s="61" t="s">
        <v>16</v>
      </c>
      <c r="E222" s="61" t="s">
        <v>49</v>
      </c>
      <c r="F222" s="59" t="s">
        <v>18</v>
      </c>
      <c r="G222" s="61" t="s">
        <v>50</v>
      </c>
      <c r="H222" s="59" t="s">
        <v>20</v>
      </c>
      <c r="I222" s="61" t="s">
        <v>50</v>
      </c>
      <c r="J222" s="63" t="s">
        <v>21</v>
      </c>
      <c r="K222" s="61" t="s">
        <v>50</v>
      </c>
      <c r="L222" s="63" t="s">
        <v>22</v>
      </c>
      <c r="M222" s="61" t="s">
        <v>50</v>
      </c>
      <c r="N222" s="62"/>
      <c r="O222" s="60" t="s">
        <v>1320</v>
      </c>
      <c r="P222" s="59"/>
      <c r="Q222" s="64" t="s">
        <v>1656</v>
      </c>
    </row>
    <row r="223" ht="22.5" customHeight="1">
      <c r="A223" s="59"/>
      <c r="B223" s="60" t="s">
        <v>1666</v>
      </c>
      <c r="C223" s="59">
        <f t="shared" si="1"/>
        <v>0</v>
      </c>
      <c r="D223" s="61" t="s">
        <v>34</v>
      </c>
      <c r="E223" s="61" t="s">
        <v>49</v>
      </c>
      <c r="F223" s="59" t="s">
        <v>18</v>
      </c>
      <c r="G223" s="61" t="s">
        <v>50</v>
      </c>
      <c r="H223" s="59" t="s">
        <v>20</v>
      </c>
      <c r="I223" s="61" t="s">
        <v>50</v>
      </c>
      <c r="J223" s="63" t="s">
        <v>21</v>
      </c>
      <c r="K223" s="61" t="s">
        <v>50</v>
      </c>
      <c r="L223" s="63" t="s">
        <v>22</v>
      </c>
      <c r="M223" s="61" t="s">
        <v>50</v>
      </c>
      <c r="N223" s="62"/>
      <c r="O223" s="60" t="s">
        <v>1410</v>
      </c>
      <c r="P223" s="59"/>
      <c r="Q223" s="64" t="s">
        <v>1656</v>
      </c>
    </row>
    <row r="224" ht="22.5" customHeight="1">
      <c r="A224" s="59"/>
      <c r="B224" s="60" t="s">
        <v>1667</v>
      </c>
      <c r="C224" s="59">
        <f t="shared" si="1"/>
        <v>0</v>
      </c>
      <c r="D224" s="61" t="s">
        <v>16</v>
      </c>
      <c r="E224" s="61" t="s">
        <v>17</v>
      </c>
      <c r="F224" s="59" t="s">
        <v>18</v>
      </c>
      <c r="G224" s="61" t="s">
        <v>19</v>
      </c>
      <c r="H224" s="59" t="s">
        <v>20</v>
      </c>
      <c r="I224" s="61" t="s">
        <v>19</v>
      </c>
      <c r="J224" s="63" t="s">
        <v>21</v>
      </c>
      <c r="K224" s="61" t="s">
        <v>19</v>
      </c>
      <c r="L224" s="63" t="s">
        <v>22</v>
      </c>
      <c r="M224" s="61" t="s">
        <v>19</v>
      </c>
      <c r="N224" s="62"/>
      <c r="O224" s="60" t="s">
        <v>376</v>
      </c>
      <c r="P224" s="59"/>
      <c r="Q224" s="64" t="s">
        <v>1656</v>
      </c>
    </row>
    <row r="225" ht="22.5" customHeight="1">
      <c r="A225" s="59"/>
      <c r="B225" s="60" t="s">
        <v>1668</v>
      </c>
      <c r="C225" s="59">
        <f t="shared" si="1"/>
        <v>0</v>
      </c>
      <c r="D225" s="61" t="s">
        <v>34</v>
      </c>
      <c r="E225" s="61" t="s">
        <v>30</v>
      </c>
      <c r="F225" s="59" t="s">
        <v>18</v>
      </c>
      <c r="G225" s="61" t="s">
        <v>19</v>
      </c>
      <c r="H225" s="59" t="s">
        <v>20</v>
      </c>
      <c r="I225" s="61" t="s">
        <v>31</v>
      </c>
      <c r="J225" s="63" t="s">
        <v>21</v>
      </c>
      <c r="K225" s="62"/>
      <c r="L225" s="63" t="s">
        <v>22</v>
      </c>
      <c r="M225" s="61" t="s">
        <v>31</v>
      </c>
      <c r="N225" s="62"/>
      <c r="O225" s="60" t="s">
        <v>1669</v>
      </c>
      <c r="P225" s="59"/>
      <c r="Q225" s="64" t="s">
        <v>1656</v>
      </c>
    </row>
    <row r="226" ht="22.5" customHeight="1">
      <c r="A226" s="59"/>
      <c r="B226" s="60" t="s">
        <v>1670</v>
      </c>
      <c r="C226" s="59">
        <f t="shared" si="1"/>
        <v>0</v>
      </c>
      <c r="D226" s="61" t="s">
        <v>34</v>
      </c>
      <c r="E226" s="61" t="s">
        <v>40</v>
      </c>
      <c r="F226" s="59" t="s">
        <v>18</v>
      </c>
      <c r="G226" s="61" t="s">
        <v>19</v>
      </c>
      <c r="H226" s="59" t="s">
        <v>20</v>
      </c>
      <c r="I226" s="61" t="s">
        <v>26</v>
      </c>
      <c r="J226" s="63" t="s">
        <v>21</v>
      </c>
      <c r="K226" s="61" t="s">
        <v>19</v>
      </c>
      <c r="L226" s="63" t="s">
        <v>22</v>
      </c>
      <c r="M226" s="61" t="s">
        <v>19</v>
      </c>
      <c r="N226" s="62"/>
      <c r="O226" s="60" t="s">
        <v>376</v>
      </c>
      <c r="P226" s="59"/>
      <c r="Q226" s="64" t="s">
        <v>1656</v>
      </c>
    </row>
    <row r="227" ht="22.5" customHeight="1">
      <c r="A227" s="59"/>
      <c r="B227" s="60" t="s">
        <v>1671</v>
      </c>
      <c r="C227" s="59">
        <f t="shared" si="1"/>
        <v>0</v>
      </c>
      <c r="D227" s="61" t="s">
        <v>16</v>
      </c>
      <c r="E227" s="61" t="s">
        <v>17</v>
      </c>
      <c r="F227" s="59" t="s">
        <v>18</v>
      </c>
      <c r="G227" s="61" t="s">
        <v>19</v>
      </c>
      <c r="H227" s="59" t="s">
        <v>20</v>
      </c>
      <c r="I227" s="61" t="s">
        <v>19</v>
      </c>
      <c r="J227" s="63" t="s">
        <v>21</v>
      </c>
      <c r="K227" s="61" t="s">
        <v>19</v>
      </c>
      <c r="L227" s="63" t="s">
        <v>22</v>
      </c>
      <c r="M227" s="61" t="s">
        <v>19</v>
      </c>
      <c r="N227" s="62"/>
      <c r="O227" s="60" t="s">
        <v>376</v>
      </c>
      <c r="P227" s="59"/>
      <c r="Q227" s="64" t="s">
        <v>1656</v>
      </c>
    </row>
    <row r="228" ht="22.5" customHeight="1">
      <c r="A228" s="59"/>
      <c r="B228" s="70" t="s">
        <v>1672</v>
      </c>
      <c r="C228" s="59">
        <f t="shared" si="1"/>
        <v>0</v>
      </c>
      <c r="D228" s="61" t="s">
        <v>16</v>
      </c>
      <c r="E228" s="61" t="s">
        <v>49</v>
      </c>
      <c r="F228" s="59" t="s">
        <v>18</v>
      </c>
      <c r="G228" s="61" t="s">
        <v>50</v>
      </c>
      <c r="H228" s="59" t="s">
        <v>20</v>
      </c>
      <c r="I228" s="61" t="s">
        <v>50</v>
      </c>
      <c r="J228" s="63" t="s">
        <v>21</v>
      </c>
      <c r="K228" s="61" t="s">
        <v>50</v>
      </c>
      <c r="L228" s="63" t="s">
        <v>22</v>
      </c>
      <c r="M228" s="61" t="s">
        <v>50</v>
      </c>
      <c r="N228" s="62"/>
      <c r="O228" s="60" t="s">
        <v>152</v>
      </c>
      <c r="P228" s="59"/>
      <c r="Q228" s="64" t="s">
        <v>1656</v>
      </c>
    </row>
    <row r="229" ht="22.5" customHeight="1">
      <c r="A229" s="59"/>
      <c r="B229" s="60" t="s">
        <v>1673</v>
      </c>
      <c r="C229" s="59">
        <f t="shared" si="1"/>
        <v>0</v>
      </c>
      <c r="D229" s="61" t="s">
        <v>16</v>
      </c>
      <c r="E229" s="61" t="s">
        <v>49</v>
      </c>
      <c r="F229" s="59" t="s">
        <v>18</v>
      </c>
      <c r="G229" s="61" t="s">
        <v>50</v>
      </c>
      <c r="H229" s="59" t="s">
        <v>20</v>
      </c>
      <c r="I229" s="61" t="s">
        <v>50</v>
      </c>
      <c r="J229" s="63" t="s">
        <v>21</v>
      </c>
      <c r="K229" s="61" t="s">
        <v>50</v>
      </c>
      <c r="L229" s="63" t="s">
        <v>22</v>
      </c>
      <c r="M229" s="61" t="s">
        <v>50</v>
      </c>
      <c r="N229" s="62"/>
      <c r="O229" s="60" t="s">
        <v>1674</v>
      </c>
      <c r="P229" s="59"/>
      <c r="Q229" s="64" t="s">
        <v>1656</v>
      </c>
    </row>
    <row r="230" ht="22.5" customHeight="1">
      <c r="A230" s="59"/>
      <c r="B230" s="60" t="s">
        <v>1675</v>
      </c>
      <c r="C230" s="59">
        <f t="shared" si="1"/>
        <v>0</v>
      </c>
      <c r="D230" s="61" t="s">
        <v>34</v>
      </c>
      <c r="E230" s="61" t="s">
        <v>49</v>
      </c>
      <c r="F230" s="59" t="s">
        <v>18</v>
      </c>
      <c r="G230" s="61" t="s">
        <v>50</v>
      </c>
      <c r="H230" s="59" t="s">
        <v>20</v>
      </c>
      <c r="I230" s="61" t="s">
        <v>50</v>
      </c>
      <c r="J230" s="63" t="s">
        <v>21</v>
      </c>
      <c r="K230" s="61" t="s">
        <v>50</v>
      </c>
      <c r="L230" s="63" t="s">
        <v>22</v>
      </c>
      <c r="M230" s="61" t="s">
        <v>50</v>
      </c>
      <c r="N230" s="62"/>
      <c r="O230" s="60" t="s">
        <v>1498</v>
      </c>
      <c r="P230" s="59"/>
      <c r="Q230" s="64" t="s">
        <v>1656</v>
      </c>
    </row>
    <row r="231" ht="22.5" customHeight="1">
      <c r="A231" s="59"/>
      <c r="B231" s="60" t="s">
        <v>1676</v>
      </c>
      <c r="C231" s="59">
        <f t="shared" si="1"/>
        <v>0</v>
      </c>
      <c r="D231" s="61" t="s">
        <v>16</v>
      </c>
      <c r="E231" s="61" t="s">
        <v>17</v>
      </c>
      <c r="F231" s="59" t="s">
        <v>18</v>
      </c>
      <c r="G231" s="61" t="s">
        <v>19</v>
      </c>
      <c r="H231" s="59" t="s">
        <v>20</v>
      </c>
      <c r="I231" s="61" t="s">
        <v>19</v>
      </c>
      <c r="J231" s="63" t="s">
        <v>21</v>
      </c>
      <c r="K231" s="61" t="s">
        <v>19</v>
      </c>
      <c r="L231" s="63" t="s">
        <v>22</v>
      </c>
      <c r="M231" s="61" t="s">
        <v>19</v>
      </c>
      <c r="N231" s="62"/>
      <c r="O231" s="60" t="s">
        <v>376</v>
      </c>
      <c r="P231" s="59"/>
      <c r="Q231" s="64" t="s">
        <v>1656</v>
      </c>
    </row>
    <row r="232" ht="22.5" customHeight="1">
      <c r="A232" s="59"/>
      <c r="B232" s="60" t="s">
        <v>1677</v>
      </c>
      <c r="C232" s="59">
        <f t="shared" si="1"/>
        <v>0</v>
      </c>
      <c r="D232" s="61" t="s">
        <v>16</v>
      </c>
      <c r="E232" s="61" t="s">
        <v>49</v>
      </c>
      <c r="F232" s="59" t="s">
        <v>18</v>
      </c>
      <c r="G232" s="61" t="s">
        <v>50</v>
      </c>
      <c r="H232" s="59" t="s">
        <v>20</v>
      </c>
      <c r="I232" s="61" t="s">
        <v>50</v>
      </c>
      <c r="J232" s="63" t="s">
        <v>21</v>
      </c>
      <c r="K232" s="61" t="s">
        <v>50</v>
      </c>
      <c r="L232" s="63" t="s">
        <v>22</v>
      </c>
      <c r="M232" s="61" t="s">
        <v>50</v>
      </c>
      <c r="N232" s="62"/>
      <c r="O232" s="60" t="s">
        <v>1678</v>
      </c>
      <c r="P232" s="59"/>
      <c r="Q232" s="64" t="s">
        <v>1656</v>
      </c>
    </row>
    <row r="233" ht="22.5" customHeight="1">
      <c r="A233" s="59"/>
      <c r="B233" s="60" t="s">
        <v>1679</v>
      </c>
      <c r="C233" s="59">
        <f t="shared" si="1"/>
        <v>0</v>
      </c>
      <c r="D233" s="61" t="s">
        <v>16</v>
      </c>
      <c r="E233" s="61" t="s">
        <v>49</v>
      </c>
      <c r="F233" s="59" t="s">
        <v>18</v>
      </c>
      <c r="G233" s="61" t="s">
        <v>50</v>
      </c>
      <c r="H233" s="59" t="s">
        <v>20</v>
      </c>
      <c r="I233" s="61" t="s">
        <v>50</v>
      </c>
      <c r="J233" s="63" t="s">
        <v>21</v>
      </c>
      <c r="K233" s="61" t="s">
        <v>50</v>
      </c>
      <c r="L233" s="63" t="s">
        <v>22</v>
      </c>
      <c r="M233" s="61" t="s">
        <v>50</v>
      </c>
      <c r="N233" s="62"/>
      <c r="O233" s="60" t="s">
        <v>1410</v>
      </c>
      <c r="P233" s="59"/>
      <c r="Q233" s="64" t="s">
        <v>1656</v>
      </c>
    </row>
    <row r="234" ht="22.5" customHeight="1">
      <c r="A234" s="59"/>
      <c r="B234" s="60" t="s">
        <v>1680</v>
      </c>
      <c r="C234" s="59">
        <f t="shared" si="1"/>
        <v>0</v>
      </c>
      <c r="D234" s="61" t="s">
        <v>34</v>
      </c>
      <c r="E234" s="61" t="s">
        <v>40</v>
      </c>
      <c r="F234" s="59" t="s">
        <v>18</v>
      </c>
      <c r="G234" s="61" t="s">
        <v>19</v>
      </c>
      <c r="H234" s="59" t="s">
        <v>20</v>
      </c>
      <c r="I234" s="61" t="s">
        <v>31</v>
      </c>
      <c r="J234" s="63" t="s">
        <v>21</v>
      </c>
      <c r="K234" s="61" t="s">
        <v>19</v>
      </c>
      <c r="L234" s="63" t="s">
        <v>22</v>
      </c>
      <c r="M234" s="61" t="s">
        <v>19</v>
      </c>
      <c r="N234" s="62"/>
      <c r="O234" s="60" t="s">
        <v>1542</v>
      </c>
      <c r="P234" s="59"/>
      <c r="Q234" s="64" t="s">
        <v>1656</v>
      </c>
    </row>
    <row r="235" ht="22.5" customHeight="1">
      <c r="A235" s="59"/>
      <c r="B235" s="60" t="s">
        <v>1681</v>
      </c>
      <c r="C235" s="59">
        <f t="shared" si="1"/>
        <v>0</v>
      </c>
      <c r="D235" s="61" t="s">
        <v>34</v>
      </c>
      <c r="E235" s="61" t="s">
        <v>49</v>
      </c>
      <c r="F235" s="59" t="s">
        <v>18</v>
      </c>
      <c r="G235" s="61" t="s">
        <v>50</v>
      </c>
      <c r="H235" s="59" t="s">
        <v>20</v>
      </c>
      <c r="I235" s="61" t="s">
        <v>50</v>
      </c>
      <c r="J235" s="63" t="s">
        <v>21</v>
      </c>
      <c r="K235" s="61" t="s">
        <v>50</v>
      </c>
      <c r="L235" s="63" t="s">
        <v>22</v>
      </c>
      <c r="M235" s="61" t="s">
        <v>50</v>
      </c>
      <c r="N235" s="62"/>
      <c r="O235" s="60" t="s">
        <v>1682</v>
      </c>
      <c r="P235" s="59"/>
      <c r="Q235" s="64" t="s">
        <v>1656</v>
      </c>
    </row>
    <row r="236" ht="22.5" customHeight="1">
      <c r="A236" s="59"/>
      <c r="B236" s="60" t="s">
        <v>1683</v>
      </c>
      <c r="C236" s="59">
        <f t="shared" si="1"/>
        <v>0</v>
      </c>
      <c r="D236" s="61" t="s">
        <v>34</v>
      </c>
      <c r="E236" s="61" t="s">
        <v>49</v>
      </c>
      <c r="F236" s="59" t="s">
        <v>18</v>
      </c>
      <c r="G236" s="61" t="s">
        <v>50</v>
      </c>
      <c r="H236" s="59" t="s">
        <v>20</v>
      </c>
      <c r="I236" s="61" t="s">
        <v>50</v>
      </c>
      <c r="J236" s="63" t="s">
        <v>21</v>
      </c>
      <c r="K236" s="61" t="s">
        <v>50</v>
      </c>
      <c r="L236" s="63" t="s">
        <v>22</v>
      </c>
      <c r="M236" s="61" t="s">
        <v>50</v>
      </c>
      <c r="N236" s="62"/>
      <c r="O236" s="60" t="s">
        <v>1684</v>
      </c>
      <c r="P236" s="59"/>
      <c r="Q236" s="64" t="s">
        <v>1656</v>
      </c>
    </row>
    <row r="237" ht="22.5" customHeight="1">
      <c r="A237" s="59"/>
      <c r="B237" s="60" t="s">
        <v>1685</v>
      </c>
      <c r="C237" s="59">
        <f t="shared" si="1"/>
        <v>0</v>
      </c>
      <c r="D237" s="61" t="s">
        <v>16</v>
      </c>
      <c r="E237" s="61" t="s">
        <v>40</v>
      </c>
      <c r="F237" s="59" t="s">
        <v>18</v>
      </c>
      <c r="G237" s="61" t="s">
        <v>19</v>
      </c>
      <c r="H237" s="59" t="s">
        <v>20</v>
      </c>
      <c r="I237" s="61" t="s">
        <v>19</v>
      </c>
      <c r="J237" s="63" t="s">
        <v>21</v>
      </c>
      <c r="K237" s="61" t="s">
        <v>19</v>
      </c>
      <c r="L237" s="63" t="s">
        <v>22</v>
      </c>
      <c r="M237" s="61" t="s">
        <v>19</v>
      </c>
      <c r="N237" s="62"/>
      <c r="O237" s="60" t="s">
        <v>1686</v>
      </c>
      <c r="P237" s="59"/>
      <c r="Q237" s="64" t="s">
        <v>1656</v>
      </c>
    </row>
    <row r="238" ht="22.5" customHeight="1">
      <c r="A238" s="59"/>
      <c r="B238" s="60" t="s">
        <v>1687</v>
      </c>
      <c r="C238" s="59">
        <f t="shared" si="1"/>
        <v>0</v>
      </c>
      <c r="D238" s="61" t="s">
        <v>16</v>
      </c>
      <c r="E238" s="61" t="s">
        <v>17</v>
      </c>
      <c r="F238" s="59" t="s">
        <v>18</v>
      </c>
      <c r="G238" s="61" t="s">
        <v>19</v>
      </c>
      <c r="H238" s="59" t="s">
        <v>20</v>
      </c>
      <c r="I238" s="61" t="s">
        <v>19</v>
      </c>
      <c r="J238" s="63" t="s">
        <v>21</v>
      </c>
      <c r="K238" s="61" t="s">
        <v>19</v>
      </c>
      <c r="L238" s="63" t="s">
        <v>22</v>
      </c>
      <c r="M238" s="61" t="s">
        <v>19</v>
      </c>
      <c r="N238" s="62"/>
      <c r="O238" s="60" t="s">
        <v>376</v>
      </c>
      <c r="P238" s="59"/>
      <c r="Q238" s="64" t="s">
        <v>1656</v>
      </c>
    </row>
    <row r="239" ht="22.5" customHeight="1">
      <c r="A239" s="59"/>
      <c r="B239" s="60" t="s">
        <v>1688</v>
      </c>
      <c r="C239" s="59">
        <f t="shared" si="1"/>
        <v>0</v>
      </c>
      <c r="D239" s="61" t="s">
        <v>16</v>
      </c>
      <c r="E239" s="61" t="s">
        <v>17</v>
      </c>
      <c r="F239" s="59" t="s">
        <v>18</v>
      </c>
      <c r="G239" s="61" t="s">
        <v>19</v>
      </c>
      <c r="H239" s="59" t="s">
        <v>20</v>
      </c>
      <c r="I239" s="61" t="s">
        <v>19</v>
      </c>
      <c r="J239" s="63" t="s">
        <v>21</v>
      </c>
      <c r="K239" s="61" t="s">
        <v>19</v>
      </c>
      <c r="L239" s="63" t="s">
        <v>22</v>
      </c>
      <c r="M239" s="61" t="s">
        <v>19</v>
      </c>
      <c r="N239" s="62"/>
      <c r="O239" s="60" t="s">
        <v>376</v>
      </c>
      <c r="P239" s="59"/>
      <c r="Q239" s="64" t="s">
        <v>1656</v>
      </c>
    </row>
    <row r="240" ht="22.5" customHeight="1">
      <c r="A240" s="59"/>
      <c r="B240" s="60" t="s">
        <v>1689</v>
      </c>
      <c r="C240" s="59">
        <f t="shared" si="1"/>
        <v>0</v>
      </c>
      <c r="D240" s="61" t="s">
        <v>16</v>
      </c>
      <c r="E240" s="61" t="s">
        <v>49</v>
      </c>
      <c r="F240" s="59" t="s">
        <v>18</v>
      </c>
      <c r="G240" s="61" t="s">
        <v>50</v>
      </c>
      <c r="H240" s="59" t="s">
        <v>20</v>
      </c>
      <c r="I240" s="61" t="s">
        <v>50</v>
      </c>
      <c r="J240" s="63" t="s">
        <v>21</v>
      </c>
      <c r="K240" s="61" t="s">
        <v>50</v>
      </c>
      <c r="L240" s="63" t="s">
        <v>22</v>
      </c>
      <c r="M240" s="61" t="s">
        <v>50</v>
      </c>
      <c r="N240" s="62"/>
      <c r="O240" s="60" t="s">
        <v>1690</v>
      </c>
      <c r="P240" s="59"/>
      <c r="Q240" s="64" t="s">
        <v>1656</v>
      </c>
    </row>
    <row r="241" ht="22.5" customHeight="1">
      <c r="A241" s="59"/>
      <c r="B241" s="60" t="s">
        <v>1691</v>
      </c>
      <c r="C241" s="59">
        <f t="shared" si="1"/>
        <v>0</v>
      </c>
      <c r="D241" s="61" t="s">
        <v>16</v>
      </c>
      <c r="E241" s="61" t="s">
        <v>17</v>
      </c>
      <c r="F241" s="59" t="s">
        <v>18</v>
      </c>
      <c r="G241" s="61" t="s">
        <v>19</v>
      </c>
      <c r="H241" s="59" t="s">
        <v>20</v>
      </c>
      <c r="I241" s="61" t="s">
        <v>19</v>
      </c>
      <c r="J241" s="63" t="s">
        <v>21</v>
      </c>
      <c r="K241" s="61" t="s">
        <v>19</v>
      </c>
      <c r="L241" s="63" t="s">
        <v>22</v>
      </c>
      <c r="M241" s="61" t="s">
        <v>19</v>
      </c>
      <c r="N241" s="62"/>
      <c r="O241" s="60" t="s">
        <v>376</v>
      </c>
      <c r="P241" s="59"/>
      <c r="Q241" s="64" t="s">
        <v>1656</v>
      </c>
    </row>
    <row r="242" ht="22.5" customHeight="1">
      <c r="A242" s="59"/>
      <c r="B242" s="60" t="s">
        <v>1692</v>
      </c>
      <c r="C242" s="59">
        <f t="shared" si="1"/>
        <v>0</v>
      </c>
      <c r="D242" s="61" t="s">
        <v>16</v>
      </c>
      <c r="E242" s="61" t="s">
        <v>49</v>
      </c>
      <c r="F242" s="59" t="s">
        <v>18</v>
      </c>
      <c r="G242" s="61" t="s">
        <v>50</v>
      </c>
      <c r="H242" s="59" t="s">
        <v>20</v>
      </c>
      <c r="I242" s="61" t="s">
        <v>50</v>
      </c>
      <c r="J242" s="63" t="s">
        <v>21</v>
      </c>
      <c r="K242" s="61" t="s">
        <v>50</v>
      </c>
      <c r="L242" s="63" t="s">
        <v>22</v>
      </c>
      <c r="M242" s="61" t="s">
        <v>50</v>
      </c>
      <c r="N242" s="62"/>
      <c r="O242" s="60" t="s">
        <v>152</v>
      </c>
      <c r="P242" s="59"/>
      <c r="Q242" s="64" t="s">
        <v>1656</v>
      </c>
    </row>
    <row r="243" ht="22.5" customHeight="1">
      <c r="A243" s="59"/>
      <c r="B243" s="124" t="s">
        <v>1693</v>
      </c>
      <c r="C243" s="59">
        <f t="shared" si="1"/>
        <v>2</v>
      </c>
      <c r="D243" s="61" t="s">
        <v>16</v>
      </c>
      <c r="E243" s="61" t="s">
        <v>35</v>
      </c>
      <c r="F243" s="59" t="s">
        <v>18</v>
      </c>
      <c r="G243" s="61" t="s">
        <v>19</v>
      </c>
      <c r="H243" s="59" t="s">
        <v>20</v>
      </c>
      <c r="I243" s="61" t="s">
        <v>640</v>
      </c>
      <c r="J243" s="63" t="s">
        <v>21</v>
      </c>
      <c r="K243" s="61" t="s">
        <v>640</v>
      </c>
      <c r="L243" s="63" t="s">
        <v>22</v>
      </c>
      <c r="M243" s="61" t="s">
        <v>19</v>
      </c>
      <c r="N243" s="62"/>
      <c r="O243" s="60" t="s">
        <v>1694</v>
      </c>
      <c r="P243" s="59"/>
      <c r="Q243" s="64" t="s">
        <v>1656</v>
      </c>
    </row>
    <row r="244" ht="22.5" customHeight="1">
      <c r="A244" s="59"/>
      <c r="B244" s="60" t="s">
        <v>1695</v>
      </c>
      <c r="C244" s="59">
        <f t="shared" si="1"/>
        <v>0</v>
      </c>
      <c r="D244" s="61" t="s">
        <v>34</v>
      </c>
      <c r="E244" s="61" t="s">
        <v>49</v>
      </c>
      <c r="F244" s="59" t="s">
        <v>18</v>
      </c>
      <c r="G244" s="61" t="s">
        <v>50</v>
      </c>
      <c r="H244" s="59" t="s">
        <v>20</v>
      </c>
      <c r="I244" s="61" t="s">
        <v>50</v>
      </c>
      <c r="J244" s="63" t="s">
        <v>21</v>
      </c>
      <c r="K244" s="61" t="s">
        <v>50</v>
      </c>
      <c r="L244" s="63" t="s">
        <v>22</v>
      </c>
      <c r="M244" s="61" t="s">
        <v>50</v>
      </c>
      <c r="N244" s="62"/>
      <c r="O244" s="60" t="s">
        <v>1696</v>
      </c>
      <c r="P244" s="59"/>
      <c r="Q244" s="64" t="s">
        <v>1656</v>
      </c>
    </row>
    <row r="245" ht="22.5" customHeight="1">
      <c r="A245" s="59"/>
      <c r="B245" s="60" t="s">
        <v>1697</v>
      </c>
      <c r="C245" s="59">
        <f t="shared" si="1"/>
        <v>0</v>
      </c>
      <c r="D245" s="61" t="s">
        <v>34</v>
      </c>
      <c r="E245" s="61" t="s">
        <v>49</v>
      </c>
      <c r="F245" s="59" t="s">
        <v>18</v>
      </c>
      <c r="G245" s="61" t="s">
        <v>50</v>
      </c>
      <c r="H245" s="59" t="s">
        <v>20</v>
      </c>
      <c r="I245" s="61" t="s">
        <v>50</v>
      </c>
      <c r="J245" s="63" t="s">
        <v>21</v>
      </c>
      <c r="K245" s="61" t="s">
        <v>50</v>
      </c>
      <c r="L245" s="63" t="s">
        <v>22</v>
      </c>
      <c r="M245" s="61" t="s">
        <v>50</v>
      </c>
      <c r="N245" s="62"/>
      <c r="O245" s="60" t="s">
        <v>1698</v>
      </c>
      <c r="P245" s="59"/>
      <c r="Q245" s="64" t="s">
        <v>1656</v>
      </c>
    </row>
    <row r="246" ht="22.5" customHeight="1">
      <c r="A246" s="59"/>
      <c r="B246" s="60" t="s">
        <v>1699</v>
      </c>
      <c r="C246" s="59"/>
      <c r="D246" s="61" t="s">
        <v>16</v>
      </c>
      <c r="E246" s="61" t="s">
        <v>17</v>
      </c>
      <c r="F246" s="59" t="s">
        <v>18</v>
      </c>
      <c r="G246" s="61" t="s">
        <v>19</v>
      </c>
      <c r="H246" s="59" t="s">
        <v>20</v>
      </c>
      <c r="I246" s="61" t="s">
        <v>19</v>
      </c>
      <c r="J246" s="63" t="s">
        <v>21</v>
      </c>
      <c r="K246" s="62"/>
      <c r="L246" s="63" t="s">
        <v>22</v>
      </c>
      <c r="M246" s="62"/>
      <c r="N246" s="62"/>
      <c r="O246" s="60" t="s">
        <v>376</v>
      </c>
      <c r="P246" s="59"/>
      <c r="Q246" s="134">
        <v>45753.0</v>
      </c>
    </row>
    <row r="247" ht="22.5" customHeight="1">
      <c r="A247" s="59"/>
      <c r="B247" s="60" t="s">
        <v>364</v>
      </c>
      <c r="C247" s="59"/>
      <c r="D247" s="61" t="s">
        <v>34</v>
      </c>
      <c r="E247" s="61" t="s">
        <v>30</v>
      </c>
      <c r="F247" s="59" t="s">
        <v>18</v>
      </c>
      <c r="G247" s="61" t="s">
        <v>31</v>
      </c>
      <c r="H247" s="59" t="s">
        <v>20</v>
      </c>
      <c r="I247" s="62"/>
      <c r="J247" s="63" t="s">
        <v>21</v>
      </c>
      <c r="K247" s="62"/>
      <c r="L247" s="63" t="s">
        <v>22</v>
      </c>
      <c r="M247" s="62"/>
      <c r="N247" s="62"/>
      <c r="O247" s="60" t="s">
        <v>365</v>
      </c>
      <c r="P247" s="59"/>
      <c r="Q247" s="134">
        <v>45753.0</v>
      </c>
    </row>
    <row r="248" ht="22.5" customHeight="1">
      <c r="A248" s="64" t="s">
        <v>366</v>
      </c>
      <c r="B248" s="60" t="s">
        <v>367</v>
      </c>
      <c r="D248" s="61" t="s">
        <v>34</v>
      </c>
      <c r="E248" s="61" t="s">
        <v>35</v>
      </c>
      <c r="F248" s="59" t="s">
        <v>18</v>
      </c>
      <c r="G248" s="61" t="s">
        <v>31</v>
      </c>
      <c r="H248" s="59" t="s">
        <v>20</v>
      </c>
      <c r="I248" s="62"/>
      <c r="J248" s="63" t="s">
        <v>21</v>
      </c>
      <c r="K248" s="62"/>
      <c r="L248" s="63" t="s">
        <v>22</v>
      </c>
      <c r="M248" s="62"/>
      <c r="N248" s="62"/>
      <c r="O248" s="60" t="s">
        <v>368</v>
      </c>
      <c r="P248" s="59"/>
      <c r="Q248" s="134">
        <v>45753.0</v>
      </c>
    </row>
    <row r="249" ht="22.5" customHeight="1">
      <c r="A249" s="59"/>
      <c r="B249" s="60" t="s">
        <v>369</v>
      </c>
      <c r="C249" s="59"/>
      <c r="D249" s="61" t="s">
        <v>16</v>
      </c>
      <c r="E249" s="61" t="s">
        <v>17</v>
      </c>
      <c r="F249" s="59" t="s">
        <v>18</v>
      </c>
      <c r="G249" s="61" t="s">
        <v>19</v>
      </c>
      <c r="H249" s="59" t="s">
        <v>20</v>
      </c>
      <c r="I249" s="62"/>
      <c r="J249" s="63" t="s">
        <v>21</v>
      </c>
      <c r="K249" s="62"/>
      <c r="L249" s="63" t="s">
        <v>22</v>
      </c>
      <c r="M249" s="62"/>
      <c r="N249" s="62"/>
      <c r="O249" s="60" t="s">
        <v>376</v>
      </c>
      <c r="P249" s="59"/>
      <c r="Q249" s="134">
        <v>45753.0</v>
      </c>
    </row>
    <row r="250" ht="22.5" customHeight="1">
      <c r="A250" s="59"/>
      <c r="B250" s="60" t="s">
        <v>1700</v>
      </c>
      <c r="C250" s="59"/>
      <c r="D250" s="61" t="s">
        <v>34</v>
      </c>
      <c r="E250" s="61" t="s">
        <v>49</v>
      </c>
      <c r="F250" s="59" t="s">
        <v>18</v>
      </c>
      <c r="G250" s="61" t="s">
        <v>50</v>
      </c>
      <c r="H250" s="59" t="s">
        <v>20</v>
      </c>
      <c r="I250" s="61" t="s">
        <v>50</v>
      </c>
      <c r="J250" s="63" t="s">
        <v>21</v>
      </c>
      <c r="K250" s="61" t="s">
        <v>50</v>
      </c>
      <c r="L250" s="63" t="s">
        <v>22</v>
      </c>
      <c r="M250" s="61" t="s">
        <v>50</v>
      </c>
      <c r="N250" s="62"/>
      <c r="O250" s="60" t="s">
        <v>1511</v>
      </c>
      <c r="P250" s="59"/>
      <c r="Q250" s="134">
        <v>45753.0</v>
      </c>
    </row>
    <row r="251" ht="22.5" customHeight="1">
      <c r="A251" s="59"/>
      <c r="B251" s="60" t="s">
        <v>371</v>
      </c>
      <c r="C251" s="59"/>
      <c r="D251" s="61" t="s">
        <v>16</v>
      </c>
      <c r="E251" s="61" t="s">
        <v>17</v>
      </c>
      <c r="F251" s="59" t="s">
        <v>18</v>
      </c>
      <c r="G251" s="61" t="s">
        <v>19</v>
      </c>
      <c r="H251" s="59" t="s">
        <v>20</v>
      </c>
      <c r="I251" s="62"/>
      <c r="J251" s="63" t="s">
        <v>21</v>
      </c>
      <c r="K251" s="62"/>
      <c r="L251" s="63" t="s">
        <v>22</v>
      </c>
      <c r="M251" s="62"/>
      <c r="N251" s="62"/>
      <c r="O251" s="60" t="s">
        <v>376</v>
      </c>
      <c r="P251" s="59"/>
      <c r="Q251" s="134">
        <v>45753.0</v>
      </c>
    </row>
    <row r="252" ht="22.5" customHeight="1">
      <c r="A252" s="59"/>
      <c r="B252" s="60" t="s">
        <v>373</v>
      </c>
      <c r="C252" s="59"/>
      <c r="D252" s="61" t="s">
        <v>16</v>
      </c>
      <c r="E252" s="61" t="s">
        <v>17</v>
      </c>
      <c r="F252" s="59" t="s">
        <v>18</v>
      </c>
      <c r="G252" s="61" t="s">
        <v>19</v>
      </c>
      <c r="H252" s="59" t="s">
        <v>20</v>
      </c>
      <c r="I252" s="62"/>
      <c r="J252" s="63" t="s">
        <v>21</v>
      </c>
      <c r="K252" s="62"/>
      <c r="L252" s="63" t="s">
        <v>22</v>
      </c>
      <c r="M252" s="62"/>
      <c r="N252" s="62"/>
      <c r="O252" s="60" t="s">
        <v>376</v>
      </c>
      <c r="P252" s="59"/>
      <c r="Q252" s="134">
        <v>45753.0</v>
      </c>
    </row>
    <row r="253" ht="22.5" customHeight="1">
      <c r="A253" s="59"/>
      <c r="B253" s="60" t="s">
        <v>375</v>
      </c>
      <c r="C253" s="59"/>
      <c r="D253" s="61" t="s">
        <v>16</v>
      </c>
      <c r="E253" s="61" t="s">
        <v>17</v>
      </c>
      <c r="F253" s="59" t="s">
        <v>18</v>
      </c>
      <c r="G253" s="61" t="s">
        <v>19</v>
      </c>
      <c r="H253" s="59" t="s">
        <v>20</v>
      </c>
      <c r="I253" s="62"/>
      <c r="J253" s="63" t="s">
        <v>21</v>
      </c>
      <c r="K253" s="62"/>
      <c r="L253" s="63" t="s">
        <v>22</v>
      </c>
      <c r="M253" s="62"/>
      <c r="N253" s="62"/>
      <c r="O253" s="60" t="s">
        <v>376</v>
      </c>
      <c r="P253" s="59"/>
      <c r="Q253" s="134">
        <v>45753.0</v>
      </c>
    </row>
    <row r="254" ht="22.5" customHeight="1">
      <c r="A254" s="59"/>
      <c r="B254" s="60" t="s">
        <v>377</v>
      </c>
      <c r="C254" s="59"/>
      <c r="D254" s="61" t="s">
        <v>16</v>
      </c>
      <c r="E254" s="61" t="s">
        <v>17</v>
      </c>
      <c r="F254" s="59" t="s">
        <v>18</v>
      </c>
      <c r="G254" s="61" t="s">
        <v>19</v>
      </c>
      <c r="H254" s="59" t="s">
        <v>20</v>
      </c>
      <c r="I254" s="62"/>
      <c r="J254" s="63" t="s">
        <v>21</v>
      </c>
      <c r="K254" s="62"/>
      <c r="L254" s="63" t="s">
        <v>22</v>
      </c>
      <c r="M254" s="62"/>
      <c r="N254" s="62"/>
      <c r="O254" s="60" t="s">
        <v>378</v>
      </c>
      <c r="P254" s="59"/>
      <c r="Q254" s="134">
        <v>45753.0</v>
      </c>
    </row>
    <row r="255" ht="22.5" customHeight="1">
      <c r="A255" s="59"/>
      <c r="B255" s="60" t="s">
        <v>379</v>
      </c>
      <c r="C255" s="59"/>
      <c r="D255" s="61" t="s">
        <v>34</v>
      </c>
      <c r="E255" s="61" t="s">
        <v>17</v>
      </c>
      <c r="F255" s="59" t="s">
        <v>18</v>
      </c>
      <c r="G255" s="61" t="s">
        <v>31</v>
      </c>
      <c r="H255" s="59" t="s">
        <v>20</v>
      </c>
      <c r="I255" s="62"/>
      <c r="J255" s="63" t="s">
        <v>21</v>
      </c>
      <c r="K255" s="62"/>
      <c r="L255" s="63" t="s">
        <v>22</v>
      </c>
      <c r="M255" s="62"/>
      <c r="N255" s="62"/>
      <c r="O255" s="60" t="s">
        <v>1701</v>
      </c>
      <c r="P255" s="59"/>
      <c r="Q255" s="134">
        <v>45753.0</v>
      </c>
    </row>
    <row r="256" ht="22.5" customHeight="1">
      <c r="A256" s="59"/>
      <c r="B256" s="60" t="s">
        <v>380</v>
      </c>
      <c r="C256" s="59"/>
      <c r="D256" s="61" t="s">
        <v>34</v>
      </c>
      <c r="E256" s="61" t="s">
        <v>40</v>
      </c>
      <c r="F256" s="59" t="s">
        <v>18</v>
      </c>
      <c r="G256" s="61" t="s">
        <v>31</v>
      </c>
      <c r="H256" s="59" t="s">
        <v>20</v>
      </c>
      <c r="I256" s="62"/>
      <c r="J256" s="63" t="s">
        <v>21</v>
      </c>
      <c r="K256" s="62"/>
      <c r="L256" s="63" t="s">
        <v>22</v>
      </c>
      <c r="M256" s="62"/>
      <c r="N256" s="62"/>
      <c r="O256" s="60" t="s">
        <v>139</v>
      </c>
      <c r="P256" s="59"/>
      <c r="Q256" s="134">
        <v>45753.0</v>
      </c>
    </row>
    <row r="257" ht="22.5" customHeight="1">
      <c r="A257" s="67"/>
      <c r="B257" s="60" t="s">
        <v>381</v>
      </c>
      <c r="C257" s="59"/>
      <c r="D257" s="61" t="s">
        <v>16</v>
      </c>
      <c r="E257" s="61" t="s">
        <v>17</v>
      </c>
      <c r="F257" s="59" t="s">
        <v>18</v>
      </c>
      <c r="G257" s="61" t="s">
        <v>19</v>
      </c>
      <c r="H257" s="59" t="s">
        <v>20</v>
      </c>
      <c r="I257" s="62"/>
      <c r="J257" s="63" t="s">
        <v>21</v>
      </c>
      <c r="K257" s="62"/>
      <c r="L257" s="63" t="s">
        <v>22</v>
      </c>
      <c r="M257" s="62"/>
      <c r="N257" s="62"/>
      <c r="O257" s="60" t="s">
        <v>376</v>
      </c>
      <c r="P257" s="59"/>
      <c r="Q257" s="134">
        <v>45753.0</v>
      </c>
    </row>
    <row r="258" ht="22.5" customHeight="1">
      <c r="A258" s="59"/>
      <c r="B258" s="60" t="s">
        <v>382</v>
      </c>
      <c r="C258" s="59"/>
      <c r="D258" s="61" t="s">
        <v>16</v>
      </c>
      <c r="E258" s="61" t="s">
        <v>17</v>
      </c>
      <c r="F258" s="59" t="s">
        <v>18</v>
      </c>
      <c r="G258" s="61" t="s">
        <v>19</v>
      </c>
      <c r="H258" s="59" t="s">
        <v>20</v>
      </c>
      <c r="I258" s="62"/>
      <c r="J258" s="63" t="s">
        <v>21</v>
      </c>
      <c r="K258" s="62"/>
      <c r="L258" s="63" t="s">
        <v>22</v>
      </c>
      <c r="M258" s="62"/>
      <c r="N258" s="62"/>
      <c r="O258" s="60" t="s">
        <v>376</v>
      </c>
      <c r="P258" s="59"/>
      <c r="Q258" s="134">
        <v>45753.0</v>
      </c>
    </row>
    <row r="259" ht="22.5" customHeight="1">
      <c r="A259" s="59"/>
      <c r="B259" s="60" t="s">
        <v>383</v>
      </c>
      <c r="C259" s="59"/>
      <c r="D259" s="61" t="s">
        <v>16</v>
      </c>
      <c r="E259" s="61" t="s">
        <v>17</v>
      </c>
      <c r="F259" s="59" t="s">
        <v>18</v>
      </c>
      <c r="G259" s="61" t="s">
        <v>19</v>
      </c>
      <c r="H259" s="59" t="s">
        <v>20</v>
      </c>
      <c r="I259" s="62"/>
      <c r="J259" s="63" t="s">
        <v>21</v>
      </c>
      <c r="K259" s="62"/>
      <c r="L259" s="63" t="s">
        <v>22</v>
      </c>
      <c r="M259" s="62"/>
      <c r="N259" s="62"/>
      <c r="O259" s="60" t="s">
        <v>376</v>
      </c>
      <c r="P259" s="59"/>
      <c r="Q259" s="134">
        <v>45753.0</v>
      </c>
    </row>
    <row r="260" ht="22.5" customHeight="1">
      <c r="A260" s="59"/>
      <c r="B260" s="60" t="s">
        <v>384</v>
      </c>
      <c r="C260" s="59"/>
      <c r="D260" s="61" t="s">
        <v>34</v>
      </c>
      <c r="E260" s="61" t="s">
        <v>40</v>
      </c>
      <c r="F260" s="59" t="s">
        <v>18</v>
      </c>
      <c r="G260" s="61" t="s">
        <v>26</v>
      </c>
      <c r="H260" s="59" t="s">
        <v>20</v>
      </c>
      <c r="I260" s="62"/>
      <c r="J260" s="63" t="s">
        <v>21</v>
      </c>
      <c r="K260" s="62"/>
      <c r="L260" s="63" t="s">
        <v>22</v>
      </c>
      <c r="M260" s="62"/>
      <c r="N260" s="62"/>
      <c r="O260" s="60" t="s">
        <v>1702</v>
      </c>
      <c r="P260" s="59"/>
      <c r="Q260" s="134">
        <v>45753.0</v>
      </c>
    </row>
    <row r="261" ht="22.5" customHeight="1">
      <c r="A261" s="59"/>
      <c r="B261" s="60" t="s">
        <v>385</v>
      </c>
      <c r="C261" s="59"/>
      <c r="D261" s="61" t="s">
        <v>16</v>
      </c>
      <c r="E261" s="61" t="s">
        <v>17</v>
      </c>
      <c r="F261" s="59" t="s">
        <v>18</v>
      </c>
      <c r="G261" s="61" t="s">
        <v>19</v>
      </c>
      <c r="H261" s="59" t="s">
        <v>20</v>
      </c>
      <c r="I261" s="62"/>
      <c r="J261" s="63" t="s">
        <v>21</v>
      </c>
      <c r="K261" s="62"/>
      <c r="L261" s="63" t="s">
        <v>22</v>
      </c>
      <c r="M261" s="62"/>
      <c r="N261" s="62"/>
      <c r="O261" s="60" t="s">
        <v>376</v>
      </c>
      <c r="P261" s="59"/>
      <c r="Q261" s="134">
        <v>45753.0</v>
      </c>
    </row>
    <row r="262" ht="22.5" customHeight="1">
      <c r="A262" s="59"/>
      <c r="B262" s="60" t="s">
        <v>1703</v>
      </c>
      <c r="C262" s="59"/>
      <c r="D262" s="61" t="s">
        <v>34</v>
      </c>
      <c r="E262" s="61" t="s">
        <v>49</v>
      </c>
      <c r="F262" s="59" t="s">
        <v>18</v>
      </c>
      <c r="G262" s="61" t="s">
        <v>50</v>
      </c>
      <c r="H262" s="59" t="s">
        <v>20</v>
      </c>
      <c r="I262" s="61" t="s">
        <v>50</v>
      </c>
      <c r="J262" s="63" t="s">
        <v>21</v>
      </c>
      <c r="K262" s="61" t="s">
        <v>50</v>
      </c>
      <c r="L262" s="63" t="s">
        <v>22</v>
      </c>
      <c r="M262" s="61" t="s">
        <v>50</v>
      </c>
      <c r="N262" s="62"/>
      <c r="O262" s="60" t="s">
        <v>1704</v>
      </c>
      <c r="P262" s="59"/>
      <c r="Q262" s="134">
        <v>45753.0</v>
      </c>
    </row>
    <row r="263" ht="22.5" customHeight="1">
      <c r="A263" s="59"/>
      <c r="B263" s="60" t="s">
        <v>386</v>
      </c>
      <c r="C263" s="59"/>
      <c r="D263" s="62"/>
      <c r="E263" s="61" t="s">
        <v>35</v>
      </c>
      <c r="F263" s="59" t="s">
        <v>18</v>
      </c>
      <c r="G263" s="62"/>
      <c r="H263" s="59" t="s">
        <v>20</v>
      </c>
      <c r="I263" s="62"/>
      <c r="J263" s="63" t="s">
        <v>21</v>
      </c>
      <c r="K263" s="62"/>
      <c r="L263" s="63" t="s">
        <v>22</v>
      </c>
      <c r="M263" s="62"/>
      <c r="N263" s="62"/>
      <c r="O263" s="60" t="s">
        <v>387</v>
      </c>
      <c r="P263" s="59"/>
      <c r="Q263" s="134">
        <v>45753.0</v>
      </c>
    </row>
    <row r="264" ht="22.5" customHeight="1">
      <c r="A264" s="59"/>
      <c r="B264" s="60" t="s">
        <v>388</v>
      </c>
      <c r="C264" s="59"/>
      <c r="D264" s="61" t="s">
        <v>16</v>
      </c>
      <c r="E264" s="61" t="s">
        <v>17</v>
      </c>
      <c r="F264" s="59" t="s">
        <v>18</v>
      </c>
      <c r="G264" s="61" t="s">
        <v>19</v>
      </c>
      <c r="H264" s="59" t="s">
        <v>20</v>
      </c>
      <c r="I264" s="62"/>
      <c r="J264" s="63" t="s">
        <v>21</v>
      </c>
      <c r="K264" s="62"/>
      <c r="L264" s="63" t="s">
        <v>22</v>
      </c>
      <c r="M264" s="62"/>
      <c r="N264" s="62"/>
      <c r="O264" s="60" t="s">
        <v>376</v>
      </c>
      <c r="P264" s="59"/>
      <c r="Q264" s="134">
        <v>45753.0</v>
      </c>
    </row>
    <row r="265" ht="22.5" customHeight="1">
      <c r="A265" s="59"/>
      <c r="B265" s="60" t="s">
        <v>389</v>
      </c>
      <c r="C265" s="59"/>
      <c r="D265" s="61" t="s">
        <v>16</v>
      </c>
      <c r="E265" s="61" t="s">
        <v>17</v>
      </c>
      <c r="F265" s="59" t="s">
        <v>18</v>
      </c>
      <c r="G265" s="62"/>
      <c r="H265" s="59" t="s">
        <v>20</v>
      </c>
      <c r="I265" s="61" t="s">
        <v>19</v>
      </c>
      <c r="J265" s="63" t="s">
        <v>21</v>
      </c>
      <c r="K265" s="62"/>
      <c r="L265" s="63" t="s">
        <v>22</v>
      </c>
      <c r="M265" s="62"/>
      <c r="N265" s="62"/>
      <c r="O265" s="60" t="s">
        <v>376</v>
      </c>
      <c r="P265" s="59"/>
      <c r="Q265" s="134">
        <v>45753.0</v>
      </c>
    </row>
    <row r="266" ht="22.5" customHeight="1">
      <c r="A266" s="59"/>
      <c r="B266" s="60" t="s">
        <v>391</v>
      </c>
      <c r="C266" s="59"/>
      <c r="D266" s="61" t="s">
        <v>16</v>
      </c>
      <c r="E266" s="61" t="s">
        <v>17</v>
      </c>
      <c r="F266" s="59" t="s">
        <v>18</v>
      </c>
      <c r="G266" s="62"/>
      <c r="H266" s="59" t="s">
        <v>20</v>
      </c>
      <c r="I266" s="61" t="s">
        <v>19</v>
      </c>
      <c r="J266" s="63" t="s">
        <v>21</v>
      </c>
      <c r="K266" s="62"/>
      <c r="L266" s="63" t="s">
        <v>22</v>
      </c>
      <c r="M266" s="62"/>
      <c r="N266" s="62"/>
      <c r="O266" s="60" t="s">
        <v>376</v>
      </c>
      <c r="P266" s="59"/>
      <c r="Q266" s="134">
        <v>45753.0</v>
      </c>
    </row>
    <row r="267" ht="22.5" customHeight="1">
      <c r="A267" s="59"/>
      <c r="B267" s="60" t="s">
        <v>392</v>
      </c>
      <c r="C267" s="59"/>
      <c r="D267" s="61" t="s">
        <v>34</v>
      </c>
      <c r="E267" s="61" t="s">
        <v>40</v>
      </c>
      <c r="F267" s="59" t="s">
        <v>18</v>
      </c>
      <c r="G267" s="62"/>
      <c r="H267" s="59" t="s">
        <v>20</v>
      </c>
      <c r="I267" s="61" t="s">
        <v>31</v>
      </c>
      <c r="J267" s="63" t="s">
        <v>21</v>
      </c>
      <c r="K267" s="62"/>
      <c r="L267" s="63" t="s">
        <v>22</v>
      </c>
      <c r="M267" s="62"/>
      <c r="N267" s="62"/>
      <c r="O267" s="60" t="s">
        <v>374</v>
      </c>
      <c r="P267" s="59"/>
      <c r="Q267" s="134">
        <v>45753.0</v>
      </c>
    </row>
    <row r="268" ht="22.5" customHeight="1">
      <c r="A268" s="59"/>
      <c r="B268" s="60" t="s">
        <v>393</v>
      </c>
      <c r="C268" s="59"/>
      <c r="D268" s="61" t="s">
        <v>16</v>
      </c>
      <c r="E268" s="61" t="s">
        <v>17</v>
      </c>
      <c r="F268" s="59" t="s">
        <v>18</v>
      </c>
      <c r="G268" s="62"/>
      <c r="H268" s="59" t="s">
        <v>20</v>
      </c>
      <c r="I268" s="61" t="s">
        <v>19</v>
      </c>
      <c r="J268" s="63" t="s">
        <v>21</v>
      </c>
      <c r="K268" s="62"/>
      <c r="L268" s="63" t="s">
        <v>22</v>
      </c>
      <c r="M268" s="62"/>
      <c r="N268" s="62"/>
      <c r="O268" s="60" t="s">
        <v>376</v>
      </c>
      <c r="P268" s="59"/>
      <c r="Q268" s="134">
        <v>45753.0</v>
      </c>
    </row>
    <row r="269" ht="22.5" customHeight="1">
      <c r="A269" s="59"/>
      <c r="B269" s="60" t="s">
        <v>394</v>
      </c>
      <c r="C269" s="59"/>
      <c r="D269" s="61" t="s">
        <v>16</v>
      </c>
      <c r="E269" s="61" t="s">
        <v>17</v>
      </c>
      <c r="F269" s="59" t="s">
        <v>18</v>
      </c>
      <c r="G269" s="62"/>
      <c r="H269" s="59" t="s">
        <v>20</v>
      </c>
      <c r="I269" s="61" t="s">
        <v>19</v>
      </c>
      <c r="J269" s="63" t="s">
        <v>21</v>
      </c>
      <c r="K269" s="62"/>
      <c r="L269" s="63" t="s">
        <v>22</v>
      </c>
      <c r="M269" s="62"/>
      <c r="N269" s="62"/>
      <c r="O269" s="60" t="s">
        <v>376</v>
      </c>
      <c r="P269" s="59"/>
      <c r="Q269" s="134">
        <v>45753.0</v>
      </c>
    </row>
    <row r="270" ht="22.5" customHeight="1">
      <c r="A270" s="64" t="s">
        <v>395</v>
      </c>
      <c r="B270" s="60" t="s">
        <v>396</v>
      </c>
      <c r="D270" s="61" t="s">
        <v>34</v>
      </c>
      <c r="E270" s="61" t="s">
        <v>419</v>
      </c>
      <c r="F270" s="59" t="s">
        <v>18</v>
      </c>
      <c r="G270" s="61" t="s">
        <v>31</v>
      </c>
      <c r="H270" s="59" t="s">
        <v>20</v>
      </c>
      <c r="I270" s="62"/>
      <c r="J270" s="63" t="s">
        <v>21</v>
      </c>
      <c r="K270" s="62"/>
      <c r="L270" s="63" t="s">
        <v>22</v>
      </c>
      <c r="M270" s="62"/>
      <c r="N270" s="62"/>
      <c r="O270" s="60" t="s">
        <v>1705</v>
      </c>
      <c r="P270" s="59"/>
      <c r="Q270" s="134">
        <v>45753.0</v>
      </c>
    </row>
    <row r="271" ht="22.5" customHeight="1">
      <c r="A271" s="59"/>
      <c r="B271" s="60" t="s">
        <v>398</v>
      </c>
      <c r="C271" s="59"/>
      <c r="D271" s="61" t="s">
        <v>16</v>
      </c>
      <c r="E271" s="61" t="s">
        <v>17</v>
      </c>
      <c r="F271" s="59" t="s">
        <v>18</v>
      </c>
      <c r="G271" s="62"/>
      <c r="H271" s="59" t="s">
        <v>20</v>
      </c>
      <c r="I271" s="61" t="s">
        <v>19</v>
      </c>
      <c r="J271" s="63" t="s">
        <v>21</v>
      </c>
      <c r="K271" s="62"/>
      <c r="L271" s="63" t="s">
        <v>22</v>
      </c>
      <c r="M271" s="62"/>
      <c r="N271" s="62"/>
      <c r="O271" s="60" t="s">
        <v>376</v>
      </c>
      <c r="P271" s="59"/>
      <c r="Q271" s="134">
        <v>45753.0</v>
      </c>
    </row>
    <row r="272" ht="22.5" customHeight="1">
      <c r="A272" s="59"/>
      <c r="B272" s="60" t="s">
        <v>1706</v>
      </c>
      <c r="C272" s="59"/>
      <c r="D272" s="61" t="s">
        <v>34</v>
      </c>
      <c r="E272" s="61" t="s">
        <v>49</v>
      </c>
      <c r="F272" s="59" t="s">
        <v>18</v>
      </c>
      <c r="G272" s="61" t="s">
        <v>50</v>
      </c>
      <c r="H272" s="59" t="s">
        <v>20</v>
      </c>
      <c r="I272" s="61" t="s">
        <v>50</v>
      </c>
      <c r="J272" s="63" t="s">
        <v>21</v>
      </c>
      <c r="K272" s="61" t="s">
        <v>50</v>
      </c>
      <c r="L272" s="63" t="s">
        <v>22</v>
      </c>
      <c r="M272" s="61" t="s">
        <v>50</v>
      </c>
      <c r="N272" s="62"/>
      <c r="O272" s="60" t="s">
        <v>152</v>
      </c>
      <c r="P272" s="59"/>
      <c r="Q272" s="134">
        <v>45753.0</v>
      </c>
    </row>
    <row r="273" ht="22.5" customHeight="1">
      <c r="A273" s="59"/>
      <c r="B273" s="60" t="s">
        <v>399</v>
      </c>
      <c r="D273" s="61"/>
      <c r="E273" s="61" t="s">
        <v>40</v>
      </c>
      <c r="F273" s="59" t="s">
        <v>18</v>
      </c>
      <c r="G273" s="62"/>
      <c r="H273" s="59" t="s">
        <v>20</v>
      </c>
      <c r="I273" s="62"/>
      <c r="J273" s="63" t="s">
        <v>21</v>
      </c>
      <c r="K273" s="62"/>
      <c r="L273" s="63" t="s">
        <v>22</v>
      </c>
      <c r="M273" s="62"/>
      <c r="N273" s="62"/>
      <c r="O273" s="60" t="s">
        <v>1707</v>
      </c>
      <c r="P273" s="59"/>
      <c r="Q273" s="134">
        <v>45753.0</v>
      </c>
    </row>
    <row r="274" ht="22.5" customHeight="1">
      <c r="A274" s="59"/>
      <c r="B274" s="60" t="s">
        <v>401</v>
      </c>
      <c r="C274" s="59"/>
      <c r="D274" s="61" t="s">
        <v>16</v>
      </c>
      <c r="E274" s="61" t="s">
        <v>17</v>
      </c>
      <c r="F274" s="59" t="s">
        <v>18</v>
      </c>
      <c r="G274" s="62"/>
      <c r="H274" s="59" t="s">
        <v>20</v>
      </c>
      <c r="I274" s="61" t="s">
        <v>19</v>
      </c>
      <c r="J274" s="63" t="s">
        <v>21</v>
      </c>
      <c r="K274" s="62"/>
      <c r="L274" s="63" t="s">
        <v>22</v>
      </c>
      <c r="M274" s="62"/>
      <c r="N274" s="62"/>
      <c r="O274" s="60" t="s">
        <v>376</v>
      </c>
      <c r="P274" s="59"/>
      <c r="Q274" s="134">
        <v>45753.0</v>
      </c>
    </row>
    <row r="275" ht="22.5" customHeight="1">
      <c r="A275" s="59"/>
      <c r="B275" s="60" t="s">
        <v>402</v>
      </c>
      <c r="C275" s="59"/>
      <c r="D275" s="61" t="s">
        <v>16</v>
      </c>
      <c r="E275" s="61" t="s">
        <v>17</v>
      </c>
      <c r="F275" s="59" t="s">
        <v>18</v>
      </c>
      <c r="G275" s="62"/>
      <c r="H275" s="59" t="s">
        <v>20</v>
      </c>
      <c r="I275" s="61" t="s">
        <v>19</v>
      </c>
      <c r="J275" s="63" t="s">
        <v>21</v>
      </c>
      <c r="K275" s="62"/>
      <c r="L275" s="63" t="s">
        <v>22</v>
      </c>
      <c r="M275" s="62"/>
      <c r="N275" s="62"/>
      <c r="O275" s="60" t="s">
        <v>376</v>
      </c>
      <c r="P275" s="59"/>
      <c r="Q275" s="134">
        <v>45753.0</v>
      </c>
    </row>
    <row r="276" ht="22.5" customHeight="1">
      <c r="A276" s="59"/>
      <c r="B276" s="60" t="s">
        <v>404</v>
      </c>
      <c r="C276" s="59"/>
      <c r="D276" s="61" t="s">
        <v>16</v>
      </c>
      <c r="E276" s="61" t="s">
        <v>17</v>
      </c>
      <c r="F276" s="59" t="s">
        <v>18</v>
      </c>
      <c r="G276" s="62"/>
      <c r="H276" s="59" t="s">
        <v>20</v>
      </c>
      <c r="I276" s="61" t="s">
        <v>19</v>
      </c>
      <c r="J276" s="63" t="s">
        <v>21</v>
      </c>
      <c r="K276" s="62"/>
      <c r="L276" s="63" t="s">
        <v>22</v>
      </c>
      <c r="M276" s="62"/>
      <c r="N276" s="62"/>
      <c r="O276" s="60" t="s">
        <v>376</v>
      </c>
      <c r="P276" s="59"/>
      <c r="Q276" s="134">
        <v>45753.0</v>
      </c>
    </row>
    <row r="277" ht="22.5" customHeight="1">
      <c r="A277" s="59"/>
      <c r="B277" s="60" t="s">
        <v>405</v>
      </c>
      <c r="C277" s="59"/>
      <c r="D277" s="61" t="s">
        <v>34</v>
      </c>
      <c r="E277" s="61" t="s">
        <v>40</v>
      </c>
      <c r="F277" s="59" t="s">
        <v>18</v>
      </c>
      <c r="G277" s="62"/>
      <c r="H277" s="59" t="s">
        <v>20</v>
      </c>
      <c r="I277" s="61" t="s">
        <v>31</v>
      </c>
      <c r="J277" s="63" t="s">
        <v>21</v>
      </c>
      <c r="K277" s="62"/>
      <c r="L277" s="63" t="s">
        <v>22</v>
      </c>
      <c r="M277" s="62"/>
      <c r="N277" s="62"/>
      <c r="O277" s="60" t="s">
        <v>406</v>
      </c>
      <c r="P277" s="59"/>
      <c r="Q277" s="134">
        <v>45753.0</v>
      </c>
    </row>
    <row r="278" ht="22.5" customHeight="1">
      <c r="A278" s="59"/>
      <c r="B278" s="60" t="s">
        <v>408</v>
      </c>
      <c r="C278" s="59"/>
      <c r="D278" s="61" t="s">
        <v>16</v>
      </c>
      <c r="E278" s="61" t="s">
        <v>17</v>
      </c>
      <c r="F278" s="59" t="s">
        <v>18</v>
      </c>
      <c r="G278" s="62"/>
      <c r="H278" s="59" t="s">
        <v>20</v>
      </c>
      <c r="I278" s="61" t="s">
        <v>19</v>
      </c>
      <c r="J278" s="63" t="s">
        <v>21</v>
      </c>
      <c r="K278" s="62"/>
      <c r="L278" s="63" t="s">
        <v>22</v>
      </c>
      <c r="M278" s="62"/>
      <c r="N278" s="62"/>
      <c r="O278" s="60" t="s">
        <v>376</v>
      </c>
      <c r="P278" s="59"/>
      <c r="Q278" s="134">
        <v>45753.0</v>
      </c>
    </row>
    <row r="279" ht="22.5" customHeight="1">
      <c r="A279" s="59"/>
      <c r="B279" s="60" t="s">
        <v>410</v>
      </c>
      <c r="C279" s="59"/>
      <c r="D279" s="61" t="s">
        <v>16</v>
      </c>
      <c r="E279" s="61" t="s">
        <v>17</v>
      </c>
      <c r="F279" s="59" t="s">
        <v>18</v>
      </c>
      <c r="G279" s="62"/>
      <c r="H279" s="59" t="s">
        <v>20</v>
      </c>
      <c r="I279" s="61" t="s">
        <v>19</v>
      </c>
      <c r="J279" s="63" t="s">
        <v>21</v>
      </c>
      <c r="K279" s="62"/>
      <c r="L279" s="63" t="s">
        <v>22</v>
      </c>
      <c r="M279" s="62"/>
      <c r="N279" s="62"/>
      <c r="O279" s="60" t="s">
        <v>376</v>
      </c>
      <c r="P279" s="59"/>
      <c r="Q279" s="134">
        <v>45753.0</v>
      </c>
    </row>
    <row r="280" ht="22.5" customHeight="1">
      <c r="A280" s="59"/>
      <c r="B280" s="60" t="s">
        <v>411</v>
      </c>
      <c r="C280" s="59"/>
      <c r="D280" s="61" t="s">
        <v>34</v>
      </c>
      <c r="E280" s="61" t="s">
        <v>25</v>
      </c>
      <c r="F280" s="59" t="s">
        <v>18</v>
      </c>
      <c r="G280" s="62"/>
      <c r="H280" s="59" t="s">
        <v>20</v>
      </c>
      <c r="I280" s="61" t="s">
        <v>31</v>
      </c>
      <c r="J280" s="63" t="s">
        <v>21</v>
      </c>
      <c r="K280" s="62"/>
      <c r="L280" s="63" t="s">
        <v>22</v>
      </c>
      <c r="M280" s="62"/>
      <c r="N280" s="62"/>
      <c r="O280" s="60" t="s">
        <v>1708</v>
      </c>
      <c r="P280" s="59"/>
      <c r="Q280" s="134">
        <v>45753.0</v>
      </c>
    </row>
    <row r="281" ht="22.5" customHeight="1">
      <c r="A281" s="59"/>
      <c r="B281" s="60" t="s">
        <v>413</v>
      </c>
      <c r="C281" s="59"/>
      <c r="D281" s="61" t="s">
        <v>16</v>
      </c>
      <c r="E281" s="61" t="s">
        <v>17</v>
      </c>
      <c r="F281" s="59" t="s">
        <v>18</v>
      </c>
      <c r="G281" s="62"/>
      <c r="H281" s="59" t="s">
        <v>20</v>
      </c>
      <c r="I281" s="61" t="s">
        <v>19</v>
      </c>
      <c r="J281" s="63" t="s">
        <v>21</v>
      </c>
      <c r="K281" s="62"/>
      <c r="L281" s="63" t="s">
        <v>22</v>
      </c>
      <c r="M281" s="62"/>
      <c r="N281" s="62"/>
      <c r="O281" s="60" t="s">
        <v>376</v>
      </c>
      <c r="P281" s="59"/>
      <c r="Q281" s="134">
        <v>45753.0</v>
      </c>
    </row>
    <row r="282" ht="22.5" customHeight="1">
      <c r="A282" s="59"/>
      <c r="B282" s="60" t="s">
        <v>1709</v>
      </c>
      <c r="C282" s="59"/>
      <c r="D282" s="61" t="s">
        <v>16</v>
      </c>
      <c r="E282" s="61" t="s">
        <v>49</v>
      </c>
      <c r="F282" s="59" t="s">
        <v>18</v>
      </c>
      <c r="G282" s="61" t="s">
        <v>50</v>
      </c>
      <c r="H282" s="59" t="s">
        <v>20</v>
      </c>
      <c r="I282" s="61" t="s">
        <v>50</v>
      </c>
      <c r="J282" s="63" t="s">
        <v>21</v>
      </c>
      <c r="K282" s="61" t="s">
        <v>50</v>
      </c>
      <c r="L282" s="63" t="s">
        <v>22</v>
      </c>
      <c r="M282" s="61" t="s">
        <v>50</v>
      </c>
      <c r="N282" s="62"/>
      <c r="O282" s="60" t="s">
        <v>152</v>
      </c>
      <c r="P282" s="59"/>
      <c r="Q282" s="134">
        <v>45753.0</v>
      </c>
    </row>
    <row r="283" ht="22.5" customHeight="1">
      <c r="A283" s="59"/>
      <c r="B283" s="60" t="s">
        <v>414</v>
      </c>
      <c r="C283" s="59"/>
      <c r="D283" s="61" t="s">
        <v>34</v>
      </c>
      <c r="E283" s="61" t="s">
        <v>40</v>
      </c>
      <c r="F283" s="59" t="s">
        <v>18</v>
      </c>
      <c r="G283" s="62"/>
      <c r="H283" s="59" t="s">
        <v>20</v>
      </c>
      <c r="I283" s="61" t="s">
        <v>31</v>
      </c>
      <c r="J283" s="63" t="s">
        <v>21</v>
      </c>
      <c r="K283" s="62"/>
      <c r="L283" s="63" t="s">
        <v>22</v>
      </c>
      <c r="M283" s="62"/>
      <c r="N283" s="62"/>
      <c r="O283" s="60" t="s">
        <v>1710</v>
      </c>
      <c r="P283" s="59"/>
      <c r="Q283" s="134">
        <v>45753.0</v>
      </c>
    </row>
    <row r="284" ht="22.5" customHeight="1">
      <c r="A284" s="59"/>
      <c r="B284" s="60" t="s">
        <v>415</v>
      </c>
      <c r="C284" s="59"/>
      <c r="D284" s="61" t="s">
        <v>16</v>
      </c>
      <c r="E284" s="61" t="s">
        <v>49</v>
      </c>
      <c r="F284" s="59" t="s">
        <v>18</v>
      </c>
      <c r="G284" s="61" t="s">
        <v>50</v>
      </c>
      <c r="H284" s="59" t="s">
        <v>20</v>
      </c>
      <c r="I284" s="61" t="s">
        <v>50</v>
      </c>
      <c r="J284" s="63" t="s">
        <v>21</v>
      </c>
      <c r="K284" s="61" t="s">
        <v>50</v>
      </c>
      <c r="L284" s="63" t="s">
        <v>22</v>
      </c>
      <c r="M284" s="61" t="s">
        <v>50</v>
      </c>
      <c r="N284" s="62"/>
      <c r="O284" s="60" t="s">
        <v>376</v>
      </c>
      <c r="P284" s="59"/>
      <c r="Q284" s="134">
        <v>45753.0</v>
      </c>
    </row>
    <row r="285" ht="22.5" customHeight="1">
      <c r="A285" s="60" t="s">
        <v>417</v>
      </c>
      <c r="B285" s="60" t="s">
        <v>418</v>
      </c>
      <c r="C285" s="59"/>
      <c r="D285" s="61" t="s">
        <v>34</v>
      </c>
      <c r="E285" s="61" t="s">
        <v>419</v>
      </c>
      <c r="F285" s="59" t="s">
        <v>18</v>
      </c>
      <c r="G285" s="61" t="s">
        <v>26</v>
      </c>
      <c r="H285" s="59" t="s">
        <v>20</v>
      </c>
      <c r="I285" s="61" t="s">
        <v>19</v>
      </c>
      <c r="J285" s="63" t="s">
        <v>21</v>
      </c>
      <c r="K285" s="62"/>
      <c r="L285" s="63" t="s">
        <v>22</v>
      </c>
      <c r="M285" s="62"/>
      <c r="N285" s="62"/>
      <c r="O285" s="60" t="s">
        <v>420</v>
      </c>
      <c r="P285" s="59"/>
      <c r="Q285" s="134">
        <v>45753.0</v>
      </c>
    </row>
    <row r="286" ht="22.5" customHeight="1">
      <c r="A286" s="59"/>
      <c r="B286" s="60" t="s">
        <v>421</v>
      </c>
      <c r="C286" s="59"/>
      <c r="D286" s="61" t="s">
        <v>34</v>
      </c>
      <c r="E286" s="61" t="s">
        <v>30</v>
      </c>
      <c r="F286" s="59" t="s">
        <v>18</v>
      </c>
      <c r="G286" s="62"/>
      <c r="H286" s="59" t="s">
        <v>20</v>
      </c>
      <c r="I286" s="61" t="s">
        <v>31</v>
      </c>
      <c r="J286" s="63" t="s">
        <v>21</v>
      </c>
      <c r="K286" s="62"/>
      <c r="L286" s="63" t="s">
        <v>22</v>
      </c>
      <c r="M286" s="62"/>
      <c r="N286" s="62"/>
      <c r="O286" s="60" t="s">
        <v>422</v>
      </c>
      <c r="P286" s="59"/>
      <c r="Q286" s="134">
        <v>45753.0</v>
      </c>
    </row>
    <row r="287" ht="22.5" customHeight="1">
      <c r="A287" s="59"/>
      <c r="B287" s="60" t="s">
        <v>423</v>
      </c>
      <c r="C287" s="59"/>
      <c r="D287" s="61" t="s">
        <v>34</v>
      </c>
      <c r="E287" s="61" t="s">
        <v>49</v>
      </c>
      <c r="F287" s="59" t="s">
        <v>18</v>
      </c>
      <c r="G287" s="61" t="s">
        <v>50</v>
      </c>
      <c r="H287" s="59" t="s">
        <v>20</v>
      </c>
      <c r="I287" s="61" t="s">
        <v>50</v>
      </c>
      <c r="J287" s="63" t="s">
        <v>21</v>
      </c>
      <c r="K287" s="61" t="s">
        <v>50</v>
      </c>
      <c r="L287" s="63" t="s">
        <v>22</v>
      </c>
      <c r="M287" s="61" t="s">
        <v>50</v>
      </c>
      <c r="N287" s="62"/>
      <c r="O287" s="60" t="s">
        <v>372</v>
      </c>
      <c r="P287" s="59"/>
      <c r="Q287" s="134">
        <v>45753.0</v>
      </c>
    </row>
    <row r="288" ht="22.5" customHeight="1">
      <c r="A288" s="59"/>
      <c r="B288" s="60" t="s">
        <v>425</v>
      </c>
      <c r="C288" s="59"/>
      <c r="D288" s="61" t="s">
        <v>34</v>
      </c>
      <c r="E288" s="61" t="s">
        <v>40</v>
      </c>
      <c r="F288" s="59" t="s">
        <v>18</v>
      </c>
      <c r="G288" s="62"/>
      <c r="H288" s="59" t="s">
        <v>20</v>
      </c>
      <c r="I288" s="61" t="s">
        <v>31</v>
      </c>
      <c r="J288" s="63" t="s">
        <v>21</v>
      </c>
      <c r="K288" s="62"/>
      <c r="L288" s="63" t="s">
        <v>22</v>
      </c>
      <c r="M288" s="62"/>
      <c r="N288" s="62"/>
      <c r="O288" s="60" t="s">
        <v>374</v>
      </c>
      <c r="P288" s="59"/>
      <c r="Q288" s="134">
        <v>45753.0</v>
      </c>
    </row>
    <row r="289" ht="22.5" customHeight="1">
      <c r="A289" s="59"/>
      <c r="B289" s="60" t="s">
        <v>426</v>
      </c>
      <c r="C289" s="59"/>
      <c r="D289" s="61" t="s">
        <v>16</v>
      </c>
      <c r="E289" s="61" t="s">
        <v>17</v>
      </c>
      <c r="F289" s="59" t="s">
        <v>18</v>
      </c>
      <c r="G289" s="62"/>
      <c r="H289" s="59" t="s">
        <v>20</v>
      </c>
      <c r="I289" s="61" t="s">
        <v>19</v>
      </c>
      <c r="J289" s="63" t="s">
        <v>21</v>
      </c>
      <c r="K289" s="62"/>
      <c r="L289" s="63" t="s">
        <v>22</v>
      </c>
      <c r="M289" s="62"/>
      <c r="N289" s="62"/>
      <c r="O289" s="60" t="s">
        <v>376</v>
      </c>
      <c r="P289" s="59"/>
      <c r="Q289" s="134">
        <v>45753.0</v>
      </c>
    </row>
    <row r="290" ht="22.5" customHeight="1">
      <c r="A290" s="59"/>
      <c r="B290" s="60" t="s">
        <v>428</v>
      </c>
      <c r="C290" s="59"/>
      <c r="D290" s="61" t="s">
        <v>34</v>
      </c>
      <c r="E290" s="61" t="s">
        <v>40</v>
      </c>
      <c r="F290" s="59" t="s">
        <v>18</v>
      </c>
      <c r="G290" s="62"/>
      <c r="H290" s="59" t="s">
        <v>20</v>
      </c>
      <c r="I290" s="61"/>
      <c r="J290" s="63" t="s">
        <v>21</v>
      </c>
      <c r="K290" s="61" t="s">
        <v>31</v>
      </c>
      <c r="L290" s="63" t="s">
        <v>22</v>
      </c>
      <c r="M290" s="62"/>
      <c r="N290" s="62"/>
      <c r="O290" s="60" t="s">
        <v>374</v>
      </c>
      <c r="P290" s="59"/>
      <c r="Q290" s="134">
        <v>45753.0</v>
      </c>
    </row>
    <row r="291" ht="22.5" customHeight="1">
      <c r="A291" s="59"/>
      <c r="B291" s="60" t="s">
        <v>429</v>
      </c>
      <c r="C291" s="59"/>
      <c r="D291" s="61" t="s">
        <v>34</v>
      </c>
      <c r="E291" s="61" t="s">
        <v>40</v>
      </c>
      <c r="F291" s="59" t="s">
        <v>18</v>
      </c>
      <c r="G291" s="62"/>
      <c r="H291" s="59" t="s">
        <v>20</v>
      </c>
      <c r="I291" s="62"/>
      <c r="J291" s="63" t="s">
        <v>21</v>
      </c>
      <c r="K291" s="61" t="s">
        <v>31</v>
      </c>
      <c r="L291" s="63" t="s">
        <v>22</v>
      </c>
      <c r="M291" s="62"/>
      <c r="N291" s="62"/>
      <c r="O291" s="60" t="s">
        <v>1711</v>
      </c>
      <c r="P291" s="59"/>
      <c r="Q291" s="134">
        <v>45753.0</v>
      </c>
    </row>
    <row r="292" ht="22.5" customHeight="1">
      <c r="A292" s="59"/>
      <c r="B292" s="60" t="s">
        <v>1712</v>
      </c>
      <c r="C292" s="59"/>
      <c r="D292" s="61" t="s">
        <v>34</v>
      </c>
      <c r="E292" s="61" t="s">
        <v>49</v>
      </c>
      <c r="F292" s="59" t="s">
        <v>18</v>
      </c>
      <c r="G292" s="61" t="s">
        <v>50</v>
      </c>
      <c r="H292" s="59" t="s">
        <v>20</v>
      </c>
      <c r="I292" s="61" t="s">
        <v>50</v>
      </c>
      <c r="J292" s="63" t="s">
        <v>21</v>
      </c>
      <c r="K292" s="61" t="s">
        <v>50</v>
      </c>
      <c r="L292" s="63" t="s">
        <v>22</v>
      </c>
      <c r="M292" s="61" t="s">
        <v>50</v>
      </c>
      <c r="N292" s="62"/>
      <c r="O292" s="60" t="s">
        <v>1713</v>
      </c>
      <c r="P292" s="59"/>
      <c r="Q292" s="134">
        <v>45753.0</v>
      </c>
    </row>
    <row r="293" ht="22.5" customHeight="1">
      <c r="A293" s="59"/>
      <c r="B293" s="60" t="s">
        <v>1714</v>
      </c>
      <c r="C293" s="59"/>
      <c r="D293" s="61" t="s">
        <v>34</v>
      </c>
      <c r="E293" s="61" t="s">
        <v>49</v>
      </c>
      <c r="F293" s="59" t="s">
        <v>18</v>
      </c>
      <c r="G293" s="61" t="s">
        <v>50</v>
      </c>
      <c r="H293" s="59" t="s">
        <v>20</v>
      </c>
      <c r="I293" s="61" t="s">
        <v>50</v>
      </c>
      <c r="J293" s="63" t="s">
        <v>21</v>
      </c>
      <c r="K293" s="61" t="s">
        <v>50</v>
      </c>
      <c r="L293" s="63" t="s">
        <v>22</v>
      </c>
      <c r="M293" s="61" t="s">
        <v>50</v>
      </c>
      <c r="N293" s="62"/>
      <c r="O293" s="60" t="s">
        <v>1715</v>
      </c>
      <c r="P293" s="59"/>
      <c r="Q293" s="134">
        <v>45753.0</v>
      </c>
    </row>
    <row r="294" ht="22.5" customHeight="1">
      <c r="A294" s="59"/>
      <c r="B294" s="60" t="s">
        <v>430</v>
      </c>
      <c r="C294" s="59"/>
      <c r="D294" s="61" t="s">
        <v>34</v>
      </c>
      <c r="E294" s="61" t="s">
        <v>40</v>
      </c>
      <c r="F294" s="59" t="s">
        <v>18</v>
      </c>
      <c r="G294" s="62"/>
      <c r="H294" s="59" t="s">
        <v>20</v>
      </c>
      <c r="I294" s="62"/>
      <c r="J294" s="63" t="s">
        <v>21</v>
      </c>
      <c r="K294" s="61" t="s">
        <v>31</v>
      </c>
      <c r="L294" s="63" t="s">
        <v>22</v>
      </c>
      <c r="M294" s="62"/>
      <c r="N294" s="62"/>
      <c r="O294" s="60" t="s">
        <v>1716</v>
      </c>
      <c r="P294" s="59"/>
      <c r="Q294" s="134">
        <v>45783.0</v>
      </c>
    </row>
    <row r="295" ht="22.5" customHeight="1">
      <c r="A295" s="59"/>
      <c r="B295" s="60" t="s">
        <v>1717</v>
      </c>
      <c r="C295" s="59"/>
      <c r="D295" s="61" t="s">
        <v>34</v>
      </c>
      <c r="E295" s="61" t="s">
        <v>49</v>
      </c>
      <c r="F295" s="59" t="s">
        <v>18</v>
      </c>
      <c r="G295" s="61" t="s">
        <v>50</v>
      </c>
      <c r="H295" s="59" t="s">
        <v>20</v>
      </c>
      <c r="I295" s="61" t="s">
        <v>50</v>
      </c>
      <c r="J295" s="63" t="s">
        <v>21</v>
      </c>
      <c r="K295" s="61" t="s">
        <v>50</v>
      </c>
      <c r="L295" s="63" t="s">
        <v>22</v>
      </c>
      <c r="M295" s="61" t="s">
        <v>50</v>
      </c>
      <c r="N295" s="62"/>
      <c r="O295" s="60" t="s">
        <v>211</v>
      </c>
      <c r="P295" s="59"/>
      <c r="Q295" s="134">
        <v>45783.0</v>
      </c>
    </row>
    <row r="296" ht="22.5" customHeight="1">
      <c r="A296" s="59"/>
      <c r="B296" s="60" t="s">
        <v>431</v>
      </c>
      <c r="C296" s="59"/>
      <c r="D296" s="61" t="s">
        <v>16</v>
      </c>
      <c r="E296" s="61" t="s">
        <v>17</v>
      </c>
      <c r="F296" s="59" t="s">
        <v>18</v>
      </c>
      <c r="G296" s="62"/>
      <c r="H296" s="59" t="s">
        <v>20</v>
      </c>
      <c r="I296" s="62"/>
      <c r="J296" s="63" t="s">
        <v>21</v>
      </c>
      <c r="K296" s="61" t="s">
        <v>19</v>
      </c>
      <c r="L296" s="63" t="s">
        <v>22</v>
      </c>
      <c r="M296" s="62"/>
      <c r="N296" s="62"/>
      <c r="O296" s="60" t="s">
        <v>376</v>
      </c>
      <c r="P296" s="59"/>
      <c r="Q296" s="134">
        <v>45783.0</v>
      </c>
    </row>
    <row r="297" ht="22.5" customHeight="1">
      <c r="A297" s="59"/>
      <c r="B297" s="60" t="s">
        <v>432</v>
      </c>
      <c r="C297" s="59"/>
      <c r="D297" s="61" t="s">
        <v>34</v>
      </c>
      <c r="E297" s="61" t="s">
        <v>35</v>
      </c>
      <c r="F297" s="59" t="s">
        <v>18</v>
      </c>
      <c r="G297" s="62"/>
      <c r="H297" s="59" t="s">
        <v>20</v>
      </c>
      <c r="I297" s="62"/>
      <c r="J297" s="63" t="s">
        <v>21</v>
      </c>
      <c r="K297" s="61" t="s">
        <v>31</v>
      </c>
      <c r="L297" s="63" t="s">
        <v>22</v>
      </c>
      <c r="M297" s="62"/>
      <c r="N297" s="62"/>
      <c r="O297" s="60" t="s">
        <v>1718</v>
      </c>
      <c r="P297" s="59"/>
      <c r="Q297" s="134">
        <v>45783.0</v>
      </c>
    </row>
    <row r="298" ht="22.5" customHeight="1">
      <c r="A298" s="59"/>
      <c r="B298" s="60" t="s">
        <v>1719</v>
      </c>
      <c r="C298" s="59"/>
      <c r="D298" s="61" t="s">
        <v>34</v>
      </c>
      <c r="E298" s="61" t="s">
        <v>49</v>
      </c>
      <c r="F298" s="59" t="s">
        <v>18</v>
      </c>
      <c r="G298" s="61" t="s">
        <v>50</v>
      </c>
      <c r="H298" s="59" t="s">
        <v>20</v>
      </c>
      <c r="I298" s="61" t="s">
        <v>50</v>
      </c>
      <c r="J298" s="63" t="s">
        <v>21</v>
      </c>
      <c r="K298" s="61" t="s">
        <v>50</v>
      </c>
      <c r="L298" s="63" t="s">
        <v>22</v>
      </c>
      <c r="M298" s="61" t="s">
        <v>50</v>
      </c>
      <c r="N298" s="62"/>
      <c r="O298" s="60" t="s">
        <v>1720</v>
      </c>
      <c r="P298" s="59"/>
      <c r="Q298" s="134">
        <v>45783.0</v>
      </c>
    </row>
    <row r="299" ht="22.5" customHeight="1">
      <c r="A299" s="59"/>
      <c r="B299" s="60" t="s">
        <v>434</v>
      </c>
      <c r="C299" s="59"/>
      <c r="D299" s="61" t="s">
        <v>34</v>
      </c>
      <c r="E299" s="61" t="s">
        <v>419</v>
      </c>
      <c r="F299" s="59" t="s">
        <v>18</v>
      </c>
      <c r="G299" s="62"/>
      <c r="H299" s="59" t="s">
        <v>20</v>
      </c>
      <c r="I299" s="62"/>
      <c r="J299" s="63" t="s">
        <v>21</v>
      </c>
      <c r="K299" s="61" t="s">
        <v>31</v>
      </c>
      <c r="L299" s="63" t="s">
        <v>22</v>
      </c>
      <c r="M299" s="62"/>
      <c r="N299" s="62"/>
      <c r="O299" s="60" t="s">
        <v>1595</v>
      </c>
      <c r="P299" s="59"/>
      <c r="Q299" s="134">
        <v>45783.0</v>
      </c>
    </row>
    <row r="300" ht="22.5" customHeight="1">
      <c r="A300" s="59"/>
      <c r="B300" s="60" t="s">
        <v>436</v>
      </c>
      <c r="C300" s="59"/>
      <c r="D300" s="61" t="s">
        <v>34</v>
      </c>
      <c r="E300" s="61" t="s">
        <v>30</v>
      </c>
      <c r="F300" s="59" t="s">
        <v>18</v>
      </c>
      <c r="G300" s="62"/>
      <c r="H300" s="59" t="s">
        <v>20</v>
      </c>
      <c r="I300" s="62"/>
      <c r="J300" s="63" t="s">
        <v>21</v>
      </c>
      <c r="K300" s="61" t="s">
        <v>31</v>
      </c>
      <c r="L300" s="63" t="s">
        <v>22</v>
      </c>
      <c r="M300" s="62"/>
      <c r="N300" s="62"/>
      <c r="O300" s="60" t="s">
        <v>437</v>
      </c>
      <c r="P300" s="59"/>
      <c r="Q300" s="134">
        <v>45783.0</v>
      </c>
    </row>
    <row r="301" ht="22.5" customHeight="1">
      <c r="A301" s="59"/>
      <c r="B301" s="60" t="s">
        <v>438</v>
      </c>
      <c r="C301" s="59"/>
      <c r="D301" s="61" t="s">
        <v>16</v>
      </c>
      <c r="E301" s="61" t="s">
        <v>17</v>
      </c>
      <c r="F301" s="59" t="s">
        <v>18</v>
      </c>
      <c r="G301" s="62"/>
      <c r="H301" s="59" t="s">
        <v>20</v>
      </c>
      <c r="I301" s="62"/>
      <c r="J301" s="63" t="s">
        <v>21</v>
      </c>
      <c r="K301" s="61" t="s">
        <v>19</v>
      </c>
      <c r="L301" s="63" t="s">
        <v>22</v>
      </c>
      <c r="M301" s="62"/>
      <c r="N301" s="62"/>
      <c r="O301" s="60" t="s">
        <v>376</v>
      </c>
      <c r="P301" s="59"/>
      <c r="Q301" s="134">
        <v>45783.0</v>
      </c>
    </row>
    <row r="302" ht="22.5" customHeight="1">
      <c r="A302" s="59"/>
      <c r="B302" s="60" t="s">
        <v>439</v>
      </c>
      <c r="C302" s="59"/>
      <c r="D302" s="61" t="s">
        <v>16</v>
      </c>
      <c r="E302" s="61" t="s">
        <v>17</v>
      </c>
      <c r="F302" s="59" t="s">
        <v>18</v>
      </c>
      <c r="G302" s="62"/>
      <c r="H302" s="59" t="s">
        <v>20</v>
      </c>
      <c r="I302" s="62"/>
      <c r="J302" s="63" t="s">
        <v>21</v>
      </c>
      <c r="K302" s="61" t="s">
        <v>19</v>
      </c>
      <c r="L302" s="63" t="s">
        <v>22</v>
      </c>
      <c r="M302" s="62"/>
      <c r="N302" s="62"/>
      <c r="O302" s="60" t="s">
        <v>376</v>
      </c>
      <c r="P302" s="59"/>
      <c r="Q302" s="134">
        <v>45783.0</v>
      </c>
    </row>
    <row r="303" ht="22.5" customHeight="1">
      <c r="A303" s="59"/>
      <c r="B303" s="60" t="s">
        <v>440</v>
      </c>
      <c r="C303" s="59"/>
      <c r="D303" s="61" t="s">
        <v>16</v>
      </c>
      <c r="E303" s="61" t="s">
        <v>17</v>
      </c>
      <c r="F303" s="59" t="s">
        <v>18</v>
      </c>
      <c r="G303" s="62"/>
      <c r="H303" s="59" t="s">
        <v>20</v>
      </c>
      <c r="I303" s="62"/>
      <c r="J303" s="63" t="s">
        <v>21</v>
      </c>
      <c r="K303" s="61" t="s">
        <v>19</v>
      </c>
      <c r="L303" s="63" t="s">
        <v>22</v>
      </c>
      <c r="M303" s="62"/>
      <c r="N303" s="62"/>
      <c r="O303" s="60" t="s">
        <v>376</v>
      </c>
      <c r="P303" s="59"/>
      <c r="Q303" s="134">
        <v>45783.0</v>
      </c>
    </row>
    <row r="304" ht="22.5" customHeight="1">
      <c r="A304" s="59"/>
      <c r="B304" s="60" t="s">
        <v>441</v>
      </c>
      <c r="C304" s="59"/>
      <c r="D304" s="61" t="s">
        <v>34</v>
      </c>
      <c r="E304" s="61" t="s">
        <v>40</v>
      </c>
      <c r="F304" s="59" t="s">
        <v>18</v>
      </c>
      <c r="G304" s="62"/>
      <c r="H304" s="59" t="s">
        <v>20</v>
      </c>
      <c r="I304" s="62"/>
      <c r="J304" s="63" t="s">
        <v>21</v>
      </c>
      <c r="K304" s="61" t="s">
        <v>31</v>
      </c>
      <c r="L304" s="63" t="s">
        <v>22</v>
      </c>
      <c r="M304" s="62"/>
      <c r="N304" s="62"/>
      <c r="O304" s="60" t="s">
        <v>442</v>
      </c>
      <c r="P304" s="59"/>
      <c r="Q304" s="134">
        <v>45783.0</v>
      </c>
    </row>
    <row r="305" ht="22.5" customHeight="1">
      <c r="A305" s="59"/>
      <c r="B305" s="60" t="s">
        <v>1721</v>
      </c>
      <c r="C305" s="59"/>
      <c r="D305" s="61" t="s">
        <v>34</v>
      </c>
      <c r="E305" s="61" t="s">
        <v>49</v>
      </c>
      <c r="F305" s="59" t="s">
        <v>18</v>
      </c>
      <c r="G305" s="61" t="s">
        <v>50</v>
      </c>
      <c r="H305" s="59" t="s">
        <v>20</v>
      </c>
      <c r="I305" s="61" t="s">
        <v>50</v>
      </c>
      <c r="J305" s="63" t="s">
        <v>21</v>
      </c>
      <c r="K305" s="61" t="s">
        <v>50</v>
      </c>
      <c r="L305" s="63" t="s">
        <v>22</v>
      </c>
      <c r="M305" s="61" t="s">
        <v>50</v>
      </c>
      <c r="N305" s="62"/>
      <c r="O305" s="60" t="s">
        <v>1722</v>
      </c>
      <c r="P305" s="59"/>
      <c r="Q305" s="134">
        <v>45783.0</v>
      </c>
    </row>
    <row r="306" ht="22.5" customHeight="1">
      <c r="A306" s="59"/>
      <c r="B306" s="60" t="s">
        <v>443</v>
      </c>
      <c r="C306" s="59"/>
      <c r="D306" s="61" t="s">
        <v>16</v>
      </c>
      <c r="E306" s="61" t="s">
        <v>17</v>
      </c>
      <c r="F306" s="59" t="s">
        <v>18</v>
      </c>
      <c r="G306" s="62"/>
      <c r="H306" s="59" t="s">
        <v>20</v>
      </c>
      <c r="I306" s="62"/>
      <c r="J306" s="63" t="s">
        <v>21</v>
      </c>
      <c r="K306" s="61" t="s">
        <v>19</v>
      </c>
      <c r="L306" s="63" t="s">
        <v>22</v>
      </c>
      <c r="M306" s="62"/>
      <c r="N306" s="62"/>
      <c r="O306" s="60" t="s">
        <v>376</v>
      </c>
      <c r="P306" s="59"/>
      <c r="Q306" s="134">
        <v>45783.0</v>
      </c>
    </row>
    <row r="307" ht="22.5" customHeight="1">
      <c r="A307" s="59"/>
      <c r="B307" s="60" t="s">
        <v>444</v>
      </c>
      <c r="C307" s="59"/>
      <c r="D307" s="61" t="s">
        <v>16</v>
      </c>
      <c r="E307" s="61" t="s">
        <v>419</v>
      </c>
      <c r="F307" s="59" t="s">
        <v>18</v>
      </c>
      <c r="G307" s="62"/>
      <c r="H307" s="59" t="s">
        <v>20</v>
      </c>
      <c r="I307" s="62"/>
      <c r="J307" s="63" t="s">
        <v>21</v>
      </c>
      <c r="K307" s="61" t="s">
        <v>19</v>
      </c>
      <c r="L307" s="63" t="s">
        <v>22</v>
      </c>
      <c r="M307" s="62"/>
      <c r="N307" s="62"/>
      <c r="O307" s="60" t="s">
        <v>445</v>
      </c>
      <c r="P307" s="59"/>
      <c r="Q307" s="134">
        <v>45783.0</v>
      </c>
    </row>
    <row r="308" ht="22.5" customHeight="1">
      <c r="A308" s="59"/>
      <c r="B308" s="60" t="s">
        <v>446</v>
      </c>
      <c r="C308" s="59"/>
      <c r="D308" s="61" t="s">
        <v>34</v>
      </c>
      <c r="E308" s="61" t="s">
        <v>40</v>
      </c>
      <c r="F308" s="59" t="s">
        <v>18</v>
      </c>
      <c r="G308" s="62"/>
      <c r="H308" s="59" t="s">
        <v>20</v>
      </c>
      <c r="I308" s="62"/>
      <c r="J308" s="63" t="s">
        <v>21</v>
      </c>
      <c r="K308" s="61" t="s">
        <v>31</v>
      </c>
      <c r="L308" s="63" t="s">
        <v>22</v>
      </c>
      <c r="M308" s="62"/>
      <c r="N308" s="62"/>
      <c r="O308" s="60" t="s">
        <v>1723</v>
      </c>
      <c r="P308" s="59"/>
      <c r="Q308" s="134">
        <v>45783.0</v>
      </c>
    </row>
    <row r="309" ht="22.5" customHeight="1">
      <c r="A309" s="59"/>
      <c r="B309" s="60" t="s">
        <v>448</v>
      </c>
      <c r="C309" s="59"/>
      <c r="D309" s="61" t="s">
        <v>16</v>
      </c>
      <c r="E309" s="61" t="s">
        <v>17</v>
      </c>
      <c r="F309" s="59" t="s">
        <v>18</v>
      </c>
      <c r="G309" s="62"/>
      <c r="H309" s="59" t="s">
        <v>20</v>
      </c>
      <c r="I309" s="62"/>
      <c r="J309" s="63" t="s">
        <v>21</v>
      </c>
      <c r="K309" s="61" t="s">
        <v>19</v>
      </c>
      <c r="L309" s="63" t="s">
        <v>22</v>
      </c>
      <c r="M309" s="62"/>
      <c r="N309" s="62"/>
      <c r="O309" s="60" t="s">
        <v>376</v>
      </c>
      <c r="P309" s="59"/>
      <c r="Q309" s="134">
        <v>45783.0</v>
      </c>
    </row>
    <row r="310" ht="22.5" customHeight="1">
      <c r="A310" s="59"/>
      <c r="B310" s="60" t="s">
        <v>1724</v>
      </c>
      <c r="C310" s="59"/>
      <c r="D310" s="61" t="s">
        <v>34</v>
      </c>
      <c r="E310" s="61" t="s">
        <v>49</v>
      </c>
      <c r="F310" s="59" t="s">
        <v>18</v>
      </c>
      <c r="G310" s="61" t="s">
        <v>50</v>
      </c>
      <c r="H310" s="59" t="s">
        <v>20</v>
      </c>
      <c r="I310" s="61" t="s">
        <v>50</v>
      </c>
      <c r="J310" s="63" t="s">
        <v>21</v>
      </c>
      <c r="K310" s="61" t="s">
        <v>50</v>
      </c>
      <c r="L310" s="63" t="s">
        <v>22</v>
      </c>
      <c r="M310" s="61" t="s">
        <v>50</v>
      </c>
      <c r="N310" s="62"/>
      <c r="O310" s="60" t="s">
        <v>152</v>
      </c>
      <c r="P310" s="59"/>
      <c r="Q310" s="134">
        <v>45783.0</v>
      </c>
    </row>
    <row r="311" ht="22.5" customHeight="1">
      <c r="A311" s="59"/>
      <c r="B311" s="60" t="s">
        <v>449</v>
      </c>
      <c r="C311" s="59"/>
      <c r="D311" s="61" t="s">
        <v>34</v>
      </c>
      <c r="E311" s="61" t="s">
        <v>409</v>
      </c>
      <c r="F311" s="59" t="s">
        <v>18</v>
      </c>
      <c r="G311" s="62"/>
      <c r="H311" s="59" t="s">
        <v>20</v>
      </c>
      <c r="I311" s="62"/>
      <c r="J311" s="63" t="s">
        <v>21</v>
      </c>
      <c r="K311" s="61" t="s">
        <v>31</v>
      </c>
      <c r="L311" s="63" t="s">
        <v>22</v>
      </c>
      <c r="M311" s="62"/>
      <c r="N311" s="62"/>
      <c r="O311" s="60" t="s">
        <v>450</v>
      </c>
      <c r="P311" s="59"/>
      <c r="Q311" s="134">
        <v>45783.0</v>
      </c>
    </row>
    <row r="312" ht="22.5" customHeight="1">
      <c r="A312" s="59"/>
      <c r="B312" s="60" t="s">
        <v>451</v>
      </c>
      <c r="C312" s="59"/>
      <c r="D312" s="62"/>
      <c r="E312" s="61" t="s">
        <v>49</v>
      </c>
      <c r="F312" s="59" t="s">
        <v>18</v>
      </c>
      <c r="G312" s="62"/>
      <c r="H312" s="59" t="s">
        <v>20</v>
      </c>
      <c r="I312" s="62"/>
      <c r="J312" s="63" t="s">
        <v>21</v>
      </c>
      <c r="K312" s="62"/>
      <c r="L312" s="63" t="s">
        <v>22</v>
      </c>
      <c r="M312" s="62"/>
      <c r="N312" s="62"/>
      <c r="O312" s="59"/>
      <c r="P312" s="59"/>
      <c r="Q312" s="134">
        <v>45783.0</v>
      </c>
    </row>
    <row r="313" ht="22.5" customHeight="1">
      <c r="A313" s="59"/>
      <c r="B313" s="60" t="s">
        <v>453</v>
      </c>
      <c r="C313" s="59"/>
      <c r="D313" s="61" t="s">
        <v>16</v>
      </c>
      <c r="E313" s="61" t="s">
        <v>17</v>
      </c>
      <c r="F313" s="59" t="s">
        <v>18</v>
      </c>
      <c r="G313" s="62"/>
      <c r="H313" s="59" t="s">
        <v>20</v>
      </c>
      <c r="I313" s="62"/>
      <c r="J313" s="63" t="s">
        <v>21</v>
      </c>
      <c r="K313" s="62"/>
      <c r="L313" s="63" t="s">
        <v>22</v>
      </c>
      <c r="M313" s="61" t="s">
        <v>19</v>
      </c>
      <c r="N313" s="62"/>
      <c r="O313" s="60" t="s">
        <v>376</v>
      </c>
      <c r="P313" s="59"/>
      <c r="Q313" s="134">
        <v>45783.0</v>
      </c>
    </row>
    <row r="314" ht="22.5" customHeight="1">
      <c r="A314" s="59"/>
      <c r="B314" s="60" t="s">
        <v>454</v>
      </c>
      <c r="C314" s="59"/>
      <c r="D314" s="61" t="s">
        <v>16</v>
      </c>
      <c r="E314" s="61" t="s">
        <v>17</v>
      </c>
      <c r="F314" s="59" t="s">
        <v>18</v>
      </c>
      <c r="G314" s="62"/>
      <c r="H314" s="59" t="s">
        <v>20</v>
      </c>
      <c r="I314" s="62"/>
      <c r="J314" s="63" t="s">
        <v>21</v>
      </c>
      <c r="K314" s="62"/>
      <c r="L314" s="63" t="s">
        <v>22</v>
      </c>
      <c r="M314" s="61" t="s">
        <v>19</v>
      </c>
      <c r="N314" s="62"/>
      <c r="O314" s="60" t="s">
        <v>376</v>
      </c>
      <c r="P314" s="59"/>
      <c r="Q314" s="134">
        <v>45783.0</v>
      </c>
    </row>
    <row r="315" ht="22.5" customHeight="1">
      <c r="A315" s="59"/>
      <c r="B315" s="60" t="s">
        <v>455</v>
      </c>
      <c r="C315" s="59"/>
      <c r="D315" s="61" t="s">
        <v>34</v>
      </c>
      <c r="E315" s="61" t="s">
        <v>40</v>
      </c>
      <c r="F315" s="59" t="s">
        <v>18</v>
      </c>
      <c r="G315" s="62"/>
      <c r="H315" s="59" t="s">
        <v>20</v>
      </c>
      <c r="I315" s="62"/>
      <c r="J315" s="63" t="s">
        <v>21</v>
      </c>
      <c r="K315" s="62"/>
      <c r="L315" s="63" t="s">
        <v>22</v>
      </c>
      <c r="M315" s="61" t="s">
        <v>31</v>
      </c>
      <c r="N315" s="62"/>
      <c r="O315" s="60" t="s">
        <v>456</v>
      </c>
      <c r="P315" s="59"/>
      <c r="Q315" s="134">
        <v>45783.0</v>
      </c>
    </row>
    <row r="316" ht="22.5" customHeight="1">
      <c r="A316" s="59"/>
      <c r="B316" s="60" t="s">
        <v>457</v>
      </c>
      <c r="C316" s="59"/>
      <c r="D316" s="61" t="s">
        <v>16</v>
      </c>
      <c r="E316" s="61" t="s">
        <v>17</v>
      </c>
      <c r="F316" s="59" t="s">
        <v>18</v>
      </c>
      <c r="G316" s="62"/>
      <c r="H316" s="59" t="s">
        <v>20</v>
      </c>
      <c r="I316" s="62"/>
      <c r="J316" s="63" t="s">
        <v>21</v>
      </c>
      <c r="K316" s="62"/>
      <c r="L316" s="63" t="s">
        <v>22</v>
      </c>
      <c r="M316" s="61" t="s">
        <v>19</v>
      </c>
      <c r="N316" s="62"/>
      <c r="O316" s="60" t="s">
        <v>376</v>
      </c>
      <c r="P316" s="59"/>
      <c r="Q316" s="134">
        <v>45783.0</v>
      </c>
    </row>
    <row r="317" ht="22.5" customHeight="1">
      <c r="A317" s="59"/>
      <c r="B317" s="60" t="s">
        <v>458</v>
      </c>
      <c r="C317" s="59"/>
      <c r="D317" s="61" t="s">
        <v>34</v>
      </c>
      <c r="E317" s="61" t="s">
        <v>40</v>
      </c>
      <c r="F317" s="59" t="s">
        <v>18</v>
      </c>
      <c r="G317" s="62"/>
      <c r="H317" s="59" t="s">
        <v>20</v>
      </c>
      <c r="I317" s="62"/>
      <c r="J317" s="63" t="s">
        <v>21</v>
      </c>
      <c r="K317" s="62"/>
      <c r="L317" s="63" t="s">
        <v>22</v>
      </c>
      <c r="M317" s="61" t="s">
        <v>26</v>
      </c>
      <c r="N317" s="62"/>
      <c r="O317" s="60" t="s">
        <v>459</v>
      </c>
      <c r="P317" s="59"/>
      <c r="Q317" s="134">
        <v>45783.0</v>
      </c>
    </row>
    <row r="318" ht="22.5" customHeight="1">
      <c r="A318" s="59"/>
      <c r="B318" s="60" t="s">
        <v>1725</v>
      </c>
      <c r="C318" s="59"/>
      <c r="D318" s="61" t="s">
        <v>34</v>
      </c>
      <c r="E318" s="61" t="s">
        <v>49</v>
      </c>
      <c r="F318" s="59" t="s">
        <v>18</v>
      </c>
      <c r="G318" s="62"/>
      <c r="H318" s="59" t="s">
        <v>20</v>
      </c>
      <c r="I318" s="62"/>
      <c r="J318" s="63" t="s">
        <v>21</v>
      </c>
      <c r="K318" s="62"/>
      <c r="L318" s="63" t="s">
        <v>22</v>
      </c>
      <c r="M318" s="61" t="s">
        <v>31</v>
      </c>
      <c r="N318" s="62"/>
      <c r="O318" s="60" t="s">
        <v>1726</v>
      </c>
      <c r="P318" s="59"/>
      <c r="Q318" s="134">
        <v>45783.0</v>
      </c>
    </row>
    <row r="319" ht="22.5" customHeight="1">
      <c r="A319" s="59"/>
      <c r="B319" s="60" t="s">
        <v>460</v>
      </c>
      <c r="C319" s="59"/>
      <c r="D319" s="61" t="s">
        <v>16</v>
      </c>
      <c r="E319" s="61" t="s">
        <v>17</v>
      </c>
      <c r="F319" s="59" t="s">
        <v>18</v>
      </c>
      <c r="G319" s="62"/>
      <c r="H319" s="59" t="s">
        <v>20</v>
      </c>
      <c r="I319" s="62"/>
      <c r="J319" s="63" t="s">
        <v>21</v>
      </c>
      <c r="K319" s="62"/>
      <c r="L319" s="63" t="s">
        <v>22</v>
      </c>
      <c r="M319" s="61" t="s">
        <v>19</v>
      </c>
      <c r="N319" s="62"/>
      <c r="O319" s="60" t="s">
        <v>376</v>
      </c>
      <c r="P319" s="59"/>
      <c r="Q319" s="134">
        <v>45783.0</v>
      </c>
    </row>
    <row r="320" ht="22.5" customHeight="1">
      <c r="A320" s="59"/>
      <c r="B320" s="60" t="s">
        <v>462</v>
      </c>
      <c r="C320" s="59"/>
      <c r="D320" s="61" t="s">
        <v>34</v>
      </c>
      <c r="E320" s="61" t="s">
        <v>40</v>
      </c>
      <c r="F320" s="59" t="s">
        <v>18</v>
      </c>
      <c r="G320" s="62"/>
      <c r="H320" s="59" t="s">
        <v>20</v>
      </c>
      <c r="I320" s="62"/>
      <c r="J320" s="63" t="s">
        <v>21</v>
      </c>
      <c r="K320" s="62"/>
      <c r="L320" s="63" t="s">
        <v>22</v>
      </c>
      <c r="M320" s="61" t="s">
        <v>31</v>
      </c>
      <c r="N320" s="62"/>
      <c r="O320" s="60" t="s">
        <v>1727</v>
      </c>
      <c r="P320" s="59"/>
      <c r="Q320" s="134">
        <v>45783.0</v>
      </c>
    </row>
    <row r="321" ht="22.5" customHeight="1">
      <c r="A321" s="59"/>
      <c r="B321" s="60" t="s">
        <v>464</v>
      </c>
      <c r="C321" s="59"/>
      <c r="D321" s="61" t="s">
        <v>34</v>
      </c>
      <c r="E321" s="61" t="s">
        <v>49</v>
      </c>
      <c r="F321" s="59" t="s">
        <v>18</v>
      </c>
      <c r="G321" s="61" t="s">
        <v>50</v>
      </c>
      <c r="H321" s="59" t="s">
        <v>20</v>
      </c>
      <c r="I321" s="61" t="s">
        <v>50</v>
      </c>
      <c r="J321" s="63" t="s">
        <v>21</v>
      </c>
      <c r="K321" s="61" t="s">
        <v>50</v>
      </c>
      <c r="L321" s="63" t="s">
        <v>22</v>
      </c>
      <c r="M321" s="61" t="s">
        <v>50</v>
      </c>
      <c r="N321" s="62"/>
      <c r="O321" s="60" t="s">
        <v>1728</v>
      </c>
      <c r="P321" s="59"/>
      <c r="Q321" s="134">
        <v>45783.0</v>
      </c>
    </row>
    <row r="322" ht="22.5" customHeight="1">
      <c r="A322" s="59"/>
      <c r="B322" s="60" t="s">
        <v>466</v>
      </c>
      <c r="C322" s="59"/>
      <c r="D322" s="61" t="s">
        <v>16</v>
      </c>
      <c r="E322" s="61" t="s">
        <v>17</v>
      </c>
      <c r="F322" s="59" t="s">
        <v>18</v>
      </c>
      <c r="G322" s="62"/>
      <c r="H322" s="59" t="s">
        <v>20</v>
      </c>
      <c r="I322" s="62"/>
      <c r="J322" s="63" t="s">
        <v>21</v>
      </c>
      <c r="K322" s="62"/>
      <c r="L322" s="63" t="s">
        <v>22</v>
      </c>
      <c r="M322" s="61" t="s">
        <v>19</v>
      </c>
      <c r="N322" s="62"/>
      <c r="O322" s="60" t="s">
        <v>376</v>
      </c>
      <c r="P322" s="59"/>
      <c r="Q322" s="134">
        <v>45783.0</v>
      </c>
    </row>
    <row r="323" ht="22.5" customHeight="1">
      <c r="A323" s="59"/>
      <c r="B323" s="60" t="s">
        <v>468</v>
      </c>
      <c r="C323" s="59"/>
      <c r="D323" s="61" t="s">
        <v>16</v>
      </c>
      <c r="E323" s="61" t="s">
        <v>17</v>
      </c>
      <c r="F323" s="59" t="s">
        <v>18</v>
      </c>
      <c r="G323" s="62"/>
      <c r="H323" s="59" t="s">
        <v>20</v>
      </c>
      <c r="I323" s="62"/>
      <c r="J323" s="63" t="s">
        <v>21</v>
      </c>
      <c r="K323" s="62"/>
      <c r="L323" s="63" t="s">
        <v>22</v>
      </c>
      <c r="M323" s="61" t="s">
        <v>19</v>
      </c>
      <c r="N323" s="62"/>
      <c r="O323" s="60" t="s">
        <v>376</v>
      </c>
      <c r="P323" s="59"/>
      <c r="Q323" s="134">
        <v>45783.0</v>
      </c>
    </row>
    <row r="324" ht="22.5" customHeight="1">
      <c r="A324" s="59"/>
      <c r="B324" s="60" t="s">
        <v>469</v>
      </c>
      <c r="C324" s="59"/>
      <c r="D324" s="61" t="s">
        <v>16</v>
      </c>
      <c r="E324" s="61" t="s">
        <v>17</v>
      </c>
      <c r="F324" s="59" t="s">
        <v>18</v>
      </c>
      <c r="G324" s="62"/>
      <c r="H324" s="59" t="s">
        <v>20</v>
      </c>
      <c r="I324" s="62"/>
      <c r="J324" s="63" t="s">
        <v>21</v>
      </c>
      <c r="K324" s="62"/>
      <c r="L324" s="63" t="s">
        <v>22</v>
      </c>
      <c r="M324" s="61" t="s">
        <v>19</v>
      </c>
      <c r="N324" s="62"/>
      <c r="O324" s="60" t="s">
        <v>376</v>
      </c>
      <c r="P324" s="59"/>
      <c r="Q324" s="134">
        <v>45783.0</v>
      </c>
    </row>
    <row r="325" ht="22.5" customHeight="1">
      <c r="A325" s="71"/>
      <c r="B325" s="70" t="s">
        <v>471</v>
      </c>
      <c r="C325" s="59"/>
      <c r="D325" s="62"/>
      <c r="E325" s="61" t="s">
        <v>30</v>
      </c>
      <c r="F325" s="59" t="s">
        <v>18</v>
      </c>
      <c r="G325" s="62"/>
      <c r="H325" s="59" t="s">
        <v>20</v>
      </c>
      <c r="I325" s="62"/>
      <c r="J325" s="63" t="s">
        <v>21</v>
      </c>
      <c r="K325" s="62"/>
      <c r="L325" s="63" t="s">
        <v>22</v>
      </c>
      <c r="M325" s="62"/>
      <c r="N325" s="62"/>
      <c r="O325" s="60" t="s">
        <v>472</v>
      </c>
      <c r="P325" s="59"/>
      <c r="Q325" s="134">
        <v>45783.0</v>
      </c>
    </row>
    <row r="326" ht="22.5" customHeight="1">
      <c r="A326" s="59"/>
      <c r="B326" s="60" t="s">
        <v>473</v>
      </c>
      <c r="C326" s="59"/>
      <c r="D326" s="61" t="s">
        <v>16</v>
      </c>
      <c r="E326" s="61" t="s">
        <v>17</v>
      </c>
      <c r="F326" s="59" t="s">
        <v>18</v>
      </c>
      <c r="G326" s="62"/>
      <c r="H326" s="59" t="s">
        <v>20</v>
      </c>
      <c r="I326" s="62"/>
      <c r="J326" s="63" t="s">
        <v>21</v>
      </c>
      <c r="K326" s="62"/>
      <c r="L326" s="63" t="s">
        <v>22</v>
      </c>
      <c r="M326" s="61" t="s">
        <v>19</v>
      </c>
      <c r="N326" s="62"/>
      <c r="O326" s="60" t="s">
        <v>376</v>
      </c>
      <c r="P326" s="59"/>
      <c r="Q326" s="134">
        <v>45783.0</v>
      </c>
    </row>
    <row r="327" ht="22.5" customHeight="1">
      <c r="A327" s="59"/>
      <c r="B327" s="60" t="s">
        <v>474</v>
      </c>
      <c r="C327" s="59"/>
      <c r="D327" s="61" t="s">
        <v>16</v>
      </c>
      <c r="E327" s="61" t="s">
        <v>17</v>
      </c>
      <c r="F327" s="59" t="s">
        <v>18</v>
      </c>
      <c r="G327" s="62"/>
      <c r="H327" s="59" t="s">
        <v>20</v>
      </c>
      <c r="I327" s="62"/>
      <c r="J327" s="63" t="s">
        <v>21</v>
      </c>
      <c r="K327" s="62"/>
      <c r="L327" s="63" t="s">
        <v>22</v>
      </c>
      <c r="M327" s="61" t="s">
        <v>19</v>
      </c>
      <c r="N327" s="62"/>
      <c r="O327" s="60" t="s">
        <v>376</v>
      </c>
      <c r="P327" s="59"/>
      <c r="Q327" s="134">
        <v>45783.0</v>
      </c>
    </row>
    <row r="328" ht="22.5" customHeight="1">
      <c r="A328" s="59"/>
      <c r="B328" s="60" t="s">
        <v>476</v>
      </c>
      <c r="C328" s="59"/>
      <c r="D328" s="61" t="s">
        <v>34</v>
      </c>
      <c r="E328" s="61" t="s">
        <v>30</v>
      </c>
      <c r="F328" s="59" t="s">
        <v>18</v>
      </c>
      <c r="G328" s="62"/>
      <c r="H328" s="59" t="s">
        <v>20</v>
      </c>
      <c r="I328" s="62"/>
      <c r="J328" s="63" t="s">
        <v>21</v>
      </c>
      <c r="K328" s="62"/>
      <c r="L328" s="63" t="s">
        <v>22</v>
      </c>
      <c r="M328" s="61" t="s">
        <v>31</v>
      </c>
      <c r="N328" s="62"/>
      <c r="O328" s="60" t="s">
        <v>477</v>
      </c>
      <c r="P328" s="59"/>
      <c r="Q328" s="134">
        <v>45783.0</v>
      </c>
    </row>
    <row r="329" ht="22.5" customHeight="1">
      <c r="A329" s="59"/>
      <c r="B329" s="60" t="s">
        <v>478</v>
      </c>
      <c r="C329" s="59"/>
      <c r="D329" s="61" t="s">
        <v>16</v>
      </c>
      <c r="E329" s="61" t="s">
        <v>17</v>
      </c>
      <c r="F329" s="59" t="s">
        <v>18</v>
      </c>
      <c r="G329" s="62"/>
      <c r="H329" s="59" t="s">
        <v>20</v>
      </c>
      <c r="I329" s="62"/>
      <c r="J329" s="63" t="s">
        <v>21</v>
      </c>
      <c r="K329" s="62"/>
      <c r="L329" s="63" t="s">
        <v>22</v>
      </c>
      <c r="M329" s="61" t="s">
        <v>19</v>
      </c>
      <c r="N329" s="62"/>
      <c r="O329" s="60" t="s">
        <v>376</v>
      </c>
      <c r="P329" s="59"/>
      <c r="Q329" s="134">
        <v>45783.0</v>
      </c>
    </row>
    <row r="330" ht="22.5" customHeight="1">
      <c r="A330" s="59"/>
      <c r="B330" s="60" t="s">
        <v>480</v>
      </c>
      <c r="C330" s="59"/>
      <c r="D330" s="61" t="s">
        <v>16</v>
      </c>
      <c r="E330" s="61" t="s">
        <v>17</v>
      </c>
      <c r="F330" s="59" t="s">
        <v>18</v>
      </c>
      <c r="G330" s="62"/>
      <c r="H330" s="59" t="s">
        <v>20</v>
      </c>
      <c r="I330" s="62"/>
      <c r="J330" s="63" t="s">
        <v>21</v>
      </c>
      <c r="K330" s="62"/>
      <c r="L330" s="63" t="s">
        <v>22</v>
      </c>
      <c r="M330" s="61" t="s">
        <v>19</v>
      </c>
      <c r="N330" s="62"/>
      <c r="O330" s="60" t="s">
        <v>376</v>
      </c>
      <c r="P330" s="59"/>
      <c r="Q330" s="134">
        <v>45783.0</v>
      </c>
    </row>
    <row r="331" ht="22.5" customHeight="1">
      <c r="A331" s="59"/>
      <c r="B331" s="60" t="s">
        <v>482</v>
      </c>
      <c r="C331" s="59"/>
      <c r="D331" s="61" t="s">
        <v>16</v>
      </c>
      <c r="E331" s="61" t="s">
        <v>17</v>
      </c>
      <c r="F331" s="59" t="s">
        <v>18</v>
      </c>
      <c r="G331" s="62"/>
      <c r="H331" s="59" t="s">
        <v>20</v>
      </c>
      <c r="I331" s="62"/>
      <c r="J331" s="63" t="s">
        <v>21</v>
      </c>
      <c r="K331" s="62"/>
      <c r="L331" s="63" t="s">
        <v>22</v>
      </c>
      <c r="M331" s="61" t="s">
        <v>19</v>
      </c>
      <c r="N331" s="62"/>
      <c r="O331" s="60" t="s">
        <v>376</v>
      </c>
      <c r="P331" s="59"/>
      <c r="Q331" s="134">
        <v>45783.0</v>
      </c>
    </row>
    <row r="332" ht="22.5" customHeight="1">
      <c r="A332" s="59"/>
      <c r="B332" s="60" t="s">
        <v>483</v>
      </c>
      <c r="C332" s="59"/>
      <c r="D332" s="61" t="s">
        <v>34</v>
      </c>
      <c r="E332" s="61" t="s">
        <v>40</v>
      </c>
      <c r="F332" s="59" t="s">
        <v>18</v>
      </c>
      <c r="G332" s="62"/>
      <c r="H332" s="59" t="s">
        <v>20</v>
      </c>
      <c r="I332" s="62"/>
      <c r="J332" s="63" t="s">
        <v>21</v>
      </c>
      <c r="K332" s="62"/>
      <c r="L332" s="63" t="s">
        <v>22</v>
      </c>
      <c r="M332" s="61" t="s">
        <v>26</v>
      </c>
      <c r="N332" s="62"/>
      <c r="O332" s="60" t="s">
        <v>459</v>
      </c>
      <c r="P332" s="59"/>
      <c r="Q332" s="134">
        <v>45783.0</v>
      </c>
    </row>
    <row r="333" ht="22.5" customHeight="1">
      <c r="A333" s="59"/>
      <c r="B333" s="60" t="s">
        <v>1729</v>
      </c>
      <c r="C333" s="59"/>
      <c r="D333" s="62"/>
      <c r="E333" s="61" t="s">
        <v>49</v>
      </c>
      <c r="F333" s="59" t="s">
        <v>18</v>
      </c>
      <c r="G333" s="61" t="s">
        <v>50</v>
      </c>
      <c r="H333" s="59" t="s">
        <v>20</v>
      </c>
      <c r="I333" s="61" t="s">
        <v>50</v>
      </c>
      <c r="J333" s="63" t="s">
        <v>21</v>
      </c>
      <c r="K333" s="61" t="s">
        <v>50</v>
      </c>
      <c r="L333" s="63" t="s">
        <v>22</v>
      </c>
      <c r="M333" s="61" t="s">
        <v>50</v>
      </c>
      <c r="N333" s="62"/>
      <c r="O333" s="60" t="s">
        <v>152</v>
      </c>
      <c r="P333" s="59"/>
      <c r="Q333" s="134">
        <v>45783.0</v>
      </c>
    </row>
    <row r="334" ht="22.5" customHeight="1">
      <c r="A334" s="59"/>
      <c r="B334" s="60" t="s">
        <v>484</v>
      </c>
      <c r="C334" s="59"/>
      <c r="D334" s="61" t="s">
        <v>16</v>
      </c>
      <c r="E334" s="61" t="s">
        <v>17</v>
      </c>
      <c r="F334" s="59" t="s">
        <v>18</v>
      </c>
      <c r="G334" s="62"/>
      <c r="H334" s="59" t="s">
        <v>20</v>
      </c>
      <c r="I334" s="62"/>
      <c r="J334" s="63" t="s">
        <v>21</v>
      </c>
      <c r="K334" s="62"/>
      <c r="L334" s="63" t="s">
        <v>22</v>
      </c>
      <c r="M334" s="61" t="s">
        <v>19</v>
      </c>
      <c r="N334" s="62"/>
      <c r="O334" s="60" t="s">
        <v>376</v>
      </c>
      <c r="P334" s="59"/>
      <c r="Q334" s="134">
        <v>45783.0</v>
      </c>
    </row>
    <row r="335" ht="22.5" customHeight="1">
      <c r="A335" s="59"/>
      <c r="B335" s="60" t="s">
        <v>485</v>
      </c>
      <c r="C335" s="59"/>
      <c r="D335" s="61" t="s">
        <v>16</v>
      </c>
      <c r="E335" s="61" t="s">
        <v>17</v>
      </c>
      <c r="F335" s="59" t="s">
        <v>18</v>
      </c>
      <c r="G335" s="62"/>
      <c r="H335" s="59" t="s">
        <v>20</v>
      </c>
      <c r="I335" s="62"/>
      <c r="J335" s="63" t="s">
        <v>21</v>
      </c>
      <c r="K335" s="62"/>
      <c r="L335" s="63" t="s">
        <v>22</v>
      </c>
      <c r="M335" s="61" t="s">
        <v>19</v>
      </c>
      <c r="N335" s="62"/>
      <c r="O335" s="60" t="s">
        <v>376</v>
      </c>
      <c r="P335" s="59"/>
      <c r="Q335" s="134">
        <v>45783.0</v>
      </c>
    </row>
    <row r="336" ht="22.5" customHeight="1">
      <c r="A336" s="59"/>
      <c r="C336" s="59"/>
      <c r="D336" s="61"/>
      <c r="E336" s="61"/>
      <c r="F336" s="59" t="s">
        <v>18</v>
      </c>
      <c r="G336" s="61"/>
      <c r="H336" s="59" t="s">
        <v>20</v>
      </c>
      <c r="I336" s="61"/>
      <c r="J336" s="63" t="s">
        <v>21</v>
      </c>
      <c r="K336" s="61"/>
      <c r="L336" s="63" t="s">
        <v>22</v>
      </c>
      <c r="M336" s="61"/>
      <c r="N336" s="62"/>
      <c r="O336" s="60"/>
      <c r="P336" s="59"/>
      <c r="Q336" s="134">
        <v>45997.0</v>
      </c>
    </row>
    <row r="337" ht="22.5" customHeight="1">
      <c r="A337" s="59"/>
      <c r="C337" s="59"/>
      <c r="D337" s="61"/>
      <c r="E337" s="61"/>
      <c r="F337" s="59" t="s">
        <v>18</v>
      </c>
      <c r="G337" s="62"/>
      <c r="H337" s="59" t="s">
        <v>20</v>
      </c>
      <c r="I337" s="61"/>
      <c r="J337" s="63" t="s">
        <v>21</v>
      </c>
      <c r="K337" s="62"/>
      <c r="L337" s="63" t="s">
        <v>22</v>
      </c>
      <c r="M337" s="62"/>
      <c r="N337" s="62"/>
      <c r="O337" s="59"/>
      <c r="P337" s="59"/>
      <c r="Q337" s="134">
        <v>45997.0</v>
      </c>
    </row>
    <row r="338" ht="22.5" customHeight="1">
      <c r="A338" s="59"/>
      <c r="B338" s="135">
        <f>9/335</f>
        <v>0.02686567164</v>
      </c>
      <c r="C338" s="59"/>
      <c r="D338" s="61"/>
      <c r="E338" s="61"/>
      <c r="F338" s="59" t="s">
        <v>18</v>
      </c>
      <c r="G338" s="62"/>
      <c r="H338" s="59" t="s">
        <v>20</v>
      </c>
      <c r="I338" s="61"/>
      <c r="J338" s="63" t="s">
        <v>21</v>
      </c>
      <c r="K338" s="62"/>
      <c r="L338" s="63" t="s">
        <v>22</v>
      </c>
      <c r="M338" s="62"/>
      <c r="N338" s="62"/>
      <c r="O338" s="59"/>
      <c r="P338" s="59"/>
      <c r="Q338" s="134">
        <v>45997.0</v>
      </c>
    </row>
    <row r="339" ht="22.5" customHeight="1">
      <c r="A339" s="59"/>
      <c r="B339" s="135">
        <f>B338*100</f>
        <v>2.686567164</v>
      </c>
      <c r="C339" s="59"/>
      <c r="D339" s="61"/>
      <c r="E339" s="61"/>
      <c r="F339" s="59" t="s">
        <v>18</v>
      </c>
      <c r="G339" s="62"/>
      <c r="H339" s="59" t="s">
        <v>20</v>
      </c>
      <c r="I339" s="61"/>
      <c r="J339" s="63" t="s">
        <v>21</v>
      </c>
      <c r="K339" s="62"/>
      <c r="L339" s="63" t="s">
        <v>22</v>
      </c>
      <c r="M339" s="62"/>
      <c r="N339" s="62"/>
      <c r="O339" s="59"/>
      <c r="P339" s="59"/>
      <c r="Q339" s="134">
        <v>45997.0</v>
      </c>
    </row>
    <row r="340" ht="22.5" customHeight="1">
      <c r="A340" s="59"/>
      <c r="B340" s="60"/>
      <c r="C340" s="59"/>
      <c r="D340" s="61"/>
      <c r="E340" s="61"/>
      <c r="F340" s="59" t="s">
        <v>18</v>
      </c>
      <c r="G340" s="62"/>
      <c r="H340" s="59" t="s">
        <v>20</v>
      </c>
      <c r="I340" s="61"/>
      <c r="J340" s="63" t="s">
        <v>21</v>
      </c>
      <c r="K340" s="62"/>
      <c r="L340" s="63" t="s">
        <v>22</v>
      </c>
      <c r="M340" s="62"/>
      <c r="N340" s="62"/>
      <c r="O340" s="60"/>
      <c r="P340" s="59"/>
      <c r="Q340" s="134">
        <v>45997.0</v>
      </c>
    </row>
    <row r="341" ht="22.5" customHeight="1">
      <c r="A341" s="59"/>
      <c r="B341" s="60"/>
      <c r="C341" s="59"/>
      <c r="D341" s="61"/>
      <c r="E341" s="61"/>
      <c r="F341" s="59" t="s">
        <v>18</v>
      </c>
      <c r="G341" s="62"/>
      <c r="H341" s="59" t="s">
        <v>20</v>
      </c>
      <c r="I341" s="61"/>
      <c r="J341" s="63" t="s">
        <v>21</v>
      </c>
      <c r="K341" s="62"/>
      <c r="L341" s="63" t="s">
        <v>22</v>
      </c>
      <c r="M341" s="62"/>
      <c r="N341" s="62"/>
      <c r="O341" s="59"/>
      <c r="P341" s="59"/>
      <c r="Q341" s="134">
        <v>45997.0</v>
      </c>
    </row>
    <row r="342" ht="22.5" customHeight="1">
      <c r="A342" s="59"/>
      <c r="B342" s="60"/>
      <c r="C342" s="59"/>
      <c r="D342" s="61"/>
      <c r="E342" s="61"/>
      <c r="F342" s="59" t="s">
        <v>18</v>
      </c>
      <c r="G342" s="62"/>
      <c r="H342" s="59" t="s">
        <v>20</v>
      </c>
      <c r="I342" s="61"/>
      <c r="J342" s="63" t="s">
        <v>21</v>
      </c>
      <c r="K342" s="62"/>
      <c r="L342" s="63" t="s">
        <v>22</v>
      </c>
      <c r="M342" s="62"/>
      <c r="N342" s="62"/>
      <c r="O342" s="59"/>
      <c r="P342" s="59"/>
      <c r="Q342" s="134">
        <v>45997.0</v>
      </c>
    </row>
    <row r="343" ht="22.5" customHeight="1">
      <c r="A343" s="59"/>
      <c r="B343" s="60"/>
      <c r="C343" s="59"/>
      <c r="D343" s="61"/>
      <c r="E343" s="61"/>
      <c r="F343" s="59" t="s">
        <v>18</v>
      </c>
      <c r="G343" s="62"/>
      <c r="H343" s="59" t="s">
        <v>20</v>
      </c>
      <c r="I343" s="61"/>
      <c r="J343" s="63" t="s">
        <v>21</v>
      </c>
      <c r="K343" s="62"/>
      <c r="L343" s="63" t="s">
        <v>22</v>
      </c>
      <c r="M343" s="62"/>
      <c r="N343" s="62"/>
      <c r="O343" s="59"/>
      <c r="P343" s="59"/>
      <c r="Q343" s="134">
        <v>45997.0</v>
      </c>
    </row>
    <row r="344" ht="22.5" customHeight="1">
      <c r="A344" s="59"/>
      <c r="B344" s="60"/>
      <c r="C344" s="59"/>
      <c r="D344" s="61"/>
      <c r="E344" s="61"/>
      <c r="F344" s="59" t="s">
        <v>18</v>
      </c>
      <c r="G344" s="61"/>
      <c r="H344" s="59" t="s">
        <v>20</v>
      </c>
      <c r="I344" s="61"/>
      <c r="J344" s="63" t="s">
        <v>21</v>
      </c>
      <c r="K344" s="61"/>
      <c r="L344" s="63" t="s">
        <v>22</v>
      </c>
      <c r="M344" s="61"/>
      <c r="N344" s="62"/>
      <c r="O344" s="60"/>
      <c r="P344" s="59"/>
      <c r="Q344" s="134">
        <v>45997.0</v>
      </c>
    </row>
    <row r="345" ht="22.5" customHeight="1">
      <c r="A345" s="59"/>
      <c r="B345" s="60"/>
      <c r="C345" s="59"/>
      <c r="D345" s="61"/>
      <c r="E345" s="61"/>
      <c r="F345" s="59" t="s">
        <v>18</v>
      </c>
      <c r="G345" s="62"/>
      <c r="H345" s="59" t="s">
        <v>20</v>
      </c>
      <c r="I345" s="61"/>
      <c r="J345" s="63" t="s">
        <v>21</v>
      </c>
      <c r="K345" s="62"/>
      <c r="L345" s="63" t="s">
        <v>22</v>
      </c>
      <c r="M345" s="62"/>
      <c r="N345" s="62"/>
      <c r="O345" s="59"/>
      <c r="P345" s="59"/>
      <c r="Q345" s="134">
        <v>45997.0</v>
      </c>
    </row>
    <row r="346" ht="22.5" customHeight="1">
      <c r="A346" s="59"/>
      <c r="B346" s="60"/>
      <c r="C346" s="59"/>
      <c r="D346" s="61"/>
      <c r="E346" s="61"/>
      <c r="F346" s="59" t="s">
        <v>18</v>
      </c>
      <c r="G346" s="62"/>
      <c r="H346" s="59" t="s">
        <v>20</v>
      </c>
      <c r="I346" s="61"/>
      <c r="J346" s="63" t="s">
        <v>21</v>
      </c>
      <c r="K346" s="62"/>
      <c r="L346" s="63" t="s">
        <v>22</v>
      </c>
      <c r="M346" s="62"/>
      <c r="N346" s="62"/>
      <c r="O346" s="60"/>
      <c r="P346" s="59"/>
      <c r="Q346" s="134">
        <v>45997.0</v>
      </c>
    </row>
    <row r="347" ht="22.5" customHeight="1">
      <c r="A347" s="59"/>
      <c r="B347" s="60"/>
      <c r="C347" s="59"/>
      <c r="D347" s="61"/>
      <c r="E347" s="61"/>
      <c r="F347" s="59" t="s">
        <v>18</v>
      </c>
      <c r="G347" s="62"/>
      <c r="H347" s="59" t="s">
        <v>20</v>
      </c>
      <c r="I347" s="61"/>
      <c r="J347" s="63" t="s">
        <v>21</v>
      </c>
      <c r="K347" s="62"/>
      <c r="L347" s="63" t="s">
        <v>22</v>
      </c>
      <c r="M347" s="62"/>
      <c r="N347" s="62"/>
      <c r="O347" s="59"/>
      <c r="P347" s="59"/>
      <c r="Q347" s="134">
        <v>45997.0</v>
      </c>
    </row>
    <row r="348" ht="22.5" customHeight="1">
      <c r="A348" s="59"/>
      <c r="B348" s="60"/>
      <c r="C348" s="59"/>
      <c r="D348" s="61"/>
      <c r="E348" s="61"/>
      <c r="F348" s="59" t="s">
        <v>18</v>
      </c>
      <c r="G348" s="62"/>
      <c r="H348" s="59" t="s">
        <v>20</v>
      </c>
      <c r="I348" s="61"/>
      <c r="J348" s="63" t="s">
        <v>21</v>
      </c>
      <c r="K348" s="62"/>
      <c r="L348" s="63" t="s">
        <v>22</v>
      </c>
      <c r="M348" s="62"/>
      <c r="N348" s="62"/>
      <c r="O348" s="59"/>
      <c r="P348" s="59"/>
      <c r="Q348" s="134">
        <v>45997.0</v>
      </c>
    </row>
    <row r="349" ht="22.5" customHeight="1">
      <c r="A349" s="59"/>
      <c r="B349" s="60"/>
      <c r="C349" s="59"/>
      <c r="D349" s="61"/>
      <c r="E349" s="61"/>
      <c r="F349" s="59" t="s">
        <v>18</v>
      </c>
      <c r="G349" s="62"/>
      <c r="H349" s="59" t="s">
        <v>20</v>
      </c>
      <c r="I349" s="61"/>
      <c r="J349" s="63" t="s">
        <v>21</v>
      </c>
      <c r="K349" s="62"/>
      <c r="L349" s="63" t="s">
        <v>22</v>
      </c>
      <c r="M349" s="62"/>
      <c r="N349" s="62"/>
      <c r="O349" s="59"/>
      <c r="P349" s="59"/>
      <c r="Q349" s="134">
        <v>45997.0</v>
      </c>
    </row>
    <row r="350" ht="22.5" customHeight="1">
      <c r="A350" s="59"/>
      <c r="B350" s="60"/>
      <c r="C350" s="59"/>
      <c r="D350" s="61"/>
      <c r="E350" s="61"/>
      <c r="F350" s="59" t="s">
        <v>18</v>
      </c>
      <c r="G350" s="61"/>
      <c r="H350" s="59" t="s">
        <v>20</v>
      </c>
      <c r="I350" s="61"/>
      <c r="J350" s="63" t="s">
        <v>21</v>
      </c>
      <c r="K350" s="61"/>
      <c r="L350" s="63" t="s">
        <v>22</v>
      </c>
      <c r="M350" s="61"/>
      <c r="N350" s="62"/>
      <c r="O350" s="60"/>
      <c r="P350" s="59"/>
      <c r="Q350" s="134">
        <v>45997.0</v>
      </c>
    </row>
    <row r="351" ht="22.5" customHeight="1">
      <c r="A351" s="59"/>
      <c r="B351" s="60"/>
      <c r="C351" s="59"/>
      <c r="D351" s="61"/>
      <c r="E351" s="61"/>
      <c r="F351" s="59" t="s">
        <v>18</v>
      </c>
      <c r="G351" s="62"/>
      <c r="H351" s="59" t="s">
        <v>20</v>
      </c>
      <c r="I351" s="61"/>
      <c r="J351" s="63" t="s">
        <v>21</v>
      </c>
      <c r="K351" s="62"/>
      <c r="L351" s="63" t="s">
        <v>22</v>
      </c>
      <c r="M351" s="62"/>
      <c r="N351" s="62"/>
      <c r="O351" s="59"/>
      <c r="P351" s="59"/>
      <c r="Q351" s="134">
        <v>45997.0</v>
      </c>
    </row>
    <row r="352" ht="22.5" customHeight="1">
      <c r="A352" s="59"/>
      <c r="B352" s="60"/>
      <c r="C352" s="59"/>
      <c r="D352" s="61"/>
      <c r="E352" s="61"/>
      <c r="F352" s="59" t="s">
        <v>18</v>
      </c>
      <c r="G352" s="61"/>
      <c r="H352" s="59" t="s">
        <v>20</v>
      </c>
      <c r="I352" s="61"/>
      <c r="J352" s="63" t="s">
        <v>21</v>
      </c>
      <c r="K352" s="61"/>
      <c r="L352" s="63" t="s">
        <v>22</v>
      </c>
      <c r="M352" s="61"/>
      <c r="N352" s="62"/>
      <c r="O352" s="60"/>
      <c r="P352" s="59"/>
      <c r="Q352" s="134">
        <v>45997.0</v>
      </c>
    </row>
    <row r="353" ht="22.5" customHeight="1">
      <c r="A353" s="59"/>
      <c r="B353" s="60"/>
      <c r="C353" s="59"/>
      <c r="D353" s="61"/>
      <c r="E353" s="61"/>
      <c r="F353" s="59" t="s">
        <v>18</v>
      </c>
      <c r="G353" s="62"/>
      <c r="H353" s="59" t="s">
        <v>20</v>
      </c>
      <c r="I353" s="61"/>
      <c r="J353" s="63" t="s">
        <v>21</v>
      </c>
      <c r="K353" s="62"/>
      <c r="L353" s="63" t="s">
        <v>22</v>
      </c>
      <c r="M353" s="62"/>
      <c r="N353" s="62"/>
      <c r="O353" s="60"/>
      <c r="P353" s="59"/>
      <c r="Q353" s="134">
        <v>45997.0</v>
      </c>
    </row>
    <row r="354" ht="22.5" customHeight="1">
      <c r="A354" s="59"/>
      <c r="B354" s="60"/>
      <c r="C354" s="59"/>
      <c r="D354" s="61"/>
      <c r="E354" s="61"/>
      <c r="F354" s="59" t="s">
        <v>18</v>
      </c>
      <c r="G354" s="62"/>
      <c r="H354" s="59" t="s">
        <v>20</v>
      </c>
      <c r="I354" s="61"/>
      <c r="J354" s="63" t="s">
        <v>21</v>
      </c>
      <c r="K354" s="62"/>
      <c r="L354" s="63" t="s">
        <v>22</v>
      </c>
      <c r="M354" s="62"/>
      <c r="N354" s="62"/>
      <c r="O354" s="59"/>
      <c r="P354" s="59"/>
      <c r="Q354" s="134">
        <v>45997.0</v>
      </c>
    </row>
    <row r="355" ht="22.5" customHeight="1">
      <c r="A355" s="59"/>
      <c r="B355" s="60"/>
      <c r="C355" s="59"/>
      <c r="D355" s="61"/>
      <c r="E355" s="61"/>
      <c r="F355" s="59" t="s">
        <v>18</v>
      </c>
      <c r="G355" s="61"/>
      <c r="H355" s="59" t="s">
        <v>20</v>
      </c>
      <c r="I355" s="61"/>
      <c r="J355" s="63" t="s">
        <v>21</v>
      </c>
      <c r="K355" s="61"/>
      <c r="L355" s="63" t="s">
        <v>22</v>
      </c>
      <c r="M355" s="61"/>
      <c r="N355" s="62"/>
      <c r="O355" s="60"/>
      <c r="P355" s="59"/>
      <c r="Q355" s="134">
        <v>45997.0</v>
      </c>
    </row>
    <row r="356" ht="22.5" customHeight="1">
      <c r="A356" s="59"/>
      <c r="B356" s="60"/>
      <c r="C356" s="59"/>
      <c r="D356" s="61"/>
      <c r="E356" s="61"/>
      <c r="F356" s="59" t="s">
        <v>18</v>
      </c>
      <c r="G356" s="61"/>
      <c r="H356" s="59" t="s">
        <v>20</v>
      </c>
      <c r="I356" s="61"/>
      <c r="J356" s="63" t="s">
        <v>21</v>
      </c>
      <c r="K356" s="61"/>
      <c r="L356" s="63" t="s">
        <v>22</v>
      </c>
      <c r="M356" s="61"/>
      <c r="N356" s="62"/>
      <c r="O356" s="60"/>
      <c r="P356" s="59"/>
      <c r="Q356" s="134">
        <v>45997.0</v>
      </c>
    </row>
    <row r="357" ht="22.5" customHeight="1">
      <c r="A357" s="59"/>
      <c r="B357" s="60"/>
      <c r="C357" s="59"/>
      <c r="D357" s="61"/>
      <c r="E357" s="61"/>
      <c r="F357" s="59" t="s">
        <v>18</v>
      </c>
      <c r="G357" s="62"/>
      <c r="H357" s="59" t="s">
        <v>20</v>
      </c>
      <c r="I357" s="61"/>
      <c r="J357" s="63" t="s">
        <v>21</v>
      </c>
      <c r="K357" s="62"/>
      <c r="L357" s="63" t="s">
        <v>22</v>
      </c>
      <c r="M357" s="62"/>
      <c r="N357" s="62"/>
      <c r="O357" s="60"/>
      <c r="P357" s="59"/>
      <c r="Q357" s="134">
        <v>45997.0</v>
      </c>
    </row>
    <row r="358" ht="22.5" customHeight="1">
      <c r="A358" s="59"/>
      <c r="B358" s="60"/>
      <c r="C358" s="59"/>
      <c r="D358" s="61"/>
      <c r="E358" s="61"/>
      <c r="F358" s="59" t="s">
        <v>18</v>
      </c>
      <c r="G358" s="62"/>
      <c r="H358" s="59" t="s">
        <v>20</v>
      </c>
      <c r="I358" s="61"/>
      <c r="J358" s="63" t="s">
        <v>21</v>
      </c>
      <c r="K358" s="62"/>
      <c r="L358" s="63" t="s">
        <v>22</v>
      </c>
      <c r="M358" s="62"/>
      <c r="N358" s="62"/>
      <c r="O358" s="59"/>
      <c r="P358" s="59"/>
      <c r="Q358" s="134">
        <v>45997.0</v>
      </c>
    </row>
    <row r="359" ht="22.5" customHeight="1">
      <c r="A359" s="59"/>
      <c r="B359" s="60"/>
      <c r="C359" s="59"/>
      <c r="D359" s="61"/>
      <c r="E359" s="61"/>
      <c r="F359" s="59" t="s">
        <v>18</v>
      </c>
      <c r="G359" s="62"/>
      <c r="H359" s="59" t="s">
        <v>20</v>
      </c>
      <c r="I359" s="61"/>
      <c r="J359" s="63" t="s">
        <v>21</v>
      </c>
      <c r="K359" s="62"/>
      <c r="L359" s="63" t="s">
        <v>22</v>
      </c>
      <c r="M359" s="62"/>
      <c r="N359" s="62"/>
      <c r="O359" s="59"/>
      <c r="P359" s="59"/>
      <c r="Q359" s="134">
        <v>45997.0</v>
      </c>
    </row>
    <row r="360" ht="22.5" customHeight="1">
      <c r="A360" s="59"/>
      <c r="B360" s="60"/>
      <c r="C360" s="59"/>
      <c r="D360" s="61"/>
      <c r="E360" s="61"/>
      <c r="F360" s="59" t="s">
        <v>18</v>
      </c>
      <c r="G360" s="62"/>
      <c r="H360" s="59" t="s">
        <v>20</v>
      </c>
      <c r="I360" s="61"/>
      <c r="J360" s="63" t="s">
        <v>21</v>
      </c>
      <c r="K360" s="62"/>
      <c r="L360" s="63" t="s">
        <v>22</v>
      </c>
      <c r="M360" s="62"/>
      <c r="N360" s="62"/>
      <c r="O360" s="59"/>
      <c r="P360" s="59"/>
      <c r="Q360" s="134">
        <v>45997.0</v>
      </c>
    </row>
    <row r="361" ht="22.5" customHeight="1">
      <c r="A361" s="59"/>
      <c r="B361" s="60"/>
      <c r="C361" s="59"/>
      <c r="D361" s="61"/>
      <c r="E361" s="61"/>
      <c r="F361" s="59" t="s">
        <v>18</v>
      </c>
      <c r="G361" s="61"/>
      <c r="H361" s="59" t="s">
        <v>20</v>
      </c>
      <c r="I361" s="61"/>
      <c r="J361" s="63" t="s">
        <v>21</v>
      </c>
      <c r="K361" s="62"/>
      <c r="L361" s="63" t="s">
        <v>22</v>
      </c>
      <c r="M361" s="62"/>
      <c r="N361" s="62"/>
      <c r="O361" s="60"/>
      <c r="P361" s="59"/>
      <c r="Q361" s="134">
        <v>45997.0</v>
      </c>
    </row>
    <row r="362" ht="22.5" customHeight="1">
      <c r="A362" s="59"/>
      <c r="B362" s="60"/>
      <c r="C362" s="59"/>
      <c r="D362" s="61"/>
      <c r="E362" s="61"/>
      <c r="F362" s="59" t="s">
        <v>18</v>
      </c>
      <c r="G362" s="61"/>
      <c r="H362" s="59" t="s">
        <v>20</v>
      </c>
      <c r="I362" s="61"/>
      <c r="J362" s="63" t="s">
        <v>21</v>
      </c>
      <c r="K362" s="61"/>
      <c r="L362" s="63" t="s">
        <v>22</v>
      </c>
      <c r="M362" s="61"/>
      <c r="N362" s="62"/>
      <c r="O362" s="60"/>
      <c r="P362" s="59"/>
      <c r="Q362" s="134">
        <v>45997.0</v>
      </c>
    </row>
    <row r="363" ht="22.5" customHeight="1">
      <c r="A363" s="59"/>
      <c r="B363" s="60"/>
      <c r="C363" s="59"/>
      <c r="D363" s="61"/>
      <c r="E363" s="61"/>
      <c r="F363" s="59" t="s">
        <v>18</v>
      </c>
      <c r="G363" s="61"/>
      <c r="H363" s="59" t="s">
        <v>20</v>
      </c>
      <c r="I363" s="61"/>
      <c r="J363" s="63" t="s">
        <v>21</v>
      </c>
      <c r="K363" s="62"/>
      <c r="L363" s="63" t="s">
        <v>22</v>
      </c>
      <c r="M363" s="62"/>
      <c r="N363" s="62"/>
      <c r="O363" s="60"/>
      <c r="P363" s="59"/>
      <c r="Q363" s="134">
        <v>45997.0</v>
      </c>
    </row>
    <row r="364" ht="22.5" customHeight="1">
      <c r="A364" s="59"/>
      <c r="B364" s="60"/>
      <c r="C364" s="59"/>
      <c r="D364" s="61"/>
      <c r="E364" s="61"/>
      <c r="F364" s="59" t="s">
        <v>18</v>
      </c>
      <c r="G364" s="61"/>
      <c r="H364" s="59" t="s">
        <v>20</v>
      </c>
      <c r="I364" s="61"/>
      <c r="J364" s="63" t="s">
        <v>21</v>
      </c>
      <c r="K364" s="62"/>
      <c r="L364" s="63" t="s">
        <v>22</v>
      </c>
      <c r="M364" s="62"/>
      <c r="N364" s="62"/>
      <c r="O364" s="60"/>
      <c r="P364" s="59"/>
      <c r="Q364" s="134">
        <v>45997.0</v>
      </c>
    </row>
    <row r="365" ht="22.5" customHeight="1">
      <c r="A365" s="59"/>
      <c r="B365" s="60"/>
      <c r="C365" s="59"/>
      <c r="D365" s="61"/>
      <c r="E365" s="61"/>
      <c r="F365" s="59" t="s">
        <v>18</v>
      </c>
      <c r="G365" s="61"/>
      <c r="H365" s="59" t="s">
        <v>20</v>
      </c>
      <c r="I365" s="61"/>
      <c r="J365" s="63" t="s">
        <v>21</v>
      </c>
      <c r="K365" s="62"/>
      <c r="L365" s="63" t="s">
        <v>22</v>
      </c>
      <c r="M365" s="62"/>
      <c r="N365" s="62"/>
      <c r="O365" s="60"/>
      <c r="P365" s="59"/>
      <c r="Q365" s="134">
        <v>45997.0</v>
      </c>
    </row>
    <row r="366" ht="22.5" customHeight="1">
      <c r="A366" s="59"/>
      <c r="B366" s="60"/>
      <c r="C366" s="59"/>
      <c r="D366" s="61"/>
      <c r="E366" s="61"/>
      <c r="F366" s="59" t="s">
        <v>18</v>
      </c>
      <c r="G366" s="62"/>
      <c r="H366" s="59" t="s">
        <v>20</v>
      </c>
      <c r="I366" s="61"/>
      <c r="J366" s="63" t="s">
        <v>21</v>
      </c>
      <c r="K366" s="62"/>
      <c r="L366" s="63" t="s">
        <v>22</v>
      </c>
      <c r="M366" s="62"/>
      <c r="N366" s="62"/>
      <c r="O366" s="59"/>
      <c r="P366" s="59"/>
      <c r="Q366" s="134">
        <v>45997.0</v>
      </c>
    </row>
    <row r="367" ht="22.5" customHeight="1">
      <c r="A367" s="59"/>
      <c r="B367" s="60"/>
      <c r="C367" s="59"/>
      <c r="D367" s="61"/>
      <c r="E367" s="61"/>
      <c r="F367" s="59" t="s">
        <v>18</v>
      </c>
      <c r="G367" s="62"/>
      <c r="H367" s="59" t="s">
        <v>20</v>
      </c>
      <c r="I367" s="61"/>
      <c r="J367" s="63" t="s">
        <v>21</v>
      </c>
      <c r="K367" s="62"/>
      <c r="L367" s="63" t="s">
        <v>22</v>
      </c>
      <c r="M367" s="62"/>
      <c r="N367" s="62"/>
      <c r="O367" s="59"/>
      <c r="P367" s="59"/>
      <c r="Q367" s="134">
        <v>45997.0</v>
      </c>
    </row>
    <row r="368" ht="22.5" customHeight="1">
      <c r="A368" s="59"/>
      <c r="B368" s="60"/>
      <c r="C368" s="59"/>
      <c r="D368" s="61"/>
      <c r="E368" s="61"/>
      <c r="F368" s="59" t="s">
        <v>18</v>
      </c>
      <c r="G368" s="61"/>
      <c r="H368" s="59" t="s">
        <v>20</v>
      </c>
      <c r="I368" s="61"/>
      <c r="J368" s="63" t="s">
        <v>21</v>
      </c>
      <c r="K368" s="61"/>
      <c r="L368" s="63" t="s">
        <v>22</v>
      </c>
      <c r="M368" s="61"/>
      <c r="N368" s="62"/>
      <c r="O368" s="60"/>
      <c r="P368" s="59"/>
      <c r="Q368" s="134">
        <v>45997.0</v>
      </c>
    </row>
    <row r="369" ht="22.5" customHeight="1">
      <c r="A369" s="59"/>
      <c r="B369" s="60"/>
      <c r="C369" s="59"/>
      <c r="D369" s="61"/>
      <c r="E369" s="61"/>
      <c r="F369" s="59" t="s">
        <v>18</v>
      </c>
      <c r="G369" s="62"/>
      <c r="H369" s="59" t="s">
        <v>20</v>
      </c>
      <c r="I369" s="61"/>
      <c r="J369" s="63" t="s">
        <v>21</v>
      </c>
      <c r="K369" s="62"/>
      <c r="L369" s="63" t="s">
        <v>22</v>
      </c>
      <c r="M369" s="62"/>
      <c r="N369" s="62"/>
      <c r="O369" s="59"/>
      <c r="P369" s="59"/>
      <c r="Q369" s="134">
        <v>45997.0</v>
      </c>
    </row>
    <row r="370" ht="22.5" customHeight="1">
      <c r="A370" s="59"/>
      <c r="B370" s="60"/>
      <c r="C370" s="59"/>
      <c r="D370" s="61"/>
      <c r="E370" s="61"/>
      <c r="F370" s="59" t="s">
        <v>18</v>
      </c>
      <c r="G370" s="62"/>
      <c r="H370" s="59" t="s">
        <v>20</v>
      </c>
      <c r="I370" s="61"/>
      <c r="J370" s="63" t="s">
        <v>21</v>
      </c>
      <c r="K370" s="62"/>
      <c r="L370" s="63" t="s">
        <v>22</v>
      </c>
      <c r="M370" s="62"/>
      <c r="N370" s="62"/>
      <c r="O370" s="59"/>
      <c r="P370" s="59"/>
      <c r="Q370" s="134">
        <v>45997.0</v>
      </c>
    </row>
    <row r="371" ht="22.5" customHeight="1">
      <c r="A371" s="59"/>
      <c r="B371" s="60"/>
      <c r="C371" s="59"/>
      <c r="D371" s="61"/>
      <c r="E371" s="61"/>
      <c r="F371" s="59" t="s">
        <v>18</v>
      </c>
      <c r="G371" s="62"/>
      <c r="H371" s="59" t="s">
        <v>20</v>
      </c>
      <c r="I371" s="61"/>
      <c r="J371" s="63" t="s">
        <v>21</v>
      </c>
      <c r="K371" s="62"/>
      <c r="L371" s="63" t="s">
        <v>22</v>
      </c>
      <c r="M371" s="62"/>
      <c r="N371" s="62"/>
      <c r="O371" s="59"/>
      <c r="P371" s="59"/>
      <c r="Q371" s="134">
        <v>45997.0</v>
      </c>
    </row>
    <row r="372" ht="22.5" customHeight="1">
      <c r="A372" s="59"/>
      <c r="B372" s="60"/>
      <c r="C372" s="59"/>
      <c r="D372" s="61"/>
      <c r="E372" s="61"/>
      <c r="F372" s="59" t="s">
        <v>18</v>
      </c>
      <c r="G372" s="62"/>
      <c r="H372" s="59" t="s">
        <v>20</v>
      </c>
      <c r="I372" s="61"/>
      <c r="J372" s="63" t="s">
        <v>21</v>
      </c>
      <c r="K372" s="62"/>
      <c r="L372" s="63" t="s">
        <v>22</v>
      </c>
      <c r="M372" s="62"/>
      <c r="N372" s="62"/>
      <c r="O372" s="60"/>
      <c r="P372" s="59"/>
      <c r="Q372" s="134">
        <v>45997.0</v>
      </c>
    </row>
    <row r="373" ht="22.5" customHeight="1">
      <c r="A373" s="59"/>
      <c r="B373" s="60"/>
      <c r="C373" s="59"/>
      <c r="D373" s="61"/>
      <c r="E373" s="61"/>
      <c r="F373" s="59" t="s">
        <v>18</v>
      </c>
      <c r="G373" s="62"/>
      <c r="H373" s="59" t="s">
        <v>20</v>
      </c>
      <c r="I373" s="61"/>
      <c r="J373" s="63" t="s">
        <v>21</v>
      </c>
      <c r="K373" s="62"/>
      <c r="L373" s="63" t="s">
        <v>22</v>
      </c>
      <c r="M373" s="62"/>
      <c r="N373" s="62"/>
      <c r="O373" s="60"/>
      <c r="P373" s="59"/>
      <c r="Q373" s="134">
        <v>45997.0</v>
      </c>
    </row>
    <row r="374" ht="22.5" customHeight="1">
      <c r="A374" s="59"/>
      <c r="B374" s="60"/>
      <c r="C374" s="59"/>
      <c r="D374" s="61"/>
      <c r="E374" s="61"/>
      <c r="F374" s="59" t="s">
        <v>18</v>
      </c>
      <c r="G374" s="62"/>
      <c r="H374" s="59" t="s">
        <v>20</v>
      </c>
      <c r="I374" s="61"/>
      <c r="J374" s="63" t="s">
        <v>21</v>
      </c>
      <c r="K374" s="62"/>
      <c r="L374" s="63" t="s">
        <v>22</v>
      </c>
      <c r="M374" s="62"/>
      <c r="N374" s="62"/>
      <c r="O374" s="59"/>
      <c r="P374" s="59"/>
      <c r="Q374" s="134">
        <v>45997.0</v>
      </c>
    </row>
    <row r="375" ht="22.5" customHeight="1">
      <c r="A375" s="59"/>
      <c r="B375" s="60"/>
      <c r="C375" s="59"/>
      <c r="D375" s="61"/>
      <c r="E375" s="61"/>
      <c r="F375" s="59" t="s">
        <v>18</v>
      </c>
      <c r="G375" s="62"/>
      <c r="H375" s="59" t="s">
        <v>20</v>
      </c>
      <c r="I375" s="61"/>
      <c r="J375" s="63" t="s">
        <v>21</v>
      </c>
      <c r="K375" s="62"/>
      <c r="L375" s="63" t="s">
        <v>22</v>
      </c>
      <c r="M375" s="62"/>
      <c r="N375" s="62"/>
      <c r="O375" s="59"/>
      <c r="P375" s="59"/>
      <c r="Q375" s="134">
        <v>45997.0</v>
      </c>
    </row>
    <row r="376" ht="22.5" customHeight="1">
      <c r="A376" s="59"/>
      <c r="B376" s="60"/>
      <c r="C376" s="59"/>
      <c r="D376" s="61"/>
      <c r="E376" s="61"/>
      <c r="F376" s="59" t="s">
        <v>18</v>
      </c>
      <c r="G376" s="62"/>
      <c r="H376" s="59" t="s">
        <v>20</v>
      </c>
      <c r="I376" s="61"/>
      <c r="J376" s="63" t="s">
        <v>21</v>
      </c>
      <c r="K376" s="62"/>
      <c r="L376" s="63" t="s">
        <v>22</v>
      </c>
      <c r="M376" s="62"/>
      <c r="N376" s="62"/>
      <c r="O376" s="59"/>
      <c r="P376" s="59"/>
      <c r="Q376" s="134">
        <v>45997.0</v>
      </c>
    </row>
    <row r="377" ht="22.5" customHeight="1">
      <c r="A377" s="59"/>
      <c r="B377" s="60"/>
      <c r="C377" s="59"/>
      <c r="D377" s="61"/>
      <c r="E377" s="61"/>
      <c r="F377" s="59" t="s">
        <v>18</v>
      </c>
      <c r="G377" s="62"/>
      <c r="H377" s="59" t="s">
        <v>20</v>
      </c>
      <c r="I377" s="61"/>
      <c r="J377" s="63" t="s">
        <v>21</v>
      </c>
      <c r="K377" s="62"/>
      <c r="L377" s="63" t="s">
        <v>22</v>
      </c>
      <c r="M377" s="62"/>
      <c r="N377" s="62"/>
      <c r="O377" s="59"/>
      <c r="P377" s="59"/>
      <c r="Q377" s="134">
        <v>45997.0</v>
      </c>
    </row>
    <row r="378" ht="22.5" customHeight="1">
      <c r="A378" s="59"/>
      <c r="B378" s="60"/>
      <c r="C378" s="59"/>
      <c r="D378" s="61"/>
      <c r="E378" s="61"/>
      <c r="F378" s="59" t="s">
        <v>18</v>
      </c>
      <c r="G378" s="62"/>
      <c r="H378" s="59" t="s">
        <v>20</v>
      </c>
      <c r="I378" s="61"/>
      <c r="J378" s="63" t="s">
        <v>21</v>
      </c>
      <c r="K378" s="62"/>
      <c r="L378" s="63" t="s">
        <v>22</v>
      </c>
      <c r="M378" s="62"/>
      <c r="N378" s="62"/>
      <c r="O378" s="59"/>
      <c r="P378" s="59"/>
      <c r="Q378" s="134">
        <v>45997.0</v>
      </c>
    </row>
    <row r="379" ht="22.5" customHeight="1">
      <c r="A379" s="59"/>
      <c r="B379" s="60"/>
      <c r="C379" s="59"/>
      <c r="D379" s="61"/>
      <c r="E379" s="61"/>
      <c r="F379" s="59" t="s">
        <v>18</v>
      </c>
      <c r="G379" s="62"/>
      <c r="H379" s="59" t="s">
        <v>20</v>
      </c>
      <c r="I379" s="61"/>
      <c r="J379" s="63" t="s">
        <v>21</v>
      </c>
      <c r="K379" s="62"/>
      <c r="L379" s="63" t="s">
        <v>22</v>
      </c>
      <c r="M379" s="62"/>
      <c r="N379" s="62"/>
      <c r="O379" s="59"/>
      <c r="P379" s="59"/>
      <c r="Q379" s="134">
        <v>45997.0</v>
      </c>
    </row>
    <row r="380" ht="22.5" customHeight="1">
      <c r="A380" s="59"/>
      <c r="B380" s="60"/>
      <c r="C380" s="59"/>
      <c r="D380" s="61"/>
      <c r="E380" s="61"/>
      <c r="F380" s="59" t="s">
        <v>18</v>
      </c>
      <c r="G380" s="62"/>
      <c r="H380" s="59" t="s">
        <v>20</v>
      </c>
      <c r="I380" s="61"/>
      <c r="J380" s="63" t="s">
        <v>21</v>
      </c>
      <c r="K380" s="62"/>
      <c r="L380" s="63" t="s">
        <v>22</v>
      </c>
      <c r="M380" s="62"/>
      <c r="N380" s="62"/>
      <c r="O380" s="59"/>
      <c r="P380" s="59"/>
      <c r="Q380" s="134"/>
    </row>
    <row r="381" ht="22.5" customHeight="1">
      <c r="A381" s="59"/>
      <c r="B381" s="60"/>
      <c r="C381" s="59"/>
      <c r="D381" s="61"/>
      <c r="E381" s="61"/>
      <c r="F381" s="59" t="s">
        <v>18</v>
      </c>
      <c r="G381" s="61"/>
      <c r="H381" s="59" t="s">
        <v>20</v>
      </c>
      <c r="I381" s="61"/>
      <c r="J381" s="63" t="s">
        <v>21</v>
      </c>
      <c r="K381" s="61"/>
      <c r="L381" s="63" t="s">
        <v>22</v>
      </c>
      <c r="M381" s="61"/>
      <c r="N381" s="62"/>
      <c r="O381" s="60"/>
      <c r="P381" s="59"/>
      <c r="Q381" s="134"/>
    </row>
    <row r="382" ht="22.5" customHeight="1">
      <c r="A382" s="59"/>
      <c r="B382" s="60"/>
      <c r="C382" s="59"/>
      <c r="D382" s="61"/>
      <c r="E382" s="61"/>
      <c r="F382" s="59" t="s">
        <v>18</v>
      </c>
      <c r="G382" s="62"/>
      <c r="H382" s="59" t="s">
        <v>20</v>
      </c>
      <c r="I382" s="61"/>
      <c r="J382" s="63" t="s">
        <v>21</v>
      </c>
      <c r="K382" s="62"/>
      <c r="L382" s="63" t="s">
        <v>22</v>
      </c>
      <c r="M382" s="62"/>
      <c r="N382" s="62"/>
      <c r="O382" s="59"/>
      <c r="P382" s="59"/>
      <c r="Q382" s="134"/>
    </row>
    <row r="383" ht="22.5" customHeight="1">
      <c r="A383" s="59"/>
      <c r="B383" s="60"/>
      <c r="C383" s="59"/>
      <c r="D383" s="61"/>
      <c r="E383" s="61"/>
      <c r="F383" s="59" t="s">
        <v>18</v>
      </c>
      <c r="G383" s="61"/>
      <c r="H383" s="59" t="s">
        <v>20</v>
      </c>
      <c r="I383" s="61"/>
      <c r="J383" s="63" t="s">
        <v>21</v>
      </c>
      <c r="K383" s="61"/>
      <c r="L383" s="63" t="s">
        <v>22</v>
      </c>
      <c r="M383" s="61"/>
      <c r="N383" s="62"/>
      <c r="O383" s="60"/>
      <c r="P383" s="59"/>
      <c r="Q383" s="134"/>
    </row>
    <row r="384" ht="22.5" customHeight="1">
      <c r="A384" s="59"/>
      <c r="B384" s="60"/>
      <c r="C384" s="59"/>
      <c r="D384" s="61"/>
      <c r="E384" s="61"/>
      <c r="F384" s="59" t="s">
        <v>18</v>
      </c>
      <c r="G384" s="61"/>
      <c r="H384" s="59" t="s">
        <v>20</v>
      </c>
      <c r="I384" s="61"/>
      <c r="J384" s="63" t="s">
        <v>21</v>
      </c>
      <c r="K384" s="61"/>
      <c r="L384" s="63" t="s">
        <v>22</v>
      </c>
      <c r="M384" s="61"/>
      <c r="N384" s="62"/>
      <c r="O384" s="60"/>
      <c r="P384" s="59"/>
      <c r="Q384" s="134"/>
    </row>
    <row r="385" ht="22.5" customHeight="1">
      <c r="A385" s="59"/>
      <c r="B385" s="60"/>
      <c r="C385" s="59"/>
      <c r="D385" s="61"/>
      <c r="E385" s="61"/>
      <c r="F385" s="59" t="s">
        <v>18</v>
      </c>
      <c r="G385" s="61"/>
      <c r="H385" s="59" t="s">
        <v>20</v>
      </c>
      <c r="I385" s="62"/>
      <c r="J385" s="63" t="s">
        <v>21</v>
      </c>
      <c r="K385" s="62"/>
      <c r="L385" s="63" t="s">
        <v>22</v>
      </c>
      <c r="M385" s="62"/>
      <c r="N385" s="62"/>
      <c r="O385" s="60"/>
      <c r="P385" s="59"/>
      <c r="Q385" s="134"/>
    </row>
    <row r="386" ht="22.5" customHeight="1">
      <c r="A386" s="59"/>
      <c r="B386" s="60"/>
      <c r="C386" s="59"/>
      <c r="D386" s="61"/>
      <c r="E386" s="61"/>
      <c r="F386" s="59" t="s">
        <v>18</v>
      </c>
      <c r="G386" s="61"/>
      <c r="H386" s="59" t="s">
        <v>20</v>
      </c>
      <c r="I386" s="62"/>
      <c r="J386" s="63" t="s">
        <v>21</v>
      </c>
      <c r="K386" s="62"/>
      <c r="L386" s="63" t="s">
        <v>22</v>
      </c>
      <c r="M386" s="62"/>
      <c r="N386" s="62"/>
      <c r="O386" s="59"/>
      <c r="P386" s="59"/>
      <c r="Q386" s="134"/>
    </row>
    <row r="387" ht="22.5" customHeight="1">
      <c r="A387" s="59"/>
      <c r="B387" s="60"/>
      <c r="C387" s="59"/>
      <c r="D387" s="61"/>
      <c r="E387" s="61"/>
      <c r="F387" s="59" t="s">
        <v>18</v>
      </c>
      <c r="G387" s="61"/>
      <c r="H387" s="59" t="s">
        <v>20</v>
      </c>
      <c r="I387" s="62"/>
      <c r="J387" s="63" t="s">
        <v>21</v>
      </c>
      <c r="K387" s="62"/>
      <c r="L387" s="63" t="s">
        <v>22</v>
      </c>
      <c r="M387" s="62"/>
      <c r="N387" s="62"/>
      <c r="O387" s="59"/>
      <c r="P387" s="59"/>
      <c r="Q387" s="134"/>
    </row>
    <row r="388" ht="22.5" customHeight="1">
      <c r="A388" s="59"/>
      <c r="B388" s="60"/>
      <c r="C388" s="59"/>
      <c r="D388" s="61"/>
      <c r="E388" s="61"/>
      <c r="F388" s="59" t="s">
        <v>18</v>
      </c>
      <c r="G388" s="61"/>
      <c r="H388" s="59" t="s">
        <v>20</v>
      </c>
      <c r="I388" s="62"/>
      <c r="J388" s="63" t="s">
        <v>21</v>
      </c>
      <c r="K388" s="62"/>
      <c r="L388" s="63" t="s">
        <v>22</v>
      </c>
      <c r="M388" s="62"/>
      <c r="N388" s="62"/>
      <c r="O388" s="59"/>
      <c r="P388" s="59"/>
      <c r="Q388" s="134"/>
    </row>
    <row r="389" ht="22.5" customHeight="1">
      <c r="A389" s="59"/>
      <c r="B389" s="60"/>
      <c r="C389" s="59"/>
      <c r="D389" s="61"/>
      <c r="E389" s="61"/>
      <c r="F389" s="59" t="s">
        <v>18</v>
      </c>
      <c r="G389" s="61"/>
      <c r="H389" s="59" t="s">
        <v>20</v>
      </c>
      <c r="I389" s="62"/>
      <c r="J389" s="63" t="s">
        <v>21</v>
      </c>
      <c r="K389" s="62"/>
      <c r="L389" s="63" t="s">
        <v>22</v>
      </c>
      <c r="M389" s="62"/>
      <c r="N389" s="62"/>
      <c r="O389" s="59"/>
      <c r="P389" s="59"/>
      <c r="Q389" s="134"/>
    </row>
    <row r="390" ht="22.5" customHeight="1">
      <c r="A390" s="59"/>
      <c r="B390" s="60"/>
      <c r="C390" s="59"/>
      <c r="D390" s="61"/>
      <c r="E390" s="61"/>
      <c r="F390" s="59" t="s">
        <v>18</v>
      </c>
      <c r="G390" s="61"/>
      <c r="H390" s="59" t="s">
        <v>20</v>
      </c>
      <c r="I390" s="62"/>
      <c r="J390" s="63" t="s">
        <v>21</v>
      </c>
      <c r="K390" s="62"/>
      <c r="L390" s="63" t="s">
        <v>22</v>
      </c>
      <c r="M390" s="62"/>
      <c r="N390" s="62"/>
      <c r="O390" s="59"/>
      <c r="P390" s="59"/>
      <c r="Q390" s="134"/>
    </row>
    <row r="391" ht="22.5" customHeight="1">
      <c r="A391" s="59"/>
      <c r="B391" s="60"/>
      <c r="C391" s="59"/>
      <c r="D391" s="61"/>
      <c r="E391" s="61"/>
      <c r="F391" s="59" t="s">
        <v>18</v>
      </c>
      <c r="G391" s="61"/>
      <c r="H391" s="59" t="s">
        <v>20</v>
      </c>
      <c r="I391" s="62"/>
      <c r="J391" s="63" t="s">
        <v>21</v>
      </c>
      <c r="K391" s="62"/>
      <c r="L391" s="63" t="s">
        <v>22</v>
      </c>
      <c r="M391" s="62"/>
      <c r="N391" s="62"/>
      <c r="O391" s="59"/>
      <c r="P391" s="59"/>
      <c r="Q391" s="134"/>
    </row>
    <row r="392" ht="22.5" customHeight="1">
      <c r="A392" s="59"/>
      <c r="B392" s="60"/>
      <c r="C392" s="59"/>
      <c r="D392" s="61"/>
      <c r="E392" s="61"/>
      <c r="F392" s="59" t="s">
        <v>18</v>
      </c>
      <c r="G392" s="61"/>
      <c r="H392" s="59" t="s">
        <v>20</v>
      </c>
      <c r="I392" s="62"/>
      <c r="J392" s="63" t="s">
        <v>21</v>
      </c>
      <c r="K392" s="62"/>
      <c r="L392" s="63" t="s">
        <v>22</v>
      </c>
      <c r="M392" s="62"/>
      <c r="N392" s="62"/>
      <c r="O392" s="59"/>
      <c r="P392" s="59"/>
      <c r="Q392" s="134"/>
    </row>
    <row r="393" ht="22.5" customHeight="1">
      <c r="A393" s="59"/>
      <c r="B393" s="60"/>
      <c r="C393" s="59"/>
      <c r="D393" s="61"/>
      <c r="E393" s="61"/>
      <c r="F393" s="59" t="s">
        <v>18</v>
      </c>
      <c r="G393" s="61"/>
      <c r="H393" s="59" t="s">
        <v>20</v>
      </c>
      <c r="I393" s="61"/>
      <c r="J393" s="63" t="s">
        <v>21</v>
      </c>
      <c r="K393" s="61"/>
      <c r="L393" s="63" t="s">
        <v>22</v>
      </c>
      <c r="M393" s="62"/>
      <c r="N393" s="62"/>
      <c r="O393" s="60"/>
      <c r="P393" s="59"/>
      <c r="Q393" s="134"/>
    </row>
    <row r="394" ht="22.5" customHeight="1">
      <c r="A394" s="59"/>
      <c r="B394" s="60"/>
      <c r="C394" s="59"/>
      <c r="D394" s="61"/>
      <c r="E394" s="61"/>
      <c r="F394" s="59" t="s">
        <v>18</v>
      </c>
      <c r="G394" s="61"/>
      <c r="H394" s="59" t="s">
        <v>20</v>
      </c>
      <c r="I394" s="61"/>
      <c r="J394" s="63" t="s">
        <v>21</v>
      </c>
      <c r="K394" s="61"/>
      <c r="L394" s="63" t="s">
        <v>22</v>
      </c>
      <c r="M394" s="61"/>
      <c r="N394" s="62"/>
      <c r="O394" s="60"/>
      <c r="P394" s="59"/>
      <c r="Q394" s="134"/>
    </row>
    <row r="395" ht="22.5" customHeight="1">
      <c r="A395" s="59"/>
      <c r="B395" s="60"/>
      <c r="C395" s="59"/>
      <c r="D395" s="61"/>
      <c r="E395" s="61"/>
      <c r="F395" s="59" t="s">
        <v>18</v>
      </c>
      <c r="G395" s="61"/>
      <c r="H395" s="59" t="s">
        <v>20</v>
      </c>
      <c r="I395" s="62"/>
      <c r="J395" s="63" t="s">
        <v>21</v>
      </c>
      <c r="K395" s="62"/>
      <c r="L395" s="63" t="s">
        <v>22</v>
      </c>
      <c r="M395" s="62"/>
      <c r="N395" s="62"/>
      <c r="O395" s="59"/>
      <c r="P395" s="59"/>
      <c r="Q395" s="134"/>
    </row>
    <row r="396" ht="22.5" customHeight="1">
      <c r="A396" s="59"/>
      <c r="B396" s="60"/>
      <c r="C396" s="59"/>
      <c r="D396" s="61"/>
      <c r="E396" s="61"/>
      <c r="F396" s="59" t="s">
        <v>18</v>
      </c>
      <c r="G396" s="61"/>
      <c r="H396" s="59" t="s">
        <v>20</v>
      </c>
      <c r="I396" s="62"/>
      <c r="J396" s="63" t="s">
        <v>21</v>
      </c>
      <c r="K396" s="62"/>
      <c r="L396" s="63" t="s">
        <v>22</v>
      </c>
      <c r="M396" s="62"/>
      <c r="N396" s="62"/>
      <c r="O396" s="59"/>
      <c r="P396" s="59"/>
      <c r="Q396" s="134"/>
    </row>
    <row r="397" ht="22.5" customHeight="1">
      <c r="A397" s="59"/>
      <c r="B397" s="60"/>
      <c r="C397" s="59"/>
      <c r="D397" s="61"/>
      <c r="E397" s="61"/>
      <c r="F397" s="59" t="s">
        <v>18</v>
      </c>
      <c r="G397" s="61"/>
      <c r="H397" s="59" t="s">
        <v>20</v>
      </c>
      <c r="I397" s="62"/>
      <c r="J397" s="63" t="s">
        <v>21</v>
      </c>
      <c r="K397" s="62"/>
      <c r="L397" s="63" t="s">
        <v>22</v>
      </c>
      <c r="M397" s="62"/>
      <c r="N397" s="62"/>
      <c r="O397" s="59"/>
      <c r="P397" s="59"/>
      <c r="Q397" s="134"/>
    </row>
    <row r="398" ht="22.5" customHeight="1">
      <c r="A398" s="59"/>
      <c r="B398" s="60"/>
      <c r="C398" s="59"/>
      <c r="D398" s="61"/>
      <c r="E398" s="61"/>
      <c r="F398" s="59" t="s">
        <v>18</v>
      </c>
      <c r="G398" s="61"/>
      <c r="H398" s="59" t="s">
        <v>20</v>
      </c>
      <c r="I398" s="61"/>
      <c r="J398" s="63" t="s">
        <v>21</v>
      </c>
      <c r="K398" s="61"/>
      <c r="L398" s="63" t="s">
        <v>22</v>
      </c>
      <c r="M398" s="61"/>
      <c r="N398" s="62"/>
      <c r="O398" s="60"/>
      <c r="P398" s="59"/>
      <c r="Q398" s="134"/>
    </row>
    <row r="399" ht="22.5" customHeight="1">
      <c r="A399" s="59"/>
      <c r="B399" s="60"/>
      <c r="C399" s="59"/>
      <c r="D399" s="61"/>
      <c r="E399" s="61"/>
      <c r="F399" s="59" t="s">
        <v>18</v>
      </c>
      <c r="G399" s="61"/>
      <c r="H399" s="59" t="s">
        <v>20</v>
      </c>
      <c r="I399" s="62"/>
      <c r="J399" s="63" t="s">
        <v>21</v>
      </c>
      <c r="K399" s="62"/>
      <c r="L399" s="63" t="s">
        <v>22</v>
      </c>
      <c r="M399" s="62"/>
      <c r="N399" s="62"/>
      <c r="O399" s="59"/>
      <c r="P399" s="59"/>
      <c r="Q399" s="134"/>
    </row>
    <row r="400" ht="22.5" customHeight="1">
      <c r="A400" s="59"/>
      <c r="B400" s="60"/>
      <c r="C400" s="59"/>
      <c r="D400" s="61"/>
      <c r="E400" s="61"/>
      <c r="F400" s="59" t="s">
        <v>18</v>
      </c>
      <c r="G400" s="61"/>
      <c r="H400" s="59" t="s">
        <v>20</v>
      </c>
      <c r="I400" s="62"/>
      <c r="J400" s="63" t="s">
        <v>21</v>
      </c>
      <c r="K400" s="62"/>
      <c r="L400" s="63" t="s">
        <v>22</v>
      </c>
      <c r="M400" s="62"/>
      <c r="N400" s="62"/>
      <c r="O400" s="59"/>
      <c r="P400" s="59"/>
      <c r="Q400" s="134"/>
    </row>
    <row r="401" ht="22.5" customHeight="1">
      <c r="A401" s="59"/>
      <c r="B401" s="60"/>
      <c r="C401" s="59"/>
      <c r="D401" s="61"/>
      <c r="E401" s="61"/>
      <c r="F401" s="59" t="s">
        <v>18</v>
      </c>
      <c r="G401" s="61"/>
      <c r="H401" s="59" t="s">
        <v>20</v>
      </c>
      <c r="I401" s="62"/>
      <c r="J401" s="63" t="s">
        <v>21</v>
      </c>
      <c r="K401" s="62"/>
      <c r="L401" s="63" t="s">
        <v>22</v>
      </c>
      <c r="M401" s="62"/>
      <c r="N401" s="62"/>
      <c r="O401" s="59"/>
      <c r="P401" s="59"/>
      <c r="Q401" s="134"/>
    </row>
    <row r="402" ht="22.5" customHeight="1">
      <c r="A402" s="59"/>
      <c r="B402" s="60"/>
      <c r="C402" s="59"/>
      <c r="D402" s="61"/>
      <c r="E402" s="61"/>
      <c r="F402" s="59" t="s">
        <v>18</v>
      </c>
      <c r="G402" s="61"/>
      <c r="H402" s="59" t="s">
        <v>20</v>
      </c>
      <c r="I402" s="62"/>
      <c r="J402" s="63" t="s">
        <v>21</v>
      </c>
      <c r="K402" s="62"/>
      <c r="L402" s="63" t="s">
        <v>22</v>
      </c>
      <c r="M402" s="62"/>
      <c r="N402" s="62"/>
      <c r="O402" s="60"/>
      <c r="P402" s="59"/>
      <c r="Q402" s="134"/>
    </row>
    <row r="403" ht="22.5" customHeight="1">
      <c r="A403" s="59"/>
      <c r="B403" s="60"/>
      <c r="C403" s="59"/>
      <c r="D403" s="61"/>
      <c r="E403" s="61"/>
      <c r="F403" s="59" t="s">
        <v>18</v>
      </c>
      <c r="G403" s="61"/>
      <c r="H403" s="59" t="s">
        <v>20</v>
      </c>
      <c r="I403" s="62"/>
      <c r="J403" s="63" t="s">
        <v>21</v>
      </c>
      <c r="K403" s="62"/>
      <c r="L403" s="63" t="s">
        <v>22</v>
      </c>
      <c r="M403" s="62"/>
      <c r="N403" s="62"/>
      <c r="O403" s="60"/>
      <c r="P403" s="59"/>
      <c r="Q403" s="134"/>
    </row>
    <row r="404" ht="22.5" customHeight="1">
      <c r="A404" s="59"/>
      <c r="B404" s="60"/>
      <c r="C404" s="59"/>
      <c r="D404" s="61"/>
      <c r="E404" s="61"/>
      <c r="F404" s="59" t="s">
        <v>18</v>
      </c>
      <c r="G404" s="61"/>
      <c r="H404" s="59" t="s">
        <v>20</v>
      </c>
      <c r="I404" s="62"/>
      <c r="J404" s="63" t="s">
        <v>21</v>
      </c>
      <c r="K404" s="62"/>
      <c r="L404" s="63" t="s">
        <v>22</v>
      </c>
      <c r="M404" s="62"/>
      <c r="N404" s="62"/>
      <c r="O404" s="59"/>
      <c r="P404" s="59"/>
      <c r="Q404" s="134"/>
    </row>
    <row r="405" ht="22.5" customHeight="1">
      <c r="A405" s="59"/>
      <c r="B405" s="60"/>
      <c r="C405" s="59"/>
      <c r="D405" s="61"/>
      <c r="E405" s="61"/>
      <c r="F405" s="59" t="s">
        <v>18</v>
      </c>
      <c r="G405" s="61"/>
      <c r="H405" s="59" t="s">
        <v>20</v>
      </c>
      <c r="I405" s="62"/>
      <c r="J405" s="63" t="s">
        <v>21</v>
      </c>
      <c r="K405" s="62"/>
      <c r="L405" s="63" t="s">
        <v>22</v>
      </c>
      <c r="M405" s="62"/>
      <c r="N405" s="62"/>
      <c r="O405" s="59"/>
      <c r="P405" s="59"/>
      <c r="Q405" s="134"/>
    </row>
    <row r="406" ht="22.5" customHeight="1">
      <c r="A406" s="59"/>
      <c r="B406" s="59"/>
      <c r="C406" s="59"/>
      <c r="D406" s="62"/>
      <c r="E406" s="62"/>
      <c r="F406" s="59" t="s">
        <v>18</v>
      </c>
      <c r="G406" s="62"/>
      <c r="H406" s="59" t="s">
        <v>20</v>
      </c>
      <c r="I406" s="62"/>
      <c r="J406" s="63" t="s">
        <v>21</v>
      </c>
      <c r="K406" s="62"/>
      <c r="L406" s="63" t="s">
        <v>22</v>
      </c>
      <c r="M406" s="62"/>
      <c r="N406" s="62"/>
      <c r="O406" s="59"/>
      <c r="P406" s="59"/>
      <c r="Q406" s="134"/>
    </row>
    <row r="407" ht="22.5" customHeight="1">
      <c r="A407" s="59"/>
      <c r="B407" s="59"/>
      <c r="C407" s="59"/>
      <c r="D407" s="62"/>
      <c r="E407" s="62"/>
      <c r="F407" s="59" t="s">
        <v>18</v>
      </c>
      <c r="G407" s="62"/>
      <c r="H407" s="59" t="s">
        <v>20</v>
      </c>
      <c r="I407" s="62"/>
      <c r="J407" s="63" t="s">
        <v>21</v>
      </c>
      <c r="K407" s="62"/>
      <c r="L407" s="63" t="s">
        <v>22</v>
      </c>
      <c r="M407" s="62"/>
      <c r="N407" s="62"/>
      <c r="O407" s="59"/>
      <c r="P407" s="59"/>
      <c r="Q407" s="134"/>
    </row>
    <row r="408" ht="22.5" customHeight="1">
      <c r="A408" s="59"/>
      <c r="B408" s="59"/>
      <c r="C408" s="59"/>
      <c r="D408" s="62"/>
      <c r="E408" s="62"/>
      <c r="F408" s="59" t="s">
        <v>18</v>
      </c>
      <c r="G408" s="62"/>
      <c r="H408" s="59" t="s">
        <v>20</v>
      </c>
      <c r="I408" s="62"/>
      <c r="J408" s="63" t="s">
        <v>21</v>
      </c>
      <c r="K408" s="62"/>
      <c r="L408" s="63" t="s">
        <v>22</v>
      </c>
      <c r="M408" s="62"/>
      <c r="N408" s="62"/>
      <c r="O408" s="59"/>
      <c r="P408" s="59"/>
      <c r="Q408" s="134"/>
    </row>
    <row r="409" ht="22.5" customHeight="1">
      <c r="A409" s="59"/>
      <c r="B409" s="59"/>
      <c r="C409" s="59"/>
      <c r="D409" s="62"/>
      <c r="E409" s="62"/>
      <c r="F409" s="59" t="s">
        <v>18</v>
      </c>
      <c r="G409" s="62"/>
      <c r="H409" s="59" t="s">
        <v>20</v>
      </c>
      <c r="I409" s="62"/>
      <c r="J409" s="63" t="s">
        <v>21</v>
      </c>
      <c r="K409" s="62"/>
      <c r="L409" s="63" t="s">
        <v>22</v>
      </c>
      <c r="M409" s="62"/>
      <c r="N409" s="62"/>
      <c r="O409" s="59"/>
      <c r="P409" s="59"/>
      <c r="Q409" s="134"/>
    </row>
    <row r="410" ht="22.5" customHeight="1">
      <c r="A410" s="59"/>
      <c r="B410" s="59"/>
      <c r="C410" s="59"/>
      <c r="D410" s="62"/>
      <c r="E410" s="62"/>
      <c r="F410" s="59" t="s">
        <v>18</v>
      </c>
      <c r="G410" s="62"/>
      <c r="H410" s="59" t="s">
        <v>20</v>
      </c>
      <c r="I410" s="62"/>
      <c r="J410" s="63" t="s">
        <v>21</v>
      </c>
      <c r="K410" s="62"/>
      <c r="L410" s="63" t="s">
        <v>22</v>
      </c>
      <c r="M410" s="62"/>
      <c r="N410" s="62"/>
      <c r="O410" s="59"/>
      <c r="P410" s="59"/>
      <c r="Q410" s="134"/>
    </row>
    <row r="411" ht="22.5" customHeight="1">
      <c r="A411" s="59"/>
      <c r="B411" s="59"/>
      <c r="C411" s="59"/>
      <c r="D411" s="62"/>
      <c r="E411" s="62"/>
      <c r="F411" s="59" t="s">
        <v>18</v>
      </c>
      <c r="G411" s="62"/>
      <c r="H411" s="59" t="s">
        <v>20</v>
      </c>
      <c r="I411" s="62"/>
      <c r="J411" s="63" t="s">
        <v>21</v>
      </c>
      <c r="K411" s="62"/>
      <c r="L411" s="63" t="s">
        <v>22</v>
      </c>
      <c r="M411" s="62"/>
      <c r="N411" s="62"/>
      <c r="O411" s="59"/>
      <c r="P411" s="59"/>
      <c r="Q411" s="134"/>
    </row>
    <row r="412" ht="22.5" customHeight="1">
      <c r="A412" s="59"/>
      <c r="B412" s="59"/>
      <c r="C412" s="59"/>
      <c r="D412" s="62"/>
      <c r="E412" s="62"/>
      <c r="F412" s="59" t="s">
        <v>18</v>
      </c>
      <c r="G412" s="62"/>
      <c r="H412" s="59" t="s">
        <v>20</v>
      </c>
      <c r="I412" s="62"/>
      <c r="J412" s="63" t="s">
        <v>21</v>
      </c>
      <c r="K412" s="62"/>
      <c r="L412" s="63" t="s">
        <v>22</v>
      </c>
      <c r="M412" s="62"/>
      <c r="N412" s="62"/>
      <c r="O412" s="59"/>
      <c r="P412" s="59"/>
      <c r="Q412" s="134"/>
    </row>
    <row r="413" ht="22.5" customHeight="1">
      <c r="A413" s="59"/>
      <c r="B413" s="59"/>
      <c r="C413" s="59"/>
      <c r="D413" s="62"/>
      <c r="E413" s="62"/>
      <c r="F413" s="59" t="s">
        <v>18</v>
      </c>
      <c r="G413" s="62"/>
      <c r="H413" s="59" t="s">
        <v>20</v>
      </c>
      <c r="I413" s="62"/>
      <c r="J413" s="63" t="s">
        <v>21</v>
      </c>
      <c r="K413" s="62"/>
      <c r="L413" s="63" t="s">
        <v>22</v>
      </c>
      <c r="M413" s="62"/>
      <c r="N413" s="62"/>
      <c r="O413" s="59"/>
      <c r="P413" s="59"/>
      <c r="Q413" s="134"/>
    </row>
    <row r="414" ht="22.5" customHeight="1">
      <c r="A414" s="59"/>
      <c r="B414" s="59"/>
      <c r="C414" s="59"/>
      <c r="D414" s="62"/>
      <c r="E414" s="62"/>
      <c r="F414" s="59" t="s">
        <v>18</v>
      </c>
      <c r="G414" s="62"/>
      <c r="H414" s="59" t="s">
        <v>20</v>
      </c>
      <c r="I414" s="62"/>
      <c r="J414" s="63" t="s">
        <v>21</v>
      </c>
      <c r="K414" s="62"/>
      <c r="L414" s="63" t="s">
        <v>22</v>
      </c>
      <c r="M414" s="62"/>
      <c r="N414" s="62"/>
      <c r="O414" s="59"/>
      <c r="P414" s="59"/>
      <c r="Q414" s="134"/>
    </row>
    <row r="415" ht="22.5" customHeight="1">
      <c r="A415" s="59"/>
      <c r="B415" s="59"/>
      <c r="C415" s="59"/>
      <c r="D415" s="62"/>
      <c r="E415" s="62"/>
      <c r="F415" s="59" t="s">
        <v>18</v>
      </c>
      <c r="G415" s="62"/>
      <c r="H415" s="59" t="s">
        <v>20</v>
      </c>
      <c r="I415" s="62"/>
      <c r="J415" s="63" t="s">
        <v>21</v>
      </c>
      <c r="K415" s="62"/>
      <c r="L415" s="63" t="s">
        <v>22</v>
      </c>
      <c r="M415" s="62"/>
      <c r="N415" s="62"/>
      <c r="O415" s="59"/>
      <c r="P415" s="59"/>
      <c r="Q415" s="134"/>
    </row>
    <row r="416" ht="22.5" customHeight="1">
      <c r="A416" s="59"/>
      <c r="B416" s="59"/>
      <c r="C416" s="59"/>
      <c r="D416" s="62"/>
      <c r="E416" s="62"/>
      <c r="F416" s="59" t="s">
        <v>18</v>
      </c>
      <c r="G416" s="62"/>
      <c r="H416" s="59" t="s">
        <v>20</v>
      </c>
      <c r="I416" s="62"/>
      <c r="J416" s="63" t="s">
        <v>21</v>
      </c>
      <c r="K416" s="62"/>
      <c r="L416" s="63" t="s">
        <v>22</v>
      </c>
      <c r="M416" s="62"/>
      <c r="N416" s="62"/>
      <c r="O416" s="59"/>
      <c r="P416" s="59"/>
      <c r="Q416" s="134"/>
    </row>
    <row r="417" ht="22.5" customHeight="1">
      <c r="A417" s="59"/>
      <c r="B417" s="59"/>
      <c r="C417" s="59"/>
      <c r="D417" s="62"/>
      <c r="E417" s="62"/>
      <c r="F417" s="59" t="s">
        <v>18</v>
      </c>
      <c r="G417" s="62"/>
      <c r="H417" s="59" t="s">
        <v>20</v>
      </c>
      <c r="I417" s="62"/>
      <c r="J417" s="63" t="s">
        <v>21</v>
      </c>
      <c r="K417" s="62"/>
      <c r="L417" s="63" t="s">
        <v>22</v>
      </c>
      <c r="M417" s="62"/>
      <c r="N417" s="62"/>
      <c r="O417" s="59"/>
      <c r="P417" s="59"/>
      <c r="Q417" s="134"/>
    </row>
    <row r="418" ht="22.5" customHeight="1">
      <c r="A418" s="59"/>
      <c r="B418" s="59"/>
      <c r="C418" s="59"/>
      <c r="D418" s="62"/>
      <c r="E418" s="62"/>
      <c r="F418" s="59" t="s">
        <v>18</v>
      </c>
      <c r="G418" s="62"/>
      <c r="H418" s="59" t="s">
        <v>20</v>
      </c>
      <c r="I418" s="62"/>
      <c r="J418" s="63" t="s">
        <v>21</v>
      </c>
      <c r="K418" s="62"/>
      <c r="L418" s="63" t="s">
        <v>22</v>
      </c>
      <c r="M418" s="62"/>
      <c r="N418" s="62"/>
      <c r="O418" s="59"/>
      <c r="P418" s="59"/>
      <c r="Q418" s="134"/>
    </row>
    <row r="419" ht="22.5" customHeight="1">
      <c r="A419" s="59"/>
      <c r="B419" s="59"/>
      <c r="C419" s="59"/>
      <c r="D419" s="62"/>
      <c r="E419" s="62"/>
      <c r="F419" s="59" t="s">
        <v>18</v>
      </c>
      <c r="G419" s="62"/>
      <c r="H419" s="59" t="s">
        <v>20</v>
      </c>
      <c r="I419" s="62"/>
      <c r="J419" s="63" t="s">
        <v>21</v>
      </c>
      <c r="K419" s="62"/>
      <c r="L419" s="63" t="s">
        <v>22</v>
      </c>
      <c r="M419" s="62"/>
      <c r="N419" s="62"/>
      <c r="O419" s="59"/>
      <c r="P419" s="59"/>
      <c r="Q419" s="134"/>
    </row>
    <row r="420" ht="22.5" customHeight="1">
      <c r="A420" s="59"/>
      <c r="B420" s="59"/>
      <c r="C420" s="59"/>
      <c r="D420" s="62"/>
      <c r="E420" s="62"/>
      <c r="F420" s="59" t="s">
        <v>18</v>
      </c>
      <c r="G420" s="62"/>
      <c r="H420" s="59" t="s">
        <v>20</v>
      </c>
      <c r="I420" s="62"/>
      <c r="J420" s="63" t="s">
        <v>21</v>
      </c>
      <c r="K420" s="62"/>
      <c r="L420" s="63" t="s">
        <v>22</v>
      </c>
      <c r="M420" s="62"/>
      <c r="N420" s="62"/>
      <c r="O420" s="59"/>
      <c r="P420" s="59"/>
      <c r="Q420" s="134"/>
    </row>
    <row r="421" ht="22.5" customHeight="1">
      <c r="A421" s="59"/>
      <c r="B421" s="59"/>
      <c r="C421" s="59"/>
      <c r="D421" s="62"/>
      <c r="E421" s="62"/>
      <c r="F421" s="59" t="s">
        <v>18</v>
      </c>
      <c r="G421" s="62"/>
      <c r="H421" s="59" t="s">
        <v>20</v>
      </c>
      <c r="I421" s="62"/>
      <c r="J421" s="63" t="s">
        <v>21</v>
      </c>
      <c r="K421" s="62"/>
      <c r="L421" s="63" t="s">
        <v>22</v>
      </c>
      <c r="M421" s="62"/>
      <c r="N421" s="62"/>
      <c r="O421" s="59"/>
      <c r="P421" s="59"/>
      <c r="Q421" s="134"/>
    </row>
    <row r="422" ht="22.5" customHeight="1">
      <c r="A422" s="59"/>
      <c r="B422" s="59"/>
      <c r="C422" s="59"/>
      <c r="D422" s="62"/>
      <c r="E422" s="62"/>
      <c r="F422" s="59" t="s">
        <v>18</v>
      </c>
      <c r="G422" s="62"/>
      <c r="H422" s="59" t="s">
        <v>20</v>
      </c>
      <c r="I422" s="62"/>
      <c r="J422" s="63" t="s">
        <v>21</v>
      </c>
      <c r="K422" s="62"/>
      <c r="L422" s="63" t="s">
        <v>22</v>
      </c>
      <c r="M422" s="62"/>
      <c r="N422" s="62"/>
      <c r="O422" s="59"/>
      <c r="P422" s="59"/>
      <c r="Q422" s="134"/>
    </row>
    <row r="423" ht="22.5" customHeight="1">
      <c r="A423" s="59"/>
      <c r="B423" s="59"/>
      <c r="C423" s="59"/>
      <c r="D423" s="62"/>
      <c r="E423" s="62"/>
      <c r="F423" s="59" t="s">
        <v>18</v>
      </c>
      <c r="G423" s="62"/>
      <c r="H423" s="59" t="s">
        <v>20</v>
      </c>
      <c r="I423" s="62"/>
      <c r="J423" s="63" t="s">
        <v>21</v>
      </c>
      <c r="K423" s="62"/>
      <c r="L423" s="63" t="s">
        <v>22</v>
      </c>
      <c r="M423" s="62"/>
      <c r="N423" s="62"/>
      <c r="O423" s="59"/>
      <c r="P423" s="59"/>
      <c r="Q423" s="134"/>
    </row>
    <row r="424" ht="22.5" customHeight="1">
      <c r="A424" s="59"/>
      <c r="B424" s="59"/>
      <c r="C424" s="59"/>
      <c r="D424" s="62"/>
      <c r="E424" s="62"/>
      <c r="F424" s="59" t="s">
        <v>18</v>
      </c>
      <c r="G424" s="62"/>
      <c r="H424" s="59" t="s">
        <v>20</v>
      </c>
      <c r="I424" s="62"/>
      <c r="J424" s="63" t="s">
        <v>21</v>
      </c>
      <c r="K424" s="62"/>
      <c r="L424" s="63" t="s">
        <v>22</v>
      </c>
      <c r="M424" s="62"/>
      <c r="N424" s="62"/>
      <c r="O424" s="59"/>
      <c r="P424" s="59"/>
      <c r="Q424" s="134"/>
    </row>
    <row r="425" ht="22.5" customHeight="1">
      <c r="A425" s="59"/>
      <c r="B425" s="59"/>
      <c r="C425" s="59"/>
      <c r="D425" s="62"/>
      <c r="E425" s="62"/>
      <c r="F425" s="59" t="s">
        <v>18</v>
      </c>
      <c r="G425" s="62"/>
      <c r="H425" s="59" t="s">
        <v>20</v>
      </c>
      <c r="I425" s="62"/>
      <c r="J425" s="63" t="s">
        <v>21</v>
      </c>
      <c r="K425" s="62"/>
      <c r="L425" s="63" t="s">
        <v>22</v>
      </c>
      <c r="M425" s="62"/>
      <c r="N425" s="62"/>
      <c r="O425" s="59"/>
      <c r="P425" s="59"/>
      <c r="Q425" s="134"/>
    </row>
    <row r="426" ht="22.5" customHeight="1">
      <c r="A426" s="59"/>
      <c r="B426" s="59"/>
      <c r="C426" s="59"/>
      <c r="D426" s="62"/>
      <c r="E426" s="62"/>
      <c r="F426" s="59" t="s">
        <v>18</v>
      </c>
      <c r="G426" s="62"/>
      <c r="H426" s="59" t="s">
        <v>20</v>
      </c>
      <c r="I426" s="62"/>
      <c r="J426" s="63" t="s">
        <v>21</v>
      </c>
      <c r="K426" s="62"/>
      <c r="L426" s="63" t="s">
        <v>22</v>
      </c>
      <c r="M426" s="62"/>
      <c r="N426" s="62"/>
      <c r="O426" s="59"/>
      <c r="P426" s="59"/>
      <c r="Q426" s="134"/>
    </row>
    <row r="427" ht="22.5" customHeight="1">
      <c r="A427" s="59"/>
      <c r="B427" s="59"/>
      <c r="C427" s="59"/>
      <c r="D427" s="62"/>
      <c r="E427" s="62"/>
      <c r="F427" s="59" t="s">
        <v>18</v>
      </c>
      <c r="G427" s="62"/>
      <c r="H427" s="59" t="s">
        <v>20</v>
      </c>
      <c r="I427" s="62"/>
      <c r="J427" s="63" t="s">
        <v>21</v>
      </c>
      <c r="K427" s="62"/>
      <c r="L427" s="63" t="s">
        <v>22</v>
      </c>
      <c r="M427" s="62"/>
      <c r="N427" s="62"/>
      <c r="O427" s="59"/>
      <c r="P427" s="59"/>
      <c r="Q427" s="134"/>
    </row>
    <row r="428" ht="22.5" customHeight="1">
      <c r="A428" s="59"/>
      <c r="B428" s="59"/>
      <c r="C428" s="59"/>
      <c r="D428" s="62"/>
      <c r="E428" s="62"/>
      <c r="F428" s="59" t="s">
        <v>18</v>
      </c>
      <c r="G428" s="62"/>
      <c r="H428" s="59" t="s">
        <v>20</v>
      </c>
      <c r="I428" s="62"/>
      <c r="J428" s="63" t="s">
        <v>21</v>
      </c>
      <c r="K428" s="62"/>
      <c r="L428" s="63" t="s">
        <v>22</v>
      </c>
      <c r="M428" s="62"/>
      <c r="N428" s="62"/>
      <c r="O428" s="59"/>
      <c r="P428" s="59"/>
      <c r="Q428" s="134"/>
    </row>
    <row r="429" ht="22.5" customHeight="1">
      <c r="A429" s="59"/>
      <c r="B429" s="59"/>
      <c r="C429" s="59"/>
      <c r="D429" s="62"/>
      <c r="E429" s="62"/>
      <c r="F429" s="59" t="s">
        <v>18</v>
      </c>
      <c r="G429" s="62"/>
      <c r="H429" s="59" t="s">
        <v>20</v>
      </c>
      <c r="I429" s="62"/>
      <c r="J429" s="63" t="s">
        <v>21</v>
      </c>
      <c r="K429" s="62"/>
      <c r="L429" s="63" t="s">
        <v>22</v>
      </c>
      <c r="M429" s="62"/>
      <c r="N429" s="62"/>
      <c r="O429" s="59"/>
      <c r="P429" s="59"/>
      <c r="Q429" s="134"/>
    </row>
    <row r="430" ht="22.5" customHeight="1">
      <c r="A430" s="59"/>
      <c r="B430" s="59"/>
      <c r="C430" s="59"/>
      <c r="D430" s="62"/>
      <c r="E430" s="62"/>
      <c r="F430" s="59" t="s">
        <v>18</v>
      </c>
      <c r="G430" s="62"/>
      <c r="H430" s="59" t="s">
        <v>20</v>
      </c>
      <c r="I430" s="62"/>
      <c r="J430" s="63" t="s">
        <v>21</v>
      </c>
      <c r="K430" s="62"/>
      <c r="L430" s="63" t="s">
        <v>22</v>
      </c>
      <c r="M430" s="62"/>
      <c r="N430" s="62"/>
      <c r="O430" s="59"/>
      <c r="P430" s="59"/>
      <c r="Q430" s="134"/>
    </row>
    <row r="431" ht="22.5" customHeight="1">
      <c r="A431" s="59"/>
      <c r="B431" s="59"/>
      <c r="C431" s="59"/>
      <c r="D431" s="62"/>
      <c r="E431" s="62"/>
      <c r="F431" s="59" t="s">
        <v>18</v>
      </c>
      <c r="G431" s="62"/>
      <c r="H431" s="59" t="s">
        <v>20</v>
      </c>
      <c r="I431" s="62"/>
      <c r="J431" s="63" t="s">
        <v>21</v>
      </c>
      <c r="K431" s="62"/>
      <c r="L431" s="63" t="s">
        <v>22</v>
      </c>
      <c r="M431" s="62"/>
      <c r="N431" s="62"/>
      <c r="O431" s="59"/>
      <c r="P431" s="59"/>
      <c r="Q431" s="134"/>
    </row>
    <row r="432" ht="22.5" customHeight="1">
      <c r="A432" s="59"/>
      <c r="B432" s="59"/>
      <c r="C432" s="59"/>
      <c r="D432" s="62"/>
      <c r="E432" s="62"/>
      <c r="F432" s="59" t="s">
        <v>18</v>
      </c>
      <c r="G432" s="62"/>
      <c r="H432" s="59" t="s">
        <v>20</v>
      </c>
      <c r="I432" s="62"/>
      <c r="J432" s="63" t="s">
        <v>21</v>
      </c>
      <c r="K432" s="62"/>
      <c r="L432" s="63" t="s">
        <v>22</v>
      </c>
      <c r="M432" s="62"/>
      <c r="N432" s="62"/>
      <c r="O432" s="59"/>
      <c r="P432" s="59"/>
      <c r="Q432" s="134"/>
    </row>
    <row r="433" ht="22.5" customHeight="1">
      <c r="A433" s="59"/>
      <c r="B433" s="59"/>
      <c r="C433" s="59"/>
      <c r="D433" s="62"/>
      <c r="E433" s="62"/>
      <c r="F433" s="59" t="s">
        <v>18</v>
      </c>
      <c r="G433" s="62"/>
      <c r="H433" s="59" t="s">
        <v>20</v>
      </c>
      <c r="I433" s="62"/>
      <c r="J433" s="63" t="s">
        <v>21</v>
      </c>
      <c r="K433" s="62"/>
      <c r="L433" s="63" t="s">
        <v>22</v>
      </c>
      <c r="M433" s="62"/>
      <c r="N433" s="62"/>
      <c r="O433" s="59"/>
      <c r="P433" s="59"/>
      <c r="Q433" s="134"/>
    </row>
    <row r="434" ht="22.5" customHeight="1">
      <c r="A434" s="59"/>
      <c r="B434" s="59"/>
      <c r="C434" s="59"/>
      <c r="D434" s="62"/>
      <c r="E434" s="62"/>
      <c r="F434" s="59" t="s">
        <v>18</v>
      </c>
      <c r="G434" s="62"/>
      <c r="H434" s="59" t="s">
        <v>20</v>
      </c>
      <c r="I434" s="62"/>
      <c r="J434" s="63" t="s">
        <v>21</v>
      </c>
      <c r="K434" s="62"/>
      <c r="L434" s="63" t="s">
        <v>22</v>
      </c>
      <c r="M434" s="62"/>
      <c r="N434" s="62"/>
      <c r="O434" s="59"/>
      <c r="P434" s="59"/>
      <c r="Q434" s="134"/>
    </row>
    <row r="435" ht="22.5" customHeight="1">
      <c r="A435" s="59"/>
      <c r="B435" s="59"/>
      <c r="C435" s="59"/>
      <c r="D435" s="62"/>
      <c r="E435" s="62"/>
      <c r="F435" s="59" t="s">
        <v>18</v>
      </c>
      <c r="G435" s="62"/>
      <c r="H435" s="59" t="s">
        <v>20</v>
      </c>
      <c r="I435" s="62"/>
      <c r="J435" s="63" t="s">
        <v>21</v>
      </c>
      <c r="K435" s="62"/>
      <c r="L435" s="63" t="s">
        <v>22</v>
      </c>
      <c r="M435" s="62"/>
      <c r="N435" s="62"/>
      <c r="O435" s="59"/>
      <c r="P435" s="59"/>
      <c r="Q435" s="134"/>
    </row>
    <row r="436" ht="22.5" customHeight="1">
      <c r="A436" s="59"/>
      <c r="B436" s="59"/>
      <c r="C436" s="59"/>
      <c r="D436" s="62"/>
      <c r="E436" s="62"/>
      <c r="F436" s="59" t="s">
        <v>18</v>
      </c>
      <c r="G436" s="62"/>
      <c r="H436" s="59" t="s">
        <v>20</v>
      </c>
      <c r="I436" s="62"/>
      <c r="J436" s="63" t="s">
        <v>21</v>
      </c>
      <c r="K436" s="62"/>
      <c r="L436" s="63" t="s">
        <v>22</v>
      </c>
      <c r="M436" s="62"/>
      <c r="N436" s="62"/>
      <c r="O436" s="59"/>
      <c r="P436" s="59"/>
      <c r="Q436" s="134"/>
    </row>
    <row r="437" ht="22.5" customHeight="1">
      <c r="A437" s="59"/>
      <c r="B437" s="59"/>
      <c r="C437" s="59"/>
      <c r="D437" s="62"/>
      <c r="E437" s="62"/>
      <c r="F437" s="59" t="s">
        <v>18</v>
      </c>
      <c r="G437" s="62"/>
      <c r="H437" s="59" t="s">
        <v>20</v>
      </c>
      <c r="I437" s="62"/>
      <c r="J437" s="63" t="s">
        <v>21</v>
      </c>
      <c r="K437" s="62"/>
      <c r="L437" s="63" t="s">
        <v>22</v>
      </c>
      <c r="M437" s="62"/>
      <c r="N437" s="62"/>
      <c r="O437" s="59"/>
      <c r="P437" s="59"/>
      <c r="Q437" s="134"/>
    </row>
    <row r="438" ht="22.5" customHeight="1">
      <c r="A438" s="59"/>
      <c r="B438" s="59"/>
      <c r="C438" s="59"/>
      <c r="D438" s="62"/>
      <c r="E438" s="62"/>
      <c r="F438" s="59" t="s">
        <v>18</v>
      </c>
      <c r="G438" s="62"/>
      <c r="H438" s="59" t="s">
        <v>20</v>
      </c>
      <c r="I438" s="62"/>
      <c r="J438" s="63" t="s">
        <v>21</v>
      </c>
      <c r="K438" s="62"/>
      <c r="L438" s="63" t="s">
        <v>22</v>
      </c>
      <c r="M438" s="62"/>
      <c r="N438" s="62"/>
      <c r="O438" s="59"/>
      <c r="P438" s="59"/>
      <c r="Q438" s="134"/>
    </row>
    <row r="439" ht="22.5" customHeight="1">
      <c r="A439" s="59"/>
      <c r="B439" s="59"/>
      <c r="C439" s="59"/>
      <c r="D439" s="62"/>
      <c r="E439" s="62"/>
      <c r="F439" s="59" t="s">
        <v>18</v>
      </c>
      <c r="G439" s="62"/>
      <c r="H439" s="59" t="s">
        <v>20</v>
      </c>
      <c r="I439" s="62"/>
      <c r="J439" s="63" t="s">
        <v>21</v>
      </c>
      <c r="K439" s="62"/>
      <c r="L439" s="63" t="s">
        <v>22</v>
      </c>
      <c r="M439" s="62"/>
      <c r="N439" s="62"/>
      <c r="O439" s="59"/>
      <c r="P439" s="59"/>
      <c r="Q439" s="134"/>
    </row>
    <row r="440" ht="22.5" customHeight="1">
      <c r="A440" s="59"/>
      <c r="B440" s="59"/>
      <c r="C440" s="59"/>
      <c r="D440" s="62"/>
      <c r="E440" s="62"/>
      <c r="F440" s="59" t="s">
        <v>18</v>
      </c>
      <c r="G440" s="62"/>
      <c r="H440" s="59" t="s">
        <v>20</v>
      </c>
      <c r="I440" s="62"/>
      <c r="J440" s="63" t="s">
        <v>21</v>
      </c>
      <c r="K440" s="62"/>
      <c r="L440" s="63" t="s">
        <v>22</v>
      </c>
      <c r="M440" s="62"/>
      <c r="N440" s="62"/>
      <c r="O440" s="59"/>
      <c r="P440" s="59"/>
      <c r="Q440" s="134"/>
    </row>
    <row r="441" ht="22.5" customHeight="1">
      <c r="A441" s="59"/>
      <c r="B441" s="59"/>
      <c r="C441" s="59"/>
      <c r="D441" s="62"/>
      <c r="E441" s="62"/>
      <c r="F441" s="59" t="s">
        <v>18</v>
      </c>
      <c r="G441" s="62"/>
      <c r="H441" s="59" t="s">
        <v>20</v>
      </c>
      <c r="I441" s="62"/>
      <c r="J441" s="63" t="s">
        <v>21</v>
      </c>
      <c r="K441" s="62"/>
      <c r="L441" s="63" t="s">
        <v>22</v>
      </c>
      <c r="M441" s="62"/>
      <c r="N441" s="62"/>
      <c r="O441" s="59"/>
      <c r="P441" s="59"/>
      <c r="Q441" s="134"/>
    </row>
    <row r="442" ht="22.5" customHeight="1">
      <c r="A442" s="59"/>
      <c r="B442" s="59"/>
      <c r="C442" s="59"/>
      <c r="D442" s="62"/>
      <c r="E442" s="62"/>
      <c r="F442" s="59" t="s">
        <v>18</v>
      </c>
      <c r="G442" s="62"/>
      <c r="H442" s="59" t="s">
        <v>20</v>
      </c>
      <c r="I442" s="62"/>
      <c r="J442" s="63" t="s">
        <v>21</v>
      </c>
      <c r="K442" s="62"/>
      <c r="L442" s="63" t="s">
        <v>22</v>
      </c>
      <c r="M442" s="62"/>
      <c r="N442" s="62"/>
      <c r="O442" s="59"/>
      <c r="P442" s="59"/>
      <c r="Q442" s="134"/>
    </row>
    <row r="443" ht="22.5" customHeight="1">
      <c r="A443" s="59"/>
      <c r="B443" s="59"/>
      <c r="C443" s="59"/>
      <c r="D443" s="62"/>
      <c r="E443" s="62"/>
      <c r="F443" s="59" t="s">
        <v>18</v>
      </c>
      <c r="G443" s="62"/>
      <c r="H443" s="59" t="s">
        <v>20</v>
      </c>
      <c r="I443" s="62"/>
      <c r="J443" s="63" t="s">
        <v>21</v>
      </c>
      <c r="K443" s="62"/>
      <c r="L443" s="63" t="s">
        <v>22</v>
      </c>
      <c r="M443" s="62"/>
      <c r="N443" s="62"/>
      <c r="O443" s="59"/>
      <c r="P443" s="59"/>
      <c r="Q443" s="134"/>
    </row>
    <row r="444" ht="22.5" customHeight="1">
      <c r="A444" s="59"/>
      <c r="B444" s="59"/>
      <c r="C444" s="59"/>
      <c r="D444" s="62"/>
      <c r="E444" s="62"/>
      <c r="F444" s="59" t="s">
        <v>18</v>
      </c>
      <c r="G444" s="62"/>
      <c r="H444" s="59" t="s">
        <v>20</v>
      </c>
      <c r="I444" s="62"/>
      <c r="J444" s="63" t="s">
        <v>21</v>
      </c>
      <c r="K444" s="62"/>
      <c r="L444" s="63" t="s">
        <v>22</v>
      </c>
      <c r="M444" s="62"/>
      <c r="N444" s="62"/>
      <c r="O444" s="59"/>
      <c r="P444" s="59"/>
      <c r="Q444" s="134"/>
    </row>
    <row r="445" ht="22.5" customHeight="1">
      <c r="A445" s="59"/>
      <c r="B445" s="59"/>
      <c r="C445" s="59"/>
      <c r="D445" s="62"/>
      <c r="E445" s="62"/>
      <c r="F445" s="59" t="s">
        <v>18</v>
      </c>
      <c r="G445" s="62"/>
      <c r="H445" s="59" t="s">
        <v>20</v>
      </c>
      <c r="I445" s="62"/>
      <c r="J445" s="63" t="s">
        <v>21</v>
      </c>
      <c r="K445" s="62"/>
      <c r="L445" s="63" t="s">
        <v>22</v>
      </c>
      <c r="M445" s="62"/>
      <c r="N445" s="62"/>
      <c r="O445" s="59"/>
      <c r="P445" s="59"/>
      <c r="Q445" s="134"/>
    </row>
    <row r="446" ht="22.5" customHeight="1">
      <c r="A446" s="59"/>
      <c r="B446" s="59"/>
      <c r="C446" s="59"/>
      <c r="D446" s="62"/>
      <c r="E446" s="62"/>
      <c r="F446" s="59" t="s">
        <v>18</v>
      </c>
      <c r="G446" s="62"/>
      <c r="H446" s="59" t="s">
        <v>20</v>
      </c>
      <c r="I446" s="62"/>
      <c r="J446" s="63" t="s">
        <v>21</v>
      </c>
      <c r="K446" s="62"/>
      <c r="L446" s="63" t="s">
        <v>22</v>
      </c>
      <c r="M446" s="62"/>
      <c r="N446" s="62"/>
      <c r="O446" s="59"/>
      <c r="P446" s="59"/>
      <c r="Q446" s="134"/>
    </row>
    <row r="447" ht="22.5" customHeight="1">
      <c r="A447" s="59"/>
      <c r="B447" s="59"/>
      <c r="C447" s="59"/>
      <c r="D447" s="62"/>
      <c r="E447" s="62"/>
      <c r="F447" s="59" t="s">
        <v>18</v>
      </c>
      <c r="G447" s="62"/>
      <c r="H447" s="59" t="s">
        <v>20</v>
      </c>
      <c r="I447" s="62"/>
      <c r="J447" s="63" t="s">
        <v>21</v>
      </c>
      <c r="K447" s="62"/>
      <c r="L447" s="63" t="s">
        <v>22</v>
      </c>
      <c r="M447" s="62"/>
      <c r="N447" s="62"/>
      <c r="O447" s="59"/>
      <c r="P447" s="59"/>
      <c r="Q447" s="134"/>
    </row>
    <row r="448" ht="22.5" customHeight="1">
      <c r="A448" s="59"/>
      <c r="B448" s="59"/>
      <c r="C448" s="59"/>
      <c r="D448" s="62"/>
      <c r="E448" s="62"/>
      <c r="F448" s="59" t="s">
        <v>18</v>
      </c>
      <c r="G448" s="62"/>
      <c r="H448" s="59" t="s">
        <v>20</v>
      </c>
      <c r="I448" s="62"/>
      <c r="J448" s="63" t="s">
        <v>21</v>
      </c>
      <c r="K448" s="62"/>
      <c r="L448" s="63" t="s">
        <v>22</v>
      </c>
      <c r="M448" s="62"/>
      <c r="N448" s="62"/>
      <c r="O448" s="59"/>
      <c r="P448" s="59"/>
      <c r="Q448" s="134"/>
    </row>
    <row r="449" ht="22.5" customHeight="1">
      <c r="A449" s="59"/>
      <c r="B449" s="59"/>
      <c r="C449" s="59"/>
      <c r="D449" s="62"/>
      <c r="E449" s="62"/>
      <c r="F449" s="59" t="s">
        <v>18</v>
      </c>
      <c r="G449" s="62"/>
      <c r="H449" s="59" t="s">
        <v>20</v>
      </c>
      <c r="I449" s="62"/>
      <c r="J449" s="63" t="s">
        <v>21</v>
      </c>
      <c r="K449" s="62"/>
      <c r="L449" s="63" t="s">
        <v>22</v>
      </c>
      <c r="M449" s="62"/>
      <c r="N449" s="62"/>
      <c r="O449" s="59"/>
      <c r="P449" s="59"/>
      <c r="Q449" s="134"/>
    </row>
    <row r="450" ht="22.5" customHeight="1">
      <c r="A450" s="59"/>
      <c r="B450" s="59"/>
      <c r="C450" s="59"/>
      <c r="D450" s="62"/>
      <c r="E450" s="62"/>
      <c r="F450" s="59" t="s">
        <v>18</v>
      </c>
      <c r="G450" s="62"/>
      <c r="H450" s="59" t="s">
        <v>20</v>
      </c>
      <c r="I450" s="62"/>
      <c r="J450" s="63" t="s">
        <v>21</v>
      </c>
      <c r="K450" s="62"/>
      <c r="L450" s="63" t="s">
        <v>22</v>
      </c>
      <c r="M450" s="62"/>
      <c r="N450" s="62"/>
      <c r="O450" s="59"/>
      <c r="P450" s="59"/>
      <c r="Q450" s="134"/>
    </row>
    <row r="451" ht="22.5" customHeight="1">
      <c r="A451" s="59"/>
      <c r="B451" s="59"/>
      <c r="C451" s="59"/>
      <c r="D451" s="62"/>
      <c r="E451" s="62"/>
      <c r="F451" s="59" t="s">
        <v>18</v>
      </c>
      <c r="G451" s="62"/>
      <c r="H451" s="59" t="s">
        <v>20</v>
      </c>
      <c r="I451" s="62"/>
      <c r="J451" s="63" t="s">
        <v>21</v>
      </c>
      <c r="K451" s="62"/>
      <c r="L451" s="63" t="s">
        <v>22</v>
      </c>
      <c r="M451" s="62"/>
      <c r="N451" s="62"/>
      <c r="O451" s="59"/>
      <c r="P451" s="59"/>
      <c r="Q451" s="134"/>
    </row>
    <row r="452" ht="22.5" customHeight="1">
      <c r="A452" s="59"/>
      <c r="B452" s="59"/>
      <c r="C452" s="59"/>
      <c r="D452" s="62"/>
      <c r="E452" s="62"/>
      <c r="F452" s="59" t="s">
        <v>18</v>
      </c>
      <c r="G452" s="62"/>
      <c r="H452" s="59" t="s">
        <v>20</v>
      </c>
      <c r="I452" s="62"/>
      <c r="J452" s="63" t="s">
        <v>21</v>
      </c>
      <c r="K452" s="62"/>
      <c r="L452" s="63" t="s">
        <v>22</v>
      </c>
      <c r="M452" s="62"/>
      <c r="N452" s="62"/>
      <c r="O452" s="59"/>
      <c r="P452" s="59"/>
      <c r="Q452" s="134"/>
    </row>
    <row r="453" ht="22.5" customHeight="1">
      <c r="A453" s="59"/>
      <c r="B453" s="59"/>
      <c r="C453" s="59"/>
      <c r="D453" s="62"/>
      <c r="E453" s="62"/>
      <c r="F453" s="59" t="s">
        <v>18</v>
      </c>
      <c r="G453" s="62"/>
      <c r="H453" s="59" t="s">
        <v>20</v>
      </c>
      <c r="I453" s="62"/>
      <c r="J453" s="63" t="s">
        <v>21</v>
      </c>
      <c r="K453" s="62"/>
      <c r="L453" s="63" t="s">
        <v>22</v>
      </c>
      <c r="M453" s="62"/>
      <c r="N453" s="62"/>
      <c r="O453" s="59"/>
      <c r="P453" s="59"/>
      <c r="Q453" s="134"/>
    </row>
    <row r="454" ht="22.5" customHeight="1">
      <c r="A454" s="59"/>
      <c r="B454" s="59"/>
      <c r="C454" s="59"/>
      <c r="D454" s="62"/>
      <c r="E454" s="62"/>
      <c r="F454" s="59" t="s">
        <v>18</v>
      </c>
      <c r="G454" s="62"/>
      <c r="H454" s="59" t="s">
        <v>20</v>
      </c>
      <c r="I454" s="62"/>
      <c r="J454" s="63" t="s">
        <v>21</v>
      </c>
      <c r="K454" s="62"/>
      <c r="L454" s="63" t="s">
        <v>22</v>
      </c>
      <c r="M454" s="62"/>
      <c r="N454" s="62"/>
      <c r="O454" s="59"/>
      <c r="P454" s="59"/>
      <c r="Q454" s="134"/>
    </row>
    <row r="455" ht="22.5" customHeight="1">
      <c r="A455" s="59"/>
      <c r="B455" s="59"/>
      <c r="C455" s="59"/>
      <c r="D455" s="62"/>
      <c r="E455" s="62"/>
      <c r="F455" s="59" t="s">
        <v>18</v>
      </c>
      <c r="G455" s="62"/>
      <c r="H455" s="59" t="s">
        <v>20</v>
      </c>
      <c r="I455" s="62"/>
      <c r="J455" s="63" t="s">
        <v>21</v>
      </c>
      <c r="K455" s="62"/>
      <c r="L455" s="63" t="s">
        <v>22</v>
      </c>
      <c r="M455" s="62"/>
      <c r="N455" s="62"/>
      <c r="O455" s="59"/>
      <c r="P455" s="59"/>
      <c r="Q455" s="134"/>
    </row>
    <row r="456" ht="22.5" customHeight="1">
      <c r="A456" s="59"/>
      <c r="B456" s="59"/>
      <c r="C456" s="59"/>
      <c r="D456" s="62"/>
      <c r="E456" s="62"/>
      <c r="F456" s="59" t="s">
        <v>18</v>
      </c>
      <c r="G456" s="62"/>
      <c r="H456" s="59" t="s">
        <v>20</v>
      </c>
      <c r="I456" s="62"/>
      <c r="J456" s="63" t="s">
        <v>21</v>
      </c>
      <c r="K456" s="62"/>
      <c r="L456" s="63" t="s">
        <v>22</v>
      </c>
      <c r="M456" s="62"/>
      <c r="N456" s="62"/>
      <c r="O456" s="59"/>
      <c r="P456" s="59"/>
      <c r="Q456" s="134"/>
    </row>
    <row r="457" ht="22.5" customHeight="1">
      <c r="A457" s="59"/>
      <c r="B457" s="59"/>
      <c r="C457" s="59"/>
      <c r="D457" s="62"/>
      <c r="E457" s="62"/>
      <c r="F457" s="59" t="s">
        <v>18</v>
      </c>
      <c r="G457" s="62"/>
      <c r="H457" s="59" t="s">
        <v>20</v>
      </c>
      <c r="I457" s="62"/>
      <c r="J457" s="63" t="s">
        <v>21</v>
      </c>
      <c r="K457" s="62"/>
      <c r="L457" s="63" t="s">
        <v>22</v>
      </c>
      <c r="M457" s="62"/>
      <c r="N457" s="62"/>
      <c r="O457" s="59"/>
      <c r="P457" s="59"/>
      <c r="Q457" s="134"/>
    </row>
    <row r="458" ht="22.5" customHeight="1">
      <c r="A458" s="59"/>
      <c r="B458" s="59"/>
      <c r="C458" s="59"/>
      <c r="D458" s="62"/>
      <c r="E458" s="62"/>
      <c r="F458" s="59" t="s">
        <v>18</v>
      </c>
      <c r="G458" s="62"/>
      <c r="H458" s="59" t="s">
        <v>20</v>
      </c>
      <c r="I458" s="62"/>
      <c r="J458" s="63" t="s">
        <v>21</v>
      </c>
      <c r="K458" s="62"/>
      <c r="L458" s="63" t="s">
        <v>22</v>
      </c>
      <c r="M458" s="62"/>
      <c r="N458" s="62"/>
      <c r="O458" s="59"/>
      <c r="P458" s="59"/>
      <c r="Q458" s="134"/>
    </row>
    <row r="459" ht="22.5" customHeight="1">
      <c r="A459" s="59"/>
      <c r="B459" s="59"/>
      <c r="C459" s="59"/>
      <c r="D459" s="62"/>
      <c r="E459" s="62"/>
      <c r="F459" s="59" t="s">
        <v>18</v>
      </c>
      <c r="G459" s="62"/>
      <c r="H459" s="59" t="s">
        <v>20</v>
      </c>
      <c r="I459" s="62"/>
      <c r="J459" s="63" t="s">
        <v>21</v>
      </c>
      <c r="K459" s="62"/>
      <c r="L459" s="63" t="s">
        <v>22</v>
      </c>
      <c r="M459" s="62"/>
      <c r="N459" s="62"/>
      <c r="O459" s="59"/>
      <c r="P459" s="59"/>
      <c r="Q459" s="134"/>
    </row>
    <row r="460" ht="22.5" customHeight="1">
      <c r="A460" s="59"/>
      <c r="B460" s="59"/>
      <c r="C460" s="59"/>
      <c r="D460" s="62"/>
      <c r="E460" s="62"/>
      <c r="F460" s="59" t="s">
        <v>18</v>
      </c>
      <c r="G460" s="62"/>
      <c r="H460" s="59" t="s">
        <v>20</v>
      </c>
      <c r="I460" s="62"/>
      <c r="J460" s="63" t="s">
        <v>21</v>
      </c>
      <c r="K460" s="62"/>
      <c r="L460" s="63" t="s">
        <v>22</v>
      </c>
      <c r="M460" s="62"/>
      <c r="N460" s="62"/>
      <c r="O460" s="59"/>
      <c r="P460" s="59"/>
      <c r="Q460" s="134"/>
    </row>
    <row r="461" ht="22.5" customHeight="1">
      <c r="A461" s="59"/>
      <c r="B461" s="59"/>
      <c r="C461" s="59"/>
      <c r="D461" s="62"/>
      <c r="E461" s="62"/>
      <c r="F461" s="59" t="s">
        <v>18</v>
      </c>
      <c r="G461" s="62"/>
      <c r="H461" s="59" t="s">
        <v>20</v>
      </c>
      <c r="I461" s="62"/>
      <c r="J461" s="63" t="s">
        <v>21</v>
      </c>
      <c r="K461" s="62"/>
      <c r="L461" s="63" t="s">
        <v>22</v>
      </c>
      <c r="M461" s="62"/>
      <c r="N461" s="62"/>
      <c r="O461" s="59"/>
      <c r="P461" s="59"/>
      <c r="Q461" s="134"/>
    </row>
    <row r="462" ht="22.5" customHeight="1">
      <c r="A462" s="59"/>
      <c r="B462" s="59"/>
      <c r="C462" s="59"/>
      <c r="D462" s="62"/>
      <c r="E462" s="62"/>
      <c r="F462" s="59" t="s">
        <v>18</v>
      </c>
      <c r="G462" s="62"/>
      <c r="H462" s="59" t="s">
        <v>20</v>
      </c>
      <c r="I462" s="62"/>
      <c r="J462" s="63" t="s">
        <v>21</v>
      </c>
      <c r="K462" s="62"/>
      <c r="L462" s="63" t="s">
        <v>22</v>
      </c>
      <c r="M462" s="62"/>
      <c r="N462" s="62"/>
      <c r="O462" s="59"/>
      <c r="P462" s="59"/>
      <c r="Q462" s="134"/>
    </row>
    <row r="463" ht="22.5" customHeight="1">
      <c r="A463" s="59"/>
      <c r="B463" s="59"/>
      <c r="C463" s="59"/>
      <c r="D463" s="62"/>
      <c r="E463" s="62"/>
      <c r="F463" s="59" t="s">
        <v>18</v>
      </c>
      <c r="G463" s="62"/>
      <c r="H463" s="59" t="s">
        <v>20</v>
      </c>
      <c r="I463" s="62"/>
      <c r="J463" s="63" t="s">
        <v>21</v>
      </c>
      <c r="K463" s="62"/>
      <c r="L463" s="63" t="s">
        <v>22</v>
      </c>
      <c r="M463" s="62"/>
      <c r="N463" s="62"/>
      <c r="O463" s="59"/>
      <c r="P463" s="59"/>
      <c r="Q463" s="134"/>
    </row>
    <row r="464" ht="22.5" customHeight="1">
      <c r="A464" s="59"/>
      <c r="B464" s="59"/>
      <c r="C464" s="59"/>
      <c r="D464" s="62"/>
      <c r="E464" s="62"/>
      <c r="F464" s="59" t="s">
        <v>18</v>
      </c>
      <c r="G464" s="62"/>
      <c r="H464" s="59" t="s">
        <v>20</v>
      </c>
      <c r="I464" s="62"/>
      <c r="J464" s="63" t="s">
        <v>21</v>
      </c>
      <c r="K464" s="62"/>
      <c r="L464" s="63" t="s">
        <v>22</v>
      </c>
      <c r="M464" s="62"/>
      <c r="N464" s="62"/>
      <c r="O464" s="59"/>
      <c r="P464" s="59"/>
      <c r="Q464" s="134"/>
    </row>
    <row r="465" ht="22.5" customHeight="1">
      <c r="A465" s="59"/>
      <c r="B465" s="59"/>
      <c r="C465" s="59"/>
      <c r="D465" s="62"/>
      <c r="E465" s="62"/>
      <c r="F465" s="59" t="s">
        <v>18</v>
      </c>
      <c r="G465" s="62"/>
      <c r="H465" s="59" t="s">
        <v>20</v>
      </c>
      <c r="I465" s="62"/>
      <c r="J465" s="63" t="s">
        <v>21</v>
      </c>
      <c r="K465" s="62"/>
      <c r="L465" s="63" t="s">
        <v>22</v>
      </c>
      <c r="M465" s="62"/>
      <c r="N465" s="62"/>
      <c r="O465" s="59"/>
      <c r="P465" s="59"/>
      <c r="Q465" s="134"/>
    </row>
    <row r="466" ht="22.5" customHeight="1">
      <c r="A466" s="59"/>
      <c r="B466" s="59"/>
      <c r="C466" s="59"/>
      <c r="D466" s="62"/>
      <c r="E466" s="62"/>
      <c r="F466" s="59" t="s">
        <v>18</v>
      </c>
      <c r="G466" s="62"/>
      <c r="H466" s="59" t="s">
        <v>20</v>
      </c>
      <c r="I466" s="62"/>
      <c r="J466" s="63" t="s">
        <v>21</v>
      </c>
      <c r="K466" s="62"/>
      <c r="L466" s="63" t="s">
        <v>22</v>
      </c>
      <c r="M466" s="62"/>
      <c r="N466" s="62"/>
      <c r="O466" s="59"/>
      <c r="P466" s="59"/>
      <c r="Q466" s="134"/>
    </row>
    <row r="467" ht="22.5" customHeight="1">
      <c r="A467" s="59"/>
      <c r="B467" s="59"/>
      <c r="C467" s="59"/>
      <c r="D467" s="62"/>
      <c r="E467" s="62"/>
      <c r="F467" s="59" t="s">
        <v>18</v>
      </c>
      <c r="G467" s="62"/>
      <c r="H467" s="59" t="s">
        <v>20</v>
      </c>
      <c r="I467" s="62"/>
      <c r="J467" s="63" t="s">
        <v>21</v>
      </c>
      <c r="K467" s="62"/>
      <c r="L467" s="63" t="s">
        <v>22</v>
      </c>
      <c r="M467" s="62"/>
      <c r="N467" s="62"/>
      <c r="O467" s="59"/>
      <c r="P467" s="59"/>
      <c r="Q467" s="134"/>
    </row>
    <row r="468" ht="22.5" customHeight="1">
      <c r="A468" s="59"/>
      <c r="B468" s="59"/>
      <c r="C468" s="59"/>
      <c r="D468" s="62"/>
      <c r="E468" s="62"/>
      <c r="F468" s="59" t="s">
        <v>18</v>
      </c>
      <c r="G468" s="62"/>
      <c r="H468" s="59" t="s">
        <v>20</v>
      </c>
      <c r="I468" s="62"/>
      <c r="J468" s="63" t="s">
        <v>21</v>
      </c>
      <c r="K468" s="62"/>
      <c r="L468" s="63" t="s">
        <v>22</v>
      </c>
      <c r="M468" s="62"/>
      <c r="N468" s="62"/>
      <c r="O468" s="59"/>
      <c r="P468" s="59"/>
      <c r="Q468" s="134"/>
    </row>
    <row r="469" ht="22.5" customHeight="1">
      <c r="A469" s="59"/>
      <c r="B469" s="59"/>
      <c r="C469" s="59"/>
      <c r="D469" s="62"/>
      <c r="E469" s="62"/>
      <c r="F469" s="59" t="s">
        <v>18</v>
      </c>
      <c r="G469" s="62"/>
      <c r="H469" s="59" t="s">
        <v>20</v>
      </c>
      <c r="I469" s="62"/>
      <c r="J469" s="63" t="s">
        <v>21</v>
      </c>
      <c r="K469" s="62"/>
      <c r="L469" s="63" t="s">
        <v>22</v>
      </c>
      <c r="M469" s="62"/>
      <c r="N469" s="62"/>
      <c r="O469" s="59"/>
      <c r="P469" s="59"/>
      <c r="Q469" s="134"/>
    </row>
    <row r="470" ht="22.5" customHeight="1">
      <c r="A470" s="59"/>
      <c r="B470" s="59"/>
      <c r="C470" s="59"/>
      <c r="D470" s="62"/>
      <c r="E470" s="62"/>
      <c r="F470" s="59" t="s">
        <v>18</v>
      </c>
      <c r="G470" s="62"/>
      <c r="H470" s="59" t="s">
        <v>20</v>
      </c>
      <c r="I470" s="62"/>
      <c r="J470" s="63" t="s">
        <v>21</v>
      </c>
      <c r="K470" s="62"/>
      <c r="L470" s="63" t="s">
        <v>22</v>
      </c>
      <c r="M470" s="62"/>
      <c r="N470" s="62"/>
      <c r="O470" s="59"/>
      <c r="P470" s="59"/>
      <c r="Q470" s="134"/>
    </row>
    <row r="471" ht="22.5" customHeight="1">
      <c r="A471" s="59"/>
      <c r="B471" s="59"/>
      <c r="C471" s="59"/>
      <c r="D471" s="62"/>
      <c r="E471" s="62"/>
      <c r="F471" s="59" t="s">
        <v>18</v>
      </c>
      <c r="G471" s="62"/>
      <c r="H471" s="59" t="s">
        <v>20</v>
      </c>
      <c r="I471" s="62"/>
      <c r="J471" s="63" t="s">
        <v>21</v>
      </c>
      <c r="K471" s="62"/>
      <c r="L471" s="63" t="s">
        <v>22</v>
      </c>
      <c r="M471" s="62"/>
      <c r="N471" s="62"/>
      <c r="O471" s="59"/>
      <c r="P471" s="59"/>
      <c r="Q471" s="134"/>
    </row>
    <row r="472" ht="22.5" customHeight="1">
      <c r="A472" s="59"/>
      <c r="B472" s="59"/>
      <c r="C472" s="59"/>
      <c r="D472" s="62"/>
      <c r="E472" s="62"/>
      <c r="F472" s="59" t="s">
        <v>18</v>
      </c>
      <c r="G472" s="62"/>
      <c r="H472" s="59" t="s">
        <v>20</v>
      </c>
      <c r="I472" s="62"/>
      <c r="J472" s="63" t="s">
        <v>21</v>
      </c>
      <c r="K472" s="62"/>
      <c r="L472" s="63" t="s">
        <v>22</v>
      </c>
      <c r="M472" s="62"/>
      <c r="N472" s="62"/>
      <c r="O472" s="59"/>
      <c r="P472" s="59"/>
      <c r="Q472" s="134"/>
    </row>
    <row r="473" ht="22.5" customHeight="1">
      <c r="A473" s="59"/>
      <c r="B473" s="59"/>
      <c r="C473" s="59"/>
      <c r="D473" s="62"/>
      <c r="E473" s="62"/>
      <c r="F473" s="59" t="s">
        <v>18</v>
      </c>
      <c r="G473" s="62"/>
      <c r="H473" s="59" t="s">
        <v>20</v>
      </c>
      <c r="I473" s="62"/>
      <c r="J473" s="63" t="s">
        <v>21</v>
      </c>
      <c r="K473" s="62"/>
      <c r="L473" s="63" t="s">
        <v>22</v>
      </c>
      <c r="M473" s="62"/>
      <c r="N473" s="62"/>
      <c r="O473" s="59"/>
      <c r="P473" s="59"/>
      <c r="Q473" s="134"/>
    </row>
    <row r="474" ht="22.5" customHeight="1">
      <c r="A474" s="59"/>
      <c r="B474" s="59"/>
      <c r="C474" s="59"/>
      <c r="D474" s="62"/>
      <c r="E474" s="62"/>
      <c r="F474" s="59" t="s">
        <v>18</v>
      </c>
      <c r="G474" s="62"/>
      <c r="H474" s="59" t="s">
        <v>20</v>
      </c>
      <c r="I474" s="62"/>
      <c r="J474" s="63" t="s">
        <v>21</v>
      </c>
      <c r="K474" s="62"/>
      <c r="L474" s="63" t="s">
        <v>22</v>
      </c>
      <c r="M474" s="62"/>
      <c r="N474" s="62"/>
      <c r="O474" s="59"/>
      <c r="P474" s="59"/>
      <c r="Q474" s="134"/>
    </row>
    <row r="475" ht="22.5" customHeight="1">
      <c r="A475" s="59"/>
      <c r="B475" s="59"/>
      <c r="C475" s="59"/>
      <c r="D475" s="62"/>
      <c r="E475" s="62"/>
      <c r="F475" s="59" t="s">
        <v>18</v>
      </c>
      <c r="G475" s="62"/>
      <c r="H475" s="59" t="s">
        <v>20</v>
      </c>
      <c r="I475" s="62"/>
      <c r="J475" s="63" t="s">
        <v>21</v>
      </c>
      <c r="K475" s="62"/>
      <c r="L475" s="63" t="s">
        <v>22</v>
      </c>
      <c r="M475" s="62"/>
      <c r="N475" s="62"/>
      <c r="O475" s="59"/>
      <c r="P475" s="59"/>
      <c r="Q475" s="134"/>
    </row>
    <row r="476" ht="22.5" customHeight="1">
      <c r="A476" s="59"/>
      <c r="B476" s="59"/>
      <c r="C476" s="59"/>
      <c r="D476" s="62"/>
      <c r="E476" s="62"/>
      <c r="F476" s="59" t="s">
        <v>18</v>
      </c>
      <c r="G476" s="62"/>
      <c r="H476" s="59" t="s">
        <v>20</v>
      </c>
      <c r="I476" s="62"/>
      <c r="J476" s="63" t="s">
        <v>21</v>
      </c>
      <c r="K476" s="62"/>
      <c r="L476" s="63" t="s">
        <v>22</v>
      </c>
      <c r="M476" s="62"/>
      <c r="N476" s="62"/>
      <c r="O476" s="59"/>
      <c r="P476" s="59"/>
      <c r="Q476" s="134"/>
    </row>
    <row r="477" ht="22.5" customHeight="1">
      <c r="A477" s="59"/>
      <c r="B477" s="59"/>
      <c r="C477" s="59"/>
      <c r="D477" s="62"/>
      <c r="E477" s="62"/>
      <c r="F477" s="59" t="s">
        <v>18</v>
      </c>
      <c r="G477" s="62"/>
      <c r="H477" s="59" t="s">
        <v>20</v>
      </c>
      <c r="I477" s="62"/>
      <c r="J477" s="63" t="s">
        <v>21</v>
      </c>
      <c r="K477" s="62"/>
      <c r="L477" s="63" t="s">
        <v>22</v>
      </c>
      <c r="M477" s="62"/>
      <c r="N477" s="62"/>
      <c r="O477" s="59"/>
      <c r="P477" s="59"/>
      <c r="Q477" s="134"/>
    </row>
    <row r="478" ht="22.5" customHeight="1">
      <c r="A478" s="59"/>
      <c r="B478" s="59"/>
      <c r="C478" s="59"/>
      <c r="D478" s="62"/>
      <c r="E478" s="62"/>
      <c r="F478" s="59" t="s">
        <v>18</v>
      </c>
      <c r="G478" s="62"/>
      <c r="H478" s="59" t="s">
        <v>20</v>
      </c>
      <c r="I478" s="62"/>
      <c r="J478" s="63" t="s">
        <v>21</v>
      </c>
      <c r="K478" s="62"/>
      <c r="L478" s="63" t="s">
        <v>22</v>
      </c>
      <c r="M478" s="62"/>
      <c r="N478" s="62"/>
      <c r="O478" s="59"/>
      <c r="P478" s="59"/>
      <c r="Q478" s="134"/>
    </row>
    <row r="479" ht="22.5" customHeight="1">
      <c r="A479" s="59"/>
      <c r="B479" s="59"/>
      <c r="C479" s="59"/>
      <c r="D479" s="62"/>
      <c r="E479" s="62"/>
      <c r="F479" s="59" t="s">
        <v>18</v>
      </c>
      <c r="G479" s="62"/>
      <c r="H479" s="59" t="s">
        <v>20</v>
      </c>
      <c r="I479" s="62"/>
      <c r="J479" s="63" t="s">
        <v>21</v>
      </c>
      <c r="K479" s="62"/>
      <c r="L479" s="63" t="s">
        <v>22</v>
      </c>
      <c r="M479" s="62"/>
      <c r="N479" s="62"/>
      <c r="O479" s="59"/>
      <c r="P479" s="59"/>
      <c r="Q479" s="134"/>
    </row>
    <row r="480" ht="22.5" customHeight="1">
      <c r="A480" s="59"/>
      <c r="B480" s="59"/>
      <c r="C480" s="59"/>
      <c r="D480" s="62"/>
      <c r="E480" s="62"/>
      <c r="F480" s="59" t="s">
        <v>18</v>
      </c>
      <c r="G480" s="62"/>
      <c r="H480" s="59" t="s">
        <v>20</v>
      </c>
      <c r="I480" s="62"/>
      <c r="J480" s="63" t="s">
        <v>21</v>
      </c>
      <c r="K480" s="62"/>
      <c r="L480" s="63" t="s">
        <v>22</v>
      </c>
      <c r="M480" s="62"/>
      <c r="N480" s="62"/>
      <c r="O480" s="59"/>
      <c r="P480" s="59"/>
      <c r="Q480" s="134"/>
    </row>
    <row r="481" ht="22.5" customHeight="1">
      <c r="A481" s="59"/>
      <c r="B481" s="59"/>
      <c r="C481" s="59"/>
      <c r="D481" s="62"/>
      <c r="E481" s="62"/>
      <c r="F481" s="59" t="s">
        <v>18</v>
      </c>
      <c r="G481" s="62"/>
      <c r="H481" s="59" t="s">
        <v>20</v>
      </c>
      <c r="I481" s="62"/>
      <c r="J481" s="63" t="s">
        <v>21</v>
      </c>
      <c r="K481" s="62"/>
      <c r="L481" s="63" t="s">
        <v>22</v>
      </c>
      <c r="M481" s="62"/>
      <c r="N481" s="62"/>
      <c r="O481" s="59"/>
      <c r="P481" s="59"/>
      <c r="Q481" s="134"/>
    </row>
    <row r="482" ht="22.5" customHeight="1">
      <c r="A482" s="59"/>
      <c r="B482" s="59"/>
      <c r="C482" s="59"/>
      <c r="D482" s="62"/>
      <c r="E482" s="62"/>
      <c r="F482" s="59" t="s">
        <v>18</v>
      </c>
      <c r="G482" s="62"/>
      <c r="H482" s="59" t="s">
        <v>20</v>
      </c>
      <c r="I482" s="62"/>
      <c r="J482" s="63" t="s">
        <v>21</v>
      </c>
      <c r="K482" s="62"/>
      <c r="L482" s="63" t="s">
        <v>22</v>
      </c>
      <c r="M482" s="62"/>
      <c r="N482" s="62"/>
      <c r="O482" s="59"/>
      <c r="P482" s="59"/>
      <c r="Q482" s="134"/>
    </row>
    <row r="483" ht="22.5" customHeight="1">
      <c r="A483" s="59"/>
      <c r="B483" s="59"/>
      <c r="C483" s="59"/>
      <c r="D483" s="62"/>
      <c r="E483" s="62"/>
      <c r="F483" s="59" t="s">
        <v>18</v>
      </c>
      <c r="G483" s="62"/>
      <c r="H483" s="59" t="s">
        <v>20</v>
      </c>
      <c r="I483" s="62"/>
      <c r="J483" s="63" t="s">
        <v>21</v>
      </c>
      <c r="K483" s="62"/>
      <c r="L483" s="63" t="s">
        <v>22</v>
      </c>
      <c r="M483" s="62"/>
      <c r="N483" s="62"/>
      <c r="O483" s="59"/>
      <c r="P483" s="59"/>
      <c r="Q483" s="134"/>
    </row>
    <row r="484" ht="22.5" customHeight="1">
      <c r="A484" s="59"/>
      <c r="B484" s="59"/>
      <c r="C484" s="59"/>
      <c r="D484" s="62"/>
      <c r="E484" s="62"/>
      <c r="F484" s="59" t="s">
        <v>18</v>
      </c>
      <c r="G484" s="62"/>
      <c r="H484" s="59" t="s">
        <v>20</v>
      </c>
      <c r="I484" s="62"/>
      <c r="J484" s="63" t="s">
        <v>21</v>
      </c>
      <c r="K484" s="62"/>
      <c r="L484" s="63" t="s">
        <v>22</v>
      </c>
      <c r="M484" s="62"/>
      <c r="N484" s="62"/>
      <c r="O484" s="59"/>
      <c r="P484" s="59"/>
      <c r="Q484" s="134"/>
    </row>
    <row r="485" ht="22.5" customHeight="1">
      <c r="A485" s="59"/>
      <c r="B485" s="59"/>
      <c r="C485" s="59"/>
      <c r="D485" s="62"/>
      <c r="E485" s="62"/>
      <c r="F485" s="59" t="s">
        <v>18</v>
      </c>
      <c r="G485" s="62"/>
      <c r="H485" s="59" t="s">
        <v>20</v>
      </c>
      <c r="I485" s="62"/>
      <c r="J485" s="63" t="s">
        <v>21</v>
      </c>
      <c r="K485" s="62"/>
      <c r="L485" s="63" t="s">
        <v>22</v>
      </c>
      <c r="M485" s="62"/>
      <c r="N485" s="62"/>
      <c r="O485" s="59"/>
      <c r="P485" s="59"/>
      <c r="Q485" s="134"/>
    </row>
    <row r="486" ht="22.5" customHeight="1">
      <c r="A486" s="59"/>
      <c r="B486" s="59"/>
      <c r="C486" s="59"/>
      <c r="D486" s="62"/>
      <c r="E486" s="62"/>
      <c r="F486" s="59" t="s">
        <v>18</v>
      </c>
      <c r="G486" s="62"/>
      <c r="H486" s="59" t="s">
        <v>20</v>
      </c>
      <c r="I486" s="62"/>
      <c r="J486" s="63" t="s">
        <v>21</v>
      </c>
      <c r="K486" s="62"/>
      <c r="L486" s="63" t="s">
        <v>22</v>
      </c>
      <c r="M486" s="62"/>
      <c r="N486" s="62"/>
      <c r="O486" s="59"/>
      <c r="P486" s="59"/>
      <c r="Q486" s="134"/>
    </row>
    <row r="487" ht="22.5" customHeight="1">
      <c r="A487" s="59"/>
      <c r="B487" s="59"/>
      <c r="C487" s="59"/>
      <c r="D487" s="62"/>
      <c r="E487" s="62"/>
      <c r="F487" s="59" t="s">
        <v>18</v>
      </c>
      <c r="G487" s="62"/>
      <c r="H487" s="59" t="s">
        <v>20</v>
      </c>
      <c r="I487" s="62"/>
      <c r="J487" s="63" t="s">
        <v>21</v>
      </c>
      <c r="K487" s="62"/>
      <c r="L487" s="63" t="s">
        <v>22</v>
      </c>
      <c r="M487" s="62"/>
      <c r="N487" s="62"/>
      <c r="O487" s="59"/>
      <c r="P487" s="59"/>
      <c r="Q487" s="134"/>
    </row>
    <row r="488" ht="22.5" customHeight="1">
      <c r="A488" s="59"/>
      <c r="B488" s="59"/>
      <c r="C488" s="59"/>
      <c r="D488" s="62"/>
      <c r="E488" s="62"/>
      <c r="F488" s="59" t="s">
        <v>18</v>
      </c>
      <c r="G488" s="62"/>
      <c r="H488" s="59" t="s">
        <v>20</v>
      </c>
      <c r="I488" s="62"/>
      <c r="J488" s="63" t="s">
        <v>21</v>
      </c>
      <c r="K488" s="62"/>
      <c r="L488" s="63" t="s">
        <v>22</v>
      </c>
      <c r="M488" s="62"/>
      <c r="N488" s="62"/>
      <c r="O488" s="59"/>
      <c r="P488" s="59"/>
      <c r="Q488" s="134"/>
    </row>
    <row r="489" ht="22.5" customHeight="1">
      <c r="A489" s="59"/>
      <c r="B489" s="59"/>
      <c r="C489" s="59"/>
      <c r="D489" s="62"/>
      <c r="E489" s="62"/>
      <c r="F489" s="59" t="s">
        <v>18</v>
      </c>
      <c r="G489" s="62"/>
      <c r="H489" s="59" t="s">
        <v>20</v>
      </c>
      <c r="I489" s="62"/>
      <c r="J489" s="63" t="s">
        <v>21</v>
      </c>
      <c r="K489" s="62"/>
      <c r="L489" s="63" t="s">
        <v>22</v>
      </c>
      <c r="M489" s="62"/>
      <c r="N489" s="62"/>
      <c r="O489" s="59"/>
      <c r="P489" s="59"/>
      <c r="Q489" s="134"/>
    </row>
    <row r="490" ht="22.5" customHeight="1">
      <c r="A490" s="59"/>
      <c r="B490" s="59"/>
      <c r="C490" s="59"/>
      <c r="D490" s="62"/>
      <c r="E490" s="62"/>
      <c r="F490" s="59" t="s">
        <v>18</v>
      </c>
      <c r="G490" s="62"/>
      <c r="H490" s="59" t="s">
        <v>20</v>
      </c>
      <c r="I490" s="62"/>
      <c r="J490" s="63" t="s">
        <v>21</v>
      </c>
      <c r="K490" s="62"/>
      <c r="L490" s="63" t="s">
        <v>22</v>
      </c>
      <c r="M490" s="62"/>
      <c r="N490" s="62"/>
      <c r="O490" s="59"/>
      <c r="P490" s="59"/>
      <c r="Q490" s="134"/>
    </row>
    <row r="491" ht="22.5" customHeight="1">
      <c r="A491" s="59"/>
      <c r="B491" s="59"/>
      <c r="C491" s="59"/>
      <c r="D491" s="62"/>
      <c r="E491" s="62"/>
      <c r="F491" s="59" t="s">
        <v>18</v>
      </c>
      <c r="G491" s="62"/>
      <c r="H491" s="59" t="s">
        <v>20</v>
      </c>
      <c r="I491" s="62"/>
      <c r="J491" s="63" t="s">
        <v>21</v>
      </c>
      <c r="K491" s="62"/>
      <c r="L491" s="63" t="s">
        <v>22</v>
      </c>
      <c r="M491" s="62"/>
      <c r="N491" s="62"/>
      <c r="O491" s="59"/>
      <c r="P491" s="59"/>
      <c r="Q491" s="134"/>
    </row>
    <row r="492" ht="22.5" customHeight="1">
      <c r="A492" s="59"/>
      <c r="B492" s="59"/>
      <c r="C492" s="59"/>
      <c r="D492" s="62"/>
      <c r="E492" s="62"/>
      <c r="F492" s="59" t="s">
        <v>18</v>
      </c>
      <c r="G492" s="62"/>
      <c r="H492" s="59" t="s">
        <v>20</v>
      </c>
      <c r="I492" s="62"/>
      <c r="J492" s="63" t="s">
        <v>21</v>
      </c>
      <c r="K492" s="62"/>
      <c r="L492" s="63" t="s">
        <v>22</v>
      </c>
      <c r="M492" s="62"/>
      <c r="N492" s="62"/>
      <c r="O492" s="59"/>
      <c r="P492" s="59"/>
      <c r="Q492" s="134"/>
    </row>
    <row r="493" ht="22.5" customHeight="1">
      <c r="A493" s="59"/>
      <c r="B493" s="59"/>
      <c r="C493" s="59"/>
      <c r="D493" s="62"/>
      <c r="E493" s="62"/>
      <c r="F493" s="59" t="s">
        <v>18</v>
      </c>
      <c r="G493" s="62"/>
      <c r="H493" s="59" t="s">
        <v>20</v>
      </c>
      <c r="I493" s="62"/>
      <c r="J493" s="63" t="s">
        <v>21</v>
      </c>
      <c r="K493" s="62"/>
      <c r="L493" s="63" t="s">
        <v>22</v>
      </c>
      <c r="M493" s="62"/>
      <c r="N493" s="62"/>
      <c r="O493" s="59"/>
      <c r="P493" s="59"/>
      <c r="Q493" s="134"/>
    </row>
    <row r="494" ht="22.5" customHeight="1">
      <c r="A494" s="59"/>
      <c r="B494" s="59"/>
      <c r="C494" s="59"/>
      <c r="D494" s="62"/>
      <c r="E494" s="62"/>
      <c r="F494" s="59" t="s">
        <v>18</v>
      </c>
      <c r="G494" s="62"/>
      <c r="H494" s="59" t="s">
        <v>20</v>
      </c>
      <c r="I494" s="62"/>
      <c r="J494" s="63" t="s">
        <v>21</v>
      </c>
      <c r="K494" s="62"/>
      <c r="L494" s="63" t="s">
        <v>22</v>
      </c>
      <c r="M494" s="62"/>
      <c r="N494" s="62"/>
      <c r="O494" s="59"/>
      <c r="P494" s="59"/>
      <c r="Q494" s="134"/>
    </row>
    <row r="495" ht="22.5" customHeight="1">
      <c r="A495" s="59"/>
      <c r="B495" s="59"/>
      <c r="C495" s="59"/>
      <c r="D495" s="62"/>
      <c r="E495" s="62"/>
      <c r="F495" s="59" t="s">
        <v>18</v>
      </c>
      <c r="G495" s="62"/>
      <c r="H495" s="59" t="s">
        <v>20</v>
      </c>
      <c r="I495" s="62"/>
      <c r="J495" s="63" t="s">
        <v>21</v>
      </c>
      <c r="K495" s="62"/>
      <c r="L495" s="63" t="s">
        <v>22</v>
      </c>
      <c r="M495" s="62"/>
      <c r="N495" s="62"/>
      <c r="O495" s="59"/>
      <c r="P495" s="59"/>
      <c r="Q495" s="134"/>
    </row>
    <row r="496" ht="22.5" customHeight="1">
      <c r="A496" s="59"/>
      <c r="B496" s="59"/>
      <c r="C496" s="59"/>
      <c r="D496" s="62"/>
      <c r="E496" s="62"/>
      <c r="F496" s="59" t="s">
        <v>18</v>
      </c>
      <c r="G496" s="62"/>
      <c r="H496" s="59" t="s">
        <v>20</v>
      </c>
      <c r="I496" s="62"/>
      <c r="J496" s="63" t="s">
        <v>21</v>
      </c>
      <c r="K496" s="62"/>
      <c r="L496" s="63" t="s">
        <v>22</v>
      </c>
      <c r="M496" s="62"/>
      <c r="N496" s="62"/>
      <c r="O496" s="59"/>
      <c r="P496" s="59"/>
      <c r="Q496" s="134"/>
    </row>
    <row r="497" ht="22.5" customHeight="1">
      <c r="A497" s="59"/>
      <c r="B497" s="59"/>
      <c r="C497" s="59"/>
      <c r="D497" s="62"/>
      <c r="E497" s="62"/>
      <c r="F497" s="59" t="s">
        <v>18</v>
      </c>
      <c r="G497" s="62"/>
      <c r="H497" s="59" t="s">
        <v>20</v>
      </c>
      <c r="I497" s="62"/>
      <c r="J497" s="63" t="s">
        <v>21</v>
      </c>
      <c r="K497" s="62"/>
      <c r="L497" s="63" t="s">
        <v>22</v>
      </c>
      <c r="M497" s="62"/>
      <c r="N497" s="62"/>
      <c r="O497" s="59"/>
      <c r="P497" s="59"/>
      <c r="Q497" s="134"/>
    </row>
    <row r="498" ht="22.5" customHeight="1">
      <c r="A498" s="59"/>
      <c r="B498" s="59"/>
      <c r="C498" s="59"/>
      <c r="D498" s="62"/>
      <c r="E498" s="62"/>
      <c r="F498" s="59" t="s">
        <v>18</v>
      </c>
      <c r="G498" s="62"/>
      <c r="H498" s="59" t="s">
        <v>20</v>
      </c>
      <c r="I498" s="62"/>
      <c r="J498" s="63" t="s">
        <v>21</v>
      </c>
      <c r="K498" s="62"/>
      <c r="L498" s="63" t="s">
        <v>22</v>
      </c>
      <c r="M498" s="62"/>
      <c r="N498" s="62"/>
      <c r="O498" s="59"/>
      <c r="P498" s="59"/>
      <c r="Q498" s="134"/>
    </row>
    <row r="499" ht="22.5" customHeight="1">
      <c r="A499" s="59"/>
      <c r="B499" s="59"/>
      <c r="C499" s="59"/>
      <c r="D499" s="62"/>
      <c r="E499" s="62"/>
      <c r="F499" s="59" t="s">
        <v>18</v>
      </c>
      <c r="G499" s="62"/>
      <c r="H499" s="59" t="s">
        <v>20</v>
      </c>
      <c r="I499" s="62"/>
      <c r="J499" s="63" t="s">
        <v>21</v>
      </c>
      <c r="K499" s="62"/>
      <c r="L499" s="63" t="s">
        <v>22</v>
      </c>
      <c r="M499" s="62"/>
      <c r="N499" s="62"/>
      <c r="O499" s="59"/>
      <c r="P499" s="59"/>
      <c r="Q499" s="134"/>
    </row>
    <row r="500" ht="22.5" customHeight="1">
      <c r="A500" s="59"/>
      <c r="B500" s="59"/>
      <c r="C500" s="59"/>
      <c r="D500" s="62"/>
      <c r="E500" s="62"/>
      <c r="F500" s="59" t="s">
        <v>18</v>
      </c>
      <c r="G500" s="62"/>
      <c r="H500" s="59" t="s">
        <v>20</v>
      </c>
      <c r="I500" s="62"/>
      <c r="J500" s="63" t="s">
        <v>21</v>
      </c>
      <c r="K500" s="62"/>
      <c r="L500" s="63" t="s">
        <v>22</v>
      </c>
      <c r="M500" s="62"/>
      <c r="N500" s="62"/>
      <c r="O500" s="59"/>
      <c r="P500" s="59"/>
      <c r="Q500" s="134"/>
    </row>
    <row r="501" ht="22.5" customHeight="1">
      <c r="A501" s="59"/>
      <c r="B501" s="59"/>
      <c r="C501" s="59"/>
      <c r="D501" s="62"/>
      <c r="E501" s="62"/>
      <c r="F501" s="59" t="s">
        <v>18</v>
      </c>
      <c r="G501" s="62"/>
      <c r="H501" s="59" t="s">
        <v>20</v>
      </c>
      <c r="I501" s="62"/>
      <c r="J501" s="63" t="s">
        <v>21</v>
      </c>
      <c r="K501" s="62"/>
      <c r="L501" s="63" t="s">
        <v>22</v>
      </c>
      <c r="M501" s="62"/>
      <c r="N501" s="62"/>
      <c r="O501" s="59"/>
      <c r="P501" s="59"/>
      <c r="Q501" s="134"/>
    </row>
    <row r="502" ht="22.5" customHeight="1">
      <c r="A502" s="59"/>
      <c r="B502" s="59"/>
      <c r="C502" s="59"/>
      <c r="D502" s="62"/>
      <c r="E502" s="62"/>
      <c r="F502" s="59" t="s">
        <v>18</v>
      </c>
      <c r="G502" s="62"/>
      <c r="H502" s="59" t="s">
        <v>20</v>
      </c>
      <c r="I502" s="62"/>
      <c r="J502" s="63" t="s">
        <v>21</v>
      </c>
      <c r="K502" s="62"/>
      <c r="L502" s="63" t="s">
        <v>22</v>
      </c>
      <c r="M502" s="62"/>
      <c r="N502" s="62"/>
      <c r="O502" s="59"/>
      <c r="P502" s="59"/>
      <c r="Q502" s="134"/>
    </row>
    <row r="503" ht="22.5" customHeight="1">
      <c r="A503" s="59"/>
      <c r="B503" s="59"/>
      <c r="C503" s="59"/>
      <c r="D503" s="62"/>
      <c r="E503" s="62"/>
      <c r="F503" s="59" t="s">
        <v>18</v>
      </c>
      <c r="G503" s="62"/>
      <c r="H503" s="59" t="s">
        <v>20</v>
      </c>
      <c r="I503" s="62"/>
      <c r="J503" s="63" t="s">
        <v>21</v>
      </c>
      <c r="K503" s="62"/>
      <c r="L503" s="63" t="s">
        <v>22</v>
      </c>
      <c r="M503" s="62"/>
      <c r="N503" s="62"/>
      <c r="O503" s="59"/>
      <c r="P503" s="59"/>
      <c r="Q503" s="134"/>
    </row>
    <row r="504" ht="22.5" customHeight="1">
      <c r="A504" s="59"/>
      <c r="B504" s="59"/>
      <c r="C504" s="59"/>
      <c r="D504" s="62"/>
      <c r="E504" s="62"/>
      <c r="F504" s="59" t="s">
        <v>18</v>
      </c>
      <c r="G504" s="62"/>
      <c r="H504" s="59" t="s">
        <v>20</v>
      </c>
      <c r="I504" s="62"/>
      <c r="J504" s="63" t="s">
        <v>21</v>
      </c>
      <c r="K504" s="62"/>
      <c r="L504" s="63" t="s">
        <v>22</v>
      </c>
      <c r="M504" s="62"/>
      <c r="N504" s="62"/>
      <c r="O504" s="59"/>
      <c r="P504" s="59"/>
      <c r="Q504" s="134"/>
    </row>
    <row r="505" ht="22.5" customHeight="1">
      <c r="A505" s="59"/>
      <c r="B505" s="59"/>
      <c r="C505" s="59"/>
      <c r="D505" s="62"/>
      <c r="E505" s="62"/>
      <c r="F505" s="59" t="s">
        <v>18</v>
      </c>
      <c r="G505" s="62"/>
      <c r="H505" s="59" t="s">
        <v>20</v>
      </c>
      <c r="I505" s="62"/>
      <c r="J505" s="63" t="s">
        <v>21</v>
      </c>
      <c r="K505" s="62"/>
      <c r="L505" s="63" t="s">
        <v>22</v>
      </c>
      <c r="M505" s="62"/>
      <c r="N505" s="62"/>
      <c r="O505" s="59"/>
      <c r="P505" s="59"/>
      <c r="Q505" s="134"/>
    </row>
    <row r="506" ht="22.5" customHeight="1">
      <c r="A506" s="59"/>
      <c r="B506" s="59"/>
      <c r="C506" s="59"/>
      <c r="D506" s="62"/>
      <c r="E506" s="62"/>
      <c r="F506" s="59" t="s">
        <v>18</v>
      </c>
      <c r="G506" s="62"/>
      <c r="H506" s="59" t="s">
        <v>20</v>
      </c>
      <c r="I506" s="62"/>
      <c r="J506" s="63" t="s">
        <v>21</v>
      </c>
      <c r="K506" s="62"/>
      <c r="L506" s="63" t="s">
        <v>22</v>
      </c>
      <c r="M506" s="62"/>
      <c r="N506" s="62"/>
      <c r="O506" s="59"/>
      <c r="P506" s="59"/>
      <c r="Q506" s="134"/>
    </row>
    <row r="507" ht="22.5" customHeight="1">
      <c r="A507" s="59"/>
      <c r="B507" s="59"/>
      <c r="C507" s="59"/>
      <c r="D507" s="62"/>
      <c r="E507" s="62"/>
      <c r="F507" s="59" t="s">
        <v>18</v>
      </c>
      <c r="G507" s="62"/>
      <c r="H507" s="59" t="s">
        <v>20</v>
      </c>
      <c r="I507" s="62"/>
      <c r="J507" s="63" t="s">
        <v>21</v>
      </c>
      <c r="K507" s="62"/>
      <c r="L507" s="63" t="s">
        <v>22</v>
      </c>
      <c r="M507" s="62"/>
      <c r="N507" s="62"/>
      <c r="O507" s="59"/>
      <c r="P507" s="59"/>
      <c r="Q507" s="134"/>
    </row>
    <row r="508" ht="22.5" customHeight="1">
      <c r="A508" s="59"/>
      <c r="B508" s="59"/>
      <c r="C508" s="59"/>
      <c r="D508" s="62"/>
      <c r="E508" s="62"/>
      <c r="F508" s="59" t="s">
        <v>18</v>
      </c>
      <c r="G508" s="62"/>
      <c r="H508" s="59" t="s">
        <v>20</v>
      </c>
      <c r="I508" s="62"/>
      <c r="J508" s="63" t="s">
        <v>21</v>
      </c>
      <c r="K508" s="62"/>
      <c r="L508" s="63" t="s">
        <v>22</v>
      </c>
      <c r="M508" s="62"/>
      <c r="N508" s="62"/>
      <c r="O508" s="59"/>
      <c r="P508" s="59"/>
      <c r="Q508" s="134"/>
    </row>
    <row r="509" ht="22.5" customHeight="1">
      <c r="A509" s="59"/>
      <c r="B509" s="59"/>
      <c r="C509" s="59"/>
      <c r="D509" s="62"/>
      <c r="E509" s="62"/>
      <c r="F509" s="59" t="s">
        <v>18</v>
      </c>
      <c r="G509" s="62"/>
      <c r="H509" s="59" t="s">
        <v>20</v>
      </c>
      <c r="I509" s="62"/>
      <c r="J509" s="63" t="s">
        <v>21</v>
      </c>
      <c r="K509" s="62"/>
      <c r="L509" s="63" t="s">
        <v>22</v>
      </c>
      <c r="M509" s="62"/>
      <c r="N509" s="62"/>
      <c r="O509" s="59"/>
      <c r="P509" s="59"/>
      <c r="Q509" s="134"/>
    </row>
    <row r="510" ht="22.5" customHeight="1">
      <c r="A510" s="59"/>
      <c r="B510" s="59"/>
      <c r="C510" s="59"/>
      <c r="D510" s="62"/>
      <c r="E510" s="62"/>
      <c r="F510" s="59" t="s">
        <v>18</v>
      </c>
      <c r="G510" s="62"/>
      <c r="H510" s="59" t="s">
        <v>20</v>
      </c>
      <c r="I510" s="62"/>
      <c r="J510" s="63" t="s">
        <v>21</v>
      </c>
      <c r="K510" s="62"/>
      <c r="L510" s="63" t="s">
        <v>22</v>
      </c>
      <c r="M510" s="62"/>
      <c r="N510" s="62"/>
      <c r="O510" s="59"/>
      <c r="P510" s="59"/>
      <c r="Q510" s="134"/>
    </row>
    <row r="511" ht="22.5" customHeight="1">
      <c r="A511" s="59"/>
      <c r="B511" s="59"/>
      <c r="C511" s="59"/>
      <c r="D511" s="62"/>
      <c r="E511" s="62"/>
      <c r="F511" s="59" t="s">
        <v>18</v>
      </c>
      <c r="G511" s="62"/>
      <c r="H511" s="59" t="s">
        <v>20</v>
      </c>
      <c r="I511" s="62"/>
      <c r="J511" s="63" t="s">
        <v>21</v>
      </c>
      <c r="K511" s="62"/>
      <c r="L511" s="63" t="s">
        <v>22</v>
      </c>
      <c r="M511" s="62"/>
      <c r="N511" s="62"/>
      <c r="O511" s="59"/>
      <c r="P511" s="59"/>
      <c r="Q511" s="134"/>
    </row>
    <row r="512" ht="22.5" customHeight="1">
      <c r="A512" s="59"/>
      <c r="B512" s="59"/>
      <c r="C512" s="59"/>
      <c r="D512" s="62"/>
      <c r="E512" s="62"/>
      <c r="F512" s="59" t="s">
        <v>18</v>
      </c>
      <c r="G512" s="62"/>
      <c r="H512" s="59" t="s">
        <v>20</v>
      </c>
      <c r="I512" s="62"/>
      <c r="J512" s="63" t="s">
        <v>21</v>
      </c>
      <c r="K512" s="62"/>
      <c r="L512" s="63" t="s">
        <v>22</v>
      </c>
      <c r="M512" s="62"/>
      <c r="N512" s="62"/>
      <c r="O512" s="59"/>
      <c r="P512" s="59"/>
      <c r="Q512" s="134"/>
    </row>
    <row r="513" ht="22.5" customHeight="1">
      <c r="A513" s="59"/>
      <c r="B513" s="59"/>
      <c r="C513" s="59"/>
      <c r="D513" s="62"/>
      <c r="E513" s="62"/>
      <c r="F513" s="59" t="s">
        <v>18</v>
      </c>
      <c r="G513" s="62"/>
      <c r="H513" s="59" t="s">
        <v>20</v>
      </c>
      <c r="I513" s="62"/>
      <c r="J513" s="63" t="s">
        <v>21</v>
      </c>
      <c r="K513" s="62"/>
      <c r="L513" s="63" t="s">
        <v>22</v>
      </c>
      <c r="M513" s="62"/>
      <c r="N513" s="62"/>
      <c r="O513" s="59"/>
      <c r="P513" s="59"/>
      <c r="Q513" s="134"/>
    </row>
    <row r="514" ht="22.5" customHeight="1">
      <c r="A514" s="59"/>
      <c r="B514" s="59"/>
      <c r="C514" s="59"/>
      <c r="D514" s="62"/>
      <c r="E514" s="62"/>
      <c r="F514" s="59" t="s">
        <v>18</v>
      </c>
      <c r="G514" s="62"/>
      <c r="H514" s="59" t="s">
        <v>20</v>
      </c>
      <c r="I514" s="62"/>
      <c r="J514" s="63" t="s">
        <v>21</v>
      </c>
      <c r="K514" s="62"/>
      <c r="L514" s="63" t="s">
        <v>22</v>
      </c>
      <c r="M514" s="62"/>
      <c r="N514" s="62"/>
      <c r="O514" s="59"/>
      <c r="P514" s="59"/>
      <c r="Q514" s="134"/>
    </row>
    <row r="515" ht="22.5" customHeight="1">
      <c r="A515" s="59"/>
      <c r="B515" s="59"/>
      <c r="C515" s="59"/>
      <c r="D515" s="62"/>
      <c r="E515" s="62"/>
      <c r="F515" s="59" t="s">
        <v>18</v>
      </c>
      <c r="G515" s="62"/>
      <c r="H515" s="59" t="s">
        <v>20</v>
      </c>
      <c r="I515" s="62"/>
      <c r="J515" s="63" t="s">
        <v>21</v>
      </c>
      <c r="K515" s="62"/>
      <c r="L515" s="63" t="s">
        <v>22</v>
      </c>
      <c r="M515" s="62"/>
      <c r="N515" s="62"/>
      <c r="O515" s="59"/>
      <c r="P515" s="59"/>
      <c r="Q515" s="134"/>
    </row>
    <row r="516" ht="22.5" customHeight="1">
      <c r="A516" s="59"/>
      <c r="B516" s="59"/>
      <c r="C516" s="59"/>
      <c r="D516" s="62"/>
      <c r="E516" s="62"/>
      <c r="F516" s="59" t="s">
        <v>18</v>
      </c>
      <c r="G516" s="62"/>
      <c r="H516" s="59" t="s">
        <v>20</v>
      </c>
      <c r="I516" s="62"/>
      <c r="J516" s="63" t="s">
        <v>21</v>
      </c>
      <c r="K516" s="62"/>
      <c r="L516" s="63" t="s">
        <v>22</v>
      </c>
      <c r="M516" s="62"/>
      <c r="N516" s="62"/>
      <c r="O516" s="59"/>
      <c r="P516" s="59"/>
      <c r="Q516" s="134"/>
    </row>
    <row r="517" ht="22.5" customHeight="1">
      <c r="A517" s="59"/>
      <c r="B517" s="59"/>
      <c r="C517" s="59"/>
      <c r="D517" s="62"/>
      <c r="E517" s="62"/>
      <c r="F517" s="59" t="s">
        <v>18</v>
      </c>
      <c r="G517" s="62"/>
      <c r="H517" s="59" t="s">
        <v>20</v>
      </c>
      <c r="I517" s="62"/>
      <c r="J517" s="63" t="s">
        <v>21</v>
      </c>
      <c r="K517" s="62"/>
      <c r="L517" s="63" t="s">
        <v>22</v>
      </c>
      <c r="M517" s="62"/>
      <c r="N517" s="62"/>
      <c r="O517" s="59"/>
      <c r="P517" s="59"/>
      <c r="Q517" s="134"/>
    </row>
    <row r="518" ht="22.5" customHeight="1">
      <c r="A518" s="59"/>
      <c r="B518" s="59"/>
      <c r="C518" s="59"/>
      <c r="D518" s="62"/>
      <c r="E518" s="62"/>
      <c r="F518" s="59" t="s">
        <v>18</v>
      </c>
      <c r="G518" s="62"/>
      <c r="H518" s="59" t="s">
        <v>20</v>
      </c>
      <c r="I518" s="62"/>
      <c r="J518" s="63" t="s">
        <v>21</v>
      </c>
      <c r="K518" s="62"/>
      <c r="L518" s="63" t="s">
        <v>22</v>
      </c>
      <c r="M518" s="62"/>
      <c r="N518" s="62"/>
      <c r="O518" s="59"/>
      <c r="P518" s="59"/>
      <c r="Q518" s="134"/>
    </row>
    <row r="519" ht="22.5" customHeight="1">
      <c r="A519" s="59"/>
      <c r="B519" s="59"/>
      <c r="C519" s="59"/>
      <c r="D519" s="62"/>
      <c r="E519" s="62"/>
      <c r="F519" s="59" t="s">
        <v>18</v>
      </c>
      <c r="G519" s="62"/>
      <c r="H519" s="59" t="s">
        <v>20</v>
      </c>
      <c r="I519" s="62"/>
      <c r="J519" s="63" t="s">
        <v>21</v>
      </c>
      <c r="K519" s="62"/>
      <c r="L519" s="63" t="s">
        <v>22</v>
      </c>
      <c r="M519" s="62"/>
      <c r="N519" s="62"/>
      <c r="O519" s="59"/>
      <c r="P519" s="59"/>
      <c r="Q519" s="134"/>
    </row>
    <row r="520" ht="22.5" customHeight="1">
      <c r="A520" s="59"/>
      <c r="B520" s="59"/>
      <c r="C520" s="59"/>
      <c r="D520" s="62"/>
      <c r="E520" s="62"/>
      <c r="F520" s="59" t="s">
        <v>18</v>
      </c>
      <c r="G520" s="62"/>
      <c r="H520" s="59" t="s">
        <v>20</v>
      </c>
      <c r="I520" s="62"/>
      <c r="J520" s="63" t="s">
        <v>21</v>
      </c>
      <c r="K520" s="62"/>
      <c r="L520" s="63" t="s">
        <v>22</v>
      </c>
      <c r="M520" s="62"/>
      <c r="N520" s="62"/>
      <c r="O520" s="59"/>
      <c r="P520" s="59"/>
      <c r="Q520" s="134"/>
    </row>
    <row r="521" ht="22.5" customHeight="1">
      <c r="A521" s="59"/>
      <c r="B521" s="59"/>
      <c r="C521" s="59"/>
      <c r="D521" s="62"/>
      <c r="E521" s="62"/>
      <c r="F521" s="59" t="s">
        <v>18</v>
      </c>
      <c r="G521" s="62"/>
      <c r="H521" s="59" t="s">
        <v>20</v>
      </c>
      <c r="I521" s="62"/>
      <c r="J521" s="63" t="s">
        <v>21</v>
      </c>
      <c r="K521" s="62"/>
      <c r="L521" s="63" t="s">
        <v>22</v>
      </c>
      <c r="M521" s="62"/>
      <c r="N521" s="62"/>
      <c r="O521" s="59"/>
      <c r="P521" s="59"/>
      <c r="Q521" s="134"/>
    </row>
    <row r="522" ht="22.5" customHeight="1">
      <c r="A522" s="59"/>
      <c r="B522" s="59"/>
      <c r="C522" s="59"/>
      <c r="D522" s="62"/>
      <c r="E522" s="62"/>
      <c r="F522" s="59" t="s">
        <v>18</v>
      </c>
      <c r="G522" s="62"/>
      <c r="H522" s="59" t="s">
        <v>20</v>
      </c>
      <c r="I522" s="62"/>
      <c r="J522" s="63" t="s">
        <v>21</v>
      </c>
      <c r="K522" s="62"/>
      <c r="L522" s="63" t="s">
        <v>22</v>
      </c>
      <c r="M522" s="62"/>
      <c r="N522" s="62"/>
      <c r="O522" s="59"/>
      <c r="P522" s="59"/>
      <c r="Q522" s="134"/>
    </row>
    <row r="523" ht="22.5" customHeight="1">
      <c r="A523" s="59"/>
      <c r="B523" s="59"/>
      <c r="C523" s="59"/>
      <c r="D523" s="62"/>
      <c r="E523" s="62"/>
      <c r="F523" s="59" t="s">
        <v>18</v>
      </c>
      <c r="G523" s="62"/>
      <c r="H523" s="59" t="s">
        <v>20</v>
      </c>
      <c r="I523" s="62"/>
      <c r="J523" s="63" t="s">
        <v>21</v>
      </c>
      <c r="K523" s="62"/>
      <c r="L523" s="63" t="s">
        <v>22</v>
      </c>
      <c r="M523" s="62"/>
      <c r="N523" s="62"/>
      <c r="O523" s="59"/>
      <c r="P523" s="59"/>
      <c r="Q523" s="134"/>
    </row>
    <row r="524" ht="22.5" customHeight="1">
      <c r="A524" s="59"/>
      <c r="B524" s="59"/>
      <c r="C524" s="59"/>
      <c r="D524" s="62"/>
      <c r="E524" s="62"/>
      <c r="F524" s="59" t="s">
        <v>18</v>
      </c>
      <c r="G524" s="62"/>
      <c r="H524" s="59" t="s">
        <v>20</v>
      </c>
      <c r="I524" s="62"/>
      <c r="J524" s="63" t="s">
        <v>21</v>
      </c>
      <c r="K524" s="62"/>
      <c r="L524" s="63" t="s">
        <v>22</v>
      </c>
      <c r="M524" s="62"/>
      <c r="N524" s="62"/>
      <c r="O524" s="59"/>
      <c r="P524" s="59"/>
      <c r="Q524" s="134"/>
    </row>
    <row r="525" ht="22.5" customHeight="1">
      <c r="A525" s="59"/>
      <c r="B525" s="59"/>
      <c r="C525" s="59"/>
      <c r="D525" s="62"/>
      <c r="E525" s="62"/>
      <c r="F525" s="59" t="s">
        <v>18</v>
      </c>
      <c r="G525" s="62"/>
      <c r="H525" s="59" t="s">
        <v>20</v>
      </c>
      <c r="I525" s="62"/>
      <c r="J525" s="63" t="s">
        <v>21</v>
      </c>
      <c r="K525" s="62"/>
      <c r="L525" s="63" t="s">
        <v>22</v>
      </c>
      <c r="M525" s="62"/>
      <c r="N525" s="62"/>
      <c r="O525" s="59"/>
      <c r="P525" s="59"/>
      <c r="Q525" s="134"/>
    </row>
    <row r="526" ht="22.5" customHeight="1">
      <c r="A526" s="59"/>
      <c r="B526" s="59"/>
      <c r="C526" s="59"/>
      <c r="D526" s="62"/>
      <c r="E526" s="62"/>
      <c r="F526" s="59" t="s">
        <v>18</v>
      </c>
      <c r="G526" s="62"/>
      <c r="H526" s="59" t="s">
        <v>20</v>
      </c>
      <c r="I526" s="62"/>
      <c r="J526" s="63" t="s">
        <v>21</v>
      </c>
      <c r="K526" s="62"/>
      <c r="L526" s="63" t="s">
        <v>22</v>
      </c>
      <c r="M526" s="62"/>
      <c r="N526" s="62"/>
      <c r="O526" s="59"/>
      <c r="P526" s="59"/>
      <c r="Q526" s="134"/>
    </row>
    <row r="527" ht="22.5" customHeight="1">
      <c r="A527" s="59"/>
      <c r="B527" s="59"/>
      <c r="C527" s="59"/>
      <c r="D527" s="62"/>
      <c r="E527" s="62"/>
      <c r="F527" s="59" t="s">
        <v>18</v>
      </c>
      <c r="G527" s="62"/>
      <c r="H527" s="59" t="s">
        <v>20</v>
      </c>
      <c r="I527" s="62"/>
      <c r="J527" s="63" t="s">
        <v>21</v>
      </c>
      <c r="K527" s="62"/>
      <c r="L527" s="63" t="s">
        <v>22</v>
      </c>
      <c r="M527" s="62"/>
      <c r="N527" s="62"/>
      <c r="O527" s="59"/>
      <c r="P527" s="59"/>
      <c r="Q527" s="134"/>
    </row>
    <row r="528" ht="22.5" customHeight="1">
      <c r="A528" s="59"/>
      <c r="B528" s="59"/>
      <c r="C528" s="59"/>
      <c r="D528" s="62"/>
      <c r="E528" s="62"/>
      <c r="F528" s="59" t="s">
        <v>18</v>
      </c>
      <c r="G528" s="62"/>
      <c r="H528" s="59" t="s">
        <v>20</v>
      </c>
      <c r="I528" s="62"/>
      <c r="J528" s="63" t="s">
        <v>21</v>
      </c>
      <c r="K528" s="62"/>
      <c r="L528" s="63" t="s">
        <v>22</v>
      </c>
      <c r="M528" s="62"/>
      <c r="N528" s="62"/>
      <c r="O528" s="59"/>
      <c r="P528" s="59"/>
      <c r="Q528" s="134"/>
    </row>
    <row r="529" ht="22.5" customHeight="1">
      <c r="A529" s="59"/>
      <c r="B529" s="59"/>
      <c r="C529" s="59"/>
      <c r="D529" s="62"/>
      <c r="E529" s="62"/>
      <c r="F529" s="59" t="s">
        <v>18</v>
      </c>
      <c r="G529" s="62"/>
      <c r="H529" s="59" t="s">
        <v>20</v>
      </c>
      <c r="I529" s="62"/>
      <c r="J529" s="63" t="s">
        <v>21</v>
      </c>
      <c r="K529" s="62"/>
      <c r="L529" s="63" t="s">
        <v>22</v>
      </c>
      <c r="M529" s="62"/>
      <c r="N529" s="62"/>
      <c r="O529" s="59"/>
      <c r="P529" s="59"/>
      <c r="Q529" s="134"/>
    </row>
    <row r="530" ht="22.5" customHeight="1">
      <c r="A530" s="59"/>
      <c r="B530" s="59"/>
      <c r="C530" s="59"/>
      <c r="D530" s="62"/>
      <c r="E530" s="62"/>
      <c r="F530" s="59" t="s">
        <v>18</v>
      </c>
      <c r="G530" s="62"/>
      <c r="H530" s="59" t="s">
        <v>20</v>
      </c>
      <c r="I530" s="62"/>
      <c r="J530" s="63" t="s">
        <v>21</v>
      </c>
      <c r="K530" s="62"/>
      <c r="L530" s="63" t="s">
        <v>22</v>
      </c>
      <c r="M530" s="62"/>
      <c r="N530" s="62"/>
      <c r="O530" s="59"/>
      <c r="P530" s="59"/>
      <c r="Q530" s="134"/>
    </row>
    <row r="531" ht="22.5" customHeight="1">
      <c r="A531" s="59"/>
      <c r="B531" s="59"/>
      <c r="C531" s="59"/>
      <c r="D531" s="62"/>
      <c r="E531" s="62"/>
      <c r="F531" s="59" t="s">
        <v>18</v>
      </c>
      <c r="G531" s="62"/>
      <c r="H531" s="59" t="s">
        <v>20</v>
      </c>
      <c r="I531" s="62"/>
      <c r="J531" s="63" t="s">
        <v>21</v>
      </c>
      <c r="K531" s="62"/>
      <c r="L531" s="63" t="s">
        <v>22</v>
      </c>
      <c r="M531" s="62"/>
      <c r="N531" s="62"/>
      <c r="O531" s="59"/>
      <c r="P531" s="59"/>
      <c r="Q531" s="134"/>
    </row>
    <row r="532" ht="22.5" customHeight="1">
      <c r="A532" s="59"/>
      <c r="B532" s="59"/>
      <c r="C532" s="59"/>
      <c r="D532" s="62"/>
      <c r="E532" s="62"/>
      <c r="F532" s="59" t="s">
        <v>18</v>
      </c>
      <c r="G532" s="62"/>
      <c r="H532" s="59" t="s">
        <v>20</v>
      </c>
      <c r="I532" s="62"/>
      <c r="J532" s="63" t="s">
        <v>21</v>
      </c>
      <c r="K532" s="62"/>
      <c r="L532" s="63" t="s">
        <v>22</v>
      </c>
      <c r="M532" s="62"/>
      <c r="N532" s="62"/>
      <c r="O532" s="59"/>
      <c r="P532" s="59"/>
      <c r="Q532" s="134"/>
    </row>
    <row r="533" ht="22.5" customHeight="1">
      <c r="A533" s="59"/>
      <c r="B533" s="59"/>
      <c r="C533" s="59"/>
      <c r="D533" s="62"/>
      <c r="E533" s="62"/>
      <c r="F533" s="59" t="s">
        <v>18</v>
      </c>
      <c r="G533" s="62"/>
      <c r="H533" s="59" t="s">
        <v>20</v>
      </c>
      <c r="I533" s="62"/>
      <c r="J533" s="63" t="s">
        <v>21</v>
      </c>
      <c r="K533" s="62"/>
      <c r="L533" s="63" t="s">
        <v>22</v>
      </c>
      <c r="M533" s="62"/>
      <c r="N533" s="62"/>
      <c r="O533" s="59"/>
      <c r="P533" s="59"/>
      <c r="Q533" s="134"/>
    </row>
    <row r="534" ht="22.5" customHeight="1">
      <c r="A534" s="59"/>
      <c r="B534" s="59"/>
      <c r="C534" s="59"/>
      <c r="D534" s="62"/>
      <c r="E534" s="62"/>
      <c r="F534" s="59" t="s">
        <v>18</v>
      </c>
      <c r="G534" s="62"/>
      <c r="H534" s="59" t="s">
        <v>20</v>
      </c>
      <c r="I534" s="62"/>
      <c r="J534" s="63" t="s">
        <v>21</v>
      </c>
      <c r="K534" s="62"/>
      <c r="L534" s="63" t="s">
        <v>22</v>
      </c>
      <c r="M534" s="62"/>
      <c r="N534" s="62"/>
      <c r="O534" s="59"/>
      <c r="P534" s="59"/>
      <c r="Q534" s="134"/>
    </row>
    <row r="535" ht="22.5" customHeight="1">
      <c r="A535" s="59"/>
      <c r="B535" s="59"/>
      <c r="C535" s="59"/>
      <c r="D535" s="62"/>
      <c r="E535" s="62"/>
      <c r="F535" s="59" t="s">
        <v>18</v>
      </c>
      <c r="G535" s="62"/>
      <c r="H535" s="59" t="s">
        <v>20</v>
      </c>
      <c r="I535" s="62"/>
      <c r="J535" s="63" t="s">
        <v>21</v>
      </c>
      <c r="K535" s="62"/>
      <c r="L535" s="63" t="s">
        <v>22</v>
      </c>
      <c r="M535" s="62"/>
      <c r="N535" s="62"/>
      <c r="O535" s="59"/>
      <c r="P535" s="59"/>
      <c r="Q535" s="134"/>
    </row>
    <row r="536" ht="22.5" customHeight="1">
      <c r="A536" s="59"/>
      <c r="B536" s="59"/>
      <c r="C536" s="59"/>
      <c r="D536" s="62"/>
      <c r="E536" s="62"/>
      <c r="F536" s="59" t="s">
        <v>18</v>
      </c>
      <c r="G536" s="62"/>
      <c r="H536" s="59" t="s">
        <v>20</v>
      </c>
      <c r="I536" s="62"/>
      <c r="J536" s="63" t="s">
        <v>21</v>
      </c>
      <c r="K536" s="62"/>
      <c r="L536" s="63" t="s">
        <v>22</v>
      </c>
      <c r="M536" s="62"/>
      <c r="N536" s="62"/>
      <c r="O536" s="59"/>
      <c r="P536" s="59"/>
      <c r="Q536" s="134"/>
    </row>
    <row r="537" ht="22.5" customHeight="1">
      <c r="A537" s="59"/>
      <c r="B537" s="59"/>
      <c r="C537" s="59"/>
      <c r="D537" s="62"/>
      <c r="E537" s="62"/>
      <c r="F537" s="59" t="s">
        <v>18</v>
      </c>
      <c r="G537" s="62"/>
      <c r="H537" s="59" t="s">
        <v>20</v>
      </c>
      <c r="I537" s="62"/>
      <c r="J537" s="63" t="s">
        <v>21</v>
      </c>
      <c r="K537" s="62"/>
      <c r="L537" s="63" t="s">
        <v>22</v>
      </c>
      <c r="M537" s="62"/>
      <c r="N537" s="62"/>
      <c r="O537" s="59"/>
      <c r="P537" s="59"/>
      <c r="Q537" s="134"/>
    </row>
    <row r="538" ht="22.5" customHeight="1">
      <c r="A538" s="59"/>
      <c r="B538" s="59"/>
      <c r="C538" s="59"/>
      <c r="D538" s="62"/>
      <c r="E538" s="62"/>
      <c r="F538" s="59" t="s">
        <v>18</v>
      </c>
      <c r="G538" s="62"/>
      <c r="H538" s="59" t="s">
        <v>20</v>
      </c>
      <c r="I538" s="62"/>
      <c r="J538" s="63" t="s">
        <v>21</v>
      </c>
      <c r="K538" s="62"/>
      <c r="L538" s="63" t="s">
        <v>22</v>
      </c>
      <c r="M538" s="62"/>
      <c r="N538" s="62"/>
      <c r="O538" s="59"/>
      <c r="P538" s="59"/>
      <c r="Q538" s="134"/>
    </row>
    <row r="539" ht="22.5" customHeight="1">
      <c r="A539" s="59"/>
      <c r="B539" s="59"/>
      <c r="C539" s="59"/>
      <c r="D539" s="62"/>
      <c r="E539" s="62"/>
      <c r="F539" s="59" t="s">
        <v>18</v>
      </c>
      <c r="G539" s="62"/>
      <c r="H539" s="59" t="s">
        <v>20</v>
      </c>
      <c r="I539" s="62"/>
      <c r="J539" s="63" t="s">
        <v>21</v>
      </c>
      <c r="K539" s="62"/>
      <c r="L539" s="63" t="s">
        <v>22</v>
      </c>
      <c r="M539" s="62"/>
      <c r="N539" s="62"/>
      <c r="O539" s="59"/>
      <c r="P539" s="59"/>
      <c r="Q539" s="134"/>
    </row>
    <row r="540" ht="22.5" customHeight="1">
      <c r="A540" s="59"/>
      <c r="B540" s="59"/>
      <c r="C540" s="59"/>
      <c r="D540" s="62"/>
      <c r="E540" s="62"/>
      <c r="F540" s="59" t="s">
        <v>18</v>
      </c>
      <c r="G540" s="62"/>
      <c r="H540" s="59" t="s">
        <v>20</v>
      </c>
      <c r="I540" s="62"/>
      <c r="J540" s="63" t="s">
        <v>21</v>
      </c>
      <c r="K540" s="62"/>
      <c r="L540" s="63" t="s">
        <v>22</v>
      </c>
      <c r="M540" s="62"/>
      <c r="N540" s="62"/>
      <c r="O540" s="59"/>
      <c r="P540" s="59"/>
      <c r="Q540" s="134"/>
    </row>
    <row r="541" ht="22.5" customHeight="1">
      <c r="A541" s="59"/>
      <c r="B541" s="59"/>
      <c r="C541" s="59"/>
      <c r="D541" s="62"/>
      <c r="E541" s="62"/>
      <c r="F541" s="59" t="s">
        <v>18</v>
      </c>
      <c r="G541" s="62"/>
      <c r="H541" s="59" t="s">
        <v>20</v>
      </c>
      <c r="I541" s="62"/>
      <c r="J541" s="63" t="s">
        <v>21</v>
      </c>
      <c r="K541" s="62"/>
      <c r="L541" s="63" t="s">
        <v>22</v>
      </c>
      <c r="M541" s="62"/>
      <c r="N541" s="62"/>
      <c r="O541" s="59"/>
      <c r="P541" s="59"/>
      <c r="Q541" s="134"/>
    </row>
    <row r="542" ht="22.5" customHeight="1">
      <c r="A542" s="59"/>
      <c r="B542" s="59"/>
      <c r="C542" s="59"/>
      <c r="D542" s="62"/>
      <c r="E542" s="62"/>
      <c r="F542" s="59" t="s">
        <v>18</v>
      </c>
      <c r="G542" s="62"/>
      <c r="H542" s="59" t="s">
        <v>20</v>
      </c>
      <c r="I542" s="62"/>
      <c r="J542" s="63" t="s">
        <v>21</v>
      </c>
      <c r="K542" s="62"/>
      <c r="L542" s="63" t="s">
        <v>22</v>
      </c>
      <c r="M542" s="62"/>
      <c r="N542" s="62"/>
      <c r="O542" s="59"/>
      <c r="P542" s="59"/>
      <c r="Q542" s="134"/>
    </row>
    <row r="543" ht="22.5" customHeight="1">
      <c r="A543" s="59"/>
      <c r="B543" s="59"/>
      <c r="C543" s="59"/>
      <c r="D543" s="62"/>
      <c r="E543" s="62"/>
      <c r="F543" s="59" t="s">
        <v>18</v>
      </c>
      <c r="G543" s="62"/>
      <c r="H543" s="59" t="s">
        <v>20</v>
      </c>
      <c r="I543" s="62"/>
      <c r="J543" s="63" t="s">
        <v>21</v>
      </c>
      <c r="K543" s="62"/>
      <c r="L543" s="63" t="s">
        <v>22</v>
      </c>
      <c r="M543" s="62"/>
      <c r="N543" s="62"/>
      <c r="O543" s="59"/>
      <c r="P543" s="59"/>
      <c r="Q543" s="134"/>
    </row>
    <row r="544" ht="22.5" customHeight="1">
      <c r="A544" s="59"/>
      <c r="B544" s="59"/>
      <c r="C544" s="59"/>
      <c r="D544" s="62"/>
      <c r="E544" s="62"/>
      <c r="F544" s="59" t="s">
        <v>18</v>
      </c>
      <c r="G544" s="62"/>
      <c r="H544" s="59" t="s">
        <v>20</v>
      </c>
      <c r="I544" s="62"/>
      <c r="J544" s="63" t="s">
        <v>21</v>
      </c>
      <c r="K544" s="62"/>
      <c r="L544" s="63" t="s">
        <v>22</v>
      </c>
      <c r="M544" s="62"/>
      <c r="N544" s="62"/>
      <c r="O544" s="59"/>
      <c r="P544" s="59"/>
      <c r="Q544" s="134"/>
    </row>
    <row r="545" ht="22.5" customHeight="1">
      <c r="A545" s="59"/>
      <c r="B545" s="59"/>
      <c r="C545" s="59"/>
      <c r="D545" s="62"/>
      <c r="E545" s="62"/>
      <c r="F545" s="59" t="s">
        <v>18</v>
      </c>
      <c r="G545" s="62"/>
      <c r="H545" s="59" t="s">
        <v>20</v>
      </c>
      <c r="I545" s="62"/>
      <c r="J545" s="63" t="s">
        <v>21</v>
      </c>
      <c r="K545" s="62"/>
      <c r="L545" s="63" t="s">
        <v>22</v>
      </c>
      <c r="M545" s="62"/>
      <c r="N545" s="62"/>
      <c r="O545" s="59"/>
      <c r="P545" s="59"/>
      <c r="Q545" s="134"/>
    </row>
    <row r="546" ht="22.5" customHeight="1">
      <c r="A546" s="59"/>
      <c r="B546" s="59"/>
      <c r="C546" s="59"/>
      <c r="D546" s="62"/>
      <c r="E546" s="62"/>
      <c r="F546" s="59" t="s">
        <v>18</v>
      </c>
      <c r="G546" s="62"/>
      <c r="H546" s="59" t="s">
        <v>20</v>
      </c>
      <c r="I546" s="62"/>
      <c r="J546" s="63" t="s">
        <v>21</v>
      </c>
      <c r="K546" s="62"/>
      <c r="L546" s="63" t="s">
        <v>22</v>
      </c>
      <c r="M546" s="62"/>
      <c r="N546" s="62"/>
      <c r="O546" s="59"/>
      <c r="P546" s="59"/>
      <c r="Q546" s="134"/>
    </row>
    <row r="547" ht="22.5" customHeight="1">
      <c r="A547" s="59"/>
      <c r="B547" s="59"/>
      <c r="C547" s="59"/>
      <c r="D547" s="62"/>
      <c r="E547" s="62"/>
      <c r="F547" s="59" t="s">
        <v>18</v>
      </c>
      <c r="G547" s="62"/>
      <c r="H547" s="59" t="s">
        <v>20</v>
      </c>
      <c r="I547" s="62"/>
      <c r="J547" s="63" t="s">
        <v>21</v>
      </c>
      <c r="K547" s="62"/>
      <c r="L547" s="63" t="s">
        <v>22</v>
      </c>
      <c r="M547" s="62"/>
      <c r="N547" s="62"/>
      <c r="O547" s="59"/>
      <c r="P547" s="59"/>
      <c r="Q547" s="134"/>
    </row>
    <row r="548" ht="22.5" customHeight="1">
      <c r="A548" s="59"/>
      <c r="B548" s="59"/>
      <c r="C548" s="59"/>
      <c r="D548" s="62"/>
      <c r="E548" s="62"/>
      <c r="F548" s="59" t="s">
        <v>18</v>
      </c>
      <c r="G548" s="62"/>
      <c r="H548" s="59" t="s">
        <v>20</v>
      </c>
      <c r="I548" s="62"/>
      <c r="J548" s="63" t="s">
        <v>21</v>
      </c>
      <c r="K548" s="62"/>
      <c r="L548" s="63" t="s">
        <v>22</v>
      </c>
      <c r="M548" s="62"/>
      <c r="N548" s="62"/>
      <c r="O548" s="59"/>
      <c r="P548" s="59"/>
      <c r="Q548" s="134"/>
    </row>
    <row r="549" ht="22.5" customHeight="1">
      <c r="A549" s="59"/>
      <c r="B549" s="59"/>
      <c r="C549" s="59"/>
      <c r="D549" s="62"/>
      <c r="E549" s="62"/>
      <c r="F549" s="59" t="s">
        <v>18</v>
      </c>
      <c r="G549" s="62"/>
      <c r="H549" s="59" t="s">
        <v>20</v>
      </c>
      <c r="I549" s="62"/>
      <c r="J549" s="63" t="s">
        <v>21</v>
      </c>
      <c r="K549" s="62"/>
      <c r="L549" s="63" t="s">
        <v>22</v>
      </c>
      <c r="M549" s="62"/>
      <c r="N549" s="62"/>
      <c r="O549" s="59"/>
      <c r="P549" s="59"/>
      <c r="Q549" s="134"/>
    </row>
    <row r="550" ht="22.5" customHeight="1">
      <c r="A550" s="59"/>
      <c r="B550" s="59"/>
      <c r="C550" s="59"/>
      <c r="D550" s="62"/>
      <c r="E550" s="62"/>
      <c r="F550" s="59" t="s">
        <v>18</v>
      </c>
      <c r="G550" s="62"/>
      <c r="H550" s="59" t="s">
        <v>20</v>
      </c>
      <c r="I550" s="62"/>
      <c r="J550" s="63" t="s">
        <v>21</v>
      </c>
      <c r="K550" s="62"/>
      <c r="L550" s="63" t="s">
        <v>22</v>
      </c>
      <c r="M550" s="62"/>
      <c r="N550" s="62"/>
      <c r="O550" s="59"/>
      <c r="P550" s="59"/>
      <c r="Q550" s="134"/>
    </row>
    <row r="551" ht="22.5" customHeight="1">
      <c r="A551" s="59"/>
      <c r="B551" s="59"/>
      <c r="C551" s="59"/>
      <c r="D551" s="62"/>
      <c r="E551" s="62"/>
      <c r="F551" s="59" t="s">
        <v>18</v>
      </c>
      <c r="G551" s="62"/>
      <c r="H551" s="59" t="s">
        <v>20</v>
      </c>
      <c r="I551" s="62"/>
      <c r="J551" s="63" t="s">
        <v>21</v>
      </c>
      <c r="K551" s="62"/>
      <c r="L551" s="63" t="s">
        <v>22</v>
      </c>
      <c r="M551" s="62"/>
      <c r="N551" s="62"/>
      <c r="O551" s="59"/>
      <c r="P551" s="59"/>
      <c r="Q551" s="134"/>
    </row>
    <row r="552" ht="22.5" customHeight="1">
      <c r="A552" s="59"/>
      <c r="B552" s="59"/>
      <c r="C552" s="59"/>
      <c r="D552" s="62"/>
      <c r="E552" s="62"/>
      <c r="F552" s="59" t="s">
        <v>18</v>
      </c>
      <c r="G552" s="62"/>
      <c r="H552" s="59" t="s">
        <v>20</v>
      </c>
      <c r="I552" s="62"/>
      <c r="J552" s="63" t="s">
        <v>21</v>
      </c>
      <c r="K552" s="62"/>
      <c r="L552" s="63" t="s">
        <v>22</v>
      </c>
      <c r="M552" s="62"/>
      <c r="N552" s="62"/>
      <c r="O552" s="59"/>
      <c r="P552" s="59"/>
      <c r="Q552" s="134"/>
    </row>
    <row r="553" ht="22.5" customHeight="1">
      <c r="A553" s="59"/>
      <c r="B553" s="59"/>
      <c r="C553" s="59"/>
      <c r="D553" s="62"/>
      <c r="E553" s="62"/>
      <c r="F553" s="59" t="s">
        <v>18</v>
      </c>
      <c r="G553" s="62"/>
      <c r="H553" s="59" t="s">
        <v>20</v>
      </c>
      <c r="I553" s="62"/>
      <c r="J553" s="63" t="s">
        <v>21</v>
      </c>
      <c r="K553" s="62"/>
      <c r="L553" s="63" t="s">
        <v>22</v>
      </c>
      <c r="M553" s="62"/>
      <c r="N553" s="62"/>
      <c r="O553" s="59"/>
      <c r="P553" s="59"/>
      <c r="Q553" s="134"/>
    </row>
    <row r="554" ht="22.5" customHeight="1">
      <c r="A554" s="59"/>
      <c r="B554" s="59"/>
      <c r="C554" s="59"/>
      <c r="D554" s="62"/>
      <c r="E554" s="62"/>
      <c r="F554" s="59" t="s">
        <v>18</v>
      </c>
      <c r="G554" s="62"/>
      <c r="H554" s="59" t="s">
        <v>20</v>
      </c>
      <c r="I554" s="62"/>
      <c r="J554" s="63" t="s">
        <v>21</v>
      </c>
      <c r="K554" s="62"/>
      <c r="L554" s="63" t="s">
        <v>22</v>
      </c>
      <c r="M554" s="62"/>
      <c r="N554" s="62"/>
      <c r="O554" s="59"/>
      <c r="P554" s="59"/>
      <c r="Q554" s="134"/>
    </row>
    <row r="555" ht="22.5" customHeight="1">
      <c r="A555" s="59"/>
      <c r="B555" s="59"/>
      <c r="C555" s="59"/>
      <c r="D555" s="62"/>
      <c r="E555" s="62"/>
      <c r="F555" s="59" t="s">
        <v>18</v>
      </c>
      <c r="G555" s="62"/>
      <c r="H555" s="59" t="s">
        <v>20</v>
      </c>
      <c r="I555" s="62"/>
      <c r="J555" s="63" t="s">
        <v>21</v>
      </c>
      <c r="K555" s="62"/>
      <c r="L555" s="63" t="s">
        <v>22</v>
      </c>
      <c r="M555" s="62"/>
      <c r="N555" s="62"/>
      <c r="O555" s="59"/>
      <c r="P555" s="59"/>
      <c r="Q555" s="134"/>
    </row>
    <row r="556" ht="22.5" customHeight="1">
      <c r="A556" s="59"/>
      <c r="B556" s="59"/>
      <c r="C556" s="59"/>
      <c r="D556" s="62"/>
      <c r="E556" s="62"/>
      <c r="F556" s="59" t="s">
        <v>18</v>
      </c>
      <c r="G556" s="62"/>
      <c r="H556" s="59" t="s">
        <v>20</v>
      </c>
      <c r="I556" s="62"/>
      <c r="J556" s="63" t="s">
        <v>21</v>
      </c>
      <c r="K556" s="62"/>
      <c r="L556" s="63" t="s">
        <v>22</v>
      </c>
      <c r="M556" s="62"/>
      <c r="N556" s="62"/>
      <c r="O556" s="59"/>
      <c r="P556" s="59"/>
      <c r="Q556" s="134"/>
    </row>
    <row r="557" ht="22.5" customHeight="1">
      <c r="A557" s="59"/>
      <c r="B557" s="59"/>
      <c r="C557" s="59"/>
      <c r="D557" s="62"/>
      <c r="E557" s="62"/>
      <c r="F557" s="59" t="s">
        <v>18</v>
      </c>
      <c r="G557" s="62"/>
      <c r="H557" s="59" t="s">
        <v>20</v>
      </c>
      <c r="I557" s="62"/>
      <c r="J557" s="63" t="s">
        <v>21</v>
      </c>
      <c r="K557" s="62"/>
      <c r="L557" s="63" t="s">
        <v>22</v>
      </c>
      <c r="M557" s="62"/>
      <c r="N557" s="62"/>
      <c r="O557" s="59"/>
      <c r="P557" s="59"/>
      <c r="Q557" s="134"/>
    </row>
    <row r="558" ht="22.5" customHeight="1">
      <c r="A558" s="59"/>
      <c r="B558" s="59"/>
      <c r="C558" s="59"/>
      <c r="D558" s="62"/>
      <c r="E558" s="62"/>
      <c r="F558" s="59" t="s">
        <v>18</v>
      </c>
      <c r="G558" s="62"/>
      <c r="H558" s="59" t="s">
        <v>20</v>
      </c>
      <c r="I558" s="62"/>
      <c r="J558" s="63" t="s">
        <v>21</v>
      </c>
      <c r="K558" s="62"/>
      <c r="L558" s="63" t="s">
        <v>22</v>
      </c>
      <c r="M558" s="62"/>
      <c r="N558" s="62"/>
      <c r="O558" s="59"/>
      <c r="P558" s="59"/>
      <c r="Q558" s="134"/>
    </row>
    <row r="559" ht="22.5" customHeight="1">
      <c r="A559" s="59"/>
      <c r="B559" s="59"/>
      <c r="C559" s="59"/>
      <c r="D559" s="62"/>
      <c r="E559" s="62"/>
      <c r="F559" s="59" t="s">
        <v>18</v>
      </c>
      <c r="G559" s="62"/>
      <c r="H559" s="59" t="s">
        <v>20</v>
      </c>
      <c r="I559" s="62"/>
      <c r="J559" s="63" t="s">
        <v>21</v>
      </c>
      <c r="K559" s="62"/>
      <c r="L559" s="63" t="s">
        <v>22</v>
      </c>
      <c r="M559" s="62"/>
      <c r="N559" s="62"/>
      <c r="O559" s="59"/>
      <c r="P559" s="59"/>
      <c r="Q559" s="134"/>
    </row>
    <row r="560" ht="22.5" customHeight="1">
      <c r="A560" s="59"/>
      <c r="B560" s="59"/>
      <c r="C560" s="59"/>
      <c r="D560" s="62"/>
      <c r="E560" s="62"/>
      <c r="F560" s="59" t="s">
        <v>18</v>
      </c>
      <c r="G560" s="62"/>
      <c r="H560" s="59" t="s">
        <v>20</v>
      </c>
      <c r="I560" s="62"/>
      <c r="J560" s="63" t="s">
        <v>21</v>
      </c>
      <c r="K560" s="62"/>
      <c r="L560" s="63" t="s">
        <v>22</v>
      </c>
      <c r="M560" s="62"/>
      <c r="N560" s="62"/>
      <c r="O560" s="59"/>
      <c r="P560" s="59"/>
      <c r="Q560" s="134"/>
    </row>
    <row r="561" ht="22.5" customHeight="1">
      <c r="A561" s="59"/>
      <c r="B561" s="59"/>
      <c r="C561" s="59"/>
      <c r="D561" s="62"/>
      <c r="E561" s="62"/>
      <c r="F561" s="59" t="s">
        <v>18</v>
      </c>
      <c r="G561" s="62"/>
      <c r="H561" s="59" t="s">
        <v>20</v>
      </c>
      <c r="I561" s="62"/>
      <c r="J561" s="63" t="s">
        <v>21</v>
      </c>
      <c r="K561" s="62"/>
      <c r="L561" s="63" t="s">
        <v>22</v>
      </c>
      <c r="M561" s="62"/>
      <c r="N561" s="62"/>
      <c r="O561" s="59"/>
      <c r="P561" s="59"/>
      <c r="Q561" s="134"/>
    </row>
    <row r="562" ht="22.5" customHeight="1">
      <c r="A562" s="59"/>
      <c r="B562" s="59"/>
      <c r="C562" s="59"/>
      <c r="D562" s="62"/>
      <c r="E562" s="62"/>
      <c r="F562" s="59" t="s">
        <v>18</v>
      </c>
      <c r="G562" s="62"/>
      <c r="H562" s="59" t="s">
        <v>20</v>
      </c>
      <c r="I562" s="62"/>
      <c r="J562" s="63" t="s">
        <v>21</v>
      </c>
      <c r="K562" s="62"/>
      <c r="L562" s="63" t="s">
        <v>22</v>
      </c>
      <c r="M562" s="62"/>
      <c r="N562" s="62"/>
      <c r="O562" s="59"/>
      <c r="P562" s="59"/>
      <c r="Q562" s="134"/>
    </row>
    <row r="563" ht="22.5" customHeight="1">
      <c r="A563" s="59"/>
      <c r="B563" s="59"/>
      <c r="C563" s="59"/>
      <c r="D563" s="62"/>
      <c r="E563" s="62"/>
      <c r="F563" s="59" t="s">
        <v>18</v>
      </c>
      <c r="G563" s="62"/>
      <c r="H563" s="59" t="s">
        <v>20</v>
      </c>
      <c r="I563" s="62"/>
      <c r="J563" s="63" t="s">
        <v>21</v>
      </c>
      <c r="K563" s="62"/>
      <c r="L563" s="63" t="s">
        <v>22</v>
      </c>
      <c r="M563" s="62"/>
      <c r="N563" s="62"/>
      <c r="O563" s="59"/>
      <c r="P563" s="59"/>
      <c r="Q563" s="134"/>
    </row>
    <row r="564" ht="22.5" customHeight="1">
      <c r="A564" s="59"/>
      <c r="B564" s="59"/>
      <c r="C564" s="59"/>
      <c r="D564" s="62"/>
      <c r="E564" s="62"/>
      <c r="F564" s="59" t="s">
        <v>18</v>
      </c>
      <c r="G564" s="62"/>
      <c r="H564" s="59" t="s">
        <v>20</v>
      </c>
      <c r="I564" s="62"/>
      <c r="J564" s="63" t="s">
        <v>21</v>
      </c>
      <c r="K564" s="62"/>
      <c r="L564" s="63" t="s">
        <v>22</v>
      </c>
      <c r="M564" s="62"/>
      <c r="N564" s="62"/>
      <c r="O564" s="59"/>
      <c r="P564" s="59"/>
      <c r="Q564" s="134"/>
    </row>
    <row r="565" ht="22.5" customHeight="1">
      <c r="A565" s="59"/>
      <c r="B565" s="59"/>
      <c r="C565" s="59"/>
      <c r="D565" s="62"/>
      <c r="E565" s="62"/>
      <c r="F565" s="59" t="s">
        <v>18</v>
      </c>
      <c r="G565" s="62"/>
      <c r="H565" s="59" t="s">
        <v>20</v>
      </c>
      <c r="I565" s="62"/>
      <c r="J565" s="63" t="s">
        <v>21</v>
      </c>
      <c r="K565" s="62"/>
      <c r="L565" s="63" t="s">
        <v>22</v>
      </c>
      <c r="M565" s="62"/>
      <c r="N565" s="62"/>
      <c r="O565" s="59"/>
      <c r="P565" s="59"/>
      <c r="Q565" s="134"/>
    </row>
    <row r="566" ht="22.5" customHeight="1">
      <c r="A566" s="59"/>
      <c r="B566" s="59"/>
      <c r="C566" s="59"/>
      <c r="D566" s="62"/>
      <c r="E566" s="62"/>
      <c r="F566" s="59" t="s">
        <v>18</v>
      </c>
      <c r="G566" s="62"/>
      <c r="H566" s="59" t="s">
        <v>20</v>
      </c>
      <c r="I566" s="62"/>
      <c r="J566" s="63" t="s">
        <v>21</v>
      </c>
      <c r="K566" s="62"/>
      <c r="L566" s="63" t="s">
        <v>22</v>
      </c>
      <c r="M566" s="62"/>
      <c r="N566" s="62"/>
      <c r="O566" s="59"/>
      <c r="P566" s="59"/>
      <c r="Q566" s="134"/>
    </row>
    <row r="567" ht="22.5" customHeight="1">
      <c r="A567" s="59"/>
      <c r="B567" s="59"/>
      <c r="C567" s="59"/>
      <c r="D567" s="62"/>
      <c r="E567" s="62"/>
      <c r="F567" s="59" t="s">
        <v>18</v>
      </c>
      <c r="G567" s="62"/>
      <c r="H567" s="59" t="s">
        <v>20</v>
      </c>
      <c r="I567" s="62"/>
      <c r="J567" s="63" t="s">
        <v>21</v>
      </c>
      <c r="K567" s="62"/>
      <c r="L567" s="63" t="s">
        <v>22</v>
      </c>
      <c r="M567" s="62"/>
      <c r="N567" s="62"/>
      <c r="O567" s="59"/>
      <c r="P567" s="59"/>
      <c r="Q567" s="134"/>
    </row>
    <row r="568" ht="22.5" customHeight="1">
      <c r="A568" s="59"/>
      <c r="B568" s="59"/>
      <c r="C568" s="59"/>
      <c r="D568" s="62"/>
      <c r="E568" s="62"/>
      <c r="F568" s="59" t="s">
        <v>18</v>
      </c>
      <c r="G568" s="62"/>
      <c r="H568" s="59" t="s">
        <v>20</v>
      </c>
      <c r="I568" s="62"/>
      <c r="J568" s="63" t="s">
        <v>21</v>
      </c>
      <c r="K568" s="62"/>
      <c r="L568" s="63" t="s">
        <v>22</v>
      </c>
      <c r="M568" s="62"/>
      <c r="N568" s="62"/>
      <c r="O568" s="59"/>
      <c r="P568" s="59"/>
      <c r="Q568" s="134"/>
    </row>
    <row r="569" ht="22.5" customHeight="1">
      <c r="A569" s="59"/>
      <c r="B569" s="59"/>
      <c r="C569" s="59"/>
      <c r="D569" s="62"/>
      <c r="E569" s="62"/>
      <c r="F569" s="59" t="s">
        <v>18</v>
      </c>
      <c r="G569" s="62"/>
      <c r="H569" s="59" t="s">
        <v>20</v>
      </c>
      <c r="I569" s="62"/>
      <c r="J569" s="63" t="s">
        <v>21</v>
      </c>
      <c r="K569" s="62"/>
      <c r="L569" s="63" t="s">
        <v>22</v>
      </c>
      <c r="M569" s="62"/>
      <c r="N569" s="62"/>
      <c r="O569" s="59"/>
      <c r="P569" s="59"/>
      <c r="Q569" s="134"/>
    </row>
    <row r="570" ht="22.5" customHeight="1">
      <c r="A570" s="59"/>
      <c r="B570" s="59"/>
      <c r="C570" s="59"/>
      <c r="D570" s="62"/>
      <c r="E570" s="62"/>
      <c r="F570" s="59" t="s">
        <v>18</v>
      </c>
      <c r="G570" s="62"/>
      <c r="H570" s="59" t="s">
        <v>20</v>
      </c>
      <c r="I570" s="62"/>
      <c r="J570" s="63" t="s">
        <v>21</v>
      </c>
      <c r="K570" s="62"/>
      <c r="L570" s="63" t="s">
        <v>22</v>
      </c>
      <c r="M570" s="62"/>
      <c r="N570" s="62"/>
      <c r="O570" s="59"/>
      <c r="P570" s="59"/>
      <c r="Q570" s="134"/>
    </row>
    <row r="571" ht="22.5" customHeight="1">
      <c r="A571" s="59"/>
      <c r="B571" s="59"/>
      <c r="C571" s="59"/>
      <c r="D571" s="62"/>
      <c r="E571" s="62"/>
      <c r="F571" s="59" t="s">
        <v>18</v>
      </c>
      <c r="G571" s="62"/>
      <c r="H571" s="59" t="s">
        <v>20</v>
      </c>
      <c r="I571" s="62"/>
      <c r="J571" s="63" t="s">
        <v>21</v>
      </c>
      <c r="K571" s="62"/>
      <c r="L571" s="63" t="s">
        <v>22</v>
      </c>
      <c r="M571" s="62"/>
      <c r="N571" s="62"/>
      <c r="O571" s="59"/>
      <c r="P571" s="59"/>
      <c r="Q571" s="134"/>
    </row>
    <row r="572" ht="22.5" customHeight="1">
      <c r="A572" s="59"/>
      <c r="B572" s="59"/>
      <c r="C572" s="59"/>
      <c r="D572" s="62"/>
      <c r="E572" s="62"/>
      <c r="F572" s="59" t="s">
        <v>18</v>
      </c>
      <c r="G572" s="62"/>
      <c r="H572" s="59" t="s">
        <v>20</v>
      </c>
      <c r="I572" s="62"/>
      <c r="J572" s="63" t="s">
        <v>21</v>
      </c>
      <c r="K572" s="62"/>
      <c r="L572" s="63" t="s">
        <v>22</v>
      </c>
      <c r="M572" s="62"/>
      <c r="N572" s="62"/>
      <c r="O572" s="59"/>
      <c r="P572" s="59"/>
      <c r="Q572" s="134"/>
    </row>
    <row r="573" ht="22.5" customHeight="1">
      <c r="A573" s="59"/>
      <c r="B573" s="59"/>
      <c r="C573" s="59"/>
      <c r="D573" s="62"/>
      <c r="E573" s="62"/>
      <c r="F573" s="59" t="s">
        <v>18</v>
      </c>
      <c r="G573" s="62"/>
      <c r="H573" s="59" t="s">
        <v>20</v>
      </c>
      <c r="I573" s="62"/>
      <c r="J573" s="63" t="s">
        <v>21</v>
      </c>
      <c r="K573" s="62"/>
      <c r="L573" s="63" t="s">
        <v>22</v>
      </c>
      <c r="M573" s="62"/>
      <c r="N573" s="62"/>
      <c r="O573" s="59"/>
      <c r="P573" s="59"/>
      <c r="Q573" s="134"/>
    </row>
    <row r="574" ht="22.5" customHeight="1">
      <c r="A574" s="59"/>
      <c r="B574" s="59"/>
      <c r="C574" s="59"/>
      <c r="D574" s="62"/>
      <c r="E574" s="62"/>
      <c r="F574" s="59" t="s">
        <v>18</v>
      </c>
      <c r="G574" s="62"/>
      <c r="H574" s="59" t="s">
        <v>20</v>
      </c>
      <c r="I574" s="62"/>
      <c r="J574" s="63" t="s">
        <v>21</v>
      </c>
      <c r="K574" s="62"/>
      <c r="L574" s="63" t="s">
        <v>22</v>
      </c>
      <c r="M574" s="62"/>
      <c r="N574" s="62"/>
      <c r="O574" s="59"/>
      <c r="P574" s="59"/>
      <c r="Q574" s="134"/>
    </row>
    <row r="575" ht="22.5" customHeight="1">
      <c r="A575" s="59"/>
      <c r="B575" s="59"/>
      <c r="C575" s="59"/>
      <c r="D575" s="62"/>
      <c r="E575" s="62"/>
      <c r="F575" s="59" t="s">
        <v>18</v>
      </c>
      <c r="G575" s="62"/>
      <c r="H575" s="59" t="s">
        <v>20</v>
      </c>
      <c r="I575" s="62"/>
      <c r="J575" s="63" t="s">
        <v>21</v>
      </c>
      <c r="K575" s="62"/>
      <c r="L575" s="63" t="s">
        <v>22</v>
      </c>
      <c r="M575" s="62"/>
      <c r="N575" s="62"/>
      <c r="O575" s="59"/>
      <c r="P575" s="59"/>
      <c r="Q575" s="134"/>
    </row>
    <row r="576" ht="22.5" customHeight="1">
      <c r="A576" s="59"/>
      <c r="B576" s="59"/>
      <c r="C576" s="59"/>
      <c r="D576" s="62"/>
      <c r="E576" s="62"/>
      <c r="F576" s="59" t="s">
        <v>18</v>
      </c>
      <c r="G576" s="62"/>
      <c r="H576" s="59" t="s">
        <v>20</v>
      </c>
      <c r="I576" s="62"/>
      <c r="J576" s="63" t="s">
        <v>21</v>
      </c>
      <c r="K576" s="62"/>
      <c r="L576" s="63" t="s">
        <v>22</v>
      </c>
      <c r="M576" s="62"/>
      <c r="N576" s="62"/>
      <c r="O576" s="59"/>
      <c r="P576" s="59"/>
      <c r="Q576" s="134"/>
    </row>
    <row r="577" ht="22.5" customHeight="1">
      <c r="A577" s="59"/>
      <c r="B577" s="59"/>
      <c r="C577" s="59"/>
      <c r="D577" s="62"/>
      <c r="E577" s="62"/>
      <c r="F577" s="59" t="s">
        <v>18</v>
      </c>
      <c r="G577" s="62"/>
      <c r="H577" s="59" t="s">
        <v>20</v>
      </c>
      <c r="I577" s="62"/>
      <c r="J577" s="63" t="s">
        <v>21</v>
      </c>
      <c r="K577" s="62"/>
      <c r="L577" s="63" t="s">
        <v>22</v>
      </c>
      <c r="M577" s="62"/>
      <c r="N577" s="62"/>
      <c r="O577" s="59"/>
      <c r="P577" s="59"/>
      <c r="Q577" s="134"/>
    </row>
    <row r="578" ht="22.5" customHeight="1">
      <c r="A578" s="59"/>
      <c r="B578" s="59"/>
      <c r="C578" s="59"/>
      <c r="D578" s="62"/>
      <c r="E578" s="62"/>
      <c r="F578" s="59" t="s">
        <v>18</v>
      </c>
      <c r="G578" s="62"/>
      <c r="H578" s="59" t="s">
        <v>20</v>
      </c>
      <c r="I578" s="62"/>
      <c r="J578" s="63" t="s">
        <v>21</v>
      </c>
      <c r="K578" s="62"/>
      <c r="L578" s="63" t="s">
        <v>22</v>
      </c>
      <c r="M578" s="62"/>
      <c r="N578" s="62"/>
      <c r="O578" s="59"/>
      <c r="P578" s="59"/>
      <c r="Q578" s="134"/>
    </row>
    <row r="579" ht="22.5" customHeight="1">
      <c r="A579" s="59"/>
      <c r="B579" s="59"/>
      <c r="C579" s="59"/>
      <c r="D579" s="62"/>
      <c r="E579" s="62"/>
      <c r="F579" s="59" t="s">
        <v>18</v>
      </c>
      <c r="G579" s="62"/>
      <c r="H579" s="59" t="s">
        <v>20</v>
      </c>
      <c r="I579" s="62"/>
      <c r="J579" s="63" t="s">
        <v>21</v>
      </c>
      <c r="K579" s="62"/>
      <c r="L579" s="63" t="s">
        <v>22</v>
      </c>
      <c r="M579" s="62"/>
      <c r="N579" s="62"/>
      <c r="O579" s="59"/>
      <c r="P579" s="59"/>
      <c r="Q579" s="134"/>
    </row>
    <row r="580" ht="22.5" customHeight="1">
      <c r="A580" s="59"/>
      <c r="B580" s="59"/>
      <c r="C580" s="59"/>
      <c r="D580" s="62"/>
      <c r="E580" s="62"/>
      <c r="F580" s="59" t="s">
        <v>18</v>
      </c>
      <c r="G580" s="62"/>
      <c r="H580" s="59" t="s">
        <v>20</v>
      </c>
      <c r="I580" s="62"/>
      <c r="J580" s="63" t="s">
        <v>21</v>
      </c>
      <c r="K580" s="62"/>
      <c r="L580" s="63" t="s">
        <v>22</v>
      </c>
      <c r="M580" s="62"/>
      <c r="N580" s="62"/>
      <c r="O580" s="59"/>
      <c r="P580" s="59"/>
      <c r="Q580" s="134"/>
    </row>
    <row r="581" ht="22.5" customHeight="1">
      <c r="A581" s="59"/>
      <c r="B581" s="59"/>
      <c r="C581" s="59"/>
      <c r="D581" s="62"/>
      <c r="E581" s="62"/>
      <c r="F581" s="59" t="s">
        <v>18</v>
      </c>
      <c r="G581" s="62"/>
      <c r="H581" s="59" t="s">
        <v>20</v>
      </c>
      <c r="I581" s="62"/>
      <c r="J581" s="63" t="s">
        <v>21</v>
      </c>
      <c r="K581" s="62"/>
      <c r="L581" s="63" t="s">
        <v>22</v>
      </c>
      <c r="M581" s="62"/>
      <c r="N581" s="62"/>
      <c r="O581" s="59"/>
      <c r="P581" s="59"/>
      <c r="Q581" s="134"/>
    </row>
    <row r="582" ht="22.5" customHeight="1">
      <c r="A582" s="59"/>
      <c r="B582" s="59"/>
      <c r="C582" s="59"/>
      <c r="D582" s="62"/>
      <c r="E582" s="62"/>
      <c r="F582" s="59" t="s">
        <v>18</v>
      </c>
      <c r="G582" s="62"/>
      <c r="H582" s="59" t="s">
        <v>20</v>
      </c>
      <c r="I582" s="62"/>
      <c r="J582" s="63" t="s">
        <v>21</v>
      </c>
      <c r="K582" s="62"/>
      <c r="L582" s="63" t="s">
        <v>22</v>
      </c>
      <c r="M582" s="62"/>
      <c r="N582" s="62"/>
      <c r="O582" s="59"/>
      <c r="P582" s="59"/>
      <c r="Q582" s="134"/>
    </row>
    <row r="583" ht="22.5" customHeight="1">
      <c r="A583" s="59"/>
      <c r="B583" s="59"/>
      <c r="C583" s="59"/>
      <c r="D583" s="62"/>
      <c r="E583" s="62"/>
      <c r="F583" s="59" t="s">
        <v>18</v>
      </c>
      <c r="G583" s="62"/>
      <c r="H583" s="59" t="s">
        <v>20</v>
      </c>
      <c r="I583" s="62"/>
      <c r="J583" s="63" t="s">
        <v>21</v>
      </c>
      <c r="K583" s="62"/>
      <c r="L583" s="63" t="s">
        <v>22</v>
      </c>
      <c r="M583" s="62"/>
      <c r="N583" s="62"/>
      <c r="O583" s="59"/>
      <c r="P583" s="59"/>
      <c r="Q583" s="134"/>
    </row>
    <row r="584" ht="22.5" customHeight="1">
      <c r="A584" s="59"/>
      <c r="B584" s="59"/>
      <c r="C584" s="59"/>
      <c r="D584" s="62"/>
      <c r="E584" s="62"/>
      <c r="F584" s="59" t="s">
        <v>18</v>
      </c>
      <c r="G584" s="62"/>
      <c r="H584" s="59" t="s">
        <v>20</v>
      </c>
      <c r="I584" s="62"/>
      <c r="J584" s="63" t="s">
        <v>21</v>
      </c>
      <c r="K584" s="62"/>
      <c r="L584" s="63" t="s">
        <v>22</v>
      </c>
      <c r="M584" s="62"/>
      <c r="N584" s="62"/>
      <c r="O584" s="59"/>
      <c r="P584" s="59"/>
      <c r="Q584" s="134"/>
    </row>
    <row r="585" ht="22.5" customHeight="1">
      <c r="A585" s="59"/>
      <c r="B585" s="59"/>
      <c r="C585" s="59"/>
      <c r="D585" s="62"/>
      <c r="E585" s="62"/>
      <c r="F585" s="59" t="s">
        <v>18</v>
      </c>
      <c r="G585" s="62"/>
      <c r="H585" s="59" t="s">
        <v>20</v>
      </c>
      <c r="I585" s="62"/>
      <c r="J585" s="63" t="s">
        <v>21</v>
      </c>
      <c r="K585" s="62"/>
      <c r="L585" s="63" t="s">
        <v>22</v>
      </c>
      <c r="M585" s="62"/>
      <c r="N585" s="62"/>
      <c r="O585" s="59"/>
      <c r="P585" s="59"/>
      <c r="Q585" s="134"/>
    </row>
    <row r="586" ht="22.5" customHeight="1">
      <c r="A586" s="59"/>
      <c r="B586" s="59"/>
      <c r="C586" s="59"/>
      <c r="D586" s="62"/>
      <c r="E586" s="62"/>
      <c r="F586" s="59" t="s">
        <v>18</v>
      </c>
      <c r="G586" s="62"/>
      <c r="H586" s="59" t="s">
        <v>20</v>
      </c>
      <c r="I586" s="62"/>
      <c r="J586" s="63" t="s">
        <v>21</v>
      </c>
      <c r="K586" s="62"/>
      <c r="L586" s="63" t="s">
        <v>22</v>
      </c>
      <c r="M586" s="62"/>
      <c r="N586" s="62"/>
      <c r="O586" s="59"/>
      <c r="P586" s="59"/>
      <c r="Q586" s="134"/>
    </row>
    <row r="587" ht="22.5" customHeight="1">
      <c r="A587" s="59"/>
      <c r="B587" s="59"/>
      <c r="C587" s="59"/>
      <c r="D587" s="62"/>
      <c r="E587" s="62"/>
      <c r="F587" s="59" t="s">
        <v>18</v>
      </c>
      <c r="G587" s="62"/>
      <c r="H587" s="59" t="s">
        <v>20</v>
      </c>
      <c r="I587" s="62"/>
      <c r="J587" s="63" t="s">
        <v>21</v>
      </c>
      <c r="K587" s="62"/>
      <c r="L587" s="63" t="s">
        <v>22</v>
      </c>
      <c r="M587" s="62"/>
      <c r="N587" s="62"/>
      <c r="O587" s="59"/>
      <c r="P587" s="59"/>
      <c r="Q587" s="134"/>
    </row>
    <row r="588" ht="22.5" customHeight="1">
      <c r="A588" s="59"/>
      <c r="B588" s="59"/>
      <c r="C588" s="59"/>
      <c r="D588" s="62"/>
      <c r="E588" s="62"/>
      <c r="F588" s="59" t="s">
        <v>18</v>
      </c>
      <c r="G588" s="62"/>
      <c r="H588" s="59" t="s">
        <v>20</v>
      </c>
      <c r="I588" s="62"/>
      <c r="J588" s="63" t="s">
        <v>21</v>
      </c>
      <c r="K588" s="62"/>
      <c r="L588" s="63" t="s">
        <v>22</v>
      </c>
      <c r="M588" s="62"/>
      <c r="N588" s="62"/>
      <c r="O588" s="59"/>
      <c r="P588" s="59"/>
      <c r="Q588" s="134"/>
    </row>
    <row r="589" ht="22.5" customHeight="1">
      <c r="A589" s="59"/>
      <c r="B589" s="59"/>
      <c r="C589" s="59"/>
      <c r="D589" s="62"/>
      <c r="E589" s="62"/>
      <c r="F589" s="59" t="s">
        <v>18</v>
      </c>
      <c r="G589" s="62"/>
      <c r="H589" s="59" t="s">
        <v>20</v>
      </c>
      <c r="I589" s="62"/>
      <c r="J589" s="63" t="s">
        <v>21</v>
      </c>
      <c r="K589" s="62"/>
      <c r="L589" s="63" t="s">
        <v>22</v>
      </c>
      <c r="M589" s="62"/>
      <c r="N589" s="62"/>
      <c r="O589" s="59"/>
      <c r="P589" s="59"/>
      <c r="Q589" s="134"/>
    </row>
    <row r="590" ht="22.5" customHeight="1">
      <c r="A590" s="59"/>
      <c r="B590" s="59"/>
      <c r="C590" s="59"/>
      <c r="D590" s="62"/>
      <c r="E590" s="62"/>
      <c r="F590" s="59" t="s">
        <v>18</v>
      </c>
      <c r="G590" s="62"/>
      <c r="H590" s="59" t="s">
        <v>20</v>
      </c>
      <c r="I590" s="62"/>
      <c r="J590" s="63" t="s">
        <v>21</v>
      </c>
      <c r="K590" s="62"/>
      <c r="L590" s="63" t="s">
        <v>22</v>
      </c>
      <c r="M590" s="62"/>
      <c r="N590" s="62"/>
      <c r="O590" s="59"/>
      <c r="P590" s="59"/>
      <c r="Q590" s="134"/>
    </row>
    <row r="591" ht="22.5" customHeight="1">
      <c r="A591" s="59"/>
      <c r="B591" s="59"/>
      <c r="C591" s="59"/>
      <c r="D591" s="62"/>
      <c r="E591" s="62"/>
      <c r="F591" s="59" t="s">
        <v>18</v>
      </c>
      <c r="G591" s="62"/>
      <c r="H591" s="59" t="s">
        <v>20</v>
      </c>
      <c r="I591" s="62"/>
      <c r="J591" s="63" t="s">
        <v>21</v>
      </c>
      <c r="K591" s="62"/>
      <c r="L591" s="63" t="s">
        <v>22</v>
      </c>
      <c r="M591" s="62"/>
      <c r="N591" s="62"/>
      <c r="O591" s="59"/>
      <c r="P591" s="59"/>
      <c r="Q591" s="134"/>
    </row>
    <row r="592" ht="22.5" customHeight="1">
      <c r="A592" s="59"/>
      <c r="B592" s="59"/>
      <c r="C592" s="59"/>
      <c r="D592" s="62"/>
      <c r="E592" s="62"/>
      <c r="F592" s="59" t="s">
        <v>18</v>
      </c>
      <c r="G592" s="62"/>
      <c r="H592" s="59" t="s">
        <v>20</v>
      </c>
      <c r="I592" s="62"/>
      <c r="J592" s="63" t="s">
        <v>21</v>
      </c>
      <c r="K592" s="62"/>
      <c r="L592" s="63" t="s">
        <v>22</v>
      </c>
      <c r="M592" s="62"/>
      <c r="N592" s="62"/>
      <c r="O592" s="59"/>
      <c r="P592" s="59"/>
      <c r="Q592" s="134"/>
    </row>
    <row r="593" ht="22.5" customHeight="1">
      <c r="A593" s="59"/>
      <c r="B593" s="59"/>
      <c r="C593" s="59"/>
      <c r="D593" s="62"/>
      <c r="E593" s="62"/>
      <c r="F593" s="59" t="s">
        <v>18</v>
      </c>
      <c r="G593" s="62"/>
      <c r="H593" s="59" t="s">
        <v>20</v>
      </c>
      <c r="I593" s="62"/>
      <c r="J593" s="63" t="s">
        <v>21</v>
      </c>
      <c r="K593" s="62"/>
      <c r="L593" s="63" t="s">
        <v>22</v>
      </c>
      <c r="M593" s="62"/>
      <c r="N593" s="62"/>
      <c r="O593" s="59"/>
      <c r="P593" s="59"/>
      <c r="Q593" s="134"/>
    </row>
    <row r="594" ht="22.5" customHeight="1">
      <c r="A594" s="59"/>
      <c r="B594" s="59"/>
      <c r="C594" s="59"/>
      <c r="D594" s="62"/>
      <c r="E594" s="62"/>
      <c r="F594" s="59" t="s">
        <v>18</v>
      </c>
      <c r="G594" s="62"/>
      <c r="H594" s="59" t="s">
        <v>20</v>
      </c>
      <c r="I594" s="62"/>
      <c r="J594" s="63" t="s">
        <v>21</v>
      </c>
      <c r="K594" s="62"/>
      <c r="L594" s="63" t="s">
        <v>22</v>
      </c>
      <c r="M594" s="62"/>
      <c r="N594" s="62"/>
      <c r="O594" s="59"/>
      <c r="P594" s="59"/>
      <c r="Q594" s="134"/>
    </row>
    <row r="595" ht="22.5" customHeight="1">
      <c r="A595" s="59"/>
      <c r="B595" s="59"/>
      <c r="C595" s="59"/>
      <c r="D595" s="62"/>
      <c r="E595" s="62"/>
      <c r="F595" s="59" t="s">
        <v>18</v>
      </c>
      <c r="G595" s="62"/>
      <c r="H595" s="59" t="s">
        <v>20</v>
      </c>
      <c r="I595" s="62"/>
      <c r="J595" s="63" t="s">
        <v>21</v>
      </c>
      <c r="K595" s="62"/>
      <c r="L595" s="63" t="s">
        <v>22</v>
      </c>
      <c r="M595" s="62"/>
      <c r="N595" s="62"/>
      <c r="O595" s="59"/>
      <c r="P595" s="59"/>
      <c r="Q595" s="134"/>
    </row>
    <row r="596" ht="22.5" customHeight="1">
      <c r="A596" s="59"/>
      <c r="B596" s="59"/>
      <c r="C596" s="59"/>
      <c r="D596" s="62"/>
      <c r="E596" s="62"/>
      <c r="F596" s="59" t="s">
        <v>18</v>
      </c>
      <c r="G596" s="62"/>
      <c r="H596" s="59" t="s">
        <v>20</v>
      </c>
      <c r="I596" s="62"/>
      <c r="J596" s="63" t="s">
        <v>21</v>
      </c>
      <c r="K596" s="62"/>
      <c r="L596" s="63" t="s">
        <v>22</v>
      </c>
      <c r="M596" s="62"/>
      <c r="N596" s="62"/>
      <c r="O596" s="59"/>
      <c r="P596" s="59"/>
      <c r="Q596" s="134"/>
    </row>
    <row r="597" ht="22.5" customHeight="1">
      <c r="A597" s="59"/>
      <c r="B597" s="59"/>
      <c r="C597" s="59"/>
      <c r="D597" s="62"/>
      <c r="E597" s="62"/>
      <c r="F597" s="59" t="s">
        <v>18</v>
      </c>
      <c r="G597" s="62"/>
      <c r="H597" s="59" t="s">
        <v>20</v>
      </c>
      <c r="I597" s="62"/>
      <c r="J597" s="63" t="s">
        <v>21</v>
      </c>
      <c r="K597" s="62"/>
      <c r="L597" s="63" t="s">
        <v>22</v>
      </c>
      <c r="M597" s="62"/>
      <c r="N597" s="62"/>
      <c r="O597" s="59"/>
      <c r="P597" s="59"/>
      <c r="Q597" s="134"/>
    </row>
    <row r="598" ht="22.5" customHeight="1">
      <c r="A598" s="59"/>
      <c r="B598" s="59"/>
      <c r="C598" s="59"/>
      <c r="D598" s="62"/>
      <c r="E598" s="62"/>
      <c r="F598" s="59" t="s">
        <v>18</v>
      </c>
      <c r="G598" s="62"/>
      <c r="H598" s="59" t="s">
        <v>20</v>
      </c>
      <c r="I598" s="62"/>
      <c r="J598" s="63" t="s">
        <v>21</v>
      </c>
      <c r="K598" s="62"/>
      <c r="L598" s="63" t="s">
        <v>22</v>
      </c>
      <c r="M598" s="62"/>
      <c r="N598" s="62"/>
      <c r="O598" s="59"/>
      <c r="P598" s="59"/>
      <c r="Q598" s="134"/>
    </row>
    <row r="599" ht="22.5" customHeight="1">
      <c r="A599" s="59"/>
      <c r="B599" s="59"/>
      <c r="C599" s="59"/>
      <c r="D599" s="62"/>
      <c r="E599" s="62"/>
      <c r="F599" s="59" t="s">
        <v>18</v>
      </c>
      <c r="G599" s="62"/>
      <c r="H599" s="59" t="s">
        <v>20</v>
      </c>
      <c r="I599" s="62"/>
      <c r="J599" s="63" t="s">
        <v>21</v>
      </c>
      <c r="K599" s="62"/>
      <c r="L599" s="63" t="s">
        <v>22</v>
      </c>
      <c r="M599" s="62"/>
      <c r="N599" s="62"/>
      <c r="O599" s="59"/>
      <c r="P599" s="59"/>
      <c r="Q599" s="134"/>
    </row>
    <row r="600" ht="22.5" customHeight="1">
      <c r="A600" s="59"/>
      <c r="B600" s="59"/>
      <c r="C600" s="59"/>
      <c r="D600" s="62"/>
      <c r="E600" s="62"/>
      <c r="F600" s="59" t="s">
        <v>18</v>
      </c>
      <c r="G600" s="62"/>
      <c r="H600" s="59" t="s">
        <v>20</v>
      </c>
      <c r="I600" s="62"/>
      <c r="J600" s="63" t="s">
        <v>21</v>
      </c>
      <c r="K600" s="62"/>
      <c r="L600" s="63" t="s">
        <v>22</v>
      </c>
      <c r="M600" s="62"/>
      <c r="N600" s="62"/>
      <c r="O600" s="59"/>
      <c r="P600" s="59"/>
      <c r="Q600" s="134"/>
    </row>
    <row r="601" ht="22.5" customHeight="1">
      <c r="A601" s="59"/>
      <c r="B601" s="59"/>
      <c r="C601" s="59"/>
      <c r="D601" s="62"/>
      <c r="E601" s="62"/>
      <c r="F601" s="59" t="s">
        <v>18</v>
      </c>
      <c r="G601" s="62"/>
      <c r="H601" s="59" t="s">
        <v>20</v>
      </c>
      <c r="I601" s="62"/>
      <c r="J601" s="63" t="s">
        <v>21</v>
      </c>
      <c r="K601" s="62"/>
      <c r="L601" s="63" t="s">
        <v>22</v>
      </c>
      <c r="M601" s="62"/>
      <c r="N601" s="62"/>
      <c r="O601" s="59"/>
      <c r="P601" s="59"/>
      <c r="Q601" s="134"/>
    </row>
    <row r="602" ht="22.5" customHeight="1">
      <c r="A602" s="59"/>
      <c r="B602" s="59"/>
      <c r="C602" s="59"/>
      <c r="D602" s="62"/>
      <c r="E602" s="62"/>
      <c r="F602" s="59" t="s">
        <v>18</v>
      </c>
      <c r="G602" s="62"/>
      <c r="H602" s="59" t="s">
        <v>20</v>
      </c>
      <c r="I602" s="62"/>
      <c r="J602" s="63" t="s">
        <v>21</v>
      </c>
      <c r="K602" s="62"/>
      <c r="L602" s="63" t="s">
        <v>22</v>
      </c>
      <c r="M602" s="62"/>
      <c r="N602" s="62"/>
      <c r="O602" s="59"/>
      <c r="P602" s="59"/>
      <c r="Q602" s="134"/>
    </row>
    <row r="603" ht="22.5" customHeight="1">
      <c r="A603" s="59"/>
      <c r="B603" s="59"/>
      <c r="C603" s="59"/>
      <c r="D603" s="62"/>
      <c r="E603" s="62"/>
      <c r="F603" s="59" t="s">
        <v>18</v>
      </c>
      <c r="G603" s="62"/>
      <c r="H603" s="59" t="s">
        <v>20</v>
      </c>
      <c r="I603" s="62"/>
      <c r="J603" s="63" t="s">
        <v>21</v>
      </c>
      <c r="K603" s="62"/>
      <c r="L603" s="63" t="s">
        <v>22</v>
      </c>
      <c r="M603" s="62"/>
      <c r="N603" s="62"/>
      <c r="O603" s="59"/>
      <c r="P603" s="59"/>
      <c r="Q603" s="134"/>
    </row>
    <row r="604" ht="22.5" customHeight="1">
      <c r="A604" s="59"/>
      <c r="B604" s="59"/>
      <c r="C604" s="59"/>
      <c r="D604" s="62"/>
      <c r="E604" s="62"/>
      <c r="F604" s="59" t="s">
        <v>18</v>
      </c>
      <c r="G604" s="62"/>
      <c r="H604" s="59" t="s">
        <v>20</v>
      </c>
      <c r="I604" s="62"/>
      <c r="J604" s="63" t="s">
        <v>21</v>
      </c>
      <c r="K604" s="62"/>
      <c r="L604" s="63" t="s">
        <v>22</v>
      </c>
      <c r="M604" s="62"/>
      <c r="N604" s="62"/>
      <c r="O604" s="59"/>
      <c r="P604" s="59"/>
      <c r="Q604" s="134"/>
    </row>
    <row r="605" ht="22.5" customHeight="1">
      <c r="A605" s="59"/>
      <c r="B605" s="59"/>
      <c r="C605" s="59"/>
      <c r="D605" s="62"/>
      <c r="E605" s="62"/>
      <c r="F605" s="59" t="s">
        <v>18</v>
      </c>
      <c r="G605" s="62"/>
      <c r="H605" s="59" t="s">
        <v>20</v>
      </c>
      <c r="I605" s="62"/>
      <c r="J605" s="63" t="s">
        <v>21</v>
      </c>
      <c r="K605" s="62"/>
      <c r="L605" s="63" t="s">
        <v>22</v>
      </c>
      <c r="M605" s="62"/>
      <c r="N605" s="62"/>
      <c r="O605" s="59"/>
      <c r="P605" s="59"/>
      <c r="Q605" s="134"/>
    </row>
    <row r="606" ht="22.5" customHeight="1">
      <c r="A606" s="59"/>
      <c r="B606" s="59"/>
      <c r="C606" s="59"/>
      <c r="D606" s="62"/>
      <c r="E606" s="62"/>
      <c r="F606" s="59" t="s">
        <v>18</v>
      </c>
      <c r="G606" s="62"/>
      <c r="H606" s="59" t="s">
        <v>20</v>
      </c>
      <c r="I606" s="62"/>
      <c r="J606" s="63" t="s">
        <v>21</v>
      </c>
      <c r="K606" s="62"/>
      <c r="L606" s="63" t="s">
        <v>22</v>
      </c>
      <c r="M606" s="62"/>
      <c r="N606" s="62"/>
      <c r="O606" s="59"/>
      <c r="P606" s="59"/>
      <c r="Q606" s="134"/>
    </row>
    <row r="607" ht="22.5" customHeight="1">
      <c r="A607" s="59"/>
      <c r="B607" s="59"/>
      <c r="C607" s="59"/>
      <c r="D607" s="62"/>
      <c r="E607" s="62"/>
      <c r="F607" s="59" t="s">
        <v>18</v>
      </c>
      <c r="G607" s="62"/>
      <c r="H607" s="59" t="s">
        <v>20</v>
      </c>
      <c r="I607" s="62"/>
      <c r="J607" s="63" t="s">
        <v>21</v>
      </c>
      <c r="K607" s="62"/>
      <c r="L607" s="63" t="s">
        <v>22</v>
      </c>
      <c r="M607" s="62"/>
      <c r="N607" s="62"/>
      <c r="O607" s="59"/>
      <c r="P607" s="59"/>
      <c r="Q607" s="134"/>
    </row>
    <row r="608" ht="22.5" customHeight="1">
      <c r="A608" s="59"/>
      <c r="B608" s="59"/>
      <c r="C608" s="59"/>
      <c r="D608" s="62"/>
      <c r="E608" s="62"/>
      <c r="F608" s="59" t="s">
        <v>18</v>
      </c>
      <c r="G608" s="62"/>
      <c r="H608" s="59" t="s">
        <v>20</v>
      </c>
      <c r="I608" s="62"/>
      <c r="J608" s="63" t="s">
        <v>21</v>
      </c>
      <c r="K608" s="62"/>
      <c r="L608" s="63" t="s">
        <v>22</v>
      </c>
      <c r="M608" s="62"/>
      <c r="N608" s="62"/>
      <c r="O608" s="59"/>
      <c r="P608" s="59"/>
      <c r="Q608" s="134"/>
    </row>
    <row r="609" ht="22.5" customHeight="1">
      <c r="A609" s="59"/>
      <c r="B609" s="59"/>
      <c r="C609" s="59"/>
      <c r="D609" s="62"/>
      <c r="E609" s="62"/>
      <c r="F609" s="59" t="s">
        <v>18</v>
      </c>
      <c r="G609" s="62"/>
      <c r="H609" s="59" t="s">
        <v>20</v>
      </c>
      <c r="I609" s="62"/>
      <c r="J609" s="63" t="s">
        <v>21</v>
      </c>
      <c r="K609" s="62"/>
      <c r="L609" s="63" t="s">
        <v>22</v>
      </c>
      <c r="M609" s="62"/>
      <c r="N609" s="62"/>
      <c r="O609" s="59"/>
      <c r="P609" s="59"/>
      <c r="Q609" s="134"/>
    </row>
    <row r="610" ht="22.5" customHeight="1">
      <c r="A610" s="59"/>
      <c r="B610" s="59"/>
      <c r="C610" s="59"/>
      <c r="D610" s="62"/>
      <c r="E610" s="62"/>
      <c r="F610" s="59" t="s">
        <v>18</v>
      </c>
      <c r="G610" s="62"/>
      <c r="H610" s="59" t="s">
        <v>20</v>
      </c>
      <c r="I610" s="62"/>
      <c r="J610" s="63" t="s">
        <v>21</v>
      </c>
      <c r="K610" s="62"/>
      <c r="L610" s="63" t="s">
        <v>22</v>
      </c>
      <c r="M610" s="62"/>
      <c r="N610" s="62"/>
      <c r="O610" s="59"/>
      <c r="P610" s="59"/>
      <c r="Q610" s="134"/>
    </row>
    <row r="611" ht="22.5" customHeight="1">
      <c r="A611" s="59"/>
      <c r="B611" s="59"/>
      <c r="C611" s="59"/>
      <c r="D611" s="62"/>
      <c r="E611" s="62"/>
      <c r="F611" s="59" t="s">
        <v>18</v>
      </c>
      <c r="G611" s="62"/>
      <c r="H611" s="59" t="s">
        <v>20</v>
      </c>
      <c r="I611" s="62"/>
      <c r="J611" s="63" t="s">
        <v>21</v>
      </c>
      <c r="K611" s="62"/>
      <c r="L611" s="63" t="s">
        <v>22</v>
      </c>
      <c r="M611" s="62"/>
      <c r="N611" s="62"/>
      <c r="O611" s="59"/>
      <c r="P611" s="59"/>
      <c r="Q611" s="134"/>
    </row>
    <row r="612" ht="22.5" customHeight="1">
      <c r="A612" s="59"/>
      <c r="B612" s="59"/>
      <c r="C612" s="59"/>
      <c r="D612" s="62"/>
      <c r="E612" s="62"/>
      <c r="F612" s="59" t="s">
        <v>18</v>
      </c>
      <c r="G612" s="62"/>
      <c r="H612" s="59" t="s">
        <v>20</v>
      </c>
      <c r="I612" s="62"/>
      <c r="J612" s="63" t="s">
        <v>21</v>
      </c>
      <c r="K612" s="62"/>
      <c r="L612" s="63" t="s">
        <v>22</v>
      </c>
      <c r="M612" s="62"/>
      <c r="N612" s="62"/>
      <c r="O612" s="59"/>
      <c r="P612" s="59"/>
      <c r="Q612" s="134"/>
    </row>
    <row r="613" ht="22.5" customHeight="1">
      <c r="A613" s="59"/>
      <c r="B613" s="59"/>
      <c r="C613" s="59"/>
      <c r="D613" s="62"/>
      <c r="E613" s="62"/>
      <c r="F613" s="59" t="s">
        <v>18</v>
      </c>
      <c r="G613" s="62"/>
      <c r="H613" s="59" t="s">
        <v>20</v>
      </c>
      <c r="I613" s="62"/>
      <c r="J613" s="63" t="s">
        <v>21</v>
      </c>
      <c r="K613" s="62"/>
      <c r="L613" s="63" t="s">
        <v>22</v>
      </c>
      <c r="M613" s="62"/>
      <c r="N613" s="62"/>
      <c r="O613" s="59"/>
      <c r="P613" s="59"/>
      <c r="Q613" s="134"/>
    </row>
    <row r="614" ht="22.5" customHeight="1">
      <c r="A614" s="59"/>
      <c r="B614" s="59"/>
      <c r="C614" s="59"/>
      <c r="D614" s="62"/>
      <c r="E614" s="62"/>
      <c r="F614" s="59" t="s">
        <v>18</v>
      </c>
      <c r="G614" s="62"/>
      <c r="H614" s="59" t="s">
        <v>20</v>
      </c>
      <c r="I614" s="62"/>
      <c r="J614" s="63" t="s">
        <v>21</v>
      </c>
      <c r="K614" s="62"/>
      <c r="L614" s="63" t="s">
        <v>22</v>
      </c>
      <c r="M614" s="62"/>
      <c r="N614" s="62"/>
      <c r="O614" s="59"/>
      <c r="P614" s="59"/>
      <c r="Q614" s="134"/>
    </row>
    <row r="615" ht="22.5" customHeight="1">
      <c r="A615" s="59"/>
      <c r="B615" s="59"/>
      <c r="C615" s="59"/>
      <c r="D615" s="62"/>
      <c r="E615" s="62"/>
      <c r="F615" s="59" t="s">
        <v>18</v>
      </c>
      <c r="G615" s="62"/>
      <c r="H615" s="59" t="s">
        <v>20</v>
      </c>
      <c r="I615" s="62"/>
      <c r="J615" s="63" t="s">
        <v>21</v>
      </c>
      <c r="K615" s="62"/>
      <c r="L615" s="63" t="s">
        <v>22</v>
      </c>
      <c r="M615" s="62"/>
      <c r="N615" s="62"/>
      <c r="O615" s="59"/>
      <c r="P615" s="59"/>
      <c r="Q615" s="134"/>
    </row>
    <row r="616" ht="22.5" customHeight="1">
      <c r="A616" s="59"/>
      <c r="B616" s="59"/>
      <c r="C616" s="59"/>
      <c r="D616" s="62"/>
      <c r="E616" s="62"/>
      <c r="F616" s="59" t="s">
        <v>18</v>
      </c>
      <c r="G616" s="62"/>
      <c r="H616" s="59" t="s">
        <v>20</v>
      </c>
      <c r="I616" s="62"/>
      <c r="J616" s="63" t="s">
        <v>21</v>
      </c>
      <c r="K616" s="62"/>
      <c r="L616" s="63" t="s">
        <v>22</v>
      </c>
      <c r="M616" s="62"/>
      <c r="N616" s="62"/>
      <c r="O616" s="59"/>
      <c r="P616" s="59"/>
      <c r="Q616" s="134"/>
    </row>
    <row r="617" ht="22.5" customHeight="1">
      <c r="A617" s="59"/>
      <c r="B617" s="59"/>
      <c r="C617" s="59"/>
      <c r="D617" s="62"/>
      <c r="E617" s="62"/>
      <c r="F617" s="59" t="s">
        <v>18</v>
      </c>
      <c r="G617" s="62"/>
      <c r="H617" s="59" t="s">
        <v>20</v>
      </c>
      <c r="I617" s="62"/>
      <c r="J617" s="63" t="s">
        <v>21</v>
      </c>
      <c r="K617" s="62"/>
      <c r="L617" s="63" t="s">
        <v>22</v>
      </c>
      <c r="M617" s="62"/>
      <c r="N617" s="62"/>
      <c r="O617" s="59"/>
      <c r="P617" s="59"/>
      <c r="Q617" s="134"/>
    </row>
    <row r="618" ht="22.5" customHeight="1">
      <c r="A618" s="59"/>
      <c r="B618" s="59"/>
      <c r="C618" s="59"/>
      <c r="D618" s="62"/>
      <c r="E618" s="62"/>
      <c r="F618" s="59" t="s">
        <v>18</v>
      </c>
      <c r="G618" s="62"/>
      <c r="H618" s="59" t="s">
        <v>20</v>
      </c>
      <c r="I618" s="62"/>
      <c r="J618" s="63" t="s">
        <v>21</v>
      </c>
      <c r="K618" s="62"/>
      <c r="L618" s="63" t="s">
        <v>22</v>
      </c>
      <c r="M618" s="62"/>
      <c r="N618" s="62"/>
      <c r="O618" s="59"/>
      <c r="P618" s="59"/>
      <c r="Q618" s="134"/>
    </row>
    <row r="619" ht="22.5" customHeight="1">
      <c r="A619" s="59"/>
      <c r="B619" s="59"/>
      <c r="C619" s="59"/>
      <c r="D619" s="62"/>
      <c r="E619" s="62"/>
      <c r="F619" s="59" t="s">
        <v>18</v>
      </c>
      <c r="G619" s="62"/>
      <c r="H619" s="59" t="s">
        <v>20</v>
      </c>
      <c r="I619" s="62"/>
      <c r="J619" s="63" t="s">
        <v>21</v>
      </c>
      <c r="K619" s="62"/>
      <c r="L619" s="63" t="s">
        <v>22</v>
      </c>
      <c r="M619" s="62"/>
      <c r="N619" s="62"/>
      <c r="O619" s="59"/>
      <c r="P619" s="59"/>
      <c r="Q619" s="134"/>
    </row>
    <row r="620" ht="22.5" customHeight="1">
      <c r="A620" s="59"/>
      <c r="B620" s="59"/>
      <c r="C620" s="59"/>
      <c r="D620" s="62"/>
      <c r="E620" s="62"/>
      <c r="F620" s="59" t="s">
        <v>18</v>
      </c>
      <c r="G620" s="62"/>
      <c r="H620" s="59" t="s">
        <v>20</v>
      </c>
      <c r="I620" s="62"/>
      <c r="J620" s="63" t="s">
        <v>21</v>
      </c>
      <c r="K620" s="62"/>
      <c r="L620" s="63" t="s">
        <v>22</v>
      </c>
      <c r="M620" s="62"/>
      <c r="N620" s="62"/>
      <c r="O620" s="59"/>
      <c r="P620" s="59"/>
      <c r="Q620" s="134"/>
    </row>
    <row r="621" ht="22.5" customHeight="1">
      <c r="A621" s="59"/>
      <c r="B621" s="59"/>
      <c r="C621" s="59"/>
      <c r="D621" s="62"/>
      <c r="E621" s="62"/>
      <c r="F621" s="59" t="s">
        <v>18</v>
      </c>
      <c r="G621" s="62"/>
      <c r="H621" s="59" t="s">
        <v>20</v>
      </c>
      <c r="I621" s="62"/>
      <c r="J621" s="63" t="s">
        <v>21</v>
      </c>
      <c r="K621" s="62"/>
      <c r="L621" s="63" t="s">
        <v>22</v>
      </c>
      <c r="M621" s="62"/>
      <c r="N621" s="62"/>
      <c r="O621" s="59"/>
      <c r="P621" s="59"/>
      <c r="Q621" s="134"/>
    </row>
    <row r="622" ht="22.5" customHeight="1">
      <c r="A622" s="59"/>
      <c r="B622" s="59"/>
      <c r="C622" s="59"/>
      <c r="D622" s="62"/>
      <c r="E622" s="62"/>
      <c r="F622" s="59" t="s">
        <v>18</v>
      </c>
      <c r="G622" s="62"/>
      <c r="H622" s="59" t="s">
        <v>20</v>
      </c>
      <c r="I622" s="62"/>
      <c r="J622" s="63" t="s">
        <v>21</v>
      </c>
      <c r="K622" s="62"/>
      <c r="L622" s="63" t="s">
        <v>22</v>
      </c>
      <c r="M622" s="62"/>
      <c r="N622" s="62"/>
      <c r="O622" s="59"/>
      <c r="P622" s="59"/>
      <c r="Q622" s="134"/>
    </row>
    <row r="623" ht="22.5" customHeight="1">
      <c r="A623" s="59"/>
      <c r="B623" s="59"/>
      <c r="C623" s="59"/>
      <c r="D623" s="62"/>
      <c r="E623" s="62"/>
      <c r="F623" s="59" t="s">
        <v>18</v>
      </c>
      <c r="G623" s="62"/>
      <c r="H623" s="59" t="s">
        <v>20</v>
      </c>
      <c r="I623" s="62"/>
      <c r="J623" s="63" t="s">
        <v>21</v>
      </c>
      <c r="K623" s="62"/>
      <c r="L623" s="63" t="s">
        <v>22</v>
      </c>
      <c r="M623" s="62"/>
      <c r="N623" s="62"/>
      <c r="O623" s="59"/>
      <c r="P623" s="59"/>
      <c r="Q623" s="134"/>
    </row>
    <row r="624" ht="22.5" customHeight="1">
      <c r="A624" s="59"/>
      <c r="B624" s="59"/>
      <c r="C624" s="59"/>
      <c r="D624" s="62"/>
      <c r="E624" s="62"/>
      <c r="F624" s="59" t="s">
        <v>18</v>
      </c>
      <c r="G624" s="62"/>
      <c r="H624" s="59" t="s">
        <v>20</v>
      </c>
      <c r="I624" s="62"/>
      <c r="J624" s="63" t="s">
        <v>21</v>
      </c>
      <c r="K624" s="62"/>
      <c r="L624" s="63" t="s">
        <v>22</v>
      </c>
      <c r="M624" s="62"/>
      <c r="N624" s="62"/>
      <c r="O624" s="59"/>
      <c r="P624" s="59"/>
      <c r="Q624" s="134"/>
    </row>
    <row r="625" ht="22.5" customHeight="1">
      <c r="A625" s="59"/>
      <c r="B625" s="59"/>
      <c r="C625" s="59"/>
      <c r="D625" s="62"/>
      <c r="E625" s="62"/>
      <c r="F625" s="59" t="s">
        <v>18</v>
      </c>
      <c r="G625" s="62"/>
      <c r="H625" s="59" t="s">
        <v>20</v>
      </c>
      <c r="I625" s="62"/>
      <c r="J625" s="63" t="s">
        <v>21</v>
      </c>
      <c r="K625" s="62"/>
      <c r="L625" s="63" t="s">
        <v>22</v>
      </c>
      <c r="M625" s="62"/>
      <c r="N625" s="62"/>
      <c r="O625" s="59"/>
      <c r="P625" s="59"/>
      <c r="Q625" s="134"/>
    </row>
    <row r="626" ht="22.5" customHeight="1">
      <c r="A626" s="59"/>
      <c r="B626" s="59"/>
      <c r="C626" s="59"/>
      <c r="D626" s="62"/>
      <c r="E626" s="62"/>
      <c r="F626" s="59" t="s">
        <v>18</v>
      </c>
      <c r="G626" s="62"/>
      <c r="H626" s="59" t="s">
        <v>20</v>
      </c>
      <c r="I626" s="62"/>
      <c r="J626" s="63" t="s">
        <v>21</v>
      </c>
      <c r="K626" s="62"/>
      <c r="L626" s="63" t="s">
        <v>22</v>
      </c>
      <c r="M626" s="62"/>
      <c r="N626" s="62"/>
      <c r="O626" s="59"/>
      <c r="P626" s="59"/>
      <c r="Q626" s="134"/>
    </row>
    <row r="627" ht="22.5" customHeight="1">
      <c r="A627" s="59"/>
      <c r="B627" s="59"/>
      <c r="C627" s="59"/>
      <c r="D627" s="62"/>
      <c r="E627" s="62"/>
      <c r="F627" s="59" t="s">
        <v>18</v>
      </c>
      <c r="G627" s="62"/>
      <c r="H627" s="59" t="s">
        <v>20</v>
      </c>
      <c r="I627" s="62"/>
      <c r="J627" s="63" t="s">
        <v>21</v>
      </c>
      <c r="K627" s="62"/>
      <c r="L627" s="63" t="s">
        <v>22</v>
      </c>
      <c r="M627" s="62"/>
      <c r="N627" s="62"/>
      <c r="O627" s="59"/>
      <c r="P627" s="59"/>
      <c r="Q627" s="134"/>
    </row>
    <row r="628" ht="22.5" customHeight="1">
      <c r="A628" s="59"/>
      <c r="B628" s="59"/>
      <c r="C628" s="59"/>
      <c r="D628" s="62"/>
      <c r="E628" s="62"/>
      <c r="F628" s="59" t="s">
        <v>18</v>
      </c>
      <c r="G628" s="62"/>
      <c r="H628" s="59" t="s">
        <v>20</v>
      </c>
      <c r="I628" s="62"/>
      <c r="J628" s="63" t="s">
        <v>21</v>
      </c>
      <c r="K628" s="62"/>
      <c r="L628" s="63" t="s">
        <v>22</v>
      </c>
      <c r="M628" s="62"/>
      <c r="N628" s="62"/>
      <c r="O628" s="59"/>
      <c r="P628" s="59"/>
      <c r="Q628" s="134"/>
    </row>
    <row r="629" ht="22.5" customHeight="1">
      <c r="A629" s="59"/>
      <c r="B629" s="59"/>
      <c r="C629" s="59"/>
      <c r="D629" s="62"/>
      <c r="E629" s="62"/>
      <c r="F629" s="59" t="s">
        <v>18</v>
      </c>
      <c r="G629" s="62"/>
      <c r="H629" s="59" t="s">
        <v>20</v>
      </c>
      <c r="I629" s="62"/>
      <c r="J629" s="63" t="s">
        <v>21</v>
      </c>
      <c r="K629" s="62"/>
      <c r="L629" s="63" t="s">
        <v>22</v>
      </c>
      <c r="M629" s="62"/>
      <c r="N629" s="62"/>
      <c r="O629" s="59"/>
      <c r="P629" s="59"/>
      <c r="Q629" s="134"/>
    </row>
    <row r="630" ht="22.5" customHeight="1">
      <c r="A630" s="59"/>
      <c r="B630" s="59"/>
      <c r="C630" s="59"/>
      <c r="D630" s="62"/>
      <c r="E630" s="62"/>
      <c r="F630" s="59" t="s">
        <v>18</v>
      </c>
      <c r="G630" s="62"/>
      <c r="H630" s="59" t="s">
        <v>20</v>
      </c>
      <c r="I630" s="62"/>
      <c r="J630" s="63" t="s">
        <v>21</v>
      </c>
      <c r="K630" s="62"/>
      <c r="L630" s="63" t="s">
        <v>22</v>
      </c>
      <c r="M630" s="62"/>
      <c r="N630" s="62"/>
      <c r="O630" s="59"/>
      <c r="P630" s="59"/>
      <c r="Q630" s="134"/>
    </row>
    <row r="631" ht="22.5" customHeight="1">
      <c r="A631" s="59"/>
      <c r="B631" s="59"/>
      <c r="C631" s="59"/>
      <c r="D631" s="62"/>
      <c r="E631" s="62"/>
      <c r="F631" s="59" t="s">
        <v>18</v>
      </c>
      <c r="G631" s="62"/>
      <c r="H631" s="59" t="s">
        <v>20</v>
      </c>
      <c r="I631" s="62"/>
      <c r="J631" s="63" t="s">
        <v>21</v>
      </c>
      <c r="K631" s="62"/>
      <c r="L631" s="63" t="s">
        <v>22</v>
      </c>
      <c r="M631" s="62"/>
      <c r="N631" s="62"/>
      <c r="O631" s="59"/>
      <c r="P631" s="59"/>
      <c r="Q631" s="134"/>
    </row>
    <row r="632" ht="22.5" customHeight="1">
      <c r="A632" s="59"/>
      <c r="B632" s="59"/>
      <c r="C632" s="59"/>
      <c r="D632" s="62"/>
      <c r="E632" s="62"/>
      <c r="F632" s="59" t="s">
        <v>18</v>
      </c>
      <c r="G632" s="62"/>
      <c r="H632" s="59" t="s">
        <v>20</v>
      </c>
      <c r="I632" s="62"/>
      <c r="J632" s="63" t="s">
        <v>21</v>
      </c>
      <c r="K632" s="62"/>
      <c r="L632" s="63" t="s">
        <v>22</v>
      </c>
      <c r="M632" s="62"/>
      <c r="N632" s="62"/>
      <c r="O632" s="59"/>
      <c r="P632" s="59"/>
      <c r="Q632" s="134"/>
    </row>
    <row r="633" ht="22.5" customHeight="1">
      <c r="A633" s="59"/>
      <c r="B633" s="59"/>
      <c r="C633" s="59"/>
      <c r="D633" s="62"/>
      <c r="E633" s="62"/>
      <c r="F633" s="59" t="s">
        <v>18</v>
      </c>
      <c r="G633" s="62"/>
      <c r="H633" s="59" t="s">
        <v>20</v>
      </c>
      <c r="I633" s="62"/>
      <c r="J633" s="63" t="s">
        <v>21</v>
      </c>
      <c r="K633" s="62"/>
      <c r="L633" s="63" t="s">
        <v>22</v>
      </c>
      <c r="M633" s="62"/>
      <c r="N633" s="62"/>
      <c r="O633" s="59"/>
      <c r="P633" s="59"/>
      <c r="Q633" s="134"/>
    </row>
    <row r="634" ht="22.5" customHeight="1">
      <c r="A634" s="59"/>
      <c r="B634" s="59"/>
      <c r="C634" s="59"/>
      <c r="D634" s="62"/>
      <c r="E634" s="62"/>
      <c r="F634" s="59" t="s">
        <v>18</v>
      </c>
      <c r="G634" s="62"/>
      <c r="H634" s="59" t="s">
        <v>20</v>
      </c>
      <c r="I634" s="62"/>
      <c r="J634" s="63" t="s">
        <v>21</v>
      </c>
      <c r="K634" s="62"/>
      <c r="L634" s="63" t="s">
        <v>22</v>
      </c>
      <c r="M634" s="62"/>
      <c r="N634" s="62"/>
      <c r="O634" s="59"/>
      <c r="P634" s="59"/>
      <c r="Q634" s="134"/>
    </row>
    <row r="635" ht="22.5" customHeight="1">
      <c r="A635" s="59"/>
      <c r="B635" s="59"/>
      <c r="C635" s="59"/>
      <c r="D635" s="62"/>
      <c r="E635" s="62"/>
      <c r="F635" s="59" t="s">
        <v>18</v>
      </c>
      <c r="G635" s="62"/>
      <c r="H635" s="59" t="s">
        <v>20</v>
      </c>
      <c r="I635" s="62"/>
      <c r="J635" s="63" t="s">
        <v>21</v>
      </c>
      <c r="K635" s="62"/>
      <c r="L635" s="63" t="s">
        <v>22</v>
      </c>
      <c r="M635" s="62"/>
      <c r="N635" s="62"/>
      <c r="O635" s="59"/>
      <c r="P635" s="59"/>
      <c r="Q635" s="134"/>
    </row>
    <row r="636" ht="22.5" customHeight="1">
      <c r="A636" s="59"/>
      <c r="B636" s="59"/>
      <c r="C636" s="59"/>
      <c r="D636" s="62"/>
      <c r="E636" s="62"/>
      <c r="F636" s="59" t="s">
        <v>18</v>
      </c>
      <c r="G636" s="62"/>
      <c r="H636" s="59" t="s">
        <v>20</v>
      </c>
      <c r="I636" s="62"/>
      <c r="J636" s="63" t="s">
        <v>21</v>
      </c>
      <c r="K636" s="62"/>
      <c r="L636" s="63" t="s">
        <v>22</v>
      </c>
      <c r="M636" s="62"/>
      <c r="N636" s="62"/>
      <c r="O636" s="59"/>
      <c r="P636" s="59"/>
      <c r="Q636" s="134"/>
    </row>
    <row r="637" ht="22.5" customHeight="1">
      <c r="A637" s="59"/>
      <c r="B637" s="59"/>
      <c r="C637" s="59"/>
      <c r="D637" s="62"/>
      <c r="E637" s="62"/>
      <c r="F637" s="59" t="s">
        <v>18</v>
      </c>
      <c r="G637" s="62"/>
      <c r="H637" s="59" t="s">
        <v>20</v>
      </c>
      <c r="I637" s="62"/>
      <c r="J637" s="63" t="s">
        <v>21</v>
      </c>
      <c r="K637" s="62"/>
      <c r="L637" s="63" t="s">
        <v>22</v>
      </c>
      <c r="M637" s="62"/>
      <c r="N637" s="62"/>
      <c r="O637" s="59"/>
      <c r="P637" s="59"/>
      <c r="Q637" s="134"/>
    </row>
    <row r="638" ht="22.5" customHeight="1">
      <c r="A638" s="59"/>
      <c r="B638" s="59"/>
      <c r="C638" s="59"/>
      <c r="D638" s="62"/>
      <c r="E638" s="62"/>
      <c r="F638" s="59" t="s">
        <v>18</v>
      </c>
      <c r="G638" s="62"/>
      <c r="H638" s="59" t="s">
        <v>20</v>
      </c>
      <c r="I638" s="62"/>
      <c r="J638" s="63" t="s">
        <v>21</v>
      </c>
      <c r="K638" s="62"/>
      <c r="L638" s="63" t="s">
        <v>22</v>
      </c>
      <c r="M638" s="62"/>
      <c r="N638" s="62"/>
      <c r="O638" s="59"/>
      <c r="P638" s="59"/>
      <c r="Q638" s="134"/>
    </row>
    <row r="639" ht="22.5" customHeight="1">
      <c r="A639" s="59"/>
      <c r="B639" s="59"/>
      <c r="C639" s="59"/>
      <c r="D639" s="62"/>
      <c r="E639" s="62"/>
      <c r="F639" s="59" t="s">
        <v>18</v>
      </c>
      <c r="G639" s="62"/>
      <c r="H639" s="59" t="s">
        <v>20</v>
      </c>
      <c r="I639" s="62"/>
      <c r="J639" s="63" t="s">
        <v>21</v>
      </c>
      <c r="K639" s="62"/>
      <c r="L639" s="63" t="s">
        <v>22</v>
      </c>
      <c r="M639" s="62"/>
      <c r="N639" s="62"/>
      <c r="O639" s="59"/>
      <c r="P639" s="59"/>
      <c r="Q639" s="134"/>
    </row>
    <row r="640" ht="22.5" customHeight="1">
      <c r="A640" s="59"/>
      <c r="B640" s="59"/>
      <c r="C640" s="59"/>
      <c r="D640" s="62"/>
      <c r="E640" s="62"/>
      <c r="F640" s="59" t="s">
        <v>18</v>
      </c>
      <c r="G640" s="62"/>
      <c r="H640" s="59" t="s">
        <v>20</v>
      </c>
      <c r="I640" s="62"/>
      <c r="J640" s="63" t="s">
        <v>21</v>
      </c>
      <c r="K640" s="62"/>
      <c r="L640" s="63" t="s">
        <v>22</v>
      </c>
      <c r="M640" s="62"/>
      <c r="N640" s="62"/>
      <c r="O640" s="59"/>
      <c r="P640" s="59"/>
      <c r="Q640" s="134"/>
    </row>
    <row r="641" ht="22.5" customHeight="1">
      <c r="A641" s="59"/>
      <c r="B641" s="59"/>
      <c r="C641" s="59"/>
      <c r="D641" s="62"/>
      <c r="E641" s="62"/>
      <c r="F641" s="59" t="s">
        <v>18</v>
      </c>
      <c r="G641" s="62"/>
      <c r="H641" s="59" t="s">
        <v>20</v>
      </c>
      <c r="I641" s="62"/>
      <c r="J641" s="63" t="s">
        <v>21</v>
      </c>
      <c r="K641" s="62"/>
      <c r="L641" s="63" t="s">
        <v>22</v>
      </c>
      <c r="M641" s="62"/>
      <c r="N641" s="62"/>
      <c r="O641" s="59"/>
      <c r="P641" s="59"/>
      <c r="Q641" s="134"/>
    </row>
    <row r="642" ht="22.5" customHeight="1">
      <c r="A642" s="59"/>
      <c r="B642" s="59"/>
      <c r="C642" s="59"/>
      <c r="D642" s="62"/>
      <c r="E642" s="62"/>
      <c r="F642" s="59" t="s">
        <v>18</v>
      </c>
      <c r="G642" s="62"/>
      <c r="H642" s="59" t="s">
        <v>20</v>
      </c>
      <c r="I642" s="62"/>
      <c r="J642" s="63" t="s">
        <v>21</v>
      </c>
      <c r="K642" s="62"/>
      <c r="L642" s="63" t="s">
        <v>22</v>
      </c>
      <c r="M642" s="62"/>
      <c r="N642" s="62"/>
      <c r="O642" s="59"/>
      <c r="P642" s="59"/>
      <c r="Q642" s="134"/>
    </row>
    <row r="643" ht="22.5" customHeight="1">
      <c r="A643" s="59"/>
      <c r="B643" s="59"/>
      <c r="C643" s="59"/>
      <c r="D643" s="62"/>
      <c r="E643" s="62"/>
      <c r="F643" s="59" t="s">
        <v>18</v>
      </c>
      <c r="G643" s="62"/>
      <c r="H643" s="59" t="s">
        <v>20</v>
      </c>
      <c r="I643" s="62"/>
      <c r="J643" s="63" t="s">
        <v>21</v>
      </c>
      <c r="K643" s="62"/>
      <c r="L643" s="63" t="s">
        <v>22</v>
      </c>
      <c r="M643" s="62"/>
      <c r="N643" s="62"/>
      <c r="O643" s="59"/>
      <c r="P643" s="59"/>
      <c r="Q643" s="134"/>
    </row>
    <row r="644" ht="22.5" customHeight="1">
      <c r="A644" s="59"/>
      <c r="B644" s="59"/>
      <c r="C644" s="59"/>
      <c r="D644" s="62"/>
      <c r="E644" s="62"/>
      <c r="F644" s="59" t="s">
        <v>18</v>
      </c>
      <c r="G644" s="62"/>
      <c r="H644" s="59" t="s">
        <v>20</v>
      </c>
      <c r="I644" s="62"/>
      <c r="J644" s="63" t="s">
        <v>21</v>
      </c>
      <c r="K644" s="62"/>
      <c r="L644" s="63" t="s">
        <v>22</v>
      </c>
      <c r="M644" s="62"/>
      <c r="N644" s="62"/>
      <c r="O644" s="59"/>
      <c r="P644" s="59"/>
      <c r="Q644" s="134"/>
    </row>
    <row r="645" ht="22.5" customHeight="1">
      <c r="A645" s="59"/>
      <c r="B645" s="59"/>
      <c r="C645" s="59"/>
      <c r="D645" s="62"/>
      <c r="E645" s="62"/>
      <c r="F645" s="59" t="s">
        <v>18</v>
      </c>
      <c r="G645" s="62"/>
      <c r="H645" s="59" t="s">
        <v>20</v>
      </c>
      <c r="I645" s="62"/>
      <c r="J645" s="63" t="s">
        <v>21</v>
      </c>
      <c r="K645" s="62"/>
      <c r="L645" s="63" t="s">
        <v>22</v>
      </c>
      <c r="M645" s="62"/>
      <c r="N645" s="62"/>
      <c r="O645" s="59"/>
      <c r="P645" s="59"/>
      <c r="Q645" s="134"/>
    </row>
    <row r="646" ht="22.5" customHeight="1">
      <c r="A646" s="59"/>
      <c r="B646" s="59"/>
      <c r="C646" s="59"/>
      <c r="D646" s="62"/>
      <c r="E646" s="62"/>
      <c r="F646" s="59" t="s">
        <v>18</v>
      </c>
      <c r="G646" s="62"/>
      <c r="H646" s="59" t="s">
        <v>20</v>
      </c>
      <c r="I646" s="62"/>
      <c r="J646" s="63" t="s">
        <v>21</v>
      </c>
      <c r="K646" s="62"/>
      <c r="L646" s="63" t="s">
        <v>22</v>
      </c>
      <c r="M646" s="62"/>
      <c r="N646" s="62"/>
      <c r="O646" s="59"/>
      <c r="P646" s="59"/>
      <c r="Q646" s="134"/>
    </row>
    <row r="647" ht="22.5" customHeight="1">
      <c r="A647" s="59"/>
      <c r="B647" s="59"/>
      <c r="C647" s="59"/>
      <c r="D647" s="62"/>
      <c r="E647" s="62"/>
      <c r="F647" s="59" t="s">
        <v>18</v>
      </c>
      <c r="G647" s="62"/>
      <c r="H647" s="59" t="s">
        <v>20</v>
      </c>
      <c r="I647" s="62"/>
      <c r="J647" s="63" t="s">
        <v>21</v>
      </c>
      <c r="K647" s="62"/>
      <c r="L647" s="63" t="s">
        <v>22</v>
      </c>
      <c r="M647" s="62"/>
      <c r="N647" s="62"/>
      <c r="O647" s="59"/>
      <c r="P647" s="59"/>
      <c r="Q647" s="134"/>
    </row>
    <row r="648" ht="22.5" customHeight="1">
      <c r="A648" s="59"/>
      <c r="B648" s="59"/>
      <c r="C648" s="59"/>
      <c r="D648" s="62"/>
      <c r="E648" s="62"/>
      <c r="F648" s="59" t="s">
        <v>18</v>
      </c>
      <c r="G648" s="62"/>
      <c r="H648" s="59" t="s">
        <v>20</v>
      </c>
      <c r="I648" s="62"/>
      <c r="J648" s="63" t="s">
        <v>21</v>
      </c>
      <c r="K648" s="62"/>
      <c r="L648" s="63" t="s">
        <v>22</v>
      </c>
      <c r="M648" s="62"/>
      <c r="N648" s="62"/>
      <c r="O648" s="59"/>
      <c r="P648" s="59"/>
      <c r="Q648" s="134"/>
    </row>
    <row r="649" ht="22.5" customHeight="1">
      <c r="A649" s="59"/>
      <c r="B649" s="59"/>
      <c r="C649" s="59"/>
      <c r="D649" s="62"/>
      <c r="E649" s="62"/>
      <c r="F649" s="59" t="s">
        <v>18</v>
      </c>
      <c r="G649" s="62"/>
      <c r="H649" s="59" t="s">
        <v>20</v>
      </c>
      <c r="I649" s="62"/>
      <c r="J649" s="63" t="s">
        <v>21</v>
      </c>
      <c r="K649" s="62"/>
      <c r="L649" s="63" t="s">
        <v>22</v>
      </c>
      <c r="M649" s="62"/>
      <c r="N649" s="62"/>
      <c r="O649" s="59"/>
      <c r="P649" s="59"/>
      <c r="Q649" s="134"/>
    </row>
    <row r="650" ht="22.5" customHeight="1">
      <c r="A650" s="59"/>
      <c r="B650" s="59"/>
      <c r="C650" s="59"/>
      <c r="D650" s="62"/>
      <c r="E650" s="62"/>
      <c r="F650" s="59" t="s">
        <v>18</v>
      </c>
      <c r="G650" s="62"/>
      <c r="H650" s="59" t="s">
        <v>20</v>
      </c>
      <c r="I650" s="62"/>
      <c r="J650" s="63" t="s">
        <v>21</v>
      </c>
      <c r="K650" s="62"/>
      <c r="L650" s="63" t="s">
        <v>22</v>
      </c>
      <c r="M650" s="62"/>
      <c r="N650" s="62"/>
      <c r="O650" s="59"/>
      <c r="P650" s="59"/>
      <c r="Q650" s="134"/>
    </row>
    <row r="651" ht="22.5" customHeight="1">
      <c r="A651" s="59"/>
      <c r="B651" s="59"/>
      <c r="C651" s="59"/>
      <c r="D651" s="62"/>
      <c r="E651" s="62"/>
      <c r="F651" s="59" t="s">
        <v>18</v>
      </c>
      <c r="G651" s="62"/>
      <c r="H651" s="59" t="s">
        <v>20</v>
      </c>
      <c r="I651" s="62"/>
      <c r="J651" s="63" t="s">
        <v>21</v>
      </c>
      <c r="K651" s="62"/>
      <c r="L651" s="63" t="s">
        <v>22</v>
      </c>
      <c r="M651" s="62"/>
      <c r="N651" s="62"/>
      <c r="O651" s="59"/>
      <c r="P651" s="59"/>
      <c r="Q651" s="134"/>
    </row>
    <row r="652" ht="22.5" customHeight="1">
      <c r="A652" s="59"/>
      <c r="B652" s="59"/>
      <c r="C652" s="59"/>
      <c r="D652" s="62"/>
      <c r="E652" s="62"/>
      <c r="F652" s="59" t="s">
        <v>18</v>
      </c>
      <c r="G652" s="62"/>
      <c r="H652" s="59" t="s">
        <v>20</v>
      </c>
      <c r="I652" s="62"/>
      <c r="J652" s="63" t="s">
        <v>21</v>
      </c>
      <c r="K652" s="62"/>
      <c r="L652" s="63" t="s">
        <v>22</v>
      </c>
      <c r="M652" s="62"/>
      <c r="N652" s="62"/>
      <c r="O652" s="59"/>
      <c r="P652" s="59"/>
      <c r="Q652" s="134"/>
    </row>
    <row r="653" ht="22.5" customHeight="1">
      <c r="A653" s="59"/>
      <c r="B653" s="59"/>
      <c r="C653" s="59"/>
      <c r="D653" s="62"/>
      <c r="E653" s="62"/>
      <c r="F653" s="59" t="s">
        <v>18</v>
      </c>
      <c r="G653" s="62"/>
      <c r="H653" s="59" t="s">
        <v>20</v>
      </c>
      <c r="I653" s="62"/>
      <c r="J653" s="63" t="s">
        <v>21</v>
      </c>
      <c r="K653" s="62"/>
      <c r="L653" s="63" t="s">
        <v>22</v>
      </c>
      <c r="M653" s="62"/>
      <c r="N653" s="62"/>
      <c r="O653" s="59"/>
      <c r="P653" s="59"/>
      <c r="Q653" s="134"/>
    </row>
    <row r="654" ht="22.5" customHeight="1">
      <c r="A654" s="59"/>
      <c r="B654" s="59"/>
      <c r="C654" s="59"/>
      <c r="D654" s="62"/>
      <c r="E654" s="62"/>
      <c r="F654" s="59" t="s">
        <v>18</v>
      </c>
      <c r="G654" s="62"/>
      <c r="H654" s="59" t="s">
        <v>20</v>
      </c>
      <c r="I654" s="62"/>
      <c r="J654" s="63" t="s">
        <v>21</v>
      </c>
      <c r="K654" s="62"/>
      <c r="L654" s="63" t="s">
        <v>22</v>
      </c>
      <c r="M654" s="62"/>
      <c r="N654" s="62"/>
      <c r="O654" s="59"/>
      <c r="P654" s="59"/>
      <c r="Q654" s="134"/>
    </row>
    <row r="655" ht="22.5" customHeight="1">
      <c r="A655" s="59"/>
      <c r="B655" s="59"/>
      <c r="C655" s="59"/>
      <c r="D655" s="62"/>
      <c r="E655" s="62"/>
      <c r="F655" s="59" t="s">
        <v>18</v>
      </c>
      <c r="G655" s="62"/>
      <c r="H655" s="59" t="s">
        <v>20</v>
      </c>
      <c r="I655" s="62"/>
      <c r="J655" s="63" t="s">
        <v>21</v>
      </c>
      <c r="K655" s="62"/>
      <c r="L655" s="63" t="s">
        <v>22</v>
      </c>
      <c r="M655" s="62"/>
      <c r="N655" s="62"/>
      <c r="O655" s="59"/>
      <c r="P655" s="59"/>
      <c r="Q655" s="134"/>
    </row>
    <row r="656" ht="22.5" customHeight="1">
      <c r="A656" s="59"/>
      <c r="B656" s="59"/>
      <c r="C656" s="59"/>
      <c r="D656" s="62"/>
      <c r="E656" s="62"/>
      <c r="F656" s="59" t="s">
        <v>18</v>
      </c>
      <c r="G656" s="62"/>
      <c r="H656" s="59" t="s">
        <v>20</v>
      </c>
      <c r="I656" s="62"/>
      <c r="J656" s="63" t="s">
        <v>21</v>
      </c>
      <c r="K656" s="62"/>
      <c r="L656" s="63" t="s">
        <v>22</v>
      </c>
      <c r="M656" s="62"/>
      <c r="N656" s="62"/>
      <c r="O656" s="59"/>
      <c r="P656" s="59"/>
      <c r="Q656" s="134"/>
    </row>
    <row r="657" ht="22.5" customHeight="1">
      <c r="A657" s="59"/>
      <c r="B657" s="59"/>
      <c r="C657" s="59"/>
      <c r="D657" s="62"/>
      <c r="E657" s="62"/>
      <c r="F657" s="59" t="s">
        <v>18</v>
      </c>
      <c r="G657" s="62"/>
      <c r="H657" s="59" t="s">
        <v>20</v>
      </c>
      <c r="I657" s="62"/>
      <c r="J657" s="63" t="s">
        <v>21</v>
      </c>
      <c r="K657" s="62"/>
      <c r="L657" s="63" t="s">
        <v>22</v>
      </c>
      <c r="M657" s="62"/>
      <c r="N657" s="62"/>
      <c r="O657" s="59"/>
      <c r="P657" s="59"/>
      <c r="Q657" s="134"/>
    </row>
    <row r="658" ht="22.5" customHeight="1">
      <c r="A658" s="59"/>
      <c r="B658" s="59"/>
      <c r="C658" s="59"/>
      <c r="D658" s="62"/>
      <c r="E658" s="62"/>
      <c r="F658" s="59" t="s">
        <v>18</v>
      </c>
      <c r="G658" s="62"/>
      <c r="H658" s="59" t="s">
        <v>20</v>
      </c>
      <c r="I658" s="62"/>
      <c r="J658" s="63" t="s">
        <v>21</v>
      </c>
      <c r="K658" s="62"/>
      <c r="L658" s="63" t="s">
        <v>22</v>
      </c>
      <c r="M658" s="62"/>
      <c r="N658" s="62"/>
      <c r="O658" s="59"/>
      <c r="P658" s="59"/>
      <c r="Q658" s="134"/>
    </row>
    <row r="659" ht="22.5" customHeight="1">
      <c r="A659" s="59"/>
      <c r="B659" s="59"/>
      <c r="C659" s="59"/>
      <c r="D659" s="62"/>
      <c r="E659" s="62"/>
      <c r="F659" s="59" t="s">
        <v>18</v>
      </c>
      <c r="G659" s="62"/>
      <c r="H659" s="59" t="s">
        <v>20</v>
      </c>
      <c r="I659" s="62"/>
      <c r="J659" s="63" t="s">
        <v>21</v>
      </c>
      <c r="K659" s="62"/>
      <c r="L659" s="63" t="s">
        <v>22</v>
      </c>
      <c r="M659" s="62"/>
      <c r="N659" s="62"/>
      <c r="O659" s="59"/>
      <c r="P659" s="59"/>
      <c r="Q659" s="134"/>
    </row>
    <row r="660" ht="22.5" customHeight="1">
      <c r="A660" s="59"/>
      <c r="B660" s="59"/>
      <c r="C660" s="59"/>
      <c r="D660" s="62"/>
      <c r="E660" s="62"/>
      <c r="F660" s="59" t="s">
        <v>18</v>
      </c>
      <c r="G660" s="62"/>
      <c r="H660" s="59" t="s">
        <v>20</v>
      </c>
      <c r="I660" s="62"/>
      <c r="J660" s="63" t="s">
        <v>21</v>
      </c>
      <c r="K660" s="62"/>
      <c r="L660" s="63" t="s">
        <v>22</v>
      </c>
      <c r="M660" s="62"/>
      <c r="N660" s="62"/>
      <c r="O660" s="59"/>
      <c r="P660" s="59"/>
      <c r="Q660" s="134"/>
    </row>
    <row r="661" ht="22.5" customHeight="1">
      <c r="A661" s="59"/>
      <c r="B661" s="59"/>
      <c r="C661" s="59"/>
      <c r="D661" s="62"/>
      <c r="E661" s="62"/>
      <c r="F661" s="59" t="s">
        <v>18</v>
      </c>
      <c r="G661" s="62"/>
      <c r="H661" s="59" t="s">
        <v>20</v>
      </c>
      <c r="I661" s="62"/>
      <c r="J661" s="63" t="s">
        <v>21</v>
      </c>
      <c r="K661" s="62"/>
      <c r="L661" s="63" t="s">
        <v>22</v>
      </c>
      <c r="M661" s="62"/>
      <c r="N661" s="62"/>
      <c r="O661" s="59"/>
      <c r="P661" s="59"/>
      <c r="Q661" s="134"/>
    </row>
    <row r="662" ht="22.5" customHeight="1">
      <c r="A662" s="59"/>
      <c r="B662" s="59"/>
      <c r="C662" s="59"/>
      <c r="D662" s="62"/>
      <c r="E662" s="62"/>
      <c r="F662" s="59" t="s">
        <v>18</v>
      </c>
      <c r="G662" s="62"/>
      <c r="H662" s="59" t="s">
        <v>20</v>
      </c>
      <c r="I662" s="62"/>
      <c r="J662" s="63" t="s">
        <v>21</v>
      </c>
      <c r="K662" s="62"/>
      <c r="L662" s="63" t="s">
        <v>22</v>
      </c>
      <c r="M662" s="62"/>
      <c r="N662" s="62"/>
      <c r="O662" s="59"/>
      <c r="P662" s="59"/>
      <c r="Q662" s="134"/>
    </row>
    <row r="663" ht="22.5" customHeight="1">
      <c r="A663" s="59"/>
      <c r="B663" s="59"/>
      <c r="C663" s="59"/>
      <c r="D663" s="62"/>
      <c r="E663" s="62"/>
      <c r="F663" s="59" t="s">
        <v>18</v>
      </c>
      <c r="G663" s="62"/>
      <c r="H663" s="59" t="s">
        <v>20</v>
      </c>
      <c r="I663" s="62"/>
      <c r="J663" s="63" t="s">
        <v>21</v>
      </c>
      <c r="K663" s="62"/>
      <c r="L663" s="63" t="s">
        <v>22</v>
      </c>
      <c r="M663" s="62"/>
      <c r="N663" s="62"/>
      <c r="O663" s="59"/>
      <c r="P663" s="59"/>
      <c r="Q663" s="134"/>
    </row>
    <row r="664" ht="22.5" customHeight="1">
      <c r="A664" s="59"/>
      <c r="B664" s="59"/>
      <c r="C664" s="59"/>
      <c r="D664" s="62"/>
      <c r="E664" s="62"/>
      <c r="F664" s="59" t="s">
        <v>18</v>
      </c>
      <c r="G664" s="62"/>
      <c r="H664" s="59" t="s">
        <v>20</v>
      </c>
      <c r="I664" s="62"/>
      <c r="J664" s="63" t="s">
        <v>21</v>
      </c>
      <c r="K664" s="62"/>
      <c r="L664" s="63" t="s">
        <v>22</v>
      </c>
      <c r="M664" s="62"/>
      <c r="N664" s="62"/>
      <c r="O664" s="59"/>
      <c r="P664" s="59"/>
      <c r="Q664" s="134"/>
    </row>
    <row r="665" ht="22.5" customHeight="1">
      <c r="A665" s="59"/>
      <c r="B665" s="59"/>
      <c r="C665" s="59"/>
      <c r="D665" s="62"/>
      <c r="E665" s="62"/>
      <c r="F665" s="59" t="s">
        <v>18</v>
      </c>
      <c r="G665" s="62"/>
      <c r="H665" s="59" t="s">
        <v>20</v>
      </c>
      <c r="I665" s="62"/>
      <c r="J665" s="63" t="s">
        <v>21</v>
      </c>
      <c r="K665" s="62"/>
      <c r="L665" s="63" t="s">
        <v>22</v>
      </c>
      <c r="M665" s="62"/>
      <c r="N665" s="62"/>
      <c r="O665" s="59"/>
      <c r="P665" s="59"/>
      <c r="Q665" s="134"/>
    </row>
    <row r="666" ht="22.5" customHeight="1">
      <c r="A666" s="59"/>
      <c r="B666" s="59"/>
      <c r="C666" s="59"/>
      <c r="D666" s="62"/>
      <c r="E666" s="62"/>
      <c r="F666" s="59" t="s">
        <v>18</v>
      </c>
      <c r="G666" s="62"/>
      <c r="H666" s="59" t="s">
        <v>20</v>
      </c>
      <c r="I666" s="62"/>
      <c r="J666" s="63" t="s">
        <v>21</v>
      </c>
      <c r="K666" s="62"/>
      <c r="L666" s="63" t="s">
        <v>22</v>
      </c>
      <c r="M666" s="62"/>
      <c r="N666" s="62"/>
      <c r="O666" s="59"/>
      <c r="P666" s="59"/>
      <c r="Q666" s="134"/>
    </row>
    <row r="667" ht="22.5" customHeight="1">
      <c r="A667" s="59"/>
      <c r="B667" s="59"/>
      <c r="C667" s="59"/>
      <c r="D667" s="62"/>
      <c r="E667" s="62"/>
      <c r="F667" s="59" t="s">
        <v>18</v>
      </c>
      <c r="G667" s="62"/>
      <c r="H667" s="59" t="s">
        <v>20</v>
      </c>
      <c r="I667" s="62"/>
      <c r="J667" s="63" t="s">
        <v>21</v>
      </c>
      <c r="K667" s="62"/>
      <c r="L667" s="63" t="s">
        <v>22</v>
      </c>
      <c r="M667" s="62"/>
      <c r="N667" s="62"/>
      <c r="O667" s="59"/>
      <c r="P667" s="59"/>
      <c r="Q667" s="134"/>
    </row>
    <row r="668" ht="22.5" customHeight="1">
      <c r="A668" s="59"/>
      <c r="B668" s="59"/>
      <c r="C668" s="59"/>
      <c r="D668" s="62"/>
      <c r="E668" s="62"/>
      <c r="F668" s="59" t="s">
        <v>18</v>
      </c>
      <c r="G668" s="62"/>
      <c r="H668" s="59" t="s">
        <v>20</v>
      </c>
      <c r="I668" s="62"/>
      <c r="J668" s="63" t="s">
        <v>21</v>
      </c>
      <c r="K668" s="62"/>
      <c r="L668" s="63" t="s">
        <v>22</v>
      </c>
      <c r="M668" s="62"/>
      <c r="N668" s="62"/>
      <c r="O668" s="59"/>
      <c r="P668" s="59"/>
      <c r="Q668" s="134"/>
    </row>
    <row r="669" ht="22.5" customHeight="1">
      <c r="A669" s="59"/>
      <c r="B669" s="59"/>
      <c r="C669" s="59"/>
      <c r="D669" s="62"/>
      <c r="E669" s="62"/>
      <c r="F669" s="59" t="s">
        <v>18</v>
      </c>
      <c r="G669" s="62"/>
      <c r="H669" s="59" t="s">
        <v>20</v>
      </c>
      <c r="I669" s="62"/>
      <c r="J669" s="63" t="s">
        <v>21</v>
      </c>
      <c r="K669" s="62"/>
      <c r="L669" s="63" t="s">
        <v>22</v>
      </c>
      <c r="M669" s="62"/>
      <c r="N669" s="62"/>
      <c r="O669" s="59"/>
      <c r="P669" s="59"/>
      <c r="Q669" s="134"/>
    </row>
    <row r="670" ht="22.5" customHeight="1">
      <c r="A670" s="59"/>
      <c r="B670" s="59"/>
      <c r="C670" s="59"/>
      <c r="D670" s="62"/>
      <c r="E670" s="62"/>
      <c r="F670" s="59" t="s">
        <v>18</v>
      </c>
      <c r="G670" s="62"/>
      <c r="H670" s="59" t="s">
        <v>20</v>
      </c>
      <c r="I670" s="62"/>
      <c r="J670" s="63" t="s">
        <v>21</v>
      </c>
      <c r="K670" s="62"/>
      <c r="L670" s="63" t="s">
        <v>22</v>
      </c>
      <c r="M670" s="62"/>
      <c r="N670" s="62"/>
      <c r="O670" s="59"/>
      <c r="P670" s="59"/>
      <c r="Q670" s="134"/>
    </row>
    <row r="671" ht="22.5" customHeight="1">
      <c r="A671" s="59"/>
      <c r="B671" s="59"/>
      <c r="C671" s="59"/>
      <c r="D671" s="62"/>
      <c r="E671" s="62"/>
      <c r="F671" s="59" t="s">
        <v>18</v>
      </c>
      <c r="G671" s="62"/>
      <c r="H671" s="59" t="s">
        <v>20</v>
      </c>
      <c r="I671" s="62"/>
      <c r="J671" s="63" t="s">
        <v>21</v>
      </c>
      <c r="K671" s="62"/>
      <c r="L671" s="63" t="s">
        <v>22</v>
      </c>
      <c r="M671" s="62"/>
      <c r="N671" s="62"/>
      <c r="O671" s="59"/>
      <c r="P671" s="59"/>
      <c r="Q671" s="134"/>
    </row>
    <row r="672" ht="22.5" customHeight="1">
      <c r="A672" s="59"/>
      <c r="B672" s="59"/>
      <c r="C672" s="59"/>
      <c r="D672" s="62"/>
      <c r="E672" s="62"/>
      <c r="F672" s="59" t="s">
        <v>18</v>
      </c>
      <c r="G672" s="62"/>
      <c r="H672" s="59" t="s">
        <v>20</v>
      </c>
      <c r="I672" s="62"/>
      <c r="J672" s="63" t="s">
        <v>21</v>
      </c>
      <c r="K672" s="62"/>
      <c r="L672" s="63" t="s">
        <v>22</v>
      </c>
      <c r="M672" s="62"/>
      <c r="N672" s="62"/>
      <c r="O672" s="59"/>
      <c r="P672" s="59"/>
      <c r="Q672" s="134"/>
    </row>
    <row r="673" ht="22.5" customHeight="1">
      <c r="A673" s="59"/>
      <c r="B673" s="59"/>
      <c r="C673" s="59"/>
      <c r="D673" s="62"/>
      <c r="E673" s="62"/>
      <c r="F673" s="59" t="s">
        <v>18</v>
      </c>
      <c r="G673" s="62"/>
      <c r="H673" s="59" t="s">
        <v>20</v>
      </c>
      <c r="I673" s="62"/>
      <c r="J673" s="63" t="s">
        <v>21</v>
      </c>
      <c r="K673" s="62"/>
      <c r="L673" s="63" t="s">
        <v>22</v>
      </c>
      <c r="M673" s="62"/>
      <c r="N673" s="62"/>
      <c r="O673" s="59"/>
      <c r="P673" s="59"/>
      <c r="Q673" s="134"/>
    </row>
    <row r="674" ht="22.5" customHeight="1">
      <c r="A674" s="59"/>
      <c r="B674" s="59"/>
      <c r="C674" s="59"/>
      <c r="D674" s="62"/>
      <c r="E674" s="62"/>
      <c r="F674" s="59" t="s">
        <v>18</v>
      </c>
      <c r="G674" s="62"/>
      <c r="H674" s="59" t="s">
        <v>20</v>
      </c>
      <c r="I674" s="62"/>
      <c r="J674" s="63" t="s">
        <v>21</v>
      </c>
      <c r="K674" s="62"/>
      <c r="L674" s="63" t="s">
        <v>22</v>
      </c>
      <c r="M674" s="62"/>
      <c r="N674" s="62"/>
      <c r="O674" s="59"/>
      <c r="P674" s="59"/>
      <c r="Q674" s="134"/>
    </row>
    <row r="675" ht="22.5" customHeight="1">
      <c r="A675" s="59"/>
      <c r="B675" s="59"/>
      <c r="C675" s="59"/>
      <c r="D675" s="62"/>
      <c r="E675" s="62"/>
      <c r="F675" s="59" t="s">
        <v>18</v>
      </c>
      <c r="G675" s="62"/>
      <c r="H675" s="59" t="s">
        <v>20</v>
      </c>
      <c r="I675" s="62"/>
      <c r="J675" s="63" t="s">
        <v>21</v>
      </c>
      <c r="K675" s="62"/>
      <c r="L675" s="63" t="s">
        <v>22</v>
      </c>
      <c r="M675" s="62"/>
      <c r="N675" s="62"/>
      <c r="O675" s="59"/>
      <c r="P675" s="59"/>
      <c r="Q675" s="134"/>
    </row>
    <row r="676" ht="22.5" customHeight="1">
      <c r="A676" s="59"/>
      <c r="B676" s="59"/>
      <c r="C676" s="59"/>
      <c r="D676" s="62"/>
      <c r="E676" s="62"/>
      <c r="F676" s="59" t="s">
        <v>18</v>
      </c>
      <c r="G676" s="62"/>
      <c r="H676" s="59" t="s">
        <v>20</v>
      </c>
      <c r="I676" s="62"/>
      <c r="J676" s="63" t="s">
        <v>21</v>
      </c>
      <c r="K676" s="62"/>
      <c r="L676" s="63" t="s">
        <v>22</v>
      </c>
      <c r="M676" s="62"/>
      <c r="N676" s="62"/>
      <c r="O676" s="59"/>
      <c r="P676" s="59"/>
      <c r="Q676" s="134"/>
    </row>
    <row r="677" ht="22.5" customHeight="1">
      <c r="A677" s="59"/>
      <c r="B677" s="59"/>
      <c r="C677" s="59"/>
      <c r="D677" s="62"/>
      <c r="E677" s="62"/>
      <c r="F677" s="59" t="s">
        <v>18</v>
      </c>
      <c r="G677" s="62"/>
      <c r="H677" s="59" t="s">
        <v>20</v>
      </c>
      <c r="I677" s="62"/>
      <c r="J677" s="63" t="s">
        <v>21</v>
      </c>
      <c r="K677" s="62"/>
      <c r="L677" s="63" t="s">
        <v>22</v>
      </c>
      <c r="M677" s="62"/>
      <c r="N677" s="62"/>
      <c r="O677" s="59"/>
      <c r="P677" s="59"/>
      <c r="Q677" s="134"/>
    </row>
    <row r="678" ht="22.5" customHeight="1">
      <c r="A678" s="59"/>
      <c r="B678" s="59"/>
      <c r="C678" s="59"/>
      <c r="D678" s="62"/>
      <c r="E678" s="62"/>
      <c r="F678" s="59" t="s">
        <v>18</v>
      </c>
      <c r="G678" s="62"/>
      <c r="H678" s="59" t="s">
        <v>20</v>
      </c>
      <c r="I678" s="62"/>
      <c r="J678" s="63" t="s">
        <v>21</v>
      </c>
      <c r="K678" s="62"/>
      <c r="L678" s="63" t="s">
        <v>22</v>
      </c>
      <c r="M678" s="62"/>
      <c r="N678" s="62"/>
      <c r="O678" s="59"/>
      <c r="P678" s="59"/>
      <c r="Q678" s="134"/>
    </row>
    <row r="679" ht="22.5" customHeight="1">
      <c r="A679" s="59"/>
      <c r="B679" s="59"/>
      <c r="C679" s="59"/>
      <c r="D679" s="62"/>
      <c r="E679" s="62"/>
      <c r="F679" s="59" t="s">
        <v>18</v>
      </c>
      <c r="G679" s="62"/>
      <c r="H679" s="59" t="s">
        <v>20</v>
      </c>
      <c r="I679" s="62"/>
      <c r="J679" s="63" t="s">
        <v>21</v>
      </c>
      <c r="K679" s="62"/>
      <c r="L679" s="63" t="s">
        <v>22</v>
      </c>
      <c r="M679" s="62"/>
      <c r="N679" s="62"/>
      <c r="O679" s="59"/>
      <c r="P679" s="59"/>
      <c r="Q679" s="134"/>
    </row>
    <row r="680" ht="22.5" customHeight="1">
      <c r="A680" s="59"/>
      <c r="B680" s="59"/>
      <c r="C680" s="59"/>
      <c r="D680" s="62"/>
      <c r="E680" s="62"/>
      <c r="F680" s="59" t="s">
        <v>18</v>
      </c>
      <c r="G680" s="62"/>
      <c r="H680" s="59" t="s">
        <v>20</v>
      </c>
      <c r="I680" s="62"/>
      <c r="J680" s="63" t="s">
        <v>21</v>
      </c>
      <c r="K680" s="62"/>
      <c r="L680" s="63" t="s">
        <v>22</v>
      </c>
      <c r="M680" s="62"/>
      <c r="N680" s="62"/>
      <c r="O680" s="59"/>
      <c r="P680" s="59"/>
      <c r="Q680" s="134"/>
    </row>
    <row r="681" ht="22.5" customHeight="1">
      <c r="A681" s="59"/>
      <c r="B681" s="59"/>
      <c r="C681" s="59"/>
      <c r="D681" s="62"/>
      <c r="E681" s="62"/>
      <c r="F681" s="59" t="s">
        <v>18</v>
      </c>
      <c r="G681" s="62"/>
      <c r="H681" s="59" t="s">
        <v>20</v>
      </c>
      <c r="I681" s="62"/>
      <c r="J681" s="63" t="s">
        <v>21</v>
      </c>
      <c r="K681" s="62"/>
      <c r="L681" s="63" t="s">
        <v>22</v>
      </c>
      <c r="M681" s="62"/>
      <c r="N681" s="62"/>
      <c r="O681" s="59"/>
      <c r="P681" s="59"/>
      <c r="Q681" s="134"/>
    </row>
    <row r="682" ht="22.5" customHeight="1">
      <c r="A682" s="59"/>
      <c r="B682" s="59"/>
      <c r="C682" s="59"/>
      <c r="D682" s="62"/>
      <c r="E682" s="62"/>
      <c r="F682" s="59" t="s">
        <v>18</v>
      </c>
      <c r="G682" s="62"/>
      <c r="H682" s="59" t="s">
        <v>20</v>
      </c>
      <c r="I682" s="62"/>
      <c r="J682" s="63" t="s">
        <v>21</v>
      </c>
      <c r="K682" s="62"/>
      <c r="L682" s="63" t="s">
        <v>22</v>
      </c>
      <c r="M682" s="62"/>
      <c r="N682" s="62"/>
      <c r="O682" s="59"/>
      <c r="P682" s="59"/>
      <c r="Q682" s="134"/>
    </row>
    <row r="683" ht="22.5" customHeight="1">
      <c r="A683" s="59"/>
      <c r="B683" s="59"/>
      <c r="C683" s="59"/>
      <c r="D683" s="62"/>
      <c r="E683" s="62"/>
      <c r="F683" s="59" t="s">
        <v>18</v>
      </c>
      <c r="G683" s="62"/>
      <c r="H683" s="59" t="s">
        <v>20</v>
      </c>
      <c r="I683" s="62"/>
      <c r="J683" s="63" t="s">
        <v>21</v>
      </c>
      <c r="K683" s="62"/>
      <c r="L683" s="63" t="s">
        <v>22</v>
      </c>
      <c r="M683" s="62"/>
      <c r="N683" s="62"/>
      <c r="O683" s="59"/>
      <c r="P683" s="59"/>
      <c r="Q683" s="134"/>
    </row>
    <row r="684" ht="22.5" customHeight="1">
      <c r="A684" s="59"/>
      <c r="B684" s="59"/>
      <c r="C684" s="59"/>
      <c r="D684" s="62"/>
      <c r="E684" s="62"/>
      <c r="F684" s="59" t="s">
        <v>18</v>
      </c>
      <c r="G684" s="62"/>
      <c r="H684" s="59" t="s">
        <v>20</v>
      </c>
      <c r="I684" s="62"/>
      <c r="J684" s="63" t="s">
        <v>21</v>
      </c>
      <c r="K684" s="62"/>
      <c r="L684" s="63" t="s">
        <v>22</v>
      </c>
      <c r="M684" s="62"/>
      <c r="N684" s="62"/>
      <c r="O684" s="59"/>
      <c r="P684" s="59"/>
      <c r="Q684" s="134"/>
    </row>
    <row r="685" ht="22.5" customHeight="1">
      <c r="A685" s="59"/>
      <c r="B685" s="59"/>
      <c r="C685" s="59"/>
      <c r="D685" s="62"/>
      <c r="E685" s="62"/>
      <c r="F685" s="59" t="s">
        <v>18</v>
      </c>
      <c r="G685" s="62"/>
      <c r="H685" s="59" t="s">
        <v>20</v>
      </c>
      <c r="I685" s="62"/>
      <c r="J685" s="63" t="s">
        <v>21</v>
      </c>
      <c r="K685" s="62"/>
      <c r="L685" s="63" t="s">
        <v>22</v>
      </c>
      <c r="M685" s="62"/>
      <c r="N685" s="62"/>
      <c r="O685" s="59"/>
      <c r="P685" s="59"/>
      <c r="Q685" s="134"/>
    </row>
    <row r="686" ht="22.5" customHeight="1">
      <c r="A686" s="59"/>
      <c r="B686" s="59"/>
      <c r="C686" s="59"/>
      <c r="D686" s="62"/>
      <c r="E686" s="62"/>
      <c r="F686" s="59" t="s">
        <v>18</v>
      </c>
      <c r="G686" s="62"/>
      <c r="H686" s="59" t="s">
        <v>20</v>
      </c>
      <c r="I686" s="62"/>
      <c r="J686" s="63" t="s">
        <v>21</v>
      </c>
      <c r="K686" s="62"/>
      <c r="L686" s="63" t="s">
        <v>22</v>
      </c>
      <c r="M686" s="62"/>
      <c r="N686" s="62"/>
      <c r="O686" s="59"/>
      <c r="P686" s="59"/>
      <c r="Q686" s="134"/>
    </row>
    <row r="687" ht="22.5" customHeight="1">
      <c r="A687" s="59"/>
      <c r="B687" s="59"/>
      <c r="C687" s="59"/>
      <c r="D687" s="62"/>
      <c r="E687" s="62"/>
      <c r="F687" s="59" t="s">
        <v>18</v>
      </c>
      <c r="G687" s="62"/>
      <c r="H687" s="59" t="s">
        <v>20</v>
      </c>
      <c r="I687" s="62"/>
      <c r="J687" s="63" t="s">
        <v>21</v>
      </c>
      <c r="K687" s="62"/>
      <c r="L687" s="63" t="s">
        <v>22</v>
      </c>
      <c r="M687" s="62"/>
      <c r="N687" s="62"/>
      <c r="O687" s="59"/>
      <c r="P687" s="59"/>
      <c r="Q687" s="134"/>
    </row>
    <row r="688" ht="22.5" customHeight="1">
      <c r="A688" s="59"/>
      <c r="B688" s="59"/>
      <c r="C688" s="59"/>
      <c r="D688" s="62"/>
      <c r="E688" s="62"/>
      <c r="F688" s="59" t="s">
        <v>18</v>
      </c>
      <c r="G688" s="62"/>
      <c r="H688" s="59" t="s">
        <v>20</v>
      </c>
      <c r="I688" s="62"/>
      <c r="J688" s="63" t="s">
        <v>21</v>
      </c>
      <c r="K688" s="62"/>
      <c r="L688" s="63" t="s">
        <v>22</v>
      </c>
      <c r="M688" s="62"/>
      <c r="N688" s="62"/>
      <c r="O688" s="59"/>
      <c r="P688" s="59"/>
      <c r="Q688" s="134"/>
    </row>
    <row r="689" ht="22.5" customHeight="1">
      <c r="A689" s="59"/>
      <c r="B689" s="59"/>
      <c r="C689" s="59"/>
      <c r="D689" s="62"/>
      <c r="E689" s="62"/>
      <c r="F689" s="59" t="s">
        <v>18</v>
      </c>
      <c r="G689" s="62"/>
      <c r="H689" s="59" t="s">
        <v>20</v>
      </c>
      <c r="I689" s="62"/>
      <c r="J689" s="63" t="s">
        <v>21</v>
      </c>
      <c r="K689" s="62"/>
      <c r="L689" s="63" t="s">
        <v>22</v>
      </c>
      <c r="M689" s="62"/>
      <c r="N689" s="62"/>
      <c r="O689" s="59"/>
      <c r="P689" s="59"/>
      <c r="Q689" s="134"/>
    </row>
    <row r="690" ht="22.5" customHeight="1">
      <c r="A690" s="59"/>
      <c r="B690" s="59"/>
      <c r="C690" s="59"/>
      <c r="D690" s="62"/>
      <c r="E690" s="62"/>
      <c r="F690" s="59" t="s">
        <v>18</v>
      </c>
      <c r="G690" s="62"/>
      <c r="H690" s="59" t="s">
        <v>20</v>
      </c>
      <c r="I690" s="62"/>
      <c r="J690" s="63" t="s">
        <v>21</v>
      </c>
      <c r="K690" s="62"/>
      <c r="L690" s="63" t="s">
        <v>22</v>
      </c>
      <c r="M690" s="62"/>
      <c r="N690" s="62"/>
      <c r="O690" s="59"/>
      <c r="P690" s="59"/>
      <c r="Q690" s="134"/>
    </row>
    <row r="691" ht="22.5" customHeight="1">
      <c r="A691" s="59"/>
      <c r="B691" s="59"/>
      <c r="C691" s="59"/>
      <c r="D691" s="62"/>
      <c r="E691" s="62"/>
      <c r="F691" s="59" t="s">
        <v>18</v>
      </c>
      <c r="G691" s="62"/>
      <c r="H691" s="59" t="s">
        <v>20</v>
      </c>
      <c r="I691" s="62"/>
      <c r="J691" s="63" t="s">
        <v>21</v>
      </c>
      <c r="K691" s="62"/>
      <c r="L691" s="63" t="s">
        <v>22</v>
      </c>
      <c r="M691" s="62"/>
      <c r="N691" s="62"/>
      <c r="O691" s="59"/>
      <c r="P691" s="59"/>
      <c r="Q691" s="134"/>
    </row>
    <row r="692" ht="22.5" customHeight="1">
      <c r="A692" s="59"/>
      <c r="B692" s="59"/>
      <c r="C692" s="59"/>
      <c r="D692" s="62"/>
      <c r="E692" s="62"/>
      <c r="F692" s="59" t="s">
        <v>18</v>
      </c>
      <c r="G692" s="62"/>
      <c r="H692" s="59" t="s">
        <v>20</v>
      </c>
      <c r="I692" s="62"/>
      <c r="J692" s="63" t="s">
        <v>21</v>
      </c>
      <c r="K692" s="62"/>
      <c r="L692" s="63" t="s">
        <v>22</v>
      </c>
      <c r="M692" s="62"/>
      <c r="N692" s="62"/>
      <c r="O692" s="59"/>
      <c r="P692" s="59"/>
      <c r="Q692" s="134"/>
    </row>
    <row r="693" ht="22.5" customHeight="1">
      <c r="A693" s="59"/>
      <c r="B693" s="59"/>
      <c r="C693" s="59"/>
      <c r="D693" s="62"/>
      <c r="E693" s="62"/>
      <c r="F693" s="59" t="s">
        <v>18</v>
      </c>
      <c r="G693" s="62"/>
      <c r="H693" s="59" t="s">
        <v>20</v>
      </c>
      <c r="I693" s="62"/>
      <c r="J693" s="63" t="s">
        <v>21</v>
      </c>
      <c r="K693" s="62"/>
      <c r="L693" s="63" t="s">
        <v>22</v>
      </c>
      <c r="M693" s="62"/>
      <c r="N693" s="62"/>
      <c r="O693" s="59"/>
      <c r="P693" s="59"/>
      <c r="Q693" s="134"/>
    </row>
    <row r="694" ht="22.5" customHeight="1">
      <c r="A694" s="59"/>
      <c r="B694" s="59"/>
      <c r="C694" s="59"/>
      <c r="D694" s="62"/>
      <c r="E694" s="62"/>
      <c r="F694" s="59" t="s">
        <v>18</v>
      </c>
      <c r="G694" s="62"/>
      <c r="H694" s="59" t="s">
        <v>20</v>
      </c>
      <c r="I694" s="62"/>
      <c r="J694" s="63" t="s">
        <v>21</v>
      </c>
      <c r="K694" s="62"/>
      <c r="L694" s="63" t="s">
        <v>22</v>
      </c>
      <c r="M694" s="62"/>
      <c r="N694" s="62"/>
      <c r="O694" s="59"/>
      <c r="P694" s="59"/>
      <c r="Q694" s="134"/>
    </row>
    <row r="695" ht="22.5" customHeight="1">
      <c r="A695" s="59"/>
      <c r="B695" s="59"/>
      <c r="C695" s="59"/>
      <c r="D695" s="62"/>
      <c r="E695" s="62"/>
      <c r="F695" s="59" t="s">
        <v>18</v>
      </c>
      <c r="G695" s="62"/>
      <c r="H695" s="59" t="s">
        <v>20</v>
      </c>
      <c r="I695" s="62"/>
      <c r="J695" s="63" t="s">
        <v>21</v>
      </c>
      <c r="K695" s="62"/>
      <c r="L695" s="63" t="s">
        <v>22</v>
      </c>
      <c r="M695" s="62"/>
      <c r="N695" s="62"/>
      <c r="O695" s="59"/>
      <c r="P695" s="59"/>
      <c r="Q695" s="134"/>
    </row>
    <row r="696" ht="22.5" customHeight="1">
      <c r="A696" s="59"/>
      <c r="B696" s="59"/>
      <c r="C696" s="59"/>
      <c r="D696" s="62"/>
      <c r="E696" s="62"/>
      <c r="F696" s="59" t="s">
        <v>18</v>
      </c>
      <c r="G696" s="62"/>
      <c r="H696" s="59" t="s">
        <v>20</v>
      </c>
      <c r="I696" s="62"/>
      <c r="J696" s="63" t="s">
        <v>21</v>
      </c>
      <c r="K696" s="62"/>
      <c r="L696" s="63" t="s">
        <v>22</v>
      </c>
      <c r="M696" s="62"/>
      <c r="N696" s="62"/>
      <c r="O696" s="59"/>
      <c r="P696" s="59"/>
      <c r="Q696" s="134"/>
    </row>
    <row r="697" ht="22.5" customHeight="1">
      <c r="A697" s="59"/>
      <c r="B697" s="59"/>
      <c r="C697" s="59"/>
      <c r="D697" s="62"/>
      <c r="E697" s="62"/>
      <c r="F697" s="59" t="s">
        <v>18</v>
      </c>
      <c r="G697" s="62"/>
      <c r="H697" s="59" t="s">
        <v>20</v>
      </c>
      <c r="I697" s="62"/>
      <c r="J697" s="63" t="s">
        <v>21</v>
      </c>
      <c r="K697" s="62"/>
      <c r="L697" s="63" t="s">
        <v>22</v>
      </c>
      <c r="M697" s="62"/>
      <c r="N697" s="62"/>
      <c r="O697" s="59"/>
      <c r="P697" s="59"/>
      <c r="Q697" s="134"/>
    </row>
    <row r="698" ht="22.5" customHeight="1">
      <c r="A698" s="59"/>
      <c r="B698" s="59"/>
      <c r="C698" s="59"/>
      <c r="D698" s="62"/>
      <c r="E698" s="62"/>
      <c r="F698" s="59" t="s">
        <v>18</v>
      </c>
      <c r="G698" s="62"/>
      <c r="H698" s="59" t="s">
        <v>20</v>
      </c>
      <c r="I698" s="62"/>
      <c r="J698" s="63" t="s">
        <v>21</v>
      </c>
      <c r="K698" s="62"/>
      <c r="L698" s="63" t="s">
        <v>22</v>
      </c>
      <c r="M698" s="62"/>
      <c r="N698" s="62"/>
      <c r="O698" s="59"/>
      <c r="P698" s="59"/>
      <c r="Q698" s="134"/>
    </row>
    <row r="699" ht="22.5" customHeight="1">
      <c r="A699" s="59"/>
      <c r="B699" s="59"/>
      <c r="C699" s="59"/>
      <c r="D699" s="62"/>
      <c r="E699" s="62"/>
      <c r="F699" s="59" t="s">
        <v>18</v>
      </c>
      <c r="G699" s="62"/>
      <c r="H699" s="59" t="s">
        <v>20</v>
      </c>
      <c r="I699" s="62"/>
      <c r="J699" s="63" t="s">
        <v>21</v>
      </c>
      <c r="K699" s="62"/>
      <c r="L699" s="63" t="s">
        <v>22</v>
      </c>
      <c r="M699" s="62"/>
      <c r="N699" s="62"/>
      <c r="O699" s="59"/>
      <c r="P699" s="59"/>
      <c r="Q699" s="134"/>
    </row>
    <row r="700" ht="22.5" customHeight="1">
      <c r="A700" s="59"/>
      <c r="B700" s="59"/>
      <c r="C700" s="59"/>
      <c r="D700" s="62"/>
      <c r="E700" s="62"/>
      <c r="F700" s="59" t="s">
        <v>18</v>
      </c>
      <c r="G700" s="62"/>
      <c r="H700" s="59" t="s">
        <v>20</v>
      </c>
      <c r="I700" s="62"/>
      <c r="J700" s="63" t="s">
        <v>21</v>
      </c>
      <c r="K700" s="62"/>
      <c r="L700" s="63" t="s">
        <v>22</v>
      </c>
      <c r="M700" s="62"/>
      <c r="N700" s="62"/>
      <c r="O700" s="59"/>
      <c r="P700" s="59"/>
      <c r="Q700" s="134"/>
    </row>
    <row r="701" ht="22.5" customHeight="1">
      <c r="A701" s="59"/>
      <c r="B701" s="59"/>
      <c r="C701" s="59"/>
      <c r="D701" s="62"/>
      <c r="E701" s="62"/>
      <c r="F701" s="59" t="s">
        <v>18</v>
      </c>
      <c r="G701" s="62"/>
      <c r="H701" s="59" t="s">
        <v>20</v>
      </c>
      <c r="I701" s="62"/>
      <c r="J701" s="63" t="s">
        <v>21</v>
      </c>
      <c r="K701" s="62"/>
      <c r="L701" s="63" t="s">
        <v>22</v>
      </c>
      <c r="M701" s="62"/>
      <c r="N701" s="62"/>
      <c r="O701" s="59"/>
      <c r="P701" s="59"/>
      <c r="Q701" s="134"/>
    </row>
    <row r="702" ht="22.5" customHeight="1">
      <c r="A702" s="59"/>
      <c r="B702" s="59"/>
      <c r="C702" s="59"/>
      <c r="D702" s="62"/>
      <c r="E702" s="62"/>
      <c r="F702" s="59" t="s">
        <v>18</v>
      </c>
      <c r="G702" s="62"/>
      <c r="H702" s="59" t="s">
        <v>20</v>
      </c>
      <c r="I702" s="62"/>
      <c r="J702" s="63" t="s">
        <v>21</v>
      </c>
      <c r="K702" s="62"/>
      <c r="L702" s="63" t="s">
        <v>22</v>
      </c>
      <c r="M702" s="62"/>
      <c r="N702" s="62"/>
      <c r="O702" s="59"/>
      <c r="P702" s="59"/>
      <c r="Q702" s="134"/>
    </row>
    <row r="703" ht="22.5" customHeight="1">
      <c r="A703" s="59"/>
      <c r="B703" s="59"/>
      <c r="C703" s="59"/>
      <c r="D703" s="62"/>
      <c r="E703" s="62"/>
      <c r="F703" s="59" t="s">
        <v>18</v>
      </c>
      <c r="G703" s="62"/>
      <c r="H703" s="59" t="s">
        <v>20</v>
      </c>
      <c r="I703" s="62"/>
      <c r="J703" s="63" t="s">
        <v>21</v>
      </c>
      <c r="K703" s="62"/>
      <c r="L703" s="63" t="s">
        <v>22</v>
      </c>
      <c r="M703" s="62"/>
      <c r="N703" s="62"/>
      <c r="O703" s="59"/>
      <c r="P703" s="59"/>
      <c r="Q703" s="134"/>
    </row>
    <row r="704" ht="22.5" customHeight="1">
      <c r="A704" s="59"/>
      <c r="B704" s="59"/>
      <c r="C704" s="59"/>
      <c r="D704" s="62"/>
      <c r="E704" s="62"/>
      <c r="F704" s="59" t="s">
        <v>18</v>
      </c>
      <c r="G704" s="62"/>
      <c r="H704" s="59" t="s">
        <v>20</v>
      </c>
      <c r="I704" s="62"/>
      <c r="J704" s="63" t="s">
        <v>21</v>
      </c>
      <c r="K704" s="62"/>
      <c r="L704" s="63" t="s">
        <v>22</v>
      </c>
      <c r="M704" s="62"/>
      <c r="N704" s="62"/>
      <c r="O704" s="59"/>
      <c r="P704" s="59"/>
      <c r="Q704" s="134"/>
    </row>
    <row r="705" ht="22.5" customHeight="1">
      <c r="A705" s="59"/>
      <c r="B705" s="59"/>
      <c r="C705" s="59"/>
      <c r="D705" s="62"/>
      <c r="E705" s="62"/>
      <c r="F705" s="59" t="s">
        <v>18</v>
      </c>
      <c r="G705" s="62"/>
      <c r="H705" s="59" t="s">
        <v>20</v>
      </c>
      <c r="I705" s="62"/>
      <c r="J705" s="63" t="s">
        <v>21</v>
      </c>
      <c r="K705" s="62"/>
      <c r="L705" s="63" t="s">
        <v>22</v>
      </c>
      <c r="M705" s="62"/>
      <c r="N705" s="62"/>
      <c r="O705" s="59"/>
      <c r="P705" s="59"/>
      <c r="Q705" s="134"/>
    </row>
    <row r="706" ht="22.5" customHeight="1">
      <c r="A706" s="59"/>
      <c r="B706" s="59"/>
      <c r="C706" s="59"/>
      <c r="D706" s="62"/>
      <c r="E706" s="62"/>
      <c r="F706" s="59" t="s">
        <v>18</v>
      </c>
      <c r="G706" s="62"/>
      <c r="H706" s="59" t="s">
        <v>20</v>
      </c>
      <c r="I706" s="62"/>
      <c r="J706" s="63" t="s">
        <v>21</v>
      </c>
      <c r="K706" s="62"/>
      <c r="L706" s="63" t="s">
        <v>22</v>
      </c>
      <c r="M706" s="62"/>
      <c r="N706" s="62"/>
      <c r="O706" s="59"/>
      <c r="P706" s="59"/>
      <c r="Q706" s="134"/>
    </row>
    <row r="707" ht="22.5" customHeight="1">
      <c r="A707" s="59"/>
      <c r="B707" s="59"/>
      <c r="C707" s="59"/>
      <c r="D707" s="62"/>
      <c r="E707" s="62"/>
      <c r="F707" s="59" t="s">
        <v>18</v>
      </c>
      <c r="G707" s="62"/>
      <c r="H707" s="59" t="s">
        <v>20</v>
      </c>
      <c r="I707" s="62"/>
      <c r="J707" s="63" t="s">
        <v>21</v>
      </c>
      <c r="K707" s="62"/>
      <c r="L707" s="63" t="s">
        <v>22</v>
      </c>
      <c r="M707" s="62"/>
      <c r="N707" s="62"/>
      <c r="O707" s="59"/>
      <c r="P707" s="59"/>
      <c r="Q707" s="134"/>
    </row>
    <row r="708" ht="22.5" customHeight="1">
      <c r="A708" s="59"/>
      <c r="B708" s="59"/>
      <c r="C708" s="59"/>
      <c r="D708" s="62"/>
      <c r="E708" s="62"/>
      <c r="F708" s="59" t="s">
        <v>18</v>
      </c>
      <c r="G708" s="62"/>
      <c r="H708" s="59" t="s">
        <v>20</v>
      </c>
      <c r="I708" s="62"/>
      <c r="J708" s="63" t="s">
        <v>21</v>
      </c>
      <c r="K708" s="62"/>
      <c r="L708" s="63" t="s">
        <v>22</v>
      </c>
      <c r="M708" s="62"/>
      <c r="N708" s="62"/>
      <c r="O708" s="59"/>
      <c r="P708" s="59"/>
      <c r="Q708" s="134"/>
    </row>
    <row r="709" ht="22.5" customHeight="1">
      <c r="A709" s="59"/>
      <c r="B709" s="59"/>
      <c r="C709" s="59"/>
      <c r="D709" s="62"/>
      <c r="E709" s="62"/>
      <c r="F709" s="59" t="s">
        <v>18</v>
      </c>
      <c r="G709" s="62"/>
      <c r="H709" s="59" t="s">
        <v>20</v>
      </c>
      <c r="I709" s="62"/>
      <c r="J709" s="63" t="s">
        <v>21</v>
      </c>
      <c r="K709" s="62"/>
      <c r="L709" s="63" t="s">
        <v>22</v>
      </c>
      <c r="M709" s="62"/>
      <c r="N709" s="62"/>
      <c r="O709" s="59"/>
      <c r="P709" s="59"/>
      <c r="Q709" s="134"/>
    </row>
    <row r="710" ht="22.5" customHeight="1">
      <c r="A710" s="59"/>
      <c r="B710" s="59"/>
      <c r="C710" s="59"/>
      <c r="D710" s="62"/>
      <c r="E710" s="62"/>
      <c r="F710" s="59" t="s">
        <v>18</v>
      </c>
      <c r="G710" s="62"/>
      <c r="H710" s="59" t="s">
        <v>20</v>
      </c>
      <c r="I710" s="62"/>
      <c r="J710" s="63" t="s">
        <v>21</v>
      </c>
      <c r="K710" s="62"/>
      <c r="L710" s="63" t="s">
        <v>22</v>
      </c>
      <c r="M710" s="62"/>
      <c r="N710" s="62"/>
      <c r="O710" s="59"/>
      <c r="P710" s="59"/>
      <c r="Q710" s="134"/>
    </row>
    <row r="711" ht="22.5" customHeight="1">
      <c r="A711" s="59"/>
      <c r="B711" s="59"/>
      <c r="C711" s="59"/>
      <c r="D711" s="62"/>
      <c r="E711" s="62"/>
      <c r="F711" s="59" t="s">
        <v>18</v>
      </c>
      <c r="G711" s="62"/>
      <c r="H711" s="59" t="s">
        <v>20</v>
      </c>
      <c r="I711" s="62"/>
      <c r="J711" s="63" t="s">
        <v>21</v>
      </c>
      <c r="K711" s="62"/>
      <c r="L711" s="63" t="s">
        <v>22</v>
      </c>
      <c r="M711" s="62"/>
      <c r="N711" s="62"/>
      <c r="O711" s="59"/>
      <c r="P711" s="59"/>
      <c r="Q711" s="134"/>
    </row>
    <row r="712" ht="22.5" customHeight="1">
      <c r="A712" s="59"/>
      <c r="B712" s="59"/>
      <c r="C712" s="59"/>
      <c r="D712" s="62"/>
      <c r="E712" s="62"/>
      <c r="F712" s="59" t="s">
        <v>18</v>
      </c>
      <c r="G712" s="62"/>
      <c r="H712" s="59" t="s">
        <v>20</v>
      </c>
      <c r="I712" s="62"/>
      <c r="J712" s="63" t="s">
        <v>21</v>
      </c>
      <c r="K712" s="62"/>
      <c r="L712" s="63" t="s">
        <v>22</v>
      </c>
      <c r="M712" s="62"/>
      <c r="N712" s="62"/>
      <c r="O712" s="59"/>
      <c r="P712" s="59"/>
      <c r="Q712" s="134"/>
    </row>
    <row r="713" ht="22.5" customHeight="1">
      <c r="A713" s="59"/>
      <c r="B713" s="59"/>
      <c r="C713" s="59"/>
      <c r="D713" s="62"/>
      <c r="E713" s="62"/>
      <c r="F713" s="59" t="s">
        <v>18</v>
      </c>
      <c r="G713" s="62"/>
      <c r="H713" s="59" t="s">
        <v>20</v>
      </c>
      <c r="I713" s="62"/>
      <c r="J713" s="63" t="s">
        <v>21</v>
      </c>
      <c r="K713" s="62"/>
      <c r="L713" s="63" t="s">
        <v>22</v>
      </c>
      <c r="M713" s="62"/>
      <c r="N713" s="62"/>
      <c r="O713" s="59"/>
      <c r="P713" s="59"/>
      <c r="Q713" s="134"/>
    </row>
    <row r="714" ht="22.5" customHeight="1">
      <c r="A714" s="59"/>
      <c r="B714" s="59"/>
      <c r="C714" s="59"/>
      <c r="D714" s="62"/>
      <c r="E714" s="62"/>
      <c r="F714" s="59" t="s">
        <v>18</v>
      </c>
      <c r="G714" s="62"/>
      <c r="H714" s="59" t="s">
        <v>20</v>
      </c>
      <c r="I714" s="62"/>
      <c r="J714" s="63" t="s">
        <v>21</v>
      </c>
      <c r="K714" s="62"/>
      <c r="L714" s="63" t="s">
        <v>22</v>
      </c>
      <c r="M714" s="62"/>
      <c r="N714" s="62"/>
      <c r="O714" s="59"/>
      <c r="P714" s="59"/>
      <c r="Q714" s="134"/>
    </row>
    <row r="715" ht="22.5" customHeight="1">
      <c r="A715" s="59"/>
      <c r="B715" s="59"/>
      <c r="C715" s="59"/>
      <c r="D715" s="62"/>
      <c r="E715" s="62"/>
      <c r="F715" s="59" t="s">
        <v>18</v>
      </c>
      <c r="G715" s="62"/>
      <c r="H715" s="59" t="s">
        <v>20</v>
      </c>
      <c r="I715" s="62"/>
      <c r="J715" s="63" t="s">
        <v>21</v>
      </c>
      <c r="K715" s="62"/>
      <c r="L715" s="63" t="s">
        <v>22</v>
      </c>
      <c r="M715" s="62"/>
      <c r="N715" s="62"/>
      <c r="O715" s="59"/>
      <c r="P715" s="59"/>
      <c r="Q715" s="134"/>
    </row>
    <row r="716" ht="22.5" customHeight="1">
      <c r="A716" s="59"/>
      <c r="B716" s="59"/>
      <c r="C716" s="59"/>
      <c r="D716" s="62"/>
      <c r="E716" s="62"/>
      <c r="F716" s="59" t="s">
        <v>18</v>
      </c>
      <c r="G716" s="62"/>
      <c r="H716" s="59" t="s">
        <v>20</v>
      </c>
      <c r="I716" s="62"/>
      <c r="J716" s="63" t="s">
        <v>21</v>
      </c>
      <c r="K716" s="62"/>
      <c r="L716" s="63" t="s">
        <v>22</v>
      </c>
      <c r="M716" s="62"/>
      <c r="N716" s="62"/>
      <c r="O716" s="59"/>
      <c r="P716" s="59"/>
      <c r="Q716" s="134"/>
    </row>
    <row r="717" ht="22.5" customHeight="1">
      <c r="A717" s="59"/>
      <c r="B717" s="59"/>
      <c r="C717" s="59"/>
      <c r="D717" s="62"/>
      <c r="E717" s="62"/>
      <c r="F717" s="59" t="s">
        <v>18</v>
      </c>
      <c r="G717" s="62"/>
      <c r="H717" s="59" t="s">
        <v>20</v>
      </c>
      <c r="I717" s="62"/>
      <c r="J717" s="63" t="s">
        <v>21</v>
      </c>
      <c r="K717" s="62"/>
      <c r="L717" s="63" t="s">
        <v>22</v>
      </c>
      <c r="M717" s="62"/>
      <c r="N717" s="62"/>
      <c r="O717" s="59"/>
      <c r="P717" s="59"/>
      <c r="Q717" s="134"/>
    </row>
    <row r="718" ht="22.5" customHeight="1">
      <c r="A718" s="59"/>
      <c r="B718" s="59"/>
      <c r="C718" s="59"/>
      <c r="D718" s="62"/>
      <c r="E718" s="62"/>
      <c r="F718" s="59" t="s">
        <v>18</v>
      </c>
      <c r="G718" s="62"/>
      <c r="H718" s="59" t="s">
        <v>20</v>
      </c>
      <c r="I718" s="62"/>
      <c r="J718" s="63" t="s">
        <v>21</v>
      </c>
      <c r="K718" s="62"/>
      <c r="L718" s="63" t="s">
        <v>22</v>
      </c>
      <c r="M718" s="62"/>
      <c r="N718" s="62"/>
      <c r="O718" s="59"/>
      <c r="P718" s="59"/>
      <c r="Q718" s="134"/>
    </row>
    <row r="719" ht="22.5" customHeight="1">
      <c r="A719" s="59"/>
      <c r="B719" s="59"/>
      <c r="C719" s="59"/>
      <c r="D719" s="62"/>
      <c r="E719" s="62"/>
      <c r="F719" s="59" t="s">
        <v>18</v>
      </c>
      <c r="G719" s="62"/>
      <c r="H719" s="59" t="s">
        <v>20</v>
      </c>
      <c r="I719" s="62"/>
      <c r="J719" s="63" t="s">
        <v>21</v>
      </c>
      <c r="K719" s="62"/>
      <c r="L719" s="63" t="s">
        <v>22</v>
      </c>
      <c r="M719" s="62"/>
      <c r="N719" s="62"/>
      <c r="O719" s="59"/>
      <c r="P719" s="59"/>
      <c r="Q719" s="134"/>
    </row>
    <row r="720" ht="22.5" customHeight="1">
      <c r="A720" s="59"/>
      <c r="B720" s="59"/>
      <c r="C720" s="59"/>
      <c r="D720" s="62"/>
      <c r="E720" s="62"/>
      <c r="F720" s="59" t="s">
        <v>18</v>
      </c>
      <c r="G720" s="62"/>
      <c r="H720" s="59" t="s">
        <v>20</v>
      </c>
      <c r="I720" s="62"/>
      <c r="J720" s="63" t="s">
        <v>21</v>
      </c>
      <c r="K720" s="62"/>
      <c r="L720" s="63" t="s">
        <v>22</v>
      </c>
      <c r="M720" s="62"/>
      <c r="N720" s="62"/>
      <c r="O720" s="59"/>
      <c r="P720" s="59"/>
      <c r="Q720" s="134"/>
    </row>
    <row r="721" ht="22.5" customHeight="1">
      <c r="A721" s="59"/>
      <c r="B721" s="59"/>
      <c r="C721" s="59"/>
      <c r="D721" s="62"/>
      <c r="E721" s="62"/>
      <c r="F721" s="59" t="s">
        <v>18</v>
      </c>
      <c r="G721" s="62"/>
      <c r="H721" s="59" t="s">
        <v>20</v>
      </c>
      <c r="I721" s="62"/>
      <c r="J721" s="63" t="s">
        <v>21</v>
      </c>
      <c r="K721" s="62"/>
      <c r="L721" s="63" t="s">
        <v>22</v>
      </c>
      <c r="M721" s="62"/>
      <c r="N721" s="62"/>
      <c r="O721" s="59"/>
      <c r="P721" s="59"/>
      <c r="Q721" s="134"/>
    </row>
    <row r="722" ht="22.5" customHeight="1">
      <c r="A722" s="59"/>
      <c r="B722" s="59"/>
      <c r="C722" s="59"/>
      <c r="D722" s="62"/>
      <c r="E722" s="62"/>
      <c r="F722" s="59" t="s">
        <v>18</v>
      </c>
      <c r="G722" s="62"/>
      <c r="H722" s="59" t="s">
        <v>20</v>
      </c>
      <c r="I722" s="62"/>
      <c r="J722" s="63" t="s">
        <v>21</v>
      </c>
      <c r="K722" s="62"/>
      <c r="L722" s="63" t="s">
        <v>22</v>
      </c>
      <c r="M722" s="62"/>
      <c r="N722" s="62"/>
      <c r="O722" s="59"/>
      <c r="P722" s="59"/>
      <c r="Q722" s="134"/>
    </row>
    <row r="723" ht="22.5" customHeight="1">
      <c r="A723" s="59"/>
      <c r="B723" s="59"/>
      <c r="C723" s="59"/>
      <c r="D723" s="62"/>
      <c r="E723" s="62"/>
      <c r="F723" s="59"/>
      <c r="G723" s="62"/>
      <c r="H723" s="59"/>
      <c r="I723" s="62"/>
      <c r="J723" s="63"/>
      <c r="K723" s="62"/>
      <c r="L723" s="63"/>
      <c r="M723" s="62"/>
      <c r="N723" s="62"/>
      <c r="O723" s="59"/>
      <c r="P723" s="59"/>
      <c r="Q723" s="134"/>
    </row>
    <row r="724" ht="22.5" customHeight="1">
      <c r="A724" s="59"/>
      <c r="B724" s="59"/>
      <c r="C724" s="59"/>
      <c r="D724" s="62"/>
      <c r="E724" s="62"/>
      <c r="F724" s="59"/>
      <c r="G724" s="62"/>
      <c r="H724" s="59"/>
      <c r="I724" s="62"/>
      <c r="J724" s="63"/>
      <c r="K724" s="62"/>
      <c r="L724" s="63"/>
      <c r="M724" s="62"/>
      <c r="N724" s="62"/>
      <c r="O724" s="59"/>
      <c r="P724" s="59"/>
      <c r="Q724" s="134"/>
    </row>
    <row r="725" ht="22.5" customHeight="1">
      <c r="A725" s="59"/>
      <c r="B725" s="59"/>
      <c r="C725" s="59"/>
      <c r="D725" s="62"/>
      <c r="E725" s="62"/>
      <c r="F725" s="59"/>
      <c r="G725" s="62"/>
      <c r="H725" s="59"/>
      <c r="I725" s="62"/>
      <c r="J725" s="63"/>
      <c r="K725" s="62"/>
      <c r="L725" s="63"/>
      <c r="M725" s="62"/>
      <c r="N725" s="62"/>
      <c r="O725" s="59"/>
      <c r="P725" s="59"/>
      <c r="Q725" s="134"/>
    </row>
    <row r="726" ht="22.5" customHeight="1">
      <c r="A726" s="59"/>
      <c r="B726" s="59"/>
      <c r="C726" s="59"/>
      <c r="D726" s="62"/>
      <c r="E726" s="62"/>
      <c r="F726" s="59"/>
      <c r="G726" s="62"/>
      <c r="H726" s="59"/>
      <c r="I726" s="62"/>
      <c r="J726" s="63"/>
      <c r="K726" s="62"/>
      <c r="L726" s="63"/>
      <c r="M726" s="62"/>
      <c r="N726" s="62"/>
      <c r="O726" s="59"/>
      <c r="P726" s="59"/>
      <c r="Q726" s="134"/>
    </row>
    <row r="727" ht="22.5" customHeight="1">
      <c r="A727" s="59"/>
      <c r="B727" s="59"/>
      <c r="C727" s="59"/>
      <c r="D727" s="62"/>
      <c r="E727" s="62"/>
      <c r="F727" s="59"/>
      <c r="G727" s="62"/>
      <c r="H727" s="59"/>
      <c r="I727" s="62"/>
      <c r="J727" s="63"/>
      <c r="K727" s="62"/>
      <c r="L727" s="63"/>
      <c r="M727" s="62"/>
      <c r="N727" s="62"/>
      <c r="O727" s="59"/>
      <c r="P727" s="59"/>
      <c r="Q727" s="134"/>
    </row>
    <row r="728" ht="22.5" customHeight="1">
      <c r="A728" s="59"/>
      <c r="B728" s="59"/>
      <c r="C728" s="59"/>
      <c r="D728" s="62"/>
      <c r="E728" s="62"/>
      <c r="F728" s="59"/>
      <c r="G728" s="62"/>
      <c r="H728" s="59"/>
      <c r="I728" s="62"/>
      <c r="J728" s="63"/>
      <c r="K728" s="62"/>
      <c r="L728" s="63"/>
      <c r="M728" s="62"/>
      <c r="N728" s="62"/>
      <c r="O728" s="59"/>
      <c r="P728" s="59"/>
      <c r="Q728" s="134"/>
    </row>
    <row r="729" ht="22.5" customHeight="1">
      <c r="A729" s="59"/>
      <c r="B729" s="59"/>
      <c r="C729" s="59"/>
      <c r="D729" s="62"/>
      <c r="E729" s="62"/>
      <c r="F729" s="59"/>
      <c r="G729" s="62"/>
      <c r="H729" s="59"/>
      <c r="I729" s="62"/>
      <c r="J729" s="63"/>
      <c r="K729" s="62"/>
      <c r="L729" s="63"/>
      <c r="M729" s="62"/>
      <c r="N729" s="62"/>
      <c r="O729" s="59"/>
      <c r="P729" s="59"/>
      <c r="Q729" s="134"/>
    </row>
    <row r="730" ht="22.5" customHeight="1">
      <c r="A730" s="59"/>
      <c r="B730" s="59"/>
      <c r="C730" s="59"/>
      <c r="D730" s="62"/>
      <c r="E730" s="62"/>
      <c r="F730" s="59"/>
      <c r="G730" s="62"/>
      <c r="H730" s="59"/>
      <c r="I730" s="62"/>
      <c r="J730" s="63"/>
      <c r="K730" s="62"/>
      <c r="L730" s="63"/>
      <c r="M730" s="62"/>
      <c r="N730" s="62"/>
      <c r="O730" s="59"/>
      <c r="P730" s="59"/>
      <c r="Q730" s="134"/>
    </row>
    <row r="731" ht="22.5" customHeight="1">
      <c r="A731" s="59"/>
      <c r="B731" s="59"/>
      <c r="C731" s="59"/>
      <c r="D731" s="62"/>
      <c r="E731" s="62"/>
      <c r="F731" s="59"/>
      <c r="G731" s="62"/>
      <c r="H731" s="59"/>
      <c r="I731" s="62"/>
      <c r="J731" s="63"/>
      <c r="K731" s="62"/>
      <c r="L731" s="63"/>
      <c r="M731" s="62"/>
      <c r="N731" s="62"/>
      <c r="O731" s="59"/>
      <c r="P731" s="59"/>
      <c r="Q731" s="134"/>
    </row>
    <row r="732" ht="22.5" customHeight="1">
      <c r="A732" s="59"/>
      <c r="B732" s="59"/>
      <c r="C732" s="59"/>
      <c r="D732" s="62"/>
      <c r="E732" s="62"/>
      <c r="F732" s="59"/>
      <c r="G732" s="62"/>
      <c r="H732" s="59"/>
      <c r="I732" s="62"/>
      <c r="J732" s="63"/>
      <c r="K732" s="62"/>
      <c r="L732" s="63"/>
      <c r="M732" s="62"/>
      <c r="N732" s="62"/>
      <c r="O732" s="59"/>
      <c r="P732" s="59"/>
      <c r="Q732" s="134"/>
    </row>
    <row r="733" ht="22.5" customHeight="1">
      <c r="A733" s="59"/>
      <c r="B733" s="59"/>
      <c r="C733" s="59"/>
      <c r="D733" s="62"/>
      <c r="E733" s="62"/>
      <c r="F733" s="59"/>
      <c r="G733" s="62"/>
      <c r="H733" s="59"/>
      <c r="I733" s="62"/>
      <c r="J733" s="63"/>
      <c r="K733" s="62"/>
      <c r="L733" s="63"/>
      <c r="M733" s="62"/>
      <c r="N733" s="62"/>
      <c r="O733" s="59"/>
      <c r="P733" s="59"/>
      <c r="Q733" s="134"/>
    </row>
    <row r="734" ht="22.5" customHeight="1">
      <c r="A734" s="59"/>
      <c r="B734" s="59"/>
      <c r="C734" s="59"/>
      <c r="D734" s="62"/>
      <c r="E734" s="62"/>
      <c r="F734" s="59"/>
      <c r="G734" s="62"/>
      <c r="H734" s="59"/>
      <c r="I734" s="62"/>
      <c r="J734" s="63"/>
      <c r="K734" s="62"/>
      <c r="L734" s="63"/>
      <c r="M734" s="62"/>
      <c r="N734" s="62"/>
      <c r="O734" s="59"/>
      <c r="P734" s="59"/>
      <c r="Q734" s="134"/>
    </row>
    <row r="735" ht="22.5" customHeight="1">
      <c r="A735" s="59"/>
      <c r="B735" s="59"/>
      <c r="C735" s="59"/>
      <c r="D735" s="62"/>
      <c r="E735" s="62"/>
      <c r="F735" s="59"/>
      <c r="G735" s="62"/>
      <c r="H735" s="59"/>
      <c r="I735" s="62"/>
      <c r="J735" s="63"/>
      <c r="K735" s="62"/>
      <c r="L735" s="63"/>
      <c r="M735" s="62"/>
      <c r="N735" s="62"/>
      <c r="O735" s="59"/>
      <c r="P735" s="59"/>
      <c r="Q735" s="134"/>
    </row>
    <row r="736" ht="22.5" customHeight="1">
      <c r="A736" s="59"/>
      <c r="B736" s="59"/>
      <c r="C736" s="59"/>
      <c r="D736" s="62"/>
      <c r="E736" s="62"/>
      <c r="F736" s="59"/>
      <c r="G736" s="62"/>
      <c r="H736" s="59"/>
      <c r="I736" s="62"/>
      <c r="J736" s="63"/>
      <c r="K736" s="62"/>
      <c r="L736" s="63"/>
      <c r="M736" s="62"/>
      <c r="N736" s="62"/>
      <c r="O736" s="59"/>
      <c r="P736" s="59"/>
      <c r="Q736" s="134"/>
    </row>
    <row r="737" ht="22.5" customHeight="1">
      <c r="A737" s="59"/>
      <c r="B737" s="59"/>
      <c r="C737" s="59"/>
      <c r="D737" s="62"/>
      <c r="E737" s="62"/>
      <c r="F737" s="59"/>
      <c r="G737" s="62"/>
      <c r="H737" s="59"/>
      <c r="I737" s="62"/>
      <c r="J737" s="63"/>
      <c r="K737" s="62"/>
      <c r="L737" s="63"/>
      <c r="M737" s="62"/>
      <c r="N737" s="62"/>
      <c r="O737" s="59"/>
      <c r="P737" s="59"/>
      <c r="Q737" s="134"/>
    </row>
    <row r="738" ht="22.5" customHeight="1">
      <c r="A738" s="59"/>
      <c r="B738" s="59"/>
      <c r="C738" s="59"/>
      <c r="D738" s="62"/>
      <c r="E738" s="62"/>
      <c r="F738" s="59"/>
      <c r="G738" s="62"/>
      <c r="H738" s="59"/>
      <c r="I738" s="62"/>
      <c r="J738" s="63"/>
      <c r="K738" s="62"/>
      <c r="L738" s="63"/>
      <c r="M738" s="62"/>
      <c r="N738" s="62"/>
      <c r="O738" s="59"/>
      <c r="P738" s="59"/>
      <c r="Q738" s="134"/>
    </row>
    <row r="739" ht="22.5" customHeight="1">
      <c r="A739" s="59"/>
      <c r="B739" s="59"/>
      <c r="C739" s="59"/>
      <c r="D739" s="62"/>
      <c r="E739" s="62"/>
      <c r="F739" s="59"/>
      <c r="G739" s="62"/>
      <c r="H739" s="59"/>
      <c r="I739" s="62"/>
      <c r="J739" s="63"/>
      <c r="K739" s="62"/>
      <c r="L739" s="63"/>
      <c r="M739" s="62"/>
      <c r="N739" s="62"/>
      <c r="O739" s="59"/>
      <c r="P739" s="59"/>
      <c r="Q739" s="134"/>
    </row>
    <row r="740" ht="22.5" customHeight="1">
      <c r="A740" s="59"/>
      <c r="B740" s="59"/>
      <c r="C740" s="59"/>
      <c r="D740" s="62"/>
      <c r="E740" s="62"/>
      <c r="F740" s="59"/>
      <c r="G740" s="62"/>
      <c r="H740" s="59"/>
      <c r="I740" s="62"/>
      <c r="J740" s="63"/>
      <c r="K740" s="62"/>
      <c r="L740" s="63"/>
      <c r="M740" s="62"/>
      <c r="N740" s="62"/>
      <c r="O740" s="59"/>
      <c r="P740" s="59"/>
      <c r="Q740" s="134"/>
    </row>
    <row r="741" ht="22.5" customHeight="1">
      <c r="A741" s="59"/>
      <c r="B741" s="59"/>
      <c r="C741" s="59"/>
      <c r="D741" s="62"/>
      <c r="E741" s="62"/>
      <c r="F741" s="59"/>
      <c r="G741" s="62"/>
      <c r="H741" s="59"/>
      <c r="I741" s="62"/>
      <c r="J741" s="63"/>
      <c r="K741" s="62"/>
      <c r="L741" s="63"/>
      <c r="M741" s="62"/>
      <c r="N741" s="62"/>
      <c r="O741" s="59"/>
      <c r="P741" s="59"/>
      <c r="Q741" s="134"/>
    </row>
    <row r="742" ht="22.5" customHeight="1">
      <c r="A742" s="59"/>
      <c r="B742" s="59"/>
      <c r="C742" s="59"/>
      <c r="D742" s="62"/>
      <c r="E742" s="62"/>
      <c r="F742" s="59"/>
      <c r="G742" s="62"/>
      <c r="H742" s="59"/>
      <c r="I742" s="62"/>
      <c r="J742" s="63"/>
      <c r="K742" s="62"/>
      <c r="L742" s="63"/>
      <c r="M742" s="62"/>
      <c r="N742" s="62"/>
      <c r="O742" s="59"/>
      <c r="P742" s="59"/>
      <c r="Q742" s="134"/>
    </row>
    <row r="743" ht="22.5" customHeight="1">
      <c r="A743" s="59"/>
      <c r="B743" s="59"/>
      <c r="C743" s="59"/>
      <c r="D743" s="62"/>
      <c r="E743" s="62"/>
      <c r="F743" s="59"/>
      <c r="G743" s="62"/>
      <c r="H743" s="59"/>
      <c r="I743" s="62"/>
      <c r="J743" s="63"/>
      <c r="K743" s="62"/>
      <c r="L743" s="63"/>
      <c r="M743" s="62"/>
      <c r="N743" s="62"/>
      <c r="O743" s="59"/>
      <c r="P743" s="59"/>
      <c r="Q743" s="134"/>
    </row>
    <row r="744" ht="22.5" customHeight="1">
      <c r="A744" s="59"/>
      <c r="B744" s="59"/>
      <c r="C744" s="59"/>
      <c r="D744" s="62"/>
      <c r="E744" s="62"/>
      <c r="F744" s="59"/>
      <c r="G744" s="62"/>
      <c r="H744" s="59"/>
      <c r="I744" s="62"/>
      <c r="J744" s="63"/>
      <c r="K744" s="62"/>
      <c r="L744" s="63"/>
      <c r="M744" s="62"/>
      <c r="N744" s="62"/>
      <c r="O744" s="59"/>
      <c r="P744" s="59"/>
      <c r="Q744" s="134"/>
    </row>
    <row r="745" ht="22.5" customHeight="1">
      <c r="A745" s="59"/>
      <c r="B745" s="59"/>
      <c r="C745" s="59"/>
      <c r="D745" s="62"/>
      <c r="E745" s="62"/>
      <c r="F745" s="59"/>
      <c r="G745" s="62"/>
      <c r="H745" s="59"/>
      <c r="I745" s="62"/>
      <c r="J745" s="63"/>
      <c r="K745" s="62"/>
      <c r="L745" s="63"/>
      <c r="M745" s="62"/>
      <c r="N745" s="62"/>
      <c r="O745" s="59"/>
      <c r="P745" s="59"/>
      <c r="Q745" s="134"/>
    </row>
    <row r="746" ht="22.5" customHeight="1">
      <c r="A746" s="59"/>
      <c r="B746" s="59"/>
      <c r="C746" s="59"/>
      <c r="D746" s="62"/>
      <c r="E746" s="62"/>
      <c r="F746" s="59"/>
      <c r="G746" s="62"/>
      <c r="H746" s="59"/>
      <c r="I746" s="62"/>
      <c r="J746" s="63"/>
      <c r="K746" s="62"/>
      <c r="L746" s="63"/>
      <c r="M746" s="62"/>
      <c r="N746" s="62"/>
      <c r="O746" s="59"/>
      <c r="P746" s="59"/>
      <c r="Q746" s="134"/>
    </row>
    <row r="747" ht="22.5" customHeight="1">
      <c r="A747" s="59"/>
      <c r="B747" s="59"/>
      <c r="C747" s="59"/>
      <c r="D747" s="62"/>
      <c r="E747" s="62"/>
      <c r="F747" s="59"/>
      <c r="G747" s="62"/>
      <c r="H747" s="59"/>
      <c r="I747" s="62"/>
      <c r="J747" s="63"/>
      <c r="K747" s="62"/>
      <c r="L747" s="63"/>
      <c r="M747" s="62"/>
      <c r="N747" s="62"/>
      <c r="O747" s="59"/>
      <c r="P747" s="59"/>
      <c r="Q747" s="134"/>
    </row>
    <row r="748" ht="22.5" customHeight="1">
      <c r="A748" s="59"/>
      <c r="B748" s="59"/>
      <c r="C748" s="59"/>
      <c r="D748" s="62"/>
      <c r="E748" s="62"/>
      <c r="F748" s="59"/>
      <c r="G748" s="62"/>
      <c r="H748" s="59"/>
      <c r="I748" s="62"/>
      <c r="J748" s="63"/>
      <c r="K748" s="62"/>
      <c r="L748" s="63"/>
      <c r="M748" s="62"/>
      <c r="N748" s="62"/>
      <c r="O748" s="59"/>
      <c r="P748" s="59"/>
      <c r="Q748" s="134"/>
    </row>
    <row r="749" ht="22.5" customHeight="1">
      <c r="A749" s="59"/>
      <c r="B749" s="59"/>
      <c r="C749" s="59"/>
      <c r="D749" s="62"/>
      <c r="E749" s="62"/>
      <c r="F749" s="59"/>
      <c r="G749" s="62"/>
      <c r="H749" s="59"/>
      <c r="I749" s="62"/>
      <c r="J749" s="63"/>
      <c r="K749" s="62"/>
      <c r="L749" s="63"/>
      <c r="M749" s="62"/>
      <c r="N749" s="62"/>
      <c r="O749" s="59"/>
      <c r="P749" s="59"/>
      <c r="Q749" s="134"/>
    </row>
    <row r="750" ht="22.5" customHeight="1">
      <c r="A750" s="59"/>
      <c r="B750" s="59"/>
      <c r="C750" s="59"/>
      <c r="D750" s="62"/>
      <c r="E750" s="62"/>
      <c r="F750" s="59"/>
      <c r="G750" s="62"/>
      <c r="H750" s="59"/>
      <c r="I750" s="62"/>
      <c r="J750" s="63"/>
      <c r="K750" s="62"/>
      <c r="L750" s="63"/>
      <c r="M750" s="62"/>
      <c r="N750" s="62"/>
      <c r="O750" s="59"/>
      <c r="P750" s="59"/>
      <c r="Q750" s="134"/>
    </row>
    <row r="751" ht="22.5" customHeight="1">
      <c r="A751" s="59"/>
      <c r="B751" s="59"/>
      <c r="C751" s="59"/>
      <c r="D751" s="62"/>
      <c r="E751" s="62"/>
      <c r="F751" s="59"/>
      <c r="G751" s="62"/>
      <c r="H751" s="59"/>
      <c r="I751" s="62"/>
      <c r="J751" s="63"/>
      <c r="K751" s="62"/>
      <c r="L751" s="63"/>
      <c r="M751" s="62"/>
      <c r="N751" s="62"/>
      <c r="O751" s="59"/>
      <c r="P751" s="59"/>
      <c r="Q751" s="134"/>
    </row>
    <row r="752" ht="22.5" customHeight="1">
      <c r="A752" s="59"/>
      <c r="B752" s="59"/>
      <c r="C752" s="59"/>
      <c r="D752" s="62"/>
      <c r="E752" s="62"/>
      <c r="F752" s="59"/>
      <c r="G752" s="62"/>
      <c r="H752" s="59"/>
      <c r="I752" s="62"/>
      <c r="J752" s="63"/>
      <c r="K752" s="62"/>
      <c r="L752" s="63"/>
      <c r="M752" s="62"/>
      <c r="N752" s="62"/>
      <c r="O752" s="59"/>
      <c r="P752" s="59"/>
      <c r="Q752" s="134"/>
    </row>
    <row r="753" ht="22.5" customHeight="1">
      <c r="A753" s="59"/>
      <c r="B753" s="59"/>
      <c r="C753" s="59"/>
      <c r="D753" s="62"/>
      <c r="E753" s="62"/>
      <c r="F753" s="59"/>
      <c r="G753" s="62"/>
      <c r="H753" s="59"/>
      <c r="I753" s="62"/>
      <c r="J753" s="63"/>
      <c r="K753" s="62"/>
      <c r="L753" s="63"/>
      <c r="M753" s="62"/>
      <c r="N753" s="62"/>
      <c r="O753" s="59"/>
      <c r="P753" s="59"/>
      <c r="Q753" s="134"/>
    </row>
    <row r="754" ht="22.5" customHeight="1">
      <c r="A754" s="59"/>
      <c r="B754" s="59"/>
      <c r="C754" s="59"/>
      <c r="D754" s="62"/>
      <c r="E754" s="62"/>
      <c r="F754" s="59"/>
      <c r="G754" s="62"/>
      <c r="H754" s="59"/>
      <c r="I754" s="62"/>
      <c r="J754" s="63"/>
      <c r="K754" s="62"/>
      <c r="L754" s="63"/>
      <c r="M754" s="62"/>
      <c r="N754" s="62"/>
      <c r="O754" s="59"/>
      <c r="P754" s="59"/>
      <c r="Q754" s="134"/>
    </row>
    <row r="755" ht="22.5" customHeight="1">
      <c r="A755" s="59"/>
      <c r="B755" s="59"/>
      <c r="C755" s="59"/>
      <c r="D755" s="62"/>
      <c r="E755" s="62"/>
      <c r="F755" s="59"/>
      <c r="G755" s="62"/>
      <c r="H755" s="59"/>
      <c r="I755" s="62"/>
      <c r="J755" s="63"/>
      <c r="K755" s="62"/>
      <c r="L755" s="63"/>
      <c r="M755" s="62"/>
      <c r="N755" s="62"/>
      <c r="O755" s="59"/>
      <c r="P755" s="59"/>
      <c r="Q755" s="134"/>
    </row>
    <row r="756" ht="22.5" customHeight="1">
      <c r="A756" s="59"/>
      <c r="B756" s="59"/>
      <c r="C756" s="59"/>
      <c r="D756" s="62"/>
      <c r="E756" s="62"/>
      <c r="F756" s="59"/>
      <c r="G756" s="62"/>
      <c r="H756" s="59"/>
      <c r="I756" s="62"/>
      <c r="J756" s="63"/>
      <c r="K756" s="62"/>
      <c r="L756" s="63"/>
      <c r="M756" s="62"/>
      <c r="N756" s="62"/>
      <c r="O756" s="59"/>
      <c r="P756" s="59"/>
      <c r="Q756" s="134"/>
    </row>
    <row r="757" ht="22.5" customHeight="1">
      <c r="A757" s="59"/>
      <c r="B757" s="59"/>
      <c r="C757" s="59"/>
      <c r="D757" s="62"/>
      <c r="E757" s="62"/>
      <c r="F757" s="59"/>
      <c r="G757" s="62"/>
      <c r="H757" s="59"/>
      <c r="I757" s="62"/>
      <c r="J757" s="63"/>
      <c r="K757" s="62"/>
      <c r="L757" s="63"/>
      <c r="M757" s="62"/>
      <c r="N757" s="62"/>
      <c r="O757" s="59"/>
      <c r="P757" s="59"/>
      <c r="Q757" s="134"/>
    </row>
    <row r="758" ht="22.5" customHeight="1">
      <c r="A758" s="59"/>
      <c r="B758" s="59"/>
      <c r="C758" s="59"/>
      <c r="D758" s="62"/>
      <c r="E758" s="62"/>
      <c r="F758" s="59"/>
      <c r="G758" s="62"/>
      <c r="H758" s="59"/>
      <c r="I758" s="62"/>
      <c r="J758" s="63"/>
      <c r="K758" s="62"/>
      <c r="L758" s="63"/>
      <c r="M758" s="62"/>
      <c r="N758" s="62"/>
      <c r="O758" s="59"/>
      <c r="P758" s="59"/>
      <c r="Q758" s="134"/>
    </row>
    <row r="759" ht="22.5" customHeight="1">
      <c r="A759" s="59"/>
      <c r="B759" s="59"/>
      <c r="C759" s="59"/>
      <c r="D759" s="62"/>
      <c r="E759" s="62"/>
      <c r="F759" s="59"/>
      <c r="G759" s="62"/>
      <c r="H759" s="59"/>
      <c r="I759" s="62"/>
      <c r="J759" s="63"/>
      <c r="K759" s="62"/>
      <c r="L759" s="63"/>
      <c r="M759" s="62"/>
      <c r="N759" s="62"/>
      <c r="O759" s="59"/>
      <c r="P759" s="59"/>
      <c r="Q759" s="134"/>
    </row>
    <row r="760" ht="22.5" customHeight="1">
      <c r="A760" s="59"/>
      <c r="B760" s="59"/>
      <c r="C760" s="59"/>
      <c r="D760" s="62"/>
      <c r="E760" s="62"/>
      <c r="F760" s="59"/>
      <c r="G760" s="62"/>
      <c r="H760" s="59"/>
      <c r="I760" s="62"/>
      <c r="J760" s="63"/>
      <c r="K760" s="62"/>
      <c r="L760" s="63"/>
      <c r="M760" s="62"/>
      <c r="N760" s="62"/>
      <c r="O760" s="59"/>
      <c r="P760" s="59"/>
      <c r="Q760" s="134"/>
    </row>
    <row r="761" ht="22.5" customHeight="1">
      <c r="A761" s="59"/>
      <c r="B761" s="59"/>
      <c r="C761" s="59"/>
      <c r="D761" s="62"/>
      <c r="E761" s="62"/>
      <c r="F761" s="59"/>
      <c r="G761" s="62"/>
      <c r="H761" s="59"/>
      <c r="I761" s="62"/>
      <c r="J761" s="63"/>
      <c r="K761" s="62"/>
      <c r="L761" s="63"/>
      <c r="M761" s="62"/>
      <c r="N761" s="62"/>
      <c r="O761" s="59"/>
      <c r="P761" s="59"/>
      <c r="Q761" s="134"/>
    </row>
    <row r="762" ht="22.5" customHeight="1">
      <c r="A762" s="59"/>
      <c r="B762" s="59"/>
      <c r="C762" s="59"/>
      <c r="D762" s="62"/>
      <c r="E762" s="62"/>
      <c r="F762" s="59"/>
      <c r="G762" s="62"/>
      <c r="H762" s="59"/>
      <c r="I762" s="62"/>
      <c r="J762" s="63"/>
      <c r="K762" s="62"/>
      <c r="L762" s="63"/>
      <c r="M762" s="62"/>
      <c r="N762" s="62"/>
      <c r="O762" s="59"/>
      <c r="P762" s="59"/>
      <c r="Q762" s="134"/>
    </row>
    <row r="763" ht="22.5" customHeight="1">
      <c r="A763" s="59"/>
      <c r="B763" s="59"/>
      <c r="C763" s="59"/>
      <c r="D763" s="62"/>
      <c r="E763" s="62"/>
      <c r="F763" s="59"/>
      <c r="G763" s="62"/>
      <c r="H763" s="59"/>
      <c r="I763" s="62"/>
      <c r="J763" s="63"/>
      <c r="K763" s="62"/>
      <c r="L763" s="63"/>
      <c r="M763" s="62"/>
      <c r="N763" s="62"/>
      <c r="O763" s="59"/>
      <c r="P763" s="59"/>
      <c r="Q763" s="134"/>
    </row>
    <row r="764" ht="22.5" customHeight="1">
      <c r="A764" s="59"/>
      <c r="B764" s="59"/>
      <c r="C764" s="59"/>
      <c r="D764" s="62"/>
      <c r="E764" s="62"/>
      <c r="F764" s="59"/>
      <c r="G764" s="62"/>
      <c r="H764" s="59"/>
      <c r="I764" s="62"/>
      <c r="J764" s="63"/>
      <c r="K764" s="62"/>
      <c r="L764" s="63"/>
      <c r="M764" s="62"/>
      <c r="N764" s="62"/>
      <c r="O764" s="59"/>
      <c r="P764" s="59"/>
      <c r="Q764" s="134"/>
    </row>
    <row r="765" ht="22.5" customHeight="1">
      <c r="A765" s="59"/>
      <c r="B765" s="59"/>
      <c r="C765" s="59"/>
      <c r="D765" s="62"/>
      <c r="E765" s="62"/>
      <c r="F765" s="59"/>
      <c r="G765" s="62"/>
      <c r="H765" s="59"/>
      <c r="I765" s="62"/>
      <c r="J765" s="63"/>
      <c r="K765" s="62"/>
      <c r="L765" s="63"/>
      <c r="M765" s="62"/>
      <c r="N765" s="62"/>
      <c r="O765" s="59"/>
      <c r="P765" s="59"/>
      <c r="Q765" s="134"/>
    </row>
    <row r="766" ht="22.5" customHeight="1">
      <c r="A766" s="59"/>
      <c r="B766" s="59"/>
      <c r="C766" s="59"/>
      <c r="D766" s="62"/>
      <c r="E766" s="62"/>
      <c r="F766" s="59"/>
      <c r="G766" s="62"/>
      <c r="H766" s="59"/>
      <c r="I766" s="62"/>
      <c r="J766" s="63"/>
      <c r="K766" s="62"/>
      <c r="L766" s="63"/>
      <c r="M766" s="62"/>
      <c r="N766" s="62"/>
      <c r="O766" s="59"/>
      <c r="P766" s="59"/>
      <c r="Q766" s="134"/>
    </row>
  </sheetData>
  <customSheetViews>
    <customSheetView guid="{6ECAD644-DDEB-4B8D-B9DD-F47069530A83}" filter="1" showAutoFilter="1">
      <autoFilter ref="$A$1:$Q$766"/>
    </customSheetView>
    <customSheetView guid="{42EE3BA9-A1E5-4649-B844-4E17ADFBEAF1}" filter="1" showAutoFilter="1">
      <autoFilter ref="$A$1:$Q$766"/>
    </customSheetView>
    <customSheetView guid="{4A970BB1-6E36-44B6-8E12-5CE6E6943B03}" filter="1" showAutoFilter="1">
      <autoFilter ref="$A$1:$Q$766"/>
    </customSheetView>
    <customSheetView guid="{6EDF69C4-4BEE-47E7-8294-0963EEE972A1}" filter="1" showAutoFilter="1">
      <autoFilter ref="$A$1:$Q$766"/>
    </customSheetView>
  </customSheetViews>
  <dataValidations>
    <dataValidation type="list" allowBlank="1" sqref="E2:E766">
      <formula1>"Contacted,Awaiting Response,Closed - Won,Closed - Lost,Call not Recieved,Referred to,Awaiting payment,international num ,form filled,enroll in next batch,demo "</formula1>
    </dataValidation>
    <dataValidation type="list" allowBlank="1" sqref="D2:D766">
      <formula1>"Call Attended,Not Attended"</formula1>
    </dataValidation>
    <dataValidation type="list" allowBlank="1" sqref="G2:G766 I2:I766 K2:K766 M2:M766">
      <formula1>"Call Recieved,Not Recieved,Please Call later,Not attempted,Client lost"</formula1>
    </dataValidation>
    <dataValidation type="list" allowBlank="1" sqref="N2:N766">
      <formula1>"non qualified,qualified"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13.63"/>
    <col customWidth="1" min="14" max="14" width="19.75"/>
    <col customWidth="1" min="15" max="15" width="61.3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58" t="s">
        <v>362</v>
      </c>
      <c r="O1" s="2" t="s">
        <v>13</v>
      </c>
      <c r="P1" s="2" t="s">
        <v>14</v>
      </c>
      <c r="Q1" s="2" t="s">
        <v>363</v>
      </c>
    </row>
    <row r="2" ht="22.5" customHeight="1">
      <c r="A2" s="60" t="s">
        <v>637</v>
      </c>
      <c r="B2" s="86" t="s">
        <v>1730</v>
      </c>
      <c r="C2" s="59"/>
      <c r="D2" s="61" t="s">
        <v>34</v>
      </c>
      <c r="E2" s="61" t="s">
        <v>409</v>
      </c>
      <c r="F2" s="59" t="s">
        <v>18</v>
      </c>
      <c r="G2" s="61" t="s">
        <v>19</v>
      </c>
      <c r="H2" s="59" t="s">
        <v>20</v>
      </c>
      <c r="I2" s="61" t="s">
        <v>19</v>
      </c>
      <c r="J2" s="63" t="s">
        <v>21</v>
      </c>
      <c r="K2" s="61" t="s">
        <v>31</v>
      </c>
      <c r="L2" s="63" t="s">
        <v>22</v>
      </c>
      <c r="M2" s="61" t="s">
        <v>640</v>
      </c>
      <c r="N2" s="61" t="s">
        <v>1731</v>
      </c>
      <c r="O2" s="59"/>
      <c r="P2" s="59"/>
      <c r="Q2" s="136">
        <v>45632.0</v>
      </c>
    </row>
    <row r="3" ht="22.5" customHeight="1">
      <c r="A3" s="60" t="s">
        <v>637</v>
      </c>
      <c r="B3" s="60" t="s">
        <v>1732</v>
      </c>
      <c r="C3" s="59"/>
      <c r="D3" s="61" t="s">
        <v>34</v>
      </c>
      <c r="E3" s="61" t="s">
        <v>49</v>
      </c>
      <c r="F3" s="59" t="s">
        <v>18</v>
      </c>
      <c r="G3" s="61" t="s">
        <v>50</v>
      </c>
      <c r="H3" s="59" t="s">
        <v>20</v>
      </c>
      <c r="I3" s="61" t="s">
        <v>50</v>
      </c>
      <c r="J3" s="63" t="s">
        <v>21</v>
      </c>
      <c r="K3" s="61" t="s">
        <v>31</v>
      </c>
      <c r="L3" s="63" t="s">
        <v>22</v>
      </c>
      <c r="M3" s="61" t="s">
        <v>50</v>
      </c>
      <c r="N3" s="61" t="s">
        <v>1731</v>
      </c>
      <c r="O3" s="59"/>
      <c r="P3" s="59"/>
      <c r="Q3" s="136">
        <v>45632.0</v>
      </c>
    </row>
    <row r="4" ht="22.5" customHeight="1">
      <c r="A4" s="60" t="s">
        <v>637</v>
      </c>
      <c r="B4" s="110" t="s">
        <v>1733</v>
      </c>
      <c r="C4" s="59"/>
      <c r="D4" s="61" t="s">
        <v>34</v>
      </c>
      <c r="E4" s="61" t="s">
        <v>40</v>
      </c>
      <c r="F4" s="59" t="s">
        <v>18</v>
      </c>
      <c r="G4" s="61" t="s">
        <v>19</v>
      </c>
      <c r="H4" s="59" t="s">
        <v>20</v>
      </c>
      <c r="I4" s="61" t="s">
        <v>31</v>
      </c>
      <c r="J4" s="63" t="s">
        <v>21</v>
      </c>
      <c r="K4" s="61" t="s">
        <v>640</v>
      </c>
      <c r="L4" s="63" t="s">
        <v>22</v>
      </c>
      <c r="M4" s="61" t="s">
        <v>640</v>
      </c>
      <c r="N4" s="61" t="s">
        <v>1731</v>
      </c>
      <c r="O4" s="60"/>
      <c r="P4" s="59"/>
      <c r="Q4" s="136">
        <v>45632.0</v>
      </c>
    </row>
    <row r="5" ht="22.5" customHeight="1">
      <c r="A5" s="60" t="s">
        <v>637</v>
      </c>
      <c r="B5" s="60" t="s">
        <v>1734</v>
      </c>
      <c r="C5" s="59"/>
      <c r="D5" s="61" t="s">
        <v>34</v>
      </c>
      <c r="E5" s="61" t="s">
        <v>40</v>
      </c>
      <c r="F5" s="59" t="s">
        <v>18</v>
      </c>
      <c r="G5" s="61" t="s">
        <v>640</v>
      </c>
      <c r="H5" s="59" t="s">
        <v>20</v>
      </c>
      <c r="I5" s="61" t="s">
        <v>31</v>
      </c>
      <c r="J5" s="63" t="s">
        <v>21</v>
      </c>
      <c r="K5" s="61" t="s">
        <v>19</v>
      </c>
      <c r="L5" s="63" t="s">
        <v>22</v>
      </c>
      <c r="M5" s="61" t="s">
        <v>640</v>
      </c>
      <c r="N5" s="61" t="s">
        <v>1731</v>
      </c>
      <c r="O5" s="60" t="s">
        <v>1735</v>
      </c>
      <c r="P5" s="59"/>
      <c r="Q5" s="136">
        <v>45632.0</v>
      </c>
    </row>
    <row r="6" ht="22.5" customHeight="1">
      <c r="A6" s="60" t="s">
        <v>637</v>
      </c>
      <c r="B6" s="64" t="s">
        <v>1736</v>
      </c>
      <c r="C6" s="59"/>
      <c r="D6" s="61" t="s">
        <v>34</v>
      </c>
      <c r="E6" s="61" t="s">
        <v>49</v>
      </c>
      <c r="F6" s="59" t="s">
        <v>18</v>
      </c>
      <c r="G6" s="61" t="s">
        <v>50</v>
      </c>
      <c r="H6" s="59" t="s">
        <v>20</v>
      </c>
      <c r="I6" s="61" t="s">
        <v>50</v>
      </c>
      <c r="J6" s="63" t="s">
        <v>21</v>
      </c>
      <c r="K6" s="61" t="s">
        <v>31</v>
      </c>
      <c r="L6" s="63" t="s">
        <v>22</v>
      </c>
      <c r="M6" s="61" t="s">
        <v>50</v>
      </c>
      <c r="N6" s="61" t="s">
        <v>1731</v>
      </c>
      <c r="O6" s="60" t="s">
        <v>372</v>
      </c>
      <c r="P6" s="59"/>
      <c r="Q6" s="136">
        <v>45632.0</v>
      </c>
    </row>
    <row r="7" ht="22.5" customHeight="1">
      <c r="A7" s="60" t="s">
        <v>637</v>
      </c>
      <c r="B7" s="60" t="s">
        <v>1737</v>
      </c>
      <c r="C7" s="59"/>
      <c r="D7" s="61" t="s">
        <v>34</v>
      </c>
      <c r="E7" s="61" t="s">
        <v>40</v>
      </c>
      <c r="F7" s="59" t="s">
        <v>18</v>
      </c>
      <c r="G7" s="61" t="s">
        <v>640</v>
      </c>
      <c r="H7" s="59" t="s">
        <v>20</v>
      </c>
      <c r="I7" s="61" t="s">
        <v>640</v>
      </c>
      <c r="J7" s="63" t="s">
        <v>21</v>
      </c>
      <c r="K7" s="61" t="s">
        <v>31</v>
      </c>
      <c r="L7" s="63" t="s">
        <v>22</v>
      </c>
      <c r="M7" s="61" t="s">
        <v>19</v>
      </c>
      <c r="N7" s="61" t="s">
        <v>1731</v>
      </c>
      <c r="O7" s="60" t="s">
        <v>696</v>
      </c>
      <c r="P7" s="59"/>
      <c r="Q7" s="136">
        <v>45632.0</v>
      </c>
    </row>
    <row r="8" ht="22.5" customHeight="1">
      <c r="A8" s="60" t="s">
        <v>637</v>
      </c>
      <c r="B8" s="60" t="s">
        <v>1738</v>
      </c>
      <c r="C8" s="59"/>
      <c r="D8" s="61" t="s">
        <v>16</v>
      </c>
      <c r="E8" s="61" t="s">
        <v>17</v>
      </c>
      <c r="F8" s="59" t="s">
        <v>18</v>
      </c>
      <c r="G8" s="61" t="s">
        <v>19</v>
      </c>
      <c r="H8" s="59" t="s">
        <v>20</v>
      </c>
      <c r="I8" s="61" t="s">
        <v>19</v>
      </c>
      <c r="J8" s="63" t="s">
        <v>21</v>
      </c>
      <c r="K8" s="61" t="s">
        <v>19</v>
      </c>
      <c r="L8" s="63" t="s">
        <v>22</v>
      </c>
      <c r="M8" s="61" t="s">
        <v>640</v>
      </c>
      <c r="N8" s="61" t="s">
        <v>1731</v>
      </c>
      <c r="O8" s="60"/>
      <c r="P8" s="59"/>
      <c r="Q8" s="136">
        <v>45632.0</v>
      </c>
    </row>
    <row r="9" ht="22.5" customHeight="1">
      <c r="A9" s="60" t="s">
        <v>637</v>
      </c>
      <c r="B9" s="60" t="s">
        <v>1739</v>
      </c>
      <c r="C9" s="59"/>
      <c r="D9" s="61" t="s">
        <v>16</v>
      </c>
      <c r="E9" s="61" t="s">
        <v>17</v>
      </c>
      <c r="F9" s="59" t="s">
        <v>18</v>
      </c>
      <c r="G9" s="61" t="s">
        <v>19</v>
      </c>
      <c r="H9" s="59" t="s">
        <v>20</v>
      </c>
      <c r="I9" s="61" t="s">
        <v>19</v>
      </c>
      <c r="J9" s="63" t="s">
        <v>21</v>
      </c>
      <c r="K9" s="61" t="s">
        <v>19</v>
      </c>
      <c r="L9" s="63" t="s">
        <v>22</v>
      </c>
      <c r="M9" s="61" t="s">
        <v>640</v>
      </c>
      <c r="N9" s="61" t="s">
        <v>1731</v>
      </c>
      <c r="O9" s="60"/>
      <c r="P9" s="59"/>
      <c r="Q9" s="136">
        <v>45632.0</v>
      </c>
    </row>
    <row r="10" ht="22.5" customHeight="1">
      <c r="A10" s="60" t="s">
        <v>637</v>
      </c>
      <c r="B10" s="60" t="s">
        <v>1740</v>
      </c>
      <c r="C10" s="59"/>
      <c r="D10" s="61" t="s">
        <v>16</v>
      </c>
      <c r="E10" s="61" t="s">
        <v>17</v>
      </c>
      <c r="F10" s="59" t="s">
        <v>18</v>
      </c>
      <c r="G10" s="61" t="s">
        <v>19</v>
      </c>
      <c r="H10" s="59" t="s">
        <v>20</v>
      </c>
      <c r="I10" s="61" t="s">
        <v>19</v>
      </c>
      <c r="J10" s="63" t="s">
        <v>21</v>
      </c>
      <c r="K10" s="61" t="s">
        <v>19</v>
      </c>
      <c r="L10" s="63" t="s">
        <v>22</v>
      </c>
      <c r="M10" s="61" t="s">
        <v>640</v>
      </c>
      <c r="N10" s="61" t="s">
        <v>1731</v>
      </c>
      <c r="O10" s="59"/>
      <c r="P10" s="59"/>
      <c r="Q10" s="136">
        <v>45632.0</v>
      </c>
    </row>
    <row r="11" ht="22.5" customHeight="1">
      <c r="A11" s="60" t="s">
        <v>637</v>
      </c>
      <c r="B11" s="60" t="s">
        <v>1741</v>
      </c>
      <c r="C11" s="59"/>
      <c r="D11" s="61" t="s">
        <v>16</v>
      </c>
      <c r="E11" s="61" t="s">
        <v>17</v>
      </c>
      <c r="F11" s="59" t="s">
        <v>18</v>
      </c>
      <c r="G11" s="61" t="s">
        <v>19</v>
      </c>
      <c r="H11" s="59" t="s">
        <v>20</v>
      </c>
      <c r="I11" s="61" t="s">
        <v>19</v>
      </c>
      <c r="J11" s="63" t="s">
        <v>21</v>
      </c>
      <c r="K11" s="61" t="s">
        <v>19</v>
      </c>
      <c r="L11" s="63" t="s">
        <v>22</v>
      </c>
      <c r="M11" s="61" t="s">
        <v>640</v>
      </c>
      <c r="N11" s="61" t="s">
        <v>1731</v>
      </c>
      <c r="O11" s="59"/>
      <c r="P11" s="59"/>
      <c r="Q11" s="136">
        <v>45632.0</v>
      </c>
    </row>
    <row r="12" ht="22.5" customHeight="1">
      <c r="A12" s="60" t="s">
        <v>637</v>
      </c>
      <c r="B12" s="82" t="s">
        <v>1742</v>
      </c>
      <c r="C12" s="59"/>
      <c r="D12" s="61" t="s">
        <v>34</v>
      </c>
      <c r="E12" s="61" t="s">
        <v>49</v>
      </c>
      <c r="F12" s="59" t="s">
        <v>18</v>
      </c>
      <c r="G12" s="61" t="s">
        <v>31</v>
      </c>
      <c r="H12" s="59" t="s">
        <v>20</v>
      </c>
      <c r="I12" s="61" t="s">
        <v>50</v>
      </c>
      <c r="J12" s="63" t="s">
        <v>21</v>
      </c>
      <c r="K12" s="61" t="s">
        <v>31</v>
      </c>
      <c r="L12" s="63" t="s">
        <v>22</v>
      </c>
      <c r="M12" s="61" t="s">
        <v>31</v>
      </c>
      <c r="N12" s="61" t="s">
        <v>1731</v>
      </c>
      <c r="O12" s="60" t="s">
        <v>1743</v>
      </c>
      <c r="P12" s="59"/>
      <c r="Q12" s="136">
        <v>45632.0</v>
      </c>
    </row>
    <row r="13" ht="22.5" customHeight="1">
      <c r="A13" s="60" t="s">
        <v>637</v>
      </c>
      <c r="B13" s="88" t="s">
        <v>1744</v>
      </c>
      <c r="C13" s="59"/>
      <c r="D13" s="61" t="s">
        <v>34</v>
      </c>
      <c r="E13" s="61" t="s">
        <v>49</v>
      </c>
      <c r="F13" s="59" t="s">
        <v>18</v>
      </c>
      <c r="G13" s="61" t="s">
        <v>640</v>
      </c>
      <c r="H13" s="59" t="s">
        <v>20</v>
      </c>
      <c r="I13" s="61" t="s">
        <v>640</v>
      </c>
      <c r="J13" s="63" t="s">
        <v>21</v>
      </c>
      <c r="K13" s="61" t="s">
        <v>31</v>
      </c>
      <c r="L13" s="63" t="s">
        <v>22</v>
      </c>
      <c r="M13" s="61" t="s">
        <v>640</v>
      </c>
      <c r="N13" s="61" t="s">
        <v>1731</v>
      </c>
      <c r="O13" s="60" t="s">
        <v>1745</v>
      </c>
      <c r="P13" s="59"/>
      <c r="Q13" s="136">
        <v>45632.0</v>
      </c>
    </row>
    <row r="14" ht="22.5" customHeight="1">
      <c r="A14" s="60" t="s">
        <v>637</v>
      </c>
      <c r="B14" s="82" t="s">
        <v>1746</v>
      </c>
      <c r="C14" s="59"/>
      <c r="D14" s="61" t="s">
        <v>34</v>
      </c>
      <c r="E14" s="61" t="s">
        <v>40</v>
      </c>
      <c r="F14" s="59" t="s">
        <v>18</v>
      </c>
      <c r="G14" s="61" t="s">
        <v>640</v>
      </c>
      <c r="H14" s="59" t="s">
        <v>20</v>
      </c>
      <c r="I14" s="61" t="s">
        <v>640</v>
      </c>
      <c r="J14" s="63" t="s">
        <v>21</v>
      </c>
      <c r="K14" s="61" t="s">
        <v>31</v>
      </c>
      <c r="L14" s="63" t="s">
        <v>22</v>
      </c>
      <c r="M14" s="61" t="s">
        <v>31</v>
      </c>
      <c r="N14" s="61" t="s">
        <v>1731</v>
      </c>
      <c r="O14" s="60" t="s">
        <v>908</v>
      </c>
      <c r="P14" s="59"/>
      <c r="Q14" s="136">
        <v>45632.0</v>
      </c>
    </row>
    <row r="15" ht="22.5" customHeight="1">
      <c r="A15" s="60" t="s">
        <v>637</v>
      </c>
      <c r="B15" s="60" t="s">
        <v>1747</v>
      </c>
      <c r="C15" s="59"/>
      <c r="D15" s="61" t="s">
        <v>34</v>
      </c>
      <c r="E15" s="61" t="s">
        <v>40</v>
      </c>
      <c r="F15" s="59" t="s">
        <v>18</v>
      </c>
      <c r="G15" s="61" t="s">
        <v>640</v>
      </c>
      <c r="H15" s="59" t="s">
        <v>20</v>
      </c>
      <c r="I15" s="61" t="s">
        <v>640</v>
      </c>
      <c r="J15" s="63" t="s">
        <v>21</v>
      </c>
      <c r="K15" s="61" t="s">
        <v>31</v>
      </c>
      <c r="L15" s="63" t="s">
        <v>22</v>
      </c>
      <c r="M15" s="61" t="s">
        <v>19</v>
      </c>
      <c r="N15" s="61" t="s">
        <v>1731</v>
      </c>
      <c r="O15" s="60" t="s">
        <v>1748</v>
      </c>
      <c r="P15" s="59"/>
      <c r="Q15" s="136">
        <v>45632.0</v>
      </c>
    </row>
    <row r="16" ht="22.5" customHeight="1">
      <c r="A16" s="60" t="s">
        <v>637</v>
      </c>
      <c r="B16" s="60" t="s">
        <v>1749</v>
      </c>
      <c r="C16" s="59"/>
      <c r="D16" s="61" t="s">
        <v>16</v>
      </c>
      <c r="E16" s="61" t="s">
        <v>17</v>
      </c>
      <c r="F16" s="59" t="s">
        <v>18</v>
      </c>
      <c r="G16" s="61" t="s">
        <v>19</v>
      </c>
      <c r="H16" s="59" t="s">
        <v>20</v>
      </c>
      <c r="I16" s="61" t="s">
        <v>19</v>
      </c>
      <c r="J16" s="63" t="s">
        <v>21</v>
      </c>
      <c r="K16" s="61" t="s">
        <v>19</v>
      </c>
      <c r="L16" s="63" t="s">
        <v>22</v>
      </c>
      <c r="M16" s="61" t="s">
        <v>640</v>
      </c>
      <c r="N16" s="61" t="s">
        <v>1731</v>
      </c>
      <c r="O16" s="59"/>
      <c r="P16" s="59"/>
      <c r="Q16" s="136">
        <v>45632.0</v>
      </c>
    </row>
    <row r="17" ht="22.5" customHeight="1">
      <c r="A17" s="60" t="s">
        <v>637</v>
      </c>
      <c r="B17" s="60" t="s">
        <v>1750</v>
      </c>
      <c r="C17" s="59"/>
      <c r="D17" s="61" t="s">
        <v>34</v>
      </c>
      <c r="E17" s="61" t="s">
        <v>49</v>
      </c>
      <c r="F17" s="59" t="s">
        <v>18</v>
      </c>
      <c r="G17" s="61" t="s">
        <v>50</v>
      </c>
      <c r="H17" s="59" t="s">
        <v>20</v>
      </c>
      <c r="I17" s="61" t="s">
        <v>31</v>
      </c>
      <c r="J17" s="63" t="s">
        <v>21</v>
      </c>
      <c r="K17" s="61" t="s">
        <v>50</v>
      </c>
      <c r="L17" s="63" t="s">
        <v>22</v>
      </c>
      <c r="M17" s="61" t="s">
        <v>50</v>
      </c>
      <c r="N17" s="61" t="s">
        <v>1731</v>
      </c>
      <c r="O17" s="60" t="s">
        <v>372</v>
      </c>
      <c r="P17" s="59"/>
      <c r="Q17" s="69" t="s">
        <v>1751</v>
      </c>
    </row>
    <row r="18" ht="22.5" customHeight="1">
      <c r="A18" s="60" t="s">
        <v>637</v>
      </c>
      <c r="B18" s="60" t="s">
        <v>1752</v>
      </c>
      <c r="C18" s="59"/>
      <c r="D18" s="61" t="s">
        <v>34</v>
      </c>
      <c r="E18" s="61" t="s">
        <v>49</v>
      </c>
      <c r="F18" s="59" t="s">
        <v>18</v>
      </c>
      <c r="G18" s="61" t="s">
        <v>50</v>
      </c>
      <c r="H18" s="59" t="s">
        <v>20</v>
      </c>
      <c r="I18" s="61" t="s">
        <v>50</v>
      </c>
      <c r="J18" s="63" t="s">
        <v>21</v>
      </c>
      <c r="K18" s="61" t="s">
        <v>50</v>
      </c>
      <c r="L18" s="63" t="s">
        <v>22</v>
      </c>
      <c r="M18" s="61" t="s">
        <v>31</v>
      </c>
      <c r="N18" s="61" t="s">
        <v>1731</v>
      </c>
      <c r="O18" s="60" t="s">
        <v>372</v>
      </c>
      <c r="P18" s="59"/>
      <c r="Q18" s="136">
        <v>45632.0</v>
      </c>
    </row>
    <row r="19" ht="22.5" customHeight="1">
      <c r="A19" s="60" t="s">
        <v>637</v>
      </c>
      <c r="B19" s="60" t="s">
        <v>1753</v>
      </c>
      <c r="C19" s="59"/>
      <c r="D19" s="61" t="s">
        <v>16</v>
      </c>
      <c r="E19" s="61" t="s">
        <v>17</v>
      </c>
      <c r="F19" s="59" t="s">
        <v>18</v>
      </c>
      <c r="G19" s="61" t="s">
        <v>19</v>
      </c>
      <c r="H19" s="59" t="s">
        <v>20</v>
      </c>
      <c r="I19" s="61" t="s">
        <v>19</v>
      </c>
      <c r="J19" s="63" t="s">
        <v>21</v>
      </c>
      <c r="K19" s="61" t="s">
        <v>640</v>
      </c>
      <c r="L19" s="63" t="s">
        <v>22</v>
      </c>
      <c r="M19" s="61" t="s">
        <v>19</v>
      </c>
      <c r="N19" s="61" t="s">
        <v>1731</v>
      </c>
      <c r="O19" s="60"/>
      <c r="P19" s="59"/>
      <c r="Q19" s="136">
        <v>45632.0</v>
      </c>
    </row>
    <row r="20" ht="22.5" customHeight="1">
      <c r="A20" s="60" t="s">
        <v>637</v>
      </c>
      <c r="B20" s="60" t="s">
        <v>1754</v>
      </c>
      <c r="C20" s="59"/>
      <c r="D20" s="61" t="s">
        <v>16</v>
      </c>
      <c r="E20" s="61" t="s">
        <v>17</v>
      </c>
      <c r="F20" s="59" t="s">
        <v>18</v>
      </c>
      <c r="G20" s="61" t="s">
        <v>19</v>
      </c>
      <c r="H20" s="59" t="s">
        <v>20</v>
      </c>
      <c r="I20" s="61" t="s">
        <v>19</v>
      </c>
      <c r="J20" s="63" t="s">
        <v>21</v>
      </c>
      <c r="K20" s="61" t="s">
        <v>640</v>
      </c>
      <c r="L20" s="63" t="s">
        <v>22</v>
      </c>
      <c r="M20" s="61" t="s">
        <v>19</v>
      </c>
      <c r="N20" s="61" t="s">
        <v>1731</v>
      </c>
      <c r="O20" s="60"/>
      <c r="P20" s="59"/>
      <c r="Q20" s="136">
        <v>45632.0</v>
      </c>
    </row>
    <row r="21" ht="22.5" customHeight="1">
      <c r="A21" s="60" t="s">
        <v>637</v>
      </c>
      <c r="B21" s="60" t="s">
        <v>1755</v>
      </c>
      <c r="C21" s="59"/>
      <c r="D21" s="61" t="s">
        <v>16</v>
      </c>
      <c r="E21" s="61" t="s">
        <v>17</v>
      </c>
      <c r="F21" s="59" t="s">
        <v>18</v>
      </c>
      <c r="G21" s="61" t="s">
        <v>19</v>
      </c>
      <c r="H21" s="59" t="s">
        <v>20</v>
      </c>
      <c r="I21" s="61" t="s">
        <v>19</v>
      </c>
      <c r="J21" s="63" t="s">
        <v>21</v>
      </c>
      <c r="K21" s="61" t="s">
        <v>640</v>
      </c>
      <c r="L21" s="63" t="s">
        <v>22</v>
      </c>
      <c r="M21" s="61" t="s">
        <v>19</v>
      </c>
      <c r="N21" s="61" t="s">
        <v>1731</v>
      </c>
      <c r="O21" s="60"/>
      <c r="P21" s="59"/>
      <c r="Q21" s="136">
        <v>45632.0</v>
      </c>
    </row>
    <row r="22" ht="22.5" customHeight="1">
      <c r="A22" s="60" t="s">
        <v>637</v>
      </c>
      <c r="B22" s="60" t="s">
        <v>1756</v>
      </c>
      <c r="C22" s="59"/>
      <c r="D22" s="61" t="s">
        <v>34</v>
      </c>
      <c r="E22" s="61" t="s">
        <v>49</v>
      </c>
      <c r="F22" s="59" t="s">
        <v>18</v>
      </c>
      <c r="G22" s="61" t="s">
        <v>50</v>
      </c>
      <c r="H22" s="59" t="s">
        <v>20</v>
      </c>
      <c r="I22" s="61" t="s">
        <v>50</v>
      </c>
      <c r="J22" s="63" t="s">
        <v>21</v>
      </c>
      <c r="K22" s="61" t="s">
        <v>50</v>
      </c>
      <c r="L22" s="63" t="s">
        <v>22</v>
      </c>
      <c r="M22" s="61" t="s">
        <v>31</v>
      </c>
      <c r="N22" s="61" t="s">
        <v>1731</v>
      </c>
      <c r="O22" s="59"/>
      <c r="P22" s="59"/>
      <c r="Q22" s="136">
        <v>45632.0</v>
      </c>
    </row>
    <row r="23" ht="22.5" customHeight="1">
      <c r="A23" s="60" t="s">
        <v>637</v>
      </c>
      <c r="B23" s="60" t="s">
        <v>1757</v>
      </c>
      <c r="C23" s="59"/>
      <c r="D23" s="61" t="s">
        <v>16</v>
      </c>
      <c r="E23" s="61" t="s">
        <v>17</v>
      </c>
      <c r="F23" s="59" t="s">
        <v>18</v>
      </c>
      <c r="G23" s="61" t="s">
        <v>640</v>
      </c>
      <c r="H23" s="59" t="s">
        <v>20</v>
      </c>
      <c r="I23" s="61" t="s">
        <v>19</v>
      </c>
      <c r="J23" s="63" t="s">
        <v>21</v>
      </c>
      <c r="K23" s="61" t="s">
        <v>19</v>
      </c>
      <c r="L23" s="63" t="s">
        <v>22</v>
      </c>
      <c r="M23" s="61" t="s">
        <v>19</v>
      </c>
      <c r="N23" s="61" t="s">
        <v>1731</v>
      </c>
      <c r="O23" s="59"/>
      <c r="P23" s="59"/>
      <c r="Q23" s="136">
        <v>45632.0</v>
      </c>
    </row>
    <row r="24" ht="22.5" customHeight="1">
      <c r="A24" s="60" t="s">
        <v>637</v>
      </c>
      <c r="B24" s="60" t="s">
        <v>1758</v>
      </c>
      <c r="C24" s="59"/>
      <c r="D24" s="61" t="s">
        <v>34</v>
      </c>
      <c r="E24" s="61" t="s">
        <v>49</v>
      </c>
      <c r="F24" s="59" t="s">
        <v>18</v>
      </c>
      <c r="G24" s="61" t="s">
        <v>50</v>
      </c>
      <c r="H24" s="59" t="s">
        <v>20</v>
      </c>
      <c r="I24" s="61" t="s">
        <v>50</v>
      </c>
      <c r="J24" s="63" t="s">
        <v>21</v>
      </c>
      <c r="K24" s="61" t="s">
        <v>50</v>
      </c>
      <c r="L24" s="63" t="s">
        <v>22</v>
      </c>
      <c r="M24" s="61" t="s">
        <v>31</v>
      </c>
      <c r="N24" s="61" t="s">
        <v>1731</v>
      </c>
      <c r="O24" s="60" t="s">
        <v>372</v>
      </c>
      <c r="P24" s="59"/>
      <c r="Q24" s="136">
        <v>45632.0</v>
      </c>
    </row>
    <row r="25" ht="22.5" customHeight="1">
      <c r="A25" s="60" t="s">
        <v>637</v>
      </c>
      <c r="B25" s="60" t="s">
        <v>1759</v>
      </c>
      <c r="C25" s="59"/>
      <c r="D25" s="61" t="s">
        <v>34</v>
      </c>
      <c r="E25" s="61" t="s">
        <v>49</v>
      </c>
      <c r="F25" s="59" t="s">
        <v>18</v>
      </c>
      <c r="G25" s="61" t="s">
        <v>50</v>
      </c>
      <c r="H25" s="59" t="s">
        <v>20</v>
      </c>
      <c r="I25" s="61" t="s">
        <v>31</v>
      </c>
      <c r="J25" s="63" t="s">
        <v>21</v>
      </c>
      <c r="K25" s="61" t="s">
        <v>50</v>
      </c>
      <c r="L25" s="63" t="s">
        <v>22</v>
      </c>
      <c r="M25" s="61" t="s">
        <v>50</v>
      </c>
      <c r="N25" s="61" t="s">
        <v>1731</v>
      </c>
      <c r="O25" s="60" t="s">
        <v>372</v>
      </c>
      <c r="P25" s="59"/>
      <c r="Q25" s="136">
        <v>45632.0</v>
      </c>
    </row>
    <row r="26" ht="22.5" customHeight="1">
      <c r="A26" s="60" t="s">
        <v>637</v>
      </c>
      <c r="B26" s="60" t="s">
        <v>1760</v>
      </c>
      <c r="C26" s="59"/>
      <c r="D26" s="61" t="s">
        <v>34</v>
      </c>
      <c r="E26" s="61" t="s">
        <v>49</v>
      </c>
      <c r="F26" s="59" t="s">
        <v>18</v>
      </c>
      <c r="G26" s="61" t="s">
        <v>31</v>
      </c>
      <c r="H26" s="59" t="s">
        <v>20</v>
      </c>
      <c r="I26" s="61" t="s">
        <v>50</v>
      </c>
      <c r="J26" s="63" t="s">
        <v>21</v>
      </c>
      <c r="K26" s="61" t="s">
        <v>50</v>
      </c>
      <c r="L26" s="63" t="s">
        <v>22</v>
      </c>
      <c r="M26" s="61" t="s">
        <v>50</v>
      </c>
      <c r="N26" s="61" t="s">
        <v>1731</v>
      </c>
      <c r="O26" s="60" t="s">
        <v>372</v>
      </c>
      <c r="P26" s="59"/>
      <c r="Q26" s="136">
        <v>45632.0</v>
      </c>
    </row>
    <row r="27" ht="22.5" customHeight="1">
      <c r="A27" s="60" t="s">
        <v>637</v>
      </c>
      <c r="B27" s="60" t="s">
        <v>1761</v>
      </c>
      <c r="C27" s="59"/>
      <c r="D27" s="61" t="s">
        <v>16</v>
      </c>
      <c r="E27" s="61" t="s">
        <v>17</v>
      </c>
      <c r="F27" s="59" t="s">
        <v>18</v>
      </c>
      <c r="G27" s="61" t="s">
        <v>640</v>
      </c>
      <c r="H27" s="59" t="s">
        <v>20</v>
      </c>
      <c r="I27" s="61" t="s">
        <v>19</v>
      </c>
      <c r="J27" s="63" t="s">
        <v>21</v>
      </c>
      <c r="K27" s="61" t="s">
        <v>19</v>
      </c>
      <c r="L27" s="63" t="s">
        <v>22</v>
      </c>
      <c r="M27" s="61" t="s">
        <v>19</v>
      </c>
      <c r="N27" s="61" t="s">
        <v>1731</v>
      </c>
      <c r="O27" s="59"/>
      <c r="P27" s="59"/>
      <c r="Q27" s="136">
        <v>45632.0</v>
      </c>
    </row>
    <row r="28" ht="22.5" customHeight="1">
      <c r="A28" s="60" t="s">
        <v>637</v>
      </c>
      <c r="B28" s="60" t="s">
        <v>1762</v>
      </c>
      <c r="C28" s="59"/>
      <c r="D28" s="61" t="s">
        <v>16</v>
      </c>
      <c r="E28" s="61" t="s">
        <v>17</v>
      </c>
      <c r="F28" s="59" t="s">
        <v>18</v>
      </c>
      <c r="G28" s="61" t="s">
        <v>640</v>
      </c>
      <c r="H28" s="59" t="s">
        <v>20</v>
      </c>
      <c r="I28" s="61" t="s">
        <v>19</v>
      </c>
      <c r="J28" s="63" t="s">
        <v>21</v>
      </c>
      <c r="K28" s="61" t="s">
        <v>19</v>
      </c>
      <c r="L28" s="63" t="s">
        <v>22</v>
      </c>
      <c r="M28" s="61" t="s">
        <v>19</v>
      </c>
      <c r="N28" s="61" t="s">
        <v>1731</v>
      </c>
      <c r="O28" s="59"/>
      <c r="P28" s="59"/>
      <c r="Q28" s="136">
        <v>45632.0</v>
      </c>
    </row>
    <row r="29" ht="22.5" customHeight="1">
      <c r="A29" s="60" t="s">
        <v>637</v>
      </c>
      <c r="B29" s="86" t="s">
        <v>1763</v>
      </c>
      <c r="C29" s="59"/>
      <c r="D29" s="61" t="s">
        <v>34</v>
      </c>
      <c r="E29" s="61" t="s">
        <v>409</v>
      </c>
      <c r="F29" s="59" t="s">
        <v>18</v>
      </c>
      <c r="G29" s="61" t="s">
        <v>640</v>
      </c>
      <c r="H29" s="59" t="s">
        <v>20</v>
      </c>
      <c r="I29" s="61" t="s">
        <v>640</v>
      </c>
      <c r="J29" s="63" t="s">
        <v>21</v>
      </c>
      <c r="K29" s="61" t="s">
        <v>640</v>
      </c>
      <c r="L29" s="63" t="s">
        <v>22</v>
      </c>
      <c r="M29" s="61" t="s">
        <v>31</v>
      </c>
      <c r="N29" s="61" t="s">
        <v>1731</v>
      </c>
      <c r="O29" s="60" t="s">
        <v>1764</v>
      </c>
      <c r="P29" s="59"/>
      <c r="Q29" s="136">
        <v>45632.0</v>
      </c>
    </row>
    <row r="30" ht="22.5" customHeight="1">
      <c r="A30" s="60" t="s">
        <v>637</v>
      </c>
      <c r="B30" s="60" t="s">
        <v>1765</v>
      </c>
      <c r="C30" s="59"/>
      <c r="D30" s="61" t="s">
        <v>34</v>
      </c>
      <c r="E30" s="61" t="s">
        <v>49</v>
      </c>
      <c r="F30" s="59" t="s">
        <v>18</v>
      </c>
      <c r="G30" s="61" t="s">
        <v>50</v>
      </c>
      <c r="H30" s="59" t="s">
        <v>20</v>
      </c>
      <c r="I30" s="61" t="s">
        <v>50</v>
      </c>
      <c r="J30" s="63" t="s">
        <v>21</v>
      </c>
      <c r="K30" s="61" t="s">
        <v>50</v>
      </c>
      <c r="L30" s="63" t="s">
        <v>22</v>
      </c>
      <c r="M30" s="61" t="s">
        <v>31</v>
      </c>
      <c r="N30" s="61" t="s">
        <v>1731</v>
      </c>
      <c r="O30" s="60" t="s">
        <v>372</v>
      </c>
      <c r="P30" s="59"/>
      <c r="Q30" s="136">
        <v>45632.0</v>
      </c>
    </row>
    <row r="31" ht="22.5" customHeight="1">
      <c r="A31" s="60" t="s">
        <v>637</v>
      </c>
      <c r="B31" s="60" t="s">
        <v>1734</v>
      </c>
      <c r="C31" s="59"/>
      <c r="D31" s="61" t="s">
        <v>34</v>
      </c>
      <c r="E31" s="61" t="s">
        <v>409</v>
      </c>
      <c r="F31" s="59" t="s">
        <v>18</v>
      </c>
      <c r="G31" s="61" t="s">
        <v>31</v>
      </c>
      <c r="H31" s="59" t="s">
        <v>20</v>
      </c>
      <c r="I31" s="61" t="s">
        <v>31</v>
      </c>
      <c r="J31" s="63" t="s">
        <v>21</v>
      </c>
      <c r="K31" s="61" t="s">
        <v>640</v>
      </c>
      <c r="L31" s="63" t="s">
        <v>22</v>
      </c>
      <c r="M31" s="61" t="s">
        <v>31</v>
      </c>
      <c r="N31" s="61" t="s">
        <v>1731</v>
      </c>
      <c r="O31" s="59"/>
      <c r="P31" s="59"/>
      <c r="Q31" s="136">
        <v>45632.0</v>
      </c>
    </row>
    <row r="32" ht="22.5" customHeight="1">
      <c r="A32" s="60" t="s">
        <v>637</v>
      </c>
      <c r="B32" s="88" t="s">
        <v>1766</v>
      </c>
      <c r="C32" s="59"/>
      <c r="D32" s="61" t="s">
        <v>34</v>
      </c>
      <c r="E32" s="61" t="s">
        <v>409</v>
      </c>
      <c r="F32" s="59" t="s">
        <v>18</v>
      </c>
      <c r="G32" s="61" t="s">
        <v>640</v>
      </c>
      <c r="H32" s="59" t="s">
        <v>20</v>
      </c>
      <c r="I32" s="61" t="s">
        <v>640</v>
      </c>
      <c r="J32" s="63" t="s">
        <v>21</v>
      </c>
      <c r="K32" s="61" t="s">
        <v>640</v>
      </c>
      <c r="L32" s="63" t="s">
        <v>22</v>
      </c>
      <c r="M32" s="61" t="s">
        <v>31</v>
      </c>
      <c r="N32" s="61" t="s">
        <v>1731</v>
      </c>
      <c r="O32" s="60" t="s">
        <v>1767</v>
      </c>
      <c r="P32" s="59"/>
      <c r="Q32" s="136">
        <v>45632.0</v>
      </c>
    </row>
    <row r="33" ht="22.5" customHeight="1">
      <c r="A33" s="60" t="s">
        <v>637</v>
      </c>
      <c r="B33" s="60" t="s">
        <v>1768</v>
      </c>
      <c r="C33" s="59"/>
      <c r="D33" s="61" t="s">
        <v>16</v>
      </c>
      <c r="E33" s="61" t="s">
        <v>419</v>
      </c>
      <c r="F33" s="59" t="s">
        <v>18</v>
      </c>
      <c r="G33" s="61" t="s">
        <v>640</v>
      </c>
      <c r="H33" s="59" t="s">
        <v>20</v>
      </c>
      <c r="I33" s="61" t="s">
        <v>640</v>
      </c>
      <c r="J33" s="63" t="s">
        <v>21</v>
      </c>
      <c r="K33" s="61" t="s">
        <v>640</v>
      </c>
      <c r="L33" s="63" t="s">
        <v>22</v>
      </c>
      <c r="M33" s="61" t="s">
        <v>19</v>
      </c>
      <c r="N33" s="61" t="s">
        <v>1731</v>
      </c>
      <c r="O33" s="59"/>
      <c r="P33" s="59"/>
      <c r="Q33" s="136">
        <v>45632.0</v>
      </c>
    </row>
    <row r="34" ht="22.5" customHeight="1">
      <c r="A34" s="60" t="s">
        <v>637</v>
      </c>
      <c r="B34" s="60" t="s">
        <v>1769</v>
      </c>
      <c r="C34" s="59"/>
      <c r="D34" s="61" t="s">
        <v>16</v>
      </c>
      <c r="E34" s="61" t="s">
        <v>17</v>
      </c>
      <c r="F34" s="59" t="s">
        <v>18</v>
      </c>
      <c r="G34" s="61" t="s">
        <v>640</v>
      </c>
      <c r="H34" s="59" t="s">
        <v>20</v>
      </c>
      <c r="I34" s="61" t="s">
        <v>19</v>
      </c>
      <c r="J34" s="63" t="s">
        <v>21</v>
      </c>
      <c r="K34" s="61" t="s">
        <v>19</v>
      </c>
      <c r="L34" s="63" t="s">
        <v>22</v>
      </c>
      <c r="M34" s="61" t="s">
        <v>19</v>
      </c>
      <c r="N34" s="61" t="s">
        <v>1731</v>
      </c>
      <c r="O34" s="60"/>
      <c r="P34" s="59"/>
      <c r="Q34" s="136">
        <v>45632.0</v>
      </c>
    </row>
    <row r="35" ht="22.5" customHeight="1">
      <c r="A35" s="60" t="s">
        <v>637</v>
      </c>
      <c r="B35" s="60" t="s">
        <v>1770</v>
      </c>
      <c r="C35" s="59"/>
      <c r="D35" s="61" t="s">
        <v>16</v>
      </c>
      <c r="E35" s="61" t="s">
        <v>17</v>
      </c>
      <c r="F35" s="59" t="s">
        <v>18</v>
      </c>
      <c r="G35" s="61" t="s">
        <v>640</v>
      </c>
      <c r="H35" s="59" t="s">
        <v>20</v>
      </c>
      <c r="I35" s="61" t="s">
        <v>19</v>
      </c>
      <c r="J35" s="63" t="s">
        <v>21</v>
      </c>
      <c r="K35" s="61" t="s">
        <v>19</v>
      </c>
      <c r="L35" s="63" t="s">
        <v>22</v>
      </c>
      <c r="M35" s="61" t="s">
        <v>19</v>
      </c>
      <c r="N35" s="61" t="s">
        <v>1731</v>
      </c>
      <c r="O35" s="59"/>
      <c r="P35" s="59"/>
      <c r="Q35" s="136">
        <v>45632.0</v>
      </c>
    </row>
    <row r="36" ht="22.5" customHeight="1">
      <c r="A36" s="60" t="s">
        <v>637</v>
      </c>
      <c r="B36" s="60" t="s">
        <v>1771</v>
      </c>
      <c r="C36" s="59"/>
      <c r="D36" s="61" t="s">
        <v>16</v>
      </c>
      <c r="E36" s="61" t="s">
        <v>17</v>
      </c>
      <c r="F36" s="59" t="s">
        <v>18</v>
      </c>
      <c r="G36" s="61" t="s">
        <v>640</v>
      </c>
      <c r="H36" s="59" t="s">
        <v>20</v>
      </c>
      <c r="I36" s="61" t="s">
        <v>19</v>
      </c>
      <c r="J36" s="63" t="s">
        <v>21</v>
      </c>
      <c r="K36" s="61" t="s">
        <v>19</v>
      </c>
      <c r="L36" s="63" t="s">
        <v>22</v>
      </c>
      <c r="M36" s="61" t="s">
        <v>19</v>
      </c>
      <c r="N36" s="61" t="s">
        <v>1731</v>
      </c>
      <c r="O36" s="59"/>
      <c r="P36" s="59"/>
      <c r="Q36" s="136">
        <v>45632.0</v>
      </c>
    </row>
    <row r="37" ht="22.5" customHeight="1">
      <c r="A37" s="60" t="s">
        <v>637</v>
      </c>
      <c r="B37" s="60" t="s">
        <v>1772</v>
      </c>
      <c r="C37" s="59"/>
      <c r="D37" s="61" t="s">
        <v>34</v>
      </c>
      <c r="E37" s="61" t="s">
        <v>49</v>
      </c>
      <c r="F37" s="59" t="s">
        <v>18</v>
      </c>
      <c r="G37" s="61" t="s">
        <v>50</v>
      </c>
      <c r="H37" s="59" t="s">
        <v>20</v>
      </c>
      <c r="I37" s="61" t="s">
        <v>50</v>
      </c>
      <c r="J37" s="63" t="s">
        <v>21</v>
      </c>
      <c r="K37" s="61" t="s">
        <v>50</v>
      </c>
      <c r="L37" s="63" t="s">
        <v>22</v>
      </c>
      <c r="M37" s="61" t="s">
        <v>31</v>
      </c>
      <c r="N37" s="61" t="s">
        <v>1731</v>
      </c>
      <c r="O37" s="60" t="s">
        <v>372</v>
      </c>
      <c r="P37" s="59"/>
      <c r="Q37" s="136">
        <v>45632.0</v>
      </c>
    </row>
    <row r="38" ht="22.5" customHeight="1">
      <c r="A38" s="60" t="s">
        <v>637</v>
      </c>
      <c r="B38" s="60" t="s">
        <v>1773</v>
      </c>
      <c r="C38" s="59"/>
      <c r="D38" s="61" t="s">
        <v>16</v>
      </c>
      <c r="E38" s="61" t="s">
        <v>49</v>
      </c>
      <c r="F38" s="59" t="s">
        <v>18</v>
      </c>
      <c r="G38" s="61" t="s">
        <v>50</v>
      </c>
      <c r="H38" s="59" t="s">
        <v>20</v>
      </c>
      <c r="I38" s="61" t="s">
        <v>50</v>
      </c>
      <c r="J38" s="63" t="s">
        <v>21</v>
      </c>
      <c r="K38" s="61" t="s">
        <v>50</v>
      </c>
      <c r="L38" s="63" t="s">
        <v>22</v>
      </c>
      <c r="M38" s="61" t="s">
        <v>19</v>
      </c>
      <c r="N38" s="61" t="s">
        <v>1731</v>
      </c>
      <c r="O38" s="60"/>
      <c r="P38" s="59"/>
      <c r="Q38" s="136">
        <v>45632.0</v>
      </c>
    </row>
    <row r="39" ht="22.5" customHeight="1">
      <c r="A39" s="60" t="s">
        <v>637</v>
      </c>
      <c r="B39" s="60" t="s">
        <v>1774</v>
      </c>
      <c r="C39" s="59"/>
      <c r="D39" s="61" t="s">
        <v>16</v>
      </c>
      <c r="E39" s="61" t="s">
        <v>17</v>
      </c>
      <c r="F39" s="59" t="s">
        <v>18</v>
      </c>
      <c r="G39" s="61" t="s">
        <v>640</v>
      </c>
      <c r="H39" s="59" t="s">
        <v>20</v>
      </c>
      <c r="I39" s="61" t="s">
        <v>19</v>
      </c>
      <c r="J39" s="63" t="s">
        <v>21</v>
      </c>
      <c r="K39" s="61" t="s">
        <v>19</v>
      </c>
      <c r="L39" s="63" t="s">
        <v>22</v>
      </c>
      <c r="M39" s="61" t="s">
        <v>19</v>
      </c>
      <c r="N39" s="61" t="s">
        <v>1731</v>
      </c>
      <c r="O39" s="60"/>
      <c r="P39" s="59"/>
      <c r="Q39" s="136">
        <v>45632.0</v>
      </c>
    </row>
    <row r="40" ht="22.5" customHeight="1">
      <c r="A40" s="60" t="s">
        <v>637</v>
      </c>
      <c r="B40" s="60" t="s">
        <v>1775</v>
      </c>
      <c r="C40" s="59"/>
      <c r="D40" s="61" t="s">
        <v>34</v>
      </c>
      <c r="E40" s="61" t="s">
        <v>40</v>
      </c>
      <c r="F40" s="59" t="s">
        <v>18</v>
      </c>
      <c r="G40" s="61" t="s">
        <v>640</v>
      </c>
      <c r="H40" s="59" t="s">
        <v>20</v>
      </c>
      <c r="I40" s="61" t="s">
        <v>640</v>
      </c>
      <c r="J40" s="63" t="s">
        <v>21</v>
      </c>
      <c r="K40" s="61" t="s">
        <v>19</v>
      </c>
      <c r="L40" s="63" t="s">
        <v>22</v>
      </c>
      <c r="M40" s="61" t="s">
        <v>31</v>
      </c>
      <c r="N40" s="61" t="s">
        <v>1731</v>
      </c>
      <c r="O40" s="60" t="s">
        <v>1776</v>
      </c>
      <c r="P40" s="59"/>
      <c r="Q40" s="136">
        <v>45632.0</v>
      </c>
    </row>
    <row r="41" ht="22.5" customHeight="1">
      <c r="A41" s="60" t="s">
        <v>637</v>
      </c>
      <c r="B41" s="60" t="s">
        <v>1777</v>
      </c>
      <c r="C41" s="59"/>
      <c r="D41" s="61" t="s">
        <v>16</v>
      </c>
      <c r="E41" s="61" t="s">
        <v>17</v>
      </c>
      <c r="F41" s="59" t="s">
        <v>18</v>
      </c>
      <c r="G41" s="61" t="s">
        <v>640</v>
      </c>
      <c r="H41" s="59" t="s">
        <v>20</v>
      </c>
      <c r="I41" s="61" t="s">
        <v>19</v>
      </c>
      <c r="J41" s="63" t="s">
        <v>21</v>
      </c>
      <c r="K41" s="61" t="s">
        <v>19</v>
      </c>
      <c r="L41" s="63" t="s">
        <v>22</v>
      </c>
      <c r="M41" s="61" t="s">
        <v>19</v>
      </c>
      <c r="N41" s="61" t="s">
        <v>1731</v>
      </c>
      <c r="O41" s="59"/>
      <c r="P41" s="59"/>
      <c r="Q41" s="136">
        <v>45632.0</v>
      </c>
    </row>
    <row r="42" ht="22.5" customHeight="1">
      <c r="A42" s="60" t="s">
        <v>637</v>
      </c>
      <c r="B42" s="60" t="s">
        <v>1778</v>
      </c>
      <c r="C42" s="59"/>
      <c r="D42" s="61" t="s">
        <v>34</v>
      </c>
      <c r="E42" s="61" t="s">
        <v>49</v>
      </c>
      <c r="F42" s="59" t="s">
        <v>18</v>
      </c>
      <c r="G42" s="61" t="s">
        <v>50</v>
      </c>
      <c r="H42" s="59" t="s">
        <v>20</v>
      </c>
      <c r="I42" s="61" t="s">
        <v>50</v>
      </c>
      <c r="J42" s="63" t="s">
        <v>21</v>
      </c>
      <c r="K42" s="61" t="s">
        <v>31</v>
      </c>
      <c r="L42" s="63" t="s">
        <v>22</v>
      </c>
      <c r="M42" s="61" t="s">
        <v>50</v>
      </c>
      <c r="N42" s="61" t="s">
        <v>1731</v>
      </c>
      <c r="O42" s="60" t="s">
        <v>372</v>
      </c>
      <c r="P42" s="59"/>
      <c r="Q42" s="136">
        <v>45632.0</v>
      </c>
    </row>
    <row r="43" ht="22.5" customHeight="1">
      <c r="A43" s="60" t="s">
        <v>637</v>
      </c>
      <c r="B43" s="60" t="s">
        <v>1779</v>
      </c>
      <c r="C43" s="59"/>
      <c r="D43" s="61" t="s">
        <v>34</v>
      </c>
      <c r="E43" s="61" t="s">
        <v>40</v>
      </c>
      <c r="F43" s="59" t="s">
        <v>18</v>
      </c>
      <c r="G43" s="61" t="s">
        <v>640</v>
      </c>
      <c r="H43" s="59" t="s">
        <v>20</v>
      </c>
      <c r="I43" s="61" t="s">
        <v>31</v>
      </c>
      <c r="J43" s="63" t="s">
        <v>21</v>
      </c>
      <c r="K43" s="61" t="s">
        <v>19</v>
      </c>
      <c r="L43" s="63" t="s">
        <v>22</v>
      </c>
      <c r="M43" s="61" t="s">
        <v>19</v>
      </c>
      <c r="N43" s="61" t="s">
        <v>1731</v>
      </c>
      <c r="O43" s="59"/>
      <c r="P43" s="59"/>
      <c r="Q43" s="136">
        <v>45632.0</v>
      </c>
    </row>
    <row r="44" ht="22.5" customHeight="1">
      <c r="A44" s="60" t="s">
        <v>637</v>
      </c>
      <c r="B44" s="82" t="s">
        <v>1780</v>
      </c>
      <c r="C44" s="59"/>
      <c r="D44" s="61" t="s">
        <v>34</v>
      </c>
      <c r="E44" s="61" t="s">
        <v>35</v>
      </c>
      <c r="F44" s="59" t="s">
        <v>18</v>
      </c>
      <c r="G44" s="61" t="s">
        <v>640</v>
      </c>
      <c r="H44" s="59" t="s">
        <v>20</v>
      </c>
      <c r="I44" s="61" t="s">
        <v>640</v>
      </c>
      <c r="J44" s="63" t="s">
        <v>21</v>
      </c>
      <c r="K44" s="61" t="s">
        <v>640</v>
      </c>
      <c r="L44" s="63" t="s">
        <v>22</v>
      </c>
      <c r="M44" s="61" t="s">
        <v>31</v>
      </c>
      <c r="N44" s="61" t="s">
        <v>1731</v>
      </c>
      <c r="O44" s="60" t="s">
        <v>1781</v>
      </c>
      <c r="P44" s="59"/>
      <c r="Q44" s="136">
        <v>45632.0</v>
      </c>
    </row>
    <row r="45" ht="22.5" customHeight="1">
      <c r="A45" s="60" t="s">
        <v>637</v>
      </c>
      <c r="B45" s="60" t="s">
        <v>1782</v>
      </c>
      <c r="C45" s="59"/>
      <c r="D45" s="61" t="s">
        <v>34</v>
      </c>
      <c r="E45" s="61" t="s">
        <v>40</v>
      </c>
      <c r="F45" s="59" t="s">
        <v>18</v>
      </c>
      <c r="G45" s="61" t="s">
        <v>31</v>
      </c>
      <c r="H45" s="59" t="s">
        <v>20</v>
      </c>
      <c r="I45" s="61" t="s">
        <v>640</v>
      </c>
      <c r="J45" s="63" t="s">
        <v>21</v>
      </c>
      <c r="K45" s="61" t="s">
        <v>19</v>
      </c>
      <c r="L45" s="63" t="s">
        <v>22</v>
      </c>
      <c r="M45" s="61" t="s">
        <v>640</v>
      </c>
      <c r="N45" s="61" t="s">
        <v>1731</v>
      </c>
      <c r="O45" s="60" t="s">
        <v>1783</v>
      </c>
      <c r="P45" s="59"/>
      <c r="Q45" s="69" t="s">
        <v>1784</v>
      </c>
    </row>
    <row r="46" ht="22.5" customHeight="1">
      <c r="A46" s="60" t="s">
        <v>637</v>
      </c>
      <c r="B46" s="60" t="s">
        <v>1785</v>
      </c>
      <c r="C46" s="59"/>
      <c r="D46" s="61" t="s">
        <v>16</v>
      </c>
      <c r="E46" s="61" t="s">
        <v>17</v>
      </c>
      <c r="F46" s="59" t="s">
        <v>18</v>
      </c>
      <c r="G46" s="61" t="s">
        <v>19</v>
      </c>
      <c r="H46" s="59" t="s">
        <v>20</v>
      </c>
      <c r="I46" s="61" t="s">
        <v>19</v>
      </c>
      <c r="J46" s="63" t="s">
        <v>21</v>
      </c>
      <c r="K46" s="61" t="s">
        <v>19</v>
      </c>
      <c r="L46" s="63" t="s">
        <v>22</v>
      </c>
      <c r="M46" s="61" t="s">
        <v>640</v>
      </c>
      <c r="N46" s="61" t="s">
        <v>1731</v>
      </c>
      <c r="O46" s="59"/>
      <c r="P46" s="59"/>
      <c r="Q46" s="69" t="s">
        <v>1784</v>
      </c>
    </row>
    <row r="47" ht="22.5" customHeight="1">
      <c r="A47" s="60" t="s">
        <v>1786</v>
      </c>
      <c r="B47" s="60" t="s">
        <v>1787</v>
      </c>
      <c r="C47" s="59"/>
      <c r="D47" s="61" t="s">
        <v>34</v>
      </c>
      <c r="E47" s="61" t="s">
        <v>35</v>
      </c>
      <c r="F47" s="59" t="s">
        <v>18</v>
      </c>
      <c r="G47" s="61" t="s">
        <v>31</v>
      </c>
      <c r="H47" s="59" t="s">
        <v>20</v>
      </c>
      <c r="I47" s="61" t="s">
        <v>31</v>
      </c>
      <c r="J47" s="63" t="s">
        <v>21</v>
      </c>
      <c r="K47" s="61" t="s">
        <v>640</v>
      </c>
      <c r="L47" s="63" t="s">
        <v>22</v>
      </c>
      <c r="M47" s="61" t="s">
        <v>640</v>
      </c>
      <c r="N47" s="61" t="s">
        <v>1731</v>
      </c>
      <c r="O47" s="60" t="s">
        <v>1788</v>
      </c>
      <c r="P47" s="59"/>
      <c r="Q47" s="69" t="s">
        <v>1784</v>
      </c>
    </row>
    <row r="48" ht="22.5" customHeight="1">
      <c r="A48" s="60" t="s">
        <v>637</v>
      </c>
      <c r="B48" s="60" t="s">
        <v>1789</v>
      </c>
      <c r="C48" s="59"/>
      <c r="D48" s="61" t="s">
        <v>34</v>
      </c>
      <c r="E48" s="61" t="s">
        <v>40</v>
      </c>
      <c r="F48" s="59" t="s">
        <v>18</v>
      </c>
      <c r="G48" s="61" t="s">
        <v>19</v>
      </c>
      <c r="H48" s="59" t="s">
        <v>20</v>
      </c>
      <c r="I48" s="61" t="s">
        <v>26</v>
      </c>
      <c r="J48" s="63" t="s">
        <v>21</v>
      </c>
      <c r="K48" s="61" t="s">
        <v>640</v>
      </c>
      <c r="L48" s="63" t="s">
        <v>22</v>
      </c>
      <c r="M48" s="61" t="s">
        <v>640</v>
      </c>
      <c r="N48" s="61" t="s">
        <v>1731</v>
      </c>
      <c r="O48" s="59"/>
      <c r="P48" s="59"/>
      <c r="Q48" s="69" t="s">
        <v>1784</v>
      </c>
    </row>
    <row r="49" ht="22.5" customHeight="1">
      <c r="A49" s="60" t="s">
        <v>637</v>
      </c>
      <c r="B49" s="60" t="s">
        <v>1790</v>
      </c>
      <c r="C49" s="59"/>
      <c r="D49" s="61" t="s">
        <v>34</v>
      </c>
      <c r="E49" s="61" t="s">
        <v>40</v>
      </c>
      <c r="F49" s="59" t="s">
        <v>18</v>
      </c>
      <c r="G49" s="61" t="s">
        <v>31</v>
      </c>
      <c r="H49" s="59" t="s">
        <v>20</v>
      </c>
      <c r="I49" s="61" t="s">
        <v>640</v>
      </c>
      <c r="J49" s="63" t="s">
        <v>21</v>
      </c>
      <c r="K49" s="61" t="s">
        <v>31</v>
      </c>
      <c r="L49" s="63" t="s">
        <v>22</v>
      </c>
      <c r="M49" s="61" t="s">
        <v>640</v>
      </c>
      <c r="N49" s="61" t="s">
        <v>1731</v>
      </c>
      <c r="O49" s="60" t="s">
        <v>1791</v>
      </c>
      <c r="P49" s="59"/>
      <c r="Q49" s="69" t="s">
        <v>1784</v>
      </c>
    </row>
    <row r="50" ht="22.5" customHeight="1">
      <c r="A50" s="60" t="s">
        <v>637</v>
      </c>
      <c r="B50" s="60" t="s">
        <v>1792</v>
      </c>
      <c r="C50" s="59"/>
      <c r="D50" s="61" t="s">
        <v>34</v>
      </c>
      <c r="E50" s="61" t="s">
        <v>49</v>
      </c>
      <c r="F50" s="59" t="s">
        <v>18</v>
      </c>
      <c r="G50" s="61" t="s">
        <v>50</v>
      </c>
      <c r="H50" s="59" t="s">
        <v>20</v>
      </c>
      <c r="I50" s="61" t="s">
        <v>50</v>
      </c>
      <c r="J50" s="63" t="s">
        <v>21</v>
      </c>
      <c r="K50" s="61" t="s">
        <v>50</v>
      </c>
      <c r="L50" s="63" t="s">
        <v>22</v>
      </c>
      <c r="M50" s="61" t="s">
        <v>50</v>
      </c>
      <c r="N50" s="61" t="s">
        <v>1731</v>
      </c>
      <c r="O50" s="60" t="s">
        <v>372</v>
      </c>
      <c r="P50" s="59"/>
      <c r="Q50" s="69" t="s">
        <v>1784</v>
      </c>
    </row>
    <row r="51" ht="22.5" customHeight="1">
      <c r="A51" s="60" t="s">
        <v>637</v>
      </c>
      <c r="B51" s="60" t="s">
        <v>1793</v>
      </c>
      <c r="C51" s="59"/>
      <c r="D51" s="61" t="s">
        <v>34</v>
      </c>
      <c r="E51" s="61" t="s">
        <v>40</v>
      </c>
      <c r="F51" s="59" t="s">
        <v>18</v>
      </c>
      <c r="G51" s="61" t="s">
        <v>31</v>
      </c>
      <c r="H51" s="59" t="s">
        <v>20</v>
      </c>
      <c r="I51" s="61" t="s">
        <v>640</v>
      </c>
      <c r="J51" s="63" t="s">
        <v>21</v>
      </c>
      <c r="K51" s="61" t="s">
        <v>19</v>
      </c>
      <c r="L51" s="63" t="s">
        <v>22</v>
      </c>
      <c r="M51" s="61" t="s">
        <v>640</v>
      </c>
      <c r="N51" s="61" t="s">
        <v>1731</v>
      </c>
      <c r="O51" s="60" t="s">
        <v>696</v>
      </c>
      <c r="P51" s="59"/>
      <c r="Q51" s="69" t="s">
        <v>1784</v>
      </c>
    </row>
    <row r="52" ht="22.5" customHeight="1">
      <c r="A52" s="60" t="s">
        <v>637</v>
      </c>
      <c r="B52" s="60" t="s">
        <v>1794</v>
      </c>
      <c r="C52" s="59"/>
      <c r="D52" s="61" t="s">
        <v>34</v>
      </c>
      <c r="E52" s="61" t="s">
        <v>635</v>
      </c>
      <c r="F52" s="59" t="s">
        <v>18</v>
      </c>
      <c r="G52" s="61" t="s">
        <v>31</v>
      </c>
      <c r="H52" s="59" t="s">
        <v>20</v>
      </c>
      <c r="I52" s="61" t="s">
        <v>31</v>
      </c>
      <c r="J52" s="63" t="s">
        <v>21</v>
      </c>
      <c r="K52" s="61" t="s">
        <v>640</v>
      </c>
      <c r="L52" s="63" t="s">
        <v>22</v>
      </c>
      <c r="M52" s="61" t="s">
        <v>640</v>
      </c>
      <c r="N52" s="61" t="s">
        <v>1731</v>
      </c>
      <c r="O52" s="60"/>
      <c r="P52" s="59"/>
      <c r="Q52" s="69" t="s">
        <v>1784</v>
      </c>
    </row>
    <row r="53" ht="22.5" customHeight="1">
      <c r="A53" s="60" t="s">
        <v>637</v>
      </c>
      <c r="B53" s="60" t="s">
        <v>1795</v>
      </c>
      <c r="C53" s="59"/>
      <c r="D53" s="61" t="s">
        <v>16</v>
      </c>
      <c r="E53" s="61" t="s">
        <v>17</v>
      </c>
      <c r="F53" s="59" t="s">
        <v>18</v>
      </c>
      <c r="G53" s="61" t="s">
        <v>19</v>
      </c>
      <c r="H53" s="59" t="s">
        <v>20</v>
      </c>
      <c r="I53" s="61" t="s">
        <v>19</v>
      </c>
      <c r="J53" s="63" t="s">
        <v>21</v>
      </c>
      <c r="K53" s="61" t="s">
        <v>19</v>
      </c>
      <c r="L53" s="63" t="s">
        <v>22</v>
      </c>
      <c r="M53" s="61" t="s">
        <v>640</v>
      </c>
      <c r="N53" s="61" t="s">
        <v>1731</v>
      </c>
      <c r="O53" s="59"/>
      <c r="P53" s="59"/>
      <c r="Q53" s="69" t="s">
        <v>1784</v>
      </c>
    </row>
    <row r="54" ht="22.5" customHeight="1">
      <c r="A54" s="60" t="s">
        <v>637</v>
      </c>
      <c r="B54" s="60" t="s">
        <v>1796</v>
      </c>
      <c r="C54" s="59"/>
      <c r="D54" s="61" t="s">
        <v>34</v>
      </c>
      <c r="E54" s="61" t="s">
        <v>49</v>
      </c>
      <c r="F54" s="59" t="s">
        <v>18</v>
      </c>
      <c r="G54" s="61" t="s">
        <v>31</v>
      </c>
      <c r="H54" s="59" t="s">
        <v>20</v>
      </c>
      <c r="I54" s="61" t="s">
        <v>50</v>
      </c>
      <c r="J54" s="63" t="s">
        <v>21</v>
      </c>
      <c r="K54" s="61" t="s">
        <v>50</v>
      </c>
      <c r="L54" s="63" t="s">
        <v>22</v>
      </c>
      <c r="M54" s="61" t="s">
        <v>50</v>
      </c>
      <c r="N54" s="61" t="s">
        <v>1731</v>
      </c>
      <c r="O54" s="60" t="s">
        <v>1797</v>
      </c>
      <c r="P54" s="59"/>
      <c r="Q54" s="69" t="s">
        <v>1784</v>
      </c>
    </row>
    <row r="55" ht="22.5" customHeight="1">
      <c r="A55" s="60" t="s">
        <v>637</v>
      </c>
      <c r="B55" s="86" t="s">
        <v>1798</v>
      </c>
      <c r="C55" s="59"/>
      <c r="D55" s="61" t="s">
        <v>34</v>
      </c>
      <c r="E55" s="61" t="s">
        <v>409</v>
      </c>
      <c r="F55" s="59" t="s">
        <v>18</v>
      </c>
      <c r="G55" s="61" t="s">
        <v>31</v>
      </c>
      <c r="H55" s="59" t="s">
        <v>20</v>
      </c>
      <c r="I55" s="61" t="s">
        <v>640</v>
      </c>
      <c r="J55" s="63" t="s">
        <v>21</v>
      </c>
      <c r="K55" s="61" t="s">
        <v>640</v>
      </c>
      <c r="L55" s="63" t="s">
        <v>22</v>
      </c>
      <c r="M55" s="61" t="s">
        <v>640</v>
      </c>
      <c r="N55" s="61" t="s">
        <v>1731</v>
      </c>
      <c r="O55" s="60" t="s">
        <v>1799</v>
      </c>
      <c r="P55" s="59"/>
      <c r="Q55" s="69" t="s">
        <v>1784</v>
      </c>
    </row>
    <row r="56" ht="22.5" customHeight="1">
      <c r="A56" s="60" t="s">
        <v>637</v>
      </c>
      <c r="B56" s="60" t="s">
        <v>1800</v>
      </c>
      <c r="C56" s="59"/>
      <c r="D56" s="61" t="s">
        <v>34</v>
      </c>
      <c r="E56" s="61" t="s">
        <v>49</v>
      </c>
      <c r="F56" s="59" t="s">
        <v>18</v>
      </c>
      <c r="G56" s="61" t="s">
        <v>31</v>
      </c>
      <c r="H56" s="59" t="s">
        <v>20</v>
      </c>
      <c r="I56" s="61" t="s">
        <v>50</v>
      </c>
      <c r="J56" s="63" t="s">
        <v>21</v>
      </c>
      <c r="K56" s="61" t="s">
        <v>50</v>
      </c>
      <c r="L56" s="63" t="s">
        <v>22</v>
      </c>
      <c r="M56" s="61" t="s">
        <v>50</v>
      </c>
      <c r="N56" s="61" t="s">
        <v>1731</v>
      </c>
      <c r="O56" s="60" t="s">
        <v>372</v>
      </c>
      <c r="P56" s="59"/>
      <c r="Q56" s="69" t="s">
        <v>1784</v>
      </c>
    </row>
    <row r="57" ht="22.5" customHeight="1">
      <c r="A57" s="60" t="s">
        <v>637</v>
      </c>
      <c r="B57" s="60" t="s">
        <v>1801</v>
      </c>
      <c r="C57" s="59"/>
      <c r="D57" s="61" t="s">
        <v>34</v>
      </c>
      <c r="E57" s="61" t="s">
        <v>49</v>
      </c>
      <c r="F57" s="59" t="s">
        <v>18</v>
      </c>
      <c r="G57" s="61" t="s">
        <v>31</v>
      </c>
      <c r="H57" s="59" t="s">
        <v>20</v>
      </c>
      <c r="I57" s="61" t="s">
        <v>50</v>
      </c>
      <c r="J57" s="63" t="s">
        <v>21</v>
      </c>
      <c r="K57" s="61" t="s">
        <v>50</v>
      </c>
      <c r="L57" s="63" t="s">
        <v>22</v>
      </c>
      <c r="M57" s="61" t="s">
        <v>50</v>
      </c>
      <c r="N57" s="61" t="s">
        <v>1731</v>
      </c>
      <c r="O57" s="60" t="s">
        <v>1802</v>
      </c>
      <c r="P57" s="59"/>
      <c r="Q57" s="69" t="s">
        <v>1784</v>
      </c>
    </row>
    <row r="58" ht="22.5" customHeight="1">
      <c r="A58" s="60" t="s">
        <v>637</v>
      </c>
      <c r="B58" s="60" t="s">
        <v>1803</v>
      </c>
      <c r="C58" s="59"/>
      <c r="D58" s="61" t="s">
        <v>16</v>
      </c>
      <c r="E58" s="61" t="s">
        <v>17</v>
      </c>
      <c r="F58" s="59" t="s">
        <v>18</v>
      </c>
      <c r="G58" s="61" t="s">
        <v>19</v>
      </c>
      <c r="H58" s="59" t="s">
        <v>20</v>
      </c>
      <c r="I58" s="61" t="s">
        <v>19</v>
      </c>
      <c r="J58" s="63" t="s">
        <v>21</v>
      </c>
      <c r="K58" s="61" t="s">
        <v>19</v>
      </c>
      <c r="L58" s="63" t="s">
        <v>22</v>
      </c>
      <c r="M58" s="61" t="s">
        <v>640</v>
      </c>
      <c r="N58" s="61" t="s">
        <v>1731</v>
      </c>
      <c r="O58" s="59"/>
      <c r="P58" s="59"/>
      <c r="Q58" s="69" t="s">
        <v>1784</v>
      </c>
    </row>
    <row r="59" ht="22.5" customHeight="1">
      <c r="A59" s="60" t="s">
        <v>637</v>
      </c>
      <c r="B59" s="60" t="s">
        <v>1804</v>
      </c>
      <c r="C59" s="59"/>
      <c r="D59" s="61" t="s">
        <v>16</v>
      </c>
      <c r="E59" s="61" t="s">
        <v>17</v>
      </c>
      <c r="F59" s="59" t="s">
        <v>18</v>
      </c>
      <c r="G59" s="61" t="s">
        <v>19</v>
      </c>
      <c r="H59" s="59" t="s">
        <v>20</v>
      </c>
      <c r="I59" s="61" t="s">
        <v>19</v>
      </c>
      <c r="J59" s="63" t="s">
        <v>21</v>
      </c>
      <c r="K59" s="61" t="s">
        <v>19</v>
      </c>
      <c r="L59" s="63" t="s">
        <v>22</v>
      </c>
      <c r="M59" s="61" t="s">
        <v>640</v>
      </c>
      <c r="N59" s="61" t="s">
        <v>1731</v>
      </c>
      <c r="O59" s="59"/>
      <c r="P59" s="59"/>
      <c r="Q59" s="69" t="s">
        <v>1784</v>
      </c>
    </row>
    <row r="60" ht="22.5" customHeight="1">
      <c r="A60" s="60" t="s">
        <v>637</v>
      </c>
      <c r="B60" s="60" t="s">
        <v>1805</v>
      </c>
      <c r="C60" s="59"/>
      <c r="D60" s="61" t="s">
        <v>16</v>
      </c>
      <c r="E60" s="61" t="s">
        <v>17</v>
      </c>
      <c r="F60" s="59" t="s">
        <v>18</v>
      </c>
      <c r="G60" s="61" t="s">
        <v>19</v>
      </c>
      <c r="H60" s="59" t="s">
        <v>20</v>
      </c>
      <c r="I60" s="61" t="s">
        <v>19</v>
      </c>
      <c r="J60" s="63" t="s">
        <v>21</v>
      </c>
      <c r="K60" s="61" t="s">
        <v>19</v>
      </c>
      <c r="L60" s="63" t="s">
        <v>22</v>
      </c>
      <c r="M60" s="61" t="s">
        <v>640</v>
      </c>
      <c r="N60" s="61" t="s">
        <v>1731</v>
      </c>
      <c r="O60" s="59"/>
      <c r="P60" s="59"/>
      <c r="Q60" s="69" t="s">
        <v>1784</v>
      </c>
    </row>
    <row r="61" ht="22.5" customHeight="1">
      <c r="A61" s="60" t="s">
        <v>637</v>
      </c>
      <c r="B61" s="60" t="s">
        <v>1806</v>
      </c>
      <c r="C61" s="59"/>
      <c r="D61" s="61" t="s">
        <v>34</v>
      </c>
      <c r="E61" s="61" t="s">
        <v>40</v>
      </c>
      <c r="F61" s="59" t="s">
        <v>18</v>
      </c>
      <c r="G61" s="61" t="s">
        <v>19</v>
      </c>
      <c r="H61" s="59" t="s">
        <v>20</v>
      </c>
      <c r="I61" s="61" t="s">
        <v>31</v>
      </c>
      <c r="J61" s="63" t="s">
        <v>21</v>
      </c>
      <c r="K61" s="61" t="s">
        <v>640</v>
      </c>
      <c r="L61" s="63" t="s">
        <v>22</v>
      </c>
      <c r="M61" s="61" t="s">
        <v>640</v>
      </c>
      <c r="N61" s="61" t="s">
        <v>1731</v>
      </c>
      <c r="O61" s="59"/>
      <c r="P61" s="59"/>
      <c r="Q61" s="69" t="s">
        <v>1784</v>
      </c>
    </row>
    <row r="62" ht="22.5" customHeight="1">
      <c r="A62" s="60" t="s">
        <v>637</v>
      </c>
      <c r="B62" s="60" t="s">
        <v>1807</v>
      </c>
      <c r="C62" s="59"/>
      <c r="D62" s="61" t="s">
        <v>34</v>
      </c>
      <c r="E62" s="61" t="s">
        <v>40</v>
      </c>
      <c r="F62" s="59" t="s">
        <v>18</v>
      </c>
      <c r="G62" s="61" t="s">
        <v>26</v>
      </c>
      <c r="H62" s="59" t="s">
        <v>20</v>
      </c>
      <c r="I62" s="61" t="s">
        <v>640</v>
      </c>
      <c r="J62" s="63" t="s">
        <v>21</v>
      </c>
      <c r="K62" s="61" t="s">
        <v>31</v>
      </c>
      <c r="L62" s="63" t="s">
        <v>22</v>
      </c>
      <c r="M62" s="61" t="s">
        <v>640</v>
      </c>
      <c r="N62" s="61" t="s">
        <v>1731</v>
      </c>
      <c r="O62" s="60" t="s">
        <v>696</v>
      </c>
      <c r="P62" s="59"/>
      <c r="Q62" s="69" t="s">
        <v>1784</v>
      </c>
    </row>
    <row r="63" ht="22.5" customHeight="1">
      <c r="A63" s="60" t="s">
        <v>637</v>
      </c>
      <c r="B63" s="60" t="s">
        <v>1808</v>
      </c>
      <c r="C63" s="59"/>
      <c r="D63" s="61" t="s">
        <v>34</v>
      </c>
      <c r="E63" s="61" t="s">
        <v>49</v>
      </c>
      <c r="F63" s="59" t="s">
        <v>18</v>
      </c>
      <c r="G63" s="61" t="s">
        <v>31</v>
      </c>
      <c r="H63" s="59" t="s">
        <v>20</v>
      </c>
      <c r="I63" s="61" t="s">
        <v>50</v>
      </c>
      <c r="J63" s="63" t="s">
        <v>21</v>
      </c>
      <c r="K63" s="61" t="s">
        <v>50</v>
      </c>
      <c r="L63" s="63" t="s">
        <v>22</v>
      </c>
      <c r="M63" s="61" t="s">
        <v>50</v>
      </c>
      <c r="N63" s="61" t="s">
        <v>1731</v>
      </c>
      <c r="O63" s="60" t="s">
        <v>372</v>
      </c>
      <c r="P63" s="59"/>
      <c r="Q63" s="69" t="s">
        <v>1784</v>
      </c>
    </row>
    <row r="64" ht="22.5" customHeight="1">
      <c r="A64" s="60" t="s">
        <v>637</v>
      </c>
      <c r="B64" s="60" t="s">
        <v>1809</v>
      </c>
      <c r="C64" s="59"/>
      <c r="D64" s="61" t="s">
        <v>16</v>
      </c>
      <c r="E64" s="61" t="s">
        <v>17</v>
      </c>
      <c r="F64" s="59" t="s">
        <v>18</v>
      </c>
      <c r="G64" s="61" t="s">
        <v>19</v>
      </c>
      <c r="H64" s="59" t="s">
        <v>20</v>
      </c>
      <c r="I64" s="61" t="s">
        <v>19</v>
      </c>
      <c r="J64" s="63" t="s">
        <v>21</v>
      </c>
      <c r="K64" s="61" t="s">
        <v>19</v>
      </c>
      <c r="L64" s="63" t="s">
        <v>22</v>
      </c>
      <c r="M64" s="61" t="s">
        <v>640</v>
      </c>
      <c r="N64" s="61" t="s">
        <v>1731</v>
      </c>
      <c r="O64" s="59"/>
      <c r="P64" s="59"/>
      <c r="Q64" s="69" t="s">
        <v>1784</v>
      </c>
    </row>
    <row r="65" ht="22.5" customHeight="1">
      <c r="A65" s="60" t="s">
        <v>637</v>
      </c>
      <c r="B65" s="60" t="s">
        <v>1810</v>
      </c>
      <c r="C65" s="59"/>
      <c r="D65" s="61" t="s">
        <v>16</v>
      </c>
      <c r="E65" s="61" t="s">
        <v>17</v>
      </c>
      <c r="F65" s="59" t="s">
        <v>18</v>
      </c>
      <c r="G65" s="61" t="s">
        <v>19</v>
      </c>
      <c r="H65" s="59" t="s">
        <v>20</v>
      </c>
      <c r="I65" s="61" t="s">
        <v>19</v>
      </c>
      <c r="J65" s="63" t="s">
        <v>21</v>
      </c>
      <c r="K65" s="61" t="s">
        <v>19</v>
      </c>
      <c r="L65" s="63" t="s">
        <v>22</v>
      </c>
      <c r="M65" s="61" t="s">
        <v>640</v>
      </c>
      <c r="N65" s="61" t="s">
        <v>1731</v>
      </c>
      <c r="O65" s="59"/>
      <c r="P65" s="59"/>
      <c r="Q65" s="69" t="s">
        <v>1784</v>
      </c>
    </row>
    <row r="66" ht="22.5" customHeight="1">
      <c r="A66" s="60" t="s">
        <v>637</v>
      </c>
      <c r="B66" s="60" t="s">
        <v>1811</v>
      </c>
      <c r="C66" s="59"/>
      <c r="D66" s="61" t="s">
        <v>34</v>
      </c>
      <c r="E66" s="61" t="s">
        <v>49</v>
      </c>
      <c r="F66" s="59" t="s">
        <v>18</v>
      </c>
      <c r="G66" s="61" t="s">
        <v>19</v>
      </c>
      <c r="H66" s="59" t="s">
        <v>20</v>
      </c>
      <c r="I66" s="61" t="s">
        <v>31</v>
      </c>
      <c r="J66" s="63" t="s">
        <v>21</v>
      </c>
      <c r="K66" s="61" t="s">
        <v>50</v>
      </c>
      <c r="L66" s="63" t="s">
        <v>22</v>
      </c>
      <c r="M66" s="61" t="s">
        <v>50</v>
      </c>
      <c r="N66" s="61" t="s">
        <v>1731</v>
      </c>
      <c r="O66" s="60" t="s">
        <v>372</v>
      </c>
      <c r="P66" s="59"/>
      <c r="Q66" s="69" t="s">
        <v>1784</v>
      </c>
    </row>
    <row r="67" ht="22.5" customHeight="1">
      <c r="A67" s="60" t="s">
        <v>637</v>
      </c>
      <c r="B67" s="60" t="s">
        <v>1812</v>
      </c>
      <c r="C67" s="59"/>
      <c r="D67" s="61" t="s">
        <v>16</v>
      </c>
      <c r="E67" s="61" t="s">
        <v>40</v>
      </c>
      <c r="F67" s="59" t="s">
        <v>18</v>
      </c>
      <c r="G67" s="61" t="s">
        <v>19</v>
      </c>
      <c r="H67" s="59" t="s">
        <v>20</v>
      </c>
      <c r="I67" s="61" t="s">
        <v>31</v>
      </c>
      <c r="J67" s="63" t="s">
        <v>21</v>
      </c>
      <c r="K67" s="61" t="s">
        <v>640</v>
      </c>
      <c r="L67" s="63" t="s">
        <v>22</v>
      </c>
      <c r="M67" s="61" t="s">
        <v>640</v>
      </c>
      <c r="N67" s="61" t="s">
        <v>1731</v>
      </c>
      <c r="O67" s="59"/>
      <c r="P67" s="59"/>
      <c r="Q67" s="69" t="s">
        <v>1784</v>
      </c>
    </row>
    <row r="68" ht="22.5" customHeight="1">
      <c r="A68" s="60" t="s">
        <v>637</v>
      </c>
      <c r="B68" s="60" t="s">
        <v>1813</v>
      </c>
      <c r="C68" s="59"/>
      <c r="D68" s="61" t="s">
        <v>34</v>
      </c>
      <c r="E68" s="61" t="s">
        <v>40</v>
      </c>
      <c r="F68" s="59" t="s">
        <v>18</v>
      </c>
      <c r="G68" s="61" t="s">
        <v>31</v>
      </c>
      <c r="H68" s="59" t="s">
        <v>20</v>
      </c>
      <c r="I68" s="61" t="s">
        <v>640</v>
      </c>
      <c r="J68" s="63" t="s">
        <v>21</v>
      </c>
      <c r="K68" s="61" t="s">
        <v>31</v>
      </c>
      <c r="L68" s="63" t="s">
        <v>22</v>
      </c>
      <c r="M68" s="61" t="s">
        <v>640</v>
      </c>
      <c r="N68" s="61" t="s">
        <v>1731</v>
      </c>
      <c r="O68" s="60" t="s">
        <v>1814</v>
      </c>
      <c r="P68" s="59"/>
      <c r="Q68" s="69" t="s">
        <v>1784</v>
      </c>
    </row>
    <row r="69" ht="22.5" customHeight="1">
      <c r="A69" s="60" t="s">
        <v>637</v>
      </c>
      <c r="B69" s="60" t="s">
        <v>1815</v>
      </c>
      <c r="C69" s="59"/>
      <c r="D69" s="61" t="s">
        <v>16</v>
      </c>
      <c r="E69" s="61" t="s">
        <v>17</v>
      </c>
      <c r="F69" s="59" t="s">
        <v>18</v>
      </c>
      <c r="G69" s="61" t="s">
        <v>19</v>
      </c>
      <c r="H69" s="59" t="s">
        <v>20</v>
      </c>
      <c r="I69" s="61" t="s">
        <v>19</v>
      </c>
      <c r="J69" s="63" t="s">
        <v>21</v>
      </c>
      <c r="K69" s="61" t="s">
        <v>19</v>
      </c>
      <c r="L69" s="63" t="s">
        <v>22</v>
      </c>
      <c r="M69" s="61" t="s">
        <v>640</v>
      </c>
      <c r="N69" s="61" t="s">
        <v>1731</v>
      </c>
      <c r="O69" s="59"/>
      <c r="P69" s="59"/>
      <c r="Q69" s="69" t="s">
        <v>1784</v>
      </c>
    </row>
    <row r="70" ht="22.5" customHeight="1">
      <c r="A70" s="60" t="s">
        <v>637</v>
      </c>
      <c r="B70" s="82" t="s">
        <v>1816</v>
      </c>
      <c r="C70" s="59"/>
      <c r="D70" s="61" t="s">
        <v>34</v>
      </c>
      <c r="E70" s="61" t="s">
        <v>40</v>
      </c>
      <c r="F70" s="59" t="s">
        <v>18</v>
      </c>
      <c r="G70" s="61" t="s">
        <v>31</v>
      </c>
      <c r="H70" s="59" t="s">
        <v>20</v>
      </c>
      <c r="I70" s="61" t="s">
        <v>31</v>
      </c>
      <c r="J70" s="63" t="s">
        <v>21</v>
      </c>
      <c r="K70" s="61" t="s">
        <v>640</v>
      </c>
      <c r="L70" s="63" t="s">
        <v>22</v>
      </c>
      <c r="M70" s="61" t="s">
        <v>640</v>
      </c>
      <c r="N70" s="61" t="s">
        <v>1731</v>
      </c>
      <c r="O70" s="60" t="s">
        <v>685</v>
      </c>
      <c r="P70" s="59"/>
      <c r="Q70" s="69" t="s">
        <v>1784</v>
      </c>
    </row>
    <row r="71" ht="22.5" customHeight="1">
      <c r="A71" s="60" t="s">
        <v>637</v>
      </c>
      <c r="B71" s="60" t="s">
        <v>1817</v>
      </c>
      <c r="C71" s="59"/>
      <c r="D71" s="61" t="s">
        <v>16</v>
      </c>
      <c r="E71" s="61" t="s">
        <v>17</v>
      </c>
      <c r="F71" s="59" t="s">
        <v>18</v>
      </c>
      <c r="G71" s="61" t="s">
        <v>19</v>
      </c>
      <c r="H71" s="59" t="s">
        <v>20</v>
      </c>
      <c r="I71" s="61" t="s">
        <v>19</v>
      </c>
      <c r="J71" s="63" t="s">
        <v>21</v>
      </c>
      <c r="K71" s="61" t="s">
        <v>19</v>
      </c>
      <c r="L71" s="63" t="s">
        <v>22</v>
      </c>
      <c r="M71" s="61" t="s">
        <v>640</v>
      </c>
      <c r="N71" s="61" t="s">
        <v>1731</v>
      </c>
      <c r="O71" s="59"/>
      <c r="P71" s="59"/>
      <c r="Q71" s="69" t="s">
        <v>1784</v>
      </c>
    </row>
    <row r="72" ht="22.5" customHeight="1">
      <c r="A72" s="60" t="s">
        <v>637</v>
      </c>
      <c r="B72" s="60" t="s">
        <v>1818</v>
      </c>
      <c r="C72" s="59"/>
      <c r="D72" s="61" t="s">
        <v>16</v>
      </c>
      <c r="E72" s="61" t="s">
        <v>17</v>
      </c>
      <c r="F72" s="59" t="s">
        <v>18</v>
      </c>
      <c r="G72" s="61" t="s">
        <v>19</v>
      </c>
      <c r="H72" s="59" t="s">
        <v>20</v>
      </c>
      <c r="I72" s="61" t="s">
        <v>19</v>
      </c>
      <c r="J72" s="63" t="s">
        <v>21</v>
      </c>
      <c r="K72" s="61" t="s">
        <v>640</v>
      </c>
      <c r="L72" s="63" t="s">
        <v>22</v>
      </c>
      <c r="M72" s="61" t="s">
        <v>640</v>
      </c>
      <c r="N72" s="61" t="s">
        <v>1731</v>
      </c>
      <c r="O72" s="59"/>
      <c r="P72" s="59"/>
      <c r="Q72" s="69" t="s">
        <v>1784</v>
      </c>
    </row>
    <row r="73" ht="22.5" customHeight="1">
      <c r="A73" s="60" t="s">
        <v>637</v>
      </c>
      <c r="B73" s="60" t="s">
        <v>1819</v>
      </c>
      <c r="C73" s="59"/>
      <c r="D73" s="61" t="s">
        <v>34</v>
      </c>
      <c r="E73" s="61" t="s">
        <v>49</v>
      </c>
      <c r="F73" s="59" t="s">
        <v>18</v>
      </c>
      <c r="G73" s="61" t="s">
        <v>31</v>
      </c>
      <c r="H73" s="59" t="s">
        <v>20</v>
      </c>
      <c r="I73" s="61" t="s">
        <v>50</v>
      </c>
      <c r="J73" s="63" t="s">
        <v>21</v>
      </c>
      <c r="K73" s="61" t="s">
        <v>50</v>
      </c>
      <c r="L73" s="63" t="s">
        <v>22</v>
      </c>
      <c r="M73" s="61" t="s">
        <v>50</v>
      </c>
      <c r="N73" s="61" t="s">
        <v>1731</v>
      </c>
      <c r="O73" s="60" t="s">
        <v>1820</v>
      </c>
      <c r="P73" s="59"/>
      <c r="Q73" s="69" t="s">
        <v>1784</v>
      </c>
    </row>
    <row r="74" ht="22.5" customHeight="1">
      <c r="A74" s="60" t="s">
        <v>637</v>
      </c>
      <c r="B74" s="60" t="s">
        <v>1821</v>
      </c>
      <c r="C74" s="59"/>
      <c r="D74" s="61" t="s">
        <v>34</v>
      </c>
      <c r="E74" s="61" t="s">
        <v>49</v>
      </c>
      <c r="F74" s="59" t="s">
        <v>18</v>
      </c>
      <c r="G74" s="61" t="s">
        <v>31</v>
      </c>
      <c r="H74" s="59" t="s">
        <v>20</v>
      </c>
      <c r="I74" s="61" t="s">
        <v>50</v>
      </c>
      <c r="J74" s="63" t="s">
        <v>21</v>
      </c>
      <c r="K74" s="61" t="s">
        <v>50</v>
      </c>
      <c r="L74" s="63" t="s">
        <v>22</v>
      </c>
      <c r="M74" s="61" t="s">
        <v>50</v>
      </c>
      <c r="N74" s="61" t="s">
        <v>1731</v>
      </c>
      <c r="O74" s="60" t="s">
        <v>372</v>
      </c>
      <c r="P74" s="59"/>
      <c r="Q74" s="69" t="s">
        <v>1784</v>
      </c>
    </row>
    <row r="75" ht="22.5" customHeight="1">
      <c r="A75" s="60" t="s">
        <v>637</v>
      </c>
      <c r="B75" s="60" t="s">
        <v>1822</v>
      </c>
      <c r="C75" s="59"/>
      <c r="D75" s="61" t="s">
        <v>16</v>
      </c>
      <c r="E75" s="61" t="s">
        <v>17</v>
      </c>
      <c r="F75" s="59" t="s">
        <v>18</v>
      </c>
      <c r="G75" s="61" t="s">
        <v>19</v>
      </c>
      <c r="H75" s="59" t="s">
        <v>20</v>
      </c>
      <c r="I75" s="61" t="s">
        <v>19</v>
      </c>
      <c r="J75" s="63" t="s">
        <v>21</v>
      </c>
      <c r="K75" s="61" t="s">
        <v>640</v>
      </c>
      <c r="L75" s="63" t="s">
        <v>22</v>
      </c>
      <c r="M75" s="61" t="s">
        <v>640</v>
      </c>
      <c r="N75" s="61" t="s">
        <v>1731</v>
      </c>
      <c r="O75" s="59"/>
      <c r="P75" s="59"/>
      <c r="Q75" s="69" t="s">
        <v>1784</v>
      </c>
    </row>
    <row r="76" ht="22.5" customHeight="1">
      <c r="A76" s="60" t="s">
        <v>637</v>
      </c>
      <c r="B76" s="60" t="s">
        <v>1823</v>
      </c>
      <c r="C76" s="59"/>
      <c r="D76" s="61" t="s">
        <v>34</v>
      </c>
      <c r="E76" s="61" t="s">
        <v>49</v>
      </c>
      <c r="F76" s="59" t="s">
        <v>18</v>
      </c>
      <c r="G76" s="61" t="s">
        <v>31</v>
      </c>
      <c r="H76" s="59" t="s">
        <v>20</v>
      </c>
      <c r="I76" s="61" t="s">
        <v>50</v>
      </c>
      <c r="J76" s="63" t="s">
        <v>21</v>
      </c>
      <c r="K76" s="61" t="s">
        <v>50</v>
      </c>
      <c r="L76" s="63" t="s">
        <v>22</v>
      </c>
      <c r="M76" s="61" t="s">
        <v>50</v>
      </c>
      <c r="N76" s="61" t="s">
        <v>1731</v>
      </c>
      <c r="O76" s="60" t="s">
        <v>372</v>
      </c>
      <c r="P76" s="59"/>
      <c r="Q76" s="69" t="s">
        <v>1784</v>
      </c>
    </row>
    <row r="77" ht="22.5" customHeight="1">
      <c r="A77" s="60" t="s">
        <v>637</v>
      </c>
      <c r="B77" s="60" t="s">
        <v>1824</v>
      </c>
      <c r="C77" s="59"/>
      <c r="D77" s="61" t="s">
        <v>16</v>
      </c>
      <c r="E77" s="61" t="s">
        <v>17</v>
      </c>
      <c r="F77" s="59" t="s">
        <v>18</v>
      </c>
      <c r="G77" s="61" t="s">
        <v>19</v>
      </c>
      <c r="H77" s="59" t="s">
        <v>20</v>
      </c>
      <c r="I77" s="61" t="s">
        <v>19</v>
      </c>
      <c r="J77" s="63" t="s">
        <v>21</v>
      </c>
      <c r="K77" s="61" t="s">
        <v>640</v>
      </c>
      <c r="L77" s="63" t="s">
        <v>22</v>
      </c>
      <c r="M77" s="61" t="s">
        <v>640</v>
      </c>
      <c r="N77" s="61" t="s">
        <v>1731</v>
      </c>
      <c r="O77" s="59"/>
      <c r="P77" s="59"/>
      <c r="Q77" s="69" t="s">
        <v>1784</v>
      </c>
    </row>
    <row r="78" ht="22.5" customHeight="1">
      <c r="A78" s="60" t="s">
        <v>637</v>
      </c>
      <c r="B78" s="60" t="s">
        <v>1825</v>
      </c>
      <c r="C78" s="59"/>
      <c r="D78" s="61" t="s">
        <v>16</v>
      </c>
      <c r="E78" s="61" t="s">
        <v>17</v>
      </c>
      <c r="F78" s="59" t="s">
        <v>18</v>
      </c>
      <c r="G78" s="61" t="s">
        <v>19</v>
      </c>
      <c r="H78" s="59" t="s">
        <v>20</v>
      </c>
      <c r="I78" s="61" t="s">
        <v>19</v>
      </c>
      <c r="J78" s="63" t="s">
        <v>21</v>
      </c>
      <c r="K78" s="61" t="s">
        <v>640</v>
      </c>
      <c r="L78" s="63" t="s">
        <v>22</v>
      </c>
      <c r="M78" s="61" t="s">
        <v>640</v>
      </c>
      <c r="N78" s="61" t="s">
        <v>1731</v>
      </c>
      <c r="O78" s="59"/>
      <c r="P78" s="59"/>
      <c r="Q78" s="69" t="s">
        <v>1784</v>
      </c>
    </row>
    <row r="79" ht="22.5" customHeight="1">
      <c r="A79" s="60" t="s">
        <v>637</v>
      </c>
      <c r="B79" s="60" t="s">
        <v>1826</v>
      </c>
      <c r="C79" s="59"/>
      <c r="D79" s="61" t="s">
        <v>34</v>
      </c>
      <c r="E79" s="61" t="s">
        <v>40</v>
      </c>
      <c r="F79" s="59" t="s">
        <v>18</v>
      </c>
      <c r="G79" s="61" t="s">
        <v>31</v>
      </c>
      <c r="H79" s="59" t="s">
        <v>20</v>
      </c>
      <c r="I79" s="61" t="s">
        <v>640</v>
      </c>
      <c r="J79" s="63" t="s">
        <v>21</v>
      </c>
      <c r="K79" s="61" t="s">
        <v>19</v>
      </c>
      <c r="L79" s="63" t="s">
        <v>22</v>
      </c>
      <c r="M79" s="61" t="s">
        <v>640</v>
      </c>
      <c r="N79" s="61" t="s">
        <v>1731</v>
      </c>
      <c r="O79" s="59"/>
      <c r="P79" s="59"/>
      <c r="Q79" s="69" t="s">
        <v>1784</v>
      </c>
    </row>
    <row r="80" ht="22.5" customHeight="1">
      <c r="A80" s="60" t="s">
        <v>637</v>
      </c>
      <c r="B80" s="60" t="s">
        <v>1827</v>
      </c>
      <c r="C80" s="59"/>
      <c r="D80" s="61" t="s">
        <v>16</v>
      </c>
      <c r="E80" s="61" t="s">
        <v>17</v>
      </c>
      <c r="F80" s="59" t="s">
        <v>18</v>
      </c>
      <c r="G80" s="61" t="s">
        <v>19</v>
      </c>
      <c r="H80" s="59" t="s">
        <v>20</v>
      </c>
      <c r="I80" s="61" t="s">
        <v>19</v>
      </c>
      <c r="J80" s="63" t="s">
        <v>21</v>
      </c>
      <c r="K80" s="61" t="s">
        <v>640</v>
      </c>
      <c r="L80" s="63" t="s">
        <v>22</v>
      </c>
      <c r="M80" s="61" t="s">
        <v>640</v>
      </c>
      <c r="N80" s="61" t="s">
        <v>1731</v>
      </c>
      <c r="O80" s="59"/>
      <c r="P80" s="59"/>
      <c r="Q80" s="69" t="s">
        <v>1784</v>
      </c>
    </row>
    <row r="81" ht="22.5" customHeight="1">
      <c r="A81" s="60" t="s">
        <v>637</v>
      </c>
      <c r="B81" s="60" t="s">
        <v>1828</v>
      </c>
      <c r="C81" s="59"/>
      <c r="D81" s="61" t="s">
        <v>34</v>
      </c>
      <c r="E81" s="61" t="s">
        <v>35</v>
      </c>
      <c r="F81" s="59" t="s">
        <v>18</v>
      </c>
      <c r="G81" s="61" t="s">
        <v>19</v>
      </c>
      <c r="H81" s="59" t="s">
        <v>20</v>
      </c>
      <c r="I81" s="61" t="s">
        <v>19</v>
      </c>
      <c r="J81" s="63" t="s">
        <v>21</v>
      </c>
      <c r="K81" s="61" t="s">
        <v>31</v>
      </c>
      <c r="L81" s="63" t="s">
        <v>22</v>
      </c>
      <c r="M81" s="61" t="s">
        <v>640</v>
      </c>
      <c r="N81" s="61" t="s">
        <v>1731</v>
      </c>
      <c r="O81" s="60" t="s">
        <v>1829</v>
      </c>
      <c r="P81" s="59"/>
      <c r="Q81" s="69" t="s">
        <v>1784</v>
      </c>
    </row>
    <row r="82" ht="22.5" customHeight="1">
      <c r="A82" s="60" t="s">
        <v>637</v>
      </c>
      <c r="B82" s="60" t="s">
        <v>1830</v>
      </c>
      <c r="C82" s="59"/>
      <c r="D82" s="61" t="s">
        <v>16</v>
      </c>
      <c r="E82" s="61" t="s">
        <v>49</v>
      </c>
      <c r="F82" s="59" t="s">
        <v>18</v>
      </c>
      <c r="G82" s="61" t="s">
        <v>50</v>
      </c>
      <c r="H82" s="59" t="s">
        <v>20</v>
      </c>
      <c r="I82" s="61" t="s">
        <v>50</v>
      </c>
      <c r="J82" s="63" t="s">
        <v>21</v>
      </c>
      <c r="K82" s="61" t="s">
        <v>50</v>
      </c>
      <c r="L82" s="63" t="s">
        <v>22</v>
      </c>
      <c r="M82" s="61" t="s">
        <v>50</v>
      </c>
      <c r="N82" s="61" t="s">
        <v>1731</v>
      </c>
      <c r="O82" s="60" t="s">
        <v>372</v>
      </c>
      <c r="P82" s="59"/>
      <c r="Q82" s="69" t="s">
        <v>1784</v>
      </c>
    </row>
    <row r="83" ht="22.5" customHeight="1">
      <c r="A83" s="60" t="s">
        <v>637</v>
      </c>
      <c r="B83" s="60" t="s">
        <v>1831</v>
      </c>
      <c r="C83" s="59"/>
      <c r="D83" s="61" t="s">
        <v>34</v>
      </c>
      <c r="E83" s="61" t="s">
        <v>49</v>
      </c>
      <c r="F83" s="59" t="s">
        <v>18</v>
      </c>
      <c r="G83" s="61" t="s">
        <v>50</v>
      </c>
      <c r="H83" s="59" t="s">
        <v>20</v>
      </c>
      <c r="I83" s="61" t="s">
        <v>50</v>
      </c>
      <c r="J83" s="63" t="s">
        <v>21</v>
      </c>
      <c r="K83" s="61" t="s">
        <v>50</v>
      </c>
      <c r="L83" s="63" t="s">
        <v>22</v>
      </c>
      <c r="M83" s="61" t="s">
        <v>50</v>
      </c>
      <c r="N83" s="61" t="s">
        <v>1731</v>
      </c>
      <c r="O83" s="60" t="s">
        <v>372</v>
      </c>
      <c r="P83" s="59"/>
      <c r="Q83" s="69" t="s">
        <v>1784</v>
      </c>
    </row>
    <row r="84" ht="22.5" customHeight="1">
      <c r="A84" s="60" t="s">
        <v>637</v>
      </c>
      <c r="B84" s="60" t="s">
        <v>1832</v>
      </c>
      <c r="C84" s="59"/>
      <c r="D84" s="61" t="s">
        <v>34</v>
      </c>
      <c r="E84" s="61" t="s">
        <v>49</v>
      </c>
      <c r="F84" s="59" t="s">
        <v>18</v>
      </c>
      <c r="G84" s="61" t="s">
        <v>50</v>
      </c>
      <c r="H84" s="59" t="s">
        <v>20</v>
      </c>
      <c r="I84" s="61" t="s">
        <v>50</v>
      </c>
      <c r="J84" s="63" t="s">
        <v>21</v>
      </c>
      <c r="K84" s="61" t="s">
        <v>50</v>
      </c>
      <c r="L84" s="63" t="s">
        <v>22</v>
      </c>
      <c r="M84" s="61" t="s">
        <v>50</v>
      </c>
      <c r="N84" s="61" t="s">
        <v>1731</v>
      </c>
      <c r="O84" s="60" t="s">
        <v>372</v>
      </c>
      <c r="P84" s="59"/>
      <c r="Q84" s="69" t="s">
        <v>1784</v>
      </c>
    </row>
    <row r="85" ht="22.5" customHeight="1">
      <c r="A85" s="60" t="s">
        <v>637</v>
      </c>
      <c r="B85" s="60" t="s">
        <v>1833</v>
      </c>
      <c r="C85" s="59"/>
      <c r="D85" s="61" t="s">
        <v>16</v>
      </c>
      <c r="E85" s="61" t="s">
        <v>17</v>
      </c>
      <c r="F85" s="59" t="s">
        <v>18</v>
      </c>
      <c r="G85" s="61" t="s">
        <v>19</v>
      </c>
      <c r="H85" s="59" t="s">
        <v>20</v>
      </c>
      <c r="I85" s="61" t="s">
        <v>19</v>
      </c>
      <c r="J85" s="63" t="s">
        <v>21</v>
      </c>
      <c r="K85" s="61" t="s">
        <v>640</v>
      </c>
      <c r="L85" s="63" t="s">
        <v>22</v>
      </c>
      <c r="M85" s="61" t="s">
        <v>640</v>
      </c>
      <c r="N85" s="61" t="s">
        <v>1731</v>
      </c>
      <c r="O85" s="59"/>
      <c r="P85" s="59"/>
      <c r="Q85" s="69" t="s">
        <v>1784</v>
      </c>
    </row>
    <row r="86" ht="22.5" customHeight="1">
      <c r="A86" s="60" t="s">
        <v>637</v>
      </c>
      <c r="B86" s="60" t="s">
        <v>1834</v>
      </c>
      <c r="C86" s="59"/>
      <c r="D86" s="61" t="s">
        <v>34</v>
      </c>
      <c r="E86" s="61" t="s">
        <v>49</v>
      </c>
      <c r="F86" s="59" t="s">
        <v>18</v>
      </c>
      <c r="G86" s="61" t="s">
        <v>50</v>
      </c>
      <c r="H86" s="59" t="s">
        <v>20</v>
      </c>
      <c r="I86" s="61" t="s">
        <v>50</v>
      </c>
      <c r="J86" s="63" t="s">
        <v>21</v>
      </c>
      <c r="K86" s="61" t="s">
        <v>50</v>
      </c>
      <c r="L86" s="63" t="s">
        <v>22</v>
      </c>
      <c r="M86" s="61" t="s">
        <v>50</v>
      </c>
      <c r="N86" s="61" t="s">
        <v>1731</v>
      </c>
      <c r="O86" s="60" t="s">
        <v>372</v>
      </c>
      <c r="P86" s="59"/>
      <c r="Q86" s="69" t="s">
        <v>1784</v>
      </c>
    </row>
    <row r="87" ht="22.5" customHeight="1">
      <c r="A87" s="60" t="s">
        <v>637</v>
      </c>
      <c r="B87" s="60" t="s">
        <v>1795</v>
      </c>
      <c r="C87" s="59"/>
      <c r="D87" s="61" t="s">
        <v>16</v>
      </c>
      <c r="E87" s="61" t="s">
        <v>49</v>
      </c>
      <c r="F87" s="59" t="s">
        <v>18</v>
      </c>
      <c r="G87" s="61" t="s">
        <v>50</v>
      </c>
      <c r="H87" s="59" t="s">
        <v>20</v>
      </c>
      <c r="I87" s="61" t="s">
        <v>50</v>
      </c>
      <c r="J87" s="63" t="s">
        <v>21</v>
      </c>
      <c r="K87" s="61" t="s">
        <v>50</v>
      </c>
      <c r="L87" s="63" t="s">
        <v>22</v>
      </c>
      <c r="M87" s="61" t="s">
        <v>50</v>
      </c>
      <c r="N87" s="61" t="s">
        <v>1731</v>
      </c>
      <c r="O87" s="60" t="s">
        <v>372</v>
      </c>
      <c r="P87" s="59"/>
      <c r="Q87" s="69" t="s">
        <v>1784</v>
      </c>
    </row>
    <row r="88" ht="22.5" customHeight="1">
      <c r="A88" s="60" t="s">
        <v>637</v>
      </c>
      <c r="B88" s="64" t="s">
        <v>1835</v>
      </c>
      <c r="C88" s="59"/>
      <c r="D88" s="61" t="s">
        <v>34</v>
      </c>
      <c r="E88" s="61" t="s">
        <v>35</v>
      </c>
      <c r="F88" s="59" t="s">
        <v>18</v>
      </c>
      <c r="G88" s="61" t="s">
        <v>31</v>
      </c>
      <c r="H88" s="59" t="s">
        <v>20</v>
      </c>
      <c r="I88" s="61" t="s">
        <v>31</v>
      </c>
      <c r="J88" s="63" t="s">
        <v>21</v>
      </c>
      <c r="K88" s="61" t="s">
        <v>640</v>
      </c>
      <c r="L88" s="63" t="s">
        <v>22</v>
      </c>
      <c r="M88" s="61" t="s">
        <v>640</v>
      </c>
      <c r="N88" s="61" t="s">
        <v>1731</v>
      </c>
      <c r="O88" s="60" t="s">
        <v>1836</v>
      </c>
      <c r="P88" s="59"/>
      <c r="Q88" s="69" t="s">
        <v>1784</v>
      </c>
    </row>
    <row r="89" ht="22.5" customHeight="1">
      <c r="A89" s="60" t="s">
        <v>637</v>
      </c>
      <c r="B89" s="60" t="s">
        <v>1837</v>
      </c>
      <c r="C89" s="59"/>
      <c r="D89" s="61" t="s">
        <v>34</v>
      </c>
      <c r="E89" s="61" t="s">
        <v>40</v>
      </c>
      <c r="F89" s="59" t="s">
        <v>18</v>
      </c>
      <c r="G89" s="61" t="s">
        <v>640</v>
      </c>
      <c r="H89" s="59" t="s">
        <v>20</v>
      </c>
      <c r="I89" s="61" t="s">
        <v>31</v>
      </c>
      <c r="J89" s="63" t="s">
        <v>21</v>
      </c>
      <c r="K89" s="61" t="s">
        <v>640</v>
      </c>
      <c r="L89" s="63" t="s">
        <v>22</v>
      </c>
      <c r="M89" s="61" t="s">
        <v>640</v>
      </c>
      <c r="N89" s="61" t="s">
        <v>1731</v>
      </c>
      <c r="O89" s="60" t="s">
        <v>1838</v>
      </c>
      <c r="P89" s="59"/>
      <c r="Q89" s="69" t="s">
        <v>1784</v>
      </c>
    </row>
    <row r="90" ht="22.5" customHeight="1">
      <c r="A90" s="60" t="s">
        <v>637</v>
      </c>
      <c r="B90" s="60" t="s">
        <v>1839</v>
      </c>
      <c r="C90" s="59"/>
      <c r="D90" s="61" t="s">
        <v>34</v>
      </c>
      <c r="E90" s="61" t="s">
        <v>49</v>
      </c>
      <c r="F90" s="59" t="s">
        <v>18</v>
      </c>
      <c r="G90" s="61" t="s">
        <v>50</v>
      </c>
      <c r="H90" s="59" t="s">
        <v>20</v>
      </c>
      <c r="I90" s="61" t="s">
        <v>31</v>
      </c>
      <c r="J90" s="63" t="s">
        <v>21</v>
      </c>
      <c r="K90" s="61" t="s">
        <v>50</v>
      </c>
      <c r="L90" s="63" t="s">
        <v>22</v>
      </c>
      <c r="M90" s="61" t="s">
        <v>50</v>
      </c>
      <c r="N90" s="61" t="s">
        <v>1731</v>
      </c>
      <c r="O90" s="60" t="s">
        <v>1840</v>
      </c>
      <c r="P90" s="59"/>
      <c r="Q90" s="69" t="s">
        <v>1784</v>
      </c>
    </row>
    <row r="91" ht="22.5" customHeight="1">
      <c r="A91" s="60" t="s">
        <v>637</v>
      </c>
      <c r="B91" s="60" t="s">
        <v>1841</v>
      </c>
      <c r="C91" s="59"/>
      <c r="D91" s="61" t="s">
        <v>16</v>
      </c>
      <c r="E91" s="61" t="s">
        <v>17</v>
      </c>
      <c r="F91" s="59" t="s">
        <v>18</v>
      </c>
      <c r="G91" s="61" t="s">
        <v>19</v>
      </c>
      <c r="H91" s="59" t="s">
        <v>20</v>
      </c>
      <c r="I91" s="61" t="s">
        <v>19</v>
      </c>
      <c r="J91" s="63" t="s">
        <v>21</v>
      </c>
      <c r="K91" s="61" t="s">
        <v>640</v>
      </c>
      <c r="L91" s="63" t="s">
        <v>22</v>
      </c>
      <c r="M91" s="61" t="s">
        <v>640</v>
      </c>
      <c r="N91" s="61" t="s">
        <v>1731</v>
      </c>
      <c r="O91" s="59"/>
      <c r="P91" s="59"/>
      <c r="Q91" s="69" t="s">
        <v>1784</v>
      </c>
    </row>
    <row r="92" ht="22.5" customHeight="1">
      <c r="A92" s="60" t="s">
        <v>637</v>
      </c>
      <c r="B92" s="60" t="s">
        <v>1842</v>
      </c>
      <c r="C92" s="59"/>
      <c r="D92" s="61" t="s">
        <v>34</v>
      </c>
      <c r="E92" s="61" t="s">
        <v>35</v>
      </c>
      <c r="F92" s="59" t="s">
        <v>18</v>
      </c>
      <c r="G92" s="61" t="s">
        <v>31</v>
      </c>
      <c r="H92" s="59" t="s">
        <v>20</v>
      </c>
      <c r="I92" s="61" t="s">
        <v>31</v>
      </c>
      <c r="J92" s="63" t="s">
        <v>21</v>
      </c>
      <c r="K92" s="61" t="s">
        <v>640</v>
      </c>
      <c r="L92" s="63" t="s">
        <v>22</v>
      </c>
      <c r="M92" s="61" t="s">
        <v>640</v>
      </c>
      <c r="N92" s="61" t="s">
        <v>1731</v>
      </c>
      <c r="O92" s="60" t="s">
        <v>712</v>
      </c>
      <c r="P92" s="59"/>
      <c r="Q92" s="69" t="s">
        <v>1784</v>
      </c>
    </row>
    <row r="93" ht="22.5" customHeight="1">
      <c r="A93" s="60" t="s">
        <v>637</v>
      </c>
      <c r="B93" s="60" t="s">
        <v>1843</v>
      </c>
      <c r="C93" s="59"/>
      <c r="D93" s="61" t="s">
        <v>16</v>
      </c>
      <c r="E93" s="61" t="s">
        <v>17</v>
      </c>
      <c r="F93" s="59" t="s">
        <v>18</v>
      </c>
      <c r="G93" s="61" t="s">
        <v>19</v>
      </c>
      <c r="H93" s="59" t="s">
        <v>20</v>
      </c>
      <c r="I93" s="61" t="s">
        <v>19</v>
      </c>
      <c r="J93" s="63" t="s">
        <v>21</v>
      </c>
      <c r="K93" s="61" t="s">
        <v>640</v>
      </c>
      <c r="L93" s="63" t="s">
        <v>22</v>
      </c>
      <c r="M93" s="61" t="s">
        <v>640</v>
      </c>
      <c r="N93" s="61" t="s">
        <v>1731</v>
      </c>
      <c r="O93" s="60" t="s">
        <v>376</v>
      </c>
      <c r="P93" s="59"/>
      <c r="Q93" s="69" t="s">
        <v>1784</v>
      </c>
    </row>
    <row r="94" ht="22.5" customHeight="1">
      <c r="A94" s="60" t="s">
        <v>637</v>
      </c>
      <c r="B94" s="60" t="s">
        <v>1844</v>
      </c>
      <c r="C94" s="59"/>
      <c r="D94" s="61" t="s">
        <v>16</v>
      </c>
      <c r="E94" s="61" t="s">
        <v>49</v>
      </c>
      <c r="F94" s="59" t="s">
        <v>18</v>
      </c>
      <c r="G94" s="61" t="s">
        <v>19</v>
      </c>
      <c r="H94" s="59" t="s">
        <v>20</v>
      </c>
      <c r="I94" s="61" t="s">
        <v>50</v>
      </c>
      <c r="J94" s="63" t="s">
        <v>21</v>
      </c>
      <c r="K94" s="61" t="s">
        <v>50</v>
      </c>
      <c r="L94" s="63" t="s">
        <v>22</v>
      </c>
      <c r="M94" s="61" t="s">
        <v>50</v>
      </c>
      <c r="N94" s="61" t="s">
        <v>1731</v>
      </c>
      <c r="O94" s="60" t="s">
        <v>372</v>
      </c>
      <c r="P94" s="59"/>
      <c r="Q94" s="69" t="s">
        <v>1784</v>
      </c>
    </row>
    <row r="95" ht="22.5" customHeight="1">
      <c r="A95" s="60" t="s">
        <v>637</v>
      </c>
      <c r="B95" s="60" t="s">
        <v>1845</v>
      </c>
      <c r="C95" s="59"/>
      <c r="D95" s="61" t="s">
        <v>16</v>
      </c>
      <c r="E95" s="61" t="s">
        <v>17</v>
      </c>
      <c r="F95" s="59" t="s">
        <v>18</v>
      </c>
      <c r="G95" s="61" t="s">
        <v>19</v>
      </c>
      <c r="H95" s="59" t="s">
        <v>20</v>
      </c>
      <c r="I95" s="61" t="s">
        <v>19</v>
      </c>
      <c r="J95" s="63" t="s">
        <v>21</v>
      </c>
      <c r="K95" s="61" t="s">
        <v>19</v>
      </c>
      <c r="L95" s="63" t="s">
        <v>22</v>
      </c>
      <c r="M95" s="61" t="s">
        <v>640</v>
      </c>
      <c r="N95" s="61" t="s">
        <v>1731</v>
      </c>
      <c r="O95" s="59"/>
      <c r="P95" s="59"/>
      <c r="Q95" s="69" t="s">
        <v>1784</v>
      </c>
    </row>
    <row r="96" ht="22.5" customHeight="1">
      <c r="A96" s="60" t="s">
        <v>637</v>
      </c>
      <c r="B96" s="60" t="s">
        <v>1846</v>
      </c>
      <c r="C96" s="59"/>
      <c r="D96" s="61" t="s">
        <v>16</v>
      </c>
      <c r="E96" s="61" t="s">
        <v>17</v>
      </c>
      <c r="F96" s="59" t="s">
        <v>18</v>
      </c>
      <c r="G96" s="61" t="s">
        <v>19</v>
      </c>
      <c r="H96" s="59" t="s">
        <v>20</v>
      </c>
      <c r="I96" s="61" t="s">
        <v>19</v>
      </c>
      <c r="J96" s="63" t="s">
        <v>21</v>
      </c>
      <c r="K96" s="61" t="s">
        <v>19</v>
      </c>
      <c r="L96" s="63" t="s">
        <v>22</v>
      </c>
      <c r="M96" s="61" t="s">
        <v>640</v>
      </c>
      <c r="N96" s="61" t="s">
        <v>1731</v>
      </c>
      <c r="O96" s="59"/>
      <c r="P96" s="59"/>
      <c r="Q96" s="69" t="s">
        <v>1784</v>
      </c>
    </row>
    <row r="97" ht="22.5" customHeight="1">
      <c r="A97" s="60" t="s">
        <v>637</v>
      </c>
      <c r="B97" s="60" t="s">
        <v>1847</v>
      </c>
      <c r="C97" s="59"/>
      <c r="D97" s="61" t="s">
        <v>34</v>
      </c>
      <c r="E97" s="61" t="s">
        <v>40</v>
      </c>
      <c r="F97" s="59" t="s">
        <v>18</v>
      </c>
      <c r="G97" s="61" t="s">
        <v>640</v>
      </c>
      <c r="H97" s="59" t="s">
        <v>20</v>
      </c>
      <c r="I97" s="61" t="s">
        <v>640</v>
      </c>
      <c r="J97" s="63" t="s">
        <v>21</v>
      </c>
      <c r="K97" s="61" t="s">
        <v>31</v>
      </c>
      <c r="L97" s="63" t="s">
        <v>22</v>
      </c>
      <c r="M97" s="61" t="s">
        <v>640</v>
      </c>
      <c r="N97" s="61" t="s">
        <v>1731</v>
      </c>
      <c r="O97" s="60" t="s">
        <v>1848</v>
      </c>
      <c r="P97" s="59"/>
      <c r="Q97" s="69" t="s">
        <v>1784</v>
      </c>
    </row>
    <row r="98" ht="22.5" customHeight="1">
      <c r="A98" s="60" t="s">
        <v>637</v>
      </c>
      <c r="B98" s="60" t="s">
        <v>1849</v>
      </c>
      <c r="C98" s="59"/>
      <c r="D98" s="61" t="s">
        <v>34</v>
      </c>
      <c r="E98" s="61" t="s">
        <v>49</v>
      </c>
      <c r="F98" s="59" t="s">
        <v>18</v>
      </c>
      <c r="G98" s="61" t="s">
        <v>50</v>
      </c>
      <c r="H98" s="59" t="s">
        <v>20</v>
      </c>
      <c r="I98" s="61" t="s">
        <v>50</v>
      </c>
      <c r="J98" s="63" t="s">
        <v>21</v>
      </c>
      <c r="K98" s="61" t="s">
        <v>31</v>
      </c>
      <c r="L98" s="63" t="s">
        <v>22</v>
      </c>
      <c r="M98" s="61" t="s">
        <v>50</v>
      </c>
      <c r="N98" s="61" t="s">
        <v>1731</v>
      </c>
      <c r="O98" s="64" t="s">
        <v>372</v>
      </c>
      <c r="P98" s="59"/>
      <c r="Q98" s="69" t="s">
        <v>1784</v>
      </c>
    </row>
    <row r="99" ht="22.5" customHeight="1">
      <c r="A99" s="60" t="s">
        <v>637</v>
      </c>
      <c r="B99" s="60" t="s">
        <v>1850</v>
      </c>
      <c r="C99" s="59"/>
      <c r="D99" s="61" t="s">
        <v>16</v>
      </c>
      <c r="E99" s="61" t="s">
        <v>17</v>
      </c>
      <c r="F99" s="59" t="s">
        <v>18</v>
      </c>
      <c r="G99" s="61" t="s">
        <v>19</v>
      </c>
      <c r="H99" s="59" t="s">
        <v>20</v>
      </c>
      <c r="I99" s="61" t="s">
        <v>19</v>
      </c>
      <c r="J99" s="63" t="s">
        <v>21</v>
      </c>
      <c r="K99" s="61" t="s">
        <v>19</v>
      </c>
      <c r="L99" s="63" t="s">
        <v>22</v>
      </c>
      <c r="M99" s="61" t="s">
        <v>640</v>
      </c>
      <c r="N99" s="61" t="s">
        <v>1731</v>
      </c>
      <c r="O99" s="59"/>
      <c r="P99" s="59"/>
      <c r="Q99" s="69" t="s">
        <v>1784</v>
      </c>
    </row>
    <row r="100" ht="22.5" customHeight="1">
      <c r="A100" s="60" t="s">
        <v>637</v>
      </c>
      <c r="B100" s="60" t="s">
        <v>1851</v>
      </c>
      <c r="C100" s="59"/>
      <c r="D100" s="61" t="s">
        <v>16</v>
      </c>
      <c r="E100" s="61" t="s">
        <v>17</v>
      </c>
      <c r="F100" s="59" t="s">
        <v>18</v>
      </c>
      <c r="G100" s="61" t="s">
        <v>19</v>
      </c>
      <c r="H100" s="59" t="s">
        <v>20</v>
      </c>
      <c r="I100" s="61" t="s">
        <v>19</v>
      </c>
      <c r="J100" s="63" t="s">
        <v>21</v>
      </c>
      <c r="K100" s="61" t="s">
        <v>19</v>
      </c>
      <c r="L100" s="63" t="s">
        <v>22</v>
      </c>
      <c r="M100" s="61" t="s">
        <v>640</v>
      </c>
      <c r="N100" s="61" t="s">
        <v>1731</v>
      </c>
      <c r="O100" s="59"/>
      <c r="P100" s="59"/>
      <c r="Q100" s="69" t="s">
        <v>1784</v>
      </c>
    </row>
    <row r="101" ht="22.5" customHeight="1">
      <c r="A101" s="60" t="s">
        <v>637</v>
      </c>
      <c r="B101" s="60" t="s">
        <v>1852</v>
      </c>
      <c r="C101" s="59"/>
      <c r="D101" s="61" t="s">
        <v>16</v>
      </c>
      <c r="E101" s="61" t="s">
        <v>17</v>
      </c>
      <c r="F101" s="59" t="s">
        <v>18</v>
      </c>
      <c r="G101" s="61" t="s">
        <v>19</v>
      </c>
      <c r="H101" s="59" t="s">
        <v>20</v>
      </c>
      <c r="I101" s="61" t="s">
        <v>19</v>
      </c>
      <c r="J101" s="63" t="s">
        <v>21</v>
      </c>
      <c r="K101" s="61" t="s">
        <v>640</v>
      </c>
      <c r="L101" s="63" t="s">
        <v>22</v>
      </c>
      <c r="M101" s="61" t="s">
        <v>19</v>
      </c>
      <c r="N101" s="61" t="s">
        <v>1731</v>
      </c>
      <c r="O101" s="59"/>
      <c r="P101" s="59"/>
      <c r="Q101" s="69" t="s">
        <v>1784</v>
      </c>
    </row>
    <row r="102" ht="22.5" customHeight="1">
      <c r="A102" s="60" t="s">
        <v>637</v>
      </c>
      <c r="B102" s="60" t="s">
        <v>1853</v>
      </c>
      <c r="C102" s="59"/>
      <c r="D102" s="61" t="s">
        <v>34</v>
      </c>
      <c r="E102" s="61" t="s">
        <v>40</v>
      </c>
      <c r="F102" s="59" t="s">
        <v>18</v>
      </c>
      <c r="G102" s="61" t="s">
        <v>640</v>
      </c>
      <c r="H102" s="59" t="s">
        <v>20</v>
      </c>
      <c r="I102" s="61" t="s">
        <v>640</v>
      </c>
      <c r="J102" s="63" t="s">
        <v>21</v>
      </c>
      <c r="K102" s="61" t="s">
        <v>19</v>
      </c>
      <c r="L102" s="63" t="s">
        <v>22</v>
      </c>
      <c r="M102" s="61" t="s">
        <v>31</v>
      </c>
      <c r="N102" s="61" t="s">
        <v>1731</v>
      </c>
      <c r="O102" s="60" t="s">
        <v>696</v>
      </c>
      <c r="P102" s="59"/>
      <c r="Q102" s="69" t="s">
        <v>1784</v>
      </c>
    </row>
    <row r="103" ht="22.5" customHeight="1">
      <c r="A103" s="60" t="s">
        <v>637</v>
      </c>
      <c r="B103" s="60" t="s">
        <v>1854</v>
      </c>
      <c r="C103" s="59"/>
      <c r="D103" s="61" t="s">
        <v>34</v>
      </c>
      <c r="E103" s="61" t="s">
        <v>49</v>
      </c>
      <c r="F103" s="59" t="s">
        <v>18</v>
      </c>
      <c r="G103" s="61" t="s">
        <v>50</v>
      </c>
      <c r="H103" s="59" t="s">
        <v>20</v>
      </c>
      <c r="I103" s="61" t="s">
        <v>50</v>
      </c>
      <c r="J103" s="63" t="s">
        <v>21</v>
      </c>
      <c r="K103" s="61" t="s">
        <v>50</v>
      </c>
      <c r="L103" s="63" t="s">
        <v>22</v>
      </c>
      <c r="M103" s="61" t="s">
        <v>31</v>
      </c>
      <c r="N103" s="61" t="s">
        <v>1731</v>
      </c>
      <c r="O103" s="60" t="s">
        <v>372</v>
      </c>
      <c r="P103" s="59"/>
      <c r="Q103" s="69" t="s">
        <v>1784</v>
      </c>
    </row>
    <row r="104" ht="22.5" customHeight="1">
      <c r="A104" s="60" t="s">
        <v>637</v>
      </c>
      <c r="B104" s="60" t="s">
        <v>1855</v>
      </c>
      <c r="C104" s="59"/>
      <c r="D104" s="61" t="s">
        <v>34</v>
      </c>
      <c r="E104" s="61" t="s">
        <v>635</v>
      </c>
      <c r="F104" s="59" t="s">
        <v>18</v>
      </c>
      <c r="G104" s="61" t="s">
        <v>640</v>
      </c>
      <c r="H104" s="59" t="s">
        <v>20</v>
      </c>
      <c r="I104" s="61" t="s">
        <v>640</v>
      </c>
      <c r="J104" s="63" t="s">
        <v>21</v>
      </c>
      <c r="K104" s="61" t="s">
        <v>640</v>
      </c>
      <c r="L104" s="63" t="s">
        <v>22</v>
      </c>
      <c r="M104" s="61" t="s">
        <v>19</v>
      </c>
      <c r="N104" s="61" t="s">
        <v>1731</v>
      </c>
      <c r="O104" s="60"/>
      <c r="P104" s="59"/>
      <c r="Q104" s="69" t="s">
        <v>1784</v>
      </c>
    </row>
    <row r="105" ht="22.5" customHeight="1">
      <c r="A105" s="60" t="s">
        <v>637</v>
      </c>
      <c r="B105" s="60" t="s">
        <v>1856</v>
      </c>
      <c r="C105" s="59"/>
      <c r="D105" s="61" t="s">
        <v>34</v>
      </c>
      <c r="E105" s="61" t="s">
        <v>49</v>
      </c>
      <c r="F105" s="59" t="s">
        <v>18</v>
      </c>
      <c r="G105" s="61" t="s">
        <v>50</v>
      </c>
      <c r="H105" s="59" t="s">
        <v>20</v>
      </c>
      <c r="I105" s="61" t="s">
        <v>50</v>
      </c>
      <c r="J105" s="63" t="s">
        <v>21</v>
      </c>
      <c r="K105" s="61" t="s">
        <v>50</v>
      </c>
      <c r="L105" s="63" t="s">
        <v>22</v>
      </c>
      <c r="M105" s="61" t="s">
        <v>31</v>
      </c>
      <c r="N105" s="61" t="s">
        <v>1731</v>
      </c>
      <c r="O105" s="60" t="s">
        <v>372</v>
      </c>
      <c r="P105" s="59"/>
      <c r="Q105" s="69" t="s">
        <v>1784</v>
      </c>
    </row>
    <row r="106" ht="22.5" customHeight="1">
      <c r="A106" s="60" t="s">
        <v>637</v>
      </c>
      <c r="B106" s="60" t="s">
        <v>1857</v>
      </c>
      <c r="C106" s="59"/>
      <c r="D106" s="61" t="s">
        <v>16</v>
      </c>
      <c r="E106" s="61" t="s">
        <v>17</v>
      </c>
      <c r="F106" s="59" t="s">
        <v>18</v>
      </c>
      <c r="G106" s="61" t="s">
        <v>19</v>
      </c>
      <c r="H106" s="59" t="s">
        <v>20</v>
      </c>
      <c r="I106" s="61" t="s">
        <v>19</v>
      </c>
      <c r="J106" s="63" t="s">
        <v>21</v>
      </c>
      <c r="K106" s="61" t="s">
        <v>640</v>
      </c>
      <c r="L106" s="63" t="s">
        <v>22</v>
      </c>
      <c r="M106" s="61" t="s">
        <v>19</v>
      </c>
      <c r="N106" s="61" t="s">
        <v>1731</v>
      </c>
      <c r="O106" s="59"/>
      <c r="P106" s="59"/>
      <c r="Q106" s="69" t="s">
        <v>1784</v>
      </c>
    </row>
    <row r="107" ht="22.5" customHeight="1">
      <c r="A107" s="60" t="s">
        <v>637</v>
      </c>
      <c r="B107" s="60" t="s">
        <v>1858</v>
      </c>
      <c r="C107" s="59"/>
      <c r="D107" s="61" t="s">
        <v>16</v>
      </c>
      <c r="E107" s="61" t="s">
        <v>49</v>
      </c>
      <c r="F107" s="59" t="s">
        <v>18</v>
      </c>
      <c r="G107" s="61" t="s">
        <v>50</v>
      </c>
      <c r="H107" s="59" t="s">
        <v>20</v>
      </c>
      <c r="I107" s="61" t="s">
        <v>50</v>
      </c>
      <c r="J107" s="63" t="s">
        <v>21</v>
      </c>
      <c r="K107" s="61" t="s">
        <v>50</v>
      </c>
      <c r="L107" s="63" t="s">
        <v>22</v>
      </c>
      <c r="M107" s="61" t="s">
        <v>19</v>
      </c>
      <c r="N107" s="61" t="s">
        <v>1731</v>
      </c>
      <c r="O107" s="60" t="s">
        <v>1859</v>
      </c>
      <c r="P107" s="59"/>
      <c r="Q107" s="69" t="s">
        <v>1784</v>
      </c>
    </row>
    <row r="108" ht="22.5" customHeight="1">
      <c r="A108" s="60" t="s">
        <v>637</v>
      </c>
      <c r="B108" s="60" t="s">
        <v>1860</v>
      </c>
      <c r="C108" s="59"/>
      <c r="D108" s="61" t="s">
        <v>16</v>
      </c>
      <c r="E108" s="61" t="s">
        <v>17</v>
      </c>
      <c r="F108" s="59" t="s">
        <v>18</v>
      </c>
      <c r="G108" s="61" t="s">
        <v>19</v>
      </c>
      <c r="H108" s="59" t="s">
        <v>20</v>
      </c>
      <c r="I108" s="61" t="s">
        <v>19</v>
      </c>
      <c r="J108" s="63" t="s">
        <v>21</v>
      </c>
      <c r="K108" s="61" t="s">
        <v>640</v>
      </c>
      <c r="L108" s="63" t="s">
        <v>22</v>
      </c>
      <c r="M108" s="61" t="s">
        <v>19</v>
      </c>
      <c r="N108" s="61" t="s">
        <v>1731</v>
      </c>
      <c r="O108" s="59"/>
      <c r="P108" s="59"/>
      <c r="Q108" s="69" t="s">
        <v>1784</v>
      </c>
    </row>
    <row r="109" ht="22.5" customHeight="1">
      <c r="A109" s="60" t="s">
        <v>637</v>
      </c>
      <c r="B109" s="60" t="s">
        <v>1861</v>
      </c>
      <c r="C109" s="59"/>
      <c r="D109" s="61" t="s">
        <v>16</v>
      </c>
      <c r="E109" s="61" t="s">
        <v>17</v>
      </c>
      <c r="F109" s="59" t="s">
        <v>18</v>
      </c>
      <c r="G109" s="61" t="s">
        <v>19</v>
      </c>
      <c r="H109" s="59" t="s">
        <v>20</v>
      </c>
      <c r="I109" s="61" t="s">
        <v>19</v>
      </c>
      <c r="J109" s="63" t="s">
        <v>21</v>
      </c>
      <c r="K109" s="61" t="s">
        <v>640</v>
      </c>
      <c r="L109" s="63" t="s">
        <v>22</v>
      </c>
      <c r="M109" s="61" t="s">
        <v>19</v>
      </c>
      <c r="N109" s="61" t="s">
        <v>1731</v>
      </c>
      <c r="O109" s="59"/>
      <c r="P109" s="59"/>
      <c r="Q109" s="69" t="s">
        <v>1784</v>
      </c>
    </row>
    <row r="110" ht="22.5" customHeight="1">
      <c r="A110" s="60" t="s">
        <v>637</v>
      </c>
      <c r="B110" s="60" t="s">
        <v>1862</v>
      </c>
      <c r="C110" s="59"/>
      <c r="D110" s="61" t="s">
        <v>34</v>
      </c>
      <c r="E110" s="61" t="s">
        <v>49</v>
      </c>
      <c r="F110" s="59" t="s">
        <v>18</v>
      </c>
      <c r="G110" s="61" t="s">
        <v>50</v>
      </c>
      <c r="H110" s="59" t="s">
        <v>20</v>
      </c>
      <c r="I110" s="61" t="s">
        <v>50</v>
      </c>
      <c r="J110" s="63" t="s">
        <v>21</v>
      </c>
      <c r="K110" s="61" t="s">
        <v>50</v>
      </c>
      <c r="L110" s="63" t="s">
        <v>22</v>
      </c>
      <c r="M110" s="61" t="s">
        <v>31</v>
      </c>
      <c r="N110" s="61" t="s">
        <v>1731</v>
      </c>
      <c r="O110" s="60" t="s">
        <v>372</v>
      </c>
      <c r="P110" s="59"/>
      <c r="Q110" s="69" t="s">
        <v>1784</v>
      </c>
    </row>
    <row r="111" ht="22.5" customHeight="1">
      <c r="A111" s="60" t="s">
        <v>637</v>
      </c>
      <c r="B111" s="60" t="s">
        <v>1863</v>
      </c>
      <c r="C111" s="59"/>
      <c r="D111" s="61" t="s">
        <v>34</v>
      </c>
      <c r="E111" s="61" t="s">
        <v>49</v>
      </c>
      <c r="F111" s="59" t="s">
        <v>18</v>
      </c>
      <c r="G111" s="61" t="s">
        <v>31</v>
      </c>
      <c r="H111" s="59" t="s">
        <v>20</v>
      </c>
      <c r="I111" s="61" t="s">
        <v>50</v>
      </c>
      <c r="J111" s="63" t="s">
        <v>21</v>
      </c>
      <c r="K111" s="61" t="s">
        <v>50</v>
      </c>
      <c r="L111" s="63" t="s">
        <v>22</v>
      </c>
      <c r="M111" s="61" t="s">
        <v>50</v>
      </c>
      <c r="N111" s="61" t="s">
        <v>1731</v>
      </c>
      <c r="O111" s="60" t="s">
        <v>372</v>
      </c>
      <c r="P111" s="59"/>
      <c r="Q111" s="69" t="s">
        <v>1751</v>
      </c>
    </row>
    <row r="112" ht="22.5" customHeight="1">
      <c r="A112" s="60" t="s">
        <v>637</v>
      </c>
      <c r="B112" s="60" t="s">
        <v>1864</v>
      </c>
      <c r="C112" s="59"/>
      <c r="D112" s="61" t="s">
        <v>34</v>
      </c>
      <c r="E112" s="61" t="s">
        <v>40</v>
      </c>
      <c r="F112" s="59" t="s">
        <v>18</v>
      </c>
      <c r="G112" s="61" t="s">
        <v>31</v>
      </c>
      <c r="H112" s="59" t="s">
        <v>20</v>
      </c>
      <c r="I112" s="61" t="s">
        <v>640</v>
      </c>
      <c r="J112" s="63" t="s">
        <v>21</v>
      </c>
      <c r="K112" s="61" t="s">
        <v>640</v>
      </c>
      <c r="L112" s="63" t="s">
        <v>22</v>
      </c>
      <c r="M112" s="61" t="s">
        <v>31</v>
      </c>
      <c r="N112" s="61" t="s">
        <v>1731</v>
      </c>
      <c r="O112" s="60" t="s">
        <v>696</v>
      </c>
      <c r="P112" s="59"/>
      <c r="Q112" s="69" t="s">
        <v>1751</v>
      </c>
    </row>
    <row r="113" ht="22.5" customHeight="1">
      <c r="A113" s="60" t="s">
        <v>637</v>
      </c>
      <c r="B113" s="60" t="s">
        <v>1865</v>
      </c>
      <c r="C113" s="59"/>
      <c r="D113" s="61" t="s">
        <v>34</v>
      </c>
      <c r="E113" s="61" t="s">
        <v>49</v>
      </c>
      <c r="F113" s="59" t="s">
        <v>18</v>
      </c>
      <c r="G113" s="61" t="s">
        <v>50</v>
      </c>
      <c r="H113" s="59" t="s">
        <v>20</v>
      </c>
      <c r="I113" s="61" t="s">
        <v>50</v>
      </c>
      <c r="J113" s="63" t="s">
        <v>21</v>
      </c>
      <c r="K113" s="61" t="s">
        <v>50</v>
      </c>
      <c r="L113" s="63" t="s">
        <v>22</v>
      </c>
      <c r="M113" s="61" t="s">
        <v>50</v>
      </c>
      <c r="N113" s="61" t="s">
        <v>1731</v>
      </c>
      <c r="O113" s="60" t="s">
        <v>372</v>
      </c>
      <c r="P113" s="59"/>
      <c r="Q113" s="69" t="s">
        <v>1751</v>
      </c>
    </row>
    <row r="114" ht="22.5" customHeight="1">
      <c r="A114" s="60" t="s">
        <v>637</v>
      </c>
      <c r="B114" s="60" t="s">
        <v>1866</v>
      </c>
      <c r="C114" s="59"/>
      <c r="D114" s="61" t="s">
        <v>34</v>
      </c>
      <c r="E114" s="61" t="s">
        <v>49</v>
      </c>
      <c r="F114" s="59" t="s">
        <v>18</v>
      </c>
      <c r="G114" s="61" t="s">
        <v>50</v>
      </c>
      <c r="H114" s="59" t="s">
        <v>20</v>
      </c>
      <c r="I114" s="61" t="s">
        <v>50</v>
      </c>
      <c r="J114" s="63" t="s">
        <v>21</v>
      </c>
      <c r="K114" s="61" t="s">
        <v>50</v>
      </c>
      <c r="L114" s="63" t="s">
        <v>22</v>
      </c>
      <c r="M114" s="61" t="s">
        <v>50</v>
      </c>
      <c r="N114" s="61" t="s">
        <v>1731</v>
      </c>
      <c r="O114" s="60" t="s">
        <v>372</v>
      </c>
      <c r="P114" s="59"/>
      <c r="Q114" s="69" t="s">
        <v>1751</v>
      </c>
    </row>
    <row r="115" ht="22.5" customHeight="1">
      <c r="A115" s="60" t="s">
        <v>637</v>
      </c>
      <c r="B115" s="60" t="s">
        <v>1867</v>
      </c>
      <c r="C115" s="59"/>
      <c r="D115" s="61" t="s">
        <v>16</v>
      </c>
      <c r="E115" s="61" t="s">
        <v>17</v>
      </c>
      <c r="F115" s="59" t="s">
        <v>18</v>
      </c>
      <c r="G115" s="61" t="s">
        <v>19</v>
      </c>
      <c r="H115" s="59" t="s">
        <v>20</v>
      </c>
      <c r="I115" s="61" t="s">
        <v>19</v>
      </c>
      <c r="J115" s="63" t="s">
        <v>21</v>
      </c>
      <c r="K115" s="61" t="s">
        <v>640</v>
      </c>
      <c r="L115" s="63" t="s">
        <v>22</v>
      </c>
      <c r="M115" s="61" t="s">
        <v>640</v>
      </c>
      <c r="N115" s="61" t="s">
        <v>1731</v>
      </c>
      <c r="O115" s="59"/>
      <c r="P115" s="59"/>
      <c r="Q115" s="69" t="s">
        <v>1751</v>
      </c>
    </row>
    <row r="116" ht="22.5" customHeight="1">
      <c r="A116" s="60" t="s">
        <v>637</v>
      </c>
      <c r="B116" s="60" t="s">
        <v>1868</v>
      </c>
      <c r="C116" s="59"/>
      <c r="D116" s="61" t="s">
        <v>16</v>
      </c>
      <c r="E116" s="61" t="s">
        <v>17</v>
      </c>
      <c r="F116" s="59" t="s">
        <v>18</v>
      </c>
      <c r="G116" s="61" t="s">
        <v>19</v>
      </c>
      <c r="H116" s="59" t="s">
        <v>20</v>
      </c>
      <c r="I116" s="61" t="s">
        <v>19</v>
      </c>
      <c r="J116" s="63" t="s">
        <v>21</v>
      </c>
      <c r="K116" s="61" t="s">
        <v>640</v>
      </c>
      <c r="L116" s="63" t="s">
        <v>22</v>
      </c>
      <c r="M116" s="61" t="s">
        <v>640</v>
      </c>
      <c r="N116" s="61" t="s">
        <v>1731</v>
      </c>
      <c r="O116" s="59"/>
      <c r="P116" s="59"/>
      <c r="Q116" s="69" t="s">
        <v>1751</v>
      </c>
    </row>
    <row r="117" ht="22.5" customHeight="1">
      <c r="A117" s="60" t="s">
        <v>637</v>
      </c>
      <c r="B117" s="60" t="s">
        <v>1869</v>
      </c>
      <c r="C117" s="59"/>
      <c r="D117" s="61" t="s">
        <v>34</v>
      </c>
      <c r="E117" s="61" t="s">
        <v>49</v>
      </c>
      <c r="F117" s="59" t="s">
        <v>18</v>
      </c>
      <c r="G117" s="61" t="s">
        <v>31</v>
      </c>
      <c r="H117" s="59" t="s">
        <v>20</v>
      </c>
      <c r="I117" s="61" t="s">
        <v>50</v>
      </c>
      <c r="J117" s="63" t="s">
        <v>21</v>
      </c>
      <c r="K117" s="61" t="s">
        <v>50</v>
      </c>
      <c r="L117" s="63" t="s">
        <v>22</v>
      </c>
      <c r="M117" s="61" t="s">
        <v>50</v>
      </c>
      <c r="N117" s="61" t="s">
        <v>1731</v>
      </c>
      <c r="O117" s="60" t="s">
        <v>372</v>
      </c>
      <c r="P117" s="59"/>
      <c r="Q117" s="69" t="s">
        <v>1751</v>
      </c>
    </row>
    <row r="118" ht="22.5" customHeight="1">
      <c r="A118" s="60" t="s">
        <v>637</v>
      </c>
      <c r="B118" s="60" t="s">
        <v>1870</v>
      </c>
      <c r="C118" s="59"/>
      <c r="D118" s="61" t="s">
        <v>16</v>
      </c>
      <c r="E118" s="61" t="s">
        <v>419</v>
      </c>
      <c r="F118" s="59" t="s">
        <v>18</v>
      </c>
      <c r="G118" s="61" t="s">
        <v>19</v>
      </c>
      <c r="H118" s="59" t="s">
        <v>20</v>
      </c>
      <c r="I118" s="61" t="s">
        <v>640</v>
      </c>
      <c r="J118" s="63" t="s">
        <v>21</v>
      </c>
      <c r="K118" s="61" t="s">
        <v>640</v>
      </c>
      <c r="L118" s="63" t="s">
        <v>22</v>
      </c>
      <c r="M118" s="61" t="s">
        <v>640</v>
      </c>
      <c r="N118" s="61" t="s">
        <v>1731</v>
      </c>
      <c r="O118" s="60" t="s">
        <v>1871</v>
      </c>
      <c r="P118" s="59"/>
      <c r="Q118" s="69" t="s">
        <v>1751</v>
      </c>
    </row>
    <row r="119" ht="22.5" customHeight="1">
      <c r="A119" s="60" t="s">
        <v>637</v>
      </c>
      <c r="B119" s="60" t="s">
        <v>1872</v>
      </c>
      <c r="C119" s="59"/>
      <c r="D119" s="61" t="s">
        <v>34</v>
      </c>
      <c r="E119" s="61" t="s">
        <v>40</v>
      </c>
      <c r="F119" s="59" t="s">
        <v>18</v>
      </c>
      <c r="G119" s="61" t="s">
        <v>31</v>
      </c>
      <c r="H119" s="59" t="s">
        <v>20</v>
      </c>
      <c r="I119" s="61" t="s">
        <v>640</v>
      </c>
      <c r="J119" s="63" t="s">
        <v>21</v>
      </c>
      <c r="K119" s="61" t="s">
        <v>640</v>
      </c>
      <c r="L119" s="63" t="s">
        <v>22</v>
      </c>
      <c r="M119" s="61" t="s">
        <v>31</v>
      </c>
      <c r="N119" s="61" t="s">
        <v>1731</v>
      </c>
      <c r="O119" s="59"/>
      <c r="P119" s="59"/>
      <c r="Q119" s="69" t="s">
        <v>1751</v>
      </c>
    </row>
    <row r="120" ht="22.5" customHeight="1">
      <c r="A120" s="60" t="s">
        <v>637</v>
      </c>
      <c r="B120" s="60" t="s">
        <v>1873</v>
      </c>
      <c r="C120" s="59"/>
      <c r="D120" s="61" t="s">
        <v>34</v>
      </c>
      <c r="E120" s="61" t="s">
        <v>49</v>
      </c>
      <c r="F120" s="59" t="s">
        <v>18</v>
      </c>
      <c r="G120" s="61" t="s">
        <v>31</v>
      </c>
      <c r="H120" s="59" t="s">
        <v>20</v>
      </c>
      <c r="I120" s="61" t="s">
        <v>50</v>
      </c>
      <c r="J120" s="63" t="s">
        <v>21</v>
      </c>
      <c r="K120" s="61" t="s">
        <v>50</v>
      </c>
      <c r="L120" s="63" t="s">
        <v>22</v>
      </c>
      <c r="M120" s="61" t="s">
        <v>50</v>
      </c>
      <c r="N120" s="61" t="s">
        <v>1731</v>
      </c>
      <c r="O120" s="59"/>
      <c r="P120" s="59"/>
      <c r="Q120" s="69" t="s">
        <v>1751</v>
      </c>
    </row>
    <row r="121" ht="22.5" customHeight="1">
      <c r="A121" s="60" t="s">
        <v>637</v>
      </c>
      <c r="B121" s="60" t="s">
        <v>1874</v>
      </c>
      <c r="C121" s="59"/>
      <c r="D121" s="61" t="s">
        <v>16</v>
      </c>
      <c r="E121" s="61" t="s">
        <v>17</v>
      </c>
      <c r="F121" s="59" t="s">
        <v>18</v>
      </c>
      <c r="G121" s="61" t="s">
        <v>19</v>
      </c>
      <c r="H121" s="59" t="s">
        <v>20</v>
      </c>
      <c r="I121" s="61" t="s">
        <v>19</v>
      </c>
      <c r="J121" s="63" t="s">
        <v>21</v>
      </c>
      <c r="K121" s="61" t="s">
        <v>640</v>
      </c>
      <c r="L121" s="63" t="s">
        <v>22</v>
      </c>
      <c r="M121" s="61" t="s">
        <v>640</v>
      </c>
      <c r="N121" s="61" t="s">
        <v>1731</v>
      </c>
      <c r="O121" s="59"/>
      <c r="P121" s="59"/>
      <c r="Q121" s="69" t="s">
        <v>1751</v>
      </c>
    </row>
    <row r="122" ht="22.5" customHeight="1">
      <c r="A122" s="60" t="s">
        <v>637</v>
      </c>
      <c r="B122" s="60" t="s">
        <v>1875</v>
      </c>
      <c r="C122" s="59"/>
      <c r="D122" s="61" t="s">
        <v>16</v>
      </c>
      <c r="E122" s="61" t="s">
        <v>17</v>
      </c>
      <c r="F122" s="59" t="s">
        <v>18</v>
      </c>
      <c r="G122" s="61" t="s">
        <v>19</v>
      </c>
      <c r="H122" s="59" t="s">
        <v>20</v>
      </c>
      <c r="I122" s="61" t="s">
        <v>19</v>
      </c>
      <c r="J122" s="63" t="s">
        <v>21</v>
      </c>
      <c r="K122" s="61" t="s">
        <v>640</v>
      </c>
      <c r="L122" s="63" t="s">
        <v>22</v>
      </c>
      <c r="M122" s="61" t="s">
        <v>640</v>
      </c>
      <c r="N122" s="61" t="s">
        <v>1731</v>
      </c>
      <c r="O122" s="59"/>
      <c r="P122" s="59"/>
      <c r="Q122" s="69" t="s">
        <v>1751</v>
      </c>
    </row>
    <row r="123" ht="22.5" customHeight="1">
      <c r="A123" s="60" t="s">
        <v>637</v>
      </c>
      <c r="B123" s="103" t="s">
        <v>1876</v>
      </c>
      <c r="C123" s="59"/>
      <c r="D123" s="61" t="s">
        <v>34</v>
      </c>
      <c r="E123" s="61" t="s">
        <v>409</v>
      </c>
      <c r="F123" s="59" t="s">
        <v>18</v>
      </c>
      <c r="G123" s="61" t="s">
        <v>19</v>
      </c>
      <c r="H123" s="59" t="s">
        <v>20</v>
      </c>
      <c r="I123" s="61" t="s">
        <v>31</v>
      </c>
      <c r="J123" s="63" t="s">
        <v>21</v>
      </c>
      <c r="K123" s="61" t="s">
        <v>640</v>
      </c>
      <c r="L123" s="63" t="s">
        <v>22</v>
      </c>
      <c r="M123" s="61" t="s">
        <v>640</v>
      </c>
      <c r="N123" s="61" t="s">
        <v>1731</v>
      </c>
      <c r="O123" s="59"/>
      <c r="P123" s="59"/>
      <c r="Q123" s="69" t="s">
        <v>1751</v>
      </c>
    </row>
    <row r="124" ht="22.5" customHeight="1">
      <c r="A124" s="60" t="s">
        <v>637</v>
      </c>
      <c r="B124" s="60" t="s">
        <v>1877</v>
      </c>
      <c r="C124" s="59"/>
      <c r="D124" s="61" t="s">
        <v>16</v>
      </c>
      <c r="E124" s="61" t="s">
        <v>17</v>
      </c>
      <c r="F124" s="59" t="s">
        <v>18</v>
      </c>
      <c r="G124" s="61" t="s">
        <v>19</v>
      </c>
      <c r="H124" s="59" t="s">
        <v>20</v>
      </c>
      <c r="I124" s="61" t="s">
        <v>19</v>
      </c>
      <c r="J124" s="63" t="s">
        <v>21</v>
      </c>
      <c r="K124" s="61" t="s">
        <v>640</v>
      </c>
      <c r="L124" s="63" t="s">
        <v>22</v>
      </c>
      <c r="M124" s="61" t="s">
        <v>640</v>
      </c>
      <c r="N124" s="61" t="s">
        <v>1731</v>
      </c>
      <c r="O124" s="59"/>
      <c r="P124" s="59"/>
      <c r="Q124" s="69" t="s">
        <v>1751</v>
      </c>
    </row>
    <row r="125" ht="22.5" customHeight="1">
      <c r="A125" s="60" t="s">
        <v>637</v>
      </c>
      <c r="B125" s="60" t="s">
        <v>1878</v>
      </c>
      <c r="C125" s="59"/>
      <c r="D125" s="61" t="s">
        <v>34</v>
      </c>
      <c r="E125" s="61" t="s">
        <v>30</v>
      </c>
      <c r="F125" s="59" t="s">
        <v>18</v>
      </c>
      <c r="G125" s="61" t="s">
        <v>31</v>
      </c>
      <c r="H125" s="59" t="s">
        <v>20</v>
      </c>
      <c r="I125" s="61" t="s">
        <v>19</v>
      </c>
      <c r="J125" s="63" t="s">
        <v>21</v>
      </c>
      <c r="K125" s="61" t="s">
        <v>640</v>
      </c>
      <c r="L125" s="63" t="s">
        <v>22</v>
      </c>
      <c r="M125" s="61" t="s">
        <v>640</v>
      </c>
      <c r="N125" s="61" t="s">
        <v>1731</v>
      </c>
      <c r="O125" s="60" t="s">
        <v>1879</v>
      </c>
      <c r="P125" s="59"/>
      <c r="Q125" s="69" t="s">
        <v>1751</v>
      </c>
    </row>
    <row r="126" ht="22.5" customHeight="1">
      <c r="A126" s="60" t="s">
        <v>637</v>
      </c>
      <c r="B126" s="60" t="s">
        <v>1880</v>
      </c>
      <c r="C126" s="59"/>
      <c r="D126" s="61" t="s">
        <v>16</v>
      </c>
      <c r="E126" s="61" t="s">
        <v>49</v>
      </c>
      <c r="F126" s="59" t="s">
        <v>18</v>
      </c>
      <c r="G126" s="61" t="s">
        <v>19</v>
      </c>
      <c r="H126" s="59" t="s">
        <v>20</v>
      </c>
      <c r="I126" s="61" t="s">
        <v>640</v>
      </c>
      <c r="J126" s="63" t="s">
        <v>21</v>
      </c>
      <c r="K126" s="61" t="s">
        <v>640</v>
      </c>
      <c r="L126" s="63" t="s">
        <v>22</v>
      </c>
      <c r="M126" s="61" t="s">
        <v>640</v>
      </c>
      <c r="N126" s="61" t="s">
        <v>1731</v>
      </c>
      <c r="O126" s="60" t="s">
        <v>372</v>
      </c>
      <c r="P126" s="59"/>
      <c r="Q126" s="69" t="s">
        <v>1751</v>
      </c>
    </row>
    <row r="127" ht="22.5" customHeight="1">
      <c r="A127" s="60" t="s">
        <v>637</v>
      </c>
      <c r="B127" s="60" t="s">
        <v>1881</v>
      </c>
      <c r="C127" s="59"/>
      <c r="D127" s="61" t="s">
        <v>34</v>
      </c>
      <c r="E127" s="61" t="s">
        <v>40</v>
      </c>
      <c r="F127" s="59" t="s">
        <v>18</v>
      </c>
      <c r="G127" s="61" t="s">
        <v>31</v>
      </c>
      <c r="H127" s="59" t="s">
        <v>20</v>
      </c>
      <c r="I127" s="61" t="s">
        <v>640</v>
      </c>
      <c r="J127" s="63" t="s">
        <v>21</v>
      </c>
      <c r="K127" s="61" t="s">
        <v>640</v>
      </c>
      <c r="L127" s="63" t="s">
        <v>22</v>
      </c>
      <c r="M127" s="61" t="s">
        <v>19</v>
      </c>
      <c r="N127" s="61" t="s">
        <v>1731</v>
      </c>
      <c r="O127" s="60" t="s">
        <v>696</v>
      </c>
      <c r="P127" s="59"/>
      <c r="Q127" s="69" t="s">
        <v>1751</v>
      </c>
    </row>
    <row r="128" ht="22.5" customHeight="1">
      <c r="A128" s="60" t="s">
        <v>637</v>
      </c>
      <c r="B128" s="60" t="s">
        <v>1882</v>
      </c>
      <c r="C128" s="59"/>
      <c r="D128" s="61" t="s">
        <v>34</v>
      </c>
      <c r="E128" s="61" t="s">
        <v>49</v>
      </c>
      <c r="F128" s="59" t="s">
        <v>18</v>
      </c>
      <c r="G128" s="61" t="s">
        <v>31</v>
      </c>
      <c r="H128" s="59" t="s">
        <v>20</v>
      </c>
      <c r="I128" s="61" t="s">
        <v>50</v>
      </c>
      <c r="J128" s="63" t="s">
        <v>21</v>
      </c>
      <c r="K128" s="61" t="s">
        <v>50</v>
      </c>
      <c r="L128" s="63" t="s">
        <v>22</v>
      </c>
      <c r="M128" s="61" t="s">
        <v>50</v>
      </c>
      <c r="N128" s="61" t="s">
        <v>1731</v>
      </c>
      <c r="O128" s="60" t="s">
        <v>372</v>
      </c>
      <c r="P128" s="59"/>
      <c r="Q128" s="69" t="s">
        <v>1751</v>
      </c>
    </row>
    <row r="129" ht="22.5" customHeight="1">
      <c r="A129" s="60" t="s">
        <v>637</v>
      </c>
      <c r="B129" s="60" t="s">
        <v>1883</v>
      </c>
      <c r="C129" s="59"/>
      <c r="D129" s="61" t="s">
        <v>34</v>
      </c>
      <c r="E129" s="61" t="s">
        <v>40</v>
      </c>
      <c r="F129" s="59" t="s">
        <v>18</v>
      </c>
      <c r="G129" s="61" t="s">
        <v>19</v>
      </c>
      <c r="H129" s="59" t="s">
        <v>20</v>
      </c>
      <c r="I129" s="61" t="s">
        <v>31</v>
      </c>
      <c r="J129" s="63" t="s">
        <v>21</v>
      </c>
      <c r="K129" s="61" t="s">
        <v>640</v>
      </c>
      <c r="L129" s="63" t="s">
        <v>22</v>
      </c>
      <c r="M129" s="61" t="s">
        <v>640</v>
      </c>
      <c r="N129" s="61" t="s">
        <v>1731</v>
      </c>
      <c r="O129" s="60" t="s">
        <v>696</v>
      </c>
      <c r="P129" s="59"/>
      <c r="Q129" s="69" t="s">
        <v>1751</v>
      </c>
    </row>
    <row r="130" ht="22.5" customHeight="1">
      <c r="A130" s="60" t="s">
        <v>637</v>
      </c>
      <c r="B130" s="82" t="s">
        <v>1884</v>
      </c>
      <c r="C130" s="59"/>
      <c r="D130" s="61" t="s">
        <v>34</v>
      </c>
      <c r="E130" s="61" t="s">
        <v>635</v>
      </c>
      <c r="F130" s="59" t="s">
        <v>18</v>
      </c>
      <c r="G130" s="61" t="s">
        <v>31</v>
      </c>
      <c r="H130" s="59" t="s">
        <v>20</v>
      </c>
      <c r="I130" s="61" t="s">
        <v>31</v>
      </c>
      <c r="J130" s="63" t="s">
        <v>21</v>
      </c>
      <c r="K130" s="61" t="s">
        <v>640</v>
      </c>
      <c r="L130" s="63" t="s">
        <v>22</v>
      </c>
      <c r="M130" s="61" t="s">
        <v>640</v>
      </c>
      <c r="N130" s="61" t="s">
        <v>1731</v>
      </c>
      <c r="O130" s="60"/>
      <c r="P130" s="59"/>
      <c r="Q130" s="69" t="s">
        <v>1751</v>
      </c>
    </row>
    <row r="131" ht="22.5" customHeight="1">
      <c r="A131" s="60" t="s">
        <v>637</v>
      </c>
      <c r="B131" s="60" t="s">
        <v>1885</v>
      </c>
      <c r="C131" s="59"/>
      <c r="D131" s="61" t="s">
        <v>34</v>
      </c>
      <c r="E131" s="61" t="s">
        <v>35</v>
      </c>
      <c r="F131" s="59" t="s">
        <v>18</v>
      </c>
      <c r="G131" s="61" t="s">
        <v>31</v>
      </c>
      <c r="H131" s="59" t="s">
        <v>20</v>
      </c>
      <c r="I131" s="61" t="s">
        <v>31</v>
      </c>
      <c r="J131" s="63" t="s">
        <v>21</v>
      </c>
      <c r="K131" s="61" t="s">
        <v>640</v>
      </c>
      <c r="L131" s="63" t="s">
        <v>22</v>
      </c>
      <c r="M131" s="61" t="s">
        <v>640</v>
      </c>
      <c r="N131" s="61" t="s">
        <v>1731</v>
      </c>
      <c r="O131" s="60" t="s">
        <v>1886</v>
      </c>
      <c r="P131" s="59"/>
      <c r="Q131" s="69" t="s">
        <v>1751</v>
      </c>
    </row>
    <row r="132" ht="22.5" customHeight="1">
      <c r="A132" s="60" t="s">
        <v>637</v>
      </c>
      <c r="B132" s="60" t="s">
        <v>1887</v>
      </c>
      <c r="C132" s="59"/>
      <c r="D132" s="61" t="s">
        <v>16</v>
      </c>
      <c r="E132" s="61" t="s">
        <v>17</v>
      </c>
      <c r="F132" s="59" t="s">
        <v>18</v>
      </c>
      <c r="G132" s="61" t="s">
        <v>19</v>
      </c>
      <c r="H132" s="59" t="s">
        <v>20</v>
      </c>
      <c r="I132" s="61" t="s">
        <v>19</v>
      </c>
      <c r="J132" s="63" t="s">
        <v>21</v>
      </c>
      <c r="K132" s="61" t="s">
        <v>640</v>
      </c>
      <c r="L132" s="63" t="s">
        <v>22</v>
      </c>
      <c r="M132" s="61" t="s">
        <v>640</v>
      </c>
      <c r="N132" s="61" t="s">
        <v>1731</v>
      </c>
      <c r="O132" s="59"/>
      <c r="P132" s="59"/>
      <c r="Q132" s="69" t="s">
        <v>1751</v>
      </c>
    </row>
    <row r="133" ht="22.5" customHeight="1">
      <c r="A133" s="60" t="s">
        <v>637</v>
      </c>
      <c r="B133" s="60" t="s">
        <v>1888</v>
      </c>
      <c r="C133" s="59"/>
      <c r="D133" s="61" t="s">
        <v>16</v>
      </c>
      <c r="E133" s="61" t="s">
        <v>49</v>
      </c>
      <c r="F133" s="59" t="s">
        <v>18</v>
      </c>
      <c r="G133" s="61" t="s">
        <v>50</v>
      </c>
      <c r="H133" s="59" t="s">
        <v>20</v>
      </c>
      <c r="I133" s="61" t="s">
        <v>50</v>
      </c>
      <c r="J133" s="63" t="s">
        <v>21</v>
      </c>
      <c r="K133" s="61" t="s">
        <v>50</v>
      </c>
      <c r="L133" s="63" t="s">
        <v>22</v>
      </c>
      <c r="M133" s="61" t="s">
        <v>50</v>
      </c>
      <c r="N133" s="61" t="s">
        <v>1731</v>
      </c>
      <c r="O133" s="60" t="s">
        <v>372</v>
      </c>
      <c r="P133" s="59"/>
      <c r="Q133" s="69" t="s">
        <v>1751</v>
      </c>
    </row>
    <row r="134" ht="22.5" customHeight="1">
      <c r="A134" s="60" t="s">
        <v>637</v>
      </c>
      <c r="B134" s="60" t="s">
        <v>1889</v>
      </c>
      <c r="C134" s="59"/>
      <c r="D134" s="61" t="s">
        <v>34</v>
      </c>
      <c r="E134" s="61" t="s">
        <v>49</v>
      </c>
      <c r="F134" s="59" t="s">
        <v>18</v>
      </c>
      <c r="G134" s="61" t="s">
        <v>31</v>
      </c>
      <c r="H134" s="59" t="s">
        <v>20</v>
      </c>
      <c r="I134" s="61" t="s">
        <v>50</v>
      </c>
      <c r="J134" s="63" t="s">
        <v>21</v>
      </c>
      <c r="K134" s="61" t="s">
        <v>50</v>
      </c>
      <c r="L134" s="63" t="s">
        <v>22</v>
      </c>
      <c r="M134" s="61" t="s">
        <v>50</v>
      </c>
      <c r="N134" s="61" t="s">
        <v>1731</v>
      </c>
      <c r="O134" s="59"/>
      <c r="P134" s="59"/>
      <c r="Q134" s="69" t="s">
        <v>1751</v>
      </c>
    </row>
    <row r="135" ht="22.5" customHeight="1">
      <c r="A135" s="60" t="s">
        <v>637</v>
      </c>
      <c r="B135" s="60" t="s">
        <v>1890</v>
      </c>
      <c r="C135" s="59"/>
      <c r="D135" s="61" t="s">
        <v>34</v>
      </c>
      <c r="E135" s="61" t="s">
        <v>40</v>
      </c>
      <c r="F135" s="59" t="s">
        <v>18</v>
      </c>
      <c r="G135" s="61" t="s">
        <v>31</v>
      </c>
      <c r="H135" s="59" t="s">
        <v>20</v>
      </c>
      <c r="I135" s="61" t="s">
        <v>640</v>
      </c>
      <c r="J135" s="63" t="s">
        <v>21</v>
      </c>
      <c r="K135" s="61" t="s">
        <v>640</v>
      </c>
      <c r="L135" s="63" t="s">
        <v>22</v>
      </c>
      <c r="M135" s="61" t="s">
        <v>19</v>
      </c>
      <c r="N135" s="61" t="s">
        <v>1731</v>
      </c>
      <c r="O135" s="60" t="s">
        <v>696</v>
      </c>
      <c r="P135" s="59"/>
      <c r="Q135" s="69" t="s">
        <v>1751</v>
      </c>
    </row>
    <row r="136" ht="22.5" customHeight="1">
      <c r="A136" s="60" t="s">
        <v>637</v>
      </c>
      <c r="B136" s="60" t="s">
        <v>1891</v>
      </c>
      <c r="C136" s="59"/>
      <c r="D136" s="61" t="s">
        <v>34</v>
      </c>
      <c r="E136" s="61" t="s">
        <v>40</v>
      </c>
      <c r="F136" s="59" t="s">
        <v>18</v>
      </c>
      <c r="G136" s="61" t="s">
        <v>31</v>
      </c>
      <c r="H136" s="59" t="s">
        <v>20</v>
      </c>
      <c r="I136" s="61" t="s">
        <v>640</v>
      </c>
      <c r="J136" s="63" t="s">
        <v>21</v>
      </c>
      <c r="K136" s="61" t="s">
        <v>640</v>
      </c>
      <c r="L136" s="63" t="s">
        <v>22</v>
      </c>
      <c r="M136" s="61" t="s">
        <v>31</v>
      </c>
      <c r="N136" s="61" t="s">
        <v>1731</v>
      </c>
      <c r="O136" s="60" t="s">
        <v>1791</v>
      </c>
      <c r="P136" s="59"/>
      <c r="Q136" s="69" t="s">
        <v>1751</v>
      </c>
    </row>
    <row r="137" ht="22.5" customHeight="1">
      <c r="A137" s="60" t="s">
        <v>637</v>
      </c>
      <c r="B137" s="60" t="s">
        <v>1892</v>
      </c>
      <c r="C137" s="59"/>
      <c r="D137" s="61" t="s">
        <v>34</v>
      </c>
      <c r="E137" s="61" t="s">
        <v>49</v>
      </c>
      <c r="F137" s="59" t="s">
        <v>18</v>
      </c>
      <c r="G137" s="61" t="s">
        <v>50</v>
      </c>
      <c r="H137" s="59" t="s">
        <v>20</v>
      </c>
      <c r="I137" s="61" t="s">
        <v>31</v>
      </c>
      <c r="J137" s="63" t="s">
        <v>21</v>
      </c>
      <c r="K137" s="61" t="s">
        <v>50</v>
      </c>
      <c r="L137" s="63" t="s">
        <v>22</v>
      </c>
      <c r="M137" s="61" t="s">
        <v>50</v>
      </c>
      <c r="N137" s="61" t="s">
        <v>1731</v>
      </c>
      <c r="O137" s="60" t="s">
        <v>372</v>
      </c>
      <c r="P137" s="59"/>
      <c r="Q137" s="69" t="s">
        <v>1751</v>
      </c>
    </row>
    <row r="138" ht="22.5" customHeight="1">
      <c r="A138" s="60" t="s">
        <v>637</v>
      </c>
      <c r="B138" s="60" t="s">
        <v>1893</v>
      </c>
      <c r="C138" s="59"/>
      <c r="D138" s="61" t="s">
        <v>34</v>
      </c>
      <c r="E138" s="61" t="s">
        <v>40</v>
      </c>
      <c r="F138" s="59" t="s">
        <v>18</v>
      </c>
      <c r="G138" s="61" t="s">
        <v>31</v>
      </c>
      <c r="H138" s="59" t="s">
        <v>20</v>
      </c>
      <c r="I138" s="61" t="s">
        <v>640</v>
      </c>
      <c r="J138" s="63" t="s">
        <v>21</v>
      </c>
      <c r="K138" s="61" t="s">
        <v>640</v>
      </c>
      <c r="L138" s="63" t="s">
        <v>22</v>
      </c>
      <c r="M138" s="61" t="s">
        <v>19</v>
      </c>
      <c r="N138" s="61" t="s">
        <v>1731</v>
      </c>
      <c r="O138" s="60" t="s">
        <v>696</v>
      </c>
      <c r="P138" s="59"/>
      <c r="Q138" s="69" t="s">
        <v>1751</v>
      </c>
    </row>
    <row r="139" ht="22.5" customHeight="1">
      <c r="A139" s="60" t="s">
        <v>637</v>
      </c>
      <c r="B139" s="60" t="s">
        <v>1894</v>
      </c>
      <c r="C139" s="59"/>
      <c r="D139" s="61" t="s">
        <v>16</v>
      </c>
      <c r="E139" s="61" t="s">
        <v>49</v>
      </c>
      <c r="F139" s="59" t="s">
        <v>18</v>
      </c>
      <c r="G139" s="61" t="s">
        <v>19</v>
      </c>
      <c r="H139" s="59" t="s">
        <v>20</v>
      </c>
      <c r="I139" s="61" t="s">
        <v>50</v>
      </c>
      <c r="J139" s="63" t="s">
        <v>21</v>
      </c>
      <c r="K139" s="61" t="s">
        <v>50</v>
      </c>
      <c r="L139" s="63" t="s">
        <v>22</v>
      </c>
      <c r="M139" s="61" t="s">
        <v>50</v>
      </c>
      <c r="N139" s="61" t="s">
        <v>1731</v>
      </c>
      <c r="O139" s="60" t="s">
        <v>372</v>
      </c>
      <c r="P139" s="59"/>
      <c r="Q139" s="69" t="s">
        <v>1751</v>
      </c>
    </row>
    <row r="140" ht="22.5" customHeight="1">
      <c r="A140" s="60" t="s">
        <v>637</v>
      </c>
      <c r="B140" s="60" t="s">
        <v>1895</v>
      </c>
      <c r="C140" s="59"/>
      <c r="D140" s="61" t="s">
        <v>16</v>
      </c>
      <c r="E140" s="61" t="s">
        <v>17</v>
      </c>
      <c r="F140" s="59" t="s">
        <v>18</v>
      </c>
      <c r="G140" s="61" t="s">
        <v>19</v>
      </c>
      <c r="H140" s="59" t="s">
        <v>20</v>
      </c>
      <c r="I140" s="61" t="s">
        <v>19</v>
      </c>
      <c r="J140" s="63" t="s">
        <v>21</v>
      </c>
      <c r="K140" s="61" t="s">
        <v>640</v>
      </c>
      <c r="L140" s="63" t="s">
        <v>22</v>
      </c>
      <c r="M140" s="61" t="s">
        <v>640</v>
      </c>
      <c r="N140" s="61" t="s">
        <v>1731</v>
      </c>
      <c r="O140" s="59"/>
      <c r="P140" s="59"/>
      <c r="Q140" s="69" t="s">
        <v>1751</v>
      </c>
    </row>
    <row r="141" ht="22.5" customHeight="1">
      <c r="A141" s="60" t="s">
        <v>637</v>
      </c>
      <c r="B141" s="60" t="s">
        <v>1896</v>
      </c>
      <c r="C141" s="59"/>
      <c r="D141" s="61" t="s">
        <v>16</v>
      </c>
      <c r="E141" s="61" t="s">
        <v>17</v>
      </c>
      <c r="F141" s="59" t="s">
        <v>18</v>
      </c>
      <c r="G141" s="61" t="s">
        <v>19</v>
      </c>
      <c r="H141" s="59" t="s">
        <v>20</v>
      </c>
      <c r="I141" s="61" t="s">
        <v>19</v>
      </c>
      <c r="J141" s="63" t="s">
        <v>21</v>
      </c>
      <c r="K141" s="61" t="s">
        <v>640</v>
      </c>
      <c r="L141" s="63" t="s">
        <v>22</v>
      </c>
      <c r="M141" s="61" t="s">
        <v>640</v>
      </c>
      <c r="N141" s="61" t="s">
        <v>1731</v>
      </c>
      <c r="O141" s="59"/>
      <c r="P141" s="59"/>
      <c r="Q141" s="69" t="s">
        <v>1751</v>
      </c>
    </row>
    <row r="142" ht="22.5" customHeight="1">
      <c r="A142" s="60" t="s">
        <v>637</v>
      </c>
      <c r="B142" s="60" t="s">
        <v>1897</v>
      </c>
      <c r="C142" s="59"/>
      <c r="D142" s="61" t="s">
        <v>34</v>
      </c>
      <c r="E142" s="61" t="s">
        <v>40</v>
      </c>
      <c r="F142" s="59" t="s">
        <v>18</v>
      </c>
      <c r="G142" s="61" t="s">
        <v>19</v>
      </c>
      <c r="H142" s="59" t="s">
        <v>20</v>
      </c>
      <c r="I142" s="61" t="s">
        <v>31</v>
      </c>
      <c r="J142" s="63" t="s">
        <v>21</v>
      </c>
      <c r="K142" s="61" t="s">
        <v>640</v>
      </c>
      <c r="L142" s="63" t="s">
        <v>22</v>
      </c>
      <c r="M142" s="61" t="s">
        <v>640</v>
      </c>
      <c r="N142" s="61" t="s">
        <v>1731</v>
      </c>
      <c r="O142" s="59"/>
      <c r="P142" s="59"/>
      <c r="Q142" s="69" t="s">
        <v>1751</v>
      </c>
    </row>
    <row r="143" ht="22.5" customHeight="1">
      <c r="A143" s="60" t="s">
        <v>637</v>
      </c>
      <c r="B143" s="60" t="s">
        <v>1898</v>
      </c>
      <c r="C143" s="59"/>
      <c r="D143" s="61" t="s">
        <v>16</v>
      </c>
      <c r="E143" s="61" t="s">
        <v>17</v>
      </c>
      <c r="F143" s="59" t="s">
        <v>18</v>
      </c>
      <c r="G143" s="61" t="s">
        <v>19</v>
      </c>
      <c r="H143" s="59" t="s">
        <v>20</v>
      </c>
      <c r="I143" s="61" t="s">
        <v>19</v>
      </c>
      <c r="J143" s="63" t="s">
        <v>21</v>
      </c>
      <c r="K143" s="61" t="s">
        <v>640</v>
      </c>
      <c r="L143" s="63" t="s">
        <v>22</v>
      </c>
      <c r="M143" s="61" t="s">
        <v>640</v>
      </c>
      <c r="N143" s="61" t="s">
        <v>1731</v>
      </c>
      <c r="O143" s="59"/>
      <c r="P143" s="59"/>
      <c r="Q143" s="69" t="s">
        <v>1751</v>
      </c>
    </row>
    <row r="144" ht="22.5" customHeight="1">
      <c r="A144" s="60" t="s">
        <v>637</v>
      </c>
      <c r="B144" s="60" t="s">
        <v>1899</v>
      </c>
      <c r="C144" s="59"/>
      <c r="D144" s="61" t="s">
        <v>16</v>
      </c>
      <c r="E144" s="61" t="s">
        <v>17</v>
      </c>
      <c r="F144" s="59" t="s">
        <v>18</v>
      </c>
      <c r="G144" s="61" t="s">
        <v>19</v>
      </c>
      <c r="H144" s="59" t="s">
        <v>20</v>
      </c>
      <c r="I144" s="61" t="s">
        <v>19</v>
      </c>
      <c r="J144" s="63" t="s">
        <v>21</v>
      </c>
      <c r="K144" s="61" t="s">
        <v>640</v>
      </c>
      <c r="L144" s="63" t="s">
        <v>22</v>
      </c>
      <c r="M144" s="61" t="s">
        <v>640</v>
      </c>
      <c r="N144" s="61" t="s">
        <v>1731</v>
      </c>
      <c r="O144" s="59"/>
      <c r="P144" s="59"/>
      <c r="Q144" s="69" t="s">
        <v>1751</v>
      </c>
    </row>
    <row r="145" ht="22.5" customHeight="1">
      <c r="A145" s="60" t="s">
        <v>637</v>
      </c>
      <c r="B145" s="60" t="s">
        <v>1900</v>
      </c>
      <c r="C145" s="59"/>
      <c r="D145" s="61" t="s">
        <v>16</v>
      </c>
      <c r="E145" s="61" t="s">
        <v>17</v>
      </c>
      <c r="F145" s="59" t="s">
        <v>18</v>
      </c>
      <c r="G145" s="61" t="s">
        <v>19</v>
      </c>
      <c r="H145" s="59" t="s">
        <v>20</v>
      </c>
      <c r="I145" s="61" t="s">
        <v>19</v>
      </c>
      <c r="J145" s="63" t="s">
        <v>21</v>
      </c>
      <c r="K145" s="61" t="s">
        <v>640</v>
      </c>
      <c r="L145" s="63" t="s">
        <v>22</v>
      </c>
      <c r="M145" s="61" t="s">
        <v>640</v>
      </c>
      <c r="N145" s="61" t="s">
        <v>1731</v>
      </c>
      <c r="O145" s="59"/>
      <c r="P145" s="59"/>
      <c r="Q145" s="69" t="s">
        <v>1751</v>
      </c>
    </row>
    <row r="146" ht="22.5" customHeight="1">
      <c r="A146" s="60" t="s">
        <v>637</v>
      </c>
      <c r="B146" s="60" t="s">
        <v>1901</v>
      </c>
      <c r="C146" s="59"/>
      <c r="D146" s="61" t="s">
        <v>34</v>
      </c>
      <c r="E146" s="61" t="s">
        <v>49</v>
      </c>
      <c r="F146" s="59" t="s">
        <v>18</v>
      </c>
      <c r="G146" s="61" t="s">
        <v>50</v>
      </c>
      <c r="H146" s="59" t="s">
        <v>20</v>
      </c>
      <c r="I146" s="61" t="s">
        <v>50</v>
      </c>
      <c r="J146" s="63" t="s">
        <v>21</v>
      </c>
      <c r="K146" s="61" t="s">
        <v>50</v>
      </c>
      <c r="L146" s="63" t="s">
        <v>22</v>
      </c>
      <c r="M146" s="61" t="s">
        <v>50</v>
      </c>
      <c r="N146" s="61" t="s">
        <v>1731</v>
      </c>
      <c r="O146" s="60" t="s">
        <v>372</v>
      </c>
      <c r="P146" s="59"/>
      <c r="Q146" s="69" t="s">
        <v>1751</v>
      </c>
    </row>
    <row r="147" ht="22.5" customHeight="1">
      <c r="A147" s="60" t="s">
        <v>637</v>
      </c>
      <c r="B147" s="60" t="s">
        <v>1902</v>
      </c>
      <c r="C147" s="59"/>
      <c r="D147" s="61" t="s">
        <v>34</v>
      </c>
      <c r="E147" s="61" t="s">
        <v>40</v>
      </c>
      <c r="F147" s="59" t="s">
        <v>18</v>
      </c>
      <c r="G147" s="61" t="s">
        <v>31</v>
      </c>
      <c r="H147" s="59" t="s">
        <v>20</v>
      </c>
      <c r="I147" s="61" t="s">
        <v>640</v>
      </c>
      <c r="J147" s="63" t="s">
        <v>21</v>
      </c>
      <c r="K147" s="61" t="s">
        <v>640</v>
      </c>
      <c r="L147" s="63" t="s">
        <v>22</v>
      </c>
      <c r="M147" s="61" t="s">
        <v>640</v>
      </c>
      <c r="N147" s="61" t="s">
        <v>1731</v>
      </c>
      <c r="O147" s="60" t="s">
        <v>696</v>
      </c>
      <c r="P147" s="59"/>
      <c r="Q147" s="69" t="s">
        <v>1751</v>
      </c>
    </row>
    <row r="148" ht="22.5" customHeight="1">
      <c r="A148" s="60" t="s">
        <v>637</v>
      </c>
      <c r="B148" s="60" t="s">
        <v>1903</v>
      </c>
      <c r="C148" s="59"/>
      <c r="D148" s="61" t="s">
        <v>16</v>
      </c>
      <c r="E148" s="61" t="s">
        <v>49</v>
      </c>
      <c r="F148" s="59" t="s">
        <v>18</v>
      </c>
      <c r="G148" s="61" t="s">
        <v>19</v>
      </c>
      <c r="H148" s="59" t="s">
        <v>20</v>
      </c>
      <c r="I148" s="61" t="s">
        <v>50</v>
      </c>
      <c r="J148" s="63" t="s">
        <v>21</v>
      </c>
      <c r="K148" s="61" t="s">
        <v>50</v>
      </c>
      <c r="L148" s="63" t="s">
        <v>22</v>
      </c>
      <c r="M148" s="61" t="s">
        <v>50</v>
      </c>
      <c r="N148" s="61" t="s">
        <v>1731</v>
      </c>
      <c r="O148" s="60" t="s">
        <v>372</v>
      </c>
      <c r="P148" s="59"/>
      <c r="Q148" s="69" t="s">
        <v>1751</v>
      </c>
    </row>
    <row r="149" ht="22.5" customHeight="1">
      <c r="A149" s="60" t="s">
        <v>637</v>
      </c>
      <c r="B149" s="60" t="s">
        <v>1904</v>
      </c>
      <c r="C149" s="59"/>
      <c r="D149" s="61" t="s">
        <v>34</v>
      </c>
      <c r="E149" s="61" t="s">
        <v>49</v>
      </c>
      <c r="F149" s="59" t="s">
        <v>18</v>
      </c>
      <c r="G149" s="61" t="s">
        <v>50</v>
      </c>
      <c r="H149" s="59" t="s">
        <v>20</v>
      </c>
      <c r="I149" s="61" t="s">
        <v>31</v>
      </c>
      <c r="J149" s="63" t="s">
        <v>21</v>
      </c>
      <c r="K149" s="61" t="s">
        <v>50</v>
      </c>
      <c r="L149" s="63" t="s">
        <v>22</v>
      </c>
      <c r="M149" s="61" t="s">
        <v>50</v>
      </c>
      <c r="N149" s="61" t="s">
        <v>1731</v>
      </c>
      <c r="O149" s="60" t="s">
        <v>372</v>
      </c>
      <c r="P149" s="59"/>
      <c r="Q149" s="69" t="s">
        <v>1751</v>
      </c>
    </row>
    <row r="150" ht="22.5" customHeight="1">
      <c r="A150" s="60" t="s">
        <v>637</v>
      </c>
      <c r="B150" s="60" t="s">
        <v>1905</v>
      </c>
      <c r="C150" s="59"/>
      <c r="D150" s="61" t="s">
        <v>34</v>
      </c>
      <c r="E150" s="61" t="s">
        <v>49</v>
      </c>
      <c r="F150" s="59" t="s">
        <v>18</v>
      </c>
      <c r="G150" s="61" t="s">
        <v>50</v>
      </c>
      <c r="H150" s="59" t="s">
        <v>20</v>
      </c>
      <c r="I150" s="61" t="s">
        <v>640</v>
      </c>
      <c r="J150" s="63" t="s">
        <v>21</v>
      </c>
      <c r="K150" s="61" t="s">
        <v>640</v>
      </c>
      <c r="L150" s="63" t="s">
        <v>22</v>
      </c>
      <c r="M150" s="61" t="s">
        <v>640</v>
      </c>
      <c r="N150" s="61" t="s">
        <v>1731</v>
      </c>
      <c r="O150" s="59"/>
      <c r="P150" s="59"/>
      <c r="Q150" s="69" t="s">
        <v>1751</v>
      </c>
    </row>
    <row r="151" ht="22.5" customHeight="1">
      <c r="A151" s="60" t="s">
        <v>637</v>
      </c>
      <c r="B151" s="60" t="s">
        <v>1906</v>
      </c>
      <c r="C151" s="59"/>
      <c r="D151" s="61" t="s">
        <v>16</v>
      </c>
      <c r="E151" s="61" t="s">
        <v>17</v>
      </c>
      <c r="F151" s="59" t="s">
        <v>18</v>
      </c>
      <c r="G151" s="61" t="s">
        <v>19</v>
      </c>
      <c r="H151" s="59" t="s">
        <v>20</v>
      </c>
      <c r="I151" s="61" t="s">
        <v>19</v>
      </c>
      <c r="J151" s="63" t="s">
        <v>21</v>
      </c>
      <c r="K151" s="61" t="s">
        <v>640</v>
      </c>
      <c r="L151" s="63" t="s">
        <v>22</v>
      </c>
      <c r="M151" s="61" t="s">
        <v>640</v>
      </c>
      <c r="N151" s="61" t="s">
        <v>1731</v>
      </c>
      <c r="O151" s="59"/>
      <c r="P151" s="59"/>
      <c r="Q151" s="69" t="s">
        <v>1751</v>
      </c>
    </row>
    <row r="152" ht="22.5" customHeight="1">
      <c r="A152" s="60" t="s">
        <v>637</v>
      </c>
      <c r="B152" s="60" t="s">
        <v>1907</v>
      </c>
      <c r="C152" s="59"/>
      <c r="D152" s="61" t="s">
        <v>34</v>
      </c>
      <c r="E152" s="61" t="s">
        <v>35</v>
      </c>
      <c r="F152" s="59" t="s">
        <v>18</v>
      </c>
      <c r="G152" s="61" t="s">
        <v>19</v>
      </c>
      <c r="H152" s="59" t="s">
        <v>20</v>
      </c>
      <c r="I152" s="61" t="s">
        <v>31</v>
      </c>
      <c r="J152" s="63" t="s">
        <v>21</v>
      </c>
      <c r="K152" s="61" t="s">
        <v>640</v>
      </c>
      <c r="L152" s="63" t="s">
        <v>22</v>
      </c>
      <c r="M152" s="61" t="s">
        <v>640</v>
      </c>
      <c r="N152" s="61" t="s">
        <v>1731</v>
      </c>
      <c r="O152" s="60" t="s">
        <v>1908</v>
      </c>
      <c r="P152" s="59"/>
      <c r="Q152" s="69" t="s">
        <v>1751</v>
      </c>
    </row>
    <row r="153" ht="22.5" customHeight="1">
      <c r="A153" s="60" t="s">
        <v>637</v>
      </c>
      <c r="B153" s="60" t="s">
        <v>1909</v>
      </c>
      <c r="C153" s="59"/>
      <c r="D153" s="61" t="s">
        <v>16</v>
      </c>
      <c r="E153" s="61" t="s">
        <v>17</v>
      </c>
      <c r="F153" s="59" t="s">
        <v>18</v>
      </c>
      <c r="G153" s="61" t="s">
        <v>19</v>
      </c>
      <c r="H153" s="59" t="s">
        <v>20</v>
      </c>
      <c r="I153" s="61" t="s">
        <v>19</v>
      </c>
      <c r="J153" s="63" t="s">
        <v>21</v>
      </c>
      <c r="K153" s="61" t="s">
        <v>640</v>
      </c>
      <c r="L153" s="63" t="s">
        <v>22</v>
      </c>
      <c r="M153" s="61" t="s">
        <v>640</v>
      </c>
      <c r="N153" s="61" t="s">
        <v>1731</v>
      </c>
      <c r="O153" s="59"/>
      <c r="P153" s="59"/>
      <c r="Q153" s="69" t="s">
        <v>1751</v>
      </c>
    </row>
    <row r="154" ht="22.5" customHeight="1">
      <c r="A154" s="60" t="s">
        <v>637</v>
      </c>
      <c r="B154" s="60" t="s">
        <v>1910</v>
      </c>
      <c r="C154" s="59"/>
      <c r="D154" s="61" t="s">
        <v>34</v>
      </c>
      <c r="E154" s="61" t="s">
        <v>49</v>
      </c>
      <c r="F154" s="59" t="s">
        <v>18</v>
      </c>
      <c r="G154" s="61" t="s">
        <v>31</v>
      </c>
      <c r="H154" s="59" t="s">
        <v>20</v>
      </c>
      <c r="I154" s="61" t="s">
        <v>50</v>
      </c>
      <c r="J154" s="63" t="s">
        <v>21</v>
      </c>
      <c r="K154" s="61" t="s">
        <v>50</v>
      </c>
      <c r="L154" s="63" t="s">
        <v>22</v>
      </c>
      <c r="M154" s="61" t="s">
        <v>50</v>
      </c>
      <c r="N154" s="61" t="s">
        <v>1731</v>
      </c>
      <c r="O154" s="60" t="s">
        <v>372</v>
      </c>
      <c r="P154" s="59"/>
      <c r="Q154" s="69" t="s">
        <v>1751</v>
      </c>
    </row>
    <row r="155" ht="22.5" customHeight="1">
      <c r="A155" s="60" t="s">
        <v>637</v>
      </c>
      <c r="B155" s="60" t="s">
        <v>1911</v>
      </c>
      <c r="C155" s="59"/>
      <c r="D155" s="61" t="s">
        <v>34</v>
      </c>
      <c r="E155" s="61" t="s">
        <v>40</v>
      </c>
      <c r="F155" s="59" t="s">
        <v>18</v>
      </c>
      <c r="G155" s="61" t="s">
        <v>31</v>
      </c>
      <c r="H155" s="59" t="s">
        <v>20</v>
      </c>
      <c r="I155" s="61" t="s">
        <v>640</v>
      </c>
      <c r="J155" s="63" t="s">
        <v>21</v>
      </c>
      <c r="K155" s="61" t="s">
        <v>640</v>
      </c>
      <c r="L155" s="63" t="s">
        <v>22</v>
      </c>
      <c r="M155" s="61" t="s">
        <v>640</v>
      </c>
      <c r="N155" s="61" t="s">
        <v>1731</v>
      </c>
      <c r="O155" s="60" t="s">
        <v>1912</v>
      </c>
      <c r="P155" s="59"/>
      <c r="Q155" s="69" t="s">
        <v>1751</v>
      </c>
    </row>
    <row r="156" ht="22.5" customHeight="1">
      <c r="A156" s="60" t="s">
        <v>637</v>
      </c>
      <c r="B156" s="60" t="s">
        <v>1913</v>
      </c>
      <c r="C156" s="59"/>
      <c r="D156" s="61" t="s">
        <v>34</v>
      </c>
      <c r="E156" s="61" t="s">
        <v>40</v>
      </c>
      <c r="F156" s="59" t="s">
        <v>18</v>
      </c>
      <c r="G156" s="61" t="s">
        <v>31</v>
      </c>
      <c r="H156" s="59" t="s">
        <v>20</v>
      </c>
      <c r="I156" s="61" t="s">
        <v>640</v>
      </c>
      <c r="J156" s="63" t="s">
        <v>21</v>
      </c>
      <c r="K156" s="61" t="s">
        <v>640</v>
      </c>
      <c r="L156" s="63" t="s">
        <v>22</v>
      </c>
      <c r="M156" s="61" t="s">
        <v>640</v>
      </c>
      <c r="N156" s="61" t="s">
        <v>1731</v>
      </c>
      <c r="O156" s="60" t="s">
        <v>1914</v>
      </c>
      <c r="P156" s="59"/>
      <c r="Q156" s="69" t="s">
        <v>1751</v>
      </c>
    </row>
    <row r="157" ht="22.5" customHeight="1">
      <c r="A157" s="60" t="s">
        <v>637</v>
      </c>
      <c r="B157" s="60" t="s">
        <v>1915</v>
      </c>
      <c r="C157" s="59"/>
      <c r="D157" s="61" t="s">
        <v>16</v>
      </c>
      <c r="E157" s="61" t="s">
        <v>17</v>
      </c>
      <c r="F157" s="59" t="s">
        <v>18</v>
      </c>
      <c r="G157" s="61" t="s">
        <v>19</v>
      </c>
      <c r="H157" s="59" t="s">
        <v>20</v>
      </c>
      <c r="I157" s="61" t="s">
        <v>19</v>
      </c>
      <c r="J157" s="63" t="s">
        <v>21</v>
      </c>
      <c r="K157" s="61" t="s">
        <v>640</v>
      </c>
      <c r="L157" s="63" t="s">
        <v>22</v>
      </c>
      <c r="M157" s="61" t="s">
        <v>640</v>
      </c>
      <c r="N157" s="61" t="s">
        <v>1731</v>
      </c>
      <c r="O157" s="59"/>
      <c r="P157" s="59"/>
      <c r="Q157" s="69" t="s">
        <v>1751</v>
      </c>
    </row>
    <row r="158" ht="22.5" customHeight="1">
      <c r="A158" s="60" t="s">
        <v>637</v>
      </c>
      <c r="B158" s="60" t="s">
        <v>1916</v>
      </c>
      <c r="C158" s="59"/>
      <c r="D158" s="61" t="s">
        <v>34</v>
      </c>
      <c r="E158" s="61" t="s">
        <v>40</v>
      </c>
      <c r="F158" s="59" t="s">
        <v>18</v>
      </c>
      <c r="G158" s="61" t="s">
        <v>31</v>
      </c>
      <c r="H158" s="59" t="s">
        <v>20</v>
      </c>
      <c r="I158" s="61" t="s">
        <v>640</v>
      </c>
      <c r="J158" s="63" t="s">
        <v>21</v>
      </c>
      <c r="K158" s="61" t="s">
        <v>640</v>
      </c>
      <c r="L158" s="63" t="s">
        <v>22</v>
      </c>
      <c r="M158" s="61" t="s">
        <v>640</v>
      </c>
      <c r="N158" s="61" t="s">
        <v>1731</v>
      </c>
      <c r="O158" s="60" t="s">
        <v>696</v>
      </c>
      <c r="P158" s="59"/>
      <c r="Q158" s="69" t="s">
        <v>1751</v>
      </c>
    </row>
    <row r="159" ht="22.5" customHeight="1">
      <c r="A159" s="60" t="s">
        <v>637</v>
      </c>
      <c r="B159" s="60" t="s">
        <v>1917</v>
      </c>
      <c r="C159" s="59"/>
      <c r="D159" s="61" t="s">
        <v>34</v>
      </c>
      <c r="E159" s="61" t="s">
        <v>35</v>
      </c>
      <c r="F159" s="59" t="s">
        <v>18</v>
      </c>
      <c r="G159" s="61" t="s">
        <v>31</v>
      </c>
      <c r="H159" s="59" t="s">
        <v>20</v>
      </c>
      <c r="I159" s="61" t="s">
        <v>640</v>
      </c>
      <c r="J159" s="63" t="s">
        <v>21</v>
      </c>
      <c r="K159" s="61" t="s">
        <v>640</v>
      </c>
      <c r="L159" s="63" t="s">
        <v>22</v>
      </c>
      <c r="M159" s="61" t="s">
        <v>640</v>
      </c>
      <c r="N159" s="61" t="s">
        <v>1731</v>
      </c>
      <c r="O159" s="60" t="s">
        <v>1918</v>
      </c>
      <c r="P159" s="59"/>
      <c r="Q159" s="69" t="s">
        <v>1751</v>
      </c>
    </row>
    <row r="160" ht="22.5" customHeight="1">
      <c r="A160" s="60" t="s">
        <v>637</v>
      </c>
      <c r="B160" s="60" t="s">
        <v>1919</v>
      </c>
      <c r="C160" s="59"/>
      <c r="D160" s="61" t="s">
        <v>16</v>
      </c>
      <c r="E160" s="61" t="s">
        <v>17</v>
      </c>
      <c r="F160" s="59" t="s">
        <v>18</v>
      </c>
      <c r="G160" s="61" t="s">
        <v>19</v>
      </c>
      <c r="H160" s="59" t="s">
        <v>20</v>
      </c>
      <c r="I160" s="61" t="s">
        <v>19</v>
      </c>
      <c r="J160" s="63" t="s">
        <v>21</v>
      </c>
      <c r="K160" s="61" t="s">
        <v>640</v>
      </c>
      <c r="L160" s="63" t="s">
        <v>22</v>
      </c>
      <c r="M160" s="61" t="s">
        <v>640</v>
      </c>
      <c r="N160" s="61" t="s">
        <v>1731</v>
      </c>
      <c r="O160" s="59"/>
      <c r="P160" s="59"/>
      <c r="Q160" s="69" t="s">
        <v>1751</v>
      </c>
    </row>
    <row r="161" ht="22.5" customHeight="1">
      <c r="A161" s="60" t="s">
        <v>637</v>
      </c>
      <c r="B161" s="60" t="s">
        <v>1920</v>
      </c>
      <c r="C161" s="59"/>
      <c r="D161" s="61" t="s">
        <v>16</v>
      </c>
      <c r="E161" s="61" t="s">
        <v>17</v>
      </c>
      <c r="F161" s="59" t="s">
        <v>18</v>
      </c>
      <c r="G161" s="61" t="s">
        <v>640</v>
      </c>
      <c r="H161" s="59" t="s">
        <v>20</v>
      </c>
      <c r="I161" s="61" t="s">
        <v>19</v>
      </c>
      <c r="J161" s="63" t="s">
        <v>21</v>
      </c>
      <c r="K161" s="61" t="s">
        <v>19</v>
      </c>
      <c r="L161" s="63" t="s">
        <v>22</v>
      </c>
      <c r="M161" s="61" t="s">
        <v>640</v>
      </c>
      <c r="N161" s="61" t="s">
        <v>1731</v>
      </c>
      <c r="O161" s="59"/>
      <c r="P161" s="59"/>
      <c r="Q161" s="69" t="s">
        <v>1751</v>
      </c>
    </row>
    <row r="162" ht="22.5" customHeight="1">
      <c r="A162" s="60" t="s">
        <v>637</v>
      </c>
      <c r="B162" s="60" t="s">
        <v>1921</v>
      </c>
      <c r="C162" s="59"/>
      <c r="D162" s="61" t="s">
        <v>16</v>
      </c>
      <c r="E162" s="61" t="s">
        <v>17</v>
      </c>
      <c r="F162" s="59" t="s">
        <v>18</v>
      </c>
      <c r="G162" s="61" t="s">
        <v>640</v>
      </c>
      <c r="H162" s="59" t="s">
        <v>20</v>
      </c>
      <c r="I162" s="61" t="s">
        <v>19</v>
      </c>
      <c r="J162" s="63" t="s">
        <v>21</v>
      </c>
      <c r="K162" s="61" t="s">
        <v>19</v>
      </c>
      <c r="L162" s="63" t="s">
        <v>22</v>
      </c>
      <c r="M162" s="61" t="s">
        <v>640</v>
      </c>
      <c r="N162" s="61" t="s">
        <v>1731</v>
      </c>
      <c r="O162" s="59"/>
      <c r="P162" s="59"/>
      <c r="Q162" s="69" t="s">
        <v>1751</v>
      </c>
    </row>
    <row r="163" ht="22.5" customHeight="1">
      <c r="A163" s="60" t="s">
        <v>637</v>
      </c>
      <c r="B163" s="60" t="s">
        <v>1922</v>
      </c>
      <c r="C163" s="59"/>
      <c r="D163" s="61" t="s">
        <v>34</v>
      </c>
      <c r="E163" s="61" t="s">
        <v>49</v>
      </c>
      <c r="F163" s="59" t="s">
        <v>18</v>
      </c>
      <c r="G163" s="61" t="s">
        <v>50</v>
      </c>
      <c r="H163" s="59" t="s">
        <v>20</v>
      </c>
      <c r="I163" s="61" t="s">
        <v>31</v>
      </c>
      <c r="J163" s="63" t="s">
        <v>21</v>
      </c>
      <c r="K163" s="61" t="s">
        <v>50</v>
      </c>
      <c r="L163" s="63" t="s">
        <v>22</v>
      </c>
      <c r="M163" s="61" t="s">
        <v>50</v>
      </c>
      <c r="N163" s="61" t="s">
        <v>1731</v>
      </c>
      <c r="O163" s="60" t="s">
        <v>372</v>
      </c>
      <c r="P163" s="59"/>
      <c r="Q163" s="69" t="s">
        <v>1751</v>
      </c>
    </row>
    <row r="164" ht="22.5" customHeight="1">
      <c r="A164" s="60" t="s">
        <v>637</v>
      </c>
      <c r="B164" s="60" t="s">
        <v>1923</v>
      </c>
      <c r="C164" s="59"/>
      <c r="D164" s="61" t="s">
        <v>34</v>
      </c>
      <c r="E164" s="61" t="s">
        <v>49</v>
      </c>
      <c r="F164" s="59" t="s">
        <v>18</v>
      </c>
      <c r="G164" s="61" t="s">
        <v>50</v>
      </c>
      <c r="H164" s="59" t="s">
        <v>20</v>
      </c>
      <c r="I164" s="61" t="s">
        <v>31</v>
      </c>
      <c r="J164" s="63" t="s">
        <v>21</v>
      </c>
      <c r="K164" s="61" t="s">
        <v>50</v>
      </c>
      <c r="L164" s="63" t="s">
        <v>22</v>
      </c>
      <c r="M164" s="61" t="s">
        <v>50</v>
      </c>
      <c r="N164" s="61" t="s">
        <v>1731</v>
      </c>
      <c r="O164" s="59"/>
      <c r="P164" s="59"/>
      <c r="Q164" s="69" t="s">
        <v>1751</v>
      </c>
    </row>
    <row r="165" ht="22.5" customHeight="1">
      <c r="A165" s="60" t="s">
        <v>637</v>
      </c>
      <c r="B165" s="60" t="s">
        <v>1924</v>
      </c>
      <c r="C165" s="59"/>
      <c r="D165" s="61" t="s">
        <v>34</v>
      </c>
      <c r="E165" s="61" t="s">
        <v>35</v>
      </c>
      <c r="F165" s="59" t="s">
        <v>18</v>
      </c>
      <c r="G165" s="61" t="s">
        <v>640</v>
      </c>
      <c r="H165" s="59" t="s">
        <v>20</v>
      </c>
      <c r="I165" s="61" t="s">
        <v>31</v>
      </c>
      <c r="J165" s="63" t="s">
        <v>21</v>
      </c>
      <c r="K165" s="61" t="s">
        <v>640</v>
      </c>
      <c r="L165" s="63" t="s">
        <v>22</v>
      </c>
      <c r="M165" s="61" t="s">
        <v>640</v>
      </c>
      <c r="N165" s="61" t="s">
        <v>1731</v>
      </c>
      <c r="O165" s="60" t="s">
        <v>1925</v>
      </c>
      <c r="P165" s="59"/>
      <c r="Q165" s="69" t="s">
        <v>1751</v>
      </c>
    </row>
    <row r="166" ht="22.5" customHeight="1">
      <c r="A166" s="60" t="s">
        <v>637</v>
      </c>
      <c r="B166" s="60" t="s">
        <v>1926</v>
      </c>
      <c r="C166" s="59"/>
      <c r="D166" s="61" t="s">
        <v>16</v>
      </c>
      <c r="E166" s="61" t="s">
        <v>17</v>
      </c>
      <c r="F166" s="59" t="s">
        <v>18</v>
      </c>
      <c r="G166" s="61" t="s">
        <v>640</v>
      </c>
      <c r="H166" s="59" t="s">
        <v>20</v>
      </c>
      <c r="I166" s="61" t="s">
        <v>19</v>
      </c>
      <c r="J166" s="63" t="s">
        <v>21</v>
      </c>
      <c r="K166" s="61" t="s">
        <v>19</v>
      </c>
      <c r="L166" s="63" t="s">
        <v>22</v>
      </c>
      <c r="M166" s="61" t="s">
        <v>640</v>
      </c>
      <c r="N166" s="61" t="s">
        <v>1731</v>
      </c>
      <c r="O166" s="59"/>
      <c r="P166" s="59"/>
      <c r="Q166" s="69" t="s">
        <v>1751</v>
      </c>
    </row>
    <row r="167" ht="22.5" customHeight="1">
      <c r="A167" s="60" t="s">
        <v>637</v>
      </c>
      <c r="B167" s="60" t="s">
        <v>1927</v>
      </c>
      <c r="C167" s="59"/>
      <c r="D167" s="61" t="s">
        <v>34</v>
      </c>
      <c r="E167" s="61" t="s">
        <v>40</v>
      </c>
      <c r="F167" s="59" t="s">
        <v>18</v>
      </c>
      <c r="G167" s="61" t="s">
        <v>640</v>
      </c>
      <c r="H167" s="59" t="s">
        <v>20</v>
      </c>
      <c r="I167" s="61" t="s">
        <v>31</v>
      </c>
      <c r="J167" s="63" t="s">
        <v>21</v>
      </c>
      <c r="K167" s="61" t="s">
        <v>640</v>
      </c>
      <c r="L167" s="63" t="s">
        <v>22</v>
      </c>
      <c r="M167" s="61" t="s">
        <v>640</v>
      </c>
      <c r="N167" s="61" t="s">
        <v>1731</v>
      </c>
      <c r="O167" s="60" t="s">
        <v>685</v>
      </c>
      <c r="P167" s="59"/>
      <c r="Q167" s="69" t="s">
        <v>1751</v>
      </c>
    </row>
    <row r="168" ht="22.5" customHeight="1">
      <c r="A168" s="60" t="s">
        <v>637</v>
      </c>
      <c r="B168" s="60" t="s">
        <v>1928</v>
      </c>
      <c r="C168" s="59"/>
      <c r="D168" s="61" t="s">
        <v>16</v>
      </c>
      <c r="E168" s="61" t="s">
        <v>17</v>
      </c>
      <c r="F168" s="59" t="s">
        <v>18</v>
      </c>
      <c r="G168" s="61" t="s">
        <v>640</v>
      </c>
      <c r="H168" s="59" t="s">
        <v>20</v>
      </c>
      <c r="I168" s="61" t="s">
        <v>19</v>
      </c>
      <c r="J168" s="63" t="s">
        <v>21</v>
      </c>
      <c r="K168" s="61" t="s">
        <v>19</v>
      </c>
      <c r="L168" s="63" t="s">
        <v>22</v>
      </c>
      <c r="M168" s="61" t="s">
        <v>640</v>
      </c>
      <c r="N168" s="61" t="s">
        <v>1731</v>
      </c>
      <c r="O168" s="59"/>
      <c r="P168" s="59"/>
      <c r="Q168" s="69" t="s">
        <v>1751</v>
      </c>
    </row>
    <row r="169" ht="22.5" customHeight="1">
      <c r="A169" s="60" t="s">
        <v>637</v>
      </c>
      <c r="B169" s="60" t="s">
        <v>1929</v>
      </c>
      <c r="C169" s="59"/>
      <c r="D169" s="61" t="s">
        <v>16</v>
      </c>
      <c r="E169" s="61" t="s">
        <v>49</v>
      </c>
      <c r="F169" s="59" t="s">
        <v>18</v>
      </c>
      <c r="G169" s="61" t="s">
        <v>50</v>
      </c>
      <c r="H169" s="59" t="s">
        <v>20</v>
      </c>
      <c r="I169" s="61" t="s">
        <v>19</v>
      </c>
      <c r="J169" s="63" t="s">
        <v>21</v>
      </c>
      <c r="K169" s="61" t="s">
        <v>50</v>
      </c>
      <c r="L169" s="63" t="s">
        <v>22</v>
      </c>
      <c r="M169" s="61" t="s">
        <v>50</v>
      </c>
      <c r="N169" s="61" t="s">
        <v>1731</v>
      </c>
      <c r="O169" s="60" t="s">
        <v>372</v>
      </c>
      <c r="P169" s="59"/>
      <c r="Q169" s="69" t="s">
        <v>1751</v>
      </c>
    </row>
    <row r="170" ht="22.5" customHeight="1">
      <c r="A170" s="60" t="s">
        <v>637</v>
      </c>
      <c r="B170" s="60" t="s">
        <v>1930</v>
      </c>
      <c r="C170" s="59"/>
      <c r="D170" s="61" t="s">
        <v>34</v>
      </c>
      <c r="E170" s="61" t="s">
        <v>40</v>
      </c>
      <c r="F170" s="59" t="s">
        <v>18</v>
      </c>
      <c r="G170" s="61" t="s">
        <v>640</v>
      </c>
      <c r="H170" s="59" t="s">
        <v>20</v>
      </c>
      <c r="I170" s="61" t="s">
        <v>31</v>
      </c>
      <c r="J170" s="63" t="s">
        <v>21</v>
      </c>
      <c r="K170" s="61" t="s">
        <v>640</v>
      </c>
      <c r="L170" s="63" t="s">
        <v>22</v>
      </c>
      <c r="M170" s="61" t="s">
        <v>640</v>
      </c>
      <c r="N170" s="61" t="s">
        <v>1731</v>
      </c>
      <c r="O170" s="60" t="s">
        <v>696</v>
      </c>
      <c r="P170" s="59"/>
      <c r="Q170" s="69" t="s">
        <v>1751</v>
      </c>
    </row>
    <row r="171" ht="22.5" customHeight="1">
      <c r="A171" s="60" t="s">
        <v>637</v>
      </c>
      <c r="B171" s="60" t="s">
        <v>1931</v>
      </c>
      <c r="C171" s="59"/>
      <c r="D171" s="61" t="s">
        <v>34</v>
      </c>
      <c r="E171" s="61" t="s">
        <v>49</v>
      </c>
      <c r="F171" s="59" t="s">
        <v>18</v>
      </c>
      <c r="G171" s="61" t="s">
        <v>50</v>
      </c>
      <c r="H171" s="59" t="s">
        <v>20</v>
      </c>
      <c r="I171" s="61" t="s">
        <v>31</v>
      </c>
      <c r="J171" s="63" t="s">
        <v>21</v>
      </c>
      <c r="K171" s="61" t="s">
        <v>50</v>
      </c>
      <c r="L171" s="63" t="s">
        <v>22</v>
      </c>
      <c r="M171" s="61" t="s">
        <v>50</v>
      </c>
      <c r="N171" s="61" t="s">
        <v>1731</v>
      </c>
      <c r="O171" s="60" t="s">
        <v>372</v>
      </c>
      <c r="P171" s="59"/>
      <c r="Q171" s="69" t="s">
        <v>1751</v>
      </c>
    </row>
    <row r="172" ht="22.5" customHeight="1">
      <c r="A172" s="60" t="s">
        <v>637</v>
      </c>
      <c r="B172" s="60" t="s">
        <v>1932</v>
      </c>
      <c r="C172" s="59"/>
      <c r="D172" s="61" t="s">
        <v>16</v>
      </c>
      <c r="E172" s="61" t="s">
        <v>17</v>
      </c>
      <c r="F172" s="59" t="s">
        <v>18</v>
      </c>
      <c r="G172" s="61" t="s">
        <v>640</v>
      </c>
      <c r="H172" s="59" t="s">
        <v>20</v>
      </c>
      <c r="I172" s="61" t="s">
        <v>19</v>
      </c>
      <c r="J172" s="63" t="s">
        <v>21</v>
      </c>
      <c r="K172" s="61" t="s">
        <v>19</v>
      </c>
      <c r="L172" s="63" t="s">
        <v>22</v>
      </c>
      <c r="M172" s="61" t="s">
        <v>640</v>
      </c>
      <c r="N172" s="61" t="s">
        <v>1731</v>
      </c>
      <c r="O172" s="59"/>
      <c r="P172" s="59"/>
      <c r="Q172" s="69" t="s">
        <v>1751</v>
      </c>
    </row>
    <row r="173" ht="22.5" customHeight="1">
      <c r="A173" s="60" t="s">
        <v>637</v>
      </c>
      <c r="B173" s="86" t="s">
        <v>1933</v>
      </c>
      <c r="C173" s="59"/>
      <c r="D173" s="61" t="s">
        <v>34</v>
      </c>
      <c r="E173" s="61" t="s">
        <v>409</v>
      </c>
      <c r="F173" s="59" t="s">
        <v>18</v>
      </c>
      <c r="G173" s="61" t="s">
        <v>640</v>
      </c>
      <c r="H173" s="59" t="s">
        <v>20</v>
      </c>
      <c r="I173" s="61" t="s">
        <v>31</v>
      </c>
      <c r="J173" s="63" t="s">
        <v>21</v>
      </c>
      <c r="K173" s="61" t="s">
        <v>640</v>
      </c>
      <c r="L173" s="63" t="s">
        <v>22</v>
      </c>
      <c r="M173" s="61" t="s">
        <v>640</v>
      </c>
      <c r="N173" s="61" t="s">
        <v>1731</v>
      </c>
      <c r="O173" s="59"/>
      <c r="P173" s="59"/>
      <c r="Q173" s="69" t="s">
        <v>1751</v>
      </c>
    </row>
    <row r="174" ht="22.5" customHeight="1">
      <c r="A174" s="60" t="s">
        <v>637</v>
      </c>
      <c r="B174" s="60" t="s">
        <v>1860</v>
      </c>
      <c r="C174" s="59"/>
      <c r="D174" s="61" t="s">
        <v>34</v>
      </c>
      <c r="E174" s="61" t="s">
        <v>635</v>
      </c>
      <c r="F174" s="59" t="s">
        <v>18</v>
      </c>
      <c r="G174" s="61" t="s">
        <v>19</v>
      </c>
      <c r="H174" s="59" t="s">
        <v>20</v>
      </c>
      <c r="I174" s="61" t="s">
        <v>31</v>
      </c>
      <c r="J174" s="63" t="s">
        <v>21</v>
      </c>
      <c r="K174" s="61" t="s">
        <v>640</v>
      </c>
      <c r="L174" s="63" t="s">
        <v>22</v>
      </c>
      <c r="M174" s="61" t="s">
        <v>640</v>
      </c>
      <c r="N174" s="61" t="s">
        <v>1731</v>
      </c>
      <c r="O174" s="60"/>
      <c r="P174" s="59"/>
      <c r="Q174" s="69" t="s">
        <v>1751</v>
      </c>
    </row>
    <row r="175" ht="22.5" customHeight="1">
      <c r="A175" s="60" t="s">
        <v>637</v>
      </c>
      <c r="B175" s="60" t="s">
        <v>1934</v>
      </c>
      <c r="C175" s="59"/>
      <c r="D175" s="61" t="s">
        <v>34</v>
      </c>
      <c r="E175" s="61" t="s">
        <v>49</v>
      </c>
      <c r="F175" s="59" t="s">
        <v>18</v>
      </c>
      <c r="G175" s="61" t="s">
        <v>50</v>
      </c>
      <c r="H175" s="59" t="s">
        <v>20</v>
      </c>
      <c r="I175" s="61" t="s">
        <v>31</v>
      </c>
      <c r="J175" s="63" t="s">
        <v>21</v>
      </c>
      <c r="K175" s="61" t="s">
        <v>50</v>
      </c>
      <c r="L175" s="63" t="s">
        <v>22</v>
      </c>
      <c r="M175" s="61" t="s">
        <v>50</v>
      </c>
      <c r="N175" s="61" t="s">
        <v>1731</v>
      </c>
      <c r="O175" s="60" t="s">
        <v>372</v>
      </c>
      <c r="P175" s="59"/>
      <c r="Q175" s="69" t="s">
        <v>1751</v>
      </c>
    </row>
    <row r="176" ht="22.5" customHeight="1">
      <c r="A176" s="60" t="s">
        <v>637</v>
      </c>
      <c r="B176" s="60" t="s">
        <v>1935</v>
      </c>
      <c r="C176" s="59"/>
      <c r="D176" s="61" t="s">
        <v>16</v>
      </c>
      <c r="E176" s="61" t="s">
        <v>49</v>
      </c>
      <c r="F176" s="59" t="s">
        <v>18</v>
      </c>
      <c r="G176" s="61" t="s">
        <v>50</v>
      </c>
      <c r="H176" s="59" t="s">
        <v>20</v>
      </c>
      <c r="I176" s="61" t="s">
        <v>19</v>
      </c>
      <c r="J176" s="63" t="s">
        <v>21</v>
      </c>
      <c r="K176" s="61" t="s">
        <v>19</v>
      </c>
      <c r="L176" s="63" t="s">
        <v>22</v>
      </c>
      <c r="M176" s="61" t="s">
        <v>50</v>
      </c>
      <c r="N176" s="61" t="s">
        <v>1731</v>
      </c>
      <c r="O176" s="60" t="s">
        <v>1212</v>
      </c>
      <c r="P176" s="59"/>
      <c r="Q176" s="69" t="s">
        <v>1751</v>
      </c>
    </row>
    <row r="177" ht="22.5" customHeight="1">
      <c r="A177" s="60" t="s">
        <v>637</v>
      </c>
      <c r="B177" s="60" t="s">
        <v>1936</v>
      </c>
      <c r="C177" s="59"/>
      <c r="D177" s="61" t="s">
        <v>34</v>
      </c>
      <c r="E177" s="61" t="s">
        <v>40</v>
      </c>
      <c r="F177" s="59" t="s">
        <v>18</v>
      </c>
      <c r="G177" s="61" t="s">
        <v>640</v>
      </c>
      <c r="H177" s="59" t="s">
        <v>20</v>
      </c>
      <c r="I177" s="61" t="s">
        <v>31</v>
      </c>
      <c r="J177" s="63" t="s">
        <v>21</v>
      </c>
      <c r="K177" s="61" t="s">
        <v>640</v>
      </c>
      <c r="L177" s="63" t="s">
        <v>22</v>
      </c>
      <c r="M177" s="61" t="s">
        <v>640</v>
      </c>
      <c r="N177" s="61" t="s">
        <v>1731</v>
      </c>
      <c r="O177" s="60" t="s">
        <v>696</v>
      </c>
      <c r="P177" s="59"/>
      <c r="Q177" s="69" t="s">
        <v>1751</v>
      </c>
    </row>
    <row r="178" ht="22.5" customHeight="1">
      <c r="A178" s="60" t="s">
        <v>637</v>
      </c>
      <c r="B178" s="60" t="s">
        <v>1937</v>
      </c>
      <c r="C178" s="59"/>
      <c r="D178" s="61" t="s">
        <v>34</v>
      </c>
      <c r="E178" s="61" t="s">
        <v>40</v>
      </c>
      <c r="F178" s="59" t="s">
        <v>18</v>
      </c>
      <c r="G178" s="61" t="s">
        <v>640</v>
      </c>
      <c r="H178" s="59" t="s">
        <v>20</v>
      </c>
      <c r="I178" s="61" t="s">
        <v>31</v>
      </c>
      <c r="J178" s="63" t="s">
        <v>21</v>
      </c>
      <c r="K178" s="61" t="s">
        <v>640</v>
      </c>
      <c r="L178" s="63" t="s">
        <v>22</v>
      </c>
      <c r="M178" s="61" t="s">
        <v>640</v>
      </c>
      <c r="N178" s="61" t="s">
        <v>1731</v>
      </c>
      <c r="O178" s="59"/>
      <c r="P178" s="59"/>
      <c r="Q178" s="69" t="s">
        <v>1751</v>
      </c>
    </row>
    <row r="179" ht="22.5" customHeight="1">
      <c r="A179" s="60" t="s">
        <v>637</v>
      </c>
      <c r="B179" s="60" t="s">
        <v>1938</v>
      </c>
      <c r="C179" s="59"/>
      <c r="D179" s="61" t="s">
        <v>34</v>
      </c>
      <c r="E179" s="61" t="s">
        <v>40</v>
      </c>
      <c r="F179" s="59" t="s">
        <v>18</v>
      </c>
      <c r="G179" s="61" t="s">
        <v>640</v>
      </c>
      <c r="H179" s="59" t="s">
        <v>20</v>
      </c>
      <c r="I179" s="61" t="s">
        <v>31</v>
      </c>
      <c r="J179" s="63" t="s">
        <v>21</v>
      </c>
      <c r="K179" s="61" t="s">
        <v>640</v>
      </c>
      <c r="L179" s="63" t="s">
        <v>22</v>
      </c>
      <c r="M179" s="61" t="s">
        <v>640</v>
      </c>
      <c r="N179" s="61" t="s">
        <v>1731</v>
      </c>
      <c r="O179" s="59"/>
      <c r="P179" s="59"/>
      <c r="Q179" s="69" t="s">
        <v>1751</v>
      </c>
    </row>
    <row r="180" ht="22.5" customHeight="1">
      <c r="A180" s="60" t="s">
        <v>637</v>
      </c>
      <c r="B180" s="60" t="s">
        <v>1939</v>
      </c>
      <c r="C180" s="59"/>
      <c r="D180" s="61" t="s">
        <v>34</v>
      </c>
      <c r="E180" s="61" t="s">
        <v>49</v>
      </c>
      <c r="F180" s="59" t="s">
        <v>18</v>
      </c>
      <c r="G180" s="61" t="s">
        <v>50</v>
      </c>
      <c r="H180" s="59" t="s">
        <v>20</v>
      </c>
      <c r="I180" s="61" t="s">
        <v>50</v>
      </c>
      <c r="J180" s="63" t="s">
        <v>21</v>
      </c>
      <c r="K180" s="61" t="s">
        <v>31</v>
      </c>
      <c r="L180" s="63" t="s">
        <v>22</v>
      </c>
      <c r="M180" s="61" t="s">
        <v>50</v>
      </c>
      <c r="N180" s="61" t="s">
        <v>1731</v>
      </c>
      <c r="O180" s="60" t="s">
        <v>372</v>
      </c>
      <c r="P180" s="59"/>
      <c r="Q180" s="69" t="s">
        <v>1751</v>
      </c>
    </row>
    <row r="181" ht="22.5" customHeight="1">
      <c r="A181" s="60" t="s">
        <v>637</v>
      </c>
      <c r="B181" s="60" t="s">
        <v>1938</v>
      </c>
      <c r="C181" s="59"/>
      <c r="D181" s="61" t="s">
        <v>34</v>
      </c>
      <c r="E181" s="61" t="s">
        <v>40</v>
      </c>
      <c r="F181" s="59" t="s">
        <v>18</v>
      </c>
      <c r="G181" s="61" t="s">
        <v>640</v>
      </c>
      <c r="H181" s="59" t="s">
        <v>20</v>
      </c>
      <c r="I181" s="61" t="s">
        <v>31</v>
      </c>
      <c r="J181" s="63" t="s">
        <v>21</v>
      </c>
      <c r="K181" s="61" t="s">
        <v>640</v>
      </c>
      <c r="L181" s="63" t="s">
        <v>22</v>
      </c>
      <c r="M181" s="61" t="s">
        <v>640</v>
      </c>
      <c r="N181" s="61" t="s">
        <v>1731</v>
      </c>
      <c r="O181" s="59"/>
      <c r="P181" s="59"/>
      <c r="Q181" s="69" t="s">
        <v>1751</v>
      </c>
    </row>
    <row r="182" ht="22.5" customHeight="1">
      <c r="A182" s="60" t="s">
        <v>637</v>
      </c>
      <c r="B182" s="60" t="s">
        <v>1940</v>
      </c>
      <c r="C182" s="59"/>
      <c r="D182" s="61" t="s">
        <v>16</v>
      </c>
      <c r="E182" s="61" t="s">
        <v>17</v>
      </c>
      <c r="F182" s="59" t="s">
        <v>18</v>
      </c>
      <c r="G182" s="61" t="s">
        <v>640</v>
      </c>
      <c r="H182" s="59" t="s">
        <v>20</v>
      </c>
      <c r="I182" s="61" t="s">
        <v>19</v>
      </c>
      <c r="J182" s="63" t="s">
        <v>21</v>
      </c>
      <c r="K182" s="61" t="s">
        <v>19</v>
      </c>
      <c r="L182" s="63" t="s">
        <v>22</v>
      </c>
      <c r="M182" s="61" t="s">
        <v>640</v>
      </c>
      <c r="N182" s="61" t="s">
        <v>1731</v>
      </c>
      <c r="O182" s="59"/>
      <c r="P182" s="59"/>
      <c r="Q182" s="69" t="s">
        <v>1751</v>
      </c>
    </row>
    <row r="183" ht="22.5" customHeight="1">
      <c r="A183" s="60" t="s">
        <v>637</v>
      </c>
      <c r="B183" s="60" t="s">
        <v>1941</v>
      </c>
      <c r="C183" s="59"/>
      <c r="D183" s="61" t="s">
        <v>34</v>
      </c>
      <c r="E183" s="61" t="s">
        <v>49</v>
      </c>
      <c r="F183" s="59" t="s">
        <v>18</v>
      </c>
      <c r="G183" s="61" t="s">
        <v>50</v>
      </c>
      <c r="H183" s="59" t="s">
        <v>20</v>
      </c>
      <c r="I183" s="61" t="s">
        <v>31</v>
      </c>
      <c r="J183" s="63" t="s">
        <v>21</v>
      </c>
      <c r="K183" s="61" t="s">
        <v>50</v>
      </c>
      <c r="L183" s="63" t="s">
        <v>22</v>
      </c>
      <c r="M183" s="61" t="s">
        <v>50</v>
      </c>
      <c r="N183" s="61" t="s">
        <v>1731</v>
      </c>
      <c r="O183" s="59"/>
      <c r="P183" s="59"/>
      <c r="Q183" s="69" t="s">
        <v>1751</v>
      </c>
    </row>
    <row r="184" ht="22.5" customHeight="1">
      <c r="A184" s="60" t="s">
        <v>637</v>
      </c>
      <c r="B184" s="60" t="s">
        <v>1942</v>
      </c>
      <c r="C184" s="59"/>
      <c r="D184" s="61" t="s">
        <v>16</v>
      </c>
      <c r="E184" s="61" t="s">
        <v>17</v>
      </c>
      <c r="F184" s="59" t="s">
        <v>18</v>
      </c>
      <c r="G184" s="61" t="s">
        <v>640</v>
      </c>
      <c r="H184" s="59" t="s">
        <v>20</v>
      </c>
      <c r="I184" s="61" t="s">
        <v>19</v>
      </c>
      <c r="J184" s="63" t="s">
        <v>21</v>
      </c>
      <c r="K184" s="61" t="s">
        <v>19</v>
      </c>
      <c r="L184" s="63" t="s">
        <v>22</v>
      </c>
      <c r="M184" s="61" t="s">
        <v>640</v>
      </c>
      <c r="N184" s="61" t="s">
        <v>1731</v>
      </c>
      <c r="O184" s="59"/>
      <c r="P184" s="59"/>
      <c r="Q184" s="69" t="s">
        <v>1751</v>
      </c>
    </row>
    <row r="185" ht="22.5" customHeight="1">
      <c r="A185" s="60" t="s">
        <v>637</v>
      </c>
      <c r="B185" s="60" t="s">
        <v>1943</v>
      </c>
      <c r="C185" s="59"/>
      <c r="D185" s="61" t="s">
        <v>34</v>
      </c>
      <c r="E185" s="61" t="s">
        <v>49</v>
      </c>
      <c r="F185" s="59" t="s">
        <v>18</v>
      </c>
      <c r="G185" s="61" t="s">
        <v>640</v>
      </c>
      <c r="H185" s="59" t="s">
        <v>20</v>
      </c>
      <c r="I185" s="61" t="s">
        <v>31</v>
      </c>
      <c r="J185" s="63" t="s">
        <v>21</v>
      </c>
      <c r="K185" s="61" t="s">
        <v>640</v>
      </c>
      <c r="L185" s="63" t="s">
        <v>22</v>
      </c>
      <c r="M185" s="61" t="s">
        <v>640</v>
      </c>
      <c r="N185" s="61" t="s">
        <v>1731</v>
      </c>
      <c r="O185" s="59"/>
      <c r="P185" s="59"/>
      <c r="Q185" s="69" t="s">
        <v>1751</v>
      </c>
    </row>
    <row r="186" ht="22.5" customHeight="1">
      <c r="A186" s="60" t="s">
        <v>637</v>
      </c>
      <c r="B186" s="60" t="s">
        <v>1944</v>
      </c>
      <c r="C186" s="59"/>
      <c r="D186" s="61" t="s">
        <v>16</v>
      </c>
      <c r="E186" s="61" t="s">
        <v>17</v>
      </c>
      <c r="F186" s="59" t="s">
        <v>18</v>
      </c>
      <c r="G186" s="61" t="s">
        <v>640</v>
      </c>
      <c r="H186" s="59" t="s">
        <v>20</v>
      </c>
      <c r="I186" s="61" t="s">
        <v>19</v>
      </c>
      <c r="J186" s="63" t="s">
        <v>21</v>
      </c>
      <c r="K186" s="61" t="s">
        <v>19</v>
      </c>
      <c r="L186" s="63" t="s">
        <v>22</v>
      </c>
      <c r="M186" s="61" t="s">
        <v>640</v>
      </c>
      <c r="N186" s="61" t="s">
        <v>1731</v>
      </c>
      <c r="O186" s="59"/>
      <c r="P186" s="59"/>
      <c r="Q186" s="69" t="s">
        <v>1751</v>
      </c>
    </row>
    <row r="187" ht="22.5" customHeight="1">
      <c r="A187" s="60" t="s">
        <v>637</v>
      </c>
      <c r="B187" s="60" t="s">
        <v>1945</v>
      </c>
      <c r="C187" s="59"/>
      <c r="D187" s="61" t="s">
        <v>16</v>
      </c>
      <c r="E187" s="61" t="s">
        <v>49</v>
      </c>
      <c r="F187" s="59" t="s">
        <v>18</v>
      </c>
      <c r="G187" s="61" t="s">
        <v>50</v>
      </c>
      <c r="H187" s="59" t="s">
        <v>20</v>
      </c>
      <c r="I187" s="61" t="s">
        <v>19</v>
      </c>
      <c r="J187" s="63" t="s">
        <v>21</v>
      </c>
      <c r="K187" s="61" t="s">
        <v>50</v>
      </c>
      <c r="L187" s="63" t="s">
        <v>22</v>
      </c>
      <c r="M187" s="61" t="s">
        <v>50</v>
      </c>
      <c r="N187" s="61" t="s">
        <v>1731</v>
      </c>
      <c r="O187" s="60" t="s">
        <v>372</v>
      </c>
      <c r="P187" s="59"/>
      <c r="Q187" s="69" t="s">
        <v>1751</v>
      </c>
    </row>
    <row r="188" ht="22.5" customHeight="1">
      <c r="A188" s="60" t="s">
        <v>637</v>
      </c>
      <c r="B188" s="60" t="s">
        <v>1946</v>
      </c>
      <c r="C188" s="59"/>
      <c r="D188" s="61" t="s">
        <v>34</v>
      </c>
      <c r="E188" s="61" t="s">
        <v>40</v>
      </c>
      <c r="F188" s="59" t="s">
        <v>18</v>
      </c>
      <c r="G188" s="61" t="s">
        <v>640</v>
      </c>
      <c r="H188" s="59" t="s">
        <v>20</v>
      </c>
      <c r="I188" s="61" t="s">
        <v>31</v>
      </c>
      <c r="J188" s="63" t="s">
        <v>21</v>
      </c>
      <c r="K188" s="61" t="s">
        <v>640</v>
      </c>
      <c r="L188" s="63" t="s">
        <v>22</v>
      </c>
      <c r="M188" s="61" t="s">
        <v>640</v>
      </c>
      <c r="N188" s="61" t="s">
        <v>1731</v>
      </c>
      <c r="O188" s="60" t="s">
        <v>696</v>
      </c>
      <c r="P188" s="59"/>
      <c r="Q188" s="69" t="s">
        <v>1751</v>
      </c>
    </row>
    <row r="189" ht="22.5" customHeight="1">
      <c r="A189" s="60" t="s">
        <v>637</v>
      </c>
      <c r="B189" s="60" t="s">
        <v>1947</v>
      </c>
      <c r="C189" s="59"/>
      <c r="D189" s="61" t="s">
        <v>16</v>
      </c>
      <c r="E189" s="61" t="s">
        <v>17</v>
      </c>
      <c r="F189" s="59" t="s">
        <v>18</v>
      </c>
      <c r="G189" s="61" t="s">
        <v>640</v>
      </c>
      <c r="H189" s="59" t="s">
        <v>20</v>
      </c>
      <c r="I189" s="61" t="s">
        <v>19</v>
      </c>
      <c r="J189" s="63" t="s">
        <v>21</v>
      </c>
      <c r="K189" s="61" t="s">
        <v>19</v>
      </c>
      <c r="L189" s="63" t="s">
        <v>22</v>
      </c>
      <c r="M189" s="61" t="s">
        <v>640</v>
      </c>
      <c r="N189" s="61" t="s">
        <v>1731</v>
      </c>
      <c r="O189" s="59"/>
      <c r="P189" s="59"/>
      <c r="Q189" s="69" t="s">
        <v>1751</v>
      </c>
    </row>
    <row r="190" ht="22.5" customHeight="1">
      <c r="A190" s="60" t="s">
        <v>637</v>
      </c>
      <c r="B190" s="60" t="s">
        <v>1948</v>
      </c>
      <c r="C190" s="59"/>
      <c r="D190" s="61" t="s">
        <v>16</v>
      </c>
      <c r="E190" s="61" t="s">
        <v>17</v>
      </c>
      <c r="F190" s="59" t="s">
        <v>18</v>
      </c>
      <c r="G190" s="61" t="s">
        <v>640</v>
      </c>
      <c r="H190" s="59" t="s">
        <v>20</v>
      </c>
      <c r="I190" s="61" t="s">
        <v>19</v>
      </c>
      <c r="J190" s="63" t="s">
        <v>21</v>
      </c>
      <c r="K190" s="61" t="s">
        <v>19</v>
      </c>
      <c r="L190" s="63" t="s">
        <v>22</v>
      </c>
      <c r="M190" s="61" t="s">
        <v>640</v>
      </c>
      <c r="N190" s="61" t="s">
        <v>1731</v>
      </c>
      <c r="O190" s="59"/>
      <c r="P190" s="59"/>
      <c r="Q190" s="69" t="s">
        <v>1751</v>
      </c>
    </row>
    <row r="191" ht="22.5" customHeight="1">
      <c r="A191" s="60" t="s">
        <v>637</v>
      </c>
      <c r="B191" s="60" t="s">
        <v>1949</v>
      </c>
      <c r="C191" s="59"/>
      <c r="D191" s="61" t="s">
        <v>34</v>
      </c>
      <c r="E191" s="61" t="s">
        <v>49</v>
      </c>
      <c r="F191" s="59" t="s">
        <v>18</v>
      </c>
      <c r="G191" s="61" t="s">
        <v>50</v>
      </c>
      <c r="H191" s="59" t="s">
        <v>20</v>
      </c>
      <c r="I191" s="61" t="s">
        <v>31</v>
      </c>
      <c r="J191" s="63" t="s">
        <v>21</v>
      </c>
      <c r="K191" s="61" t="s">
        <v>50</v>
      </c>
      <c r="L191" s="63" t="s">
        <v>22</v>
      </c>
      <c r="M191" s="61" t="s">
        <v>50</v>
      </c>
      <c r="N191" s="61" t="s">
        <v>1731</v>
      </c>
      <c r="O191" s="60" t="s">
        <v>1950</v>
      </c>
      <c r="P191" s="59"/>
      <c r="Q191" s="69" t="s">
        <v>1751</v>
      </c>
    </row>
    <row r="192" ht="22.5" customHeight="1">
      <c r="A192" s="60" t="s">
        <v>637</v>
      </c>
      <c r="B192" s="60" t="s">
        <v>1951</v>
      </c>
      <c r="C192" s="59"/>
      <c r="D192" s="61" t="s">
        <v>16</v>
      </c>
      <c r="E192" s="61" t="s">
        <v>17</v>
      </c>
      <c r="F192" s="59" t="s">
        <v>18</v>
      </c>
      <c r="G192" s="61" t="s">
        <v>640</v>
      </c>
      <c r="H192" s="59" t="s">
        <v>20</v>
      </c>
      <c r="I192" s="61" t="s">
        <v>19</v>
      </c>
      <c r="J192" s="63" t="s">
        <v>21</v>
      </c>
      <c r="K192" s="61" t="s">
        <v>19</v>
      </c>
      <c r="L192" s="63" t="s">
        <v>22</v>
      </c>
      <c r="M192" s="61" t="s">
        <v>640</v>
      </c>
      <c r="N192" s="61" t="s">
        <v>1731</v>
      </c>
      <c r="O192" s="59"/>
      <c r="P192" s="59"/>
      <c r="Q192" s="69" t="s">
        <v>1751</v>
      </c>
    </row>
    <row r="193" ht="22.5" customHeight="1">
      <c r="A193" s="60" t="s">
        <v>637</v>
      </c>
      <c r="B193" s="60" t="s">
        <v>1952</v>
      </c>
      <c r="C193" s="59"/>
      <c r="D193" s="61" t="s">
        <v>34</v>
      </c>
      <c r="E193" s="61" t="s">
        <v>49</v>
      </c>
      <c r="F193" s="59" t="s">
        <v>18</v>
      </c>
      <c r="G193" s="61" t="s">
        <v>50</v>
      </c>
      <c r="H193" s="59" t="s">
        <v>20</v>
      </c>
      <c r="I193" s="61" t="s">
        <v>50</v>
      </c>
      <c r="J193" s="63" t="s">
        <v>21</v>
      </c>
      <c r="K193" s="61" t="s">
        <v>31</v>
      </c>
      <c r="L193" s="63" t="s">
        <v>22</v>
      </c>
      <c r="M193" s="61" t="s">
        <v>50</v>
      </c>
      <c r="N193" s="61" t="s">
        <v>1731</v>
      </c>
      <c r="O193" s="60" t="s">
        <v>372</v>
      </c>
      <c r="P193" s="59"/>
      <c r="Q193" s="69" t="s">
        <v>1751</v>
      </c>
    </row>
    <row r="194" ht="22.5" customHeight="1">
      <c r="A194" s="60" t="s">
        <v>637</v>
      </c>
      <c r="B194" s="60" t="s">
        <v>1953</v>
      </c>
      <c r="C194" s="59"/>
      <c r="D194" s="61" t="s">
        <v>34</v>
      </c>
      <c r="E194" s="61" t="s">
        <v>40</v>
      </c>
      <c r="F194" s="59" t="s">
        <v>18</v>
      </c>
      <c r="G194" s="61" t="s">
        <v>640</v>
      </c>
      <c r="H194" s="59" t="s">
        <v>20</v>
      </c>
      <c r="I194" s="61" t="s">
        <v>19</v>
      </c>
      <c r="J194" s="63" t="s">
        <v>21</v>
      </c>
      <c r="K194" s="61" t="s">
        <v>31</v>
      </c>
      <c r="L194" s="63" t="s">
        <v>22</v>
      </c>
      <c r="M194" s="61" t="s">
        <v>640</v>
      </c>
      <c r="N194" s="61" t="s">
        <v>1731</v>
      </c>
      <c r="O194" s="60" t="s">
        <v>696</v>
      </c>
      <c r="P194" s="59"/>
      <c r="Q194" s="69" t="s">
        <v>1751</v>
      </c>
    </row>
    <row r="195" ht="22.5" customHeight="1">
      <c r="A195" s="60" t="s">
        <v>637</v>
      </c>
      <c r="B195" s="60" t="s">
        <v>1954</v>
      </c>
      <c r="C195" s="59"/>
      <c r="D195" s="61" t="s">
        <v>34</v>
      </c>
      <c r="E195" s="61" t="s">
        <v>49</v>
      </c>
      <c r="F195" s="59" t="s">
        <v>18</v>
      </c>
      <c r="G195" s="61" t="s">
        <v>50</v>
      </c>
      <c r="H195" s="59" t="s">
        <v>20</v>
      </c>
      <c r="I195" s="61" t="s">
        <v>50</v>
      </c>
      <c r="J195" s="63" t="s">
        <v>21</v>
      </c>
      <c r="K195" s="61" t="s">
        <v>31</v>
      </c>
      <c r="L195" s="63" t="s">
        <v>22</v>
      </c>
      <c r="M195" s="61" t="s">
        <v>50</v>
      </c>
      <c r="N195" s="61" t="s">
        <v>1731</v>
      </c>
      <c r="O195" s="60" t="s">
        <v>372</v>
      </c>
      <c r="P195" s="59"/>
      <c r="Q195" s="69" t="s">
        <v>1751</v>
      </c>
    </row>
    <row r="196" ht="22.5" customHeight="1">
      <c r="A196" s="60" t="s">
        <v>637</v>
      </c>
      <c r="B196" s="60" t="s">
        <v>1955</v>
      </c>
      <c r="C196" s="59"/>
      <c r="D196" s="61" t="s">
        <v>16</v>
      </c>
      <c r="E196" s="61" t="s">
        <v>419</v>
      </c>
      <c r="F196" s="59" t="s">
        <v>18</v>
      </c>
      <c r="G196" s="61" t="s">
        <v>640</v>
      </c>
      <c r="H196" s="59" t="s">
        <v>20</v>
      </c>
      <c r="I196" s="61" t="s">
        <v>640</v>
      </c>
      <c r="J196" s="63" t="s">
        <v>21</v>
      </c>
      <c r="K196" s="61" t="s">
        <v>19</v>
      </c>
      <c r="L196" s="63" t="s">
        <v>22</v>
      </c>
      <c r="M196" s="61" t="s">
        <v>640</v>
      </c>
      <c r="N196" s="61" t="s">
        <v>1731</v>
      </c>
      <c r="O196" s="60" t="s">
        <v>1956</v>
      </c>
      <c r="P196" s="59"/>
      <c r="Q196" s="69" t="s">
        <v>1751</v>
      </c>
    </row>
    <row r="197" ht="22.5" customHeight="1">
      <c r="A197" s="60" t="s">
        <v>637</v>
      </c>
      <c r="B197" s="60" t="s">
        <v>1957</v>
      </c>
      <c r="C197" s="59"/>
      <c r="D197" s="61" t="s">
        <v>34</v>
      </c>
      <c r="E197" s="61" t="s">
        <v>40</v>
      </c>
      <c r="F197" s="59" t="s">
        <v>18</v>
      </c>
      <c r="G197" s="61" t="s">
        <v>31</v>
      </c>
      <c r="H197" s="59" t="s">
        <v>20</v>
      </c>
      <c r="I197" s="61" t="s">
        <v>640</v>
      </c>
      <c r="J197" s="63" t="s">
        <v>21</v>
      </c>
      <c r="K197" s="61" t="s">
        <v>640</v>
      </c>
      <c r="L197" s="63" t="s">
        <v>22</v>
      </c>
      <c r="M197" s="61" t="s">
        <v>640</v>
      </c>
      <c r="N197" s="61" t="s">
        <v>1731</v>
      </c>
      <c r="O197" s="137" t="s">
        <v>685</v>
      </c>
      <c r="P197" s="59"/>
      <c r="Q197" s="69" t="s">
        <v>1751</v>
      </c>
    </row>
    <row r="198" ht="22.5" customHeight="1">
      <c r="A198" s="60" t="s">
        <v>637</v>
      </c>
      <c r="B198" s="60" t="s">
        <v>1958</v>
      </c>
      <c r="C198" s="59"/>
      <c r="D198" s="61" t="s">
        <v>34</v>
      </c>
      <c r="E198" s="61" t="s">
        <v>40</v>
      </c>
      <c r="F198" s="59" t="s">
        <v>18</v>
      </c>
      <c r="G198" s="61" t="s">
        <v>19</v>
      </c>
      <c r="H198" s="59" t="s">
        <v>20</v>
      </c>
      <c r="I198" s="61" t="s">
        <v>640</v>
      </c>
      <c r="J198" s="63" t="s">
        <v>21</v>
      </c>
      <c r="K198" s="61" t="s">
        <v>640</v>
      </c>
      <c r="L198" s="63" t="s">
        <v>22</v>
      </c>
      <c r="M198" s="61" t="s">
        <v>640</v>
      </c>
      <c r="N198" s="61" t="s">
        <v>1731</v>
      </c>
      <c r="O198" s="137" t="s">
        <v>696</v>
      </c>
      <c r="P198" s="59"/>
      <c r="Q198" s="69" t="s">
        <v>1959</v>
      </c>
    </row>
    <row r="199" ht="22.5" customHeight="1">
      <c r="A199" s="60" t="s">
        <v>637</v>
      </c>
      <c r="B199" s="60" t="s">
        <v>1960</v>
      </c>
      <c r="C199" s="59"/>
      <c r="D199" s="61" t="s">
        <v>34</v>
      </c>
      <c r="E199" s="61" t="s">
        <v>49</v>
      </c>
      <c r="F199" s="59" t="s">
        <v>18</v>
      </c>
      <c r="G199" s="61" t="s">
        <v>31</v>
      </c>
      <c r="H199" s="59" t="s">
        <v>20</v>
      </c>
      <c r="I199" s="61" t="s">
        <v>50</v>
      </c>
      <c r="J199" s="63" t="s">
        <v>21</v>
      </c>
      <c r="K199" s="61" t="s">
        <v>50</v>
      </c>
      <c r="L199" s="63" t="s">
        <v>22</v>
      </c>
      <c r="M199" s="61" t="s">
        <v>50</v>
      </c>
      <c r="N199" s="61" t="s">
        <v>1731</v>
      </c>
      <c r="O199" s="137" t="s">
        <v>372</v>
      </c>
      <c r="P199" s="59"/>
      <c r="Q199" s="69" t="s">
        <v>1959</v>
      </c>
    </row>
    <row r="200" ht="22.5" customHeight="1">
      <c r="A200" s="60" t="s">
        <v>637</v>
      </c>
      <c r="B200" s="60" t="s">
        <v>1961</v>
      </c>
      <c r="C200" s="59"/>
      <c r="D200" s="61" t="s">
        <v>34</v>
      </c>
      <c r="E200" s="61" t="s">
        <v>40</v>
      </c>
      <c r="F200" s="59" t="s">
        <v>18</v>
      </c>
      <c r="G200" s="61" t="s">
        <v>31</v>
      </c>
      <c r="H200" s="59" t="s">
        <v>20</v>
      </c>
      <c r="I200" s="61" t="s">
        <v>640</v>
      </c>
      <c r="J200" s="63" t="s">
        <v>21</v>
      </c>
      <c r="K200" s="61" t="s">
        <v>640</v>
      </c>
      <c r="L200" s="63" t="s">
        <v>22</v>
      </c>
      <c r="M200" s="61" t="s">
        <v>640</v>
      </c>
      <c r="N200" s="61" t="s">
        <v>1731</v>
      </c>
      <c r="O200" s="137" t="s">
        <v>1962</v>
      </c>
      <c r="P200" s="59"/>
      <c r="Q200" s="69" t="s">
        <v>1959</v>
      </c>
    </row>
    <row r="201" ht="22.5" customHeight="1">
      <c r="A201" s="60" t="s">
        <v>637</v>
      </c>
      <c r="B201" s="60" t="s">
        <v>1963</v>
      </c>
      <c r="C201" s="59"/>
      <c r="D201" s="61" t="s">
        <v>34</v>
      </c>
      <c r="E201" s="61" t="s">
        <v>49</v>
      </c>
      <c r="F201" s="59" t="s">
        <v>18</v>
      </c>
      <c r="G201" s="61" t="s">
        <v>31</v>
      </c>
      <c r="H201" s="59" t="s">
        <v>20</v>
      </c>
      <c r="I201" s="61" t="s">
        <v>50</v>
      </c>
      <c r="J201" s="63" t="s">
        <v>21</v>
      </c>
      <c r="K201" s="61" t="s">
        <v>50</v>
      </c>
      <c r="L201" s="63" t="s">
        <v>22</v>
      </c>
      <c r="M201" s="61" t="s">
        <v>50</v>
      </c>
      <c r="N201" s="61" t="s">
        <v>1731</v>
      </c>
      <c r="O201" s="137" t="s">
        <v>372</v>
      </c>
      <c r="P201" s="59"/>
      <c r="Q201" s="69" t="s">
        <v>1959</v>
      </c>
    </row>
    <row r="202" ht="22.5" customHeight="1">
      <c r="A202" s="60" t="s">
        <v>637</v>
      </c>
      <c r="B202" s="60" t="s">
        <v>1964</v>
      </c>
      <c r="C202" s="59"/>
      <c r="D202" s="61" t="s">
        <v>34</v>
      </c>
      <c r="E202" s="61" t="s">
        <v>30</v>
      </c>
      <c r="F202" s="59" t="s">
        <v>18</v>
      </c>
      <c r="G202" s="61" t="s">
        <v>31</v>
      </c>
      <c r="H202" s="59" t="s">
        <v>20</v>
      </c>
      <c r="I202" s="61" t="s">
        <v>31</v>
      </c>
      <c r="J202" s="63" t="s">
        <v>21</v>
      </c>
      <c r="K202" s="61" t="s">
        <v>640</v>
      </c>
      <c r="L202" s="63" t="s">
        <v>22</v>
      </c>
      <c r="M202" s="61" t="s">
        <v>640</v>
      </c>
      <c r="N202" s="61" t="s">
        <v>1731</v>
      </c>
      <c r="O202" s="137" t="s">
        <v>1965</v>
      </c>
      <c r="P202" s="59"/>
      <c r="Q202" s="69" t="s">
        <v>1959</v>
      </c>
    </row>
    <row r="203" ht="22.5" customHeight="1">
      <c r="A203" s="60" t="s">
        <v>637</v>
      </c>
      <c r="B203" s="60" t="s">
        <v>1966</v>
      </c>
      <c r="C203" s="59"/>
      <c r="D203" s="61" t="s">
        <v>34</v>
      </c>
      <c r="E203" s="61" t="s">
        <v>49</v>
      </c>
      <c r="F203" s="59" t="s">
        <v>18</v>
      </c>
      <c r="G203" s="61" t="s">
        <v>31</v>
      </c>
      <c r="H203" s="59" t="s">
        <v>20</v>
      </c>
      <c r="I203" s="61" t="s">
        <v>50</v>
      </c>
      <c r="J203" s="63" t="s">
        <v>21</v>
      </c>
      <c r="K203" s="61" t="s">
        <v>50</v>
      </c>
      <c r="L203" s="63" t="s">
        <v>22</v>
      </c>
      <c r="M203" s="61" t="s">
        <v>50</v>
      </c>
      <c r="N203" s="61" t="s">
        <v>1731</v>
      </c>
      <c r="O203" s="137" t="s">
        <v>51</v>
      </c>
      <c r="P203" s="59"/>
      <c r="Q203" s="69" t="s">
        <v>1959</v>
      </c>
    </row>
    <row r="204" ht="22.5" customHeight="1">
      <c r="A204" s="60" t="s">
        <v>637</v>
      </c>
      <c r="B204" s="60" t="s">
        <v>1967</v>
      </c>
      <c r="C204" s="59"/>
      <c r="D204" s="62"/>
      <c r="E204" s="62"/>
      <c r="F204" s="59" t="s">
        <v>18</v>
      </c>
      <c r="G204" s="61" t="s">
        <v>640</v>
      </c>
      <c r="H204" s="59" t="s">
        <v>20</v>
      </c>
      <c r="I204" s="61" t="s">
        <v>640</v>
      </c>
      <c r="J204" s="63" t="s">
        <v>21</v>
      </c>
      <c r="K204" s="61" t="s">
        <v>640</v>
      </c>
      <c r="L204" s="63" t="s">
        <v>22</v>
      </c>
      <c r="M204" s="61" t="s">
        <v>640</v>
      </c>
      <c r="N204" s="61" t="s">
        <v>1731</v>
      </c>
      <c r="O204" s="137"/>
      <c r="P204" s="59"/>
      <c r="Q204" s="69" t="s">
        <v>1959</v>
      </c>
    </row>
    <row r="205" ht="22.5" customHeight="1">
      <c r="A205" s="60" t="s">
        <v>637</v>
      </c>
      <c r="B205" s="60" t="s">
        <v>1968</v>
      </c>
      <c r="C205" s="59"/>
      <c r="D205" s="61" t="s">
        <v>34</v>
      </c>
      <c r="E205" s="61" t="s">
        <v>40</v>
      </c>
      <c r="F205" s="59" t="s">
        <v>18</v>
      </c>
      <c r="G205" s="61" t="s">
        <v>640</v>
      </c>
      <c r="H205" s="59" t="s">
        <v>20</v>
      </c>
      <c r="I205" s="61" t="s">
        <v>640</v>
      </c>
      <c r="J205" s="63" t="s">
        <v>21</v>
      </c>
      <c r="K205" s="61" t="s">
        <v>31</v>
      </c>
      <c r="L205" s="63" t="s">
        <v>22</v>
      </c>
      <c r="M205" s="61" t="s">
        <v>640</v>
      </c>
      <c r="N205" s="61" t="s">
        <v>1731</v>
      </c>
      <c r="O205" s="137" t="s">
        <v>696</v>
      </c>
      <c r="P205" s="59"/>
      <c r="Q205" s="69" t="s">
        <v>1959</v>
      </c>
    </row>
    <row r="206" ht="22.5" customHeight="1">
      <c r="A206" s="60" t="s">
        <v>637</v>
      </c>
      <c r="B206" s="60" t="s">
        <v>1969</v>
      </c>
      <c r="C206" s="59"/>
      <c r="D206" s="61" t="s">
        <v>16</v>
      </c>
      <c r="E206" s="61" t="s">
        <v>17</v>
      </c>
      <c r="F206" s="59" t="s">
        <v>18</v>
      </c>
      <c r="G206" s="61" t="s">
        <v>19</v>
      </c>
      <c r="H206" s="59" t="s">
        <v>20</v>
      </c>
      <c r="I206" s="61" t="s">
        <v>640</v>
      </c>
      <c r="J206" s="63" t="s">
        <v>21</v>
      </c>
      <c r="K206" s="61" t="s">
        <v>19</v>
      </c>
      <c r="L206" s="63" t="s">
        <v>22</v>
      </c>
      <c r="M206" s="61" t="s">
        <v>640</v>
      </c>
      <c r="N206" s="61" t="s">
        <v>1731</v>
      </c>
      <c r="O206" s="64" t="s">
        <v>376</v>
      </c>
      <c r="P206" s="59"/>
      <c r="Q206" s="69" t="s">
        <v>1959</v>
      </c>
    </row>
    <row r="207" ht="22.5" customHeight="1">
      <c r="A207" s="60" t="s">
        <v>637</v>
      </c>
      <c r="B207" s="60" t="s">
        <v>1970</v>
      </c>
      <c r="C207" s="59"/>
      <c r="D207" s="61" t="s">
        <v>34</v>
      </c>
      <c r="E207" s="61" t="s">
        <v>49</v>
      </c>
      <c r="F207" s="59" t="s">
        <v>18</v>
      </c>
      <c r="G207" s="61" t="s">
        <v>31</v>
      </c>
      <c r="H207" s="59" t="s">
        <v>20</v>
      </c>
      <c r="I207" s="61" t="s">
        <v>50</v>
      </c>
      <c r="J207" s="63" t="s">
        <v>21</v>
      </c>
      <c r="K207" s="61" t="s">
        <v>50</v>
      </c>
      <c r="L207" s="63" t="s">
        <v>22</v>
      </c>
      <c r="M207" s="61" t="s">
        <v>50</v>
      </c>
      <c r="N207" s="61" t="s">
        <v>1731</v>
      </c>
      <c r="O207" s="137" t="s">
        <v>720</v>
      </c>
      <c r="P207" s="59"/>
      <c r="Q207" s="69" t="s">
        <v>1959</v>
      </c>
    </row>
    <row r="208" ht="22.5" customHeight="1">
      <c r="A208" s="60" t="s">
        <v>637</v>
      </c>
      <c r="B208" s="60" t="s">
        <v>1971</v>
      </c>
      <c r="C208" s="59"/>
      <c r="D208" s="61" t="s">
        <v>34</v>
      </c>
      <c r="E208" s="61" t="s">
        <v>49</v>
      </c>
      <c r="F208" s="59" t="s">
        <v>18</v>
      </c>
      <c r="G208" s="61" t="s">
        <v>31</v>
      </c>
      <c r="H208" s="59" t="s">
        <v>20</v>
      </c>
      <c r="I208" s="61" t="s">
        <v>50</v>
      </c>
      <c r="J208" s="63" t="s">
        <v>21</v>
      </c>
      <c r="K208" s="61" t="s">
        <v>50</v>
      </c>
      <c r="L208" s="63" t="s">
        <v>22</v>
      </c>
      <c r="M208" s="61" t="s">
        <v>50</v>
      </c>
      <c r="N208" s="61" t="s">
        <v>1731</v>
      </c>
      <c r="O208" s="137" t="s">
        <v>1972</v>
      </c>
      <c r="P208" s="59"/>
      <c r="Q208" s="69" t="s">
        <v>1959</v>
      </c>
    </row>
    <row r="209" ht="22.5" customHeight="1">
      <c r="A209" s="60" t="s">
        <v>637</v>
      </c>
      <c r="B209" s="60" t="s">
        <v>1973</v>
      </c>
      <c r="C209" s="59"/>
      <c r="D209" s="61" t="s">
        <v>34</v>
      </c>
      <c r="E209" s="61" t="s">
        <v>40</v>
      </c>
      <c r="F209" s="59" t="s">
        <v>18</v>
      </c>
      <c r="G209" s="61" t="s">
        <v>31</v>
      </c>
      <c r="H209" s="59" t="s">
        <v>20</v>
      </c>
      <c r="I209" s="61" t="s">
        <v>640</v>
      </c>
      <c r="J209" s="63" t="s">
        <v>21</v>
      </c>
      <c r="K209" s="61" t="s">
        <v>640</v>
      </c>
      <c r="L209" s="63" t="s">
        <v>22</v>
      </c>
      <c r="M209" s="61" t="s">
        <v>640</v>
      </c>
      <c r="N209" s="61" t="s">
        <v>1731</v>
      </c>
      <c r="O209" s="137" t="s">
        <v>696</v>
      </c>
      <c r="P209" s="59"/>
      <c r="Q209" s="69" t="s">
        <v>1959</v>
      </c>
    </row>
    <row r="210" ht="22.5" customHeight="1">
      <c r="A210" s="60" t="s">
        <v>637</v>
      </c>
      <c r="B210" s="60" t="s">
        <v>1974</v>
      </c>
      <c r="C210" s="59"/>
      <c r="D210" s="61" t="s">
        <v>16</v>
      </c>
      <c r="E210" s="61" t="s">
        <v>17</v>
      </c>
      <c r="F210" s="59" t="s">
        <v>18</v>
      </c>
      <c r="G210" s="61" t="s">
        <v>19</v>
      </c>
      <c r="H210" s="59" t="s">
        <v>20</v>
      </c>
      <c r="I210" s="61" t="s">
        <v>640</v>
      </c>
      <c r="J210" s="63" t="s">
        <v>21</v>
      </c>
      <c r="K210" s="61" t="s">
        <v>19</v>
      </c>
      <c r="L210" s="63" t="s">
        <v>22</v>
      </c>
      <c r="M210" s="61" t="s">
        <v>640</v>
      </c>
      <c r="N210" s="61" t="s">
        <v>1731</v>
      </c>
      <c r="O210" s="137" t="s">
        <v>376</v>
      </c>
      <c r="P210" s="59"/>
      <c r="Q210" s="69" t="s">
        <v>1959</v>
      </c>
    </row>
    <row r="211" ht="22.5" customHeight="1">
      <c r="A211" s="60" t="s">
        <v>637</v>
      </c>
      <c r="B211" s="60" t="s">
        <v>1975</v>
      </c>
      <c r="C211" s="59"/>
      <c r="D211" s="61" t="s">
        <v>16</v>
      </c>
      <c r="E211" s="61" t="s">
        <v>17</v>
      </c>
      <c r="F211" s="59" t="s">
        <v>18</v>
      </c>
      <c r="G211" s="61" t="s">
        <v>19</v>
      </c>
      <c r="H211" s="59" t="s">
        <v>20</v>
      </c>
      <c r="I211" s="61" t="s">
        <v>640</v>
      </c>
      <c r="J211" s="63" t="s">
        <v>21</v>
      </c>
      <c r="K211" s="61" t="s">
        <v>19</v>
      </c>
      <c r="L211" s="63" t="s">
        <v>22</v>
      </c>
      <c r="M211" s="61" t="s">
        <v>640</v>
      </c>
      <c r="N211" s="61" t="s">
        <v>1731</v>
      </c>
      <c r="O211" s="137" t="s">
        <v>376</v>
      </c>
      <c r="P211" s="59"/>
      <c r="Q211" s="69" t="s">
        <v>1959</v>
      </c>
    </row>
    <row r="212" ht="22.5" customHeight="1">
      <c r="A212" s="60" t="s">
        <v>637</v>
      </c>
      <c r="B212" s="60" t="s">
        <v>1976</v>
      </c>
      <c r="C212" s="59"/>
      <c r="D212" s="61" t="s">
        <v>16</v>
      </c>
      <c r="E212" s="61" t="s">
        <v>17</v>
      </c>
      <c r="F212" s="59" t="s">
        <v>18</v>
      </c>
      <c r="G212" s="61" t="s">
        <v>19</v>
      </c>
      <c r="H212" s="59" t="s">
        <v>20</v>
      </c>
      <c r="I212" s="61" t="s">
        <v>640</v>
      </c>
      <c r="J212" s="63" t="s">
        <v>21</v>
      </c>
      <c r="K212" s="61" t="s">
        <v>19</v>
      </c>
      <c r="L212" s="63" t="s">
        <v>22</v>
      </c>
      <c r="M212" s="61" t="s">
        <v>640</v>
      </c>
      <c r="N212" s="61" t="s">
        <v>1731</v>
      </c>
      <c r="O212" s="137" t="s">
        <v>376</v>
      </c>
      <c r="P212" s="59"/>
      <c r="Q212" s="69" t="s">
        <v>1959</v>
      </c>
    </row>
    <row r="213" ht="22.5" customHeight="1">
      <c r="A213" s="60" t="s">
        <v>637</v>
      </c>
      <c r="B213" s="60" t="s">
        <v>1977</v>
      </c>
      <c r="C213" s="59"/>
      <c r="D213" s="61" t="s">
        <v>34</v>
      </c>
      <c r="E213" s="61" t="s">
        <v>40</v>
      </c>
      <c r="F213" s="59" t="s">
        <v>18</v>
      </c>
      <c r="G213" s="61" t="s">
        <v>19</v>
      </c>
      <c r="H213" s="59" t="s">
        <v>20</v>
      </c>
      <c r="I213" s="61" t="s">
        <v>640</v>
      </c>
      <c r="J213" s="63" t="s">
        <v>21</v>
      </c>
      <c r="K213" s="61" t="s">
        <v>31</v>
      </c>
      <c r="L213" s="63" t="s">
        <v>22</v>
      </c>
      <c r="M213" s="61" t="s">
        <v>640</v>
      </c>
      <c r="N213" s="61" t="s">
        <v>1731</v>
      </c>
      <c r="O213" s="137" t="s">
        <v>696</v>
      </c>
      <c r="P213" s="59"/>
      <c r="Q213" s="69" t="s">
        <v>1959</v>
      </c>
    </row>
    <row r="214" ht="22.5" customHeight="1">
      <c r="A214" s="60" t="s">
        <v>637</v>
      </c>
      <c r="B214" s="60" t="s">
        <v>1978</v>
      </c>
      <c r="C214" s="59"/>
      <c r="D214" s="61" t="s">
        <v>34</v>
      </c>
      <c r="E214" s="61" t="s">
        <v>49</v>
      </c>
      <c r="F214" s="59" t="s">
        <v>18</v>
      </c>
      <c r="G214" s="61" t="s">
        <v>50</v>
      </c>
      <c r="H214" s="59" t="s">
        <v>20</v>
      </c>
      <c r="I214" s="61" t="s">
        <v>50</v>
      </c>
      <c r="J214" s="63" t="s">
        <v>21</v>
      </c>
      <c r="K214" s="61" t="s">
        <v>50</v>
      </c>
      <c r="L214" s="63" t="s">
        <v>22</v>
      </c>
      <c r="M214" s="61" t="s">
        <v>50</v>
      </c>
      <c r="N214" s="61" t="s">
        <v>1731</v>
      </c>
      <c r="O214" s="137" t="s">
        <v>372</v>
      </c>
      <c r="P214" s="59"/>
      <c r="Q214" s="69" t="s">
        <v>1959</v>
      </c>
    </row>
    <row r="215" ht="22.5" customHeight="1">
      <c r="A215" s="60" t="s">
        <v>637</v>
      </c>
      <c r="B215" s="60" t="s">
        <v>1979</v>
      </c>
      <c r="C215" s="59"/>
      <c r="D215" s="61" t="s">
        <v>34</v>
      </c>
      <c r="E215" s="61" t="s">
        <v>49</v>
      </c>
      <c r="F215" s="59" t="s">
        <v>18</v>
      </c>
      <c r="G215" s="61" t="s">
        <v>50</v>
      </c>
      <c r="H215" s="59" t="s">
        <v>20</v>
      </c>
      <c r="I215" s="61" t="s">
        <v>50</v>
      </c>
      <c r="J215" s="63" t="s">
        <v>21</v>
      </c>
      <c r="K215" s="61" t="s">
        <v>50</v>
      </c>
      <c r="L215" s="63" t="s">
        <v>22</v>
      </c>
      <c r="M215" s="61" t="s">
        <v>50</v>
      </c>
      <c r="N215" s="61" t="s">
        <v>1731</v>
      </c>
      <c r="O215" s="137" t="s">
        <v>372</v>
      </c>
      <c r="P215" s="59"/>
      <c r="Q215" s="69" t="s">
        <v>1959</v>
      </c>
    </row>
    <row r="216" ht="22.5" customHeight="1">
      <c r="A216" s="60" t="s">
        <v>637</v>
      </c>
      <c r="B216" s="60" t="s">
        <v>1980</v>
      </c>
      <c r="C216" s="59"/>
      <c r="D216" s="61" t="s">
        <v>16</v>
      </c>
      <c r="E216" s="61" t="s">
        <v>17</v>
      </c>
      <c r="F216" s="59" t="s">
        <v>18</v>
      </c>
      <c r="G216" s="61" t="s">
        <v>19</v>
      </c>
      <c r="H216" s="59" t="s">
        <v>20</v>
      </c>
      <c r="I216" s="61" t="s">
        <v>640</v>
      </c>
      <c r="J216" s="63" t="s">
        <v>21</v>
      </c>
      <c r="K216" s="61" t="s">
        <v>19</v>
      </c>
      <c r="L216" s="63" t="s">
        <v>22</v>
      </c>
      <c r="M216" s="61" t="s">
        <v>640</v>
      </c>
      <c r="N216" s="61" t="s">
        <v>1731</v>
      </c>
      <c r="O216" s="137" t="s">
        <v>376</v>
      </c>
      <c r="P216" s="59"/>
      <c r="Q216" s="69" t="s">
        <v>1959</v>
      </c>
    </row>
    <row r="217" ht="22.5" customHeight="1">
      <c r="A217" s="60" t="s">
        <v>637</v>
      </c>
      <c r="B217" s="60" t="s">
        <v>1981</v>
      </c>
      <c r="C217" s="59"/>
      <c r="D217" s="61" t="s">
        <v>34</v>
      </c>
      <c r="E217" s="61" t="s">
        <v>40</v>
      </c>
      <c r="F217" s="59" t="s">
        <v>18</v>
      </c>
      <c r="G217" s="61" t="s">
        <v>31</v>
      </c>
      <c r="H217" s="59" t="s">
        <v>20</v>
      </c>
      <c r="I217" s="61" t="s">
        <v>640</v>
      </c>
      <c r="J217" s="63" t="s">
        <v>21</v>
      </c>
      <c r="K217" s="61" t="s">
        <v>640</v>
      </c>
      <c r="L217" s="63" t="s">
        <v>22</v>
      </c>
      <c r="M217" s="61" t="s">
        <v>640</v>
      </c>
      <c r="N217" s="61" t="s">
        <v>1731</v>
      </c>
      <c r="O217" s="137" t="s">
        <v>696</v>
      </c>
      <c r="P217" s="59"/>
      <c r="Q217" s="69" t="s">
        <v>1959</v>
      </c>
    </row>
    <row r="218" ht="22.5" customHeight="1">
      <c r="A218" s="60" t="s">
        <v>637</v>
      </c>
      <c r="B218" s="60" t="s">
        <v>1982</v>
      </c>
      <c r="C218" s="59"/>
      <c r="D218" s="61" t="s">
        <v>16</v>
      </c>
      <c r="E218" s="61" t="s">
        <v>49</v>
      </c>
      <c r="F218" s="59" t="s">
        <v>18</v>
      </c>
      <c r="G218" s="61" t="s">
        <v>50</v>
      </c>
      <c r="H218" s="59" t="s">
        <v>20</v>
      </c>
      <c r="I218" s="61" t="s">
        <v>50</v>
      </c>
      <c r="J218" s="63" t="s">
        <v>21</v>
      </c>
      <c r="K218" s="61" t="s">
        <v>50</v>
      </c>
      <c r="L218" s="63" t="s">
        <v>22</v>
      </c>
      <c r="M218" s="61" t="s">
        <v>50</v>
      </c>
      <c r="N218" s="61" t="s">
        <v>1731</v>
      </c>
      <c r="O218" s="137" t="s">
        <v>372</v>
      </c>
      <c r="P218" s="59"/>
      <c r="Q218" s="69" t="s">
        <v>1959</v>
      </c>
    </row>
    <row r="219" ht="22.5" customHeight="1">
      <c r="A219" s="60" t="s">
        <v>637</v>
      </c>
      <c r="B219" s="60" t="s">
        <v>1983</v>
      </c>
      <c r="C219" s="59"/>
      <c r="D219" s="61" t="s">
        <v>16</v>
      </c>
      <c r="E219" s="61" t="s">
        <v>17</v>
      </c>
      <c r="F219" s="59" t="s">
        <v>18</v>
      </c>
      <c r="G219" s="61" t="s">
        <v>19</v>
      </c>
      <c r="H219" s="59" t="s">
        <v>20</v>
      </c>
      <c r="I219" s="61" t="s">
        <v>640</v>
      </c>
      <c r="J219" s="63" t="s">
        <v>21</v>
      </c>
      <c r="K219" s="61" t="s">
        <v>19</v>
      </c>
      <c r="L219" s="63" t="s">
        <v>22</v>
      </c>
      <c r="M219" s="61" t="s">
        <v>640</v>
      </c>
      <c r="N219" s="61" t="s">
        <v>1731</v>
      </c>
      <c r="O219" s="137" t="s">
        <v>376</v>
      </c>
      <c r="P219" s="59"/>
      <c r="Q219" s="69" t="s">
        <v>1959</v>
      </c>
    </row>
    <row r="220" ht="22.5" customHeight="1">
      <c r="A220" s="60" t="s">
        <v>637</v>
      </c>
      <c r="B220" s="60" t="s">
        <v>1984</v>
      </c>
      <c r="C220" s="59"/>
      <c r="D220" s="61" t="s">
        <v>34</v>
      </c>
      <c r="E220" s="61" t="s">
        <v>49</v>
      </c>
      <c r="F220" s="59" t="s">
        <v>18</v>
      </c>
      <c r="G220" s="61" t="s">
        <v>50</v>
      </c>
      <c r="H220" s="59" t="s">
        <v>20</v>
      </c>
      <c r="I220" s="61" t="s">
        <v>50</v>
      </c>
      <c r="J220" s="63" t="s">
        <v>21</v>
      </c>
      <c r="K220" s="61" t="s">
        <v>50</v>
      </c>
      <c r="L220" s="63" t="s">
        <v>22</v>
      </c>
      <c r="M220" s="61" t="s">
        <v>50</v>
      </c>
      <c r="N220" s="61" t="s">
        <v>1731</v>
      </c>
      <c r="O220" s="137" t="s">
        <v>1985</v>
      </c>
      <c r="P220" s="59"/>
      <c r="Q220" s="69" t="s">
        <v>1959</v>
      </c>
    </row>
    <row r="221" ht="22.5" customHeight="1">
      <c r="A221" s="60" t="s">
        <v>637</v>
      </c>
      <c r="B221" s="60" t="s">
        <v>1986</v>
      </c>
      <c r="C221" s="59"/>
      <c r="D221" s="61" t="s">
        <v>34</v>
      </c>
      <c r="E221" s="61" t="s">
        <v>40</v>
      </c>
      <c r="F221" s="59" t="s">
        <v>18</v>
      </c>
      <c r="G221" s="61" t="s">
        <v>31</v>
      </c>
      <c r="H221" s="59" t="s">
        <v>20</v>
      </c>
      <c r="I221" s="61" t="s">
        <v>640</v>
      </c>
      <c r="J221" s="63" t="s">
        <v>21</v>
      </c>
      <c r="K221" s="61" t="s">
        <v>640</v>
      </c>
      <c r="L221" s="63" t="s">
        <v>22</v>
      </c>
      <c r="M221" s="61" t="s">
        <v>640</v>
      </c>
      <c r="N221" s="61" t="s">
        <v>1731</v>
      </c>
      <c r="O221" s="137" t="s">
        <v>696</v>
      </c>
      <c r="P221" s="59"/>
      <c r="Q221" s="69" t="s">
        <v>1959</v>
      </c>
    </row>
    <row r="222" ht="22.5" customHeight="1">
      <c r="A222" s="60" t="s">
        <v>637</v>
      </c>
      <c r="B222" s="60" t="s">
        <v>1987</v>
      </c>
      <c r="C222" s="59"/>
      <c r="D222" s="61" t="s">
        <v>16</v>
      </c>
      <c r="E222" s="61" t="s">
        <v>17</v>
      </c>
      <c r="F222" s="59" t="s">
        <v>18</v>
      </c>
      <c r="G222" s="61" t="s">
        <v>19</v>
      </c>
      <c r="H222" s="59" t="s">
        <v>20</v>
      </c>
      <c r="I222" s="61" t="s">
        <v>640</v>
      </c>
      <c r="J222" s="63" t="s">
        <v>21</v>
      </c>
      <c r="K222" s="61" t="s">
        <v>19</v>
      </c>
      <c r="L222" s="63" t="s">
        <v>22</v>
      </c>
      <c r="M222" s="61" t="s">
        <v>640</v>
      </c>
      <c r="N222" s="61" t="s">
        <v>1731</v>
      </c>
      <c r="O222" s="137" t="s">
        <v>376</v>
      </c>
      <c r="P222" s="59"/>
      <c r="Q222" s="69" t="s">
        <v>1959</v>
      </c>
    </row>
    <row r="223" ht="22.5" customHeight="1">
      <c r="A223" s="60" t="s">
        <v>637</v>
      </c>
      <c r="B223" s="60" t="s">
        <v>1988</v>
      </c>
      <c r="C223" s="59"/>
      <c r="D223" s="61" t="s">
        <v>16</v>
      </c>
      <c r="E223" s="61" t="s">
        <v>17</v>
      </c>
      <c r="F223" s="59" t="s">
        <v>18</v>
      </c>
      <c r="G223" s="61" t="s">
        <v>19</v>
      </c>
      <c r="H223" s="59" t="s">
        <v>20</v>
      </c>
      <c r="I223" s="61" t="s">
        <v>640</v>
      </c>
      <c r="J223" s="63" t="s">
        <v>21</v>
      </c>
      <c r="K223" s="61" t="s">
        <v>19</v>
      </c>
      <c r="L223" s="63" t="s">
        <v>22</v>
      </c>
      <c r="M223" s="61" t="s">
        <v>640</v>
      </c>
      <c r="N223" s="61" t="s">
        <v>1731</v>
      </c>
      <c r="O223" s="137" t="s">
        <v>376</v>
      </c>
      <c r="P223" s="59"/>
      <c r="Q223" s="69" t="s">
        <v>1959</v>
      </c>
    </row>
    <row r="224" ht="22.5" customHeight="1">
      <c r="A224" s="60" t="s">
        <v>637</v>
      </c>
      <c r="B224" s="60" t="s">
        <v>1989</v>
      </c>
      <c r="C224" s="59"/>
      <c r="D224" s="61" t="s">
        <v>16</v>
      </c>
      <c r="E224" s="61" t="s">
        <v>17</v>
      </c>
      <c r="F224" s="59" t="s">
        <v>18</v>
      </c>
      <c r="G224" s="61" t="s">
        <v>19</v>
      </c>
      <c r="H224" s="59" t="s">
        <v>20</v>
      </c>
      <c r="I224" s="61" t="s">
        <v>640</v>
      </c>
      <c r="J224" s="63" t="s">
        <v>21</v>
      </c>
      <c r="K224" s="61" t="s">
        <v>19</v>
      </c>
      <c r="L224" s="63" t="s">
        <v>22</v>
      </c>
      <c r="M224" s="61" t="s">
        <v>640</v>
      </c>
      <c r="N224" s="61" t="s">
        <v>1731</v>
      </c>
      <c r="O224" s="137" t="s">
        <v>376</v>
      </c>
      <c r="P224" s="59"/>
      <c r="Q224" s="69" t="s">
        <v>1959</v>
      </c>
    </row>
    <row r="225" ht="22.5" customHeight="1">
      <c r="A225" s="60" t="s">
        <v>637</v>
      </c>
      <c r="B225" s="60" t="s">
        <v>1990</v>
      </c>
      <c r="C225" s="59"/>
      <c r="D225" s="61" t="s">
        <v>34</v>
      </c>
      <c r="E225" s="61" t="s">
        <v>40</v>
      </c>
      <c r="F225" s="59" t="s">
        <v>18</v>
      </c>
      <c r="G225" s="61" t="s">
        <v>19</v>
      </c>
      <c r="H225" s="59" t="s">
        <v>20</v>
      </c>
      <c r="I225" s="61" t="s">
        <v>640</v>
      </c>
      <c r="J225" s="63" t="s">
        <v>21</v>
      </c>
      <c r="K225" s="61" t="s">
        <v>31</v>
      </c>
      <c r="L225" s="63" t="s">
        <v>22</v>
      </c>
      <c r="M225" s="61" t="s">
        <v>640</v>
      </c>
      <c r="N225" s="61" t="s">
        <v>1731</v>
      </c>
      <c r="O225" s="137" t="s">
        <v>696</v>
      </c>
      <c r="P225" s="59"/>
      <c r="Q225" s="69" t="s">
        <v>1959</v>
      </c>
    </row>
    <row r="226" ht="22.5" customHeight="1">
      <c r="A226" s="60" t="s">
        <v>1991</v>
      </c>
      <c r="B226" s="60" t="s">
        <v>1992</v>
      </c>
      <c r="C226" s="59"/>
      <c r="D226" s="61" t="s">
        <v>34</v>
      </c>
      <c r="E226" s="61" t="s">
        <v>40</v>
      </c>
      <c r="F226" s="59" t="s">
        <v>18</v>
      </c>
      <c r="G226" s="61" t="s">
        <v>19</v>
      </c>
      <c r="H226" s="59" t="s">
        <v>20</v>
      </c>
      <c r="I226" s="61" t="s">
        <v>640</v>
      </c>
      <c r="J226" s="63" t="s">
        <v>21</v>
      </c>
      <c r="K226" s="61" t="s">
        <v>31</v>
      </c>
      <c r="L226" s="63" t="s">
        <v>22</v>
      </c>
      <c r="M226" s="61" t="s">
        <v>640</v>
      </c>
      <c r="N226" s="61" t="s">
        <v>1731</v>
      </c>
      <c r="O226" s="137" t="s">
        <v>1993</v>
      </c>
      <c r="P226" s="59"/>
      <c r="Q226" s="69" t="s">
        <v>1959</v>
      </c>
    </row>
    <row r="227" ht="22.5" customHeight="1">
      <c r="A227" s="60" t="s">
        <v>637</v>
      </c>
      <c r="B227" s="60" t="s">
        <v>1994</v>
      </c>
      <c r="C227" s="59"/>
      <c r="D227" s="61" t="s">
        <v>34</v>
      </c>
      <c r="E227" s="61" t="s">
        <v>40</v>
      </c>
      <c r="F227" s="59" t="s">
        <v>18</v>
      </c>
      <c r="G227" s="61" t="s">
        <v>19</v>
      </c>
      <c r="H227" s="59" t="s">
        <v>20</v>
      </c>
      <c r="I227" s="61" t="s">
        <v>640</v>
      </c>
      <c r="J227" s="63" t="s">
        <v>21</v>
      </c>
      <c r="K227" s="61" t="s">
        <v>31</v>
      </c>
      <c r="L227" s="63" t="s">
        <v>22</v>
      </c>
      <c r="M227" s="61" t="s">
        <v>640</v>
      </c>
      <c r="N227" s="61" t="s">
        <v>1731</v>
      </c>
      <c r="O227" s="137" t="s">
        <v>696</v>
      </c>
      <c r="P227" s="59"/>
      <c r="Q227" s="69" t="s">
        <v>1959</v>
      </c>
    </row>
    <row r="228" ht="22.5" customHeight="1">
      <c r="A228" s="60" t="s">
        <v>637</v>
      </c>
      <c r="B228" s="60" t="s">
        <v>1995</v>
      </c>
      <c r="C228" s="59"/>
      <c r="D228" s="61" t="s">
        <v>16</v>
      </c>
      <c r="E228" s="61" t="s">
        <v>17</v>
      </c>
      <c r="F228" s="59" t="s">
        <v>18</v>
      </c>
      <c r="G228" s="61" t="s">
        <v>19</v>
      </c>
      <c r="H228" s="59" t="s">
        <v>20</v>
      </c>
      <c r="I228" s="61" t="s">
        <v>640</v>
      </c>
      <c r="J228" s="63" t="s">
        <v>21</v>
      </c>
      <c r="K228" s="61" t="s">
        <v>19</v>
      </c>
      <c r="L228" s="63" t="s">
        <v>22</v>
      </c>
      <c r="M228" s="61" t="s">
        <v>640</v>
      </c>
      <c r="N228" s="61" t="s">
        <v>1731</v>
      </c>
      <c r="O228" s="137" t="s">
        <v>376</v>
      </c>
      <c r="P228" s="59"/>
      <c r="Q228" s="69" t="s">
        <v>1959</v>
      </c>
    </row>
    <row r="229" ht="22.5" customHeight="1">
      <c r="A229" s="60" t="s">
        <v>637</v>
      </c>
      <c r="B229" s="60" t="s">
        <v>1996</v>
      </c>
      <c r="C229" s="59"/>
      <c r="D229" s="61" t="s">
        <v>16</v>
      </c>
      <c r="E229" s="61" t="s">
        <v>17</v>
      </c>
      <c r="F229" s="59" t="s">
        <v>18</v>
      </c>
      <c r="G229" s="61" t="s">
        <v>19</v>
      </c>
      <c r="H229" s="59" t="s">
        <v>20</v>
      </c>
      <c r="I229" s="61" t="s">
        <v>640</v>
      </c>
      <c r="J229" s="63" t="s">
        <v>21</v>
      </c>
      <c r="K229" s="61" t="s">
        <v>19</v>
      </c>
      <c r="L229" s="63" t="s">
        <v>22</v>
      </c>
      <c r="M229" s="61" t="s">
        <v>640</v>
      </c>
      <c r="N229" s="61" t="s">
        <v>1731</v>
      </c>
      <c r="O229" s="137" t="s">
        <v>376</v>
      </c>
      <c r="P229" s="59"/>
      <c r="Q229" s="69" t="s">
        <v>1959</v>
      </c>
    </row>
    <row r="230" ht="22.5" customHeight="1">
      <c r="A230" s="60" t="s">
        <v>637</v>
      </c>
      <c r="B230" s="60" t="s">
        <v>1997</v>
      </c>
      <c r="C230" s="59"/>
      <c r="D230" s="61" t="s">
        <v>16</v>
      </c>
      <c r="E230" s="61" t="s">
        <v>17</v>
      </c>
      <c r="F230" s="59" t="s">
        <v>18</v>
      </c>
      <c r="G230" s="61" t="s">
        <v>19</v>
      </c>
      <c r="H230" s="59" t="s">
        <v>20</v>
      </c>
      <c r="I230" s="61" t="s">
        <v>640</v>
      </c>
      <c r="J230" s="63" t="s">
        <v>21</v>
      </c>
      <c r="K230" s="61" t="s">
        <v>19</v>
      </c>
      <c r="L230" s="63" t="s">
        <v>22</v>
      </c>
      <c r="M230" s="61" t="s">
        <v>640</v>
      </c>
      <c r="N230" s="61" t="s">
        <v>1731</v>
      </c>
      <c r="O230" s="137" t="s">
        <v>376</v>
      </c>
      <c r="P230" s="59"/>
      <c r="Q230" s="69" t="s">
        <v>1959</v>
      </c>
    </row>
    <row r="231" ht="22.5" customHeight="1">
      <c r="A231" s="60" t="s">
        <v>637</v>
      </c>
      <c r="B231" s="110" t="s">
        <v>1998</v>
      </c>
      <c r="C231" s="59"/>
      <c r="D231" s="61" t="s">
        <v>34</v>
      </c>
      <c r="E231" s="61" t="s">
        <v>35</v>
      </c>
      <c r="F231" s="59" t="s">
        <v>18</v>
      </c>
      <c r="G231" s="61" t="s">
        <v>31</v>
      </c>
      <c r="H231" s="59" t="s">
        <v>20</v>
      </c>
      <c r="I231" s="61" t="s">
        <v>640</v>
      </c>
      <c r="J231" s="63" t="s">
        <v>21</v>
      </c>
      <c r="K231" s="61" t="s">
        <v>640</v>
      </c>
      <c r="L231" s="63" t="s">
        <v>22</v>
      </c>
      <c r="M231" s="61" t="s">
        <v>640</v>
      </c>
      <c r="N231" s="61" t="s">
        <v>1731</v>
      </c>
      <c r="O231" s="60" t="s">
        <v>1999</v>
      </c>
      <c r="P231" s="59"/>
      <c r="Q231" s="69" t="s">
        <v>1959</v>
      </c>
    </row>
    <row r="232" ht="22.5" customHeight="1">
      <c r="A232" s="60" t="s">
        <v>637</v>
      </c>
      <c r="B232" s="60" t="s">
        <v>2000</v>
      </c>
      <c r="C232" s="59"/>
      <c r="D232" s="62"/>
      <c r="E232" s="61" t="s">
        <v>49</v>
      </c>
      <c r="F232" s="59" t="s">
        <v>18</v>
      </c>
      <c r="G232" s="61" t="s">
        <v>50</v>
      </c>
      <c r="H232" s="59" t="s">
        <v>20</v>
      </c>
      <c r="I232" s="61" t="s">
        <v>50</v>
      </c>
      <c r="J232" s="63" t="s">
        <v>21</v>
      </c>
      <c r="K232" s="61" t="s">
        <v>50</v>
      </c>
      <c r="L232" s="63" t="s">
        <v>22</v>
      </c>
      <c r="M232" s="61" t="s">
        <v>50</v>
      </c>
      <c r="N232" s="61" t="s">
        <v>1731</v>
      </c>
      <c r="O232" s="60" t="s">
        <v>372</v>
      </c>
      <c r="P232" s="59"/>
      <c r="Q232" s="69" t="s">
        <v>1959</v>
      </c>
    </row>
    <row r="233" ht="22.5" customHeight="1">
      <c r="A233" s="60" t="s">
        <v>637</v>
      </c>
      <c r="B233" s="60" t="s">
        <v>2001</v>
      </c>
      <c r="C233" s="59"/>
      <c r="D233" s="61" t="s">
        <v>34</v>
      </c>
      <c r="E233" s="61" t="s">
        <v>49</v>
      </c>
      <c r="F233" s="59" t="s">
        <v>18</v>
      </c>
      <c r="G233" s="61" t="s">
        <v>31</v>
      </c>
      <c r="H233" s="59" t="s">
        <v>20</v>
      </c>
      <c r="I233" s="61" t="s">
        <v>50</v>
      </c>
      <c r="J233" s="63" t="s">
        <v>21</v>
      </c>
      <c r="K233" s="61" t="s">
        <v>50</v>
      </c>
      <c r="L233" s="63" t="s">
        <v>22</v>
      </c>
      <c r="M233" s="61" t="s">
        <v>50</v>
      </c>
      <c r="N233" s="61" t="s">
        <v>1731</v>
      </c>
      <c r="O233" s="60" t="s">
        <v>372</v>
      </c>
      <c r="P233" s="59"/>
      <c r="Q233" s="69" t="s">
        <v>1959</v>
      </c>
    </row>
    <row r="234" ht="22.5" customHeight="1">
      <c r="A234" s="60" t="s">
        <v>637</v>
      </c>
      <c r="B234" s="60" t="s">
        <v>2002</v>
      </c>
      <c r="C234" s="59"/>
      <c r="D234" s="61" t="s">
        <v>34</v>
      </c>
      <c r="E234" s="61" t="s">
        <v>35</v>
      </c>
      <c r="F234" s="59" t="s">
        <v>18</v>
      </c>
      <c r="G234" s="61" t="s">
        <v>640</v>
      </c>
      <c r="H234" s="59" t="s">
        <v>20</v>
      </c>
      <c r="I234" s="61" t="s">
        <v>640</v>
      </c>
      <c r="J234" s="63" t="s">
        <v>21</v>
      </c>
      <c r="K234" s="61" t="s">
        <v>640</v>
      </c>
      <c r="L234" s="63" t="s">
        <v>22</v>
      </c>
      <c r="M234" s="61" t="s">
        <v>31</v>
      </c>
      <c r="N234" s="61" t="s">
        <v>1731</v>
      </c>
      <c r="O234" s="60" t="s">
        <v>1198</v>
      </c>
      <c r="P234" s="59"/>
      <c r="Q234" s="69" t="s">
        <v>1959</v>
      </c>
    </row>
    <row r="235" ht="22.5" customHeight="1">
      <c r="A235" s="60" t="s">
        <v>637</v>
      </c>
      <c r="B235" s="60" t="s">
        <v>2003</v>
      </c>
      <c r="C235" s="59"/>
      <c r="D235" s="61" t="s">
        <v>34</v>
      </c>
      <c r="E235" s="61" t="s">
        <v>40</v>
      </c>
      <c r="F235" s="59" t="s">
        <v>18</v>
      </c>
      <c r="G235" s="61" t="s">
        <v>640</v>
      </c>
      <c r="H235" s="59" t="s">
        <v>20</v>
      </c>
      <c r="I235" s="61" t="s">
        <v>640</v>
      </c>
      <c r="J235" s="63" t="s">
        <v>21</v>
      </c>
      <c r="K235" s="61" t="s">
        <v>640</v>
      </c>
      <c r="L235" s="63" t="s">
        <v>22</v>
      </c>
      <c r="M235" s="61" t="s">
        <v>31</v>
      </c>
      <c r="N235" s="61" t="s">
        <v>1731</v>
      </c>
      <c r="O235" s="60" t="s">
        <v>696</v>
      </c>
      <c r="P235" s="59"/>
      <c r="Q235" s="69" t="s">
        <v>1959</v>
      </c>
    </row>
    <row r="236" ht="22.5" customHeight="1">
      <c r="A236" s="60" t="s">
        <v>637</v>
      </c>
      <c r="B236" s="60" t="s">
        <v>2004</v>
      </c>
      <c r="C236" s="59"/>
      <c r="D236" s="61" t="s">
        <v>34</v>
      </c>
      <c r="E236" s="61" t="s">
        <v>49</v>
      </c>
      <c r="F236" s="59" t="s">
        <v>18</v>
      </c>
      <c r="G236" s="61" t="s">
        <v>50</v>
      </c>
      <c r="H236" s="59" t="s">
        <v>20</v>
      </c>
      <c r="I236" s="61" t="s">
        <v>50</v>
      </c>
      <c r="J236" s="63" t="s">
        <v>21</v>
      </c>
      <c r="K236" s="61" t="s">
        <v>50</v>
      </c>
      <c r="L236" s="63" t="s">
        <v>22</v>
      </c>
      <c r="M236" s="61" t="s">
        <v>31</v>
      </c>
      <c r="N236" s="61" t="s">
        <v>1731</v>
      </c>
      <c r="O236" s="59"/>
      <c r="P236" s="59"/>
      <c r="Q236" s="69" t="s">
        <v>1959</v>
      </c>
    </row>
    <row r="237" ht="22.5" customHeight="1">
      <c r="A237" s="60" t="s">
        <v>637</v>
      </c>
      <c r="B237" s="60" t="s">
        <v>2005</v>
      </c>
      <c r="C237" s="59"/>
      <c r="D237" s="61" t="s">
        <v>16</v>
      </c>
      <c r="E237" s="61" t="s">
        <v>49</v>
      </c>
      <c r="F237" s="59" t="s">
        <v>18</v>
      </c>
      <c r="G237" s="61" t="s">
        <v>50</v>
      </c>
      <c r="H237" s="59" t="s">
        <v>20</v>
      </c>
      <c r="I237" s="61" t="s">
        <v>50</v>
      </c>
      <c r="J237" s="63" t="s">
        <v>21</v>
      </c>
      <c r="K237" s="61" t="s">
        <v>50</v>
      </c>
      <c r="L237" s="63" t="s">
        <v>22</v>
      </c>
      <c r="M237" s="61" t="s">
        <v>50</v>
      </c>
      <c r="N237" s="61" t="s">
        <v>1731</v>
      </c>
      <c r="O237" s="60" t="s">
        <v>2006</v>
      </c>
      <c r="P237" s="59"/>
      <c r="Q237" s="69" t="s">
        <v>1959</v>
      </c>
    </row>
    <row r="238" ht="22.5" customHeight="1">
      <c r="A238" s="60" t="s">
        <v>637</v>
      </c>
      <c r="B238" s="60" t="s">
        <v>2007</v>
      </c>
      <c r="C238" s="59"/>
      <c r="D238" s="61" t="s">
        <v>16</v>
      </c>
      <c r="E238" s="61" t="s">
        <v>17</v>
      </c>
      <c r="F238" s="59" t="s">
        <v>18</v>
      </c>
      <c r="G238" s="61" t="s">
        <v>640</v>
      </c>
      <c r="H238" s="59" t="s">
        <v>20</v>
      </c>
      <c r="I238" s="61" t="s">
        <v>640</v>
      </c>
      <c r="J238" s="63" t="s">
        <v>21</v>
      </c>
      <c r="K238" s="61" t="s">
        <v>640</v>
      </c>
      <c r="L238" s="63" t="s">
        <v>22</v>
      </c>
      <c r="M238" s="61" t="s">
        <v>19</v>
      </c>
      <c r="N238" s="61" t="s">
        <v>1731</v>
      </c>
      <c r="O238" s="59"/>
      <c r="P238" s="59"/>
      <c r="Q238" s="69" t="s">
        <v>1959</v>
      </c>
    </row>
    <row r="239" ht="22.5" customHeight="1">
      <c r="A239" s="60" t="s">
        <v>637</v>
      </c>
      <c r="B239" s="60" t="s">
        <v>2008</v>
      </c>
      <c r="C239" s="59"/>
      <c r="D239" s="61" t="s">
        <v>16</v>
      </c>
      <c r="E239" s="61" t="s">
        <v>17</v>
      </c>
      <c r="F239" s="59" t="s">
        <v>18</v>
      </c>
      <c r="G239" s="61" t="s">
        <v>640</v>
      </c>
      <c r="H239" s="59" t="s">
        <v>20</v>
      </c>
      <c r="I239" s="61" t="s">
        <v>640</v>
      </c>
      <c r="J239" s="63" t="s">
        <v>21</v>
      </c>
      <c r="K239" s="61" t="s">
        <v>640</v>
      </c>
      <c r="L239" s="63" t="s">
        <v>22</v>
      </c>
      <c r="M239" s="61" t="s">
        <v>19</v>
      </c>
      <c r="N239" s="61" t="s">
        <v>1731</v>
      </c>
      <c r="O239" s="59"/>
      <c r="P239" s="59"/>
      <c r="Q239" s="69" t="s">
        <v>1959</v>
      </c>
    </row>
    <row r="240" ht="22.5" customHeight="1">
      <c r="A240" s="60" t="s">
        <v>637</v>
      </c>
      <c r="B240" s="60" t="s">
        <v>2009</v>
      </c>
      <c r="C240" s="59"/>
      <c r="D240" s="61" t="s">
        <v>16</v>
      </c>
      <c r="E240" s="61" t="s">
        <v>17</v>
      </c>
      <c r="F240" s="59" t="s">
        <v>18</v>
      </c>
      <c r="G240" s="61" t="s">
        <v>640</v>
      </c>
      <c r="H240" s="59" t="s">
        <v>20</v>
      </c>
      <c r="I240" s="61" t="s">
        <v>640</v>
      </c>
      <c r="J240" s="63" t="s">
        <v>21</v>
      </c>
      <c r="K240" s="61" t="s">
        <v>640</v>
      </c>
      <c r="L240" s="63" t="s">
        <v>22</v>
      </c>
      <c r="M240" s="61" t="s">
        <v>19</v>
      </c>
      <c r="N240" s="61" t="s">
        <v>1731</v>
      </c>
      <c r="O240" s="59"/>
      <c r="P240" s="59"/>
      <c r="Q240" s="69" t="s">
        <v>1959</v>
      </c>
    </row>
    <row r="241" ht="22.5" customHeight="1">
      <c r="A241" s="60" t="s">
        <v>637</v>
      </c>
      <c r="B241" s="60" t="s">
        <v>2010</v>
      </c>
      <c r="C241" s="59"/>
      <c r="D241" s="61" t="s">
        <v>16</v>
      </c>
      <c r="E241" s="61" t="s">
        <v>49</v>
      </c>
      <c r="F241" s="59" t="s">
        <v>18</v>
      </c>
      <c r="G241" s="61" t="s">
        <v>50</v>
      </c>
      <c r="H241" s="59" t="s">
        <v>20</v>
      </c>
      <c r="I241" s="61" t="s">
        <v>50</v>
      </c>
      <c r="J241" s="63" t="s">
        <v>21</v>
      </c>
      <c r="K241" s="61" t="s">
        <v>50</v>
      </c>
      <c r="L241" s="63" t="s">
        <v>22</v>
      </c>
      <c r="M241" s="61" t="s">
        <v>50</v>
      </c>
      <c r="N241" s="61" t="s">
        <v>1731</v>
      </c>
      <c r="O241" s="60" t="s">
        <v>372</v>
      </c>
      <c r="P241" s="59"/>
      <c r="Q241" s="69" t="s">
        <v>1959</v>
      </c>
    </row>
    <row r="242" ht="22.5" customHeight="1">
      <c r="A242" s="60" t="s">
        <v>637</v>
      </c>
      <c r="B242" s="60" t="s">
        <v>2011</v>
      </c>
      <c r="C242" s="59"/>
      <c r="D242" s="61" t="s">
        <v>16</v>
      </c>
      <c r="E242" s="61" t="s">
        <v>49</v>
      </c>
      <c r="F242" s="59" t="s">
        <v>18</v>
      </c>
      <c r="G242" s="61" t="s">
        <v>50</v>
      </c>
      <c r="H242" s="59" t="s">
        <v>20</v>
      </c>
      <c r="I242" s="61" t="s">
        <v>50</v>
      </c>
      <c r="J242" s="63" t="s">
        <v>21</v>
      </c>
      <c r="K242" s="61" t="s">
        <v>50</v>
      </c>
      <c r="L242" s="63" t="s">
        <v>22</v>
      </c>
      <c r="M242" s="61" t="s">
        <v>50</v>
      </c>
      <c r="N242" s="61" t="s">
        <v>1731</v>
      </c>
      <c r="O242" s="60" t="s">
        <v>372</v>
      </c>
      <c r="P242" s="59"/>
      <c r="Q242" s="69" t="s">
        <v>1959</v>
      </c>
    </row>
    <row r="243" ht="22.5" customHeight="1">
      <c r="A243" s="60" t="s">
        <v>637</v>
      </c>
      <c r="B243" s="60" t="s">
        <v>2012</v>
      </c>
      <c r="C243" s="59"/>
      <c r="D243" s="61" t="s">
        <v>16</v>
      </c>
      <c r="E243" s="61" t="s">
        <v>17</v>
      </c>
      <c r="F243" s="59" t="s">
        <v>18</v>
      </c>
      <c r="G243" s="61" t="s">
        <v>640</v>
      </c>
      <c r="H243" s="59" t="s">
        <v>20</v>
      </c>
      <c r="I243" s="61" t="s">
        <v>640</v>
      </c>
      <c r="J243" s="63" t="s">
        <v>21</v>
      </c>
      <c r="K243" s="61" t="s">
        <v>640</v>
      </c>
      <c r="L243" s="63" t="s">
        <v>22</v>
      </c>
      <c r="M243" s="61" t="s">
        <v>640</v>
      </c>
      <c r="N243" s="61" t="s">
        <v>1731</v>
      </c>
      <c r="O243" s="59"/>
      <c r="P243" s="59"/>
      <c r="Q243" s="69" t="s">
        <v>1959</v>
      </c>
    </row>
    <row r="244" ht="22.5" customHeight="1">
      <c r="A244" s="60" t="s">
        <v>637</v>
      </c>
      <c r="B244" s="60" t="s">
        <v>2013</v>
      </c>
      <c r="C244" s="59"/>
      <c r="D244" s="61" t="s">
        <v>16</v>
      </c>
      <c r="E244" s="61" t="s">
        <v>17</v>
      </c>
      <c r="F244" s="59" t="s">
        <v>18</v>
      </c>
      <c r="G244" s="61" t="s">
        <v>640</v>
      </c>
      <c r="H244" s="59" t="s">
        <v>20</v>
      </c>
      <c r="I244" s="61" t="s">
        <v>640</v>
      </c>
      <c r="J244" s="63" t="s">
        <v>21</v>
      </c>
      <c r="K244" s="61" t="s">
        <v>640</v>
      </c>
      <c r="L244" s="63" t="s">
        <v>22</v>
      </c>
      <c r="M244" s="61" t="s">
        <v>640</v>
      </c>
      <c r="N244" s="61" t="s">
        <v>1731</v>
      </c>
      <c r="O244" s="59"/>
      <c r="P244" s="59"/>
      <c r="Q244" s="69" t="s">
        <v>1959</v>
      </c>
    </row>
    <row r="245" ht="22.5" customHeight="1">
      <c r="A245" s="60" t="s">
        <v>637</v>
      </c>
      <c r="B245" s="60" t="s">
        <v>2014</v>
      </c>
      <c r="C245" s="59"/>
      <c r="D245" s="61" t="s">
        <v>16</v>
      </c>
      <c r="E245" s="61" t="s">
        <v>17</v>
      </c>
      <c r="F245" s="59" t="s">
        <v>18</v>
      </c>
      <c r="G245" s="61" t="s">
        <v>640</v>
      </c>
      <c r="H245" s="59" t="s">
        <v>20</v>
      </c>
      <c r="I245" s="61" t="s">
        <v>640</v>
      </c>
      <c r="J245" s="63" t="s">
        <v>21</v>
      </c>
      <c r="K245" s="61" t="s">
        <v>640</v>
      </c>
      <c r="L245" s="63" t="s">
        <v>22</v>
      </c>
      <c r="M245" s="61" t="s">
        <v>19</v>
      </c>
      <c r="N245" s="61" t="s">
        <v>1731</v>
      </c>
      <c r="O245" s="59"/>
      <c r="P245" s="59"/>
      <c r="Q245" s="69" t="s">
        <v>1959</v>
      </c>
    </row>
    <row r="246" ht="22.5" customHeight="1">
      <c r="A246" s="60" t="s">
        <v>637</v>
      </c>
      <c r="B246" s="60" t="s">
        <v>2015</v>
      </c>
      <c r="C246" s="59"/>
      <c r="D246" s="61" t="s">
        <v>16</v>
      </c>
      <c r="E246" s="61" t="s">
        <v>17</v>
      </c>
      <c r="F246" s="59" t="s">
        <v>18</v>
      </c>
      <c r="G246" s="61" t="s">
        <v>640</v>
      </c>
      <c r="H246" s="59" t="s">
        <v>20</v>
      </c>
      <c r="I246" s="61" t="s">
        <v>640</v>
      </c>
      <c r="J246" s="63" t="s">
        <v>21</v>
      </c>
      <c r="K246" s="61" t="s">
        <v>640</v>
      </c>
      <c r="L246" s="63" t="s">
        <v>22</v>
      </c>
      <c r="M246" s="61" t="s">
        <v>19</v>
      </c>
      <c r="N246" s="61" t="s">
        <v>1731</v>
      </c>
      <c r="O246" s="59"/>
      <c r="P246" s="59"/>
      <c r="Q246" s="69" t="s">
        <v>1959</v>
      </c>
    </row>
    <row r="247" ht="22.5" customHeight="1">
      <c r="A247" s="60" t="s">
        <v>637</v>
      </c>
      <c r="B247" s="64" t="s">
        <v>2016</v>
      </c>
      <c r="C247" s="59"/>
      <c r="D247" s="61" t="s">
        <v>34</v>
      </c>
      <c r="E247" s="61" t="s">
        <v>49</v>
      </c>
      <c r="F247" s="59" t="s">
        <v>18</v>
      </c>
      <c r="G247" s="61" t="s">
        <v>50</v>
      </c>
      <c r="H247" s="59" t="s">
        <v>20</v>
      </c>
      <c r="I247" s="61" t="s">
        <v>50</v>
      </c>
      <c r="J247" s="63" t="s">
        <v>21</v>
      </c>
      <c r="K247" s="61" t="s">
        <v>50</v>
      </c>
      <c r="L247" s="63" t="s">
        <v>22</v>
      </c>
      <c r="M247" s="61" t="s">
        <v>31</v>
      </c>
      <c r="N247" s="61" t="s">
        <v>1731</v>
      </c>
      <c r="O247" s="60" t="s">
        <v>372</v>
      </c>
      <c r="P247" s="59"/>
      <c r="Q247" s="69" t="s">
        <v>1959</v>
      </c>
    </row>
    <row r="248" ht="22.5" customHeight="1">
      <c r="A248" s="60" t="s">
        <v>637</v>
      </c>
      <c r="B248" s="60" t="s">
        <v>2017</v>
      </c>
      <c r="C248" s="59"/>
      <c r="D248" s="61" t="s">
        <v>16</v>
      </c>
      <c r="E248" s="61" t="s">
        <v>17</v>
      </c>
      <c r="F248" s="59" t="s">
        <v>18</v>
      </c>
      <c r="G248" s="61" t="s">
        <v>640</v>
      </c>
      <c r="H248" s="59" t="s">
        <v>20</v>
      </c>
      <c r="I248" s="61" t="s">
        <v>640</v>
      </c>
      <c r="J248" s="63" t="s">
        <v>21</v>
      </c>
      <c r="K248" s="61" t="s">
        <v>640</v>
      </c>
      <c r="L248" s="63" t="s">
        <v>22</v>
      </c>
      <c r="M248" s="61" t="s">
        <v>19</v>
      </c>
      <c r="N248" s="61" t="s">
        <v>1731</v>
      </c>
      <c r="O248" s="59"/>
      <c r="P248" s="59"/>
      <c r="Q248" s="69" t="s">
        <v>1959</v>
      </c>
    </row>
    <row r="249" ht="22.5" customHeight="1">
      <c r="A249" s="60" t="s">
        <v>637</v>
      </c>
      <c r="B249" s="60" t="s">
        <v>2018</v>
      </c>
      <c r="C249" s="59"/>
      <c r="D249" s="61" t="s">
        <v>16</v>
      </c>
      <c r="E249" s="61" t="s">
        <v>17</v>
      </c>
      <c r="F249" s="59" t="s">
        <v>18</v>
      </c>
      <c r="G249" s="61" t="s">
        <v>640</v>
      </c>
      <c r="H249" s="59" t="s">
        <v>20</v>
      </c>
      <c r="I249" s="61" t="s">
        <v>640</v>
      </c>
      <c r="J249" s="63" t="s">
        <v>21</v>
      </c>
      <c r="K249" s="61" t="s">
        <v>640</v>
      </c>
      <c r="L249" s="63" t="s">
        <v>22</v>
      </c>
      <c r="M249" s="61" t="s">
        <v>19</v>
      </c>
      <c r="N249" s="61" t="s">
        <v>1731</v>
      </c>
      <c r="O249" s="59"/>
      <c r="P249" s="59"/>
      <c r="Q249" s="69" t="s">
        <v>1959</v>
      </c>
    </row>
    <row r="250" ht="22.5" customHeight="1">
      <c r="A250" s="60" t="s">
        <v>637</v>
      </c>
      <c r="B250" s="60" t="s">
        <v>2019</v>
      </c>
      <c r="C250" s="59"/>
      <c r="D250" s="61" t="s">
        <v>16</v>
      </c>
      <c r="E250" s="61" t="s">
        <v>17</v>
      </c>
      <c r="F250" s="59" t="s">
        <v>18</v>
      </c>
      <c r="G250" s="61" t="s">
        <v>640</v>
      </c>
      <c r="H250" s="59" t="s">
        <v>20</v>
      </c>
      <c r="I250" s="61" t="s">
        <v>640</v>
      </c>
      <c r="J250" s="63" t="s">
        <v>21</v>
      </c>
      <c r="K250" s="61" t="s">
        <v>640</v>
      </c>
      <c r="L250" s="63" t="s">
        <v>22</v>
      </c>
      <c r="M250" s="61" t="s">
        <v>19</v>
      </c>
      <c r="N250" s="61" t="s">
        <v>1731</v>
      </c>
      <c r="O250" s="59"/>
      <c r="P250" s="59"/>
      <c r="Q250" s="69" t="s">
        <v>1959</v>
      </c>
    </row>
    <row r="251" ht="22.5" customHeight="1">
      <c r="A251" s="60" t="s">
        <v>637</v>
      </c>
      <c r="B251" s="60" t="s">
        <v>2020</v>
      </c>
      <c r="C251" s="59"/>
      <c r="D251" s="61" t="s">
        <v>34</v>
      </c>
      <c r="E251" s="61" t="s">
        <v>40</v>
      </c>
      <c r="F251" s="59" t="s">
        <v>18</v>
      </c>
      <c r="G251" s="61" t="s">
        <v>640</v>
      </c>
      <c r="H251" s="59" t="s">
        <v>20</v>
      </c>
      <c r="I251" s="61" t="s">
        <v>640</v>
      </c>
      <c r="J251" s="63" t="s">
        <v>21</v>
      </c>
      <c r="K251" s="61" t="s">
        <v>640</v>
      </c>
      <c r="L251" s="63" t="s">
        <v>22</v>
      </c>
      <c r="M251" s="61" t="s">
        <v>31</v>
      </c>
      <c r="N251" s="61" t="s">
        <v>1731</v>
      </c>
      <c r="O251" s="60" t="s">
        <v>696</v>
      </c>
      <c r="P251" s="59"/>
      <c r="Q251" s="69" t="s">
        <v>1959</v>
      </c>
    </row>
    <row r="252" ht="22.5" customHeight="1">
      <c r="A252" s="60" t="s">
        <v>637</v>
      </c>
      <c r="B252" s="60" t="s">
        <v>2021</v>
      </c>
      <c r="C252" s="59"/>
      <c r="D252" s="61" t="s">
        <v>34</v>
      </c>
      <c r="E252" s="61" t="s">
        <v>49</v>
      </c>
      <c r="F252" s="59" t="s">
        <v>18</v>
      </c>
      <c r="G252" s="61" t="s">
        <v>31</v>
      </c>
      <c r="H252" s="59" t="s">
        <v>20</v>
      </c>
      <c r="I252" s="61" t="s">
        <v>50</v>
      </c>
      <c r="J252" s="63" t="s">
        <v>21</v>
      </c>
      <c r="K252" s="61" t="s">
        <v>50</v>
      </c>
      <c r="L252" s="63" t="s">
        <v>22</v>
      </c>
      <c r="M252" s="61" t="s">
        <v>50</v>
      </c>
      <c r="N252" s="61" t="s">
        <v>1731</v>
      </c>
      <c r="O252" s="60" t="s">
        <v>696</v>
      </c>
      <c r="P252" s="59"/>
      <c r="Q252" s="69" t="s">
        <v>2022</v>
      </c>
    </row>
    <row r="253" ht="22.5" customHeight="1">
      <c r="A253" s="60" t="s">
        <v>637</v>
      </c>
      <c r="B253" s="60" t="s">
        <v>2023</v>
      </c>
      <c r="C253" s="59"/>
      <c r="D253" s="61" t="s">
        <v>16</v>
      </c>
      <c r="E253" s="61" t="s">
        <v>17</v>
      </c>
      <c r="F253" s="59" t="s">
        <v>18</v>
      </c>
      <c r="G253" s="61" t="s">
        <v>19</v>
      </c>
      <c r="H253" s="59" t="s">
        <v>20</v>
      </c>
      <c r="I253" s="61" t="s">
        <v>640</v>
      </c>
      <c r="J253" s="63" t="s">
        <v>21</v>
      </c>
      <c r="K253" s="61" t="s">
        <v>640</v>
      </c>
      <c r="L253" s="63" t="s">
        <v>22</v>
      </c>
      <c r="M253" s="61" t="s">
        <v>640</v>
      </c>
      <c r="N253" s="61" t="s">
        <v>1731</v>
      </c>
      <c r="O253" s="59"/>
      <c r="P253" s="59"/>
      <c r="Q253" s="69" t="s">
        <v>2022</v>
      </c>
    </row>
    <row r="254" ht="22.5" customHeight="1">
      <c r="A254" s="60" t="s">
        <v>637</v>
      </c>
      <c r="B254" s="60" t="s">
        <v>2024</v>
      </c>
      <c r="C254" s="59"/>
      <c r="D254" s="61" t="s">
        <v>16</v>
      </c>
      <c r="E254" s="61" t="s">
        <v>17</v>
      </c>
      <c r="F254" s="59" t="s">
        <v>18</v>
      </c>
      <c r="G254" s="61" t="s">
        <v>19</v>
      </c>
      <c r="H254" s="59" t="s">
        <v>20</v>
      </c>
      <c r="I254" s="61" t="s">
        <v>640</v>
      </c>
      <c r="J254" s="63" t="s">
        <v>21</v>
      </c>
      <c r="K254" s="61" t="s">
        <v>640</v>
      </c>
      <c r="L254" s="63" t="s">
        <v>22</v>
      </c>
      <c r="M254" s="61" t="s">
        <v>640</v>
      </c>
      <c r="N254" s="61" t="s">
        <v>1731</v>
      </c>
      <c r="O254" s="59"/>
      <c r="P254" s="59"/>
      <c r="Q254" s="69" t="s">
        <v>2022</v>
      </c>
    </row>
    <row r="255" ht="22.5" customHeight="1">
      <c r="A255" s="60" t="s">
        <v>637</v>
      </c>
      <c r="B255" s="60" t="s">
        <v>2025</v>
      </c>
      <c r="C255" s="59"/>
      <c r="D255" s="61" t="s">
        <v>16</v>
      </c>
      <c r="E255" s="61" t="s">
        <v>17</v>
      </c>
      <c r="F255" s="59" t="s">
        <v>18</v>
      </c>
      <c r="G255" s="61" t="s">
        <v>19</v>
      </c>
      <c r="H255" s="59" t="s">
        <v>20</v>
      </c>
      <c r="I255" s="61" t="s">
        <v>640</v>
      </c>
      <c r="J255" s="63" t="s">
        <v>21</v>
      </c>
      <c r="K255" s="61" t="s">
        <v>640</v>
      </c>
      <c r="L255" s="63" t="s">
        <v>22</v>
      </c>
      <c r="M255" s="61" t="s">
        <v>640</v>
      </c>
      <c r="N255" s="61" t="s">
        <v>1731</v>
      </c>
      <c r="O255" s="59"/>
      <c r="P255" s="59"/>
      <c r="Q255" s="69" t="s">
        <v>2022</v>
      </c>
    </row>
    <row r="256" ht="22.5" customHeight="1">
      <c r="A256" s="60" t="s">
        <v>637</v>
      </c>
      <c r="B256" s="60" t="s">
        <v>2026</v>
      </c>
      <c r="C256" s="59"/>
      <c r="D256" s="61" t="s">
        <v>34</v>
      </c>
      <c r="E256" s="61" t="s">
        <v>49</v>
      </c>
      <c r="F256" s="59" t="s">
        <v>18</v>
      </c>
      <c r="G256" s="61" t="s">
        <v>31</v>
      </c>
      <c r="H256" s="59" t="s">
        <v>20</v>
      </c>
      <c r="I256" s="61" t="s">
        <v>50</v>
      </c>
      <c r="J256" s="63" t="s">
        <v>21</v>
      </c>
      <c r="K256" s="61" t="s">
        <v>50</v>
      </c>
      <c r="L256" s="63" t="s">
        <v>22</v>
      </c>
      <c r="M256" s="61" t="s">
        <v>50</v>
      </c>
      <c r="N256" s="61" t="s">
        <v>1731</v>
      </c>
      <c r="O256" s="60" t="s">
        <v>372</v>
      </c>
      <c r="P256" s="59"/>
      <c r="Q256" s="69" t="s">
        <v>2022</v>
      </c>
    </row>
    <row r="257" ht="22.5" customHeight="1">
      <c r="A257" s="60" t="s">
        <v>637</v>
      </c>
      <c r="B257" s="86" t="s">
        <v>2027</v>
      </c>
      <c r="C257" s="59"/>
      <c r="D257" s="61" t="s">
        <v>34</v>
      </c>
      <c r="E257" s="61" t="s">
        <v>409</v>
      </c>
      <c r="F257" s="59" t="s">
        <v>18</v>
      </c>
      <c r="G257" s="61" t="s">
        <v>31</v>
      </c>
      <c r="H257" s="59" t="s">
        <v>20</v>
      </c>
      <c r="I257" s="61" t="s">
        <v>640</v>
      </c>
      <c r="J257" s="63" t="s">
        <v>21</v>
      </c>
      <c r="K257" s="61" t="s">
        <v>640</v>
      </c>
      <c r="L257" s="63" t="s">
        <v>22</v>
      </c>
      <c r="M257" s="61" t="s">
        <v>640</v>
      </c>
      <c r="N257" s="61" t="s">
        <v>1731</v>
      </c>
      <c r="O257" s="60" t="s">
        <v>2028</v>
      </c>
      <c r="P257" s="59"/>
      <c r="Q257" s="69" t="s">
        <v>2022</v>
      </c>
    </row>
    <row r="258" ht="22.5" customHeight="1">
      <c r="A258" s="60" t="s">
        <v>637</v>
      </c>
      <c r="B258" s="64" t="s">
        <v>2029</v>
      </c>
      <c r="C258" s="59"/>
      <c r="D258" s="62"/>
      <c r="E258" s="62"/>
      <c r="F258" s="59" t="s">
        <v>18</v>
      </c>
      <c r="G258" s="61" t="s">
        <v>640</v>
      </c>
      <c r="H258" s="59" t="s">
        <v>20</v>
      </c>
      <c r="I258" s="61" t="s">
        <v>640</v>
      </c>
      <c r="J258" s="63" t="s">
        <v>21</v>
      </c>
      <c r="K258" s="61" t="s">
        <v>640</v>
      </c>
      <c r="L258" s="63" t="s">
        <v>22</v>
      </c>
      <c r="M258" s="61" t="s">
        <v>640</v>
      </c>
      <c r="N258" s="61" t="s">
        <v>1731</v>
      </c>
      <c r="O258" s="59"/>
      <c r="P258" s="59"/>
      <c r="Q258" s="69" t="s">
        <v>2022</v>
      </c>
    </row>
    <row r="259" ht="22.5" customHeight="1">
      <c r="A259" s="60" t="s">
        <v>637</v>
      </c>
      <c r="B259" s="59"/>
      <c r="C259" s="59"/>
      <c r="D259" s="62"/>
      <c r="E259" s="62"/>
      <c r="F259" s="59" t="s">
        <v>18</v>
      </c>
      <c r="G259" s="61" t="s">
        <v>640</v>
      </c>
      <c r="H259" s="59" t="s">
        <v>20</v>
      </c>
      <c r="I259" s="61" t="s">
        <v>640</v>
      </c>
      <c r="J259" s="63" t="s">
        <v>21</v>
      </c>
      <c r="K259" s="61" t="s">
        <v>640</v>
      </c>
      <c r="L259" s="63" t="s">
        <v>22</v>
      </c>
      <c r="M259" s="61" t="s">
        <v>640</v>
      </c>
      <c r="N259" s="61" t="s">
        <v>1731</v>
      </c>
      <c r="O259" s="59"/>
      <c r="P259" s="59"/>
      <c r="Q259" s="69" t="s">
        <v>2022</v>
      </c>
    </row>
    <row r="260" ht="22.5" customHeight="1">
      <c r="A260" s="60" t="s">
        <v>637</v>
      </c>
      <c r="B260" s="59"/>
      <c r="C260" s="59"/>
      <c r="D260" s="62"/>
      <c r="E260" s="62"/>
      <c r="F260" s="59" t="s">
        <v>18</v>
      </c>
      <c r="G260" s="61" t="s">
        <v>640</v>
      </c>
      <c r="H260" s="59" t="s">
        <v>20</v>
      </c>
      <c r="I260" s="61" t="s">
        <v>640</v>
      </c>
      <c r="J260" s="63" t="s">
        <v>21</v>
      </c>
      <c r="K260" s="61" t="s">
        <v>640</v>
      </c>
      <c r="L260" s="63" t="s">
        <v>22</v>
      </c>
      <c r="M260" s="61" t="s">
        <v>640</v>
      </c>
      <c r="N260" s="61" t="s">
        <v>1731</v>
      </c>
      <c r="O260" s="59"/>
      <c r="P260" s="59"/>
      <c r="Q260" s="59"/>
    </row>
    <row r="261" ht="22.5" customHeight="1">
      <c r="A261" s="60" t="s">
        <v>637</v>
      </c>
      <c r="B261" s="60">
        <f>58/800</f>
        <v>0.0725</v>
      </c>
      <c r="C261" s="59"/>
      <c r="D261" s="62"/>
      <c r="E261" s="62"/>
      <c r="F261" s="59" t="s">
        <v>18</v>
      </c>
      <c r="G261" s="61" t="s">
        <v>640</v>
      </c>
      <c r="H261" s="59" t="s">
        <v>20</v>
      </c>
      <c r="I261" s="61" t="s">
        <v>640</v>
      </c>
      <c r="J261" s="63" t="s">
        <v>21</v>
      </c>
      <c r="K261" s="61" t="s">
        <v>640</v>
      </c>
      <c r="L261" s="63" t="s">
        <v>22</v>
      </c>
      <c r="M261" s="61" t="s">
        <v>640</v>
      </c>
      <c r="N261" s="61" t="s">
        <v>1731</v>
      </c>
      <c r="O261" s="59"/>
      <c r="P261" s="59"/>
      <c r="Q261" s="59"/>
    </row>
    <row r="262" ht="22.5" customHeight="1">
      <c r="A262" s="60" t="s">
        <v>637</v>
      </c>
      <c r="B262" s="59">
        <f>B261*100</f>
        <v>7.25</v>
      </c>
      <c r="C262" s="59"/>
      <c r="D262" s="62"/>
      <c r="E262" s="62"/>
      <c r="F262" s="59" t="s">
        <v>18</v>
      </c>
      <c r="G262" s="61" t="s">
        <v>640</v>
      </c>
      <c r="H262" s="59" t="s">
        <v>20</v>
      </c>
      <c r="I262" s="61" t="s">
        <v>640</v>
      </c>
      <c r="J262" s="63" t="s">
        <v>21</v>
      </c>
      <c r="K262" s="61" t="s">
        <v>640</v>
      </c>
      <c r="L262" s="63" t="s">
        <v>22</v>
      </c>
      <c r="M262" s="61" t="s">
        <v>640</v>
      </c>
      <c r="N262" s="61" t="s">
        <v>1731</v>
      </c>
      <c r="O262" s="59"/>
      <c r="P262" s="59"/>
      <c r="Q262" s="59"/>
    </row>
    <row r="263" ht="22.5" customHeight="1">
      <c r="A263" s="60" t="s">
        <v>637</v>
      </c>
      <c r="B263" s="59"/>
      <c r="C263" s="59"/>
      <c r="D263" s="62"/>
      <c r="E263" s="62"/>
      <c r="F263" s="59" t="s">
        <v>18</v>
      </c>
      <c r="G263" s="61" t="s">
        <v>640</v>
      </c>
      <c r="H263" s="59" t="s">
        <v>20</v>
      </c>
      <c r="I263" s="61" t="s">
        <v>640</v>
      </c>
      <c r="J263" s="63" t="s">
        <v>21</v>
      </c>
      <c r="K263" s="61" t="s">
        <v>640</v>
      </c>
      <c r="L263" s="63" t="s">
        <v>22</v>
      </c>
      <c r="M263" s="61" t="s">
        <v>640</v>
      </c>
      <c r="N263" s="61" t="s">
        <v>1731</v>
      </c>
      <c r="O263" s="59"/>
      <c r="P263" s="59"/>
      <c r="Q263" s="59"/>
    </row>
    <row r="264" ht="22.5" customHeight="1">
      <c r="A264" s="60" t="s">
        <v>637</v>
      </c>
      <c r="B264" s="59"/>
      <c r="C264" s="59"/>
      <c r="D264" s="62"/>
      <c r="E264" s="62"/>
      <c r="F264" s="59" t="s">
        <v>18</v>
      </c>
      <c r="G264" s="61" t="s">
        <v>640</v>
      </c>
      <c r="H264" s="59" t="s">
        <v>20</v>
      </c>
      <c r="I264" s="61" t="s">
        <v>640</v>
      </c>
      <c r="J264" s="63" t="s">
        <v>21</v>
      </c>
      <c r="K264" s="61" t="s">
        <v>640</v>
      </c>
      <c r="L264" s="63" t="s">
        <v>22</v>
      </c>
      <c r="M264" s="61" t="s">
        <v>640</v>
      </c>
      <c r="N264" s="61" t="s">
        <v>1731</v>
      </c>
      <c r="O264" s="59"/>
      <c r="P264" s="59"/>
      <c r="Q264" s="59"/>
    </row>
    <row r="265" ht="22.5" customHeight="1">
      <c r="A265" s="60" t="s">
        <v>637</v>
      </c>
      <c r="B265" s="59"/>
      <c r="C265" s="59"/>
      <c r="D265" s="62"/>
      <c r="E265" s="62"/>
      <c r="F265" s="59" t="s">
        <v>18</v>
      </c>
      <c r="G265" s="61" t="s">
        <v>640</v>
      </c>
      <c r="H265" s="59" t="s">
        <v>20</v>
      </c>
      <c r="I265" s="61" t="s">
        <v>640</v>
      </c>
      <c r="J265" s="63" t="s">
        <v>21</v>
      </c>
      <c r="K265" s="61" t="s">
        <v>640</v>
      </c>
      <c r="L265" s="63" t="s">
        <v>22</v>
      </c>
      <c r="M265" s="61" t="s">
        <v>640</v>
      </c>
      <c r="N265" s="61" t="s">
        <v>1731</v>
      </c>
      <c r="O265" s="59"/>
      <c r="P265" s="59"/>
      <c r="Q265" s="59"/>
    </row>
    <row r="266" ht="22.5" customHeight="1">
      <c r="A266" s="60" t="s">
        <v>637</v>
      </c>
      <c r="B266" s="59"/>
      <c r="C266" s="59"/>
      <c r="D266" s="62"/>
      <c r="E266" s="62"/>
      <c r="F266" s="59" t="s">
        <v>18</v>
      </c>
      <c r="G266" s="61" t="s">
        <v>640</v>
      </c>
      <c r="H266" s="59" t="s">
        <v>20</v>
      </c>
      <c r="I266" s="61" t="s">
        <v>640</v>
      </c>
      <c r="J266" s="63" t="s">
        <v>21</v>
      </c>
      <c r="K266" s="61" t="s">
        <v>640</v>
      </c>
      <c r="L266" s="63" t="s">
        <v>22</v>
      </c>
      <c r="M266" s="61" t="s">
        <v>640</v>
      </c>
      <c r="N266" s="61" t="s">
        <v>1731</v>
      </c>
      <c r="O266" s="59"/>
      <c r="P266" s="59"/>
      <c r="Q266" s="59"/>
    </row>
    <row r="267" ht="22.5" customHeight="1">
      <c r="A267" s="60" t="s">
        <v>637</v>
      </c>
      <c r="B267" s="59"/>
      <c r="C267" s="59"/>
      <c r="D267" s="62"/>
      <c r="E267" s="62"/>
      <c r="F267" s="59" t="s">
        <v>18</v>
      </c>
      <c r="G267" s="61" t="s">
        <v>640</v>
      </c>
      <c r="H267" s="59" t="s">
        <v>20</v>
      </c>
      <c r="I267" s="61" t="s">
        <v>640</v>
      </c>
      <c r="J267" s="63" t="s">
        <v>21</v>
      </c>
      <c r="K267" s="61" t="s">
        <v>640</v>
      </c>
      <c r="L267" s="63" t="s">
        <v>22</v>
      </c>
      <c r="M267" s="61" t="s">
        <v>640</v>
      </c>
      <c r="N267" s="61" t="s">
        <v>1731</v>
      </c>
      <c r="O267" s="59"/>
      <c r="P267" s="59"/>
      <c r="Q267" s="59"/>
    </row>
    <row r="268" ht="22.5" customHeight="1">
      <c r="A268" s="60" t="s">
        <v>637</v>
      </c>
      <c r="B268" s="59"/>
      <c r="C268" s="59"/>
      <c r="D268" s="62"/>
      <c r="E268" s="62"/>
      <c r="F268" s="59" t="s">
        <v>18</v>
      </c>
      <c r="G268" s="61" t="s">
        <v>640</v>
      </c>
      <c r="H268" s="59" t="s">
        <v>20</v>
      </c>
      <c r="I268" s="61" t="s">
        <v>640</v>
      </c>
      <c r="J268" s="63" t="s">
        <v>21</v>
      </c>
      <c r="K268" s="61" t="s">
        <v>640</v>
      </c>
      <c r="L268" s="63" t="s">
        <v>22</v>
      </c>
      <c r="M268" s="61" t="s">
        <v>640</v>
      </c>
      <c r="N268" s="61" t="s">
        <v>1731</v>
      </c>
      <c r="O268" s="59"/>
      <c r="P268" s="59"/>
      <c r="Q268" s="59"/>
    </row>
    <row r="269" ht="22.5" customHeight="1">
      <c r="A269" s="60" t="s">
        <v>637</v>
      </c>
      <c r="B269" s="59"/>
      <c r="C269" s="59"/>
      <c r="D269" s="62"/>
      <c r="E269" s="62"/>
      <c r="F269" s="59" t="s">
        <v>18</v>
      </c>
      <c r="G269" s="61" t="s">
        <v>640</v>
      </c>
      <c r="H269" s="59" t="s">
        <v>20</v>
      </c>
      <c r="I269" s="61" t="s">
        <v>640</v>
      </c>
      <c r="J269" s="63" t="s">
        <v>21</v>
      </c>
      <c r="K269" s="61" t="s">
        <v>640</v>
      </c>
      <c r="L269" s="63" t="s">
        <v>22</v>
      </c>
      <c r="M269" s="61" t="s">
        <v>640</v>
      </c>
      <c r="N269" s="61" t="s">
        <v>1731</v>
      </c>
      <c r="O269" s="59"/>
      <c r="P269" s="59"/>
      <c r="Q269" s="59"/>
    </row>
    <row r="270" ht="22.5" customHeight="1">
      <c r="A270" s="60" t="s">
        <v>637</v>
      </c>
      <c r="B270" s="59"/>
      <c r="C270" s="59"/>
      <c r="D270" s="62"/>
      <c r="E270" s="62"/>
      <c r="F270" s="59" t="s">
        <v>18</v>
      </c>
      <c r="G270" s="61" t="s">
        <v>640</v>
      </c>
      <c r="H270" s="59" t="s">
        <v>20</v>
      </c>
      <c r="I270" s="61" t="s">
        <v>640</v>
      </c>
      <c r="J270" s="63" t="s">
        <v>21</v>
      </c>
      <c r="K270" s="61" t="s">
        <v>640</v>
      </c>
      <c r="L270" s="63" t="s">
        <v>22</v>
      </c>
      <c r="M270" s="61" t="s">
        <v>640</v>
      </c>
      <c r="N270" s="61" t="s">
        <v>1731</v>
      </c>
      <c r="O270" s="59"/>
      <c r="P270" s="59"/>
      <c r="Q270" s="59"/>
    </row>
    <row r="271" ht="22.5" customHeight="1">
      <c r="A271" s="60" t="s">
        <v>637</v>
      </c>
      <c r="B271" s="59"/>
      <c r="C271" s="59"/>
      <c r="D271" s="62"/>
      <c r="E271" s="62"/>
      <c r="F271" s="59" t="s">
        <v>18</v>
      </c>
      <c r="G271" s="61" t="s">
        <v>640</v>
      </c>
      <c r="H271" s="59" t="s">
        <v>20</v>
      </c>
      <c r="I271" s="61" t="s">
        <v>640</v>
      </c>
      <c r="J271" s="63" t="s">
        <v>21</v>
      </c>
      <c r="K271" s="61" t="s">
        <v>640</v>
      </c>
      <c r="L271" s="63" t="s">
        <v>22</v>
      </c>
      <c r="M271" s="61" t="s">
        <v>640</v>
      </c>
      <c r="N271" s="61" t="s">
        <v>1731</v>
      </c>
      <c r="O271" s="59"/>
      <c r="P271" s="59"/>
      <c r="Q271" s="59"/>
    </row>
    <row r="272" ht="22.5" customHeight="1">
      <c r="A272" s="60" t="s">
        <v>637</v>
      </c>
      <c r="B272" s="59"/>
      <c r="C272" s="59"/>
      <c r="D272" s="62"/>
      <c r="E272" s="62"/>
      <c r="F272" s="59" t="s">
        <v>18</v>
      </c>
      <c r="G272" s="61" t="s">
        <v>640</v>
      </c>
      <c r="H272" s="59" t="s">
        <v>20</v>
      </c>
      <c r="I272" s="61" t="s">
        <v>640</v>
      </c>
      <c r="J272" s="63" t="s">
        <v>21</v>
      </c>
      <c r="K272" s="61" t="s">
        <v>640</v>
      </c>
      <c r="L272" s="63" t="s">
        <v>22</v>
      </c>
      <c r="M272" s="61" t="s">
        <v>640</v>
      </c>
      <c r="N272" s="61" t="s">
        <v>1731</v>
      </c>
      <c r="O272" s="59"/>
      <c r="P272" s="59"/>
      <c r="Q272" s="59"/>
    </row>
    <row r="273" ht="22.5" customHeight="1">
      <c r="A273" s="60" t="s">
        <v>637</v>
      </c>
      <c r="B273" s="59"/>
      <c r="C273" s="59"/>
      <c r="D273" s="62"/>
      <c r="E273" s="62"/>
      <c r="F273" s="59" t="s">
        <v>18</v>
      </c>
      <c r="G273" s="61" t="s">
        <v>640</v>
      </c>
      <c r="H273" s="59" t="s">
        <v>20</v>
      </c>
      <c r="I273" s="61" t="s">
        <v>640</v>
      </c>
      <c r="J273" s="63" t="s">
        <v>21</v>
      </c>
      <c r="K273" s="61" t="s">
        <v>640</v>
      </c>
      <c r="L273" s="63" t="s">
        <v>22</v>
      </c>
      <c r="M273" s="61" t="s">
        <v>640</v>
      </c>
      <c r="N273" s="61" t="s">
        <v>1731</v>
      </c>
      <c r="O273" s="59"/>
      <c r="P273" s="59"/>
      <c r="Q273" s="59"/>
    </row>
    <row r="274" ht="22.5" customHeight="1">
      <c r="A274" s="60" t="s">
        <v>637</v>
      </c>
      <c r="B274" s="59"/>
      <c r="C274" s="59"/>
      <c r="D274" s="62"/>
      <c r="E274" s="62"/>
      <c r="F274" s="59" t="s">
        <v>18</v>
      </c>
      <c r="G274" s="61" t="s">
        <v>640</v>
      </c>
      <c r="H274" s="59" t="s">
        <v>20</v>
      </c>
      <c r="I274" s="61" t="s">
        <v>640</v>
      </c>
      <c r="J274" s="63" t="s">
        <v>21</v>
      </c>
      <c r="K274" s="61" t="s">
        <v>640</v>
      </c>
      <c r="L274" s="63" t="s">
        <v>22</v>
      </c>
      <c r="M274" s="61" t="s">
        <v>640</v>
      </c>
      <c r="N274" s="61" t="s">
        <v>1731</v>
      </c>
      <c r="O274" s="59"/>
      <c r="P274" s="59"/>
      <c r="Q274" s="59"/>
    </row>
    <row r="275" ht="22.5" customHeight="1">
      <c r="A275" s="60" t="s">
        <v>637</v>
      </c>
      <c r="B275" s="59"/>
      <c r="C275" s="59"/>
      <c r="D275" s="62"/>
      <c r="E275" s="62"/>
      <c r="F275" s="59" t="s">
        <v>18</v>
      </c>
      <c r="G275" s="61" t="s">
        <v>640</v>
      </c>
      <c r="H275" s="59" t="s">
        <v>20</v>
      </c>
      <c r="I275" s="61" t="s">
        <v>640</v>
      </c>
      <c r="J275" s="63" t="s">
        <v>21</v>
      </c>
      <c r="K275" s="61" t="s">
        <v>640</v>
      </c>
      <c r="L275" s="63" t="s">
        <v>22</v>
      </c>
      <c r="M275" s="61" t="s">
        <v>640</v>
      </c>
      <c r="N275" s="61" t="s">
        <v>1731</v>
      </c>
      <c r="O275" s="59"/>
      <c r="P275" s="59"/>
      <c r="Q275" s="59"/>
    </row>
    <row r="276" ht="22.5" customHeight="1">
      <c r="A276" s="60" t="s">
        <v>637</v>
      </c>
      <c r="B276" s="59"/>
      <c r="C276" s="59"/>
      <c r="D276" s="62"/>
      <c r="E276" s="62"/>
      <c r="F276" s="59" t="s">
        <v>18</v>
      </c>
      <c r="G276" s="61" t="s">
        <v>640</v>
      </c>
      <c r="H276" s="59" t="s">
        <v>20</v>
      </c>
      <c r="I276" s="61" t="s">
        <v>640</v>
      </c>
      <c r="J276" s="63" t="s">
        <v>21</v>
      </c>
      <c r="K276" s="61" t="s">
        <v>640</v>
      </c>
      <c r="L276" s="63" t="s">
        <v>22</v>
      </c>
      <c r="M276" s="61" t="s">
        <v>640</v>
      </c>
      <c r="N276" s="61" t="s">
        <v>1731</v>
      </c>
      <c r="O276" s="59"/>
      <c r="P276" s="59"/>
      <c r="Q276" s="59"/>
    </row>
    <row r="277" ht="22.5" customHeight="1">
      <c r="A277" s="60" t="s">
        <v>637</v>
      </c>
      <c r="B277" s="59"/>
      <c r="C277" s="59"/>
      <c r="D277" s="62"/>
      <c r="E277" s="62"/>
      <c r="F277" s="59" t="s">
        <v>18</v>
      </c>
      <c r="G277" s="61" t="s">
        <v>640</v>
      </c>
      <c r="H277" s="59" t="s">
        <v>20</v>
      </c>
      <c r="I277" s="61" t="s">
        <v>640</v>
      </c>
      <c r="J277" s="63" t="s">
        <v>21</v>
      </c>
      <c r="K277" s="61" t="s">
        <v>640</v>
      </c>
      <c r="L277" s="63" t="s">
        <v>22</v>
      </c>
      <c r="M277" s="61" t="s">
        <v>640</v>
      </c>
      <c r="N277" s="61" t="s">
        <v>1731</v>
      </c>
      <c r="O277" s="59"/>
      <c r="P277" s="59"/>
      <c r="Q277" s="59"/>
    </row>
    <row r="278" ht="22.5" customHeight="1">
      <c r="A278" s="60" t="s">
        <v>637</v>
      </c>
      <c r="B278" s="59"/>
      <c r="C278" s="59"/>
      <c r="D278" s="62"/>
      <c r="E278" s="62"/>
      <c r="F278" s="59" t="s">
        <v>18</v>
      </c>
      <c r="G278" s="61" t="s">
        <v>640</v>
      </c>
      <c r="H278" s="59" t="s">
        <v>20</v>
      </c>
      <c r="I278" s="61" t="s">
        <v>640</v>
      </c>
      <c r="J278" s="63" t="s">
        <v>21</v>
      </c>
      <c r="K278" s="61" t="s">
        <v>640</v>
      </c>
      <c r="L278" s="63" t="s">
        <v>22</v>
      </c>
      <c r="M278" s="61" t="s">
        <v>640</v>
      </c>
      <c r="N278" s="61" t="s">
        <v>1731</v>
      </c>
      <c r="O278" s="59"/>
      <c r="P278" s="59"/>
      <c r="Q278" s="59"/>
    </row>
    <row r="279" ht="22.5" customHeight="1">
      <c r="A279" s="60" t="s">
        <v>637</v>
      </c>
      <c r="B279" s="59"/>
      <c r="C279" s="59"/>
      <c r="D279" s="62"/>
      <c r="E279" s="62"/>
      <c r="F279" s="59" t="s">
        <v>18</v>
      </c>
      <c r="G279" s="61" t="s">
        <v>640</v>
      </c>
      <c r="H279" s="59" t="s">
        <v>20</v>
      </c>
      <c r="I279" s="61" t="s">
        <v>640</v>
      </c>
      <c r="J279" s="63" t="s">
        <v>21</v>
      </c>
      <c r="K279" s="61" t="s">
        <v>640</v>
      </c>
      <c r="L279" s="63" t="s">
        <v>22</v>
      </c>
      <c r="M279" s="61" t="s">
        <v>640</v>
      </c>
      <c r="N279" s="61" t="s">
        <v>1731</v>
      </c>
      <c r="O279" s="59"/>
      <c r="P279" s="59"/>
      <c r="Q279" s="59"/>
    </row>
    <row r="280" ht="22.5" customHeight="1">
      <c r="A280" s="60" t="s">
        <v>637</v>
      </c>
      <c r="B280" s="59"/>
      <c r="C280" s="59"/>
      <c r="D280" s="62"/>
      <c r="E280" s="62"/>
      <c r="F280" s="59" t="s">
        <v>18</v>
      </c>
      <c r="G280" s="61" t="s">
        <v>640</v>
      </c>
      <c r="H280" s="59" t="s">
        <v>20</v>
      </c>
      <c r="I280" s="61" t="s">
        <v>640</v>
      </c>
      <c r="J280" s="63" t="s">
        <v>21</v>
      </c>
      <c r="K280" s="61" t="s">
        <v>640</v>
      </c>
      <c r="L280" s="63" t="s">
        <v>22</v>
      </c>
      <c r="M280" s="61" t="s">
        <v>640</v>
      </c>
      <c r="N280" s="61" t="s">
        <v>1731</v>
      </c>
      <c r="O280" s="59"/>
      <c r="P280" s="59"/>
      <c r="Q280" s="59"/>
    </row>
    <row r="281" ht="22.5" customHeight="1">
      <c r="A281" s="60" t="s">
        <v>637</v>
      </c>
      <c r="B281" s="59"/>
      <c r="C281" s="59"/>
      <c r="D281" s="62"/>
      <c r="E281" s="62"/>
      <c r="F281" s="59" t="s">
        <v>18</v>
      </c>
      <c r="G281" s="61" t="s">
        <v>640</v>
      </c>
      <c r="H281" s="59" t="s">
        <v>20</v>
      </c>
      <c r="I281" s="61" t="s">
        <v>640</v>
      </c>
      <c r="J281" s="63" t="s">
        <v>21</v>
      </c>
      <c r="K281" s="61" t="s">
        <v>640</v>
      </c>
      <c r="L281" s="63" t="s">
        <v>22</v>
      </c>
      <c r="M281" s="61" t="s">
        <v>640</v>
      </c>
      <c r="N281" s="61" t="s">
        <v>1731</v>
      </c>
      <c r="O281" s="59"/>
      <c r="P281" s="59"/>
      <c r="Q281" s="59"/>
    </row>
    <row r="282" ht="22.5" customHeight="1">
      <c r="A282" s="60" t="s">
        <v>637</v>
      </c>
      <c r="B282" s="59"/>
      <c r="C282" s="59"/>
      <c r="D282" s="62"/>
      <c r="E282" s="62"/>
      <c r="F282" s="59" t="s">
        <v>18</v>
      </c>
      <c r="G282" s="61" t="s">
        <v>640</v>
      </c>
      <c r="H282" s="59" t="s">
        <v>20</v>
      </c>
      <c r="I282" s="61" t="s">
        <v>640</v>
      </c>
      <c r="J282" s="63" t="s">
        <v>21</v>
      </c>
      <c r="K282" s="61" t="s">
        <v>640</v>
      </c>
      <c r="L282" s="63" t="s">
        <v>22</v>
      </c>
      <c r="M282" s="61" t="s">
        <v>640</v>
      </c>
      <c r="N282" s="61" t="s">
        <v>1731</v>
      </c>
      <c r="O282" s="59"/>
      <c r="P282" s="59"/>
      <c r="Q282" s="59"/>
    </row>
    <row r="283" ht="22.5" customHeight="1">
      <c r="A283" s="60" t="s">
        <v>637</v>
      </c>
      <c r="B283" s="59"/>
      <c r="C283" s="59"/>
      <c r="D283" s="62"/>
      <c r="E283" s="62"/>
      <c r="F283" s="59" t="s">
        <v>18</v>
      </c>
      <c r="G283" s="61" t="s">
        <v>640</v>
      </c>
      <c r="H283" s="59" t="s">
        <v>20</v>
      </c>
      <c r="I283" s="61" t="s">
        <v>640</v>
      </c>
      <c r="J283" s="63" t="s">
        <v>21</v>
      </c>
      <c r="K283" s="61" t="s">
        <v>640</v>
      </c>
      <c r="L283" s="63" t="s">
        <v>22</v>
      </c>
      <c r="M283" s="61" t="s">
        <v>640</v>
      </c>
      <c r="N283" s="61" t="s">
        <v>1731</v>
      </c>
      <c r="O283" s="59"/>
      <c r="P283" s="59"/>
      <c r="Q283" s="59"/>
    </row>
    <row r="284" ht="22.5" customHeight="1">
      <c r="A284" s="60" t="s">
        <v>637</v>
      </c>
      <c r="B284" s="59"/>
      <c r="C284" s="59"/>
      <c r="D284" s="62"/>
      <c r="E284" s="62"/>
      <c r="F284" s="59" t="s">
        <v>18</v>
      </c>
      <c r="G284" s="61" t="s">
        <v>640</v>
      </c>
      <c r="H284" s="59" t="s">
        <v>20</v>
      </c>
      <c r="I284" s="61" t="s">
        <v>640</v>
      </c>
      <c r="J284" s="63" t="s">
        <v>21</v>
      </c>
      <c r="K284" s="61" t="s">
        <v>640</v>
      </c>
      <c r="L284" s="63" t="s">
        <v>22</v>
      </c>
      <c r="M284" s="61" t="s">
        <v>640</v>
      </c>
      <c r="N284" s="61" t="s">
        <v>1731</v>
      </c>
      <c r="O284" s="59"/>
      <c r="P284" s="59"/>
      <c r="Q284" s="59"/>
    </row>
    <row r="285" ht="22.5" customHeight="1">
      <c r="A285" s="60" t="s">
        <v>637</v>
      </c>
      <c r="B285" s="59"/>
      <c r="C285" s="59"/>
      <c r="D285" s="62"/>
      <c r="E285" s="62"/>
      <c r="F285" s="59" t="s">
        <v>18</v>
      </c>
      <c r="G285" s="61" t="s">
        <v>640</v>
      </c>
      <c r="H285" s="59" t="s">
        <v>20</v>
      </c>
      <c r="I285" s="61" t="s">
        <v>640</v>
      </c>
      <c r="J285" s="63" t="s">
        <v>21</v>
      </c>
      <c r="K285" s="61" t="s">
        <v>640</v>
      </c>
      <c r="L285" s="63" t="s">
        <v>22</v>
      </c>
      <c r="M285" s="61" t="s">
        <v>640</v>
      </c>
      <c r="N285" s="61" t="s">
        <v>1731</v>
      </c>
      <c r="O285" s="59"/>
      <c r="P285" s="59"/>
      <c r="Q285" s="59"/>
    </row>
    <row r="286" ht="22.5" customHeight="1">
      <c r="A286" s="60" t="s">
        <v>637</v>
      </c>
      <c r="B286" s="59"/>
      <c r="C286" s="59"/>
      <c r="D286" s="62"/>
      <c r="E286" s="62"/>
      <c r="F286" s="59" t="s">
        <v>18</v>
      </c>
      <c r="G286" s="61" t="s">
        <v>640</v>
      </c>
      <c r="H286" s="59" t="s">
        <v>20</v>
      </c>
      <c r="I286" s="61" t="s">
        <v>640</v>
      </c>
      <c r="J286" s="63" t="s">
        <v>21</v>
      </c>
      <c r="K286" s="61" t="s">
        <v>640</v>
      </c>
      <c r="L286" s="63" t="s">
        <v>22</v>
      </c>
      <c r="M286" s="61" t="s">
        <v>640</v>
      </c>
      <c r="N286" s="61" t="s">
        <v>1731</v>
      </c>
      <c r="O286" s="59"/>
      <c r="P286" s="59"/>
      <c r="Q286" s="59"/>
    </row>
    <row r="287" ht="22.5" customHeight="1">
      <c r="A287" s="60" t="s">
        <v>637</v>
      </c>
      <c r="B287" s="59"/>
      <c r="C287" s="59"/>
      <c r="D287" s="62"/>
      <c r="E287" s="62"/>
      <c r="F287" s="59" t="s">
        <v>18</v>
      </c>
      <c r="G287" s="61" t="s">
        <v>640</v>
      </c>
      <c r="H287" s="59" t="s">
        <v>20</v>
      </c>
      <c r="I287" s="61" t="s">
        <v>640</v>
      </c>
      <c r="J287" s="63" t="s">
        <v>21</v>
      </c>
      <c r="K287" s="61" t="s">
        <v>640</v>
      </c>
      <c r="L287" s="63" t="s">
        <v>22</v>
      </c>
      <c r="M287" s="61" t="s">
        <v>640</v>
      </c>
      <c r="N287" s="61" t="s">
        <v>1731</v>
      </c>
      <c r="O287" s="59"/>
      <c r="P287" s="59"/>
      <c r="Q287" s="59"/>
    </row>
    <row r="288" ht="22.5" customHeight="1">
      <c r="A288" s="60" t="s">
        <v>637</v>
      </c>
      <c r="B288" s="59"/>
      <c r="C288" s="59"/>
      <c r="D288" s="62"/>
      <c r="E288" s="62"/>
      <c r="F288" s="59" t="s">
        <v>18</v>
      </c>
      <c r="G288" s="61" t="s">
        <v>640</v>
      </c>
      <c r="H288" s="59" t="s">
        <v>20</v>
      </c>
      <c r="I288" s="61" t="s">
        <v>640</v>
      </c>
      <c r="J288" s="63" t="s">
        <v>21</v>
      </c>
      <c r="K288" s="61" t="s">
        <v>640</v>
      </c>
      <c r="L288" s="63" t="s">
        <v>22</v>
      </c>
      <c r="M288" s="61" t="s">
        <v>640</v>
      </c>
      <c r="N288" s="61" t="s">
        <v>1731</v>
      </c>
      <c r="O288" s="59"/>
      <c r="P288" s="59"/>
      <c r="Q288" s="59"/>
    </row>
    <row r="289" ht="22.5" customHeight="1">
      <c r="A289" s="60" t="s">
        <v>637</v>
      </c>
      <c r="B289" s="59"/>
      <c r="C289" s="59"/>
      <c r="D289" s="62"/>
      <c r="E289" s="62"/>
      <c r="F289" s="59" t="s">
        <v>18</v>
      </c>
      <c r="G289" s="61" t="s">
        <v>640</v>
      </c>
      <c r="H289" s="59" t="s">
        <v>20</v>
      </c>
      <c r="I289" s="61" t="s">
        <v>640</v>
      </c>
      <c r="J289" s="63" t="s">
        <v>21</v>
      </c>
      <c r="K289" s="61" t="s">
        <v>640</v>
      </c>
      <c r="L289" s="63" t="s">
        <v>22</v>
      </c>
      <c r="M289" s="61" t="s">
        <v>640</v>
      </c>
      <c r="N289" s="61" t="s">
        <v>1731</v>
      </c>
      <c r="O289" s="59"/>
      <c r="P289" s="59"/>
      <c r="Q289" s="59"/>
    </row>
    <row r="290" ht="22.5" customHeight="1">
      <c r="A290" s="60" t="s">
        <v>637</v>
      </c>
      <c r="B290" s="59"/>
      <c r="C290" s="59"/>
      <c r="D290" s="62"/>
      <c r="E290" s="62"/>
      <c r="F290" s="59" t="s">
        <v>18</v>
      </c>
      <c r="G290" s="61" t="s">
        <v>640</v>
      </c>
      <c r="H290" s="59" t="s">
        <v>20</v>
      </c>
      <c r="I290" s="61" t="s">
        <v>640</v>
      </c>
      <c r="J290" s="63" t="s">
        <v>21</v>
      </c>
      <c r="K290" s="61" t="s">
        <v>640</v>
      </c>
      <c r="L290" s="63" t="s">
        <v>22</v>
      </c>
      <c r="M290" s="61" t="s">
        <v>640</v>
      </c>
      <c r="N290" s="61" t="s">
        <v>1731</v>
      </c>
      <c r="O290" s="59"/>
      <c r="P290" s="59"/>
      <c r="Q290" s="59"/>
    </row>
    <row r="291" ht="22.5" customHeight="1">
      <c r="A291" s="60" t="s">
        <v>637</v>
      </c>
      <c r="B291" s="59"/>
      <c r="C291" s="59"/>
      <c r="D291" s="62"/>
      <c r="E291" s="62"/>
      <c r="F291" s="59" t="s">
        <v>18</v>
      </c>
      <c r="G291" s="61" t="s">
        <v>640</v>
      </c>
      <c r="H291" s="59" t="s">
        <v>20</v>
      </c>
      <c r="I291" s="61" t="s">
        <v>640</v>
      </c>
      <c r="J291" s="63" t="s">
        <v>21</v>
      </c>
      <c r="K291" s="61" t="s">
        <v>640</v>
      </c>
      <c r="L291" s="63" t="s">
        <v>22</v>
      </c>
      <c r="M291" s="61" t="s">
        <v>640</v>
      </c>
      <c r="N291" s="61" t="s">
        <v>1731</v>
      </c>
      <c r="O291" s="59"/>
      <c r="P291" s="59"/>
      <c r="Q291" s="59"/>
    </row>
    <row r="292" ht="22.5" customHeight="1">
      <c r="A292" s="60" t="s">
        <v>637</v>
      </c>
      <c r="B292" s="59"/>
      <c r="C292" s="59"/>
      <c r="D292" s="62"/>
      <c r="E292" s="62"/>
      <c r="F292" s="59" t="s">
        <v>18</v>
      </c>
      <c r="G292" s="61" t="s">
        <v>640</v>
      </c>
      <c r="H292" s="59" t="s">
        <v>20</v>
      </c>
      <c r="I292" s="61" t="s">
        <v>640</v>
      </c>
      <c r="J292" s="63" t="s">
        <v>21</v>
      </c>
      <c r="K292" s="61" t="s">
        <v>640</v>
      </c>
      <c r="L292" s="63" t="s">
        <v>22</v>
      </c>
      <c r="M292" s="61" t="s">
        <v>640</v>
      </c>
      <c r="N292" s="61" t="s">
        <v>1731</v>
      </c>
      <c r="O292" s="59"/>
      <c r="P292" s="59"/>
      <c r="Q292" s="59"/>
    </row>
    <row r="293" ht="22.5" customHeight="1">
      <c r="A293" s="60" t="s">
        <v>637</v>
      </c>
      <c r="B293" s="59"/>
      <c r="C293" s="59"/>
      <c r="D293" s="62"/>
      <c r="E293" s="62"/>
      <c r="F293" s="59" t="s">
        <v>18</v>
      </c>
      <c r="G293" s="61" t="s">
        <v>640</v>
      </c>
      <c r="H293" s="59" t="s">
        <v>20</v>
      </c>
      <c r="I293" s="61" t="s">
        <v>640</v>
      </c>
      <c r="J293" s="63" t="s">
        <v>21</v>
      </c>
      <c r="K293" s="61" t="s">
        <v>640</v>
      </c>
      <c r="L293" s="63" t="s">
        <v>22</v>
      </c>
      <c r="M293" s="61" t="s">
        <v>640</v>
      </c>
      <c r="N293" s="61" t="s">
        <v>1731</v>
      </c>
      <c r="O293" s="59"/>
      <c r="P293" s="59"/>
      <c r="Q293" s="59"/>
    </row>
    <row r="294" ht="22.5" customHeight="1">
      <c r="A294" s="60" t="s">
        <v>637</v>
      </c>
      <c r="B294" s="59"/>
      <c r="C294" s="59"/>
      <c r="D294" s="62"/>
      <c r="E294" s="62"/>
      <c r="F294" s="59" t="s">
        <v>18</v>
      </c>
      <c r="G294" s="61" t="s">
        <v>640</v>
      </c>
      <c r="H294" s="59" t="s">
        <v>20</v>
      </c>
      <c r="I294" s="61" t="s">
        <v>640</v>
      </c>
      <c r="J294" s="63" t="s">
        <v>21</v>
      </c>
      <c r="K294" s="61" t="s">
        <v>640</v>
      </c>
      <c r="L294" s="63" t="s">
        <v>22</v>
      </c>
      <c r="M294" s="61" t="s">
        <v>640</v>
      </c>
      <c r="N294" s="61" t="s">
        <v>1731</v>
      </c>
      <c r="O294" s="59"/>
      <c r="P294" s="59"/>
      <c r="Q294" s="59"/>
    </row>
    <row r="295" ht="22.5" customHeight="1">
      <c r="A295" s="60" t="s">
        <v>637</v>
      </c>
      <c r="B295" s="59"/>
      <c r="C295" s="59"/>
      <c r="D295" s="62"/>
      <c r="E295" s="62"/>
      <c r="F295" s="59" t="s">
        <v>18</v>
      </c>
      <c r="G295" s="61" t="s">
        <v>640</v>
      </c>
      <c r="H295" s="59" t="s">
        <v>20</v>
      </c>
      <c r="I295" s="61" t="s">
        <v>640</v>
      </c>
      <c r="J295" s="63" t="s">
        <v>21</v>
      </c>
      <c r="K295" s="61" t="s">
        <v>640</v>
      </c>
      <c r="L295" s="63" t="s">
        <v>22</v>
      </c>
      <c r="M295" s="61" t="s">
        <v>640</v>
      </c>
      <c r="N295" s="61" t="s">
        <v>1731</v>
      </c>
      <c r="O295" s="59"/>
      <c r="P295" s="59"/>
      <c r="Q295" s="59"/>
    </row>
    <row r="296" ht="22.5" customHeight="1">
      <c r="A296" s="60" t="s">
        <v>637</v>
      </c>
      <c r="B296" s="59"/>
      <c r="C296" s="59"/>
      <c r="D296" s="62"/>
      <c r="E296" s="62"/>
      <c r="F296" s="59" t="s">
        <v>18</v>
      </c>
      <c r="G296" s="61" t="s">
        <v>640</v>
      </c>
      <c r="H296" s="59" t="s">
        <v>20</v>
      </c>
      <c r="I296" s="61" t="s">
        <v>640</v>
      </c>
      <c r="J296" s="63" t="s">
        <v>21</v>
      </c>
      <c r="K296" s="61" t="s">
        <v>640</v>
      </c>
      <c r="L296" s="63" t="s">
        <v>22</v>
      </c>
      <c r="M296" s="61" t="s">
        <v>640</v>
      </c>
      <c r="N296" s="61" t="s">
        <v>1731</v>
      </c>
      <c r="O296" s="59"/>
      <c r="P296" s="59"/>
      <c r="Q296" s="59"/>
    </row>
    <row r="297" ht="22.5" customHeight="1">
      <c r="A297" s="60" t="s">
        <v>637</v>
      </c>
      <c r="B297" s="59"/>
      <c r="C297" s="59"/>
      <c r="D297" s="62"/>
      <c r="E297" s="62"/>
      <c r="F297" s="59" t="s">
        <v>18</v>
      </c>
      <c r="G297" s="61" t="s">
        <v>640</v>
      </c>
      <c r="H297" s="59" t="s">
        <v>20</v>
      </c>
      <c r="I297" s="61" t="s">
        <v>640</v>
      </c>
      <c r="J297" s="63" t="s">
        <v>21</v>
      </c>
      <c r="K297" s="61" t="s">
        <v>640</v>
      </c>
      <c r="L297" s="63" t="s">
        <v>22</v>
      </c>
      <c r="M297" s="61" t="s">
        <v>640</v>
      </c>
      <c r="N297" s="61" t="s">
        <v>1731</v>
      </c>
      <c r="O297" s="59"/>
      <c r="P297" s="59"/>
      <c r="Q297" s="59"/>
    </row>
    <row r="298" ht="22.5" customHeight="1">
      <c r="A298" s="60" t="s">
        <v>637</v>
      </c>
      <c r="B298" s="59"/>
      <c r="C298" s="59"/>
      <c r="D298" s="62"/>
      <c r="E298" s="62"/>
      <c r="F298" s="59" t="s">
        <v>18</v>
      </c>
      <c r="G298" s="61" t="s">
        <v>640</v>
      </c>
      <c r="H298" s="59" t="s">
        <v>20</v>
      </c>
      <c r="I298" s="61" t="s">
        <v>640</v>
      </c>
      <c r="J298" s="63" t="s">
        <v>21</v>
      </c>
      <c r="K298" s="61" t="s">
        <v>640</v>
      </c>
      <c r="L298" s="63" t="s">
        <v>22</v>
      </c>
      <c r="M298" s="61" t="s">
        <v>640</v>
      </c>
      <c r="N298" s="61" t="s">
        <v>1731</v>
      </c>
      <c r="O298" s="59"/>
      <c r="P298" s="59"/>
      <c r="Q298" s="59"/>
    </row>
    <row r="299" ht="22.5" customHeight="1">
      <c r="A299" s="60" t="s">
        <v>637</v>
      </c>
      <c r="B299" s="59"/>
      <c r="C299" s="59"/>
      <c r="D299" s="62"/>
      <c r="E299" s="62"/>
      <c r="F299" s="59" t="s">
        <v>18</v>
      </c>
      <c r="G299" s="61" t="s">
        <v>640</v>
      </c>
      <c r="H299" s="59" t="s">
        <v>20</v>
      </c>
      <c r="I299" s="61" t="s">
        <v>640</v>
      </c>
      <c r="J299" s="63" t="s">
        <v>21</v>
      </c>
      <c r="K299" s="61" t="s">
        <v>640</v>
      </c>
      <c r="L299" s="63" t="s">
        <v>22</v>
      </c>
      <c r="M299" s="61" t="s">
        <v>640</v>
      </c>
      <c r="N299" s="61" t="s">
        <v>1731</v>
      </c>
      <c r="O299" s="59"/>
      <c r="P299" s="59"/>
      <c r="Q299" s="59"/>
    </row>
    <row r="300" ht="22.5" customHeight="1">
      <c r="A300" s="60" t="s">
        <v>637</v>
      </c>
      <c r="B300" s="59"/>
      <c r="C300" s="59"/>
      <c r="D300" s="62"/>
      <c r="E300" s="62"/>
      <c r="F300" s="59" t="s">
        <v>18</v>
      </c>
      <c r="G300" s="61" t="s">
        <v>640</v>
      </c>
      <c r="H300" s="59" t="s">
        <v>20</v>
      </c>
      <c r="I300" s="61" t="s">
        <v>640</v>
      </c>
      <c r="J300" s="63" t="s">
        <v>21</v>
      </c>
      <c r="K300" s="61" t="s">
        <v>640</v>
      </c>
      <c r="L300" s="63" t="s">
        <v>22</v>
      </c>
      <c r="M300" s="61" t="s">
        <v>640</v>
      </c>
      <c r="N300" s="61" t="s">
        <v>1731</v>
      </c>
      <c r="O300" s="59"/>
      <c r="P300" s="59"/>
      <c r="Q300" s="59"/>
    </row>
    <row r="301" ht="22.5" customHeight="1">
      <c r="A301" s="60" t="s">
        <v>637</v>
      </c>
      <c r="B301" s="59"/>
      <c r="C301" s="59"/>
      <c r="D301" s="62"/>
      <c r="E301" s="62"/>
      <c r="F301" s="59" t="s">
        <v>18</v>
      </c>
      <c r="G301" s="61" t="s">
        <v>640</v>
      </c>
      <c r="H301" s="59" t="s">
        <v>20</v>
      </c>
      <c r="I301" s="61" t="s">
        <v>640</v>
      </c>
      <c r="J301" s="63" t="s">
        <v>21</v>
      </c>
      <c r="K301" s="61" t="s">
        <v>640</v>
      </c>
      <c r="L301" s="63" t="s">
        <v>22</v>
      </c>
      <c r="M301" s="61" t="s">
        <v>640</v>
      </c>
      <c r="N301" s="61" t="s">
        <v>1731</v>
      </c>
      <c r="O301" s="59"/>
      <c r="P301" s="59"/>
      <c r="Q301" s="59"/>
    </row>
    <row r="302" ht="22.5" customHeight="1">
      <c r="A302" s="60" t="s">
        <v>637</v>
      </c>
      <c r="B302" s="59"/>
      <c r="C302" s="59"/>
      <c r="D302" s="62"/>
      <c r="E302" s="62"/>
      <c r="F302" s="59" t="s">
        <v>18</v>
      </c>
      <c r="G302" s="61" t="s">
        <v>640</v>
      </c>
      <c r="H302" s="59" t="s">
        <v>20</v>
      </c>
      <c r="I302" s="61" t="s">
        <v>640</v>
      </c>
      <c r="J302" s="63" t="s">
        <v>21</v>
      </c>
      <c r="K302" s="61" t="s">
        <v>640</v>
      </c>
      <c r="L302" s="63" t="s">
        <v>22</v>
      </c>
      <c r="M302" s="61" t="s">
        <v>640</v>
      </c>
      <c r="N302" s="61" t="s">
        <v>1731</v>
      </c>
      <c r="O302" s="59"/>
      <c r="P302" s="59"/>
      <c r="Q302" s="59"/>
    </row>
    <row r="303" ht="22.5" customHeight="1">
      <c r="A303" s="60" t="s">
        <v>637</v>
      </c>
      <c r="B303" s="59"/>
      <c r="C303" s="59"/>
      <c r="D303" s="62"/>
      <c r="E303" s="62"/>
      <c r="F303" s="59" t="s">
        <v>18</v>
      </c>
      <c r="G303" s="61" t="s">
        <v>640</v>
      </c>
      <c r="H303" s="59" t="s">
        <v>20</v>
      </c>
      <c r="I303" s="61" t="s">
        <v>640</v>
      </c>
      <c r="J303" s="63" t="s">
        <v>21</v>
      </c>
      <c r="K303" s="61" t="s">
        <v>640</v>
      </c>
      <c r="L303" s="63" t="s">
        <v>22</v>
      </c>
      <c r="M303" s="61" t="s">
        <v>640</v>
      </c>
      <c r="N303" s="61" t="s">
        <v>1731</v>
      </c>
      <c r="O303" s="59"/>
      <c r="P303" s="59"/>
      <c r="Q303" s="59"/>
    </row>
    <row r="304" ht="22.5" customHeight="1">
      <c r="A304" s="60" t="s">
        <v>637</v>
      </c>
      <c r="B304" s="59"/>
      <c r="C304" s="59"/>
      <c r="D304" s="62"/>
      <c r="E304" s="62"/>
      <c r="F304" s="59" t="s">
        <v>18</v>
      </c>
      <c r="G304" s="61" t="s">
        <v>640</v>
      </c>
      <c r="H304" s="59" t="s">
        <v>20</v>
      </c>
      <c r="I304" s="61" t="s">
        <v>640</v>
      </c>
      <c r="J304" s="63" t="s">
        <v>21</v>
      </c>
      <c r="K304" s="61" t="s">
        <v>640</v>
      </c>
      <c r="L304" s="63" t="s">
        <v>22</v>
      </c>
      <c r="M304" s="61" t="s">
        <v>640</v>
      </c>
      <c r="N304" s="61" t="s">
        <v>1731</v>
      </c>
      <c r="O304" s="59"/>
      <c r="P304" s="59"/>
      <c r="Q304" s="59"/>
    </row>
    <row r="305" ht="22.5" customHeight="1">
      <c r="A305" s="60" t="s">
        <v>637</v>
      </c>
      <c r="B305" s="59"/>
      <c r="C305" s="59"/>
      <c r="D305" s="62"/>
      <c r="E305" s="62"/>
      <c r="F305" s="59" t="s">
        <v>18</v>
      </c>
      <c r="G305" s="61" t="s">
        <v>640</v>
      </c>
      <c r="H305" s="59" t="s">
        <v>20</v>
      </c>
      <c r="I305" s="61" t="s">
        <v>640</v>
      </c>
      <c r="J305" s="63" t="s">
        <v>21</v>
      </c>
      <c r="K305" s="61" t="s">
        <v>640</v>
      </c>
      <c r="L305" s="63" t="s">
        <v>22</v>
      </c>
      <c r="M305" s="61" t="s">
        <v>640</v>
      </c>
      <c r="N305" s="61" t="s">
        <v>1731</v>
      </c>
      <c r="O305" s="59"/>
      <c r="P305" s="59"/>
      <c r="Q305" s="59"/>
    </row>
    <row r="306" ht="22.5" customHeight="1">
      <c r="A306" s="60" t="s">
        <v>637</v>
      </c>
      <c r="B306" s="59"/>
      <c r="C306" s="59"/>
      <c r="D306" s="62"/>
      <c r="E306" s="62"/>
      <c r="F306" s="59" t="s">
        <v>18</v>
      </c>
      <c r="G306" s="61" t="s">
        <v>640</v>
      </c>
      <c r="H306" s="59" t="s">
        <v>20</v>
      </c>
      <c r="I306" s="61" t="s">
        <v>640</v>
      </c>
      <c r="J306" s="63" t="s">
        <v>21</v>
      </c>
      <c r="K306" s="61" t="s">
        <v>640</v>
      </c>
      <c r="L306" s="63" t="s">
        <v>22</v>
      </c>
      <c r="M306" s="61" t="s">
        <v>640</v>
      </c>
      <c r="N306" s="61" t="s">
        <v>1731</v>
      </c>
      <c r="O306" s="59"/>
      <c r="P306" s="59"/>
      <c r="Q306" s="59"/>
    </row>
    <row r="307" ht="22.5" customHeight="1">
      <c r="A307" s="60" t="s">
        <v>637</v>
      </c>
      <c r="B307" s="59"/>
      <c r="C307" s="59"/>
      <c r="D307" s="62"/>
      <c r="E307" s="62"/>
      <c r="F307" s="59" t="s">
        <v>18</v>
      </c>
      <c r="G307" s="61" t="s">
        <v>640</v>
      </c>
      <c r="H307" s="59" t="s">
        <v>20</v>
      </c>
      <c r="I307" s="61" t="s">
        <v>640</v>
      </c>
      <c r="J307" s="63" t="s">
        <v>21</v>
      </c>
      <c r="K307" s="61" t="s">
        <v>640</v>
      </c>
      <c r="L307" s="63" t="s">
        <v>22</v>
      </c>
      <c r="M307" s="61" t="s">
        <v>640</v>
      </c>
      <c r="N307" s="61" t="s">
        <v>1731</v>
      </c>
      <c r="O307" s="59"/>
      <c r="P307" s="59"/>
      <c r="Q307" s="59"/>
    </row>
    <row r="308" ht="22.5" customHeight="1">
      <c r="A308" s="60" t="s">
        <v>637</v>
      </c>
      <c r="B308" s="59"/>
      <c r="C308" s="59"/>
      <c r="D308" s="62"/>
      <c r="E308" s="62"/>
      <c r="F308" s="59" t="s">
        <v>18</v>
      </c>
      <c r="G308" s="61" t="s">
        <v>640</v>
      </c>
      <c r="H308" s="59" t="s">
        <v>20</v>
      </c>
      <c r="I308" s="61" t="s">
        <v>640</v>
      </c>
      <c r="J308" s="63" t="s">
        <v>21</v>
      </c>
      <c r="K308" s="61" t="s">
        <v>640</v>
      </c>
      <c r="L308" s="63" t="s">
        <v>22</v>
      </c>
      <c r="M308" s="61" t="s">
        <v>640</v>
      </c>
      <c r="N308" s="61" t="s">
        <v>1731</v>
      </c>
      <c r="O308" s="59"/>
      <c r="P308" s="59"/>
      <c r="Q308" s="59"/>
    </row>
    <row r="309" ht="22.5" customHeight="1">
      <c r="A309" s="60" t="s">
        <v>637</v>
      </c>
      <c r="B309" s="59"/>
      <c r="C309" s="59"/>
      <c r="D309" s="62"/>
      <c r="E309" s="62"/>
      <c r="F309" s="59" t="s">
        <v>18</v>
      </c>
      <c r="G309" s="61" t="s">
        <v>640</v>
      </c>
      <c r="H309" s="59" t="s">
        <v>20</v>
      </c>
      <c r="I309" s="61" t="s">
        <v>640</v>
      </c>
      <c r="J309" s="63" t="s">
        <v>21</v>
      </c>
      <c r="K309" s="61" t="s">
        <v>640</v>
      </c>
      <c r="L309" s="63" t="s">
        <v>22</v>
      </c>
      <c r="M309" s="61" t="s">
        <v>640</v>
      </c>
      <c r="N309" s="61" t="s">
        <v>1731</v>
      </c>
      <c r="O309" s="59"/>
      <c r="P309" s="59"/>
      <c r="Q309" s="59"/>
    </row>
    <row r="310" ht="22.5" customHeight="1">
      <c r="A310" s="60" t="s">
        <v>637</v>
      </c>
      <c r="B310" s="59"/>
      <c r="C310" s="59"/>
      <c r="D310" s="62"/>
      <c r="E310" s="62"/>
      <c r="F310" s="59" t="s">
        <v>18</v>
      </c>
      <c r="G310" s="61" t="s">
        <v>640</v>
      </c>
      <c r="H310" s="59" t="s">
        <v>20</v>
      </c>
      <c r="I310" s="61" t="s">
        <v>640</v>
      </c>
      <c r="J310" s="63" t="s">
        <v>21</v>
      </c>
      <c r="K310" s="61" t="s">
        <v>640</v>
      </c>
      <c r="L310" s="63" t="s">
        <v>22</v>
      </c>
      <c r="M310" s="61" t="s">
        <v>640</v>
      </c>
      <c r="N310" s="61" t="s">
        <v>1731</v>
      </c>
      <c r="O310" s="59"/>
      <c r="P310" s="59"/>
      <c r="Q310" s="59"/>
    </row>
    <row r="311" ht="22.5" customHeight="1">
      <c r="A311" s="60" t="s">
        <v>637</v>
      </c>
      <c r="B311" s="59"/>
      <c r="C311" s="59"/>
      <c r="D311" s="62"/>
      <c r="E311" s="62"/>
      <c r="F311" s="59" t="s">
        <v>18</v>
      </c>
      <c r="G311" s="61" t="s">
        <v>640</v>
      </c>
      <c r="H311" s="59" t="s">
        <v>20</v>
      </c>
      <c r="I311" s="61" t="s">
        <v>640</v>
      </c>
      <c r="J311" s="63" t="s">
        <v>21</v>
      </c>
      <c r="K311" s="61" t="s">
        <v>640</v>
      </c>
      <c r="L311" s="63" t="s">
        <v>22</v>
      </c>
      <c r="M311" s="61" t="s">
        <v>640</v>
      </c>
      <c r="N311" s="61" t="s">
        <v>1731</v>
      </c>
      <c r="O311" s="59"/>
      <c r="P311" s="59"/>
      <c r="Q311" s="59"/>
    </row>
    <row r="312" ht="22.5" customHeight="1">
      <c r="A312" s="60" t="s">
        <v>637</v>
      </c>
      <c r="B312" s="59"/>
      <c r="C312" s="59"/>
      <c r="D312" s="62"/>
      <c r="E312" s="62"/>
      <c r="F312" s="59" t="s">
        <v>18</v>
      </c>
      <c r="G312" s="61" t="s">
        <v>640</v>
      </c>
      <c r="H312" s="59" t="s">
        <v>20</v>
      </c>
      <c r="I312" s="61" t="s">
        <v>640</v>
      </c>
      <c r="J312" s="63" t="s">
        <v>21</v>
      </c>
      <c r="K312" s="61" t="s">
        <v>640</v>
      </c>
      <c r="L312" s="63" t="s">
        <v>22</v>
      </c>
      <c r="M312" s="61" t="s">
        <v>640</v>
      </c>
      <c r="N312" s="61" t="s">
        <v>1731</v>
      </c>
      <c r="O312" s="59"/>
      <c r="P312" s="59"/>
      <c r="Q312" s="59"/>
    </row>
    <row r="313" ht="22.5" customHeight="1">
      <c r="A313" s="60" t="s">
        <v>637</v>
      </c>
      <c r="B313" s="59"/>
      <c r="C313" s="59"/>
      <c r="D313" s="62"/>
      <c r="E313" s="62"/>
      <c r="F313" s="59" t="s">
        <v>18</v>
      </c>
      <c r="G313" s="61" t="s">
        <v>640</v>
      </c>
      <c r="H313" s="59" t="s">
        <v>20</v>
      </c>
      <c r="I313" s="61" t="s">
        <v>640</v>
      </c>
      <c r="J313" s="63" t="s">
        <v>21</v>
      </c>
      <c r="K313" s="61" t="s">
        <v>640</v>
      </c>
      <c r="L313" s="63" t="s">
        <v>22</v>
      </c>
      <c r="M313" s="61" t="s">
        <v>640</v>
      </c>
      <c r="N313" s="61" t="s">
        <v>1731</v>
      </c>
      <c r="O313" s="59"/>
      <c r="P313" s="59"/>
      <c r="Q313" s="59"/>
    </row>
    <row r="314" ht="22.5" customHeight="1">
      <c r="A314" s="60" t="s">
        <v>637</v>
      </c>
      <c r="B314" s="59"/>
      <c r="C314" s="59"/>
      <c r="D314" s="62"/>
      <c r="E314" s="62"/>
      <c r="F314" s="59" t="s">
        <v>18</v>
      </c>
      <c r="G314" s="61" t="s">
        <v>640</v>
      </c>
      <c r="H314" s="59" t="s">
        <v>20</v>
      </c>
      <c r="I314" s="61" t="s">
        <v>640</v>
      </c>
      <c r="J314" s="63" t="s">
        <v>21</v>
      </c>
      <c r="K314" s="61" t="s">
        <v>640</v>
      </c>
      <c r="L314" s="63" t="s">
        <v>22</v>
      </c>
      <c r="M314" s="61" t="s">
        <v>640</v>
      </c>
      <c r="N314" s="61" t="s">
        <v>1731</v>
      </c>
      <c r="O314" s="59"/>
      <c r="P314" s="59"/>
      <c r="Q314" s="59"/>
    </row>
    <row r="315" ht="22.5" customHeight="1">
      <c r="A315" s="60" t="s">
        <v>637</v>
      </c>
      <c r="B315" s="59"/>
      <c r="C315" s="59"/>
      <c r="D315" s="62"/>
      <c r="E315" s="62"/>
      <c r="F315" s="59" t="s">
        <v>18</v>
      </c>
      <c r="G315" s="61" t="s">
        <v>640</v>
      </c>
      <c r="H315" s="59" t="s">
        <v>20</v>
      </c>
      <c r="I315" s="61" t="s">
        <v>640</v>
      </c>
      <c r="J315" s="63" t="s">
        <v>21</v>
      </c>
      <c r="K315" s="61" t="s">
        <v>640</v>
      </c>
      <c r="L315" s="63" t="s">
        <v>22</v>
      </c>
      <c r="M315" s="61" t="s">
        <v>640</v>
      </c>
      <c r="N315" s="61" t="s">
        <v>1731</v>
      </c>
      <c r="O315" s="59"/>
      <c r="P315" s="59"/>
      <c r="Q315" s="59"/>
    </row>
    <row r="316" ht="22.5" customHeight="1">
      <c r="A316" s="60" t="s">
        <v>637</v>
      </c>
      <c r="B316" s="59"/>
      <c r="C316" s="59"/>
      <c r="D316" s="62"/>
      <c r="E316" s="62"/>
      <c r="F316" s="59" t="s">
        <v>18</v>
      </c>
      <c r="G316" s="61" t="s">
        <v>640</v>
      </c>
      <c r="H316" s="59" t="s">
        <v>20</v>
      </c>
      <c r="I316" s="61" t="s">
        <v>640</v>
      </c>
      <c r="J316" s="63" t="s">
        <v>21</v>
      </c>
      <c r="K316" s="61" t="s">
        <v>640</v>
      </c>
      <c r="L316" s="63" t="s">
        <v>22</v>
      </c>
      <c r="M316" s="61" t="s">
        <v>640</v>
      </c>
      <c r="N316" s="61" t="s">
        <v>1731</v>
      </c>
      <c r="O316" s="59"/>
      <c r="P316" s="59"/>
      <c r="Q316" s="59"/>
    </row>
    <row r="317" ht="22.5" customHeight="1">
      <c r="A317" s="60" t="s">
        <v>637</v>
      </c>
      <c r="B317" s="59"/>
      <c r="C317" s="59"/>
      <c r="D317" s="62"/>
      <c r="E317" s="62"/>
      <c r="F317" s="59" t="s">
        <v>18</v>
      </c>
      <c r="G317" s="61" t="s">
        <v>640</v>
      </c>
      <c r="H317" s="59" t="s">
        <v>20</v>
      </c>
      <c r="I317" s="61" t="s">
        <v>640</v>
      </c>
      <c r="J317" s="63" t="s">
        <v>21</v>
      </c>
      <c r="K317" s="61" t="s">
        <v>640</v>
      </c>
      <c r="L317" s="63" t="s">
        <v>22</v>
      </c>
      <c r="M317" s="61" t="s">
        <v>640</v>
      </c>
      <c r="N317" s="61" t="s">
        <v>1731</v>
      </c>
      <c r="O317" s="59"/>
      <c r="P317" s="59"/>
      <c r="Q317" s="59"/>
    </row>
    <row r="318" ht="22.5" customHeight="1">
      <c r="A318" s="60" t="s">
        <v>637</v>
      </c>
      <c r="B318" s="59"/>
      <c r="C318" s="59"/>
      <c r="D318" s="62"/>
      <c r="E318" s="62"/>
      <c r="F318" s="59" t="s">
        <v>18</v>
      </c>
      <c r="G318" s="61" t="s">
        <v>640</v>
      </c>
      <c r="H318" s="59" t="s">
        <v>20</v>
      </c>
      <c r="I318" s="61" t="s">
        <v>640</v>
      </c>
      <c r="J318" s="63" t="s">
        <v>21</v>
      </c>
      <c r="K318" s="61" t="s">
        <v>640</v>
      </c>
      <c r="L318" s="63" t="s">
        <v>22</v>
      </c>
      <c r="M318" s="61" t="s">
        <v>640</v>
      </c>
      <c r="N318" s="61" t="s">
        <v>1731</v>
      </c>
      <c r="O318" s="59"/>
      <c r="P318" s="59"/>
      <c r="Q318" s="59"/>
    </row>
    <row r="319" ht="22.5" customHeight="1">
      <c r="A319" s="60" t="s">
        <v>637</v>
      </c>
      <c r="B319" s="59"/>
      <c r="C319" s="59"/>
      <c r="D319" s="62"/>
      <c r="E319" s="62"/>
      <c r="F319" s="59" t="s">
        <v>18</v>
      </c>
      <c r="G319" s="61" t="s">
        <v>640</v>
      </c>
      <c r="H319" s="59" t="s">
        <v>20</v>
      </c>
      <c r="I319" s="61" t="s">
        <v>640</v>
      </c>
      <c r="J319" s="63" t="s">
        <v>21</v>
      </c>
      <c r="K319" s="61" t="s">
        <v>640</v>
      </c>
      <c r="L319" s="63" t="s">
        <v>22</v>
      </c>
      <c r="M319" s="61" t="s">
        <v>640</v>
      </c>
      <c r="N319" s="61" t="s">
        <v>1731</v>
      </c>
      <c r="O319" s="59"/>
      <c r="P319" s="59"/>
      <c r="Q319" s="59"/>
    </row>
    <row r="320" ht="22.5" customHeight="1">
      <c r="A320" s="60" t="s">
        <v>637</v>
      </c>
      <c r="B320" s="59"/>
      <c r="C320" s="59"/>
      <c r="D320" s="62"/>
      <c r="E320" s="62"/>
      <c r="F320" s="59" t="s">
        <v>18</v>
      </c>
      <c r="G320" s="61" t="s">
        <v>640</v>
      </c>
      <c r="H320" s="59" t="s">
        <v>20</v>
      </c>
      <c r="I320" s="61" t="s">
        <v>640</v>
      </c>
      <c r="J320" s="63" t="s">
        <v>21</v>
      </c>
      <c r="K320" s="61" t="s">
        <v>640</v>
      </c>
      <c r="L320" s="63" t="s">
        <v>22</v>
      </c>
      <c r="M320" s="61" t="s">
        <v>640</v>
      </c>
      <c r="N320" s="61" t="s">
        <v>1731</v>
      </c>
      <c r="O320" s="59"/>
      <c r="P320" s="59"/>
      <c r="Q320" s="59"/>
    </row>
    <row r="321" ht="22.5" customHeight="1">
      <c r="A321" s="60" t="s">
        <v>637</v>
      </c>
      <c r="B321" s="59"/>
      <c r="C321" s="59"/>
      <c r="D321" s="62"/>
      <c r="E321" s="62"/>
      <c r="F321" s="59" t="s">
        <v>18</v>
      </c>
      <c r="G321" s="61" t="s">
        <v>640</v>
      </c>
      <c r="H321" s="59" t="s">
        <v>20</v>
      </c>
      <c r="I321" s="61" t="s">
        <v>640</v>
      </c>
      <c r="J321" s="63" t="s">
        <v>21</v>
      </c>
      <c r="K321" s="61" t="s">
        <v>640</v>
      </c>
      <c r="L321" s="63" t="s">
        <v>22</v>
      </c>
      <c r="M321" s="61" t="s">
        <v>640</v>
      </c>
      <c r="N321" s="61" t="s">
        <v>1731</v>
      </c>
      <c r="O321" s="59"/>
      <c r="P321" s="59"/>
      <c r="Q321" s="59"/>
    </row>
    <row r="322" ht="22.5" customHeight="1">
      <c r="A322" s="60" t="s">
        <v>637</v>
      </c>
      <c r="B322" s="59"/>
      <c r="C322" s="59"/>
      <c r="D322" s="62"/>
      <c r="E322" s="62"/>
      <c r="F322" s="59" t="s">
        <v>18</v>
      </c>
      <c r="G322" s="61" t="s">
        <v>640</v>
      </c>
      <c r="H322" s="59" t="s">
        <v>20</v>
      </c>
      <c r="I322" s="61" t="s">
        <v>640</v>
      </c>
      <c r="J322" s="63" t="s">
        <v>21</v>
      </c>
      <c r="K322" s="61" t="s">
        <v>640</v>
      </c>
      <c r="L322" s="63" t="s">
        <v>22</v>
      </c>
      <c r="M322" s="61" t="s">
        <v>640</v>
      </c>
      <c r="N322" s="61" t="s">
        <v>1731</v>
      </c>
      <c r="O322" s="59"/>
      <c r="P322" s="59"/>
      <c r="Q322" s="59"/>
    </row>
    <row r="323" ht="22.5" customHeight="1">
      <c r="A323" s="60" t="s">
        <v>637</v>
      </c>
      <c r="B323" s="59"/>
      <c r="C323" s="59"/>
      <c r="D323" s="62"/>
      <c r="E323" s="62"/>
      <c r="F323" s="59" t="s">
        <v>18</v>
      </c>
      <c r="G323" s="61" t="s">
        <v>640</v>
      </c>
      <c r="H323" s="59" t="s">
        <v>20</v>
      </c>
      <c r="I323" s="61" t="s">
        <v>640</v>
      </c>
      <c r="J323" s="63" t="s">
        <v>21</v>
      </c>
      <c r="K323" s="61" t="s">
        <v>640</v>
      </c>
      <c r="L323" s="63" t="s">
        <v>22</v>
      </c>
      <c r="M323" s="61" t="s">
        <v>640</v>
      </c>
      <c r="N323" s="61" t="s">
        <v>1731</v>
      </c>
      <c r="O323" s="59"/>
      <c r="P323" s="59"/>
      <c r="Q323" s="59"/>
    </row>
    <row r="324" ht="22.5" customHeight="1">
      <c r="A324" s="60" t="s">
        <v>637</v>
      </c>
      <c r="B324" s="59"/>
      <c r="C324" s="59"/>
      <c r="D324" s="62"/>
      <c r="E324" s="62"/>
      <c r="F324" s="59" t="s">
        <v>18</v>
      </c>
      <c r="G324" s="61" t="s">
        <v>640</v>
      </c>
      <c r="H324" s="59" t="s">
        <v>20</v>
      </c>
      <c r="I324" s="61" t="s">
        <v>640</v>
      </c>
      <c r="J324" s="63" t="s">
        <v>21</v>
      </c>
      <c r="K324" s="61" t="s">
        <v>640</v>
      </c>
      <c r="L324" s="63" t="s">
        <v>22</v>
      </c>
      <c r="M324" s="61" t="s">
        <v>640</v>
      </c>
      <c r="N324" s="61" t="s">
        <v>1731</v>
      </c>
      <c r="O324" s="59"/>
      <c r="P324" s="59"/>
      <c r="Q324" s="59"/>
    </row>
    <row r="325" ht="22.5" customHeight="1">
      <c r="A325" s="60" t="s">
        <v>637</v>
      </c>
      <c r="B325" s="59"/>
      <c r="C325" s="59"/>
      <c r="D325" s="62"/>
      <c r="E325" s="62"/>
      <c r="F325" s="59" t="s">
        <v>18</v>
      </c>
      <c r="G325" s="61" t="s">
        <v>640</v>
      </c>
      <c r="H325" s="59" t="s">
        <v>20</v>
      </c>
      <c r="I325" s="61" t="s">
        <v>640</v>
      </c>
      <c r="J325" s="63" t="s">
        <v>21</v>
      </c>
      <c r="K325" s="61" t="s">
        <v>640</v>
      </c>
      <c r="L325" s="63" t="s">
        <v>22</v>
      </c>
      <c r="M325" s="61" t="s">
        <v>640</v>
      </c>
      <c r="N325" s="61" t="s">
        <v>1731</v>
      </c>
      <c r="O325" s="59"/>
      <c r="P325" s="59"/>
      <c r="Q325" s="59"/>
    </row>
    <row r="326" ht="22.5" customHeight="1">
      <c r="A326" s="60" t="s">
        <v>637</v>
      </c>
      <c r="B326" s="59"/>
      <c r="C326" s="59"/>
      <c r="D326" s="62"/>
      <c r="E326" s="62"/>
      <c r="F326" s="59" t="s">
        <v>18</v>
      </c>
      <c r="G326" s="61" t="s">
        <v>640</v>
      </c>
      <c r="H326" s="59" t="s">
        <v>20</v>
      </c>
      <c r="I326" s="61" t="s">
        <v>640</v>
      </c>
      <c r="J326" s="63" t="s">
        <v>21</v>
      </c>
      <c r="K326" s="61" t="s">
        <v>640</v>
      </c>
      <c r="L326" s="63" t="s">
        <v>22</v>
      </c>
      <c r="M326" s="61" t="s">
        <v>640</v>
      </c>
      <c r="N326" s="61" t="s">
        <v>1731</v>
      </c>
      <c r="O326" s="59"/>
      <c r="P326" s="59"/>
      <c r="Q326" s="59"/>
    </row>
    <row r="327" ht="22.5" customHeight="1">
      <c r="A327" s="60" t="s">
        <v>637</v>
      </c>
      <c r="B327" s="59"/>
      <c r="C327" s="59"/>
      <c r="D327" s="62"/>
      <c r="E327" s="62"/>
      <c r="F327" s="59" t="s">
        <v>18</v>
      </c>
      <c r="G327" s="61" t="s">
        <v>640</v>
      </c>
      <c r="H327" s="59" t="s">
        <v>20</v>
      </c>
      <c r="I327" s="61" t="s">
        <v>640</v>
      </c>
      <c r="J327" s="63" t="s">
        <v>21</v>
      </c>
      <c r="K327" s="61" t="s">
        <v>640</v>
      </c>
      <c r="L327" s="63" t="s">
        <v>22</v>
      </c>
      <c r="M327" s="61" t="s">
        <v>640</v>
      </c>
      <c r="N327" s="61" t="s">
        <v>1731</v>
      </c>
      <c r="O327" s="59"/>
      <c r="P327" s="59"/>
      <c r="Q327" s="59"/>
    </row>
    <row r="328" ht="22.5" customHeight="1">
      <c r="A328" s="60" t="s">
        <v>637</v>
      </c>
      <c r="B328" s="59"/>
      <c r="C328" s="59"/>
      <c r="D328" s="62"/>
      <c r="E328" s="62"/>
      <c r="F328" s="59" t="s">
        <v>18</v>
      </c>
      <c r="G328" s="61" t="s">
        <v>640</v>
      </c>
      <c r="H328" s="59" t="s">
        <v>20</v>
      </c>
      <c r="I328" s="61" t="s">
        <v>640</v>
      </c>
      <c r="J328" s="63" t="s">
        <v>21</v>
      </c>
      <c r="K328" s="61" t="s">
        <v>640</v>
      </c>
      <c r="L328" s="63" t="s">
        <v>22</v>
      </c>
      <c r="M328" s="61" t="s">
        <v>640</v>
      </c>
      <c r="N328" s="61" t="s">
        <v>1731</v>
      </c>
      <c r="O328" s="59"/>
      <c r="P328" s="59"/>
      <c r="Q328" s="59"/>
    </row>
    <row r="329" ht="22.5" customHeight="1">
      <c r="A329" s="60" t="s">
        <v>637</v>
      </c>
      <c r="B329" s="59"/>
      <c r="C329" s="59"/>
      <c r="D329" s="62"/>
      <c r="E329" s="62"/>
      <c r="F329" s="59" t="s">
        <v>18</v>
      </c>
      <c r="G329" s="61" t="s">
        <v>640</v>
      </c>
      <c r="H329" s="59" t="s">
        <v>20</v>
      </c>
      <c r="I329" s="61" t="s">
        <v>640</v>
      </c>
      <c r="J329" s="63" t="s">
        <v>21</v>
      </c>
      <c r="K329" s="61" t="s">
        <v>640</v>
      </c>
      <c r="L329" s="63" t="s">
        <v>22</v>
      </c>
      <c r="M329" s="61" t="s">
        <v>640</v>
      </c>
      <c r="N329" s="61" t="s">
        <v>1731</v>
      </c>
      <c r="O329" s="59"/>
      <c r="P329" s="59"/>
      <c r="Q329" s="59"/>
    </row>
    <row r="330" ht="22.5" customHeight="1">
      <c r="A330" s="60" t="s">
        <v>637</v>
      </c>
      <c r="B330" s="59"/>
      <c r="C330" s="59"/>
      <c r="D330" s="62"/>
      <c r="E330" s="62"/>
      <c r="F330" s="59" t="s">
        <v>18</v>
      </c>
      <c r="G330" s="61" t="s">
        <v>640</v>
      </c>
      <c r="H330" s="59" t="s">
        <v>20</v>
      </c>
      <c r="I330" s="61" t="s">
        <v>640</v>
      </c>
      <c r="J330" s="63" t="s">
        <v>21</v>
      </c>
      <c r="K330" s="61" t="s">
        <v>640</v>
      </c>
      <c r="L330" s="63" t="s">
        <v>22</v>
      </c>
      <c r="M330" s="61" t="s">
        <v>640</v>
      </c>
      <c r="N330" s="61" t="s">
        <v>1731</v>
      </c>
      <c r="O330" s="59"/>
      <c r="P330" s="59"/>
      <c r="Q330" s="59"/>
    </row>
    <row r="331" ht="22.5" customHeight="1">
      <c r="A331" s="60" t="s">
        <v>637</v>
      </c>
      <c r="B331" s="59"/>
      <c r="C331" s="59"/>
      <c r="D331" s="62"/>
      <c r="E331" s="62"/>
      <c r="F331" s="59" t="s">
        <v>18</v>
      </c>
      <c r="G331" s="61" t="s">
        <v>640</v>
      </c>
      <c r="H331" s="59" t="s">
        <v>20</v>
      </c>
      <c r="I331" s="61" t="s">
        <v>640</v>
      </c>
      <c r="J331" s="63" t="s">
        <v>21</v>
      </c>
      <c r="K331" s="61" t="s">
        <v>640</v>
      </c>
      <c r="L331" s="63" t="s">
        <v>22</v>
      </c>
      <c r="M331" s="61" t="s">
        <v>640</v>
      </c>
      <c r="N331" s="61" t="s">
        <v>1731</v>
      </c>
      <c r="O331" s="59"/>
      <c r="P331" s="59"/>
      <c r="Q331" s="59"/>
    </row>
    <row r="332" ht="22.5" customHeight="1">
      <c r="A332" s="60" t="s">
        <v>637</v>
      </c>
      <c r="B332" s="59"/>
      <c r="C332" s="59"/>
      <c r="D332" s="62"/>
      <c r="E332" s="62"/>
      <c r="F332" s="59" t="s">
        <v>18</v>
      </c>
      <c r="G332" s="61" t="s">
        <v>640</v>
      </c>
      <c r="H332" s="59" t="s">
        <v>20</v>
      </c>
      <c r="I332" s="61" t="s">
        <v>640</v>
      </c>
      <c r="J332" s="63" t="s">
        <v>21</v>
      </c>
      <c r="K332" s="61" t="s">
        <v>640</v>
      </c>
      <c r="L332" s="63" t="s">
        <v>22</v>
      </c>
      <c r="M332" s="61" t="s">
        <v>640</v>
      </c>
      <c r="N332" s="61" t="s">
        <v>1731</v>
      </c>
      <c r="O332" s="59"/>
      <c r="P332" s="59"/>
      <c r="Q332" s="59"/>
    </row>
    <row r="333" ht="22.5" customHeight="1">
      <c r="A333" s="60" t="s">
        <v>637</v>
      </c>
      <c r="B333" s="59"/>
      <c r="C333" s="59"/>
      <c r="D333" s="62"/>
      <c r="E333" s="62"/>
      <c r="F333" s="59" t="s">
        <v>18</v>
      </c>
      <c r="G333" s="61" t="s">
        <v>640</v>
      </c>
      <c r="H333" s="59" t="s">
        <v>20</v>
      </c>
      <c r="I333" s="61" t="s">
        <v>640</v>
      </c>
      <c r="J333" s="63" t="s">
        <v>21</v>
      </c>
      <c r="K333" s="61" t="s">
        <v>640</v>
      </c>
      <c r="L333" s="63" t="s">
        <v>22</v>
      </c>
      <c r="M333" s="61" t="s">
        <v>640</v>
      </c>
      <c r="N333" s="61" t="s">
        <v>1731</v>
      </c>
      <c r="O333" s="59"/>
      <c r="P333" s="59"/>
      <c r="Q333" s="59"/>
    </row>
    <row r="334" ht="22.5" customHeight="1">
      <c r="A334" s="60" t="s">
        <v>637</v>
      </c>
      <c r="B334" s="59"/>
      <c r="C334" s="59"/>
      <c r="D334" s="62"/>
      <c r="E334" s="62"/>
      <c r="F334" s="59" t="s">
        <v>18</v>
      </c>
      <c r="G334" s="61" t="s">
        <v>640</v>
      </c>
      <c r="H334" s="59" t="s">
        <v>20</v>
      </c>
      <c r="I334" s="61" t="s">
        <v>640</v>
      </c>
      <c r="J334" s="63" t="s">
        <v>21</v>
      </c>
      <c r="K334" s="61" t="s">
        <v>640</v>
      </c>
      <c r="L334" s="63" t="s">
        <v>22</v>
      </c>
      <c r="M334" s="61" t="s">
        <v>640</v>
      </c>
      <c r="N334" s="61" t="s">
        <v>1731</v>
      </c>
      <c r="O334" s="59"/>
      <c r="P334" s="59"/>
      <c r="Q334" s="59"/>
    </row>
    <row r="335" ht="22.5" customHeight="1">
      <c r="A335" s="60" t="s">
        <v>637</v>
      </c>
      <c r="B335" s="59"/>
      <c r="C335" s="59"/>
      <c r="D335" s="62"/>
      <c r="E335" s="62"/>
      <c r="F335" s="59" t="s">
        <v>18</v>
      </c>
      <c r="G335" s="61" t="s">
        <v>640</v>
      </c>
      <c r="H335" s="59" t="s">
        <v>20</v>
      </c>
      <c r="I335" s="61" t="s">
        <v>640</v>
      </c>
      <c r="J335" s="63" t="s">
        <v>21</v>
      </c>
      <c r="K335" s="61" t="s">
        <v>640</v>
      </c>
      <c r="L335" s="63" t="s">
        <v>22</v>
      </c>
      <c r="M335" s="61" t="s">
        <v>640</v>
      </c>
      <c r="N335" s="61" t="s">
        <v>1731</v>
      </c>
      <c r="O335" s="59"/>
      <c r="P335" s="59"/>
      <c r="Q335" s="59"/>
    </row>
    <row r="336" ht="22.5" customHeight="1">
      <c r="A336" s="60" t="s">
        <v>637</v>
      </c>
      <c r="B336" s="59"/>
      <c r="C336" s="59"/>
      <c r="D336" s="62"/>
      <c r="E336" s="62"/>
      <c r="F336" s="59" t="s">
        <v>18</v>
      </c>
      <c r="G336" s="61" t="s">
        <v>640</v>
      </c>
      <c r="H336" s="59" t="s">
        <v>20</v>
      </c>
      <c r="I336" s="61" t="s">
        <v>640</v>
      </c>
      <c r="J336" s="63" t="s">
        <v>21</v>
      </c>
      <c r="K336" s="61" t="s">
        <v>640</v>
      </c>
      <c r="L336" s="63" t="s">
        <v>22</v>
      </c>
      <c r="M336" s="61" t="s">
        <v>640</v>
      </c>
      <c r="N336" s="61" t="s">
        <v>1731</v>
      </c>
      <c r="O336" s="59"/>
      <c r="P336" s="59"/>
      <c r="Q336" s="59"/>
    </row>
    <row r="337" ht="22.5" customHeight="1">
      <c r="A337" s="60" t="s">
        <v>637</v>
      </c>
      <c r="B337" s="59"/>
      <c r="C337" s="59"/>
      <c r="D337" s="62"/>
      <c r="E337" s="62"/>
      <c r="F337" s="59" t="s">
        <v>18</v>
      </c>
      <c r="G337" s="61" t="s">
        <v>640</v>
      </c>
      <c r="H337" s="59" t="s">
        <v>20</v>
      </c>
      <c r="I337" s="61" t="s">
        <v>640</v>
      </c>
      <c r="J337" s="63" t="s">
        <v>21</v>
      </c>
      <c r="K337" s="61" t="s">
        <v>640</v>
      </c>
      <c r="L337" s="63" t="s">
        <v>22</v>
      </c>
      <c r="M337" s="61" t="s">
        <v>640</v>
      </c>
      <c r="N337" s="61" t="s">
        <v>1731</v>
      </c>
      <c r="O337" s="59"/>
      <c r="P337" s="59"/>
      <c r="Q337" s="59"/>
    </row>
    <row r="338" ht="22.5" customHeight="1">
      <c r="A338" s="60" t="s">
        <v>637</v>
      </c>
      <c r="B338" s="59"/>
      <c r="C338" s="59"/>
      <c r="D338" s="62"/>
      <c r="E338" s="62"/>
      <c r="F338" s="59" t="s">
        <v>18</v>
      </c>
      <c r="G338" s="61" t="s">
        <v>640</v>
      </c>
      <c r="H338" s="59" t="s">
        <v>20</v>
      </c>
      <c r="I338" s="61" t="s">
        <v>640</v>
      </c>
      <c r="J338" s="63" t="s">
        <v>21</v>
      </c>
      <c r="K338" s="61" t="s">
        <v>640</v>
      </c>
      <c r="L338" s="63" t="s">
        <v>22</v>
      </c>
      <c r="M338" s="61" t="s">
        <v>640</v>
      </c>
      <c r="N338" s="61" t="s">
        <v>1731</v>
      </c>
      <c r="O338" s="59"/>
      <c r="P338" s="59"/>
      <c r="Q338" s="59"/>
    </row>
    <row r="339" ht="22.5" customHeight="1">
      <c r="A339" s="60" t="s">
        <v>637</v>
      </c>
      <c r="B339" s="59"/>
      <c r="C339" s="59"/>
      <c r="D339" s="62"/>
      <c r="E339" s="62"/>
      <c r="F339" s="59" t="s">
        <v>18</v>
      </c>
      <c r="G339" s="61" t="s">
        <v>640</v>
      </c>
      <c r="H339" s="59" t="s">
        <v>20</v>
      </c>
      <c r="I339" s="61" t="s">
        <v>640</v>
      </c>
      <c r="J339" s="63" t="s">
        <v>21</v>
      </c>
      <c r="K339" s="61" t="s">
        <v>640</v>
      </c>
      <c r="L339" s="63" t="s">
        <v>22</v>
      </c>
      <c r="M339" s="61" t="s">
        <v>640</v>
      </c>
      <c r="N339" s="61" t="s">
        <v>1731</v>
      </c>
      <c r="O339" s="59"/>
      <c r="P339" s="59"/>
      <c r="Q339" s="59"/>
    </row>
    <row r="340" ht="22.5" customHeight="1">
      <c r="A340" s="60" t="s">
        <v>637</v>
      </c>
      <c r="B340" s="59"/>
      <c r="C340" s="59"/>
      <c r="D340" s="62"/>
      <c r="E340" s="62"/>
      <c r="F340" s="59" t="s">
        <v>18</v>
      </c>
      <c r="G340" s="61" t="s">
        <v>640</v>
      </c>
      <c r="H340" s="59" t="s">
        <v>20</v>
      </c>
      <c r="I340" s="61" t="s">
        <v>640</v>
      </c>
      <c r="J340" s="63" t="s">
        <v>21</v>
      </c>
      <c r="K340" s="61" t="s">
        <v>640</v>
      </c>
      <c r="L340" s="63" t="s">
        <v>22</v>
      </c>
      <c r="M340" s="61" t="s">
        <v>640</v>
      </c>
      <c r="N340" s="61" t="s">
        <v>1731</v>
      </c>
      <c r="O340" s="59"/>
      <c r="P340" s="59"/>
      <c r="Q340" s="59"/>
    </row>
    <row r="341" ht="22.5" customHeight="1">
      <c r="A341" s="60" t="s">
        <v>637</v>
      </c>
      <c r="B341" s="59"/>
      <c r="C341" s="59"/>
      <c r="D341" s="62"/>
      <c r="E341" s="62"/>
      <c r="F341" s="59" t="s">
        <v>18</v>
      </c>
      <c r="G341" s="61" t="s">
        <v>640</v>
      </c>
      <c r="H341" s="59" t="s">
        <v>20</v>
      </c>
      <c r="I341" s="61" t="s">
        <v>640</v>
      </c>
      <c r="J341" s="63" t="s">
        <v>21</v>
      </c>
      <c r="K341" s="61" t="s">
        <v>640</v>
      </c>
      <c r="L341" s="63" t="s">
        <v>22</v>
      </c>
      <c r="M341" s="61" t="s">
        <v>640</v>
      </c>
      <c r="N341" s="61" t="s">
        <v>1731</v>
      </c>
      <c r="O341" s="59"/>
      <c r="P341" s="59"/>
      <c r="Q341" s="59"/>
    </row>
    <row r="342" ht="22.5" customHeight="1">
      <c r="A342" s="60" t="s">
        <v>637</v>
      </c>
      <c r="B342" s="59"/>
      <c r="C342" s="59"/>
      <c r="D342" s="62"/>
      <c r="E342" s="62"/>
      <c r="F342" s="59" t="s">
        <v>18</v>
      </c>
      <c r="G342" s="61" t="s">
        <v>640</v>
      </c>
      <c r="H342" s="59" t="s">
        <v>20</v>
      </c>
      <c r="I342" s="61" t="s">
        <v>640</v>
      </c>
      <c r="J342" s="63" t="s">
        <v>21</v>
      </c>
      <c r="K342" s="61" t="s">
        <v>640</v>
      </c>
      <c r="L342" s="63" t="s">
        <v>22</v>
      </c>
      <c r="M342" s="61" t="s">
        <v>640</v>
      </c>
      <c r="N342" s="61" t="s">
        <v>1731</v>
      </c>
      <c r="O342" s="59"/>
      <c r="P342" s="59"/>
      <c r="Q342" s="59"/>
    </row>
    <row r="343" ht="22.5" customHeight="1">
      <c r="A343" s="60" t="s">
        <v>637</v>
      </c>
      <c r="B343" s="59"/>
      <c r="C343" s="59"/>
      <c r="D343" s="62"/>
      <c r="E343" s="62"/>
      <c r="F343" s="59" t="s">
        <v>18</v>
      </c>
      <c r="G343" s="61" t="s">
        <v>640</v>
      </c>
      <c r="H343" s="59" t="s">
        <v>20</v>
      </c>
      <c r="I343" s="61" t="s">
        <v>640</v>
      </c>
      <c r="J343" s="63" t="s">
        <v>21</v>
      </c>
      <c r="K343" s="61" t="s">
        <v>640</v>
      </c>
      <c r="L343" s="63" t="s">
        <v>22</v>
      </c>
      <c r="M343" s="61" t="s">
        <v>640</v>
      </c>
      <c r="N343" s="61" t="s">
        <v>1731</v>
      </c>
      <c r="O343" s="59"/>
      <c r="P343" s="59"/>
      <c r="Q343" s="59"/>
    </row>
    <row r="344" ht="22.5" customHeight="1">
      <c r="A344" s="60" t="s">
        <v>637</v>
      </c>
      <c r="B344" s="59"/>
      <c r="C344" s="59"/>
      <c r="D344" s="62"/>
      <c r="E344" s="62"/>
      <c r="F344" s="59" t="s">
        <v>18</v>
      </c>
      <c r="G344" s="61" t="s">
        <v>640</v>
      </c>
      <c r="H344" s="59" t="s">
        <v>20</v>
      </c>
      <c r="I344" s="61" t="s">
        <v>640</v>
      </c>
      <c r="J344" s="63" t="s">
        <v>21</v>
      </c>
      <c r="K344" s="61" t="s">
        <v>640</v>
      </c>
      <c r="L344" s="63" t="s">
        <v>22</v>
      </c>
      <c r="M344" s="61" t="s">
        <v>640</v>
      </c>
      <c r="N344" s="61" t="s">
        <v>1731</v>
      </c>
      <c r="O344" s="59"/>
      <c r="P344" s="59"/>
      <c r="Q344" s="59"/>
    </row>
    <row r="345" ht="22.5" customHeight="1">
      <c r="A345" s="60" t="s">
        <v>637</v>
      </c>
      <c r="B345" s="59"/>
      <c r="C345" s="59"/>
      <c r="D345" s="62"/>
      <c r="E345" s="62"/>
      <c r="F345" s="59" t="s">
        <v>18</v>
      </c>
      <c r="G345" s="61" t="s">
        <v>640</v>
      </c>
      <c r="H345" s="59" t="s">
        <v>20</v>
      </c>
      <c r="I345" s="61" t="s">
        <v>640</v>
      </c>
      <c r="J345" s="63" t="s">
        <v>21</v>
      </c>
      <c r="K345" s="61" t="s">
        <v>640</v>
      </c>
      <c r="L345" s="63" t="s">
        <v>22</v>
      </c>
      <c r="M345" s="61" t="s">
        <v>640</v>
      </c>
      <c r="N345" s="61" t="s">
        <v>1731</v>
      </c>
      <c r="O345" s="59"/>
      <c r="P345" s="59"/>
      <c r="Q345" s="59"/>
    </row>
    <row r="346" ht="22.5" customHeight="1">
      <c r="A346" s="60" t="s">
        <v>637</v>
      </c>
      <c r="B346" s="59"/>
      <c r="C346" s="59"/>
      <c r="D346" s="62"/>
      <c r="E346" s="62"/>
      <c r="F346" s="59" t="s">
        <v>18</v>
      </c>
      <c r="G346" s="61" t="s">
        <v>640</v>
      </c>
      <c r="H346" s="59" t="s">
        <v>20</v>
      </c>
      <c r="I346" s="61" t="s">
        <v>640</v>
      </c>
      <c r="J346" s="63" t="s">
        <v>21</v>
      </c>
      <c r="K346" s="61" t="s">
        <v>640</v>
      </c>
      <c r="L346" s="63" t="s">
        <v>22</v>
      </c>
      <c r="M346" s="61" t="s">
        <v>640</v>
      </c>
      <c r="N346" s="61" t="s">
        <v>1731</v>
      </c>
      <c r="O346" s="59"/>
      <c r="P346" s="59"/>
      <c r="Q346" s="59"/>
    </row>
    <row r="347" ht="22.5" customHeight="1">
      <c r="A347" s="60" t="s">
        <v>637</v>
      </c>
      <c r="B347" s="59"/>
      <c r="C347" s="59"/>
      <c r="D347" s="62"/>
      <c r="E347" s="62"/>
      <c r="F347" s="59" t="s">
        <v>18</v>
      </c>
      <c r="G347" s="61" t="s">
        <v>640</v>
      </c>
      <c r="H347" s="59" t="s">
        <v>20</v>
      </c>
      <c r="I347" s="61" t="s">
        <v>640</v>
      </c>
      <c r="J347" s="63" t="s">
        <v>21</v>
      </c>
      <c r="K347" s="61" t="s">
        <v>640</v>
      </c>
      <c r="L347" s="63" t="s">
        <v>22</v>
      </c>
      <c r="M347" s="61" t="s">
        <v>640</v>
      </c>
      <c r="N347" s="61" t="s">
        <v>1731</v>
      </c>
      <c r="O347" s="59"/>
      <c r="P347" s="59"/>
      <c r="Q347" s="59"/>
    </row>
    <row r="348" ht="22.5" customHeight="1">
      <c r="A348" s="60" t="s">
        <v>637</v>
      </c>
      <c r="B348" s="59"/>
      <c r="C348" s="59"/>
      <c r="D348" s="62"/>
      <c r="E348" s="62"/>
      <c r="F348" s="59" t="s">
        <v>18</v>
      </c>
      <c r="G348" s="61" t="s">
        <v>640</v>
      </c>
      <c r="H348" s="59" t="s">
        <v>20</v>
      </c>
      <c r="I348" s="61" t="s">
        <v>640</v>
      </c>
      <c r="J348" s="63" t="s">
        <v>21</v>
      </c>
      <c r="K348" s="61" t="s">
        <v>640</v>
      </c>
      <c r="L348" s="63" t="s">
        <v>22</v>
      </c>
      <c r="M348" s="61" t="s">
        <v>640</v>
      </c>
      <c r="N348" s="61" t="s">
        <v>1731</v>
      </c>
      <c r="O348" s="59"/>
      <c r="P348" s="59"/>
      <c r="Q348" s="59"/>
    </row>
    <row r="349" ht="22.5" customHeight="1">
      <c r="A349" s="60" t="s">
        <v>637</v>
      </c>
      <c r="B349" s="59"/>
      <c r="C349" s="59"/>
      <c r="D349" s="62"/>
      <c r="E349" s="62"/>
      <c r="F349" s="59" t="s">
        <v>18</v>
      </c>
      <c r="G349" s="61" t="s">
        <v>640</v>
      </c>
      <c r="H349" s="59" t="s">
        <v>20</v>
      </c>
      <c r="I349" s="61" t="s">
        <v>640</v>
      </c>
      <c r="J349" s="63" t="s">
        <v>21</v>
      </c>
      <c r="K349" s="61" t="s">
        <v>640</v>
      </c>
      <c r="L349" s="63" t="s">
        <v>22</v>
      </c>
      <c r="M349" s="61" t="s">
        <v>640</v>
      </c>
      <c r="N349" s="61" t="s">
        <v>1731</v>
      </c>
      <c r="O349" s="59"/>
      <c r="P349" s="59"/>
      <c r="Q349" s="59"/>
    </row>
    <row r="350" ht="22.5" customHeight="1">
      <c r="A350" s="60" t="s">
        <v>637</v>
      </c>
      <c r="B350" s="59"/>
      <c r="C350" s="59"/>
      <c r="D350" s="62"/>
      <c r="E350" s="62"/>
      <c r="F350" s="59" t="s">
        <v>18</v>
      </c>
      <c r="G350" s="61" t="s">
        <v>640</v>
      </c>
      <c r="H350" s="59" t="s">
        <v>20</v>
      </c>
      <c r="I350" s="61" t="s">
        <v>640</v>
      </c>
      <c r="J350" s="63" t="s">
        <v>21</v>
      </c>
      <c r="K350" s="61" t="s">
        <v>640</v>
      </c>
      <c r="L350" s="63" t="s">
        <v>22</v>
      </c>
      <c r="M350" s="61" t="s">
        <v>640</v>
      </c>
      <c r="N350" s="61" t="s">
        <v>1731</v>
      </c>
      <c r="O350" s="59"/>
      <c r="P350" s="59"/>
      <c r="Q350" s="59"/>
    </row>
    <row r="351" ht="22.5" customHeight="1">
      <c r="A351" s="60" t="s">
        <v>637</v>
      </c>
      <c r="B351" s="59"/>
      <c r="C351" s="59"/>
      <c r="D351" s="62"/>
      <c r="E351" s="62"/>
      <c r="F351" s="59" t="s">
        <v>18</v>
      </c>
      <c r="G351" s="61" t="s">
        <v>640</v>
      </c>
      <c r="H351" s="59" t="s">
        <v>20</v>
      </c>
      <c r="I351" s="61" t="s">
        <v>640</v>
      </c>
      <c r="J351" s="63" t="s">
        <v>21</v>
      </c>
      <c r="K351" s="61" t="s">
        <v>640</v>
      </c>
      <c r="L351" s="63" t="s">
        <v>22</v>
      </c>
      <c r="M351" s="61" t="s">
        <v>640</v>
      </c>
      <c r="N351" s="61" t="s">
        <v>1731</v>
      </c>
      <c r="O351" s="59"/>
      <c r="P351" s="59"/>
      <c r="Q351" s="59"/>
    </row>
    <row r="352" ht="22.5" customHeight="1">
      <c r="A352" s="60" t="s">
        <v>637</v>
      </c>
      <c r="B352" s="59"/>
      <c r="C352" s="59"/>
      <c r="D352" s="62"/>
      <c r="E352" s="62"/>
      <c r="F352" s="59"/>
      <c r="G352" s="61" t="s">
        <v>640</v>
      </c>
      <c r="H352" s="59" t="s">
        <v>20</v>
      </c>
      <c r="I352" s="61" t="s">
        <v>640</v>
      </c>
      <c r="J352" s="63" t="s">
        <v>21</v>
      </c>
      <c r="K352" s="61" t="s">
        <v>640</v>
      </c>
      <c r="L352" s="63" t="s">
        <v>22</v>
      </c>
      <c r="M352" s="61" t="s">
        <v>640</v>
      </c>
      <c r="N352" s="61" t="s">
        <v>1731</v>
      </c>
      <c r="O352" s="59"/>
      <c r="P352" s="59"/>
      <c r="Q352" s="59"/>
    </row>
    <row r="353" ht="22.5" customHeight="1">
      <c r="A353" s="60" t="s">
        <v>637</v>
      </c>
      <c r="B353" s="59"/>
      <c r="C353" s="59"/>
      <c r="D353" s="62"/>
      <c r="E353" s="62"/>
      <c r="F353" s="59"/>
      <c r="G353" s="61" t="s">
        <v>640</v>
      </c>
      <c r="H353" s="59" t="s">
        <v>20</v>
      </c>
      <c r="I353" s="61" t="s">
        <v>640</v>
      </c>
      <c r="J353" s="63" t="s">
        <v>21</v>
      </c>
      <c r="K353" s="61" t="s">
        <v>640</v>
      </c>
      <c r="L353" s="63" t="s">
        <v>22</v>
      </c>
      <c r="M353" s="61" t="s">
        <v>640</v>
      </c>
      <c r="N353" s="61" t="s">
        <v>1731</v>
      </c>
      <c r="O353" s="59"/>
      <c r="P353" s="59"/>
      <c r="Q353" s="59"/>
    </row>
    <row r="354" ht="22.5" customHeight="1">
      <c r="A354" s="60" t="s">
        <v>637</v>
      </c>
      <c r="B354" s="59"/>
      <c r="C354" s="59"/>
      <c r="D354" s="62"/>
      <c r="E354" s="62"/>
      <c r="F354" s="59"/>
      <c r="G354" s="61" t="s">
        <v>640</v>
      </c>
      <c r="H354" s="59" t="s">
        <v>20</v>
      </c>
      <c r="I354" s="61" t="s">
        <v>640</v>
      </c>
      <c r="J354" s="63" t="s">
        <v>21</v>
      </c>
      <c r="K354" s="61" t="s">
        <v>640</v>
      </c>
      <c r="L354" s="63" t="s">
        <v>22</v>
      </c>
      <c r="M354" s="61" t="s">
        <v>640</v>
      </c>
      <c r="N354" s="61" t="s">
        <v>1731</v>
      </c>
      <c r="O354" s="59"/>
      <c r="P354" s="59"/>
      <c r="Q354" s="59"/>
    </row>
    <row r="355" ht="22.5" customHeight="1">
      <c r="A355" s="60" t="s">
        <v>637</v>
      </c>
      <c r="B355" s="59"/>
      <c r="C355" s="59"/>
      <c r="D355" s="62"/>
      <c r="E355" s="62"/>
      <c r="F355" s="59"/>
      <c r="G355" s="61" t="s">
        <v>640</v>
      </c>
      <c r="H355" s="59" t="s">
        <v>20</v>
      </c>
      <c r="I355" s="61" t="s">
        <v>640</v>
      </c>
      <c r="J355" s="63" t="s">
        <v>21</v>
      </c>
      <c r="K355" s="61" t="s">
        <v>640</v>
      </c>
      <c r="L355" s="63" t="s">
        <v>22</v>
      </c>
      <c r="M355" s="61" t="s">
        <v>640</v>
      </c>
      <c r="N355" s="61" t="s">
        <v>1731</v>
      </c>
      <c r="O355" s="59"/>
      <c r="P355" s="59"/>
      <c r="Q355" s="59"/>
    </row>
    <row r="356" ht="22.5" customHeight="1">
      <c r="A356" s="60" t="s">
        <v>637</v>
      </c>
      <c r="B356" s="59"/>
      <c r="C356" s="59"/>
      <c r="D356" s="62"/>
      <c r="E356" s="62"/>
      <c r="F356" s="59"/>
      <c r="G356" s="61" t="s">
        <v>640</v>
      </c>
      <c r="H356" s="59" t="s">
        <v>20</v>
      </c>
      <c r="I356" s="61" t="s">
        <v>640</v>
      </c>
      <c r="J356" s="63" t="s">
        <v>21</v>
      </c>
      <c r="K356" s="61" t="s">
        <v>640</v>
      </c>
      <c r="L356" s="63" t="s">
        <v>22</v>
      </c>
      <c r="M356" s="61" t="s">
        <v>640</v>
      </c>
      <c r="N356" s="61" t="s">
        <v>1731</v>
      </c>
      <c r="O356" s="59"/>
      <c r="P356" s="59"/>
      <c r="Q356" s="59"/>
    </row>
    <row r="357" ht="22.5" customHeight="1">
      <c r="A357" s="60" t="s">
        <v>637</v>
      </c>
      <c r="B357" s="59"/>
      <c r="C357" s="59"/>
      <c r="D357" s="62"/>
      <c r="E357" s="62"/>
      <c r="F357" s="59"/>
      <c r="G357" s="61" t="s">
        <v>640</v>
      </c>
      <c r="H357" s="59" t="s">
        <v>20</v>
      </c>
      <c r="I357" s="61" t="s">
        <v>640</v>
      </c>
      <c r="J357" s="63" t="s">
        <v>21</v>
      </c>
      <c r="K357" s="61" t="s">
        <v>640</v>
      </c>
      <c r="L357" s="63" t="s">
        <v>22</v>
      </c>
      <c r="M357" s="61" t="s">
        <v>640</v>
      </c>
      <c r="N357" s="61" t="s">
        <v>1731</v>
      </c>
      <c r="O357" s="59"/>
      <c r="P357" s="59"/>
      <c r="Q357" s="59"/>
    </row>
    <row r="358" ht="22.5" customHeight="1">
      <c r="A358" s="60" t="s">
        <v>637</v>
      </c>
      <c r="B358" s="59"/>
      <c r="C358" s="59"/>
      <c r="D358" s="62"/>
      <c r="E358" s="62"/>
      <c r="F358" s="59"/>
      <c r="G358" s="61" t="s">
        <v>640</v>
      </c>
      <c r="H358" s="59" t="s">
        <v>20</v>
      </c>
      <c r="I358" s="61" t="s">
        <v>640</v>
      </c>
      <c r="J358" s="63" t="s">
        <v>21</v>
      </c>
      <c r="K358" s="61" t="s">
        <v>640</v>
      </c>
      <c r="L358" s="63" t="s">
        <v>22</v>
      </c>
      <c r="M358" s="61" t="s">
        <v>640</v>
      </c>
      <c r="N358" s="61" t="s">
        <v>1731</v>
      </c>
      <c r="O358" s="59"/>
      <c r="P358" s="59"/>
      <c r="Q358" s="59"/>
    </row>
    <row r="359" ht="22.5" customHeight="1">
      <c r="A359" s="60" t="s">
        <v>637</v>
      </c>
      <c r="B359" s="59"/>
      <c r="C359" s="59"/>
      <c r="D359" s="62"/>
      <c r="E359" s="62"/>
      <c r="F359" s="59"/>
      <c r="G359" s="61" t="s">
        <v>640</v>
      </c>
      <c r="H359" s="59" t="s">
        <v>20</v>
      </c>
      <c r="I359" s="61" t="s">
        <v>640</v>
      </c>
      <c r="J359" s="63" t="s">
        <v>21</v>
      </c>
      <c r="K359" s="61" t="s">
        <v>640</v>
      </c>
      <c r="L359" s="63" t="s">
        <v>22</v>
      </c>
      <c r="M359" s="61" t="s">
        <v>640</v>
      </c>
      <c r="N359" s="61" t="s">
        <v>1731</v>
      </c>
      <c r="O359" s="59"/>
      <c r="P359" s="59"/>
      <c r="Q359" s="59"/>
    </row>
    <row r="360" ht="22.5" customHeight="1">
      <c r="A360" s="60" t="s">
        <v>637</v>
      </c>
      <c r="B360" s="59"/>
      <c r="C360" s="59"/>
      <c r="D360" s="62"/>
      <c r="E360" s="62"/>
      <c r="F360" s="59"/>
      <c r="G360" s="61" t="s">
        <v>640</v>
      </c>
      <c r="H360" s="59" t="s">
        <v>20</v>
      </c>
      <c r="I360" s="61" t="s">
        <v>640</v>
      </c>
      <c r="J360" s="63" t="s">
        <v>21</v>
      </c>
      <c r="K360" s="61" t="s">
        <v>640</v>
      </c>
      <c r="L360" s="63" t="s">
        <v>22</v>
      </c>
      <c r="M360" s="61" t="s">
        <v>640</v>
      </c>
      <c r="N360" s="61" t="s">
        <v>1731</v>
      </c>
      <c r="O360" s="59"/>
      <c r="P360" s="59"/>
      <c r="Q360" s="59"/>
    </row>
    <row r="361" ht="22.5" customHeight="1">
      <c r="A361" s="60" t="s">
        <v>637</v>
      </c>
      <c r="B361" s="59"/>
      <c r="C361" s="59"/>
      <c r="D361" s="62"/>
      <c r="E361" s="62"/>
      <c r="F361" s="59"/>
      <c r="G361" s="61" t="s">
        <v>640</v>
      </c>
      <c r="H361" s="59" t="s">
        <v>20</v>
      </c>
      <c r="I361" s="61" t="s">
        <v>640</v>
      </c>
      <c r="J361" s="63" t="s">
        <v>21</v>
      </c>
      <c r="K361" s="61" t="s">
        <v>640</v>
      </c>
      <c r="L361" s="63" t="s">
        <v>22</v>
      </c>
      <c r="M361" s="61" t="s">
        <v>640</v>
      </c>
      <c r="N361" s="61" t="s">
        <v>1731</v>
      </c>
      <c r="O361" s="59"/>
      <c r="P361" s="59"/>
      <c r="Q361" s="59"/>
    </row>
    <row r="362" ht="22.5" customHeight="1">
      <c r="A362" s="60" t="s">
        <v>637</v>
      </c>
      <c r="B362" s="59"/>
      <c r="C362" s="59"/>
      <c r="D362" s="62"/>
      <c r="E362" s="62"/>
      <c r="F362" s="59"/>
      <c r="G362" s="61" t="s">
        <v>640</v>
      </c>
      <c r="H362" s="59" t="s">
        <v>20</v>
      </c>
      <c r="I362" s="61" t="s">
        <v>640</v>
      </c>
      <c r="J362" s="63" t="s">
        <v>21</v>
      </c>
      <c r="K362" s="61" t="s">
        <v>640</v>
      </c>
      <c r="L362" s="63" t="s">
        <v>22</v>
      </c>
      <c r="M362" s="61" t="s">
        <v>640</v>
      </c>
      <c r="N362" s="61" t="s">
        <v>1731</v>
      </c>
      <c r="O362" s="59"/>
      <c r="P362" s="59"/>
      <c r="Q362" s="59"/>
    </row>
    <row r="363" ht="22.5" customHeight="1">
      <c r="A363" s="60" t="s">
        <v>637</v>
      </c>
      <c r="B363" s="59"/>
      <c r="C363" s="59"/>
      <c r="D363" s="62"/>
      <c r="E363" s="62"/>
      <c r="F363" s="59"/>
      <c r="G363" s="61" t="s">
        <v>640</v>
      </c>
      <c r="H363" s="59" t="s">
        <v>20</v>
      </c>
      <c r="I363" s="61" t="s">
        <v>640</v>
      </c>
      <c r="J363" s="63" t="s">
        <v>21</v>
      </c>
      <c r="K363" s="61" t="s">
        <v>640</v>
      </c>
      <c r="L363" s="63" t="s">
        <v>22</v>
      </c>
      <c r="M363" s="61" t="s">
        <v>640</v>
      </c>
      <c r="N363" s="61" t="s">
        <v>1731</v>
      </c>
      <c r="O363" s="59"/>
      <c r="P363" s="59"/>
      <c r="Q363" s="59"/>
    </row>
    <row r="364" ht="22.5" customHeight="1">
      <c r="A364" s="60" t="s">
        <v>637</v>
      </c>
      <c r="B364" s="59"/>
      <c r="C364" s="59"/>
      <c r="D364" s="62"/>
      <c r="E364" s="62"/>
      <c r="F364" s="59"/>
      <c r="G364" s="61" t="s">
        <v>640</v>
      </c>
      <c r="H364" s="59" t="s">
        <v>20</v>
      </c>
      <c r="I364" s="61" t="s">
        <v>640</v>
      </c>
      <c r="J364" s="63" t="s">
        <v>21</v>
      </c>
      <c r="K364" s="61" t="s">
        <v>640</v>
      </c>
      <c r="L364" s="63" t="s">
        <v>22</v>
      </c>
      <c r="M364" s="61" t="s">
        <v>640</v>
      </c>
      <c r="N364" s="61" t="s">
        <v>1731</v>
      </c>
      <c r="O364" s="59"/>
      <c r="P364" s="59"/>
      <c r="Q364" s="59"/>
    </row>
    <row r="365" ht="22.5" customHeight="1">
      <c r="A365" s="60" t="s">
        <v>637</v>
      </c>
      <c r="B365" s="59"/>
      <c r="C365" s="59"/>
      <c r="D365" s="62"/>
      <c r="E365" s="62"/>
      <c r="F365" s="59"/>
      <c r="G365" s="61" t="s">
        <v>640</v>
      </c>
      <c r="H365" s="59" t="s">
        <v>20</v>
      </c>
      <c r="I365" s="61" t="s">
        <v>640</v>
      </c>
      <c r="J365" s="63" t="s">
        <v>21</v>
      </c>
      <c r="K365" s="61" t="s">
        <v>640</v>
      </c>
      <c r="L365" s="63" t="s">
        <v>22</v>
      </c>
      <c r="M365" s="61" t="s">
        <v>640</v>
      </c>
      <c r="N365" s="61" t="s">
        <v>1731</v>
      </c>
      <c r="O365" s="59"/>
      <c r="P365" s="59"/>
      <c r="Q365" s="59"/>
    </row>
    <row r="366" ht="22.5" customHeight="1">
      <c r="A366" s="60" t="s">
        <v>637</v>
      </c>
      <c r="B366" s="59"/>
      <c r="C366" s="59"/>
      <c r="D366" s="62"/>
      <c r="E366" s="62"/>
      <c r="F366" s="59"/>
      <c r="G366" s="61" t="s">
        <v>640</v>
      </c>
      <c r="H366" s="59" t="s">
        <v>20</v>
      </c>
      <c r="I366" s="61" t="s">
        <v>640</v>
      </c>
      <c r="J366" s="63" t="s">
        <v>21</v>
      </c>
      <c r="K366" s="61" t="s">
        <v>640</v>
      </c>
      <c r="L366" s="63" t="s">
        <v>22</v>
      </c>
      <c r="M366" s="61" t="s">
        <v>640</v>
      </c>
      <c r="N366" s="61" t="s">
        <v>1731</v>
      </c>
      <c r="O366" s="59"/>
      <c r="P366" s="59"/>
      <c r="Q366" s="59"/>
    </row>
    <row r="367" ht="22.5" customHeight="1">
      <c r="A367" s="60" t="s">
        <v>637</v>
      </c>
      <c r="B367" s="59"/>
      <c r="C367" s="59"/>
      <c r="D367" s="62"/>
      <c r="E367" s="62"/>
      <c r="F367" s="59"/>
      <c r="G367" s="61" t="s">
        <v>640</v>
      </c>
      <c r="H367" s="59" t="s">
        <v>20</v>
      </c>
      <c r="I367" s="61" t="s">
        <v>640</v>
      </c>
      <c r="J367" s="63" t="s">
        <v>21</v>
      </c>
      <c r="K367" s="61" t="s">
        <v>640</v>
      </c>
      <c r="L367" s="63" t="s">
        <v>22</v>
      </c>
      <c r="M367" s="61" t="s">
        <v>640</v>
      </c>
      <c r="N367" s="61" t="s">
        <v>1731</v>
      </c>
      <c r="O367" s="59"/>
      <c r="P367" s="59"/>
      <c r="Q367" s="59"/>
    </row>
    <row r="368" ht="22.5" customHeight="1">
      <c r="A368" s="60" t="s">
        <v>637</v>
      </c>
      <c r="B368" s="59"/>
      <c r="C368" s="59"/>
      <c r="D368" s="62"/>
      <c r="E368" s="62"/>
      <c r="F368" s="59"/>
      <c r="G368" s="61" t="s">
        <v>640</v>
      </c>
      <c r="H368" s="59" t="s">
        <v>20</v>
      </c>
      <c r="I368" s="61" t="s">
        <v>640</v>
      </c>
      <c r="J368" s="63" t="s">
        <v>21</v>
      </c>
      <c r="K368" s="61" t="s">
        <v>640</v>
      </c>
      <c r="L368" s="63" t="s">
        <v>22</v>
      </c>
      <c r="M368" s="61" t="s">
        <v>640</v>
      </c>
      <c r="N368" s="61" t="s">
        <v>1731</v>
      </c>
      <c r="O368" s="59"/>
      <c r="P368" s="59"/>
      <c r="Q368" s="59"/>
    </row>
    <row r="369" ht="22.5" customHeight="1">
      <c r="A369" s="60" t="s">
        <v>637</v>
      </c>
      <c r="B369" s="59"/>
      <c r="C369" s="59"/>
      <c r="D369" s="62"/>
      <c r="E369" s="62"/>
      <c r="F369" s="59"/>
      <c r="G369" s="61" t="s">
        <v>640</v>
      </c>
      <c r="H369" s="59" t="s">
        <v>20</v>
      </c>
      <c r="I369" s="61" t="s">
        <v>640</v>
      </c>
      <c r="J369" s="63" t="s">
        <v>21</v>
      </c>
      <c r="K369" s="61" t="s">
        <v>640</v>
      </c>
      <c r="L369" s="63" t="s">
        <v>22</v>
      </c>
      <c r="M369" s="61" t="s">
        <v>640</v>
      </c>
      <c r="N369" s="61" t="s">
        <v>1731</v>
      </c>
      <c r="O369" s="59"/>
      <c r="P369" s="59"/>
      <c r="Q369" s="59"/>
    </row>
    <row r="370" ht="22.5" customHeight="1">
      <c r="A370" s="60" t="s">
        <v>637</v>
      </c>
      <c r="B370" s="59"/>
      <c r="C370" s="59"/>
      <c r="D370" s="62"/>
      <c r="E370" s="62"/>
      <c r="F370" s="59"/>
      <c r="G370" s="61" t="s">
        <v>640</v>
      </c>
      <c r="H370" s="59" t="s">
        <v>20</v>
      </c>
      <c r="I370" s="61" t="s">
        <v>640</v>
      </c>
      <c r="J370" s="63" t="s">
        <v>21</v>
      </c>
      <c r="K370" s="61" t="s">
        <v>640</v>
      </c>
      <c r="L370" s="63" t="s">
        <v>22</v>
      </c>
      <c r="M370" s="61" t="s">
        <v>640</v>
      </c>
      <c r="N370" s="61" t="s">
        <v>1731</v>
      </c>
      <c r="O370" s="59"/>
      <c r="P370" s="59"/>
      <c r="Q370" s="59"/>
    </row>
    <row r="371" ht="22.5" customHeight="1">
      <c r="A371" s="60" t="s">
        <v>637</v>
      </c>
      <c r="B371" s="59"/>
      <c r="C371" s="59"/>
      <c r="D371" s="62"/>
      <c r="E371" s="62"/>
      <c r="F371" s="59"/>
      <c r="G371" s="61" t="s">
        <v>640</v>
      </c>
      <c r="H371" s="59" t="s">
        <v>20</v>
      </c>
      <c r="I371" s="61" t="s">
        <v>640</v>
      </c>
      <c r="J371" s="63" t="s">
        <v>21</v>
      </c>
      <c r="K371" s="61" t="s">
        <v>640</v>
      </c>
      <c r="L371" s="63" t="s">
        <v>22</v>
      </c>
      <c r="M371" s="61" t="s">
        <v>640</v>
      </c>
      <c r="N371" s="61" t="s">
        <v>1731</v>
      </c>
      <c r="O371" s="59"/>
      <c r="P371" s="59"/>
      <c r="Q371" s="59"/>
    </row>
    <row r="372" ht="22.5" customHeight="1">
      <c r="A372" s="60" t="s">
        <v>637</v>
      </c>
      <c r="B372" s="59"/>
      <c r="C372" s="59"/>
      <c r="D372" s="62"/>
      <c r="E372" s="62"/>
      <c r="F372" s="59"/>
      <c r="G372" s="61" t="s">
        <v>640</v>
      </c>
      <c r="H372" s="59" t="s">
        <v>20</v>
      </c>
      <c r="I372" s="61" t="s">
        <v>640</v>
      </c>
      <c r="J372" s="63" t="s">
        <v>21</v>
      </c>
      <c r="K372" s="61" t="s">
        <v>640</v>
      </c>
      <c r="L372" s="63" t="s">
        <v>22</v>
      </c>
      <c r="M372" s="61" t="s">
        <v>640</v>
      </c>
      <c r="N372" s="61" t="s">
        <v>1731</v>
      </c>
      <c r="O372" s="59"/>
      <c r="P372" s="59"/>
      <c r="Q372" s="59"/>
    </row>
    <row r="373" ht="22.5" customHeight="1">
      <c r="A373" s="60" t="s">
        <v>637</v>
      </c>
      <c r="B373" s="59"/>
      <c r="C373" s="59"/>
      <c r="D373" s="62"/>
      <c r="E373" s="62"/>
      <c r="F373" s="59"/>
      <c r="G373" s="61" t="s">
        <v>640</v>
      </c>
      <c r="H373" s="59" t="s">
        <v>20</v>
      </c>
      <c r="I373" s="61" t="s">
        <v>640</v>
      </c>
      <c r="J373" s="63" t="s">
        <v>21</v>
      </c>
      <c r="K373" s="61" t="s">
        <v>640</v>
      </c>
      <c r="L373" s="63" t="s">
        <v>22</v>
      </c>
      <c r="M373" s="61" t="s">
        <v>640</v>
      </c>
      <c r="N373" s="61" t="s">
        <v>1731</v>
      </c>
      <c r="O373" s="59"/>
      <c r="P373" s="59"/>
      <c r="Q373" s="59"/>
    </row>
    <row r="374" ht="22.5" customHeight="1">
      <c r="A374" s="60" t="s">
        <v>637</v>
      </c>
      <c r="B374" s="59"/>
      <c r="C374" s="59"/>
      <c r="D374" s="62"/>
      <c r="E374" s="62"/>
      <c r="F374" s="59"/>
      <c r="G374" s="61" t="s">
        <v>640</v>
      </c>
      <c r="H374" s="59" t="s">
        <v>20</v>
      </c>
      <c r="I374" s="61" t="s">
        <v>640</v>
      </c>
      <c r="J374" s="63" t="s">
        <v>21</v>
      </c>
      <c r="K374" s="61" t="s">
        <v>640</v>
      </c>
      <c r="L374" s="63" t="s">
        <v>22</v>
      </c>
      <c r="M374" s="61" t="s">
        <v>640</v>
      </c>
      <c r="N374" s="61" t="s">
        <v>1731</v>
      </c>
      <c r="O374" s="59"/>
      <c r="P374" s="59"/>
      <c r="Q374" s="59"/>
    </row>
    <row r="375" ht="22.5" customHeight="1">
      <c r="A375" s="60" t="s">
        <v>637</v>
      </c>
      <c r="B375" s="59"/>
      <c r="C375" s="59"/>
      <c r="D375" s="62"/>
      <c r="E375" s="62"/>
      <c r="F375" s="59"/>
      <c r="G375" s="61" t="s">
        <v>640</v>
      </c>
      <c r="H375" s="59" t="s">
        <v>20</v>
      </c>
      <c r="I375" s="61" t="s">
        <v>640</v>
      </c>
      <c r="J375" s="63" t="s">
        <v>21</v>
      </c>
      <c r="K375" s="61" t="s">
        <v>640</v>
      </c>
      <c r="L375" s="63" t="s">
        <v>22</v>
      </c>
      <c r="M375" s="61" t="s">
        <v>640</v>
      </c>
      <c r="N375" s="61" t="s">
        <v>1731</v>
      </c>
      <c r="O375" s="59"/>
      <c r="P375" s="59"/>
      <c r="Q375" s="59"/>
    </row>
    <row r="376" ht="22.5" customHeight="1">
      <c r="A376" s="60" t="s">
        <v>637</v>
      </c>
      <c r="B376" s="59"/>
      <c r="C376" s="59"/>
      <c r="D376" s="62"/>
      <c r="E376" s="62"/>
      <c r="F376" s="59"/>
      <c r="G376" s="61" t="s">
        <v>640</v>
      </c>
      <c r="H376" s="59" t="s">
        <v>20</v>
      </c>
      <c r="I376" s="61" t="s">
        <v>640</v>
      </c>
      <c r="J376" s="63" t="s">
        <v>21</v>
      </c>
      <c r="K376" s="61" t="s">
        <v>640</v>
      </c>
      <c r="L376" s="63" t="s">
        <v>22</v>
      </c>
      <c r="M376" s="61" t="s">
        <v>640</v>
      </c>
      <c r="N376" s="61" t="s">
        <v>1731</v>
      </c>
      <c r="O376" s="59"/>
      <c r="P376" s="59"/>
      <c r="Q376" s="59"/>
    </row>
    <row r="377" ht="22.5" customHeight="1">
      <c r="A377" s="60" t="s">
        <v>637</v>
      </c>
      <c r="B377" s="59"/>
      <c r="C377" s="59"/>
      <c r="D377" s="62"/>
      <c r="E377" s="62"/>
      <c r="F377" s="59"/>
      <c r="G377" s="61" t="s">
        <v>640</v>
      </c>
      <c r="H377" s="59" t="s">
        <v>20</v>
      </c>
      <c r="I377" s="61" t="s">
        <v>640</v>
      </c>
      <c r="J377" s="63" t="s">
        <v>21</v>
      </c>
      <c r="K377" s="61" t="s">
        <v>640</v>
      </c>
      <c r="L377" s="63" t="s">
        <v>22</v>
      </c>
      <c r="M377" s="61" t="s">
        <v>640</v>
      </c>
      <c r="N377" s="61" t="s">
        <v>1731</v>
      </c>
      <c r="O377" s="59"/>
      <c r="P377" s="59"/>
      <c r="Q377" s="59"/>
    </row>
    <row r="378" ht="22.5" customHeight="1">
      <c r="A378" s="60" t="s">
        <v>637</v>
      </c>
      <c r="B378" s="59"/>
      <c r="C378" s="59"/>
      <c r="D378" s="62"/>
      <c r="E378" s="62"/>
      <c r="F378" s="59"/>
      <c r="G378" s="61" t="s">
        <v>640</v>
      </c>
      <c r="H378" s="59" t="s">
        <v>20</v>
      </c>
      <c r="I378" s="61" t="s">
        <v>640</v>
      </c>
      <c r="J378" s="63" t="s">
        <v>21</v>
      </c>
      <c r="K378" s="61" t="s">
        <v>640</v>
      </c>
      <c r="L378" s="63" t="s">
        <v>22</v>
      </c>
      <c r="M378" s="61" t="s">
        <v>640</v>
      </c>
      <c r="N378" s="61" t="s">
        <v>1731</v>
      </c>
      <c r="O378" s="59"/>
      <c r="P378" s="59"/>
      <c r="Q378" s="59"/>
    </row>
    <row r="379" ht="22.5" customHeight="1">
      <c r="A379" s="60" t="s">
        <v>637</v>
      </c>
      <c r="B379" s="59"/>
      <c r="C379" s="59"/>
      <c r="D379" s="62"/>
      <c r="E379" s="62"/>
      <c r="F379" s="59"/>
      <c r="G379" s="61" t="s">
        <v>640</v>
      </c>
      <c r="H379" s="59" t="s">
        <v>20</v>
      </c>
      <c r="I379" s="61" t="s">
        <v>640</v>
      </c>
      <c r="J379" s="63" t="s">
        <v>21</v>
      </c>
      <c r="K379" s="61" t="s">
        <v>640</v>
      </c>
      <c r="L379" s="63" t="s">
        <v>22</v>
      </c>
      <c r="M379" s="61" t="s">
        <v>640</v>
      </c>
      <c r="N379" s="61" t="s">
        <v>1731</v>
      </c>
      <c r="O379" s="59"/>
      <c r="P379" s="59"/>
      <c r="Q379" s="59"/>
    </row>
    <row r="380" ht="22.5" customHeight="1">
      <c r="A380" s="60" t="s">
        <v>637</v>
      </c>
      <c r="B380" s="59"/>
      <c r="C380" s="59"/>
      <c r="D380" s="62"/>
      <c r="E380" s="62"/>
      <c r="F380" s="59"/>
      <c r="G380" s="61" t="s">
        <v>640</v>
      </c>
      <c r="H380" s="59" t="s">
        <v>20</v>
      </c>
      <c r="I380" s="61" t="s">
        <v>640</v>
      </c>
      <c r="J380" s="63" t="s">
        <v>21</v>
      </c>
      <c r="K380" s="61" t="s">
        <v>640</v>
      </c>
      <c r="L380" s="63" t="s">
        <v>22</v>
      </c>
      <c r="M380" s="61" t="s">
        <v>640</v>
      </c>
      <c r="N380" s="61" t="s">
        <v>1731</v>
      </c>
      <c r="O380" s="59"/>
      <c r="P380" s="59"/>
      <c r="Q380" s="59"/>
    </row>
    <row r="381" ht="22.5" customHeight="1">
      <c r="A381" s="60" t="s">
        <v>637</v>
      </c>
      <c r="B381" s="59"/>
      <c r="C381" s="59"/>
      <c r="D381" s="62"/>
      <c r="E381" s="62"/>
      <c r="F381" s="59"/>
      <c r="G381" s="61" t="s">
        <v>640</v>
      </c>
      <c r="H381" s="59" t="s">
        <v>20</v>
      </c>
      <c r="I381" s="61" t="s">
        <v>640</v>
      </c>
      <c r="J381" s="63" t="s">
        <v>21</v>
      </c>
      <c r="K381" s="61" t="s">
        <v>640</v>
      </c>
      <c r="L381" s="63" t="s">
        <v>22</v>
      </c>
      <c r="M381" s="61" t="s">
        <v>640</v>
      </c>
      <c r="N381" s="61" t="s">
        <v>1731</v>
      </c>
      <c r="O381" s="59"/>
      <c r="P381" s="59"/>
      <c r="Q381" s="59"/>
    </row>
    <row r="382" ht="22.5" customHeight="1">
      <c r="A382" s="60" t="s">
        <v>637</v>
      </c>
      <c r="B382" s="59"/>
      <c r="C382" s="59"/>
      <c r="D382" s="62"/>
      <c r="E382" s="62"/>
      <c r="F382" s="59"/>
      <c r="G382" s="61" t="s">
        <v>640</v>
      </c>
      <c r="H382" s="59" t="s">
        <v>20</v>
      </c>
      <c r="I382" s="61" t="s">
        <v>640</v>
      </c>
      <c r="J382" s="63" t="s">
        <v>21</v>
      </c>
      <c r="K382" s="61" t="s">
        <v>640</v>
      </c>
      <c r="L382" s="63" t="s">
        <v>22</v>
      </c>
      <c r="M382" s="61" t="s">
        <v>640</v>
      </c>
      <c r="N382" s="61" t="s">
        <v>1731</v>
      </c>
      <c r="O382" s="59"/>
      <c r="P382" s="59"/>
      <c r="Q382" s="59"/>
    </row>
    <row r="383" ht="22.5" customHeight="1">
      <c r="A383" s="60" t="s">
        <v>637</v>
      </c>
      <c r="B383" s="59"/>
      <c r="C383" s="59"/>
      <c r="D383" s="62"/>
      <c r="E383" s="62"/>
      <c r="F383" s="59"/>
      <c r="G383" s="61" t="s">
        <v>640</v>
      </c>
      <c r="H383" s="59" t="s">
        <v>20</v>
      </c>
      <c r="I383" s="61" t="s">
        <v>640</v>
      </c>
      <c r="J383" s="63" t="s">
        <v>21</v>
      </c>
      <c r="K383" s="61" t="s">
        <v>640</v>
      </c>
      <c r="L383" s="63" t="s">
        <v>22</v>
      </c>
      <c r="M383" s="61" t="s">
        <v>640</v>
      </c>
      <c r="N383" s="61" t="s">
        <v>1731</v>
      </c>
      <c r="O383" s="59"/>
      <c r="P383" s="59"/>
      <c r="Q383" s="59"/>
    </row>
    <row r="384" ht="22.5" customHeight="1">
      <c r="A384" s="60" t="s">
        <v>637</v>
      </c>
      <c r="B384" s="59"/>
      <c r="C384" s="59"/>
      <c r="D384" s="62"/>
      <c r="E384" s="62"/>
      <c r="F384" s="59"/>
      <c r="G384" s="61" t="s">
        <v>640</v>
      </c>
      <c r="H384" s="59" t="s">
        <v>20</v>
      </c>
      <c r="I384" s="61" t="s">
        <v>640</v>
      </c>
      <c r="J384" s="63" t="s">
        <v>21</v>
      </c>
      <c r="K384" s="61" t="s">
        <v>640</v>
      </c>
      <c r="L384" s="63" t="s">
        <v>22</v>
      </c>
      <c r="M384" s="61" t="s">
        <v>640</v>
      </c>
      <c r="N384" s="61" t="s">
        <v>1731</v>
      </c>
      <c r="O384" s="59"/>
      <c r="P384" s="59"/>
      <c r="Q384" s="59"/>
    </row>
    <row r="385" ht="22.5" customHeight="1">
      <c r="A385" s="60" t="s">
        <v>637</v>
      </c>
      <c r="B385" s="59"/>
      <c r="C385" s="59"/>
      <c r="D385" s="62"/>
      <c r="E385" s="62"/>
      <c r="F385" s="59"/>
      <c r="G385" s="61" t="s">
        <v>640</v>
      </c>
      <c r="H385" s="59" t="s">
        <v>20</v>
      </c>
      <c r="I385" s="61" t="s">
        <v>640</v>
      </c>
      <c r="J385" s="63" t="s">
        <v>21</v>
      </c>
      <c r="K385" s="61" t="s">
        <v>640</v>
      </c>
      <c r="L385" s="63" t="s">
        <v>22</v>
      </c>
      <c r="M385" s="61" t="s">
        <v>640</v>
      </c>
      <c r="N385" s="61" t="s">
        <v>1731</v>
      </c>
      <c r="O385" s="59"/>
      <c r="P385" s="59"/>
      <c r="Q385" s="59"/>
    </row>
    <row r="386" ht="22.5" customHeight="1">
      <c r="A386" s="60" t="s">
        <v>637</v>
      </c>
      <c r="B386" s="59"/>
      <c r="C386" s="59"/>
      <c r="D386" s="62"/>
      <c r="E386" s="62"/>
      <c r="F386" s="59"/>
      <c r="G386" s="61" t="s">
        <v>640</v>
      </c>
      <c r="H386" s="59" t="s">
        <v>20</v>
      </c>
      <c r="I386" s="61" t="s">
        <v>640</v>
      </c>
      <c r="J386" s="63" t="s">
        <v>21</v>
      </c>
      <c r="K386" s="61" t="s">
        <v>640</v>
      </c>
      <c r="L386" s="63" t="s">
        <v>22</v>
      </c>
      <c r="M386" s="61" t="s">
        <v>640</v>
      </c>
      <c r="N386" s="61" t="s">
        <v>1731</v>
      </c>
      <c r="O386" s="59"/>
      <c r="P386" s="59"/>
      <c r="Q386" s="59"/>
    </row>
    <row r="387" ht="22.5" customHeight="1">
      <c r="A387" s="60" t="s">
        <v>637</v>
      </c>
      <c r="B387" s="59"/>
      <c r="C387" s="59"/>
      <c r="D387" s="62"/>
      <c r="E387" s="62"/>
      <c r="F387" s="59"/>
      <c r="G387" s="61" t="s">
        <v>640</v>
      </c>
      <c r="H387" s="59" t="s">
        <v>20</v>
      </c>
      <c r="I387" s="61" t="s">
        <v>640</v>
      </c>
      <c r="J387" s="63" t="s">
        <v>21</v>
      </c>
      <c r="K387" s="61" t="s">
        <v>640</v>
      </c>
      <c r="L387" s="63" t="s">
        <v>22</v>
      </c>
      <c r="M387" s="61" t="s">
        <v>640</v>
      </c>
      <c r="N387" s="61" t="s">
        <v>1731</v>
      </c>
      <c r="O387" s="59"/>
      <c r="P387" s="59"/>
      <c r="Q387" s="59"/>
    </row>
    <row r="388" ht="22.5" customHeight="1">
      <c r="A388" s="60" t="s">
        <v>637</v>
      </c>
      <c r="B388" s="59"/>
      <c r="C388" s="59"/>
      <c r="D388" s="62"/>
      <c r="E388" s="62"/>
      <c r="F388" s="59"/>
      <c r="G388" s="61" t="s">
        <v>640</v>
      </c>
      <c r="H388" s="59" t="s">
        <v>20</v>
      </c>
      <c r="I388" s="61" t="s">
        <v>640</v>
      </c>
      <c r="J388" s="63" t="s">
        <v>21</v>
      </c>
      <c r="K388" s="61" t="s">
        <v>640</v>
      </c>
      <c r="L388" s="63" t="s">
        <v>22</v>
      </c>
      <c r="M388" s="61" t="s">
        <v>640</v>
      </c>
      <c r="N388" s="61" t="s">
        <v>1731</v>
      </c>
      <c r="O388" s="59"/>
      <c r="P388" s="59"/>
      <c r="Q388" s="59"/>
    </row>
    <row r="389" ht="22.5" customHeight="1">
      <c r="A389" s="60" t="s">
        <v>637</v>
      </c>
      <c r="B389" s="59"/>
      <c r="C389" s="59"/>
      <c r="D389" s="62"/>
      <c r="E389" s="62"/>
      <c r="F389" s="59"/>
      <c r="G389" s="61" t="s">
        <v>640</v>
      </c>
      <c r="H389" s="59" t="s">
        <v>20</v>
      </c>
      <c r="I389" s="61" t="s">
        <v>640</v>
      </c>
      <c r="J389" s="63" t="s">
        <v>21</v>
      </c>
      <c r="K389" s="61" t="s">
        <v>640</v>
      </c>
      <c r="L389" s="63" t="s">
        <v>22</v>
      </c>
      <c r="M389" s="61" t="s">
        <v>640</v>
      </c>
      <c r="N389" s="61" t="s">
        <v>1731</v>
      </c>
      <c r="O389" s="59"/>
      <c r="P389" s="59"/>
      <c r="Q389" s="59"/>
    </row>
    <row r="390" ht="22.5" customHeight="1">
      <c r="A390" s="60" t="s">
        <v>637</v>
      </c>
      <c r="B390" s="59"/>
      <c r="C390" s="59"/>
      <c r="D390" s="62"/>
      <c r="E390" s="62"/>
      <c r="F390" s="59"/>
      <c r="G390" s="61" t="s">
        <v>640</v>
      </c>
      <c r="H390" s="59" t="s">
        <v>20</v>
      </c>
      <c r="I390" s="61" t="s">
        <v>640</v>
      </c>
      <c r="J390" s="63" t="s">
        <v>21</v>
      </c>
      <c r="K390" s="61" t="s">
        <v>640</v>
      </c>
      <c r="L390" s="63" t="s">
        <v>22</v>
      </c>
      <c r="M390" s="61" t="s">
        <v>640</v>
      </c>
      <c r="N390" s="61" t="s">
        <v>1731</v>
      </c>
      <c r="O390" s="59"/>
      <c r="P390" s="59"/>
      <c r="Q390" s="59"/>
    </row>
    <row r="391" ht="22.5" customHeight="1">
      <c r="A391" s="60" t="s">
        <v>637</v>
      </c>
      <c r="B391" s="59"/>
      <c r="C391" s="59"/>
      <c r="D391" s="62"/>
      <c r="E391" s="62"/>
      <c r="F391" s="59"/>
      <c r="G391" s="61" t="s">
        <v>640</v>
      </c>
      <c r="H391" s="59" t="s">
        <v>20</v>
      </c>
      <c r="I391" s="61" t="s">
        <v>640</v>
      </c>
      <c r="J391" s="63" t="s">
        <v>21</v>
      </c>
      <c r="K391" s="61" t="s">
        <v>640</v>
      </c>
      <c r="L391" s="63" t="s">
        <v>22</v>
      </c>
      <c r="M391" s="61" t="s">
        <v>640</v>
      </c>
      <c r="N391" s="61" t="s">
        <v>1731</v>
      </c>
      <c r="O391" s="59"/>
      <c r="P391" s="59"/>
      <c r="Q391" s="59"/>
    </row>
    <row r="392" ht="22.5" customHeight="1">
      <c r="A392" s="60" t="s">
        <v>637</v>
      </c>
      <c r="B392" s="59"/>
      <c r="C392" s="59"/>
      <c r="D392" s="62"/>
      <c r="E392" s="62"/>
      <c r="F392" s="59"/>
      <c r="G392" s="61" t="s">
        <v>640</v>
      </c>
      <c r="H392" s="59" t="s">
        <v>20</v>
      </c>
      <c r="I392" s="61" t="s">
        <v>640</v>
      </c>
      <c r="J392" s="63" t="s">
        <v>21</v>
      </c>
      <c r="K392" s="61" t="s">
        <v>640</v>
      </c>
      <c r="L392" s="63" t="s">
        <v>22</v>
      </c>
      <c r="M392" s="61" t="s">
        <v>640</v>
      </c>
      <c r="N392" s="61" t="s">
        <v>1731</v>
      </c>
      <c r="O392" s="59"/>
      <c r="P392" s="59"/>
      <c r="Q392" s="59"/>
    </row>
    <row r="393" ht="22.5" customHeight="1">
      <c r="A393" s="60" t="s">
        <v>637</v>
      </c>
      <c r="B393" s="59"/>
      <c r="C393" s="59"/>
      <c r="D393" s="62"/>
      <c r="E393" s="62"/>
      <c r="F393" s="59"/>
      <c r="G393" s="61" t="s">
        <v>640</v>
      </c>
      <c r="H393" s="59" t="s">
        <v>20</v>
      </c>
      <c r="I393" s="61" t="s">
        <v>640</v>
      </c>
      <c r="J393" s="63" t="s">
        <v>21</v>
      </c>
      <c r="K393" s="61" t="s">
        <v>640</v>
      </c>
      <c r="L393" s="63" t="s">
        <v>22</v>
      </c>
      <c r="M393" s="61" t="s">
        <v>640</v>
      </c>
      <c r="N393" s="61" t="s">
        <v>1731</v>
      </c>
      <c r="O393" s="59"/>
      <c r="P393" s="59"/>
      <c r="Q393" s="59"/>
    </row>
    <row r="394" ht="22.5" customHeight="1">
      <c r="A394" s="60" t="s">
        <v>637</v>
      </c>
      <c r="B394" s="59"/>
      <c r="C394" s="59"/>
      <c r="D394" s="62"/>
      <c r="E394" s="62"/>
      <c r="F394" s="59"/>
      <c r="G394" s="61" t="s">
        <v>640</v>
      </c>
      <c r="H394" s="59" t="s">
        <v>20</v>
      </c>
      <c r="I394" s="61" t="s">
        <v>640</v>
      </c>
      <c r="J394" s="63" t="s">
        <v>21</v>
      </c>
      <c r="K394" s="61" t="s">
        <v>640</v>
      </c>
      <c r="L394" s="63" t="s">
        <v>22</v>
      </c>
      <c r="M394" s="61" t="s">
        <v>640</v>
      </c>
      <c r="N394" s="61" t="s">
        <v>1731</v>
      </c>
      <c r="O394" s="59"/>
      <c r="P394" s="59"/>
      <c r="Q394" s="59"/>
    </row>
    <row r="395" ht="22.5" customHeight="1">
      <c r="A395" s="60" t="s">
        <v>637</v>
      </c>
      <c r="B395" s="59"/>
      <c r="C395" s="59"/>
      <c r="D395" s="62"/>
      <c r="E395" s="62"/>
      <c r="F395" s="59"/>
      <c r="G395" s="61" t="s">
        <v>640</v>
      </c>
      <c r="H395" s="59" t="s">
        <v>20</v>
      </c>
      <c r="I395" s="61" t="s">
        <v>640</v>
      </c>
      <c r="J395" s="63" t="s">
        <v>21</v>
      </c>
      <c r="K395" s="61" t="s">
        <v>640</v>
      </c>
      <c r="L395" s="63" t="s">
        <v>22</v>
      </c>
      <c r="M395" s="61" t="s">
        <v>640</v>
      </c>
      <c r="N395" s="61" t="s">
        <v>1731</v>
      </c>
      <c r="O395" s="59"/>
      <c r="P395" s="59"/>
      <c r="Q395" s="59"/>
    </row>
  </sheetData>
  <customSheetViews>
    <customSheetView guid="{4A970BB1-6E36-44B6-8E12-5CE6E6943B03}" filter="1" showAutoFilter="1">
      <autoFilter ref="$A$1:$Q$395"/>
    </customSheetView>
    <customSheetView guid="{01F1D7D1-E099-4DCF-9114-8213CFF90C97}" filter="1" showAutoFilter="1">
      <autoFilter ref="$A$1:$Q$395"/>
    </customSheetView>
    <customSheetView guid="{42EE3BA9-A1E5-4649-B844-4E17ADFBEAF1}" filter="1" showAutoFilter="1">
      <autoFilter ref="$A$1:$Q$395"/>
    </customSheetView>
    <customSheetView guid="{5AD696C5-8B16-4D52-924C-2E402DD911F3}" filter="1" showAutoFilter="1">
      <autoFilter ref="$A$1:$Q$395"/>
    </customSheetView>
    <customSheetView guid="{3B5A3B61-F402-4057-8FF2-393F496A764B}" filter="1" showAutoFilter="1">
      <autoFilter ref="$A$1:$Q$395"/>
    </customSheetView>
    <customSheetView guid="{83916D5B-EE94-4770-9A9C-1FDEA668B1A9}" filter="1" showAutoFilter="1">
      <autoFilter ref="$A$1:$Q$395"/>
    </customSheetView>
    <customSheetView guid="{6ECAD644-DDEB-4B8D-B9DD-F47069530A83}" filter="1" showAutoFilter="1">
      <autoFilter ref="$A$1:$Q$395"/>
    </customSheetView>
    <customSheetView guid="{6EDF69C4-4BEE-47E7-8294-0963EEE972A1}" filter="1" showAutoFilter="1">
      <autoFilter ref="$A$1:$Q$395"/>
    </customSheetView>
    <customSheetView guid="{11FCF255-BB8A-4152-A50C-8D16373AECDE}" filter="1" showAutoFilter="1">
      <autoFilter ref="$A$1:$Q$395"/>
    </customSheetView>
    <customSheetView guid="{1FCD6E23-CE7E-4AA8-8D11-9D169EE5F5D6}" filter="1" showAutoFilter="1">
      <autoFilter ref="$A$1:$Q$395"/>
    </customSheetView>
    <customSheetView guid="{53655A4A-F7D0-4738-9B74-80EE9C11B88C}" filter="1" showAutoFilter="1">
      <autoFilter ref="$A$1:$Q$395"/>
    </customSheetView>
    <customSheetView guid="{916BD683-69E9-453F-990B-184CF69AF4FE}" filter="1" showAutoFilter="1">
      <autoFilter ref="$A$1:$Q$395"/>
    </customSheetView>
  </customSheetViews>
  <dataValidations>
    <dataValidation type="list" allowBlank="1" sqref="E2:E395">
      <formula1>"Contacted,Awaiting Response,Closed - Won,Closed - Lost,Call not Recieved,Referred to,Awaiting payment,international num ,form filled,enroll in next batch,demo "</formula1>
    </dataValidation>
    <dataValidation type="list" allowBlank="1" sqref="N2:N395">
      <formula1>"non qualified,qualified,Pending"</formula1>
    </dataValidation>
    <dataValidation type="list" allowBlank="1" sqref="D2:D395">
      <formula1>"Call Attended,Not Attended"</formula1>
    </dataValidation>
    <dataValidation type="list" allowBlank="1" sqref="G2:G395 I2:I395 K2:K395 M2:M395">
      <formula1>"Call Recieved,Not Recieved,Please Call later,Not attempted,Client lost"</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2030</v>
      </c>
      <c r="B1" s="138" t="s">
        <v>2031</v>
      </c>
      <c r="C1" s="138" t="s">
        <v>0</v>
      </c>
      <c r="D1" s="138" t="s">
        <v>1</v>
      </c>
      <c r="E1" s="139" t="s">
        <v>2032</v>
      </c>
      <c r="F1" s="138" t="s">
        <v>4</v>
      </c>
      <c r="G1" s="138" t="s">
        <v>2033</v>
      </c>
      <c r="H1" s="138" t="s">
        <v>2034</v>
      </c>
      <c r="I1" s="138" t="s">
        <v>2035</v>
      </c>
      <c r="J1" s="138" t="s">
        <v>628</v>
      </c>
    </row>
    <row r="2" ht="22.5" customHeight="1">
      <c r="A2" s="140" t="s">
        <v>2036</v>
      </c>
      <c r="B2" s="141" t="s">
        <v>2037</v>
      </c>
      <c r="C2" s="141" t="s">
        <v>2038</v>
      </c>
      <c r="D2" s="141" t="s">
        <v>2039</v>
      </c>
      <c r="E2" s="142">
        <v>44385.0</v>
      </c>
      <c r="F2" s="143" t="s">
        <v>30</v>
      </c>
      <c r="G2" s="144"/>
      <c r="H2" s="145"/>
      <c r="I2" s="146"/>
      <c r="J2" s="147"/>
    </row>
    <row r="3" ht="22.5" customHeight="1">
      <c r="A3" s="148" t="s">
        <v>2040</v>
      </c>
      <c r="B3" s="149" t="s">
        <v>2037</v>
      </c>
      <c r="C3" s="149" t="s">
        <v>2041</v>
      </c>
      <c r="D3" s="149" t="s">
        <v>2042</v>
      </c>
      <c r="E3" s="150">
        <v>45481.0</v>
      </c>
      <c r="F3" s="151" t="s">
        <v>30</v>
      </c>
      <c r="G3" s="152"/>
      <c r="H3" s="153"/>
      <c r="I3" s="154"/>
      <c r="J3" s="155"/>
    </row>
    <row r="4" ht="22.5" customHeight="1">
      <c r="A4" s="140" t="s">
        <v>2043</v>
      </c>
      <c r="B4" s="141" t="s">
        <v>2037</v>
      </c>
      <c r="C4" s="141" t="s">
        <v>2044</v>
      </c>
      <c r="D4" s="141" t="s">
        <v>2045</v>
      </c>
      <c r="E4" s="142">
        <v>45481.0</v>
      </c>
      <c r="F4" s="143" t="s">
        <v>30</v>
      </c>
      <c r="G4" s="144"/>
      <c r="H4" s="145"/>
      <c r="I4" s="146"/>
      <c r="J4" s="147"/>
    </row>
    <row r="5" ht="22.5" customHeight="1">
      <c r="A5" s="148" t="s">
        <v>2046</v>
      </c>
      <c r="B5" s="149" t="s">
        <v>2037</v>
      </c>
      <c r="C5" s="149" t="s">
        <v>811</v>
      </c>
      <c r="D5" s="149" t="s">
        <v>2047</v>
      </c>
      <c r="E5" s="150">
        <v>45481.0</v>
      </c>
      <c r="F5" s="151" t="s">
        <v>30</v>
      </c>
      <c r="G5" s="152"/>
      <c r="H5" s="153"/>
      <c r="I5" s="154"/>
      <c r="J5" s="155"/>
    </row>
    <row r="6" ht="22.5" customHeight="1">
      <c r="A6" s="140" t="s">
        <v>2048</v>
      </c>
      <c r="B6" s="141" t="s">
        <v>2037</v>
      </c>
      <c r="C6" s="141" t="s">
        <v>2049</v>
      </c>
      <c r="D6" s="141" t="s">
        <v>2050</v>
      </c>
      <c r="E6" s="142">
        <v>45481.0</v>
      </c>
      <c r="F6" s="156" t="s">
        <v>635</v>
      </c>
      <c r="G6" s="144"/>
      <c r="H6" s="145"/>
      <c r="I6" s="146"/>
      <c r="J6" s="147"/>
    </row>
    <row r="7" ht="22.5" customHeight="1">
      <c r="A7" s="148" t="s">
        <v>2051</v>
      </c>
      <c r="B7" s="149" t="s">
        <v>2052</v>
      </c>
      <c r="C7" s="149" t="s">
        <v>1135</v>
      </c>
      <c r="D7" s="149" t="s">
        <v>2053</v>
      </c>
      <c r="E7" s="150">
        <v>45512.0</v>
      </c>
      <c r="F7" s="151" t="s">
        <v>30</v>
      </c>
      <c r="G7" s="152"/>
      <c r="H7" s="153"/>
      <c r="I7" s="154"/>
      <c r="J7" s="157" t="s">
        <v>2054</v>
      </c>
    </row>
    <row r="8" ht="22.5" customHeight="1">
      <c r="A8" s="140" t="s">
        <v>2055</v>
      </c>
      <c r="B8" s="141" t="s">
        <v>2056</v>
      </c>
      <c r="C8" s="141" t="s">
        <v>2057</v>
      </c>
      <c r="D8" s="141" t="s">
        <v>2058</v>
      </c>
      <c r="E8" s="142">
        <v>45512.0</v>
      </c>
      <c r="F8" s="143" t="s">
        <v>30</v>
      </c>
      <c r="G8" s="144"/>
      <c r="H8" s="145"/>
      <c r="I8" s="146"/>
      <c r="J8" s="147"/>
    </row>
    <row r="9" ht="22.5" customHeight="1">
      <c r="A9" s="148" t="s">
        <v>2059</v>
      </c>
      <c r="B9" s="149" t="s">
        <v>2056</v>
      </c>
      <c r="C9" s="149" t="s">
        <v>2060</v>
      </c>
      <c r="D9" s="149" t="s">
        <v>2061</v>
      </c>
      <c r="E9" s="158" t="s">
        <v>2062</v>
      </c>
      <c r="F9" s="151" t="s">
        <v>30</v>
      </c>
      <c r="G9" s="152"/>
      <c r="H9" s="153"/>
      <c r="I9" s="154"/>
      <c r="J9" s="155"/>
    </row>
    <row r="10" ht="22.5" customHeight="1">
      <c r="A10" s="140" t="s">
        <v>2063</v>
      </c>
      <c r="B10" s="141" t="s">
        <v>2056</v>
      </c>
      <c r="C10" s="141" t="s">
        <v>2064</v>
      </c>
      <c r="D10" s="141" t="s">
        <v>2065</v>
      </c>
      <c r="E10" s="159" t="s">
        <v>2062</v>
      </c>
      <c r="F10" s="143" t="s">
        <v>30</v>
      </c>
      <c r="G10" s="144"/>
      <c r="H10" s="145"/>
      <c r="I10" s="146"/>
      <c r="J10" s="147"/>
    </row>
    <row r="11" ht="22.5" customHeight="1">
      <c r="A11" s="148" t="s">
        <v>2066</v>
      </c>
      <c r="B11" s="149" t="s">
        <v>2056</v>
      </c>
      <c r="C11" s="149" t="s">
        <v>2067</v>
      </c>
      <c r="D11" s="149" t="s">
        <v>2068</v>
      </c>
      <c r="E11" s="160" t="s">
        <v>2069</v>
      </c>
      <c r="F11" s="161" t="s">
        <v>49</v>
      </c>
      <c r="G11" s="152"/>
      <c r="H11" s="153"/>
      <c r="I11" s="154"/>
      <c r="J11" s="155"/>
    </row>
    <row r="12" ht="22.5" customHeight="1">
      <c r="A12" s="140" t="s">
        <v>2070</v>
      </c>
      <c r="B12" s="141" t="s">
        <v>2056</v>
      </c>
      <c r="C12" s="146"/>
      <c r="D12" s="141" t="s">
        <v>2071</v>
      </c>
      <c r="E12" s="162" t="s">
        <v>2072</v>
      </c>
      <c r="F12" s="163" t="s">
        <v>17</v>
      </c>
      <c r="G12" s="144"/>
      <c r="H12" s="145"/>
      <c r="I12" s="146"/>
      <c r="J12" s="147"/>
    </row>
    <row r="13" ht="22.5" customHeight="1">
      <c r="A13" s="148" t="s">
        <v>2073</v>
      </c>
      <c r="B13" s="149" t="s">
        <v>2056</v>
      </c>
      <c r="C13" s="164" t="s">
        <v>2074</v>
      </c>
      <c r="D13" s="149" t="s">
        <v>2075</v>
      </c>
      <c r="E13" s="160" t="s">
        <v>2072</v>
      </c>
      <c r="F13" s="165" t="s">
        <v>2076</v>
      </c>
      <c r="G13" s="152"/>
      <c r="H13" s="153"/>
      <c r="I13" s="154"/>
      <c r="J13" s="155"/>
    </row>
    <row r="14" ht="22.5" customHeight="1">
      <c r="A14" s="140" t="s">
        <v>2077</v>
      </c>
      <c r="B14" s="141" t="s">
        <v>2056</v>
      </c>
      <c r="C14" s="141" t="s">
        <v>2078</v>
      </c>
      <c r="D14" s="141" t="s">
        <v>2079</v>
      </c>
      <c r="E14" s="162" t="s">
        <v>2072</v>
      </c>
      <c r="F14" s="143" t="s">
        <v>30</v>
      </c>
      <c r="G14" s="144"/>
      <c r="H14" s="145"/>
      <c r="I14" s="146"/>
      <c r="J14" s="147"/>
    </row>
    <row r="15" ht="22.5" customHeight="1">
      <c r="A15" s="148" t="s">
        <v>2080</v>
      </c>
      <c r="B15" s="149" t="s">
        <v>2056</v>
      </c>
      <c r="C15" s="154"/>
      <c r="D15" s="149" t="s">
        <v>2081</v>
      </c>
      <c r="E15" s="160" t="s">
        <v>2072</v>
      </c>
      <c r="F15" s="166" t="s">
        <v>17</v>
      </c>
      <c r="G15" s="152"/>
      <c r="H15" s="153"/>
      <c r="I15" s="154"/>
      <c r="J15" s="155"/>
    </row>
    <row r="16" ht="22.5" customHeight="1">
      <c r="A16" s="140" t="s">
        <v>2082</v>
      </c>
      <c r="B16" s="141" t="s">
        <v>2056</v>
      </c>
      <c r="C16" s="141" t="s">
        <v>2083</v>
      </c>
      <c r="D16" s="141" t="s">
        <v>2084</v>
      </c>
      <c r="E16" s="162" t="s">
        <v>2072</v>
      </c>
      <c r="F16" s="163" t="s">
        <v>17</v>
      </c>
      <c r="G16" s="144"/>
      <c r="H16" s="145"/>
      <c r="I16" s="146"/>
      <c r="J16" s="147"/>
    </row>
    <row r="17" ht="22.5" customHeight="1">
      <c r="A17" s="148" t="s">
        <v>2085</v>
      </c>
      <c r="B17" s="149" t="s">
        <v>2056</v>
      </c>
      <c r="C17" s="149" t="s">
        <v>2086</v>
      </c>
      <c r="D17" s="149" t="s">
        <v>2087</v>
      </c>
      <c r="E17" s="160" t="s">
        <v>2072</v>
      </c>
      <c r="F17" s="167" t="s">
        <v>635</v>
      </c>
      <c r="G17" s="152"/>
      <c r="H17" s="153"/>
      <c r="I17" s="154"/>
      <c r="J17" s="155"/>
    </row>
    <row r="18" ht="22.5" customHeight="1">
      <c r="A18" s="140" t="s">
        <v>2088</v>
      </c>
      <c r="B18" s="141" t="s">
        <v>2056</v>
      </c>
      <c r="C18" s="141" t="s">
        <v>2089</v>
      </c>
      <c r="D18" s="141" t="s">
        <v>2090</v>
      </c>
      <c r="E18" s="162" t="s">
        <v>2072</v>
      </c>
      <c r="F18" s="156" t="s">
        <v>635</v>
      </c>
      <c r="G18" s="144"/>
      <c r="H18" s="145"/>
      <c r="I18" s="146"/>
      <c r="J18" s="147"/>
    </row>
    <row r="19" ht="22.5" customHeight="1">
      <c r="A19" s="148" t="s">
        <v>2091</v>
      </c>
      <c r="B19" s="149" t="s">
        <v>2056</v>
      </c>
      <c r="C19" s="149" t="s">
        <v>2092</v>
      </c>
      <c r="D19" s="149" t="s">
        <v>2093</v>
      </c>
      <c r="E19" s="160" t="s">
        <v>2072</v>
      </c>
      <c r="F19" s="166" t="s">
        <v>17</v>
      </c>
      <c r="G19" s="152"/>
      <c r="H19" s="153"/>
      <c r="I19" s="154"/>
      <c r="J19" s="155"/>
    </row>
    <row r="20" ht="22.5" customHeight="1">
      <c r="A20" s="140" t="s">
        <v>2094</v>
      </c>
      <c r="B20" s="141" t="s">
        <v>2056</v>
      </c>
      <c r="C20" s="146"/>
      <c r="D20" s="141" t="s">
        <v>2095</v>
      </c>
      <c r="E20" s="168" t="s">
        <v>2096</v>
      </c>
      <c r="F20" s="163" t="s">
        <v>2097</v>
      </c>
      <c r="G20" s="144"/>
      <c r="H20" s="145"/>
      <c r="I20" s="146"/>
      <c r="J20" s="147"/>
    </row>
    <row r="21" ht="22.5" customHeight="1">
      <c r="A21" s="148" t="s">
        <v>2098</v>
      </c>
      <c r="B21" s="149" t="s">
        <v>2099</v>
      </c>
      <c r="C21" s="149" t="s">
        <v>2100</v>
      </c>
      <c r="D21" s="149" t="s">
        <v>2101</v>
      </c>
      <c r="E21" s="160" t="s">
        <v>2072</v>
      </c>
      <c r="F21" s="166" t="s">
        <v>2097</v>
      </c>
      <c r="G21" s="152"/>
      <c r="H21" s="153"/>
      <c r="I21" s="154"/>
      <c r="J21" s="155"/>
    </row>
    <row r="22" ht="22.5" customHeight="1">
      <c r="A22" s="140" t="s">
        <v>2102</v>
      </c>
      <c r="B22" s="141" t="s">
        <v>2099</v>
      </c>
      <c r="C22" s="141" t="s">
        <v>2103</v>
      </c>
      <c r="D22" s="141" t="s">
        <v>2104</v>
      </c>
      <c r="E22" s="162" t="s">
        <v>2072</v>
      </c>
      <c r="F22" s="143" t="s">
        <v>30</v>
      </c>
      <c r="G22" s="144"/>
      <c r="H22" s="145"/>
      <c r="I22" s="146"/>
      <c r="J22" s="147"/>
    </row>
    <row r="23" ht="22.5" customHeight="1">
      <c r="A23" s="148" t="s">
        <v>2105</v>
      </c>
      <c r="B23" s="149" t="s">
        <v>2099</v>
      </c>
      <c r="C23" s="149" t="s">
        <v>2106</v>
      </c>
      <c r="D23" s="149" t="s">
        <v>2107</v>
      </c>
      <c r="E23" s="160" t="s">
        <v>2072</v>
      </c>
      <c r="F23" s="151" t="s">
        <v>30</v>
      </c>
      <c r="G23" s="152"/>
      <c r="H23" s="153"/>
      <c r="I23" s="154"/>
      <c r="J23" s="155"/>
    </row>
    <row r="24" ht="22.5" customHeight="1">
      <c r="A24" s="140" t="s">
        <v>2108</v>
      </c>
      <c r="B24" s="141" t="s">
        <v>2099</v>
      </c>
      <c r="C24" s="146"/>
      <c r="D24" s="141" t="s">
        <v>2109</v>
      </c>
      <c r="E24" s="162" t="s">
        <v>2072</v>
      </c>
      <c r="F24" s="163" t="s">
        <v>2097</v>
      </c>
      <c r="G24" s="144"/>
      <c r="H24" s="145"/>
      <c r="I24" s="146"/>
      <c r="J24" s="147"/>
    </row>
    <row r="25" ht="22.5" customHeight="1">
      <c r="A25" s="148" t="s">
        <v>2110</v>
      </c>
      <c r="B25" s="149" t="s">
        <v>2099</v>
      </c>
      <c r="C25" s="149" t="s">
        <v>2111</v>
      </c>
      <c r="D25" s="149" t="s">
        <v>2112</v>
      </c>
      <c r="E25" s="160" t="s">
        <v>2113</v>
      </c>
      <c r="F25" s="151" t="s">
        <v>30</v>
      </c>
      <c r="G25" s="152"/>
      <c r="H25" s="153"/>
      <c r="I25" s="154"/>
      <c r="J25" s="155"/>
    </row>
    <row r="26" ht="22.5" customHeight="1">
      <c r="A26" s="140" t="s">
        <v>2114</v>
      </c>
      <c r="B26" s="141" t="s">
        <v>2099</v>
      </c>
      <c r="C26" s="141" t="s">
        <v>2115</v>
      </c>
      <c r="D26" s="141" t="s">
        <v>2116</v>
      </c>
      <c r="E26" s="162" t="s">
        <v>2113</v>
      </c>
      <c r="F26" s="143" t="s">
        <v>30</v>
      </c>
      <c r="G26" s="144"/>
      <c r="H26" s="145"/>
      <c r="I26" s="146"/>
      <c r="J26" s="147"/>
    </row>
    <row r="27" ht="22.5" customHeight="1">
      <c r="A27" s="148" t="s">
        <v>2117</v>
      </c>
      <c r="B27" s="149" t="s">
        <v>2099</v>
      </c>
      <c r="C27" s="149" t="s">
        <v>2118</v>
      </c>
      <c r="D27" s="149" t="s">
        <v>2119</v>
      </c>
      <c r="E27" s="160" t="s">
        <v>2113</v>
      </c>
      <c r="F27" s="167" t="s">
        <v>635</v>
      </c>
      <c r="G27" s="152"/>
      <c r="H27" s="153"/>
      <c r="I27" s="154"/>
      <c r="J27" s="155"/>
    </row>
    <row r="28" ht="22.5" customHeight="1">
      <c r="A28" s="140" t="s">
        <v>2120</v>
      </c>
      <c r="B28" s="141" t="s">
        <v>2099</v>
      </c>
      <c r="C28" s="146"/>
      <c r="D28" s="141" t="s">
        <v>2121</v>
      </c>
      <c r="E28" s="162" t="s">
        <v>2113</v>
      </c>
      <c r="F28" s="143" t="s">
        <v>30</v>
      </c>
      <c r="G28" s="144"/>
      <c r="H28" s="145"/>
      <c r="I28" s="146"/>
      <c r="J28" s="147"/>
    </row>
    <row r="29" ht="22.5" customHeight="1">
      <c r="A29" s="148" t="s">
        <v>2122</v>
      </c>
      <c r="B29" s="149" t="s">
        <v>2099</v>
      </c>
      <c r="C29" s="149" t="s">
        <v>2123</v>
      </c>
      <c r="D29" s="149" t="s">
        <v>2124</v>
      </c>
      <c r="E29" s="160" t="s">
        <v>2113</v>
      </c>
      <c r="F29" s="165" t="s">
        <v>2076</v>
      </c>
      <c r="G29" s="152"/>
      <c r="H29" s="153"/>
      <c r="I29" s="154"/>
      <c r="J29" s="155"/>
    </row>
    <row r="30" ht="22.5" customHeight="1">
      <c r="A30" s="140" t="s">
        <v>2125</v>
      </c>
      <c r="B30" s="141" t="s">
        <v>2099</v>
      </c>
      <c r="C30" s="141" t="s">
        <v>2126</v>
      </c>
      <c r="D30" s="141" t="s">
        <v>2127</v>
      </c>
      <c r="E30" s="162" t="s">
        <v>2113</v>
      </c>
      <c r="F30" s="169" t="s">
        <v>49</v>
      </c>
      <c r="G30" s="144"/>
      <c r="H30" s="145"/>
      <c r="I30" s="146"/>
      <c r="J30" s="147"/>
    </row>
    <row r="31" ht="22.5" customHeight="1">
      <c r="A31" s="148" t="s">
        <v>2128</v>
      </c>
      <c r="B31" s="149" t="s">
        <v>2099</v>
      </c>
      <c r="C31" s="149" t="s">
        <v>2129</v>
      </c>
      <c r="D31" s="149" t="s">
        <v>2130</v>
      </c>
      <c r="E31" s="160" t="s">
        <v>2113</v>
      </c>
      <c r="F31" s="166" t="s">
        <v>2097</v>
      </c>
      <c r="G31" s="152"/>
      <c r="H31" s="153"/>
      <c r="I31" s="154"/>
      <c r="J31" s="155"/>
    </row>
    <row r="32" ht="22.5" customHeight="1">
      <c r="A32" s="140" t="s">
        <v>2131</v>
      </c>
      <c r="B32" s="141" t="s">
        <v>2099</v>
      </c>
      <c r="C32" s="141" t="s">
        <v>2132</v>
      </c>
      <c r="D32" s="141" t="s">
        <v>2133</v>
      </c>
      <c r="E32" s="162" t="s">
        <v>2113</v>
      </c>
      <c r="F32" s="163" t="s">
        <v>2097</v>
      </c>
      <c r="G32" s="144"/>
      <c r="H32" s="145"/>
      <c r="I32" s="146"/>
      <c r="J32" s="147"/>
    </row>
    <row r="33" ht="22.5" customHeight="1">
      <c r="A33" s="148" t="s">
        <v>2134</v>
      </c>
      <c r="B33" s="170" t="s">
        <v>2099</v>
      </c>
      <c r="C33" s="149" t="s">
        <v>2135</v>
      </c>
      <c r="D33" s="149" t="s">
        <v>2136</v>
      </c>
      <c r="E33" s="160" t="s">
        <v>2113</v>
      </c>
      <c r="F33" s="166" t="s">
        <v>2097</v>
      </c>
      <c r="G33" s="152"/>
      <c r="H33" s="153"/>
      <c r="I33" s="154"/>
      <c r="J33" s="155"/>
    </row>
    <row r="34" ht="22.5" customHeight="1">
      <c r="A34" s="140" t="s">
        <v>2137</v>
      </c>
      <c r="B34" s="171" t="s">
        <v>2099</v>
      </c>
      <c r="C34" s="141" t="s">
        <v>2138</v>
      </c>
      <c r="D34" s="141" t="s">
        <v>2139</v>
      </c>
      <c r="E34" s="162" t="s">
        <v>2113</v>
      </c>
      <c r="F34" s="163" t="s">
        <v>2097</v>
      </c>
      <c r="G34" s="144"/>
      <c r="H34" s="145"/>
      <c r="I34" s="146"/>
      <c r="J34" s="147"/>
    </row>
    <row r="35" ht="22.5" customHeight="1">
      <c r="A35" s="148" t="s">
        <v>2140</v>
      </c>
      <c r="B35" s="170" t="s">
        <v>2099</v>
      </c>
      <c r="C35" s="149" t="s">
        <v>2141</v>
      </c>
      <c r="D35" s="149" t="s">
        <v>2142</v>
      </c>
      <c r="E35" s="160" t="s">
        <v>2113</v>
      </c>
      <c r="F35" s="167" t="s">
        <v>635</v>
      </c>
      <c r="G35" s="152"/>
      <c r="H35" s="153"/>
      <c r="I35" s="154"/>
      <c r="J35" s="155"/>
    </row>
    <row r="36" ht="22.5" customHeight="1">
      <c r="A36" s="140" t="s">
        <v>2143</v>
      </c>
      <c r="B36" s="159" t="s">
        <v>2099</v>
      </c>
      <c r="C36" s="141" t="s">
        <v>2144</v>
      </c>
      <c r="D36" s="141" t="s">
        <v>2145</v>
      </c>
      <c r="E36" s="162" t="s">
        <v>2146</v>
      </c>
      <c r="F36" s="163" t="s">
        <v>2097</v>
      </c>
      <c r="G36" s="144"/>
      <c r="H36" s="145"/>
      <c r="I36" s="146"/>
      <c r="J36" s="147"/>
    </row>
    <row r="37" ht="22.5" customHeight="1">
      <c r="A37" s="148" t="s">
        <v>2147</v>
      </c>
      <c r="B37" s="149" t="s">
        <v>2099</v>
      </c>
      <c r="C37" s="154"/>
      <c r="D37" s="149" t="s">
        <v>2148</v>
      </c>
      <c r="E37" s="160" t="s">
        <v>2146</v>
      </c>
      <c r="F37" s="166" t="s">
        <v>2097</v>
      </c>
      <c r="G37" s="152"/>
      <c r="H37" s="153"/>
      <c r="I37" s="154"/>
      <c r="J37" s="155"/>
    </row>
    <row r="38" ht="22.5" customHeight="1">
      <c r="A38" s="140" t="s">
        <v>2149</v>
      </c>
      <c r="B38" s="171" t="s">
        <v>2099</v>
      </c>
      <c r="C38" s="141" t="s">
        <v>2150</v>
      </c>
      <c r="D38" s="141" t="s">
        <v>2151</v>
      </c>
      <c r="E38" s="162" t="s">
        <v>2146</v>
      </c>
      <c r="F38" s="163" t="s">
        <v>2097</v>
      </c>
      <c r="G38" s="144"/>
      <c r="H38" s="145"/>
      <c r="I38" s="146"/>
      <c r="J38" s="147"/>
    </row>
    <row r="39" ht="22.5" customHeight="1">
      <c r="A39" s="148" t="s">
        <v>2152</v>
      </c>
      <c r="B39" s="149" t="s">
        <v>2099</v>
      </c>
      <c r="C39" s="154"/>
      <c r="D39" s="149" t="s">
        <v>2153</v>
      </c>
      <c r="E39" s="172" t="s">
        <v>2096</v>
      </c>
      <c r="F39" s="166" t="s">
        <v>2097</v>
      </c>
      <c r="G39" s="152"/>
      <c r="H39" s="153"/>
      <c r="I39" s="154"/>
      <c r="J39" s="155"/>
    </row>
    <row r="40" ht="22.5" customHeight="1">
      <c r="A40" s="140" t="s">
        <v>2154</v>
      </c>
      <c r="B40" s="171" t="s">
        <v>2099</v>
      </c>
      <c r="C40" s="146"/>
      <c r="D40" s="141" t="s">
        <v>2155</v>
      </c>
      <c r="E40" s="162" t="s">
        <v>2146</v>
      </c>
      <c r="F40" s="163" t="s">
        <v>2097</v>
      </c>
      <c r="G40" s="144"/>
      <c r="H40" s="145"/>
      <c r="I40" s="146"/>
      <c r="J40" s="147"/>
    </row>
    <row r="41" ht="22.5" customHeight="1">
      <c r="A41" s="148" t="s">
        <v>2156</v>
      </c>
      <c r="B41" s="170" t="s">
        <v>2099</v>
      </c>
      <c r="C41" s="154"/>
      <c r="D41" s="149" t="s">
        <v>2157</v>
      </c>
      <c r="E41" s="160" t="s">
        <v>2146</v>
      </c>
      <c r="F41" s="166" t="s">
        <v>2097</v>
      </c>
      <c r="G41" s="152"/>
      <c r="H41" s="153"/>
      <c r="I41" s="154"/>
      <c r="J41" s="155"/>
    </row>
    <row r="42" ht="22.5" customHeight="1">
      <c r="A42" s="140" t="s">
        <v>2158</v>
      </c>
      <c r="B42" s="171" t="s">
        <v>2099</v>
      </c>
      <c r="C42" s="146"/>
      <c r="D42" s="141" t="s">
        <v>2159</v>
      </c>
      <c r="E42" s="162" t="s">
        <v>2146</v>
      </c>
      <c r="F42" s="163" t="s">
        <v>2097</v>
      </c>
      <c r="G42" s="144"/>
      <c r="H42" s="145"/>
      <c r="I42" s="146"/>
      <c r="J42" s="147"/>
    </row>
    <row r="43" ht="22.5" customHeight="1">
      <c r="A43" s="148" t="s">
        <v>2160</v>
      </c>
      <c r="B43" s="170" t="s">
        <v>2099</v>
      </c>
      <c r="C43" s="149" t="s">
        <v>2161</v>
      </c>
      <c r="D43" s="149" t="s">
        <v>2162</v>
      </c>
      <c r="E43" s="160" t="s">
        <v>2146</v>
      </c>
      <c r="F43" s="166" t="s">
        <v>2097</v>
      </c>
      <c r="G43" s="152"/>
      <c r="H43" s="153"/>
      <c r="I43" s="154"/>
      <c r="J43" s="155"/>
    </row>
    <row r="44" ht="22.5" customHeight="1">
      <c r="A44" s="140" t="s">
        <v>2163</v>
      </c>
      <c r="B44" s="171" t="s">
        <v>2099</v>
      </c>
      <c r="C44" s="141" t="s">
        <v>2164</v>
      </c>
      <c r="D44" s="141" t="s">
        <v>2165</v>
      </c>
      <c r="E44" s="162" t="s">
        <v>2146</v>
      </c>
      <c r="F44" s="143" t="s">
        <v>30</v>
      </c>
      <c r="G44" s="144"/>
      <c r="H44" s="145"/>
      <c r="I44" s="146"/>
      <c r="J44" s="147"/>
    </row>
    <row r="45" ht="22.5" customHeight="1">
      <c r="A45" s="148" t="s">
        <v>2166</v>
      </c>
      <c r="B45" s="170" t="s">
        <v>2099</v>
      </c>
      <c r="C45" s="149" t="s">
        <v>2167</v>
      </c>
      <c r="D45" s="149" t="s">
        <v>2168</v>
      </c>
      <c r="E45" s="160" t="s">
        <v>2146</v>
      </c>
      <c r="F45" s="151" t="s">
        <v>30</v>
      </c>
      <c r="G45" s="152"/>
      <c r="H45" s="153"/>
      <c r="I45" s="154"/>
      <c r="J45" s="155"/>
    </row>
    <row r="46" ht="22.5" customHeight="1">
      <c r="A46" s="140" t="s">
        <v>2169</v>
      </c>
      <c r="B46" s="171" t="s">
        <v>2099</v>
      </c>
      <c r="C46" s="146"/>
      <c r="D46" s="141" t="s">
        <v>2170</v>
      </c>
      <c r="E46" s="162" t="s">
        <v>2146</v>
      </c>
      <c r="F46" s="163" t="s">
        <v>2097</v>
      </c>
      <c r="G46" s="144"/>
      <c r="H46" s="145"/>
      <c r="I46" s="146"/>
      <c r="J46" s="147"/>
    </row>
    <row r="47" ht="22.5" customHeight="1">
      <c r="A47" s="148" t="s">
        <v>2171</v>
      </c>
      <c r="B47" s="170" t="s">
        <v>2099</v>
      </c>
      <c r="C47" s="149" t="s">
        <v>2172</v>
      </c>
      <c r="D47" s="149" t="s">
        <v>2173</v>
      </c>
      <c r="E47" s="160" t="s">
        <v>2146</v>
      </c>
      <c r="F47" s="166" t="s">
        <v>2097</v>
      </c>
      <c r="G47" s="152"/>
      <c r="H47" s="153"/>
      <c r="I47" s="154"/>
      <c r="J47" s="155"/>
    </row>
    <row r="48" ht="22.5" customHeight="1">
      <c r="A48" s="140" t="s">
        <v>2174</v>
      </c>
      <c r="B48" s="171" t="s">
        <v>2099</v>
      </c>
      <c r="C48" s="141" t="s">
        <v>2175</v>
      </c>
      <c r="D48" s="141" t="s">
        <v>2176</v>
      </c>
      <c r="E48" s="162" t="s">
        <v>2146</v>
      </c>
      <c r="F48" s="156" t="s">
        <v>635</v>
      </c>
      <c r="G48" s="144"/>
      <c r="H48" s="145"/>
      <c r="I48" s="146"/>
      <c r="J48" s="147"/>
    </row>
    <row r="49" ht="22.5" customHeight="1">
      <c r="A49" s="148" t="s">
        <v>2177</v>
      </c>
      <c r="B49" s="170" t="s">
        <v>2099</v>
      </c>
      <c r="C49" s="149" t="s">
        <v>2178</v>
      </c>
      <c r="D49" s="149" t="s">
        <v>2179</v>
      </c>
      <c r="E49" s="160" t="s">
        <v>2180</v>
      </c>
      <c r="F49" s="166" t="s">
        <v>2097</v>
      </c>
      <c r="G49" s="152"/>
      <c r="H49" s="153"/>
      <c r="I49" s="154"/>
      <c r="J49" s="155"/>
    </row>
    <row r="50" ht="22.5" customHeight="1">
      <c r="A50" s="140" t="s">
        <v>2181</v>
      </c>
      <c r="B50" s="171" t="s">
        <v>2099</v>
      </c>
      <c r="C50" s="141" t="s">
        <v>2182</v>
      </c>
      <c r="D50" s="141" t="s">
        <v>2183</v>
      </c>
      <c r="E50" s="162" t="s">
        <v>2180</v>
      </c>
      <c r="F50" s="163" t="s">
        <v>2097</v>
      </c>
      <c r="G50" s="144"/>
      <c r="H50" s="145"/>
      <c r="I50" s="146"/>
      <c r="J50" s="147"/>
    </row>
    <row r="51" ht="22.5" customHeight="1">
      <c r="A51" s="148" t="s">
        <v>2184</v>
      </c>
      <c r="B51" s="170" t="s">
        <v>2099</v>
      </c>
      <c r="C51" s="149" t="s">
        <v>653</v>
      </c>
      <c r="D51" s="149" t="s">
        <v>2185</v>
      </c>
      <c r="E51" s="160" t="s">
        <v>2180</v>
      </c>
      <c r="F51" s="166" t="s">
        <v>2097</v>
      </c>
      <c r="G51" s="152"/>
      <c r="H51" s="153"/>
      <c r="I51" s="154"/>
      <c r="J51" s="155"/>
    </row>
    <row r="52" ht="22.5" customHeight="1">
      <c r="A52" s="140" t="s">
        <v>2186</v>
      </c>
      <c r="B52" s="171" t="s">
        <v>2099</v>
      </c>
      <c r="C52" s="141" t="s">
        <v>2187</v>
      </c>
      <c r="D52" s="141" t="s">
        <v>2188</v>
      </c>
      <c r="E52" s="162" t="s">
        <v>2180</v>
      </c>
      <c r="F52" s="173" t="s">
        <v>2076</v>
      </c>
      <c r="G52" s="144"/>
      <c r="H52" s="145"/>
      <c r="I52" s="146"/>
      <c r="J52" s="147"/>
    </row>
    <row r="53" ht="22.5" customHeight="1">
      <c r="A53" s="148" t="s">
        <v>2189</v>
      </c>
      <c r="B53" s="170" t="s">
        <v>2099</v>
      </c>
      <c r="C53" s="149" t="s">
        <v>2190</v>
      </c>
      <c r="D53" s="149" t="s">
        <v>2191</v>
      </c>
      <c r="E53" s="160" t="s">
        <v>2180</v>
      </c>
      <c r="F53" s="174" t="s">
        <v>2192</v>
      </c>
      <c r="G53" s="152"/>
      <c r="H53" s="153"/>
      <c r="I53" s="154"/>
      <c r="J53" s="155"/>
    </row>
    <row r="54" ht="22.5" customHeight="1">
      <c r="A54" s="140" t="s">
        <v>2193</v>
      </c>
      <c r="B54" s="171" t="s">
        <v>2099</v>
      </c>
      <c r="C54" s="146"/>
      <c r="D54" s="141" t="s">
        <v>2194</v>
      </c>
      <c r="E54" s="162" t="s">
        <v>2180</v>
      </c>
      <c r="F54" s="163" t="s">
        <v>2097</v>
      </c>
      <c r="G54" s="144"/>
      <c r="H54" s="145"/>
      <c r="I54" s="146"/>
      <c r="J54" s="147"/>
    </row>
    <row r="55" ht="22.5" customHeight="1">
      <c r="A55" s="148" t="s">
        <v>2195</v>
      </c>
      <c r="B55" s="170" t="s">
        <v>2099</v>
      </c>
      <c r="C55" s="154"/>
      <c r="D55" s="149" t="s">
        <v>2196</v>
      </c>
      <c r="E55" s="160" t="s">
        <v>2180</v>
      </c>
      <c r="F55" s="166" t="s">
        <v>2097</v>
      </c>
      <c r="G55" s="152"/>
      <c r="H55" s="153"/>
      <c r="I55" s="154"/>
      <c r="J55" s="155"/>
    </row>
    <row r="56" ht="22.5" customHeight="1">
      <c r="A56" s="140" t="s">
        <v>2197</v>
      </c>
      <c r="B56" s="171" t="s">
        <v>2099</v>
      </c>
      <c r="C56" s="141" t="s">
        <v>2198</v>
      </c>
      <c r="D56" s="141" t="s">
        <v>2199</v>
      </c>
      <c r="E56" s="168" t="s">
        <v>2096</v>
      </c>
      <c r="F56" s="143" t="s">
        <v>30</v>
      </c>
      <c r="G56" s="144"/>
      <c r="H56" s="145"/>
      <c r="I56" s="146"/>
      <c r="J56" s="147"/>
    </row>
    <row r="57" ht="22.5" customHeight="1">
      <c r="A57" s="148" t="s">
        <v>2200</v>
      </c>
      <c r="B57" s="170" t="s">
        <v>2099</v>
      </c>
      <c r="C57" s="149" t="s">
        <v>2201</v>
      </c>
      <c r="D57" s="149" t="s">
        <v>2202</v>
      </c>
      <c r="E57" s="160" t="s">
        <v>2180</v>
      </c>
      <c r="F57" s="166" t="s">
        <v>2097</v>
      </c>
      <c r="G57" s="152"/>
      <c r="H57" s="153"/>
      <c r="I57" s="154"/>
      <c r="J57" s="155"/>
    </row>
    <row r="58" ht="22.5" customHeight="1">
      <c r="A58" s="140" t="s">
        <v>2203</v>
      </c>
      <c r="B58" s="171" t="s">
        <v>2099</v>
      </c>
      <c r="C58" s="146"/>
      <c r="D58" s="141" t="s">
        <v>2204</v>
      </c>
      <c r="E58" s="162" t="s">
        <v>2205</v>
      </c>
      <c r="F58" s="163" t="s">
        <v>2097</v>
      </c>
      <c r="G58" s="144"/>
      <c r="H58" s="145"/>
      <c r="I58" s="146"/>
      <c r="J58" s="147"/>
    </row>
    <row r="59" ht="22.5" customHeight="1">
      <c r="A59" s="148" t="s">
        <v>2206</v>
      </c>
      <c r="B59" s="170" t="s">
        <v>2099</v>
      </c>
      <c r="C59" s="154"/>
      <c r="D59" s="149" t="s">
        <v>2207</v>
      </c>
      <c r="E59" s="160" t="s">
        <v>2208</v>
      </c>
      <c r="F59" s="166" t="s">
        <v>2097</v>
      </c>
      <c r="G59" s="152"/>
      <c r="H59" s="153"/>
      <c r="I59" s="154"/>
      <c r="J59" s="155"/>
    </row>
    <row r="60" ht="22.5" customHeight="1">
      <c r="A60" s="140" t="s">
        <v>2209</v>
      </c>
      <c r="B60" s="171" t="s">
        <v>2099</v>
      </c>
      <c r="C60" s="146"/>
      <c r="D60" s="141" t="s">
        <v>2210</v>
      </c>
      <c r="E60" s="162" t="s">
        <v>2211</v>
      </c>
      <c r="F60" s="163" t="s">
        <v>2097</v>
      </c>
      <c r="G60" s="144"/>
      <c r="H60" s="145"/>
      <c r="I60" s="146"/>
      <c r="J60" s="147"/>
    </row>
    <row r="61" ht="22.5" customHeight="1">
      <c r="A61" s="148" t="s">
        <v>2212</v>
      </c>
      <c r="B61" s="170" t="s">
        <v>2099</v>
      </c>
      <c r="C61" s="154"/>
      <c r="D61" s="149" t="s">
        <v>2213</v>
      </c>
      <c r="E61" s="160" t="s">
        <v>2214</v>
      </c>
      <c r="F61" s="166" t="s">
        <v>2097</v>
      </c>
      <c r="G61" s="152"/>
      <c r="H61" s="153"/>
      <c r="I61" s="154"/>
      <c r="J61" s="155"/>
    </row>
    <row r="62" ht="22.5" customHeight="1">
      <c r="A62" s="140" t="s">
        <v>2215</v>
      </c>
      <c r="B62" s="171" t="s">
        <v>2099</v>
      </c>
      <c r="C62" s="146"/>
      <c r="D62" s="141" t="s">
        <v>2216</v>
      </c>
      <c r="E62" s="162" t="s">
        <v>2180</v>
      </c>
      <c r="F62" s="163" t="s">
        <v>2097</v>
      </c>
      <c r="G62" s="144"/>
      <c r="H62" s="145"/>
      <c r="I62" s="146"/>
      <c r="J62" s="147"/>
    </row>
    <row r="63" ht="22.5" customHeight="1">
      <c r="A63" s="148" t="s">
        <v>2217</v>
      </c>
      <c r="B63" s="170" t="s">
        <v>2099</v>
      </c>
      <c r="C63" s="154"/>
      <c r="D63" s="149" t="s">
        <v>2218</v>
      </c>
      <c r="E63" s="160" t="s">
        <v>2219</v>
      </c>
      <c r="F63" s="166" t="s">
        <v>2097</v>
      </c>
      <c r="G63" s="152"/>
      <c r="H63" s="153"/>
      <c r="I63" s="154"/>
      <c r="J63" s="155"/>
    </row>
    <row r="64" ht="22.5" customHeight="1">
      <c r="A64" s="140" t="s">
        <v>2220</v>
      </c>
      <c r="B64" s="141" t="s">
        <v>2099</v>
      </c>
      <c r="C64" s="146"/>
      <c r="D64" s="141" t="s">
        <v>2221</v>
      </c>
      <c r="E64" s="162" t="s">
        <v>2180</v>
      </c>
      <c r="F64" s="169" t="s">
        <v>49</v>
      </c>
      <c r="G64" s="144"/>
      <c r="H64" s="145"/>
      <c r="I64" s="146"/>
      <c r="J64" s="147"/>
    </row>
    <row r="65" ht="22.5" customHeight="1">
      <c r="A65" s="148" t="s">
        <v>2222</v>
      </c>
      <c r="B65" s="149" t="s">
        <v>2099</v>
      </c>
      <c r="C65" s="154"/>
      <c r="D65" s="149" t="s">
        <v>2223</v>
      </c>
      <c r="E65" s="160" t="s">
        <v>2224</v>
      </c>
      <c r="F65" s="166" t="s">
        <v>2097</v>
      </c>
      <c r="G65" s="152"/>
      <c r="H65" s="153"/>
      <c r="I65" s="154"/>
      <c r="J65" s="155"/>
    </row>
    <row r="66" ht="22.5" customHeight="1">
      <c r="A66" s="140" t="s">
        <v>2225</v>
      </c>
      <c r="B66" s="141" t="s">
        <v>2226</v>
      </c>
      <c r="C66" s="141" t="s">
        <v>2227</v>
      </c>
      <c r="D66" s="141" t="s">
        <v>2228</v>
      </c>
      <c r="E66" s="162" t="s">
        <v>2229</v>
      </c>
      <c r="F66" s="156" t="s">
        <v>635</v>
      </c>
      <c r="G66" s="144"/>
      <c r="H66" s="145"/>
      <c r="I66" s="146"/>
      <c r="J66" s="147"/>
    </row>
    <row r="67" ht="22.5" customHeight="1">
      <c r="A67" s="148" t="s">
        <v>2230</v>
      </c>
      <c r="B67" s="149" t="s">
        <v>2072</v>
      </c>
      <c r="C67" s="154"/>
      <c r="D67" s="149" t="s">
        <v>2231</v>
      </c>
      <c r="E67" s="160" t="s">
        <v>2180</v>
      </c>
      <c r="F67" s="166" t="s">
        <v>2097</v>
      </c>
      <c r="G67" s="152"/>
      <c r="H67" s="153"/>
      <c r="I67" s="154"/>
      <c r="J67" s="155"/>
    </row>
    <row r="68" ht="22.5" customHeight="1">
      <c r="A68" s="140" t="s">
        <v>2232</v>
      </c>
      <c r="B68" s="141" t="s">
        <v>2072</v>
      </c>
      <c r="C68" s="146"/>
      <c r="D68" s="141" t="s">
        <v>2233</v>
      </c>
      <c r="E68" s="162" t="s">
        <v>2180</v>
      </c>
      <c r="F68" s="169" t="s">
        <v>49</v>
      </c>
      <c r="G68" s="144"/>
      <c r="H68" s="145"/>
      <c r="I68" s="146"/>
      <c r="J68" s="147"/>
    </row>
    <row r="69" ht="22.5" customHeight="1">
      <c r="A69" s="148" t="s">
        <v>2234</v>
      </c>
      <c r="B69" s="149" t="s">
        <v>2072</v>
      </c>
      <c r="C69" s="154"/>
      <c r="D69" s="149" t="s">
        <v>2235</v>
      </c>
      <c r="E69" s="160" t="s">
        <v>2180</v>
      </c>
      <c r="F69" s="174" t="s">
        <v>2192</v>
      </c>
      <c r="G69" s="152"/>
      <c r="H69" s="153"/>
      <c r="I69" s="154"/>
      <c r="J69" s="155"/>
    </row>
    <row r="70" ht="22.5" customHeight="1">
      <c r="A70" s="140" t="s">
        <v>2236</v>
      </c>
      <c r="B70" s="141" t="s">
        <v>2072</v>
      </c>
      <c r="C70" s="146"/>
      <c r="D70" s="141" t="s">
        <v>2237</v>
      </c>
      <c r="E70" s="168" t="s">
        <v>2096</v>
      </c>
      <c r="F70" s="163" t="s">
        <v>2097</v>
      </c>
      <c r="G70" s="144"/>
      <c r="H70" s="145"/>
      <c r="I70" s="146"/>
      <c r="J70" s="147"/>
    </row>
    <row r="71" ht="22.5" customHeight="1">
      <c r="A71" s="148" t="s">
        <v>2238</v>
      </c>
      <c r="B71" s="149" t="s">
        <v>2072</v>
      </c>
      <c r="C71" s="149" t="s">
        <v>2239</v>
      </c>
      <c r="D71" s="149" t="s">
        <v>2240</v>
      </c>
      <c r="E71" s="160" t="s">
        <v>2180</v>
      </c>
      <c r="F71" s="166" t="s">
        <v>2097</v>
      </c>
      <c r="G71" s="152"/>
      <c r="H71" s="153"/>
      <c r="I71" s="154"/>
      <c r="J71" s="155"/>
    </row>
    <row r="72" ht="22.5" customHeight="1">
      <c r="A72" s="140" t="s">
        <v>2241</v>
      </c>
      <c r="B72" s="141" t="s">
        <v>2242</v>
      </c>
      <c r="C72" s="141" t="s">
        <v>2243</v>
      </c>
      <c r="D72" s="141" t="s">
        <v>2244</v>
      </c>
      <c r="E72" s="168" t="s">
        <v>2096</v>
      </c>
      <c r="F72" s="156" t="s">
        <v>635</v>
      </c>
      <c r="G72" s="144"/>
      <c r="H72" s="145"/>
      <c r="I72" s="146"/>
      <c r="J72" s="147"/>
    </row>
    <row r="73" ht="22.5" customHeight="1">
      <c r="A73" s="148" t="s">
        <v>2245</v>
      </c>
      <c r="B73" s="149" t="s">
        <v>2072</v>
      </c>
      <c r="C73" s="154"/>
      <c r="D73" s="149" t="s">
        <v>2246</v>
      </c>
      <c r="E73" s="160" t="s">
        <v>2180</v>
      </c>
      <c r="F73" s="166" t="s">
        <v>2097</v>
      </c>
      <c r="G73" s="152"/>
      <c r="H73" s="153"/>
      <c r="I73" s="154"/>
      <c r="J73" s="155"/>
    </row>
    <row r="74" ht="22.5" customHeight="1">
      <c r="A74" s="140" t="s">
        <v>2247</v>
      </c>
      <c r="B74" s="141" t="s">
        <v>2072</v>
      </c>
      <c r="C74" s="141" t="s">
        <v>2248</v>
      </c>
      <c r="D74" s="141" t="s">
        <v>2249</v>
      </c>
      <c r="E74" s="162" t="s">
        <v>2180</v>
      </c>
      <c r="F74" s="163" t="s">
        <v>2097</v>
      </c>
      <c r="G74" s="144"/>
      <c r="H74" s="145"/>
      <c r="I74" s="146"/>
      <c r="J74" s="147"/>
    </row>
    <row r="75" ht="22.5" customHeight="1">
      <c r="A75" s="148" t="s">
        <v>2250</v>
      </c>
      <c r="B75" s="149" t="s">
        <v>2072</v>
      </c>
      <c r="C75" s="149" t="s">
        <v>2251</v>
      </c>
      <c r="D75" s="149" t="s">
        <v>2252</v>
      </c>
      <c r="E75" s="160" t="s">
        <v>2072</v>
      </c>
      <c r="F75" s="167" t="s">
        <v>635</v>
      </c>
      <c r="G75" s="152"/>
      <c r="H75" s="153"/>
      <c r="I75" s="154"/>
      <c r="J75" s="155"/>
    </row>
    <row r="76" ht="22.5" customHeight="1">
      <c r="A76" s="140" t="s">
        <v>2253</v>
      </c>
      <c r="B76" s="141" t="s">
        <v>2072</v>
      </c>
      <c r="C76" s="141" t="s">
        <v>2254</v>
      </c>
      <c r="D76" s="141" t="s">
        <v>2255</v>
      </c>
      <c r="E76" s="162" t="s">
        <v>2256</v>
      </c>
      <c r="F76" s="163" t="s">
        <v>2097</v>
      </c>
      <c r="G76" s="144"/>
      <c r="H76" s="145"/>
      <c r="I76" s="146"/>
      <c r="J76" s="147"/>
    </row>
    <row r="77" ht="22.5" customHeight="1">
      <c r="A77" s="148" t="s">
        <v>2257</v>
      </c>
      <c r="B77" s="149" t="s">
        <v>2072</v>
      </c>
      <c r="C77" s="154"/>
      <c r="D77" s="149" t="s">
        <v>2258</v>
      </c>
      <c r="E77" s="160" t="s">
        <v>2256</v>
      </c>
      <c r="F77" s="166" t="s">
        <v>2097</v>
      </c>
      <c r="G77" s="152"/>
      <c r="H77" s="153"/>
      <c r="I77" s="154"/>
      <c r="J77" s="155"/>
    </row>
    <row r="78" ht="22.5" customHeight="1">
      <c r="A78" s="140" t="s">
        <v>2259</v>
      </c>
      <c r="B78" s="141" t="s">
        <v>2072</v>
      </c>
      <c r="C78" s="146"/>
      <c r="D78" s="141" t="s">
        <v>2260</v>
      </c>
      <c r="E78" s="162" t="s">
        <v>2256</v>
      </c>
      <c r="F78" s="163" t="s">
        <v>2097</v>
      </c>
      <c r="G78" s="144"/>
      <c r="H78" s="145"/>
      <c r="I78" s="146"/>
      <c r="J78" s="147"/>
    </row>
    <row r="79" ht="22.5" customHeight="1">
      <c r="A79" s="148" t="s">
        <v>2261</v>
      </c>
      <c r="B79" s="149" t="s">
        <v>2072</v>
      </c>
      <c r="C79" s="154"/>
      <c r="D79" s="149" t="s">
        <v>2262</v>
      </c>
      <c r="E79" s="160" t="s">
        <v>2256</v>
      </c>
      <c r="F79" s="166" t="s">
        <v>2097</v>
      </c>
      <c r="G79" s="152"/>
      <c r="H79" s="153"/>
      <c r="I79" s="154"/>
      <c r="J79" s="155"/>
    </row>
    <row r="80" ht="22.5" customHeight="1">
      <c r="A80" s="140" t="s">
        <v>2263</v>
      </c>
      <c r="B80" s="141" t="s">
        <v>2072</v>
      </c>
      <c r="C80" s="146"/>
      <c r="D80" s="141" t="s">
        <v>2264</v>
      </c>
      <c r="E80" s="162" t="s">
        <v>2256</v>
      </c>
      <c r="F80" s="163" t="s">
        <v>2097</v>
      </c>
      <c r="G80" s="144"/>
      <c r="H80" s="145"/>
      <c r="I80" s="146"/>
      <c r="J80" s="147"/>
    </row>
    <row r="81" ht="22.5" customHeight="1">
      <c r="A81" s="148" t="s">
        <v>2265</v>
      </c>
      <c r="B81" s="149" t="s">
        <v>2072</v>
      </c>
      <c r="C81" s="149" t="s">
        <v>2266</v>
      </c>
      <c r="D81" s="149" t="s">
        <v>2267</v>
      </c>
      <c r="E81" s="160" t="s">
        <v>2256</v>
      </c>
      <c r="F81" s="166" t="s">
        <v>2097</v>
      </c>
      <c r="G81" s="152"/>
      <c r="H81" s="153"/>
      <c r="I81" s="154"/>
      <c r="J81" s="155"/>
    </row>
    <row r="82" ht="22.5" customHeight="1">
      <c r="A82" s="140" t="s">
        <v>2268</v>
      </c>
      <c r="B82" s="141" t="s">
        <v>2113</v>
      </c>
      <c r="C82" s="141" t="s">
        <v>2269</v>
      </c>
      <c r="D82" s="141" t="s">
        <v>2270</v>
      </c>
      <c r="E82" s="162" t="s">
        <v>2113</v>
      </c>
      <c r="F82" s="175" t="s">
        <v>2076</v>
      </c>
      <c r="G82" s="144"/>
      <c r="H82" s="145"/>
      <c r="I82" s="146"/>
      <c r="J82" s="147"/>
    </row>
    <row r="83" ht="22.5" customHeight="1">
      <c r="A83" s="148" t="s">
        <v>2271</v>
      </c>
      <c r="B83" s="149" t="s">
        <v>2113</v>
      </c>
      <c r="C83" s="149" t="s">
        <v>2272</v>
      </c>
      <c r="D83" s="149" t="s">
        <v>2273</v>
      </c>
      <c r="E83" s="160" t="s">
        <v>2113</v>
      </c>
      <c r="F83" s="176" t="s">
        <v>30</v>
      </c>
      <c r="G83" s="152"/>
      <c r="H83" s="153"/>
      <c r="I83" s="154"/>
      <c r="J83" s="155"/>
    </row>
    <row r="84" ht="22.5" customHeight="1">
      <c r="A84" s="140" t="s">
        <v>2274</v>
      </c>
      <c r="B84" s="141" t="s">
        <v>2113</v>
      </c>
      <c r="C84" s="146"/>
      <c r="D84" s="141" t="s">
        <v>2275</v>
      </c>
      <c r="E84" s="162" t="s">
        <v>2256</v>
      </c>
      <c r="F84" s="177" t="s">
        <v>2097</v>
      </c>
      <c r="G84" s="144"/>
      <c r="H84" s="145"/>
      <c r="I84" s="146"/>
      <c r="J84" s="147"/>
    </row>
    <row r="85" ht="22.5" customHeight="1">
      <c r="A85" s="148" t="s">
        <v>2276</v>
      </c>
      <c r="B85" s="149" t="s">
        <v>2113</v>
      </c>
      <c r="C85" s="154"/>
      <c r="D85" s="149" t="s">
        <v>2277</v>
      </c>
      <c r="E85" s="160" t="s">
        <v>2256</v>
      </c>
      <c r="F85" s="178" t="s">
        <v>2097</v>
      </c>
      <c r="G85" s="152"/>
      <c r="H85" s="153"/>
      <c r="I85" s="154"/>
      <c r="J85" s="155"/>
    </row>
    <row r="86" ht="22.5" customHeight="1">
      <c r="A86" s="140" t="s">
        <v>2278</v>
      </c>
      <c r="B86" s="141" t="s">
        <v>2113</v>
      </c>
      <c r="C86" s="141" t="s">
        <v>2279</v>
      </c>
      <c r="D86" s="141" t="s">
        <v>2280</v>
      </c>
      <c r="E86" s="162" t="s">
        <v>2256</v>
      </c>
      <c r="F86" s="163" t="s">
        <v>2097</v>
      </c>
      <c r="G86" s="144"/>
      <c r="H86" s="145"/>
      <c r="I86" s="146"/>
      <c r="J86" s="147"/>
    </row>
    <row r="87" ht="22.5" customHeight="1">
      <c r="A87" s="148" t="s">
        <v>2281</v>
      </c>
      <c r="B87" s="149" t="s">
        <v>2113</v>
      </c>
      <c r="C87" s="149" t="s">
        <v>2282</v>
      </c>
      <c r="D87" s="149" t="s">
        <v>2283</v>
      </c>
      <c r="E87" s="160" t="s">
        <v>2256</v>
      </c>
      <c r="F87" s="165" t="s">
        <v>2076</v>
      </c>
      <c r="G87" s="152"/>
      <c r="H87" s="153"/>
      <c r="I87" s="154"/>
      <c r="J87" s="155"/>
    </row>
    <row r="88" ht="22.5" customHeight="1">
      <c r="A88" s="140" t="s">
        <v>2284</v>
      </c>
      <c r="B88" s="141" t="s">
        <v>2113</v>
      </c>
      <c r="C88" s="141" t="s">
        <v>2285</v>
      </c>
      <c r="D88" s="141" t="s">
        <v>2286</v>
      </c>
      <c r="E88" s="162" t="s">
        <v>2256</v>
      </c>
      <c r="F88" s="163" t="s">
        <v>2097</v>
      </c>
      <c r="G88" s="144"/>
      <c r="H88" s="145"/>
      <c r="I88" s="146"/>
      <c r="J88" s="147"/>
    </row>
    <row r="89" ht="22.5" customHeight="1">
      <c r="A89" s="148" t="s">
        <v>2287</v>
      </c>
      <c r="B89" s="149" t="s">
        <v>2256</v>
      </c>
      <c r="C89" s="164" t="s">
        <v>2288</v>
      </c>
      <c r="D89" s="164" t="s">
        <v>2289</v>
      </c>
      <c r="E89" s="160" t="s">
        <v>2256</v>
      </c>
      <c r="F89" s="165" t="s">
        <v>2076</v>
      </c>
      <c r="G89" s="152"/>
      <c r="H89" s="153"/>
      <c r="I89" s="154"/>
      <c r="J89" s="155"/>
    </row>
    <row r="90" ht="22.5" customHeight="1">
      <c r="A90" s="140" t="s">
        <v>2290</v>
      </c>
      <c r="B90" s="141" t="s">
        <v>2256</v>
      </c>
      <c r="C90" s="141" t="s">
        <v>2291</v>
      </c>
      <c r="D90" s="141" t="s">
        <v>2292</v>
      </c>
      <c r="E90" s="162" t="s">
        <v>2256</v>
      </c>
      <c r="F90" s="169" t="s">
        <v>49</v>
      </c>
      <c r="G90" s="144"/>
      <c r="H90" s="145"/>
      <c r="I90" s="146"/>
      <c r="J90" s="147"/>
    </row>
    <row r="91" ht="22.5" customHeight="1">
      <c r="A91" s="148" t="s">
        <v>2293</v>
      </c>
      <c r="B91" s="149" t="s">
        <v>2256</v>
      </c>
      <c r="C91" s="164" t="s">
        <v>2294</v>
      </c>
      <c r="D91" s="164" t="s">
        <v>2295</v>
      </c>
      <c r="E91" s="160" t="s">
        <v>2256</v>
      </c>
      <c r="F91" s="165" t="s">
        <v>2076</v>
      </c>
      <c r="G91" s="152"/>
      <c r="H91" s="153"/>
      <c r="I91" s="154"/>
      <c r="J91" s="155"/>
    </row>
    <row r="92" ht="22.5" customHeight="1">
      <c r="A92" s="140" t="s">
        <v>2296</v>
      </c>
      <c r="B92" s="141" t="s">
        <v>2256</v>
      </c>
      <c r="C92" s="179" t="s">
        <v>2297</v>
      </c>
      <c r="D92" s="141" t="s">
        <v>2298</v>
      </c>
      <c r="E92" s="162" t="s">
        <v>2256</v>
      </c>
      <c r="F92" s="173" t="s">
        <v>2076</v>
      </c>
      <c r="G92" s="144"/>
      <c r="H92" s="145"/>
      <c r="I92" s="146"/>
      <c r="J92" s="147"/>
    </row>
    <row r="93" ht="22.5" customHeight="1">
      <c r="A93" s="148" t="s">
        <v>2299</v>
      </c>
      <c r="B93" s="149" t="s">
        <v>2256</v>
      </c>
      <c r="C93" s="164" t="s">
        <v>2300</v>
      </c>
      <c r="D93" s="149" t="s">
        <v>2301</v>
      </c>
      <c r="E93" s="160" t="s">
        <v>2256</v>
      </c>
      <c r="F93" s="165" t="s">
        <v>2076</v>
      </c>
      <c r="G93" s="152"/>
      <c r="H93" s="153"/>
      <c r="I93" s="154"/>
      <c r="J93" s="155"/>
    </row>
    <row r="94" ht="22.5" customHeight="1">
      <c r="A94" s="140" t="s">
        <v>2302</v>
      </c>
      <c r="B94" s="141" t="s">
        <v>2256</v>
      </c>
      <c r="C94" s="141" t="s">
        <v>2303</v>
      </c>
      <c r="D94" s="179" t="s">
        <v>2304</v>
      </c>
      <c r="E94" s="162" t="s">
        <v>2256</v>
      </c>
      <c r="F94" s="173" t="s">
        <v>2076</v>
      </c>
      <c r="G94" s="144"/>
      <c r="H94" s="145"/>
      <c r="I94" s="146"/>
      <c r="J94" s="147"/>
    </row>
    <row r="95" ht="22.5" customHeight="1">
      <c r="A95" s="148" t="s">
        <v>2305</v>
      </c>
      <c r="B95" s="149" t="s">
        <v>2256</v>
      </c>
      <c r="C95" s="164" t="s">
        <v>2306</v>
      </c>
      <c r="D95" s="164" t="s">
        <v>2307</v>
      </c>
      <c r="E95" s="160" t="s">
        <v>2256</v>
      </c>
      <c r="F95" s="165" t="s">
        <v>2076</v>
      </c>
      <c r="G95" s="152"/>
      <c r="H95" s="153"/>
      <c r="I95" s="154"/>
      <c r="J95" s="155"/>
    </row>
    <row r="96" ht="22.5" customHeight="1">
      <c r="A96" s="140" t="s">
        <v>2308</v>
      </c>
      <c r="B96" s="141" t="s">
        <v>2256</v>
      </c>
      <c r="C96" s="179" t="s">
        <v>2309</v>
      </c>
      <c r="D96" s="179" t="s">
        <v>2310</v>
      </c>
      <c r="E96" s="162" t="s">
        <v>2256</v>
      </c>
      <c r="F96" s="173" t="s">
        <v>2076</v>
      </c>
      <c r="G96" s="144"/>
      <c r="H96" s="145"/>
      <c r="I96" s="146"/>
      <c r="J96" s="147"/>
    </row>
    <row r="97" ht="22.5" customHeight="1">
      <c r="A97" s="148" t="s">
        <v>2311</v>
      </c>
      <c r="B97" s="149" t="s">
        <v>2256</v>
      </c>
      <c r="C97" s="164" t="s">
        <v>2312</v>
      </c>
      <c r="D97" s="164" t="s">
        <v>2313</v>
      </c>
      <c r="E97" s="160" t="s">
        <v>2256</v>
      </c>
      <c r="F97" s="165" t="s">
        <v>2076</v>
      </c>
      <c r="G97" s="152"/>
      <c r="H97" s="153"/>
      <c r="I97" s="154"/>
      <c r="J97" s="155"/>
    </row>
    <row r="98" ht="22.5" customHeight="1">
      <c r="A98" s="140" t="s">
        <v>2314</v>
      </c>
      <c r="B98" s="141" t="s">
        <v>2256</v>
      </c>
      <c r="C98" s="179" t="s">
        <v>2315</v>
      </c>
      <c r="D98" s="179" t="s">
        <v>2316</v>
      </c>
      <c r="E98" s="162" t="s">
        <v>2256</v>
      </c>
      <c r="F98" s="173" t="s">
        <v>2076</v>
      </c>
      <c r="G98" s="144"/>
      <c r="H98" s="145"/>
      <c r="I98" s="146"/>
      <c r="J98" s="147"/>
    </row>
    <row r="99" ht="22.5" customHeight="1">
      <c r="A99" s="148" t="s">
        <v>2317</v>
      </c>
      <c r="B99" s="149" t="s">
        <v>2256</v>
      </c>
      <c r="C99" s="164" t="s">
        <v>2318</v>
      </c>
      <c r="D99" s="164" t="s">
        <v>2319</v>
      </c>
      <c r="E99" s="160" t="s">
        <v>2256</v>
      </c>
      <c r="F99" s="180" t="s">
        <v>2076</v>
      </c>
      <c r="G99" s="181"/>
      <c r="H99" s="182"/>
      <c r="I99" s="183"/>
      <c r="J99" s="155"/>
    </row>
    <row r="100" ht="22.5" customHeight="1">
      <c r="A100" s="140" t="s">
        <v>2320</v>
      </c>
      <c r="B100" s="141" t="s">
        <v>2256</v>
      </c>
      <c r="C100" s="141" t="s">
        <v>2321</v>
      </c>
      <c r="D100" s="179" t="s">
        <v>2322</v>
      </c>
      <c r="E100" s="168" t="s">
        <v>2096</v>
      </c>
      <c r="F100" s="175" t="s">
        <v>2076</v>
      </c>
      <c r="G100" s="144"/>
      <c r="H100" s="145"/>
      <c r="I100" s="146"/>
      <c r="J100" s="147"/>
    </row>
    <row r="101" ht="22.5" customHeight="1">
      <c r="A101" s="148" t="s">
        <v>2323</v>
      </c>
      <c r="B101" s="149" t="s">
        <v>2256</v>
      </c>
      <c r="C101" s="164" t="s">
        <v>2324</v>
      </c>
      <c r="D101" s="164" t="s">
        <v>2325</v>
      </c>
      <c r="E101" s="160" t="s">
        <v>2256</v>
      </c>
      <c r="F101" s="180" t="s">
        <v>2076</v>
      </c>
      <c r="G101" s="181"/>
      <c r="H101" s="153"/>
      <c r="I101" s="154"/>
      <c r="J101" s="155"/>
    </row>
    <row r="102" ht="22.5" customHeight="1">
      <c r="A102" s="184" t="s">
        <v>2326</v>
      </c>
      <c r="B102" s="185" t="s">
        <v>2256</v>
      </c>
      <c r="C102" s="186" t="s">
        <v>2327</v>
      </c>
      <c r="D102" s="185" t="s">
        <v>2328</v>
      </c>
      <c r="E102" s="187" t="s">
        <v>2256</v>
      </c>
      <c r="F102" s="173" t="s">
        <v>2076</v>
      </c>
      <c r="G102" s="144"/>
      <c r="H102" s="188"/>
      <c r="I102" s="189"/>
      <c r="J102" s="190"/>
    </row>
    <row r="103" ht="22.5" customHeight="1">
      <c r="A103" s="148" t="s">
        <v>2329</v>
      </c>
      <c r="B103" s="149" t="s">
        <v>2256</v>
      </c>
      <c r="C103" s="164" t="s">
        <v>2330</v>
      </c>
      <c r="D103" s="191" t="s">
        <v>2331</v>
      </c>
      <c r="E103" s="160" t="s">
        <v>2256</v>
      </c>
      <c r="F103" s="180" t="s">
        <v>2076</v>
      </c>
      <c r="G103" s="181"/>
      <c r="H103" s="153"/>
      <c r="I103" s="154"/>
      <c r="J103" s="155"/>
    </row>
    <row r="104" ht="22.5" customHeight="1">
      <c r="A104" s="140" t="s">
        <v>2332</v>
      </c>
      <c r="B104" s="141" t="s">
        <v>2256</v>
      </c>
      <c r="C104" s="179" t="s">
        <v>2333</v>
      </c>
      <c r="D104" s="141" t="s">
        <v>2334</v>
      </c>
      <c r="E104" s="162" t="s">
        <v>2256</v>
      </c>
      <c r="F104" s="173" t="s">
        <v>2076</v>
      </c>
      <c r="G104" s="144"/>
      <c r="H104" s="145"/>
      <c r="I104" s="146"/>
      <c r="J104" s="147"/>
    </row>
    <row r="105" ht="22.5" customHeight="1">
      <c r="A105" s="148" t="s">
        <v>2335</v>
      </c>
      <c r="B105" s="149" t="s">
        <v>2256</v>
      </c>
      <c r="C105" s="164" t="s">
        <v>2336</v>
      </c>
      <c r="D105" s="149" t="s">
        <v>2337</v>
      </c>
      <c r="E105" s="160" t="s">
        <v>2256</v>
      </c>
      <c r="F105" s="180" t="s">
        <v>2076</v>
      </c>
      <c r="G105" s="181"/>
      <c r="H105" s="153"/>
      <c r="I105" s="154"/>
      <c r="J105" s="155"/>
    </row>
    <row r="106" ht="22.5" customHeight="1">
      <c r="A106" s="140" t="s">
        <v>2338</v>
      </c>
      <c r="B106" s="141" t="s">
        <v>2256</v>
      </c>
      <c r="C106" s="141" t="s">
        <v>2339</v>
      </c>
      <c r="D106" s="179" t="s">
        <v>2340</v>
      </c>
      <c r="E106" s="162" t="s">
        <v>2256</v>
      </c>
      <c r="F106" s="173" t="s">
        <v>2076</v>
      </c>
      <c r="G106" s="144"/>
      <c r="H106" s="145"/>
      <c r="I106" s="146"/>
      <c r="J106" s="147"/>
    </row>
    <row r="107" ht="22.5" customHeight="1">
      <c r="A107" s="148" t="s">
        <v>2341</v>
      </c>
      <c r="B107" s="149" t="s">
        <v>2256</v>
      </c>
      <c r="C107" s="149" t="s">
        <v>2342</v>
      </c>
      <c r="D107" s="164" t="s">
        <v>2343</v>
      </c>
      <c r="E107" s="160" t="s">
        <v>2256</v>
      </c>
      <c r="F107" s="192" t="s">
        <v>49</v>
      </c>
      <c r="G107" s="181"/>
      <c r="H107" s="153"/>
      <c r="I107" s="154"/>
      <c r="J107" s="155"/>
    </row>
    <row r="108" ht="22.5" customHeight="1">
      <c r="A108" s="140" t="s">
        <v>2344</v>
      </c>
      <c r="B108" s="141" t="s">
        <v>2256</v>
      </c>
      <c r="C108" s="146"/>
      <c r="D108" s="141" t="s">
        <v>2345</v>
      </c>
      <c r="E108" s="162" t="s">
        <v>2346</v>
      </c>
      <c r="F108" s="163" t="s">
        <v>2097</v>
      </c>
      <c r="G108" s="144"/>
      <c r="H108" s="145"/>
      <c r="I108" s="146"/>
      <c r="J108" s="147"/>
    </row>
    <row r="109" ht="22.5" customHeight="1">
      <c r="A109" s="148" t="s">
        <v>2347</v>
      </c>
      <c r="B109" s="149" t="s">
        <v>2256</v>
      </c>
      <c r="C109" s="149" t="s">
        <v>2348</v>
      </c>
      <c r="D109" s="149" t="s">
        <v>2349</v>
      </c>
      <c r="E109" s="160" t="s">
        <v>2346</v>
      </c>
      <c r="F109" s="193" t="s">
        <v>2097</v>
      </c>
      <c r="G109" s="181"/>
      <c r="H109" s="153"/>
      <c r="I109" s="154"/>
      <c r="J109" s="155"/>
    </row>
    <row r="110" ht="22.5" customHeight="1">
      <c r="A110" s="140" t="s">
        <v>2350</v>
      </c>
      <c r="B110" s="171" t="s">
        <v>2256</v>
      </c>
      <c r="C110" s="141" t="s">
        <v>2351</v>
      </c>
      <c r="D110" s="141" t="s">
        <v>2352</v>
      </c>
      <c r="E110" s="162" t="s">
        <v>2346</v>
      </c>
      <c r="F110" s="163" t="s">
        <v>2097</v>
      </c>
      <c r="G110" s="144"/>
      <c r="H110" s="145"/>
      <c r="I110" s="146"/>
      <c r="J110" s="147"/>
    </row>
    <row r="111" ht="22.5" customHeight="1">
      <c r="A111" s="148" t="s">
        <v>2353</v>
      </c>
      <c r="B111" s="170" t="s">
        <v>2256</v>
      </c>
      <c r="C111" s="149" t="s">
        <v>2354</v>
      </c>
      <c r="D111" s="149" t="s">
        <v>2355</v>
      </c>
      <c r="E111" s="160" t="s">
        <v>2346</v>
      </c>
      <c r="F111" s="194" t="s">
        <v>635</v>
      </c>
      <c r="G111" s="181"/>
      <c r="H111" s="153"/>
      <c r="I111" s="154"/>
      <c r="J111" s="155"/>
    </row>
    <row r="112" ht="22.5" customHeight="1">
      <c r="A112" s="140" t="s">
        <v>2356</v>
      </c>
      <c r="B112" s="171" t="s">
        <v>2256</v>
      </c>
      <c r="C112" s="141" t="s">
        <v>2357</v>
      </c>
      <c r="D112" s="141" t="s">
        <v>2358</v>
      </c>
      <c r="E112" s="162" t="s">
        <v>2346</v>
      </c>
      <c r="F112" s="163" t="s">
        <v>2097</v>
      </c>
      <c r="G112" s="144"/>
      <c r="H112" s="145"/>
      <c r="I112" s="146"/>
      <c r="J112" s="147"/>
    </row>
    <row r="113" ht="22.5" customHeight="1">
      <c r="A113" s="148" t="s">
        <v>2359</v>
      </c>
      <c r="B113" s="170" t="s">
        <v>2256</v>
      </c>
      <c r="C113" s="149" t="s">
        <v>2360</v>
      </c>
      <c r="D113" s="149" t="s">
        <v>2361</v>
      </c>
      <c r="E113" s="160" t="s">
        <v>2346</v>
      </c>
      <c r="F113" s="193" t="s">
        <v>2362</v>
      </c>
      <c r="G113" s="181"/>
      <c r="H113" s="153"/>
      <c r="I113" s="154"/>
      <c r="J113" s="155"/>
    </row>
    <row r="114" ht="22.5" customHeight="1">
      <c r="A114" s="140" t="s">
        <v>2363</v>
      </c>
      <c r="B114" s="171" t="s">
        <v>2256</v>
      </c>
      <c r="C114" s="146"/>
      <c r="D114" s="141" t="s">
        <v>2364</v>
      </c>
      <c r="E114" s="162" t="s">
        <v>2346</v>
      </c>
      <c r="F114" s="163" t="s">
        <v>2097</v>
      </c>
      <c r="G114" s="144"/>
      <c r="H114" s="145"/>
      <c r="I114" s="146"/>
      <c r="J114" s="147"/>
    </row>
    <row r="115" ht="22.5" customHeight="1">
      <c r="A115" s="148" t="s">
        <v>2365</v>
      </c>
      <c r="B115" s="170" t="s">
        <v>2256</v>
      </c>
      <c r="C115" s="154"/>
      <c r="D115" s="149" t="s">
        <v>2366</v>
      </c>
      <c r="E115" s="160" t="s">
        <v>2346</v>
      </c>
      <c r="F115" s="193" t="s">
        <v>2097</v>
      </c>
      <c r="G115" s="181"/>
      <c r="H115" s="153"/>
      <c r="I115" s="154"/>
      <c r="J115" s="155"/>
    </row>
    <row r="116" ht="22.5" customHeight="1">
      <c r="A116" s="140" t="s">
        <v>2367</v>
      </c>
      <c r="B116" s="171" t="s">
        <v>2256</v>
      </c>
      <c r="C116" s="141" t="s">
        <v>2368</v>
      </c>
      <c r="D116" s="141" t="s">
        <v>2369</v>
      </c>
      <c r="E116" s="162" t="s">
        <v>2346</v>
      </c>
      <c r="F116" s="169" t="s">
        <v>49</v>
      </c>
      <c r="G116" s="144"/>
      <c r="H116" s="145"/>
      <c r="I116" s="146"/>
      <c r="J116" s="147"/>
    </row>
    <row r="117" ht="22.5" customHeight="1">
      <c r="A117" s="148" t="s">
        <v>2370</v>
      </c>
      <c r="B117" s="170" t="s">
        <v>2256</v>
      </c>
      <c r="C117" s="149" t="s">
        <v>2371</v>
      </c>
      <c r="D117" s="149" t="s">
        <v>2372</v>
      </c>
      <c r="E117" s="160" t="s">
        <v>2346</v>
      </c>
      <c r="F117" s="193" t="s">
        <v>2097</v>
      </c>
      <c r="G117" s="181"/>
      <c r="H117" s="153"/>
      <c r="I117" s="154"/>
      <c r="J117" s="155"/>
    </row>
    <row r="118" ht="22.5" customHeight="1">
      <c r="A118" s="140" t="s">
        <v>2373</v>
      </c>
      <c r="B118" s="171" t="s">
        <v>2256</v>
      </c>
      <c r="C118" s="141" t="s">
        <v>2374</v>
      </c>
      <c r="D118" s="141" t="s">
        <v>2375</v>
      </c>
      <c r="E118" s="162" t="s">
        <v>2346</v>
      </c>
      <c r="F118" s="163" t="s">
        <v>2097</v>
      </c>
      <c r="G118" s="144"/>
      <c r="H118" s="145"/>
      <c r="I118" s="146"/>
      <c r="J118" s="147"/>
    </row>
    <row r="119" ht="22.5" customHeight="1">
      <c r="A119" s="148" t="s">
        <v>2376</v>
      </c>
      <c r="B119" s="170" t="s">
        <v>2256</v>
      </c>
      <c r="C119" s="154"/>
      <c r="D119" s="149" t="s">
        <v>2377</v>
      </c>
      <c r="E119" s="160" t="s">
        <v>2346</v>
      </c>
      <c r="F119" s="193" t="s">
        <v>2097</v>
      </c>
      <c r="G119" s="181"/>
      <c r="H119" s="153"/>
      <c r="I119" s="154"/>
      <c r="J119" s="155"/>
    </row>
    <row r="120" ht="22.5" customHeight="1">
      <c r="A120" s="140" t="s">
        <v>2378</v>
      </c>
      <c r="B120" s="171" t="s">
        <v>2256</v>
      </c>
      <c r="C120" s="146"/>
      <c r="D120" s="141" t="s">
        <v>2379</v>
      </c>
      <c r="E120" s="162" t="s">
        <v>2346</v>
      </c>
      <c r="F120" s="163" t="s">
        <v>2097</v>
      </c>
      <c r="G120" s="144"/>
      <c r="H120" s="145"/>
      <c r="I120" s="146"/>
      <c r="J120" s="147"/>
    </row>
    <row r="121" ht="22.5" customHeight="1">
      <c r="A121" s="148" t="s">
        <v>2380</v>
      </c>
      <c r="B121" s="170" t="s">
        <v>2256</v>
      </c>
      <c r="C121" s="149" t="s">
        <v>2381</v>
      </c>
      <c r="D121" s="149" t="s">
        <v>2382</v>
      </c>
      <c r="E121" s="160" t="s">
        <v>2346</v>
      </c>
      <c r="F121" s="192" t="s">
        <v>49</v>
      </c>
      <c r="G121" s="181"/>
      <c r="H121" s="153"/>
      <c r="I121" s="154"/>
      <c r="J121" s="155"/>
    </row>
    <row r="122" ht="22.5" customHeight="1">
      <c r="A122" s="140" t="s">
        <v>2383</v>
      </c>
      <c r="B122" s="171" t="s">
        <v>2256</v>
      </c>
      <c r="C122" s="179" t="s">
        <v>2384</v>
      </c>
      <c r="D122" s="141" t="s">
        <v>2385</v>
      </c>
      <c r="E122" s="162" t="s">
        <v>2346</v>
      </c>
      <c r="F122" s="169" t="s">
        <v>49</v>
      </c>
      <c r="G122" s="144"/>
      <c r="H122" s="145"/>
      <c r="I122" s="146"/>
      <c r="J122" s="147"/>
    </row>
    <row r="123" ht="22.5" customHeight="1">
      <c r="A123" s="148" t="s">
        <v>2386</v>
      </c>
      <c r="B123" s="170" t="s">
        <v>2256</v>
      </c>
      <c r="C123" s="195" t="s">
        <v>2387</v>
      </c>
      <c r="D123" s="149" t="s">
        <v>2388</v>
      </c>
      <c r="E123" s="160" t="s">
        <v>2346</v>
      </c>
      <c r="F123" s="193" t="s">
        <v>2097</v>
      </c>
      <c r="G123" s="181"/>
      <c r="H123" s="153"/>
      <c r="I123" s="154"/>
      <c r="J123" s="155"/>
    </row>
    <row r="124" ht="22.5" customHeight="1">
      <c r="A124" s="140" t="s">
        <v>2389</v>
      </c>
      <c r="B124" s="171" t="s">
        <v>2256</v>
      </c>
      <c r="C124" s="146"/>
      <c r="D124" s="141" t="s">
        <v>2390</v>
      </c>
      <c r="E124" s="162" t="s">
        <v>2346</v>
      </c>
      <c r="F124" s="163" t="s">
        <v>2097</v>
      </c>
      <c r="G124" s="144"/>
      <c r="H124" s="145"/>
      <c r="I124" s="146"/>
      <c r="J124" s="147"/>
    </row>
    <row r="125" ht="22.5" customHeight="1">
      <c r="A125" s="148" t="s">
        <v>2391</v>
      </c>
      <c r="B125" s="170" t="s">
        <v>2256</v>
      </c>
      <c r="C125" s="154"/>
      <c r="D125" s="149" t="s">
        <v>2392</v>
      </c>
      <c r="E125" s="196"/>
      <c r="F125" s="193" t="s">
        <v>2097</v>
      </c>
      <c r="G125" s="181"/>
      <c r="H125" s="153"/>
      <c r="I125" s="154"/>
      <c r="J125" s="155"/>
    </row>
    <row r="126" ht="22.5" customHeight="1">
      <c r="A126" s="140" t="s">
        <v>2393</v>
      </c>
      <c r="B126" s="171" t="s">
        <v>2256</v>
      </c>
      <c r="C126" s="141" t="s">
        <v>2394</v>
      </c>
      <c r="D126" s="141" t="s">
        <v>2395</v>
      </c>
      <c r="E126" s="197"/>
      <c r="F126" s="163" t="s">
        <v>2097</v>
      </c>
      <c r="G126" s="144"/>
      <c r="H126" s="145"/>
      <c r="I126" s="146"/>
      <c r="J126" s="147"/>
    </row>
    <row r="127" ht="22.5" customHeight="1">
      <c r="A127" s="148" t="s">
        <v>2396</v>
      </c>
      <c r="B127" s="170" t="s">
        <v>2256</v>
      </c>
      <c r="C127" s="149" t="s">
        <v>2397</v>
      </c>
      <c r="D127" s="149" t="s">
        <v>2398</v>
      </c>
      <c r="E127" s="196"/>
      <c r="F127" s="193" t="s">
        <v>2097</v>
      </c>
      <c r="G127" s="181"/>
      <c r="H127" s="153"/>
      <c r="I127" s="154"/>
      <c r="J127" s="155"/>
    </row>
    <row r="128" ht="22.5" customHeight="1">
      <c r="A128" s="140" t="s">
        <v>2399</v>
      </c>
      <c r="B128" s="171" t="s">
        <v>2256</v>
      </c>
      <c r="C128" s="141" t="s">
        <v>2400</v>
      </c>
      <c r="D128" s="141" t="s">
        <v>2401</v>
      </c>
      <c r="E128" s="197"/>
      <c r="F128" s="163" t="s">
        <v>2097</v>
      </c>
      <c r="G128" s="144"/>
      <c r="H128" s="145"/>
      <c r="I128" s="146"/>
      <c r="J128" s="147"/>
    </row>
    <row r="129" ht="22.5" customHeight="1">
      <c r="A129" s="148" t="s">
        <v>2402</v>
      </c>
      <c r="B129" s="170" t="s">
        <v>2256</v>
      </c>
      <c r="C129" s="154"/>
      <c r="D129" s="149" t="s">
        <v>2403</v>
      </c>
      <c r="E129" s="196"/>
      <c r="F129" s="193" t="s">
        <v>2097</v>
      </c>
      <c r="G129" s="181"/>
      <c r="H129" s="153"/>
      <c r="I129" s="154"/>
      <c r="J129" s="155"/>
    </row>
    <row r="130" ht="22.5" customHeight="1">
      <c r="A130" s="140" t="s">
        <v>2404</v>
      </c>
      <c r="B130" s="141" t="s">
        <v>2256</v>
      </c>
      <c r="C130" s="179" t="s">
        <v>2405</v>
      </c>
      <c r="D130" s="179" t="s">
        <v>2406</v>
      </c>
      <c r="E130" s="162" t="s">
        <v>2256</v>
      </c>
      <c r="F130" s="173" t="s">
        <v>2076</v>
      </c>
      <c r="G130" s="144"/>
      <c r="H130" s="145"/>
      <c r="I130" s="146"/>
      <c r="J130" s="147"/>
    </row>
    <row r="131" ht="22.5" customHeight="1">
      <c r="A131" s="148" t="s">
        <v>2407</v>
      </c>
      <c r="B131" s="149" t="s">
        <v>2256</v>
      </c>
      <c r="C131" s="164" t="s">
        <v>2408</v>
      </c>
      <c r="D131" s="164" t="s">
        <v>2409</v>
      </c>
      <c r="E131" s="160" t="s">
        <v>2256</v>
      </c>
      <c r="F131" s="180" t="s">
        <v>2076</v>
      </c>
      <c r="G131" s="181"/>
      <c r="H131" s="153"/>
      <c r="I131" s="154"/>
      <c r="J131" s="155"/>
    </row>
    <row r="132" ht="22.5" customHeight="1">
      <c r="A132" s="140" t="s">
        <v>2410</v>
      </c>
      <c r="B132" s="141" t="s">
        <v>2256</v>
      </c>
      <c r="C132" s="179" t="s">
        <v>2411</v>
      </c>
      <c r="D132" s="179" t="s">
        <v>2412</v>
      </c>
      <c r="E132" s="162" t="s">
        <v>2256</v>
      </c>
      <c r="F132" s="169" t="s">
        <v>49</v>
      </c>
      <c r="G132" s="144"/>
      <c r="H132" s="145"/>
      <c r="I132" s="146"/>
      <c r="J132" s="147"/>
    </row>
    <row r="133" ht="22.5" customHeight="1">
      <c r="A133" s="148" t="s">
        <v>2413</v>
      </c>
      <c r="B133" s="149" t="s">
        <v>2256</v>
      </c>
      <c r="C133" s="149" t="s">
        <v>2414</v>
      </c>
      <c r="D133" s="164" t="s">
        <v>2415</v>
      </c>
      <c r="E133" s="160" t="s">
        <v>2256</v>
      </c>
      <c r="F133" s="192" t="s">
        <v>49</v>
      </c>
      <c r="G133" s="181"/>
      <c r="H133" s="153"/>
      <c r="I133" s="154"/>
      <c r="J133" s="155"/>
    </row>
    <row r="134" ht="22.5" customHeight="1">
      <c r="A134" s="140" t="s">
        <v>2416</v>
      </c>
      <c r="B134" s="141" t="s">
        <v>2256</v>
      </c>
      <c r="C134" s="179" t="s">
        <v>2417</v>
      </c>
      <c r="D134" s="141" t="s">
        <v>2418</v>
      </c>
      <c r="E134" s="162" t="s">
        <v>2256</v>
      </c>
      <c r="F134" s="173" t="s">
        <v>2076</v>
      </c>
      <c r="G134" s="144"/>
      <c r="H134" s="145"/>
      <c r="I134" s="146"/>
      <c r="J134" s="147"/>
    </row>
    <row r="135" ht="22.5" customHeight="1">
      <c r="A135" s="148" t="s">
        <v>2419</v>
      </c>
      <c r="B135" s="149" t="s">
        <v>2256</v>
      </c>
      <c r="C135" s="164" t="s">
        <v>2420</v>
      </c>
      <c r="D135" s="164" t="s">
        <v>2421</v>
      </c>
      <c r="E135" s="196"/>
      <c r="F135" s="181"/>
      <c r="G135" s="181"/>
      <c r="H135" s="153"/>
      <c r="I135" s="154"/>
      <c r="J135" s="155"/>
    </row>
    <row r="136" ht="22.5" customHeight="1">
      <c r="A136" s="140" t="s">
        <v>2422</v>
      </c>
      <c r="B136" s="141" t="s">
        <v>2256</v>
      </c>
      <c r="C136" s="179" t="s">
        <v>2423</v>
      </c>
      <c r="D136" s="141" t="s">
        <v>2424</v>
      </c>
      <c r="E136" s="162" t="s">
        <v>2256</v>
      </c>
      <c r="F136" s="173" t="s">
        <v>2076</v>
      </c>
      <c r="G136" s="144"/>
      <c r="H136" s="145"/>
      <c r="I136" s="146"/>
      <c r="J136" s="147"/>
    </row>
    <row r="137" ht="22.5" customHeight="1">
      <c r="A137" s="148" t="s">
        <v>2425</v>
      </c>
      <c r="B137" s="149" t="s">
        <v>2256</v>
      </c>
      <c r="C137" s="164" t="s">
        <v>2423</v>
      </c>
      <c r="D137" s="198" t="s">
        <v>2426</v>
      </c>
      <c r="E137" s="196"/>
      <c r="F137" s="180" t="s">
        <v>2076</v>
      </c>
      <c r="G137" s="181"/>
      <c r="H137" s="153"/>
      <c r="I137" s="154"/>
      <c r="J137" s="155"/>
    </row>
    <row r="138" ht="22.5" customHeight="1">
      <c r="A138" s="140" t="s">
        <v>2427</v>
      </c>
      <c r="B138" s="141" t="s">
        <v>2146</v>
      </c>
      <c r="C138" s="141" t="s">
        <v>2428</v>
      </c>
      <c r="D138" s="141" t="s">
        <v>2429</v>
      </c>
      <c r="E138" s="162" t="s">
        <v>2180</v>
      </c>
      <c r="F138" s="143" t="s">
        <v>30</v>
      </c>
      <c r="G138" s="144"/>
      <c r="H138" s="145"/>
      <c r="I138" s="146"/>
      <c r="J138" s="147"/>
    </row>
    <row r="139" ht="22.5" customHeight="1">
      <c r="A139" s="148" t="s">
        <v>2430</v>
      </c>
      <c r="B139" s="149" t="s">
        <v>2431</v>
      </c>
      <c r="C139" s="149" t="s">
        <v>2432</v>
      </c>
      <c r="D139" s="149" t="s">
        <v>2433</v>
      </c>
      <c r="E139" s="160" t="s">
        <v>2180</v>
      </c>
      <c r="F139" s="193" t="s">
        <v>2097</v>
      </c>
      <c r="G139" s="181"/>
      <c r="H139" s="153"/>
      <c r="I139" s="154"/>
      <c r="J139" s="155"/>
    </row>
    <row r="140" ht="22.5" customHeight="1">
      <c r="A140" s="140" t="s">
        <v>2434</v>
      </c>
      <c r="B140" s="141" t="s">
        <v>2435</v>
      </c>
      <c r="C140" s="141" t="s">
        <v>2436</v>
      </c>
      <c r="D140" s="141" t="s">
        <v>2437</v>
      </c>
      <c r="E140" s="162" t="s">
        <v>2180</v>
      </c>
      <c r="F140" s="143" t="s">
        <v>30</v>
      </c>
      <c r="G140" s="144"/>
      <c r="H140" s="145"/>
      <c r="I140" s="146"/>
      <c r="J140" s="147"/>
    </row>
    <row r="141" ht="22.5" customHeight="1">
      <c r="A141" s="148" t="s">
        <v>2438</v>
      </c>
      <c r="B141" s="149" t="s">
        <v>2439</v>
      </c>
      <c r="C141" s="149" t="s">
        <v>2440</v>
      </c>
      <c r="D141" s="149" t="s">
        <v>2441</v>
      </c>
      <c r="E141" s="160" t="s">
        <v>2180</v>
      </c>
      <c r="F141" s="193" t="s">
        <v>2097</v>
      </c>
      <c r="G141" s="181"/>
      <c r="H141" s="153"/>
      <c r="I141" s="154"/>
      <c r="J141" s="155"/>
    </row>
    <row r="142" ht="22.5" customHeight="1">
      <c r="A142" s="140" t="s">
        <v>2442</v>
      </c>
      <c r="B142" s="141" t="s">
        <v>2443</v>
      </c>
      <c r="C142" s="141" t="s">
        <v>2444</v>
      </c>
      <c r="D142" s="141" t="s">
        <v>2445</v>
      </c>
      <c r="E142" s="162" t="s">
        <v>2180</v>
      </c>
      <c r="F142" s="169" t="s">
        <v>49</v>
      </c>
      <c r="G142" s="144"/>
      <c r="H142" s="145"/>
      <c r="I142" s="146"/>
      <c r="J142" s="147"/>
    </row>
    <row r="143" ht="22.5" customHeight="1">
      <c r="A143" s="148" t="s">
        <v>2446</v>
      </c>
      <c r="B143" s="149" t="s">
        <v>2447</v>
      </c>
      <c r="C143" s="154"/>
      <c r="D143" s="149" t="s">
        <v>2448</v>
      </c>
      <c r="E143" s="160" t="s">
        <v>2180</v>
      </c>
      <c r="F143" s="199" t="s">
        <v>2192</v>
      </c>
      <c r="G143" s="181"/>
      <c r="H143" s="153"/>
      <c r="I143" s="154"/>
      <c r="J143" s="155"/>
    </row>
    <row r="144" ht="22.5" customHeight="1">
      <c r="A144" s="140" t="s">
        <v>2449</v>
      </c>
      <c r="B144" s="141" t="s">
        <v>2450</v>
      </c>
      <c r="C144" s="146"/>
      <c r="D144" s="141" t="s">
        <v>2451</v>
      </c>
      <c r="E144" s="162" t="s">
        <v>2180</v>
      </c>
      <c r="F144" s="163" t="s">
        <v>2097</v>
      </c>
      <c r="G144" s="144"/>
      <c r="H144" s="145"/>
      <c r="I144" s="146"/>
      <c r="J144" s="147"/>
    </row>
    <row r="145" ht="22.5" customHeight="1">
      <c r="A145" s="148" t="s">
        <v>2452</v>
      </c>
      <c r="B145" s="149" t="s">
        <v>2453</v>
      </c>
      <c r="C145" s="154"/>
      <c r="D145" s="149" t="s">
        <v>2454</v>
      </c>
      <c r="E145" s="160" t="s">
        <v>2180</v>
      </c>
      <c r="F145" s="193" t="s">
        <v>2097</v>
      </c>
      <c r="G145" s="181"/>
      <c r="H145" s="153"/>
      <c r="I145" s="154"/>
      <c r="J145" s="155"/>
    </row>
    <row r="146" ht="22.5" customHeight="1">
      <c r="A146" s="140" t="s">
        <v>2455</v>
      </c>
      <c r="B146" s="141" t="s">
        <v>2456</v>
      </c>
      <c r="C146" s="146"/>
      <c r="D146" s="141" t="s">
        <v>2457</v>
      </c>
      <c r="E146" s="162" t="s">
        <v>2180</v>
      </c>
      <c r="F146" s="163" t="s">
        <v>2097</v>
      </c>
      <c r="G146" s="144"/>
      <c r="H146" s="145"/>
      <c r="I146" s="146"/>
      <c r="J146" s="147"/>
    </row>
    <row r="147" ht="22.5" customHeight="1">
      <c r="A147" s="148" t="s">
        <v>2458</v>
      </c>
      <c r="B147" s="149" t="s">
        <v>2459</v>
      </c>
      <c r="C147" s="154"/>
      <c r="D147" s="149" t="s">
        <v>2460</v>
      </c>
      <c r="E147" s="160" t="s">
        <v>2180</v>
      </c>
      <c r="F147" s="166" t="s">
        <v>2097</v>
      </c>
      <c r="G147" s="152"/>
      <c r="H147" s="153"/>
      <c r="I147" s="154"/>
      <c r="J147" s="155"/>
    </row>
    <row r="148" ht="22.5" customHeight="1">
      <c r="A148" s="140" t="s">
        <v>2461</v>
      </c>
      <c r="B148" s="141" t="s">
        <v>2462</v>
      </c>
      <c r="C148" s="146"/>
      <c r="D148" s="141" t="s">
        <v>2463</v>
      </c>
      <c r="E148" s="162" t="s">
        <v>2180</v>
      </c>
      <c r="F148" s="163" t="s">
        <v>2097</v>
      </c>
      <c r="G148" s="144"/>
      <c r="H148" s="145"/>
      <c r="I148" s="146"/>
      <c r="J148" s="147"/>
    </row>
    <row r="149" ht="22.5" customHeight="1">
      <c r="A149" s="148" t="s">
        <v>2464</v>
      </c>
      <c r="B149" s="149" t="s">
        <v>2146</v>
      </c>
      <c r="C149" s="149" t="s">
        <v>2465</v>
      </c>
      <c r="D149" s="149" t="s">
        <v>2466</v>
      </c>
      <c r="E149" s="160" t="s">
        <v>2180</v>
      </c>
      <c r="F149" s="192" t="s">
        <v>49</v>
      </c>
      <c r="G149" s="181"/>
      <c r="H149" s="153"/>
      <c r="I149" s="154"/>
      <c r="J149" s="155"/>
    </row>
    <row r="150" ht="22.5" customHeight="1">
      <c r="A150" s="140" t="s">
        <v>2467</v>
      </c>
      <c r="B150" s="141" t="s">
        <v>2468</v>
      </c>
      <c r="C150" s="146"/>
      <c r="D150" s="141" t="s">
        <v>2469</v>
      </c>
      <c r="E150" s="162" t="s">
        <v>2180</v>
      </c>
      <c r="F150" s="163" t="s">
        <v>2097</v>
      </c>
      <c r="G150" s="144"/>
      <c r="H150" s="145"/>
      <c r="I150" s="146"/>
      <c r="J150" s="147"/>
    </row>
    <row r="151" ht="22.5" customHeight="1">
      <c r="A151" s="148" t="s">
        <v>2470</v>
      </c>
      <c r="B151" s="149" t="s">
        <v>2471</v>
      </c>
      <c r="C151" s="154"/>
      <c r="D151" s="149" t="s">
        <v>2472</v>
      </c>
      <c r="E151" s="160" t="s">
        <v>2180</v>
      </c>
      <c r="F151" s="192" t="s">
        <v>49</v>
      </c>
      <c r="G151" s="181"/>
      <c r="H151" s="153"/>
      <c r="I151" s="154"/>
      <c r="J151" s="155"/>
    </row>
    <row r="152" ht="22.5" customHeight="1">
      <c r="A152" s="140" t="s">
        <v>2473</v>
      </c>
      <c r="B152" s="141" t="s">
        <v>2474</v>
      </c>
      <c r="C152" s="146"/>
      <c r="D152" s="141" t="s">
        <v>2475</v>
      </c>
      <c r="E152" s="162" t="s">
        <v>2180</v>
      </c>
      <c r="F152" s="163" t="s">
        <v>2097</v>
      </c>
      <c r="G152" s="144"/>
      <c r="H152" s="145"/>
      <c r="I152" s="146"/>
      <c r="J152" s="147"/>
    </row>
    <row r="153" ht="22.5" customHeight="1">
      <c r="A153" s="148" t="s">
        <v>2476</v>
      </c>
      <c r="B153" s="149" t="s">
        <v>2146</v>
      </c>
      <c r="C153" s="149" t="s">
        <v>2477</v>
      </c>
      <c r="D153" s="149" t="s">
        <v>2478</v>
      </c>
      <c r="E153" s="160" t="s">
        <v>2180</v>
      </c>
      <c r="F153" s="193" t="s">
        <v>2097</v>
      </c>
      <c r="G153" s="181"/>
      <c r="H153" s="153"/>
      <c r="I153" s="154"/>
      <c r="J153" s="155"/>
    </row>
    <row r="154" ht="22.5" customHeight="1">
      <c r="A154" s="140" t="s">
        <v>2479</v>
      </c>
      <c r="B154" s="141" t="s">
        <v>2480</v>
      </c>
      <c r="C154" s="141" t="s">
        <v>2481</v>
      </c>
      <c r="D154" s="141" t="s">
        <v>2482</v>
      </c>
      <c r="E154" s="162" t="s">
        <v>2180</v>
      </c>
      <c r="F154" s="163" t="s">
        <v>2097</v>
      </c>
      <c r="G154" s="144"/>
      <c r="H154" s="145"/>
      <c r="I154" s="146"/>
      <c r="J154" s="147"/>
    </row>
    <row r="155" ht="22.5" customHeight="1">
      <c r="A155" s="148" t="s">
        <v>2483</v>
      </c>
      <c r="B155" s="149" t="s">
        <v>2484</v>
      </c>
      <c r="C155" s="154"/>
      <c r="D155" s="149" t="s">
        <v>2485</v>
      </c>
      <c r="E155" s="160" t="s">
        <v>2486</v>
      </c>
      <c r="F155" s="193" t="s">
        <v>2097</v>
      </c>
      <c r="G155" s="181"/>
      <c r="H155" s="153"/>
      <c r="I155" s="154"/>
      <c r="J155" s="155"/>
    </row>
    <row r="156" ht="22.5" customHeight="1">
      <c r="A156" s="140" t="s">
        <v>2487</v>
      </c>
      <c r="B156" s="141" t="s">
        <v>2488</v>
      </c>
      <c r="C156" s="141" t="s">
        <v>2489</v>
      </c>
      <c r="D156" s="141" t="s">
        <v>2490</v>
      </c>
      <c r="E156" s="162" t="s">
        <v>2486</v>
      </c>
      <c r="F156" s="163" t="s">
        <v>2097</v>
      </c>
      <c r="G156" s="144"/>
      <c r="H156" s="145"/>
      <c r="I156" s="146"/>
      <c r="J156" s="147"/>
    </row>
    <row r="157" ht="22.5" customHeight="1">
      <c r="A157" s="148" t="s">
        <v>2491</v>
      </c>
      <c r="B157" s="149" t="s">
        <v>2492</v>
      </c>
      <c r="C157" s="149" t="s">
        <v>2493</v>
      </c>
      <c r="D157" s="149" t="s">
        <v>2494</v>
      </c>
      <c r="E157" s="160" t="s">
        <v>2486</v>
      </c>
      <c r="F157" s="193" t="s">
        <v>2097</v>
      </c>
      <c r="G157" s="181"/>
      <c r="H157" s="153"/>
      <c r="I157" s="154"/>
      <c r="J157" s="155"/>
    </row>
    <row r="158" ht="22.5" customHeight="1">
      <c r="A158" s="140" t="s">
        <v>2495</v>
      </c>
      <c r="B158" s="141" t="s">
        <v>2496</v>
      </c>
      <c r="C158" s="141" t="s">
        <v>2497</v>
      </c>
      <c r="D158" s="141" t="s">
        <v>2498</v>
      </c>
      <c r="E158" s="162" t="s">
        <v>2146</v>
      </c>
      <c r="F158" s="163" t="s">
        <v>2097</v>
      </c>
      <c r="G158" s="144"/>
      <c r="H158" s="145"/>
      <c r="I158" s="146"/>
      <c r="J158" s="147"/>
    </row>
    <row r="159" ht="22.5" customHeight="1">
      <c r="A159" s="148" t="s">
        <v>2499</v>
      </c>
      <c r="B159" s="149" t="s">
        <v>2500</v>
      </c>
      <c r="C159" s="149" t="s">
        <v>1135</v>
      </c>
      <c r="D159" s="149" t="s">
        <v>2501</v>
      </c>
      <c r="E159" s="160" t="s">
        <v>2486</v>
      </c>
      <c r="F159" s="193" t="s">
        <v>2097</v>
      </c>
      <c r="G159" s="181"/>
      <c r="H159" s="153"/>
      <c r="I159" s="154"/>
      <c r="J159" s="155"/>
    </row>
    <row r="160" ht="22.5" customHeight="1">
      <c r="A160" s="140" t="s">
        <v>2502</v>
      </c>
      <c r="B160" s="141" t="s">
        <v>2503</v>
      </c>
      <c r="C160" s="141" t="s">
        <v>2504</v>
      </c>
      <c r="D160" s="141" t="s">
        <v>2505</v>
      </c>
      <c r="E160" s="162" t="s">
        <v>2486</v>
      </c>
      <c r="F160" s="163" t="s">
        <v>2097</v>
      </c>
      <c r="G160" s="144"/>
      <c r="H160" s="145"/>
      <c r="I160" s="146"/>
      <c r="J160" s="147"/>
    </row>
    <row r="161" ht="22.5" customHeight="1">
      <c r="A161" s="148" t="s">
        <v>2506</v>
      </c>
      <c r="B161" s="149" t="s">
        <v>2507</v>
      </c>
      <c r="C161" s="149" t="s">
        <v>2508</v>
      </c>
      <c r="D161" s="149" t="s">
        <v>2509</v>
      </c>
      <c r="E161" s="160" t="s">
        <v>2486</v>
      </c>
      <c r="F161" s="193" t="s">
        <v>2097</v>
      </c>
      <c r="G161" s="152"/>
      <c r="H161" s="153"/>
      <c r="I161" s="154"/>
      <c r="J161" s="155"/>
    </row>
    <row r="162" ht="22.5" customHeight="1">
      <c r="A162" s="140" t="s">
        <v>2510</v>
      </c>
      <c r="B162" s="141" t="s">
        <v>2511</v>
      </c>
      <c r="C162" s="146"/>
      <c r="D162" s="141" t="s">
        <v>2512</v>
      </c>
      <c r="E162" s="162" t="s">
        <v>2486</v>
      </c>
      <c r="F162" s="163" t="s">
        <v>2097</v>
      </c>
      <c r="G162" s="144"/>
      <c r="H162" s="145"/>
      <c r="I162" s="146"/>
      <c r="J162" s="147"/>
    </row>
    <row r="163" ht="22.5" customHeight="1">
      <c r="A163" s="148" t="s">
        <v>2513</v>
      </c>
      <c r="B163" s="149" t="s">
        <v>2514</v>
      </c>
      <c r="C163" s="154"/>
      <c r="D163" s="149" t="s">
        <v>2515</v>
      </c>
      <c r="E163" s="160" t="s">
        <v>2486</v>
      </c>
      <c r="F163" s="193" t="s">
        <v>2097</v>
      </c>
      <c r="G163" s="181"/>
      <c r="H163" s="153"/>
      <c r="I163" s="154"/>
      <c r="J163" s="155"/>
    </row>
    <row r="164" ht="22.5" customHeight="1">
      <c r="A164" s="140" t="s">
        <v>2516</v>
      </c>
      <c r="B164" s="141" t="s">
        <v>2517</v>
      </c>
      <c r="C164" s="141" t="s">
        <v>2518</v>
      </c>
      <c r="D164" s="141" t="s">
        <v>2519</v>
      </c>
      <c r="E164" s="162" t="s">
        <v>2486</v>
      </c>
      <c r="F164" s="163" t="s">
        <v>2097</v>
      </c>
      <c r="G164" s="144"/>
      <c r="H164" s="145"/>
      <c r="I164" s="146"/>
      <c r="J164" s="147"/>
    </row>
    <row r="165" ht="22.5" customHeight="1">
      <c r="A165" s="148" t="s">
        <v>2520</v>
      </c>
      <c r="B165" s="149" t="s">
        <v>2521</v>
      </c>
      <c r="C165" s="149" t="s">
        <v>2522</v>
      </c>
      <c r="D165" s="149" t="s">
        <v>2523</v>
      </c>
      <c r="E165" s="160" t="s">
        <v>2486</v>
      </c>
      <c r="F165" s="192" t="s">
        <v>49</v>
      </c>
      <c r="G165" s="181"/>
      <c r="H165" s="153"/>
      <c r="I165" s="154"/>
      <c r="J165" s="155"/>
    </row>
    <row r="166" ht="22.5" customHeight="1">
      <c r="A166" s="140" t="s">
        <v>2524</v>
      </c>
      <c r="B166" s="141" t="s">
        <v>2525</v>
      </c>
      <c r="C166" s="141" t="s">
        <v>2526</v>
      </c>
      <c r="D166" s="141" t="s">
        <v>2527</v>
      </c>
      <c r="E166" s="162" t="s">
        <v>2486</v>
      </c>
      <c r="F166" s="163" t="s">
        <v>2097</v>
      </c>
      <c r="G166" s="144"/>
      <c r="H166" s="145"/>
      <c r="I166" s="146"/>
      <c r="J166" s="147"/>
    </row>
    <row r="167" ht="22.5" customHeight="1">
      <c r="A167" s="148" t="s">
        <v>2528</v>
      </c>
      <c r="B167" s="149" t="s">
        <v>2529</v>
      </c>
      <c r="C167" s="149" t="s">
        <v>2530</v>
      </c>
      <c r="D167" s="149" t="s">
        <v>2531</v>
      </c>
      <c r="E167" s="160" t="s">
        <v>2486</v>
      </c>
      <c r="F167" s="193" t="s">
        <v>2097</v>
      </c>
      <c r="G167" s="181"/>
      <c r="H167" s="153"/>
      <c r="I167" s="154"/>
      <c r="J167" s="155"/>
    </row>
    <row r="168" ht="22.5" customHeight="1">
      <c r="A168" s="140" t="s">
        <v>2532</v>
      </c>
      <c r="B168" s="141" t="s">
        <v>2533</v>
      </c>
      <c r="C168" s="146"/>
      <c r="D168" s="141" t="s">
        <v>2534</v>
      </c>
      <c r="E168" s="162" t="s">
        <v>2486</v>
      </c>
      <c r="F168" s="163" t="s">
        <v>2097</v>
      </c>
      <c r="G168" s="144"/>
      <c r="H168" s="145"/>
      <c r="I168" s="146"/>
      <c r="J168" s="147"/>
    </row>
    <row r="169" ht="22.5" customHeight="1">
      <c r="A169" s="148" t="s">
        <v>2535</v>
      </c>
      <c r="B169" s="149" t="s">
        <v>2536</v>
      </c>
      <c r="C169" s="154"/>
      <c r="D169" s="149" t="s">
        <v>2537</v>
      </c>
      <c r="E169" s="160" t="s">
        <v>2486</v>
      </c>
      <c r="F169" s="166" t="s">
        <v>2097</v>
      </c>
      <c r="G169" s="152"/>
      <c r="H169" s="153"/>
      <c r="I169" s="154"/>
      <c r="J169" s="155"/>
    </row>
    <row r="170" ht="22.5" customHeight="1">
      <c r="A170" s="140" t="s">
        <v>2538</v>
      </c>
      <c r="B170" s="141" t="s">
        <v>2539</v>
      </c>
      <c r="C170" s="141" t="s">
        <v>2540</v>
      </c>
      <c r="D170" s="141" t="s">
        <v>2541</v>
      </c>
      <c r="E170" s="162" t="s">
        <v>2486</v>
      </c>
      <c r="F170" s="163" t="s">
        <v>2097</v>
      </c>
      <c r="G170" s="144"/>
      <c r="H170" s="145"/>
      <c r="I170" s="146"/>
      <c r="J170" s="147"/>
    </row>
    <row r="171" ht="22.5" customHeight="1">
      <c r="A171" s="148" t="s">
        <v>2542</v>
      </c>
      <c r="B171" s="149" t="s">
        <v>2543</v>
      </c>
      <c r="C171" s="154"/>
      <c r="D171" s="149" t="s">
        <v>2544</v>
      </c>
      <c r="E171" s="160" t="s">
        <v>2486</v>
      </c>
      <c r="F171" s="166" t="s">
        <v>2097</v>
      </c>
      <c r="G171" s="152"/>
      <c r="H171" s="153"/>
      <c r="I171" s="154"/>
      <c r="J171" s="155"/>
    </row>
    <row r="172" ht="22.5" customHeight="1">
      <c r="A172" s="140" t="s">
        <v>2545</v>
      </c>
      <c r="B172" s="141" t="s">
        <v>2546</v>
      </c>
      <c r="C172" s="141" t="s">
        <v>2547</v>
      </c>
      <c r="D172" s="141" t="s">
        <v>2548</v>
      </c>
      <c r="E172" s="162" t="s">
        <v>2486</v>
      </c>
      <c r="F172" s="163" t="s">
        <v>2097</v>
      </c>
      <c r="G172" s="144"/>
      <c r="H172" s="145"/>
      <c r="I172" s="146"/>
      <c r="J172" s="147"/>
    </row>
    <row r="173" ht="22.5" customHeight="1">
      <c r="A173" s="148" t="s">
        <v>2549</v>
      </c>
      <c r="B173" s="149" t="s">
        <v>2146</v>
      </c>
      <c r="C173" s="149" t="s">
        <v>2550</v>
      </c>
      <c r="D173" s="149" t="s">
        <v>2551</v>
      </c>
      <c r="E173" s="160" t="s">
        <v>2486</v>
      </c>
      <c r="F173" s="166" t="s">
        <v>2097</v>
      </c>
      <c r="G173" s="152"/>
      <c r="H173" s="153"/>
      <c r="I173" s="154"/>
      <c r="J173" s="155"/>
    </row>
    <row r="174" ht="22.5" customHeight="1">
      <c r="A174" s="140" t="s">
        <v>2552</v>
      </c>
      <c r="B174" s="141" t="s">
        <v>2146</v>
      </c>
      <c r="C174" s="141" t="s">
        <v>2553</v>
      </c>
      <c r="D174" s="141" t="s">
        <v>2554</v>
      </c>
      <c r="E174" s="162" t="s">
        <v>2486</v>
      </c>
      <c r="F174" s="163" t="s">
        <v>2097</v>
      </c>
      <c r="G174" s="144"/>
      <c r="H174" s="145"/>
      <c r="I174" s="146"/>
      <c r="J174" s="147"/>
    </row>
    <row r="175" ht="22.5" customHeight="1">
      <c r="A175" s="148" t="s">
        <v>2555</v>
      </c>
      <c r="B175" s="149" t="s">
        <v>2146</v>
      </c>
      <c r="C175" s="154"/>
      <c r="D175" s="149" t="s">
        <v>2556</v>
      </c>
      <c r="E175" s="160" t="s">
        <v>2486</v>
      </c>
      <c r="F175" s="166" t="s">
        <v>2097</v>
      </c>
      <c r="G175" s="152"/>
      <c r="H175" s="153"/>
      <c r="I175" s="154"/>
      <c r="J175" s="155"/>
    </row>
    <row r="176" ht="22.5" customHeight="1">
      <c r="A176" s="140" t="s">
        <v>2557</v>
      </c>
      <c r="B176" s="141" t="s">
        <v>2146</v>
      </c>
      <c r="C176" s="141" t="s">
        <v>2558</v>
      </c>
      <c r="D176" s="141" t="s">
        <v>2559</v>
      </c>
      <c r="E176" s="162" t="s">
        <v>2486</v>
      </c>
      <c r="F176" s="163" t="s">
        <v>2097</v>
      </c>
      <c r="G176" s="144"/>
      <c r="H176" s="145"/>
      <c r="I176" s="146"/>
      <c r="J176" s="147"/>
    </row>
    <row r="177" ht="22.5" customHeight="1">
      <c r="A177" s="148" t="s">
        <v>2560</v>
      </c>
      <c r="B177" s="149" t="s">
        <v>2346</v>
      </c>
      <c r="C177" s="149" t="s">
        <v>2561</v>
      </c>
      <c r="D177" s="149" t="s">
        <v>2562</v>
      </c>
      <c r="E177" s="160" t="s">
        <v>2486</v>
      </c>
      <c r="F177" s="166" t="s">
        <v>2097</v>
      </c>
      <c r="G177" s="152"/>
      <c r="H177" s="153"/>
      <c r="I177" s="154"/>
      <c r="J177" s="155"/>
    </row>
    <row r="178" ht="22.5" customHeight="1">
      <c r="A178" s="140" t="s">
        <v>2563</v>
      </c>
      <c r="B178" s="141" t="s">
        <v>2564</v>
      </c>
      <c r="C178" s="141" t="s">
        <v>2565</v>
      </c>
      <c r="D178" s="141" t="s">
        <v>2566</v>
      </c>
      <c r="E178" s="162" t="s">
        <v>2486</v>
      </c>
      <c r="F178" s="163" t="s">
        <v>2097</v>
      </c>
      <c r="G178" s="144"/>
      <c r="H178" s="145"/>
      <c r="I178" s="146"/>
      <c r="J178" s="147"/>
    </row>
    <row r="179" ht="22.5" customHeight="1">
      <c r="A179" s="148" t="s">
        <v>2567</v>
      </c>
      <c r="B179" s="149" t="s">
        <v>2568</v>
      </c>
      <c r="C179" s="154"/>
      <c r="D179" s="149" t="s">
        <v>2569</v>
      </c>
      <c r="E179" s="196"/>
      <c r="F179" s="166" t="s">
        <v>2097</v>
      </c>
      <c r="G179" s="152"/>
      <c r="H179" s="153"/>
      <c r="I179" s="154"/>
      <c r="J179" s="155"/>
    </row>
    <row r="180" ht="22.5" customHeight="1">
      <c r="A180" s="140" t="s">
        <v>2570</v>
      </c>
      <c r="B180" s="141" t="s">
        <v>2571</v>
      </c>
      <c r="C180" s="146"/>
      <c r="D180" s="141" t="s">
        <v>2572</v>
      </c>
      <c r="E180" s="162" t="s">
        <v>2346</v>
      </c>
      <c r="F180" s="163" t="s">
        <v>2097</v>
      </c>
      <c r="G180" s="144"/>
      <c r="H180" s="145"/>
      <c r="I180" s="146"/>
      <c r="J180" s="147"/>
    </row>
    <row r="181" ht="22.5" customHeight="1">
      <c r="A181" s="148" t="s">
        <v>2573</v>
      </c>
      <c r="B181" s="149" t="s">
        <v>2574</v>
      </c>
      <c r="C181" s="154"/>
      <c r="D181" s="149" t="s">
        <v>2575</v>
      </c>
      <c r="E181" s="160" t="s">
        <v>2486</v>
      </c>
      <c r="F181" s="166" t="s">
        <v>2097</v>
      </c>
      <c r="G181" s="152"/>
      <c r="H181" s="153"/>
      <c r="I181" s="154"/>
      <c r="J181" s="155"/>
    </row>
    <row r="182" ht="22.5" customHeight="1">
      <c r="A182" s="140" t="s">
        <v>2576</v>
      </c>
      <c r="B182" s="141" t="s">
        <v>2577</v>
      </c>
      <c r="C182" s="141" t="s">
        <v>2578</v>
      </c>
      <c r="D182" s="141" t="s">
        <v>2579</v>
      </c>
      <c r="E182" s="162" t="s">
        <v>2486</v>
      </c>
      <c r="F182" s="163" t="s">
        <v>2097</v>
      </c>
      <c r="G182" s="144"/>
      <c r="H182" s="145"/>
      <c r="I182" s="146"/>
      <c r="J182" s="147"/>
    </row>
    <row r="183" ht="22.5" customHeight="1">
      <c r="A183" s="148" t="s">
        <v>2580</v>
      </c>
      <c r="B183" s="149" t="s">
        <v>2581</v>
      </c>
      <c r="C183" s="154"/>
      <c r="D183" s="149" t="s">
        <v>2582</v>
      </c>
      <c r="E183" s="160" t="s">
        <v>2486</v>
      </c>
      <c r="F183" s="166" t="s">
        <v>2097</v>
      </c>
      <c r="G183" s="152"/>
      <c r="H183" s="153"/>
      <c r="I183" s="154"/>
      <c r="J183" s="155"/>
    </row>
    <row r="184" ht="22.5" customHeight="1">
      <c r="A184" s="140" t="s">
        <v>2583</v>
      </c>
      <c r="B184" s="141" t="s">
        <v>2584</v>
      </c>
      <c r="C184" s="141" t="s">
        <v>2585</v>
      </c>
      <c r="D184" s="141" t="s">
        <v>2586</v>
      </c>
      <c r="E184" s="162" t="s">
        <v>2486</v>
      </c>
      <c r="F184" s="163" t="s">
        <v>2097</v>
      </c>
      <c r="G184" s="144"/>
      <c r="H184" s="145"/>
      <c r="I184" s="146"/>
      <c r="J184" s="147"/>
    </row>
    <row r="185" ht="22.5" customHeight="1">
      <c r="A185" s="148" t="s">
        <v>2587</v>
      </c>
      <c r="B185" s="149" t="s">
        <v>2588</v>
      </c>
      <c r="C185" s="149" t="s">
        <v>213</v>
      </c>
      <c r="D185" s="149" t="s">
        <v>2589</v>
      </c>
      <c r="E185" s="160" t="s">
        <v>2486</v>
      </c>
      <c r="F185" s="161" t="s">
        <v>49</v>
      </c>
      <c r="G185" s="152"/>
      <c r="H185" s="153"/>
      <c r="I185" s="154"/>
      <c r="J185" s="155"/>
    </row>
    <row r="186" ht="22.5" customHeight="1">
      <c r="A186" s="140" t="s">
        <v>2590</v>
      </c>
      <c r="B186" s="141" t="s">
        <v>2591</v>
      </c>
      <c r="C186" s="141" t="s">
        <v>2592</v>
      </c>
      <c r="D186" s="141" t="s">
        <v>2593</v>
      </c>
      <c r="E186" s="162" t="s">
        <v>2486</v>
      </c>
      <c r="F186" s="163" t="s">
        <v>2097</v>
      </c>
      <c r="G186" s="144"/>
      <c r="H186" s="145"/>
      <c r="I186" s="146"/>
      <c r="J186" s="147"/>
    </row>
    <row r="187" ht="22.5" customHeight="1">
      <c r="A187" s="148" t="s">
        <v>2594</v>
      </c>
      <c r="B187" s="149" t="s">
        <v>2595</v>
      </c>
      <c r="C187" s="149" t="s">
        <v>2596</v>
      </c>
      <c r="D187" s="149" t="s">
        <v>2597</v>
      </c>
      <c r="E187" s="160" t="s">
        <v>2486</v>
      </c>
      <c r="F187" s="166" t="s">
        <v>2097</v>
      </c>
      <c r="G187" s="152"/>
      <c r="H187" s="153"/>
      <c r="I187" s="154"/>
      <c r="J187" s="155"/>
    </row>
    <row r="188" ht="22.5" customHeight="1">
      <c r="A188" s="140" t="s">
        <v>2598</v>
      </c>
      <c r="B188" s="141" t="s">
        <v>2599</v>
      </c>
      <c r="C188" s="141" t="s">
        <v>2600</v>
      </c>
      <c r="D188" s="141" t="s">
        <v>2601</v>
      </c>
      <c r="E188" s="162" t="s">
        <v>2486</v>
      </c>
      <c r="F188" s="169" t="s">
        <v>49</v>
      </c>
      <c r="G188" s="144"/>
      <c r="H188" s="145"/>
      <c r="I188" s="146"/>
      <c r="J188" s="147"/>
    </row>
    <row r="189" ht="22.5" customHeight="1">
      <c r="A189" s="148" t="s">
        <v>2602</v>
      </c>
      <c r="B189" s="149" t="s">
        <v>2603</v>
      </c>
      <c r="C189" s="149" t="s">
        <v>2604</v>
      </c>
      <c r="D189" s="149" t="s">
        <v>2605</v>
      </c>
      <c r="E189" s="160" t="s">
        <v>2486</v>
      </c>
      <c r="F189" s="166" t="s">
        <v>2097</v>
      </c>
      <c r="G189" s="152"/>
      <c r="H189" s="153"/>
      <c r="I189" s="154"/>
      <c r="J189" s="155"/>
    </row>
    <row r="190" ht="22.5" customHeight="1">
      <c r="A190" s="140" t="s">
        <v>2606</v>
      </c>
      <c r="B190" s="141" t="s">
        <v>2607</v>
      </c>
      <c r="C190" s="141" t="s">
        <v>2608</v>
      </c>
      <c r="D190" s="141" t="s">
        <v>2609</v>
      </c>
      <c r="E190" s="162" t="s">
        <v>2486</v>
      </c>
      <c r="F190" s="163" t="s">
        <v>2097</v>
      </c>
      <c r="G190" s="144"/>
      <c r="H190" s="145"/>
      <c r="I190" s="146"/>
      <c r="J190" s="147"/>
    </row>
    <row r="191" ht="22.5" customHeight="1">
      <c r="A191" s="148" t="s">
        <v>2610</v>
      </c>
      <c r="B191" s="149" t="s">
        <v>2611</v>
      </c>
      <c r="C191" s="149" t="s">
        <v>2612</v>
      </c>
      <c r="D191" s="149" t="s">
        <v>2613</v>
      </c>
      <c r="E191" s="160" t="s">
        <v>2486</v>
      </c>
      <c r="F191" s="161" t="s">
        <v>49</v>
      </c>
      <c r="G191" s="152"/>
      <c r="H191" s="153"/>
      <c r="I191" s="154"/>
      <c r="J191" s="155"/>
    </row>
    <row r="192" ht="22.5" customHeight="1">
      <c r="A192" s="140" t="s">
        <v>2614</v>
      </c>
      <c r="B192" s="141" t="s">
        <v>2615</v>
      </c>
      <c r="C192" s="141" t="s">
        <v>2616</v>
      </c>
      <c r="D192" s="141" t="s">
        <v>2617</v>
      </c>
      <c r="E192" s="162" t="s">
        <v>2346</v>
      </c>
      <c r="F192" s="163" t="s">
        <v>2097</v>
      </c>
      <c r="G192" s="144"/>
      <c r="H192" s="145"/>
      <c r="I192" s="146"/>
      <c r="J192" s="147"/>
    </row>
    <row r="193" ht="22.5" customHeight="1">
      <c r="A193" s="148" t="s">
        <v>2618</v>
      </c>
      <c r="B193" s="149" t="s">
        <v>2619</v>
      </c>
      <c r="C193" s="154"/>
      <c r="D193" s="149" t="s">
        <v>2620</v>
      </c>
      <c r="E193" s="160" t="s">
        <v>2486</v>
      </c>
      <c r="F193" s="166" t="s">
        <v>2097</v>
      </c>
      <c r="G193" s="152"/>
      <c r="H193" s="153"/>
      <c r="I193" s="154"/>
      <c r="J193" s="155"/>
    </row>
    <row r="194" ht="22.5" customHeight="1">
      <c r="A194" s="140" t="s">
        <v>2621</v>
      </c>
      <c r="B194" s="141" t="s">
        <v>2622</v>
      </c>
      <c r="C194" s="141" t="s">
        <v>2623</v>
      </c>
      <c r="D194" s="141" t="s">
        <v>2624</v>
      </c>
      <c r="E194" s="162" t="s">
        <v>2486</v>
      </c>
      <c r="F194" s="163" t="s">
        <v>2097</v>
      </c>
      <c r="G194" s="144"/>
      <c r="H194" s="145"/>
      <c r="I194" s="146"/>
      <c r="J194" s="147"/>
    </row>
    <row r="195" ht="22.5" customHeight="1">
      <c r="A195" s="148" t="s">
        <v>2625</v>
      </c>
      <c r="B195" s="149" t="s">
        <v>2626</v>
      </c>
      <c r="C195" s="149" t="s">
        <v>2627</v>
      </c>
      <c r="D195" s="149" t="s">
        <v>2628</v>
      </c>
      <c r="E195" s="158" t="s">
        <v>2486</v>
      </c>
      <c r="F195" s="166" t="s">
        <v>2097</v>
      </c>
      <c r="G195" s="152"/>
      <c r="H195" s="153"/>
      <c r="I195" s="154"/>
      <c r="J195" s="155"/>
    </row>
    <row r="196" ht="22.5" customHeight="1">
      <c r="A196" s="140" t="s">
        <v>2629</v>
      </c>
      <c r="B196" s="141" t="s">
        <v>2346</v>
      </c>
      <c r="C196" s="141" t="s">
        <v>2630</v>
      </c>
      <c r="D196" s="141" t="s">
        <v>2631</v>
      </c>
      <c r="E196" s="159" t="s">
        <v>2486</v>
      </c>
      <c r="F196" s="156" t="s">
        <v>635</v>
      </c>
      <c r="G196" s="144"/>
      <c r="H196" s="145"/>
      <c r="I196" s="146"/>
      <c r="J196" s="147"/>
    </row>
    <row r="197" ht="22.5" customHeight="1">
      <c r="A197" s="148" t="s">
        <v>2632</v>
      </c>
      <c r="B197" s="149" t="s">
        <v>2346</v>
      </c>
      <c r="C197" s="149" t="s">
        <v>2633</v>
      </c>
      <c r="D197" s="149" t="s">
        <v>2634</v>
      </c>
      <c r="E197" s="158" t="s">
        <v>2635</v>
      </c>
      <c r="F197" s="152"/>
      <c r="G197" s="152"/>
      <c r="H197" s="153"/>
      <c r="I197" s="154"/>
      <c r="J197" s="155"/>
    </row>
    <row r="198" ht="22.5" customHeight="1">
      <c r="A198" s="140" t="s">
        <v>2636</v>
      </c>
      <c r="B198" s="141" t="s">
        <v>2346</v>
      </c>
      <c r="C198" s="141" t="s">
        <v>2637</v>
      </c>
      <c r="D198" s="141" t="s">
        <v>2638</v>
      </c>
      <c r="E198" s="159" t="s">
        <v>2346</v>
      </c>
      <c r="F198" s="173" t="s">
        <v>2076</v>
      </c>
      <c r="G198" s="144"/>
      <c r="H198" s="145"/>
      <c r="I198" s="146"/>
      <c r="J198" s="147"/>
    </row>
    <row r="199" ht="22.5" customHeight="1">
      <c r="A199" s="148" t="s">
        <v>2639</v>
      </c>
      <c r="B199" s="149" t="s">
        <v>2346</v>
      </c>
      <c r="C199" s="154"/>
      <c r="D199" s="149" t="s">
        <v>2640</v>
      </c>
      <c r="E199" s="196"/>
      <c r="F199" s="166" t="s">
        <v>2097</v>
      </c>
      <c r="G199" s="152"/>
      <c r="H199" s="153"/>
      <c r="I199" s="154"/>
      <c r="J199" s="155"/>
    </row>
    <row r="200" ht="22.5" customHeight="1">
      <c r="A200" s="140" t="s">
        <v>2641</v>
      </c>
      <c r="B200" s="141" t="s">
        <v>2642</v>
      </c>
      <c r="C200" s="141" t="s">
        <v>2643</v>
      </c>
      <c r="D200" s="141" t="s">
        <v>2644</v>
      </c>
      <c r="E200" s="197"/>
      <c r="F200" s="173" t="s">
        <v>2076</v>
      </c>
      <c r="G200" s="144"/>
      <c r="H200" s="145"/>
      <c r="I200" s="146"/>
      <c r="J200" s="147"/>
    </row>
    <row r="201" ht="22.5" customHeight="1">
      <c r="A201" s="148" t="s">
        <v>2645</v>
      </c>
      <c r="B201" s="149" t="s">
        <v>2646</v>
      </c>
      <c r="C201" s="149" t="s">
        <v>270</v>
      </c>
      <c r="D201" s="149" t="s">
        <v>2647</v>
      </c>
      <c r="E201" s="158" t="s">
        <v>2648</v>
      </c>
      <c r="F201" s="166" t="s">
        <v>2097</v>
      </c>
      <c r="G201" s="152"/>
      <c r="H201" s="153"/>
      <c r="I201" s="154"/>
      <c r="J201" s="155"/>
    </row>
    <row r="202" ht="22.5" customHeight="1">
      <c r="A202" s="140" t="s">
        <v>2649</v>
      </c>
      <c r="B202" s="141" t="s">
        <v>2650</v>
      </c>
      <c r="C202" s="146"/>
      <c r="D202" s="141" t="s">
        <v>2651</v>
      </c>
      <c r="E202" s="159" t="s">
        <v>2648</v>
      </c>
      <c r="F202" s="163" t="s">
        <v>2097</v>
      </c>
      <c r="G202" s="144"/>
      <c r="H202" s="145"/>
      <c r="I202" s="146"/>
      <c r="J202" s="147"/>
    </row>
    <row r="203" ht="22.5" customHeight="1">
      <c r="A203" s="148" t="s">
        <v>2652</v>
      </c>
      <c r="B203" s="158" t="s">
        <v>2653</v>
      </c>
      <c r="C203" s="154"/>
      <c r="D203" s="149" t="s">
        <v>2654</v>
      </c>
      <c r="E203" s="158" t="s">
        <v>2648</v>
      </c>
      <c r="F203" s="166" t="s">
        <v>2097</v>
      </c>
      <c r="G203" s="152"/>
      <c r="H203" s="153"/>
      <c r="I203" s="154"/>
      <c r="J203" s="155"/>
    </row>
    <row r="204" ht="22.5" customHeight="1">
      <c r="A204" s="140" t="s">
        <v>2655</v>
      </c>
      <c r="B204" s="141" t="s">
        <v>2656</v>
      </c>
      <c r="C204" s="146"/>
      <c r="D204" s="141" t="s">
        <v>2657</v>
      </c>
      <c r="E204" s="159" t="s">
        <v>2648</v>
      </c>
      <c r="F204" s="163" t="s">
        <v>2097</v>
      </c>
      <c r="G204" s="144"/>
      <c r="H204" s="145"/>
      <c r="I204" s="146"/>
      <c r="J204" s="147"/>
    </row>
    <row r="205" ht="22.5" customHeight="1">
      <c r="A205" s="148" t="s">
        <v>2658</v>
      </c>
      <c r="B205" s="149" t="s">
        <v>2659</v>
      </c>
      <c r="C205" s="149" t="s">
        <v>2660</v>
      </c>
      <c r="D205" s="149" t="s">
        <v>2661</v>
      </c>
      <c r="E205" s="158" t="s">
        <v>2648</v>
      </c>
      <c r="F205" s="161" t="s">
        <v>49</v>
      </c>
      <c r="G205" s="152"/>
      <c r="H205" s="153"/>
      <c r="I205" s="154"/>
      <c r="J205" s="155"/>
    </row>
    <row r="206" ht="22.5" customHeight="1">
      <c r="A206" s="140" t="s">
        <v>2662</v>
      </c>
      <c r="B206" s="141" t="s">
        <v>2663</v>
      </c>
      <c r="C206" s="141" t="s">
        <v>2664</v>
      </c>
      <c r="D206" s="141" t="s">
        <v>2665</v>
      </c>
      <c r="E206" s="159" t="s">
        <v>2648</v>
      </c>
      <c r="F206" s="169" t="s">
        <v>49</v>
      </c>
      <c r="G206" s="144"/>
      <c r="H206" s="145"/>
      <c r="I206" s="146"/>
      <c r="J206" s="147"/>
    </row>
    <row r="207" ht="22.5" customHeight="1">
      <c r="A207" s="148" t="s">
        <v>2666</v>
      </c>
      <c r="B207" s="149" t="s">
        <v>2667</v>
      </c>
      <c r="C207" s="149" t="s">
        <v>2497</v>
      </c>
      <c r="D207" s="149" t="s">
        <v>2668</v>
      </c>
      <c r="E207" s="158" t="s">
        <v>2486</v>
      </c>
      <c r="F207" s="166" t="s">
        <v>2097</v>
      </c>
      <c r="G207" s="152"/>
      <c r="H207" s="153"/>
      <c r="I207" s="154"/>
      <c r="J207" s="155"/>
    </row>
    <row r="208" ht="22.5" customHeight="1">
      <c r="A208" s="140" t="s">
        <v>2669</v>
      </c>
      <c r="B208" s="141" t="s">
        <v>2670</v>
      </c>
      <c r="C208" s="146"/>
      <c r="D208" s="141" t="s">
        <v>2671</v>
      </c>
      <c r="E208" s="159" t="s">
        <v>2648</v>
      </c>
      <c r="F208" s="163" t="s">
        <v>2097</v>
      </c>
      <c r="G208" s="144"/>
      <c r="H208" s="145"/>
      <c r="I208" s="146"/>
      <c r="J208" s="147"/>
    </row>
    <row r="209" ht="22.5" customHeight="1">
      <c r="A209" s="148" t="s">
        <v>2672</v>
      </c>
      <c r="B209" s="149" t="s">
        <v>2673</v>
      </c>
      <c r="C209" s="149" t="s">
        <v>2674</v>
      </c>
      <c r="D209" s="149" t="s">
        <v>2675</v>
      </c>
      <c r="E209" s="158" t="s">
        <v>2648</v>
      </c>
      <c r="F209" s="166" t="s">
        <v>2097</v>
      </c>
      <c r="G209" s="152"/>
      <c r="H209" s="153"/>
      <c r="I209" s="154"/>
      <c r="J209" s="155"/>
    </row>
    <row r="210" ht="22.5" customHeight="1">
      <c r="A210" s="140" t="s">
        <v>2676</v>
      </c>
      <c r="B210" s="141" t="s">
        <v>2677</v>
      </c>
      <c r="C210" s="141" t="s">
        <v>2678</v>
      </c>
      <c r="D210" s="141" t="s">
        <v>2679</v>
      </c>
      <c r="E210" s="159" t="s">
        <v>2648</v>
      </c>
      <c r="F210" s="163" t="s">
        <v>2097</v>
      </c>
      <c r="G210" s="144"/>
      <c r="H210" s="145"/>
      <c r="I210" s="146"/>
      <c r="J210" s="147"/>
    </row>
    <row r="211" ht="22.5" customHeight="1">
      <c r="A211" s="148" t="s">
        <v>2680</v>
      </c>
      <c r="B211" s="149" t="s">
        <v>2681</v>
      </c>
      <c r="C211" s="154"/>
      <c r="D211" s="149" t="s">
        <v>2682</v>
      </c>
      <c r="E211" s="158" t="s">
        <v>2648</v>
      </c>
      <c r="F211" s="166" t="s">
        <v>2097</v>
      </c>
      <c r="G211" s="152"/>
      <c r="H211" s="153"/>
      <c r="I211" s="154"/>
      <c r="J211" s="155"/>
    </row>
    <row r="212" ht="22.5" customHeight="1">
      <c r="A212" s="140" t="s">
        <v>2683</v>
      </c>
      <c r="B212" s="141" t="s">
        <v>2684</v>
      </c>
      <c r="C212" s="141" t="s">
        <v>2685</v>
      </c>
      <c r="D212" s="141" t="s">
        <v>2686</v>
      </c>
      <c r="E212" s="159" t="s">
        <v>2648</v>
      </c>
      <c r="F212" s="143" t="s">
        <v>30</v>
      </c>
      <c r="G212" s="144"/>
      <c r="H212" s="145"/>
      <c r="I212" s="146"/>
      <c r="J212" s="147"/>
    </row>
    <row r="213" ht="22.5" customHeight="1">
      <c r="A213" s="148" t="s">
        <v>2687</v>
      </c>
      <c r="B213" s="149" t="s">
        <v>2688</v>
      </c>
      <c r="C213" s="149" t="s">
        <v>2689</v>
      </c>
      <c r="D213" s="149" t="s">
        <v>2690</v>
      </c>
      <c r="E213" s="158" t="s">
        <v>2648</v>
      </c>
      <c r="F213" s="166" t="s">
        <v>2097</v>
      </c>
      <c r="G213" s="152"/>
      <c r="H213" s="153"/>
      <c r="I213" s="154"/>
      <c r="J213" s="155"/>
    </row>
    <row r="214" ht="22.5" customHeight="1">
      <c r="A214" s="140" t="s">
        <v>2691</v>
      </c>
      <c r="B214" s="141" t="s">
        <v>2692</v>
      </c>
      <c r="C214" s="146"/>
      <c r="D214" s="141" t="s">
        <v>2693</v>
      </c>
      <c r="E214" s="159" t="s">
        <v>2648</v>
      </c>
      <c r="F214" s="163" t="s">
        <v>2097</v>
      </c>
      <c r="G214" s="144"/>
      <c r="H214" s="145"/>
      <c r="I214" s="146"/>
      <c r="J214" s="147"/>
    </row>
    <row r="215" ht="22.5" customHeight="1">
      <c r="A215" s="148" t="s">
        <v>2694</v>
      </c>
      <c r="B215" s="149" t="s">
        <v>2695</v>
      </c>
      <c r="C215" s="149" t="s">
        <v>2696</v>
      </c>
      <c r="D215" s="149" t="s">
        <v>2697</v>
      </c>
      <c r="E215" s="158" t="s">
        <v>2180</v>
      </c>
      <c r="F215" s="166" t="s">
        <v>2097</v>
      </c>
      <c r="G215" s="152"/>
      <c r="H215" s="153"/>
      <c r="I215" s="154"/>
      <c r="J215" s="155"/>
    </row>
    <row r="216" ht="22.5" customHeight="1">
      <c r="A216" s="140" t="s">
        <v>2698</v>
      </c>
      <c r="B216" s="141" t="s">
        <v>2699</v>
      </c>
      <c r="C216" s="146"/>
      <c r="D216" s="141" t="s">
        <v>2700</v>
      </c>
      <c r="E216" s="159" t="s">
        <v>2648</v>
      </c>
      <c r="F216" s="173" t="s">
        <v>2076</v>
      </c>
      <c r="G216" s="144"/>
      <c r="H216" s="145"/>
      <c r="I216" s="146"/>
      <c r="J216" s="147"/>
    </row>
    <row r="217" ht="22.5" customHeight="1">
      <c r="A217" s="148" t="s">
        <v>2701</v>
      </c>
      <c r="B217" s="149" t="s">
        <v>2702</v>
      </c>
      <c r="C217" s="154"/>
      <c r="D217" s="149" t="s">
        <v>2703</v>
      </c>
      <c r="E217" s="158" t="s">
        <v>2648</v>
      </c>
      <c r="F217" s="166" t="s">
        <v>2097</v>
      </c>
      <c r="G217" s="152"/>
      <c r="H217" s="153"/>
      <c r="I217" s="154"/>
      <c r="J217" s="155"/>
    </row>
    <row r="218" ht="22.5" customHeight="1">
      <c r="A218" s="140" t="s">
        <v>2704</v>
      </c>
      <c r="B218" s="141" t="s">
        <v>2705</v>
      </c>
      <c r="C218" s="146"/>
      <c r="D218" s="141" t="s">
        <v>2706</v>
      </c>
      <c r="E218" s="159" t="s">
        <v>2648</v>
      </c>
      <c r="F218" s="163" t="s">
        <v>2097</v>
      </c>
      <c r="G218" s="144"/>
      <c r="H218" s="145"/>
      <c r="I218" s="146"/>
      <c r="J218" s="147"/>
    </row>
    <row r="219" ht="22.5" customHeight="1">
      <c r="A219" s="148" t="s">
        <v>2707</v>
      </c>
      <c r="B219" s="149" t="s">
        <v>2708</v>
      </c>
      <c r="C219" s="149" t="s">
        <v>2709</v>
      </c>
      <c r="D219" s="149" t="s">
        <v>2710</v>
      </c>
      <c r="E219" s="158" t="s">
        <v>2648</v>
      </c>
      <c r="F219" s="166" t="s">
        <v>2097</v>
      </c>
      <c r="G219" s="152"/>
      <c r="H219" s="153"/>
      <c r="I219" s="154"/>
      <c r="J219" s="155"/>
    </row>
    <row r="220" ht="22.5" customHeight="1">
      <c r="A220" s="140" t="s">
        <v>2711</v>
      </c>
      <c r="B220" s="141" t="s">
        <v>2712</v>
      </c>
      <c r="C220" s="141" t="s">
        <v>2713</v>
      </c>
      <c r="D220" s="141" t="s">
        <v>2714</v>
      </c>
      <c r="E220" s="159" t="s">
        <v>2648</v>
      </c>
      <c r="F220" s="173" t="s">
        <v>2076</v>
      </c>
      <c r="G220" s="144"/>
      <c r="H220" s="145"/>
      <c r="I220" s="146"/>
      <c r="J220" s="147"/>
    </row>
    <row r="221" ht="22.5" customHeight="1">
      <c r="A221" s="148" t="s">
        <v>2715</v>
      </c>
      <c r="B221" s="149" t="s">
        <v>2716</v>
      </c>
      <c r="C221" s="154"/>
      <c r="D221" s="149" t="s">
        <v>2717</v>
      </c>
      <c r="E221" s="158" t="s">
        <v>2648</v>
      </c>
      <c r="F221" s="166" t="s">
        <v>2097</v>
      </c>
      <c r="G221" s="152"/>
      <c r="H221" s="153"/>
      <c r="I221" s="154"/>
      <c r="J221" s="155"/>
    </row>
    <row r="222" ht="22.5" customHeight="1">
      <c r="A222" s="140" t="s">
        <v>2718</v>
      </c>
      <c r="B222" s="141" t="s">
        <v>2719</v>
      </c>
      <c r="C222" s="146"/>
      <c r="D222" s="141" t="s">
        <v>2720</v>
      </c>
      <c r="E222" s="159" t="s">
        <v>2648</v>
      </c>
      <c r="F222" s="163" t="s">
        <v>2097</v>
      </c>
      <c r="G222" s="144"/>
      <c r="H222" s="145"/>
      <c r="I222" s="146"/>
      <c r="J222" s="147"/>
    </row>
    <row r="223" ht="22.5" customHeight="1">
      <c r="A223" s="148" t="s">
        <v>2721</v>
      </c>
      <c r="B223" s="149" t="s">
        <v>2722</v>
      </c>
      <c r="C223" s="154"/>
      <c r="D223" s="149" t="s">
        <v>2723</v>
      </c>
      <c r="E223" s="158" t="s">
        <v>2648</v>
      </c>
      <c r="F223" s="166" t="s">
        <v>2097</v>
      </c>
      <c r="G223" s="152"/>
      <c r="H223" s="153"/>
      <c r="I223" s="154"/>
      <c r="J223" s="155"/>
    </row>
    <row r="224" ht="22.5" customHeight="1">
      <c r="A224" s="140" t="s">
        <v>2724</v>
      </c>
      <c r="B224" s="141" t="s">
        <v>2725</v>
      </c>
      <c r="C224" s="146"/>
      <c r="D224" s="141" t="s">
        <v>2726</v>
      </c>
      <c r="E224" s="159" t="s">
        <v>2648</v>
      </c>
      <c r="F224" s="163" t="s">
        <v>2097</v>
      </c>
      <c r="G224" s="144"/>
      <c r="H224" s="145"/>
      <c r="I224" s="146"/>
      <c r="J224" s="147"/>
    </row>
    <row r="225" ht="22.5" customHeight="1">
      <c r="A225" s="148" t="s">
        <v>2727</v>
      </c>
      <c r="B225" s="149" t="s">
        <v>2728</v>
      </c>
      <c r="C225" s="154"/>
      <c r="D225" s="149" t="s">
        <v>2729</v>
      </c>
      <c r="E225" s="158" t="s">
        <v>2648</v>
      </c>
      <c r="F225" s="166" t="s">
        <v>2097</v>
      </c>
      <c r="G225" s="152"/>
      <c r="H225" s="153"/>
      <c r="I225" s="154"/>
      <c r="J225" s="155"/>
    </row>
    <row r="226" ht="22.5" customHeight="1">
      <c r="A226" s="140" t="s">
        <v>2730</v>
      </c>
      <c r="B226" s="141" t="s">
        <v>2731</v>
      </c>
      <c r="C226" s="146"/>
      <c r="D226" s="141" t="s">
        <v>2732</v>
      </c>
      <c r="E226" s="159" t="s">
        <v>2648</v>
      </c>
      <c r="F226" s="163" t="s">
        <v>2097</v>
      </c>
      <c r="G226" s="144"/>
      <c r="H226" s="145"/>
      <c r="I226" s="146"/>
      <c r="J226" s="147"/>
    </row>
    <row r="227" ht="22.5" customHeight="1">
      <c r="A227" s="148" t="s">
        <v>2733</v>
      </c>
      <c r="B227" s="149" t="s">
        <v>2734</v>
      </c>
      <c r="C227" s="154"/>
      <c r="D227" s="149" t="s">
        <v>2735</v>
      </c>
      <c r="E227" s="158" t="s">
        <v>2648</v>
      </c>
      <c r="F227" s="166" t="s">
        <v>2097</v>
      </c>
      <c r="G227" s="152"/>
      <c r="H227" s="153"/>
      <c r="I227" s="154"/>
      <c r="J227" s="155"/>
    </row>
    <row r="228" ht="22.5" customHeight="1">
      <c r="A228" s="140" t="s">
        <v>2736</v>
      </c>
      <c r="B228" s="141" t="s">
        <v>2737</v>
      </c>
      <c r="C228" s="141" t="s">
        <v>2738</v>
      </c>
      <c r="D228" s="141" t="s">
        <v>2739</v>
      </c>
      <c r="E228" s="159" t="s">
        <v>2648</v>
      </c>
      <c r="F228" s="163" t="s">
        <v>2097</v>
      </c>
      <c r="G228" s="144"/>
      <c r="H228" s="145"/>
      <c r="I228" s="146"/>
      <c r="J228" s="147"/>
    </row>
    <row r="229" ht="22.5" customHeight="1">
      <c r="A229" s="148" t="s">
        <v>2740</v>
      </c>
      <c r="B229" s="149" t="s">
        <v>2741</v>
      </c>
      <c r="C229" s="149" t="s">
        <v>270</v>
      </c>
      <c r="D229" s="149" t="s">
        <v>2742</v>
      </c>
      <c r="E229" s="158" t="s">
        <v>2743</v>
      </c>
      <c r="F229" s="166" t="s">
        <v>2097</v>
      </c>
      <c r="G229" s="152"/>
      <c r="H229" s="153"/>
      <c r="I229" s="154"/>
      <c r="J229" s="155"/>
    </row>
    <row r="230" ht="22.5" customHeight="1">
      <c r="A230" s="140" t="s">
        <v>2744</v>
      </c>
      <c r="B230" s="141" t="s">
        <v>2745</v>
      </c>
      <c r="C230" s="146"/>
      <c r="D230" s="141" t="s">
        <v>2746</v>
      </c>
      <c r="E230" s="159" t="s">
        <v>2743</v>
      </c>
      <c r="F230" s="163" t="s">
        <v>2097</v>
      </c>
      <c r="G230" s="144"/>
      <c r="H230" s="145"/>
      <c r="I230" s="146"/>
      <c r="J230" s="147"/>
    </row>
    <row r="231" ht="22.5" customHeight="1">
      <c r="A231" s="148" t="s">
        <v>2747</v>
      </c>
      <c r="B231" s="149" t="s">
        <v>2748</v>
      </c>
      <c r="C231" s="149" t="s">
        <v>2749</v>
      </c>
      <c r="D231" s="149" t="s">
        <v>2750</v>
      </c>
      <c r="E231" s="196"/>
      <c r="F231" s="167" t="s">
        <v>635</v>
      </c>
      <c r="G231" s="152"/>
      <c r="H231" s="153"/>
      <c r="I231" s="154"/>
      <c r="J231" s="155"/>
    </row>
    <row r="232" ht="22.5" customHeight="1">
      <c r="A232" s="140" t="s">
        <v>2751</v>
      </c>
      <c r="B232" s="141" t="s">
        <v>2752</v>
      </c>
      <c r="C232" s="141" t="s">
        <v>2497</v>
      </c>
      <c r="D232" s="141" t="s">
        <v>2753</v>
      </c>
      <c r="E232" s="159" t="s">
        <v>2743</v>
      </c>
      <c r="F232" s="163" t="s">
        <v>2097</v>
      </c>
      <c r="G232" s="144"/>
      <c r="H232" s="145"/>
      <c r="I232" s="146"/>
      <c r="J232" s="147"/>
    </row>
    <row r="233" ht="22.5" customHeight="1">
      <c r="A233" s="148" t="s">
        <v>2754</v>
      </c>
      <c r="B233" s="149" t="s">
        <v>2755</v>
      </c>
      <c r="C233" s="154"/>
      <c r="D233" s="149" t="s">
        <v>2756</v>
      </c>
      <c r="E233" s="158" t="s">
        <v>2743</v>
      </c>
      <c r="F233" s="166" t="s">
        <v>2097</v>
      </c>
      <c r="G233" s="152"/>
      <c r="H233" s="153"/>
      <c r="I233" s="154"/>
      <c r="J233" s="155"/>
    </row>
    <row r="234" ht="22.5" customHeight="1">
      <c r="A234" s="140" t="s">
        <v>2757</v>
      </c>
      <c r="B234" s="141" t="s">
        <v>2758</v>
      </c>
      <c r="C234" s="146"/>
      <c r="D234" s="141" t="s">
        <v>2759</v>
      </c>
      <c r="E234" s="159" t="s">
        <v>2743</v>
      </c>
      <c r="F234" s="163" t="s">
        <v>2097</v>
      </c>
      <c r="G234" s="144"/>
      <c r="H234" s="145"/>
      <c r="I234" s="146"/>
      <c r="J234" s="147"/>
    </row>
    <row r="235" ht="22.5" customHeight="1">
      <c r="A235" s="148" t="s">
        <v>2760</v>
      </c>
      <c r="B235" s="149" t="s">
        <v>2761</v>
      </c>
      <c r="C235" s="149" t="s">
        <v>2762</v>
      </c>
      <c r="D235" s="149" t="s">
        <v>2763</v>
      </c>
      <c r="E235" s="158" t="s">
        <v>2743</v>
      </c>
      <c r="F235" s="166" t="s">
        <v>2097</v>
      </c>
      <c r="G235" s="152"/>
      <c r="H235" s="153"/>
      <c r="I235" s="154"/>
      <c r="J235" s="155"/>
    </row>
    <row r="236" ht="22.5" customHeight="1">
      <c r="A236" s="140" t="s">
        <v>2764</v>
      </c>
      <c r="B236" s="141" t="s">
        <v>2765</v>
      </c>
      <c r="C236" s="141" t="s">
        <v>2766</v>
      </c>
      <c r="D236" s="141" t="s">
        <v>2767</v>
      </c>
      <c r="E236" s="159" t="s">
        <v>2743</v>
      </c>
      <c r="F236" s="163" t="s">
        <v>2097</v>
      </c>
      <c r="G236" s="144"/>
      <c r="H236" s="145"/>
      <c r="I236" s="146"/>
      <c r="J236" s="147"/>
    </row>
    <row r="237" ht="22.5" customHeight="1">
      <c r="A237" s="148" t="s">
        <v>2768</v>
      </c>
      <c r="B237" s="149" t="s">
        <v>2769</v>
      </c>
      <c r="C237" s="149" t="s">
        <v>2770</v>
      </c>
      <c r="D237" s="149" t="s">
        <v>2771</v>
      </c>
      <c r="E237" s="158" t="s">
        <v>2743</v>
      </c>
      <c r="F237" s="166" t="s">
        <v>2097</v>
      </c>
      <c r="G237" s="152"/>
      <c r="H237" s="153"/>
      <c r="I237" s="154"/>
      <c r="J237" s="155"/>
    </row>
    <row r="238" ht="22.5" customHeight="1">
      <c r="A238" s="140" t="s">
        <v>2772</v>
      </c>
      <c r="B238" s="141" t="s">
        <v>2773</v>
      </c>
      <c r="C238" s="141" t="s">
        <v>2774</v>
      </c>
      <c r="D238" s="141" t="s">
        <v>2775</v>
      </c>
      <c r="E238" s="159" t="s">
        <v>2743</v>
      </c>
      <c r="F238" s="163" t="s">
        <v>2097</v>
      </c>
      <c r="G238" s="144"/>
      <c r="H238" s="145"/>
      <c r="I238" s="146"/>
      <c r="J238" s="147"/>
    </row>
    <row r="239" ht="22.5" customHeight="1">
      <c r="A239" s="148" t="s">
        <v>2776</v>
      </c>
      <c r="B239" s="149" t="s">
        <v>2777</v>
      </c>
      <c r="C239" s="149" t="s">
        <v>2778</v>
      </c>
      <c r="D239" s="149" t="s">
        <v>2779</v>
      </c>
      <c r="E239" s="158" t="s">
        <v>2743</v>
      </c>
      <c r="F239" s="166" t="s">
        <v>2097</v>
      </c>
      <c r="G239" s="152"/>
      <c r="H239" s="153"/>
      <c r="I239" s="154"/>
      <c r="J239" s="155"/>
    </row>
    <row r="240" ht="22.5" customHeight="1">
      <c r="A240" s="140" t="s">
        <v>2780</v>
      </c>
      <c r="B240" s="141" t="s">
        <v>2781</v>
      </c>
      <c r="C240" s="146"/>
      <c r="D240" s="141" t="s">
        <v>2782</v>
      </c>
      <c r="E240" s="159" t="s">
        <v>2743</v>
      </c>
      <c r="F240" s="163" t="s">
        <v>2097</v>
      </c>
      <c r="G240" s="144"/>
      <c r="H240" s="145"/>
      <c r="I240" s="146"/>
      <c r="J240" s="147"/>
    </row>
    <row r="241" ht="22.5" customHeight="1">
      <c r="A241" s="148" t="s">
        <v>2783</v>
      </c>
      <c r="B241" s="149" t="s">
        <v>2784</v>
      </c>
      <c r="C241" s="149" t="s">
        <v>2785</v>
      </c>
      <c r="D241" s="149" t="s">
        <v>2786</v>
      </c>
      <c r="E241" s="158" t="s">
        <v>2743</v>
      </c>
      <c r="F241" s="165" t="s">
        <v>2076</v>
      </c>
      <c r="G241" s="152"/>
      <c r="H241" s="153"/>
      <c r="I241" s="154"/>
      <c r="J241" s="155"/>
    </row>
    <row r="242" ht="22.5" customHeight="1">
      <c r="A242" s="140" t="s">
        <v>2787</v>
      </c>
      <c r="B242" s="141" t="s">
        <v>2788</v>
      </c>
      <c r="C242" s="141" t="s">
        <v>2789</v>
      </c>
      <c r="D242" s="141" t="s">
        <v>2790</v>
      </c>
      <c r="E242" s="159" t="s">
        <v>2743</v>
      </c>
      <c r="F242" s="156" t="s">
        <v>635</v>
      </c>
      <c r="G242" s="144"/>
      <c r="H242" s="145"/>
      <c r="I242" s="146"/>
      <c r="J242" s="147"/>
    </row>
    <row r="243" ht="22.5" customHeight="1">
      <c r="A243" s="148" t="s">
        <v>2791</v>
      </c>
      <c r="B243" s="149" t="s">
        <v>2792</v>
      </c>
      <c r="C243" s="149" t="s">
        <v>2793</v>
      </c>
      <c r="D243" s="149" t="s">
        <v>2794</v>
      </c>
      <c r="E243" s="150">
        <v>45331.0</v>
      </c>
      <c r="F243" s="166" t="s">
        <v>2097</v>
      </c>
      <c r="G243" s="152"/>
      <c r="H243" s="153"/>
      <c r="I243" s="154"/>
      <c r="J243" s="155"/>
    </row>
    <row r="244" ht="22.5" customHeight="1">
      <c r="A244" s="140" t="s">
        <v>2795</v>
      </c>
      <c r="B244" s="141" t="s">
        <v>2796</v>
      </c>
      <c r="C244" s="146"/>
      <c r="D244" s="141" t="s">
        <v>2797</v>
      </c>
      <c r="E244" s="142">
        <v>45331.0</v>
      </c>
      <c r="F244" s="163" t="s">
        <v>2097</v>
      </c>
      <c r="G244" s="144"/>
      <c r="H244" s="145"/>
      <c r="I244" s="146"/>
      <c r="J244" s="147"/>
    </row>
    <row r="245" ht="22.5" customHeight="1">
      <c r="A245" s="148" t="s">
        <v>2798</v>
      </c>
      <c r="B245" s="149" t="s">
        <v>2642</v>
      </c>
      <c r="C245" s="149" t="s">
        <v>2799</v>
      </c>
      <c r="D245" s="149" t="s">
        <v>2800</v>
      </c>
      <c r="E245" s="150">
        <v>45331.0</v>
      </c>
      <c r="F245" s="166" t="s">
        <v>2097</v>
      </c>
      <c r="G245" s="152"/>
      <c r="H245" s="153"/>
      <c r="I245" s="154"/>
      <c r="J245" s="155"/>
    </row>
    <row r="246" ht="22.5" customHeight="1">
      <c r="A246" s="140" t="s">
        <v>2801</v>
      </c>
      <c r="B246" s="141" t="s">
        <v>2802</v>
      </c>
      <c r="C246" s="141" t="s">
        <v>2803</v>
      </c>
      <c r="D246" s="141" t="s">
        <v>2804</v>
      </c>
      <c r="E246" s="197"/>
      <c r="F246" s="163" t="s">
        <v>2097</v>
      </c>
      <c r="G246" s="144"/>
      <c r="H246" s="145"/>
      <c r="I246" s="146"/>
      <c r="J246" s="147"/>
    </row>
    <row r="247" ht="22.5" customHeight="1">
      <c r="A247" s="148" t="s">
        <v>2805</v>
      </c>
      <c r="B247" s="149" t="s">
        <v>2806</v>
      </c>
      <c r="C247" s="149" t="s">
        <v>2807</v>
      </c>
      <c r="D247" s="149" t="s">
        <v>2808</v>
      </c>
      <c r="E247" s="150">
        <v>45331.0</v>
      </c>
      <c r="F247" s="166" t="s">
        <v>2097</v>
      </c>
      <c r="G247" s="152"/>
      <c r="H247" s="153"/>
      <c r="I247" s="154"/>
      <c r="J247" s="155"/>
    </row>
    <row r="248" ht="22.5" customHeight="1">
      <c r="A248" s="140" t="s">
        <v>2809</v>
      </c>
      <c r="B248" s="141" t="s">
        <v>2810</v>
      </c>
      <c r="C248" s="146"/>
      <c r="D248" s="141" t="s">
        <v>2811</v>
      </c>
      <c r="E248" s="142">
        <v>45331.0</v>
      </c>
      <c r="F248" s="163" t="s">
        <v>2097</v>
      </c>
      <c r="G248" s="144"/>
      <c r="H248" s="145"/>
      <c r="I248" s="146"/>
      <c r="J248" s="147"/>
    </row>
    <row r="249" ht="22.5" customHeight="1">
      <c r="A249" s="148" t="s">
        <v>2812</v>
      </c>
      <c r="B249" s="158" t="s">
        <v>2813</v>
      </c>
      <c r="C249" s="149" t="s">
        <v>2814</v>
      </c>
      <c r="D249" s="149" t="s">
        <v>2815</v>
      </c>
      <c r="E249" s="150">
        <v>45331.0</v>
      </c>
      <c r="F249" s="165" t="s">
        <v>2076</v>
      </c>
      <c r="G249" s="152"/>
      <c r="H249" s="153"/>
      <c r="I249" s="154"/>
      <c r="J249" s="155"/>
    </row>
    <row r="250" ht="22.5" customHeight="1">
      <c r="A250" s="140" t="s">
        <v>2816</v>
      </c>
      <c r="B250" s="141" t="s">
        <v>2817</v>
      </c>
      <c r="C250" s="141" t="s">
        <v>2818</v>
      </c>
      <c r="D250" s="141" t="s">
        <v>2819</v>
      </c>
      <c r="E250" s="142">
        <v>45331.0</v>
      </c>
      <c r="F250" s="163" t="s">
        <v>2097</v>
      </c>
      <c r="G250" s="144"/>
      <c r="H250" s="145"/>
      <c r="I250" s="146"/>
      <c r="J250" s="147"/>
    </row>
    <row r="251" ht="22.5" customHeight="1">
      <c r="A251" s="148" t="s">
        <v>2820</v>
      </c>
      <c r="B251" s="149" t="s">
        <v>2642</v>
      </c>
      <c r="C251" s="149" t="s">
        <v>2821</v>
      </c>
      <c r="D251" s="149" t="s">
        <v>2822</v>
      </c>
      <c r="E251" s="150">
        <v>45331.0</v>
      </c>
      <c r="F251" s="166" t="s">
        <v>2097</v>
      </c>
      <c r="G251" s="152"/>
      <c r="H251" s="153"/>
      <c r="I251" s="154"/>
      <c r="J251" s="155"/>
    </row>
    <row r="252" ht="22.5" customHeight="1">
      <c r="A252" s="140" t="s">
        <v>2823</v>
      </c>
      <c r="B252" s="141" t="s">
        <v>2642</v>
      </c>
      <c r="C252" s="146"/>
      <c r="D252" s="141" t="s">
        <v>2824</v>
      </c>
      <c r="E252" s="142">
        <v>45331.0</v>
      </c>
      <c r="F252" s="163" t="s">
        <v>2097</v>
      </c>
      <c r="G252" s="144"/>
      <c r="H252" s="145"/>
      <c r="I252" s="146"/>
      <c r="J252" s="147"/>
    </row>
    <row r="253" ht="22.5" customHeight="1">
      <c r="A253" s="148" t="s">
        <v>2825</v>
      </c>
      <c r="B253" s="149" t="s">
        <v>2642</v>
      </c>
      <c r="C253" s="149" t="s">
        <v>2826</v>
      </c>
      <c r="D253" s="149" t="s">
        <v>2827</v>
      </c>
      <c r="E253" s="150">
        <v>45331.0</v>
      </c>
      <c r="F253" s="166" t="s">
        <v>2097</v>
      </c>
      <c r="G253" s="152"/>
      <c r="H253" s="153"/>
      <c r="I253" s="154"/>
      <c r="J253" s="155"/>
    </row>
    <row r="254" ht="22.5" customHeight="1">
      <c r="A254" s="140" t="s">
        <v>2828</v>
      </c>
      <c r="B254" s="141" t="s">
        <v>2180</v>
      </c>
      <c r="C254" s="146"/>
      <c r="D254" s="141" t="s">
        <v>2829</v>
      </c>
      <c r="E254" s="142">
        <v>45331.0</v>
      </c>
      <c r="F254" s="163" t="s">
        <v>2097</v>
      </c>
      <c r="G254" s="144"/>
      <c r="H254" s="145"/>
      <c r="I254" s="146"/>
      <c r="J254" s="147"/>
    </row>
    <row r="255" ht="22.5" customHeight="1">
      <c r="A255" s="148" t="s">
        <v>2830</v>
      </c>
      <c r="B255" s="149" t="s">
        <v>2180</v>
      </c>
      <c r="C255" s="149" t="s">
        <v>2508</v>
      </c>
      <c r="D255" s="149" t="s">
        <v>2831</v>
      </c>
      <c r="E255" s="150">
        <v>45331.0</v>
      </c>
      <c r="F255" s="166" t="s">
        <v>2097</v>
      </c>
      <c r="G255" s="152"/>
      <c r="H255" s="153"/>
      <c r="I255" s="154"/>
      <c r="J255" s="155"/>
    </row>
    <row r="256" ht="22.5" customHeight="1">
      <c r="A256" s="140" t="s">
        <v>2832</v>
      </c>
      <c r="B256" s="141" t="s">
        <v>2180</v>
      </c>
      <c r="C256" s="146"/>
      <c r="D256" s="141" t="s">
        <v>2833</v>
      </c>
      <c r="E256" s="142">
        <v>45331.0</v>
      </c>
      <c r="F256" s="163" t="s">
        <v>2097</v>
      </c>
      <c r="G256" s="144"/>
      <c r="H256" s="145"/>
      <c r="I256" s="146"/>
      <c r="J256" s="147"/>
    </row>
    <row r="257" ht="22.5" customHeight="1">
      <c r="A257" s="148" t="s">
        <v>2834</v>
      </c>
      <c r="B257" s="149" t="s">
        <v>2180</v>
      </c>
      <c r="C257" s="149" t="s">
        <v>2835</v>
      </c>
      <c r="D257" s="149" t="s">
        <v>2836</v>
      </c>
      <c r="E257" s="150">
        <v>45331.0</v>
      </c>
      <c r="F257" s="166" t="s">
        <v>2097</v>
      </c>
      <c r="G257" s="152"/>
      <c r="H257" s="153"/>
      <c r="I257" s="154"/>
      <c r="J257" s="155"/>
    </row>
    <row r="258" ht="22.5" customHeight="1">
      <c r="A258" s="140" t="s">
        <v>2837</v>
      </c>
      <c r="B258" s="141" t="s">
        <v>2180</v>
      </c>
      <c r="C258" s="146"/>
      <c r="D258" s="141" t="s">
        <v>2838</v>
      </c>
      <c r="E258" s="142">
        <v>45331.0</v>
      </c>
      <c r="F258" s="163" t="s">
        <v>2097</v>
      </c>
      <c r="G258" s="144"/>
      <c r="H258" s="145"/>
      <c r="I258" s="146"/>
      <c r="J258" s="147"/>
    </row>
    <row r="259" ht="22.5" customHeight="1">
      <c r="A259" s="148" t="s">
        <v>2839</v>
      </c>
      <c r="B259" s="149" t="s">
        <v>2840</v>
      </c>
      <c r="C259" s="149" t="s">
        <v>2841</v>
      </c>
      <c r="D259" s="149" t="s">
        <v>2842</v>
      </c>
      <c r="E259" s="150">
        <v>45331.0</v>
      </c>
      <c r="F259" s="166" t="s">
        <v>2097</v>
      </c>
      <c r="G259" s="152"/>
      <c r="H259" s="153"/>
      <c r="I259" s="154"/>
      <c r="J259" s="155"/>
    </row>
    <row r="260" ht="22.5" customHeight="1">
      <c r="A260" s="140" t="s">
        <v>2843</v>
      </c>
      <c r="B260" s="141" t="s">
        <v>2844</v>
      </c>
      <c r="C260" s="141" t="s">
        <v>2845</v>
      </c>
      <c r="D260" s="141" t="s">
        <v>2846</v>
      </c>
      <c r="E260" s="142">
        <v>45331.0</v>
      </c>
      <c r="F260" s="163" t="s">
        <v>2097</v>
      </c>
      <c r="G260" s="144"/>
      <c r="H260" s="145"/>
      <c r="I260" s="146"/>
      <c r="J260" s="147"/>
    </row>
    <row r="261" ht="22.5" customHeight="1">
      <c r="A261" s="148" t="s">
        <v>2847</v>
      </c>
      <c r="B261" s="149" t="s">
        <v>2848</v>
      </c>
      <c r="C261" s="149" t="s">
        <v>2849</v>
      </c>
      <c r="D261" s="149" t="s">
        <v>2850</v>
      </c>
      <c r="E261" s="150">
        <v>45331.0</v>
      </c>
      <c r="F261" s="161" t="s">
        <v>49</v>
      </c>
      <c r="G261" s="152"/>
      <c r="H261" s="153"/>
      <c r="I261" s="154"/>
      <c r="J261" s="155"/>
    </row>
    <row r="262" ht="22.5" customHeight="1">
      <c r="A262" s="140" t="s">
        <v>2851</v>
      </c>
      <c r="B262" s="141" t="s">
        <v>2852</v>
      </c>
      <c r="C262" s="141" t="s">
        <v>2853</v>
      </c>
      <c r="D262" s="141" t="s">
        <v>2854</v>
      </c>
      <c r="E262" s="142">
        <v>45331.0</v>
      </c>
      <c r="F262" s="163" t="s">
        <v>2097</v>
      </c>
      <c r="G262" s="144"/>
      <c r="H262" s="145"/>
      <c r="I262" s="146"/>
      <c r="J262" s="147"/>
    </row>
    <row r="263" ht="22.5" customHeight="1">
      <c r="A263" s="148" t="s">
        <v>2855</v>
      </c>
      <c r="B263" s="149" t="s">
        <v>2856</v>
      </c>
      <c r="C263" s="154"/>
      <c r="D263" s="149" t="s">
        <v>2857</v>
      </c>
      <c r="E263" s="150">
        <v>45331.0</v>
      </c>
      <c r="F263" s="166" t="s">
        <v>2097</v>
      </c>
      <c r="G263" s="152"/>
      <c r="H263" s="153"/>
      <c r="I263" s="154"/>
      <c r="J263" s="155"/>
    </row>
    <row r="264" ht="22.5" customHeight="1">
      <c r="A264" s="140" t="s">
        <v>2858</v>
      </c>
      <c r="B264" s="141" t="s">
        <v>2859</v>
      </c>
      <c r="C264" s="146"/>
      <c r="D264" s="141" t="s">
        <v>2860</v>
      </c>
      <c r="E264" s="142">
        <v>45331.0</v>
      </c>
      <c r="F264" s="163" t="s">
        <v>2097</v>
      </c>
      <c r="G264" s="144"/>
      <c r="H264" s="145"/>
      <c r="I264" s="146"/>
      <c r="J264" s="147"/>
    </row>
    <row r="265" ht="22.5" customHeight="1">
      <c r="A265" s="148" t="s">
        <v>2861</v>
      </c>
      <c r="B265" s="149" t="s">
        <v>2862</v>
      </c>
      <c r="C265" s="154"/>
      <c r="D265" s="149" t="s">
        <v>2863</v>
      </c>
      <c r="E265" s="150">
        <v>45331.0</v>
      </c>
      <c r="F265" s="166" t="s">
        <v>2097</v>
      </c>
      <c r="G265" s="152"/>
      <c r="H265" s="153"/>
      <c r="I265" s="154"/>
      <c r="J265" s="155"/>
    </row>
    <row r="266" ht="22.5" customHeight="1">
      <c r="A266" s="140" t="s">
        <v>2864</v>
      </c>
      <c r="B266" s="141" t="s">
        <v>2865</v>
      </c>
      <c r="C266" s="146"/>
      <c r="D266" s="141" t="s">
        <v>2866</v>
      </c>
      <c r="E266" s="142">
        <v>45331.0</v>
      </c>
      <c r="F266" s="163" t="s">
        <v>2097</v>
      </c>
      <c r="G266" s="144"/>
      <c r="H266" s="145"/>
      <c r="I266" s="146"/>
      <c r="J266" s="147"/>
    </row>
    <row r="267" ht="22.5" customHeight="1">
      <c r="A267" s="148" t="s">
        <v>2867</v>
      </c>
      <c r="B267" s="149" t="s">
        <v>2868</v>
      </c>
      <c r="C267" s="154"/>
      <c r="D267" s="149" t="s">
        <v>2869</v>
      </c>
      <c r="E267" s="150">
        <v>45331.0</v>
      </c>
      <c r="F267" s="166" t="s">
        <v>2097</v>
      </c>
      <c r="G267" s="152"/>
      <c r="H267" s="153"/>
      <c r="I267" s="154"/>
      <c r="J267" s="155"/>
    </row>
    <row r="268" ht="22.5" customHeight="1">
      <c r="A268" s="140" t="s">
        <v>2870</v>
      </c>
      <c r="B268" s="141" t="s">
        <v>2871</v>
      </c>
      <c r="C268" s="141" t="s">
        <v>2872</v>
      </c>
      <c r="D268" s="141" t="s">
        <v>2873</v>
      </c>
      <c r="E268" s="142">
        <v>45331.0</v>
      </c>
      <c r="F268" s="163" t="s">
        <v>2097</v>
      </c>
      <c r="G268" s="144"/>
      <c r="H268" s="145"/>
      <c r="I268" s="146"/>
      <c r="J268" s="147"/>
    </row>
    <row r="269" ht="22.5" customHeight="1">
      <c r="A269" s="148" t="s">
        <v>2874</v>
      </c>
      <c r="B269" s="149" t="s">
        <v>2875</v>
      </c>
      <c r="C269" s="149" t="s">
        <v>2876</v>
      </c>
      <c r="D269" s="149" t="s">
        <v>2877</v>
      </c>
      <c r="E269" s="150">
        <v>45331.0</v>
      </c>
      <c r="F269" s="166" t="s">
        <v>2097</v>
      </c>
      <c r="G269" s="152"/>
      <c r="H269" s="153"/>
      <c r="I269" s="154"/>
      <c r="J269" s="155"/>
    </row>
    <row r="270" ht="22.5" customHeight="1">
      <c r="A270" s="140" t="s">
        <v>2878</v>
      </c>
      <c r="B270" s="141" t="s">
        <v>2180</v>
      </c>
      <c r="C270" s="146"/>
      <c r="D270" s="141" t="s">
        <v>2879</v>
      </c>
      <c r="E270" s="142">
        <v>45331.0</v>
      </c>
      <c r="F270" s="163" t="s">
        <v>2097</v>
      </c>
      <c r="G270" s="144"/>
      <c r="H270" s="145"/>
      <c r="I270" s="146"/>
      <c r="J270" s="147"/>
    </row>
    <row r="271" ht="22.5" customHeight="1">
      <c r="A271" s="148" t="s">
        <v>2880</v>
      </c>
      <c r="B271" s="149" t="s">
        <v>2486</v>
      </c>
      <c r="C271" s="154"/>
      <c r="D271" s="149" t="s">
        <v>2881</v>
      </c>
      <c r="E271" s="150">
        <v>45331.0</v>
      </c>
      <c r="F271" s="166" t="s">
        <v>2097</v>
      </c>
      <c r="G271" s="152"/>
      <c r="H271" s="153"/>
      <c r="I271" s="154"/>
      <c r="J271" s="155"/>
    </row>
    <row r="272" ht="22.5" customHeight="1">
      <c r="A272" s="140" t="s">
        <v>2882</v>
      </c>
      <c r="B272" s="141" t="s">
        <v>2486</v>
      </c>
      <c r="C272" s="141" t="s">
        <v>2883</v>
      </c>
      <c r="D272" s="141" t="s">
        <v>2884</v>
      </c>
      <c r="E272" s="142">
        <v>45331.0</v>
      </c>
      <c r="F272" s="144"/>
      <c r="G272" s="144"/>
      <c r="H272" s="145"/>
      <c r="I272" s="146"/>
      <c r="J272" s="147"/>
    </row>
    <row r="273" ht="22.5" customHeight="1">
      <c r="A273" s="148" t="s">
        <v>2885</v>
      </c>
      <c r="B273" s="149" t="s">
        <v>2486</v>
      </c>
      <c r="C273" s="149" t="s">
        <v>2886</v>
      </c>
      <c r="D273" s="149" t="s">
        <v>2887</v>
      </c>
      <c r="E273" s="150">
        <v>45331.0</v>
      </c>
      <c r="F273" s="152"/>
      <c r="G273" s="152"/>
      <c r="H273" s="153"/>
      <c r="I273" s="154"/>
      <c r="J273" s="155"/>
    </row>
    <row r="274" ht="22.5" customHeight="1">
      <c r="A274" s="140" t="s">
        <v>2888</v>
      </c>
      <c r="B274" s="141" t="s">
        <v>2486</v>
      </c>
      <c r="C274" s="141" t="s">
        <v>2889</v>
      </c>
      <c r="D274" s="141" t="s">
        <v>2890</v>
      </c>
      <c r="E274" s="142">
        <v>45331.0</v>
      </c>
      <c r="F274" s="144"/>
      <c r="G274" s="144"/>
      <c r="H274" s="145"/>
      <c r="I274" s="146"/>
      <c r="J274" s="147"/>
    </row>
    <row r="275" ht="22.5" customHeight="1">
      <c r="A275" s="148" t="s">
        <v>2891</v>
      </c>
      <c r="B275" s="149" t="s">
        <v>2486</v>
      </c>
      <c r="C275" s="154"/>
      <c r="D275" s="149" t="s">
        <v>2892</v>
      </c>
      <c r="E275" s="150">
        <v>45331.0</v>
      </c>
      <c r="F275" s="152"/>
      <c r="G275" s="152"/>
      <c r="H275" s="153"/>
      <c r="I275" s="154"/>
      <c r="J275" s="155"/>
    </row>
    <row r="276" ht="22.5" customHeight="1">
      <c r="A276" s="140" t="s">
        <v>2893</v>
      </c>
      <c r="B276" s="141" t="s">
        <v>2486</v>
      </c>
      <c r="C276" s="146"/>
      <c r="D276" s="141" t="s">
        <v>2894</v>
      </c>
      <c r="E276" s="142">
        <v>45331.0</v>
      </c>
      <c r="F276" s="144"/>
      <c r="G276" s="144"/>
      <c r="H276" s="145"/>
      <c r="I276" s="146"/>
      <c r="J276" s="147"/>
    </row>
    <row r="277" ht="22.5" customHeight="1">
      <c r="A277" s="148" t="s">
        <v>2895</v>
      </c>
      <c r="B277" s="149" t="s">
        <v>2486</v>
      </c>
      <c r="C277" s="149" t="s">
        <v>2896</v>
      </c>
      <c r="D277" s="149" t="s">
        <v>2897</v>
      </c>
      <c r="E277" s="150">
        <v>45331.0</v>
      </c>
      <c r="F277" s="152"/>
      <c r="G277" s="152"/>
      <c r="H277" s="153"/>
      <c r="I277" s="154"/>
      <c r="J277" s="155"/>
    </row>
    <row r="278" ht="22.5" customHeight="1">
      <c r="A278" s="140" t="s">
        <v>2898</v>
      </c>
      <c r="B278" s="141" t="s">
        <v>2486</v>
      </c>
      <c r="C278" s="146"/>
      <c r="D278" s="141" t="s">
        <v>2899</v>
      </c>
      <c r="E278" s="142">
        <v>45360.0</v>
      </c>
      <c r="F278" s="169" t="s">
        <v>49</v>
      </c>
      <c r="G278" s="144"/>
      <c r="H278" s="145"/>
      <c r="I278" s="146"/>
      <c r="J278" s="147"/>
    </row>
    <row r="279" ht="22.5" customHeight="1">
      <c r="A279" s="148" t="s">
        <v>2900</v>
      </c>
      <c r="B279" s="149" t="s">
        <v>2901</v>
      </c>
      <c r="C279" s="149" t="s">
        <v>2902</v>
      </c>
      <c r="D279" s="149" t="s">
        <v>2903</v>
      </c>
      <c r="E279" s="150">
        <v>45360.0</v>
      </c>
      <c r="F279" s="152"/>
      <c r="G279" s="152"/>
      <c r="H279" s="153"/>
      <c r="I279" s="154"/>
      <c r="J279" s="155"/>
    </row>
    <row r="280" ht="22.5" customHeight="1">
      <c r="A280" s="140" t="s">
        <v>2904</v>
      </c>
      <c r="B280" s="141" t="s">
        <v>2905</v>
      </c>
      <c r="C280" s="146"/>
      <c r="D280" s="141" t="s">
        <v>2906</v>
      </c>
      <c r="E280" s="142">
        <v>45360.0</v>
      </c>
      <c r="F280" s="144"/>
      <c r="G280" s="144"/>
      <c r="H280" s="145"/>
      <c r="I280" s="146"/>
      <c r="J280" s="147"/>
    </row>
    <row r="281" ht="22.5" customHeight="1">
      <c r="A281" s="148" t="s">
        <v>2907</v>
      </c>
      <c r="B281" s="149" t="s">
        <v>2908</v>
      </c>
      <c r="C281" s="154"/>
      <c r="D281" s="149" t="s">
        <v>2909</v>
      </c>
      <c r="E281" s="150">
        <v>45360.0</v>
      </c>
      <c r="F281" s="152"/>
      <c r="G281" s="152"/>
      <c r="H281" s="153"/>
      <c r="I281" s="154"/>
      <c r="J281" s="155"/>
    </row>
    <row r="282" ht="22.5" customHeight="1">
      <c r="A282" s="140" t="s">
        <v>2910</v>
      </c>
      <c r="B282" s="141" t="s">
        <v>2911</v>
      </c>
      <c r="C282" s="146"/>
      <c r="D282" s="141" t="s">
        <v>2912</v>
      </c>
      <c r="E282" s="142">
        <v>45360.0</v>
      </c>
      <c r="F282" s="144"/>
      <c r="G282" s="144"/>
      <c r="H282" s="145"/>
      <c r="I282" s="146"/>
      <c r="J282" s="147"/>
    </row>
    <row r="283" ht="22.5" customHeight="1">
      <c r="A283" s="148" t="s">
        <v>2913</v>
      </c>
      <c r="B283" s="149" t="s">
        <v>2914</v>
      </c>
      <c r="C283" s="154"/>
      <c r="D283" s="149" t="s">
        <v>2915</v>
      </c>
      <c r="E283" s="150">
        <v>45360.0</v>
      </c>
      <c r="F283" s="152"/>
      <c r="G283" s="152"/>
      <c r="H283" s="153"/>
      <c r="I283" s="154"/>
      <c r="J283" s="155"/>
    </row>
    <row r="284" ht="22.5" customHeight="1">
      <c r="A284" s="140" t="s">
        <v>2916</v>
      </c>
      <c r="B284" s="141" t="s">
        <v>2917</v>
      </c>
      <c r="C284" s="141" t="s">
        <v>2918</v>
      </c>
      <c r="D284" s="141" t="s">
        <v>2919</v>
      </c>
      <c r="E284" s="142">
        <v>45360.0</v>
      </c>
      <c r="F284" s="163" t="s">
        <v>2920</v>
      </c>
      <c r="G284" s="144"/>
      <c r="H284" s="145"/>
      <c r="I284" s="146"/>
      <c r="J284" s="147"/>
    </row>
    <row r="285" ht="22.5" customHeight="1">
      <c r="A285" s="148" t="s">
        <v>2921</v>
      </c>
      <c r="B285" s="149" t="s">
        <v>2922</v>
      </c>
      <c r="C285" s="149" t="s">
        <v>2923</v>
      </c>
      <c r="D285" s="149" t="s">
        <v>2924</v>
      </c>
      <c r="E285" s="150">
        <v>45360.0</v>
      </c>
      <c r="F285" s="152"/>
      <c r="G285" s="152"/>
      <c r="H285" s="153"/>
      <c r="I285" s="154"/>
      <c r="J285" s="155"/>
    </row>
    <row r="286" ht="22.5" customHeight="1">
      <c r="A286" s="140" t="s">
        <v>2925</v>
      </c>
      <c r="B286" s="141" t="s">
        <v>2926</v>
      </c>
      <c r="C286" s="141" t="s">
        <v>2927</v>
      </c>
      <c r="D286" s="141" t="s">
        <v>2928</v>
      </c>
      <c r="E286" s="142">
        <v>45360.0</v>
      </c>
      <c r="F286" s="144"/>
      <c r="G286" s="144"/>
      <c r="H286" s="145"/>
      <c r="I286" s="146"/>
      <c r="J286" s="147"/>
    </row>
    <row r="287" ht="22.5" customHeight="1">
      <c r="A287" s="148" t="s">
        <v>2929</v>
      </c>
      <c r="B287" s="149" t="s">
        <v>2930</v>
      </c>
      <c r="C287" s="154"/>
      <c r="D287" s="149" t="s">
        <v>2931</v>
      </c>
      <c r="E287" s="150">
        <v>45360.0</v>
      </c>
      <c r="F287" s="152"/>
      <c r="G287" s="152"/>
      <c r="H287" s="153"/>
      <c r="I287" s="154"/>
      <c r="J287" s="155"/>
    </row>
    <row r="288" ht="22.5" customHeight="1">
      <c r="A288" s="140" t="s">
        <v>2932</v>
      </c>
      <c r="B288" s="141" t="s">
        <v>2933</v>
      </c>
      <c r="C288" s="146"/>
      <c r="D288" s="141" t="s">
        <v>2934</v>
      </c>
      <c r="E288" s="142">
        <v>45360.0</v>
      </c>
      <c r="F288" s="144"/>
      <c r="G288" s="144"/>
      <c r="H288" s="145"/>
      <c r="I288" s="146"/>
      <c r="J288" s="147"/>
    </row>
    <row r="289" ht="22.5" customHeight="1">
      <c r="A289" s="148" t="s">
        <v>2935</v>
      </c>
      <c r="B289" s="149" t="s">
        <v>2936</v>
      </c>
      <c r="C289" s="149" t="s">
        <v>2937</v>
      </c>
      <c r="D289" s="149" t="s">
        <v>2938</v>
      </c>
      <c r="E289" s="150">
        <v>45360.0</v>
      </c>
      <c r="F289" s="152"/>
      <c r="G289" s="152"/>
      <c r="H289" s="153"/>
      <c r="I289" s="154"/>
      <c r="J289" s="155"/>
    </row>
    <row r="290" ht="22.5" customHeight="1">
      <c r="A290" s="140" t="s">
        <v>2939</v>
      </c>
      <c r="B290" s="141" t="s">
        <v>2486</v>
      </c>
      <c r="C290" s="146"/>
      <c r="D290" s="141" t="s">
        <v>2940</v>
      </c>
      <c r="E290" s="142">
        <v>45360.0</v>
      </c>
      <c r="F290" s="144"/>
      <c r="G290" s="144"/>
      <c r="H290" s="145"/>
      <c r="I290" s="146"/>
      <c r="J290" s="147"/>
    </row>
    <row r="291" ht="22.5" customHeight="1">
      <c r="A291" s="148" t="s">
        <v>2941</v>
      </c>
      <c r="B291" s="149" t="s">
        <v>2486</v>
      </c>
      <c r="C291" s="154"/>
      <c r="D291" s="149" t="s">
        <v>2942</v>
      </c>
      <c r="E291" s="150">
        <v>45360.0</v>
      </c>
      <c r="F291" s="152"/>
      <c r="G291" s="152"/>
      <c r="H291" s="153"/>
      <c r="I291" s="154"/>
      <c r="J291" s="155"/>
    </row>
    <row r="292" ht="22.5" customHeight="1">
      <c r="A292" s="140" t="s">
        <v>2943</v>
      </c>
      <c r="B292" s="141" t="s">
        <v>2648</v>
      </c>
      <c r="C292" s="146"/>
      <c r="D292" s="141" t="s">
        <v>2944</v>
      </c>
      <c r="E292" s="142">
        <v>45360.0</v>
      </c>
      <c r="F292" s="144"/>
      <c r="G292" s="144"/>
      <c r="H292" s="145"/>
      <c r="I292" s="146"/>
      <c r="J292" s="147"/>
    </row>
    <row r="293" ht="22.5" customHeight="1">
      <c r="A293" s="148" t="s">
        <v>2945</v>
      </c>
      <c r="B293" s="149" t="s">
        <v>2946</v>
      </c>
      <c r="C293" s="154"/>
      <c r="D293" s="149" t="s">
        <v>2947</v>
      </c>
      <c r="E293" s="150">
        <v>45360.0</v>
      </c>
      <c r="F293" s="152"/>
      <c r="G293" s="152"/>
      <c r="H293" s="153"/>
      <c r="I293" s="154"/>
      <c r="J293" s="155"/>
    </row>
    <row r="294" ht="22.5" customHeight="1">
      <c r="A294" s="140" t="s">
        <v>2948</v>
      </c>
      <c r="B294" s="141" t="s">
        <v>2949</v>
      </c>
      <c r="C294" s="146"/>
      <c r="D294" s="141" t="s">
        <v>2950</v>
      </c>
      <c r="E294" s="142">
        <v>45360.0</v>
      </c>
      <c r="F294" s="144"/>
      <c r="G294" s="144"/>
      <c r="H294" s="145"/>
      <c r="I294" s="146"/>
      <c r="J294" s="147"/>
    </row>
    <row r="295" ht="22.5" customHeight="1">
      <c r="A295" s="148" t="s">
        <v>2951</v>
      </c>
      <c r="B295" s="149" t="s">
        <v>2952</v>
      </c>
      <c r="C295" s="154"/>
      <c r="D295" s="149" t="s">
        <v>2953</v>
      </c>
      <c r="E295" s="150">
        <v>45360.0</v>
      </c>
      <c r="F295" s="152"/>
      <c r="G295" s="152"/>
      <c r="H295" s="153"/>
      <c r="I295" s="154"/>
      <c r="J295" s="155"/>
    </row>
    <row r="296" ht="22.5" customHeight="1">
      <c r="A296" s="140" t="s">
        <v>2954</v>
      </c>
      <c r="B296" s="141" t="s">
        <v>2955</v>
      </c>
      <c r="C296" s="146"/>
      <c r="D296" s="141" t="s">
        <v>2956</v>
      </c>
      <c r="E296" s="142">
        <v>45360.0</v>
      </c>
      <c r="F296" s="144"/>
      <c r="G296" s="144"/>
      <c r="H296" s="145"/>
      <c r="I296" s="146"/>
      <c r="J296" s="147"/>
    </row>
    <row r="297" ht="22.5" customHeight="1">
      <c r="A297" s="148" t="s">
        <v>2957</v>
      </c>
      <c r="B297" s="149" t="s">
        <v>2958</v>
      </c>
      <c r="C297" s="154"/>
      <c r="D297" s="149" t="s">
        <v>2959</v>
      </c>
      <c r="E297" s="150">
        <v>45360.0</v>
      </c>
      <c r="F297" s="152"/>
      <c r="G297" s="152"/>
      <c r="H297" s="153"/>
      <c r="I297" s="154"/>
      <c r="J297" s="155"/>
    </row>
    <row r="298" ht="22.5" customHeight="1">
      <c r="A298" s="140" t="s">
        <v>2960</v>
      </c>
      <c r="B298" s="141" t="s">
        <v>2961</v>
      </c>
      <c r="C298" s="141" t="s">
        <v>2612</v>
      </c>
      <c r="D298" s="141" t="s">
        <v>2962</v>
      </c>
      <c r="E298" s="142">
        <v>45360.0</v>
      </c>
      <c r="F298" s="144"/>
      <c r="G298" s="144"/>
      <c r="H298" s="145"/>
      <c r="I298" s="146"/>
      <c r="J298" s="147"/>
    </row>
    <row r="299" ht="22.5" customHeight="1">
      <c r="A299" s="148" t="s">
        <v>2963</v>
      </c>
      <c r="B299" s="149" t="s">
        <v>2964</v>
      </c>
      <c r="C299" s="149" t="s">
        <v>2965</v>
      </c>
      <c r="D299" s="149" t="s">
        <v>2966</v>
      </c>
      <c r="E299" s="158" t="s">
        <v>2648</v>
      </c>
      <c r="F299" s="152"/>
      <c r="G299" s="152"/>
      <c r="H299" s="153"/>
      <c r="I299" s="154"/>
      <c r="J299" s="155"/>
    </row>
    <row r="300" ht="22.5" customHeight="1">
      <c r="A300" s="140" t="s">
        <v>2967</v>
      </c>
      <c r="B300" s="141" t="s">
        <v>2968</v>
      </c>
      <c r="C300" s="141" t="s">
        <v>2969</v>
      </c>
      <c r="D300" s="141" t="s">
        <v>2970</v>
      </c>
      <c r="E300" s="142">
        <v>45360.0</v>
      </c>
      <c r="F300" s="144"/>
      <c r="G300" s="144"/>
      <c r="H300" s="145"/>
      <c r="I300" s="146"/>
      <c r="J300" s="147"/>
    </row>
    <row r="301" ht="22.5" customHeight="1">
      <c r="A301" s="148" t="s">
        <v>2971</v>
      </c>
      <c r="B301" s="149" t="s">
        <v>2972</v>
      </c>
      <c r="C301" s="149" t="s">
        <v>2973</v>
      </c>
      <c r="D301" s="149" t="s">
        <v>2974</v>
      </c>
      <c r="E301" s="150">
        <v>45360.0</v>
      </c>
      <c r="F301" s="152"/>
      <c r="G301" s="152"/>
      <c r="H301" s="153"/>
      <c r="I301" s="154"/>
      <c r="J301" s="155"/>
    </row>
    <row r="302" ht="22.5" customHeight="1">
      <c r="A302" s="140" t="s">
        <v>2975</v>
      </c>
      <c r="B302" s="141" t="s">
        <v>2648</v>
      </c>
      <c r="C302" s="141" t="s">
        <v>2976</v>
      </c>
      <c r="D302" s="141" t="s">
        <v>2977</v>
      </c>
      <c r="E302" s="159" t="s">
        <v>2648</v>
      </c>
      <c r="F302" s="144"/>
      <c r="G302" s="144"/>
      <c r="H302" s="145"/>
      <c r="I302" s="146"/>
      <c r="J302" s="147"/>
    </row>
    <row r="303" ht="22.5" customHeight="1">
      <c r="A303" s="148" t="s">
        <v>2978</v>
      </c>
      <c r="B303" s="149" t="s">
        <v>2648</v>
      </c>
      <c r="C303" s="149" t="s">
        <v>2979</v>
      </c>
      <c r="D303" s="149" t="s">
        <v>2980</v>
      </c>
      <c r="E303" s="150">
        <v>45360.0</v>
      </c>
      <c r="F303" s="161" t="s">
        <v>49</v>
      </c>
      <c r="G303" s="152"/>
      <c r="H303" s="153"/>
      <c r="I303" s="154"/>
      <c r="J303" s="155"/>
    </row>
    <row r="304" ht="22.5" customHeight="1">
      <c r="A304" s="140" t="s">
        <v>2981</v>
      </c>
      <c r="B304" s="141" t="s">
        <v>2743</v>
      </c>
      <c r="C304" s="146"/>
      <c r="D304" s="141" t="s">
        <v>2982</v>
      </c>
      <c r="E304" s="142">
        <v>46455.0</v>
      </c>
      <c r="F304" s="144"/>
      <c r="G304" s="144"/>
      <c r="H304" s="145"/>
      <c r="I304" s="146"/>
      <c r="J304" s="147"/>
    </row>
    <row r="305" ht="22.5" customHeight="1">
      <c r="A305" s="148" t="s">
        <v>2983</v>
      </c>
      <c r="B305" s="149" t="s">
        <v>2984</v>
      </c>
      <c r="C305" s="154"/>
      <c r="D305" s="149" t="s">
        <v>2985</v>
      </c>
      <c r="E305" s="150">
        <v>45360.0</v>
      </c>
      <c r="F305" s="152"/>
      <c r="G305" s="152"/>
      <c r="H305" s="153"/>
      <c r="I305" s="154"/>
      <c r="J305" s="155"/>
    </row>
    <row r="306" ht="22.5" customHeight="1">
      <c r="A306" s="140" t="s">
        <v>2986</v>
      </c>
      <c r="B306" s="141" t="s">
        <v>2987</v>
      </c>
      <c r="C306" s="146"/>
      <c r="D306" s="141" t="s">
        <v>2988</v>
      </c>
      <c r="E306" s="142">
        <v>45360.0</v>
      </c>
      <c r="F306" s="144"/>
      <c r="G306" s="144"/>
      <c r="H306" s="145"/>
      <c r="I306" s="146"/>
      <c r="J306" s="147"/>
    </row>
    <row r="307" ht="22.5" customHeight="1">
      <c r="A307" s="148" t="s">
        <v>2989</v>
      </c>
      <c r="B307" s="149" t="s">
        <v>2990</v>
      </c>
      <c r="C307" s="149" t="s">
        <v>2279</v>
      </c>
      <c r="D307" s="149" t="s">
        <v>2991</v>
      </c>
      <c r="E307" s="150">
        <v>45360.0</v>
      </c>
      <c r="F307" s="166" t="s">
        <v>2920</v>
      </c>
      <c r="G307" s="152"/>
      <c r="H307" s="153"/>
      <c r="I307" s="154"/>
      <c r="J307" s="155"/>
    </row>
    <row r="308" ht="22.5" customHeight="1">
      <c r="A308" s="140" t="s">
        <v>2992</v>
      </c>
      <c r="B308" s="141" t="s">
        <v>2993</v>
      </c>
      <c r="C308" s="141" t="s">
        <v>2994</v>
      </c>
      <c r="D308" s="141" t="s">
        <v>2995</v>
      </c>
      <c r="E308" s="142">
        <v>45360.0</v>
      </c>
      <c r="F308" s="144"/>
      <c r="G308" s="144"/>
      <c r="H308" s="145"/>
      <c r="I308" s="146"/>
      <c r="J308" s="147"/>
    </row>
    <row r="309" ht="22.5" customHeight="1">
      <c r="A309" s="148" t="s">
        <v>2996</v>
      </c>
      <c r="B309" s="149" t="s">
        <v>2997</v>
      </c>
      <c r="C309" s="154"/>
      <c r="D309" s="149" t="s">
        <v>2998</v>
      </c>
      <c r="E309" s="150">
        <v>45360.0</v>
      </c>
      <c r="F309" s="152"/>
      <c r="G309" s="152"/>
      <c r="H309" s="153"/>
      <c r="I309" s="154"/>
      <c r="J309" s="155"/>
    </row>
    <row r="310" ht="22.5" customHeight="1">
      <c r="A310" s="140" t="s">
        <v>2999</v>
      </c>
      <c r="B310" s="159" t="s">
        <v>3000</v>
      </c>
      <c r="C310" s="146"/>
      <c r="D310" s="141" t="s">
        <v>3001</v>
      </c>
      <c r="E310" s="142">
        <v>45360.0</v>
      </c>
      <c r="F310" s="144"/>
      <c r="G310" s="144"/>
      <c r="H310" s="145"/>
      <c r="I310" s="146"/>
      <c r="J310" s="147"/>
    </row>
    <row r="311" ht="22.5" customHeight="1">
      <c r="A311" s="148" t="s">
        <v>3002</v>
      </c>
      <c r="B311" s="149" t="s">
        <v>3003</v>
      </c>
      <c r="C311" s="149" t="s">
        <v>3004</v>
      </c>
      <c r="D311" s="149" t="s">
        <v>3005</v>
      </c>
      <c r="E311" s="150">
        <v>45360.0</v>
      </c>
      <c r="F311" s="152"/>
      <c r="G311" s="152"/>
      <c r="H311" s="153"/>
      <c r="I311" s="154"/>
      <c r="J311" s="155"/>
    </row>
    <row r="312" ht="22.5" customHeight="1">
      <c r="A312" s="140" t="s">
        <v>3006</v>
      </c>
      <c r="B312" s="141" t="s">
        <v>3007</v>
      </c>
      <c r="C312" s="141" t="s">
        <v>2596</v>
      </c>
      <c r="D312" s="141" t="s">
        <v>3008</v>
      </c>
      <c r="E312" s="142">
        <v>45360.0</v>
      </c>
      <c r="F312" s="144"/>
      <c r="G312" s="144"/>
      <c r="H312" s="145"/>
      <c r="I312" s="146"/>
      <c r="J312" s="147"/>
    </row>
    <row r="313" ht="22.5" customHeight="1">
      <c r="A313" s="148" t="s">
        <v>3009</v>
      </c>
      <c r="B313" s="149" t="s">
        <v>3010</v>
      </c>
      <c r="C313" s="149" t="s">
        <v>3011</v>
      </c>
      <c r="D313" s="149" t="s">
        <v>3012</v>
      </c>
      <c r="E313" s="150">
        <v>45360.0</v>
      </c>
      <c r="F313" s="152"/>
      <c r="G313" s="152"/>
      <c r="H313" s="153"/>
      <c r="I313" s="154"/>
      <c r="J313" s="155"/>
    </row>
    <row r="314" ht="22.5" customHeight="1">
      <c r="A314" s="140" t="s">
        <v>3013</v>
      </c>
      <c r="B314" s="141" t="s">
        <v>3014</v>
      </c>
      <c r="C314" s="146"/>
      <c r="D314" s="141" t="s">
        <v>3015</v>
      </c>
      <c r="E314" s="142">
        <v>45360.0</v>
      </c>
      <c r="F314" s="144"/>
      <c r="G314" s="144"/>
      <c r="H314" s="145"/>
      <c r="I314" s="146"/>
      <c r="J314" s="147"/>
    </row>
    <row r="315" ht="22.5" customHeight="1">
      <c r="A315" s="148" t="s">
        <v>3016</v>
      </c>
      <c r="B315" s="149" t="s">
        <v>3017</v>
      </c>
      <c r="C315" s="154"/>
      <c r="D315" s="149" t="s">
        <v>3018</v>
      </c>
      <c r="E315" s="150">
        <v>45360.0</v>
      </c>
      <c r="F315" s="152"/>
      <c r="G315" s="152"/>
      <c r="H315" s="153"/>
      <c r="I315" s="154"/>
      <c r="J315" s="155"/>
    </row>
    <row r="316" ht="22.5" customHeight="1">
      <c r="A316" s="140" t="s">
        <v>3019</v>
      </c>
      <c r="B316" s="141" t="s">
        <v>3020</v>
      </c>
      <c r="C316" s="146"/>
      <c r="D316" s="141" t="s">
        <v>3021</v>
      </c>
      <c r="E316" s="142">
        <v>45360.0</v>
      </c>
      <c r="F316" s="144"/>
      <c r="G316" s="144"/>
      <c r="H316" s="145"/>
      <c r="I316" s="146"/>
      <c r="J316" s="147"/>
    </row>
    <row r="317" ht="22.5" customHeight="1">
      <c r="A317" s="148" t="s">
        <v>3022</v>
      </c>
      <c r="B317" s="149" t="s">
        <v>3023</v>
      </c>
      <c r="C317" s="154"/>
      <c r="D317" s="149" t="s">
        <v>3024</v>
      </c>
      <c r="E317" s="150">
        <v>45360.0</v>
      </c>
      <c r="F317" s="161" t="s">
        <v>49</v>
      </c>
      <c r="G317" s="152"/>
      <c r="H317" s="153"/>
      <c r="I317" s="154"/>
      <c r="J317" s="155"/>
    </row>
    <row r="318" ht="22.5" customHeight="1">
      <c r="A318" s="140" t="s">
        <v>3025</v>
      </c>
      <c r="B318" s="141" t="s">
        <v>3026</v>
      </c>
      <c r="C318" s="141" t="s">
        <v>3027</v>
      </c>
      <c r="D318" s="141" t="s">
        <v>3028</v>
      </c>
      <c r="E318" s="142">
        <v>45360.0</v>
      </c>
      <c r="F318" s="163" t="s">
        <v>2920</v>
      </c>
      <c r="G318" s="144"/>
      <c r="H318" s="145"/>
      <c r="I318" s="146"/>
      <c r="J318" s="147"/>
    </row>
    <row r="319" ht="22.5" customHeight="1">
      <c r="A319" s="148" t="s">
        <v>3029</v>
      </c>
      <c r="B319" s="149" t="s">
        <v>3030</v>
      </c>
      <c r="C319" s="149" t="s">
        <v>3031</v>
      </c>
      <c r="D319" s="149" t="s">
        <v>3032</v>
      </c>
      <c r="E319" s="150">
        <v>45360.0</v>
      </c>
      <c r="F319" s="161" t="s">
        <v>49</v>
      </c>
      <c r="G319" s="152"/>
      <c r="H319" s="153"/>
      <c r="I319" s="154"/>
      <c r="J319" s="155"/>
    </row>
    <row r="320" ht="22.5" customHeight="1">
      <c r="A320" s="140" t="s">
        <v>3033</v>
      </c>
      <c r="B320" s="141" t="s">
        <v>3034</v>
      </c>
      <c r="C320" s="141" t="s">
        <v>3035</v>
      </c>
      <c r="D320" s="141" t="s">
        <v>3036</v>
      </c>
      <c r="E320" s="142">
        <v>45360.0</v>
      </c>
      <c r="F320" s="144"/>
      <c r="G320" s="144"/>
      <c r="H320" s="145"/>
      <c r="I320" s="146"/>
      <c r="J320" s="147"/>
    </row>
    <row r="321" ht="22.5" customHeight="1">
      <c r="A321" s="148" t="s">
        <v>3037</v>
      </c>
      <c r="B321" s="149" t="s">
        <v>3038</v>
      </c>
      <c r="C321" s="154"/>
      <c r="D321" s="149" t="s">
        <v>3039</v>
      </c>
      <c r="E321" s="150">
        <v>45360.0</v>
      </c>
      <c r="F321" s="152"/>
      <c r="G321" s="152"/>
      <c r="H321" s="153"/>
      <c r="I321" s="154"/>
      <c r="J321" s="155"/>
    </row>
    <row r="322" ht="22.5" customHeight="1">
      <c r="A322" s="140" t="s">
        <v>3040</v>
      </c>
      <c r="B322" s="141" t="s">
        <v>3041</v>
      </c>
      <c r="C322" s="141" t="s">
        <v>3042</v>
      </c>
      <c r="D322" s="141" t="s">
        <v>3043</v>
      </c>
      <c r="E322" s="142">
        <v>45725.0</v>
      </c>
      <c r="F322" s="144"/>
      <c r="G322" s="144"/>
      <c r="H322" s="145"/>
      <c r="I322" s="146"/>
      <c r="J322" s="147"/>
    </row>
    <row r="323" ht="22.5" customHeight="1">
      <c r="A323" s="148" t="s">
        <v>3044</v>
      </c>
      <c r="B323" s="149" t="s">
        <v>3045</v>
      </c>
      <c r="C323" s="154"/>
      <c r="D323" s="149" t="s">
        <v>3046</v>
      </c>
      <c r="E323" s="150">
        <v>45725.0</v>
      </c>
      <c r="F323" s="152"/>
      <c r="G323" s="152"/>
      <c r="H323" s="153"/>
      <c r="I323" s="154"/>
      <c r="J323" s="155"/>
    </row>
    <row r="324" ht="22.5" customHeight="1">
      <c r="A324" s="140" t="s">
        <v>3047</v>
      </c>
      <c r="B324" s="141" t="s">
        <v>3048</v>
      </c>
      <c r="C324" s="141" t="s">
        <v>3049</v>
      </c>
      <c r="D324" s="141" t="s">
        <v>3050</v>
      </c>
      <c r="E324" s="142">
        <v>45360.0</v>
      </c>
      <c r="F324" s="144"/>
      <c r="G324" s="144"/>
      <c r="H324" s="145"/>
      <c r="I324" s="146"/>
      <c r="J324" s="147"/>
    </row>
    <row r="325" ht="22.5" customHeight="1">
      <c r="A325" s="148" t="s">
        <v>3051</v>
      </c>
      <c r="B325" s="149" t="s">
        <v>3052</v>
      </c>
      <c r="C325" s="149" t="s">
        <v>3053</v>
      </c>
      <c r="D325" s="149" t="s">
        <v>3054</v>
      </c>
      <c r="E325" s="150">
        <v>45360.0</v>
      </c>
      <c r="F325" s="152"/>
      <c r="G325" s="152"/>
      <c r="H325" s="153"/>
      <c r="I325" s="154"/>
      <c r="J325" s="155"/>
    </row>
    <row r="326" ht="22.5" customHeight="1">
      <c r="A326" s="140" t="s">
        <v>3055</v>
      </c>
      <c r="B326" s="141" t="s">
        <v>3056</v>
      </c>
      <c r="C326" s="141" t="s">
        <v>3057</v>
      </c>
      <c r="D326" s="141" t="s">
        <v>3058</v>
      </c>
      <c r="E326" s="142">
        <v>45360.0</v>
      </c>
      <c r="F326" s="144"/>
      <c r="G326" s="144"/>
      <c r="H326" s="145"/>
      <c r="I326" s="146"/>
      <c r="J326" s="147"/>
    </row>
    <row r="327" ht="22.5" customHeight="1">
      <c r="A327" s="148" t="s">
        <v>3059</v>
      </c>
      <c r="B327" s="149" t="s">
        <v>3060</v>
      </c>
      <c r="C327" s="154"/>
      <c r="D327" s="149" t="s">
        <v>3061</v>
      </c>
      <c r="E327" s="150">
        <v>45360.0</v>
      </c>
      <c r="F327" s="152"/>
      <c r="G327" s="152"/>
      <c r="H327" s="153"/>
      <c r="I327" s="154"/>
      <c r="J327" s="155"/>
    </row>
    <row r="328" ht="22.5" customHeight="1">
      <c r="A328" s="140" t="s">
        <v>3062</v>
      </c>
      <c r="B328" s="141" t="s">
        <v>3063</v>
      </c>
      <c r="C328" s="141" t="s">
        <v>3064</v>
      </c>
      <c r="D328" s="141" t="s">
        <v>3065</v>
      </c>
      <c r="E328" s="142">
        <v>45360.0</v>
      </c>
      <c r="F328" s="169" t="s">
        <v>49</v>
      </c>
      <c r="G328" s="144"/>
      <c r="H328" s="145"/>
      <c r="I328" s="146"/>
      <c r="J328" s="147"/>
    </row>
    <row r="329" ht="22.5" customHeight="1">
      <c r="A329" s="148" t="s">
        <v>3066</v>
      </c>
      <c r="B329" s="149" t="s">
        <v>2743</v>
      </c>
      <c r="C329" s="149" t="s">
        <v>3067</v>
      </c>
      <c r="D329" s="149" t="s">
        <v>3068</v>
      </c>
      <c r="E329" s="150">
        <v>45360.0</v>
      </c>
      <c r="F329" s="152"/>
      <c r="G329" s="152"/>
      <c r="H329" s="153"/>
      <c r="I329" s="154"/>
      <c r="J329" s="155"/>
    </row>
    <row r="330" ht="22.5" customHeight="1">
      <c r="A330" s="140" t="s">
        <v>3069</v>
      </c>
      <c r="B330" s="141" t="s">
        <v>3070</v>
      </c>
      <c r="C330" s="141" t="s">
        <v>3071</v>
      </c>
      <c r="D330" s="141" t="s">
        <v>3072</v>
      </c>
      <c r="E330" s="142">
        <v>45360.0</v>
      </c>
      <c r="F330" s="144"/>
      <c r="G330" s="144"/>
      <c r="H330" s="145"/>
      <c r="I330" s="146"/>
      <c r="J330" s="147"/>
    </row>
    <row r="331" ht="22.5" customHeight="1">
      <c r="A331" s="148" t="s">
        <v>3073</v>
      </c>
      <c r="B331" s="149" t="s">
        <v>3074</v>
      </c>
      <c r="C331" s="154"/>
      <c r="D331" s="149" t="s">
        <v>3075</v>
      </c>
      <c r="E331" s="150">
        <v>45360.0</v>
      </c>
      <c r="F331" s="152"/>
      <c r="G331" s="152"/>
      <c r="H331" s="153"/>
      <c r="I331" s="154"/>
      <c r="J331" s="155"/>
    </row>
    <row r="332" ht="22.5" customHeight="1">
      <c r="A332" s="140" t="s">
        <v>3076</v>
      </c>
      <c r="B332" s="141" t="s">
        <v>3077</v>
      </c>
      <c r="C332" s="141" t="s">
        <v>3078</v>
      </c>
      <c r="D332" s="141" t="s">
        <v>3079</v>
      </c>
      <c r="E332" s="142">
        <v>45331.0</v>
      </c>
      <c r="F332" s="144"/>
      <c r="G332" s="144"/>
      <c r="H332" s="145"/>
      <c r="I332" s="146"/>
      <c r="J332" s="147"/>
    </row>
    <row r="333" ht="22.5" customHeight="1">
      <c r="A333" s="148" t="s">
        <v>3080</v>
      </c>
      <c r="B333" s="149" t="s">
        <v>3081</v>
      </c>
      <c r="C333" s="149" t="s">
        <v>3082</v>
      </c>
      <c r="D333" s="149" t="s">
        <v>3083</v>
      </c>
      <c r="E333" s="150">
        <v>45360.0</v>
      </c>
      <c r="F333" s="152"/>
      <c r="G333" s="152"/>
      <c r="H333" s="153"/>
      <c r="I333" s="154"/>
      <c r="J333" s="155"/>
    </row>
    <row r="334" ht="22.5" customHeight="1">
      <c r="A334" s="140" t="s">
        <v>3084</v>
      </c>
      <c r="B334" s="141" t="s">
        <v>3085</v>
      </c>
      <c r="C334" s="146"/>
      <c r="D334" s="141" t="s">
        <v>3086</v>
      </c>
      <c r="E334" s="142">
        <v>45360.0</v>
      </c>
      <c r="F334" s="144"/>
      <c r="G334" s="144"/>
      <c r="H334" s="145"/>
      <c r="I334" s="146"/>
      <c r="J334" s="147"/>
    </row>
    <row r="335" ht="22.5" customHeight="1">
      <c r="A335" s="148" t="s">
        <v>3087</v>
      </c>
      <c r="B335" s="149" t="s">
        <v>3088</v>
      </c>
      <c r="C335" s="149" t="s">
        <v>216</v>
      </c>
      <c r="D335" s="149" t="s">
        <v>3089</v>
      </c>
      <c r="E335" s="150">
        <v>45360.0</v>
      </c>
      <c r="F335" s="152"/>
      <c r="G335" s="152"/>
      <c r="H335" s="153"/>
      <c r="I335" s="154"/>
      <c r="J335" s="155"/>
    </row>
    <row r="336" ht="22.5" customHeight="1">
      <c r="A336" s="140" t="s">
        <v>3090</v>
      </c>
      <c r="B336" s="141" t="s">
        <v>3091</v>
      </c>
      <c r="C336" s="141" t="s">
        <v>3092</v>
      </c>
      <c r="D336" s="141" t="s">
        <v>3093</v>
      </c>
      <c r="E336" s="142">
        <v>45360.0</v>
      </c>
      <c r="F336" s="144"/>
      <c r="G336" s="144"/>
      <c r="H336" s="145"/>
      <c r="I336" s="146"/>
      <c r="J336" s="147"/>
    </row>
    <row r="337" ht="22.5" customHeight="1">
      <c r="A337" s="148" t="s">
        <v>3094</v>
      </c>
      <c r="B337" s="149" t="s">
        <v>3095</v>
      </c>
      <c r="C337" s="154"/>
      <c r="D337" s="149" t="s">
        <v>3096</v>
      </c>
      <c r="E337" s="150">
        <v>45360.0</v>
      </c>
      <c r="F337" s="152"/>
      <c r="G337" s="152"/>
      <c r="H337" s="153"/>
      <c r="I337" s="154"/>
      <c r="J337" s="155"/>
    </row>
    <row r="338" ht="22.5" customHeight="1">
      <c r="A338" s="140" t="s">
        <v>3097</v>
      </c>
      <c r="B338" s="141" t="s">
        <v>3098</v>
      </c>
      <c r="C338" s="146"/>
      <c r="D338" s="141" t="s">
        <v>3099</v>
      </c>
      <c r="E338" s="142">
        <v>45360.0</v>
      </c>
      <c r="F338" s="144"/>
      <c r="G338" s="144"/>
      <c r="H338" s="145"/>
      <c r="I338" s="146"/>
      <c r="J338" s="147"/>
    </row>
    <row r="339" ht="22.5" customHeight="1">
      <c r="A339" s="148" t="s">
        <v>3100</v>
      </c>
      <c r="B339" s="149" t="s">
        <v>3101</v>
      </c>
      <c r="C339" s="149" t="s">
        <v>3102</v>
      </c>
      <c r="D339" s="149" t="s">
        <v>3103</v>
      </c>
      <c r="E339" s="150">
        <v>45360.0</v>
      </c>
      <c r="F339" s="152"/>
      <c r="G339" s="152"/>
      <c r="H339" s="153"/>
      <c r="I339" s="154"/>
      <c r="J339" s="155"/>
    </row>
    <row r="340" ht="22.5" customHeight="1">
      <c r="A340" s="140" t="s">
        <v>3104</v>
      </c>
      <c r="B340" s="141" t="s">
        <v>3105</v>
      </c>
      <c r="C340" s="141" t="s">
        <v>3106</v>
      </c>
      <c r="D340" s="141" t="s">
        <v>3107</v>
      </c>
      <c r="E340" s="142">
        <v>45360.0</v>
      </c>
      <c r="F340" s="144"/>
      <c r="G340" s="144"/>
      <c r="H340" s="145"/>
      <c r="I340" s="146"/>
      <c r="J340" s="147"/>
    </row>
    <row r="341" ht="22.5" customHeight="1">
      <c r="A341" s="148" t="s">
        <v>3108</v>
      </c>
      <c r="B341" s="149" t="s">
        <v>3109</v>
      </c>
      <c r="C341" s="149" t="s">
        <v>3110</v>
      </c>
      <c r="D341" s="149" t="s">
        <v>3111</v>
      </c>
      <c r="E341" s="150">
        <v>45360.0</v>
      </c>
      <c r="F341" s="152"/>
      <c r="G341" s="152"/>
      <c r="H341" s="153"/>
      <c r="I341" s="154"/>
      <c r="J341" s="155"/>
    </row>
    <row r="342" ht="22.5" customHeight="1">
      <c r="A342" s="140" t="s">
        <v>3112</v>
      </c>
      <c r="B342" s="141" t="s">
        <v>3113</v>
      </c>
      <c r="C342" s="146"/>
      <c r="D342" s="141" t="s">
        <v>3114</v>
      </c>
      <c r="E342" s="142">
        <v>45360.0</v>
      </c>
      <c r="F342" s="144"/>
      <c r="G342" s="144"/>
      <c r="H342" s="145"/>
      <c r="I342" s="146"/>
      <c r="J342" s="147"/>
    </row>
    <row r="343" ht="22.5" customHeight="1">
      <c r="A343" s="148" t="s">
        <v>3115</v>
      </c>
      <c r="B343" s="149" t="s">
        <v>3116</v>
      </c>
      <c r="C343" s="149" t="s">
        <v>3117</v>
      </c>
      <c r="D343" s="149" t="s">
        <v>3118</v>
      </c>
      <c r="E343" s="150">
        <v>45360.0</v>
      </c>
      <c r="F343" s="152"/>
      <c r="G343" s="152"/>
      <c r="H343" s="153"/>
      <c r="I343" s="154"/>
      <c r="J343" s="155"/>
    </row>
    <row r="344" ht="22.5" customHeight="1">
      <c r="A344" s="140" t="s">
        <v>3119</v>
      </c>
      <c r="B344" s="141" t="s">
        <v>3120</v>
      </c>
      <c r="C344" s="146"/>
      <c r="D344" s="141" t="s">
        <v>3121</v>
      </c>
      <c r="E344" s="142">
        <v>45360.0</v>
      </c>
      <c r="F344" s="144"/>
      <c r="G344" s="144"/>
      <c r="H344" s="145"/>
      <c r="I344" s="146"/>
      <c r="J344" s="147"/>
    </row>
    <row r="345" ht="22.5" customHeight="1">
      <c r="A345" s="148" t="s">
        <v>3122</v>
      </c>
      <c r="B345" s="149" t="s">
        <v>3070</v>
      </c>
      <c r="C345" s="149" t="s">
        <v>3123</v>
      </c>
      <c r="D345" s="149" t="s">
        <v>3124</v>
      </c>
      <c r="E345" s="150">
        <v>45360.0</v>
      </c>
      <c r="F345" s="161" t="s">
        <v>49</v>
      </c>
      <c r="G345" s="152"/>
      <c r="H345" s="153"/>
      <c r="I345" s="154"/>
      <c r="J345" s="155"/>
    </row>
    <row r="346" ht="22.5" customHeight="1">
      <c r="A346" s="140" t="s">
        <v>3125</v>
      </c>
      <c r="B346" s="141" t="s">
        <v>3126</v>
      </c>
      <c r="C346" s="146"/>
      <c r="D346" s="141" t="s">
        <v>3127</v>
      </c>
      <c r="E346" s="142">
        <v>45360.0</v>
      </c>
      <c r="F346" s="144"/>
      <c r="G346" s="144"/>
      <c r="H346" s="145"/>
      <c r="I346" s="146"/>
      <c r="J346" s="147"/>
    </row>
    <row r="347" ht="22.5" customHeight="1">
      <c r="A347" s="148" t="s">
        <v>3128</v>
      </c>
      <c r="B347" s="149" t="s">
        <v>3129</v>
      </c>
      <c r="C347" s="149" t="s">
        <v>3130</v>
      </c>
      <c r="D347" s="149" t="s">
        <v>3131</v>
      </c>
      <c r="E347" s="150">
        <v>45360.0</v>
      </c>
      <c r="F347" s="152"/>
      <c r="G347" s="152"/>
      <c r="H347" s="153"/>
      <c r="I347" s="154"/>
      <c r="J347" s="155"/>
    </row>
    <row r="348" ht="22.5" customHeight="1">
      <c r="A348" s="140" t="s">
        <v>3132</v>
      </c>
      <c r="B348" s="141" t="s">
        <v>3133</v>
      </c>
      <c r="C348" s="146"/>
      <c r="D348" s="141" t="s">
        <v>3134</v>
      </c>
      <c r="E348" s="142">
        <v>45360.0</v>
      </c>
      <c r="F348" s="144"/>
      <c r="G348" s="144"/>
      <c r="H348" s="145"/>
      <c r="I348" s="146"/>
      <c r="J348" s="147"/>
    </row>
    <row r="349" ht="22.5" customHeight="1">
      <c r="A349" s="148" t="s">
        <v>3135</v>
      </c>
      <c r="B349" s="149" t="s">
        <v>3136</v>
      </c>
      <c r="C349" s="149" t="s">
        <v>3137</v>
      </c>
      <c r="D349" s="149" t="s">
        <v>3138</v>
      </c>
      <c r="E349" s="150">
        <v>45360.0</v>
      </c>
      <c r="F349" s="161" t="s">
        <v>49</v>
      </c>
      <c r="G349" s="152"/>
      <c r="H349" s="153"/>
      <c r="I349" s="154"/>
      <c r="J349" s="155"/>
    </row>
    <row r="350" ht="22.5" customHeight="1">
      <c r="A350" s="140" t="s">
        <v>3139</v>
      </c>
      <c r="B350" s="141" t="s">
        <v>3140</v>
      </c>
      <c r="C350" s="141" t="s">
        <v>3141</v>
      </c>
      <c r="D350" s="141" t="s">
        <v>3142</v>
      </c>
      <c r="E350" s="142">
        <v>45360.0</v>
      </c>
      <c r="F350" s="144"/>
      <c r="G350" s="144"/>
      <c r="H350" s="145"/>
      <c r="I350" s="146"/>
      <c r="J350" s="147"/>
    </row>
    <row r="351" ht="22.5" customHeight="1">
      <c r="A351" s="148" t="s">
        <v>3143</v>
      </c>
      <c r="B351" s="149" t="s">
        <v>3144</v>
      </c>
      <c r="C351" s="149" t="s">
        <v>3145</v>
      </c>
      <c r="D351" s="149" t="s">
        <v>3146</v>
      </c>
      <c r="E351" s="150">
        <v>45360.0</v>
      </c>
      <c r="F351" s="152"/>
      <c r="G351" s="152"/>
      <c r="H351" s="153"/>
      <c r="I351" s="154"/>
      <c r="J351" s="155"/>
    </row>
    <row r="352" ht="22.5" customHeight="1">
      <c r="A352" s="140" t="s">
        <v>3147</v>
      </c>
      <c r="B352" s="141" t="s">
        <v>3148</v>
      </c>
      <c r="C352" s="141" t="s">
        <v>653</v>
      </c>
      <c r="D352" s="141" t="s">
        <v>3149</v>
      </c>
      <c r="E352" s="142">
        <v>45360.0</v>
      </c>
      <c r="F352" s="144"/>
      <c r="G352" s="144"/>
      <c r="H352" s="145"/>
      <c r="I352" s="146"/>
      <c r="J352" s="147"/>
    </row>
    <row r="353" ht="22.5" customHeight="1">
      <c r="A353" s="148" t="s">
        <v>3150</v>
      </c>
      <c r="B353" s="149" t="s">
        <v>3151</v>
      </c>
      <c r="C353" s="149" t="s">
        <v>3152</v>
      </c>
      <c r="D353" s="149" t="s">
        <v>3153</v>
      </c>
      <c r="E353" s="150">
        <v>45360.0</v>
      </c>
      <c r="F353" s="152"/>
      <c r="G353" s="152"/>
      <c r="H353" s="153"/>
      <c r="I353" s="154"/>
      <c r="J353" s="155"/>
    </row>
    <row r="354" ht="22.5" customHeight="1">
      <c r="A354" s="140" t="s">
        <v>3154</v>
      </c>
      <c r="B354" s="141" t="s">
        <v>3155</v>
      </c>
      <c r="C354" s="141" t="s">
        <v>3156</v>
      </c>
      <c r="D354" s="141" t="s">
        <v>3157</v>
      </c>
      <c r="E354" s="142">
        <v>45360.0</v>
      </c>
      <c r="F354" s="144"/>
      <c r="G354" s="144"/>
      <c r="H354" s="145"/>
      <c r="I354" s="146"/>
      <c r="J354" s="147"/>
    </row>
    <row r="355" ht="22.5" customHeight="1">
      <c r="A355" s="148" t="s">
        <v>3158</v>
      </c>
      <c r="B355" s="149" t="s">
        <v>3159</v>
      </c>
      <c r="C355" s="149" t="s">
        <v>3160</v>
      </c>
      <c r="D355" s="149" t="s">
        <v>3161</v>
      </c>
      <c r="E355" s="150">
        <v>45360.0</v>
      </c>
      <c r="F355" s="152"/>
      <c r="G355" s="152"/>
      <c r="H355" s="153"/>
      <c r="I355" s="154"/>
      <c r="J355" s="155"/>
    </row>
    <row r="356" ht="22.5" customHeight="1">
      <c r="A356" s="140" t="s">
        <v>3162</v>
      </c>
      <c r="B356" s="141" t="s">
        <v>3163</v>
      </c>
      <c r="C356" s="146"/>
      <c r="D356" s="141" t="s">
        <v>3164</v>
      </c>
      <c r="E356" s="142">
        <v>45360.0</v>
      </c>
      <c r="F356" s="144"/>
      <c r="G356" s="144"/>
      <c r="H356" s="145"/>
      <c r="I356" s="146"/>
      <c r="J356" s="147"/>
    </row>
    <row r="357" ht="22.5" customHeight="1">
      <c r="A357" s="148" t="s">
        <v>3165</v>
      </c>
      <c r="B357" s="149" t="s">
        <v>3166</v>
      </c>
      <c r="C357" s="154"/>
      <c r="D357" s="149" t="s">
        <v>3167</v>
      </c>
      <c r="E357" s="150">
        <v>45360.0</v>
      </c>
      <c r="F357" s="152"/>
      <c r="G357" s="152"/>
      <c r="H357" s="153"/>
      <c r="I357" s="154"/>
      <c r="J357" s="155"/>
    </row>
    <row r="358" ht="22.5" customHeight="1">
      <c r="A358" s="140" t="s">
        <v>3168</v>
      </c>
      <c r="B358" s="141" t="s">
        <v>3169</v>
      </c>
      <c r="C358" s="141" t="s">
        <v>3170</v>
      </c>
      <c r="D358" s="141" t="s">
        <v>3171</v>
      </c>
      <c r="E358" s="142">
        <v>45360.0</v>
      </c>
      <c r="F358" s="144"/>
      <c r="G358" s="144"/>
      <c r="H358" s="145"/>
      <c r="I358" s="146"/>
      <c r="J358" s="147"/>
    </row>
    <row r="359" ht="22.5" customHeight="1">
      <c r="A359" s="148" t="s">
        <v>3172</v>
      </c>
      <c r="B359" s="149" t="s">
        <v>3173</v>
      </c>
      <c r="C359" s="154"/>
      <c r="D359" s="149" t="s">
        <v>3174</v>
      </c>
      <c r="E359" s="150">
        <v>45360.0</v>
      </c>
      <c r="F359" s="152"/>
      <c r="G359" s="152"/>
      <c r="H359" s="153"/>
      <c r="I359" s="154"/>
      <c r="J359" s="155"/>
    </row>
    <row r="360" ht="22.5" customHeight="1">
      <c r="A360" s="140" t="s">
        <v>3175</v>
      </c>
      <c r="B360" s="141" t="s">
        <v>3176</v>
      </c>
      <c r="C360" s="146"/>
      <c r="D360" s="141" t="s">
        <v>3177</v>
      </c>
      <c r="E360" s="142">
        <v>45391.0</v>
      </c>
      <c r="F360" s="144"/>
      <c r="G360" s="144"/>
      <c r="H360" s="145"/>
      <c r="I360" s="146"/>
      <c r="J360" s="147"/>
    </row>
    <row r="361" ht="22.5" customHeight="1">
      <c r="A361" s="148" t="s">
        <v>3178</v>
      </c>
      <c r="B361" s="149" t="s">
        <v>3179</v>
      </c>
      <c r="C361" s="154"/>
      <c r="D361" s="149" t="s">
        <v>3180</v>
      </c>
      <c r="E361" s="150">
        <v>45391.0</v>
      </c>
      <c r="F361" s="152"/>
      <c r="G361" s="152"/>
      <c r="H361" s="153"/>
      <c r="I361" s="154"/>
      <c r="J361" s="155"/>
    </row>
    <row r="362" ht="22.5" customHeight="1">
      <c r="A362" s="140" t="s">
        <v>3181</v>
      </c>
      <c r="B362" s="141" t="s">
        <v>3182</v>
      </c>
      <c r="C362" s="141" t="s">
        <v>248</v>
      </c>
      <c r="D362" s="141" t="s">
        <v>3183</v>
      </c>
      <c r="E362" s="142">
        <v>45391.0</v>
      </c>
      <c r="F362" s="143" t="s">
        <v>30</v>
      </c>
      <c r="G362" s="144"/>
      <c r="H362" s="145"/>
      <c r="I362" s="146"/>
      <c r="J362" s="147"/>
    </row>
    <row r="363" ht="22.5" customHeight="1">
      <c r="A363" s="148" t="s">
        <v>3184</v>
      </c>
      <c r="B363" s="149" t="s">
        <v>3070</v>
      </c>
      <c r="C363" s="149" t="s">
        <v>270</v>
      </c>
      <c r="D363" s="149" t="s">
        <v>3185</v>
      </c>
      <c r="E363" s="150">
        <v>45391.0</v>
      </c>
      <c r="F363" s="152"/>
      <c r="G363" s="152"/>
      <c r="H363" s="153"/>
      <c r="I363" s="154"/>
      <c r="J363" s="155"/>
    </row>
    <row r="364" ht="22.5" customHeight="1">
      <c r="A364" s="140" t="s">
        <v>3186</v>
      </c>
      <c r="B364" s="141" t="s">
        <v>3187</v>
      </c>
      <c r="C364" s="141" t="s">
        <v>3188</v>
      </c>
      <c r="D364" s="141" t="s">
        <v>3189</v>
      </c>
      <c r="E364" s="142">
        <v>45391.0</v>
      </c>
      <c r="F364" s="169" t="s">
        <v>49</v>
      </c>
      <c r="G364" s="144"/>
      <c r="H364" s="145"/>
      <c r="I364" s="146"/>
      <c r="J364" s="147"/>
    </row>
    <row r="365" ht="22.5" customHeight="1">
      <c r="A365" s="148" t="s">
        <v>3190</v>
      </c>
      <c r="B365" s="149" t="s">
        <v>3191</v>
      </c>
      <c r="C365" s="154"/>
      <c r="D365" s="149" t="s">
        <v>3192</v>
      </c>
      <c r="E365" s="150">
        <v>45391.0</v>
      </c>
      <c r="F365" s="152"/>
      <c r="G365" s="152"/>
      <c r="H365" s="153"/>
      <c r="I365" s="154"/>
      <c r="J365" s="155"/>
    </row>
    <row r="366" ht="22.5" customHeight="1">
      <c r="A366" s="140" t="s">
        <v>3193</v>
      </c>
      <c r="B366" s="141" t="s">
        <v>3194</v>
      </c>
      <c r="C366" s="146"/>
      <c r="D366" s="141" t="s">
        <v>3195</v>
      </c>
      <c r="E366" s="142">
        <v>45391.0</v>
      </c>
      <c r="F366" s="144"/>
      <c r="G366" s="144"/>
      <c r="H366" s="145"/>
      <c r="I366" s="146"/>
      <c r="J366" s="147"/>
    </row>
    <row r="367" ht="22.5" customHeight="1">
      <c r="A367" s="148" t="s">
        <v>3196</v>
      </c>
      <c r="B367" s="149" t="s">
        <v>3197</v>
      </c>
      <c r="C367" s="149" t="s">
        <v>3198</v>
      </c>
      <c r="D367" s="149" t="s">
        <v>3199</v>
      </c>
      <c r="E367" s="150">
        <v>45391.0</v>
      </c>
      <c r="F367" s="152"/>
      <c r="G367" s="152"/>
      <c r="H367" s="153"/>
      <c r="I367" s="154"/>
      <c r="J367" s="155"/>
    </row>
    <row r="368" ht="22.5" customHeight="1">
      <c r="A368" s="140" t="s">
        <v>3200</v>
      </c>
      <c r="B368" s="141" t="s">
        <v>3201</v>
      </c>
      <c r="C368" s="146"/>
      <c r="D368" s="141" t="s">
        <v>3202</v>
      </c>
      <c r="E368" s="142">
        <v>45391.0</v>
      </c>
      <c r="F368" s="144"/>
      <c r="G368" s="144"/>
      <c r="H368" s="145"/>
      <c r="I368" s="146"/>
      <c r="J368" s="147"/>
    </row>
    <row r="369" ht="22.5" customHeight="1">
      <c r="A369" s="148" t="s">
        <v>3203</v>
      </c>
      <c r="B369" s="149" t="s">
        <v>3204</v>
      </c>
      <c r="C369" s="154"/>
      <c r="D369" s="149" t="s">
        <v>3205</v>
      </c>
      <c r="E369" s="150">
        <v>45391.0</v>
      </c>
      <c r="F369" s="152"/>
      <c r="G369" s="152"/>
      <c r="H369" s="153"/>
      <c r="I369" s="154"/>
      <c r="J369" s="155"/>
    </row>
    <row r="370" ht="22.5" customHeight="1">
      <c r="A370" s="140" t="s">
        <v>3206</v>
      </c>
      <c r="B370" s="141" t="s">
        <v>3207</v>
      </c>
      <c r="C370" s="146"/>
      <c r="D370" s="141" t="s">
        <v>3208</v>
      </c>
      <c r="E370" s="142">
        <v>45391.0</v>
      </c>
      <c r="F370" s="144"/>
      <c r="G370" s="144"/>
      <c r="H370" s="145"/>
      <c r="I370" s="146"/>
      <c r="J370" s="147"/>
    </row>
    <row r="371" ht="22.5" customHeight="1">
      <c r="A371" s="148" t="s">
        <v>3209</v>
      </c>
      <c r="B371" s="149" t="s">
        <v>3210</v>
      </c>
      <c r="C371" s="149" t="s">
        <v>3211</v>
      </c>
      <c r="D371" s="149" t="s">
        <v>3212</v>
      </c>
      <c r="E371" s="150">
        <v>45391.0</v>
      </c>
      <c r="F371" s="152"/>
      <c r="G371" s="152"/>
      <c r="H371" s="153"/>
      <c r="I371" s="154"/>
      <c r="J371" s="155"/>
    </row>
    <row r="372" ht="22.5" customHeight="1">
      <c r="A372" s="140" t="s">
        <v>3213</v>
      </c>
      <c r="B372" s="141" t="s">
        <v>3214</v>
      </c>
      <c r="C372" s="146"/>
      <c r="D372" s="141" t="s">
        <v>3215</v>
      </c>
      <c r="E372" s="142">
        <v>45391.0</v>
      </c>
      <c r="F372" s="144"/>
      <c r="G372" s="144"/>
      <c r="H372" s="145"/>
      <c r="I372" s="146"/>
      <c r="J372" s="147"/>
    </row>
    <row r="373" ht="22.5" customHeight="1">
      <c r="A373" s="148" t="s">
        <v>3216</v>
      </c>
      <c r="B373" s="149" t="s">
        <v>3217</v>
      </c>
      <c r="C373" s="154"/>
      <c r="D373" s="149" t="s">
        <v>3218</v>
      </c>
      <c r="E373" s="150">
        <v>45421.0</v>
      </c>
      <c r="F373" s="152"/>
      <c r="G373" s="152"/>
      <c r="H373" s="153"/>
      <c r="I373" s="154"/>
      <c r="J373" s="155"/>
    </row>
    <row r="374" ht="22.5" customHeight="1">
      <c r="A374" s="140" t="s">
        <v>3219</v>
      </c>
      <c r="B374" s="141" t="s">
        <v>3217</v>
      </c>
      <c r="C374" s="146"/>
      <c r="D374" s="141" t="s">
        <v>3220</v>
      </c>
      <c r="E374" s="142">
        <v>45421.0</v>
      </c>
      <c r="F374" s="144"/>
      <c r="G374" s="144"/>
      <c r="H374" s="145"/>
      <c r="I374" s="146"/>
      <c r="J374" s="147"/>
    </row>
    <row r="375" ht="22.5" customHeight="1">
      <c r="A375" s="148" t="s">
        <v>3221</v>
      </c>
      <c r="B375" s="149" t="s">
        <v>3217</v>
      </c>
      <c r="C375" s="149" t="s">
        <v>3222</v>
      </c>
      <c r="D375" s="149" t="s">
        <v>3223</v>
      </c>
      <c r="E375" s="150">
        <v>45421.0</v>
      </c>
      <c r="F375" s="161" t="s">
        <v>49</v>
      </c>
      <c r="G375" s="152"/>
      <c r="H375" s="153"/>
      <c r="I375" s="154"/>
      <c r="J375" s="155"/>
    </row>
    <row r="376" ht="22.5" customHeight="1">
      <c r="A376" s="140" t="s">
        <v>3224</v>
      </c>
      <c r="B376" s="141" t="s">
        <v>3217</v>
      </c>
      <c r="C376" s="146"/>
      <c r="D376" s="141" t="s">
        <v>3225</v>
      </c>
      <c r="E376" s="197"/>
      <c r="F376" s="144"/>
      <c r="G376" s="144"/>
      <c r="H376" s="145"/>
      <c r="I376" s="146"/>
      <c r="J376" s="147"/>
    </row>
    <row r="377" ht="22.5" customHeight="1">
      <c r="A377" s="148" t="s">
        <v>3226</v>
      </c>
      <c r="B377" s="149" t="s">
        <v>3217</v>
      </c>
      <c r="C377" s="149" t="s">
        <v>3227</v>
      </c>
      <c r="D377" s="149" t="s">
        <v>3228</v>
      </c>
      <c r="E377" s="150">
        <v>45421.0</v>
      </c>
      <c r="F377" s="152"/>
      <c r="G377" s="152"/>
      <c r="H377" s="153"/>
      <c r="I377" s="154"/>
      <c r="J377" s="155"/>
    </row>
    <row r="378" ht="22.5" customHeight="1">
      <c r="A378" s="140" t="s">
        <v>3229</v>
      </c>
      <c r="B378" s="141" t="s">
        <v>3217</v>
      </c>
      <c r="C378" s="146"/>
      <c r="D378" s="141" t="s">
        <v>3230</v>
      </c>
      <c r="E378" s="142">
        <v>45421.0</v>
      </c>
      <c r="F378" s="144"/>
      <c r="G378" s="144"/>
      <c r="H378" s="145"/>
      <c r="I378" s="146"/>
      <c r="J378" s="147"/>
    </row>
    <row r="379" ht="22.5" customHeight="1">
      <c r="A379" s="148" t="s">
        <v>3231</v>
      </c>
      <c r="B379" s="149" t="s">
        <v>3217</v>
      </c>
      <c r="C379" s="149" t="s">
        <v>3232</v>
      </c>
      <c r="D379" s="149" t="s">
        <v>3233</v>
      </c>
      <c r="E379" s="150">
        <v>45421.0</v>
      </c>
      <c r="F379" s="152"/>
      <c r="G379" s="152"/>
      <c r="H379" s="153"/>
      <c r="I379" s="154"/>
      <c r="J379" s="155"/>
    </row>
    <row r="380" ht="22.5" customHeight="1">
      <c r="A380" s="140" t="s">
        <v>3234</v>
      </c>
      <c r="B380" s="141" t="s">
        <v>3217</v>
      </c>
      <c r="C380" s="141" t="s">
        <v>3235</v>
      </c>
      <c r="D380" s="141" t="s">
        <v>3236</v>
      </c>
      <c r="E380" s="142">
        <v>45421.0</v>
      </c>
      <c r="F380" s="144"/>
      <c r="G380" s="144"/>
      <c r="H380" s="145"/>
      <c r="I380" s="146"/>
      <c r="J380" s="147"/>
    </row>
    <row r="381" ht="22.5" customHeight="1">
      <c r="A381" s="148" t="s">
        <v>3237</v>
      </c>
      <c r="B381" s="149" t="s">
        <v>3217</v>
      </c>
      <c r="C381" s="154"/>
      <c r="D381" s="149" t="s">
        <v>3238</v>
      </c>
      <c r="E381" s="150">
        <v>45421.0</v>
      </c>
      <c r="F381" s="152"/>
      <c r="G381" s="152"/>
      <c r="H381" s="153"/>
      <c r="I381" s="154"/>
      <c r="J381" s="155"/>
    </row>
    <row r="382" ht="22.5" customHeight="1">
      <c r="A382" s="140" t="s">
        <v>3239</v>
      </c>
      <c r="B382" s="141" t="s">
        <v>3217</v>
      </c>
      <c r="C382" s="146"/>
      <c r="D382" s="141" t="s">
        <v>3240</v>
      </c>
      <c r="E382" s="142">
        <v>45421.0</v>
      </c>
      <c r="F382" s="144"/>
      <c r="G382" s="144"/>
      <c r="H382" s="145"/>
      <c r="I382" s="146"/>
      <c r="J382" s="147"/>
    </row>
    <row r="383" ht="22.5" customHeight="1">
      <c r="A383" s="148" t="s">
        <v>3241</v>
      </c>
      <c r="B383" s="149" t="s">
        <v>3217</v>
      </c>
      <c r="C383" s="154"/>
      <c r="D383" s="149" t="s">
        <v>3242</v>
      </c>
      <c r="E383" s="150">
        <v>45421.0</v>
      </c>
      <c r="F383" s="152"/>
      <c r="G383" s="152"/>
      <c r="H383" s="153"/>
      <c r="I383" s="154"/>
      <c r="J383" s="155"/>
    </row>
    <row r="384" ht="22.5" customHeight="1">
      <c r="A384" s="140" t="s">
        <v>3243</v>
      </c>
      <c r="B384" s="141" t="s">
        <v>3217</v>
      </c>
      <c r="C384" s="141" t="s">
        <v>2596</v>
      </c>
      <c r="D384" s="141" t="s">
        <v>3244</v>
      </c>
      <c r="E384" s="142">
        <v>45421.0</v>
      </c>
      <c r="F384" s="144"/>
      <c r="G384" s="144"/>
      <c r="H384" s="145"/>
      <c r="I384" s="146"/>
      <c r="J384" s="147"/>
    </row>
    <row r="385" ht="22.5" customHeight="1">
      <c r="A385" s="148" t="s">
        <v>3245</v>
      </c>
      <c r="B385" s="149" t="s">
        <v>3217</v>
      </c>
      <c r="C385" s="149" t="s">
        <v>3246</v>
      </c>
      <c r="D385" s="149" t="s">
        <v>3247</v>
      </c>
      <c r="E385" s="150">
        <v>45421.0</v>
      </c>
      <c r="F385" s="152"/>
      <c r="G385" s="152"/>
      <c r="H385" s="153"/>
      <c r="I385" s="154"/>
      <c r="J385" s="155"/>
    </row>
    <row r="386" ht="22.5" customHeight="1">
      <c r="A386" s="140" t="s">
        <v>3248</v>
      </c>
      <c r="B386" s="141" t="s">
        <v>3249</v>
      </c>
      <c r="C386" s="141" t="s">
        <v>3250</v>
      </c>
      <c r="D386" s="141" t="s">
        <v>3251</v>
      </c>
      <c r="E386" s="142">
        <v>45452.0</v>
      </c>
      <c r="F386" s="144"/>
      <c r="G386" s="144"/>
      <c r="H386" s="145"/>
      <c r="I386" s="146"/>
      <c r="J386" s="147"/>
    </row>
    <row r="387" ht="22.5" customHeight="1">
      <c r="A387" s="148" t="s">
        <v>3252</v>
      </c>
      <c r="B387" s="149" t="s">
        <v>3249</v>
      </c>
      <c r="C387" s="149" t="s">
        <v>3253</v>
      </c>
      <c r="D387" s="149" t="s">
        <v>3254</v>
      </c>
      <c r="E387" s="150">
        <v>45452.0</v>
      </c>
      <c r="F387" s="152"/>
      <c r="G387" s="152"/>
      <c r="H387" s="153"/>
      <c r="I387" s="154"/>
      <c r="J387" s="155"/>
    </row>
    <row r="388" ht="22.5" customHeight="1">
      <c r="A388" s="140" t="s">
        <v>3255</v>
      </c>
      <c r="B388" s="141" t="s">
        <v>3249</v>
      </c>
      <c r="C388" s="146"/>
      <c r="D388" s="141" t="s">
        <v>3256</v>
      </c>
      <c r="E388" s="142">
        <v>45452.0</v>
      </c>
      <c r="F388" s="144"/>
      <c r="G388" s="144"/>
      <c r="H388" s="145"/>
      <c r="I388" s="146"/>
      <c r="J388" s="147"/>
    </row>
    <row r="389" ht="22.5" customHeight="1">
      <c r="A389" s="148" t="s">
        <v>3257</v>
      </c>
      <c r="B389" s="149" t="s">
        <v>3249</v>
      </c>
      <c r="C389" s="149" t="s">
        <v>3258</v>
      </c>
      <c r="D389" s="149" t="s">
        <v>3259</v>
      </c>
      <c r="E389" s="150">
        <v>45452.0</v>
      </c>
      <c r="F389" s="152"/>
      <c r="G389" s="152"/>
      <c r="H389" s="153"/>
      <c r="I389" s="154"/>
      <c r="J389" s="155"/>
    </row>
    <row r="390" ht="22.5" customHeight="1">
      <c r="A390" s="140" t="s">
        <v>3260</v>
      </c>
      <c r="B390" s="141" t="s">
        <v>3249</v>
      </c>
      <c r="C390" s="141" t="s">
        <v>3261</v>
      </c>
      <c r="D390" s="141" t="s">
        <v>3262</v>
      </c>
      <c r="E390" s="142">
        <v>45452.0</v>
      </c>
      <c r="F390" s="144"/>
      <c r="G390" s="144"/>
      <c r="H390" s="145"/>
      <c r="I390" s="146"/>
      <c r="J390" s="147"/>
    </row>
    <row r="391" ht="22.5" customHeight="1">
      <c r="A391" s="148" t="s">
        <v>3263</v>
      </c>
      <c r="B391" s="149" t="s">
        <v>3249</v>
      </c>
      <c r="C391" s="154"/>
      <c r="D391" s="149" t="s">
        <v>3264</v>
      </c>
      <c r="E391" s="150">
        <v>45452.0</v>
      </c>
      <c r="F391" s="152"/>
      <c r="G391" s="152"/>
      <c r="H391" s="153"/>
      <c r="I391" s="154"/>
      <c r="J391" s="155"/>
    </row>
    <row r="392" ht="22.5" customHeight="1">
      <c r="A392" s="140" t="s">
        <v>3265</v>
      </c>
      <c r="B392" s="141" t="s">
        <v>3249</v>
      </c>
      <c r="C392" s="141" t="s">
        <v>3266</v>
      </c>
      <c r="D392" s="141" t="s">
        <v>3267</v>
      </c>
      <c r="E392" s="142">
        <v>45452.0</v>
      </c>
      <c r="F392" s="169" t="s">
        <v>49</v>
      </c>
      <c r="G392" s="144"/>
      <c r="H392" s="145"/>
      <c r="I392" s="146"/>
      <c r="J392" s="147"/>
    </row>
    <row r="393" ht="22.5" customHeight="1">
      <c r="A393" s="148" t="s">
        <v>3268</v>
      </c>
      <c r="B393" s="149" t="s">
        <v>3249</v>
      </c>
      <c r="C393" s="149" t="s">
        <v>3269</v>
      </c>
      <c r="D393" s="149" t="s">
        <v>3270</v>
      </c>
      <c r="E393" s="150">
        <v>45452.0</v>
      </c>
      <c r="F393" s="152"/>
      <c r="G393" s="152"/>
      <c r="H393" s="153"/>
      <c r="I393" s="154"/>
      <c r="J393" s="155"/>
    </row>
    <row r="394" ht="22.5" customHeight="1">
      <c r="A394" s="140" t="s">
        <v>3271</v>
      </c>
      <c r="B394" s="141" t="s">
        <v>3249</v>
      </c>
      <c r="C394" s="141" t="s">
        <v>3272</v>
      </c>
      <c r="D394" s="141" t="s">
        <v>3273</v>
      </c>
      <c r="E394" s="142">
        <v>45452.0</v>
      </c>
      <c r="F394" s="143" t="s">
        <v>30</v>
      </c>
      <c r="G394" s="144"/>
      <c r="H394" s="145"/>
      <c r="I394" s="146"/>
      <c r="J394" s="147"/>
    </row>
    <row r="395" ht="22.5" customHeight="1">
      <c r="A395" s="148" t="s">
        <v>3274</v>
      </c>
      <c r="B395" s="149" t="s">
        <v>3249</v>
      </c>
      <c r="C395" s="149" t="s">
        <v>2965</v>
      </c>
      <c r="D395" s="149" t="s">
        <v>3275</v>
      </c>
      <c r="E395" s="150">
        <v>45452.0</v>
      </c>
      <c r="F395" s="152"/>
      <c r="G395" s="152"/>
      <c r="H395" s="153"/>
      <c r="I395" s="154"/>
      <c r="J395" s="155"/>
    </row>
    <row r="396" ht="22.5" customHeight="1">
      <c r="A396" s="140" t="s">
        <v>3276</v>
      </c>
      <c r="B396" s="141" t="s">
        <v>3277</v>
      </c>
      <c r="C396" s="146"/>
      <c r="D396" s="141" t="s">
        <v>3278</v>
      </c>
      <c r="E396" s="142">
        <v>45544.0</v>
      </c>
      <c r="F396" s="144"/>
      <c r="G396" s="144"/>
      <c r="H396" s="145"/>
      <c r="I396" s="146"/>
      <c r="J396" s="147"/>
    </row>
    <row r="397" ht="22.5" customHeight="1">
      <c r="A397" s="148" t="s">
        <v>3279</v>
      </c>
      <c r="B397" s="149" t="s">
        <v>3280</v>
      </c>
      <c r="C397" s="154"/>
      <c r="D397" s="149" t="s">
        <v>3281</v>
      </c>
      <c r="E397" s="150">
        <v>45544.0</v>
      </c>
      <c r="F397" s="152"/>
      <c r="G397" s="152"/>
      <c r="H397" s="153"/>
      <c r="I397" s="154"/>
      <c r="J397" s="155"/>
    </row>
    <row r="398" ht="22.5" customHeight="1">
      <c r="A398" s="140" t="s">
        <v>3282</v>
      </c>
      <c r="B398" s="141" t="s">
        <v>3283</v>
      </c>
      <c r="C398" s="141" t="s">
        <v>3284</v>
      </c>
      <c r="D398" s="141" t="s">
        <v>3285</v>
      </c>
      <c r="E398" s="142">
        <v>45544.0</v>
      </c>
      <c r="F398" s="144"/>
      <c r="G398" s="144"/>
      <c r="H398" s="145"/>
      <c r="I398" s="146"/>
      <c r="J398" s="147"/>
    </row>
    <row r="399" ht="22.5" customHeight="1">
      <c r="A399" s="148" t="s">
        <v>3286</v>
      </c>
      <c r="B399" s="149" t="s">
        <v>3287</v>
      </c>
      <c r="C399" s="154"/>
      <c r="D399" s="149" t="s">
        <v>3288</v>
      </c>
      <c r="E399" s="150">
        <v>45544.0</v>
      </c>
      <c r="F399" s="152"/>
      <c r="G399" s="152"/>
      <c r="H399" s="153"/>
      <c r="I399" s="154"/>
      <c r="J399" s="155"/>
    </row>
    <row r="400" ht="22.5" customHeight="1">
      <c r="A400" s="140" t="s">
        <v>3289</v>
      </c>
      <c r="B400" s="141" t="s">
        <v>3277</v>
      </c>
      <c r="C400" s="146"/>
      <c r="D400" s="141" t="s">
        <v>3290</v>
      </c>
      <c r="E400" s="142">
        <v>45544.0</v>
      </c>
      <c r="F400" s="144"/>
      <c r="G400" s="144"/>
      <c r="H400" s="145"/>
      <c r="I400" s="146"/>
      <c r="J400" s="147"/>
    </row>
    <row r="401" ht="22.5" customHeight="1">
      <c r="A401" s="148" t="s">
        <v>3291</v>
      </c>
      <c r="B401" s="149" t="s">
        <v>3277</v>
      </c>
      <c r="C401" s="154"/>
      <c r="D401" s="149" t="s">
        <v>3292</v>
      </c>
      <c r="E401" s="150">
        <v>45544.0</v>
      </c>
      <c r="F401" s="152"/>
      <c r="G401" s="152"/>
      <c r="H401" s="153"/>
      <c r="I401" s="154"/>
      <c r="J401" s="155"/>
    </row>
    <row r="402" ht="22.5" customHeight="1">
      <c r="A402" s="140" t="s">
        <v>3293</v>
      </c>
      <c r="B402" s="141" t="s">
        <v>3294</v>
      </c>
      <c r="C402" s="146"/>
      <c r="D402" s="141" t="s">
        <v>3295</v>
      </c>
      <c r="E402" s="142">
        <v>45544.0</v>
      </c>
      <c r="F402" s="144"/>
      <c r="G402" s="144"/>
      <c r="H402" s="145"/>
      <c r="I402" s="146"/>
      <c r="J402" s="147"/>
    </row>
    <row r="403" ht="22.5" customHeight="1">
      <c r="A403" s="148" t="s">
        <v>3296</v>
      </c>
      <c r="B403" s="149" t="s">
        <v>3277</v>
      </c>
      <c r="C403" s="154"/>
      <c r="D403" s="149" t="s">
        <v>3297</v>
      </c>
      <c r="E403" s="150">
        <v>45544.0</v>
      </c>
      <c r="F403" s="152"/>
      <c r="G403" s="152"/>
      <c r="H403" s="153"/>
      <c r="I403" s="154"/>
      <c r="J403" s="155"/>
    </row>
    <row r="404" ht="22.5" customHeight="1">
      <c r="A404" s="140" t="s">
        <v>3298</v>
      </c>
      <c r="B404" s="141" t="s">
        <v>3277</v>
      </c>
      <c r="C404" s="146"/>
      <c r="D404" s="141" t="s">
        <v>3299</v>
      </c>
      <c r="E404" s="142">
        <v>45544.0</v>
      </c>
      <c r="F404" s="144"/>
      <c r="G404" s="144"/>
      <c r="H404" s="145"/>
      <c r="I404" s="146"/>
      <c r="J404" s="147"/>
    </row>
    <row r="405" ht="22.5" customHeight="1">
      <c r="A405" s="148" t="s">
        <v>3300</v>
      </c>
      <c r="B405" s="149" t="s">
        <v>3301</v>
      </c>
      <c r="C405" s="154"/>
      <c r="D405" s="149" t="s">
        <v>3302</v>
      </c>
      <c r="E405" s="158" t="s">
        <v>3303</v>
      </c>
      <c r="F405" s="152"/>
      <c r="G405" s="152"/>
      <c r="H405" s="153"/>
      <c r="I405" s="154"/>
      <c r="J405" s="155"/>
    </row>
    <row r="406" ht="22.5" customHeight="1">
      <c r="A406" s="140" t="s">
        <v>3304</v>
      </c>
      <c r="B406" s="141" t="s">
        <v>3277</v>
      </c>
      <c r="C406" s="141" t="s">
        <v>3305</v>
      </c>
      <c r="D406" s="141" t="s">
        <v>3306</v>
      </c>
      <c r="E406" s="142">
        <v>45452.0</v>
      </c>
      <c r="F406" s="173" t="s">
        <v>2076</v>
      </c>
      <c r="G406" s="144"/>
      <c r="H406" s="145"/>
      <c r="I406" s="146"/>
      <c r="J406" s="147"/>
    </row>
    <row r="407" ht="22.5" customHeight="1">
      <c r="A407" s="148" t="s">
        <v>3307</v>
      </c>
      <c r="B407" s="149" t="s">
        <v>3277</v>
      </c>
      <c r="C407" s="149" t="s">
        <v>3308</v>
      </c>
      <c r="D407" s="149" t="s">
        <v>3309</v>
      </c>
      <c r="E407" s="200" t="s">
        <v>3277</v>
      </c>
      <c r="F407" s="201" t="s">
        <v>3277</v>
      </c>
      <c r="G407" s="152"/>
      <c r="H407" s="153"/>
      <c r="I407" s="154"/>
      <c r="J407" s="155"/>
    </row>
    <row r="408" ht="22.5" customHeight="1">
      <c r="A408" s="140" t="s">
        <v>3310</v>
      </c>
      <c r="B408" s="141" t="s">
        <v>3277</v>
      </c>
      <c r="C408" s="146"/>
      <c r="D408" s="141" t="s">
        <v>3311</v>
      </c>
      <c r="E408" s="142">
        <v>45544.0</v>
      </c>
      <c r="F408" s="144"/>
      <c r="G408" s="144"/>
      <c r="H408" s="145"/>
      <c r="I408" s="146"/>
      <c r="J408" s="147"/>
    </row>
    <row r="409" ht="22.5" customHeight="1">
      <c r="A409" s="148" t="s">
        <v>3312</v>
      </c>
      <c r="B409" s="149" t="s">
        <v>3277</v>
      </c>
      <c r="C409" s="154"/>
      <c r="D409" s="149" t="s">
        <v>3313</v>
      </c>
      <c r="E409" s="150">
        <v>45544.0</v>
      </c>
      <c r="F409" s="152"/>
      <c r="G409" s="152"/>
      <c r="H409" s="153"/>
      <c r="I409" s="154"/>
      <c r="J409" s="155"/>
    </row>
    <row r="410" ht="22.5" customHeight="1">
      <c r="A410" s="140" t="s">
        <v>3314</v>
      </c>
      <c r="B410" s="141" t="s">
        <v>3315</v>
      </c>
      <c r="C410" s="141" t="s">
        <v>3316</v>
      </c>
      <c r="D410" s="141" t="s">
        <v>3317</v>
      </c>
      <c r="E410" s="142">
        <v>45574.0</v>
      </c>
      <c r="F410" s="144"/>
      <c r="G410" s="144"/>
      <c r="H410" s="145"/>
      <c r="I410" s="146"/>
      <c r="J410" s="147"/>
    </row>
    <row r="411" ht="22.5" customHeight="1">
      <c r="A411" s="148" t="s">
        <v>3318</v>
      </c>
      <c r="B411" s="149" t="s">
        <v>3315</v>
      </c>
      <c r="C411" s="154"/>
      <c r="D411" s="149" t="s">
        <v>3319</v>
      </c>
      <c r="E411" s="150">
        <v>45574.0</v>
      </c>
      <c r="F411" s="152"/>
      <c r="G411" s="152"/>
      <c r="H411" s="153"/>
      <c r="I411" s="154"/>
      <c r="J411" s="155"/>
    </row>
    <row r="412" ht="22.5" customHeight="1">
      <c r="A412" s="140" t="s">
        <v>3320</v>
      </c>
      <c r="B412" s="141" t="s">
        <v>3315</v>
      </c>
      <c r="C412" s="141" t="s">
        <v>3321</v>
      </c>
      <c r="D412" s="141" t="s">
        <v>3322</v>
      </c>
      <c r="E412" s="142">
        <v>45574.0</v>
      </c>
      <c r="F412" s="163" t="s">
        <v>3323</v>
      </c>
      <c r="G412" s="144"/>
      <c r="H412" s="145"/>
      <c r="I412" s="146"/>
      <c r="J412" s="147"/>
    </row>
    <row r="413" ht="22.5" customHeight="1">
      <c r="A413" s="148" t="s">
        <v>3324</v>
      </c>
      <c r="B413" s="149" t="s">
        <v>3315</v>
      </c>
      <c r="C413" s="149" t="s">
        <v>3325</v>
      </c>
      <c r="D413" s="149" t="s">
        <v>3326</v>
      </c>
      <c r="E413" s="150">
        <v>45574.0</v>
      </c>
      <c r="F413" s="152"/>
      <c r="G413" s="152"/>
      <c r="H413" s="153"/>
      <c r="I413" s="154"/>
      <c r="J413" s="155"/>
    </row>
    <row r="414" ht="22.5" customHeight="1">
      <c r="A414" s="140" t="s">
        <v>3327</v>
      </c>
      <c r="B414" s="141" t="s">
        <v>3315</v>
      </c>
      <c r="C414" s="146"/>
      <c r="D414" s="141" t="s">
        <v>3328</v>
      </c>
      <c r="E414" s="142">
        <v>45574.0</v>
      </c>
      <c r="F414" s="144"/>
      <c r="G414" s="144"/>
      <c r="H414" s="145"/>
      <c r="I414" s="146"/>
      <c r="J414" s="147"/>
    </row>
    <row r="415" ht="22.5" customHeight="1">
      <c r="A415" s="148" t="s">
        <v>3329</v>
      </c>
      <c r="B415" s="149" t="s">
        <v>3315</v>
      </c>
      <c r="C415" s="149" t="s">
        <v>3330</v>
      </c>
      <c r="D415" s="149" t="s">
        <v>3331</v>
      </c>
      <c r="E415" s="150">
        <v>45574.0</v>
      </c>
      <c r="F415" s="152"/>
      <c r="G415" s="152"/>
      <c r="H415" s="153"/>
      <c r="I415" s="154"/>
      <c r="J415" s="155"/>
    </row>
    <row r="416" ht="22.5" customHeight="1">
      <c r="A416" s="140" t="s">
        <v>3332</v>
      </c>
      <c r="B416" s="141" t="s">
        <v>3315</v>
      </c>
      <c r="C416" s="146"/>
      <c r="D416" s="141" t="s">
        <v>3333</v>
      </c>
      <c r="E416" s="142">
        <v>45574.0</v>
      </c>
      <c r="F416" s="144"/>
      <c r="G416" s="144"/>
      <c r="H416" s="145"/>
      <c r="I416" s="146"/>
      <c r="J416" s="147"/>
    </row>
    <row r="417" ht="22.5" customHeight="1">
      <c r="A417" s="148" t="s">
        <v>3334</v>
      </c>
      <c r="B417" s="149" t="s">
        <v>3315</v>
      </c>
      <c r="C417" s="154"/>
      <c r="D417" s="149" t="s">
        <v>3335</v>
      </c>
      <c r="E417" s="150">
        <v>45574.0</v>
      </c>
      <c r="F417" s="166" t="s">
        <v>2920</v>
      </c>
      <c r="G417" s="152"/>
      <c r="H417" s="153"/>
      <c r="I417" s="154"/>
      <c r="J417" s="155"/>
    </row>
    <row r="418" ht="22.5" customHeight="1">
      <c r="A418" s="140" t="s">
        <v>3336</v>
      </c>
      <c r="B418" s="141" t="s">
        <v>3315</v>
      </c>
      <c r="C418" s="146"/>
      <c r="D418" s="141" t="s">
        <v>3337</v>
      </c>
      <c r="E418" s="142">
        <v>45574.0</v>
      </c>
      <c r="F418" s="144"/>
      <c r="G418" s="144"/>
      <c r="H418" s="145"/>
      <c r="I418" s="146"/>
      <c r="J418" s="147"/>
    </row>
    <row r="419" ht="22.5" customHeight="1">
      <c r="A419" s="148" t="s">
        <v>3338</v>
      </c>
      <c r="B419" s="149" t="s">
        <v>3315</v>
      </c>
      <c r="C419" s="154"/>
      <c r="D419" s="149" t="s">
        <v>3339</v>
      </c>
      <c r="E419" s="150">
        <v>45574.0</v>
      </c>
      <c r="F419" s="152"/>
      <c r="G419" s="152"/>
      <c r="H419" s="153"/>
      <c r="I419" s="154"/>
      <c r="J419" s="155"/>
    </row>
    <row r="420" ht="22.5" customHeight="1">
      <c r="A420" s="140" t="s">
        <v>3340</v>
      </c>
      <c r="B420" s="141" t="s">
        <v>3315</v>
      </c>
      <c r="C420" s="141" t="s">
        <v>3341</v>
      </c>
      <c r="D420" s="141" t="s">
        <v>3342</v>
      </c>
      <c r="E420" s="142">
        <v>45574.0</v>
      </c>
      <c r="F420" s="144"/>
      <c r="G420" s="144"/>
      <c r="H420" s="145"/>
      <c r="I420" s="146"/>
      <c r="J420" s="147"/>
    </row>
    <row r="421" ht="22.5" customHeight="1">
      <c r="A421" s="148" t="s">
        <v>3343</v>
      </c>
      <c r="B421" s="149" t="s">
        <v>3315</v>
      </c>
      <c r="C421" s="154"/>
      <c r="D421" s="149" t="s">
        <v>3344</v>
      </c>
      <c r="E421" s="150">
        <v>45574.0</v>
      </c>
      <c r="F421" s="152"/>
      <c r="G421" s="152"/>
      <c r="H421" s="153"/>
      <c r="I421" s="154"/>
      <c r="J421" s="155"/>
    </row>
    <row r="422" ht="22.5" customHeight="1">
      <c r="A422" s="140" t="s">
        <v>3345</v>
      </c>
      <c r="B422" s="141" t="s">
        <v>3315</v>
      </c>
      <c r="C422" s="146"/>
      <c r="D422" s="141" t="s">
        <v>3346</v>
      </c>
      <c r="E422" s="142">
        <v>45574.0</v>
      </c>
      <c r="F422" s="144"/>
      <c r="G422" s="144"/>
      <c r="H422" s="145"/>
      <c r="I422" s="146"/>
      <c r="J422" s="147"/>
    </row>
    <row r="423" ht="22.5" customHeight="1">
      <c r="A423" s="148" t="s">
        <v>3347</v>
      </c>
      <c r="B423" s="149" t="s">
        <v>3315</v>
      </c>
      <c r="C423" s="149" t="s">
        <v>3348</v>
      </c>
      <c r="D423" s="149" t="s">
        <v>3349</v>
      </c>
      <c r="E423" s="150">
        <v>45574.0</v>
      </c>
      <c r="F423" s="152"/>
      <c r="G423" s="152"/>
      <c r="H423" s="153"/>
      <c r="I423" s="154"/>
      <c r="J423" s="155"/>
    </row>
    <row r="424" ht="22.5" customHeight="1">
      <c r="A424" s="140" t="s">
        <v>3350</v>
      </c>
      <c r="B424" s="141" t="s">
        <v>3351</v>
      </c>
      <c r="C424" s="146"/>
      <c r="D424" s="141" t="s">
        <v>3352</v>
      </c>
      <c r="E424" s="142">
        <v>45605.0</v>
      </c>
      <c r="F424" s="169" t="s">
        <v>49</v>
      </c>
      <c r="G424" s="144"/>
      <c r="H424" s="145"/>
      <c r="I424" s="146"/>
      <c r="J424" s="147"/>
    </row>
    <row r="425" ht="22.5" customHeight="1">
      <c r="A425" s="148" t="s">
        <v>3353</v>
      </c>
      <c r="B425" s="149" t="s">
        <v>3351</v>
      </c>
      <c r="C425" s="154"/>
      <c r="D425" s="149" t="s">
        <v>3354</v>
      </c>
      <c r="E425" s="150">
        <v>45605.0</v>
      </c>
      <c r="F425" s="152"/>
      <c r="G425" s="152"/>
      <c r="H425" s="153"/>
      <c r="I425" s="154"/>
      <c r="J425" s="155"/>
    </row>
    <row r="426" ht="22.5" customHeight="1">
      <c r="A426" s="140" t="s">
        <v>3355</v>
      </c>
      <c r="B426" s="141" t="s">
        <v>3351</v>
      </c>
      <c r="C426" s="146"/>
      <c r="D426" s="141" t="s">
        <v>3356</v>
      </c>
      <c r="E426" s="142">
        <v>45605.0</v>
      </c>
      <c r="F426" s="144"/>
      <c r="G426" s="144"/>
      <c r="H426" s="145"/>
      <c r="I426" s="146"/>
      <c r="J426" s="147"/>
    </row>
    <row r="427" ht="22.5" customHeight="1">
      <c r="A427" s="148" t="s">
        <v>3357</v>
      </c>
      <c r="B427" s="149" t="s">
        <v>3351</v>
      </c>
      <c r="C427" s="149" t="s">
        <v>3358</v>
      </c>
      <c r="D427" s="149" t="s">
        <v>3359</v>
      </c>
      <c r="E427" s="150">
        <v>45605.0</v>
      </c>
      <c r="F427" s="152"/>
      <c r="G427" s="152"/>
      <c r="H427" s="153"/>
      <c r="I427" s="154"/>
      <c r="J427" s="155"/>
    </row>
    <row r="428" ht="22.5" customHeight="1">
      <c r="A428" s="140" t="s">
        <v>3360</v>
      </c>
      <c r="B428" s="141" t="s">
        <v>3351</v>
      </c>
      <c r="C428" s="141" t="s">
        <v>3361</v>
      </c>
      <c r="D428" s="141" t="s">
        <v>3362</v>
      </c>
      <c r="E428" s="142">
        <v>45605.0</v>
      </c>
      <c r="F428" s="144"/>
      <c r="G428" s="144"/>
      <c r="H428" s="145"/>
      <c r="I428" s="146"/>
      <c r="J428" s="147"/>
    </row>
    <row r="429" ht="22.5" customHeight="1">
      <c r="A429" s="148" t="s">
        <v>3363</v>
      </c>
      <c r="B429" s="149" t="s">
        <v>3351</v>
      </c>
      <c r="C429" s="154"/>
      <c r="D429" s="149" t="s">
        <v>3364</v>
      </c>
      <c r="E429" s="150">
        <v>45605.0</v>
      </c>
      <c r="F429" s="152"/>
      <c r="G429" s="152"/>
      <c r="H429" s="153"/>
      <c r="I429" s="154"/>
      <c r="J429" s="155"/>
    </row>
    <row r="430" ht="22.5" customHeight="1">
      <c r="A430" s="140" t="s">
        <v>3365</v>
      </c>
      <c r="B430" s="141" t="s">
        <v>3351</v>
      </c>
      <c r="C430" s="146"/>
      <c r="D430" s="141" t="s">
        <v>3366</v>
      </c>
      <c r="E430" s="142">
        <v>45605.0</v>
      </c>
      <c r="F430" s="144"/>
      <c r="G430" s="144"/>
      <c r="H430" s="145"/>
      <c r="I430" s="146"/>
      <c r="J430" s="147"/>
    </row>
    <row r="431" ht="22.5" customHeight="1">
      <c r="A431" s="148" t="s">
        <v>3367</v>
      </c>
      <c r="B431" s="149" t="s">
        <v>3351</v>
      </c>
      <c r="C431" s="154"/>
      <c r="D431" s="149" t="s">
        <v>3368</v>
      </c>
      <c r="E431" s="150">
        <v>45605.0</v>
      </c>
      <c r="F431" s="152"/>
      <c r="G431" s="152"/>
      <c r="H431" s="153"/>
      <c r="I431" s="154"/>
      <c r="J431" s="155"/>
    </row>
    <row r="432" ht="22.5" customHeight="1">
      <c r="A432" s="140" t="s">
        <v>3369</v>
      </c>
      <c r="B432" s="141" t="s">
        <v>3351</v>
      </c>
      <c r="C432" s="146"/>
      <c r="D432" s="141" t="s">
        <v>3370</v>
      </c>
      <c r="E432" s="142">
        <v>45605.0</v>
      </c>
      <c r="F432" s="144"/>
      <c r="G432" s="144"/>
      <c r="H432" s="145"/>
      <c r="I432" s="146"/>
      <c r="J432" s="147"/>
    </row>
    <row r="433" ht="22.5" customHeight="1">
      <c r="A433" s="148" t="s">
        <v>3371</v>
      </c>
      <c r="B433" s="149" t="s">
        <v>3351</v>
      </c>
      <c r="C433" s="149" t="s">
        <v>3372</v>
      </c>
      <c r="D433" s="149" t="s">
        <v>3373</v>
      </c>
      <c r="E433" s="150">
        <v>45574.0</v>
      </c>
      <c r="F433" s="152"/>
      <c r="G433" s="152"/>
      <c r="H433" s="153"/>
      <c r="I433" s="154"/>
      <c r="J433" s="155"/>
    </row>
    <row r="434" ht="22.5" customHeight="1">
      <c r="A434" s="140" t="s">
        <v>3374</v>
      </c>
      <c r="B434" s="141" t="s">
        <v>3351</v>
      </c>
      <c r="C434" s="146"/>
      <c r="D434" s="141" t="s">
        <v>3375</v>
      </c>
      <c r="E434" s="142">
        <v>45605.0</v>
      </c>
      <c r="F434" s="144"/>
      <c r="G434" s="144"/>
      <c r="H434" s="145"/>
      <c r="I434" s="146"/>
      <c r="J434" s="147"/>
    </row>
    <row r="435" ht="22.5" customHeight="1">
      <c r="A435" s="148" t="s">
        <v>3376</v>
      </c>
      <c r="B435" s="149" t="s">
        <v>3351</v>
      </c>
      <c r="C435" s="149" t="s">
        <v>3377</v>
      </c>
      <c r="D435" s="149" t="s">
        <v>3378</v>
      </c>
      <c r="E435" s="150">
        <v>45605.0</v>
      </c>
      <c r="F435" s="161" t="s">
        <v>49</v>
      </c>
      <c r="G435" s="152"/>
      <c r="H435" s="153"/>
      <c r="I435" s="154"/>
      <c r="J435" s="155"/>
    </row>
    <row r="436" ht="22.5" customHeight="1">
      <c r="A436" s="140" t="s">
        <v>3379</v>
      </c>
      <c r="B436" s="141" t="s">
        <v>3351</v>
      </c>
      <c r="C436" s="141" t="s">
        <v>3380</v>
      </c>
      <c r="D436" s="141" t="s">
        <v>3381</v>
      </c>
      <c r="E436" s="142">
        <v>45605.0</v>
      </c>
      <c r="F436" s="144"/>
      <c r="G436" s="144"/>
      <c r="H436" s="145"/>
      <c r="I436" s="146"/>
      <c r="J436" s="147"/>
    </row>
    <row r="437" ht="22.5" customHeight="1">
      <c r="A437" s="148" t="s">
        <v>3382</v>
      </c>
      <c r="B437" s="149" t="s">
        <v>3351</v>
      </c>
      <c r="C437" s="154"/>
      <c r="D437" s="149" t="s">
        <v>3383</v>
      </c>
      <c r="E437" s="150">
        <v>45605.0</v>
      </c>
      <c r="F437" s="152"/>
      <c r="G437" s="152"/>
      <c r="H437" s="153"/>
      <c r="I437" s="154"/>
      <c r="J437" s="155"/>
    </row>
    <row r="438" ht="22.5" customHeight="1">
      <c r="A438" s="140" t="s">
        <v>3384</v>
      </c>
      <c r="B438" s="141" t="s">
        <v>3351</v>
      </c>
      <c r="C438" s="141" t="s">
        <v>3385</v>
      </c>
      <c r="D438" s="141" t="s">
        <v>3386</v>
      </c>
      <c r="E438" s="142">
        <v>45574.0</v>
      </c>
      <c r="F438" s="173" t="s">
        <v>2076</v>
      </c>
      <c r="G438" s="144"/>
      <c r="H438" s="145"/>
      <c r="I438" s="146"/>
      <c r="J438" s="147"/>
    </row>
    <row r="439" ht="22.5" customHeight="1">
      <c r="A439" s="148" t="s">
        <v>3387</v>
      </c>
      <c r="B439" s="149" t="s">
        <v>3351</v>
      </c>
      <c r="C439" s="149" t="s">
        <v>3388</v>
      </c>
      <c r="D439" s="149" t="s">
        <v>3389</v>
      </c>
      <c r="E439" s="150">
        <v>45605.0</v>
      </c>
      <c r="F439" s="151" t="s">
        <v>30</v>
      </c>
      <c r="G439" s="152"/>
      <c r="H439" s="153"/>
      <c r="I439" s="154"/>
      <c r="J439" s="155"/>
    </row>
    <row r="440" ht="22.5" customHeight="1">
      <c r="A440" s="140" t="s">
        <v>3390</v>
      </c>
      <c r="B440" s="141" t="s">
        <v>3351</v>
      </c>
      <c r="C440" s="141" t="s">
        <v>3391</v>
      </c>
      <c r="D440" s="141" t="s">
        <v>3392</v>
      </c>
      <c r="E440" s="142">
        <v>45605.0</v>
      </c>
      <c r="F440" s="144"/>
      <c r="G440" s="144"/>
      <c r="H440" s="145"/>
      <c r="I440" s="146"/>
      <c r="J440" s="147"/>
    </row>
    <row r="441" ht="22.5" customHeight="1">
      <c r="A441" s="148" t="s">
        <v>3393</v>
      </c>
      <c r="B441" s="149" t="s">
        <v>3351</v>
      </c>
      <c r="C441" s="154"/>
      <c r="D441" s="149" t="s">
        <v>3394</v>
      </c>
      <c r="E441" s="150">
        <v>45605.0</v>
      </c>
      <c r="F441" s="152"/>
      <c r="G441" s="152"/>
      <c r="H441" s="153"/>
      <c r="I441" s="154"/>
      <c r="J441" s="155"/>
    </row>
    <row r="442" ht="22.5" customHeight="1">
      <c r="A442" s="140" t="s">
        <v>3395</v>
      </c>
      <c r="B442" s="141" t="s">
        <v>3351</v>
      </c>
      <c r="C442" s="146"/>
      <c r="D442" s="141" t="s">
        <v>3396</v>
      </c>
      <c r="E442" s="142">
        <v>45605.0</v>
      </c>
      <c r="F442" s="144"/>
      <c r="G442" s="144"/>
      <c r="H442" s="145"/>
      <c r="I442" s="146"/>
      <c r="J442" s="147"/>
    </row>
    <row r="443" ht="22.5" customHeight="1">
      <c r="A443" s="148" t="s">
        <v>3397</v>
      </c>
      <c r="B443" s="149" t="s">
        <v>3351</v>
      </c>
      <c r="C443" s="149" t="s">
        <v>3398</v>
      </c>
      <c r="D443" s="149" t="s">
        <v>3399</v>
      </c>
      <c r="E443" s="150">
        <v>45605.0</v>
      </c>
      <c r="F443" s="152"/>
      <c r="G443" s="152"/>
      <c r="H443" s="153"/>
      <c r="I443" s="154"/>
      <c r="J443" s="155"/>
    </row>
    <row r="444" ht="22.5" customHeight="1">
      <c r="A444" s="140" t="s">
        <v>3400</v>
      </c>
      <c r="B444" s="141" t="s">
        <v>3401</v>
      </c>
      <c r="C444" s="141" t="s">
        <v>3402</v>
      </c>
      <c r="D444" s="141" t="s">
        <v>3403</v>
      </c>
      <c r="E444" s="142">
        <v>45635.0</v>
      </c>
      <c r="F444" s="169" t="s">
        <v>49</v>
      </c>
      <c r="G444" s="144"/>
      <c r="H444" s="145"/>
      <c r="I444" s="146"/>
      <c r="J444" s="147"/>
    </row>
    <row r="445" ht="22.5" customHeight="1">
      <c r="A445" s="148" t="s">
        <v>3404</v>
      </c>
      <c r="B445" s="149" t="s">
        <v>3401</v>
      </c>
      <c r="C445" s="154"/>
      <c r="D445" s="149" t="s">
        <v>3405</v>
      </c>
      <c r="E445" s="150">
        <v>45635.0</v>
      </c>
      <c r="F445" s="161" t="s">
        <v>49</v>
      </c>
      <c r="G445" s="152"/>
      <c r="H445" s="153"/>
      <c r="I445" s="154"/>
      <c r="J445" s="155"/>
    </row>
    <row r="446" ht="22.5" customHeight="1">
      <c r="A446" s="140" t="s">
        <v>3406</v>
      </c>
      <c r="B446" s="141" t="s">
        <v>3401</v>
      </c>
      <c r="C446" s="146"/>
      <c r="D446" s="141" t="s">
        <v>3407</v>
      </c>
      <c r="E446" s="142">
        <v>45635.0</v>
      </c>
      <c r="F446" s="144"/>
      <c r="G446" s="144"/>
      <c r="H446" s="145"/>
      <c r="I446" s="146"/>
      <c r="J446" s="147"/>
    </row>
    <row r="447" ht="22.5" customHeight="1">
      <c r="A447" s="148" t="s">
        <v>3408</v>
      </c>
      <c r="B447" s="149" t="s">
        <v>3401</v>
      </c>
      <c r="C447" s="149" t="s">
        <v>3409</v>
      </c>
      <c r="D447" s="149" t="s">
        <v>3410</v>
      </c>
      <c r="E447" s="150">
        <v>45635.0</v>
      </c>
      <c r="F447" s="161" t="s">
        <v>49</v>
      </c>
      <c r="G447" s="152"/>
      <c r="H447" s="153"/>
      <c r="I447" s="154"/>
      <c r="J447" s="155"/>
    </row>
    <row r="448" ht="22.5" customHeight="1">
      <c r="A448" s="140" t="s">
        <v>3411</v>
      </c>
      <c r="B448" s="141" t="s">
        <v>3401</v>
      </c>
      <c r="C448" s="141" t="s">
        <v>3412</v>
      </c>
      <c r="D448" s="141" t="s">
        <v>3413</v>
      </c>
      <c r="E448" s="142">
        <v>45635.0</v>
      </c>
      <c r="F448" s="144"/>
      <c r="G448" s="144"/>
      <c r="H448" s="145"/>
      <c r="I448" s="146"/>
      <c r="J448" s="147"/>
    </row>
    <row r="449" ht="22.5" customHeight="1">
      <c r="A449" s="148" t="s">
        <v>3414</v>
      </c>
      <c r="B449" s="149" t="s">
        <v>3401</v>
      </c>
      <c r="C449" s="154"/>
      <c r="D449" s="149" t="s">
        <v>3415</v>
      </c>
      <c r="E449" s="150">
        <v>45635.0</v>
      </c>
      <c r="F449" s="152"/>
      <c r="G449" s="152"/>
      <c r="H449" s="153"/>
      <c r="I449" s="154"/>
      <c r="J449" s="155"/>
    </row>
    <row r="450" ht="22.5" customHeight="1">
      <c r="A450" s="140" t="s">
        <v>3416</v>
      </c>
      <c r="B450" s="141" t="s">
        <v>3401</v>
      </c>
      <c r="C450" s="146"/>
      <c r="D450" s="141" t="s">
        <v>3417</v>
      </c>
      <c r="E450" s="142">
        <v>45635.0</v>
      </c>
      <c r="F450" s="144"/>
      <c r="G450" s="144"/>
      <c r="H450" s="145"/>
      <c r="I450" s="146"/>
      <c r="J450" s="147"/>
    </row>
    <row r="451" ht="22.5" customHeight="1">
      <c r="A451" s="148" t="s">
        <v>3418</v>
      </c>
      <c r="B451" s="149" t="s">
        <v>3401</v>
      </c>
      <c r="C451" s="154"/>
      <c r="D451" s="149" t="s">
        <v>3419</v>
      </c>
      <c r="E451" s="150">
        <v>45635.0</v>
      </c>
      <c r="F451" s="152"/>
      <c r="G451" s="152"/>
      <c r="H451" s="153"/>
      <c r="I451" s="154"/>
      <c r="J451" s="155"/>
    </row>
    <row r="452" ht="22.5" customHeight="1">
      <c r="A452" s="140" t="s">
        <v>3420</v>
      </c>
      <c r="B452" s="141" t="s">
        <v>3401</v>
      </c>
      <c r="C452" s="146"/>
      <c r="D452" s="141" t="s">
        <v>3421</v>
      </c>
      <c r="E452" s="142">
        <v>45635.0</v>
      </c>
      <c r="F452" s="144"/>
      <c r="G452" s="144"/>
      <c r="H452" s="145"/>
      <c r="I452" s="146"/>
      <c r="J452" s="147"/>
    </row>
    <row r="453" ht="22.5" customHeight="1">
      <c r="A453" s="148" t="s">
        <v>3422</v>
      </c>
      <c r="B453" s="149" t="s">
        <v>3401</v>
      </c>
      <c r="C453" s="154"/>
      <c r="D453" s="149" t="s">
        <v>3423</v>
      </c>
      <c r="E453" s="150">
        <v>45635.0</v>
      </c>
      <c r="F453" s="152"/>
      <c r="G453" s="152"/>
      <c r="H453" s="153"/>
      <c r="I453" s="154"/>
      <c r="J453" s="155"/>
    </row>
    <row r="454" ht="22.5" customHeight="1">
      <c r="A454" s="140" t="s">
        <v>3424</v>
      </c>
      <c r="B454" s="141" t="s">
        <v>3401</v>
      </c>
      <c r="C454" s="146"/>
      <c r="D454" s="141" t="s">
        <v>3425</v>
      </c>
      <c r="E454" s="142">
        <v>45635.0</v>
      </c>
      <c r="F454" s="144"/>
      <c r="G454" s="144"/>
      <c r="H454" s="145"/>
      <c r="I454" s="146"/>
      <c r="J454" s="147"/>
    </row>
    <row r="455" ht="22.5" customHeight="1">
      <c r="A455" s="148" t="s">
        <v>3426</v>
      </c>
      <c r="B455" s="149" t="s">
        <v>3401</v>
      </c>
      <c r="C455" s="154"/>
      <c r="D455" s="149" t="s">
        <v>3427</v>
      </c>
      <c r="E455" s="150">
        <v>45635.0</v>
      </c>
      <c r="F455" s="152"/>
      <c r="G455" s="152"/>
      <c r="H455" s="153"/>
      <c r="I455" s="154"/>
      <c r="J455" s="155"/>
    </row>
    <row r="456" ht="22.5" customHeight="1">
      <c r="A456" s="140" t="s">
        <v>3428</v>
      </c>
      <c r="B456" s="141" t="s">
        <v>3401</v>
      </c>
      <c r="C456" s="146"/>
      <c r="D456" s="141" t="s">
        <v>3429</v>
      </c>
      <c r="E456" s="142">
        <v>45635.0</v>
      </c>
      <c r="F456" s="144"/>
      <c r="G456" s="144"/>
      <c r="H456" s="145"/>
      <c r="I456" s="146"/>
      <c r="J456" s="147"/>
    </row>
    <row r="457" ht="22.5" customHeight="1">
      <c r="A457" s="148" t="s">
        <v>3430</v>
      </c>
      <c r="B457" s="149" t="s">
        <v>3431</v>
      </c>
      <c r="C457" s="149" t="s">
        <v>3432</v>
      </c>
      <c r="D457" s="149" t="s">
        <v>3433</v>
      </c>
      <c r="E457" s="196"/>
      <c r="F457" s="167" t="s">
        <v>635</v>
      </c>
      <c r="G457" s="152"/>
      <c r="H457" s="153"/>
      <c r="I457" s="154"/>
      <c r="J457" s="155"/>
    </row>
    <row r="458" ht="22.5" customHeight="1">
      <c r="A458" s="202"/>
      <c r="B458" s="141" t="s">
        <v>2146</v>
      </c>
      <c r="C458" s="141" t="s">
        <v>3434</v>
      </c>
      <c r="D458" s="141" t="s">
        <v>3435</v>
      </c>
      <c r="E458" s="203" t="s">
        <v>3277</v>
      </c>
      <c r="F458" s="143" t="s">
        <v>30</v>
      </c>
      <c r="G458" s="204" t="s">
        <v>3436</v>
      </c>
      <c r="H458" s="205" t="s">
        <v>306</v>
      </c>
      <c r="I458" s="146"/>
      <c r="J458" s="147"/>
    </row>
    <row r="459" ht="22.5" customHeight="1">
      <c r="A459" s="148" t="s">
        <v>2040</v>
      </c>
      <c r="B459" s="149" t="s">
        <v>2146</v>
      </c>
      <c r="C459" s="149" t="s">
        <v>3437</v>
      </c>
      <c r="D459" s="149" t="s">
        <v>3438</v>
      </c>
      <c r="E459" s="206" t="s">
        <v>3277</v>
      </c>
      <c r="F459" s="166" t="s">
        <v>2097</v>
      </c>
      <c r="G459" s="207" t="s">
        <v>3436</v>
      </c>
      <c r="H459" s="208" t="s">
        <v>3439</v>
      </c>
      <c r="I459" s="154"/>
      <c r="J459" s="155"/>
    </row>
    <row r="460" ht="22.5" customHeight="1">
      <c r="A460" s="140" t="s">
        <v>2043</v>
      </c>
      <c r="B460" s="141" t="s">
        <v>2146</v>
      </c>
      <c r="C460" s="141" t="s">
        <v>3440</v>
      </c>
      <c r="D460" s="141" t="s">
        <v>3441</v>
      </c>
      <c r="E460" s="203" t="s">
        <v>3277</v>
      </c>
      <c r="F460" s="144"/>
      <c r="G460" s="204" t="s">
        <v>3436</v>
      </c>
      <c r="H460" s="209" t="s">
        <v>3439</v>
      </c>
      <c r="I460" s="146"/>
      <c r="J460" s="147"/>
    </row>
    <row r="461" ht="22.5" customHeight="1">
      <c r="A461" s="148" t="s">
        <v>2046</v>
      </c>
      <c r="B461" s="149" t="s">
        <v>2146</v>
      </c>
      <c r="C461" s="149" t="s">
        <v>3442</v>
      </c>
      <c r="D461" s="149" t="s">
        <v>3443</v>
      </c>
      <c r="E461" s="206" t="s">
        <v>3277</v>
      </c>
      <c r="F461" s="161" t="s">
        <v>49</v>
      </c>
      <c r="G461" s="207" t="s">
        <v>3436</v>
      </c>
      <c r="H461" s="208" t="s">
        <v>3439</v>
      </c>
      <c r="I461" s="154"/>
      <c r="J461" s="155"/>
    </row>
    <row r="462" ht="22.5" customHeight="1">
      <c r="A462" s="140" t="s">
        <v>2048</v>
      </c>
      <c r="B462" s="141" t="s">
        <v>2146</v>
      </c>
      <c r="C462" s="141" t="s">
        <v>3444</v>
      </c>
      <c r="D462" s="141" t="s">
        <v>3445</v>
      </c>
      <c r="E462" s="203" t="s">
        <v>3277</v>
      </c>
      <c r="F462" s="163" t="s">
        <v>3446</v>
      </c>
      <c r="G462" s="204" t="s">
        <v>3436</v>
      </c>
      <c r="H462" s="209" t="s">
        <v>3439</v>
      </c>
      <c r="I462" s="146"/>
      <c r="J462" s="147"/>
    </row>
    <row r="463" ht="22.5" customHeight="1">
      <c r="A463" s="148" t="s">
        <v>2051</v>
      </c>
      <c r="B463" s="149" t="s">
        <v>2146</v>
      </c>
      <c r="C463" s="149" t="s">
        <v>3447</v>
      </c>
      <c r="D463" s="149" t="s">
        <v>3448</v>
      </c>
      <c r="E463" s="206" t="s">
        <v>3277</v>
      </c>
      <c r="F463" s="152"/>
      <c r="G463" s="207" t="s">
        <v>3436</v>
      </c>
      <c r="H463" s="208" t="s">
        <v>3439</v>
      </c>
      <c r="I463" s="154"/>
      <c r="J463" s="155"/>
    </row>
    <row r="464" ht="22.5" customHeight="1">
      <c r="A464" s="140" t="s">
        <v>2059</v>
      </c>
      <c r="B464" s="141" t="s">
        <v>2146</v>
      </c>
      <c r="C464" s="141" t="s">
        <v>3449</v>
      </c>
      <c r="D464" s="141" t="s">
        <v>3450</v>
      </c>
      <c r="E464" s="203" t="s">
        <v>2096</v>
      </c>
      <c r="F464" s="144"/>
      <c r="G464" s="204" t="s">
        <v>3436</v>
      </c>
      <c r="H464" s="205" t="s">
        <v>306</v>
      </c>
      <c r="I464" s="146"/>
      <c r="J464" s="147"/>
    </row>
    <row r="465" ht="22.5" customHeight="1">
      <c r="A465" s="148" t="s">
        <v>2063</v>
      </c>
      <c r="B465" s="149" t="s">
        <v>2146</v>
      </c>
      <c r="C465" s="154"/>
      <c r="D465" s="149" t="s">
        <v>3451</v>
      </c>
      <c r="E465" s="206" t="s">
        <v>2096</v>
      </c>
      <c r="F465" s="152"/>
      <c r="G465" s="207" t="s">
        <v>3436</v>
      </c>
      <c r="H465" s="210" t="s">
        <v>306</v>
      </c>
      <c r="I465" s="154"/>
      <c r="J465" s="155"/>
    </row>
    <row r="466" ht="22.5" customHeight="1">
      <c r="A466" s="140" t="s">
        <v>2066</v>
      </c>
      <c r="B466" s="141" t="s">
        <v>2346</v>
      </c>
      <c r="C466" s="146"/>
      <c r="D466" s="203" t="s">
        <v>3452</v>
      </c>
      <c r="E466" s="203" t="s">
        <v>2096</v>
      </c>
      <c r="F466" s="169" t="s">
        <v>49</v>
      </c>
      <c r="G466" s="204" t="s">
        <v>3436</v>
      </c>
      <c r="H466" s="205" t="s">
        <v>306</v>
      </c>
      <c r="I466" s="146"/>
      <c r="J466" s="147"/>
    </row>
    <row r="467" ht="22.5" customHeight="1">
      <c r="A467" s="148" t="s">
        <v>2070</v>
      </c>
      <c r="B467" s="149" t="s">
        <v>2346</v>
      </c>
      <c r="C467" s="149" t="s">
        <v>3453</v>
      </c>
      <c r="D467" s="206" t="s">
        <v>3454</v>
      </c>
      <c r="E467" s="206" t="s">
        <v>2096</v>
      </c>
      <c r="F467" s="161" t="s">
        <v>49</v>
      </c>
      <c r="G467" s="207" t="s">
        <v>3436</v>
      </c>
      <c r="H467" s="210" t="s">
        <v>306</v>
      </c>
      <c r="I467" s="154"/>
      <c r="J467" s="155"/>
    </row>
    <row r="468" ht="22.5" customHeight="1">
      <c r="A468" s="140" t="s">
        <v>2073</v>
      </c>
      <c r="B468" s="141" t="s">
        <v>2346</v>
      </c>
      <c r="C468" s="141" t="s">
        <v>346</v>
      </c>
      <c r="D468" s="203" t="s">
        <v>3455</v>
      </c>
      <c r="E468" s="203" t="s">
        <v>2096</v>
      </c>
      <c r="F468" s="169" t="s">
        <v>49</v>
      </c>
      <c r="G468" s="204" t="s">
        <v>3436</v>
      </c>
      <c r="H468" s="205" t="s">
        <v>306</v>
      </c>
      <c r="I468" s="146"/>
      <c r="J468" s="147"/>
    </row>
    <row r="469" ht="22.5" customHeight="1">
      <c r="A469" s="148" t="s">
        <v>2077</v>
      </c>
      <c r="B469" s="149" t="s">
        <v>2346</v>
      </c>
      <c r="C469" s="149" t="s">
        <v>2612</v>
      </c>
      <c r="D469" s="206" t="s">
        <v>3456</v>
      </c>
      <c r="E469" s="206" t="s">
        <v>2096</v>
      </c>
      <c r="F469" s="161" t="s">
        <v>49</v>
      </c>
      <c r="G469" s="207" t="s">
        <v>3436</v>
      </c>
      <c r="H469" s="210" t="s">
        <v>306</v>
      </c>
      <c r="I469" s="154"/>
      <c r="J469" s="155"/>
    </row>
    <row r="470" ht="22.5" customHeight="1">
      <c r="A470" s="140" t="s">
        <v>2080</v>
      </c>
      <c r="B470" s="141" t="s">
        <v>2346</v>
      </c>
      <c r="C470" s="146"/>
      <c r="D470" s="203" t="s">
        <v>3457</v>
      </c>
      <c r="E470" s="203" t="s">
        <v>2096</v>
      </c>
      <c r="F470" s="169" t="s">
        <v>49</v>
      </c>
      <c r="G470" s="204" t="s">
        <v>3436</v>
      </c>
      <c r="H470" s="205" t="s">
        <v>306</v>
      </c>
      <c r="I470" s="146"/>
      <c r="J470" s="147"/>
    </row>
    <row r="471" ht="22.5" customHeight="1">
      <c r="A471" s="148" t="s">
        <v>2082</v>
      </c>
      <c r="B471" s="149" t="s">
        <v>2346</v>
      </c>
      <c r="C471" s="149" t="s">
        <v>3458</v>
      </c>
      <c r="D471" s="206" t="s">
        <v>3459</v>
      </c>
      <c r="E471" s="206" t="s">
        <v>2096</v>
      </c>
      <c r="F471" s="161" t="s">
        <v>49</v>
      </c>
      <c r="G471" s="207" t="s">
        <v>3436</v>
      </c>
      <c r="H471" s="210" t="s">
        <v>306</v>
      </c>
      <c r="I471" s="154"/>
      <c r="J471" s="155"/>
    </row>
    <row r="472" ht="22.5" customHeight="1">
      <c r="A472" s="140" t="s">
        <v>2085</v>
      </c>
      <c r="B472" s="141" t="s">
        <v>2346</v>
      </c>
      <c r="C472" s="141" t="s">
        <v>3460</v>
      </c>
      <c r="D472" s="203" t="s">
        <v>3461</v>
      </c>
      <c r="E472" s="203" t="s">
        <v>2096</v>
      </c>
      <c r="F472" s="169" t="s">
        <v>49</v>
      </c>
      <c r="G472" s="204" t="s">
        <v>3436</v>
      </c>
      <c r="H472" s="205" t="s">
        <v>306</v>
      </c>
      <c r="I472" s="146"/>
      <c r="J472" s="147"/>
    </row>
    <row r="473" ht="22.5" customHeight="1">
      <c r="A473" s="148" t="s">
        <v>2088</v>
      </c>
      <c r="B473" s="149" t="s">
        <v>2346</v>
      </c>
      <c r="C473" s="195" t="s">
        <v>3462</v>
      </c>
      <c r="D473" s="211" t="s">
        <v>3463</v>
      </c>
      <c r="E473" s="206" t="s">
        <v>2096</v>
      </c>
      <c r="F473" s="161" t="s">
        <v>49</v>
      </c>
      <c r="G473" s="207" t="s">
        <v>3436</v>
      </c>
      <c r="H473" s="210" t="s">
        <v>306</v>
      </c>
      <c r="I473" s="154"/>
      <c r="J473" s="155"/>
    </row>
    <row r="474" ht="22.5" customHeight="1">
      <c r="A474" s="140" t="s">
        <v>2091</v>
      </c>
      <c r="B474" s="141" t="s">
        <v>2346</v>
      </c>
      <c r="C474" s="141" t="s">
        <v>3464</v>
      </c>
      <c r="D474" s="203" t="s">
        <v>3465</v>
      </c>
      <c r="E474" s="203" t="s">
        <v>2096</v>
      </c>
      <c r="F474" s="212" t="s">
        <v>17</v>
      </c>
      <c r="G474" s="204" t="s">
        <v>3436</v>
      </c>
      <c r="H474" s="205" t="s">
        <v>306</v>
      </c>
      <c r="I474" s="146"/>
      <c r="J474" s="147"/>
    </row>
    <row r="475" ht="22.5" customHeight="1">
      <c r="A475" s="148" t="s">
        <v>2098</v>
      </c>
      <c r="B475" s="149" t="s">
        <v>2346</v>
      </c>
      <c r="C475" s="149" t="s">
        <v>3466</v>
      </c>
      <c r="D475" s="211" t="s">
        <v>3467</v>
      </c>
      <c r="E475" s="206" t="s">
        <v>2096</v>
      </c>
      <c r="F475" s="213" t="s">
        <v>40</v>
      </c>
      <c r="G475" s="207" t="s">
        <v>3436</v>
      </c>
      <c r="H475" s="210" t="s">
        <v>306</v>
      </c>
      <c r="I475" s="154"/>
      <c r="J475" s="155"/>
    </row>
    <row r="476" ht="22.5" customHeight="1">
      <c r="A476" s="140" t="s">
        <v>2102</v>
      </c>
      <c r="B476" s="141" t="s">
        <v>2346</v>
      </c>
      <c r="C476" s="141" t="s">
        <v>3468</v>
      </c>
      <c r="D476" s="203" t="s">
        <v>3469</v>
      </c>
      <c r="E476" s="203" t="s">
        <v>2096</v>
      </c>
      <c r="F476" s="212" t="s">
        <v>17</v>
      </c>
      <c r="G476" s="204" t="s">
        <v>3436</v>
      </c>
      <c r="H476" s="205" t="s">
        <v>306</v>
      </c>
      <c r="I476" s="146"/>
      <c r="J476" s="147"/>
    </row>
    <row r="477" ht="22.5" customHeight="1">
      <c r="A477" s="148" t="s">
        <v>2105</v>
      </c>
      <c r="B477" s="149" t="s">
        <v>2642</v>
      </c>
      <c r="C477" s="154"/>
      <c r="D477" s="211" t="s">
        <v>3470</v>
      </c>
      <c r="E477" s="206" t="s">
        <v>2096</v>
      </c>
      <c r="F477" s="161" t="s">
        <v>49</v>
      </c>
      <c r="G477" s="166" t="s">
        <v>49</v>
      </c>
      <c r="H477" s="210" t="s">
        <v>306</v>
      </c>
      <c r="I477" s="154"/>
      <c r="J477" s="155"/>
    </row>
    <row r="478" ht="22.5" customHeight="1">
      <c r="A478" s="140" t="s">
        <v>2108</v>
      </c>
      <c r="B478" s="141" t="s">
        <v>2642</v>
      </c>
      <c r="C478" s="141" t="s">
        <v>3471</v>
      </c>
      <c r="D478" s="203" t="s">
        <v>3472</v>
      </c>
      <c r="E478" s="203" t="s">
        <v>2096</v>
      </c>
      <c r="F478" s="156" t="s">
        <v>635</v>
      </c>
      <c r="G478" s="204" t="s">
        <v>3436</v>
      </c>
      <c r="H478" s="205" t="s">
        <v>306</v>
      </c>
      <c r="I478" s="146"/>
      <c r="J478" s="147"/>
    </row>
    <row r="479" ht="22.5" customHeight="1">
      <c r="A479" s="148" t="s">
        <v>2110</v>
      </c>
      <c r="B479" s="149" t="s">
        <v>2642</v>
      </c>
      <c r="C479" s="149" t="s">
        <v>3473</v>
      </c>
      <c r="D479" s="211" t="s">
        <v>3474</v>
      </c>
      <c r="E479" s="206" t="s">
        <v>2096</v>
      </c>
      <c r="F479" s="214" t="s">
        <v>17</v>
      </c>
      <c r="G479" s="207" t="s">
        <v>3436</v>
      </c>
      <c r="H479" s="210" t="s">
        <v>306</v>
      </c>
      <c r="I479" s="154"/>
      <c r="J479" s="155"/>
    </row>
    <row r="480" ht="22.5" customHeight="1">
      <c r="A480" s="140" t="s">
        <v>2114</v>
      </c>
      <c r="B480" s="141" t="s">
        <v>2642</v>
      </c>
      <c r="C480" s="141" t="s">
        <v>3475</v>
      </c>
      <c r="D480" s="203" t="s">
        <v>3476</v>
      </c>
      <c r="E480" s="203" t="s">
        <v>2096</v>
      </c>
      <c r="F480" s="169" t="s">
        <v>49</v>
      </c>
      <c r="G480" s="204" t="s">
        <v>3436</v>
      </c>
      <c r="H480" s="205" t="s">
        <v>306</v>
      </c>
      <c r="I480" s="146"/>
      <c r="J480" s="147"/>
    </row>
    <row r="481" ht="22.5" customHeight="1">
      <c r="A481" s="148" t="s">
        <v>2117</v>
      </c>
      <c r="B481" s="149" t="s">
        <v>2642</v>
      </c>
      <c r="C481" s="149" t="s">
        <v>3477</v>
      </c>
      <c r="D481" s="206" t="s">
        <v>3478</v>
      </c>
      <c r="E481" s="206" t="s">
        <v>2096</v>
      </c>
      <c r="F481" s="161" t="s">
        <v>49</v>
      </c>
      <c r="G481" s="207" t="s">
        <v>3436</v>
      </c>
      <c r="H481" s="210" t="s">
        <v>306</v>
      </c>
      <c r="I481" s="154"/>
      <c r="J481" s="155"/>
    </row>
    <row r="482" ht="22.5" customHeight="1">
      <c r="A482" s="140" t="s">
        <v>2120</v>
      </c>
      <c r="B482" s="141" t="s">
        <v>2642</v>
      </c>
      <c r="C482" s="146"/>
      <c r="D482" s="203" t="s">
        <v>3479</v>
      </c>
      <c r="E482" s="203" t="s">
        <v>2096</v>
      </c>
      <c r="F482" s="215" t="s">
        <v>2192</v>
      </c>
      <c r="G482" s="204" t="s">
        <v>3436</v>
      </c>
      <c r="H482" s="205" t="s">
        <v>306</v>
      </c>
      <c r="I482" s="146"/>
      <c r="J482" s="147"/>
    </row>
    <row r="483" ht="22.5" customHeight="1">
      <c r="A483" s="148" t="s">
        <v>2122</v>
      </c>
      <c r="B483" s="149" t="s">
        <v>2642</v>
      </c>
      <c r="C483" s="149" t="s">
        <v>3480</v>
      </c>
      <c r="D483" s="206" t="s">
        <v>3481</v>
      </c>
      <c r="E483" s="206" t="s">
        <v>2096</v>
      </c>
      <c r="F483" s="161" t="s">
        <v>49</v>
      </c>
      <c r="G483" s="207" t="s">
        <v>3436</v>
      </c>
      <c r="H483" s="210" t="s">
        <v>306</v>
      </c>
      <c r="I483" s="154"/>
      <c r="J483" s="155"/>
    </row>
    <row r="484" ht="22.5" customHeight="1">
      <c r="A484" s="140" t="s">
        <v>2125</v>
      </c>
      <c r="B484" s="141" t="s">
        <v>2642</v>
      </c>
      <c r="C484" s="141" t="s">
        <v>3482</v>
      </c>
      <c r="D484" s="203" t="s">
        <v>3483</v>
      </c>
      <c r="E484" s="203" t="s">
        <v>2096</v>
      </c>
      <c r="F484" s="169" t="s">
        <v>49</v>
      </c>
      <c r="G484" s="204" t="s">
        <v>3436</v>
      </c>
      <c r="H484" s="205" t="s">
        <v>306</v>
      </c>
      <c r="I484" s="146"/>
      <c r="J484" s="147"/>
    </row>
    <row r="485" ht="22.5" customHeight="1">
      <c r="A485" s="148" t="s">
        <v>2128</v>
      </c>
      <c r="B485" s="149" t="s">
        <v>2642</v>
      </c>
      <c r="C485" s="149" t="s">
        <v>3484</v>
      </c>
      <c r="D485" s="206" t="s">
        <v>3485</v>
      </c>
      <c r="E485" s="206" t="s">
        <v>2096</v>
      </c>
      <c r="F485" s="151" t="s">
        <v>30</v>
      </c>
      <c r="G485" s="207" t="s">
        <v>3436</v>
      </c>
      <c r="H485" s="210" t="s">
        <v>306</v>
      </c>
      <c r="I485" s="154"/>
      <c r="J485" s="155"/>
    </row>
    <row r="486" ht="22.5" customHeight="1">
      <c r="A486" s="140" t="s">
        <v>2131</v>
      </c>
      <c r="B486" s="141" t="s">
        <v>2642</v>
      </c>
      <c r="C486" s="141" t="s">
        <v>3486</v>
      </c>
      <c r="D486" s="203" t="s">
        <v>3487</v>
      </c>
      <c r="E486" s="203" t="s">
        <v>2096</v>
      </c>
      <c r="F486" s="169" t="s">
        <v>49</v>
      </c>
      <c r="G486" s="204" t="s">
        <v>3436</v>
      </c>
      <c r="H486" s="205" t="s">
        <v>306</v>
      </c>
      <c r="I486" s="146"/>
      <c r="J486" s="147"/>
    </row>
    <row r="487" ht="22.5" customHeight="1">
      <c r="A487" s="148" t="s">
        <v>2134</v>
      </c>
      <c r="B487" s="149" t="s">
        <v>2642</v>
      </c>
      <c r="C487" s="154"/>
      <c r="D487" s="206" t="s">
        <v>3488</v>
      </c>
      <c r="E487" s="206" t="s">
        <v>2096</v>
      </c>
      <c r="F487" s="161" t="s">
        <v>49</v>
      </c>
      <c r="G487" s="207" t="s">
        <v>3436</v>
      </c>
      <c r="H487" s="210" t="s">
        <v>306</v>
      </c>
      <c r="I487" s="154"/>
      <c r="J487" s="155"/>
    </row>
    <row r="488" ht="22.5" customHeight="1">
      <c r="A488" s="140" t="s">
        <v>2137</v>
      </c>
      <c r="B488" s="141" t="s">
        <v>2642</v>
      </c>
      <c r="C488" s="141" t="s">
        <v>3489</v>
      </c>
      <c r="D488" s="203" t="s">
        <v>3490</v>
      </c>
      <c r="E488" s="203" t="s">
        <v>2096</v>
      </c>
      <c r="F488" s="169" t="s">
        <v>49</v>
      </c>
      <c r="G488" s="204" t="s">
        <v>3436</v>
      </c>
      <c r="H488" s="205" t="s">
        <v>306</v>
      </c>
      <c r="I488" s="146"/>
      <c r="J488" s="147"/>
    </row>
    <row r="489" ht="22.5" customHeight="1">
      <c r="A489" s="148" t="s">
        <v>2140</v>
      </c>
      <c r="B489" s="149" t="s">
        <v>2642</v>
      </c>
      <c r="C489" s="149" t="s">
        <v>3491</v>
      </c>
      <c r="D489" s="206" t="s">
        <v>3492</v>
      </c>
      <c r="E489" s="206" t="s">
        <v>2096</v>
      </c>
      <c r="F489" s="161" t="s">
        <v>49</v>
      </c>
      <c r="G489" s="207" t="s">
        <v>3436</v>
      </c>
      <c r="H489" s="210" t="s">
        <v>306</v>
      </c>
      <c r="I489" s="154"/>
      <c r="J489" s="155"/>
    </row>
    <row r="490" ht="22.5" customHeight="1">
      <c r="A490" s="140" t="s">
        <v>2143</v>
      </c>
      <c r="B490" s="141" t="s">
        <v>2642</v>
      </c>
      <c r="C490" s="141" t="s">
        <v>3493</v>
      </c>
      <c r="D490" s="203" t="s">
        <v>3494</v>
      </c>
      <c r="E490" s="203" t="s">
        <v>2096</v>
      </c>
      <c r="F490" s="169" t="s">
        <v>49</v>
      </c>
      <c r="G490" s="204" t="s">
        <v>3436</v>
      </c>
      <c r="H490" s="205" t="s">
        <v>306</v>
      </c>
      <c r="I490" s="146"/>
      <c r="J490" s="147"/>
    </row>
    <row r="491" ht="22.5" customHeight="1">
      <c r="A491" s="148" t="s">
        <v>2147</v>
      </c>
      <c r="B491" s="149" t="s">
        <v>2642</v>
      </c>
      <c r="C491" s="149" t="s">
        <v>3495</v>
      </c>
      <c r="D491" s="206" t="s">
        <v>3496</v>
      </c>
      <c r="E491" s="206" t="s">
        <v>2096</v>
      </c>
      <c r="F491" s="161" t="s">
        <v>49</v>
      </c>
      <c r="G491" s="207" t="s">
        <v>3436</v>
      </c>
      <c r="H491" s="210" t="s">
        <v>306</v>
      </c>
      <c r="I491" s="154"/>
      <c r="J491" s="155"/>
    </row>
    <row r="492" ht="22.5" customHeight="1">
      <c r="A492" s="140" t="s">
        <v>2149</v>
      </c>
      <c r="B492" s="141" t="s">
        <v>2642</v>
      </c>
      <c r="C492" s="146"/>
      <c r="D492" s="203" t="s">
        <v>3497</v>
      </c>
      <c r="E492" s="203" t="s">
        <v>2096</v>
      </c>
      <c r="F492" s="212" t="s">
        <v>17</v>
      </c>
      <c r="G492" s="204" t="s">
        <v>3436</v>
      </c>
      <c r="H492" s="205" t="s">
        <v>306</v>
      </c>
      <c r="I492" s="146"/>
      <c r="J492" s="147"/>
    </row>
    <row r="493" ht="22.5" customHeight="1">
      <c r="A493" s="148" t="s">
        <v>2152</v>
      </c>
      <c r="B493" s="149" t="s">
        <v>2642</v>
      </c>
      <c r="C493" s="149" t="s">
        <v>3498</v>
      </c>
      <c r="D493" s="206" t="s">
        <v>3499</v>
      </c>
      <c r="E493" s="206" t="s">
        <v>2096</v>
      </c>
      <c r="F493" s="161" t="s">
        <v>49</v>
      </c>
      <c r="G493" s="207" t="s">
        <v>3436</v>
      </c>
      <c r="H493" s="210" t="s">
        <v>306</v>
      </c>
      <c r="I493" s="154"/>
      <c r="J493" s="155"/>
    </row>
    <row r="494" ht="22.5" customHeight="1">
      <c r="A494" s="140" t="s">
        <v>2154</v>
      </c>
      <c r="B494" s="141" t="s">
        <v>2642</v>
      </c>
      <c r="C494" s="146"/>
      <c r="D494" s="203" t="s">
        <v>3500</v>
      </c>
      <c r="E494" s="203" t="s">
        <v>2096</v>
      </c>
      <c r="F494" s="212" t="s">
        <v>17</v>
      </c>
      <c r="G494" s="204" t="s">
        <v>3436</v>
      </c>
      <c r="H494" s="205" t="s">
        <v>306</v>
      </c>
      <c r="I494" s="146"/>
      <c r="J494" s="147"/>
    </row>
    <row r="495" ht="22.5" customHeight="1">
      <c r="A495" s="148" t="s">
        <v>2156</v>
      </c>
      <c r="B495" s="149" t="s">
        <v>2642</v>
      </c>
      <c r="C495" s="154"/>
      <c r="D495" s="206" t="s">
        <v>3501</v>
      </c>
      <c r="E495" s="206" t="s">
        <v>2096</v>
      </c>
      <c r="F495" s="161" t="s">
        <v>49</v>
      </c>
      <c r="G495" s="207" t="s">
        <v>3436</v>
      </c>
      <c r="H495" s="210" t="s">
        <v>306</v>
      </c>
      <c r="I495" s="154"/>
      <c r="J495" s="155"/>
    </row>
    <row r="496" ht="22.5" customHeight="1">
      <c r="A496" s="140" t="s">
        <v>2158</v>
      </c>
      <c r="B496" s="141" t="s">
        <v>2642</v>
      </c>
      <c r="C496" s="146"/>
      <c r="D496" s="203" t="s">
        <v>3502</v>
      </c>
      <c r="E496" s="203" t="s">
        <v>2096</v>
      </c>
      <c r="F496" s="169" t="s">
        <v>49</v>
      </c>
      <c r="G496" s="204" t="s">
        <v>3436</v>
      </c>
      <c r="H496" s="205" t="s">
        <v>306</v>
      </c>
      <c r="I496" s="146"/>
      <c r="J496" s="147"/>
    </row>
    <row r="497" ht="22.5" customHeight="1">
      <c r="A497" s="148" t="s">
        <v>2160</v>
      </c>
      <c r="B497" s="149" t="s">
        <v>2642</v>
      </c>
      <c r="C497" s="149" t="s">
        <v>3491</v>
      </c>
      <c r="D497" s="206" t="s">
        <v>3503</v>
      </c>
      <c r="E497" s="206" t="s">
        <v>2096</v>
      </c>
      <c r="F497" s="161" t="s">
        <v>49</v>
      </c>
      <c r="G497" s="207" t="s">
        <v>3436</v>
      </c>
      <c r="H497" s="210" t="s">
        <v>306</v>
      </c>
      <c r="I497" s="154"/>
      <c r="J497" s="155"/>
    </row>
    <row r="498" ht="22.5" customHeight="1">
      <c r="A498" s="140" t="s">
        <v>2163</v>
      </c>
      <c r="B498" s="141" t="s">
        <v>2642</v>
      </c>
      <c r="C498" s="141" t="s">
        <v>3504</v>
      </c>
      <c r="D498" s="203" t="s">
        <v>3505</v>
      </c>
      <c r="E498" s="203" t="s">
        <v>2096</v>
      </c>
      <c r="F498" s="169" t="s">
        <v>49</v>
      </c>
      <c r="G498" s="204" t="s">
        <v>3436</v>
      </c>
      <c r="H498" s="205" t="s">
        <v>306</v>
      </c>
      <c r="I498" s="146"/>
      <c r="J498" s="147"/>
    </row>
    <row r="499" ht="22.5" customHeight="1">
      <c r="A499" s="148" t="s">
        <v>2166</v>
      </c>
      <c r="B499" s="149" t="s">
        <v>2642</v>
      </c>
      <c r="C499" s="149" t="s">
        <v>3506</v>
      </c>
      <c r="D499" s="206" t="s">
        <v>3507</v>
      </c>
      <c r="E499" s="206" t="s">
        <v>2096</v>
      </c>
      <c r="F499" s="161" t="s">
        <v>49</v>
      </c>
      <c r="G499" s="207" t="s">
        <v>3436</v>
      </c>
      <c r="H499" s="210" t="s">
        <v>306</v>
      </c>
      <c r="I499" s="154"/>
      <c r="J499" s="155"/>
    </row>
    <row r="500" ht="22.5" customHeight="1">
      <c r="A500" s="140" t="s">
        <v>2169</v>
      </c>
      <c r="B500" s="141" t="s">
        <v>2642</v>
      </c>
      <c r="C500" s="141" t="s">
        <v>3508</v>
      </c>
      <c r="D500" s="203" t="s">
        <v>3509</v>
      </c>
      <c r="E500" s="203" t="s">
        <v>2096</v>
      </c>
      <c r="F500" s="169" t="s">
        <v>49</v>
      </c>
      <c r="G500" s="204" t="s">
        <v>3436</v>
      </c>
      <c r="H500" s="205" t="s">
        <v>306</v>
      </c>
      <c r="I500" s="146"/>
      <c r="J500" s="147"/>
    </row>
    <row r="501" ht="22.5" customHeight="1">
      <c r="A501" s="148" t="s">
        <v>2171</v>
      </c>
      <c r="B501" s="149" t="s">
        <v>2642</v>
      </c>
      <c r="C501" s="149" t="s">
        <v>3510</v>
      </c>
      <c r="D501" s="206" t="s">
        <v>3511</v>
      </c>
      <c r="E501" s="206" t="s">
        <v>2096</v>
      </c>
      <c r="F501" s="151" t="s">
        <v>30</v>
      </c>
      <c r="G501" s="207" t="s">
        <v>3436</v>
      </c>
      <c r="H501" s="210" t="s">
        <v>306</v>
      </c>
      <c r="I501" s="154"/>
      <c r="J501" s="155"/>
    </row>
    <row r="502" ht="22.5" customHeight="1">
      <c r="A502" s="140" t="s">
        <v>2174</v>
      </c>
      <c r="B502" s="141" t="s">
        <v>2642</v>
      </c>
      <c r="C502" s="146"/>
      <c r="D502" s="203" t="s">
        <v>3512</v>
      </c>
      <c r="E502" s="203" t="s">
        <v>2096</v>
      </c>
      <c r="F502" s="169" t="s">
        <v>49</v>
      </c>
      <c r="G502" s="204" t="s">
        <v>3436</v>
      </c>
      <c r="H502" s="205" t="s">
        <v>306</v>
      </c>
      <c r="I502" s="146"/>
      <c r="J502" s="147"/>
    </row>
    <row r="503" ht="22.5" customHeight="1">
      <c r="A503" s="148" t="s">
        <v>2177</v>
      </c>
      <c r="B503" s="149" t="s">
        <v>2642</v>
      </c>
      <c r="C503" s="149" t="s">
        <v>3513</v>
      </c>
      <c r="D503" s="206" t="s">
        <v>3514</v>
      </c>
      <c r="E503" s="206" t="s">
        <v>2096</v>
      </c>
      <c r="F503" s="151" t="s">
        <v>30</v>
      </c>
      <c r="G503" s="207" t="s">
        <v>3436</v>
      </c>
      <c r="H503" s="210" t="s">
        <v>306</v>
      </c>
      <c r="I503" s="154"/>
      <c r="J503" s="155"/>
    </row>
    <row r="504" ht="22.5" customHeight="1">
      <c r="A504" s="140" t="s">
        <v>2181</v>
      </c>
      <c r="B504" s="141" t="s">
        <v>2642</v>
      </c>
      <c r="C504" s="141" t="s">
        <v>3515</v>
      </c>
      <c r="D504" s="203" t="s">
        <v>3516</v>
      </c>
      <c r="E504" s="203" t="s">
        <v>2096</v>
      </c>
      <c r="F504" s="143" t="s">
        <v>30</v>
      </c>
      <c r="G504" s="204" t="s">
        <v>3436</v>
      </c>
      <c r="H504" s="205" t="s">
        <v>306</v>
      </c>
      <c r="I504" s="146"/>
      <c r="J504" s="147"/>
    </row>
    <row r="505" ht="22.5" customHeight="1">
      <c r="A505" s="148" t="s">
        <v>2184</v>
      </c>
      <c r="B505" s="149" t="s">
        <v>2642</v>
      </c>
      <c r="C505" s="149" t="s">
        <v>3517</v>
      </c>
      <c r="D505" s="206" t="s">
        <v>3518</v>
      </c>
      <c r="E505" s="206" t="s">
        <v>2096</v>
      </c>
      <c r="F505" s="213" t="s">
        <v>40</v>
      </c>
      <c r="G505" s="207" t="s">
        <v>3436</v>
      </c>
      <c r="H505" s="210" t="s">
        <v>306</v>
      </c>
      <c r="I505" s="154"/>
      <c r="J505" s="155"/>
    </row>
    <row r="506" ht="22.5" customHeight="1">
      <c r="A506" s="140" t="s">
        <v>2186</v>
      </c>
      <c r="B506" s="141" t="s">
        <v>2642</v>
      </c>
      <c r="C506" s="141" t="s">
        <v>3519</v>
      </c>
      <c r="D506" s="203" t="s">
        <v>3520</v>
      </c>
      <c r="E506" s="203" t="s">
        <v>2096</v>
      </c>
      <c r="F506" s="216" t="s">
        <v>40</v>
      </c>
      <c r="G506" s="204" t="s">
        <v>3436</v>
      </c>
      <c r="H506" s="205" t="s">
        <v>306</v>
      </c>
      <c r="I506" s="146"/>
      <c r="J506" s="147"/>
    </row>
    <row r="507" ht="22.5" customHeight="1">
      <c r="A507" s="148" t="s">
        <v>2189</v>
      </c>
      <c r="B507" s="149" t="s">
        <v>2642</v>
      </c>
      <c r="C507" s="149" t="s">
        <v>3521</v>
      </c>
      <c r="D507" s="206" t="s">
        <v>3522</v>
      </c>
      <c r="E507" s="206" t="s">
        <v>2096</v>
      </c>
      <c r="F507" s="161" t="s">
        <v>49</v>
      </c>
      <c r="G507" s="207" t="s">
        <v>3436</v>
      </c>
      <c r="H507" s="210" t="s">
        <v>306</v>
      </c>
      <c r="I507" s="154"/>
      <c r="J507" s="155"/>
    </row>
    <row r="508" ht="22.5" customHeight="1">
      <c r="A508" s="140" t="s">
        <v>2193</v>
      </c>
      <c r="B508" s="141" t="s">
        <v>2642</v>
      </c>
      <c r="C508" s="141" t="s">
        <v>3523</v>
      </c>
      <c r="D508" s="203" t="s">
        <v>3524</v>
      </c>
      <c r="E508" s="203" t="s">
        <v>2096</v>
      </c>
      <c r="F508" s="216" t="s">
        <v>40</v>
      </c>
      <c r="G508" s="204" t="s">
        <v>3436</v>
      </c>
      <c r="H508" s="205" t="s">
        <v>306</v>
      </c>
      <c r="I508" s="146"/>
      <c r="J508" s="147"/>
    </row>
    <row r="509" ht="22.5" customHeight="1">
      <c r="A509" s="148" t="s">
        <v>2195</v>
      </c>
      <c r="B509" s="149" t="s">
        <v>2642</v>
      </c>
      <c r="C509" s="149" t="s">
        <v>3525</v>
      </c>
      <c r="D509" s="206" t="s">
        <v>3526</v>
      </c>
      <c r="E509" s="206" t="s">
        <v>2096</v>
      </c>
      <c r="F509" s="161" t="s">
        <v>49</v>
      </c>
      <c r="G509" s="207" t="s">
        <v>3436</v>
      </c>
      <c r="H509" s="210" t="s">
        <v>306</v>
      </c>
      <c r="I509" s="154"/>
      <c r="J509" s="155"/>
    </row>
    <row r="510" ht="22.5" customHeight="1">
      <c r="A510" s="140" t="s">
        <v>2197</v>
      </c>
      <c r="B510" s="141" t="s">
        <v>2642</v>
      </c>
      <c r="C510" s="141" t="s">
        <v>3527</v>
      </c>
      <c r="D510" s="203" t="s">
        <v>3528</v>
      </c>
      <c r="E510" s="203" t="s">
        <v>2096</v>
      </c>
      <c r="F510" s="169" t="s">
        <v>49</v>
      </c>
      <c r="G510" s="204" t="s">
        <v>3436</v>
      </c>
      <c r="H510" s="205" t="s">
        <v>306</v>
      </c>
      <c r="I510" s="146"/>
      <c r="J510" s="147"/>
    </row>
    <row r="511" ht="22.5" customHeight="1">
      <c r="A511" s="148" t="s">
        <v>2203</v>
      </c>
      <c r="B511" s="149" t="s">
        <v>2642</v>
      </c>
      <c r="C511" s="149" t="s">
        <v>3529</v>
      </c>
      <c r="D511" s="206" t="s">
        <v>3530</v>
      </c>
      <c r="E511" s="206" t="s">
        <v>2096</v>
      </c>
      <c r="F511" s="214" t="s">
        <v>17</v>
      </c>
      <c r="G511" s="207" t="s">
        <v>3436</v>
      </c>
      <c r="H511" s="210" t="s">
        <v>306</v>
      </c>
      <c r="I511" s="154"/>
      <c r="J511" s="155"/>
    </row>
    <row r="512" ht="22.5" customHeight="1">
      <c r="A512" s="140" t="s">
        <v>2206</v>
      </c>
      <c r="B512" s="141" t="s">
        <v>2642</v>
      </c>
      <c r="C512" s="141" t="s">
        <v>3531</v>
      </c>
      <c r="D512" s="203" t="s">
        <v>3532</v>
      </c>
      <c r="E512" s="203" t="s">
        <v>2096</v>
      </c>
      <c r="F512" s="169" t="s">
        <v>49</v>
      </c>
      <c r="G512" s="204" t="s">
        <v>3436</v>
      </c>
      <c r="H512" s="205" t="s">
        <v>306</v>
      </c>
      <c r="I512" s="146"/>
      <c r="J512" s="147"/>
    </row>
    <row r="513" ht="22.5" customHeight="1">
      <c r="A513" s="148" t="s">
        <v>2209</v>
      </c>
      <c r="B513" s="149" t="s">
        <v>2642</v>
      </c>
      <c r="C513" s="149" t="s">
        <v>3533</v>
      </c>
      <c r="D513" s="206" t="s">
        <v>3534</v>
      </c>
      <c r="E513" s="206" t="s">
        <v>2096</v>
      </c>
      <c r="F513" s="151" t="s">
        <v>30</v>
      </c>
      <c r="G513" s="207" t="s">
        <v>3436</v>
      </c>
      <c r="H513" s="210" t="s">
        <v>306</v>
      </c>
      <c r="I513" s="154"/>
      <c r="J513" s="155"/>
    </row>
    <row r="514" ht="22.5" customHeight="1">
      <c r="A514" s="140" t="s">
        <v>2212</v>
      </c>
      <c r="B514" s="141" t="s">
        <v>2642</v>
      </c>
      <c r="C514" s="141" t="s">
        <v>3535</v>
      </c>
      <c r="D514" s="203" t="s">
        <v>3536</v>
      </c>
      <c r="E514" s="203" t="s">
        <v>2096</v>
      </c>
      <c r="F514" s="216" t="s">
        <v>40</v>
      </c>
      <c r="G514" s="204" t="s">
        <v>3436</v>
      </c>
      <c r="H514" s="205" t="s">
        <v>306</v>
      </c>
      <c r="I514" s="146"/>
      <c r="J514" s="147"/>
    </row>
    <row r="515" ht="22.5" customHeight="1">
      <c r="A515" s="148" t="s">
        <v>2215</v>
      </c>
      <c r="B515" s="149" t="s">
        <v>2642</v>
      </c>
      <c r="C515" s="149" t="s">
        <v>3537</v>
      </c>
      <c r="D515" s="206" t="s">
        <v>3538</v>
      </c>
      <c r="E515" s="206" t="s">
        <v>2096</v>
      </c>
      <c r="F515" s="161" t="s">
        <v>49</v>
      </c>
      <c r="G515" s="207" t="s">
        <v>3436</v>
      </c>
      <c r="H515" s="210" t="s">
        <v>306</v>
      </c>
      <c r="I515" s="154"/>
      <c r="J515" s="155"/>
    </row>
    <row r="516" ht="22.5" customHeight="1">
      <c r="A516" s="140" t="s">
        <v>2217</v>
      </c>
      <c r="B516" s="141" t="s">
        <v>2642</v>
      </c>
      <c r="C516" s="146"/>
      <c r="D516" s="203" t="s">
        <v>3539</v>
      </c>
      <c r="E516" s="203" t="s">
        <v>2096</v>
      </c>
      <c r="F516" s="169" t="s">
        <v>49</v>
      </c>
      <c r="G516" s="204" t="s">
        <v>3436</v>
      </c>
      <c r="H516" s="205" t="s">
        <v>306</v>
      </c>
      <c r="I516" s="146"/>
      <c r="J516" s="147"/>
    </row>
    <row r="517" ht="22.5" customHeight="1">
      <c r="A517" s="148" t="s">
        <v>2220</v>
      </c>
      <c r="B517" s="149" t="s">
        <v>2642</v>
      </c>
      <c r="C517" s="154"/>
      <c r="D517" s="206" t="s">
        <v>3540</v>
      </c>
      <c r="E517" s="206" t="s">
        <v>2096</v>
      </c>
      <c r="F517" s="161" t="s">
        <v>49</v>
      </c>
      <c r="G517" s="207" t="s">
        <v>3436</v>
      </c>
      <c r="H517" s="210" t="s">
        <v>306</v>
      </c>
      <c r="I517" s="154"/>
      <c r="J517" s="155"/>
    </row>
    <row r="518" ht="22.5" customHeight="1">
      <c r="A518" s="140" t="s">
        <v>2222</v>
      </c>
      <c r="B518" s="141" t="s">
        <v>2642</v>
      </c>
      <c r="C518" s="141" t="s">
        <v>3541</v>
      </c>
      <c r="D518" s="203" t="s">
        <v>3542</v>
      </c>
      <c r="E518" s="203" t="s">
        <v>2096</v>
      </c>
      <c r="F518" s="169" t="s">
        <v>49</v>
      </c>
      <c r="G518" s="204" t="s">
        <v>3436</v>
      </c>
      <c r="H518" s="205" t="s">
        <v>306</v>
      </c>
      <c r="I518" s="146"/>
      <c r="J518" s="147"/>
    </row>
    <row r="519" ht="22.5" customHeight="1">
      <c r="A519" s="148" t="s">
        <v>2225</v>
      </c>
      <c r="B519" s="149" t="s">
        <v>2642</v>
      </c>
      <c r="C519" s="149" t="s">
        <v>3543</v>
      </c>
      <c r="D519" s="206" t="s">
        <v>3544</v>
      </c>
      <c r="E519" s="206" t="s">
        <v>2096</v>
      </c>
      <c r="F519" s="174" t="s">
        <v>2192</v>
      </c>
      <c r="G519" s="207" t="s">
        <v>3436</v>
      </c>
      <c r="H519" s="210" t="s">
        <v>306</v>
      </c>
      <c r="I519" s="154"/>
      <c r="J519" s="155"/>
    </row>
    <row r="520" ht="22.5" customHeight="1">
      <c r="A520" s="140" t="s">
        <v>2230</v>
      </c>
      <c r="B520" s="141" t="s">
        <v>2642</v>
      </c>
      <c r="C520" s="141" t="s">
        <v>3545</v>
      </c>
      <c r="D520" s="203" t="s">
        <v>3546</v>
      </c>
      <c r="E520" s="203" t="s">
        <v>2096</v>
      </c>
      <c r="F520" s="169" t="s">
        <v>49</v>
      </c>
      <c r="G520" s="204" t="s">
        <v>3436</v>
      </c>
      <c r="H520" s="205" t="s">
        <v>306</v>
      </c>
      <c r="I520" s="146"/>
      <c r="J520" s="147"/>
    </row>
    <row r="521" ht="22.5" customHeight="1">
      <c r="A521" s="148" t="s">
        <v>2232</v>
      </c>
      <c r="B521" s="149" t="s">
        <v>2642</v>
      </c>
      <c r="C521" s="149" t="s">
        <v>3547</v>
      </c>
      <c r="D521" s="206" t="s">
        <v>3548</v>
      </c>
      <c r="E521" s="206" t="s">
        <v>2096</v>
      </c>
      <c r="F521" s="214" t="s">
        <v>17</v>
      </c>
      <c r="G521" s="207" t="s">
        <v>3436</v>
      </c>
      <c r="H521" s="210" t="s">
        <v>306</v>
      </c>
      <c r="I521" s="154"/>
      <c r="J521" s="155"/>
    </row>
    <row r="522" ht="22.5" customHeight="1">
      <c r="A522" s="140" t="s">
        <v>2234</v>
      </c>
      <c r="B522" s="141" t="s">
        <v>2642</v>
      </c>
      <c r="C522" s="146"/>
      <c r="D522" s="203" t="s">
        <v>3549</v>
      </c>
      <c r="E522" s="203" t="s">
        <v>2096</v>
      </c>
      <c r="F522" s="169" t="s">
        <v>49</v>
      </c>
      <c r="G522" s="204" t="s">
        <v>3436</v>
      </c>
      <c r="H522" s="205" t="s">
        <v>306</v>
      </c>
      <c r="I522" s="146"/>
      <c r="J522" s="147"/>
    </row>
    <row r="523" ht="22.5" customHeight="1">
      <c r="A523" s="148" t="s">
        <v>2236</v>
      </c>
      <c r="B523" s="149" t="s">
        <v>2642</v>
      </c>
      <c r="C523" s="154"/>
      <c r="D523" s="206" t="s">
        <v>3550</v>
      </c>
      <c r="E523" s="206" t="s">
        <v>2096</v>
      </c>
      <c r="F523" s="161" t="s">
        <v>49</v>
      </c>
      <c r="G523" s="207" t="s">
        <v>3436</v>
      </c>
      <c r="H523" s="210" t="s">
        <v>306</v>
      </c>
      <c r="I523" s="154"/>
      <c r="J523" s="155"/>
    </row>
    <row r="524" ht="22.5" customHeight="1">
      <c r="A524" s="140" t="s">
        <v>2238</v>
      </c>
      <c r="B524" s="141" t="s">
        <v>2180</v>
      </c>
      <c r="C524" s="141" t="s">
        <v>3551</v>
      </c>
      <c r="D524" s="203" t="s">
        <v>3552</v>
      </c>
      <c r="E524" s="203" t="s">
        <v>2096</v>
      </c>
      <c r="F524" s="169" t="s">
        <v>49</v>
      </c>
      <c r="G524" s="204" t="s">
        <v>3436</v>
      </c>
      <c r="H524" s="205" t="s">
        <v>306</v>
      </c>
      <c r="I524" s="146"/>
      <c r="J524" s="147"/>
    </row>
    <row r="525" ht="22.5" customHeight="1">
      <c r="A525" s="148" t="s">
        <v>2241</v>
      </c>
      <c r="B525" s="149" t="s">
        <v>2180</v>
      </c>
      <c r="C525" s="154"/>
      <c r="D525" s="206" t="s">
        <v>3553</v>
      </c>
      <c r="E525" s="206" t="s">
        <v>3315</v>
      </c>
      <c r="F525" s="214" t="s">
        <v>17</v>
      </c>
      <c r="G525" s="207" t="s">
        <v>3436</v>
      </c>
      <c r="H525" s="210" t="s">
        <v>306</v>
      </c>
      <c r="I525" s="154"/>
      <c r="J525" s="155"/>
    </row>
    <row r="526" ht="22.5" customHeight="1">
      <c r="A526" s="140" t="s">
        <v>2245</v>
      </c>
      <c r="B526" s="141" t="s">
        <v>2180</v>
      </c>
      <c r="C526" s="141" t="s">
        <v>3554</v>
      </c>
      <c r="D526" s="203" t="s">
        <v>3555</v>
      </c>
      <c r="E526" s="203" t="s">
        <v>2096</v>
      </c>
      <c r="F526" s="169" t="s">
        <v>49</v>
      </c>
      <c r="G526" s="204" t="s">
        <v>3436</v>
      </c>
      <c r="H526" s="205" t="s">
        <v>306</v>
      </c>
      <c r="I526" s="146"/>
      <c r="J526" s="147"/>
    </row>
    <row r="527" ht="22.5" customHeight="1">
      <c r="A527" s="148" t="s">
        <v>2247</v>
      </c>
      <c r="B527" s="149" t="s">
        <v>2180</v>
      </c>
      <c r="C527" s="149" t="s">
        <v>3556</v>
      </c>
      <c r="D527" s="206" t="s">
        <v>3557</v>
      </c>
      <c r="E527" s="206" t="s">
        <v>2096</v>
      </c>
      <c r="F527" s="214" t="s">
        <v>17</v>
      </c>
      <c r="G527" s="207" t="s">
        <v>3436</v>
      </c>
      <c r="H527" s="210" t="s">
        <v>306</v>
      </c>
      <c r="I527" s="154"/>
      <c r="J527" s="155"/>
    </row>
    <row r="528" ht="22.5" customHeight="1">
      <c r="A528" s="140" t="s">
        <v>2250</v>
      </c>
      <c r="B528" s="141" t="s">
        <v>2180</v>
      </c>
      <c r="C528" s="141" t="s">
        <v>3558</v>
      </c>
      <c r="D528" s="203" t="s">
        <v>3559</v>
      </c>
      <c r="E528" s="203" t="s">
        <v>2096</v>
      </c>
      <c r="F528" s="156" t="s">
        <v>635</v>
      </c>
      <c r="G528" s="204" t="s">
        <v>3436</v>
      </c>
      <c r="H528" s="205" t="s">
        <v>306</v>
      </c>
      <c r="I528" s="146"/>
      <c r="J528" s="147"/>
    </row>
    <row r="529" ht="22.5" customHeight="1">
      <c r="A529" s="148" t="s">
        <v>2253</v>
      </c>
      <c r="B529" s="149" t="s">
        <v>2180</v>
      </c>
      <c r="C529" s="149" t="s">
        <v>3560</v>
      </c>
      <c r="D529" s="206" t="s">
        <v>3561</v>
      </c>
      <c r="E529" s="206" t="s">
        <v>2096</v>
      </c>
      <c r="F529" s="152"/>
      <c r="G529" s="207" t="s">
        <v>3436</v>
      </c>
      <c r="H529" s="210" t="s">
        <v>306</v>
      </c>
      <c r="I529" s="154"/>
      <c r="J529" s="155"/>
    </row>
    <row r="530" ht="22.5" customHeight="1">
      <c r="A530" s="140" t="s">
        <v>2257</v>
      </c>
      <c r="B530" s="141" t="s">
        <v>2180</v>
      </c>
      <c r="C530" s="141" t="s">
        <v>2279</v>
      </c>
      <c r="D530" s="203" t="s">
        <v>3562</v>
      </c>
      <c r="E530" s="203" t="s">
        <v>2096</v>
      </c>
      <c r="F530" s="169" t="s">
        <v>49</v>
      </c>
      <c r="G530" s="204" t="s">
        <v>3436</v>
      </c>
      <c r="H530" s="205" t="s">
        <v>306</v>
      </c>
      <c r="I530" s="146"/>
      <c r="J530" s="147"/>
    </row>
    <row r="531" ht="22.5" customHeight="1">
      <c r="A531" s="148" t="s">
        <v>2259</v>
      </c>
      <c r="B531" s="149" t="s">
        <v>2180</v>
      </c>
      <c r="C531" s="154"/>
      <c r="D531" s="206" t="s">
        <v>3563</v>
      </c>
      <c r="E531" s="206" t="s">
        <v>2096</v>
      </c>
      <c r="F531" s="213" t="s">
        <v>40</v>
      </c>
      <c r="G531" s="207" t="s">
        <v>3436</v>
      </c>
      <c r="H531" s="210" t="s">
        <v>306</v>
      </c>
      <c r="I531" s="154"/>
      <c r="J531" s="155"/>
    </row>
    <row r="532" ht="22.5" customHeight="1">
      <c r="A532" s="140" t="s">
        <v>2261</v>
      </c>
      <c r="B532" s="141" t="s">
        <v>2180</v>
      </c>
      <c r="C532" s="146"/>
      <c r="D532" s="203" t="s">
        <v>3564</v>
      </c>
      <c r="E532" s="203" t="s">
        <v>2096</v>
      </c>
      <c r="F532" s="216" t="s">
        <v>40</v>
      </c>
      <c r="G532" s="204" t="s">
        <v>3436</v>
      </c>
      <c r="H532" s="205" t="s">
        <v>306</v>
      </c>
      <c r="I532" s="146"/>
      <c r="J532" s="147"/>
    </row>
    <row r="533" ht="22.5" customHeight="1">
      <c r="A533" s="148" t="s">
        <v>2263</v>
      </c>
      <c r="B533" s="149" t="s">
        <v>2180</v>
      </c>
      <c r="C533" s="149" t="s">
        <v>3565</v>
      </c>
      <c r="D533" s="206" t="s">
        <v>3566</v>
      </c>
      <c r="E533" s="206" t="s">
        <v>2096</v>
      </c>
      <c r="F533" s="161" t="s">
        <v>49</v>
      </c>
      <c r="G533" s="207" t="s">
        <v>3436</v>
      </c>
      <c r="H533" s="210" t="s">
        <v>306</v>
      </c>
      <c r="I533" s="154"/>
      <c r="J533" s="155"/>
    </row>
    <row r="534" ht="22.5" customHeight="1">
      <c r="A534" s="140" t="s">
        <v>2265</v>
      </c>
      <c r="B534" s="141" t="s">
        <v>2180</v>
      </c>
      <c r="C534" s="141" t="s">
        <v>3567</v>
      </c>
      <c r="D534" s="203" t="s">
        <v>3568</v>
      </c>
      <c r="E534" s="203" t="s">
        <v>2096</v>
      </c>
      <c r="F534" s="169" t="s">
        <v>49</v>
      </c>
      <c r="G534" s="204" t="s">
        <v>3436</v>
      </c>
      <c r="H534" s="205" t="s">
        <v>306</v>
      </c>
      <c r="I534" s="146"/>
      <c r="J534" s="147"/>
    </row>
    <row r="535" ht="22.5" customHeight="1">
      <c r="A535" s="148" t="s">
        <v>2268</v>
      </c>
      <c r="B535" s="149" t="s">
        <v>2180</v>
      </c>
      <c r="C535" s="154"/>
      <c r="D535" s="206" t="s">
        <v>3569</v>
      </c>
      <c r="E535" s="206" t="s">
        <v>2096</v>
      </c>
      <c r="F535" s="161" t="s">
        <v>49</v>
      </c>
      <c r="G535" s="207" t="s">
        <v>3436</v>
      </c>
      <c r="H535" s="210" t="s">
        <v>306</v>
      </c>
      <c r="I535" s="154"/>
      <c r="J535" s="155"/>
    </row>
    <row r="536" ht="22.5" customHeight="1">
      <c r="A536" s="140" t="s">
        <v>2271</v>
      </c>
      <c r="B536" s="141" t="s">
        <v>2180</v>
      </c>
      <c r="C536" s="141" t="s">
        <v>3570</v>
      </c>
      <c r="D536" s="203" t="s">
        <v>3571</v>
      </c>
      <c r="E536" s="203" t="s">
        <v>2096</v>
      </c>
      <c r="F536" s="216" t="s">
        <v>40</v>
      </c>
      <c r="G536" s="204" t="s">
        <v>3436</v>
      </c>
      <c r="H536" s="205" t="s">
        <v>306</v>
      </c>
      <c r="I536" s="146"/>
      <c r="J536" s="147"/>
    </row>
    <row r="537" ht="22.5" customHeight="1">
      <c r="A537" s="148" t="s">
        <v>2274</v>
      </c>
      <c r="B537" s="149" t="s">
        <v>2180</v>
      </c>
      <c r="C537" s="149" t="s">
        <v>3572</v>
      </c>
      <c r="D537" s="206" t="s">
        <v>3573</v>
      </c>
      <c r="E537" s="206" t="s">
        <v>2096</v>
      </c>
      <c r="F537" s="165" t="s">
        <v>2076</v>
      </c>
      <c r="G537" s="207" t="s">
        <v>3436</v>
      </c>
      <c r="H537" s="210" t="s">
        <v>306</v>
      </c>
      <c r="I537" s="154"/>
      <c r="J537" s="155"/>
    </row>
    <row r="538" ht="22.5" customHeight="1">
      <c r="A538" s="140" t="s">
        <v>2276</v>
      </c>
      <c r="B538" s="141" t="s">
        <v>2180</v>
      </c>
      <c r="C538" s="141" t="s">
        <v>3574</v>
      </c>
      <c r="D538" s="203" t="s">
        <v>3575</v>
      </c>
      <c r="E538" s="203" t="s">
        <v>2096</v>
      </c>
      <c r="F538" s="216" t="s">
        <v>40</v>
      </c>
      <c r="G538" s="204" t="s">
        <v>3436</v>
      </c>
      <c r="H538" s="205" t="s">
        <v>306</v>
      </c>
      <c r="I538" s="146"/>
      <c r="J538" s="147"/>
    </row>
    <row r="539" ht="22.5" customHeight="1">
      <c r="A539" s="148" t="s">
        <v>2278</v>
      </c>
      <c r="B539" s="149" t="s">
        <v>2180</v>
      </c>
      <c r="C539" s="149" t="s">
        <v>3576</v>
      </c>
      <c r="D539" s="206" t="s">
        <v>3577</v>
      </c>
      <c r="E539" s="206" t="s">
        <v>2096</v>
      </c>
      <c r="F539" s="214" t="s">
        <v>17</v>
      </c>
      <c r="G539" s="207" t="s">
        <v>3436</v>
      </c>
      <c r="H539" s="210" t="s">
        <v>306</v>
      </c>
      <c r="I539" s="154"/>
      <c r="J539" s="155"/>
    </row>
    <row r="540" ht="22.5" customHeight="1">
      <c r="A540" s="140" t="s">
        <v>2281</v>
      </c>
      <c r="B540" s="141" t="s">
        <v>2180</v>
      </c>
      <c r="C540" s="141" t="s">
        <v>3578</v>
      </c>
      <c r="D540" s="203" t="s">
        <v>3579</v>
      </c>
      <c r="E540" s="203" t="s">
        <v>2096</v>
      </c>
      <c r="F540" s="216" t="s">
        <v>40</v>
      </c>
      <c r="G540" s="204" t="s">
        <v>3436</v>
      </c>
      <c r="H540" s="205" t="s">
        <v>306</v>
      </c>
      <c r="I540" s="146"/>
      <c r="J540" s="147"/>
    </row>
    <row r="541" ht="22.5" customHeight="1">
      <c r="A541" s="148" t="s">
        <v>2284</v>
      </c>
      <c r="B541" s="149" t="s">
        <v>2180</v>
      </c>
      <c r="C541" s="149" t="s">
        <v>3580</v>
      </c>
      <c r="D541" s="206" t="s">
        <v>3581</v>
      </c>
      <c r="E541" s="206" t="s">
        <v>2096</v>
      </c>
      <c r="F541" s="161" t="s">
        <v>49</v>
      </c>
      <c r="G541" s="207" t="s">
        <v>3436</v>
      </c>
      <c r="H541" s="210" t="s">
        <v>306</v>
      </c>
      <c r="I541" s="154"/>
      <c r="J541" s="155"/>
    </row>
    <row r="542" ht="22.5" customHeight="1">
      <c r="A542" s="140" t="s">
        <v>2287</v>
      </c>
      <c r="B542" s="141" t="s">
        <v>2180</v>
      </c>
      <c r="C542" s="141" t="s">
        <v>3582</v>
      </c>
      <c r="D542" s="203" t="s">
        <v>3583</v>
      </c>
      <c r="E542" s="203" t="s">
        <v>2096</v>
      </c>
      <c r="F542" s="216" t="s">
        <v>40</v>
      </c>
      <c r="G542" s="204" t="s">
        <v>3436</v>
      </c>
      <c r="H542" s="205" t="s">
        <v>306</v>
      </c>
      <c r="I542" s="146"/>
      <c r="J542" s="147"/>
    </row>
    <row r="543" ht="22.5" customHeight="1">
      <c r="A543" s="148" t="s">
        <v>2290</v>
      </c>
      <c r="B543" s="149" t="s">
        <v>2180</v>
      </c>
      <c r="C543" s="149" t="s">
        <v>3584</v>
      </c>
      <c r="D543" s="206" t="s">
        <v>3585</v>
      </c>
      <c r="E543" s="206" t="s">
        <v>2096</v>
      </c>
      <c r="F543" s="165" t="s">
        <v>2076</v>
      </c>
      <c r="G543" s="207" t="s">
        <v>3436</v>
      </c>
      <c r="H543" s="210" t="s">
        <v>306</v>
      </c>
      <c r="I543" s="154"/>
      <c r="J543" s="155"/>
    </row>
    <row r="544" ht="22.5" customHeight="1">
      <c r="A544" s="140" t="s">
        <v>2293</v>
      </c>
      <c r="B544" s="141" t="s">
        <v>2648</v>
      </c>
      <c r="C544" s="141" t="s">
        <v>3586</v>
      </c>
      <c r="D544" s="203" t="s">
        <v>3587</v>
      </c>
      <c r="E544" s="203" t="s">
        <v>2096</v>
      </c>
      <c r="F544" s="156" t="s">
        <v>635</v>
      </c>
      <c r="G544" s="204" t="s">
        <v>3436</v>
      </c>
      <c r="H544" s="205" t="s">
        <v>306</v>
      </c>
      <c r="I544" s="146"/>
      <c r="J544" s="147"/>
    </row>
    <row r="545" ht="22.5" customHeight="1">
      <c r="A545" s="148" t="s">
        <v>2296</v>
      </c>
      <c r="B545" s="149" t="s">
        <v>2648</v>
      </c>
      <c r="C545" s="149" t="s">
        <v>3588</v>
      </c>
      <c r="D545" s="206" t="s">
        <v>3589</v>
      </c>
      <c r="E545" s="206" t="s">
        <v>2096</v>
      </c>
      <c r="F545" s="161" t="s">
        <v>49</v>
      </c>
      <c r="G545" s="207" t="s">
        <v>3436</v>
      </c>
      <c r="H545" s="210" t="s">
        <v>306</v>
      </c>
      <c r="I545" s="154"/>
      <c r="J545" s="155"/>
    </row>
    <row r="546" ht="22.5" customHeight="1">
      <c r="A546" s="140" t="s">
        <v>2299</v>
      </c>
      <c r="B546" s="141" t="s">
        <v>2648</v>
      </c>
      <c r="C546" s="141" t="s">
        <v>3590</v>
      </c>
      <c r="D546" s="141" t="s">
        <v>3591</v>
      </c>
      <c r="E546" s="203" t="s">
        <v>2096</v>
      </c>
      <c r="F546" s="212" t="s">
        <v>17</v>
      </c>
      <c r="G546" s="204" t="s">
        <v>3436</v>
      </c>
      <c r="H546" s="205" t="s">
        <v>306</v>
      </c>
      <c r="I546" s="146"/>
      <c r="J546" s="147"/>
    </row>
    <row r="547" ht="22.5" customHeight="1">
      <c r="A547" s="148" t="s">
        <v>2302</v>
      </c>
      <c r="B547" s="149" t="s">
        <v>2648</v>
      </c>
      <c r="C547" s="149" t="s">
        <v>3592</v>
      </c>
      <c r="D547" s="206" t="s">
        <v>3593</v>
      </c>
      <c r="E547" s="206" t="s">
        <v>2096</v>
      </c>
      <c r="F547" s="174" t="s">
        <v>2192</v>
      </c>
      <c r="G547" s="207" t="s">
        <v>3436</v>
      </c>
      <c r="H547" s="210" t="s">
        <v>306</v>
      </c>
      <c r="I547" s="154"/>
      <c r="J547" s="155"/>
    </row>
    <row r="548" ht="22.5" customHeight="1">
      <c r="A548" s="140" t="s">
        <v>2305</v>
      </c>
      <c r="B548" s="141" t="s">
        <v>2648</v>
      </c>
      <c r="C548" s="141" t="s">
        <v>3594</v>
      </c>
      <c r="D548" s="203" t="s">
        <v>3595</v>
      </c>
      <c r="E548" s="203" t="s">
        <v>2096</v>
      </c>
      <c r="F548" s="169" t="s">
        <v>49</v>
      </c>
      <c r="G548" s="204" t="s">
        <v>3436</v>
      </c>
      <c r="H548" s="205" t="s">
        <v>306</v>
      </c>
      <c r="I548" s="146"/>
      <c r="J548" s="147"/>
    </row>
    <row r="549" ht="22.5" customHeight="1">
      <c r="A549" s="148" t="s">
        <v>2308</v>
      </c>
      <c r="B549" s="149" t="s">
        <v>2648</v>
      </c>
      <c r="C549" s="149" t="s">
        <v>3596</v>
      </c>
      <c r="D549" s="206" t="s">
        <v>3597</v>
      </c>
      <c r="E549" s="206" t="s">
        <v>2096</v>
      </c>
      <c r="F549" s="174" t="s">
        <v>2192</v>
      </c>
      <c r="G549" s="207" t="s">
        <v>3436</v>
      </c>
      <c r="H549" s="210" t="s">
        <v>306</v>
      </c>
      <c r="I549" s="154"/>
      <c r="J549" s="155"/>
    </row>
    <row r="550" ht="22.5" customHeight="1">
      <c r="A550" s="140" t="s">
        <v>2311</v>
      </c>
      <c r="B550" s="141" t="s">
        <v>2648</v>
      </c>
      <c r="C550" s="141" t="s">
        <v>3598</v>
      </c>
      <c r="D550" s="203" t="s">
        <v>3599</v>
      </c>
      <c r="E550" s="203" t="s">
        <v>2096</v>
      </c>
      <c r="F550" s="169" t="s">
        <v>49</v>
      </c>
      <c r="G550" s="204" t="s">
        <v>3436</v>
      </c>
      <c r="H550" s="205" t="s">
        <v>306</v>
      </c>
      <c r="I550" s="146"/>
      <c r="J550" s="147"/>
    </row>
    <row r="551" ht="22.5" customHeight="1">
      <c r="A551" s="148" t="s">
        <v>2314</v>
      </c>
      <c r="B551" s="149" t="s">
        <v>2648</v>
      </c>
      <c r="C551" s="149" t="s">
        <v>3600</v>
      </c>
      <c r="D551" s="206" t="s">
        <v>3601</v>
      </c>
      <c r="E551" s="206" t="s">
        <v>2096</v>
      </c>
      <c r="F551" s="161" t="s">
        <v>49</v>
      </c>
      <c r="G551" s="207" t="s">
        <v>3436</v>
      </c>
      <c r="H551" s="210" t="s">
        <v>306</v>
      </c>
      <c r="I551" s="154"/>
      <c r="J551" s="155"/>
    </row>
    <row r="552" ht="22.5" customHeight="1">
      <c r="A552" s="140" t="s">
        <v>2317</v>
      </c>
      <c r="B552" s="141" t="s">
        <v>2648</v>
      </c>
      <c r="C552" s="141" t="s">
        <v>3602</v>
      </c>
      <c r="D552" s="141" t="s">
        <v>3603</v>
      </c>
      <c r="E552" s="203" t="s">
        <v>2096</v>
      </c>
      <c r="F552" s="169" t="s">
        <v>49</v>
      </c>
      <c r="G552" s="204" t="s">
        <v>3436</v>
      </c>
      <c r="H552" s="205" t="s">
        <v>306</v>
      </c>
      <c r="I552" s="146"/>
      <c r="J552" s="147"/>
    </row>
    <row r="553" ht="22.5" customHeight="1">
      <c r="A553" s="148" t="s">
        <v>2320</v>
      </c>
      <c r="B553" s="149" t="s">
        <v>2648</v>
      </c>
      <c r="C553" s="154"/>
      <c r="D553" s="149" t="s">
        <v>3604</v>
      </c>
      <c r="E553" s="206" t="s">
        <v>2096</v>
      </c>
      <c r="F553" s="161" t="s">
        <v>49</v>
      </c>
      <c r="G553" s="207" t="s">
        <v>3436</v>
      </c>
      <c r="H553" s="210" t="s">
        <v>306</v>
      </c>
      <c r="I553" s="154"/>
      <c r="J553" s="155"/>
    </row>
    <row r="554" ht="22.5" customHeight="1">
      <c r="A554" s="140" t="s">
        <v>2323</v>
      </c>
      <c r="B554" s="141" t="s">
        <v>2648</v>
      </c>
      <c r="C554" s="146"/>
      <c r="D554" s="141" t="s">
        <v>3605</v>
      </c>
      <c r="E554" s="203" t="s">
        <v>2096</v>
      </c>
      <c r="F554" s="169" t="s">
        <v>49</v>
      </c>
      <c r="G554" s="204" t="s">
        <v>3436</v>
      </c>
      <c r="H554" s="205" t="s">
        <v>306</v>
      </c>
      <c r="I554" s="146"/>
      <c r="J554" s="147"/>
    </row>
    <row r="555" ht="22.5" customHeight="1">
      <c r="A555" s="148" t="s">
        <v>2326</v>
      </c>
      <c r="B555" s="149" t="s">
        <v>2648</v>
      </c>
      <c r="C555" s="149" t="s">
        <v>3606</v>
      </c>
      <c r="D555" s="149" t="s">
        <v>3607</v>
      </c>
      <c r="E555" s="206" t="s">
        <v>2096</v>
      </c>
      <c r="F555" s="161" t="s">
        <v>49</v>
      </c>
      <c r="G555" s="207" t="s">
        <v>3436</v>
      </c>
      <c r="H555" s="210" t="s">
        <v>306</v>
      </c>
      <c r="I555" s="154"/>
      <c r="J555" s="155"/>
    </row>
    <row r="556" ht="22.5" customHeight="1">
      <c r="A556" s="140" t="s">
        <v>2329</v>
      </c>
      <c r="B556" s="141" t="s">
        <v>2648</v>
      </c>
      <c r="C556" s="146"/>
      <c r="D556" s="141" t="s">
        <v>3608</v>
      </c>
      <c r="E556" s="217" t="s">
        <v>2096</v>
      </c>
      <c r="F556" s="216" t="s">
        <v>40</v>
      </c>
      <c r="G556" s="204" t="s">
        <v>3436</v>
      </c>
      <c r="H556" s="205" t="s">
        <v>306</v>
      </c>
      <c r="I556" s="146"/>
      <c r="J556" s="147"/>
    </row>
    <row r="557" ht="22.5" customHeight="1">
      <c r="A557" s="148" t="s">
        <v>2332</v>
      </c>
      <c r="B557" s="149" t="s">
        <v>2648</v>
      </c>
      <c r="C557" s="149" t="s">
        <v>3609</v>
      </c>
      <c r="D557" s="149" t="s">
        <v>3610</v>
      </c>
      <c r="E557" s="196"/>
      <c r="F557" s="214" t="s">
        <v>17</v>
      </c>
      <c r="G557" s="207" t="s">
        <v>3436</v>
      </c>
      <c r="H557" s="210" t="s">
        <v>306</v>
      </c>
      <c r="I557" s="154"/>
      <c r="J557" s="155"/>
    </row>
    <row r="558" ht="22.5" customHeight="1">
      <c r="A558" s="140" t="s">
        <v>2335</v>
      </c>
      <c r="B558" s="141" t="s">
        <v>2648</v>
      </c>
      <c r="C558" s="146"/>
      <c r="D558" s="141" t="s">
        <v>3611</v>
      </c>
      <c r="E558" s="146"/>
      <c r="F558" s="169" t="s">
        <v>49</v>
      </c>
      <c r="G558" s="204" t="s">
        <v>3436</v>
      </c>
      <c r="H558" s="205" t="s">
        <v>306</v>
      </c>
      <c r="I558" s="146"/>
      <c r="J558" s="147"/>
    </row>
    <row r="559" ht="22.5" customHeight="1">
      <c r="A559" s="148" t="s">
        <v>2338</v>
      </c>
      <c r="B559" s="149" t="s">
        <v>2648</v>
      </c>
      <c r="C559" s="149" t="s">
        <v>3612</v>
      </c>
      <c r="D559" s="149" t="s">
        <v>3613</v>
      </c>
      <c r="E559" s="154"/>
      <c r="F559" s="161" t="s">
        <v>49</v>
      </c>
      <c r="G559" s="207" t="s">
        <v>3436</v>
      </c>
      <c r="H559" s="210" t="s">
        <v>306</v>
      </c>
      <c r="I559" s="154"/>
      <c r="J559" s="155"/>
    </row>
    <row r="560" ht="22.5" customHeight="1">
      <c r="A560" s="140" t="s">
        <v>2341</v>
      </c>
      <c r="B560" s="141" t="s">
        <v>2648</v>
      </c>
      <c r="C560" s="141" t="s">
        <v>3614</v>
      </c>
      <c r="D560" s="141" t="s">
        <v>3615</v>
      </c>
      <c r="E560" s="146"/>
      <c r="F560" s="169" t="s">
        <v>49</v>
      </c>
      <c r="G560" s="204" t="s">
        <v>3436</v>
      </c>
      <c r="H560" s="205" t="s">
        <v>306</v>
      </c>
      <c r="I560" s="146"/>
      <c r="J560" s="147"/>
    </row>
    <row r="561" ht="22.5" customHeight="1">
      <c r="A561" s="148" t="s">
        <v>2344</v>
      </c>
      <c r="B561" s="149" t="s">
        <v>2648</v>
      </c>
      <c r="C561" s="149" t="s">
        <v>811</v>
      </c>
      <c r="D561" s="149" t="s">
        <v>3616</v>
      </c>
      <c r="E561" s="150">
        <v>45544.0</v>
      </c>
      <c r="F561" s="214" t="s">
        <v>17</v>
      </c>
      <c r="G561" s="207" t="s">
        <v>3436</v>
      </c>
      <c r="H561" s="210" t="s">
        <v>306</v>
      </c>
      <c r="I561" s="154"/>
      <c r="J561" s="155"/>
    </row>
    <row r="562" ht="22.5" customHeight="1">
      <c r="A562" s="140" t="s">
        <v>2347</v>
      </c>
      <c r="B562" s="141" t="s">
        <v>2648</v>
      </c>
      <c r="C562" s="141" t="s">
        <v>3617</v>
      </c>
      <c r="D562" s="141" t="s">
        <v>3618</v>
      </c>
      <c r="E562" s="142">
        <v>45544.0</v>
      </c>
      <c r="F562" s="169" t="s">
        <v>49</v>
      </c>
      <c r="G562" s="204" t="s">
        <v>3436</v>
      </c>
      <c r="H562" s="205" t="s">
        <v>306</v>
      </c>
      <c r="I562" s="146"/>
      <c r="J562" s="147"/>
    </row>
    <row r="563" ht="22.5" customHeight="1">
      <c r="A563" s="148" t="s">
        <v>2350</v>
      </c>
      <c r="B563" s="149" t="s">
        <v>2648</v>
      </c>
      <c r="C563" s="149" t="s">
        <v>3619</v>
      </c>
      <c r="D563" s="149" t="s">
        <v>3620</v>
      </c>
      <c r="E563" s="196"/>
      <c r="F563" s="161" t="s">
        <v>49</v>
      </c>
      <c r="G563" s="207" t="s">
        <v>3436</v>
      </c>
      <c r="H563" s="210" t="s">
        <v>306</v>
      </c>
      <c r="I563" s="154"/>
      <c r="J563" s="155"/>
    </row>
    <row r="564" ht="22.5" customHeight="1">
      <c r="A564" s="140" t="s">
        <v>2353</v>
      </c>
      <c r="B564" s="141" t="s">
        <v>2743</v>
      </c>
      <c r="C564" s="141" t="s">
        <v>3621</v>
      </c>
      <c r="D564" s="141" t="s">
        <v>3622</v>
      </c>
      <c r="E564" s="197"/>
      <c r="F564" s="216" t="s">
        <v>40</v>
      </c>
      <c r="G564" s="204" t="s">
        <v>3436</v>
      </c>
      <c r="H564" s="205" t="s">
        <v>306</v>
      </c>
      <c r="I564" s="146"/>
      <c r="J564" s="147"/>
    </row>
    <row r="565" ht="22.5" customHeight="1">
      <c r="A565" s="148" t="s">
        <v>2356</v>
      </c>
      <c r="B565" s="149" t="s">
        <v>2743</v>
      </c>
      <c r="C565" s="154"/>
      <c r="D565" s="149" t="s">
        <v>3623</v>
      </c>
      <c r="E565" s="196"/>
      <c r="F565" s="161" t="s">
        <v>49</v>
      </c>
      <c r="G565" s="207" t="s">
        <v>3436</v>
      </c>
      <c r="H565" s="210" t="s">
        <v>306</v>
      </c>
      <c r="I565" s="154"/>
      <c r="J565" s="155"/>
    </row>
    <row r="566" ht="22.5" customHeight="1">
      <c r="A566" s="140" t="s">
        <v>2359</v>
      </c>
      <c r="B566" s="141" t="s">
        <v>2743</v>
      </c>
      <c r="C566" s="141" t="s">
        <v>3624</v>
      </c>
      <c r="D566" s="141" t="s">
        <v>3625</v>
      </c>
      <c r="E566" s="142">
        <v>45605.0</v>
      </c>
      <c r="F566" s="169" t="s">
        <v>49</v>
      </c>
      <c r="G566" s="204" t="s">
        <v>3436</v>
      </c>
      <c r="H566" s="205" t="s">
        <v>306</v>
      </c>
      <c r="I566" s="146"/>
      <c r="J566" s="147"/>
    </row>
    <row r="567" ht="22.5" customHeight="1">
      <c r="A567" s="148" t="s">
        <v>2363</v>
      </c>
      <c r="B567" s="149" t="s">
        <v>2743</v>
      </c>
      <c r="C567" s="149" t="s">
        <v>3626</v>
      </c>
      <c r="D567" s="149" t="s">
        <v>3627</v>
      </c>
      <c r="E567" s="150">
        <v>45605.0</v>
      </c>
      <c r="F567" s="161" t="s">
        <v>49</v>
      </c>
      <c r="G567" s="207" t="s">
        <v>3436</v>
      </c>
      <c r="H567" s="210" t="s">
        <v>306</v>
      </c>
      <c r="I567" s="154"/>
      <c r="J567" s="155"/>
    </row>
    <row r="568" ht="22.5" customHeight="1">
      <c r="A568" s="140" t="s">
        <v>2365</v>
      </c>
      <c r="B568" s="141" t="s">
        <v>2743</v>
      </c>
      <c r="C568" s="141" t="s">
        <v>3628</v>
      </c>
      <c r="D568" s="141" t="s">
        <v>3629</v>
      </c>
      <c r="E568" s="197"/>
      <c r="F568" s="144"/>
      <c r="G568" s="204" t="s">
        <v>3436</v>
      </c>
      <c r="H568" s="205" t="s">
        <v>306</v>
      </c>
      <c r="I568" s="146"/>
      <c r="J568" s="147"/>
    </row>
    <row r="569" ht="22.5" customHeight="1">
      <c r="A569" s="148" t="s">
        <v>2367</v>
      </c>
      <c r="B569" s="149" t="s">
        <v>2743</v>
      </c>
      <c r="C569" s="154"/>
      <c r="D569" s="149" t="s">
        <v>3630</v>
      </c>
      <c r="E569" s="196"/>
      <c r="F569" s="161" t="s">
        <v>49</v>
      </c>
      <c r="G569" s="207" t="s">
        <v>3436</v>
      </c>
      <c r="H569" s="210" t="s">
        <v>306</v>
      </c>
      <c r="I569" s="154"/>
      <c r="J569" s="155"/>
    </row>
    <row r="570" ht="22.5" customHeight="1">
      <c r="A570" s="140" t="s">
        <v>2370</v>
      </c>
      <c r="B570" s="141" t="s">
        <v>2743</v>
      </c>
      <c r="C570" s="141" t="s">
        <v>3631</v>
      </c>
      <c r="D570" s="141" t="s">
        <v>3632</v>
      </c>
      <c r="E570" s="197"/>
      <c r="F570" s="169" t="s">
        <v>49</v>
      </c>
      <c r="G570" s="204" t="s">
        <v>3436</v>
      </c>
      <c r="H570" s="205" t="s">
        <v>306</v>
      </c>
      <c r="I570" s="146"/>
      <c r="J570" s="147"/>
    </row>
    <row r="571" ht="22.5" customHeight="1">
      <c r="A571" s="148" t="s">
        <v>2373</v>
      </c>
      <c r="B571" s="149" t="s">
        <v>2743</v>
      </c>
      <c r="C571" s="149" t="s">
        <v>3633</v>
      </c>
      <c r="D571" s="149" t="s">
        <v>3634</v>
      </c>
      <c r="E571" s="196"/>
      <c r="F571" s="161" t="s">
        <v>49</v>
      </c>
      <c r="G571" s="207" t="s">
        <v>3436</v>
      </c>
      <c r="H571" s="210" t="s">
        <v>306</v>
      </c>
      <c r="I571" s="154"/>
      <c r="J571" s="155"/>
    </row>
    <row r="572" ht="22.5" customHeight="1">
      <c r="A572" s="140" t="s">
        <v>2376</v>
      </c>
      <c r="B572" s="141" t="s">
        <v>2743</v>
      </c>
      <c r="C572" s="146"/>
      <c r="D572" s="141" t="s">
        <v>3635</v>
      </c>
      <c r="E572" s="197"/>
      <c r="F572" s="216" t="s">
        <v>40</v>
      </c>
      <c r="G572" s="204" t="s">
        <v>3436</v>
      </c>
      <c r="H572" s="205" t="s">
        <v>306</v>
      </c>
      <c r="I572" s="146"/>
      <c r="J572" s="147"/>
    </row>
    <row r="573" ht="22.5" customHeight="1">
      <c r="A573" s="148" t="s">
        <v>2378</v>
      </c>
      <c r="B573" s="149" t="s">
        <v>2743</v>
      </c>
      <c r="C573" s="149" t="s">
        <v>3636</v>
      </c>
      <c r="D573" s="149" t="s">
        <v>3637</v>
      </c>
      <c r="E573" s="150">
        <v>45605.0</v>
      </c>
      <c r="F573" s="214" t="s">
        <v>17</v>
      </c>
      <c r="G573" s="207" t="s">
        <v>3436</v>
      </c>
      <c r="H573" s="210" t="s">
        <v>306</v>
      </c>
      <c r="I573" s="154"/>
      <c r="J573" s="155"/>
    </row>
    <row r="574" ht="22.5" customHeight="1">
      <c r="A574" s="140" t="s">
        <v>2380</v>
      </c>
      <c r="B574" s="141" t="s">
        <v>2743</v>
      </c>
      <c r="C574" s="141" t="s">
        <v>3638</v>
      </c>
      <c r="D574" s="141" t="s">
        <v>3639</v>
      </c>
      <c r="E574" s="197"/>
      <c r="F574" s="216" t="s">
        <v>40</v>
      </c>
      <c r="G574" s="204" t="s">
        <v>3436</v>
      </c>
      <c r="H574" s="205" t="s">
        <v>306</v>
      </c>
      <c r="I574" s="146"/>
      <c r="J574" s="147"/>
    </row>
    <row r="575" ht="22.5" customHeight="1">
      <c r="A575" s="148" t="s">
        <v>2383</v>
      </c>
      <c r="B575" s="149" t="s">
        <v>2743</v>
      </c>
      <c r="C575" s="195" t="s">
        <v>3640</v>
      </c>
      <c r="D575" s="195" t="s">
        <v>3641</v>
      </c>
      <c r="E575" s="196"/>
      <c r="F575" s="161" t="s">
        <v>49</v>
      </c>
      <c r="G575" s="207" t="s">
        <v>3436</v>
      </c>
      <c r="H575" s="210" t="s">
        <v>306</v>
      </c>
      <c r="I575" s="154"/>
      <c r="J575" s="155"/>
    </row>
    <row r="576" ht="22.5" customHeight="1">
      <c r="A576" s="140" t="s">
        <v>2386</v>
      </c>
      <c r="B576" s="141" t="s">
        <v>2743</v>
      </c>
      <c r="C576" s="218" t="s">
        <v>3642</v>
      </c>
      <c r="D576" s="218" t="s">
        <v>3643</v>
      </c>
      <c r="E576" s="197"/>
      <c r="F576" s="216" t="s">
        <v>40</v>
      </c>
      <c r="G576" s="204" t="s">
        <v>3436</v>
      </c>
      <c r="H576" s="205" t="s">
        <v>306</v>
      </c>
      <c r="I576" s="146"/>
      <c r="J576" s="147"/>
    </row>
    <row r="577" ht="22.5" customHeight="1">
      <c r="A577" s="148" t="s">
        <v>2389</v>
      </c>
      <c r="B577" s="150">
        <v>45331.0</v>
      </c>
      <c r="C577" s="219" t="s">
        <v>3644</v>
      </c>
      <c r="D577" s="219" t="s">
        <v>3645</v>
      </c>
      <c r="E577" s="196"/>
      <c r="F577" s="213" t="s">
        <v>40</v>
      </c>
      <c r="G577" s="207" t="s">
        <v>3436</v>
      </c>
      <c r="H577" s="210" t="s">
        <v>306</v>
      </c>
      <c r="I577" s="154"/>
      <c r="J577" s="155"/>
    </row>
    <row r="578" ht="22.5" customHeight="1">
      <c r="A578" s="140" t="s">
        <v>2391</v>
      </c>
      <c r="B578" s="142">
        <v>45331.0</v>
      </c>
      <c r="C578" s="141" t="s">
        <v>3646</v>
      </c>
      <c r="D578" s="141" t="s">
        <v>3647</v>
      </c>
      <c r="E578" s="197"/>
      <c r="F578" s="169" t="s">
        <v>49</v>
      </c>
      <c r="G578" s="204" t="s">
        <v>3436</v>
      </c>
      <c r="H578" s="205" t="s">
        <v>306</v>
      </c>
      <c r="I578" s="146"/>
      <c r="J578" s="147"/>
    </row>
    <row r="579" ht="22.5" customHeight="1">
      <c r="A579" s="148" t="s">
        <v>2393</v>
      </c>
      <c r="B579" s="150">
        <v>45331.0</v>
      </c>
      <c r="C579" s="149" t="s">
        <v>3648</v>
      </c>
      <c r="D579" s="149" t="s">
        <v>3649</v>
      </c>
      <c r="E579" s="150">
        <v>45605.0</v>
      </c>
      <c r="F579" s="174" t="s">
        <v>2192</v>
      </c>
      <c r="G579" s="207" t="s">
        <v>3436</v>
      </c>
      <c r="H579" s="210" t="s">
        <v>306</v>
      </c>
      <c r="I579" s="154"/>
      <c r="J579" s="155"/>
    </row>
    <row r="580" ht="22.5" customHeight="1">
      <c r="A580" s="140" t="s">
        <v>2396</v>
      </c>
      <c r="B580" s="142">
        <v>45331.0</v>
      </c>
      <c r="C580" s="141" t="s">
        <v>3650</v>
      </c>
      <c r="D580" s="141" t="s">
        <v>3651</v>
      </c>
      <c r="E580" s="197"/>
      <c r="F580" s="216" t="s">
        <v>40</v>
      </c>
      <c r="G580" s="204" t="s">
        <v>3436</v>
      </c>
      <c r="H580" s="205" t="s">
        <v>306</v>
      </c>
      <c r="I580" s="146"/>
      <c r="J580" s="147"/>
    </row>
    <row r="581" ht="22.5" customHeight="1">
      <c r="A581" s="148" t="s">
        <v>2399</v>
      </c>
      <c r="B581" s="150">
        <v>45331.0</v>
      </c>
      <c r="C581" s="149" t="s">
        <v>3652</v>
      </c>
      <c r="D581" s="149" t="s">
        <v>3653</v>
      </c>
      <c r="E581" s="196"/>
      <c r="F581" s="161" t="s">
        <v>49</v>
      </c>
      <c r="G581" s="207" t="s">
        <v>3436</v>
      </c>
      <c r="H581" s="210" t="s">
        <v>306</v>
      </c>
      <c r="I581" s="154"/>
      <c r="J581" s="155"/>
    </row>
    <row r="582" ht="22.5" customHeight="1">
      <c r="A582" s="140" t="s">
        <v>2402</v>
      </c>
      <c r="B582" s="142">
        <v>45331.0</v>
      </c>
      <c r="C582" s="141" t="s">
        <v>3654</v>
      </c>
      <c r="D582" s="141" t="s">
        <v>3655</v>
      </c>
      <c r="E582" s="197"/>
      <c r="F582" s="216" t="s">
        <v>40</v>
      </c>
      <c r="G582" s="204" t="s">
        <v>3436</v>
      </c>
      <c r="H582" s="205" t="s">
        <v>306</v>
      </c>
      <c r="I582" s="146"/>
      <c r="J582" s="147"/>
    </row>
    <row r="583" ht="22.5" customHeight="1">
      <c r="A583" s="148" t="s">
        <v>2404</v>
      </c>
      <c r="B583" s="150">
        <v>45331.0</v>
      </c>
      <c r="C583" s="149" t="s">
        <v>3656</v>
      </c>
      <c r="D583" s="149" t="s">
        <v>3657</v>
      </c>
      <c r="E583" s="196"/>
      <c r="F583" s="161" t="s">
        <v>49</v>
      </c>
      <c r="G583" s="207" t="s">
        <v>3436</v>
      </c>
      <c r="H583" s="210" t="s">
        <v>306</v>
      </c>
      <c r="I583" s="154"/>
      <c r="J583" s="155"/>
    </row>
    <row r="584" ht="22.5" customHeight="1">
      <c r="A584" s="140" t="s">
        <v>2407</v>
      </c>
      <c r="B584" s="142">
        <v>45331.0</v>
      </c>
      <c r="C584" s="141" t="s">
        <v>3658</v>
      </c>
      <c r="D584" s="141" t="s">
        <v>3659</v>
      </c>
      <c r="E584" s="197"/>
      <c r="F584" s="169" t="s">
        <v>49</v>
      </c>
      <c r="G584" s="204" t="s">
        <v>3436</v>
      </c>
      <c r="H584" s="205" t="s">
        <v>306</v>
      </c>
      <c r="I584" s="146"/>
      <c r="J584" s="147"/>
    </row>
    <row r="585" ht="22.5" customHeight="1">
      <c r="A585" s="148" t="s">
        <v>2410</v>
      </c>
      <c r="B585" s="150">
        <v>45331.0</v>
      </c>
      <c r="C585" s="149" t="s">
        <v>3660</v>
      </c>
      <c r="D585" s="149" t="s">
        <v>3661</v>
      </c>
      <c r="E585" s="196"/>
      <c r="F585" s="161" t="s">
        <v>49</v>
      </c>
      <c r="G585" s="207" t="s">
        <v>3436</v>
      </c>
      <c r="H585" s="210" t="s">
        <v>306</v>
      </c>
      <c r="I585" s="154"/>
      <c r="J585" s="155"/>
    </row>
    <row r="586" ht="22.5" customHeight="1">
      <c r="A586" s="140" t="s">
        <v>2413</v>
      </c>
      <c r="B586" s="142">
        <v>45331.0</v>
      </c>
      <c r="C586" s="141" t="s">
        <v>3662</v>
      </c>
      <c r="D586" s="141" t="s">
        <v>3663</v>
      </c>
      <c r="E586" s="197"/>
      <c r="F586" s="169" t="s">
        <v>49</v>
      </c>
      <c r="G586" s="204" t="s">
        <v>3436</v>
      </c>
      <c r="H586" s="205" t="s">
        <v>306</v>
      </c>
      <c r="I586" s="146"/>
      <c r="J586" s="147"/>
    </row>
    <row r="587" ht="22.5" customHeight="1">
      <c r="A587" s="148" t="s">
        <v>2416</v>
      </c>
      <c r="B587" s="150">
        <v>45331.0</v>
      </c>
      <c r="C587" s="154"/>
      <c r="D587" s="149" t="s">
        <v>3664</v>
      </c>
      <c r="E587" s="196"/>
      <c r="F587" s="161" t="s">
        <v>49</v>
      </c>
      <c r="G587" s="207" t="s">
        <v>3436</v>
      </c>
      <c r="H587" s="210" t="s">
        <v>306</v>
      </c>
      <c r="I587" s="154"/>
      <c r="J587" s="155"/>
    </row>
    <row r="588" ht="22.5" customHeight="1">
      <c r="A588" s="140" t="s">
        <v>2419</v>
      </c>
      <c r="B588" s="142">
        <v>45331.0</v>
      </c>
      <c r="C588" s="141" t="s">
        <v>3665</v>
      </c>
      <c r="D588" s="141" t="s">
        <v>3666</v>
      </c>
      <c r="E588" s="197"/>
      <c r="F588" s="169" t="s">
        <v>49</v>
      </c>
      <c r="G588" s="204" t="s">
        <v>3436</v>
      </c>
      <c r="H588" s="205" t="s">
        <v>306</v>
      </c>
      <c r="I588" s="146"/>
      <c r="J588" s="147"/>
    </row>
    <row r="589" ht="22.5" customHeight="1">
      <c r="A589" s="148" t="s">
        <v>2422</v>
      </c>
      <c r="B589" s="150">
        <v>45331.0</v>
      </c>
      <c r="C589" s="149" t="s">
        <v>3667</v>
      </c>
      <c r="D589" s="149" t="s">
        <v>3668</v>
      </c>
      <c r="E589" s="196"/>
      <c r="F589" s="161" t="s">
        <v>49</v>
      </c>
      <c r="G589" s="207" t="s">
        <v>3436</v>
      </c>
      <c r="H589" s="210" t="s">
        <v>306</v>
      </c>
      <c r="I589" s="154"/>
      <c r="J589" s="155"/>
    </row>
    <row r="590" ht="22.5" customHeight="1">
      <c r="A590" s="140" t="s">
        <v>2425</v>
      </c>
      <c r="B590" s="142">
        <v>45331.0</v>
      </c>
      <c r="C590" s="141" t="s">
        <v>3669</v>
      </c>
      <c r="D590" s="141" t="s">
        <v>3670</v>
      </c>
      <c r="E590" s="197"/>
      <c r="F590" s="212" t="s">
        <v>17</v>
      </c>
      <c r="G590" s="204" t="s">
        <v>3436</v>
      </c>
      <c r="H590" s="205" t="s">
        <v>306</v>
      </c>
      <c r="I590" s="146"/>
      <c r="J590" s="147"/>
    </row>
    <row r="591" ht="22.5" customHeight="1">
      <c r="A591" s="148" t="s">
        <v>2427</v>
      </c>
      <c r="B591" s="150">
        <v>45331.0</v>
      </c>
      <c r="C591" s="154"/>
      <c r="D591" s="149" t="s">
        <v>3671</v>
      </c>
      <c r="E591" s="196"/>
      <c r="F591" s="161" t="s">
        <v>49</v>
      </c>
      <c r="G591" s="207" t="s">
        <v>3436</v>
      </c>
      <c r="H591" s="210" t="s">
        <v>306</v>
      </c>
      <c r="I591" s="154"/>
      <c r="J591" s="155"/>
    </row>
    <row r="592" ht="22.5" customHeight="1">
      <c r="A592" s="140" t="s">
        <v>2430</v>
      </c>
      <c r="B592" s="142">
        <v>45331.0</v>
      </c>
      <c r="C592" s="146"/>
      <c r="D592" s="141" t="s">
        <v>3672</v>
      </c>
      <c r="E592" s="197"/>
      <c r="F592" s="169" t="s">
        <v>49</v>
      </c>
      <c r="G592" s="204" t="s">
        <v>3436</v>
      </c>
      <c r="H592" s="205" t="s">
        <v>306</v>
      </c>
      <c r="I592" s="146"/>
      <c r="J592" s="147"/>
    </row>
    <row r="593" ht="22.5" customHeight="1">
      <c r="A593" s="148" t="s">
        <v>2434</v>
      </c>
      <c r="B593" s="150">
        <v>45331.0</v>
      </c>
      <c r="C593" s="149" t="s">
        <v>3673</v>
      </c>
      <c r="D593" s="149" t="s">
        <v>3674</v>
      </c>
      <c r="E593" s="196"/>
      <c r="F593" s="167" t="s">
        <v>635</v>
      </c>
      <c r="G593" s="207" t="s">
        <v>3436</v>
      </c>
      <c r="H593" s="210" t="s">
        <v>306</v>
      </c>
      <c r="I593" s="154"/>
      <c r="J593" s="155"/>
    </row>
    <row r="594" ht="22.5" customHeight="1">
      <c r="A594" s="140" t="s">
        <v>2438</v>
      </c>
      <c r="B594" s="142">
        <v>45331.0</v>
      </c>
      <c r="C594" s="146"/>
      <c r="D594" s="141" t="s">
        <v>3675</v>
      </c>
      <c r="E594" s="197"/>
      <c r="F594" s="216" t="s">
        <v>40</v>
      </c>
      <c r="G594" s="204" t="s">
        <v>3436</v>
      </c>
      <c r="H594" s="205" t="s">
        <v>306</v>
      </c>
      <c r="I594" s="146"/>
      <c r="J594" s="147"/>
    </row>
    <row r="595" ht="22.5" customHeight="1">
      <c r="A595" s="148" t="s">
        <v>2442</v>
      </c>
      <c r="B595" s="150">
        <v>45331.0</v>
      </c>
      <c r="C595" s="149" t="s">
        <v>3676</v>
      </c>
      <c r="D595" s="149" t="s">
        <v>3677</v>
      </c>
      <c r="E595" s="196"/>
      <c r="F595" s="161" t="s">
        <v>49</v>
      </c>
      <c r="G595" s="207" t="s">
        <v>3436</v>
      </c>
      <c r="H595" s="210" t="s">
        <v>306</v>
      </c>
      <c r="I595" s="154"/>
      <c r="J595" s="155"/>
    </row>
    <row r="596" ht="22.5" customHeight="1">
      <c r="A596" s="140" t="s">
        <v>2446</v>
      </c>
      <c r="B596" s="142">
        <v>45331.0</v>
      </c>
      <c r="C596" s="141" t="s">
        <v>3678</v>
      </c>
      <c r="D596" s="141" t="s">
        <v>3679</v>
      </c>
      <c r="E596" s="197"/>
      <c r="F596" s="216" t="s">
        <v>40</v>
      </c>
      <c r="G596" s="204" t="s">
        <v>3436</v>
      </c>
      <c r="H596" s="205" t="s">
        <v>306</v>
      </c>
      <c r="I596" s="146"/>
      <c r="J596" s="147"/>
    </row>
    <row r="597" ht="22.5" customHeight="1">
      <c r="A597" s="148" t="s">
        <v>2449</v>
      </c>
      <c r="B597" s="150">
        <v>45331.0</v>
      </c>
      <c r="C597" s="149" t="s">
        <v>3680</v>
      </c>
      <c r="D597" s="149" t="s">
        <v>3681</v>
      </c>
      <c r="E597" s="196"/>
      <c r="F597" s="213" t="s">
        <v>40</v>
      </c>
      <c r="G597" s="207" t="s">
        <v>3436</v>
      </c>
      <c r="H597" s="210" t="s">
        <v>306</v>
      </c>
      <c r="I597" s="154"/>
      <c r="J597" s="155"/>
    </row>
    <row r="598" ht="22.5" customHeight="1">
      <c r="A598" s="140" t="s">
        <v>2452</v>
      </c>
      <c r="B598" s="142">
        <v>45331.0</v>
      </c>
      <c r="C598" s="146"/>
      <c r="D598" s="141" t="s">
        <v>3682</v>
      </c>
      <c r="E598" s="197"/>
      <c r="F598" s="212" t="s">
        <v>17</v>
      </c>
      <c r="G598" s="204" t="s">
        <v>3436</v>
      </c>
      <c r="H598" s="205" t="s">
        <v>306</v>
      </c>
      <c r="I598" s="146"/>
      <c r="J598" s="147"/>
    </row>
    <row r="599" ht="22.5" customHeight="1">
      <c r="A599" s="148" t="s">
        <v>2455</v>
      </c>
      <c r="B599" s="150">
        <v>45331.0</v>
      </c>
      <c r="C599" s="149" t="s">
        <v>3683</v>
      </c>
      <c r="D599" s="149" t="s">
        <v>3684</v>
      </c>
      <c r="E599" s="196"/>
      <c r="F599" s="213" t="s">
        <v>40</v>
      </c>
      <c r="G599" s="207" t="s">
        <v>3436</v>
      </c>
      <c r="H599" s="210" t="s">
        <v>306</v>
      </c>
      <c r="I599" s="154"/>
      <c r="J599" s="155"/>
    </row>
    <row r="600" ht="22.5" customHeight="1">
      <c r="A600" s="140" t="s">
        <v>2458</v>
      </c>
      <c r="B600" s="142">
        <v>45331.0</v>
      </c>
      <c r="C600" s="141" t="s">
        <v>3685</v>
      </c>
      <c r="D600" s="141" t="s">
        <v>3686</v>
      </c>
      <c r="E600" s="197"/>
      <c r="F600" s="169" t="s">
        <v>49</v>
      </c>
      <c r="G600" s="204" t="s">
        <v>3436</v>
      </c>
      <c r="H600" s="205" t="s">
        <v>306</v>
      </c>
      <c r="I600" s="146"/>
      <c r="J600" s="147"/>
    </row>
    <row r="601" ht="22.5" customHeight="1">
      <c r="A601" s="148" t="s">
        <v>2461</v>
      </c>
      <c r="B601" s="150">
        <v>45331.0</v>
      </c>
      <c r="C601" s="149" t="s">
        <v>3687</v>
      </c>
      <c r="D601" s="149" t="s">
        <v>3688</v>
      </c>
      <c r="E601" s="150">
        <v>45605.0</v>
      </c>
      <c r="F601" s="213" t="s">
        <v>40</v>
      </c>
      <c r="G601" s="207" t="s">
        <v>3436</v>
      </c>
      <c r="H601" s="210" t="s">
        <v>306</v>
      </c>
      <c r="I601" s="154"/>
      <c r="J601" s="155"/>
    </row>
    <row r="602" ht="22.5" customHeight="1">
      <c r="A602" s="140" t="s">
        <v>2464</v>
      </c>
      <c r="B602" s="142">
        <v>45331.0</v>
      </c>
      <c r="C602" s="146"/>
      <c r="D602" s="141" t="s">
        <v>3689</v>
      </c>
      <c r="E602" s="142">
        <v>45605.0</v>
      </c>
      <c r="F602" s="212" t="s">
        <v>17</v>
      </c>
      <c r="G602" s="204" t="s">
        <v>3436</v>
      </c>
      <c r="H602" s="205" t="s">
        <v>306</v>
      </c>
      <c r="I602" s="146"/>
      <c r="J602" s="147"/>
    </row>
    <row r="603" ht="22.5" customHeight="1">
      <c r="A603" s="148" t="s">
        <v>2467</v>
      </c>
      <c r="B603" s="150">
        <v>45331.0</v>
      </c>
      <c r="C603" s="154"/>
      <c r="D603" s="149" t="s">
        <v>3690</v>
      </c>
      <c r="E603" s="196"/>
      <c r="F603" s="161" t="s">
        <v>49</v>
      </c>
      <c r="G603" s="207" t="s">
        <v>3436</v>
      </c>
      <c r="H603" s="210" t="s">
        <v>306</v>
      </c>
      <c r="I603" s="154"/>
      <c r="J603" s="155"/>
    </row>
    <row r="604" ht="22.5" customHeight="1">
      <c r="A604" s="140" t="s">
        <v>2470</v>
      </c>
      <c r="B604" s="142">
        <v>45331.0</v>
      </c>
      <c r="C604" s="141" t="s">
        <v>3691</v>
      </c>
      <c r="D604" s="141" t="s">
        <v>3692</v>
      </c>
      <c r="E604" s="197"/>
      <c r="F604" s="216" t="s">
        <v>40</v>
      </c>
      <c r="G604" s="204" t="s">
        <v>3436</v>
      </c>
      <c r="H604" s="205" t="s">
        <v>306</v>
      </c>
      <c r="I604" s="146"/>
      <c r="J604" s="147"/>
    </row>
    <row r="605" ht="22.5" customHeight="1">
      <c r="A605" s="148" t="s">
        <v>2473</v>
      </c>
      <c r="B605" s="150">
        <v>45331.0</v>
      </c>
      <c r="C605" s="149" t="s">
        <v>3693</v>
      </c>
      <c r="D605" s="149" t="s">
        <v>3694</v>
      </c>
      <c r="E605" s="196"/>
      <c r="F605" s="213" t="s">
        <v>40</v>
      </c>
      <c r="G605" s="207" t="s">
        <v>3436</v>
      </c>
      <c r="H605" s="210" t="s">
        <v>306</v>
      </c>
      <c r="I605" s="154"/>
      <c r="J605" s="155"/>
    </row>
    <row r="606" ht="22.5" customHeight="1">
      <c r="A606" s="140" t="s">
        <v>2476</v>
      </c>
      <c r="B606" s="142">
        <v>45331.0</v>
      </c>
      <c r="C606" s="146"/>
      <c r="D606" s="141" t="s">
        <v>3695</v>
      </c>
      <c r="E606" s="197"/>
      <c r="F606" s="216" t="s">
        <v>40</v>
      </c>
      <c r="G606" s="204" t="s">
        <v>3436</v>
      </c>
      <c r="H606" s="205" t="s">
        <v>306</v>
      </c>
      <c r="I606" s="146"/>
      <c r="J606" s="147"/>
    </row>
    <row r="607" ht="22.5" customHeight="1">
      <c r="A607" s="148" t="s">
        <v>2479</v>
      </c>
      <c r="B607" s="150">
        <v>45331.0</v>
      </c>
      <c r="C607" s="149" t="s">
        <v>3696</v>
      </c>
      <c r="D607" s="149" t="s">
        <v>3697</v>
      </c>
      <c r="E607" s="196"/>
      <c r="F607" s="167" t="s">
        <v>635</v>
      </c>
      <c r="G607" s="207" t="s">
        <v>3436</v>
      </c>
      <c r="H607" s="210" t="s">
        <v>306</v>
      </c>
      <c r="I607" s="154"/>
      <c r="J607" s="155"/>
    </row>
    <row r="608" ht="22.5" customHeight="1">
      <c r="A608" s="140" t="s">
        <v>2483</v>
      </c>
      <c r="B608" s="142">
        <v>45331.0</v>
      </c>
      <c r="C608" s="146"/>
      <c r="D608" s="141" t="s">
        <v>3698</v>
      </c>
      <c r="E608" s="197"/>
      <c r="F608" s="169" t="s">
        <v>49</v>
      </c>
      <c r="G608" s="204" t="s">
        <v>3436</v>
      </c>
      <c r="H608" s="205" t="s">
        <v>306</v>
      </c>
      <c r="I608" s="146"/>
      <c r="J608" s="147"/>
    </row>
    <row r="609" ht="22.5" customHeight="1">
      <c r="A609" s="148" t="s">
        <v>2487</v>
      </c>
      <c r="B609" s="150">
        <v>45331.0</v>
      </c>
      <c r="C609" s="154"/>
      <c r="D609" s="149" t="s">
        <v>3699</v>
      </c>
      <c r="E609" s="196"/>
      <c r="F609" s="213" t="s">
        <v>40</v>
      </c>
      <c r="G609" s="207" t="s">
        <v>3436</v>
      </c>
      <c r="H609" s="210" t="s">
        <v>306</v>
      </c>
      <c r="I609" s="154"/>
      <c r="J609" s="155"/>
    </row>
    <row r="610" ht="22.5" customHeight="1">
      <c r="A610" s="140" t="s">
        <v>2491</v>
      </c>
      <c r="B610" s="142">
        <v>45331.0</v>
      </c>
      <c r="C610" s="146"/>
      <c r="D610" s="141" t="s">
        <v>3700</v>
      </c>
      <c r="E610" s="197"/>
      <c r="F610" s="216" t="s">
        <v>40</v>
      </c>
      <c r="G610" s="204" t="s">
        <v>3436</v>
      </c>
      <c r="H610" s="205" t="s">
        <v>306</v>
      </c>
      <c r="I610" s="146"/>
      <c r="J610" s="147"/>
    </row>
    <row r="611" ht="22.5" customHeight="1">
      <c r="A611" s="148" t="s">
        <v>2495</v>
      </c>
      <c r="B611" s="150">
        <v>45331.0</v>
      </c>
      <c r="C611" s="154"/>
      <c r="D611" s="149" t="s">
        <v>3701</v>
      </c>
      <c r="E611" s="196"/>
      <c r="F611" s="161" t="s">
        <v>49</v>
      </c>
      <c r="G611" s="207" t="s">
        <v>3436</v>
      </c>
      <c r="H611" s="210" t="s">
        <v>306</v>
      </c>
      <c r="I611" s="154"/>
      <c r="J611" s="155"/>
    </row>
    <row r="612" ht="22.5" customHeight="1">
      <c r="A612" s="140" t="s">
        <v>2499</v>
      </c>
      <c r="B612" s="142">
        <v>45331.0</v>
      </c>
      <c r="C612" s="146"/>
      <c r="D612" s="141" t="s">
        <v>3702</v>
      </c>
      <c r="E612" s="197"/>
      <c r="F612" s="169" t="s">
        <v>49</v>
      </c>
      <c r="G612" s="204" t="s">
        <v>3436</v>
      </c>
      <c r="H612" s="205" t="s">
        <v>306</v>
      </c>
      <c r="I612" s="146"/>
      <c r="J612" s="147"/>
    </row>
    <row r="613" ht="22.5" customHeight="1">
      <c r="A613" s="148" t="s">
        <v>2502</v>
      </c>
      <c r="B613" s="150">
        <v>45331.0</v>
      </c>
      <c r="C613" s="149" t="s">
        <v>3703</v>
      </c>
      <c r="D613" s="149" t="s">
        <v>3704</v>
      </c>
      <c r="E613" s="196"/>
      <c r="F613" s="161" t="s">
        <v>49</v>
      </c>
      <c r="G613" s="207" t="s">
        <v>3436</v>
      </c>
      <c r="H613" s="210" t="s">
        <v>306</v>
      </c>
      <c r="I613" s="154"/>
      <c r="J613" s="155"/>
    </row>
    <row r="614" ht="22.5" customHeight="1">
      <c r="A614" s="140" t="s">
        <v>2506</v>
      </c>
      <c r="B614" s="142">
        <v>45331.0</v>
      </c>
      <c r="C614" s="146"/>
      <c r="D614" s="141" t="s">
        <v>3705</v>
      </c>
      <c r="E614" s="197"/>
      <c r="F614" s="216" t="s">
        <v>40</v>
      </c>
      <c r="G614" s="204" t="s">
        <v>3436</v>
      </c>
      <c r="H614" s="205" t="s">
        <v>306</v>
      </c>
      <c r="I614" s="146"/>
      <c r="J614" s="147"/>
    </row>
    <row r="615" ht="22.5" customHeight="1">
      <c r="A615" s="148" t="s">
        <v>2510</v>
      </c>
      <c r="B615" s="150">
        <v>45331.0</v>
      </c>
      <c r="C615" s="149" t="s">
        <v>3706</v>
      </c>
      <c r="D615" s="149" t="s">
        <v>3707</v>
      </c>
      <c r="E615" s="196"/>
      <c r="F615" s="213" t="s">
        <v>40</v>
      </c>
      <c r="G615" s="207" t="s">
        <v>3436</v>
      </c>
      <c r="H615" s="210" t="s">
        <v>306</v>
      </c>
      <c r="I615" s="154"/>
      <c r="J615" s="155"/>
    </row>
    <row r="616" ht="22.5" customHeight="1">
      <c r="A616" s="140" t="s">
        <v>2513</v>
      </c>
      <c r="B616" s="142">
        <v>45331.0</v>
      </c>
      <c r="C616" s="141" t="s">
        <v>3708</v>
      </c>
      <c r="D616" s="141" t="s">
        <v>3709</v>
      </c>
      <c r="E616" s="159" t="s">
        <v>3249</v>
      </c>
      <c r="F616" s="156" t="s">
        <v>635</v>
      </c>
      <c r="G616" s="204" t="s">
        <v>3436</v>
      </c>
      <c r="H616" s="205" t="s">
        <v>306</v>
      </c>
      <c r="I616" s="146"/>
      <c r="J616" s="147"/>
    </row>
    <row r="617" ht="22.5" customHeight="1">
      <c r="A617" s="148" t="s">
        <v>2516</v>
      </c>
      <c r="B617" s="150">
        <v>45360.0</v>
      </c>
      <c r="C617" s="149" t="s">
        <v>3710</v>
      </c>
      <c r="D617" s="149" t="s">
        <v>3711</v>
      </c>
      <c r="E617" s="158" t="s">
        <v>3249</v>
      </c>
      <c r="F617" s="213" t="s">
        <v>40</v>
      </c>
      <c r="G617" s="207" t="s">
        <v>3436</v>
      </c>
      <c r="H617" s="210" t="s">
        <v>306</v>
      </c>
      <c r="I617" s="154"/>
      <c r="J617" s="155"/>
    </row>
    <row r="618" ht="22.5" customHeight="1">
      <c r="A618" s="140" t="s">
        <v>2520</v>
      </c>
      <c r="B618" s="142">
        <v>45360.0</v>
      </c>
      <c r="C618" s="146"/>
      <c r="D618" s="141" t="s">
        <v>3712</v>
      </c>
      <c r="E618" s="159" t="s">
        <v>3249</v>
      </c>
      <c r="F618" s="169" t="s">
        <v>49</v>
      </c>
      <c r="G618" s="204" t="s">
        <v>3436</v>
      </c>
      <c r="H618" s="205" t="s">
        <v>306</v>
      </c>
      <c r="I618" s="146"/>
      <c r="J618" s="147"/>
    </row>
    <row r="619" ht="22.5" customHeight="1">
      <c r="A619" s="220" t="s">
        <v>2524</v>
      </c>
      <c r="B619" s="221">
        <v>45360.0</v>
      </c>
      <c r="C619" s="222" t="s">
        <v>3713</v>
      </c>
      <c r="D619" s="222" t="s">
        <v>3714</v>
      </c>
      <c r="E619" s="223" t="s">
        <v>3249</v>
      </c>
      <c r="F619" s="224" t="s">
        <v>40</v>
      </c>
      <c r="G619" s="225" t="s">
        <v>3436</v>
      </c>
      <c r="H619" s="226" t="s">
        <v>306</v>
      </c>
      <c r="I619" s="154"/>
      <c r="J619" s="155"/>
    </row>
    <row r="620" ht="22.5" customHeight="1">
      <c r="A620" s="140" t="s">
        <v>2528</v>
      </c>
      <c r="B620" s="142">
        <v>45360.0</v>
      </c>
      <c r="C620" s="141" t="s">
        <v>3715</v>
      </c>
      <c r="D620" s="141" t="s">
        <v>3716</v>
      </c>
      <c r="E620" s="159" t="s">
        <v>3249</v>
      </c>
      <c r="F620" s="169" t="s">
        <v>49</v>
      </c>
      <c r="G620" s="204" t="s">
        <v>3436</v>
      </c>
      <c r="H620" s="205" t="s">
        <v>306</v>
      </c>
      <c r="I620" s="146"/>
      <c r="J620" s="147"/>
    </row>
    <row r="621" ht="22.5" customHeight="1">
      <c r="A621" s="148" t="s">
        <v>2532</v>
      </c>
      <c r="B621" s="150">
        <v>45360.0</v>
      </c>
      <c r="C621" s="149" t="s">
        <v>3717</v>
      </c>
      <c r="D621" s="149" t="s">
        <v>3718</v>
      </c>
      <c r="E621" s="158" t="s">
        <v>3249</v>
      </c>
      <c r="F621" s="213" t="s">
        <v>40</v>
      </c>
      <c r="G621" s="207" t="s">
        <v>3436</v>
      </c>
      <c r="H621" s="210" t="s">
        <v>306</v>
      </c>
      <c r="I621" s="154"/>
      <c r="J621" s="155"/>
    </row>
    <row r="622" ht="22.5" customHeight="1">
      <c r="A622" s="140" t="s">
        <v>2535</v>
      </c>
      <c r="B622" s="142">
        <v>45360.0</v>
      </c>
      <c r="C622" s="141" t="s">
        <v>3719</v>
      </c>
      <c r="D622" s="141" t="s">
        <v>3720</v>
      </c>
      <c r="E622" s="159" t="s">
        <v>3249</v>
      </c>
      <c r="F622" s="216" t="s">
        <v>40</v>
      </c>
      <c r="G622" s="204" t="s">
        <v>3436</v>
      </c>
      <c r="H622" s="205" t="s">
        <v>306</v>
      </c>
      <c r="I622" s="146"/>
      <c r="J622" s="147"/>
    </row>
    <row r="623" ht="22.5" customHeight="1">
      <c r="A623" s="148" t="s">
        <v>2538</v>
      </c>
      <c r="B623" s="150">
        <v>45360.0</v>
      </c>
      <c r="C623" s="154"/>
      <c r="D623" s="149" t="s">
        <v>3721</v>
      </c>
      <c r="E623" s="150">
        <v>45635.0</v>
      </c>
      <c r="F623" s="213" t="s">
        <v>40</v>
      </c>
      <c r="G623" s="207" t="s">
        <v>3436</v>
      </c>
      <c r="H623" s="210" t="s">
        <v>306</v>
      </c>
      <c r="I623" s="154"/>
      <c r="J623" s="155"/>
    </row>
    <row r="624" ht="22.5" customHeight="1">
      <c r="A624" s="140" t="s">
        <v>2542</v>
      </c>
      <c r="B624" s="142">
        <v>45360.0</v>
      </c>
      <c r="C624" s="141" t="s">
        <v>3722</v>
      </c>
      <c r="D624" s="141" t="s">
        <v>3723</v>
      </c>
      <c r="E624" s="159" t="s">
        <v>3249</v>
      </c>
      <c r="F624" s="212" t="s">
        <v>17</v>
      </c>
      <c r="G624" s="204" t="s">
        <v>3436</v>
      </c>
      <c r="H624" s="205" t="s">
        <v>306</v>
      </c>
      <c r="I624" s="146"/>
      <c r="J624" s="147"/>
    </row>
    <row r="625" ht="22.5" customHeight="1">
      <c r="A625" s="148" t="s">
        <v>2545</v>
      </c>
      <c r="B625" s="150">
        <v>45360.0</v>
      </c>
      <c r="C625" s="149" t="s">
        <v>3724</v>
      </c>
      <c r="D625" s="149" t="s">
        <v>3725</v>
      </c>
      <c r="E625" s="158" t="s">
        <v>3249</v>
      </c>
      <c r="F625" s="213" t="s">
        <v>40</v>
      </c>
      <c r="G625" s="207" t="s">
        <v>3436</v>
      </c>
      <c r="H625" s="210" t="s">
        <v>306</v>
      </c>
      <c r="I625" s="154"/>
      <c r="J625" s="155"/>
    </row>
    <row r="626" ht="22.5" customHeight="1">
      <c r="A626" s="140" t="s">
        <v>2549</v>
      </c>
      <c r="B626" s="142">
        <v>45360.0</v>
      </c>
      <c r="C626" s="146"/>
      <c r="D626" s="141" t="s">
        <v>3726</v>
      </c>
      <c r="E626" s="159" t="s">
        <v>3249</v>
      </c>
      <c r="F626" s="216" t="s">
        <v>40</v>
      </c>
      <c r="G626" s="204" t="s">
        <v>3436</v>
      </c>
      <c r="H626" s="205" t="s">
        <v>306</v>
      </c>
      <c r="I626" s="146"/>
      <c r="J626" s="147"/>
    </row>
    <row r="627" ht="22.5" customHeight="1">
      <c r="A627" s="148" t="s">
        <v>2552</v>
      </c>
      <c r="B627" s="150">
        <v>45360.0</v>
      </c>
      <c r="C627" s="149" t="s">
        <v>3727</v>
      </c>
      <c r="D627" s="149" t="s">
        <v>3728</v>
      </c>
      <c r="E627" s="150">
        <v>45605.0</v>
      </c>
      <c r="F627" s="213" t="s">
        <v>40</v>
      </c>
      <c r="G627" s="207" t="s">
        <v>3436</v>
      </c>
      <c r="H627" s="210" t="s">
        <v>306</v>
      </c>
      <c r="I627" s="154"/>
      <c r="J627" s="155"/>
    </row>
    <row r="628" ht="22.5" customHeight="1">
      <c r="A628" s="140" t="s">
        <v>2555</v>
      </c>
      <c r="B628" s="142">
        <v>45360.0</v>
      </c>
      <c r="C628" s="141" t="s">
        <v>1416</v>
      </c>
      <c r="D628" s="141" t="s">
        <v>3729</v>
      </c>
      <c r="E628" s="142">
        <v>45605.0</v>
      </c>
      <c r="F628" s="216" t="s">
        <v>40</v>
      </c>
      <c r="G628" s="204" t="s">
        <v>3436</v>
      </c>
      <c r="H628" s="205" t="s">
        <v>306</v>
      </c>
      <c r="I628" s="146"/>
      <c r="J628" s="147"/>
    </row>
    <row r="629" ht="22.5" customHeight="1">
      <c r="A629" s="148" t="s">
        <v>2557</v>
      </c>
      <c r="B629" s="150">
        <v>45360.0</v>
      </c>
      <c r="C629" s="149" t="s">
        <v>3730</v>
      </c>
      <c r="D629" s="149" t="s">
        <v>3731</v>
      </c>
      <c r="E629" s="150">
        <v>45605.0</v>
      </c>
      <c r="F629" s="213" t="s">
        <v>40</v>
      </c>
      <c r="G629" s="207" t="s">
        <v>3436</v>
      </c>
      <c r="H629" s="210" t="s">
        <v>306</v>
      </c>
      <c r="I629" s="154"/>
      <c r="J629" s="155"/>
    </row>
    <row r="630" ht="22.5" customHeight="1">
      <c r="A630" s="140" t="s">
        <v>2560</v>
      </c>
      <c r="B630" s="142">
        <v>45360.0</v>
      </c>
      <c r="C630" s="141" t="s">
        <v>3732</v>
      </c>
      <c r="D630" s="141" t="s">
        <v>3733</v>
      </c>
      <c r="E630" s="197"/>
      <c r="F630" s="169" t="s">
        <v>49</v>
      </c>
      <c r="G630" s="204" t="s">
        <v>3436</v>
      </c>
      <c r="H630" s="205" t="s">
        <v>306</v>
      </c>
      <c r="I630" s="146"/>
      <c r="J630" s="147"/>
    </row>
    <row r="631" ht="22.5" customHeight="1">
      <c r="A631" s="148" t="s">
        <v>2563</v>
      </c>
      <c r="B631" s="150">
        <v>45391.0</v>
      </c>
      <c r="C631" s="149" t="s">
        <v>3734</v>
      </c>
      <c r="D631" s="149" t="s">
        <v>3735</v>
      </c>
      <c r="E631" s="196"/>
      <c r="F631" s="161" t="s">
        <v>49</v>
      </c>
      <c r="G631" s="207" t="s">
        <v>3436</v>
      </c>
      <c r="H631" s="210" t="s">
        <v>306</v>
      </c>
      <c r="I631" s="154"/>
      <c r="J631" s="155"/>
    </row>
    <row r="632" ht="22.5" customHeight="1">
      <c r="A632" s="140" t="s">
        <v>2567</v>
      </c>
      <c r="B632" s="142">
        <v>45391.0</v>
      </c>
      <c r="C632" s="146"/>
      <c r="D632" s="141" t="s">
        <v>3736</v>
      </c>
      <c r="E632" s="197"/>
      <c r="F632" s="169" t="s">
        <v>49</v>
      </c>
      <c r="G632" s="204" t="s">
        <v>3436</v>
      </c>
      <c r="H632" s="205" t="s">
        <v>306</v>
      </c>
      <c r="I632" s="146"/>
      <c r="J632" s="147"/>
    </row>
    <row r="633" ht="22.5" customHeight="1">
      <c r="A633" s="148" t="s">
        <v>2570</v>
      </c>
      <c r="B633" s="150">
        <v>45391.0</v>
      </c>
      <c r="C633" s="154"/>
      <c r="D633" s="149" t="s">
        <v>3737</v>
      </c>
      <c r="E633" s="196"/>
      <c r="F633" s="161" t="s">
        <v>49</v>
      </c>
      <c r="G633" s="207" t="s">
        <v>3436</v>
      </c>
      <c r="H633" s="210" t="s">
        <v>306</v>
      </c>
      <c r="I633" s="154"/>
      <c r="J633" s="155"/>
    </row>
    <row r="634" ht="22.5" customHeight="1">
      <c r="A634" s="140" t="s">
        <v>2573</v>
      </c>
      <c r="B634" s="142">
        <v>45391.0</v>
      </c>
      <c r="C634" s="146"/>
      <c r="D634" s="141" t="s">
        <v>3738</v>
      </c>
      <c r="E634" s="159" t="s">
        <v>3217</v>
      </c>
      <c r="F634" s="169" t="s">
        <v>49</v>
      </c>
      <c r="G634" s="204" t="s">
        <v>3436</v>
      </c>
      <c r="H634" s="205" t="s">
        <v>306</v>
      </c>
      <c r="I634" s="146"/>
      <c r="J634" s="147"/>
    </row>
    <row r="635" ht="22.5" customHeight="1">
      <c r="A635" s="148" t="s">
        <v>2576</v>
      </c>
      <c r="B635" s="150">
        <v>45391.0</v>
      </c>
      <c r="C635" s="149" t="s">
        <v>3739</v>
      </c>
      <c r="D635" s="149" t="s">
        <v>3740</v>
      </c>
      <c r="E635" s="158" t="s">
        <v>3217</v>
      </c>
      <c r="F635" s="161" t="s">
        <v>49</v>
      </c>
      <c r="G635" s="207" t="s">
        <v>3436</v>
      </c>
      <c r="H635" s="210" t="s">
        <v>306</v>
      </c>
      <c r="I635" s="154"/>
      <c r="J635" s="155"/>
    </row>
    <row r="636" ht="22.5" customHeight="1">
      <c r="A636" s="140" t="s">
        <v>2580</v>
      </c>
      <c r="B636" s="142">
        <v>45391.0</v>
      </c>
      <c r="C636" s="141" t="s">
        <v>3741</v>
      </c>
      <c r="D636" s="141" t="s">
        <v>3742</v>
      </c>
      <c r="E636" s="159" t="s">
        <v>3217</v>
      </c>
      <c r="F636" s="169" t="s">
        <v>49</v>
      </c>
      <c r="G636" s="204" t="s">
        <v>3436</v>
      </c>
      <c r="H636" s="205" t="s">
        <v>306</v>
      </c>
      <c r="I636" s="146"/>
      <c r="J636" s="147"/>
    </row>
    <row r="637" ht="22.5" customHeight="1">
      <c r="A637" s="148" t="s">
        <v>2583</v>
      </c>
      <c r="B637" s="150">
        <v>45391.0</v>
      </c>
      <c r="C637" s="149" t="s">
        <v>3743</v>
      </c>
      <c r="D637" s="149" t="s">
        <v>3744</v>
      </c>
      <c r="E637" s="158" t="s">
        <v>3249</v>
      </c>
      <c r="F637" s="213" t="s">
        <v>40</v>
      </c>
      <c r="G637" s="207" t="s">
        <v>3436</v>
      </c>
      <c r="H637" s="210" t="s">
        <v>306</v>
      </c>
      <c r="I637" s="154"/>
      <c r="J637" s="155"/>
    </row>
    <row r="638" ht="22.5" customHeight="1">
      <c r="A638" s="140" t="s">
        <v>2587</v>
      </c>
      <c r="B638" s="142">
        <v>45391.0</v>
      </c>
      <c r="C638" s="141" t="s">
        <v>3745</v>
      </c>
      <c r="D638" s="141" t="s">
        <v>3746</v>
      </c>
      <c r="E638" s="159" t="s">
        <v>3249</v>
      </c>
      <c r="F638" s="216" t="s">
        <v>40</v>
      </c>
      <c r="G638" s="204" t="s">
        <v>3436</v>
      </c>
      <c r="H638" s="205" t="s">
        <v>306</v>
      </c>
      <c r="I638" s="146"/>
      <c r="J638" s="147"/>
    </row>
    <row r="639" ht="22.5" customHeight="1">
      <c r="A639" s="148" t="s">
        <v>2590</v>
      </c>
      <c r="B639" s="150">
        <v>45391.0</v>
      </c>
      <c r="C639" s="154"/>
      <c r="D639" s="149" t="s">
        <v>3747</v>
      </c>
      <c r="E639" s="158" t="s">
        <v>3249</v>
      </c>
      <c r="F639" s="214" t="s">
        <v>17</v>
      </c>
      <c r="G639" s="207" t="s">
        <v>3436</v>
      </c>
      <c r="H639" s="210" t="s">
        <v>306</v>
      </c>
      <c r="I639" s="154"/>
      <c r="J639" s="155"/>
    </row>
    <row r="640" ht="22.5" customHeight="1">
      <c r="A640" s="140" t="s">
        <v>2594</v>
      </c>
      <c r="B640" s="142">
        <v>45391.0</v>
      </c>
      <c r="C640" s="141" t="s">
        <v>3748</v>
      </c>
      <c r="D640" s="141" t="s">
        <v>3749</v>
      </c>
      <c r="E640" s="159" t="s">
        <v>3249</v>
      </c>
      <c r="F640" s="169" t="s">
        <v>49</v>
      </c>
      <c r="G640" s="204" t="s">
        <v>3436</v>
      </c>
      <c r="H640" s="205" t="s">
        <v>306</v>
      </c>
      <c r="I640" s="146"/>
      <c r="J640" s="147"/>
    </row>
    <row r="641" ht="22.5" customHeight="1">
      <c r="A641" s="148" t="s">
        <v>2598</v>
      </c>
      <c r="B641" s="150">
        <v>45391.0</v>
      </c>
      <c r="C641" s="149" t="s">
        <v>3750</v>
      </c>
      <c r="D641" s="149" t="s">
        <v>3751</v>
      </c>
      <c r="E641" s="158" t="s">
        <v>3249</v>
      </c>
      <c r="F641" s="213" t="s">
        <v>40</v>
      </c>
      <c r="G641" s="207" t="s">
        <v>3436</v>
      </c>
      <c r="H641" s="210" t="s">
        <v>306</v>
      </c>
      <c r="I641" s="154"/>
      <c r="J641" s="155"/>
    </row>
    <row r="642" ht="22.5" customHeight="1">
      <c r="A642" s="140" t="s">
        <v>2602</v>
      </c>
      <c r="B642" s="142">
        <v>45391.0</v>
      </c>
      <c r="C642" s="141" t="s">
        <v>3752</v>
      </c>
      <c r="D642" s="141" t="s">
        <v>3753</v>
      </c>
      <c r="E642" s="159" t="s">
        <v>3249</v>
      </c>
      <c r="F642" s="169" t="s">
        <v>49</v>
      </c>
      <c r="G642" s="204" t="s">
        <v>3436</v>
      </c>
      <c r="H642" s="205" t="s">
        <v>306</v>
      </c>
      <c r="I642" s="146"/>
      <c r="J642" s="147"/>
    </row>
    <row r="643" ht="22.5" customHeight="1">
      <c r="A643" s="148" t="s">
        <v>2606</v>
      </c>
      <c r="B643" s="150">
        <v>45391.0</v>
      </c>
      <c r="C643" s="154"/>
      <c r="D643" s="149" t="s">
        <v>3754</v>
      </c>
      <c r="E643" s="158" t="s">
        <v>3755</v>
      </c>
      <c r="F643" s="213" t="s">
        <v>40</v>
      </c>
      <c r="G643" s="207" t="s">
        <v>3436</v>
      </c>
      <c r="H643" s="210" t="s">
        <v>306</v>
      </c>
      <c r="I643" s="154"/>
      <c r="J643" s="155"/>
    </row>
    <row r="644" ht="22.5" customHeight="1">
      <c r="A644" s="140" t="s">
        <v>2610</v>
      </c>
      <c r="B644" s="142">
        <v>45391.0</v>
      </c>
      <c r="C644" s="141" t="s">
        <v>3756</v>
      </c>
      <c r="D644" s="141" t="s">
        <v>3757</v>
      </c>
      <c r="E644" s="159" t="s">
        <v>3758</v>
      </c>
      <c r="F644" s="216" t="s">
        <v>40</v>
      </c>
      <c r="G644" s="204" t="s">
        <v>3436</v>
      </c>
      <c r="H644" s="205" t="s">
        <v>306</v>
      </c>
      <c r="I644" s="146"/>
      <c r="J644" s="147"/>
    </row>
    <row r="645" ht="22.5" customHeight="1">
      <c r="A645" s="148" t="s">
        <v>2614</v>
      </c>
      <c r="B645" s="150">
        <v>45391.0</v>
      </c>
      <c r="C645" s="149" t="s">
        <v>3759</v>
      </c>
      <c r="D645" s="149" t="s">
        <v>3760</v>
      </c>
      <c r="E645" s="158" t="s">
        <v>3761</v>
      </c>
      <c r="F645" s="161" t="s">
        <v>49</v>
      </c>
      <c r="G645" s="207" t="s">
        <v>3436</v>
      </c>
      <c r="H645" s="210" t="s">
        <v>306</v>
      </c>
      <c r="I645" s="154"/>
      <c r="J645" s="155"/>
    </row>
    <row r="646" ht="22.5" customHeight="1">
      <c r="A646" s="140" t="s">
        <v>2618</v>
      </c>
      <c r="B646" s="142">
        <v>45391.0</v>
      </c>
      <c r="C646" s="146"/>
      <c r="D646" s="141" t="s">
        <v>3762</v>
      </c>
      <c r="E646" s="159" t="s">
        <v>3763</v>
      </c>
      <c r="F646" s="216" t="s">
        <v>40</v>
      </c>
      <c r="G646" s="204" t="s">
        <v>3436</v>
      </c>
      <c r="H646" s="205" t="s">
        <v>306</v>
      </c>
      <c r="I646" s="146"/>
      <c r="J646" s="147"/>
    </row>
    <row r="647" ht="22.5" customHeight="1">
      <c r="A647" s="148" t="s">
        <v>2621</v>
      </c>
      <c r="B647" s="150">
        <v>45391.0</v>
      </c>
      <c r="C647" s="149" t="s">
        <v>3764</v>
      </c>
      <c r="D647" s="149" t="s">
        <v>3765</v>
      </c>
      <c r="E647" s="158" t="s">
        <v>3766</v>
      </c>
      <c r="F647" s="165" t="s">
        <v>2076</v>
      </c>
      <c r="G647" s="207" t="s">
        <v>3436</v>
      </c>
      <c r="H647" s="210" t="s">
        <v>306</v>
      </c>
      <c r="I647" s="154"/>
      <c r="J647" s="155"/>
    </row>
    <row r="648" ht="22.5" customHeight="1">
      <c r="A648" s="140" t="s">
        <v>2625</v>
      </c>
      <c r="B648" s="142">
        <v>45421.0</v>
      </c>
      <c r="C648" s="141" t="s">
        <v>3767</v>
      </c>
      <c r="D648" s="141" t="s">
        <v>3768</v>
      </c>
      <c r="E648" s="142">
        <v>45605.0</v>
      </c>
      <c r="F648" s="216" t="s">
        <v>40</v>
      </c>
      <c r="G648" s="204" t="s">
        <v>3436</v>
      </c>
      <c r="H648" s="205" t="s">
        <v>306</v>
      </c>
      <c r="I648" s="146"/>
      <c r="J648" s="147"/>
    </row>
    <row r="649" ht="22.5" customHeight="1">
      <c r="A649" s="148" t="s">
        <v>2629</v>
      </c>
      <c r="B649" s="150">
        <v>45421.0</v>
      </c>
      <c r="C649" s="149" t="s">
        <v>3769</v>
      </c>
      <c r="D649" s="149" t="s">
        <v>3770</v>
      </c>
      <c r="E649" s="150">
        <v>45452.0</v>
      </c>
      <c r="F649" s="161" t="s">
        <v>49</v>
      </c>
      <c r="G649" s="207" t="s">
        <v>3436</v>
      </c>
      <c r="H649" s="210" t="s">
        <v>306</v>
      </c>
      <c r="I649" s="154"/>
      <c r="J649" s="155"/>
    </row>
    <row r="650" ht="22.5" customHeight="1">
      <c r="A650" s="140" t="s">
        <v>2632</v>
      </c>
      <c r="B650" s="142">
        <v>45421.0</v>
      </c>
      <c r="C650" s="141" t="s">
        <v>3771</v>
      </c>
      <c r="D650" s="141" t="s">
        <v>3772</v>
      </c>
      <c r="E650" s="142">
        <v>45452.0</v>
      </c>
      <c r="F650" s="156" t="s">
        <v>635</v>
      </c>
      <c r="G650" s="204" t="s">
        <v>3436</v>
      </c>
      <c r="H650" s="205" t="s">
        <v>306</v>
      </c>
      <c r="I650" s="146"/>
      <c r="J650" s="147"/>
    </row>
    <row r="651" ht="22.5" customHeight="1">
      <c r="A651" s="148" t="s">
        <v>2636</v>
      </c>
      <c r="B651" s="150">
        <v>45421.0</v>
      </c>
      <c r="C651" s="154"/>
      <c r="D651" s="149" t="s">
        <v>3773</v>
      </c>
      <c r="E651" s="150">
        <v>45452.0</v>
      </c>
      <c r="F651" s="161" t="s">
        <v>49</v>
      </c>
      <c r="G651" s="207" t="s">
        <v>3436</v>
      </c>
      <c r="H651" s="210" t="s">
        <v>306</v>
      </c>
      <c r="I651" s="154"/>
      <c r="J651" s="155"/>
    </row>
    <row r="652" ht="22.5" customHeight="1">
      <c r="A652" s="140" t="s">
        <v>2639</v>
      </c>
      <c r="B652" s="142">
        <v>45421.0</v>
      </c>
      <c r="C652" s="141" t="s">
        <v>3774</v>
      </c>
      <c r="D652" s="141" t="s">
        <v>3775</v>
      </c>
      <c r="E652" s="142">
        <v>45452.0</v>
      </c>
      <c r="F652" s="169" t="s">
        <v>49</v>
      </c>
      <c r="G652" s="204" t="s">
        <v>3436</v>
      </c>
      <c r="H652" s="205" t="s">
        <v>306</v>
      </c>
      <c r="I652" s="146"/>
      <c r="J652" s="147"/>
    </row>
    <row r="653" ht="22.5" customHeight="1">
      <c r="A653" s="148" t="s">
        <v>2641</v>
      </c>
      <c r="B653" s="150">
        <v>45421.0</v>
      </c>
      <c r="C653" s="149" t="s">
        <v>3776</v>
      </c>
      <c r="D653" s="149" t="s">
        <v>3777</v>
      </c>
      <c r="E653" s="150">
        <v>45452.0</v>
      </c>
      <c r="F653" s="161" t="s">
        <v>49</v>
      </c>
      <c r="G653" s="207" t="s">
        <v>3436</v>
      </c>
      <c r="H653" s="210" t="s">
        <v>306</v>
      </c>
      <c r="I653" s="154"/>
      <c r="J653" s="155"/>
    </row>
    <row r="654" ht="22.5" customHeight="1">
      <c r="A654" s="140" t="s">
        <v>2645</v>
      </c>
      <c r="B654" s="142">
        <v>45421.0</v>
      </c>
      <c r="C654" s="141" t="s">
        <v>3778</v>
      </c>
      <c r="D654" s="141" t="s">
        <v>3779</v>
      </c>
      <c r="E654" s="142">
        <v>45452.0</v>
      </c>
      <c r="F654" s="169" t="s">
        <v>49</v>
      </c>
      <c r="G654" s="204" t="s">
        <v>3436</v>
      </c>
      <c r="H654" s="205" t="s">
        <v>306</v>
      </c>
      <c r="I654" s="146"/>
      <c r="J654" s="147"/>
    </row>
    <row r="655" ht="22.5" customHeight="1">
      <c r="A655" s="148" t="s">
        <v>2649</v>
      </c>
      <c r="B655" s="150">
        <v>45421.0</v>
      </c>
      <c r="C655" s="149" t="s">
        <v>346</v>
      </c>
      <c r="D655" s="149" t="s">
        <v>3780</v>
      </c>
      <c r="E655" s="150">
        <v>45452.0</v>
      </c>
      <c r="F655" s="213" t="s">
        <v>40</v>
      </c>
      <c r="G655" s="207" t="s">
        <v>3436</v>
      </c>
      <c r="H655" s="210" t="s">
        <v>306</v>
      </c>
      <c r="I655" s="154"/>
      <c r="J655" s="155"/>
    </row>
    <row r="656" ht="22.5" customHeight="1">
      <c r="A656" s="140" t="s">
        <v>2652</v>
      </c>
      <c r="B656" s="142">
        <v>45421.0</v>
      </c>
      <c r="C656" s="141" t="s">
        <v>3781</v>
      </c>
      <c r="D656" s="141" t="s">
        <v>3782</v>
      </c>
      <c r="E656" s="142">
        <v>45452.0</v>
      </c>
      <c r="F656" s="169" t="s">
        <v>49</v>
      </c>
      <c r="G656" s="204" t="s">
        <v>3436</v>
      </c>
      <c r="H656" s="205" t="s">
        <v>306</v>
      </c>
      <c r="I656" s="146"/>
      <c r="J656" s="147"/>
    </row>
    <row r="657" ht="22.5" customHeight="1">
      <c r="A657" s="148" t="s">
        <v>2655</v>
      </c>
      <c r="B657" s="150">
        <v>45421.0</v>
      </c>
      <c r="C657" s="154"/>
      <c r="D657" s="149" t="s">
        <v>3783</v>
      </c>
      <c r="E657" s="150">
        <v>45452.0</v>
      </c>
      <c r="F657" s="161" t="s">
        <v>49</v>
      </c>
      <c r="G657" s="207" t="s">
        <v>3436</v>
      </c>
      <c r="H657" s="210" t="s">
        <v>306</v>
      </c>
      <c r="I657" s="154"/>
      <c r="J657" s="155"/>
    </row>
    <row r="658" ht="22.5" customHeight="1">
      <c r="A658" s="140" t="s">
        <v>2658</v>
      </c>
      <c r="B658" s="142">
        <v>45421.0</v>
      </c>
      <c r="C658" s="141" t="s">
        <v>3784</v>
      </c>
      <c r="D658" s="141" t="s">
        <v>3785</v>
      </c>
      <c r="E658" s="142">
        <v>45605.0</v>
      </c>
      <c r="F658" s="216" t="s">
        <v>40</v>
      </c>
      <c r="G658" s="204" t="s">
        <v>3436</v>
      </c>
      <c r="H658" s="205" t="s">
        <v>306</v>
      </c>
      <c r="I658" s="146"/>
      <c r="J658" s="147"/>
    </row>
    <row r="659" ht="22.5" customHeight="1">
      <c r="A659" s="148" t="s">
        <v>2662</v>
      </c>
      <c r="B659" s="150">
        <v>45421.0</v>
      </c>
      <c r="C659" s="149" t="s">
        <v>3786</v>
      </c>
      <c r="D659" s="149" t="s">
        <v>3787</v>
      </c>
      <c r="E659" s="150">
        <v>45452.0</v>
      </c>
      <c r="F659" s="161" t="s">
        <v>49</v>
      </c>
      <c r="G659" s="207" t="s">
        <v>3436</v>
      </c>
      <c r="H659" s="210" t="s">
        <v>306</v>
      </c>
      <c r="I659" s="154"/>
      <c r="J659" s="155"/>
    </row>
    <row r="660" ht="22.5" customHeight="1">
      <c r="A660" s="140" t="s">
        <v>2666</v>
      </c>
      <c r="B660" s="142">
        <v>45421.0</v>
      </c>
      <c r="C660" s="141" t="s">
        <v>3788</v>
      </c>
      <c r="D660" s="141" t="s">
        <v>3789</v>
      </c>
      <c r="E660" s="142">
        <v>45452.0</v>
      </c>
      <c r="F660" s="169" t="s">
        <v>49</v>
      </c>
      <c r="G660" s="204" t="s">
        <v>3436</v>
      </c>
      <c r="H660" s="205" t="s">
        <v>306</v>
      </c>
      <c r="I660" s="146"/>
      <c r="J660" s="147"/>
    </row>
    <row r="661" ht="22.5" customHeight="1">
      <c r="A661" s="148" t="s">
        <v>2669</v>
      </c>
      <c r="B661" s="150">
        <v>45421.0</v>
      </c>
      <c r="C661" s="149" t="s">
        <v>3790</v>
      </c>
      <c r="D661" s="149" t="s">
        <v>3791</v>
      </c>
      <c r="E661" s="150">
        <v>45605.0</v>
      </c>
      <c r="F661" s="213" t="s">
        <v>40</v>
      </c>
      <c r="G661" s="227" t="s">
        <v>3436</v>
      </c>
      <c r="H661" s="210" t="s">
        <v>306</v>
      </c>
      <c r="I661" s="154"/>
      <c r="J661" s="155"/>
    </row>
    <row r="662" ht="22.5" customHeight="1">
      <c r="A662" s="140" t="s">
        <v>2672</v>
      </c>
      <c r="B662" s="142">
        <v>45421.0</v>
      </c>
      <c r="C662" s="146"/>
      <c r="D662" s="141" t="s">
        <v>3792</v>
      </c>
      <c r="E662" s="142">
        <v>45544.0</v>
      </c>
      <c r="F662" s="169" t="s">
        <v>49</v>
      </c>
      <c r="G662" s="204" t="s">
        <v>3436</v>
      </c>
      <c r="H662" s="205" t="s">
        <v>306</v>
      </c>
      <c r="I662" s="146"/>
      <c r="J662" s="147"/>
    </row>
    <row r="663" ht="22.5" customHeight="1">
      <c r="A663" s="148" t="s">
        <v>2676</v>
      </c>
      <c r="B663" s="150">
        <v>45421.0</v>
      </c>
      <c r="C663" s="149" t="s">
        <v>3793</v>
      </c>
      <c r="D663" s="149" t="s">
        <v>3794</v>
      </c>
      <c r="E663" s="150">
        <v>45544.0</v>
      </c>
      <c r="F663" s="161" t="s">
        <v>49</v>
      </c>
      <c r="G663" s="227" t="s">
        <v>3436</v>
      </c>
      <c r="H663" s="210" t="s">
        <v>306</v>
      </c>
      <c r="I663" s="154"/>
      <c r="J663" s="155"/>
    </row>
    <row r="664" ht="22.5" customHeight="1">
      <c r="A664" s="140" t="s">
        <v>2680</v>
      </c>
      <c r="B664" s="142">
        <v>45421.0</v>
      </c>
      <c r="C664" s="146"/>
      <c r="D664" s="141" t="s">
        <v>3795</v>
      </c>
      <c r="E664" s="142">
        <v>45544.0</v>
      </c>
      <c r="F664" s="169" t="s">
        <v>49</v>
      </c>
      <c r="G664" s="204" t="s">
        <v>3436</v>
      </c>
      <c r="H664" s="205" t="s">
        <v>306</v>
      </c>
      <c r="I664" s="146"/>
      <c r="J664" s="147"/>
    </row>
    <row r="665" ht="22.5" customHeight="1">
      <c r="A665" s="148" t="s">
        <v>2683</v>
      </c>
      <c r="B665" s="150">
        <v>45421.0</v>
      </c>
      <c r="C665" s="149" t="s">
        <v>3796</v>
      </c>
      <c r="D665" s="149" t="s">
        <v>3797</v>
      </c>
      <c r="E665" s="150">
        <v>45544.0</v>
      </c>
      <c r="F665" s="161" t="s">
        <v>49</v>
      </c>
      <c r="G665" s="227" t="s">
        <v>3436</v>
      </c>
      <c r="H665" s="210" t="s">
        <v>306</v>
      </c>
      <c r="I665" s="154"/>
      <c r="J665" s="155"/>
    </row>
    <row r="666" ht="22.5" customHeight="1">
      <c r="A666" s="140" t="s">
        <v>2687</v>
      </c>
      <c r="B666" s="142">
        <v>45421.0</v>
      </c>
      <c r="C666" s="141" t="s">
        <v>3798</v>
      </c>
      <c r="D666" s="141" t="s">
        <v>3799</v>
      </c>
      <c r="E666" s="142">
        <v>45544.0</v>
      </c>
      <c r="F666" s="216" t="s">
        <v>40</v>
      </c>
      <c r="G666" s="204" t="s">
        <v>3436</v>
      </c>
      <c r="H666" s="205" t="s">
        <v>306</v>
      </c>
      <c r="I666" s="146"/>
      <c r="J666" s="147"/>
    </row>
    <row r="667" ht="22.5" customHeight="1">
      <c r="A667" s="148" t="s">
        <v>2691</v>
      </c>
      <c r="B667" s="150">
        <v>45452.0</v>
      </c>
      <c r="C667" s="149" t="s">
        <v>3800</v>
      </c>
      <c r="D667" s="149" t="s">
        <v>3801</v>
      </c>
      <c r="E667" s="150">
        <v>45544.0</v>
      </c>
      <c r="F667" s="174" t="s">
        <v>2192</v>
      </c>
      <c r="G667" s="227" t="s">
        <v>3436</v>
      </c>
      <c r="H667" s="210" t="s">
        <v>306</v>
      </c>
      <c r="I667" s="154"/>
      <c r="J667" s="155"/>
    </row>
    <row r="668" ht="22.5" customHeight="1">
      <c r="A668" s="140" t="s">
        <v>2694</v>
      </c>
      <c r="B668" s="142">
        <v>45452.0</v>
      </c>
      <c r="C668" s="141" t="s">
        <v>3802</v>
      </c>
      <c r="D668" s="141" t="s">
        <v>3803</v>
      </c>
      <c r="E668" s="142">
        <v>45544.0</v>
      </c>
      <c r="F668" s="169" t="s">
        <v>49</v>
      </c>
      <c r="G668" s="204" t="s">
        <v>3436</v>
      </c>
      <c r="H668" s="205" t="s">
        <v>306</v>
      </c>
      <c r="I668" s="146"/>
      <c r="J668" s="147"/>
    </row>
    <row r="669" ht="22.5" customHeight="1">
      <c r="A669" s="148" t="s">
        <v>2698</v>
      </c>
      <c r="B669" s="150">
        <v>45452.0</v>
      </c>
      <c r="C669" s="149" t="s">
        <v>3804</v>
      </c>
      <c r="D669" s="149" t="s">
        <v>3805</v>
      </c>
      <c r="E669" s="150">
        <v>45544.0</v>
      </c>
      <c r="F669" s="161" t="s">
        <v>49</v>
      </c>
      <c r="G669" s="227" t="s">
        <v>3436</v>
      </c>
      <c r="H669" s="210" t="s">
        <v>306</v>
      </c>
      <c r="I669" s="154"/>
      <c r="J669" s="155"/>
    </row>
    <row r="670" ht="22.5" customHeight="1">
      <c r="A670" s="140" t="s">
        <v>2701</v>
      </c>
      <c r="B670" s="142">
        <v>45452.0</v>
      </c>
      <c r="C670" s="141" t="s">
        <v>3806</v>
      </c>
      <c r="D670" s="141" t="s">
        <v>3807</v>
      </c>
      <c r="E670" s="142">
        <v>45544.0</v>
      </c>
      <c r="F670" s="216" t="s">
        <v>40</v>
      </c>
      <c r="G670" s="204" t="s">
        <v>3436</v>
      </c>
      <c r="H670" s="205" t="s">
        <v>306</v>
      </c>
      <c r="I670" s="146"/>
      <c r="J670" s="147"/>
    </row>
    <row r="671" ht="22.5" customHeight="1">
      <c r="A671" s="148" t="s">
        <v>2704</v>
      </c>
      <c r="B671" s="150">
        <v>45452.0</v>
      </c>
      <c r="C671" s="154"/>
      <c r="D671" s="149" t="s">
        <v>3808</v>
      </c>
      <c r="E671" s="150">
        <v>45544.0</v>
      </c>
      <c r="F671" s="161" t="s">
        <v>49</v>
      </c>
      <c r="G671" s="227" t="s">
        <v>3436</v>
      </c>
      <c r="H671" s="210" t="s">
        <v>306</v>
      </c>
      <c r="I671" s="154"/>
      <c r="J671" s="155"/>
    </row>
    <row r="672" ht="22.5" customHeight="1">
      <c r="A672" s="140" t="s">
        <v>2707</v>
      </c>
      <c r="B672" s="142">
        <v>45452.0</v>
      </c>
      <c r="C672" s="146"/>
      <c r="D672" s="141" t="s">
        <v>3809</v>
      </c>
      <c r="E672" s="142">
        <v>45544.0</v>
      </c>
      <c r="F672" s="216" t="s">
        <v>40</v>
      </c>
      <c r="G672" s="204" t="s">
        <v>3436</v>
      </c>
      <c r="H672" s="205" t="s">
        <v>306</v>
      </c>
      <c r="I672" s="146"/>
      <c r="J672" s="147"/>
    </row>
    <row r="673" ht="22.5" customHeight="1">
      <c r="A673" s="148" t="s">
        <v>2711</v>
      </c>
      <c r="B673" s="150">
        <v>45452.0</v>
      </c>
      <c r="C673" s="149" t="s">
        <v>3810</v>
      </c>
      <c r="D673" s="149" t="s">
        <v>3811</v>
      </c>
      <c r="E673" s="150">
        <v>45544.0</v>
      </c>
      <c r="F673" s="161" t="s">
        <v>49</v>
      </c>
      <c r="G673" s="227" t="s">
        <v>3436</v>
      </c>
      <c r="H673" s="210" t="s">
        <v>306</v>
      </c>
      <c r="I673" s="154"/>
      <c r="J673" s="155"/>
    </row>
    <row r="674" ht="22.5" customHeight="1">
      <c r="A674" s="140" t="s">
        <v>2715</v>
      </c>
      <c r="B674" s="142">
        <v>45452.0</v>
      </c>
      <c r="C674" s="141" t="s">
        <v>3812</v>
      </c>
      <c r="D674" s="141" t="s">
        <v>3813</v>
      </c>
      <c r="E674" s="142">
        <v>45544.0</v>
      </c>
      <c r="F674" s="169" t="s">
        <v>49</v>
      </c>
      <c r="G674" s="204" t="s">
        <v>3436</v>
      </c>
      <c r="H674" s="205" t="s">
        <v>306</v>
      </c>
      <c r="I674" s="146"/>
      <c r="J674" s="147"/>
    </row>
    <row r="675" ht="22.5" customHeight="1">
      <c r="A675" s="148" t="s">
        <v>2718</v>
      </c>
      <c r="B675" s="150">
        <v>45452.0</v>
      </c>
      <c r="C675" s="149" t="s">
        <v>3814</v>
      </c>
      <c r="D675" s="149" t="s">
        <v>3815</v>
      </c>
      <c r="E675" s="150">
        <v>45544.0</v>
      </c>
      <c r="F675" s="214" t="s">
        <v>17</v>
      </c>
      <c r="G675" s="227" t="s">
        <v>3436</v>
      </c>
      <c r="H675" s="210" t="s">
        <v>306</v>
      </c>
      <c r="I675" s="154"/>
      <c r="J675" s="155"/>
    </row>
    <row r="676" ht="22.5" customHeight="1">
      <c r="A676" s="140" t="s">
        <v>2721</v>
      </c>
      <c r="B676" s="142">
        <v>45544.0</v>
      </c>
      <c r="C676" s="141" t="s">
        <v>3816</v>
      </c>
      <c r="D676" s="141" t="s">
        <v>3817</v>
      </c>
      <c r="E676" s="142">
        <v>45574.0</v>
      </c>
      <c r="F676" s="216" t="s">
        <v>40</v>
      </c>
      <c r="G676" s="204" t="s">
        <v>3436</v>
      </c>
      <c r="H676" s="205" t="s">
        <v>306</v>
      </c>
      <c r="I676" s="146"/>
      <c r="J676" s="147"/>
    </row>
    <row r="677" ht="22.5" customHeight="1">
      <c r="A677" s="148" t="s">
        <v>2724</v>
      </c>
      <c r="B677" s="150">
        <v>45544.0</v>
      </c>
      <c r="C677" s="149" t="s">
        <v>3818</v>
      </c>
      <c r="D677" s="149" t="s">
        <v>3819</v>
      </c>
      <c r="E677" s="150">
        <v>45574.0</v>
      </c>
      <c r="F677" s="213" t="s">
        <v>40</v>
      </c>
      <c r="G677" s="227" t="s">
        <v>3436</v>
      </c>
      <c r="H677" s="210" t="s">
        <v>306</v>
      </c>
      <c r="I677" s="154"/>
      <c r="J677" s="155"/>
    </row>
    <row r="678" ht="22.5" customHeight="1">
      <c r="A678" s="140" t="s">
        <v>2727</v>
      </c>
      <c r="B678" s="142">
        <v>45544.0</v>
      </c>
      <c r="C678" s="146"/>
      <c r="D678" s="141" t="s">
        <v>3820</v>
      </c>
      <c r="E678" s="142">
        <v>45574.0</v>
      </c>
      <c r="F678" s="216" t="s">
        <v>40</v>
      </c>
      <c r="G678" s="204" t="s">
        <v>3436</v>
      </c>
      <c r="H678" s="205" t="s">
        <v>306</v>
      </c>
      <c r="I678" s="146"/>
      <c r="J678" s="147"/>
    </row>
    <row r="679" ht="22.5" customHeight="1">
      <c r="A679" s="148" t="s">
        <v>2730</v>
      </c>
      <c r="B679" s="150">
        <v>45544.0</v>
      </c>
      <c r="C679" s="149" t="s">
        <v>3821</v>
      </c>
      <c r="D679" s="149" t="s">
        <v>3822</v>
      </c>
      <c r="E679" s="150">
        <v>45574.0</v>
      </c>
      <c r="F679" s="161" t="s">
        <v>49</v>
      </c>
      <c r="G679" s="227" t="s">
        <v>3436</v>
      </c>
      <c r="H679" s="210" t="s">
        <v>306</v>
      </c>
      <c r="I679" s="154"/>
      <c r="J679" s="155"/>
    </row>
    <row r="680" ht="22.5" customHeight="1">
      <c r="A680" s="140" t="s">
        <v>2733</v>
      </c>
      <c r="B680" s="142">
        <v>45544.0</v>
      </c>
      <c r="C680" s="141" t="s">
        <v>3823</v>
      </c>
      <c r="D680" s="141" t="s">
        <v>3824</v>
      </c>
      <c r="E680" s="142">
        <v>45574.0</v>
      </c>
      <c r="F680" s="169" t="s">
        <v>49</v>
      </c>
      <c r="G680" s="204" t="s">
        <v>3436</v>
      </c>
      <c r="H680" s="205" t="s">
        <v>306</v>
      </c>
      <c r="I680" s="146"/>
      <c r="J680" s="147"/>
    </row>
    <row r="681" ht="22.5" customHeight="1">
      <c r="A681" s="148" t="s">
        <v>2736</v>
      </c>
      <c r="B681" s="150">
        <v>45574.0</v>
      </c>
      <c r="C681" s="149" t="s">
        <v>3825</v>
      </c>
      <c r="D681" s="149" t="s">
        <v>3826</v>
      </c>
      <c r="E681" s="150">
        <v>45605.0</v>
      </c>
      <c r="F681" s="161" t="s">
        <v>49</v>
      </c>
      <c r="G681" s="227" t="s">
        <v>3436</v>
      </c>
      <c r="H681" s="210" t="s">
        <v>306</v>
      </c>
      <c r="I681" s="154"/>
      <c r="J681" s="155"/>
    </row>
    <row r="682" ht="22.5" customHeight="1">
      <c r="A682" s="140" t="s">
        <v>2740</v>
      </c>
      <c r="B682" s="142">
        <v>45574.0</v>
      </c>
      <c r="C682" s="141" t="s">
        <v>3827</v>
      </c>
      <c r="D682" s="141" t="s">
        <v>3828</v>
      </c>
      <c r="E682" s="142">
        <v>45605.0</v>
      </c>
      <c r="F682" s="216" t="s">
        <v>40</v>
      </c>
      <c r="G682" s="204" t="s">
        <v>3436</v>
      </c>
      <c r="H682" s="205" t="s">
        <v>306</v>
      </c>
      <c r="I682" s="146"/>
      <c r="J682" s="147"/>
    </row>
    <row r="683" ht="22.5" customHeight="1">
      <c r="A683" s="148" t="s">
        <v>2744</v>
      </c>
      <c r="B683" s="150">
        <v>45574.0</v>
      </c>
      <c r="C683" s="149" t="s">
        <v>3829</v>
      </c>
      <c r="D683" s="149" t="s">
        <v>3830</v>
      </c>
      <c r="E683" s="150">
        <v>45605.0</v>
      </c>
      <c r="F683" s="214" t="s">
        <v>17</v>
      </c>
      <c r="G683" s="227" t="s">
        <v>3436</v>
      </c>
      <c r="H683" s="210" t="s">
        <v>306</v>
      </c>
      <c r="I683" s="154"/>
      <c r="J683" s="155"/>
    </row>
    <row r="684" ht="22.5" customHeight="1">
      <c r="A684" s="140" t="s">
        <v>2747</v>
      </c>
      <c r="B684" s="142">
        <v>45574.0</v>
      </c>
      <c r="C684" s="141" t="s">
        <v>3831</v>
      </c>
      <c r="D684" s="141" t="s">
        <v>3832</v>
      </c>
      <c r="E684" s="142">
        <v>45605.0</v>
      </c>
      <c r="F684" s="216" t="s">
        <v>40</v>
      </c>
      <c r="G684" s="204" t="s">
        <v>3436</v>
      </c>
      <c r="H684" s="205" t="s">
        <v>306</v>
      </c>
      <c r="I684" s="146"/>
      <c r="J684" s="147"/>
    </row>
    <row r="685" ht="22.5" customHeight="1">
      <c r="A685" s="148" t="s">
        <v>2751</v>
      </c>
      <c r="B685" s="150">
        <v>45574.0</v>
      </c>
      <c r="C685" s="149" t="s">
        <v>2793</v>
      </c>
      <c r="D685" s="149" t="s">
        <v>3833</v>
      </c>
      <c r="E685" s="150">
        <v>45605.0</v>
      </c>
      <c r="F685" s="214" t="s">
        <v>17</v>
      </c>
      <c r="G685" s="227" t="s">
        <v>3436</v>
      </c>
      <c r="H685" s="210" t="s">
        <v>306</v>
      </c>
      <c r="I685" s="154"/>
      <c r="J685" s="155"/>
    </row>
    <row r="686" ht="22.5" customHeight="1">
      <c r="A686" s="140" t="s">
        <v>2754</v>
      </c>
      <c r="B686" s="142">
        <v>45574.0</v>
      </c>
      <c r="C686" s="146"/>
      <c r="D686" s="141" t="s">
        <v>3834</v>
      </c>
      <c r="E686" s="142">
        <v>45605.0</v>
      </c>
      <c r="F686" s="169" t="s">
        <v>49</v>
      </c>
      <c r="G686" s="204" t="s">
        <v>3436</v>
      </c>
      <c r="H686" s="205" t="s">
        <v>306</v>
      </c>
      <c r="I686" s="146"/>
      <c r="J686" s="147"/>
    </row>
    <row r="687" ht="22.5" customHeight="1">
      <c r="A687" s="148" t="s">
        <v>2757</v>
      </c>
      <c r="B687" s="150">
        <v>45574.0</v>
      </c>
      <c r="C687" s="149" t="s">
        <v>3835</v>
      </c>
      <c r="D687" s="149" t="s">
        <v>3836</v>
      </c>
      <c r="E687" s="150">
        <v>45605.0</v>
      </c>
      <c r="F687" s="213" t="s">
        <v>40</v>
      </c>
      <c r="G687" s="227" t="s">
        <v>3436</v>
      </c>
      <c r="H687" s="210" t="s">
        <v>306</v>
      </c>
      <c r="I687" s="154"/>
      <c r="J687" s="155"/>
    </row>
    <row r="688" ht="22.5" customHeight="1">
      <c r="A688" s="140" t="s">
        <v>2760</v>
      </c>
      <c r="B688" s="142">
        <v>45574.0</v>
      </c>
      <c r="C688" s="146"/>
      <c r="D688" s="141" t="s">
        <v>3837</v>
      </c>
      <c r="E688" s="142">
        <v>45605.0</v>
      </c>
      <c r="F688" s="169" t="s">
        <v>49</v>
      </c>
      <c r="G688" s="204" t="s">
        <v>3436</v>
      </c>
      <c r="H688" s="205" t="s">
        <v>306</v>
      </c>
      <c r="I688" s="146"/>
      <c r="J688" s="147"/>
    </row>
    <row r="689" ht="22.5" customHeight="1">
      <c r="A689" s="148" t="s">
        <v>2764</v>
      </c>
      <c r="B689" s="228">
        <v>45574.0</v>
      </c>
      <c r="C689" s="229"/>
      <c r="D689" s="219" t="s">
        <v>3838</v>
      </c>
      <c r="E689" s="228">
        <v>45605.0</v>
      </c>
      <c r="F689" s="230" t="s">
        <v>40</v>
      </c>
      <c r="G689" s="227" t="s">
        <v>3436</v>
      </c>
      <c r="H689" s="231" t="s">
        <v>306</v>
      </c>
      <c r="I689" s="154"/>
      <c r="J689" s="155"/>
    </row>
    <row r="690" ht="22.5" customHeight="1">
      <c r="A690" s="140" t="s">
        <v>2768</v>
      </c>
      <c r="B690" s="142">
        <v>45574.0</v>
      </c>
      <c r="C690" s="141" t="s">
        <v>3839</v>
      </c>
      <c r="D690" s="141" t="s">
        <v>3840</v>
      </c>
      <c r="E690" s="142">
        <v>45605.0</v>
      </c>
      <c r="F690" s="216" t="s">
        <v>40</v>
      </c>
      <c r="G690" s="204" t="s">
        <v>3436</v>
      </c>
      <c r="H690" s="205" t="s">
        <v>306</v>
      </c>
      <c r="I690" s="146"/>
      <c r="J690" s="147"/>
    </row>
    <row r="691" ht="22.5" customHeight="1">
      <c r="A691" s="148" t="s">
        <v>2772</v>
      </c>
      <c r="B691" s="150">
        <v>45574.0</v>
      </c>
      <c r="C691" s="154"/>
      <c r="D691" s="149" t="s">
        <v>3841</v>
      </c>
      <c r="E691" s="150">
        <v>45605.0</v>
      </c>
      <c r="F691" s="214" t="s">
        <v>17</v>
      </c>
      <c r="G691" s="227" t="s">
        <v>3436</v>
      </c>
      <c r="H691" s="210" t="s">
        <v>306</v>
      </c>
      <c r="I691" s="154"/>
      <c r="J691" s="155"/>
    </row>
    <row r="692" ht="22.5" customHeight="1">
      <c r="A692" s="140" t="s">
        <v>2776</v>
      </c>
      <c r="B692" s="142">
        <v>45574.0</v>
      </c>
      <c r="C692" s="141" t="s">
        <v>3842</v>
      </c>
      <c r="D692" s="141" t="s">
        <v>3843</v>
      </c>
      <c r="E692" s="142">
        <v>45605.0</v>
      </c>
      <c r="F692" s="169" t="s">
        <v>49</v>
      </c>
      <c r="G692" s="204" t="s">
        <v>3436</v>
      </c>
      <c r="H692" s="205" t="s">
        <v>306</v>
      </c>
      <c r="I692" s="146"/>
      <c r="J692" s="147"/>
    </row>
    <row r="693" ht="22.5" customHeight="1">
      <c r="A693" s="148" t="s">
        <v>2780</v>
      </c>
      <c r="B693" s="150">
        <v>45574.0</v>
      </c>
      <c r="C693" s="149" t="s">
        <v>3844</v>
      </c>
      <c r="D693" s="149" t="s">
        <v>3845</v>
      </c>
      <c r="E693" s="150">
        <v>45605.0</v>
      </c>
      <c r="F693" s="213" t="s">
        <v>40</v>
      </c>
      <c r="G693" s="227" t="s">
        <v>3436</v>
      </c>
      <c r="H693" s="210" t="s">
        <v>306</v>
      </c>
      <c r="I693" s="154"/>
      <c r="J693" s="155"/>
    </row>
    <row r="694" ht="22.5" customHeight="1">
      <c r="A694" s="140" t="s">
        <v>2783</v>
      </c>
      <c r="B694" s="142">
        <v>45574.0</v>
      </c>
      <c r="C694" s="141" t="s">
        <v>3846</v>
      </c>
      <c r="D694" s="141" t="s">
        <v>3847</v>
      </c>
      <c r="E694" s="142">
        <v>45605.0</v>
      </c>
      <c r="F694" s="216" t="s">
        <v>40</v>
      </c>
      <c r="G694" s="204" t="s">
        <v>3436</v>
      </c>
      <c r="H694" s="205" t="s">
        <v>306</v>
      </c>
      <c r="I694" s="146"/>
      <c r="J694" s="147"/>
    </row>
    <row r="695" ht="22.5" customHeight="1">
      <c r="A695" s="148" t="s">
        <v>2787</v>
      </c>
      <c r="B695" s="150">
        <v>45574.0</v>
      </c>
      <c r="C695" s="149" t="s">
        <v>3848</v>
      </c>
      <c r="D695" s="149" t="s">
        <v>3849</v>
      </c>
      <c r="E695" s="150">
        <v>45635.0</v>
      </c>
      <c r="F695" s="213" t="s">
        <v>40</v>
      </c>
      <c r="G695" s="227" t="s">
        <v>3436</v>
      </c>
      <c r="H695" s="210" t="s">
        <v>306</v>
      </c>
      <c r="I695" s="154"/>
      <c r="J695" s="155"/>
    </row>
    <row r="696" ht="22.5" customHeight="1">
      <c r="A696" s="140" t="s">
        <v>2791</v>
      </c>
      <c r="B696" s="142">
        <v>45574.0</v>
      </c>
      <c r="C696" s="141" t="s">
        <v>3850</v>
      </c>
      <c r="D696" s="141" t="s">
        <v>3851</v>
      </c>
      <c r="E696" s="142">
        <v>45605.0</v>
      </c>
      <c r="F696" s="169" t="s">
        <v>49</v>
      </c>
      <c r="G696" s="204" t="s">
        <v>3436</v>
      </c>
      <c r="H696" s="205" t="s">
        <v>306</v>
      </c>
      <c r="I696" s="146"/>
      <c r="J696" s="147"/>
    </row>
    <row r="697" ht="22.5" customHeight="1">
      <c r="A697" s="148" t="s">
        <v>2795</v>
      </c>
      <c r="B697" s="150">
        <v>45574.0</v>
      </c>
      <c r="C697" s="154"/>
      <c r="D697" s="149" t="s">
        <v>3852</v>
      </c>
      <c r="E697" s="150">
        <v>45605.0</v>
      </c>
      <c r="F697" s="161" t="s">
        <v>49</v>
      </c>
      <c r="G697" s="227" t="s">
        <v>3436</v>
      </c>
      <c r="H697" s="210" t="s">
        <v>306</v>
      </c>
      <c r="I697" s="154"/>
      <c r="J697" s="155"/>
    </row>
    <row r="698" ht="22.5" customHeight="1">
      <c r="A698" s="140" t="s">
        <v>2798</v>
      </c>
      <c r="B698" s="142">
        <v>45574.0</v>
      </c>
      <c r="C698" s="146"/>
      <c r="D698" s="141" t="s">
        <v>3853</v>
      </c>
      <c r="E698" s="142">
        <v>45605.0</v>
      </c>
      <c r="F698" s="212" t="s">
        <v>17</v>
      </c>
      <c r="G698" s="204" t="s">
        <v>3436</v>
      </c>
      <c r="H698" s="205" t="s">
        <v>306</v>
      </c>
      <c r="I698" s="146"/>
      <c r="J698" s="147"/>
    </row>
    <row r="699" ht="22.5" customHeight="1">
      <c r="A699" s="148" t="s">
        <v>2801</v>
      </c>
      <c r="B699" s="150">
        <v>45574.0</v>
      </c>
      <c r="C699" s="154"/>
      <c r="D699" s="149" t="s">
        <v>3854</v>
      </c>
      <c r="E699" s="150">
        <v>45605.0</v>
      </c>
      <c r="F699" s="161" t="s">
        <v>49</v>
      </c>
      <c r="G699" s="227" t="s">
        <v>3436</v>
      </c>
      <c r="H699" s="210" t="s">
        <v>306</v>
      </c>
      <c r="I699" s="154"/>
      <c r="J699" s="155"/>
    </row>
    <row r="700" ht="22.5" customHeight="1">
      <c r="A700" s="140" t="s">
        <v>2805</v>
      </c>
      <c r="B700" s="142">
        <v>45574.0</v>
      </c>
      <c r="C700" s="146"/>
      <c r="D700" s="141" t="s">
        <v>3855</v>
      </c>
      <c r="E700" s="142">
        <v>45605.0</v>
      </c>
      <c r="F700" s="212" t="s">
        <v>17</v>
      </c>
      <c r="G700" s="204" t="s">
        <v>3436</v>
      </c>
      <c r="H700" s="205" t="s">
        <v>306</v>
      </c>
      <c r="I700" s="146"/>
      <c r="J700" s="147"/>
    </row>
    <row r="701" ht="22.5" customHeight="1">
      <c r="A701" s="148" t="s">
        <v>2809</v>
      </c>
      <c r="B701" s="150">
        <v>45574.0</v>
      </c>
      <c r="C701" s="154"/>
      <c r="D701" s="149" t="s">
        <v>3856</v>
      </c>
      <c r="E701" s="150">
        <v>45605.0</v>
      </c>
      <c r="F701" s="213" t="s">
        <v>40</v>
      </c>
      <c r="G701" s="227" t="s">
        <v>3436</v>
      </c>
      <c r="H701" s="210" t="s">
        <v>306</v>
      </c>
      <c r="I701" s="154"/>
      <c r="J701" s="155"/>
    </row>
    <row r="702" ht="22.5" customHeight="1">
      <c r="A702" s="140" t="s">
        <v>2812</v>
      </c>
      <c r="B702" s="142">
        <v>45605.0</v>
      </c>
      <c r="C702" s="141" t="s">
        <v>3857</v>
      </c>
      <c r="D702" s="141" t="s">
        <v>3858</v>
      </c>
      <c r="E702" s="142">
        <v>45635.0</v>
      </c>
      <c r="F702" s="212" t="s">
        <v>17</v>
      </c>
      <c r="G702" s="204" t="s">
        <v>3436</v>
      </c>
      <c r="H702" s="205" t="s">
        <v>306</v>
      </c>
      <c r="I702" s="146"/>
      <c r="J702" s="147"/>
    </row>
    <row r="703" ht="22.5" customHeight="1">
      <c r="A703" s="148" t="s">
        <v>2816</v>
      </c>
      <c r="B703" s="150">
        <v>45605.0</v>
      </c>
      <c r="C703" s="149" t="s">
        <v>3859</v>
      </c>
      <c r="D703" s="149" t="s">
        <v>3860</v>
      </c>
      <c r="E703" s="150">
        <v>45635.0</v>
      </c>
      <c r="F703" s="213" t="s">
        <v>40</v>
      </c>
      <c r="G703" s="227" t="s">
        <v>3436</v>
      </c>
      <c r="H703" s="210" t="s">
        <v>306</v>
      </c>
      <c r="I703" s="154"/>
      <c r="J703" s="155"/>
    </row>
    <row r="704" ht="22.5" customHeight="1">
      <c r="A704" s="140" t="s">
        <v>2820</v>
      </c>
      <c r="B704" s="142">
        <v>45605.0</v>
      </c>
      <c r="C704" s="146"/>
      <c r="D704" s="141" t="s">
        <v>3861</v>
      </c>
      <c r="E704" s="142">
        <v>45635.0</v>
      </c>
      <c r="F704" s="216" t="s">
        <v>40</v>
      </c>
      <c r="G704" s="204" t="s">
        <v>3436</v>
      </c>
      <c r="H704" s="205" t="s">
        <v>306</v>
      </c>
      <c r="I704" s="146"/>
      <c r="J704" s="147"/>
    </row>
    <row r="705" ht="22.5" customHeight="1">
      <c r="A705" s="148" t="s">
        <v>2823</v>
      </c>
      <c r="B705" s="150">
        <v>45605.0</v>
      </c>
      <c r="C705" s="149" t="s">
        <v>3862</v>
      </c>
      <c r="D705" s="149" t="s">
        <v>3863</v>
      </c>
      <c r="E705" s="150">
        <v>45635.0</v>
      </c>
      <c r="F705" s="214" t="s">
        <v>17</v>
      </c>
      <c r="G705" s="227" t="s">
        <v>3436</v>
      </c>
      <c r="H705" s="210" t="s">
        <v>306</v>
      </c>
      <c r="I705" s="154"/>
      <c r="J705" s="155"/>
    </row>
    <row r="706" ht="22.5" customHeight="1">
      <c r="A706" s="140" t="s">
        <v>2825</v>
      </c>
      <c r="B706" s="142">
        <v>45605.0</v>
      </c>
      <c r="C706" s="141" t="s">
        <v>3864</v>
      </c>
      <c r="D706" s="141" t="s">
        <v>3865</v>
      </c>
      <c r="E706" s="142">
        <v>45635.0</v>
      </c>
      <c r="F706" s="169" t="s">
        <v>49</v>
      </c>
      <c r="G706" s="204" t="s">
        <v>3436</v>
      </c>
      <c r="H706" s="205" t="s">
        <v>306</v>
      </c>
      <c r="I706" s="146"/>
      <c r="J706" s="147"/>
    </row>
    <row r="707" ht="22.5" customHeight="1">
      <c r="A707" s="148" t="s">
        <v>2828</v>
      </c>
      <c r="B707" s="150">
        <v>45605.0</v>
      </c>
      <c r="C707" s="154"/>
      <c r="D707" s="149" t="s">
        <v>3866</v>
      </c>
      <c r="E707" s="150">
        <v>45635.0</v>
      </c>
      <c r="F707" s="214" t="s">
        <v>17</v>
      </c>
      <c r="G707" s="227" t="s">
        <v>3436</v>
      </c>
      <c r="H707" s="210" t="s">
        <v>306</v>
      </c>
      <c r="I707" s="154"/>
      <c r="J707" s="155"/>
    </row>
    <row r="708" ht="22.5" customHeight="1">
      <c r="A708" s="140" t="s">
        <v>2830</v>
      </c>
      <c r="B708" s="142">
        <v>45605.0</v>
      </c>
      <c r="C708" s="141" t="s">
        <v>3867</v>
      </c>
      <c r="D708" s="141" t="s">
        <v>3868</v>
      </c>
      <c r="E708" s="142">
        <v>45635.0</v>
      </c>
      <c r="F708" s="216" t="s">
        <v>40</v>
      </c>
      <c r="G708" s="204" t="s">
        <v>3436</v>
      </c>
      <c r="H708" s="205" t="s">
        <v>306</v>
      </c>
      <c r="I708" s="146"/>
      <c r="J708" s="147"/>
    </row>
    <row r="709" ht="22.5" customHeight="1">
      <c r="A709" s="148" t="s">
        <v>2832</v>
      </c>
      <c r="B709" s="150">
        <v>45605.0</v>
      </c>
      <c r="C709" s="149" t="s">
        <v>3869</v>
      </c>
      <c r="D709" s="149" t="s">
        <v>3870</v>
      </c>
      <c r="E709" s="150">
        <v>45635.0</v>
      </c>
      <c r="F709" s="161" t="s">
        <v>49</v>
      </c>
      <c r="G709" s="227" t="s">
        <v>3436</v>
      </c>
      <c r="H709" s="210" t="s">
        <v>306</v>
      </c>
      <c r="I709" s="154"/>
      <c r="J709" s="155"/>
    </row>
    <row r="710" ht="22.5" customHeight="1">
      <c r="A710" s="140" t="s">
        <v>2834</v>
      </c>
      <c r="B710" s="142">
        <v>45605.0</v>
      </c>
      <c r="C710" s="141" t="s">
        <v>3871</v>
      </c>
      <c r="D710" s="141" t="s">
        <v>3872</v>
      </c>
      <c r="E710" s="142">
        <v>45635.0</v>
      </c>
      <c r="F710" s="216" t="s">
        <v>40</v>
      </c>
      <c r="G710" s="204" t="s">
        <v>3436</v>
      </c>
      <c r="H710" s="205" t="s">
        <v>306</v>
      </c>
      <c r="I710" s="146"/>
      <c r="J710" s="147"/>
    </row>
    <row r="711" ht="22.5" customHeight="1">
      <c r="A711" s="148" t="s">
        <v>2837</v>
      </c>
      <c r="B711" s="150">
        <v>45605.0</v>
      </c>
      <c r="C711" s="149" t="s">
        <v>3873</v>
      </c>
      <c r="D711" s="149" t="s">
        <v>3874</v>
      </c>
      <c r="E711" s="150">
        <v>45635.0</v>
      </c>
      <c r="F711" s="161" t="s">
        <v>49</v>
      </c>
      <c r="G711" s="227" t="s">
        <v>3436</v>
      </c>
      <c r="H711" s="210" t="s">
        <v>306</v>
      </c>
      <c r="I711" s="154"/>
      <c r="J711" s="155"/>
    </row>
    <row r="712" ht="22.5" customHeight="1">
      <c r="A712" s="140" t="s">
        <v>2839</v>
      </c>
      <c r="B712" s="142">
        <v>45605.0</v>
      </c>
      <c r="C712" s="146"/>
      <c r="D712" s="141" t="s">
        <v>3875</v>
      </c>
      <c r="E712" s="142">
        <v>45635.0</v>
      </c>
      <c r="F712" s="212" t="s">
        <v>17</v>
      </c>
      <c r="G712" s="204" t="s">
        <v>3436</v>
      </c>
      <c r="H712" s="205" t="s">
        <v>306</v>
      </c>
      <c r="I712" s="146"/>
      <c r="J712" s="147"/>
    </row>
    <row r="713" ht="22.5" customHeight="1">
      <c r="A713" s="148" t="s">
        <v>2843</v>
      </c>
      <c r="B713" s="150">
        <v>45605.0</v>
      </c>
      <c r="C713" s="149" t="s">
        <v>3876</v>
      </c>
      <c r="D713" s="149" t="s">
        <v>3877</v>
      </c>
      <c r="E713" s="150">
        <v>45635.0</v>
      </c>
      <c r="F713" s="161" t="s">
        <v>49</v>
      </c>
      <c r="G713" s="227" t="s">
        <v>3436</v>
      </c>
      <c r="H713" s="210" t="s">
        <v>306</v>
      </c>
      <c r="I713" s="154"/>
      <c r="J713" s="155"/>
    </row>
    <row r="714" ht="22.5" customHeight="1">
      <c r="A714" s="140" t="s">
        <v>2847</v>
      </c>
      <c r="B714" s="142">
        <v>45605.0</v>
      </c>
      <c r="C714" s="141" t="s">
        <v>3878</v>
      </c>
      <c r="D714" s="141" t="s">
        <v>3879</v>
      </c>
      <c r="E714" s="142">
        <v>45635.0</v>
      </c>
      <c r="F714" s="169" t="s">
        <v>49</v>
      </c>
      <c r="G714" s="204" t="s">
        <v>3436</v>
      </c>
      <c r="H714" s="205" t="s">
        <v>306</v>
      </c>
      <c r="I714" s="146"/>
      <c r="J714" s="147"/>
    </row>
    <row r="715" ht="22.5" customHeight="1">
      <c r="A715" s="148" t="s">
        <v>2851</v>
      </c>
      <c r="B715" s="150">
        <v>45635.0</v>
      </c>
      <c r="C715" s="149" t="s">
        <v>3880</v>
      </c>
      <c r="D715" s="149" t="s">
        <v>3881</v>
      </c>
      <c r="E715" s="196"/>
      <c r="F715" s="161" t="s">
        <v>49</v>
      </c>
      <c r="G715" s="227" t="s">
        <v>3436</v>
      </c>
      <c r="H715" s="210" t="s">
        <v>306</v>
      </c>
      <c r="I715" s="154"/>
      <c r="J715" s="155"/>
    </row>
    <row r="716" ht="22.5" customHeight="1">
      <c r="A716" s="140" t="s">
        <v>2036</v>
      </c>
      <c r="B716" s="141" t="s">
        <v>2037</v>
      </c>
      <c r="C716" s="141" t="s">
        <v>3882</v>
      </c>
      <c r="D716" s="141" t="s">
        <v>3883</v>
      </c>
      <c r="E716" s="203" t="s">
        <v>2096</v>
      </c>
      <c r="F716" s="156" t="s">
        <v>635</v>
      </c>
      <c r="G716" s="204" t="s">
        <v>3436</v>
      </c>
      <c r="H716" s="145"/>
      <c r="I716" s="146"/>
      <c r="J716" s="147"/>
    </row>
    <row r="717" ht="22.5" customHeight="1">
      <c r="A717" s="148" t="s">
        <v>2040</v>
      </c>
      <c r="B717" s="149" t="s">
        <v>2052</v>
      </c>
      <c r="C717" s="149" t="s">
        <v>3884</v>
      </c>
      <c r="D717" s="149" t="s">
        <v>3885</v>
      </c>
      <c r="E717" s="206" t="s">
        <v>2096</v>
      </c>
      <c r="F717" s="167" t="s">
        <v>635</v>
      </c>
      <c r="G717" s="207" t="s">
        <v>3436</v>
      </c>
      <c r="H717" s="153"/>
      <c r="I717" s="154"/>
      <c r="J717" s="155"/>
    </row>
    <row r="718" ht="22.5" customHeight="1">
      <c r="A718" s="140" t="s">
        <v>2043</v>
      </c>
      <c r="B718" s="141" t="s">
        <v>3886</v>
      </c>
      <c r="C718" s="141" t="s">
        <v>3887</v>
      </c>
      <c r="D718" s="141" t="s">
        <v>3888</v>
      </c>
      <c r="E718" s="203" t="s">
        <v>2096</v>
      </c>
      <c r="F718" s="156" t="s">
        <v>635</v>
      </c>
      <c r="G718" s="204" t="s">
        <v>3436</v>
      </c>
      <c r="H718" s="145"/>
      <c r="I718" s="146"/>
      <c r="J718" s="147"/>
    </row>
    <row r="719" ht="22.5" customHeight="1">
      <c r="A719" s="148" t="s">
        <v>2046</v>
      </c>
      <c r="B719" s="149" t="s">
        <v>2056</v>
      </c>
      <c r="C719" s="149" t="s">
        <v>3889</v>
      </c>
      <c r="D719" s="149" t="s">
        <v>3890</v>
      </c>
      <c r="E719" s="149" t="s">
        <v>3891</v>
      </c>
      <c r="F719" s="214" t="s">
        <v>17</v>
      </c>
      <c r="G719" s="207" t="s">
        <v>3436</v>
      </c>
      <c r="H719" s="153"/>
      <c r="I719" s="154"/>
      <c r="J719" s="155"/>
    </row>
    <row r="720" ht="22.5" customHeight="1">
      <c r="A720" s="140" t="s">
        <v>2048</v>
      </c>
      <c r="B720" s="141" t="s">
        <v>2056</v>
      </c>
      <c r="C720" s="146"/>
      <c r="D720" s="141" t="s">
        <v>3892</v>
      </c>
      <c r="E720" s="141" t="s">
        <v>3891</v>
      </c>
      <c r="F720" s="169" t="s">
        <v>49</v>
      </c>
      <c r="G720" s="204" t="s">
        <v>3436</v>
      </c>
      <c r="H720" s="145"/>
      <c r="I720" s="146"/>
      <c r="J720" s="147"/>
    </row>
    <row r="721" ht="22.5" customHeight="1">
      <c r="A721" s="148" t="s">
        <v>2051</v>
      </c>
      <c r="B721" s="149" t="s">
        <v>2056</v>
      </c>
      <c r="C721" s="149" t="s">
        <v>3893</v>
      </c>
      <c r="D721" s="149" t="s">
        <v>3894</v>
      </c>
      <c r="E721" s="149" t="s">
        <v>3891</v>
      </c>
      <c r="F721" s="161" t="s">
        <v>49</v>
      </c>
      <c r="G721" s="207" t="s">
        <v>3436</v>
      </c>
      <c r="H721" s="153"/>
      <c r="I721" s="154"/>
      <c r="J721" s="155"/>
    </row>
    <row r="722" ht="22.5" customHeight="1">
      <c r="A722" s="140" t="s">
        <v>2055</v>
      </c>
      <c r="B722" s="141" t="s">
        <v>2056</v>
      </c>
      <c r="C722" s="141" t="s">
        <v>3895</v>
      </c>
      <c r="D722" s="141" t="s">
        <v>3896</v>
      </c>
      <c r="E722" s="141" t="s">
        <v>3897</v>
      </c>
      <c r="F722" s="169" t="s">
        <v>49</v>
      </c>
      <c r="G722" s="204" t="s">
        <v>3436</v>
      </c>
      <c r="H722" s="145"/>
      <c r="I722" s="146"/>
      <c r="J722" s="147"/>
    </row>
    <row r="723" ht="22.5" customHeight="1">
      <c r="A723" s="148" t="s">
        <v>2059</v>
      </c>
      <c r="B723" s="149" t="s">
        <v>2056</v>
      </c>
      <c r="C723" s="149" t="s">
        <v>3898</v>
      </c>
      <c r="D723" s="149" t="s">
        <v>3899</v>
      </c>
      <c r="E723" s="149" t="s">
        <v>3900</v>
      </c>
      <c r="F723" s="181" t="s">
        <v>49</v>
      </c>
      <c r="G723" s="207" t="s">
        <v>3436</v>
      </c>
      <c r="H723" s="153"/>
      <c r="I723" s="154"/>
      <c r="J723" s="155"/>
    </row>
    <row r="724" ht="22.5" customHeight="1">
      <c r="A724" s="140" t="s">
        <v>2063</v>
      </c>
      <c r="B724" s="141" t="s">
        <v>2056</v>
      </c>
      <c r="C724" s="141" t="s">
        <v>3901</v>
      </c>
      <c r="D724" s="141" t="s">
        <v>3902</v>
      </c>
      <c r="E724" s="141" t="s">
        <v>3903</v>
      </c>
      <c r="F724" s="169" t="s">
        <v>49</v>
      </c>
      <c r="G724" s="204" t="s">
        <v>3436</v>
      </c>
      <c r="H724" s="145"/>
      <c r="I724" s="146"/>
      <c r="J724" s="147"/>
    </row>
    <row r="725" ht="22.5" customHeight="1">
      <c r="A725" s="148" t="s">
        <v>2066</v>
      </c>
      <c r="B725" s="149" t="s">
        <v>2056</v>
      </c>
      <c r="C725" s="149" t="s">
        <v>3904</v>
      </c>
      <c r="D725" s="149" t="s">
        <v>3905</v>
      </c>
      <c r="E725" s="149" t="s">
        <v>3906</v>
      </c>
      <c r="F725" s="213" t="s">
        <v>40</v>
      </c>
      <c r="G725" s="207" t="s">
        <v>3436</v>
      </c>
      <c r="H725" s="153"/>
      <c r="I725" s="154"/>
      <c r="J725" s="155"/>
    </row>
    <row r="726" ht="22.5" customHeight="1">
      <c r="A726" s="140" t="s">
        <v>2070</v>
      </c>
      <c r="B726" s="141" t="s">
        <v>2056</v>
      </c>
      <c r="C726" s="141" t="s">
        <v>3907</v>
      </c>
      <c r="D726" s="141" t="s">
        <v>3908</v>
      </c>
      <c r="E726" s="141" t="s">
        <v>3909</v>
      </c>
      <c r="F726" s="169" t="s">
        <v>49</v>
      </c>
      <c r="G726" s="204" t="s">
        <v>3436</v>
      </c>
      <c r="H726" s="145"/>
      <c r="I726" s="146"/>
      <c r="J726" s="147"/>
    </row>
    <row r="727" ht="22.5" customHeight="1">
      <c r="A727" s="148" t="s">
        <v>2073</v>
      </c>
      <c r="B727" s="149" t="s">
        <v>2056</v>
      </c>
      <c r="C727" s="149" t="s">
        <v>3910</v>
      </c>
      <c r="D727" s="149" t="s">
        <v>3911</v>
      </c>
      <c r="E727" s="149" t="s">
        <v>3912</v>
      </c>
      <c r="F727" s="161" t="s">
        <v>49</v>
      </c>
      <c r="G727" s="207" t="s">
        <v>3436</v>
      </c>
      <c r="H727" s="153"/>
      <c r="I727" s="154"/>
      <c r="J727" s="155"/>
    </row>
    <row r="728" ht="22.5" customHeight="1">
      <c r="A728" s="140" t="s">
        <v>2077</v>
      </c>
      <c r="B728" s="141" t="s">
        <v>2056</v>
      </c>
      <c r="C728" s="146"/>
      <c r="D728" s="141" t="s">
        <v>3913</v>
      </c>
      <c r="E728" s="203" t="s">
        <v>2096</v>
      </c>
      <c r="F728" s="212" t="s">
        <v>17</v>
      </c>
      <c r="G728" s="204" t="s">
        <v>3436</v>
      </c>
      <c r="H728" s="145"/>
      <c r="I728" s="146"/>
      <c r="J728" s="147"/>
    </row>
    <row r="729" ht="22.5" customHeight="1">
      <c r="A729" s="148" t="s">
        <v>2080</v>
      </c>
      <c r="B729" s="149" t="s">
        <v>2056</v>
      </c>
      <c r="C729" s="154"/>
      <c r="D729" s="149" t="s">
        <v>3914</v>
      </c>
      <c r="E729" s="206" t="s">
        <v>2096</v>
      </c>
      <c r="F729" s="161" t="s">
        <v>49</v>
      </c>
      <c r="G729" s="207" t="s">
        <v>3436</v>
      </c>
      <c r="H729" s="153"/>
      <c r="I729" s="154"/>
      <c r="J729" s="155"/>
    </row>
    <row r="730" ht="22.5" customHeight="1">
      <c r="A730" s="140" t="s">
        <v>2082</v>
      </c>
      <c r="B730" s="141" t="s">
        <v>2056</v>
      </c>
      <c r="C730" s="141" t="s">
        <v>3915</v>
      </c>
      <c r="D730" s="141" t="s">
        <v>3916</v>
      </c>
      <c r="E730" s="141" t="s">
        <v>3917</v>
      </c>
      <c r="F730" s="216" t="s">
        <v>40</v>
      </c>
      <c r="G730" s="204" t="s">
        <v>3436</v>
      </c>
      <c r="H730" s="145"/>
      <c r="I730" s="146"/>
      <c r="J730" s="147"/>
    </row>
    <row r="731" ht="22.5" customHeight="1">
      <c r="A731" s="148" t="s">
        <v>2085</v>
      </c>
      <c r="B731" s="149" t="s">
        <v>2056</v>
      </c>
      <c r="C731" s="149" t="s">
        <v>3918</v>
      </c>
      <c r="D731" s="149" t="s">
        <v>3919</v>
      </c>
      <c r="E731" s="149" t="s">
        <v>3920</v>
      </c>
      <c r="F731" s="167" t="s">
        <v>635</v>
      </c>
      <c r="G731" s="207" t="s">
        <v>3436</v>
      </c>
      <c r="H731" s="153"/>
      <c r="I731" s="154"/>
      <c r="J731" s="155"/>
    </row>
    <row r="732" ht="22.5" customHeight="1">
      <c r="A732" s="140" t="s">
        <v>2088</v>
      </c>
      <c r="B732" s="141" t="s">
        <v>2056</v>
      </c>
      <c r="C732" s="141" t="s">
        <v>2103</v>
      </c>
      <c r="D732" s="141" t="s">
        <v>3921</v>
      </c>
      <c r="E732" s="141" t="s">
        <v>3922</v>
      </c>
      <c r="F732" s="169" t="s">
        <v>49</v>
      </c>
      <c r="G732" s="204" t="s">
        <v>3436</v>
      </c>
      <c r="H732" s="145"/>
      <c r="I732" s="146"/>
      <c r="J732" s="147"/>
    </row>
    <row r="733" ht="22.5" customHeight="1">
      <c r="A733" s="148" t="s">
        <v>2091</v>
      </c>
      <c r="B733" s="149" t="s">
        <v>2056</v>
      </c>
      <c r="C733" s="149" t="s">
        <v>3923</v>
      </c>
      <c r="D733" s="149" t="s">
        <v>3924</v>
      </c>
      <c r="E733" s="149" t="s">
        <v>3925</v>
      </c>
      <c r="F733" s="161" t="s">
        <v>49</v>
      </c>
      <c r="G733" s="207" t="s">
        <v>3436</v>
      </c>
      <c r="H733" s="153"/>
      <c r="I733" s="154"/>
      <c r="J733" s="155"/>
    </row>
    <row r="734" ht="22.5" customHeight="1">
      <c r="A734" s="140" t="s">
        <v>2094</v>
      </c>
      <c r="B734" s="141" t="s">
        <v>2056</v>
      </c>
      <c r="C734" s="141" t="s">
        <v>3926</v>
      </c>
      <c r="D734" s="141" t="s">
        <v>3927</v>
      </c>
      <c r="E734" s="203" t="s">
        <v>2096</v>
      </c>
      <c r="F734" s="173" t="s">
        <v>2076</v>
      </c>
      <c r="G734" s="204" t="s">
        <v>3436</v>
      </c>
      <c r="H734" s="145"/>
      <c r="I734" s="146"/>
      <c r="J734" s="147"/>
    </row>
    <row r="735" ht="22.5" customHeight="1">
      <c r="A735" s="148" t="s">
        <v>2098</v>
      </c>
      <c r="B735" s="149" t="s">
        <v>2056</v>
      </c>
      <c r="C735" s="149" t="s">
        <v>3928</v>
      </c>
      <c r="D735" s="149" t="s">
        <v>3929</v>
      </c>
      <c r="E735" s="149" t="s">
        <v>3930</v>
      </c>
      <c r="F735" s="161" t="s">
        <v>49</v>
      </c>
      <c r="G735" s="207" t="s">
        <v>3436</v>
      </c>
      <c r="H735" s="153"/>
      <c r="I735" s="154"/>
      <c r="J735" s="155"/>
    </row>
    <row r="736" ht="22.5" customHeight="1">
      <c r="A736" s="140" t="s">
        <v>2102</v>
      </c>
      <c r="B736" s="141" t="s">
        <v>2056</v>
      </c>
      <c r="C736" s="146"/>
      <c r="D736" s="141" t="s">
        <v>3931</v>
      </c>
      <c r="E736" s="141" t="s">
        <v>3932</v>
      </c>
      <c r="F736" s="169" t="s">
        <v>49</v>
      </c>
      <c r="G736" s="204" t="s">
        <v>3436</v>
      </c>
      <c r="H736" s="145"/>
      <c r="I736" s="146"/>
      <c r="J736" s="147"/>
    </row>
    <row r="737" ht="22.5" customHeight="1">
      <c r="A737" s="148" t="s">
        <v>2105</v>
      </c>
      <c r="B737" s="149" t="s">
        <v>2056</v>
      </c>
      <c r="C737" s="154"/>
      <c r="D737" s="149" t="s">
        <v>3933</v>
      </c>
      <c r="E737" s="149" t="s">
        <v>3934</v>
      </c>
      <c r="F737" s="161" t="s">
        <v>49</v>
      </c>
      <c r="G737" s="207" t="s">
        <v>3436</v>
      </c>
      <c r="H737" s="153"/>
      <c r="I737" s="154"/>
      <c r="J737" s="155"/>
    </row>
    <row r="738" ht="22.5" customHeight="1">
      <c r="A738" s="140" t="s">
        <v>2108</v>
      </c>
      <c r="B738" s="141" t="s">
        <v>2056</v>
      </c>
      <c r="C738" s="146"/>
      <c r="D738" s="141" t="s">
        <v>3935</v>
      </c>
      <c r="E738" s="141" t="s">
        <v>3934</v>
      </c>
      <c r="F738" s="212" t="s">
        <v>17</v>
      </c>
      <c r="G738" s="204" t="s">
        <v>3436</v>
      </c>
      <c r="H738" s="145"/>
      <c r="I738" s="146"/>
      <c r="J738" s="147"/>
    </row>
    <row r="739" ht="22.5" customHeight="1">
      <c r="A739" s="148" t="s">
        <v>2110</v>
      </c>
      <c r="B739" s="149" t="s">
        <v>2056</v>
      </c>
      <c r="C739" s="149" t="s">
        <v>3936</v>
      </c>
      <c r="D739" s="149" t="s">
        <v>3937</v>
      </c>
      <c r="E739" s="206" t="s">
        <v>2096</v>
      </c>
      <c r="F739" s="165" t="s">
        <v>2076</v>
      </c>
      <c r="G739" s="207" t="s">
        <v>3436</v>
      </c>
      <c r="H739" s="153"/>
      <c r="I739" s="154"/>
      <c r="J739" s="155"/>
    </row>
    <row r="740" ht="22.5" customHeight="1">
      <c r="A740" s="140" t="s">
        <v>2114</v>
      </c>
      <c r="B740" s="141" t="s">
        <v>2056</v>
      </c>
      <c r="C740" s="141" t="s">
        <v>3938</v>
      </c>
      <c r="D740" s="141" t="s">
        <v>3939</v>
      </c>
      <c r="E740" s="141" t="s">
        <v>3217</v>
      </c>
      <c r="F740" s="215" t="s">
        <v>2192</v>
      </c>
      <c r="G740" s="204" t="s">
        <v>3436</v>
      </c>
      <c r="H740" s="145"/>
      <c r="I740" s="146"/>
      <c r="J740" s="147"/>
    </row>
    <row r="741" ht="22.5" customHeight="1">
      <c r="A741" s="148" t="s">
        <v>2117</v>
      </c>
      <c r="B741" s="149" t="s">
        <v>2056</v>
      </c>
      <c r="C741" s="149" t="s">
        <v>3940</v>
      </c>
      <c r="D741" s="149" t="s">
        <v>3941</v>
      </c>
      <c r="E741" s="149" t="s">
        <v>3942</v>
      </c>
      <c r="F741" s="165" t="s">
        <v>2076</v>
      </c>
      <c r="G741" s="207" t="s">
        <v>3436</v>
      </c>
      <c r="H741" s="153"/>
      <c r="I741" s="154"/>
      <c r="J741" s="155"/>
    </row>
    <row r="742" ht="22.5" customHeight="1">
      <c r="A742" s="140" t="s">
        <v>2120</v>
      </c>
      <c r="B742" s="141" t="s">
        <v>2099</v>
      </c>
      <c r="C742" s="141" t="s">
        <v>3943</v>
      </c>
      <c r="D742" s="141" t="s">
        <v>3944</v>
      </c>
      <c r="E742" s="141" t="s">
        <v>3945</v>
      </c>
      <c r="F742" s="212" t="s">
        <v>17</v>
      </c>
      <c r="G742" s="204" t="s">
        <v>3436</v>
      </c>
      <c r="H742" s="145"/>
      <c r="I742" s="146"/>
      <c r="J742" s="147"/>
    </row>
    <row r="743" ht="22.5" customHeight="1">
      <c r="A743" s="148" t="s">
        <v>2122</v>
      </c>
      <c r="B743" s="149" t="s">
        <v>2099</v>
      </c>
      <c r="C743" s="149" t="s">
        <v>3946</v>
      </c>
      <c r="D743" s="149" t="s">
        <v>3947</v>
      </c>
      <c r="E743" s="149" t="s">
        <v>3948</v>
      </c>
      <c r="F743" s="161" t="s">
        <v>49</v>
      </c>
      <c r="G743" s="207" t="s">
        <v>3436</v>
      </c>
      <c r="H743" s="153"/>
      <c r="I743" s="154"/>
      <c r="J743" s="155"/>
    </row>
    <row r="744" ht="22.5" customHeight="1">
      <c r="A744" s="140" t="s">
        <v>2125</v>
      </c>
      <c r="B744" s="141" t="s">
        <v>2099</v>
      </c>
      <c r="C744" s="141" t="s">
        <v>3949</v>
      </c>
      <c r="D744" s="141" t="s">
        <v>3950</v>
      </c>
      <c r="E744" s="141" t="s">
        <v>3951</v>
      </c>
      <c r="F744" s="212" t="s">
        <v>17</v>
      </c>
      <c r="G744" s="204" t="s">
        <v>3436</v>
      </c>
      <c r="H744" s="145"/>
      <c r="I744" s="146"/>
      <c r="J744" s="147"/>
    </row>
    <row r="745" ht="22.5" customHeight="1">
      <c r="A745" s="148" t="s">
        <v>2128</v>
      </c>
      <c r="B745" s="149" t="s">
        <v>2099</v>
      </c>
      <c r="C745" s="149" t="s">
        <v>3952</v>
      </c>
      <c r="D745" s="149" t="s">
        <v>3953</v>
      </c>
      <c r="E745" s="149" t="s">
        <v>3954</v>
      </c>
      <c r="F745" s="232" t="s">
        <v>3955</v>
      </c>
      <c r="G745" s="207" t="s">
        <v>3436</v>
      </c>
      <c r="H745" s="153"/>
      <c r="I745" s="154"/>
      <c r="J745" s="155"/>
    </row>
    <row r="746" ht="22.5" customHeight="1">
      <c r="A746" s="140" t="s">
        <v>2131</v>
      </c>
      <c r="B746" s="141" t="s">
        <v>2099</v>
      </c>
      <c r="C746" s="141" t="s">
        <v>3956</v>
      </c>
      <c r="D746" s="141" t="s">
        <v>3957</v>
      </c>
      <c r="E746" s="141" t="s">
        <v>3958</v>
      </c>
      <c r="F746" s="212" t="s">
        <v>17</v>
      </c>
      <c r="G746" s="204" t="s">
        <v>3436</v>
      </c>
      <c r="H746" s="145"/>
      <c r="I746" s="146"/>
      <c r="J746" s="147"/>
    </row>
    <row r="747" ht="22.5" customHeight="1">
      <c r="A747" s="148" t="s">
        <v>2134</v>
      </c>
      <c r="B747" s="149" t="s">
        <v>2099</v>
      </c>
      <c r="C747" s="149" t="s">
        <v>3959</v>
      </c>
      <c r="D747" s="149" t="s">
        <v>3960</v>
      </c>
      <c r="E747" s="149" t="s">
        <v>3961</v>
      </c>
      <c r="F747" s="213" t="s">
        <v>40</v>
      </c>
      <c r="G747" s="207" t="s">
        <v>3436</v>
      </c>
      <c r="H747" s="153"/>
      <c r="I747" s="154"/>
      <c r="J747" s="155"/>
    </row>
    <row r="748" ht="22.5" customHeight="1">
      <c r="A748" s="140" t="s">
        <v>2137</v>
      </c>
      <c r="B748" s="141" t="s">
        <v>2099</v>
      </c>
      <c r="C748" s="141" t="s">
        <v>3962</v>
      </c>
      <c r="D748" s="141" t="s">
        <v>3963</v>
      </c>
      <c r="E748" s="141" t="s">
        <v>3964</v>
      </c>
      <c r="F748" s="216" t="s">
        <v>40</v>
      </c>
      <c r="G748" s="204" t="s">
        <v>3436</v>
      </c>
      <c r="H748" s="145"/>
      <c r="I748" s="146"/>
      <c r="J748" s="147"/>
    </row>
    <row r="749" ht="22.5" customHeight="1">
      <c r="A749" s="148" t="s">
        <v>2140</v>
      </c>
      <c r="B749" s="149" t="s">
        <v>2099</v>
      </c>
      <c r="C749" s="149" t="s">
        <v>3965</v>
      </c>
      <c r="D749" s="149" t="s">
        <v>3966</v>
      </c>
      <c r="E749" s="206" t="s">
        <v>3070</v>
      </c>
      <c r="F749" s="166" t="s">
        <v>2097</v>
      </c>
      <c r="G749" s="207" t="s">
        <v>3436</v>
      </c>
      <c r="H749" s="153"/>
      <c r="I749" s="154"/>
      <c r="J749" s="155"/>
    </row>
    <row r="750" ht="22.5" customHeight="1">
      <c r="A750" s="140" t="s">
        <v>2143</v>
      </c>
      <c r="B750" s="141" t="s">
        <v>2099</v>
      </c>
      <c r="C750" s="146"/>
      <c r="D750" s="141" t="s">
        <v>3967</v>
      </c>
      <c r="E750" s="203" t="s">
        <v>3070</v>
      </c>
      <c r="F750" s="169" t="s">
        <v>49</v>
      </c>
      <c r="G750" s="204" t="s">
        <v>3436</v>
      </c>
      <c r="H750" s="145"/>
      <c r="I750" s="146"/>
      <c r="J750" s="147"/>
    </row>
    <row r="751" ht="22.5" customHeight="1">
      <c r="A751" s="148" t="s">
        <v>2147</v>
      </c>
      <c r="B751" s="149" t="s">
        <v>2099</v>
      </c>
      <c r="C751" s="154"/>
      <c r="D751" s="149" t="s">
        <v>3968</v>
      </c>
      <c r="E751" s="149" t="s">
        <v>3961</v>
      </c>
      <c r="F751" s="161" t="s">
        <v>49</v>
      </c>
      <c r="G751" s="207" t="s">
        <v>3436</v>
      </c>
      <c r="H751" s="153"/>
      <c r="I751" s="154"/>
      <c r="J751" s="155"/>
    </row>
    <row r="752" ht="22.5" customHeight="1">
      <c r="A752" s="140" t="s">
        <v>2149</v>
      </c>
      <c r="B752" s="141" t="s">
        <v>2099</v>
      </c>
      <c r="C752" s="146"/>
      <c r="D752" s="141" t="s">
        <v>3969</v>
      </c>
      <c r="E752" s="141" t="s">
        <v>2072</v>
      </c>
      <c r="F752" s="212" t="s">
        <v>17</v>
      </c>
      <c r="G752" s="204" t="s">
        <v>3436</v>
      </c>
      <c r="H752" s="145"/>
      <c r="I752" s="146"/>
      <c r="J752" s="147"/>
    </row>
    <row r="753" ht="22.5" customHeight="1">
      <c r="A753" s="148" t="s">
        <v>2152</v>
      </c>
      <c r="B753" s="149" t="s">
        <v>2099</v>
      </c>
      <c r="C753" s="154"/>
      <c r="D753" s="149" t="s">
        <v>3970</v>
      </c>
      <c r="E753" s="149" t="s">
        <v>2072</v>
      </c>
      <c r="F753" s="214" t="s">
        <v>17</v>
      </c>
      <c r="G753" s="207" t="s">
        <v>3436</v>
      </c>
      <c r="H753" s="153"/>
      <c r="I753" s="154"/>
      <c r="J753" s="155"/>
    </row>
    <row r="754" ht="22.5" customHeight="1">
      <c r="A754" s="140" t="s">
        <v>2154</v>
      </c>
      <c r="B754" s="141" t="s">
        <v>2099</v>
      </c>
      <c r="C754" s="141" t="s">
        <v>3971</v>
      </c>
      <c r="D754" s="141" t="s">
        <v>3972</v>
      </c>
      <c r="E754" s="141" t="s">
        <v>2072</v>
      </c>
      <c r="F754" s="216" t="s">
        <v>40</v>
      </c>
      <c r="G754" s="204" t="s">
        <v>3436</v>
      </c>
      <c r="H754" s="145"/>
      <c r="I754" s="146"/>
      <c r="J754" s="147"/>
    </row>
    <row r="755" ht="22.5" customHeight="1">
      <c r="A755" s="148" t="s">
        <v>2156</v>
      </c>
      <c r="B755" s="149" t="s">
        <v>2099</v>
      </c>
      <c r="C755" s="149" t="s">
        <v>3973</v>
      </c>
      <c r="D755" s="149" t="s">
        <v>3974</v>
      </c>
      <c r="E755" s="149" t="s">
        <v>2072</v>
      </c>
      <c r="F755" s="213" t="s">
        <v>40</v>
      </c>
      <c r="G755" s="207" t="s">
        <v>3436</v>
      </c>
      <c r="H755" s="153"/>
      <c r="I755" s="154"/>
      <c r="J755" s="155"/>
    </row>
    <row r="756" ht="22.5" customHeight="1">
      <c r="A756" s="140" t="s">
        <v>2158</v>
      </c>
      <c r="B756" s="141" t="s">
        <v>2099</v>
      </c>
      <c r="C756" s="141" t="s">
        <v>3975</v>
      </c>
      <c r="D756" s="141" t="s">
        <v>3976</v>
      </c>
      <c r="E756" s="203" t="s">
        <v>3977</v>
      </c>
      <c r="F756" s="212" t="s">
        <v>17</v>
      </c>
      <c r="G756" s="204" t="s">
        <v>3436</v>
      </c>
      <c r="H756" s="145"/>
      <c r="I756" s="146"/>
      <c r="J756" s="147"/>
    </row>
    <row r="757" ht="22.5" customHeight="1">
      <c r="A757" s="233" t="s">
        <v>2160</v>
      </c>
      <c r="B757" s="234" t="s">
        <v>2099</v>
      </c>
      <c r="C757" s="234" t="s">
        <v>2078</v>
      </c>
      <c r="D757" s="234" t="s">
        <v>3978</v>
      </c>
      <c r="E757" s="235" t="s">
        <v>2096</v>
      </c>
      <c r="F757" s="236" t="s">
        <v>2192</v>
      </c>
      <c r="G757" s="237" t="s">
        <v>3436</v>
      </c>
      <c r="H757" s="153"/>
      <c r="I757" s="154"/>
      <c r="J757" s="155"/>
    </row>
    <row r="758" ht="22.5" customHeight="1">
      <c r="A758" s="140" t="s">
        <v>2163</v>
      </c>
      <c r="B758" s="141" t="s">
        <v>2099</v>
      </c>
      <c r="C758" s="141" t="s">
        <v>3979</v>
      </c>
      <c r="D758" s="141" t="s">
        <v>3980</v>
      </c>
      <c r="E758" s="203" t="s">
        <v>2096</v>
      </c>
      <c r="F758" s="212" t="s">
        <v>17</v>
      </c>
      <c r="G758" s="204" t="s">
        <v>3436</v>
      </c>
      <c r="H758" s="145"/>
      <c r="I758" s="146"/>
      <c r="J758" s="147"/>
    </row>
    <row r="759" ht="22.5" customHeight="1">
      <c r="A759" s="148" t="s">
        <v>2166</v>
      </c>
      <c r="B759" s="149" t="s">
        <v>2099</v>
      </c>
      <c r="C759" s="149" t="s">
        <v>3981</v>
      </c>
      <c r="D759" s="149" t="s">
        <v>3982</v>
      </c>
      <c r="E759" s="149" t="s">
        <v>3983</v>
      </c>
      <c r="F759" s="213" t="s">
        <v>40</v>
      </c>
      <c r="G759" s="207" t="s">
        <v>3436</v>
      </c>
      <c r="H759" s="153"/>
      <c r="I759" s="154"/>
      <c r="J759" s="155"/>
    </row>
    <row r="760" ht="22.5" customHeight="1">
      <c r="A760" s="140" t="s">
        <v>2169</v>
      </c>
      <c r="B760" s="141" t="s">
        <v>2099</v>
      </c>
      <c r="C760" s="146"/>
      <c r="D760" s="141" t="s">
        <v>3984</v>
      </c>
      <c r="E760" s="203" t="s">
        <v>2096</v>
      </c>
      <c r="F760" s="212" t="s">
        <v>17</v>
      </c>
      <c r="G760" s="204" t="s">
        <v>3436</v>
      </c>
      <c r="H760" s="145"/>
      <c r="I760" s="146"/>
      <c r="J760" s="147"/>
    </row>
    <row r="761" ht="22.5" customHeight="1">
      <c r="A761" s="148" t="s">
        <v>2171</v>
      </c>
      <c r="B761" s="149" t="s">
        <v>2099</v>
      </c>
      <c r="C761" s="149" t="s">
        <v>3985</v>
      </c>
      <c r="D761" s="149" t="s">
        <v>3986</v>
      </c>
      <c r="E761" s="149" t="s">
        <v>3983</v>
      </c>
      <c r="F761" s="213" t="s">
        <v>40</v>
      </c>
      <c r="G761" s="207" t="s">
        <v>3436</v>
      </c>
      <c r="H761" s="153"/>
      <c r="I761" s="154"/>
      <c r="J761" s="155"/>
    </row>
    <row r="762" ht="22.5" customHeight="1">
      <c r="A762" s="140" t="s">
        <v>2174</v>
      </c>
      <c r="B762" s="141" t="s">
        <v>2099</v>
      </c>
      <c r="C762" s="141" t="s">
        <v>3987</v>
      </c>
      <c r="D762" s="141" t="s">
        <v>3988</v>
      </c>
      <c r="E762" s="203" t="s">
        <v>2096</v>
      </c>
      <c r="F762" s="212" t="s">
        <v>17</v>
      </c>
      <c r="G762" s="204" t="s">
        <v>3436</v>
      </c>
      <c r="H762" s="145"/>
      <c r="I762" s="146"/>
      <c r="J762" s="147"/>
    </row>
    <row r="763" ht="22.5" customHeight="1">
      <c r="A763" s="148" t="s">
        <v>2177</v>
      </c>
      <c r="B763" s="149" t="s">
        <v>2099</v>
      </c>
      <c r="C763" s="149" t="s">
        <v>3989</v>
      </c>
      <c r="D763" s="149" t="s">
        <v>3990</v>
      </c>
      <c r="E763" s="206" t="s">
        <v>2096</v>
      </c>
      <c r="F763" s="214" t="s">
        <v>17</v>
      </c>
      <c r="G763" s="207" t="s">
        <v>3436</v>
      </c>
      <c r="H763" s="153"/>
      <c r="I763" s="154"/>
      <c r="J763" s="155"/>
    </row>
    <row r="764" ht="22.5" customHeight="1">
      <c r="A764" s="140" t="s">
        <v>2181</v>
      </c>
      <c r="B764" s="141" t="s">
        <v>2099</v>
      </c>
      <c r="C764" s="141" t="s">
        <v>3991</v>
      </c>
      <c r="D764" s="141" t="s">
        <v>3992</v>
      </c>
      <c r="E764" s="203" t="s">
        <v>2096</v>
      </c>
      <c r="F764" s="216" t="s">
        <v>40</v>
      </c>
      <c r="G764" s="204" t="s">
        <v>3436</v>
      </c>
      <c r="H764" s="145"/>
      <c r="I764" s="146"/>
      <c r="J764" s="147"/>
    </row>
    <row r="765" ht="22.5" customHeight="1">
      <c r="A765" s="148" t="s">
        <v>2184</v>
      </c>
      <c r="B765" s="149" t="s">
        <v>2099</v>
      </c>
      <c r="C765" s="149" t="s">
        <v>3993</v>
      </c>
      <c r="D765" s="149" t="s">
        <v>3994</v>
      </c>
      <c r="E765" s="206" t="s">
        <v>2096</v>
      </c>
      <c r="F765" s="165" t="s">
        <v>2076</v>
      </c>
      <c r="G765" s="207" t="s">
        <v>3436</v>
      </c>
      <c r="H765" s="153"/>
      <c r="I765" s="154"/>
      <c r="J765" s="155"/>
    </row>
    <row r="766" ht="22.5" customHeight="1">
      <c r="A766" s="140" t="s">
        <v>2186</v>
      </c>
      <c r="B766" s="141" t="s">
        <v>2099</v>
      </c>
      <c r="C766" s="141" t="s">
        <v>3995</v>
      </c>
      <c r="D766" s="141" t="s">
        <v>3996</v>
      </c>
      <c r="E766" s="141" t="s">
        <v>3997</v>
      </c>
      <c r="F766" s="156" t="s">
        <v>635</v>
      </c>
      <c r="G766" s="204" t="s">
        <v>3436</v>
      </c>
      <c r="H766" s="145"/>
      <c r="I766" s="146"/>
      <c r="J766" s="147"/>
    </row>
    <row r="767" ht="22.5" customHeight="1">
      <c r="A767" s="148" t="s">
        <v>2189</v>
      </c>
      <c r="B767" s="149" t="s">
        <v>2099</v>
      </c>
      <c r="C767" s="149" t="s">
        <v>3998</v>
      </c>
      <c r="D767" s="149" t="s">
        <v>3999</v>
      </c>
      <c r="E767" s="206" t="s">
        <v>2096</v>
      </c>
      <c r="F767" s="214" t="s">
        <v>17</v>
      </c>
      <c r="G767" s="207" t="s">
        <v>3436</v>
      </c>
      <c r="H767" s="153"/>
      <c r="I767" s="154"/>
      <c r="J767" s="155"/>
    </row>
    <row r="768" ht="22.5" customHeight="1">
      <c r="A768" s="140" t="s">
        <v>2193</v>
      </c>
      <c r="B768" s="141" t="s">
        <v>2099</v>
      </c>
      <c r="C768" s="141" t="s">
        <v>4000</v>
      </c>
      <c r="D768" s="141" t="s">
        <v>4001</v>
      </c>
      <c r="E768" s="141" t="s">
        <v>4002</v>
      </c>
      <c r="F768" s="212" t="s">
        <v>17</v>
      </c>
      <c r="G768" s="204" t="s">
        <v>3436</v>
      </c>
      <c r="H768" s="145"/>
      <c r="I768" s="146"/>
      <c r="J768" s="147"/>
    </row>
    <row r="769" ht="22.5" customHeight="1">
      <c r="A769" s="148" t="s">
        <v>2195</v>
      </c>
      <c r="B769" s="149" t="s">
        <v>2099</v>
      </c>
      <c r="C769" s="149" t="s">
        <v>4003</v>
      </c>
      <c r="D769" s="149" t="s">
        <v>4004</v>
      </c>
      <c r="E769" s="149" t="s">
        <v>3909</v>
      </c>
      <c r="F769" s="214" t="s">
        <v>17</v>
      </c>
      <c r="G769" s="207" t="s">
        <v>3436</v>
      </c>
      <c r="H769" s="153"/>
      <c r="I769" s="154"/>
      <c r="J769" s="155"/>
    </row>
    <row r="770" ht="22.5" customHeight="1">
      <c r="A770" s="140" t="s">
        <v>2197</v>
      </c>
      <c r="B770" s="141" t="s">
        <v>2072</v>
      </c>
      <c r="C770" s="141" t="s">
        <v>4005</v>
      </c>
      <c r="D770" s="141" t="s">
        <v>4006</v>
      </c>
      <c r="E770" s="203" t="s">
        <v>2096</v>
      </c>
      <c r="F770" s="215" t="s">
        <v>2192</v>
      </c>
      <c r="G770" s="204" t="s">
        <v>3436</v>
      </c>
      <c r="H770" s="145"/>
      <c r="I770" s="146"/>
      <c r="J770" s="147"/>
    </row>
    <row r="771" ht="22.5" customHeight="1">
      <c r="A771" s="148" t="s">
        <v>2200</v>
      </c>
      <c r="B771" s="149" t="s">
        <v>2072</v>
      </c>
      <c r="C771" s="149" t="s">
        <v>2138</v>
      </c>
      <c r="D771" s="149" t="s">
        <v>4007</v>
      </c>
      <c r="E771" s="149" t="s">
        <v>3983</v>
      </c>
      <c r="F771" s="213" t="s">
        <v>40</v>
      </c>
      <c r="G771" s="207" t="s">
        <v>3436</v>
      </c>
      <c r="H771" s="153"/>
      <c r="I771" s="154"/>
      <c r="J771" s="155"/>
    </row>
    <row r="772" ht="22.5" customHeight="1">
      <c r="A772" s="140" t="s">
        <v>2203</v>
      </c>
      <c r="B772" s="141" t="s">
        <v>2072</v>
      </c>
      <c r="C772" s="141" t="s">
        <v>4008</v>
      </c>
      <c r="D772" s="141" t="s">
        <v>4009</v>
      </c>
      <c r="E772" s="141" t="s">
        <v>4010</v>
      </c>
      <c r="F772" s="212" t="s">
        <v>17</v>
      </c>
      <c r="G772" s="204" t="s">
        <v>3436</v>
      </c>
      <c r="H772" s="145"/>
      <c r="I772" s="146"/>
      <c r="J772" s="147"/>
    </row>
    <row r="773" ht="22.5" customHeight="1">
      <c r="A773" s="148" t="s">
        <v>2206</v>
      </c>
      <c r="B773" s="149" t="s">
        <v>2072</v>
      </c>
      <c r="C773" s="154"/>
      <c r="D773" s="149" t="s">
        <v>4011</v>
      </c>
      <c r="E773" s="149" t="s">
        <v>4012</v>
      </c>
      <c r="F773" s="214" t="s">
        <v>17</v>
      </c>
      <c r="G773" s="207" t="s">
        <v>3436</v>
      </c>
      <c r="H773" s="153"/>
      <c r="I773" s="154"/>
      <c r="J773" s="155"/>
    </row>
    <row r="774" ht="22.5" customHeight="1">
      <c r="A774" s="140" t="s">
        <v>2209</v>
      </c>
      <c r="B774" s="141" t="s">
        <v>2072</v>
      </c>
      <c r="C774" s="141" t="s">
        <v>4013</v>
      </c>
      <c r="D774" s="141" t="s">
        <v>4014</v>
      </c>
      <c r="E774" s="141" t="s">
        <v>4015</v>
      </c>
      <c r="F774" s="212" t="s">
        <v>17</v>
      </c>
      <c r="G774" s="204" t="s">
        <v>3436</v>
      </c>
      <c r="H774" s="145"/>
      <c r="I774" s="146"/>
      <c r="J774" s="147"/>
    </row>
    <row r="775" ht="22.5" customHeight="1">
      <c r="A775" s="148" t="s">
        <v>2212</v>
      </c>
      <c r="B775" s="149" t="s">
        <v>2072</v>
      </c>
      <c r="C775" s="149" t="s">
        <v>4016</v>
      </c>
      <c r="D775" s="149" t="s">
        <v>4017</v>
      </c>
      <c r="E775" s="149" t="s">
        <v>4015</v>
      </c>
      <c r="F775" s="214" t="s">
        <v>17</v>
      </c>
      <c r="G775" s="207" t="s">
        <v>3436</v>
      </c>
      <c r="H775" s="153"/>
      <c r="I775" s="154"/>
      <c r="J775" s="155"/>
    </row>
    <row r="776" ht="22.5" customHeight="1">
      <c r="A776" s="140" t="s">
        <v>2215</v>
      </c>
      <c r="B776" s="141" t="s">
        <v>2072</v>
      </c>
      <c r="C776" s="146"/>
      <c r="D776" s="141" t="s">
        <v>4018</v>
      </c>
      <c r="E776" s="203" t="s">
        <v>2096</v>
      </c>
      <c r="F776" s="169" t="s">
        <v>49</v>
      </c>
      <c r="G776" s="204" t="s">
        <v>3436</v>
      </c>
      <c r="H776" s="145"/>
      <c r="I776" s="146"/>
      <c r="J776" s="147"/>
    </row>
    <row r="777" ht="22.5" customHeight="1">
      <c r="A777" s="148" t="s">
        <v>2217</v>
      </c>
      <c r="B777" s="149" t="s">
        <v>2072</v>
      </c>
      <c r="C777" s="149" t="s">
        <v>4019</v>
      </c>
      <c r="D777" s="149" t="s">
        <v>4020</v>
      </c>
      <c r="E777" s="149" t="s">
        <v>4015</v>
      </c>
      <c r="F777" s="166" t="s">
        <v>2097</v>
      </c>
      <c r="G777" s="207" t="s">
        <v>3436</v>
      </c>
      <c r="H777" s="153"/>
      <c r="I777" s="154"/>
      <c r="J777" s="155"/>
    </row>
    <row r="778" ht="22.5" customHeight="1">
      <c r="A778" s="140" t="s">
        <v>2220</v>
      </c>
      <c r="B778" s="141" t="s">
        <v>2072</v>
      </c>
      <c r="C778" s="141" t="s">
        <v>4021</v>
      </c>
      <c r="D778" s="141" t="s">
        <v>4022</v>
      </c>
      <c r="E778" s="203" t="s">
        <v>2096</v>
      </c>
      <c r="F778" s="163" t="s">
        <v>2097</v>
      </c>
      <c r="G778" s="204" t="s">
        <v>3436</v>
      </c>
      <c r="H778" s="145"/>
      <c r="I778" s="146"/>
      <c r="J778" s="147"/>
    </row>
    <row r="779" ht="22.5" customHeight="1">
      <c r="A779" s="148" t="s">
        <v>2222</v>
      </c>
      <c r="B779" s="149" t="s">
        <v>2072</v>
      </c>
      <c r="C779" s="154"/>
      <c r="D779" s="149" t="s">
        <v>4023</v>
      </c>
      <c r="E779" s="206" t="s">
        <v>2096</v>
      </c>
      <c r="F779" s="166" t="s">
        <v>2097</v>
      </c>
      <c r="G779" s="207" t="s">
        <v>3436</v>
      </c>
      <c r="H779" s="153"/>
      <c r="I779" s="154"/>
      <c r="J779" s="155"/>
    </row>
    <row r="780" ht="22.5" customHeight="1">
      <c r="A780" s="140" t="s">
        <v>2225</v>
      </c>
      <c r="B780" s="141" t="s">
        <v>2072</v>
      </c>
      <c r="C780" s="141" t="s">
        <v>4024</v>
      </c>
      <c r="D780" s="141" t="s">
        <v>4025</v>
      </c>
      <c r="E780" s="203" t="s">
        <v>2096</v>
      </c>
      <c r="F780" s="163" t="s">
        <v>2097</v>
      </c>
      <c r="G780" s="204" t="s">
        <v>3436</v>
      </c>
      <c r="H780" s="145"/>
      <c r="I780" s="146"/>
      <c r="J780" s="147"/>
    </row>
    <row r="781" ht="22.5" customHeight="1">
      <c r="A781" s="148" t="s">
        <v>2230</v>
      </c>
      <c r="B781" s="149" t="s">
        <v>2072</v>
      </c>
      <c r="C781" s="149" t="s">
        <v>4026</v>
      </c>
      <c r="D781" s="149" t="s">
        <v>4027</v>
      </c>
      <c r="E781" s="206" t="s">
        <v>2096</v>
      </c>
      <c r="F781" s="166" t="s">
        <v>2097</v>
      </c>
      <c r="G781" s="207" t="s">
        <v>3436</v>
      </c>
      <c r="H781" s="153"/>
      <c r="I781" s="154"/>
      <c r="J781" s="155"/>
    </row>
    <row r="782" ht="22.5" customHeight="1">
      <c r="A782" s="140" t="s">
        <v>2232</v>
      </c>
      <c r="B782" s="141" t="s">
        <v>2072</v>
      </c>
      <c r="C782" s="141" t="s">
        <v>4028</v>
      </c>
      <c r="D782" s="141" t="s">
        <v>4029</v>
      </c>
      <c r="E782" s="141" t="s">
        <v>4030</v>
      </c>
      <c r="F782" s="216" t="s">
        <v>40</v>
      </c>
      <c r="G782" s="204" t="s">
        <v>3436</v>
      </c>
      <c r="H782" s="145"/>
      <c r="I782" s="146"/>
      <c r="J782" s="147"/>
    </row>
    <row r="783" ht="22.5" customHeight="1">
      <c r="A783" s="148" t="s">
        <v>2234</v>
      </c>
      <c r="B783" s="149" t="s">
        <v>2072</v>
      </c>
      <c r="C783" s="149" t="s">
        <v>4031</v>
      </c>
      <c r="D783" s="149" t="s">
        <v>4032</v>
      </c>
      <c r="E783" s="149" t="s">
        <v>4033</v>
      </c>
      <c r="F783" s="151" t="s">
        <v>30</v>
      </c>
      <c r="G783" s="207" t="s">
        <v>3436</v>
      </c>
      <c r="H783" s="153"/>
      <c r="I783" s="154"/>
      <c r="J783" s="155"/>
    </row>
    <row r="784" ht="22.5" customHeight="1">
      <c r="A784" s="140" t="s">
        <v>2236</v>
      </c>
      <c r="B784" s="141" t="s">
        <v>2072</v>
      </c>
      <c r="C784" s="146"/>
      <c r="D784" s="141" t="s">
        <v>4034</v>
      </c>
      <c r="E784" s="203" t="s">
        <v>2096</v>
      </c>
      <c r="F784" s="163" t="s">
        <v>2097</v>
      </c>
      <c r="G784" s="204" t="s">
        <v>3436</v>
      </c>
      <c r="H784" s="145"/>
      <c r="I784" s="146"/>
      <c r="J784" s="147"/>
    </row>
    <row r="785" ht="22.5" customHeight="1">
      <c r="A785" s="148" t="s">
        <v>2238</v>
      </c>
      <c r="B785" s="149" t="s">
        <v>2072</v>
      </c>
      <c r="C785" s="154"/>
      <c r="D785" s="149" t="s">
        <v>4035</v>
      </c>
      <c r="E785" s="206" t="s">
        <v>2096</v>
      </c>
      <c r="F785" s="166" t="s">
        <v>2097</v>
      </c>
      <c r="G785" s="207" t="s">
        <v>3436</v>
      </c>
      <c r="H785" s="153"/>
      <c r="I785" s="154"/>
      <c r="J785" s="155"/>
    </row>
    <row r="786" ht="22.5" customHeight="1">
      <c r="A786" s="140" t="s">
        <v>2241</v>
      </c>
      <c r="B786" s="141" t="s">
        <v>2072</v>
      </c>
      <c r="C786" s="141" t="s">
        <v>4036</v>
      </c>
      <c r="D786" s="141" t="s">
        <v>4037</v>
      </c>
      <c r="E786" s="141" t="s">
        <v>4038</v>
      </c>
      <c r="F786" s="143" t="s">
        <v>30</v>
      </c>
      <c r="G786" s="204" t="s">
        <v>3436</v>
      </c>
      <c r="H786" s="145"/>
      <c r="I786" s="146"/>
      <c r="J786" s="147"/>
    </row>
    <row r="787" ht="22.5" customHeight="1">
      <c r="A787" s="148" t="s">
        <v>2245</v>
      </c>
      <c r="B787" s="149" t="s">
        <v>2072</v>
      </c>
      <c r="C787" s="154"/>
      <c r="D787" s="149" t="s">
        <v>4039</v>
      </c>
      <c r="E787" s="206" t="s">
        <v>2096</v>
      </c>
      <c r="F787" s="166" t="s">
        <v>2097</v>
      </c>
      <c r="G787" s="207" t="s">
        <v>3436</v>
      </c>
      <c r="H787" s="153"/>
      <c r="I787" s="154"/>
      <c r="J787" s="155"/>
    </row>
    <row r="788" ht="22.5" customHeight="1">
      <c r="A788" s="140" t="s">
        <v>2247</v>
      </c>
      <c r="B788" s="141" t="s">
        <v>2072</v>
      </c>
      <c r="C788" s="141" t="s">
        <v>4040</v>
      </c>
      <c r="D788" s="141" t="s">
        <v>4041</v>
      </c>
      <c r="E788" s="203" t="s">
        <v>2096</v>
      </c>
      <c r="F788" s="163" t="s">
        <v>2097</v>
      </c>
      <c r="G788" s="204" t="s">
        <v>3436</v>
      </c>
      <c r="H788" s="145"/>
      <c r="I788" s="146"/>
      <c r="J788" s="147"/>
    </row>
    <row r="789" ht="22.5" customHeight="1">
      <c r="A789" s="148" t="s">
        <v>2250</v>
      </c>
      <c r="B789" s="149" t="s">
        <v>2072</v>
      </c>
      <c r="C789" s="154"/>
      <c r="D789" s="149" t="s">
        <v>4042</v>
      </c>
      <c r="E789" s="206" t="s">
        <v>2096</v>
      </c>
      <c r="F789" s="166" t="s">
        <v>2097</v>
      </c>
      <c r="G789" s="207" t="s">
        <v>3436</v>
      </c>
      <c r="H789" s="153"/>
      <c r="I789" s="154"/>
      <c r="J789" s="155"/>
    </row>
    <row r="790" ht="22.5" customHeight="1">
      <c r="A790" s="140" t="s">
        <v>2253</v>
      </c>
      <c r="B790" s="141" t="s">
        <v>2072</v>
      </c>
      <c r="C790" s="141" t="s">
        <v>4043</v>
      </c>
      <c r="D790" s="141" t="s">
        <v>4044</v>
      </c>
      <c r="E790" s="203" t="s">
        <v>2096</v>
      </c>
      <c r="F790" s="173" t="s">
        <v>2076</v>
      </c>
      <c r="G790" s="204" t="s">
        <v>3436</v>
      </c>
      <c r="H790" s="145"/>
      <c r="I790" s="146"/>
      <c r="J790" s="147"/>
    </row>
    <row r="791" ht="22.5" customHeight="1">
      <c r="A791" s="148" t="s">
        <v>2257</v>
      </c>
      <c r="B791" s="149" t="s">
        <v>2113</v>
      </c>
      <c r="C791" s="149" t="s">
        <v>4045</v>
      </c>
      <c r="D791" s="149" t="s">
        <v>4046</v>
      </c>
      <c r="E791" s="206" t="s">
        <v>2096</v>
      </c>
      <c r="F791" s="161" t="s">
        <v>49</v>
      </c>
      <c r="G791" s="207" t="s">
        <v>3436</v>
      </c>
      <c r="H791" s="153"/>
      <c r="I791" s="154"/>
      <c r="J791" s="155"/>
    </row>
    <row r="792" ht="22.5" customHeight="1">
      <c r="A792" s="140" t="s">
        <v>2259</v>
      </c>
      <c r="B792" s="141" t="s">
        <v>2113</v>
      </c>
      <c r="C792" s="141" t="s">
        <v>4047</v>
      </c>
      <c r="D792" s="141" t="s">
        <v>4048</v>
      </c>
      <c r="E792" s="203" t="s">
        <v>2096</v>
      </c>
      <c r="F792" s="143" t="s">
        <v>30</v>
      </c>
      <c r="G792" s="204" t="s">
        <v>3436</v>
      </c>
      <c r="H792" s="145"/>
      <c r="I792" s="146"/>
      <c r="J792" s="147"/>
    </row>
    <row r="793" ht="22.5" customHeight="1">
      <c r="A793" s="148" t="s">
        <v>2261</v>
      </c>
      <c r="B793" s="149" t="s">
        <v>2113</v>
      </c>
      <c r="C793" s="149" t="s">
        <v>4049</v>
      </c>
      <c r="D793" s="149" t="s">
        <v>4050</v>
      </c>
      <c r="E793" s="149" t="s">
        <v>4051</v>
      </c>
      <c r="F793" s="151" t="s">
        <v>30</v>
      </c>
      <c r="G793" s="207" t="s">
        <v>3436</v>
      </c>
      <c r="H793" s="153"/>
      <c r="I793" s="154"/>
      <c r="J793" s="155"/>
    </row>
    <row r="794" ht="22.5" customHeight="1">
      <c r="A794" s="140" t="s">
        <v>2263</v>
      </c>
      <c r="B794" s="141" t="s">
        <v>2113</v>
      </c>
      <c r="C794" s="141" t="s">
        <v>1135</v>
      </c>
      <c r="D794" s="141" t="s">
        <v>4052</v>
      </c>
      <c r="E794" s="141" t="s">
        <v>4053</v>
      </c>
      <c r="F794" s="143" t="s">
        <v>30</v>
      </c>
      <c r="G794" s="204" t="s">
        <v>3436</v>
      </c>
      <c r="H794" s="145"/>
      <c r="I794" s="146"/>
      <c r="J794" s="147"/>
    </row>
    <row r="795" ht="22.5" customHeight="1">
      <c r="A795" s="148" t="s">
        <v>2265</v>
      </c>
      <c r="B795" s="149" t="s">
        <v>2113</v>
      </c>
      <c r="C795" s="149" t="s">
        <v>4054</v>
      </c>
      <c r="D795" s="149" t="s">
        <v>4055</v>
      </c>
      <c r="E795" s="206" t="s">
        <v>2096</v>
      </c>
      <c r="F795" s="151" t="s">
        <v>30</v>
      </c>
      <c r="G795" s="207" t="s">
        <v>3436</v>
      </c>
      <c r="H795" s="153"/>
      <c r="I795" s="154"/>
      <c r="J795" s="155"/>
    </row>
    <row r="796" ht="22.5" customHeight="1">
      <c r="A796" s="140" t="s">
        <v>2268</v>
      </c>
      <c r="B796" s="141" t="s">
        <v>2113</v>
      </c>
      <c r="C796" s="141" t="s">
        <v>4056</v>
      </c>
      <c r="D796" s="141" t="s">
        <v>4057</v>
      </c>
      <c r="E796" s="203" t="s">
        <v>2096</v>
      </c>
      <c r="F796" s="169" t="s">
        <v>49</v>
      </c>
      <c r="G796" s="204" t="s">
        <v>3436</v>
      </c>
      <c r="H796" s="145"/>
      <c r="I796" s="146"/>
      <c r="J796" s="147"/>
    </row>
    <row r="797" ht="22.5" customHeight="1">
      <c r="A797" s="148" t="s">
        <v>2271</v>
      </c>
      <c r="B797" s="149" t="s">
        <v>2113</v>
      </c>
      <c r="C797" s="149" t="s">
        <v>2103</v>
      </c>
      <c r="D797" s="149" t="s">
        <v>4058</v>
      </c>
      <c r="E797" s="206" t="s">
        <v>2096</v>
      </c>
      <c r="F797" s="166" t="s">
        <v>2097</v>
      </c>
      <c r="G797" s="207" t="s">
        <v>3436</v>
      </c>
      <c r="H797" s="153"/>
      <c r="I797" s="154"/>
      <c r="J797" s="155"/>
    </row>
    <row r="798" ht="22.5" customHeight="1">
      <c r="A798" s="140" t="s">
        <v>2274</v>
      </c>
      <c r="B798" s="141" t="s">
        <v>2113</v>
      </c>
      <c r="C798" s="141" t="s">
        <v>4059</v>
      </c>
      <c r="D798" s="141" t="s">
        <v>4060</v>
      </c>
      <c r="E798" s="203" t="s">
        <v>2096</v>
      </c>
      <c r="F798" s="156" t="s">
        <v>635</v>
      </c>
      <c r="G798" s="204" t="s">
        <v>3436</v>
      </c>
      <c r="H798" s="145"/>
      <c r="I798" s="146"/>
      <c r="J798" s="147"/>
    </row>
    <row r="799" ht="22.5" customHeight="1">
      <c r="A799" s="148" t="s">
        <v>2276</v>
      </c>
      <c r="B799" s="149" t="s">
        <v>2113</v>
      </c>
      <c r="C799" s="154"/>
      <c r="D799" s="149" t="s">
        <v>4061</v>
      </c>
      <c r="E799" s="206" t="s">
        <v>2096</v>
      </c>
      <c r="F799" s="166" t="s">
        <v>2097</v>
      </c>
      <c r="G799" s="207" t="s">
        <v>3436</v>
      </c>
      <c r="H799" s="153"/>
      <c r="I799" s="154"/>
      <c r="J799" s="155"/>
    </row>
    <row r="800" ht="22.5" customHeight="1">
      <c r="A800" s="140" t="s">
        <v>2278</v>
      </c>
      <c r="B800" s="141" t="s">
        <v>2113</v>
      </c>
      <c r="C800" s="141" t="s">
        <v>4062</v>
      </c>
      <c r="D800" s="141" t="s">
        <v>4063</v>
      </c>
      <c r="E800" s="203" t="s">
        <v>2096</v>
      </c>
      <c r="F800" s="143" t="s">
        <v>30</v>
      </c>
      <c r="G800" s="204" t="s">
        <v>3436</v>
      </c>
      <c r="H800" s="145"/>
      <c r="I800" s="146"/>
      <c r="J800" s="147"/>
    </row>
    <row r="801" ht="22.5" customHeight="1">
      <c r="A801" s="148" t="s">
        <v>2281</v>
      </c>
      <c r="B801" s="149" t="s">
        <v>2113</v>
      </c>
      <c r="C801" s="149" t="s">
        <v>4064</v>
      </c>
      <c r="D801" s="149" t="s">
        <v>4065</v>
      </c>
      <c r="E801" s="206" t="s">
        <v>2096</v>
      </c>
      <c r="F801" s="166" t="s">
        <v>2097</v>
      </c>
      <c r="G801" s="207" t="s">
        <v>3436</v>
      </c>
      <c r="H801" s="153"/>
      <c r="I801" s="154"/>
      <c r="J801" s="155"/>
    </row>
    <row r="802" ht="22.5" customHeight="1">
      <c r="A802" s="140" t="s">
        <v>2284</v>
      </c>
      <c r="B802" s="141" t="s">
        <v>2113</v>
      </c>
      <c r="C802" s="141" t="s">
        <v>4066</v>
      </c>
      <c r="D802" s="141" t="s">
        <v>4067</v>
      </c>
      <c r="E802" s="203" t="s">
        <v>2096</v>
      </c>
      <c r="F802" s="163" t="s">
        <v>2097</v>
      </c>
      <c r="G802" s="204" t="s">
        <v>3436</v>
      </c>
      <c r="H802" s="145"/>
      <c r="I802" s="146"/>
      <c r="J802" s="147"/>
    </row>
    <row r="803" ht="22.5" customHeight="1">
      <c r="A803" s="148" t="s">
        <v>2287</v>
      </c>
      <c r="B803" s="149" t="s">
        <v>2113</v>
      </c>
      <c r="C803" s="149" t="s">
        <v>248</v>
      </c>
      <c r="D803" s="149" t="s">
        <v>4068</v>
      </c>
      <c r="E803" s="206" t="s">
        <v>2096</v>
      </c>
      <c r="F803" s="161" t="s">
        <v>49</v>
      </c>
      <c r="G803" s="207" t="s">
        <v>3436</v>
      </c>
      <c r="H803" s="153"/>
      <c r="I803" s="154"/>
      <c r="J803" s="155"/>
    </row>
    <row r="804" ht="22.5" customHeight="1">
      <c r="A804" s="140" t="s">
        <v>2290</v>
      </c>
      <c r="B804" s="141" t="s">
        <v>2113</v>
      </c>
      <c r="C804" s="141" t="s">
        <v>4069</v>
      </c>
      <c r="D804" s="141" t="s">
        <v>4070</v>
      </c>
      <c r="E804" s="203" t="s">
        <v>2096</v>
      </c>
      <c r="F804" s="173" t="s">
        <v>2076</v>
      </c>
      <c r="G804" s="204" t="s">
        <v>3436</v>
      </c>
      <c r="H804" s="145"/>
      <c r="I804" s="146"/>
      <c r="J804" s="147"/>
    </row>
    <row r="805" ht="22.5" customHeight="1">
      <c r="A805" s="148" t="s">
        <v>2293</v>
      </c>
      <c r="B805" s="149" t="s">
        <v>2113</v>
      </c>
      <c r="C805" s="149" t="s">
        <v>1515</v>
      </c>
      <c r="D805" s="149" t="s">
        <v>4071</v>
      </c>
      <c r="E805" s="206" t="s">
        <v>2096</v>
      </c>
      <c r="F805" s="161" t="s">
        <v>49</v>
      </c>
      <c r="G805" s="207" t="s">
        <v>3436</v>
      </c>
      <c r="H805" s="153"/>
      <c r="I805" s="154"/>
      <c r="J805" s="155"/>
    </row>
    <row r="806" ht="22.5" customHeight="1">
      <c r="A806" s="140" t="s">
        <v>2296</v>
      </c>
      <c r="B806" s="141" t="s">
        <v>2113</v>
      </c>
      <c r="C806" s="141" t="s">
        <v>4072</v>
      </c>
      <c r="D806" s="141" t="s">
        <v>4073</v>
      </c>
      <c r="E806" s="203" t="s">
        <v>2096</v>
      </c>
      <c r="F806" s="143" t="s">
        <v>30</v>
      </c>
      <c r="G806" s="204" t="s">
        <v>3436</v>
      </c>
      <c r="H806" s="145"/>
      <c r="I806" s="146"/>
      <c r="J806" s="147"/>
    </row>
    <row r="807" ht="22.5" customHeight="1">
      <c r="A807" s="148" t="s">
        <v>2299</v>
      </c>
      <c r="B807" s="149" t="s">
        <v>2113</v>
      </c>
      <c r="C807" s="149" t="s">
        <v>4074</v>
      </c>
      <c r="D807" s="149" t="s">
        <v>4075</v>
      </c>
      <c r="E807" s="149" t="s">
        <v>3961</v>
      </c>
      <c r="F807" s="214" t="s">
        <v>17</v>
      </c>
      <c r="G807" s="207" t="s">
        <v>3436</v>
      </c>
      <c r="H807" s="153"/>
      <c r="I807" s="154"/>
      <c r="J807" s="155"/>
    </row>
    <row r="808" ht="22.5" customHeight="1">
      <c r="A808" s="140" t="s">
        <v>2302</v>
      </c>
      <c r="B808" s="141" t="s">
        <v>2113</v>
      </c>
      <c r="C808" s="141" t="s">
        <v>4076</v>
      </c>
      <c r="D808" s="141" t="s">
        <v>4077</v>
      </c>
      <c r="E808" s="141" t="s">
        <v>4078</v>
      </c>
      <c r="F808" s="143" t="s">
        <v>30</v>
      </c>
      <c r="G808" s="204" t="s">
        <v>3436</v>
      </c>
      <c r="H808" s="145"/>
      <c r="I808" s="146"/>
      <c r="J808" s="147"/>
    </row>
    <row r="809" ht="22.5" customHeight="1">
      <c r="A809" s="148" t="s">
        <v>2305</v>
      </c>
      <c r="B809" s="149" t="s">
        <v>2113</v>
      </c>
      <c r="C809" s="154"/>
      <c r="D809" s="149" t="s">
        <v>4079</v>
      </c>
      <c r="E809" s="149" t="s">
        <v>3961</v>
      </c>
      <c r="F809" s="214" t="s">
        <v>17</v>
      </c>
      <c r="G809" s="207" t="s">
        <v>3436</v>
      </c>
      <c r="H809" s="153"/>
      <c r="I809" s="154"/>
      <c r="J809" s="155"/>
    </row>
    <row r="810" ht="22.5" customHeight="1">
      <c r="A810" s="140" t="s">
        <v>2308</v>
      </c>
      <c r="B810" s="141" t="s">
        <v>2113</v>
      </c>
      <c r="C810" s="141" t="s">
        <v>4080</v>
      </c>
      <c r="D810" s="141" t="s">
        <v>4081</v>
      </c>
      <c r="E810" s="141" t="s">
        <v>4082</v>
      </c>
      <c r="F810" s="143" t="s">
        <v>30</v>
      </c>
      <c r="G810" s="204" t="s">
        <v>3436</v>
      </c>
      <c r="H810" s="145"/>
      <c r="I810" s="146"/>
      <c r="J810" s="147"/>
    </row>
    <row r="811" ht="22.5" customHeight="1">
      <c r="A811" s="148" t="s">
        <v>2311</v>
      </c>
      <c r="B811" s="149" t="s">
        <v>2113</v>
      </c>
      <c r="C811" s="149" t="s">
        <v>4083</v>
      </c>
      <c r="D811" s="149" t="s">
        <v>4084</v>
      </c>
      <c r="E811" s="206" t="s">
        <v>2096</v>
      </c>
      <c r="F811" s="161" t="s">
        <v>49</v>
      </c>
      <c r="G811" s="207" t="s">
        <v>3436</v>
      </c>
      <c r="H811" s="153"/>
      <c r="I811" s="154"/>
      <c r="J811" s="155"/>
    </row>
    <row r="812" ht="22.5" customHeight="1">
      <c r="A812" s="140" t="s">
        <v>2314</v>
      </c>
      <c r="B812" s="141" t="s">
        <v>2113</v>
      </c>
      <c r="C812" s="141" t="s">
        <v>4085</v>
      </c>
      <c r="D812" s="141" t="s">
        <v>4086</v>
      </c>
      <c r="E812" s="141" t="s">
        <v>4087</v>
      </c>
      <c r="F812" s="143" t="s">
        <v>30</v>
      </c>
      <c r="G812" s="204" t="s">
        <v>3436</v>
      </c>
      <c r="H812" s="145"/>
      <c r="I812" s="146"/>
      <c r="J812" s="147"/>
    </row>
    <row r="813" ht="22.5" customHeight="1">
      <c r="A813" s="148" t="s">
        <v>2317</v>
      </c>
      <c r="B813" s="149" t="s">
        <v>2113</v>
      </c>
      <c r="C813" s="149" t="s">
        <v>293</v>
      </c>
      <c r="D813" s="149" t="s">
        <v>4088</v>
      </c>
      <c r="E813" s="149" t="s">
        <v>4089</v>
      </c>
      <c r="F813" s="151" t="s">
        <v>30</v>
      </c>
      <c r="G813" s="207" t="s">
        <v>3436</v>
      </c>
      <c r="H813" s="153"/>
      <c r="I813" s="154"/>
      <c r="J813" s="155"/>
    </row>
    <row r="814" ht="22.5" customHeight="1">
      <c r="A814" s="140" t="s">
        <v>2320</v>
      </c>
      <c r="B814" s="141" t="s">
        <v>2256</v>
      </c>
      <c r="C814" s="141" t="s">
        <v>323</v>
      </c>
      <c r="D814" s="141" t="s">
        <v>4090</v>
      </c>
      <c r="E814" s="141" t="s">
        <v>4091</v>
      </c>
      <c r="F814" s="216" t="s">
        <v>40</v>
      </c>
      <c r="G814" s="204" t="s">
        <v>3436</v>
      </c>
      <c r="H814" s="145"/>
      <c r="I814" s="146"/>
      <c r="J814" s="147"/>
    </row>
    <row r="815" ht="22.5" customHeight="1">
      <c r="A815" s="148" t="s">
        <v>2323</v>
      </c>
      <c r="B815" s="149" t="s">
        <v>2256</v>
      </c>
      <c r="C815" s="149" t="s">
        <v>4092</v>
      </c>
      <c r="D815" s="149" t="s">
        <v>4093</v>
      </c>
      <c r="E815" s="149" t="s">
        <v>4094</v>
      </c>
      <c r="F815" s="174" t="s">
        <v>2192</v>
      </c>
      <c r="G815" s="207" t="s">
        <v>3436</v>
      </c>
      <c r="H815" s="153"/>
      <c r="I815" s="154"/>
      <c r="J815" s="155"/>
    </row>
    <row r="816" ht="22.5" customHeight="1">
      <c r="A816" s="140" t="s">
        <v>2326</v>
      </c>
      <c r="B816" s="141" t="s">
        <v>2256</v>
      </c>
      <c r="C816" s="141" t="s">
        <v>4095</v>
      </c>
      <c r="D816" s="141" t="s">
        <v>4096</v>
      </c>
      <c r="E816" s="197"/>
      <c r="F816" s="212" t="s">
        <v>17</v>
      </c>
      <c r="G816" s="204" t="s">
        <v>3436</v>
      </c>
      <c r="H816" s="145"/>
      <c r="I816" s="146"/>
      <c r="J816" s="147"/>
    </row>
    <row r="817" ht="22.5" customHeight="1">
      <c r="A817" s="148" t="s">
        <v>2329</v>
      </c>
      <c r="B817" s="149" t="s">
        <v>2256</v>
      </c>
      <c r="C817" s="149" t="s">
        <v>4097</v>
      </c>
      <c r="D817" s="149" t="s">
        <v>4098</v>
      </c>
      <c r="E817" s="196"/>
      <c r="F817" s="214" t="s">
        <v>17</v>
      </c>
      <c r="G817" s="207" t="s">
        <v>3436</v>
      </c>
      <c r="H817" s="153"/>
      <c r="I817" s="154"/>
      <c r="J817" s="155"/>
    </row>
    <row r="818" ht="22.5" customHeight="1">
      <c r="A818" s="140" t="s">
        <v>2332</v>
      </c>
      <c r="B818" s="141" t="s">
        <v>2256</v>
      </c>
      <c r="C818" s="146"/>
      <c r="D818" s="141" t="s">
        <v>4099</v>
      </c>
      <c r="E818" s="197"/>
      <c r="F818" s="212" t="s">
        <v>17</v>
      </c>
      <c r="G818" s="204" t="s">
        <v>3436</v>
      </c>
      <c r="H818" s="145"/>
      <c r="I818" s="146"/>
      <c r="J818" s="147"/>
    </row>
    <row r="819" ht="22.5" customHeight="1">
      <c r="A819" s="148" t="s">
        <v>2335</v>
      </c>
      <c r="B819" s="149" t="s">
        <v>2256</v>
      </c>
      <c r="C819" s="154"/>
      <c r="D819" s="149" t="s">
        <v>4100</v>
      </c>
      <c r="E819" s="196"/>
      <c r="F819" s="214" t="s">
        <v>17</v>
      </c>
      <c r="G819" s="207" t="s">
        <v>3436</v>
      </c>
      <c r="H819" s="153"/>
      <c r="I819" s="154"/>
      <c r="J819" s="155"/>
    </row>
    <row r="820" ht="22.5" customHeight="1">
      <c r="A820" s="140" t="s">
        <v>2338</v>
      </c>
      <c r="B820" s="141" t="s">
        <v>2256</v>
      </c>
      <c r="C820" s="146"/>
      <c r="D820" s="141" t="s">
        <v>4101</v>
      </c>
      <c r="E820" s="197"/>
      <c r="F820" s="212" t="s">
        <v>17</v>
      </c>
      <c r="G820" s="204" t="s">
        <v>3436</v>
      </c>
      <c r="H820" s="145"/>
      <c r="I820" s="146"/>
      <c r="J820" s="147"/>
    </row>
    <row r="821" ht="22.5" customHeight="1">
      <c r="A821" s="148" t="s">
        <v>2341</v>
      </c>
      <c r="B821" s="149" t="s">
        <v>2256</v>
      </c>
      <c r="C821" s="149" t="s">
        <v>4102</v>
      </c>
      <c r="D821" s="149" t="s">
        <v>4103</v>
      </c>
      <c r="E821" s="149" t="s">
        <v>4104</v>
      </c>
      <c r="F821" s="151" t="s">
        <v>30</v>
      </c>
      <c r="G821" s="207" t="s">
        <v>3436</v>
      </c>
      <c r="H821" s="153"/>
      <c r="I821" s="154"/>
      <c r="J821" s="155"/>
    </row>
    <row r="822" ht="22.5" customHeight="1">
      <c r="A822" s="140" t="s">
        <v>2344</v>
      </c>
      <c r="B822" s="141" t="s">
        <v>2256</v>
      </c>
      <c r="C822" s="141" t="s">
        <v>4105</v>
      </c>
      <c r="D822" s="141" t="s">
        <v>4106</v>
      </c>
      <c r="E822" s="141" t="s">
        <v>4107</v>
      </c>
      <c r="F822" s="143" t="s">
        <v>30</v>
      </c>
      <c r="G822" s="204" t="s">
        <v>3436</v>
      </c>
      <c r="H822" s="145"/>
      <c r="I822" s="146"/>
      <c r="J822" s="147"/>
    </row>
    <row r="823" ht="22.5" customHeight="1">
      <c r="A823" s="148" t="s">
        <v>2347</v>
      </c>
      <c r="B823" s="149" t="s">
        <v>2256</v>
      </c>
      <c r="C823" s="154"/>
      <c r="D823" s="149" t="s">
        <v>4108</v>
      </c>
      <c r="E823" s="149" t="s">
        <v>4109</v>
      </c>
      <c r="F823" s="174" t="s">
        <v>2192</v>
      </c>
      <c r="G823" s="207" t="s">
        <v>3436</v>
      </c>
      <c r="H823" s="153"/>
      <c r="I823" s="154"/>
      <c r="J823" s="155"/>
    </row>
    <row r="824" ht="22.5" customHeight="1">
      <c r="A824" s="140" t="s">
        <v>2350</v>
      </c>
      <c r="B824" s="141" t="s">
        <v>2256</v>
      </c>
      <c r="C824" s="141" t="s">
        <v>4110</v>
      </c>
      <c r="D824" s="141" t="s">
        <v>4111</v>
      </c>
      <c r="E824" s="141" t="s">
        <v>4112</v>
      </c>
      <c r="F824" s="169" t="s">
        <v>49</v>
      </c>
      <c r="G824" s="204" t="s">
        <v>3436</v>
      </c>
      <c r="H824" s="145"/>
      <c r="I824" s="146"/>
      <c r="J824" s="147"/>
    </row>
    <row r="825" ht="22.5" customHeight="1">
      <c r="A825" s="148" t="s">
        <v>2353</v>
      </c>
      <c r="B825" s="149" t="s">
        <v>2256</v>
      </c>
      <c r="C825" s="149" t="s">
        <v>4113</v>
      </c>
      <c r="D825" s="149" t="s">
        <v>4114</v>
      </c>
      <c r="E825" s="196"/>
      <c r="F825" s="151" t="s">
        <v>30</v>
      </c>
      <c r="G825" s="207" t="s">
        <v>3436</v>
      </c>
      <c r="H825" s="153"/>
      <c r="I825" s="154"/>
      <c r="J825" s="155"/>
    </row>
    <row r="826" ht="22.5" customHeight="1">
      <c r="A826" s="140" t="s">
        <v>2356</v>
      </c>
      <c r="B826" s="141" t="s">
        <v>2256</v>
      </c>
      <c r="C826" s="141" t="s">
        <v>4115</v>
      </c>
      <c r="D826" s="141" t="s">
        <v>4116</v>
      </c>
      <c r="E826" s="197"/>
      <c r="F826" s="143" t="s">
        <v>30</v>
      </c>
      <c r="G826" s="204" t="s">
        <v>3436</v>
      </c>
      <c r="H826" s="145"/>
      <c r="I826" s="146"/>
      <c r="J826" s="147"/>
    </row>
    <row r="827" ht="22.5" customHeight="1">
      <c r="A827" s="148" t="s">
        <v>2359</v>
      </c>
      <c r="B827" s="149" t="s">
        <v>2256</v>
      </c>
      <c r="C827" s="154"/>
      <c r="D827" s="149" t="s">
        <v>4117</v>
      </c>
      <c r="E827" s="196"/>
      <c r="F827" s="161" t="s">
        <v>49</v>
      </c>
      <c r="G827" s="207" t="s">
        <v>3436</v>
      </c>
      <c r="H827" s="153"/>
      <c r="I827" s="154"/>
      <c r="J827" s="155"/>
    </row>
    <row r="828" ht="22.5" customHeight="1">
      <c r="A828" s="140" t="s">
        <v>2363</v>
      </c>
      <c r="B828" s="141" t="s">
        <v>2256</v>
      </c>
      <c r="C828" s="141" t="s">
        <v>4118</v>
      </c>
      <c r="D828" s="141" t="s">
        <v>4119</v>
      </c>
      <c r="E828" s="197"/>
      <c r="F828" s="212" t="s">
        <v>17</v>
      </c>
      <c r="G828" s="204" t="s">
        <v>3436</v>
      </c>
      <c r="H828" s="145"/>
      <c r="I828" s="146"/>
      <c r="J828" s="147"/>
    </row>
    <row r="829" ht="22.5" customHeight="1">
      <c r="A829" s="238" t="s">
        <v>2365</v>
      </c>
      <c r="B829" s="239" t="s">
        <v>2256</v>
      </c>
      <c r="C829" s="239" t="s">
        <v>4120</v>
      </c>
      <c r="D829" s="239" t="s">
        <v>4121</v>
      </c>
      <c r="E829" s="240"/>
      <c r="F829" s="241" t="s">
        <v>30</v>
      </c>
      <c r="G829" s="242" t="s">
        <v>3436</v>
      </c>
      <c r="H829" s="153"/>
      <c r="I829" s="154"/>
      <c r="J829" s="155"/>
    </row>
    <row r="830" ht="22.5" customHeight="1">
      <c r="A830" s="140" t="s">
        <v>2367</v>
      </c>
      <c r="B830" s="141" t="s">
        <v>2256</v>
      </c>
      <c r="C830" s="146"/>
      <c r="D830" s="141" t="s">
        <v>4122</v>
      </c>
      <c r="E830" s="197"/>
      <c r="F830" s="212" t="s">
        <v>17</v>
      </c>
      <c r="G830" s="204" t="s">
        <v>3436</v>
      </c>
      <c r="H830" s="145"/>
      <c r="I830" s="146"/>
      <c r="J830" s="147"/>
    </row>
    <row r="831" ht="22.5" customHeight="1">
      <c r="A831" s="148" t="s">
        <v>2370</v>
      </c>
      <c r="B831" s="149" t="s">
        <v>2256</v>
      </c>
      <c r="C831" s="154"/>
      <c r="D831" s="149" t="s">
        <v>4123</v>
      </c>
      <c r="E831" s="196"/>
      <c r="F831" s="161" t="s">
        <v>49</v>
      </c>
      <c r="G831" s="227" t="s">
        <v>3436</v>
      </c>
      <c r="H831" s="153"/>
      <c r="I831" s="154"/>
      <c r="J831" s="155"/>
    </row>
    <row r="832" ht="22.5" customHeight="1">
      <c r="A832" s="140" t="s">
        <v>2373</v>
      </c>
      <c r="B832" s="141" t="s">
        <v>2256</v>
      </c>
      <c r="C832" s="141" t="s">
        <v>4124</v>
      </c>
      <c r="D832" s="141" t="s">
        <v>4125</v>
      </c>
      <c r="E832" s="197"/>
      <c r="F832" s="169" t="s">
        <v>49</v>
      </c>
      <c r="G832" s="204" t="s">
        <v>3436</v>
      </c>
      <c r="H832" s="145"/>
      <c r="I832" s="146"/>
      <c r="J832" s="147"/>
    </row>
    <row r="833" ht="22.5" customHeight="1">
      <c r="A833" s="148" t="s">
        <v>2376</v>
      </c>
      <c r="B833" s="149" t="s">
        <v>2256</v>
      </c>
      <c r="C833" s="154"/>
      <c r="D833" s="149" t="s">
        <v>4126</v>
      </c>
      <c r="E833" s="196"/>
      <c r="F833" s="161" t="s">
        <v>49</v>
      </c>
      <c r="G833" s="227" t="s">
        <v>3436</v>
      </c>
      <c r="H833" s="153"/>
      <c r="I833" s="154"/>
      <c r="J833" s="155"/>
    </row>
    <row r="834" ht="22.5" customHeight="1">
      <c r="A834" s="140" t="s">
        <v>2378</v>
      </c>
      <c r="B834" s="141" t="s">
        <v>2256</v>
      </c>
      <c r="C834" s="141" t="s">
        <v>257</v>
      </c>
      <c r="D834" s="141" t="s">
        <v>4127</v>
      </c>
      <c r="E834" s="141" t="s">
        <v>4128</v>
      </c>
      <c r="F834" s="216" t="s">
        <v>40</v>
      </c>
      <c r="G834" s="204" t="s">
        <v>3436</v>
      </c>
      <c r="H834" s="145"/>
      <c r="I834" s="146"/>
      <c r="J834" s="147"/>
    </row>
    <row r="835" ht="22.5" customHeight="1">
      <c r="A835" s="148" t="s">
        <v>2380</v>
      </c>
      <c r="B835" s="149" t="s">
        <v>2256</v>
      </c>
      <c r="C835" s="149" t="s">
        <v>4129</v>
      </c>
      <c r="D835" s="149" t="s">
        <v>4130</v>
      </c>
      <c r="E835" s="149" t="s">
        <v>4131</v>
      </c>
      <c r="F835" s="151" t="s">
        <v>30</v>
      </c>
      <c r="G835" s="227" t="s">
        <v>3436</v>
      </c>
      <c r="H835" s="153"/>
      <c r="I835" s="154"/>
      <c r="J835" s="155"/>
    </row>
    <row r="836" ht="22.5" customHeight="1">
      <c r="A836" s="140" t="s">
        <v>2383</v>
      </c>
      <c r="B836" s="141" t="s">
        <v>2256</v>
      </c>
      <c r="C836" s="141" t="s">
        <v>4132</v>
      </c>
      <c r="D836" s="141" t="s">
        <v>4133</v>
      </c>
      <c r="E836" s="141" t="s">
        <v>4134</v>
      </c>
      <c r="F836" s="143" t="s">
        <v>30</v>
      </c>
      <c r="G836" s="204" t="s">
        <v>3436</v>
      </c>
      <c r="H836" s="145"/>
      <c r="I836" s="146"/>
      <c r="J836" s="147"/>
    </row>
    <row r="837" ht="22.5" customHeight="1">
      <c r="A837" s="148" t="s">
        <v>2386</v>
      </c>
      <c r="B837" s="149" t="s">
        <v>2256</v>
      </c>
      <c r="C837" s="149" t="s">
        <v>4135</v>
      </c>
      <c r="D837" s="149" t="s">
        <v>4136</v>
      </c>
      <c r="E837" s="196"/>
      <c r="F837" s="161" t="s">
        <v>49</v>
      </c>
      <c r="G837" s="227" t="s">
        <v>3436</v>
      </c>
      <c r="H837" s="153"/>
      <c r="I837" s="154"/>
      <c r="J837" s="155"/>
    </row>
    <row r="838" ht="22.5" customHeight="1">
      <c r="A838" s="140" t="s">
        <v>2389</v>
      </c>
      <c r="B838" s="141" t="s">
        <v>2256</v>
      </c>
      <c r="C838" s="141" t="s">
        <v>4137</v>
      </c>
      <c r="D838" s="141" t="s">
        <v>4138</v>
      </c>
      <c r="E838" s="197"/>
      <c r="F838" s="169" t="s">
        <v>49</v>
      </c>
      <c r="G838" s="204" t="s">
        <v>3436</v>
      </c>
      <c r="H838" s="145"/>
      <c r="I838" s="146"/>
      <c r="J838" s="147"/>
    </row>
    <row r="839" ht="22.5" customHeight="1">
      <c r="A839" s="148" t="s">
        <v>2391</v>
      </c>
      <c r="B839" s="149" t="s">
        <v>2256</v>
      </c>
      <c r="C839" s="149" t="s">
        <v>4139</v>
      </c>
      <c r="D839" s="149" t="s">
        <v>4140</v>
      </c>
      <c r="E839" s="196"/>
      <c r="F839" s="161" t="s">
        <v>49</v>
      </c>
      <c r="G839" s="227" t="s">
        <v>3436</v>
      </c>
      <c r="H839" s="153"/>
      <c r="I839" s="154"/>
      <c r="J839" s="155"/>
    </row>
    <row r="840" ht="22.5" customHeight="1">
      <c r="A840" s="140" t="s">
        <v>2393</v>
      </c>
      <c r="B840" s="141" t="s">
        <v>2146</v>
      </c>
      <c r="C840" s="141" t="s">
        <v>4141</v>
      </c>
      <c r="D840" s="141" t="s">
        <v>4142</v>
      </c>
      <c r="E840" s="146"/>
      <c r="F840" s="156" t="s">
        <v>635</v>
      </c>
      <c r="G840" s="204" t="s">
        <v>3436</v>
      </c>
      <c r="H840" s="145"/>
      <c r="I840" s="146"/>
      <c r="J840" s="147"/>
    </row>
    <row r="841" ht="22.5" customHeight="1">
      <c r="A841" s="148" t="s">
        <v>2396</v>
      </c>
      <c r="B841" s="149" t="s">
        <v>2146</v>
      </c>
      <c r="C841" s="149" t="s">
        <v>4143</v>
      </c>
      <c r="D841" s="149" t="s">
        <v>4144</v>
      </c>
      <c r="E841" s="196"/>
      <c r="F841" s="213" t="s">
        <v>40</v>
      </c>
      <c r="G841" s="227" t="s">
        <v>3436</v>
      </c>
      <c r="H841" s="153"/>
      <c r="I841" s="154"/>
      <c r="J841" s="155"/>
    </row>
    <row r="842" ht="22.5" customHeight="1">
      <c r="A842" s="140" t="s">
        <v>2399</v>
      </c>
      <c r="B842" s="141" t="s">
        <v>2146</v>
      </c>
      <c r="C842" s="141" t="s">
        <v>2793</v>
      </c>
      <c r="D842" s="141" t="s">
        <v>4145</v>
      </c>
      <c r="E842" s="197"/>
      <c r="F842" s="216" t="s">
        <v>40</v>
      </c>
      <c r="G842" s="204" t="s">
        <v>3436</v>
      </c>
      <c r="H842" s="145"/>
      <c r="I842" s="146"/>
      <c r="J842" s="147"/>
    </row>
    <row r="843" ht="22.5" customHeight="1">
      <c r="A843" s="148" t="s">
        <v>2402</v>
      </c>
      <c r="B843" s="149" t="s">
        <v>2146</v>
      </c>
      <c r="C843" s="149" t="s">
        <v>4146</v>
      </c>
      <c r="D843" s="149" t="s">
        <v>4147</v>
      </c>
      <c r="E843" s="196"/>
      <c r="F843" s="174" t="s">
        <v>2192</v>
      </c>
      <c r="G843" s="227" t="s">
        <v>3436</v>
      </c>
      <c r="H843" s="153"/>
      <c r="I843" s="154"/>
      <c r="J843" s="155"/>
    </row>
    <row r="844" ht="22.5" customHeight="1">
      <c r="A844" s="140" t="s">
        <v>2404</v>
      </c>
      <c r="B844" s="141" t="s">
        <v>2146</v>
      </c>
      <c r="C844" s="141" t="s">
        <v>4148</v>
      </c>
      <c r="D844" s="141" t="s">
        <v>4149</v>
      </c>
      <c r="E844" s="197"/>
      <c r="F844" s="212" t="s">
        <v>17</v>
      </c>
      <c r="G844" s="204" t="s">
        <v>3436</v>
      </c>
      <c r="H844" s="145"/>
      <c r="I844" s="146"/>
      <c r="J844" s="147"/>
    </row>
    <row r="845" ht="22.5" customHeight="1">
      <c r="A845" s="148" t="s">
        <v>2407</v>
      </c>
      <c r="B845" s="149" t="s">
        <v>2146</v>
      </c>
      <c r="C845" s="149" t="s">
        <v>4150</v>
      </c>
      <c r="D845" s="149" t="s">
        <v>4151</v>
      </c>
      <c r="E845" s="196"/>
      <c r="F845" s="161" t="s">
        <v>49</v>
      </c>
      <c r="G845" s="227" t="s">
        <v>3436</v>
      </c>
      <c r="H845" s="153"/>
      <c r="I845" s="154"/>
      <c r="J845" s="155"/>
    </row>
    <row r="846" ht="22.5" customHeight="1">
      <c r="A846" s="140" t="s">
        <v>2410</v>
      </c>
      <c r="B846" s="141" t="s">
        <v>2146</v>
      </c>
      <c r="C846" s="146"/>
      <c r="D846" s="141" t="s">
        <v>4152</v>
      </c>
      <c r="E846" s="197"/>
      <c r="F846" s="169" t="s">
        <v>49</v>
      </c>
      <c r="G846" s="204" t="s">
        <v>3436</v>
      </c>
      <c r="H846" s="145"/>
      <c r="I846" s="146"/>
      <c r="J846" s="147"/>
    </row>
    <row r="847" ht="22.5" customHeight="1">
      <c r="A847" s="148" t="s">
        <v>2413</v>
      </c>
      <c r="B847" s="149" t="s">
        <v>2146</v>
      </c>
      <c r="C847" s="149" t="s">
        <v>4153</v>
      </c>
      <c r="D847" s="149" t="s">
        <v>4154</v>
      </c>
      <c r="E847" s="196"/>
      <c r="F847" s="161" t="s">
        <v>49</v>
      </c>
      <c r="G847" s="227" t="s">
        <v>3436</v>
      </c>
      <c r="H847" s="153"/>
      <c r="I847" s="154"/>
      <c r="J847" s="155"/>
    </row>
    <row r="848" ht="22.5" customHeight="1">
      <c r="A848" s="140" t="s">
        <v>2416</v>
      </c>
      <c r="B848" s="141" t="s">
        <v>2146</v>
      </c>
      <c r="C848" s="141" t="s">
        <v>4155</v>
      </c>
      <c r="D848" s="141" t="s">
        <v>4156</v>
      </c>
      <c r="E848" s="197"/>
      <c r="F848" s="169" t="s">
        <v>49</v>
      </c>
      <c r="G848" s="204" t="s">
        <v>3436</v>
      </c>
      <c r="H848" s="145"/>
      <c r="I848" s="146"/>
      <c r="J848" s="147"/>
    </row>
    <row r="849" ht="22.5" customHeight="1">
      <c r="A849" s="148" t="s">
        <v>2419</v>
      </c>
      <c r="B849" s="149" t="s">
        <v>2146</v>
      </c>
      <c r="C849" s="149" t="s">
        <v>4157</v>
      </c>
      <c r="D849" s="149" t="s">
        <v>4158</v>
      </c>
      <c r="E849" s="196"/>
      <c r="F849" s="161" t="s">
        <v>49</v>
      </c>
      <c r="G849" s="227" t="s">
        <v>3436</v>
      </c>
      <c r="H849" s="153"/>
      <c r="I849" s="154"/>
      <c r="J849" s="155"/>
    </row>
    <row r="850" ht="22.5" customHeight="1">
      <c r="A850" s="140" t="s">
        <v>2422</v>
      </c>
      <c r="B850" s="141" t="s">
        <v>2146</v>
      </c>
      <c r="C850" s="141" t="s">
        <v>228</v>
      </c>
      <c r="D850" s="141" t="s">
        <v>4159</v>
      </c>
      <c r="E850" s="197"/>
      <c r="F850" s="169" t="s">
        <v>49</v>
      </c>
      <c r="G850" s="204" t="s">
        <v>3436</v>
      </c>
      <c r="H850" s="145"/>
      <c r="I850" s="146"/>
      <c r="J850" s="147"/>
    </row>
    <row r="851" ht="22.5" customHeight="1">
      <c r="A851" s="148" t="s">
        <v>2425</v>
      </c>
      <c r="B851" s="149" t="s">
        <v>2146</v>
      </c>
      <c r="C851" s="149" t="s">
        <v>4160</v>
      </c>
      <c r="D851" s="149" t="s">
        <v>4161</v>
      </c>
      <c r="E851" s="196"/>
      <c r="F851" s="165" t="s">
        <v>2076</v>
      </c>
      <c r="G851" s="227" t="s">
        <v>3436</v>
      </c>
      <c r="H851" s="153"/>
      <c r="I851" s="154"/>
      <c r="J851" s="155"/>
    </row>
    <row r="852" ht="22.5" customHeight="1">
      <c r="A852" s="140" t="s">
        <v>2427</v>
      </c>
      <c r="B852" s="141" t="s">
        <v>2146</v>
      </c>
      <c r="C852" s="141" t="s">
        <v>4162</v>
      </c>
      <c r="D852" s="141" t="s">
        <v>4163</v>
      </c>
      <c r="E852" s="197"/>
      <c r="F852" s="169" t="s">
        <v>49</v>
      </c>
      <c r="G852" s="204" t="s">
        <v>3436</v>
      </c>
      <c r="H852" s="145"/>
      <c r="I852" s="146"/>
      <c r="J852" s="147"/>
    </row>
    <row r="853" ht="22.5" customHeight="1">
      <c r="A853" s="148" t="s">
        <v>2430</v>
      </c>
      <c r="B853" s="149" t="s">
        <v>2146</v>
      </c>
      <c r="C853" s="149" t="s">
        <v>4164</v>
      </c>
      <c r="D853" s="149" t="s">
        <v>4165</v>
      </c>
      <c r="E853" s="196"/>
      <c r="F853" s="161" t="s">
        <v>49</v>
      </c>
      <c r="G853" s="227" t="s">
        <v>3436</v>
      </c>
      <c r="H853" s="153"/>
      <c r="I853" s="154"/>
      <c r="J853" s="155"/>
    </row>
    <row r="854" ht="22.5" customHeight="1">
      <c r="A854" s="140" t="s">
        <v>2434</v>
      </c>
      <c r="B854" s="141" t="s">
        <v>2146</v>
      </c>
      <c r="C854" s="146"/>
      <c r="D854" s="141" t="s">
        <v>4166</v>
      </c>
      <c r="E854" s="197"/>
      <c r="F854" s="169" t="s">
        <v>49</v>
      </c>
      <c r="G854" s="204" t="s">
        <v>3436</v>
      </c>
      <c r="H854" s="145"/>
      <c r="I854" s="146"/>
      <c r="J854" s="147"/>
    </row>
    <row r="855" ht="22.5" customHeight="1">
      <c r="A855" s="148" t="s">
        <v>2438</v>
      </c>
      <c r="B855" s="149" t="s">
        <v>2146</v>
      </c>
      <c r="C855" s="149" t="s">
        <v>4167</v>
      </c>
      <c r="D855" s="149" t="s">
        <v>4168</v>
      </c>
      <c r="E855" s="196"/>
      <c r="F855" s="161" t="s">
        <v>49</v>
      </c>
      <c r="G855" s="227" t="s">
        <v>3436</v>
      </c>
      <c r="H855" s="153"/>
      <c r="I855" s="154"/>
      <c r="J855" s="155"/>
    </row>
    <row r="856" ht="22.5" customHeight="1">
      <c r="A856" s="140" t="s">
        <v>2442</v>
      </c>
      <c r="B856" s="141" t="s">
        <v>2146</v>
      </c>
      <c r="C856" s="141" t="s">
        <v>4169</v>
      </c>
      <c r="D856" s="141" t="s">
        <v>4170</v>
      </c>
      <c r="E856" s="197"/>
      <c r="F856" s="169" t="s">
        <v>49</v>
      </c>
      <c r="G856" s="204" t="s">
        <v>3436</v>
      </c>
      <c r="H856" s="145"/>
      <c r="I856" s="146"/>
      <c r="J856" s="147"/>
    </row>
    <row r="857" ht="22.5" customHeight="1">
      <c r="A857" s="148" t="s">
        <v>2446</v>
      </c>
      <c r="B857" s="149" t="s">
        <v>2146</v>
      </c>
      <c r="C857" s="154"/>
      <c r="D857" s="149" t="s">
        <v>4171</v>
      </c>
      <c r="E857" s="196"/>
      <c r="F857" s="161" t="s">
        <v>49</v>
      </c>
      <c r="G857" s="227" t="s">
        <v>3436</v>
      </c>
      <c r="H857" s="153"/>
      <c r="I857" s="154"/>
      <c r="J857" s="155"/>
    </row>
    <row r="858" ht="22.5" customHeight="1">
      <c r="A858" s="140" t="s">
        <v>2449</v>
      </c>
      <c r="B858" s="141" t="s">
        <v>2146</v>
      </c>
      <c r="C858" s="141" t="s">
        <v>4172</v>
      </c>
      <c r="D858" s="141" t="s">
        <v>4173</v>
      </c>
      <c r="E858" s="197"/>
      <c r="F858" s="169" t="s">
        <v>49</v>
      </c>
      <c r="G858" s="204" t="s">
        <v>3436</v>
      </c>
      <c r="H858" s="145"/>
      <c r="I858" s="146"/>
      <c r="J858" s="147"/>
    </row>
    <row r="859" ht="22.5" customHeight="1">
      <c r="A859" s="148" t="s">
        <v>2452</v>
      </c>
      <c r="B859" s="149" t="s">
        <v>2146</v>
      </c>
      <c r="C859" s="149" t="s">
        <v>4174</v>
      </c>
      <c r="D859" s="149" t="s">
        <v>4175</v>
      </c>
      <c r="E859" s="196"/>
      <c r="F859" s="161" t="s">
        <v>49</v>
      </c>
      <c r="G859" s="227" t="s">
        <v>3436</v>
      </c>
      <c r="H859" s="153"/>
      <c r="I859" s="154"/>
      <c r="J859" s="155"/>
    </row>
    <row r="860" ht="22.5" customHeight="1">
      <c r="A860" s="140" t="s">
        <v>2455</v>
      </c>
      <c r="B860" s="141" t="s">
        <v>2146</v>
      </c>
      <c r="C860" s="141" t="s">
        <v>4176</v>
      </c>
      <c r="D860" s="141" t="s">
        <v>4177</v>
      </c>
      <c r="E860" s="197"/>
      <c r="F860" s="169" t="s">
        <v>49</v>
      </c>
      <c r="G860" s="204" t="s">
        <v>3436</v>
      </c>
      <c r="H860" s="145"/>
      <c r="I860" s="146"/>
      <c r="J860" s="147"/>
    </row>
    <row r="861" ht="22.5" customHeight="1">
      <c r="A861" s="148" t="s">
        <v>2458</v>
      </c>
      <c r="B861" s="149" t="s">
        <v>2146</v>
      </c>
      <c r="C861" s="149" t="s">
        <v>2103</v>
      </c>
      <c r="D861" s="149" t="s">
        <v>4178</v>
      </c>
      <c r="E861" s="196"/>
      <c r="F861" s="161" t="s">
        <v>49</v>
      </c>
      <c r="G861" s="227" t="s">
        <v>3436</v>
      </c>
      <c r="H861" s="153"/>
      <c r="I861" s="154"/>
      <c r="J861" s="155"/>
    </row>
    <row r="862" ht="22.5" customHeight="1">
      <c r="A862" s="140" t="s">
        <v>2461</v>
      </c>
      <c r="B862" s="141" t="s">
        <v>2146</v>
      </c>
      <c r="C862" s="146"/>
      <c r="D862" s="141" t="s">
        <v>4179</v>
      </c>
      <c r="E862" s="197"/>
      <c r="F862" s="169" t="s">
        <v>49</v>
      </c>
      <c r="G862" s="204" t="s">
        <v>3436</v>
      </c>
      <c r="H862" s="145"/>
      <c r="I862" s="146"/>
      <c r="J862" s="147"/>
    </row>
    <row r="863" ht="22.5" customHeight="1">
      <c r="A863" s="148" t="s">
        <v>2464</v>
      </c>
      <c r="B863" s="149" t="s">
        <v>2146</v>
      </c>
      <c r="C863" s="149" t="s">
        <v>4180</v>
      </c>
      <c r="D863" s="149" t="s">
        <v>4181</v>
      </c>
      <c r="E863" s="196"/>
      <c r="F863" s="161" t="s">
        <v>49</v>
      </c>
      <c r="G863" s="227" t="s">
        <v>3436</v>
      </c>
      <c r="H863" s="153"/>
      <c r="I863" s="154"/>
      <c r="J863" s="155"/>
    </row>
    <row r="864" ht="22.5" customHeight="1">
      <c r="A864" s="140" t="s">
        <v>2467</v>
      </c>
      <c r="B864" s="141" t="s">
        <v>2146</v>
      </c>
      <c r="C864" s="146"/>
      <c r="D864" s="141" t="s">
        <v>4182</v>
      </c>
      <c r="E864" s="197"/>
      <c r="F864" s="169" t="s">
        <v>49</v>
      </c>
      <c r="G864" s="204" t="s">
        <v>3436</v>
      </c>
      <c r="H864" s="145"/>
      <c r="I864" s="146"/>
      <c r="J864" s="147"/>
    </row>
    <row r="865" ht="22.5" customHeight="1">
      <c r="A865" s="148" t="s">
        <v>2470</v>
      </c>
      <c r="B865" s="149" t="s">
        <v>2146</v>
      </c>
      <c r="C865" s="149" t="s">
        <v>4183</v>
      </c>
      <c r="D865" s="149" t="s">
        <v>4184</v>
      </c>
      <c r="E865" s="196"/>
      <c r="F865" s="161" t="s">
        <v>49</v>
      </c>
      <c r="G865" s="227" t="s">
        <v>3436</v>
      </c>
      <c r="H865" s="153"/>
      <c r="I865" s="154"/>
      <c r="J865" s="155"/>
    </row>
    <row r="866" ht="22.5" customHeight="1">
      <c r="A866" s="140" t="s">
        <v>2473</v>
      </c>
      <c r="B866" s="141" t="s">
        <v>2146</v>
      </c>
      <c r="C866" s="146"/>
      <c r="D866" s="141" t="s">
        <v>4185</v>
      </c>
      <c r="E866" s="197"/>
      <c r="F866" s="169" t="s">
        <v>49</v>
      </c>
      <c r="G866" s="204" t="s">
        <v>3436</v>
      </c>
      <c r="H866" s="145"/>
      <c r="I866" s="146"/>
      <c r="J866" s="147"/>
    </row>
    <row r="867" ht="22.5" customHeight="1">
      <c r="A867" s="148" t="s">
        <v>2476</v>
      </c>
      <c r="B867" s="149" t="s">
        <v>2146</v>
      </c>
      <c r="C867" s="149" t="s">
        <v>4186</v>
      </c>
      <c r="D867" s="149" t="s">
        <v>4187</v>
      </c>
      <c r="E867" s="196"/>
      <c r="F867" s="161" t="s">
        <v>49</v>
      </c>
      <c r="G867" s="227" t="s">
        <v>3436</v>
      </c>
      <c r="H867" s="153"/>
      <c r="I867" s="154"/>
      <c r="J867" s="155"/>
    </row>
    <row r="868" ht="22.5" customHeight="1">
      <c r="A868" s="140" t="s">
        <v>2479</v>
      </c>
      <c r="B868" s="141" t="s">
        <v>2146</v>
      </c>
      <c r="C868" s="141" t="s">
        <v>4188</v>
      </c>
      <c r="D868" s="141" t="s">
        <v>4189</v>
      </c>
      <c r="E868" s="197"/>
      <c r="F868" s="216" t="s">
        <v>40</v>
      </c>
      <c r="G868" s="243" t="s">
        <v>4190</v>
      </c>
      <c r="H868" s="145"/>
      <c r="I868" s="146"/>
      <c r="J868" s="147"/>
    </row>
    <row r="869" ht="22.5" customHeight="1">
      <c r="A869" s="148" t="s">
        <v>2483</v>
      </c>
      <c r="B869" s="149" t="s">
        <v>2146</v>
      </c>
      <c r="C869" s="154"/>
      <c r="D869" s="149" t="s">
        <v>4191</v>
      </c>
      <c r="E869" s="196"/>
      <c r="F869" s="161" t="s">
        <v>49</v>
      </c>
      <c r="G869" s="227" t="s">
        <v>3436</v>
      </c>
      <c r="H869" s="153"/>
      <c r="I869" s="154"/>
      <c r="J869" s="155"/>
    </row>
    <row r="870" ht="22.5" customHeight="1">
      <c r="A870" s="140" t="s">
        <v>2487</v>
      </c>
      <c r="B870" s="141" t="s">
        <v>2146</v>
      </c>
      <c r="C870" s="141" t="s">
        <v>4192</v>
      </c>
      <c r="D870" s="141" t="s">
        <v>4193</v>
      </c>
      <c r="E870" s="197"/>
      <c r="F870" s="169" t="s">
        <v>49</v>
      </c>
      <c r="G870" s="204" t="s">
        <v>3436</v>
      </c>
      <c r="H870" s="145"/>
      <c r="I870" s="146"/>
      <c r="J870" s="147"/>
    </row>
    <row r="871" ht="22.5" customHeight="1">
      <c r="A871" s="148" t="s">
        <v>2491</v>
      </c>
      <c r="B871" s="149" t="s">
        <v>2146</v>
      </c>
      <c r="C871" s="154"/>
      <c r="D871" s="149" t="s">
        <v>4194</v>
      </c>
      <c r="E871" s="196"/>
      <c r="F871" s="161" t="s">
        <v>49</v>
      </c>
      <c r="G871" s="227" t="s">
        <v>3436</v>
      </c>
      <c r="H871" s="153"/>
      <c r="I871" s="154"/>
      <c r="J871" s="155"/>
    </row>
    <row r="872" ht="22.5" customHeight="1">
      <c r="A872" s="140" t="s">
        <v>2495</v>
      </c>
      <c r="B872" s="141" t="s">
        <v>2146</v>
      </c>
      <c r="C872" s="146"/>
      <c r="D872" s="141" t="s">
        <v>4195</v>
      </c>
      <c r="E872" s="197"/>
      <c r="F872" s="169" t="s">
        <v>49</v>
      </c>
      <c r="G872" s="204" t="s">
        <v>3436</v>
      </c>
      <c r="H872" s="145"/>
      <c r="I872" s="146"/>
      <c r="J872" s="147"/>
    </row>
    <row r="873" ht="22.5" customHeight="1">
      <c r="A873" s="148" t="s">
        <v>2499</v>
      </c>
      <c r="B873" s="149" t="s">
        <v>2146</v>
      </c>
      <c r="C873" s="154"/>
      <c r="D873" s="149" t="s">
        <v>4196</v>
      </c>
      <c r="E873" s="196"/>
      <c r="F873" s="161" t="s">
        <v>49</v>
      </c>
      <c r="G873" s="227" t="s">
        <v>3436</v>
      </c>
      <c r="H873" s="153"/>
      <c r="I873" s="154"/>
      <c r="J873" s="155"/>
    </row>
    <row r="874" ht="22.5" customHeight="1">
      <c r="A874" s="140" t="s">
        <v>2502</v>
      </c>
      <c r="B874" s="141" t="s">
        <v>2146</v>
      </c>
      <c r="C874" s="141" t="s">
        <v>4197</v>
      </c>
      <c r="D874" s="141" t="s">
        <v>4198</v>
      </c>
      <c r="E874" s="197"/>
      <c r="F874" s="169" t="s">
        <v>49</v>
      </c>
      <c r="G874" s="204" t="s">
        <v>3436</v>
      </c>
      <c r="H874" s="145"/>
      <c r="I874" s="146"/>
      <c r="J874" s="147"/>
    </row>
    <row r="875" ht="22.5" customHeight="1">
      <c r="A875" s="148" t="s">
        <v>2506</v>
      </c>
      <c r="B875" s="149" t="s">
        <v>2146</v>
      </c>
      <c r="C875" s="154"/>
      <c r="D875" s="149" t="s">
        <v>4199</v>
      </c>
      <c r="E875" s="196"/>
      <c r="F875" s="161" t="s">
        <v>49</v>
      </c>
      <c r="G875" s="227" t="s">
        <v>3436</v>
      </c>
      <c r="H875" s="153"/>
      <c r="I875" s="154"/>
      <c r="J875" s="155"/>
    </row>
    <row r="876" ht="22.5" customHeight="1">
      <c r="A876" s="140" t="s">
        <v>2510</v>
      </c>
      <c r="B876" s="141" t="s">
        <v>2146</v>
      </c>
      <c r="C876" s="141" t="s">
        <v>4200</v>
      </c>
      <c r="D876" s="141" t="s">
        <v>4201</v>
      </c>
      <c r="E876" s="197"/>
      <c r="F876" s="169" t="s">
        <v>49</v>
      </c>
      <c r="G876" s="204" t="s">
        <v>3436</v>
      </c>
      <c r="H876" s="145"/>
      <c r="I876" s="146"/>
      <c r="J876" s="147"/>
    </row>
    <row r="877" ht="22.5" customHeight="1">
      <c r="A877" s="148" t="s">
        <v>2513</v>
      </c>
      <c r="B877" s="149" t="s">
        <v>2146</v>
      </c>
      <c r="C877" s="149" t="s">
        <v>267</v>
      </c>
      <c r="D877" s="149" t="s">
        <v>4202</v>
      </c>
      <c r="E877" s="196"/>
      <c r="F877" s="161" t="s">
        <v>49</v>
      </c>
      <c r="G877" s="227" t="s">
        <v>3436</v>
      </c>
      <c r="H877" s="153"/>
      <c r="I877" s="154"/>
      <c r="J877" s="155"/>
    </row>
    <row r="878" ht="22.5" customHeight="1">
      <c r="A878" s="140" t="s">
        <v>2516</v>
      </c>
      <c r="B878" s="141" t="s">
        <v>2146</v>
      </c>
      <c r="C878" s="141" t="s">
        <v>4203</v>
      </c>
      <c r="D878" s="141" t="s">
        <v>4204</v>
      </c>
      <c r="E878" s="197"/>
      <c r="F878" s="169" t="s">
        <v>49</v>
      </c>
      <c r="G878" s="204" t="s">
        <v>3436</v>
      </c>
      <c r="H878" s="145"/>
      <c r="I878" s="146"/>
      <c r="J878" s="147"/>
    </row>
    <row r="879" ht="22.5" customHeight="1">
      <c r="A879" s="148" t="s">
        <v>2520</v>
      </c>
      <c r="B879" s="149" t="s">
        <v>2146</v>
      </c>
      <c r="C879" s="149" t="s">
        <v>4205</v>
      </c>
      <c r="D879" s="149" t="s">
        <v>4206</v>
      </c>
      <c r="E879" s="196"/>
      <c r="F879" s="161" t="s">
        <v>49</v>
      </c>
      <c r="G879" s="227" t="s">
        <v>3436</v>
      </c>
      <c r="H879" s="153"/>
      <c r="I879" s="154"/>
      <c r="J879" s="155"/>
    </row>
    <row r="880" ht="22.5" customHeight="1">
      <c r="A880" s="140" t="s">
        <v>2524</v>
      </c>
      <c r="B880" s="141" t="s">
        <v>2146</v>
      </c>
      <c r="C880" s="141" t="s">
        <v>4207</v>
      </c>
      <c r="D880" s="141" t="s">
        <v>4208</v>
      </c>
      <c r="E880" s="197"/>
      <c r="F880" s="169" t="s">
        <v>49</v>
      </c>
      <c r="G880" s="204" t="s">
        <v>3436</v>
      </c>
      <c r="H880" s="145"/>
      <c r="I880" s="146"/>
      <c r="J880" s="147"/>
    </row>
    <row r="881" ht="22.5" customHeight="1">
      <c r="A881" s="148" t="s">
        <v>2528</v>
      </c>
      <c r="B881" s="149" t="s">
        <v>2146</v>
      </c>
      <c r="C881" s="149" t="s">
        <v>4209</v>
      </c>
      <c r="D881" s="149" t="s">
        <v>4210</v>
      </c>
      <c r="E881" s="196"/>
      <c r="F881" s="213" t="s">
        <v>40</v>
      </c>
      <c r="G881" s="227" t="s">
        <v>3436</v>
      </c>
      <c r="H881" s="153"/>
      <c r="I881" s="154"/>
      <c r="J881" s="155"/>
    </row>
    <row r="882" ht="22.5" customHeight="1">
      <c r="A882" s="140" t="s">
        <v>2532</v>
      </c>
      <c r="B882" s="141" t="s">
        <v>2146</v>
      </c>
      <c r="C882" s="141" t="s">
        <v>4211</v>
      </c>
      <c r="D882" s="141" t="s">
        <v>4212</v>
      </c>
      <c r="E882" s="197"/>
      <c r="F882" s="169" t="s">
        <v>49</v>
      </c>
      <c r="G882" s="204" t="s">
        <v>3436</v>
      </c>
      <c r="H882" s="145"/>
      <c r="I882" s="146"/>
      <c r="J882" s="147"/>
    </row>
    <row r="883" ht="22.5" customHeight="1">
      <c r="A883" s="148" t="s">
        <v>2535</v>
      </c>
      <c r="B883" s="149" t="s">
        <v>2146</v>
      </c>
      <c r="C883" s="149" t="s">
        <v>4213</v>
      </c>
      <c r="D883" s="149" t="s">
        <v>4214</v>
      </c>
      <c r="E883" s="196"/>
      <c r="F883" s="161" t="s">
        <v>49</v>
      </c>
      <c r="G883" s="227" t="s">
        <v>3436</v>
      </c>
      <c r="H883" s="153"/>
      <c r="I883" s="154"/>
      <c r="J883" s="155"/>
    </row>
    <row r="884" ht="22.5" customHeight="1">
      <c r="A884" s="140" t="s">
        <v>2538</v>
      </c>
      <c r="B884" s="141" t="s">
        <v>2146</v>
      </c>
      <c r="C884" s="141" t="s">
        <v>2558</v>
      </c>
      <c r="D884" s="141" t="s">
        <v>2559</v>
      </c>
      <c r="E884" s="197"/>
      <c r="F884" s="169" t="s">
        <v>49</v>
      </c>
      <c r="G884" s="204" t="s">
        <v>3436</v>
      </c>
      <c r="H884" s="145"/>
      <c r="I884" s="146"/>
      <c r="J884" s="147"/>
    </row>
    <row r="885" ht="22.5" customHeight="1">
      <c r="A885" s="148" t="s">
        <v>2542</v>
      </c>
      <c r="B885" s="149" t="s">
        <v>2146</v>
      </c>
      <c r="C885" s="149" t="s">
        <v>4215</v>
      </c>
      <c r="D885" s="149" t="s">
        <v>4216</v>
      </c>
      <c r="E885" s="196"/>
      <c r="F885" s="161" t="s">
        <v>49</v>
      </c>
      <c r="G885" s="227" t="s">
        <v>3436</v>
      </c>
      <c r="H885" s="153"/>
      <c r="I885" s="154"/>
      <c r="J885" s="155"/>
    </row>
    <row r="886" ht="22.5" customHeight="1">
      <c r="A886" s="140" t="s">
        <v>2545</v>
      </c>
      <c r="B886" s="141" t="s">
        <v>2146</v>
      </c>
      <c r="C886" s="141" t="s">
        <v>4217</v>
      </c>
      <c r="D886" s="141" t="s">
        <v>4218</v>
      </c>
      <c r="E886" s="197"/>
      <c r="F886" s="169" t="s">
        <v>49</v>
      </c>
      <c r="G886" s="204" t="s">
        <v>3436</v>
      </c>
      <c r="H886" s="145"/>
      <c r="I886" s="146"/>
      <c r="J886" s="147"/>
    </row>
    <row r="887" ht="22.5" customHeight="1">
      <c r="A887" s="148" t="s">
        <v>2549</v>
      </c>
      <c r="B887" s="149" t="s">
        <v>2146</v>
      </c>
      <c r="C887" s="154"/>
      <c r="D887" s="149" t="s">
        <v>4219</v>
      </c>
      <c r="E887" s="196"/>
      <c r="F887" s="161" t="s">
        <v>49</v>
      </c>
      <c r="G887" s="227" t="s">
        <v>3436</v>
      </c>
      <c r="H887" s="153"/>
      <c r="I887" s="154"/>
      <c r="J887" s="155"/>
    </row>
    <row r="888" ht="22.5" customHeight="1">
      <c r="A888" s="140" t="s">
        <v>2552</v>
      </c>
      <c r="B888" s="141" t="s">
        <v>2146</v>
      </c>
      <c r="C888" s="141" t="s">
        <v>346</v>
      </c>
      <c r="D888" s="141" t="s">
        <v>4220</v>
      </c>
      <c r="E888" s="159" t="s">
        <v>4221</v>
      </c>
      <c r="F888" s="216" t="s">
        <v>40</v>
      </c>
      <c r="G888" s="204" t="s">
        <v>3436</v>
      </c>
      <c r="H888" s="145"/>
      <c r="I888" s="146"/>
      <c r="J888" s="147"/>
    </row>
    <row r="889" ht="22.5" customHeight="1">
      <c r="A889" s="148" t="s">
        <v>2555</v>
      </c>
      <c r="B889" s="149" t="s">
        <v>2146</v>
      </c>
      <c r="C889" s="149" t="s">
        <v>4222</v>
      </c>
      <c r="D889" s="149" t="s">
        <v>4223</v>
      </c>
      <c r="E889" s="196"/>
      <c r="F889" s="161" t="s">
        <v>49</v>
      </c>
      <c r="G889" s="227" t="s">
        <v>3436</v>
      </c>
      <c r="H889" s="153"/>
      <c r="I889" s="154"/>
      <c r="J889" s="155"/>
    </row>
    <row r="890" ht="22.5" customHeight="1">
      <c r="A890" s="140" t="s">
        <v>2557</v>
      </c>
      <c r="B890" s="141" t="s">
        <v>2146</v>
      </c>
      <c r="C890" s="141" t="s">
        <v>4224</v>
      </c>
      <c r="D890" s="141" t="s">
        <v>4225</v>
      </c>
      <c r="E890" s="197"/>
      <c r="F890" s="169" t="s">
        <v>49</v>
      </c>
      <c r="G890" s="204" t="s">
        <v>3436</v>
      </c>
      <c r="H890" s="145"/>
      <c r="I890" s="146"/>
      <c r="J890" s="147"/>
    </row>
    <row r="891" ht="22.5" customHeight="1">
      <c r="A891" s="148" t="s">
        <v>2560</v>
      </c>
      <c r="B891" s="149" t="s">
        <v>2146</v>
      </c>
      <c r="C891" s="154"/>
      <c r="D891" s="149" t="s">
        <v>4226</v>
      </c>
      <c r="E891" s="196"/>
      <c r="F891" s="161" t="s">
        <v>49</v>
      </c>
      <c r="G891" s="227" t="s">
        <v>3436</v>
      </c>
      <c r="H891" s="153"/>
      <c r="I891" s="154"/>
      <c r="J891" s="155"/>
    </row>
    <row r="892" ht="22.5" customHeight="1">
      <c r="A892" s="140" t="s">
        <v>2563</v>
      </c>
      <c r="B892" s="141" t="s">
        <v>2146</v>
      </c>
      <c r="C892" s="141" t="s">
        <v>2044</v>
      </c>
      <c r="D892" s="141" t="s">
        <v>4227</v>
      </c>
      <c r="E892" s="197"/>
      <c r="F892" s="169" t="s">
        <v>49</v>
      </c>
      <c r="G892" s="204" t="s">
        <v>3436</v>
      </c>
      <c r="H892" s="145"/>
      <c r="I892" s="146"/>
      <c r="J892" s="147"/>
    </row>
    <row r="893" ht="22.5" customHeight="1">
      <c r="A893" s="148" t="s">
        <v>2567</v>
      </c>
      <c r="B893" s="149" t="s">
        <v>2146</v>
      </c>
      <c r="C893" s="149" t="s">
        <v>2414</v>
      </c>
      <c r="D893" s="149" t="s">
        <v>4228</v>
      </c>
      <c r="E893" s="196"/>
      <c r="F893" s="161" t="s">
        <v>49</v>
      </c>
      <c r="G893" s="227" t="s">
        <v>3436</v>
      </c>
      <c r="H893" s="153"/>
      <c r="I893" s="154"/>
      <c r="J893" s="155"/>
    </row>
    <row r="894" ht="22.5" customHeight="1">
      <c r="A894" s="140" t="s">
        <v>2570</v>
      </c>
      <c r="B894" s="141" t="s">
        <v>2346</v>
      </c>
      <c r="C894" s="146"/>
      <c r="D894" s="141" t="s">
        <v>4229</v>
      </c>
      <c r="E894" s="197"/>
      <c r="F894" s="169" t="s">
        <v>49</v>
      </c>
      <c r="G894" s="204" t="s">
        <v>3436</v>
      </c>
      <c r="H894" s="145"/>
      <c r="I894" s="146"/>
      <c r="J894" s="147"/>
    </row>
    <row r="895" ht="22.5" customHeight="1">
      <c r="A895" s="148" t="s">
        <v>2573</v>
      </c>
      <c r="B895" s="149" t="s">
        <v>2346</v>
      </c>
      <c r="C895" s="154"/>
      <c r="D895" s="149" t="s">
        <v>4230</v>
      </c>
      <c r="E895" s="196"/>
      <c r="F895" s="161" t="s">
        <v>49</v>
      </c>
      <c r="G895" s="227" t="s">
        <v>3436</v>
      </c>
      <c r="H895" s="153"/>
      <c r="I895" s="154"/>
      <c r="J895" s="155"/>
    </row>
    <row r="896" ht="22.5" customHeight="1">
      <c r="A896" s="140" t="s">
        <v>2576</v>
      </c>
      <c r="B896" s="141" t="s">
        <v>2346</v>
      </c>
      <c r="C896" s="146"/>
      <c r="D896" s="141" t="s">
        <v>4231</v>
      </c>
      <c r="E896" s="197"/>
      <c r="F896" s="169" t="s">
        <v>49</v>
      </c>
      <c r="G896" s="204" t="s">
        <v>3436</v>
      </c>
      <c r="H896" s="145"/>
      <c r="I896" s="146"/>
      <c r="J896" s="147"/>
    </row>
    <row r="897" ht="22.5" customHeight="1">
      <c r="A897" s="148" t="s">
        <v>2580</v>
      </c>
      <c r="B897" s="149" t="s">
        <v>2346</v>
      </c>
      <c r="C897" s="154"/>
      <c r="D897" s="149" t="s">
        <v>4232</v>
      </c>
      <c r="E897" s="196"/>
      <c r="F897" s="161" t="s">
        <v>49</v>
      </c>
      <c r="G897" s="227" t="s">
        <v>3436</v>
      </c>
      <c r="H897" s="153"/>
      <c r="I897" s="154"/>
      <c r="J897" s="155"/>
    </row>
    <row r="898" ht="22.5" customHeight="1">
      <c r="A898" s="140" t="s">
        <v>2583</v>
      </c>
      <c r="B898" s="141" t="s">
        <v>2346</v>
      </c>
      <c r="C898" s="146"/>
      <c r="D898" s="141" t="s">
        <v>4233</v>
      </c>
      <c r="E898" s="197"/>
      <c r="F898" s="169" t="s">
        <v>49</v>
      </c>
      <c r="G898" s="204" t="s">
        <v>3436</v>
      </c>
      <c r="H898" s="145"/>
      <c r="I898" s="146"/>
      <c r="J898" s="147"/>
    </row>
    <row r="899" ht="22.5" customHeight="1">
      <c r="A899" s="148" t="s">
        <v>2587</v>
      </c>
      <c r="B899" s="149" t="s">
        <v>2346</v>
      </c>
      <c r="C899" s="154"/>
      <c r="D899" s="149" t="s">
        <v>4234</v>
      </c>
      <c r="E899" s="196"/>
      <c r="F899" s="161" t="s">
        <v>49</v>
      </c>
      <c r="G899" s="227" t="s">
        <v>3436</v>
      </c>
      <c r="H899" s="153"/>
      <c r="I899" s="154"/>
      <c r="J899" s="155"/>
    </row>
    <row r="900" ht="22.5" customHeight="1">
      <c r="A900" s="140" t="s">
        <v>2590</v>
      </c>
      <c r="B900" s="141" t="s">
        <v>2346</v>
      </c>
      <c r="C900" s="141" t="s">
        <v>4235</v>
      </c>
      <c r="D900" s="141" t="s">
        <v>4236</v>
      </c>
      <c r="E900" s="197"/>
      <c r="F900" s="169" t="s">
        <v>49</v>
      </c>
      <c r="G900" s="204" t="s">
        <v>3436</v>
      </c>
      <c r="H900" s="145"/>
      <c r="I900" s="146"/>
      <c r="J900" s="147"/>
    </row>
    <row r="901" ht="22.5" customHeight="1">
      <c r="A901" s="148" t="s">
        <v>2594</v>
      </c>
      <c r="B901" s="149" t="s">
        <v>2346</v>
      </c>
      <c r="C901" s="154"/>
      <c r="D901" s="149" t="s">
        <v>4237</v>
      </c>
      <c r="E901" s="196"/>
      <c r="F901" s="161" t="s">
        <v>49</v>
      </c>
      <c r="G901" s="227" t="s">
        <v>3436</v>
      </c>
      <c r="H901" s="153"/>
      <c r="I901" s="154"/>
      <c r="J901" s="155"/>
    </row>
    <row r="902" ht="22.5" customHeight="1">
      <c r="A902" s="140" t="s">
        <v>2598</v>
      </c>
      <c r="B902" s="141" t="s">
        <v>2346</v>
      </c>
      <c r="C902" s="146"/>
      <c r="D902" s="141" t="s">
        <v>4238</v>
      </c>
      <c r="E902" s="197"/>
      <c r="F902" s="169" t="s">
        <v>49</v>
      </c>
      <c r="G902" s="204" t="s">
        <v>3436</v>
      </c>
      <c r="H902" s="145"/>
      <c r="I902" s="146"/>
      <c r="J902" s="147"/>
    </row>
    <row r="903" ht="22.5" customHeight="1">
      <c r="A903" s="148" t="s">
        <v>2602</v>
      </c>
      <c r="B903" s="149" t="s">
        <v>2346</v>
      </c>
      <c r="C903" s="154"/>
      <c r="D903" s="149" t="s">
        <v>4239</v>
      </c>
      <c r="E903" s="196"/>
      <c r="F903" s="161" t="s">
        <v>49</v>
      </c>
      <c r="G903" s="227" t="s">
        <v>3436</v>
      </c>
      <c r="H903" s="153"/>
      <c r="I903" s="154"/>
      <c r="J903" s="155"/>
    </row>
    <row r="904" ht="22.5" customHeight="1">
      <c r="A904" s="140" t="s">
        <v>2606</v>
      </c>
      <c r="B904" s="141" t="s">
        <v>2346</v>
      </c>
      <c r="C904" s="146"/>
      <c r="D904" s="141" t="s">
        <v>4240</v>
      </c>
      <c r="E904" s="197"/>
      <c r="F904" s="169" t="s">
        <v>49</v>
      </c>
      <c r="G904" s="204" t="s">
        <v>3436</v>
      </c>
      <c r="H904" s="145"/>
      <c r="I904" s="146"/>
      <c r="J904" s="147"/>
    </row>
    <row r="905" ht="22.5" customHeight="1">
      <c r="A905" s="148" t="s">
        <v>2610</v>
      </c>
      <c r="B905" s="149" t="s">
        <v>2346</v>
      </c>
      <c r="C905" s="154"/>
      <c r="D905" s="149" t="s">
        <v>4241</v>
      </c>
      <c r="E905" s="196"/>
      <c r="F905" s="161" t="s">
        <v>49</v>
      </c>
      <c r="G905" s="227" t="s">
        <v>3436</v>
      </c>
      <c r="H905" s="153"/>
      <c r="I905" s="154"/>
      <c r="J905" s="155"/>
    </row>
    <row r="906" ht="22.5" customHeight="1">
      <c r="A906" s="140" t="s">
        <v>2614</v>
      </c>
      <c r="B906" s="141" t="s">
        <v>2346</v>
      </c>
      <c r="C906" s="141" t="s">
        <v>4242</v>
      </c>
      <c r="D906" s="141" t="s">
        <v>4243</v>
      </c>
      <c r="E906" s="197"/>
      <c r="F906" s="156" t="s">
        <v>635</v>
      </c>
      <c r="G906" s="204" t="s">
        <v>3436</v>
      </c>
      <c r="H906" s="145"/>
      <c r="I906" s="146"/>
      <c r="J906" s="147"/>
    </row>
    <row r="907" ht="22.5" customHeight="1">
      <c r="A907" s="148" t="s">
        <v>2618</v>
      </c>
      <c r="B907" s="149" t="s">
        <v>2346</v>
      </c>
      <c r="C907" s="154"/>
      <c r="D907" s="149" t="s">
        <v>4244</v>
      </c>
      <c r="E907" s="196"/>
      <c r="F907" s="161" t="s">
        <v>49</v>
      </c>
      <c r="G907" s="227" t="s">
        <v>3436</v>
      </c>
      <c r="H907" s="153"/>
      <c r="I907" s="154"/>
      <c r="J907" s="155"/>
    </row>
    <row r="908" ht="22.5" customHeight="1">
      <c r="A908" s="140" t="s">
        <v>2621</v>
      </c>
      <c r="B908" s="141" t="s">
        <v>2346</v>
      </c>
      <c r="C908" s="146"/>
      <c r="D908" s="141" t="s">
        <v>4245</v>
      </c>
      <c r="E908" s="159" t="s">
        <v>4246</v>
      </c>
      <c r="F908" s="212" t="s">
        <v>17</v>
      </c>
      <c r="G908" s="204" t="s">
        <v>3436</v>
      </c>
      <c r="H908" s="145"/>
      <c r="I908" s="146"/>
      <c r="J908" s="147"/>
    </row>
    <row r="909" ht="22.5" customHeight="1">
      <c r="A909" s="148" t="s">
        <v>2625</v>
      </c>
      <c r="B909" s="149" t="s">
        <v>2346</v>
      </c>
      <c r="C909" s="149" t="s">
        <v>4247</v>
      </c>
      <c r="D909" s="149" t="s">
        <v>4248</v>
      </c>
      <c r="E909" s="158" t="s">
        <v>4246</v>
      </c>
      <c r="F909" s="161" t="s">
        <v>49</v>
      </c>
      <c r="G909" s="227" t="s">
        <v>3436</v>
      </c>
      <c r="H909" s="153"/>
      <c r="I909" s="154"/>
      <c r="J909" s="155"/>
    </row>
    <row r="910" ht="22.5" customHeight="1">
      <c r="A910" s="140" t="s">
        <v>2629</v>
      </c>
      <c r="B910" s="141" t="s">
        <v>2346</v>
      </c>
      <c r="C910" s="141" t="s">
        <v>4249</v>
      </c>
      <c r="D910" s="141" t="s">
        <v>4250</v>
      </c>
      <c r="E910" s="159" t="s">
        <v>4246</v>
      </c>
      <c r="F910" s="212" t="s">
        <v>17</v>
      </c>
      <c r="G910" s="204" t="s">
        <v>3436</v>
      </c>
      <c r="H910" s="145"/>
      <c r="I910" s="146"/>
      <c r="J910" s="147"/>
    </row>
    <row r="911" ht="22.5" customHeight="1">
      <c r="A911" s="148" t="s">
        <v>2632</v>
      </c>
      <c r="B911" s="149" t="s">
        <v>2346</v>
      </c>
      <c r="C911" s="154"/>
      <c r="D911" s="149" t="s">
        <v>4251</v>
      </c>
      <c r="E911" s="158" t="s">
        <v>4246</v>
      </c>
      <c r="F911" s="214" t="s">
        <v>17</v>
      </c>
      <c r="G911" s="227" t="s">
        <v>3436</v>
      </c>
      <c r="H911" s="153"/>
      <c r="I911" s="154"/>
      <c r="J911" s="155"/>
    </row>
    <row r="912" ht="22.5" customHeight="1">
      <c r="A912" s="140" t="s">
        <v>2636</v>
      </c>
      <c r="B912" s="141" t="s">
        <v>2346</v>
      </c>
      <c r="C912" s="141" t="s">
        <v>3567</v>
      </c>
      <c r="D912" s="141" t="s">
        <v>3568</v>
      </c>
      <c r="E912" s="159" t="s">
        <v>4252</v>
      </c>
      <c r="F912" s="216" t="s">
        <v>40</v>
      </c>
      <c r="G912" s="204" t="s">
        <v>3436</v>
      </c>
      <c r="H912" s="145"/>
      <c r="I912" s="146"/>
      <c r="J912" s="147"/>
    </row>
    <row r="913" ht="22.5" customHeight="1">
      <c r="A913" s="148" t="s">
        <v>2639</v>
      </c>
      <c r="B913" s="149" t="s">
        <v>2346</v>
      </c>
      <c r="C913" s="149" t="s">
        <v>4253</v>
      </c>
      <c r="D913" s="149" t="s">
        <v>4254</v>
      </c>
      <c r="E913" s="158" t="s">
        <v>4255</v>
      </c>
      <c r="F913" s="213" t="s">
        <v>40</v>
      </c>
      <c r="G913" s="227" t="s">
        <v>3436</v>
      </c>
      <c r="H913" s="153"/>
      <c r="I913" s="154"/>
      <c r="J913" s="155"/>
    </row>
    <row r="914" ht="22.5" customHeight="1">
      <c r="A914" s="140" t="s">
        <v>2641</v>
      </c>
      <c r="B914" s="141" t="s">
        <v>2346</v>
      </c>
      <c r="C914" s="141" t="s">
        <v>4256</v>
      </c>
      <c r="D914" s="141" t="s">
        <v>4257</v>
      </c>
      <c r="E914" s="197"/>
      <c r="F914" s="215" t="s">
        <v>2192</v>
      </c>
      <c r="G914" s="204" t="s">
        <v>3436</v>
      </c>
      <c r="H914" s="145"/>
      <c r="I914" s="146"/>
      <c r="J914" s="147"/>
    </row>
    <row r="915" ht="22.5" customHeight="1">
      <c r="A915" s="148" t="s">
        <v>2645</v>
      </c>
      <c r="B915" s="149" t="s">
        <v>2346</v>
      </c>
      <c r="C915" s="154"/>
      <c r="D915" s="149" t="s">
        <v>4258</v>
      </c>
      <c r="E915" s="196"/>
      <c r="F915" s="161" t="s">
        <v>49</v>
      </c>
      <c r="G915" s="227" t="s">
        <v>3436</v>
      </c>
      <c r="H915" s="153"/>
      <c r="I915" s="154"/>
      <c r="J915" s="155"/>
    </row>
    <row r="916" ht="22.5" customHeight="1">
      <c r="A916" s="140" t="s">
        <v>2649</v>
      </c>
      <c r="B916" s="141" t="s">
        <v>2346</v>
      </c>
      <c r="C916" s="146"/>
      <c r="D916" s="141" t="s">
        <v>4259</v>
      </c>
      <c r="E916" s="197"/>
      <c r="F916" s="215" t="s">
        <v>2192</v>
      </c>
      <c r="G916" s="204" t="s">
        <v>3436</v>
      </c>
      <c r="H916" s="145"/>
      <c r="I916" s="146"/>
      <c r="J916" s="147"/>
    </row>
    <row r="917" ht="22.5" customHeight="1">
      <c r="A917" s="148" t="s">
        <v>2652</v>
      </c>
      <c r="B917" s="149" t="s">
        <v>2346</v>
      </c>
      <c r="C917" s="154"/>
      <c r="D917" s="149" t="s">
        <v>4260</v>
      </c>
      <c r="E917" s="196"/>
      <c r="F917" s="213" t="s">
        <v>40</v>
      </c>
      <c r="G917" s="227" t="s">
        <v>3436</v>
      </c>
      <c r="H917" s="153"/>
      <c r="I917" s="154"/>
      <c r="J917" s="155"/>
    </row>
    <row r="918" ht="22.5" customHeight="1">
      <c r="A918" s="140" t="s">
        <v>2655</v>
      </c>
      <c r="B918" s="141" t="s">
        <v>2346</v>
      </c>
      <c r="C918" s="146"/>
      <c r="D918" s="141" t="s">
        <v>4261</v>
      </c>
      <c r="E918" s="159" t="s">
        <v>4262</v>
      </c>
      <c r="F918" s="215" t="s">
        <v>2192</v>
      </c>
      <c r="G918" s="204" t="s">
        <v>3436</v>
      </c>
      <c r="H918" s="145"/>
      <c r="I918" s="146"/>
      <c r="J918" s="147"/>
    </row>
    <row r="919" ht="22.5" customHeight="1">
      <c r="A919" s="148" t="s">
        <v>2658</v>
      </c>
      <c r="B919" s="149" t="s">
        <v>2346</v>
      </c>
      <c r="C919" s="149" t="s">
        <v>4263</v>
      </c>
      <c r="D919" s="149" t="s">
        <v>4264</v>
      </c>
      <c r="E919" s="196"/>
      <c r="F919" s="165" t="s">
        <v>2076</v>
      </c>
      <c r="G919" s="227" t="s">
        <v>3436</v>
      </c>
      <c r="H919" s="153"/>
      <c r="I919" s="154"/>
      <c r="J919" s="155"/>
    </row>
    <row r="920" ht="22.5" customHeight="1">
      <c r="A920" s="140" t="s">
        <v>2662</v>
      </c>
      <c r="B920" s="141" t="s">
        <v>2346</v>
      </c>
      <c r="C920" s="146"/>
      <c r="D920" s="141" t="s">
        <v>4265</v>
      </c>
      <c r="E920" s="159" t="s">
        <v>4266</v>
      </c>
      <c r="F920" s="169" t="s">
        <v>49</v>
      </c>
      <c r="G920" s="204" t="s">
        <v>3436</v>
      </c>
      <c r="H920" s="145"/>
      <c r="I920" s="146"/>
      <c r="J920" s="147"/>
    </row>
    <row r="921" ht="22.5" customHeight="1">
      <c r="A921" s="148" t="s">
        <v>2666</v>
      </c>
      <c r="B921" s="149" t="s">
        <v>2346</v>
      </c>
      <c r="C921" s="154"/>
      <c r="D921" s="149" t="s">
        <v>4267</v>
      </c>
      <c r="E921" s="158" t="s">
        <v>4246</v>
      </c>
      <c r="F921" s="214" t="s">
        <v>17</v>
      </c>
      <c r="G921" s="227" t="s">
        <v>3436</v>
      </c>
      <c r="H921" s="153"/>
      <c r="I921" s="154"/>
      <c r="J921" s="155"/>
    </row>
    <row r="922" ht="22.5" customHeight="1">
      <c r="A922" s="140" t="s">
        <v>2669</v>
      </c>
      <c r="B922" s="141" t="s">
        <v>2346</v>
      </c>
      <c r="C922" s="141" t="s">
        <v>4268</v>
      </c>
      <c r="D922" s="141" t="s">
        <v>4269</v>
      </c>
      <c r="E922" s="159" t="s">
        <v>4246</v>
      </c>
      <c r="F922" s="212" t="s">
        <v>17</v>
      </c>
      <c r="G922" s="204" t="s">
        <v>3436</v>
      </c>
      <c r="H922" s="145"/>
      <c r="I922" s="146"/>
      <c r="J922" s="147"/>
    </row>
    <row r="923" ht="22.5" customHeight="1">
      <c r="A923" s="148" t="s">
        <v>2672</v>
      </c>
      <c r="B923" s="149" t="s">
        <v>2346</v>
      </c>
      <c r="C923" s="149" t="s">
        <v>4270</v>
      </c>
      <c r="D923" s="149" t="s">
        <v>4271</v>
      </c>
      <c r="E923" s="158" t="s">
        <v>4272</v>
      </c>
      <c r="F923" s="161" t="s">
        <v>49</v>
      </c>
      <c r="G923" s="227" t="s">
        <v>3436</v>
      </c>
      <c r="H923" s="153"/>
      <c r="I923" s="154"/>
      <c r="J923" s="155"/>
    </row>
    <row r="924" ht="22.5" customHeight="1">
      <c r="A924" s="140" t="s">
        <v>2676</v>
      </c>
      <c r="B924" s="141" t="s">
        <v>2346</v>
      </c>
      <c r="C924" s="141" t="s">
        <v>201</v>
      </c>
      <c r="D924" s="141" t="s">
        <v>4273</v>
      </c>
      <c r="E924" s="159" t="s">
        <v>4274</v>
      </c>
      <c r="F924" s="169" t="s">
        <v>49</v>
      </c>
      <c r="G924" s="204" t="s">
        <v>3436</v>
      </c>
      <c r="H924" s="145"/>
      <c r="I924" s="146"/>
      <c r="J924" s="147"/>
    </row>
    <row r="925" ht="22.5" customHeight="1">
      <c r="A925" s="148" t="s">
        <v>2680</v>
      </c>
      <c r="B925" s="149" t="s">
        <v>2346</v>
      </c>
      <c r="C925" s="154"/>
      <c r="D925" s="149" t="s">
        <v>4275</v>
      </c>
      <c r="E925" s="158" t="s">
        <v>4246</v>
      </c>
      <c r="F925" s="214" t="s">
        <v>17</v>
      </c>
      <c r="G925" s="227" t="s">
        <v>3436</v>
      </c>
      <c r="H925" s="153"/>
      <c r="I925" s="154"/>
      <c r="J925" s="155"/>
    </row>
    <row r="926" ht="22.5" customHeight="1">
      <c r="A926" s="140" t="s">
        <v>2683</v>
      </c>
      <c r="B926" s="141" t="s">
        <v>2346</v>
      </c>
      <c r="C926" s="146"/>
      <c r="D926" s="141" t="s">
        <v>4276</v>
      </c>
      <c r="E926" s="159" t="s">
        <v>4246</v>
      </c>
      <c r="F926" s="212" t="s">
        <v>17</v>
      </c>
      <c r="G926" s="204" t="s">
        <v>3436</v>
      </c>
      <c r="H926" s="145"/>
      <c r="I926" s="146"/>
      <c r="J926" s="147"/>
    </row>
    <row r="927" ht="22.5" customHeight="1">
      <c r="A927" s="148" t="s">
        <v>2687</v>
      </c>
      <c r="B927" s="149" t="s">
        <v>2346</v>
      </c>
      <c r="C927" s="154"/>
      <c r="D927" s="149" t="s">
        <v>4277</v>
      </c>
      <c r="E927" s="158" t="s">
        <v>4246</v>
      </c>
      <c r="F927" s="214" t="s">
        <v>17</v>
      </c>
      <c r="G927" s="227" t="s">
        <v>3436</v>
      </c>
      <c r="H927" s="153"/>
      <c r="I927" s="154"/>
      <c r="J927" s="155"/>
    </row>
    <row r="928" ht="22.5" customHeight="1">
      <c r="A928" s="140" t="s">
        <v>2691</v>
      </c>
      <c r="B928" s="141" t="s">
        <v>2346</v>
      </c>
      <c r="C928" s="141" t="s">
        <v>4278</v>
      </c>
      <c r="D928" s="141" t="s">
        <v>4279</v>
      </c>
      <c r="E928" s="159" t="s">
        <v>4280</v>
      </c>
      <c r="F928" s="169" t="s">
        <v>49</v>
      </c>
      <c r="G928" s="204" t="s">
        <v>3436</v>
      </c>
      <c r="H928" s="145"/>
      <c r="I928" s="146"/>
      <c r="J928" s="147"/>
    </row>
    <row r="929" ht="22.5" customHeight="1">
      <c r="A929" s="148" t="s">
        <v>2694</v>
      </c>
      <c r="B929" s="149" t="s">
        <v>2346</v>
      </c>
      <c r="C929" s="149" t="s">
        <v>4281</v>
      </c>
      <c r="D929" s="149" t="s">
        <v>4282</v>
      </c>
      <c r="E929" s="196"/>
      <c r="F929" s="161" t="s">
        <v>49</v>
      </c>
      <c r="G929" s="227" t="s">
        <v>3436</v>
      </c>
      <c r="H929" s="153"/>
      <c r="I929" s="154"/>
      <c r="J929" s="155"/>
    </row>
    <row r="930" ht="22.5" customHeight="1">
      <c r="A930" s="140" t="s">
        <v>2698</v>
      </c>
      <c r="B930" s="141" t="s">
        <v>2346</v>
      </c>
      <c r="C930" s="141" t="s">
        <v>4283</v>
      </c>
      <c r="D930" s="141" t="s">
        <v>4284</v>
      </c>
      <c r="E930" s="197"/>
      <c r="F930" s="169" t="s">
        <v>49</v>
      </c>
      <c r="G930" s="204" t="s">
        <v>3436</v>
      </c>
      <c r="H930" s="145"/>
      <c r="I930" s="146"/>
      <c r="J930" s="147"/>
    </row>
    <row r="931" ht="22.5" customHeight="1">
      <c r="A931" s="148" t="s">
        <v>2701</v>
      </c>
      <c r="B931" s="149" t="s">
        <v>2346</v>
      </c>
      <c r="C931" s="149" t="s">
        <v>4285</v>
      </c>
      <c r="D931" s="149" t="s">
        <v>4286</v>
      </c>
      <c r="E931" s="196"/>
      <c r="F931" s="161" t="s">
        <v>49</v>
      </c>
      <c r="G931" s="227" t="s">
        <v>3436</v>
      </c>
      <c r="H931" s="153"/>
      <c r="I931" s="154"/>
      <c r="J931" s="155"/>
    </row>
    <row r="932" ht="22.5" customHeight="1">
      <c r="A932" s="140" t="s">
        <v>2704</v>
      </c>
      <c r="B932" s="141" t="s">
        <v>2346</v>
      </c>
      <c r="C932" s="141" t="s">
        <v>4287</v>
      </c>
      <c r="D932" s="141" t="s">
        <v>4288</v>
      </c>
      <c r="E932" s="159" t="s">
        <v>4221</v>
      </c>
      <c r="F932" s="216" t="s">
        <v>40</v>
      </c>
      <c r="G932" s="204" t="s">
        <v>3436</v>
      </c>
      <c r="H932" s="145"/>
      <c r="I932" s="146"/>
      <c r="J932" s="147"/>
    </row>
    <row r="933" ht="22.5" customHeight="1">
      <c r="A933" s="148" t="s">
        <v>2707</v>
      </c>
      <c r="B933" s="154"/>
      <c r="C933" s="154"/>
      <c r="D933" s="149" t="s">
        <v>4289</v>
      </c>
      <c r="E933" s="196"/>
      <c r="F933" s="161" t="s">
        <v>49</v>
      </c>
      <c r="G933" s="227" t="s">
        <v>3436</v>
      </c>
      <c r="H933" s="153"/>
      <c r="I933" s="154"/>
      <c r="J933" s="155"/>
    </row>
    <row r="934" ht="22.5" customHeight="1">
      <c r="A934" s="140" t="s">
        <v>2711</v>
      </c>
      <c r="B934" s="146"/>
      <c r="C934" s="146"/>
      <c r="D934" s="141" t="s">
        <v>4290</v>
      </c>
      <c r="E934" s="197"/>
      <c r="F934" s="169" t="s">
        <v>49</v>
      </c>
      <c r="G934" s="204" t="s">
        <v>3436</v>
      </c>
      <c r="H934" s="145"/>
      <c r="I934" s="146"/>
      <c r="J934" s="147"/>
    </row>
    <row r="935" ht="22.5" customHeight="1">
      <c r="A935" s="148" t="s">
        <v>2715</v>
      </c>
      <c r="B935" s="154"/>
      <c r="C935" s="154"/>
      <c r="D935" s="149" t="s">
        <v>4291</v>
      </c>
      <c r="E935" s="196"/>
      <c r="F935" s="161" t="s">
        <v>49</v>
      </c>
      <c r="G935" s="227" t="s">
        <v>3436</v>
      </c>
      <c r="H935" s="153"/>
      <c r="I935" s="154"/>
      <c r="J935" s="155"/>
    </row>
    <row r="936" ht="22.5" customHeight="1">
      <c r="A936" s="140" t="s">
        <v>2718</v>
      </c>
      <c r="B936" s="141" t="s">
        <v>4292</v>
      </c>
      <c r="C936" s="146"/>
      <c r="D936" s="141" t="s">
        <v>4293</v>
      </c>
      <c r="E936" s="197"/>
      <c r="F936" s="169" t="s">
        <v>49</v>
      </c>
      <c r="G936" s="204" t="s">
        <v>3436</v>
      </c>
      <c r="H936" s="145"/>
      <c r="I936" s="146"/>
      <c r="J936" s="147"/>
    </row>
    <row r="937" ht="22.5" customHeight="1">
      <c r="A937" s="148" t="s">
        <v>2721</v>
      </c>
      <c r="B937" s="154"/>
      <c r="C937" s="154"/>
      <c r="D937" s="149" t="s">
        <v>4294</v>
      </c>
      <c r="E937" s="196"/>
      <c r="F937" s="161" t="s">
        <v>49</v>
      </c>
      <c r="G937" s="227" t="s">
        <v>3436</v>
      </c>
      <c r="H937" s="153"/>
      <c r="I937" s="154"/>
      <c r="J937" s="155"/>
    </row>
    <row r="938" ht="22.5" customHeight="1">
      <c r="A938" s="140" t="s">
        <v>2724</v>
      </c>
      <c r="B938" s="146"/>
      <c r="C938" s="146"/>
      <c r="D938" s="141" t="s">
        <v>4295</v>
      </c>
      <c r="E938" s="197"/>
      <c r="F938" s="169" t="s">
        <v>49</v>
      </c>
      <c r="G938" s="204" t="s">
        <v>3436</v>
      </c>
      <c r="H938" s="145"/>
      <c r="I938" s="146"/>
      <c r="J938" s="147"/>
    </row>
    <row r="939" ht="22.5" customHeight="1">
      <c r="A939" s="148" t="s">
        <v>2727</v>
      </c>
      <c r="B939" s="154"/>
      <c r="C939" s="154"/>
      <c r="D939" s="149" t="s">
        <v>4296</v>
      </c>
      <c r="E939" s="196"/>
      <c r="F939" s="161" t="s">
        <v>49</v>
      </c>
      <c r="G939" s="227" t="s">
        <v>3436</v>
      </c>
      <c r="H939" s="153"/>
      <c r="I939" s="154"/>
      <c r="J939" s="155"/>
    </row>
    <row r="940" ht="22.5" customHeight="1">
      <c r="A940" s="140" t="s">
        <v>2730</v>
      </c>
      <c r="B940" s="146"/>
      <c r="C940" s="141" t="s">
        <v>4297</v>
      </c>
      <c r="D940" s="141" t="s">
        <v>4298</v>
      </c>
      <c r="E940" s="197"/>
      <c r="F940" s="156" t="s">
        <v>635</v>
      </c>
      <c r="G940" s="204" t="s">
        <v>3436</v>
      </c>
      <c r="H940" s="145"/>
      <c r="I940" s="146"/>
      <c r="J940" s="147"/>
    </row>
    <row r="941" ht="22.5" customHeight="1">
      <c r="A941" s="148" t="s">
        <v>2733</v>
      </c>
      <c r="B941" s="154"/>
      <c r="C941" s="149" t="s">
        <v>4080</v>
      </c>
      <c r="D941" s="149" t="s">
        <v>4299</v>
      </c>
      <c r="E941" s="196"/>
      <c r="F941" s="161" t="s">
        <v>49</v>
      </c>
      <c r="G941" s="227" t="s">
        <v>3436</v>
      </c>
      <c r="H941" s="153"/>
      <c r="I941" s="154"/>
      <c r="J941" s="155"/>
    </row>
    <row r="942" ht="22.5" customHeight="1">
      <c r="A942" s="140" t="s">
        <v>2736</v>
      </c>
      <c r="B942" s="146"/>
      <c r="C942" s="141" t="s">
        <v>4176</v>
      </c>
      <c r="D942" s="141" t="s">
        <v>4300</v>
      </c>
      <c r="E942" s="197"/>
      <c r="F942" s="156" t="s">
        <v>635</v>
      </c>
      <c r="G942" s="204" t="s">
        <v>3436</v>
      </c>
      <c r="H942" s="145"/>
      <c r="I942" s="146"/>
      <c r="J942" s="147"/>
    </row>
    <row r="943" ht="22.5" customHeight="1">
      <c r="A943" s="148" t="s">
        <v>2740</v>
      </c>
      <c r="B943" s="149" t="s">
        <v>4301</v>
      </c>
      <c r="C943" s="149" t="s">
        <v>4302</v>
      </c>
      <c r="D943" s="149" t="s">
        <v>4303</v>
      </c>
      <c r="E943" s="196"/>
      <c r="F943" s="167" t="s">
        <v>635</v>
      </c>
      <c r="G943" s="227" t="s">
        <v>3436</v>
      </c>
      <c r="H943" s="153"/>
      <c r="I943" s="154"/>
      <c r="J943" s="155"/>
    </row>
    <row r="944" ht="22.5" customHeight="1">
      <c r="A944" s="140" t="s">
        <v>2744</v>
      </c>
      <c r="B944" s="141" t="s">
        <v>4304</v>
      </c>
      <c r="C944" s="141" t="s">
        <v>4305</v>
      </c>
      <c r="D944" s="141" t="s">
        <v>4306</v>
      </c>
      <c r="E944" s="197"/>
      <c r="F944" s="173" t="s">
        <v>2076</v>
      </c>
      <c r="G944" s="204" t="s">
        <v>3436</v>
      </c>
      <c r="H944" s="145"/>
      <c r="I944" s="146"/>
      <c r="J944" s="147"/>
    </row>
    <row r="945" ht="22.5" customHeight="1">
      <c r="A945" s="148" t="s">
        <v>2747</v>
      </c>
      <c r="B945" s="154"/>
      <c r="C945" s="154"/>
      <c r="D945" s="149" t="s">
        <v>4307</v>
      </c>
      <c r="E945" s="196"/>
      <c r="F945" s="161" t="s">
        <v>49</v>
      </c>
      <c r="G945" s="227" t="s">
        <v>3436</v>
      </c>
      <c r="H945" s="153"/>
      <c r="I945" s="154"/>
      <c r="J945" s="155"/>
    </row>
    <row r="946" ht="22.5" customHeight="1">
      <c r="A946" s="140" t="s">
        <v>2751</v>
      </c>
      <c r="B946" s="146"/>
      <c r="C946" s="146"/>
      <c r="D946" s="141" t="s">
        <v>4308</v>
      </c>
      <c r="E946" s="197"/>
      <c r="F946" s="169" t="s">
        <v>49</v>
      </c>
      <c r="G946" s="204" t="s">
        <v>3436</v>
      </c>
      <c r="H946" s="145"/>
      <c r="I946" s="146"/>
      <c r="J946" s="147"/>
    </row>
    <row r="947" ht="22.5" customHeight="1">
      <c r="A947" s="148" t="s">
        <v>2754</v>
      </c>
      <c r="B947" s="154"/>
      <c r="C947" s="149" t="s">
        <v>4309</v>
      </c>
      <c r="D947" s="149" t="s">
        <v>4310</v>
      </c>
      <c r="E947" s="196"/>
      <c r="F947" s="174" t="s">
        <v>2192</v>
      </c>
      <c r="G947" s="227" t="s">
        <v>3436</v>
      </c>
      <c r="H947" s="153"/>
      <c r="I947" s="154"/>
      <c r="J947" s="155"/>
    </row>
    <row r="948" ht="22.5" customHeight="1">
      <c r="A948" s="140" t="s">
        <v>2757</v>
      </c>
      <c r="B948" s="141" t="s">
        <v>4311</v>
      </c>
      <c r="C948" s="146"/>
      <c r="D948" s="141" t="s">
        <v>4312</v>
      </c>
      <c r="E948" s="197"/>
      <c r="F948" s="169" t="s">
        <v>49</v>
      </c>
      <c r="G948" s="204" t="s">
        <v>3436</v>
      </c>
      <c r="H948" s="145"/>
      <c r="I948" s="146"/>
      <c r="J948" s="147"/>
    </row>
    <row r="949" ht="22.5" customHeight="1">
      <c r="A949" s="148" t="s">
        <v>2760</v>
      </c>
      <c r="B949" s="154"/>
      <c r="C949" s="149" t="s">
        <v>4313</v>
      </c>
      <c r="D949" s="149" t="s">
        <v>4314</v>
      </c>
      <c r="E949" s="196"/>
      <c r="F949" s="174" t="s">
        <v>2192</v>
      </c>
      <c r="G949" s="227" t="s">
        <v>3436</v>
      </c>
      <c r="H949" s="153"/>
      <c r="I949" s="154"/>
      <c r="J949" s="155"/>
    </row>
    <row r="950" ht="22.5" customHeight="1">
      <c r="A950" s="140" t="s">
        <v>2764</v>
      </c>
      <c r="B950" s="146"/>
      <c r="C950" s="146"/>
      <c r="D950" s="141" t="s">
        <v>4315</v>
      </c>
      <c r="E950" s="197"/>
      <c r="F950" s="169" t="s">
        <v>49</v>
      </c>
      <c r="G950" s="204" t="s">
        <v>3436</v>
      </c>
      <c r="H950" s="145"/>
      <c r="I950" s="146"/>
      <c r="J950" s="147"/>
    </row>
    <row r="951" ht="22.5" customHeight="1">
      <c r="A951" s="148" t="s">
        <v>2768</v>
      </c>
      <c r="B951" s="149" t="s">
        <v>4316</v>
      </c>
      <c r="C951" s="154"/>
      <c r="D951" s="149" t="s">
        <v>4317</v>
      </c>
      <c r="E951" s="196"/>
      <c r="F951" s="213" t="s">
        <v>40</v>
      </c>
      <c r="G951" s="227" t="s">
        <v>3436</v>
      </c>
      <c r="H951" s="153"/>
      <c r="I951" s="154"/>
      <c r="J951" s="155"/>
    </row>
    <row r="952" ht="22.5" customHeight="1">
      <c r="A952" s="140" t="s">
        <v>2772</v>
      </c>
      <c r="B952" s="141" t="s">
        <v>4318</v>
      </c>
      <c r="C952" s="146"/>
      <c r="D952" s="141" t="s">
        <v>4319</v>
      </c>
      <c r="E952" s="197"/>
      <c r="F952" s="169" t="s">
        <v>49</v>
      </c>
      <c r="G952" s="204" t="s">
        <v>3436</v>
      </c>
      <c r="H952" s="145"/>
      <c r="I952" s="146"/>
      <c r="J952" s="147"/>
    </row>
    <row r="953" ht="22.5" customHeight="1">
      <c r="A953" s="148" t="s">
        <v>2776</v>
      </c>
      <c r="B953" s="154"/>
      <c r="C953" s="149" t="s">
        <v>4132</v>
      </c>
      <c r="D953" s="149" t="s">
        <v>4320</v>
      </c>
      <c r="E953" s="196"/>
      <c r="F953" s="174" t="s">
        <v>2192</v>
      </c>
      <c r="G953" s="227" t="s">
        <v>3436</v>
      </c>
      <c r="H953" s="153"/>
      <c r="I953" s="154"/>
      <c r="J953" s="155"/>
    </row>
    <row r="954" ht="22.5" customHeight="1">
      <c r="A954" s="140" t="s">
        <v>2780</v>
      </c>
      <c r="B954" s="146"/>
      <c r="C954" s="146"/>
      <c r="D954" s="141" t="s">
        <v>4321</v>
      </c>
      <c r="E954" s="197"/>
      <c r="F954" s="212" t="s">
        <v>17</v>
      </c>
      <c r="G954" s="204" t="s">
        <v>3436</v>
      </c>
      <c r="H954" s="145"/>
      <c r="I954" s="146"/>
      <c r="J954" s="147"/>
    </row>
    <row r="955" ht="22.5" customHeight="1">
      <c r="A955" s="148" t="s">
        <v>2783</v>
      </c>
      <c r="B955" s="149" t="s">
        <v>4322</v>
      </c>
      <c r="C955" s="149" t="s">
        <v>4323</v>
      </c>
      <c r="D955" s="149" t="s">
        <v>4324</v>
      </c>
      <c r="E955" s="196"/>
      <c r="F955" s="213" t="s">
        <v>40</v>
      </c>
      <c r="G955" s="227" t="s">
        <v>3436</v>
      </c>
      <c r="H955" s="153"/>
      <c r="I955" s="154"/>
      <c r="J955" s="155"/>
    </row>
    <row r="956" ht="22.5" customHeight="1">
      <c r="A956" s="140" t="s">
        <v>2787</v>
      </c>
      <c r="B956" s="146"/>
      <c r="C956" s="141" t="s">
        <v>4325</v>
      </c>
      <c r="D956" s="141" t="s">
        <v>4326</v>
      </c>
      <c r="E956" s="197"/>
      <c r="F956" s="212" t="s">
        <v>17</v>
      </c>
      <c r="G956" s="204" t="s">
        <v>3436</v>
      </c>
      <c r="H956" s="145"/>
      <c r="I956" s="146"/>
      <c r="J956" s="147"/>
    </row>
    <row r="957" ht="22.5" customHeight="1">
      <c r="A957" s="148" t="s">
        <v>2791</v>
      </c>
      <c r="B957" s="149" t="s">
        <v>4327</v>
      </c>
      <c r="C957" s="149" t="s">
        <v>4328</v>
      </c>
      <c r="D957" s="149" t="s">
        <v>4329</v>
      </c>
      <c r="E957" s="196"/>
      <c r="F957" s="213" t="s">
        <v>40</v>
      </c>
      <c r="G957" s="227" t="s">
        <v>3436</v>
      </c>
      <c r="H957" s="153"/>
      <c r="I957" s="154"/>
      <c r="J957" s="155"/>
    </row>
    <row r="958" ht="22.5" customHeight="1">
      <c r="A958" s="140" t="s">
        <v>2795</v>
      </c>
      <c r="B958" s="141" t="s">
        <v>4330</v>
      </c>
      <c r="C958" s="141" t="s">
        <v>4331</v>
      </c>
      <c r="D958" s="141" t="s">
        <v>4332</v>
      </c>
      <c r="E958" s="197"/>
      <c r="F958" s="216" t="s">
        <v>40</v>
      </c>
      <c r="G958" s="204" t="s">
        <v>3436</v>
      </c>
      <c r="H958" s="145"/>
      <c r="I958" s="146"/>
      <c r="J958" s="147"/>
    </row>
    <row r="959" ht="22.5" customHeight="1">
      <c r="A959" s="148" t="s">
        <v>2798</v>
      </c>
      <c r="B959" s="154"/>
      <c r="C959" s="149" t="s">
        <v>4333</v>
      </c>
      <c r="D959" s="149" t="s">
        <v>4334</v>
      </c>
      <c r="E959" s="196"/>
      <c r="F959" s="214" t="s">
        <v>17</v>
      </c>
      <c r="G959" s="227" t="s">
        <v>3436</v>
      </c>
      <c r="H959" s="153"/>
      <c r="I959" s="154"/>
      <c r="J959" s="155"/>
    </row>
    <row r="960" ht="22.5" customHeight="1">
      <c r="A960" s="140" t="s">
        <v>2801</v>
      </c>
      <c r="B960" s="141" t="s">
        <v>4335</v>
      </c>
      <c r="C960" s="141" t="s">
        <v>4336</v>
      </c>
      <c r="D960" s="141" t="s">
        <v>4337</v>
      </c>
      <c r="E960" s="197"/>
      <c r="F960" s="173" t="s">
        <v>2076</v>
      </c>
      <c r="G960" s="204" t="s">
        <v>3436</v>
      </c>
      <c r="H960" s="145"/>
      <c r="I960" s="146"/>
      <c r="J960" s="147"/>
    </row>
    <row r="961" ht="22.5" customHeight="1">
      <c r="A961" s="148" t="s">
        <v>2805</v>
      </c>
      <c r="B961" s="154"/>
      <c r="C961" s="149" t="s">
        <v>4338</v>
      </c>
      <c r="D961" s="149" t="s">
        <v>4339</v>
      </c>
      <c r="E961" s="149" t="s">
        <v>4340</v>
      </c>
      <c r="F961" s="161" t="s">
        <v>49</v>
      </c>
      <c r="G961" s="227" t="s">
        <v>3436</v>
      </c>
      <c r="H961" s="153"/>
      <c r="I961" s="154"/>
      <c r="J961" s="155"/>
    </row>
    <row r="962" ht="22.5" customHeight="1">
      <c r="A962" s="140" t="s">
        <v>2809</v>
      </c>
      <c r="B962" s="146"/>
      <c r="C962" s="141" t="s">
        <v>4341</v>
      </c>
      <c r="D962" s="141" t="s">
        <v>4342</v>
      </c>
      <c r="E962" s="197"/>
      <c r="F962" s="215" t="s">
        <v>2192</v>
      </c>
      <c r="G962" s="204" t="s">
        <v>3436</v>
      </c>
      <c r="H962" s="145"/>
      <c r="I962" s="146"/>
      <c r="J962" s="147"/>
    </row>
    <row r="963" ht="22.5" customHeight="1">
      <c r="A963" s="148" t="s">
        <v>2812</v>
      </c>
      <c r="B963" s="149" t="s">
        <v>2743</v>
      </c>
      <c r="C963" s="149" t="s">
        <v>4343</v>
      </c>
      <c r="D963" s="149" t="s">
        <v>4344</v>
      </c>
      <c r="E963" s="149" t="s">
        <v>2743</v>
      </c>
      <c r="F963" s="161" t="s">
        <v>49</v>
      </c>
      <c r="G963" s="227" t="s">
        <v>3436</v>
      </c>
      <c r="H963" s="153"/>
      <c r="I963" s="154"/>
      <c r="J963" s="155"/>
    </row>
    <row r="964" ht="22.5" customHeight="1">
      <c r="A964" s="140" t="s">
        <v>2816</v>
      </c>
      <c r="B964" s="141" t="s">
        <v>2743</v>
      </c>
      <c r="C964" s="141" t="s">
        <v>4345</v>
      </c>
      <c r="D964" s="141" t="s">
        <v>4346</v>
      </c>
      <c r="E964" s="141" t="s">
        <v>4340</v>
      </c>
      <c r="F964" s="156" t="s">
        <v>635</v>
      </c>
      <c r="G964" s="204" t="s">
        <v>3436</v>
      </c>
      <c r="H964" s="145"/>
      <c r="I964" s="146"/>
      <c r="J964" s="147"/>
    </row>
    <row r="965" ht="22.5" customHeight="1">
      <c r="A965" s="148" t="s">
        <v>2820</v>
      </c>
      <c r="B965" s="149" t="s">
        <v>2743</v>
      </c>
      <c r="C965" s="149" t="s">
        <v>4347</v>
      </c>
      <c r="D965" s="149" t="s">
        <v>4348</v>
      </c>
      <c r="E965" s="149" t="s">
        <v>2743</v>
      </c>
      <c r="F965" s="213" t="s">
        <v>40</v>
      </c>
      <c r="G965" s="227" t="s">
        <v>3436</v>
      </c>
      <c r="H965" s="153"/>
      <c r="I965" s="154"/>
      <c r="J965" s="155"/>
    </row>
    <row r="966" ht="22.5" customHeight="1">
      <c r="A966" s="140" t="s">
        <v>2823</v>
      </c>
      <c r="B966" s="141" t="s">
        <v>2743</v>
      </c>
      <c r="C966" s="141" t="s">
        <v>4349</v>
      </c>
      <c r="D966" s="141" t="s">
        <v>4350</v>
      </c>
      <c r="E966" s="141" t="s">
        <v>2743</v>
      </c>
      <c r="F966" s="216" t="s">
        <v>40</v>
      </c>
      <c r="G966" s="204" t="s">
        <v>3436</v>
      </c>
      <c r="H966" s="145"/>
      <c r="I966" s="146"/>
      <c r="J966" s="147"/>
    </row>
    <row r="967" ht="22.5" customHeight="1">
      <c r="A967" s="148" t="s">
        <v>2825</v>
      </c>
      <c r="B967" s="149" t="s">
        <v>2743</v>
      </c>
      <c r="C967" s="149" t="s">
        <v>4351</v>
      </c>
      <c r="D967" s="149" t="s">
        <v>4352</v>
      </c>
      <c r="E967" s="149" t="s">
        <v>2743</v>
      </c>
      <c r="F967" s="213" t="s">
        <v>40</v>
      </c>
      <c r="G967" s="227" t="s">
        <v>3436</v>
      </c>
      <c r="H967" s="153"/>
      <c r="I967" s="154"/>
      <c r="J967" s="155"/>
    </row>
    <row r="968" ht="22.5" customHeight="1">
      <c r="A968" s="140" t="s">
        <v>2828</v>
      </c>
      <c r="B968" s="141" t="s">
        <v>4353</v>
      </c>
      <c r="C968" s="141" t="s">
        <v>4354</v>
      </c>
      <c r="D968" s="141" t="s">
        <v>4355</v>
      </c>
      <c r="E968" s="142">
        <v>45574.0</v>
      </c>
      <c r="F968" s="144"/>
      <c r="G968" s="204" t="s">
        <v>3436</v>
      </c>
      <c r="H968" s="145"/>
      <c r="I968" s="146"/>
      <c r="J968" s="147"/>
    </row>
    <row r="969" ht="22.5" customHeight="1">
      <c r="A969" s="148" t="s">
        <v>2830</v>
      </c>
      <c r="B969" s="149" t="s">
        <v>4353</v>
      </c>
      <c r="C969" s="149" t="s">
        <v>4356</v>
      </c>
      <c r="D969" s="149" t="s">
        <v>4357</v>
      </c>
      <c r="E969" s="196"/>
      <c r="F969" s="152"/>
      <c r="G969" s="227" t="s">
        <v>3436</v>
      </c>
      <c r="H969" s="153"/>
      <c r="I969" s="154"/>
      <c r="J969" s="155"/>
    </row>
    <row r="970" ht="22.5" customHeight="1">
      <c r="A970" s="140" t="s">
        <v>2832</v>
      </c>
      <c r="B970" s="141" t="s">
        <v>4353</v>
      </c>
      <c r="C970" s="141" t="s">
        <v>4358</v>
      </c>
      <c r="D970" s="141" t="s">
        <v>4359</v>
      </c>
      <c r="E970" s="142">
        <v>45574.0</v>
      </c>
      <c r="F970" s="144"/>
      <c r="G970" s="204" t="s">
        <v>3436</v>
      </c>
      <c r="H970" s="145"/>
      <c r="I970" s="146"/>
      <c r="J970" s="147"/>
    </row>
    <row r="971" ht="22.5" customHeight="1">
      <c r="A971" s="148" t="s">
        <v>2834</v>
      </c>
      <c r="B971" s="149" t="s">
        <v>4353</v>
      </c>
      <c r="C971" s="149" t="s">
        <v>4360</v>
      </c>
      <c r="D971" s="149" t="s">
        <v>4361</v>
      </c>
      <c r="E971" s="196"/>
      <c r="F971" s="161" t="s">
        <v>49</v>
      </c>
      <c r="G971" s="227" t="s">
        <v>3436</v>
      </c>
      <c r="H971" s="153"/>
      <c r="I971" s="154"/>
      <c r="J971" s="155"/>
    </row>
    <row r="972" ht="22.5" customHeight="1">
      <c r="A972" s="140" t="s">
        <v>2837</v>
      </c>
      <c r="B972" s="141" t="s">
        <v>4353</v>
      </c>
      <c r="C972" s="146"/>
      <c r="D972" s="141" t="s">
        <v>4362</v>
      </c>
      <c r="E972" s="197"/>
      <c r="F972" s="144"/>
      <c r="G972" s="204" t="s">
        <v>3436</v>
      </c>
      <c r="H972" s="145"/>
      <c r="I972" s="146"/>
      <c r="J972" s="147"/>
    </row>
    <row r="973" ht="22.5" customHeight="1">
      <c r="A973" s="148" t="s">
        <v>2839</v>
      </c>
      <c r="B973" s="149" t="s">
        <v>4353</v>
      </c>
      <c r="C973" s="154"/>
      <c r="D973" s="149" t="s">
        <v>4363</v>
      </c>
      <c r="E973" s="196"/>
      <c r="F973" s="152"/>
      <c r="G973" s="227" t="s">
        <v>3436</v>
      </c>
      <c r="H973" s="153"/>
      <c r="I973" s="154"/>
      <c r="J973" s="155"/>
    </row>
    <row r="974" ht="22.5" customHeight="1">
      <c r="A974" s="140" t="s">
        <v>2843</v>
      </c>
      <c r="B974" s="141" t="s">
        <v>4353</v>
      </c>
      <c r="C974" s="141" t="s">
        <v>4364</v>
      </c>
      <c r="D974" s="141" t="s">
        <v>4365</v>
      </c>
      <c r="E974" s="197"/>
      <c r="F974" s="216" t="s">
        <v>40</v>
      </c>
      <c r="G974" s="204" t="s">
        <v>3436</v>
      </c>
      <c r="H974" s="145"/>
      <c r="I974" s="146"/>
      <c r="J974" s="147"/>
    </row>
    <row r="975" ht="22.5" customHeight="1">
      <c r="A975" s="148" t="s">
        <v>2847</v>
      </c>
      <c r="B975" s="149" t="s">
        <v>4353</v>
      </c>
      <c r="C975" s="149" t="s">
        <v>4366</v>
      </c>
      <c r="D975" s="149" t="s">
        <v>4367</v>
      </c>
      <c r="E975" s="196"/>
      <c r="F975" s="152"/>
      <c r="G975" s="227" t="s">
        <v>3436</v>
      </c>
      <c r="H975" s="153"/>
      <c r="I975" s="154"/>
      <c r="J975" s="155"/>
    </row>
    <row r="976" ht="22.5" customHeight="1">
      <c r="A976" s="140" t="s">
        <v>2851</v>
      </c>
      <c r="B976" s="141" t="s">
        <v>4353</v>
      </c>
      <c r="C976" s="146"/>
      <c r="D976" s="141" t="s">
        <v>4368</v>
      </c>
      <c r="E976" s="197"/>
      <c r="F976" s="144"/>
      <c r="G976" s="204" t="s">
        <v>3436</v>
      </c>
      <c r="H976" s="145"/>
      <c r="I976" s="146"/>
      <c r="J976" s="147"/>
    </row>
    <row r="977" ht="22.5" customHeight="1">
      <c r="A977" s="148" t="s">
        <v>2855</v>
      </c>
      <c r="B977" s="149" t="s">
        <v>4353</v>
      </c>
      <c r="C977" s="154"/>
      <c r="D977" s="149" t="s">
        <v>4369</v>
      </c>
      <c r="E977" s="196"/>
      <c r="F977" s="152"/>
      <c r="G977" s="227" t="s">
        <v>3436</v>
      </c>
      <c r="H977" s="153"/>
      <c r="I977" s="154"/>
      <c r="J977" s="155"/>
    </row>
    <row r="978" ht="22.5" customHeight="1">
      <c r="A978" s="140" t="s">
        <v>2858</v>
      </c>
      <c r="B978" s="141" t="s">
        <v>4353</v>
      </c>
      <c r="C978" s="146"/>
      <c r="D978" s="141" t="s">
        <v>4370</v>
      </c>
      <c r="E978" s="142">
        <v>45574.0</v>
      </c>
      <c r="F978" s="169" t="s">
        <v>49</v>
      </c>
      <c r="G978" s="204" t="s">
        <v>3436</v>
      </c>
      <c r="H978" s="145"/>
      <c r="I978" s="146"/>
      <c r="J978" s="147"/>
    </row>
    <row r="979" ht="22.5" customHeight="1">
      <c r="A979" s="148" t="s">
        <v>2861</v>
      </c>
      <c r="B979" s="149" t="s">
        <v>4353</v>
      </c>
      <c r="C979" s="154"/>
      <c r="D979" s="149" t="s">
        <v>4371</v>
      </c>
      <c r="E979" s="196"/>
      <c r="F979" s="213" t="s">
        <v>40</v>
      </c>
      <c r="G979" s="227" t="s">
        <v>3436</v>
      </c>
      <c r="H979" s="153"/>
      <c r="I979" s="154"/>
      <c r="J979" s="155"/>
    </row>
    <row r="980" ht="22.5" customHeight="1">
      <c r="A980" s="140" t="s">
        <v>2864</v>
      </c>
      <c r="B980" s="141" t="s">
        <v>4353</v>
      </c>
      <c r="C980" s="146"/>
      <c r="D980" s="141" t="s">
        <v>4372</v>
      </c>
      <c r="E980" s="197"/>
      <c r="F980" s="144"/>
      <c r="G980" s="204" t="s">
        <v>3436</v>
      </c>
      <c r="H980" s="145"/>
      <c r="I980" s="146"/>
      <c r="J980" s="147"/>
    </row>
    <row r="981" ht="22.5" customHeight="1">
      <c r="A981" s="148" t="s">
        <v>2867</v>
      </c>
      <c r="B981" s="149" t="s">
        <v>4353</v>
      </c>
      <c r="C981" s="154"/>
      <c r="D981" s="149" t="s">
        <v>4373</v>
      </c>
      <c r="E981" s="196"/>
      <c r="F981" s="152"/>
      <c r="G981" s="227" t="s">
        <v>3436</v>
      </c>
      <c r="H981" s="153"/>
      <c r="I981" s="154"/>
      <c r="J981" s="155"/>
    </row>
    <row r="982" ht="22.5" customHeight="1">
      <c r="A982" s="140" t="s">
        <v>2870</v>
      </c>
      <c r="B982" s="141" t="s">
        <v>4353</v>
      </c>
      <c r="C982" s="141" t="s">
        <v>4374</v>
      </c>
      <c r="D982" s="141" t="s">
        <v>4375</v>
      </c>
      <c r="E982" s="197"/>
      <c r="F982" s="216" t="s">
        <v>40</v>
      </c>
      <c r="G982" s="204" t="s">
        <v>3436</v>
      </c>
      <c r="H982" s="145"/>
      <c r="I982" s="146"/>
      <c r="J982" s="147"/>
    </row>
    <row r="983" ht="22.5" customHeight="1">
      <c r="A983" s="148" t="s">
        <v>2874</v>
      </c>
      <c r="B983" s="149" t="s">
        <v>4353</v>
      </c>
      <c r="C983" s="149" t="s">
        <v>4376</v>
      </c>
      <c r="D983" s="149" t="s">
        <v>4377</v>
      </c>
      <c r="E983" s="196"/>
      <c r="F983" s="152"/>
      <c r="G983" s="227" t="s">
        <v>3436</v>
      </c>
      <c r="H983" s="153"/>
      <c r="I983" s="154"/>
      <c r="J983" s="155"/>
    </row>
    <row r="984" ht="22.5" customHeight="1">
      <c r="A984" s="140" t="s">
        <v>2878</v>
      </c>
      <c r="B984" s="141" t="s">
        <v>4353</v>
      </c>
      <c r="C984" s="146"/>
      <c r="D984" s="141" t="s">
        <v>4378</v>
      </c>
      <c r="E984" s="197"/>
      <c r="F984" s="144"/>
      <c r="G984" s="204" t="s">
        <v>3436</v>
      </c>
      <c r="H984" s="145"/>
      <c r="I984" s="146"/>
      <c r="J984" s="147"/>
    </row>
    <row r="985" ht="22.5" customHeight="1">
      <c r="A985" s="148" t="s">
        <v>2880</v>
      </c>
      <c r="B985" s="149" t="s">
        <v>4353</v>
      </c>
      <c r="C985" s="154"/>
      <c r="D985" s="149" t="s">
        <v>4379</v>
      </c>
      <c r="E985" s="196"/>
      <c r="F985" s="152"/>
      <c r="G985" s="227" t="s">
        <v>3436</v>
      </c>
      <c r="H985" s="153"/>
      <c r="I985" s="154"/>
      <c r="J985" s="155"/>
    </row>
    <row r="986" ht="22.5" customHeight="1">
      <c r="A986" s="140" t="s">
        <v>2882</v>
      </c>
      <c r="B986" s="141" t="s">
        <v>4353</v>
      </c>
      <c r="C986" s="141" t="s">
        <v>4380</v>
      </c>
      <c r="D986" s="141" t="s">
        <v>4381</v>
      </c>
      <c r="E986" s="197"/>
      <c r="F986" s="144"/>
      <c r="G986" s="204" t="s">
        <v>3436</v>
      </c>
      <c r="H986" s="145"/>
      <c r="I986" s="146"/>
      <c r="J986" s="147"/>
    </row>
    <row r="987" ht="22.5" customHeight="1">
      <c r="A987" s="148" t="s">
        <v>2885</v>
      </c>
      <c r="B987" s="149" t="s">
        <v>4353</v>
      </c>
      <c r="C987" s="149" t="s">
        <v>2044</v>
      </c>
      <c r="D987" s="149" t="s">
        <v>4382</v>
      </c>
      <c r="E987" s="196"/>
      <c r="F987" s="213" t="s">
        <v>40</v>
      </c>
      <c r="G987" s="227" t="s">
        <v>3436</v>
      </c>
      <c r="H987" s="153"/>
      <c r="I987" s="154"/>
      <c r="J987" s="155"/>
    </row>
    <row r="988" ht="22.5" customHeight="1">
      <c r="A988" s="140" t="s">
        <v>2888</v>
      </c>
      <c r="B988" s="141" t="s">
        <v>4353</v>
      </c>
      <c r="C988" s="146"/>
      <c r="D988" s="141" t="s">
        <v>4383</v>
      </c>
      <c r="E988" s="197"/>
      <c r="F988" s="144"/>
      <c r="G988" s="204" t="s">
        <v>3436</v>
      </c>
      <c r="H988" s="145"/>
      <c r="I988" s="146"/>
      <c r="J988" s="147"/>
    </row>
    <row r="989" ht="22.5" customHeight="1">
      <c r="A989" s="148" t="s">
        <v>2891</v>
      </c>
      <c r="B989" s="149" t="s">
        <v>4353</v>
      </c>
      <c r="C989" s="149" t="s">
        <v>4384</v>
      </c>
      <c r="D989" s="149" t="s">
        <v>4385</v>
      </c>
      <c r="E989" s="149" t="s">
        <v>4340</v>
      </c>
      <c r="F989" s="161" t="s">
        <v>49</v>
      </c>
      <c r="G989" s="227" t="s">
        <v>3436</v>
      </c>
      <c r="H989" s="153"/>
      <c r="I989" s="154"/>
      <c r="J989" s="155"/>
    </row>
    <row r="990" ht="22.5" customHeight="1">
      <c r="A990" s="140" t="s">
        <v>2893</v>
      </c>
      <c r="B990" s="141" t="s">
        <v>4353</v>
      </c>
      <c r="C990" s="146"/>
      <c r="D990" s="141" t="s">
        <v>4386</v>
      </c>
      <c r="E990" s="197"/>
      <c r="F990" s="144"/>
      <c r="G990" s="204" t="s">
        <v>3436</v>
      </c>
      <c r="H990" s="145"/>
      <c r="I990" s="146"/>
      <c r="J990" s="147"/>
    </row>
    <row r="991" ht="22.5" customHeight="1">
      <c r="A991" s="148" t="s">
        <v>2895</v>
      </c>
      <c r="B991" s="149" t="s">
        <v>4353</v>
      </c>
      <c r="C991" s="149" t="s">
        <v>4387</v>
      </c>
      <c r="D991" s="149" t="s">
        <v>4388</v>
      </c>
      <c r="E991" s="196"/>
      <c r="F991" s="152"/>
      <c r="G991" s="227" t="s">
        <v>3436</v>
      </c>
      <c r="H991" s="153"/>
      <c r="I991" s="154"/>
      <c r="J991" s="155"/>
    </row>
    <row r="992" ht="22.5" customHeight="1">
      <c r="A992" s="140" t="s">
        <v>2898</v>
      </c>
      <c r="B992" s="141" t="s">
        <v>4353</v>
      </c>
      <c r="C992" s="141" t="s">
        <v>4389</v>
      </c>
      <c r="D992" s="141" t="s">
        <v>4390</v>
      </c>
      <c r="E992" s="141" t="s">
        <v>4340</v>
      </c>
      <c r="F992" s="156" t="s">
        <v>635</v>
      </c>
      <c r="G992" s="204" t="s">
        <v>3436</v>
      </c>
      <c r="H992" s="145"/>
      <c r="I992" s="146"/>
      <c r="J992" s="147"/>
    </row>
    <row r="993" ht="22.5" customHeight="1">
      <c r="A993" s="148" t="s">
        <v>2900</v>
      </c>
      <c r="B993" s="149" t="s">
        <v>4353</v>
      </c>
      <c r="C993" s="149" t="s">
        <v>4391</v>
      </c>
      <c r="D993" s="149" t="s">
        <v>4392</v>
      </c>
      <c r="E993" s="196"/>
      <c r="F993" s="161" t="s">
        <v>49</v>
      </c>
      <c r="G993" s="227" t="s">
        <v>3436</v>
      </c>
      <c r="H993" s="153"/>
      <c r="I993" s="154"/>
      <c r="J993" s="155"/>
    </row>
    <row r="994" ht="22.5" customHeight="1">
      <c r="A994" s="140" t="s">
        <v>2904</v>
      </c>
      <c r="B994" s="141" t="s">
        <v>4353</v>
      </c>
      <c r="C994" s="146"/>
      <c r="D994" s="141" t="s">
        <v>4393</v>
      </c>
      <c r="E994" s="197"/>
      <c r="F994" s="144"/>
      <c r="G994" s="204" t="s">
        <v>3436</v>
      </c>
      <c r="H994" s="145"/>
      <c r="I994" s="146"/>
      <c r="J994" s="147"/>
    </row>
    <row r="995" ht="22.5" customHeight="1">
      <c r="A995" s="148" t="s">
        <v>2907</v>
      </c>
      <c r="B995" s="149" t="s">
        <v>4353</v>
      </c>
      <c r="C995" s="154"/>
      <c r="D995" s="149" t="s">
        <v>4394</v>
      </c>
      <c r="E995" s="196"/>
      <c r="F995" s="152"/>
      <c r="G995" s="227" t="s">
        <v>3436</v>
      </c>
      <c r="H995" s="153"/>
      <c r="I995" s="154"/>
      <c r="J995" s="155"/>
    </row>
    <row r="996" ht="22.5" customHeight="1">
      <c r="A996" s="140" t="s">
        <v>2910</v>
      </c>
      <c r="B996" s="141" t="s">
        <v>4353</v>
      </c>
      <c r="C996" s="141" t="s">
        <v>4395</v>
      </c>
      <c r="D996" s="141" t="s">
        <v>4396</v>
      </c>
      <c r="E996" s="141" t="s">
        <v>3401</v>
      </c>
      <c r="F996" s="169" t="s">
        <v>49</v>
      </c>
      <c r="G996" s="204" t="s">
        <v>3436</v>
      </c>
      <c r="H996" s="145"/>
      <c r="I996" s="146"/>
      <c r="J996" s="147"/>
    </row>
    <row r="997" ht="22.5" customHeight="1">
      <c r="A997" s="148" t="s">
        <v>2913</v>
      </c>
      <c r="B997" s="149" t="s">
        <v>4353</v>
      </c>
      <c r="C997" s="149" t="s">
        <v>4397</v>
      </c>
      <c r="D997" s="149" t="s">
        <v>4398</v>
      </c>
      <c r="E997" s="196"/>
      <c r="F997" s="152"/>
      <c r="G997" s="227" t="s">
        <v>3436</v>
      </c>
      <c r="H997" s="153"/>
      <c r="I997" s="154"/>
      <c r="J997" s="155"/>
    </row>
    <row r="998" ht="22.5" customHeight="1">
      <c r="A998" s="140" t="s">
        <v>2916</v>
      </c>
      <c r="B998" s="141" t="s">
        <v>4353</v>
      </c>
      <c r="C998" s="141" t="s">
        <v>4399</v>
      </c>
      <c r="D998" s="141" t="s">
        <v>4400</v>
      </c>
      <c r="E998" s="244">
        <v>45452.0</v>
      </c>
      <c r="F998" s="144"/>
      <c r="G998" s="204" t="s">
        <v>3436</v>
      </c>
      <c r="H998" s="145"/>
      <c r="I998" s="146"/>
      <c r="J998" s="147"/>
    </row>
    <row r="999" ht="22.5" customHeight="1">
      <c r="A999" s="148" t="s">
        <v>2921</v>
      </c>
      <c r="B999" s="149" t="s">
        <v>4353</v>
      </c>
      <c r="C999" s="149" t="s">
        <v>4401</v>
      </c>
      <c r="D999" s="149" t="s">
        <v>4402</v>
      </c>
      <c r="E999" s="245" t="s">
        <v>4403</v>
      </c>
      <c r="F999" s="152"/>
      <c r="G999" s="227" t="s">
        <v>3436</v>
      </c>
      <c r="H999" s="153"/>
      <c r="I999" s="154"/>
      <c r="J999" s="155"/>
    </row>
    <row r="1000" ht="22.5" customHeight="1">
      <c r="A1000" s="140" t="s">
        <v>2925</v>
      </c>
      <c r="B1000" s="141" t="s">
        <v>4353</v>
      </c>
      <c r="C1000" s="141" t="s">
        <v>4404</v>
      </c>
      <c r="D1000" s="141" t="s">
        <v>4405</v>
      </c>
      <c r="E1000" s="244">
        <v>45452.0</v>
      </c>
      <c r="F1000" s="144"/>
      <c r="G1000" s="204" t="s">
        <v>3436</v>
      </c>
      <c r="H1000" s="145"/>
      <c r="I1000" s="146"/>
      <c r="J1000" s="147"/>
    </row>
    <row r="1001" ht="22.5" customHeight="1">
      <c r="A1001" s="148" t="s">
        <v>2929</v>
      </c>
      <c r="B1001" s="149" t="s">
        <v>4353</v>
      </c>
      <c r="C1001" s="149" t="s">
        <v>4406</v>
      </c>
      <c r="D1001" s="149" t="s">
        <v>4407</v>
      </c>
      <c r="E1001" s="196"/>
      <c r="F1001" s="161" t="s">
        <v>49</v>
      </c>
      <c r="G1001" s="227" t="s">
        <v>3436</v>
      </c>
      <c r="H1001" s="153"/>
      <c r="I1001" s="154"/>
      <c r="J1001" s="155"/>
    </row>
    <row r="1002" ht="22.5" customHeight="1">
      <c r="A1002" s="140" t="s">
        <v>2932</v>
      </c>
      <c r="B1002" s="141" t="s">
        <v>4353</v>
      </c>
      <c r="C1002" s="141" t="s">
        <v>4408</v>
      </c>
      <c r="D1002" s="141" t="s">
        <v>4409</v>
      </c>
      <c r="E1002" s="141" t="s">
        <v>4410</v>
      </c>
      <c r="F1002" s="246" t="s">
        <v>3955</v>
      </c>
      <c r="G1002" s="247" t="s">
        <v>4411</v>
      </c>
      <c r="H1002" s="145"/>
      <c r="I1002" s="146"/>
      <c r="J1002" s="147"/>
    </row>
    <row r="1003" ht="22.5" customHeight="1">
      <c r="A1003" s="148" t="s">
        <v>2935</v>
      </c>
      <c r="B1003" s="149" t="s">
        <v>4353</v>
      </c>
      <c r="C1003" s="154"/>
      <c r="D1003" s="149" t="s">
        <v>4412</v>
      </c>
      <c r="E1003" s="149" t="s">
        <v>3401</v>
      </c>
      <c r="F1003" s="161" t="s">
        <v>49</v>
      </c>
      <c r="G1003" s="227" t="s">
        <v>3436</v>
      </c>
      <c r="H1003" s="153"/>
      <c r="I1003" s="154"/>
      <c r="J1003" s="155"/>
    </row>
    <row r="1004" ht="22.5" customHeight="1">
      <c r="A1004" s="140" t="s">
        <v>2939</v>
      </c>
      <c r="B1004" s="141" t="s">
        <v>4353</v>
      </c>
      <c r="C1004" s="141" t="s">
        <v>4413</v>
      </c>
      <c r="D1004" s="141" t="s">
        <v>4414</v>
      </c>
      <c r="E1004" s="141" t="s">
        <v>3961</v>
      </c>
      <c r="F1004" s="144"/>
      <c r="G1004" s="204" t="s">
        <v>3436</v>
      </c>
      <c r="H1004" s="145"/>
      <c r="I1004" s="146"/>
      <c r="J1004" s="147"/>
    </row>
    <row r="1005" ht="22.5" customHeight="1">
      <c r="A1005" s="148" t="s">
        <v>2941</v>
      </c>
      <c r="B1005" s="149" t="s">
        <v>4353</v>
      </c>
      <c r="C1005" s="154"/>
      <c r="D1005" s="149" t="s">
        <v>4415</v>
      </c>
      <c r="E1005" s="149" t="s">
        <v>3401</v>
      </c>
      <c r="F1005" s="161" t="s">
        <v>49</v>
      </c>
      <c r="G1005" s="227" t="s">
        <v>3436</v>
      </c>
      <c r="H1005" s="153"/>
      <c r="I1005" s="154"/>
      <c r="J1005" s="155"/>
    </row>
    <row r="1006" ht="22.5" customHeight="1">
      <c r="A1006" s="140" t="s">
        <v>2943</v>
      </c>
      <c r="B1006" s="141" t="s">
        <v>4353</v>
      </c>
      <c r="C1006" s="146"/>
      <c r="D1006" s="141" t="s">
        <v>4416</v>
      </c>
      <c r="E1006" s="141" t="s">
        <v>3401</v>
      </c>
      <c r="F1006" s="169" t="s">
        <v>49</v>
      </c>
      <c r="G1006" s="204" t="s">
        <v>3436</v>
      </c>
      <c r="H1006" s="145"/>
      <c r="I1006" s="146"/>
      <c r="J1006" s="147"/>
    </row>
    <row r="1007" ht="22.5" customHeight="1">
      <c r="A1007" s="148" t="s">
        <v>2945</v>
      </c>
      <c r="B1007" s="149" t="s">
        <v>4353</v>
      </c>
      <c r="C1007" s="149" t="s">
        <v>4417</v>
      </c>
      <c r="D1007" s="149" t="s">
        <v>4418</v>
      </c>
      <c r="E1007" s="149" t="s">
        <v>3401</v>
      </c>
      <c r="F1007" s="161" t="s">
        <v>49</v>
      </c>
      <c r="G1007" s="227" t="s">
        <v>3436</v>
      </c>
      <c r="H1007" s="153"/>
      <c r="I1007" s="154"/>
      <c r="J1007" s="155"/>
    </row>
    <row r="1008" ht="22.5" customHeight="1">
      <c r="A1008" s="140" t="s">
        <v>2948</v>
      </c>
      <c r="B1008" s="141" t="s">
        <v>4353</v>
      </c>
      <c r="C1008" s="141" t="s">
        <v>4419</v>
      </c>
      <c r="D1008" s="141" t="s">
        <v>4420</v>
      </c>
      <c r="E1008" s="141" t="s">
        <v>3401</v>
      </c>
      <c r="F1008" s="169" t="s">
        <v>49</v>
      </c>
      <c r="G1008" s="204" t="s">
        <v>3436</v>
      </c>
      <c r="H1008" s="145"/>
      <c r="I1008" s="146"/>
      <c r="J1008" s="147"/>
    </row>
    <row r="1009" ht="22.5" customHeight="1">
      <c r="A1009" s="148" t="s">
        <v>2951</v>
      </c>
      <c r="B1009" s="149" t="s">
        <v>4353</v>
      </c>
      <c r="C1009" s="149" t="s">
        <v>4421</v>
      </c>
      <c r="D1009" s="149" t="s">
        <v>4422</v>
      </c>
      <c r="E1009" s="149" t="s">
        <v>3401</v>
      </c>
      <c r="F1009" s="213" t="s">
        <v>40</v>
      </c>
      <c r="G1009" s="227" t="s">
        <v>3436</v>
      </c>
      <c r="H1009" s="153"/>
      <c r="I1009" s="154"/>
      <c r="J1009" s="155"/>
    </row>
    <row r="1010" ht="22.5" customHeight="1">
      <c r="A1010" s="140" t="s">
        <v>2954</v>
      </c>
      <c r="B1010" s="141" t="s">
        <v>4353</v>
      </c>
      <c r="C1010" s="146"/>
      <c r="D1010" s="141" t="s">
        <v>4423</v>
      </c>
      <c r="E1010" s="141" t="s">
        <v>3401</v>
      </c>
      <c r="F1010" s="169" t="s">
        <v>49</v>
      </c>
      <c r="G1010" s="204" t="s">
        <v>3436</v>
      </c>
      <c r="H1010" s="145"/>
      <c r="I1010" s="146"/>
      <c r="J1010" s="147"/>
    </row>
    <row r="1011" ht="22.5" customHeight="1">
      <c r="A1011" s="148" t="s">
        <v>2957</v>
      </c>
      <c r="B1011" s="149" t="s">
        <v>4353</v>
      </c>
      <c r="C1011" s="149" t="s">
        <v>4424</v>
      </c>
      <c r="D1011" s="149" t="s">
        <v>4425</v>
      </c>
      <c r="E1011" s="149" t="s">
        <v>3401</v>
      </c>
      <c r="F1011" s="161" t="s">
        <v>49</v>
      </c>
      <c r="G1011" s="227" t="s">
        <v>3436</v>
      </c>
      <c r="H1011" s="153"/>
      <c r="I1011" s="154"/>
      <c r="J1011" s="155"/>
    </row>
    <row r="1012" ht="22.5" customHeight="1">
      <c r="A1012" s="140" t="s">
        <v>2960</v>
      </c>
      <c r="B1012" s="141" t="s">
        <v>4353</v>
      </c>
      <c r="C1012" s="141" t="s">
        <v>4426</v>
      </c>
      <c r="D1012" s="141" t="s">
        <v>4427</v>
      </c>
      <c r="E1012" s="141" t="s">
        <v>3401</v>
      </c>
      <c r="F1012" s="216" t="s">
        <v>40</v>
      </c>
      <c r="G1012" s="204" t="s">
        <v>3436</v>
      </c>
      <c r="H1012" s="145"/>
      <c r="I1012" s="146"/>
      <c r="J1012" s="147"/>
    </row>
    <row r="1013" ht="22.5" customHeight="1">
      <c r="A1013" s="148" t="s">
        <v>2963</v>
      </c>
      <c r="B1013" s="149" t="s">
        <v>4353</v>
      </c>
      <c r="C1013" s="154"/>
      <c r="D1013" s="149" t="s">
        <v>4428</v>
      </c>
      <c r="E1013" s="149" t="s">
        <v>3401</v>
      </c>
      <c r="F1013" s="161" t="s">
        <v>49</v>
      </c>
      <c r="G1013" s="227" t="s">
        <v>3436</v>
      </c>
      <c r="H1013" s="153"/>
      <c r="I1013" s="154"/>
      <c r="J1013" s="155"/>
    </row>
    <row r="1014" ht="22.5" customHeight="1">
      <c r="A1014" s="140" t="s">
        <v>2967</v>
      </c>
      <c r="B1014" s="141" t="s">
        <v>4353</v>
      </c>
      <c r="C1014" s="146"/>
      <c r="D1014" s="141" t="s">
        <v>4429</v>
      </c>
      <c r="E1014" s="197"/>
      <c r="F1014" s="144"/>
      <c r="G1014" s="204" t="s">
        <v>3436</v>
      </c>
      <c r="H1014" s="145"/>
      <c r="I1014" s="146"/>
      <c r="J1014" s="147"/>
    </row>
    <row r="1015" ht="22.5" customHeight="1">
      <c r="A1015" s="148" t="s">
        <v>2971</v>
      </c>
      <c r="B1015" s="149" t="s">
        <v>4353</v>
      </c>
      <c r="C1015" s="149" t="s">
        <v>4430</v>
      </c>
      <c r="D1015" s="149" t="s">
        <v>4431</v>
      </c>
      <c r="E1015" s="149" t="s">
        <v>3401</v>
      </c>
      <c r="F1015" s="213" t="s">
        <v>40</v>
      </c>
      <c r="G1015" s="227" t="s">
        <v>3436</v>
      </c>
      <c r="H1015" s="153"/>
      <c r="I1015" s="154"/>
      <c r="J1015" s="155"/>
    </row>
    <row r="1016" ht="22.5" customHeight="1">
      <c r="A1016" s="140" t="s">
        <v>2975</v>
      </c>
      <c r="B1016" s="141" t="s">
        <v>4353</v>
      </c>
      <c r="C1016" s="146"/>
      <c r="D1016" s="141" t="s">
        <v>4432</v>
      </c>
      <c r="E1016" s="141" t="s">
        <v>3401</v>
      </c>
      <c r="F1016" s="169" t="s">
        <v>49</v>
      </c>
      <c r="G1016" s="204" t="s">
        <v>3436</v>
      </c>
      <c r="H1016" s="145"/>
      <c r="I1016" s="146"/>
      <c r="J1016" s="147"/>
    </row>
    <row r="1017" ht="22.5" customHeight="1">
      <c r="A1017" s="148" t="s">
        <v>2978</v>
      </c>
      <c r="B1017" s="149" t="s">
        <v>4353</v>
      </c>
      <c r="C1017" s="149" t="s">
        <v>4433</v>
      </c>
      <c r="D1017" s="149" t="s">
        <v>4434</v>
      </c>
      <c r="E1017" s="149" t="s">
        <v>3401</v>
      </c>
      <c r="F1017" s="161" t="s">
        <v>49</v>
      </c>
      <c r="G1017" s="227" t="s">
        <v>3436</v>
      </c>
      <c r="H1017" s="153"/>
      <c r="I1017" s="154"/>
      <c r="J1017" s="155"/>
    </row>
    <row r="1018" ht="22.5" customHeight="1">
      <c r="A1018" s="140" t="s">
        <v>2981</v>
      </c>
      <c r="B1018" s="141" t="s">
        <v>4353</v>
      </c>
      <c r="C1018" s="146"/>
      <c r="D1018" s="141" t="s">
        <v>4435</v>
      </c>
      <c r="E1018" s="197"/>
      <c r="F1018" s="144"/>
      <c r="G1018" s="204" t="s">
        <v>3436</v>
      </c>
      <c r="H1018" s="145"/>
      <c r="I1018" s="146"/>
      <c r="J1018" s="147"/>
    </row>
    <row r="1019" ht="22.5" customHeight="1">
      <c r="A1019" s="148" t="s">
        <v>2983</v>
      </c>
      <c r="B1019" s="149" t="s">
        <v>4353</v>
      </c>
      <c r="C1019" s="154"/>
      <c r="D1019" s="149" t="s">
        <v>4436</v>
      </c>
      <c r="E1019" s="149" t="s">
        <v>3401</v>
      </c>
      <c r="F1019" s="161" t="s">
        <v>49</v>
      </c>
      <c r="G1019" s="227" t="s">
        <v>3436</v>
      </c>
      <c r="H1019" s="153"/>
      <c r="I1019" s="154"/>
      <c r="J1019" s="155"/>
    </row>
    <row r="1020" ht="22.5" customHeight="1">
      <c r="A1020" s="140" t="s">
        <v>2986</v>
      </c>
      <c r="B1020" s="141" t="s">
        <v>4353</v>
      </c>
      <c r="C1020" s="146"/>
      <c r="D1020" s="141" t="s">
        <v>4437</v>
      </c>
      <c r="E1020" s="141" t="s">
        <v>3401</v>
      </c>
      <c r="F1020" s="169" t="s">
        <v>49</v>
      </c>
      <c r="G1020" s="204" t="s">
        <v>3436</v>
      </c>
      <c r="H1020" s="145"/>
      <c r="I1020" s="146"/>
      <c r="J1020" s="147"/>
    </row>
    <row r="1021" ht="22.5" customHeight="1">
      <c r="A1021" s="148" t="s">
        <v>2989</v>
      </c>
      <c r="B1021" s="149" t="s">
        <v>4353</v>
      </c>
      <c r="C1021" s="149" t="s">
        <v>4438</v>
      </c>
      <c r="D1021" s="149" t="s">
        <v>4439</v>
      </c>
      <c r="E1021" s="149" t="s">
        <v>3401</v>
      </c>
      <c r="F1021" s="161" t="s">
        <v>49</v>
      </c>
      <c r="G1021" s="227" t="s">
        <v>3436</v>
      </c>
      <c r="H1021" s="153"/>
      <c r="I1021" s="154"/>
      <c r="J1021" s="155"/>
    </row>
    <row r="1022" ht="22.5" customHeight="1">
      <c r="A1022" s="140" t="s">
        <v>2992</v>
      </c>
      <c r="B1022" s="141" t="s">
        <v>4353</v>
      </c>
      <c r="C1022" s="141" t="s">
        <v>4440</v>
      </c>
      <c r="D1022" s="141" t="s">
        <v>4441</v>
      </c>
      <c r="E1022" s="141" t="s">
        <v>4442</v>
      </c>
      <c r="F1022" s="216" t="s">
        <v>40</v>
      </c>
      <c r="G1022" s="204" t="s">
        <v>3436</v>
      </c>
      <c r="H1022" s="145"/>
      <c r="I1022" s="146"/>
      <c r="J1022" s="147"/>
    </row>
    <row r="1023" ht="22.5" customHeight="1">
      <c r="A1023" s="148" t="s">
        <v>2996</v>
      </c>
      <c r="B1023" s="149" t="s">
        <v>4353</v>
      </c>
      <c r="C1023" s="154"/>
      <c r="D1023" s="149" t="s">
        <v>4443</v>
      </c>
      <c r="E1023" s="149" t="s">
        <v>3401</v>
      </c>
      <c r="F1023" s="161" t="s">
        <v>49</v>
      </c>
      <c r="G1023" s="227" t="s">
        <v>3436</v>
      </c>
      <c r="H1023" s="153"/>
      <c r="I1023" s="154"/>
      <c r="J1023" s="155"/>
    </row>
    <row r="1024" ht="22.5" customHeight="1">
      <c r="A1024" s="140" t="s">
        <v>2999</v>
      </c>
      <c r="B1024" s="141" t="s">
        <v>4353</v>
      </c>
      <c r="C1024" s="141" t="s">
        <v>4444</v>
      </c>
      <c r="D1024" s="141" t="s">
        <v>4445</v>
      </c>
      <c r="E1024" s="197"/>
      <c r="F1024" s="215" t="s">
        <v>2192</v>
      </c>
      <c r="G1024" s="204" t="s">
        <v>3436</v>
      </c>
      <c r="H1024" s="145"/>
      <c r="I1024" s="146"/>
      <c r="J1024" s="147"/>
    </row>
    <row r="1025" ht="22.5" customHeight="1">
      <c r="A1025" s="148" t="s">
        <v>3002</v>
      </c>
      <c r="B1025" s="149" t="s">
        <v>4353</v>
      </c>
      <c r="C1025" s="154"/>
      <c r="D1025" s="149" t="s">
        <v>4446</v>
      </c>
      <c r="E1025" s="149" t="s">
        <v>3401</v>
      </c>
      <c r="F1025" s="161" t="s">
        <v>49</v>
      </c>
      <c r="G1025" s="227" t="s">
        <v>3436</v>
      </c>
      <c r="H1025" s="153"/>
      <c r="I1025" s="154"/>
      <c r="J1025" s="155"/>
    </row>
    <row r="1026" ht="22.5" customHeight="1">
      <c r="A1026" s="140" t="s">
        <v>3006</v>
      </c>
      <c r="B1026" s="141" t="s">
        <v>4353</v>
      </c>
      <c r="C1026" s="141" t="s">
        <v>1459</v>
      </c>
      <c r="D1026" s="141" t="s">
        <v>4447</v>
      </c>
      <c r="E1026" s="141" t="s">
        <v>3401</v>
      </c>
      <c r="F1026" s="169" t="s">
        <v>49</v>
      </c>
      <c r="G1026" s="204" t="s">
        <v>3436</v>
      </c>
      <c r="H1026" s="145"/>
      <c r="I1026" s="146"/>
      <c r="J1026" s="147"/>
    </row>
    <row r="1027" ht="22.5" customHeight="1">
      <c r="A1027" s="148" t="s">
        <v>3009</v>
      </c>
      <c r="B1027" s="149" t="s">
        <v>4353</v>
      </c>
      <c r="C1027" s="154"/>
      <c r="D1027" s="149" t="s">
        <v>4448</v>
      </c>
      <c r="E1027" s="196"/>
      <c r="F1027" s="161" t="s">
        <v>49</v>
      </c>
      <c r="G1027" s="227" t="s">
        <v>3436</v>
      </c>
      <c r="H1027" s="153"/>
      <c r="I1027" s="154"/>
      <c r="J1027" s="155"/>
    </row>
    <row r="1028" ht="22.5" customHeight="1">
      <c r="A1028" s="140" t="s">
        <v>3013</v>
      </c>
      <c r="B1028" s="141" t="s">
        <v>4353</v>
      </c>
      <c r="C1028" s="141" t="s">
        <v>4449</v>
      </c>
      <c r="D1028" s="141" t="s">
        <v>4450</v>
      </c>
      <c r="E1028" s="141" t="s">
        <v>3401</v>
      </c>
      <c r="F1028" s="169" t="s">
        <v>49</v>
      </c>
      <c r="G1028" s="204" t="s">
        <v>3436</v>
      </c>
      <c r="H1028" s="145"/>
      <c r="I1028" s="146"/>
      <c r="J1028" s="147"/>
    </row>
    <row r="1029" ht="22.5" customHeight="1">
      <c r="A1029" s="148" t="s">
        <v>3016</v>
      </c>
      <c r="B1029" s="149" t="s">
        <v>4353</v>
      </c>
      <c r="C1029" s="154"/>
      <c r="D1029" s="149" t="s">
        <v>4451</v>
      </c>
      <c r="E1029" s="196"/>
      <c r="F1029" s="161" t="s">
        <v>49</v>
      </c>
      <c r="G1029" s="227" t="s">
        <v>3436</v>
      </c>
      <c r="H1029" s="153"/>
      <c r="I1029" s="154"/>
      <c r="J1029" s="155"/>
    </row>
    <row r="1030" ht="22.5" customHeight="1">
      <c r="A1030" s="140" t="s">
        <v>3019</v>
      </c>
      <c r="B1030" s="141" t="s">
        <v>4353</v>
      </c>
      <c r="C1030" s="146"/>
      <c r="D1030" s="141" t="s">
        <v>4452</v>
      </c>
      <c r="E1030" s="197"/>
      <c r="F1030" s="169" t="s">
        <v>49</v>
      </c>
      <c r="G1030" s="204" t="s">
        <v>3436</v>
      </c>
      <c r="H1030" s="145"/>
      <c r="I1030" s="146"/>
      <c r="J1030" s="147"/>
    </row>
    <row r="1031" ht="22.5" customHeight="1">
      <c r="A1031" s="148" t="s">
        <v>3022</v>
      </c>
      <c r="B1031" s="149" t="s">
        <v>4353</v>
      </c>
      <c r="C1031" s="149" t="s">
        <v>4453</v>
      </c>
      <c r="D1031" s="149" t="s">
        <v>4454</v>
      </c>
      <c r="E1031" s="196"/>
      <c r="F1031" s="213" t="s">
        <v>40</v>
      </c>
      <c r="G1031" s="227" t="s">
        <v>3436</v>
      </c>
      <c r="H1031" s="153"/>
      <c r="I1031" s="154"/>
      <c r="J1031" s="155"/>
    </row>
    <row r="1032" ht="22.5" customHeight="1">
      <c r="A1032" s="140" t="s">
        <v>3025</v>
      </c>
      <c r="B1032" s="141" t="s">
        <v>4340</v>
      </c>
      <c r="C1032" s="146"/>
      <c r="D1032" s="141" t="s">
        <v>4455</v>
      </c>
      <c r="E1032" s="141" t="s">
        <v>4442</v>
      </c>
      <c r="F1032" s="216" t="s">
        <v>40</v>
      </c>
      <c r="G1032" s="204" t="s">
        <v>3436</v>
      </c>
      <c r="H1032" s="145"/>
      <c r="I1032" s="146"/>
      <c r="J1032" s="147"/>
    </row>
    <row r="1033" ht="22.5" customHeight="1">
      <c r="A1033" s="148" t="s">
        <v>3029</v>
      </c>
      <c r="B1033" s="149" t="s">
        <v>4340</v>
      </c>
      <c r="C1033" s="149" t="s">
        <v>4456</v>
      </c>
      <c r="D1033" s="149" t="s">
        <v>4457</v>
      </c>
      <c r="E1033" s="149" t="s">
        <v>4442</v>
      </c>
      <c r="F1033" s="161" t="s">
        <v>49</v>
      </c>
      <c r="G1033" s="227" t="s">
        <v>3436</v>
      </c>
      <c r="H1033" s="153"/>
      <c r="I1033" s="154"/>
      <c r="J1033" s="155"/>
    </row>
    <row r="1034" ht="22.5" customHeight="1">
      <c r="A1034" s="140" t="s">
        <v>3033</v>
      </c>
      <c r="B1034" s="141" t="s">
        <v>4340</v>
      </c>
      <c r="C1034" s="146"/>
      <c r="D1034" s="141" t="s">
        <v>4458</v>
      </c>
      <c r="E1034" s="141" t="s">
        <v>4442</v>
      </c>
      <c r="F1034" s="216" t="s">
        <v>40</v>
      </c>
      <c r="G1034" s="204" t="s">
        <v>3436</v>
      </c>
      <c r="H1034" s="145"/>
      <c r="I1034" s="146"/>
      <c r="J1034" s="147"/>
    </row>
    <row r="1035" ht="22.5" customHeight="1">
      <c r="A1035" s="148" t="s">
        <v>3037</v>
      </c>
      <c r="B1035" s="149" t="s">
        <v>4340</v>
      </c>
      <c r="C1035" s="149" t="s">
        <v>4459</v>
      </c>
      <c r="D1035" s="149" t="s">
        <v>4460</v>
      </c>
      <c r="E1035" s="149" t="s">
        <v>4442</v>
      </c>
      <c r="F1035" s="165" t="s">
        <v>2076</v>
      </c>
      <c r="G1035" s="227" t="s">
        <v>3436</v>
      </c>
      <c r="H1035" s="153"/>
      <c r="I1035" s="154"/>
      <c r="J1035" s="155"/>
    </row>
    <row r="1036" ht="22.5" customHeight="1">
      <c r="A1036" s="140" t="s">
        <v>3040</v>
      </c>
      <c r="B1036" s="141" t="s">
        <v>4340</v>
      </c>
      <c r="C1036" s="141" t="s">
        <v>4461</v>
      </c>
      <c r="D1036" s="141" t="s">
        <v>4462</v>
      </c>
      <c r="E1036" s="141" t="s">
        <v>3961</v>
      </c>
      <c r="F1036" s="169" t="s">
        <v>49</v>
      </c>
      <c r="G1036" s="204" t="s">
        <v>3436</v>
      </c>
      <c r="H1036" s="145"/>
      <c r="I1036" s="146"/>
      <c r="J1036" s="147"/>
    </row>
    <row r="1037" ht="22.5" customHeight="1">
      <c r="A1037" s="148" t="s">
        <v>3044</v>
      </c>
      <c r="B1037" s="149" t="s">
        <v>4340</v>
      </c>
      <c r="C1037" s="149" t="s">
        <v>4463</v>
      </c>
      <c r="D1037" s="149" t="s">
        <v>4464</v>
      </c>
      <c r="E1037" s="149" t="s">
        <v>4442</v>
      </c>
      <c r="F1037" s="161" t="s">
        <v>49</v>
      </c>
      <c r="G1037" s="227" t="s">
        <v>3436</v>
      </c>
      <c r="H1037" s="153"/>
      <c r="I1037" s="154"/>
      <c r="J1037" s="155"/>
    </row>
    <row r="1038" ht="22.5" customHeight="1">
      <c r="A1038" s="140" t="s">
        <v>3047</v>
      </c>
      <c r="B1038" s="141" t="s">
        <v>4340</v>
      </c>
      <c r="C1038" s="146"/>
      <c r="D1038" s="141" t="s">
        <v>4465</v>
      </c>
      <c r="E1038" s="141" t="s">
        <v>4442</v>
      </c>
      <c r="F1038" s="216" t="s">
        <v>40</v>
      </c>
      <c r="G1038" s="204" t="s">
        <v>3436</v>
      </c>
      <c r="H1038" s="145"/>
      <c r="I1038" s="146"/>
      <c r="J1038" s="147"/>
    </row>
    <row r="1039" ht="22.5" customHeight="1">
      <c r="A1039" s="148" t="s">
        <v>3051</v>
      </c>
      <c r="B1039" s="149" t="s">
        <v>4340</v>
      </c>
      <c r="C1039" s="154"/>
      <c r="D1039" s="149" t="s">
        <v>4466</v>
      </c>
      <c r="E1039" s="149" t="s">
        <v>4442</v>
      </c>
      <c r="F1039" s="213" t="s">
        <v>40</v>
      </c>
      <c r="G1039" s="227" t="s">
        <v>3436</v>
      </c>
      <c r="H1039" s="153"/>
      <c r="I1039" s="154"/>
      <c r="J1039" s="155"/>
    </row>
    <row r="1040" ht="22.5" customHeight="1">
      <c r="A1040" s="140" t="s">
        <v>3055</v>
      </c>
      <c r="B1040" s="141" t="s">
        <v>4340</v>
      </c>
      <c r="C1040" s="146"/>
      <c r="D1040" s="141" t="s">
        <v>4467</v>
      </c>
      <c r="E1040" s="141" t="s">
        <v>4442</v>
      </c>
      <c r="F1040" s="215" t="s">
        <v>2192</v>
      </c>
      <c r="G1040" s="204" t="s">
        <v>3436</v>
      </c>
      <c r="H1040" s="145"/>
      <c r="I1040" s="146"/>
      <c r="J1040" s="147"/>
    </row>
    <row r="1041" ht="22.5" customHeight="1">
      <c r="A1041" s="148" t="s">
        <v>3059</v>
      </c>
      <c r="B1041" s="154"/>
      <c r="C1041" s="154"/>
      <c r="D1041" s="149" t="s">
        <v>4468</v>
      </c>
      <c r="E1041" s="149" t="s">
        <v>3961</v>
      </c>
      <c r="F1041" s="161" t="s">
        <v>49</v>
      </c>
      <c r="G1041" s="227" t="s">
        <v>3436</v>
      </c>
      <c r="H1041" s="153"/>
      <c r="I1041" s="154"/>
      <c r="J1041" s="155"/>
    </row>
    <row r="1042" ht="22.5" customHeight="1">
      <c r="A1042" s="140" t="s">
        <v>3062</v>
      </c>
      <c r="B1042" s="141" t="s">
        <v>3961</v>
      </c>
      <c r="C1042" s="141" t="s">
        <v>4469</v>
      </c>
      <c r="D1042" s="141" t="s">
        <v>4470</v>
      </c>
      <c r="E1042" s="141" t="s">
        <v>3961</v>
      </c>
      <c r="F1042" s="169" t="s">
        <v>49</v>
      </c>
      <c r="G1042" s="204" t="s">
        <v>3436</v>
      </c>
      <c r="H1042" s="145"/>
      <c r="I1042" s="146"/>
      <c r="J1042" s="147"/>
    </row>
    <row r="1043" ht="22.5" customHeight="1">
      <c r="A1043" s="148" t="s">
        <v>3066</v>
      </c>
      <c r="B1043" s="149" t="s">
        <v>3961</v>
      </c>
      <c r="C1043" s="149" t="s">
        <v>4471</v>
      </c>
      <c r="D1043" s="149" t="s">
        <v>4472</v>
      </c>
      <c r="E1043" s="149" t="s">
        <v>3961</v>
      </c>
      <c r="F1043" s="161" t="s">
        <v>49</v>
      </c>
      <c r="G1043" s="227" t="s">
        <v>3436</v>
      </c>
      <c r="H1043" s="153"/>
      <c r="I1043" s="154"/>
      <c r="J1043" s="155"/>
    </row>
    <row r="1044" ht="22.5" customHeight="1">
      <c r="A1044" s="140" t="s">
        <v>3069</v>
      </c>
      <c r="B1044" s="141" t="s">
        <v>3961</v>
      </c>
      <c r="C1044" s="141" t="s">
        <v>4473</v>
      </c>
      <c r="D1044" s="141" t="s">
        <v>4474</v>
      </c>
      <c r="E1044" s="141" t="s">
        <v>4410</v>
      </c>
      <c r="F1044" s="216" t="s">
        <v>40</v>
      </c>
      <c r="G1044" s="204" t="s">
        <v>3436</v>
      </c>
      <c r="H1044" s="145"/>
      <c r="I1044" s="146"/>
      <c r="J1044" s="147"/>
    </row>
    <row r="1045" ht="22.5" customHeight="1">
      <c r="A1045" s="148" t="s">
        <v>3073</v>
      </c>
      <c r="B1045" s="154"/>
      <c r="C1045" s="149" t="s">
        <v>4475</v>
      </c>
      <c r="D1045" s="149" t="s">
        <v>4476</v>
      </c>
      <c r="E1045" s="149" t="s">
        <v>4410</v>
      </c>
      <c r="F1045" s="232" t="s">
        <v>3955</v>
      </c>
      <c r="G1045" s="248" t="s">
        <v>4411</v>
      </c>
      <c r="H1045" s="153"/>
      <c r="I1045" s="154"/>
      <c r="J1045" s="155"/>
    </row>
    <row r="1046" ht="22.5" customHeight="1">
      <c r="A1046" s="140" t="s">
        <v>3076</v>
      </c>
      <c r="B1046" s="146"/>
      <c r="C1046" s="141" t="s">
        <v>4477</v>
      </c>
      <c r="D1046" s="141" t="s">
        <v>4478</v>
      </c>
      <c r="E1046" s="141" t="s">
        <v>3961</v>
      </c>
      <c r="F1046" s="216" t="s">
        <v>40</v>
      </c>
      <c r="G1046" s="243" t="s">
        <v>4190</v>
      </c>
      <c r="H1046" s="145"/>
      <c r="I1046" s="146"/>
      <c r="J1046" s="147"/>
    </row>
    <row r="1047" ht="22.5" customHeight="1">
      <c r="A1047" s="148" t="s">
        <v>3080</v>
      </c>
      <c r="B1047" s="149" t="s">
        <v>4479</v>
      </c>
      <c r="C1047" s="149" t="s">
        <v>4480</v>
      </c>
      <c r="D1047" s="149" t="s">
        <v>4481</v>
      </c>
      <c r="E1047" s="149" t="s">
        <v>4410</v>
      </c>
      <c r="F1047" s="161" t="s">
        <v>49</v>
      </c>
      <c r="G1047" s="207" t="s">
        <v>3436</v>
      </c>
      <c r="H1047" s="153"/>
      <c r="I1047" s="154"/>
      <c r="J1047" s="155"/>
    </row>
    <row r="1048" ht="22.5" customHeight="1">
      <c r="A1048" s="140" t="s">
        <v>3084</v>
      </c>
      <c r="B1048" s="146"/>
      <c r="C1048" s="146"/>
      <c r="D1048" s="141" t="s">
        <v>4482</v>
      </c>
      <c r="E1048" s="141" t="s">
        <v>4410</v>
      </c>
      <c r="F1048" s="246" t="s">
        <v>3955</v>
      </c>
      <c r="G1048" s="247" t="s">
        <v>4411</v>
      </c>
      <c r="H1048" s="145"/>
      <c r="I1048" s="146"/>
      <c r="J1048" s="147"/>
    </row>
    <row r="1049" ht="22.5" customHeight="1">
      <c r="A1049" s="148" t="s">
        <v>3087</v>
      </c>
      <c r="B1049" s="149" t="s">
        <v>4410</v>
      </c>
      <c r="C1049" s="149" t="s">
        <v>4483</v>
      </c>
      <c r="D1049" s="149" t="s">
        <v>4484</v>
      </c>
      <c r="E1049" s="149" t="s">
        <v>4410</v>
      </c>
      <c r="F1049" s="213" t="s">
        <v>40</v>
      </c>
      <c r="G1049" s="207" t="s">
        <v>3436</v>
      </c>
      <c r="H1049" s="153"/>
      <c r="I1049" s="154"/>
      <c r="J1049" s="155"/>
    </row>
    <row r="1050" ht="22.5" customHeight="1">
      <c r="A1050" s="140" t="s">
        <v>3090</v>
      </c>
      <c r="B1050" s="141" t="s">
        <v>4410</v>
      </c>
      <c r="C1050" s="141" t="s">
        <v>4485</v>
      </c>
      <c r="D1050" s="141" t="s">
        <v>4486</v>
      </c>
      <c r="E1050" s="141" t="s">
        <v>3351</v>
      </c>
      <c r="F1050" s="216" t="s">
        <v>40</v>
      </c>
      <c r="G1050" s="204" t="s">
        <v>3436</v>
      </c>
      <c r="H1050" s="145"/>
      <c r="I1050" s="146"/>
      <c r="J1050" s="147"/>
    </row>
    <row r="1051" ht="22.5" customHeight="1">
      <c r="A1051" s="148" t="s">
        <v>3094</v>
      </c>
      <c r="B1051" s="149" t="s">
        <v>4410</v>
      </c>
      <c r="C1051" s="149" t="s">
        <v>4487</v>
      </c>
      <c r="D1051" s="149" t="s">
        <v>4488</v>
      </c>
      <c r="E1051" s="149" t="s">
        <v>4410</v>
      </c>
      <c r="F1051" s="213" t="s">
        <v>40</v>
      </c>
      <c r="G1051" s="207" t="s">
        <v>3436</v>
      </c>
      <c r="H1051" s="153"/>
      <c r="I1051" s="154"/>
      <c r="J1051" s="155"/>
    </row>
    <row r="1052" ht="22.5" customHeight="1">
      <c r="A1052" s="140" t="s">
        <v>3097</v>
      </c>
      <c r="B1052" s="141" t="s">
        <v>3351</v>
      </c>
      <c r="C1052" s="141" t="s">
        <v>4489</v>
      </c>
      <c r="D1052" s="141" t="s">
        <v>4490</v>
      </c>
      <c r="E1052" s="141" t="s">
        <v>3351</v>
      </c>
      <c r="F1052" s="156" t="s">
        <v>635</v>
      </c>
      <c r="G1052" s="204" t="s">
        <v>3436</v>
      </c>
      <c r="H1052" s="145"/>
      <c r="I1052" s="146"/>
      <c r="J1052" s="147"/>
    </row>
    <row r="1053" ht="22.5" customHeight="1">
      <c r="A1053" s="148" t="s">
        <v>3100</v>
      </c>
      <c r="B1053" s="149" t="s">
        <v>4410</v>
      </c>
      <c r="C1053" s="149" t="s">
        <v>4491</v>
      </c>
      <c r="D1053" s="149" t="s">
        <v>4492</v>
      </c>
      <c r="E1053" s="149" t="s">
        <v>3351</v>
      </c>
      <c r="F1053" s="213" t="s">
        <v>40</v>
      </c>
      <c r="G1053" s="249" t="s">
        <v>4190</v>
      </c>
      <c r="H1053" s="153"/>
      <c r="I1053" s="154"/>
      <c r="J1053" s="155"/>
    </row>
    <row r="1054" ht="22.5" customHeight="1">
      <c r="A1054" s="140" t="s">
        <v>3104</v>
      </c>
      <c r="B1054" s="141" t="s">
        <v>4410</v>
      </c>
      <c r="C1054" s="141" t="s">
        <v>4493</v>
      </c>
      <c r="D1054" s="141" t="s">
        <v>4494</v>
      </c>
      <c r="E1054" s="141" t="s">
        <v>3351</v>
      </c>
      <c r="F1054" s="216" t="s">
        <v>40</v>
      </c>
      <c r="G1054" s="204" t="s">
        <v>3436</v>
      </c>
      <c r="H1054" s="145"/>
      <c r="I1054" s="146"/>
      <c r="J1054" s="147"/>
    </row>
    <row r="1055" ht="22.5" customHeight="1">
      <c r="A1055" s="250"/>
      <c r="B1055" s="149" t="s">
        <v>3351</v>
      </c>
      <c r="C1055" s="154"/>
      <c r="D1055" s="149" t="s">
        <v>4495</v>
      </c>
      <c r="E1055" s="149" t="s">
        <v>3401</v>
      </c>
      <c r="F1055" s="213" t="s">
        <v>40</v>
      </c>
      <c r="G1055" s="207" t="s">
        <v>3436</v>
      </c>
      <c r="H1055" s="153"/>
      <c r="I1055" s="154"/>
      <c r="J1055" s="155"/>
    </row>
    <row r="1056" ht="22.5" customHeight="1">
      <c r="A1056" s="202"/>
      <c r="B1056" s="146"/>
      <c r="C1056" s="146"/>
      <c r="D1056" s="146"/>
      <c r="E1056" s="197"/>
      <c r="F1056" s="144"/>
      <c r="G1056" s="144"/>
      <c r="H1056" s="145"/>
      <c r="I1056" s="146"/>
      <c r="J1056" s="147"/>
    </row>
    <row r="1057" ht="22.5" customHeight="1">
      <c r="A1057" s="250"/>
      <c r="B1057" s="154"/>
      <c r="C1057" s="154"/>
      <c r="D1057" s="154"/>
      <c r="E1057" s="196"/>
      <c r="F1057" s="152"/>
      <c r="G1057" s="152"/>
      <c r="H1057" s="153"/>
      <c r="I1057" s="154"/>
      <c r="J1057" s="155"/>
    </row>
    <row r="1058" ht="22.5" customHeight="1">
      <c r="A1058" s="202"/>
      <c r="B1058" s="146"/>
      <c r="C1058" s="146"/>
      <c r="D1058" s="146"/>
      <c r="E1058" s="197"/>
      <c r="F1058" s="144"/>
      <c r="G1058" s="144"/>
      <c r="H1058" s="145"/>
      <c r="I1058" s="146"/>
      <c r="J1058" s="147"/>
    </row>
    <row r="1059" ht="22.5" customHeight="1">
      <c r="A1059" s="250"/>
      <c r="B1059" s="154"/>
      <c r="C1059" s="154"/>
      <c r="D1059" s="154"/>
      <c r="E1059" s="196"/>
      <c r="F1059" s="152"/>
      <c r="G1059" s="152"/>
      <c r="H1059" s="153"/>
      <c r="I1059" s="154"/>
      <c r="J1059" s="155"/>
    </row>
    <row r="1060" ht="22.5" customHeight="1">
      <c r="A1060" s="202"/>
      <c r="B1060" s="146"/>
      <c r="C1060" s="146"/>
      <c r="D1060" s="146"/>
      <c r="E1060" s="197"/>
      <c r="F1060" s="144"/>
      <c r="G1060" s="144"/>
      <c r="H1060" s="145"/>
      <c r="I1060" s="146"/>
      <c r="J1060" s="147"/>
    </row>
    <row r="1061" ht="22.5" customHeight="1">
      <c r="A1061" s="250"/>
      <c r="B1061" s="154"/>
      <c r="C1061" s="154"/>
      <c r="D1061" s="154"/>
      <c r="E1061" s="196"/>
      <c r="F1061" s="152"/>
      <c r="G1061" s="152"/>
      <c r="H1061" s="153"/>
      <c r="I1061" s="154"/>
      <c r="J1061" s="155"/>
    </row>
    <row r="1062" ht="22.5" customHeight="1">
      <c r="A1062" s="202"/>
      <c r="B1062" s="146"/>
      <c r="C1062" s="146"/>
      <c r="D1062" s="146"/>
      <c r="E1062" s="197"/>
      <c r="F1062" s="144"/>
      <c r="G1062" s="144"/>
      <c r="H1062" s="145"/>
      <c r="I1062" s="146"/>
      <c r="J1062" s="147"/>
    </row>
    <row r="1063" ht="22.5" customHeight="1">
      <c r="A1063" s="250"/>
      <c r="B1063" s="154"/>
      <c r="C1063" s="154"/>
      <c r="D1063" s="154"/>
      <c r="E1063" s="196"/>
      <c r="F1063" s="152"/>
      <c r="G1063" s="152"/>
      <c r="H1063" s="153"/>
      <c r="I1063" s="154"/>
      <c r="J1063" s="155"/>
    </row>
    <row r="1064" ht="22.5" customHeight="1">
      <c r="A1064" s="202"/>
      <c r="B1064" s="146"/>
      <c r="C1064" s="146"/>
      <c r="D1064" s="146"/>
      <c r="E1064" s="197"/>
      <c r="F1064" s="144"/>
      <c r="G1064" s="144"/>
      <c r="H1064" s="145"/>
      <c r="I1064" s="146"/>
      <c r="J1064" s="147"/>
    </row>
    <row r="1065" ht="22.5" customHeight="1">
      <c r="A1065" s="250"/>
      <c r="B1065" s="154"/>
      <c r="C1065" s="154"/>
      <c r="D1065" s="154"/>
      <c r="E1065" s="196"/>
      <c r="F1065" s="152"/>
      <c r="G1065" s="152"/>
      <c r="H1065" s="153"/>
      <c r="I1065" s="154"/>
      <c r="J1065" s="155"/>
    </row>
    <row r="1066" ht="22.5" customHeight="1">
      <c r="A1066" s="202"/>
      <c r="B1066" s="146"/>
      <c r="C1066" s="146"/>
      <c r="D1066" s="146"/>
      <c r="E1066" s="197"/>
      <c r="F1066" s="144"/>
      <c r="G1066" s="144"/>
      <c r="H1066" s="145"/>
      <c r="I1066" s="146"/>
      <c r="J1066" s="147"/>
    </row>
    <row r="1067" ht="22.5" customHeight="1">
      <c r="A1067" s="250"/>
      <c r="B1067" s="154"/>
      <c r="C1067" s="154"/>
      <c r="D1067" s="154"/>
      <c r="E1067" s="196"/>
      <c r="F1067" s="152"/>
      <c r="G1067" s="152"/>
      <c r="H1067" s="153"/>
      <c r="I1067" s="154"/>
      <c r="J1067" s="155"/>
    </row>
    <row r="1068" ht="22.5" customHeight="1">
      <c r="A1068" s="202"/>
      <c r="B1068" s="146"/>
      <c r="C1068" s="146"/>
      <c r="D1068" s="146"/>
      <c r="E1068" s="197"/>
      <c r="F1068" s="144"/>
      <c r="G1068" s="144"/>
      <c r="H1068" s="145"/>
      <c r="I1068" s="146"/>
      <c r="J1068" s="147"/>
    </row>
    <row r="1069" ht="22.5" customHeight="1">
      <c r="A1069" s="250"/>
      <c r="B1069" s="154"/>
      <c r="C1069" s="154"/>
      <c r="D1069" s="154"/>
      <c r="E1069" s="196"/>
      <c r="F1069" s="152"/>
      <c r="G1069" s="152"/>
      <c r="H1069" s="153"/>
      <c r="I1069" s="154"/>
      <c r="J1069" s="155"/>
    </row>
    <row r="1070" ht="22.5" customHeight="1">
      <c r="A1070" s="202"/>
      <c r="B1070" s="146"/>
      <c r="C1070" s="146"/>
      <c r="D1070" s="146"/>
      <c r="E1070" s="197"/>
      <c r="F1070" s="144"/>
      <c r="G1070" s="144"/>
      <c r="H1070" s="145"/>
      <c r="I1070" s="146"/>
      <c r="J1070" s="147"/>
    </row>
    <row r="1071" ht="22.5" customHeight="1">
      <c r="A1071" s="250"/>
      <c r="B1071" s="154"/>
      <c r="C1071" s="154"/>
      <c r="D1071" s="154"/>
      <c r="E1071" s="196"/>
      <c r="F1071" s="152"/>
      <c r="G1071" s="152"/>
      <c r="H1071" s="153"/>
      <c r="I1071" s="154"/>
      <c r="J1071" s="155"/>
    </row>
    <row r="1072" ht="22.5" customHeight="1">
      <c r="A1072" s="202"/>
      <c r="B1072" s="146"/>
      <c r="C1072" s="146"/>
      <c r="D1072" s="146"/>
      <c r="E1072" s="197"/>
      <c r="F1072" s="144"/>
      <c r="G1072" s="144"/>
      <c r="H1072" s="145"/>
      <c r="I1072" s="146"/>
      <c r="J1072" s="147"/>
    </row>
    <row r="1073" ht="22.5" customHeight="1">
      <c r="A1073" s="250"/>
      <c r="B1073" s="154"/>
      <c r="C1073" s="154"/>
      <c r="D1073" s="154"/>
      <c r="E1073" s="196"/>
      <c r="F1073" s="152"/>
      <c r="G1073" s="152"/>
      <c r="H1073" s="153"/>
      <c r="I1073" s="154"/>
      <c r="J1073" s="155"/>
    </row>
    <row r="1074" ht="22.5" customHeight="1">
      <c r="A1074" s="202"/>
      <c r="B1074" s="146"/>
      <c r="C1074" s="146"/>
      <c r="D1074" s="146"/>
      <c r="E1074" s="197"/>
      <c r="F1074" s="144"/>
      <c r="G1074" s="144"/>
      <c r="H1074" s="145"/>
      <c r="I1074" s="146"/>
      <c r="J1074" s="147"/>
    </row>
    <row r="1075" ht="22.5" customHeight="1">
      <c r="A1075" s="250"/>
      <c r="B1075" s="154"/>
      <c r="C1075" s="154"/>
      <c r="D1075" s="154"/>
      <c r="E1075" s="196"/>
      <c r="F1075" s="152"/>
      <c r="G1075" s="152"/>
      <c r="H1075" s="153"/>
      <c r="I1075" s="154"/>
      <c r="J1075" s="155"/>
    </row>
    <row r="1076" ht="22.5" customHeight="1">
      <c r="A1076" s="202"/>
      <c r="B1076" s="146"/>
      <c r="C1076" s="146"/>
      <c r="D1076" s="146"/>
      <c r="E1076" s="197"/>
      <c r="F1076" s="144"/>
      <c r="G1076" s="144"/>
      <c r="H1076" s="145"/>
      <c r="I1076" s="146"/>
      <c r="J1076" s="147"/>
    </row>
    <row r="1077" ht="22.5" customHeight="1">
      <c r="A1077" s="250"/>
      <c r="B1077" s="154"/>
      <c r="C1077" s="154"/>
      <c r="D1077" s="154"/>
      <c r="E1077" s="196"/>
      <c r="F1077" s="152"/>
      <c r="G1077" s="152"/>
      <c r="H1077" s="153"/>
      <c r="I1077" s="154"/>
      <c r="J1077" s="155"/>
    </row>
    <row r="1078" ht="22.5" customHeight="1">
      <c r="A1078" s="202"/>
      <c r="B1078" s="146"/>
      <c r="C1078" s="146"/>
      <c r="D1078" s="146"/>
      <c r="E1078" s="197"/>
      <c r="F1078" s="144"/>
      <c r="G1078" s="144"/>
      <c r="H1078" s="145"/>
      <c r="I1078" s="146"/>
      <c r="J1078" s="147"/>
    </row>
    <row r="1079" ht="22.5" customHeight="1">
      <c r="A1079" s="250"/>
      <c r="B1079" s="154"/>
      <c r="C1079" s="154"/>
      <c r="D1079" s="154"/>
      <c r="E1079" s="196"/>
      <c r="F1079" s="152"/>
      <c r="G1079" s="152"/>
      <c r="H1079" s="153"/>
      <c r="I1079" s="154"/>
      <c r="J1079" s="155"/>
    </row>
    <row r="1080" ht="22.5" customHeight="1">
      <c r="A1080" s="202"/>
      <c r="B1080" s="146"/>
      <c r="C1080" s="146"/>
      <c r="D1080" s="146"/>
      <c r="E1080" s="197"/>
      <c r="F1080" s="144"/>
      <c r="G1080" s="144"/>
      <c r="H1080" s="145"/>
      <c r="I1080" s="146"/>
      <c r="J1080" s="147"/>
    </row>
    <row r="1081" ht="22.5" customHeight="1">
      <c r="A1081" s="250"/>
      <c r="B1081" s="154"/>
      <c r="C1081" s="154"/>
      <c r="D1081" s="154"/>
      <c r="E1081" s="196"/>
      <c r="F1081" s="152"/>
      <c r="G1081" s="152"/>
      <c r="H1081" s="153"/>
      <c r="I1081" s="154"/>
      <c r="J1081" s="155"/>
    </row>
    <row r="1082" ht="22.5" customHeight="1">
      <c r="A1082" s="202"/>
      <c r="B1082" s="146"/>
      <c r="C1082" s="146"/>
      <c r="D1082" s="146"/>
      <c r="E1082" s="197"/>
      <c r="F1082" s="144"/>
      <c r="G1082" s="144"/>
      <c r="H1082" s="145"/>
      <c r="I1082" s="146"/>
      <c r="J1082" s="147"/>
    </row>
    <row r="1083" ht="22.5" customHeight="1">
      <c r="A1083" s="250"/>
      <c r="B1083" s="154"/>
      <c r="C1083" s="154"/>
      <c r="D1083" s="154"/>
      <c r="E1083" s="196"/>
      <c r="F1083" s="152"/>
      <c r="G1083" s="152"/>
      <c r="H1083" s="153"/>
      <c r="I1083" s="154"/>
      <c r="J1083" s="155"/>
    </row>
    <row r="1084" ht="22.5" customHeight="1">
      <c r="A1084" s="202"/>
      <c r="B1084" s="146"/>
      <c r="C1084" s="146"/>
      <c r="D1084" s="146"/>
      <c r="E1084" s="197"/>
      <c r="F1084" s="144"/>
      <c r="G1084" s="144"/>
      <c r="H1084" s="145"/>
      <c r="I1084" s="146"/>
      <c r="J1084" s="147"/>
    </row>
    <row r="1085" ht="22.5" customHeight="1">
      <c r="A1085" s="250"/>
      <c r="B1085" s="154"/>
      <c r="C1085" s="154"/>
      <c r="D1085" s="154"/>
      <c r="E1085" s="196"/>
      <c r="F1085" s="152"/>
      <c r="G1085" s="152"/>
      <c r="H1085" s="153"/>
      <c r="I1085" s="154"/>
      <c r="J1085" s="155"/>
    </row>
    <row r="1086" ht="22.5" customHeight="1">
      <c r="A1086" s="202"/>
      <c r="B1086" s="146"/>
      <c r="C1086" s="146"/>
      <c r="D1086" s="146"/>
      <c r="E1086" s="197"/>
      <c r="F1086" s="144"/>
      <c r="G1086" s="144"/>
      <c r="H1086" s="145"/>
      <c r="I1086" s="146"/>
      <c r="J1086" s="147"/>
    </row>
    <row r="1087" ht="22.5" customHeight="1">
      <c r="A1087" s="250"/>
      <c r="B1087" s="154"/>
      <c r="C1087" s="154"/>
      <c r="D1087" s="154"/>
      <c r="E1087" s="196"/>
      <c r="F1087" s="152"/>
      <c r="G1087" s="152"/>
      <c r="H1087" s="153"/>
      <c r="I1087" s="154"/>
      <c r="J1087" s="155"/>
    </row>
    <row r="1088" ht="22.5" customHeight="1">
      <c r="A1088" s="202"/>
      <c r="B1088" s="146"/>
      <c r="C1088" s="146"/>
      <c r="D1088" s="146"/>
      <c r="E1088" s="197"/>
      <c r="F1088" s="144"/>
      <c r="G1088" s="144"/>
      <c r="H1088" s="145"/>
      <c r="I1088" s="146"/>
      <c r="J1088" s="147"/>
    </row>
    <row r="1089" ht="22.5" customHeight="1">
      <c r="A1089" s="250"/>
      <c r="B1089" s="154"/>
      <c r="C1089" s="154"/>
      <c r="D1089" s="154"/>
      <c r="E1089" s="196"/>
      <c r="F1089" s="152"/>
      <c r="G1089" s="152"/>
      <c r="H1089" s="153"/>
      <c r="I1089" s="154"/>
      <c r="J1089" s="155"/>
    </row>
    <row r="1090" ht="22.5" customHeight="1">
      <c r="A1090" s="202"/>
      <c r="B1090" s="146"/>
      <c r="C1090" s="146"/>
      <c r="D1090" s="146"/>
      <c r="E1090" s="197"/>
      <c r="F1090" s="144"/>
      <c r="G1090" s="144"/>
      <c r="H1090" s="145"/>
      <c r="I1090" s="146"/>
      <c r="J1090" s="147"/>
    </row>
    <row r="1091" ht="22.5" customHeight="1">
      <c r="A1091" s="250"/>
      <c r="B1091" s="154"/>
      <c r="C1091" s="154"/>
      <c r="D1091" s="154"/>
      <c r="E1091" s="196"/>
      <c r="F1091" s="152"/>
      <c r="G1091" s="152"/>
      <c r="H1091" s="153"/>
      <c r="I1091" s="154"/>
      <c r="J1091" s="155"/>
    </row>
    <row r="1092" ht="22.5" customHeight="1">
      <c r="A1092" s="202"/>
      <c r="B1092" s="146"/>
      <c r="C1092" s="146"/>
      <c r="D1092" s="146"/>
      <c r="E1092" s="197"/>
      <c r="F1092" s="144"/>
      <c r="G1092" s="144"/>
      <c r="H1092" s="145"/>
      <c r="I1092" s="146"/>
      <c r="J1092" s="147"/>
    </row>
    <row r="1093" ht="22.5" customHeight="1">
      <c r="A1093" s="250"/>
      <c r="B1093" s="154"/>
      <c r="C1093" s="154"/>
      <c r="D1093" s="154"/>
      <c r="E1093" s="196"/>
      <c r="F1093" s="152"/>
      <c r="G1093" s="152"/>
      <c r="H1093" s="153"/>
      <c r="I1093" s="154"/>
      <c r="J1093" s="155"/>
    </row>
    <row r="1094" ht="22.5" customHeight="1">
      <c r="A1094" s="202"/>
      <c r="B1094" s="146"/>
      <c r="C1094" s="146"/>
      <c r="D1094" s="146"/>
      <c r="E1094" s="197"/>
      <c r="F1094" s="144"/>
      <c r="G1094" s="144"/>
      <c r="H1094" s="145"/>
      <c r="I1094" s="146"/>
      <c r="J1094" s="147"/>
    </row>
    <row r="1095" ht="22.5" customHeight="1">
      <c r="A1095" s="250"/>
      <c r="B1095" s="154"/>
      <c r="C1095" s="154"/>
      <c r="D1095" s="154"/>
      <c r="E1095" s="196"/>
      <c r="F1095" s="152"/>
      <c r="G1095" s="152"/>
      <c r="H1095" s="153"/>
      <c r="I1095" s="154"/>
      <c r="J1095" s="155"/>
    </row>
    <row r="1096" ht="22.5" customHeight="1">
      <c r="A1096" s="202"/>
      <c r="B1096" s="146"/>
      <c r="C1096" s="146"/>
      <c r="D1096" s="146"/>
      <c r="E1096" s="197"/>
      <c r="F1096" s="144"/>
      <c r="G1096" s="144"/>
      <c r="H1096" s="145"/>
      <c r="I1096" s="146"/>
      <c r="J1096" s="147"/>
    </row>
    <row r="1097" ht="22.5" customHeight="1">
      <c r="A1097" s="250"/>
      <c r="B1097" s="154"/>
      <c r="C1097" s="154"/>
      <c r="D1097" s="154"/>
      <c r="E1097" s="196"/>
      <c r="F1097" s="152"/>
      <c r="G1097" s="152"/>
      <c r="H1097" s="153"/>
      <c r="I1097" s="154"/>
      <c r="J1097" s="155"/>
    </row>
    <row r="1098" ht="22.5" customHeight="1">
      <c r="A1098" s="202"/>
      <c r="B1098" s="146"/>
      <c r="C1098" s="146"/>
      <c r="D1098" s="146"/>
      <c r="E1098" s="197"/>
      <c r="F1098" s="144"/>
      <c r="G1098" s="144"/>
      <c r="H1098" s="145"/>
      <c r="I1098" s="146"/>
      <c r="J1098" s="147"/>
    </row>
    <row r="1099" ht="22.5" customHeight="1">
      <c r="A1099" s="250"/>
      <c r="B1099" s="154"/>
      <c r="C1099" s="154"/>
      <c r="D1099" s="154"/>
      <c r="E1099" s="196"/>
      <c r="F1099" s="152"/>
      <c r="G1099" s="152"/>
      <c r="H1099" s="153"/>
      <c r="I1099" s="154"/>
      <c r="J1099" s="155"/>
    </row>
    <row r="1100" ht="22.5" customHeight="1">
      <c r="A1100" s="202"/>
      <c r="B1100" s="146"/>
      <c r="C1100" s="146"/>
      <c r="D1100" s="146"/>
      <c r="E1100" s="197"/>
      <c r="F1100" s="144"/>
      <c r="G1100" s="144"/>
      <c r="H1100" s="145"/>
      <c r="I1100" s="146"/>
      <c r="J1100" s="147"/>
    </row>
    <row r="1101" ht="22.5" customHeight="1">
      <c r="A1101" s="250"/>
      <c r="B1101" s="154"/>
      <c r="C1101" s="154"/>
      <c r="D1101" s="154"/>
      <c r="E1101" s="196"/>
      <c r="F1101" s="152"/>
      <c r="G1101" s="152"/>
      <c r="H1101" s="153"/>
      <c r="I1101" s="154"/>
      <c r="J1101" s="155"/>
    </row>
    <row r="1102" ht="22.5" customHeight="1">
      <c r="A1102" s="202"/>
      <c r="B1102" s="146"/>
      <c r="C1102" s="146"/>
      <c r="D1102" s="146"/>
      <c r="E1102" s="197"/>
      <c r="F1102" s="144"/>
      <c r="G1102" s="144"/>
      <c r="H1102" s="145"/>
      <c r="I1102" s="146"/>
      <c r="J1102" s="147"/>
    </row>
    <row r="1103" ht="22.5" customHeight="1">
      <c r="A1103" s="250"/>
      <c r="B1103" s="154"/>
      <c r="C1103" s="154"/>
      <c r="D1103" s="154"/>
      <c r="E1103" s="196"/>
      <c r="F1103" s="152"/>
      <c r="G1103" s="152"/>
      <c r="H1103" s="153"/>
      <c r="I1103" s="154"/>
      <c r="J1103" s="155"/>
    </row>
    <row r="1104" ht="22.5" customHeight="1">
      <c r="A1104" s="202"/>
      <c r="B1104" s="146"/>
      <c r="C1104" s="146"/>
      <c r="D1104" s="146"/>
      <c r="E1104" s="197"/>
      <c r="F1104" s="144"/>
      <c r="G1104" s="144"/>
      <c r="H1104" s="145"/>
      <c r="I1104" s="146"/>
      <c r="J1104" s="147"/>
    </row>
    <row r="1105" ht="22.5" customHeight="1">
      <c r="A1105" s="250"/>
      <c r="B1105" s="154"/>
      <c r="C1105" s="154"/>
      <c r="D1105" s="154"/>
      <c r="E1105" s="196"/>
      <c r="F1105" s="152"/>
      <c r="G1105" s="152"/>
      <c r="H1105" s="153"/>
      <c r="I1105" s="154"/>
      <c r="J1105" s="155"/>
    </row>
    <row r="1106" ht="22.5" customHeight="1">
      <c r="A1106" s="202"/>
      <c r="B1106" s="146"/>
      <c r="C1106" s="146"/>
      <c r="D1106" s="146"/>
      <c r="E1106" s="197"/>
      <c r="F1106" s="144"/>
      <c r="G1106" s="144"/>
      <c r="H1106" s="145"/>
      <c r="I1106" s="146"/>
      <c r="J1106" s="147"/>
    </row>
    <row r="1107" ht="22.5" customHeight="1">
      <c r="A1107" s="250"/>
      <c r="B1107" s="154"/>
      <c r="C1107" s="154"/>
      <c r="D1107" s="154"/>
      <c r="E1107" s="196"/>
      <c r="F1107" s="152"/>
      <c r="G1107" s="152"/>
      <c r="H1107" s="153"/>
      <c r="I1107" s="154"/>
      <c r="J1107" s="155"/>
    </row>
    <row r="1108" ht="22.5" customHeight="1">
      <c r="A1108" s="202"/>
      <c r="B1108" s="146"/>
      <c r="C1108" s="146"/>
      <c r="D1108" s="146"/>
      <c r="E1108" s="197"/>
      <c r="F1108" s="144"/>
      <c r="G1108" s="144"/>
      <c r="H1108" s="145"/>
      <c r="I1108" s="146"/>
      <c r="J1108" s="147"/>
    </row>
    <row r="1109" ht="22.5" customHeight="1">
      <c r="A1109" s="250"/>
      <c r="B1109" s="154"/>
      <c r="C1109" s="154"/>
      <c r="D1109" s="154"/>
      <c r="E1109" s="196"/>
      <c r="F1109" s="152"/>
      <c r="G1109" s="152"/>
      <c r="H1109" s="153"/>
      <c r="I1109" s="154"/>
      <c r="J1109" s="155"/>
    </row>
    <row r="1110" ht="22.5" customHeight="1">
      <c r="A1110" s="202"/>
      <c r="B1110" s="146"/>
      <c r="C1110" s="146"/>
      <c r="D1110" s="146"/>
      <c r="E1110" s="197"/>
      <c r="F1110" s="144"/>
      <c r="G1110" s="144"/>
      <c r="H1110" s="145"/>
      <c r="I1110" s="146"/>
      <c r="J1110" s="147"/>
    </row>
    <row r="1111" ht="22.5" customHeight="1">
      <c r="A1111" s="250"/>
      <c r="B1111" s="154"/>
      <c r="C1111" s="154"/>
      <c r="D1111" s="154"/>
      <c r="E1111" s="196"/>
      <c r="F1111" s="152"/>
      <c r="G1111" s="152"/>
      <c r="H1111" s="153"/>
      <c r="I1111" s="154"/>
      <c r="J1111" s="155"/>
    </row>
    <row r="1112" ht="22.5" customHeight="1">
      <c r="A1112" s="202"/>
      <c r="B1112" s="146"/>
      <c r="C1112" s="146"/>
      <c r="D1112" s="146"/>
      <c r="E1112" s="197"/>
      <c r="F1112" s="144"/>
      <c r="G1112" s="144"/>
      <c r="H1112" s="145"/>
      <c r="I1112" s="146"/>
      <c r="J1112" s="147"/>
    </row>
    <row r="1113" ht="22.5" customHeight="1">
      <c r="A1113" s="250"/>
      <c r="B1113" s="154"/>
      <c r="C1113" s="154"/>
      <c r="D1113" s="154"/>
      <c r="E1113" s="196"/>
      <c r="F1113" s="152"/>
      <c r="G1113" s="152"/>
      <c r="H1113" s="153"/>
      <c r="I1113" s="154"/>
      <c r="J1113" s="155"/>
    </row>
    <row r="1114" ht="22.5" customHeight="1">
      <c r="A1114" s="202"/>
      <c r="B1114" s="146"/>
      <c r="C1114" s="146"/>
      <c r="D1114" s="146"/>
      <c r="E1114" s="197"/>
      <c r="F1114" s="144"/>
      <c r="G1114" s="144"/>
      <c r="H1114" s="145"/>
      <c r="I1114" s="146"/>
      <c r="J1114" s="147"/>
    </row>
    <row r="1115" ht="22.5" customHeight="1">
      <c r="A1115" s="250"/>
      <c r="B1115" s="154"/>
      <c r="C1115" s="154"/>
      <c r="D1115" s="154"/>
      <c r="E1115" s="196"/>
      <c r="F1115" s="152"/>
      <c r="G1115" s="152"/>
      <c r="H1115" s="153"/>
      <c r="I1115" s="154"/>
      <c r="J1115" s="155"/>
    </row>
    <row r="1116" ht="22.5" customHeight="1">
      <c r="A1116" s="202"/>
      <c r="B1116" s="146"/>
      <c r="C1116" s="146"/>
      <c r="D1116" s="146"/>
      <c r="E1116" s="197"/>
      <c r="F1116" s="144"/>
      <c r="G1116" s="144"/>
      <c r="H1116" s="145"/>
      <c r="I1116" s="146"/>
      <c r="J1116" s="147"/>
    </row>
    <row r="1117" ht="22.5" customHeight="1">
      <c r="A1117" s="250"/>
      <c r="B1117" s="154"/>
      <c r="C1117" s="154"/>
      <c r="D1117" s="154"/>
      <c r="E1117" s="196"/>
      <c r="F1117" s="152"/>
      <c r="G1117" s="152"/>
      <c r="H1117" s="153"/>
      <c r="I1117" s="154"/>
      <c r="J1117" s="155"/>
    </row>
    <row r="1118" ht="22.5" customHeight="1">
      <c r="A1118" s="202"/>
      <c r="B1118" s="146"/>
      <c r="C1118" s="146"/>
      <c r="D1118" s="146"/>
      <c r="E1118" s="197"/>
      <c r="F1118" s="144"/>
      <c r="G1118" s="144"/>
      <c r="H1118" s="145"/>
      <c r="I1118" s="146"/>
      <c r="J1118" s="147"/>
    </row>
    <row r="1119" ht="22.5" customHeight="1">
      <c r="A1119" s="250"/>
      <c r="B1119" s="154"/>
      <c r="C1119" s="154"/>
      <c r="D1119" s="154"/>
      <c r="E1119" s="196"/>
      <c r="F1119" s="152"/>
      <c r="G1119" s="152"/>
      <c r="H1119" s="153"/>
      <c r="I1119" s="154"/>
      <c r="J1119" s="155"/>
    </row>
    <row r="1120" ht="22.5" customHeight="1">
      <c r="A1120" s="202"/>
      <c r="B1120" s="146"/>
      <c r="C1120" s="146"/>
      <c r="D1120" s="146"/>
      <c r="E1120" s="197"/>
      <c r="F1120" s="144"/>
      <c r="G1120" s="144"/>
      <c r="H1120" s="145"/>
      <c r="I1120" s="146"/>
      <c r="J1120" s="147"/>
    </row>
    <row r="1121" ht="22.5" customHeight="1">
      <c r="A1121" s="250"/>
      <c r="B1121" s="154"/>
      <c r="C1121" s="154"/>
      <c r="D1121" s="154"/>
      <c r="E1121" s="196"/>
      <c r="F1121" s="152"/>
      <c r="G1121" s="152"/>
      <c r="H1121" s="153"/>
      <c r="I1121" s="154"/>
      <c r="J1121" s="155"/>
    </row>
    <row r="1122" ht="22.5" customHeight="1">
      <c r="A1122" s="202"/>
      <c r="B1122" s="146"/>
      <c r="C1122" s="146"/>
      <c r="D1122" s="146"/>
      <c r="E1122" s="197"/>
      <c r="F1122" s="144"/>
      <c r="G1122" s="144"/>
      <c r="H1122" s="145"/>
      <c r="I1122" s="146"/>
      <c r="J1122" s="147"/>
    </row>
    <row r="1123" ht="22.5" customHeight="1">
      <c r="A1123" s="250"/>
      <c r="B1123" s="154"/>
      <c r="C1123" s="154"/>
      <c r="D1123" s="154"/>
      <c r="E1123" s="196"/>
      <c r="F1123" s="152"/>
      <c r="G1123" s="152"/>
      <c r="H1123" s="153"/>
      <c r="I1123" s="154"/>
      <c r="J1123" s="155"/>
    </row>
    <row r="1124" ht="22.5" customHeight="1">
      <c r="A1124" s="202"/>
      <c r="B1124" s="146"/>
      <c r="C1124" s="146"/>
      <c r="D1124" s="146"/>
      <c r="E1124" s="197"/>
      <c r="F1124" s="144"/>
      <c r="G1124" s="144"/>
      <c r="H1124" s="145"/>
      <c r="I1124" s="146"/>
      <c r="J1124" s="147"/>
    </row>
    <row r="1125" ht="22.5" customHeight="1">
      <c r="A1125" s="250"/>
      <c r="B1125" s="154"/>
      <c r="C1125" s="154"/>
      <c r="D1125" s="154"/>
      <c r="E1125" s="196"/>
      <c r="F1125" s="152"/>
      <c r="G1125" s="152"/>
      <c r="H1125" s="153"/>
      <c r="I1125" s="154"/>
      <c r="J1125" s="155"/>
    </row>
    <row r="1126" ht="22.5" customHeight="1">
      <c r="A1126" s="202"/>
      <c r="B1126" s="146"/>
      <c r="C1126" s="146"/>
      <c r="D1126" s="146"/>
      <c r="E1126" s="197"/>
      <c r="F1126" s="144"/>
      <c r="G1126" s="144"/>
      <c r="H1126" s="145"/>
      <c r="I1126" s="146"/>
      <c r="J1126" s="147"/>
    </row>
    <row r="1127" ht="22.5" customHeight="1">
      <c r="A1127" s="250"/>
      <c r="B1127" s="154"/>
      <c r="C1127" s="154"/>
      <c r="D1127" s="154"/>
      <c r="E1127" s="196"/>
      <c r="F1127" s="152"/>
      <c r="G1127" s="152"/>
      <c r="H1127" s="153"/>
      <c r="I1127" s="154"/>
      <c r="J1127" s="155"/>
    </row>
    <row r="1128" ht="22.5" customHeight="1">
      <c r="A1128" s="202"/>
      <c r="B1128" s="146"/>
      <c r="C1128" s="146"/>
      <c r="D1128" s="146"/>
      <c r="E1128" s="197"/>
      <c r="F1128" s="144"/>
      <c r="G1128" s="144"/>
      <c r="H1128" s="145"/>
      <c r="I1128" s="146"/>
      <c r="J1128" s="147"/>
    </row>
    <row r="1129" ht="22.5" customHeight="1">
      <c r="A1129" s="250"/>
      <c r="B1129" s="154"/>
      <c r="C1129" s="154"/>
      <c r="D1129" s="154"/>
      <c r="E1129" s="196"/>
      <c r="F1129" s="152"/>
      <c r="G1129" s="152"/>
      <c r="H1129" s="153"/>
      <c r="I1129" s="154"/>
      <c r="J1129" s="155"/>
    </row>
    <row r="1130" ht="22.5" customHeight="1">
      <c r="A1130" s="202"/>
      <c r="B1130" s="146"/>
      <c r="C1130" s="146"/>
      <c r="D1130" s="146"/>
      <c r="E1130" s="197"/>
      <c r="F1130" s="144"/>
      <c r="G1130" s="144"/>
      <c r="H1130" s="145"/>
      <c r="I1130" s="146"/>
      <c r="J1130" s="147"/>
    </row>
    <row r="1131" ht="22.5" customHeight="1">
      <c r="A1131" s="250"/>
      <c r="B1131" s="154"/>
      <c r="C1131" s="154"/>
      <c r="D1131" s="154"/>
      <c r="E1131" s="196"/>
      <c r="F1131" s="152"/>
      <c r="G1131" s="152"/>
      <c r="H1131" s="153"/>
      <c r="I1131" s="154"/>
      <c r="J1131" s="155"/>
    </row>
    <row r="1132" ht="22.5" customHeight="1">
      <c r="A1132" s="202"/>
      <c r="B1132" s="146"/>
      <c r="C1132" s="146"/>
      <c r="D1132" s="146"/>
      <c r="E1132" s="197"/>
      <c r="F1132" s="144"/>
      <c r="G1132" s="144"/>
      <c r="H1132" s="145"/>
      <c r="I1132" s="146"/>
      <c r="J1132" s="147"/>
    </row>
    <row r="1133" ht="22.5" customHeight="1">
      <c r="A1133" s="250"/>
      <c r="B1133" s="154"/>
      <c r="C1133" s="154"/>
      <c r="D1133" s="154"/>
      <c r="E1133" s="196"/>
      <c r="F1133" s="152"/>
      <c r="G1133" s="152"/>
      <c r="H1133" s="153"/>
      <c r="I1133" s="154"/>
      <c r="J1133" s="155"/>
    </row>
    <row r="1134" ht="22.5" customHeight="1">
      <c r="A1134" s="202"/>
      <c r="B1134" s="146"/>
      <c r="C1134" s="146"/>
      <c r="D1134" s="146"/>
      <c r="E1134" s="197"/>
      <c r="F1134" s="144"/>
      <c r="G1134" s="144"/>
      <c r="H1134" s="145"/>
      <c r="I1134" s="146"/>
      <c r="J1134" s="147"/>
    </row>
    <row r="1135" ht="22.5" customHeight="1">
      <c r="A1135" s="250"/>
      <c r="B1135" s="154"/>
      <c r="C1135" s="154"/>
      <c r="D1135" s="154"/>
      <c r="E1135" s="196"/>
      <c r="F1135" s="152"/>
      <c r="G1135" s="152"/>
      <c r="H1135" s="153"/>
      <c r="I1135" s="154"/>
      <c r="J1135" s="155"/>
    </row>
    <row r="1136" ht="22.5" customHeight="1">
      <c r="A1136" s="202"/>
      <c r="B1136" s="146"/>
      <c r="C1136" s="146"/>
      <c r="D1136" s="146"/>
      <c r="E1136" s="197"/>
      <c r="F1136" s="144"/>
      <c r="G1136" s="144"/>
      <c r="H1136" s="145"/>
      <c r="I1136" s="146"/>
      <c r="J1136" s="147"/>
    </row>
    <row r="1137" ht="22.5" customHeight="1">
      <c r="A1137" s="250"/>
      <c r="B1137" s="154"/>
      <c r="C1137" s="154"/>
      <c r="D1137" s="154"/>
      <c r="E1137" s="196"/>
      <c r="F1137" s="152"/>
      <c r="G1137" s="152"/>
      <c r="H1137" s="153"/>
      <c r="I1137" s="154"/>
      <c r="J1137" s="155"/>
    </row>
    <row r="1138" ht="22.5" customHeight="1">
      <c r="A1138" s="202"/>
      <c r="B1138" s="146"/>
      <c r="C1138" s="146"/>
      <c r="D1138" s="146"/>
      <c r="E1138" s="197"/>
      <c r="F1138" s="144"/>
      <c r="G1138" s="144"/>
      <c r="H1138" s="145"/>
      <c r="I1138" s="146"/>
      <c r="J1138" s="147"/>
    </row>
    <row r="1139" ht="22.5" customHeight="1">
      <c r="A1139" s="250"/>
      <c r="B1139" s="154"/>
      <c r="C1139" s="154"/>
      <c r="D1139" s="154"/>
      <c r="E1139" s="196"/>
      <c r="F1139" s="152"/>
      <c r="G1139" s="152"/>
      <c r="H1139" s="153"/>
      <c r="I1139" s="154"/>
      <c r="J1139" s="155"/>
    </row>
    <row r="1140" ht="22.5" customHeight="1">
      <c r="A1140" s="202"/>
      <c r="B1140" s="146"/>
      <c r="C1140" s="146"/>
      <c r="D1140" s="146"/>
      <c r="E1140" s="197"/>
      <c r="F1140" s="144"/>
      <c r="G1140" s="144"/>
      <c r="H1140" s="145"/>
      <c r="I1140" s="146"/>
      <c r="J1140" s="147"/>
    </row>
    <row r="1141" ht="22.5" customHeight="1">
      <c r="A1141" s="250"/>
      <c r="B1141" s="154"/>
      <c r="C1141" s="154"/>
      <c r="D1141" s="154"/>
      <c r="E1141" s="196"/>
      <c r="F1141" s="152"/>
      <c r="G1141" s="152"/>
      <c r="H1141" s="153"/>
      <c r="I1141" s="154"/>
      <c r="J1141" s="155"/>
    </row>
    <row r="1142" ht="22.5" customHeight="1">
      <c r="A1142" s="202"/>
      <c r="B1142" s="146"/>
      <c r="C1142" s="146"/>
      <c r="D1142" s="146"/>
      <c r="E1142" s="197"/>
      <c r="F1142" s="144"/>
      <c r="G1142" s="144"/>
      <c r="H1142" s="145"/>
      <c r="I1142" s="146"/>
      <c r="J1142" s="147"/>
    </row>
    <row r="1143" ht="22.5" customHeight="1">
      <c r="A1143" s="250"/>
      <c r="B1143" s="154"/>
      <c r="C1143" s="154"/>
      <c r="D1143" s="154"/>
      <c r="E1143" s="196"/>
      <c r="F1143" s="152"/>
      <c r="G1143" s="152"/>
      <c r="H1143" s="153"/>
      <c r="I1143" s="154"/>
      <c r="J1143" s="155"/>
    </row>
    <row r="1144" ht="22.5" customHeight="1">
      <c r="A1144" s="202"/>
      <c r="B1144" s="146"/>
      <c r="C1144" s="146"/>
      <c r="D1144" s="146"/>
      <c r="E1144" s="197"/>
      <c r="F1144" s="144"/>
      <c r="G1144" s="144"/>
      <c r="H1144" s="145"/>
      <c r="I1144" s="146"/>
      <c r="J1144" s="147"/>
    </row>
    <row r="1145" ht="22.5" customHeight="1">
      <c r="A1145" s="250"/>
      <c r="B1145" s="154"/>
      <c r="C1145" s="154"/>
      <c r="D1145" s="154"/>
      <c r="E1145" s="196"/>
      <c r="F1145" s="152"/>
      <c r="G1145" s="152"/>
      <c r="H1145" s="153"/>
      <c r="I1145" s="154"/>
      <c r="J1145" s="155"/>
    </row>
    <row r="1146" ht="22.5" customHeight="1">
      <c r="A1146" s="202"/>
      <c r="B1146" s="146"/>
      <c r="C1146" s="146"/>
      <c r="D1146" s="146"/>
      <c r="E1146" s="197"/>
      <c r="F1146" s="144"/>
      <c r="G1146" s="144"/>
      <c r="H1146" s="145"/>
      <c r="I1146" s="146"/>
      <c r="J1146" s="147"/>
    </row>
    <row r="1147" ht="22.5" customHeight="1">
      <c r="A1147" s="250"/>
      <c r="B1147" s="154"/>
      <c r="C1147" s="154"/>
      <c r="D1147" s="154"/>
      <c r="E1147" s="196"/>
      <c r="F1147" s="152"/>
      <c r="G1147" s="152"/>
      <c r="H1147" s="153"/>
      <c r="I1147" s="154"/>
      <c r="J1147" s="155"/>
    </row>
    <row r="1148" ht="22.5" customHeight="1">
      <c r="A1148" s="202"/>
      <c r="B1148" s="146"/>
      <c r="C1148" s="146"/>
      <c r="D1148" s="146"/>
      <c r="E1148" s="197"/>
      <c r="F1148" s="144"/>
      <c r="G1148" s="144"/>
      <c r="H1148" s="145"/>
      <c r="I1148" s="146"/>
      <c r="J1148" s="147"/>
    </row>
    <row r="1149" ht="22.5" customHeight="1">
      <c r="A1149" s="250"/>
      <c r="B1149" s="154"/>
      <c r="C1149" s="154"/>
      <c r="D1149" s="154"/>
      <c r="E1149" s="196"/>
      <c r="F1149" s="152"/>
      <c r="G1149" s="152"/>
      <c r="H1149" s="153"/>
      <c r="I1149" s="154"/>
      <c r="J1149" s="155"/>
    </row>
    <row r="1150" ht="22.5" customHeight="1">
      <c r="A1150" s="202"/>
      <c r="B1150" s="146"/>
      <c r="C1150" s="146"/>
      <c r="D1150" s="146"/>
      <c r="E1150" s="197"/>
      <c r="F1150" s="144"/>
      <c r="G1150" s="144"/>
      <c r="H1150" s="145"/>
      <c r="I1150" s="146"/>
      <c r="J1150" s="147"/>
    </row>
    <row r="1151" ht="22.5" customHeight="1">
      <c r="A1151" s="250"/>
      <c r="B1151" s="154"/>
      <c r="C1151" s="154"/>
      <c r="D1151" s="154"/>
      <c r="E1151" s="196"/>
      <c r="F1151" s="152"/>
      <c r="G1151" s="152"/>
      <c r="H1151" s="153"/>
      <c r="I1151" s="154"/>
      <c r="J1151" s="155"/>
    </row>
    <row r="1152" ht="22.5" customHeight="1">
      <c r="A1152" s="202"/>
      <c r="B1152" s="146"/>
      <c r="C1152" s="146"/>
      <c r="D1152" s="146"/>
      <c r="E1152" s="197"/>
      <c r="F1152" s="144"/>
      <c r="G1152" s="144"/>
      <c r="H1152" s="145"/>
      <c r="I1152" s="146"/>
      <c r="J1152" s="147"/>
    </row>
    <row r="1153" ht="22.5" customHeight="1">
      <c r="A1153" s="250"/>
      <c r="B1153" s="154"/>
      <c r="C1153" s="154"/>
      <c r="D1153" s="154"/>
      <c r="E1153" s="196"/>
      <c r="F1153" s="152"/>
      <c r="G1153" s="152"/>
      <c r="H1153" s="153"/>
      <c r="I1153" s="154"/>
      <c r="J1153" s="155"/>
    </row>
    <row r="1154" ht="22.5" customHeight="1">
      <c r="A1154" s="202"/>
      <c r="B1154" s="146"/>
      <c r="C1154" s="146"/>
      <c r="D1154" s="146"/>
      <c r="E1154" s="197"/>
      <c r="F1154" s="144"/>
      <c r="G1154" s="144"/>
      <c r="H1154" s="145"/>
      <c r="I1154" s="146"/>
      <c r="J1154" s="147"/>
    </row>
    <row r="1155" ht="22.5" customHeight="1">
      <c r="A1155" s="250"/>
      <c r="B1155" s="154"/>
      <c r="C1155" s="154"/>
      <c r="D1155" s="154"/>
      <c r="E1155" s="196"/>
      <c r="F1155" s="152"/>
      <c r="G1155" s="152"/>
      <c r="H1155" s="153"/>
      <c r="I1155" s="154"/>
      <c r="J1155" s="155"/>
    </row>
    <row r="1156" ht="22.5" customHeight="1">
      <c r="A1156" s="202"/>
      <c r="B1156" s="146"/>
      <c r="C1156" s="146"/>
      <c r="D1156" s="146"/>
      <c r="E1156" s="197"/>
      <c r="F1156" s="144"/>
      <c r="G1156" s="144"/>
      <c r="H1156" s="145"/>
      <c r="I1156" s="146"/>
      <c r="J1156" s="147"/>
    </row>
    <row r="1157" ht="22.5" customHeight="1">
      <c r="A1157" s="250"/>
      <c r="B1157" s="154"/>
      <c r="C1157" s="154"/>
      <c r="D1157" s="154"/>
      <c r="E1157" s="196"/>
      <c r="F1157" s="152"/>
      <c r="G1157" s="152"/>
      <c r="H1157" s="153"/>
      <c r="I1157" s="154"/>
      <c r="J1157" s="155"/>
    </row>
    <row r="1158" ht="22.5" customHeight="1">
      <c r="A1158" s="202"/>
      <c r="B1158" s="146"/>
      <c r="C1158" s="146"/>
      <c r="D1158" s="146"/>
      <c r="E1158" s="197"/>
      <c r="F1158" s="144"/>
      <c r="G1158" s="144"/>
      <c r="H1158" s="145"/>
      <c r="I1158" s="146"/>
      <c r="J1158" s="147"/>
    </row>
    <row r="1159" ht="22.5" customHeight="1">
      <c r="A1159" s="250"/>
      <c r="B1159" s="154"/>
      <c r="C1159" s="154"/>
      <c r="D1159" s="154"/>
      <c r="E1159" s="196"/>
      <c r="F1159" s="152"/>
      <c r="G1159" s="152"/>
      <c r="H1159" s="153"/>
      <c r="I1159" s="154"/>
      <c r="J1159" s="155"/>
    </row>
    <row r="1160" ht="22.5" customHeight="1">
      <c r="A1160" s="202"/>
      <c r="B1160" s="146"/>
      <c r="C1160" s="146"/>
      <c r="D1160" s="146"/>
      <c r="E1160" s="197"/>
      <c r="F1160" s="144"/>
      <c r="G1160" s="144"/>
      <c r="H1160" s="145"/>
      <c r="I1160" s="146"/>
      <c r="J1160" s="147"/>
    </row>
    <row r="1161" ht="22.5" customHeight="1">
      <c r="A1161" s="250"/>
      <c r="B1161" s="154"/>
      <c r="C1161" s="154"/>
      <c r="D1161" s="154"/>
      <c r="E1161" s="196"/>
      <c r="F1161" s="152"/>
      <c r="G1161" s="152"/>
      <c r="H1161" s="153"/>
      <c r="I1161" s="154"/>
      <c r="J1161" s="155"/>
    </row>
    <row r="1162" ht="22.5" customHeight="1">
      <c r="A1162" s="202"/>
      <c r="B1162" s="146"/>
      <c r="C1162" s="146"/>
      <c r="D1162" s="146"/>
      <c r="E1162" s="197"/>
      <c r="F1162" s="144"/>
      <c r="G1162" s="144"/>
      <c r="H1162" s="145"/>
      <c r="I1162" s="146"/>
      <c r="J1162" s="147"/>
    </row>
    <row r="1163" ht="22.5" customHeight="1">
      <c r="A1163" s="250"/>
      <c r="B1163" s="154"/>
      <c r="C1163" s="154"/>
      <c r="D1163" s="154"/>
      <c r="E1163" s="196"/>
      <c r="F1163" s="152"/>
      <c r="G1163" s="152"/>
      <c r="H1163" s="153"/>
      <c r="I1163" s="154"/>
      <c r="J1163" s="155"/>
    </row>
    <row r="1164" ht="22.5" customHeight="1">
      <c r="A1164" s="202"/>
      <c r="B1164" s="146"/>
      <c r="C1164" s="146"/>
      <c r="D1164" s="146"/>
      <c r="E1164" s="197"/>
      <c r="F1164" s="144"/>
      <c r="G1164" s="144"/>
      <c r="H1164" s="145"/>
      <c r="I1164" s="146"/>
      <c r="J1164" s="147"/>
    </row>
    <row r="1165" ht="22.5" customHeight="1">
      <c r="A1165" s="250"/>
      <c r="B1165" s="154"/>
      <c r="C1165" s="154"/>
      <c r="D1165" s="154"/>
      <c r="E1165" s="196"/>
      <c r="F1165" s="152"/>
      <c r="G1165" s="152"/>
      <c r="H1165" s="153"/>
      <c r="I1165" s="154"/>
      <c r="J1165" s="155"/>
    </row>
    <row r="1166" ht="22.5" customHeight="1">
      <c r="A1166" s="202"/>
      <c r="B1166" s="146"/>
      <c r="C1166" s="146"/>
      <c r="D1166" s="146"/>
      <c r="E1166" s="197"/>
      <c r="F1166" s="144"/>
      <c r="G1166" s="144"/>
      <c r="H1166" s="145"/>
      <c r="I1166" s="146"/>
      <c r="J1166" s="147"/>
    </row>
    <row r="1167" ht="22.5" customHeight="1">
      <c r="A1167" s="250"/>
      <c r="B1167" s="154"/>
      <c r="C1167" s="154"/>
      <c r="D1167" s="154"/>
      <c r="E1167" s="196"/>
      <c r="F1167" s="152"/>
      <c r="G1167" s="152"/>
      <c r="H1167" s="153"/>
      <c r="I1167" s="154"/>
      <c r="J1167" s="155"/>
    </row>
    <row r="1168" ht="22.5" customHeight="1">
      <c r="A1168" s="202"/>
      <c r="B1168" s="146"/>
      <c r="C1168" s="146"/>
      <c r="D1168" s="146"/>
      <c r="E1168" s="197"/>
      <c r="F1168" s="144"/>
      <c r="G1168" s="144"/>
      <c r="H1168" s="145"/>
      <c r="I1168" s="146"/>
      <c r="J1168" s="147"/>
    </row>
    <row r="1169" ht="22.5" customHeight="1">
      <c r="A1169" s="250"/>
      <c r="B1169" s="154"/>
      <c r="C1169" s="154"/>
      <c r="D1169" s="154"/>
      <c r="E1169" s="196"/>
      <c r="F1169" s="152"/>
      <c r="G1169" s="152"/>
      <c r="H1169" s="153"/>
      <c r="I1169" s="154"/>
      <c r="J1169" s="155"/>
    </row>
    <row r="1170" ht="22.5" customHeight="1">
      <c r="A1170" s="202"/>
      <c r="B1170" s="146"/>
      <c r="C1170" s="146"/>
      <c r="D1170" s="146"/>
      <c r="E1170" s="197"/>
      <c r="F1170" s="144"/>
      <c r="G1170" s="144"/>
      <c r="H1170" s="145"/>
      <c r="I1170" s="146"/>
      <c r="J1170" s="147"/>
    </row>
    <row r="1171" ht="22.5" customHeight="1">
      <c r="A1171" s="250"/>
      <c r="B1171" s="154"/>
      <c r="C1171" s="154"/>
      <c r="D1171" s="154"/>
      <c r="E1171" s="196"/>
      <c r="F1171" s="152"/>
      <c r="G1171" s="152"/>
      <c r="H1171" s="153"/>
      <c r="I1171" s="154"/>
      <c r="J1171" s="155"/>
    </row>
    <row r="1172" ht="22.5" customHeight="1">
      <c r="A1172" s="202"/>
      <c r="B1172" s="146"/>
      <c r="C1172" s="146"/>
      <c r="D1172" s="146"/>
      <c r="E1172" s="197"/>
      <c r="F1172" s="144"/>
      <c r="G1172" s="144"/>
      <c r="H1172" s="145"/>
      <c r="I1172" s="146"/>
      <c r="J1172" s="147"/>
    </row>
    <row r="1173" ht="22.5" customHeight="1">
      <c r="A1173" s="250"/>
      <c r="B1173" s="154"/>
      <c r="C1173" s="154"/>
      <c r="D1173" s="154"/>
      <c r="E1173" s="196"/>
      <c r="F1173" s="152"/>
      <c r="G1173" s="152"/>
      <c r="H1173" s="153"/>
      <c r="I1173" s="154"/>
      <c r="J1173" s="155"/>
    </row>
    <row r="1174" ht="22.5" customHeight="1">
      <c r="A1174" s="202"/>
      <c r="B1174" s="146"/>
      <c r="C1174" s="146"/>
      <c r="D1174" s="146"/>
      <c r="E1174" s="197"/>
      <c r="F1174" s="144"/>
      <c r="G1174" s="144"/>
      <c r="H1174" s="145"/>
      <c r="I1174" s="146"/>
      <c r="J1174" s="147"/>
    </row>
    <row r="1175" ht="22.5" customHeight="1">
      <c r="A1175" s="250"/>
      <c r="B1175" s="154"/>
      <c r="C1175" s="154"/>
      <c r="D1175" s="154"/>
      <c r="E1175" s="196"/>
      <c r="F1175" s="152"/>
      <c r="G1175" s="152"/>
      <c r="H1175" s="153"/>
      <c r="I1175" s="154"/>
      <c r="J1175" s="155"/>
    </row>
    <row r="1176" ht="22.5" customHeight="1">
      <c r="A1176" s="202"/>
      <c r="B1176" s="146"/>
      <c r="C1176" s="146"/>
      <c r="D1176" s="146"/>
      <c r="E1176" s="197"/>
      <c r="F1176" s="144"/>
      <c r="G1176" s="144"/>
      <c r="H1176" s="145"/>
      <c r="I1176" s="146"/>
      <c r="J1176" s="147"/>
    </row>
    <row r="1177" ht="22.5" customHeight="1">
      <c r="A1177" s="250"/>
      <c r="B1177" s="154"/>
      <c r="C1177" s="154"/>
      <c r="D1177" s="154"/>
      <c r="E1177" s="196"/>
      <c r="F1177" s="152"/>
      <c r="G1177" s="152"/>
      <c r="H1177" s="153"/>
      <c r="I1177" s="154"/>
      <c r="J1177" s="155"/>
    </row>
    <row r="1178" ht="22.5" customHeight="1">
      <c r="A1178" s="202"/>
      <c r="B1178" s="146"/>
      <c r="C1178" s="146"/>
      <c r="D1178" s="146"/>
      <c r="E1178" s="197"/>
      <c r="F1178" s="144"/>
      <c r="G1178" s="144"/>
      <c r="H1178" s="145"/>
      <c r="I1178" s="146"/>
      <c r="J1178" s="147"/>
    </row>
    <row r="1179" ht="22.5" customHeight="1">
      <c r="A1179" s="250"/>
      <c r="B1179" s="154"/>
      <c r="C1179" s="154"/>
      <c r="D1179" s="154"/>
      <c r="E1179" s="196"/>
      <c r="F1179" s="152"/>
      <c r="G1179" s="152"/>
      <c r="H1179" s="153"/>
      <c r="I1179" s="154"/>
      <c r="J1179" s="155"/>
    </row>
    <row r="1180" ht="22.5" customHeight="1">
      <c r="A1180" s="202"/>
      <c r="B1180" s="146"/>
      <c r="C1180" s="146"/>
      <c r="D1180" s="146"/>
      <c r="E1180" s="197"/>
      <c r="F1180" s="144"/>
      <c r="G1180" s="144"/>
      <c r="H1180" s="145"/>
      <c r="I1180" s="146"/>
      <c r="J1180" s="147"/>
    </row>
    <row r="1181" ht="22.5" customHeight="1">
      <c r="A1181" s="250"/>
      <c r="B1181" s="154"/>
      <c r="C1181" s="154"/>
      <c r="D1181" s="154"/>
      <c r="E1181" s="196"/>
      <c r="F1181" s="152"/>
      <c r="G1181" s="152"/>
      <c r="H1181" s="153"/>
      <c r="I1181" s="154"/>
      <c r="J1181" s="155"/>
    </row>
    <row r="1182" ht="22.5" customHeight="1">
      <c r="A1182" s="202"/>
      <c r="B1182" s="146"/>
      <c r="C1182" s="146"/>
      <c r="D1182" s="146"/>
      <c r="E1182" s="197"/>
      <c r="F1182" s="144"/>
      <c r="G1182" s="144"/>
      <c r="H1182" s="145"/>
      <c r="I1182" s="146"/>
      <c r="J1182" s="147"/>
    </row>
    <row r="1183" ht="22.5" customHeight="1">
      <c r="A1183" s="250"/>
      <c r="B1183" s="154"/>
      <c r="C1183" s="154"/>
      <c r="D1183" s="154"/>
      <c r="E1183" s="196"/>
      <c r="F1183" s="152"/>
      <c r="G1183" s="152"/>
      <c r="H1183" s="153"/>
      <c r="I1183" s="154"/>
      <c r="J1183" s="155"/>
    </row>
    <row r="1184" ht="22.5" customHeight="1">
      <c r="A1184" s="202"/>
      <c r="B1184" s="146"/>
      <c r="C1184" s="146"/>
      <c r="D1184" s="146"/>
      <c r="E1184" s="197"/>
      <c r="F1184" s="144"/>
      <c r="G1184" s="144"/>
      <c r="H1184" s="145"/>
      <c r="I1184" s="146"/>
      <c r="J1184" s="147"/>
    </row>
    <row r="1185" ht="22.5" customHeight="1">
      <c r="A1185" s="250"/>
      <c r="B1185" s="154"/>
      <c r="C1185" s="154"/>
      <c r="D1185" s="154"/>
      <c r="E1185" s="196"/>
      <c r="F1185" s="152"/>
      <c r="G1185" s="152"/>
      <c r="H1185" s="153"/>
      <c r="I1185" s="154"/>
      <c r="J1185" s="155"/>
    </row>
    <row r="1186" ht="22.5" customHeight="1">
      <c r="A1186" s="202"/>
      <c r="B1186" s="146"/>
      <c r="C1186" s="146"/>
      <c r="D1186" s="146"/>
      <c r="E1186" s="197"/>
      <c r="F1186" s="144"/>
      <c r="G1186" s="144"/>
      <c r="H1186" s="145"/>
      <c r="I1186" s="146"/>
      <c r="J1186" s="147"/>
    </row>
    <row r="1187" ht="22.5" customHeight="1">
      <c r="A1187" s="250"/>
      <c r="B1187" s="154"/>
      <c r="C1187" s="154"/>
      <c r="D1187" s="154"/>
      <c r="E1187" s="196"/>
      <c r="F1187" s="152"/>
      <c r="G1187" s="152"/>
      <c r="H1187" s="153"/>
      <c r="I1187" s="154"/>
      <c r="J1187" s="155"/>
    </row>
    <row r="1188" ht="22.5" customHeight="1">
      <c r="A1188" s="202"/>
      <c r="B1188" s="146"/>
      <c r="C1188" s="146"/>
      <c r="D1188" s="146"/>
      <c r="E1188" s="197"/>
      <c r="F1188" s="144"/>
      <c r="G1188" s="144"/>
      <c r="H1188" s="145"/>
      <c r="I1188" s="146"/>
      <c r="J1188" s="147"/>
    </row>
    <row r="1189" ht="22.5" customHeight="1">
      <c r="A1189" s="250"/>
      <c r="B1189" s="154"/>
      <c r="C1189" s="154"/>
      <c r="D1189" s="154"/>
      <c r="E1189" s="196"/>
      <c r="F1189" s="152"/>
      <c r="G1189" s="152"/>
      <c r="H1189" s="153"/>
      <c r="I1189" s="154"/>
      <c r="J1189" s="155"/>
    </row>
    <row r="1190" ht="22.5" customHeight="1">
      <c r="A1190" s="202"/>
      <c r="B1190" s="146"/>
      <c r="C1190" s="146"/>
      <c r="D1190" s="146"/>
      <c r="E1190" s="197"/>
      <c r="F1190" s="144"/>
      <c r="G1190" s="144"/>
      <c r="H1190" s="145"/>
      <c r="I1190" s="146"/>
      <c r="J1190" s="147"/>
    </row>
    <row r="1191" ht="22.5" customHeight="1">
      <c r="A1191" s="250"/>
      <c r="B1191" s="154"/>
      <c r="C1191" s="154"/>
      <c r="D1191" s="154"/>
      <c r="E1191" s="196"/>
      <c r="F1191" s="152"/>
      <c r="G1191" s="152"/>
      <c r="H1191" s="153"/>
      <c r="I1191" s="154"/>
      <c r="J1191" s="155"/>
    </row>
    <row r="1192" ht="22.5" customHeight="1">
      <c r="A1192" s="202"/>
      <c r="B1192" s="146"/>
      <c r="C1192" s="146"/>
      <c r="D1192" s="146"/>
      <c r="E1192" s="197"/>
      <c r="F1192" s="144"/>
      <c r="G1192" s="144"/>
      <c r="H1192" s="145"/>
      <c r="I1192" s="146"/>
      <c r="J1192" s="147"/>
    </row>
    <row r="1193" ht="22.5" customHeight="1">
      <c r="A1193" s="250"/>
      <c r="B1193" s="154"/>
      <c r="C1193" s="154"/>
      <c r="D1193" s="154"/>
      <c r="E1193" s="196"/>
      <c r="F1193" s="152"/>
      <c r="G1193" s="152"/>
      <c r="H1193" s="153"/>
      <c r="I1193" s="154"/>
      <c r="J1193" s="155"/>
    </row>
    <row r="1194" ht="22.5" customHeight="1">
      <c r="A1194" s="202"/>
      <c r="B1194" s="146"/>
      <c r="C1194" s="146"/>
      <c r="D1194" s="146"/>
      <c r="E1194" s="197"/>
      <c r="F1194" s="144"/>
      <c r="G1194" s="144"/>
      <c r="H1194" s="145"/>
      <c r="I1194" s="146"/>
      <c r="J1194" s="147"/>
    </row>
    <row r="1195" ht="22.5" customHeight="1">
      <c r="A1195" s="250"/>
      <c r="B1195" s="154"/>
      <c r="C1195" s="154"/>
      <c r="D1195" s="154"/>
      <c r="E1195" s="196"/>
      <c r="F1195" s="152"/>
      <c r="G1195" s="152"/>
      <c r="H1195" s="153"/>
      <c r="I1195" s="154"/>
      <c r="J1195" s="155"/>
    </row>
    <row r="1196" ht="22.5" customHeight="1">
      <c r="A1196" s="202"/>
      <c r="B1196" s="146"/>
      <c r="C1196" s="146"/>
      <c r="D1196" s="146"/>
      <c r="E1196" s="197"/>
      <c r="F1196" s="144"/>
      <c r="G1196" s="144"/>
      <c r="H1196" s="145"/>
      <c r="I1196" s="146"/>
      <c r="J1196" s="147"/>
    </row>
    <row r="1197" ht="22.5" customHeight="1">
      <c r="A1197" s="250"/>
      <c r="B1197" s="154"/>
      <c r="C1197" s="154"/>
      <c r="D1197" s="154"/>
      <c r="E1197" s="196"/>
      <c r="F1197" s="152"/>
      <c r="G1197" s="152"/>
      <c r="H1197" s="153"/>
      <c r="I1197" s="154"/>
      <c r="J1197" s="155"/>
    </row>
    <row r="1198" ht="22.5" customHeight="1">
      <c r="A1198" s="202"/>
      <c r="B1198" s="146"/>
      <c r="C1198" s="146"/>
      <c r="D1198" s="146"/>
      <c r="E1198" s="197"/>
      <c r="F1198" s="144"/>
      <c r="G1198" s="144"/>
      <c r="H1198" s="145"/>
      <c r="I1198" s="146"/>
      <c r="J1198" s="147"/>
    </row>
    <row r="1199" ht="22.5" customHeight="1">
      <c r="A1199" s="250"/>
      <c r="B1199" s="154"/>
      <c r="C1199" s="154"/>
      <c r="D1199" s="154"/>
      <c r="E1199" s="196"/>
      <c r="F1199" s="152"/>
      <c r="G1199" s="152"/>
      <c r="H1199" s="153"/>
      <c r="I1199" s="154"/>
      <c r="J1199" s="155"/>
    </row>
    <row r="1200" ht="22.5" customHeight="1">
      <c r="A1200" s="202"/>
      <c r="B1200" s="146"/>
      <c r="C1200" s="146"/>
      <c r="D1200" s="146"/>
      <c r="E1200" s="197"/>
      <c r="F1200" s="144"/>
      <c r="G1200" s="144"/>
      <c r="H1200" s="145"/>
      <c r="I1200" s="146"/>
      <c r="J1200" s="147"/>
    </row>
    <row r="1201" ht="22.5" customHeight="1">
      <c r="A1201" s="250"/>
      <c r="B1201" s="154"/>
      <c r="C1201" s="154"/>
      <c r="D1201" s="154"/>
      <c r="E1201" s="196"/>
      <c r="F1201" s="152"/>
      <c r="G1201" s="152"/>
      <c r="H1201" s="153"/>
      <c r="I1201" s="154"/>
      <c r="J1201" s="155"/>
    </row>
    <row r="1202" ht="22.5" customHeight="1">
      <c r="A1202" s="202"/>
      <c r="B1202" s="146"/>
      <c r="C1202" s="146"/>
      <c r="D1202" s="146"/>
      <c r="E1202" s="197"/>
      <c r="F1202" s="144"/>
      <c r="G1202" s="144"/>
      <c r="H1202" s="145"/>
      <c r="I1202" s="146"/>
      <c r="J1202" s="147"/>
    </row>
    <row r="1203" ht="22.5" customHeight="1">
      <c r="A1203" s="250"/>
      <c r="B1203" s="154"/>
      <c r="C1203" s="154"/>
      <c r="D1203" s="154"/>
      <c r="E1203" s="196"/>
      <c r="F1203" s="152"/>
      <c r="G1203" s="152"/>
      <c r="H1203" s="153"/>
      <c r="I1203" s="154"/>
      <c r="J1203" s="155"/>
    </row>
    <row r="1204" ht="22.5" customHeight="1">
      <c r="A1204" s="202"/>
      <c r="B1204" s="146"/>
      <c r="C1204" s="146"/>
      <c r="D1204" s="146"/>
      <c r="E1204" s="197"/>
      <c r="F1204" s="144"/>
      <c r="G1204" s="144"/>
      <c r="H1204" s="145"/>
      <c r="I1204" s="146"/>
      <c r="J1204" s="147"/>
    </row>
    <row r="1205" ht="22.5" customHeight="1">
      <c r="A1205" s="250"/>
      <c r="B1205" s="154"/>
      <c r="C1205" s="154"/>
      <c r="D1205" s="154"/>
      <c r="E1205" s="196"/>
      <c r="F1205" s="152"/>
      <c r="G1205" s="152"/>
      <c r="H1205" s="153"/>
      <c r="I1205" s="154"/>
      <c r="J1205" s="155"/>
    </row>
    <row r="1206" ht="22.5" customHeight="1">
      <c r="A1206" s="202"/>
      <c r="B1206" s="146"/>
      <c r="C1206" s="146"/>
      <c r="D1206" s="146"/>
      <c r="E1206" s="197"/>
      <c r="F1206" s="144"/>
      <c r="G1206" s="144"/>
      <c r="H1206" s="145"/>
      <c r="I1206" s="146"/>
      <c r="J1206" s="147"/>
    </row>
    <row r="1207" ht="22.5" customHeight="1">
      <c r="A1207" s="250"/>
      <c r="B1207" s="154"/>
      <c r="C1207" s="154"/>
      <c r="D1207" s="154"/>
      <c r="E1207" s="196"/>
      <c r="F1207" s="152"/>
      <c r="G1207" s="152"/>
      <c r="H1207" s="153"/>
      <c r="I1207" s="154"/>
      <c r="J1207" s="155"/>
    </row>
    <row r="1208" ht="22.5" customHeight="1">
      <c r="A1208" s="202"/>
      <c r="B1208" s="146"/>
      <c r="C1208" s="146"/>
      <c r="D1208" s="146"/>
      <c r="E1208" s="197"/>
      <c r="F1208" s="144"/>
      <c r="G1208" s="144"/>
      <c r="H1208" s="145"/>
      <c r="I1208" s="146"/>
      <c r="J1208" s="147"/>
    </row>
    <row r="1209" ht="22.5" customHeight="1">
      <c r="A1209" s="250"/>
      <c r="B1209" s="154"/>
      <c r="C1209" s="154"/>
      <c r="D1209" s="154"/>
      <c r="E1209" s="196"/>
      <c r="F1209" s="152"/>
      <c r="G1209" s="152"/>
      <c r="H1209" s="153"/>
      <c r="I1209" s="154"/>
      <c r="J1209" s="155"/>
    </row>
    <row r="1210" ht="22.5" customHeight="1">
      <c r="A1210" s="202"/>
      <c r="B1210" s="146"/>
      <c r="C1210" s="146"/>
      <c r="D1210" s="146"/>
      <c r="E1210" s="197"/>
      <c r="F1210" s="144"/>
      <c r="G1210" s="144"/>
      <c r="H1210" s="145"/>
      <c r="I1210" s="146"/>
      <c r="J1210" s="147"/>
    </row>
    <row r="1211" ht="22.5" customHeight="1">
      <c r="A1211" s="250"/>
      <c r="B1211" s="154"/>
      <c r="C1211" s="154"/>
      <c r="D1211" s="154"/>
      <c r="E1211" s="196"/>
      <c r="F1211" s="152"/>
      <c r="G1211" s="152"/>
      <c r="H1211" s="153"/>
      <c r="I1211" s="154"/>
      <c r="J1211" s="155"/>
    </row>
    <row r="1212" ht="22.5" customHeight="1">
      <c r="A1212" s="202"/>
      <c r="B1212" s="146"/>
      <c r="C1212" s="146"/>
      <c r="D1212" s="146"/>
      <c r="E1212" s="197"/>
      <c r="F1212" s="144"/>
      <c r="G1212" s="144"/>
      <c r="H1212" s="145"/>
      <c r="I1212" s="146"/>
      <c r="J1212" s="147"/>
    </row>
    <row r="1213" ht="22.5" customHeight="1">
      <c r="A1213" s="250"/>
      <c r="B1213" s="154"/>
      <c r="C1213" s="154"/>
      <c r="D1213" s="154"/>
      <c r="E1213" s="196"/>
      <c r="F1213" s="152"/>
      <c r="G1213" s="152"/>
      <c r="H1213" s="153"/>
      <c r="I1213" s="154"/>
      <c r="J1213" s="155"/>
    </row>
    <row r="1214" ht="22.5" customHeight="1">
      <c r="A1214" s="202"/>
      <c r="B1214" s="146"/>
      <c r="C1214" s="146"/>
      <c r="D1214" s="146"/>
      <c r="E1214" s="197"/>
      <c r="F1214" s="144"/>
      <c r="G1214" s="144"/>
      <c r="H1214" s="145"/>
      <c r="I1214" s="146"/>
      <c r="J1214" s="147"/>
    </row>
    <row r="1215" ht="22.5" customHeight="1">
      <c r="A1215" s="250"/>
      <c r="B1215" s="154"/>
      <c r="C1215" s="154"/>
      <c r="D1215" s="154"/>
      <c r="E1215" s="196"/>
      <c r="F1215" s="152"/>
      <c r="G1215" s="152"/>
      <c r="H1215" s="153"/>
      <c r="I1215" s="154"/>
      <c r="J1215" s="155"/>
    </row>
    <row r="1216" ht="22.5" customHeight="1">
      <c r="A1216" s="202"/>
      <c r="B1216" s="146"/>
      <c r="C1216" s="146"/>
      <c r="D1216" s="146"/>
      <c r="E1216" s="197"/>
      <c r="F1216" s="144"/>
      <c r="G1216" s="144"/>
      <c r="H1216" s="145"/>
      <c r="I1216" s="146"/>
      <c r="J1216" s="147"/>
    </row>
    <row r="1217" ht="22.5" customHeight="1">
      <c r="A1217" s="250"/>
      <c r="B1217" s="154"/>
      <c r="C1217" s="154"/>
      <c r="D1217" s="154"/>
      <c r="E1217" s="196"/>
      <c r="F1217" s="152"/>
      <c r="G1217" s="152"/>
      <c r="H1217" s="153"/>
      <c r="I1217" s="154"/>
      <c r="J1217" s="155"/>
    </row>
    <row r="1218" ht="22.5" customHeight="1">
      <c r="A1218" s="202"/>
      <c r="B1218" s="146"/>
      <c r="C1218" s="146"/>
      <c r="D1218" s="146"/>
      <c r="E1218" s="197"/>
      <c r="F1218" s="144"/>
      <c r="G1218" s="144"/>
      <c r="H1218" s="145"/>
      <c r="I1218" s="146"/>
      <c r="J1218" s="147"/>
    </row>
    <row r="1219" ht="22.5" customHeight="1">
      <c r="A1219" s="250"/>
      <c r="B1219" s="154"/>
      <c r="C1219" s="154"/>
      <c r="D1219" s="154"/>
      <c r="E1219" s="196"/>
      <c r="F1219" s="152"/>
      <c r="G1219" s="152"/>
      <c r="H1219" s="153"/>
      <c r="I1219" s="154"/>
      <c r="J1219" s="155"/>
    </row>
    <row r="1220" ht="22.5" customHeight="1">
      <c r="A1220" s="202"/>
      <c r="B1220" s="146"/>
      <c r="C1220" s="146"/>
      <c r="D1220" s="146"/>
      <c r="E1220" s="197"/>
      <c r="F1220" s="144"/>
      <c r="G1220" s="144"/>
      <c r="H1220" s="145"/>
      <c r="I1220" s="146"/>
      <c r="J1220" s="147"/>
    </row>
    <row r="1221" ht="22.5" customHeight="1">
      <c r="A1221" s="250"/>
      <c r="B1221" s="154"/>
      <c r="C1221" s="154"/>
      <c r="D1221" s="154"/>
      <c r="E1221" s="196"/>
      <c r="F1221" s="152"/>
      <c r="G1221" s="152"/>
      <c r="H1221" s="153"/>
      <c r="I1221" s="154"/>
      <c r="J1221" s="155"/>
    </row>
    <row r="1222" ht="22.5" customHeight="1">
      <c r="A1222" s="202"/>
      <c r="B1222" s="146"/>
      <c r="C1222" s="146"/>
      <c r="D1222" s="146"/>
      <c r="E1222" s="197"/>
      <c r="F1222" s="144"/>
      <c r="G1222" s="144"/>
      <c r="H1222" s="145"/>
      <c r="I1222" s="146"/>
      <c r="J1222" s="147"/>
    </row>
    <row r="1223" ht="22.5" customHeight="1">
      <c r="A1223" s="250"/>
      <c r="B1223" s="154"/>
      <c r="C1223" s="154"/>
      <c r="D1223" s="154"/>
      <c r="E1223" s="196"/>
      <c r="F1223" s="152"/>
      <c r="G1223" s="152"/>
      <c r="H1223" s="153"/>
      <c r="I1223" s="154"/>
      <c r="J1223" s="155"/>
    </row>
    <row r="1224" ht="22.5" customHeight="1">
      <c r="A1224" s="202"/>
      <c r="B1224" s="146"/>
      <c r="C1224" s="146"/>
      <c r="D1224" s="146"/>
      <c r="E1224" s="197"/>
      <c r="F1224" s="144"/>
      <c r="G1224" s="144"/>
      <c r="H1224" s="145"/>
      <c r="I1224" s="146"/>
      <c r="J1224" s="147"/>
    </row>
    <row r="1225" ht="22.5" customHeight="1">
      <c r="A1225" s="250"/>
      <c r="B1225" s="154"/>
      <c r="C1225" s="154"/>
      <c r="D1225" s="154"/>
      <c r="E1225" s="196"/>
      <c r="F1225" s="152"/>
      <c r="G1225" s="152"/>
      <c r="H1225" s="153"/>
      <c r="I1225" s="154"/>
      <c r="J1225" s="155"/>
    </row>
    <row r="1226" ht="22.5" customHeight="1">
      <c r="A1226" s="202"/>
      <c r="B1226" s="146"/>
      <c r="C1226" s="146"/>
      <c r="D1226" s="146"/>
      <c r="E1226" s="197"/>
      <c r="F1226" s="144"/>
      <c r="G1226" s="144"/>
      <c r="H1226" s="145"/>
      <c r="I1226" s="146"/>
      <c r="J1226" s="147"/>
    </row>
    <row r="1227" ht="22.5" customHeight="1">
      <c r="A1227" s="250"/>
      <c r="B1227" s="154"/>
      <c r="C1227" s="154"/>
      <c r="D1227" s="154"/>
      <c r="E1227" s="196"/>
      <c r="F1227" s="152"/>
      <c r="G1227" s="152"/>
      <c r="H1227" s="153"/>
      <c r="I1227" s="154"/>
      <c r="J1227" s="155"/>
    </row>
    <row r="1228" ht="22.5" customHeight="1">
      <c r="A1228" s="202"/>
      <c r="B1228" s="146"/>
      <c r="C1228" s="146"/>
      <c r="D1228" s="146"/>
      <c r="E1228" s="197"/>
      <c r="F1228" s="144"/>
      <c r="G1228" s="144"/>
      <c r="H1228" s="145"/>
      <c r="I1228" s="146"/>
      <c r="J1228" s="147"/>
    </row>
    <row r="1229" ht="22.5" customHeight="1">
      <c r="A1229" s="250"/>
      <c r="B1229" s="154"/>
      <c r="C1229" s="154"/>
      <c r="D1229" s="154"/>
      <c r="E1229" s="196"/>
      <c r="F1229" s="152"/>
      <c r="G1229" s="152"/>
      <c r="H1229" s="153"/>
      <c r="I1229" s="154"/>
      <c r="J1229" s="155"/>
    </row>
    <row r="1230" ht="22.5" customHeight="1">
      <c r="A1230" s="202"/>
      <c r="B1230" s="146"/>
      <c r="C1230" s="146"/>
      <c r="D1230" s="146"/>
      <c r="E1230" s="197"/>
      <c r="F1230" s="144"/>
      <c r="G1230" s="144"/>
      <c r="H1230" s="145"/>
      <c r="I1230" s="146"/>
      <c r="J1230" s="147"/>
    </row>
    <row r="1231" ht="22.5" customHeight="1">
      <c r="A1231" s="250"/>
      <c r="B1231" s="154"/>
      <c r="C1231" s="154"/>
      <c r="D1231" s="154"/>
      <c r="E1231" s="196"/>
      <c r="F1231" s="152"/>
      <c r="G1231" s="152"/>
      <c r="H1231" s="153"/>
      <c r="I1231" s="154"/>
      <c r="J1231" s="155"/>
    </row>
    <row r="1232" ht="22.5" customHeight="1">
      <c r="A1232" s="202"/>
      <c r="B1232" s="146"/>
      <c r="C1232" s="146"/>
      <c r="D1232" s="146"/>
      <c r="E1232" s="197"/>
      <c r="F1232" s="144"/>
      <c r="G1232" s="144"/>
      <c r="H1232" s="145"/>
      <c r="I1232" s="146"/>
      <c r="J1232" s="147"/>
    </row>
    <row r="1233" ht="22.5" customHeight="1">
      <c r="A1233" s="250"/>
      <c r="B1233" s="154"/>
      <c r="C1233" s="154"/>
      <c r="D1233" s="154"/>
      <c r="E1233" s="196"/>
      <c r="F1233" s="152"/>
      <c r="G1233" s="152"/>
      <c r="H1233" s="153"/>
      <c r="I1233" s="154"/>
      <c r="J1233" s="155"/>
    </row>
    <row r="1234" ht="22.5" customHeight="1">
      <c r="A1234" s="202"/>
      <c r="B1234" s="146"/>
      <c r="C1234" s="146"/>
      <c r="D1234" s="146"/>
      <c r="E1234" s="197"/>
      <c r="F1234" s="144"/>
      <c r="G1234" s="144"/>
      <c r="H1234" s="145"/>
      <c r="I1234" s="146"/>
      <c r="J1234" s="147"/>
    </row>
    <row r="1235" ht="22.5" customHeight="1">
      <c r="A1235" s="250"/>
      <c r="B1235" s="154"/>
      <c r="C1235" s="154"/>
      <c r="D1235" s="154"/>
      <c r="E1235" s="196"/>
      <c r="F1235" s="152"/>
      <c r="G1235" s="152"/>
      <c r="H1235" s="153"/>
      <c r="I1235" s="154"/>
      <c r="J1235" s="155"/>
    </row>
    <row r="1236" ht="22.5" customHeight="1">
      <c r="A1236" s="202"/>
      <c r="B1236" s="146"/>
      <c r="C1236" s="146"/>
      <c r="D1236" s="146"/>
      <c r="E1236" s="197"/>
      <c r="F1236" s="144"/>
      <c r="G1236" s="144"/>
      <c r="H1236" s="145"/>
      <c r="I1236" s="146"/>
      <c r="J1236" s="147"/>
    </row>
    <row r="1237" ht="22.5" customHeight="1">
      <c r="A1237" s="250"/>
      <c r="B1237" s="154"/>
      <c r="C1237" s="154"/>
      <c r="D1237" s="154"/>
      <c r="E1237" s="196"/>
      <c r="F1237" s="152"/>
      <c r="G1237" s="152"/>
      <c r="H1237" s="153"/>
      <c r="I1237" s="154"/>
      <c r="J1237" s="155"/>
    </row>
    <row r="1238" ht="22.5" customHeight="1">
      <c r="A1238" s="202"/>
      <c r="B1238" s="146"/>
      <c r="C1238" s="146"/>
      <c r="D1238" s="146"/>
      <c r="E1238" s="197"/>
      <c r="F1238" s="144"/>
      <c r="G1238" s="144"/>
      <c r="H1238" s="145"/>
      <c r="I1238" s="146"/>
      <c r="J1238" s="147"/>
    </row>
    <row r="1239" ht="22.5" customHeight="1">
      <c r="A1239" s="250"/>
      <c r="B1239" s="154"/>
      <c r="C1239" s="154"/>
      <c r="D1239" s="154"/>
      <c r="E1239" s="196"/>
      <c r="F1239" s="152"/>
      <c r="G1239" s="152"/>
      <c r="H1239" s="153"/>
      <c r="I1239" s="154"/>
      <c r="J1239" s="155"/>
    </row>
    <row r="1240" ht="22.5" customHeight="1">
      <c r="A1240" s="202"/>
      <c r="B1240" s="146"/>
      <c r="C1240" s="146"/>
      <c r="D1240" s="146"/>
      <c r="E1240" s="197"/>
      <c r="F1240" s="144"/>
      <c r="G1240" s="144"/>
      <c r="H1240" s="145"/>
      <c r="I1240" s="146"/>
      <c r="J1240" s="147"/>
    </row>
    <row r="1241" ht="22.5" customHeight="1">
      <c r="A1241" s="250"/>
      <c r="B1241" s="154"/>
      <c r="C1241" s="154"/>
      <c r="D1241" s="154"/>
      <c r="E1241" s="196"/>
      <c r="F1241" s="152"/>
      <c r="G1241" s="152"/>
      <c r="H1241" s="153"/>
      <c r="I1241" s="154"/>
      <c r="J1241" s="155"/>
    </row>
    <row r="1242" ht="22.5" customHeight="1">
      <c r="A1242" s="202"/>
      <c r="B1242" s="146"/>
      <c r="C1242" s="146"/>
      <c r="D1242" s="146"/>
      <c r="E1242" s="197"/>
      <c r="F1242" s="144"/>
      <c r="G1242" s="144"/>
      <c r="H1242" s="145"/>
      <c r="I1242" s="146"/>
      <c r="J1242" s="147"/>
    </row>
    <row r="1243" ht="22.5" customHeight="1">
      <c r="A1243" s="250"/>
      <c r="B1243" s="154"/>
      <c r="C1243" s="154"/>
      <c r="D1243" s="154"/>
      <c r="E1243" s="196"/>
      <c r="F1243" s="152"/>
      <c r="G1243" s="152"/>
      <c r="H1243" s="153"/>
      <c r="I1243" s="154"/>
      <c r="J1243" s="155"/>
    </row>
    <row r="1244" ht="22.5" customHeight="1">
      <c r="A1244" s="202"/>
      <c r="B1244" s="146"/>
      <c r="C1244" s="146"/>
      <c r="D1244" s="146"/>
      <c r="E1244" s="197"/>
      <c r="F1244" s="144"/>
      <c r="G1244" s="144"/>
      <c r="H1244" s="145"/>
      <c r="I1244" s="146"/>
      <c r="J1244" s="147"/>
    </row>
    <row r="1245" ht="22.5" customHeight="1">
      <c r="A1245" s="250"/>
      <c r="B1245" s="154"/>
      <c r="C1245" s="154"/>
      <c r="D1245" s="154"/>
      <c r="E1245" s="196"/>
      <c r="F1245" s="152"/>
      <c r="G1245" s="152"/>
      <c r="H1245" s="153"/>
      <c r="I1245" s="154"/>
      <c r="J1245" s="155"/>
    </row>
    <row r="1246" ht="22.5" customHeight="1">
      <c r="A1246" s="202"/>
      <c r="B1246" s="146"/>
      <c r="C1246" s="146"/>
      <c r="D1246" s="146"/>
      <c r="E1246" s="197"/>
      <c r="F1246" s="144"/>
      <c r="G1246" s="144"/>
      <c r="H1246" s="145"/>
      <c r="I1246" s="146"/>
      <c r="J1246" s="147"/>
    </row>
    <row r="1247" ht="22.5" customHeight="1">
      <c r="A1247" s="250"/>
      <c r="B1247" s="154"/>
      <c r="C1247" s="154"/>
      <c r="D1247" s="154"/>
      <c r="E1247" s="196"/>
      <c r="F1247" s="152"/>
      <c r="G1247" s="152"/>
      <c r="H1247" s="153"/>
      <c r="I1247" s="154"/>
      <c r="J1247" s="155"/>
    </row>
    <row r="1248" ht="22.5" customHeight="1">
      <c r="A1248" s="202"/>
      <c r="B1248" s="146"/>
      <c r="C1248" s="146"/>
      <c r="D1248" s="146"/>
      <c r="E1248" s="197"/>
      <c r="F1248" s="144"/>
      <c r="G1248" s="144"/>
      <c r="H1248" s="145"/>
      <c r="I1248" s="146"/>
      <c r="J1248" s="147"/>
    </row>
    <row r="1249" ht="22.5" customHeight="1">
      <c r="A1249" s="250"/>
      <c r="B1249" s="154"/>
      <c r="C1249" s="154"/>
      <c r="D1249" s="154"/>
      <c r="E1249" s="196"/>
      <c r="F1249" s="152"/>
      <c r="G1249" s="152"/>
      <c r="H1249" s="153"/>
      <c r="I1249" s="154"/>
      <c r="J1249" s="155"/>
    </row>
    <row r="1250" ht="22.5" customHeight="1">
      <c r="A1250" s="202"/>
      <c r="B1250" s="146"/>
      <c r="C1250" s="146"/>
      <c r="D1250" s="146"/>
      <c r="E1250" s="197"/>
      <c r="F1250" s="144"/>
      <c r="G1250" s="144"/>
      <c r="H1250" s="145"/>
      <c r="I1250" s="146"/>
      <c r="J1250" s="147"/>
    </row>
    <row r="1251" ht="22.5" customHeight="1">
      <c r="A1251" s="250"/>
      <c r="B1251" s="154"/>
      <c r="C1251" s="154"/>
      <c r="D1251" s="154"/>
      <c r="E1251" s="196"/>
      <c r="F1251" s="152"/>
      <c r="G1251" s="152"/>
      <c r="H1251" s="153"/>
      <c r="I1251" s="154"/>
      <c r="J1251" s="155"/>
    </row>
    <row r="1252" ht="22.5" customHeight="1">
      <c r="A1252" s="202"/>
      <c r="B1252" s="146"/>
      <c r="C1252" s="146"/>
      <c r="D1252" s="146"/>
      <c r="E1252" s="197"/>
      <c r="F1252" s="144"/>
      <c r="G1252" s="144"/>
      <c r="H1252" s="145"/>
      <c r="I1252" s="146"/>
      <c r="J1252" s="147"/>
    </row>
    <row r="1253" ht="22.5" customHeight="1">
      <c r="A1253" s="250"/>
      <c r="B1253" s="154"/>
      <c r="C1253" s="154"/>
      <c r="D1253" s="154"/>
      <c r="E1253" s="196"/>
      <c r="F1253" s="152"/>
      <c r="G1253" s="152"/>
      <c r="H1253" s="153"/>
      <c r="I1253" s="154"/>
      <c r="J1253" s="155"/>
    </row>
    <row r="1254" ht="22.5" customHeight="1">
      <c r="A1254" s="202"/>
      <c r="B1254" s="146"/>
      <c r="C1254" s="146"/>
      <c r="D1254" s="146"/>
      <c r="E1254" s="197"/>
      <c r="F1254" s="144"/>
      <c r="G1254" s="144"/>
      <c r="H1254" s="145"/>
      <c r="I1254" s="146"/>
      <c r="J1254" s="147"/>
    </row>
    <row r="1255" ht="22.5" customHeight="1">
      <c r="A1255" s="250"/>
      <c r="B1255" s="154"/>
      <c r="C1255" s="154"/>
      <c r="D1255" s="154"/>
      <c r="E1255" s="196"/>
      <c r="F1255" s="152"/>
      <c r="G1255" s="152"/>
      <c r="H1255" s="153"/>
      <c r="I1255" s="154"/>
      <c r="J1255" s="155"/>
    </row>
    <row r="1256" ht="22.5" customHeight="1">
      <c r="A1256" s="202"/>
      <c r="B1256" s="146"/>
      <c r="C1256" s="146"/>
      <c r="D1256" s="146"/>
      <c r="E1256" s="197"/>
      <c r="F1256" s="144"/>
      <c r="G1256" s="144"/>
      <c r="H1256" s="145"/>
      <c r="I1256" s="146"/>
      <c r="J1256" s="147"/>
    </row>
    <row r="1257" ht="22.5" customHeight="1">
      <c r="A1257" s="250"/>
      <c r="B1257" s="154"/>
      <c r="C1257" s="154"/>
      <c r="D1257" s="154"/>
      <c r="E1257" s="196"/>
      <c r="F1257" s="152"/>
      <c r="G1257" s="152"/>
      <c r="H1257" s="153"/>
      <c r="I1257" s="154"/>
      <c r="J1257" s="155"/>
    </row>
    <row r="1258" ht="22.5" customHeight="1">
      <c r="A1258" s="202"/>
      <c r="B1258" s="146"/>
      <c r="C1258" s="146"/>
      <c r="D1258" s="146"/>
      <c r="E1258" s="197"/>
      <c r="F1258" s="144"/>
      <c r="G1258" s="144"/>
      <c r="H1258" s="145"/>
      <c r="I1258" s="146"/>
      <c r="J1258" s="147"/>
    </row>
    <row r="1259" ht="22.5" customHeight="1">
      <c r="A1259" s="250"/>
      <c r="B1259" s="154"/>
      <c r="C1259" s="154"/>
      <c r="D1259" s="154"/>
      <c r="E1259" s="196"/>
      <c r="F1259" s="152"/>
      <c r="G1259" s="152"/>
      <c r="H1259" s="153"/>
      <c r="I1259" s="154"/>
      <c r="J1259" s="155"/>
    </row>
    <row r="1260" ht="22.5" customHeight="1">
      <c r="A1260" s="202"/>
      <c r="B1260" s="146"/>
      <c r="C1260" s="146"/>
      <c r="D1260" s="146"/>
      <c r="E1260" s="197"/>
      <c r="F1260" s="144"/>
      <c r="G1260" s="144"/>
      <c r="H1260" s="145"/>
      <c r="I1260" s="146"/>
      <c r="J1260" s="147"/>
    </row>
    <row r="1261" ht="22.5" customHeight="1">
      <c r="A1261" s="250"/>
      <c r="B1261" s="154"/>
      <c r="C1261" s="154"/>
      <c r="D1261" s="154"/>
      <c r="E1261" s="196"/>
      <c r="F1261" s="152"/>
      <c r="G1261" s="152"/>
      <c r="H1261" s="153"/>
      <c r="I1261" s="154"/>
      <c r="J1261" s="155"/>
    </row>
    <row r="1262" ht="22.5" customHeight="1">
      <c r="A1262" s="202"/>
      <c r="B1262" s="146"/>
      <c r="C1262" s="146"/>
      <c r="D1262" s="146"/>
      <c r="E1262" s="197"/>
      <c r="F1262" s="144"/>
      <c r="G1262" s="144"/>
      <c r="H1262" s="145"/>
      <c r="I1262" s="146"/>
      <c r="J1262" s="147"/>
    </row>
    <row r="1263" ht="22.5" customHeight="1">
      <c r="A1263" s="250"/>
      <c r="B1263" s="154"/>
      <c r="C1263" s="154"/>
      <c r="D1263" s="154"/>
      <c r="E1263" s="196"/>
      <c r="F1263" s="152"/>
      <c r="G1263" s="152"/>
      <c r="H1263" s="153"/>
      <c r="I1263" s="154"/>
      <c r="J1263" s="155"/>
    </row>
    <row r="1264" ht="22.5" customHeight="1">
      <c r="A1264" s="202"/>
      <c r="B1264" s="146"/>
      <c r="C1264" s="146"/>
      <c r="D1264" s="146"/>
      <c r="E1264" s="197"/>
      <c r="F1264" s="144"/>
      <c r="G1264" s="144"/>
      <c r="H1264" s="145"/>
      <c r="I1264" s="146"/>
      <c r="J1264" s="147"/>
    </row>
    <row r="1265" ht="22.5" customHeight="1">
      <c r="A1265" s="250"/>
      <c r="B1265" s="154"/>
      <c r="C1265" s="154"/>
      <c r="D1265" s="154"/>
      <c r="E1265" s="196"/>
      <c r="F1265" s="152"/>
      <c r="G1265" s="152"/>
      <c r="H1265" s="153"/>
      <c r="I1265" s="154"/>
      <c r="J1265" s="155"/>
    </row>
    <row r="1266" ht="22.5" customHeight="1">
      <c r="A1266" s="202"/>
      <c r="B1266" s="146"/>
      <c r="C1266" s="146"/>
      <c r="D1266" s="146"/>
      <c r="E1266" s="197"/>
      <c r="F1266" s="144"/>
      <c r="G1266" s="144"/>
      <c r="H1266" s="145"/>
      <c r="I1266" s="146"/>
      <c r="J1266" s="147"/>
    </row>
    <row r="1267" ht="22.5" customHeight="1">
      <c r="A1267" s="250"/>
      <c r="B1267" s="154"/>
      <c r="C1267" s="154"/>
      <c r="D1267" s="154"/>
      <c r="E1267" s="196"/>
      <c r="F1267" s="152"/>
      <c r="G1267" s="152"/>
      <c r="H1267" s="153"/>
      <c r="I1267" s="154"/>
      <c r="J1267" s="155"/>
    </row>
    <row r="1268" ht="22.5" customHeight="1">
      <c r="A1268" s="202"/>
      <c r="B1268" s="146"/>
      <c r="C1268" s="146"/>
      <c r="D1268" s="146"/>
      <c r="E1268" s="197"/>
      <c r="F1268" s="144"/>
      <c r="G1268" s="144"/>
      <c r="H1268" s="145"/>
      <c r="I1268" s="146"/>
      <c r="J1268" s="147"/>
    </row>
    <row r="1269" ht="22.5" customHeight="1">
      <c r="A1269" s="250"/>
      <c r="B1269" s="154"/>
      <c r="C1269" s="154"/>
      <c r="D1269" s="154"/>
      <c r="E1269" s="196"/>
      <c r="F1269" s="152"/>
      <c r="G1269" s="152"/>
      <c r="H1269" s="153"/>
      <c r="I1269" s="154"/>
      <c r="J1269" s="155"/>
    </row>
    <row r="1270" ht="22.5" customHeight="1">
      <c r="A1270" s="202"/>
      <c r="B1270" s="146"/>
      <c r="C1270" s="146"/>
      <c r="D1270" s="146"/>
      <c r="E1270" s="197"/>
      <c r="F1270" s="144"/>
      <c r="G1270" s="144"/>
      <c r="H1270" s="145"/>
      <c r="I1270" s="146"/>
      <c r="J1270" s="147"/>
    </row>
    <row r="1271" ht="22.5" customHeight="1">
      <c r="A1271" s="250"/>
      <c r="B1271" s="154"/>
      <c r="C1271" s="154"/>
      <c r="D1271" s="154"/>
      <c r="E1271" s="196"/>
      <c r="F1271" s="152"/>
      <c r="G1271" s="152"/>
      <c r="H1271" s="153"/>
      <c r="I1271" s="154"/>
      <c r="J1271" s="155"/>
    </row>
    <row r="1272" ht="22.5" customHeight="1">
      <c r="A1272" s="202"/>
      <c r="B1272" s="146"/>
      <c r="C1272" s="146"/>
      <c r="D1272" s="146"/>
      <c r="E1272" s="197"/>
      <c r="F1272" s="144"/>
      <c r="G1272" s="144"/>
      <c r="H1272" s="145"/>
      <c r="I1272" s="146"/>
      <c r="J1272" s="147"/>
    </row>
    <row r="1273" ht="22.5" customHeight="1">
      <c r="A1273" s="250"/>
      <c r="B1273" s="154"/>
      <c r="C1273" s="154"/>
      <c r="D1273" s="154"/>
      <c r="E1273" s="196"/>
      <c r="F1273" s="152"/>
      <c r="G1273" s="152"/>
      <c r="H1273" s="153"/>
      <c r="I1273" s="154"/>
      <c r="J1273" s="155"/>
    </row>
    <row r="1274" ht="22.5" customHeight="1">
      <c r="A1274" s="202"/>
      <c r="B1274" s="146"/>
      <c r="C1274" s="146"/>
      <c r="D1274" s="146"/>
      <c r="E1274" s="197"/>
      <c r="F1274" s="144"/>
      <c r="G1274" s="144"/>
      <c r="H1274" s="145"/>
      <c r="I1274" s="146"/>
      <c r="J1274" s="147"/>
    </row>
    <row r="1275" ht="22.5" customHeight="1">
      <c r="A1275" s="250"/>
      <c r="B1275" s="154"/>
      <c r="C1275" s="154"/>
      <c r="D1275" s="154"/>
      <c r="E1275" s="196"/>
      <c r="F1275" s="152"/>
      <c r="G1275" s="152"/>
      <c r="H1275" s="153"/>
      <c r="I1275" s="154"/>
      <c r="J1275" s="155"/>
    </row>
    <row r="1276" ht="22.5" customHeight="1">
      <c r="A1276" s="202"/>
      <c r="B1276" s="146"/>
      <c r="C1276" s="146"/>
      <c r="D1276" s="146"/>
      <c r="E1276" s="197"/>
      <c r="F1276" s="144"/>
      <c r="G1276" s="144"/>
      <c r="H1276" s="145"/>
      <c r="I1276" s="146"/>
      <c r="J1276" s="147"/>
    </row>
    <row r="1277" ht="22.5" customHeight="1">
      <c r="A1277" s="250"/>
      <c r="B1277" s="154"/>
      <c r="C1277" s="154"/>
      <c r="D1277" s="154"/>
      <c r="E1277" s="196"/>
      <c r="F1277" s="152"/>
      <c r="G1277" s="152"/>
      <c r="H1277" s="153"/>
      <c r="I1277" s="154"/>
      <c r="J1277" s="155"/>
    </row>
    <row r="1278" ht="22.5" customHeight="1">
      <c r="A1278" s="202"/>
      <c r="B1278" s="146"/>
      <c r="C1278" s="146"/>
      <c r="D1278" s="146"/>
      <c r="E1278" s="197"/>
      <c r="F1278" s="144"/>
      <c r="G1278" s="144"/>
      <c r="H1278" s="145"/>
      <c r="I1278" s="146"/>
      <c r="J1278" s="147"/>
    </row>
    <row r="1279" ht="22.5" customHeight="1">
      <c r="A1279" s="250"/>
      <c r="B1279" s="154"/>
      <c r="C1279" s="154"/>
      <c r="D1279" s="154"/>
      <c r="E1279" s="196"/>
      <c r="F1279" s="152"/>
      <c r="G1279" s="152"/>
      <c r="H1279" s="153"/>
      <c r="I1279" s="154"/>
      <c r="J1279" s="155"/>
    </row>
    <row r="1280" ht="22.5" customHeight="1">
      <c r="A1280" s="202"/>
      <c r="B1280" s="146"/>
      <c r="C1280" s="146"/>
      <c r="D1280" s="146"/>
      <c r="E1280" s="197"/>
      <c r="F1280" s="144"/>
      <c r="G1280" s="144"/>
      <c r="H1280" s="145"/>
      <c r="I1280" s="146"/>
      <c r="J1280" s="147"/>
    </row>
    <row r="1281" ht="22.5" customHeight="1">
      <c r="A1281" s="250"/>
      <c r="B1281" s="154"/>
      <c r="C1281" s="154"/>
      <c r="D1281" s="154"/>
      <c r="E1281" s="196"/>
      <c r="F1281" s="152"/>
      <c r="G1281" s="152"/>
      <c r="H1281" s="153"/>
      <c r="I1281" s="154"/>
      <c r="J1281" s="155"/>
    </row>
    <row r="1282" ht="22.5" customHeight="1">
      <c r="A1282" s="202"/>
      <c r="B1282" s="146"/>
      <c r="C1282" s="146"/>
      <c r="D1282" s="146"/>
      <c r="E1282" s="197"/>
      <c r="F1282" s="144"/>
      <c r="G1282" s="144"/>
      <c r="H1282" s="145"/>
      <c r="I1282" s="146"/>
      <c r="J1282" s="147"/>
    </row>
    <row r="1283" ht="22.5" customHeight="1">
      <c r="A1283" s="250"/>
      <c r="B1283" s="154"/>
      <c r="C1283" s="154"/>
      <c r="D1283" s="154"/>
      <c r="E1283" s="196"/>
      <c r="F1283" s="152"/>
      <c r="G1283" s="152"/>
      <c r="H1283" s="153"/>
      <c r="I1283" s="154"/>
      <c r="J1283" s="155"/>
    </row>
    <row r="1284" ht="22.5" customHeight="1">
      <c r="A1284" s="202"/>
      <c r="B1284" s="146"/>
      <c r="C1284" s="146"/>
      <c r="D1284" s="146"/>
      <c r="E1284" s="197"/>
      <c r="F1284" s="144"/>
      <c r="G1284" s="144"/>
      <c r="H1284" s="145"/>
      <c r="I1284" s="146"/>
      <c r="J1284" s="147"/>
    </row>
    <row r="1285" ht="22.5" customHeight="1">
      <c r="A1285" s="250"/>
      <c r="B1285" s="154"/>
      <c r="C1285" s="154"/>
      <c r="D1285" s="154"/>
      <c r="E1285" s="196"/>
      <c r="F1285" s="152"/>
      <c r="G1285" s="152"/>
      <c r="H1285" s="153"/>
      <c r="I1285" s="154"/>
      <c r="J1285" s="155"/>
    </row>
    <row r="1286" ht="22.5" customHeight="1">
      <c r="A1286" s="202"/>
      <c r="B1286" s="146"/>
      <c r="C1286" s="146"/>
      <c r="D1286" s="146"/>
      <c r="E1286" s="197"/>
      <c r="F1286" s="144"/>
      <c r="G1286" s="144"/>
      <c r="H1286" s="145"/>
      <c r="I1286" s="146"/>
      <c r="J1286" s="147"/>
    </row>
    <row r="1287" ht="22.5" customHeight="1">
      <c r="A1287" s="250"/>
      <c r="B1287" s="154"/>
      <c r="C1287" s="154"/>
      <c r="D1287" s="154"/>
      <c r="E1287" s="196"/>
      <c r="F1287" s="152"/>
      <c r="G1287" s="152"/>
      <c r="H1287" s="153"/>
      <c r="I1287" s="154"/>
      <c r="J1287" s="155"/>
    </row>
    <row r="1288" ht="22.5" customHeight="1">
      <c r="A1288" s="202"/>
      <c r="B1288" s="146"/>
      <c r="C1288" s="146"/>
      <c r="D1288" s="146"/>
      <c r="E1288" s="197"/>
      <c r="F1288" s="144"/>
      <c r="G1288" s="144"/>
      <c r="H1288" s="145"/>
      <c r="I1288" s="146"/>
      <c r="J1288" s="147"/>
    </row>
    <row r="1289" ht="22.5" customHeight="1">
      <c r="A1289" s="250"/>
      <c r="B1289" s="154"/>
      <c r="C1289" s="154"/>
      <c r="D1289" s="154"/>
      <c r="E1289" s="196"/>
      <c r="F1289" s="152"/>
      <c r="G1289" s="152"/>
      <c r="H1289" s="153"/>
      <c r="I1289" s="154"/>
      <c r="J1289" s="155"/>
    </row>
    <row r="1290" ht="22.5" customHeight="1">
      <c r="A1290" s="202"/>
      <c r="B1290" s="146"/>
      <c r="C1290" s="146"/>
      <c r="D1290" s="146"/>
      <c r="E1290" s="197"/>
      <c r="F1290" s="144"/>
      <c r="G1290" s="144"/>
      <c r="H1290" s="145"/>
      <c r="I1290" s="146"/>
      <c r="J1290" s="147"/>
    </row>
    <row r="1291" ht="22.5" customHeight="1">
      <c r="A1291" s="250"/>
      <c r="B1291" s="154"/>
      <c r="C1291" s="154"/>
      <c r="D1291" s="154"/>
      <c r="E1291" s="196"/>
      <c r="F1291" s="152"/>
      <c r="G1291" s="152"/>
      <c r="H1291" s="153"/>
      <c r="I1291" s="154"/>
      <c r="J1291" s="155"/>
    </row>
    <row r="1292" ht="22.5" customHeight="1">
      <c r="A1292" s="202"/>
      <c r="B1292" s="146"/>
      <c r="C1292" s="146"/>
      <c r="D1292" s="146"/>
      <c r="E1292" s="197"/>
      <c r="F1292" s="144"/>
      <c r="G1292" s="144"/>
      <c r="H1292" s="145"/>
      <c r="I1292" s="146"/>
      <c r="J1292" s="147"/>
    </row>
    <row r="1293" ht="22.5" customHeight="1">
      <c r="A1293" s="250"/>
      <c r="B1293" s="154"/>
      <c r="C1293" s="154"/>
      <c r="D1293" s="154"/>
      <c r="E1293" s="196"/>
      <c r="F1293" s="152"/>
      <c r="G1293" s="152"/>
      <c r="H1293" s="153"/>
      <c r="I1293" s="154"/>
      <c r="J1293" s="155"/>
    </row>
    <row r="1294" ht="22.5" customHeight="1">
      <c r="A1294" s="202"/>
      <c r="B1294" s="146"/>
      <c r="C1294" s="146"/>
      <c r="D1294" s="146"/>
      <c r="E1294" s="197"/>
      <c r="F1294" s="144"/>
      <c r="G1294" s="144"/>
      <c r="H1294" s="145"/>
      <c r="I1294" s="146"/>
      <c r="J1294" s="147"/>
    </row>
    <row r="1295" ht="22.5" customHeight="1">
      <c r="A1295" s="250"/>
      <c r="B1295" s="154"/>
      <c r="C1295" s="154"/>
      <c r="D1295" s="154"/>
      <c r="E1295" s="196"/>
      <c r="F1295" s="152"/>
      <c r="G1295" s="152"/>
      <c r="H1295" s="153"/>
      <c r="I1295" s="154"/>
      <c r="J1295" s="155"/>
    </row>
    <row r="1296" ht="22.5" customHeight="1">
      <c r="A1296" s="202"/>
      <c r="B1296" s="146"/>
      <c r="C1296" s="146"/>
      <c r="D1296" s="146"/>
      <c r="E1296" s="197"/>
      <c r="F1296" s="144"/>
      <c r="G1296" s="144"/>
      <c r="H1296" s="145"/>
      <c r="I1296" s="146"/>
      <c r="J1296" s="147"/>
    </row>
    <row r="1297" ht="22.5" customHeight="1">
      <c r="A1297" s="250"/>
      <c r="B1297" s="154"/>
      <c r="C1297" s="154"/>
      <c r="D1297" s="154"/>
      <c r="E1297" s="196"/>
      <c r="F1297" s="152"/>
      <c r="G1297" s="152"/>
      <c r="H1297" s="153"/>
      <c r="I1297" s="154"/>
      <c r="J1297" s="155"/>
    </row>
    <row r="1298" ht="22.5" customHeight="1">
      <c r="A1298" s="202"/>
      <c r="B1298" s="146"/>
      <c r="C1298" s="146"/>
      <c r="D1298" s="146"/>
      <c r="E1298" s="197"/>
      <c r="F1298" s="144"/>
      <c r="G1298" s="144"/>
      <c r="H1298" s="145"/>
      <c r="I1298" s="146"/>
      <c r="J1298" s="147"/>
    </row>
    <row r="1299" ht="22.5" customHeight="1">
      <c r="A1299" s="250"/>
      <c r="B1299" s="154"/>
      <c r="C1299" s="154"/>
      <c r="D1299" s="154"/>
      <c r="E1299" s="196"/>
      <c r="F1299" s="152"/>
      <c r="G1299" s="152"/>
      <c r="H1299" s="153"/>
      <c r="I1299" s="154"/>
      <c r="J1299" s="155"/>
    </row>
    <row r="1300" ht="22.5" customHeight="1">
      <c r="A1300" s="202"/>
      <c r="B1300" s="146"/>
      <c r="C1300" s="146"/>
      <c r="D1300" s="146"/>
      <c r="E1300" s="197"/>
      <c r="F1300" s="144"/>
      <c r="G1300" s="144"/>
      <c r="H1300" s="145"/>
      <c r="I1300" s="146"/>
      <c r="J1300" s="147"/>
    </row>
    <row r="1301" ht="22.5" customHeight="1">
      <c r="A1301" s="250"/>
      <c r="B1301" s="154"/>
      <c r="C1301" s="154"/>
      <c r="D1301" s="154"/>
      <c r="E1301" s="196"/>
      <c r="F1301" s="152"/>
      <c r="G1301" s="152"/>
      <c r="H1301" s="153"/>
      <c r="I1301" s="154"/>
      <c r="J1301" s="155"/>
    </row>
    <row r="1302" ht="22.5" customHeight="1">
      <c r="A1302" s="202"/>
      <c r="B1302" s="146"/>
      <c r="C1302" s="146"/>
      <c r="D1302" s="146"/>
      <c r="E1302" s="197"/>
      <c r="F1302" s="144"/>
      <c r="G1302" s="144"/>
      <c r="H1302" s="145"/>
      <c r="I1302" s="146"/>
      <c r="J1302" s="147"/>
    </row>
    <row r="1303" ht="22.5" customHeight="1">
      <c r="A1303" s="250"/>
      <c r="B1303" s="154"/>
      <c r="C1303" s="154"/>
      <c r="D1303" s="154"/>
      <c r="E1303" s="196"/>
      <c r="F1303" s="152"/>
      <c r="G1303" s="152"/>
      <c r="H1303" s="153"/>
      <c r="I1303" s="154"/>
      <c r="J1303" s="155"/>
    </row>
    <row r="1304" ht="22.5" customHeight="1">
      <c r="A1304" s="202"/>
      <c r="B1304" s="146"/>
      <c r="C1304" s="146"/>
      <c r="D1304" s="146"/>
      <c r="E1304" s="197"/>
      <c r="F1304" s="144"/>
      <c r="G1304" s="144"/>
      <c r="H1304" s="145"/>
      <c r="I1304" s="146"/>
      <c r="J1304" s="147"/>
    </row>
    <row r="1305" ht="22.5" customHeight="1">
      <c r="A1305" s="250"/>
      <c r="B1305" s="154"/>
      <c r="C1305" s="154"/>
      <c r="D1305" s="154"/>
      <c r="E1305" s="196"/>
      <c r="F1305" s="152"/>
      <c r="G1305" s="152"/>
      <c r="H1305" s="153"/>
      <c r="I1305" s="154"/>
      <c r="J1305" s="155"/>
    </row>
    <row r="1306" ht="22.5" customHeight="1">
      <c r="A1306" s="202"/>
      <c r="B1306" s="146"/>
      <c r="C1306" s="146"/>
      <c r="D1306" s="146"/>
      <c r="E1306" s="197"/>
      <c r="F1306" s="144"/>
      <c r="G1306" s="144"/>
      <c r="H1306" s="145"/>
      <c r="I1306" s="146"/>
      <c r="J1306" s="147"/>
    </row>
    <row r="1307" ht="22.5" customHeight="1">
      <c r="A1307" s="250"/>
      <c r="B1307" s="154"/>
      <c r="C1307" s="154"/>
      <c r="D1307" s="154"/>
      <c r="E1307" s="196"/>
      <c r="F1307" s="152"/>
      <c r="G1307" s="152"/>
      <c r="H1307" s="153"/>
      <c r="I1307" s="154"/>
      <c r="J1307" s="155"/>
    </row>
    <row r="1308" ht="22.5" customHeight="1">
      <c r="A1308" s="202"/>
      <c r="B1308" s="146"/>
      <c r="C1308" s="146"/>
      <c r="D1308" s="146"/>
      <c r="E1308" s="197"/>
      <c r="F1308" s="144"/>
      <c r="G1308" s="144"/>
      <c r="H1308" s="145"/>
      <c r="I1308" s="146"/>
      <c r="J1308" s="147"/>
    </row>
    <row r="1309" ht="22.5" customHeight="1">
      <c r="A1309" s="250"/>
      <c r="B1309" s="154"/>
      <c r="C1309" s="154"/>
      <c r="D1309" s="154"/>
      <c r="E1309" s="196"/>
      <c r="F1309" s="152"/>
      <c r="G1309" s="152"/>
      <c r="H1309" s="153"/>
      <c r="I1309" s="154"/>
      <c r="J1309" s="155"/>
    </row>
    <row r="1310" ht="22.5" customHeight="1">
      <c r="A1310" s="202"/>
      <c r="B1310" s="146"/>
      <c r="C1310" s="146"/>
      <c r="D1310" s="146"/>
      <c r="E1310" s="197"/>
      <c r="F1310" s="144"/>
      <c r="G1310" s="144"/>
      <c r="H1310" s="145"/>
      <c r="I1310" s="146"/>
      <c r="J1310" s="147"/>
    </row>
    <row r="1311" ht="22.5" customHeight="1">
      <c r="A1311" s="250"/>
      <c r="B1311" s="154"/>
      <c r="C1311" s="154"/>
      <c r="D1311" s="154"/>
      <c r="E1311" s="196"/>
      <c r="F1311" s="152"/>
      <c r="G1311" s="152"/>
      <c r="H1311" s="153"/>
      <c r="I1311" s="154"/>
      <c r="J1311" s="155"/>
    </row>
    <row r="1312" ht="22.5" customHeight="1">
      <c r="A1312" s="202"/>
      <c r="B1312" s="146"/>
      <c r="C1312" s="146"/>
      <c r="D1312" s="146"/>
      <c r="E1312" s="197"/>
      <c r="F1312" s="144"/>
      <c r="G1312" s="144"/>
      <c r="H1312" s="145"/>
      <c r="I1312" s="146"/>
      <c r="J1312" s="147"/>
    </row>
    <row r="1313" ht="22.5" customHeight="1">
      <c r="A1313" s="250"/>
      <c r="B1313" s="154"/>
      <c r="C1313" s="154"/>
      <c r="D1313" s="154"/>
      <c r="E1313" s="196"/>
      <c r="F1313" s="152"/>
      <c r="G1313" s="152"/>
      <c r="H1313" s="153"/>
      <c r="I1313" s="154"/>
      <c r="J1313" s="155"/>
    </row>
    <row r="1314" ht="22.5" customHeight="1">
      <c r="A1314" s="202"/>
      <c r="B1314" s="146"/>
      <c r="C1314" s="146"/>
      <c r="D1314" s="146"/>
      <c r="E1314" s="197"/>
      <c r="F1314" s="144"/>
      <c r="G1314" s="144"/>
      <c r="H1314" s="145"/>
      <c r="I1314" s="146"/>
      <c r="J1314" s="147"/>
    </row>
    <row r="1315" ht="22.5" customHeight="1">
      <c r="A1315" s="250"/>
      <c r="B1315" s="154"/>
      <c r="C1315" s="154"/>
      <c r="D1315" s="154"/>
      <c r="E1315" s="196"/>
      <c r="F1315" s="152"/>
      <c r="G1315" s="152"/>
      <c r="H1315" s="153"/>
      <c r="I1315" s="154"/>
      <c r="J1315" s="155"/>
    </row>
    <row r="1316" ht="22.5" customHeight="1">
      <c r="A1316" s="202"/>
      <c r="B1316" s="146"/>
      <c r="C1316" s="146"/>
      <c r="D1316" s="146"/>
      <c r="E1316" s="197"/>
      <c r="F1316" s="144"/>
      <c r="G1316" s="144"/>
      <c r="H1316" s="145"/>
      <c r="I1316" s="146"/>
      <c r="J1316" s="147"/>
    </row>
    <row r="1317" ht="22.5" customHeight="1">
      <c r="A1317" s="250"/>
      <c r="B1317" s="154"/>
      <c r="C1317" s="154"/>
      <c r="D1317" s="154"/>
      <c r="E1317" s="196"/>
      <c r="F1317" s="152"/>
      <c r="G1317" s="152"/>
      <c r="H1317" s="153"/>
      <c r="I1317" s="154"/>
      <c r="J1317" s="155"/>
    </row>
    <row r="1318" ht="22.5" customHeight="1">
      <c r="A1318" s="202"/>
      <c r="B1318" s="146"/>
      <c r="C1318" s="146"/>
      <c r="D1318" s="146"/>
      <c r="E1318" s="197"/>
      <c r="F1318" s="144"/>
      <c r="G1318" s="144"/>
      <c r="H1318" s="145"/>
      <c r="I1318" s="146"/>
      <c r="J1318" s="147"/>
    </row>
    <row r="1319" ht="22.5" customHeight="1">
      <c r="A1319" s="250"/>
      <c r="B1319" s="154"/>
      <c r="C1319" s="154"/>
      <c r="D1319" s="154"/>
      <c r="E1319" s="196"/>
      <c r="F1319" s="152"/>
      <c r="G1319" s="152"/>
      <c r="H1319" s="153"/>
      <c r="I1319" s="154"/>
      <c r="J1319" s="155"/>
    </row>
    <row r="1320" ht="22.5" customHeight="1">
      <c r="A1320" s="202"/>
      <c r="B1320" s="146"/>
      <c r="C1320" s="146"/>
      <c r="D1320" s="146"/>
      <c r="E1320" s="197"/>
      <c r="F1320" s="144"/>
      <c r="G1320" s="144"/>
      <c r="H1320" s="145"/>
      <c r="I1320" s="146"/>
      <c r="J1320" s="147"/>
    </row>
    <row r="1321" ht="22.5" customHeight="1">
      <c r="A1321" s="250"/>
      <c r="B1321" s="154"/>
      <c r="C1321" s="154"/>
      <c r="D1321" s="154"/>
      <c r="E1321" s="196"/>
      <c r="F1321" s="152"/>
      <c r="G1321" s="152"/>
      <c r="H1321" s="153"/>
      <c r="I1321" s="154"/>
      <c r="J1321" s="155"/>
    </row>
    <row r="1322" ht="22.5" customHeight="1">
      <c r="A1322" s="202"/>
      <c r="B1322" s="146"/>
      <c r="C1322" s="146"/>
      <c r="D1322" s="146"/>
      <c r="E1322" s="197"/>
      <c r="F1322" s="144"/>
      <c r="G1322" s="144"/>
      <c r="H1322" s="145"/>
      <c r="I1322" s="146"/>
      <c r="J1322" s="147"/>
    </row>
    <row r="1323" ht="22.5" customHeight="1">
      <c r="A1323" s="250"/>
      <c r="B1323" s="154"/>
      <c r="C1323" s="154"/>
      <c r="D1323" s="154"/>
      <c r="E1323" s="196"/>
      <c r="F1323" s="152"/>
      <c r="G1323" s="152"/>
      <c r="H1323" s="153"/>
      <c r="I1323" s="154"/>
      <c r="J1323" s="155"/>
    </row>
    <row r="1324" ht="22.5" customHeight="1">
      <c r="A1324" s="202"/>
      <c r="B1324" s="146"/>
      <c r="C1324" s="146"/>
      <c r="D1324" s="146"/>
      <c r="E1324" s="197"/>
      <c r="F1324" s="144"/>
      <c r="G1324" s="144"/>
      <c r="H1324" s="145"/>
      <c r="I1324" s="146"/>
      <c r="J1324" s="147"/>
    </row>
    <row r="1325" ht="22.5" customHeight="1">
      <c r="A1325" s="250"/>
      <c r="B1325" s="154"/>
      <c r="C1325" s="154"/>
      <c r="D1325" s="154"/>
      <c r="E1325" s="196"/>
      <c r="F1325" s="152"/>
      <c r="G1325" s="152"/>
      <c r="H1325" s="153"/>
      <c r="I1325" s="154"/>
      <c r="J1325" s="155"/>
    </row>
    <row r="1326" ht="22.5" customHeight="1">
      <c r="A1326" s="202"/>
      <c r="B1326" s="146"/>
      <c r="C1326" s="146"/>
      <c r="D1326" s="146"/>
      <c r="E1326" s="197"/>
      <c r="F1326" s="144"/>
      <c r="G1326" s="144"/>
      <c r="H1326" s="145"/>
      <c r="I1326" s="146"/>
      <c r="J1326" s="147"/>
    </row>
    <row r="1327" ht="22.5" customHeight="1">
      <c r="A1327" s="250"/>
      <c r="B1327" s="154"/>
      <c r="C1327" s="154"/>
      <c r="D1327" s="154"/>
      <c r="E1327" s="196"/>
      <c r="F1327" s="152"/>
      <c r="G1327" s="152"/>
      <c r="H1327" s="153"/>
      <c r="I1327" s="154"/>
      <c r="J1327" s="155"/>
    </row>
    <row r="1328" ht="22.5" customHeight="1">
      <c r="A1328" s="202"/>
      <c r="B1328" s="146"/>
      <c r="C1328" s="146"/>
      <c r="D1328" s="146"/>
      <c r="E1328" s="197"/>
      <c r="F1328" s="144"/>
      <c r="G1328" s="144"/>
      <c r="H1328" s="145"/>
      <c r="I1328" s="146"/>
      <c r="J1328" s="147"/>
    </row>
    <row r="1329" ht="22.5" customHeight="1">
      <c r="A1329" s="250"/>
      <c r="B1329" s="154"/>
      <c r="C1329" s="154"/>
      <c r="D1329" s="154"/>
      <c r="E1329" s="196"/>
      <c r="F1329" s="152"/>
      <c r="G1329" s="152"/>
      <c r="H1329" s="153"/>
      <c r="I1329" s="154"/>
      <c r="J1329" s="155"/>
    </row>
    <row r="1330" ht="22.5" customHeight="1">
      <c r="A1330" s="202"/>
      <c r="B1330" s="146"/>
      <c r="C1330" s="146"/>
      <c r="D1330" s="146"/>
      <c r="E1330" s="197"/>
      <c r="F1330" s="144"/>
      <c r="G1330" s="144"/>
      <c r="H1330" s="145"/>
      <c r="I1330" s="146"/>
      <c r="J1330" s="147"/>
    </row>
    <row r="1331" ht="22.5" customHeight="1">
      <c r="A1331" s="250"/>
      <c r="B1331" s="154"/>
      <c r="C1331" s="154"/>
      <c r="D1331" s="154"/>
      <c r="E1331" s="196"/>
      <c r="F1331" s="152"/>
      <c r="G1331" s="152"/>
      <c r="H1331" s="153"/>
      <c r="I1331" s="154"/>
      <c r="J1331" s="155"/>
    </row>
    <row r="1332" ht="22.5" customHeight="1">
      <c r="A1332" s="202"/>
      <c r="B1332" s="146"/>
      <c r="C1332" s="146"/>
      <c r="D1332" s="146"/>
      <c r="E1332" s="197"/>
      <c r="F1332" s="144"/>
      <c r="G1332" s="144"/>
      <c r="H1332" s="145"/>
      <c r="I1332" s="146"/>
      <c r="J1332" s="147"/>
    </row>
    <row r="1333" ht="22.5" customHeight="1">
      <c r="A1333" s="250"/>
      <c r="B1333" s="154"/>
      <c r="C1333" s="154"/>
      <c r="D1333" s="154"/>
      <c r="E1333" s="196"/>
      <c r="F1333" s="152"/>
      <c r="G1333" s="152"/>
      <c r="H1333" s="153"/>
      <c r="I1333" s="154"/>
      <c r="J1333" s="155"/>
    </row>
    <row r="1334" ht="22.5" customHeight="1">
      <c r="A1334" s="202"/>
      <c r="B1334" s="146"/>
      <c r="C1334" s="146"/>
      <c r="D1334" s="146"/>
      <c r="E1334" s="197"/>
      <c r="F1334" s="144"/>
      <c r="G1334" s="144"/>
      <c r="H1334" s="145"/>
      <c r="I1334" s="146"/>
      <c r="J1334" s="147"/>
    </row>
    <row r="1335" ht="22.5" customHeight="1">
      <c r="A1335" s="250"/>
      <c r="B1335" s="154"/>
      <c r="C1335" s="154"/>
      <c r="D1335" s="154"/>
      <c r="E1335" s="196"/>
      <c r="F1335" s="152"/>
      <c r="G1335" s="152"/>
      <c r="H1335" s="153"/>
      <c r="I1335" s="154"/>
      <c r="J1335" s="155"/>
    </row>
    <row r="1336" ht="22.5" customHeight="1">
      <c r="A1336" s="202"/>
      <c r="B1336" s="146"/>
      <c r="C1336" s="146"/>
      <c r="D1336" s="146"/>
      <c r="E1336" s="197"/>
      <c r="F1336" s="144"/>
      <c r="G1336" s="144"/>
      <c r="H1336" s="145"/>
      <c r="I1336" s="146"/>
      <c r="J1336" s="147"/>
    </row>
    <row r="1337" ht="22.5" customHeight="1">
      <c r="A1337" s="250"/>
      <c r="B1337" s="154"/>
      <c r="C1337" s="154"/>
      <c r="D1337" s="154"/>
      <c r="E1337" s="196"/>
      <c r="F1337" s="152"/>
      <c r="G1337" s="152"/>
      <c r="H1337" s="153"/>
      <c r="I1337" s="154"/>
      <c r="J1337" s="155"/>
    </row>
    <row r="1338" ht="22.5" customHeight="1">
      <c r="A1338" s="202"/>
      <c r="B1338" s="146"/>
      <c r="C1338" s="146"/>
      <c r="D1338" s="146"/>
      <c r="E1338" s="197"/>
      <c r="F1338" s="144"/>
      <c r="G1338" s="144"/>
      <c r="H1338" s="145"/>
      <c r="I1338" s="146"/>
      <c r="J1338" s="147"/>
    </row>
    <row r="1339" ht="22.5" customHeight="1">
      <c r="A1339" s="250"/>
      <c r="B1339" s="154"/>
      <c r="C1339" s="154"/>
      <c r="D1339" s="154"/>
      <c r="E1339" s="196"/>
      <c r="F1339" s="152"/>
      <c r="G1339" s="152"/>
      <c r="H1339" s="153"/>
      <c r="I1339" s="154"/>
      <c r="J1339" s="155"/>
    </row>
    <row r="1340" ht="22.5" customHeight="1">
      <c r="A1340" s="202"/>
      <c r="B1340" s="146"/>
      <c r="C1340" s="146"/>
      <c r="D1340" s="146"/>
      <c r="E1340" s="197"/>
      <c r="F1340" s="144"/>
      <c r="G1340" s="144"/>
      <c r="H1340" s="145"/>
      <c r="I1340" s="146"/>
      <c r="J1340" s="147"/>
    </row>
    <row r="1341" ht="22.5" customHeight="1">
      <c r="A1341" s="250"/>
      <c r="B1341" s="154"/>
      <c r="C1341" s="154"/>
      <c r="D1341" s="154"/>
      <c r="E1341" s="196"/>
      <c r="F1341" s="152"/>
      <c r="G1341" s="152"/>
      <c r="H1341" s="153"/>
      <c r="I1341" s="154"/>
      <c r="J1341" s="155"/>
    </row>
    <row r="1342" ht="22.5" customHeight="1">
      <c r="A1342" s="202"/>
      <c r="B1342" s="146"/>
      <c r="C1342" s="146"/>
      <c r="D1342" s="146"/>
      <c r="E1342" s="197"/>
      <c r="F1342" s="144"/>
      <c r="G1342" s="144"/>
      <c r="H1342" s="145"/>
      <c r="I1342" s="146"/>
      <c r="J1342" s="147"/>
    </row>
    <row r="1343" ht="22.5" customHeight="1">
      <c r="A1343" s="250"/>
      <c r="B1343" s="154"/>
      <c r="C1343" s="154"/>
      <c r="D1343" s="154"/>
      <c r="E1343" s="196"/>
      <c r="F1343" s="152"/>
      <c r="G1343" s="152"/>
      <c r="H1343" s="153"/>
      <c r="I1343" s="154"/>
      <c r="J1343" s="155"/>
    </row>
    <row r="1344" ht="22.5" customHeight="1">
      <c r="A1344" s="202"/>
      <c r="B1344" s="146"/>
      <c r="C1344" s="146"/>
      <c r="D1344" s="146"/>
      <c r="E1344" s="197"/>
      <c r="F1344" s="144"/>
      <c r="G1344" s="144"/>
      <c r="H1344" s="145"/>
      <c r="I1344" s="146"/>
      <c r="J1344" s="147"/>
    </row>
    <row r="1345" ht="22.5" customHeight="1">
      <c r="A1345" s="250"/>
      <c r="B1345" s="154"/>
      <c r="C1345" s="154"/>
      <c r="D1345" s="154"/>
      <c r="E1345" s="196"/>
      <c r="F1345" s="152"/>
      <c r="G1345" s="152"/>
      <c r="H1345" s="153"/>
      <c r="I1345" s="154"/>
      <c r="J1345" s="155"/>
    </row>
    <row r="1346" ht="22.5" customHeight="1">
      <c r="A1346" s="202"/>
      <c r="B1346" s="146"/>
      <c r="C1346" s="146"/>
      <c r="D1346" s="146"/>
      <c r="E1346" s="197"/>
      <c r="F1346" s="144"/>
      <c r="G1346" s="144"/>
      <c r="H1346" s="145"/>
      <c r="I1346" s="146"/>
      <c r="J1346" s="147"/>
    </row>
    <row r="1347" ht="22.5" customHeight="1">
      <c r="A1347" s="250"/>
      <c r="B1347" s="154"/>
      <c r="C1347" s="154"/>
      <c r="D1347" s="154"/>
      <c r="E1347" s="196"/>
      <c r="F1347" s="152"/>
      <c r="G1347" s="152"/>
      <c r="H1347" s="153"/>
      <c r="I1347" s="154"/>
      <c r="J1347" s="155"/>
    </row>
    <row r="1348" ht="22.5" customHeight="1">
      <c r="A1348" s="202"/>
      <c r="B1348" s="146"/>
      <c r="C1348" s="146"/>
      <c r="D1348" s="146"/>
      <c r="E1348" s="197"/>
      <c r="F1348" s="144"/>
      <c r="G1348" s="144"/>
      <c r="H1348" s="145"/>
      <c r="I1348" s="146"/>
      <c r="J1348" s="147"/>
    </row>
    <row r="1349" ht="22.5" customHeight="1">
      <c r="A1349" s="250"/>
      <c r="B1349" s="154"/>
      <c r="C1349" s="154"/>
      <c r="D1349" s="154"/>
      <c r="E1349" s="196"/>
      <c r="F1349" s="152"/>
      <c r="G1349" s="152"/>
      <c r="H1349" s="153"/>
      <c r="I1349" s="154"/>
      <c r="J1349" s="155"/>
    </row>
    <row r="1350" ht="22.5" customHeight="1">
      <c r="A1350" s="202"/>
      <c r="B1350" s="146"/>
      <c r="C1350" s="146"/>
      <c r="D1350" s="146"/>
      <c r="E1350" s="197"/>
      <c r="F1350" s="144"/>
      <c r="G1350" s="144"/>
      <c r="H1350" s="145"/>
      <c r="I1350" s="146"/>
      <c r="J1350" s="147"/>
    </row>
    <row r="1351" ht="22.5" customHeight="1">
      <c r="A1351" s="250"/>
      <c r="B1351" s="154"/>
      <c r="C1351" s="154"/>
      <c r="D1351" s="154"/>
      <c r="E1351" s="196"/>
      <c r="F1351" s="152"/>
      <c r="G1351" s="152"/>
      <c r="H1351" s="153"/>
      <c r="I1351" s="154"/>
      <c r="J1351" s="155"/>
    </row>
    <row r="1352" ht="22.5" customHeight="1">
      <c r="A1352" s="202"/>
      <c r="B1352" s="146"/>
      <c r="C1352" s="146"/>
      <c r="D1352" s="146"/>
      <c r="E1352" s="197"/>
      <c r="F1352" s="144"/>
      <c r="G1352" s="144"/>
      <c r="H1352" s="145"/>
      <c r="I1352" s="146"/>
      <c r="J1352" s="147"/>
    </row>
    <row r="1353" ht="22.5" customHeight="1">
      <c r="A1353" s="250"/>
      <c r="B1353" s="154"/>
      <c r="C1353" s="154"/>
      <c r="D1353" s="154"/>
      <c r="E1353" s="196"/>
      <c r="F1353" s="152"/>
      <c r="G1353" s="152"/>
      <c r="H1353" s="153"/>
      <c r="I1353" s="154"/>
      <c r="J1353" s="155"/>
    </row>
    <row r="1354" ht="22.5" customHeight="1">
      <c r="A1354" s="202"/>
      <c r="B1354" s="146"/>
      <c r="C1354" s="146"/>
      <c r="D1354" s="146"/>
      <c r="E1354" s="197"/>
      <c r="F1354" s="144"/>
      <c r="G1354" s="144"/>
      <c r="H1354" s="145"/>
      <c r="I1354" s="146"/>
      <c r="J1354" s="147"/>
    </row>
    <row r="1355" ht="22.5" customHeight="1">
      <c r="A1355" s="250"/>
      <c r="B1355" s="154"/>
      <c r="C1355" s="154"/>
      <c r="D1355" s="154"/>
      <c r="E1355" s="196"/>
      <c r="F1355" s="152"/>
      <c r="G1355" s="152"/>
      <c r="H1355" s="153"/>
      <c r="I1355" s="154"/>
      <c r="J1355" s="155"/>
    </row>
    <row r="1356" ht="22.5" customHeight="1">
      <c r="A1356" s="202"/>
      <c r="B1356" s="146"/>
      <c r="C1356" s="146"/>
      <c r="D1356" s="146"/>
      <c r="E1356" s="197"/>
      <c r="F1356" s="144"/>
      <c r="G1356" s="144"/>
      <c r="H1356" s="145"/>
      <c r="I1356" s="146"/>
      <c r="J1356" s="147"/>
    </row>
    <row r="1357" ht="22.5" customHeight="1">
      <c r="A1357" s="250"/>
      <c r="B1357" s="154"/>
      <c r="C1357" s="154"/>
      <c r="D1357" s="154"/>
      <c r="E1357" s="196"/>
      <c r="F1357" s="152"/>
      <c r="G1357" s="152"/>
      <c r="H1357" s="153"/>
      <c r="I1357" s="154"/>
      <c r="J1357" s="155"/>
    </row>
    <row r="1358" ht="22.5" customHeight="1">
      <c r="A1358" s="202"/>
      <c r="B1358" s="146"/>
      <c r="C1358" s="146"/>
      <c r="D1358" s="146"/>
      <c r="E1358" s="197"/>
      <c r="F1358" s="144"/>
      <c r="G1358" s="144"/>
      <c r="H1358" s="145"/>
      <c r="I1358" s="146"/>
      <c r="J1358" s="147"/>
    </row>
    <row r="1359" ht="22.5" customHeight="1">
      <c r="A1359" s="250"/>
      <c r="B1359" s="154"/>
      <c r="C1359" s="154"/>
      <c r="D1359" s="154"/>
      <c r="E1359" s="196"/>
      <c r="F1359" s="152"/>
      <c r="G1359" s="152"/>
      <c r="H1359" s="153"/>
      <c r="I1359" s="154"/>
      <c r="J1359" s="155"/>
    </row>
    <row r="1360" ht="22.5" customHeight="1">
      <c r="A1360" s="202"/>
      <c r="B1360" s="146"/>
      <c r="C1360" s="146"/>
      <c r="D1360" s="146"/>
      <c r="E1360" s="197"/>
      <c r="F1360" s="144"/>
      <c r="G1360" s="144"/>
      <c r="H1360" s="145"/>
      <c r="I1360" s="146"/>
      <c r="J1360" s="147"/>
    </row>
    <row r="1361" ht="22.5" customHeight="1">
      <c r="A1361" s="250"/>
      <c r="B1361" s="154"/>
      <c r="C1361" s="154"/>
      <c r="D1361" s="154"/>
      <c r="E1361" s="196"/>
      <c r="F1361" s="152"/>
      <c r="G1361" s="152"/>
      <c r="H1361" s="153"/>
      <c r="I1361" s="154"/>
      <c r="J1361" s="155"/>
    </row>
    <row r="1362" ht="22.5" customHeight="1">
      <c r="A1362" s="202"/>
      <c r="B1362" s="146"/>
      <c r="C1362" s="146"/>
      <c r="D1362" s="146"/>
      <c r="E1362" s="197"/>
      <c r="F1362" s="144"/>
      <c r="G1362" s="144"/>
      <c r="H1362" s="145"/>
      <c r="I1362" s="146"/>
      <c r="J1362" s="147"/>
    </row>
    <row r="1363" ht="22.5" customHeight="1">
      <c r="A1363" s="250"/>
      <c r="B1363" s="154"/>
      <c r="C1363" s="154"/>
      <c r="D1363" s="154"/>
      <c r="E1363" s="196"/>
      <c r="F1363" s="152"/>
      <c r="G1363" s="152"/>
      <c r="H1363" s="153"/>
      <c r="I1363" s="154"/>
      <c r="J1363" s="155"/>
    </row>
    <row r="1364" ht="22.5" customHeight="1">
      <c r="A1364" s="202"/>
      <c r="B1364" s="146"/>
      <c r="C1364" s="146"/>
      <c r="D1364" s="146"/>
      <c r="E1364" s="197"/>
      <c r="F1364" s="144"/>
      <c r="G1364" s="144"/>
      <c r="H1364" s="145"/>
      <c r="I1364" s="146"/>
      <c r="J1364" s="147"/>
    </row>
    <row r="1365" ht="22.5" customHeight="1">
      <c r="A1365" s="250"/>
      <c r="B1365" s="154"/>
      <c r="C1365" s="154"/>
      <c r="D1365" s="154"/>
      <c r="E1365" s="196"/>
      <c r="F1365" s="152"/>
      <c r="G1365" s="152"/>
      <c r="H1365" s="153"/>
      <c r="I1365" s="154"/>
      <c r="J1365" s="155"/>
    </row>
    <row r="1366" ht="22.5" customHeight="1">
      <c r="A1366" s="202"/>
      <c r="B1366" s="146"/>
      <c r="C1366" s="146"/>
      <c r="D1366" s="146"/>
      <c r="E1366" s="197"/>
      <c r="F1366" s="144"/>
      <c r="G1366" s="144"/>
      <c r="H1366" s="145"/>
      <c r="I1366" s="146"/>
      <c r="J1366" s="147"/>
    </row>
    <row r="1367" ht="22.5" customHeight="1">
      <c r="A1367" s="250"/>
      <c r="B1367" s="154"/>
      <c r="C1367" s="154"/>
      <c r="D1367" s="154"/>
      <c r="E1367" s="196"/>
      <c r="F1367" s="152"/>
      <c r="G1367" s="152"/>
      <c r="H1367" s="153"/>
      <c r="I1367" s="154"/>
      <c r="J1367" s="155"/>
    </row>
    <row r="1368" ht="22.5" customHeight="1">
      <c r="A1368" s="202"/>
      <c r="B1368" s="146"/>
      <c r="C1368" s="146"/>
      <c r="D1368" s="146"/>
      <c r="E1368" s="197"/>
      <c r="F1368" s="144"/>
      <c r="G1368" s="144"/>
      <c r="H1368" s="145"/>
      <c r="I1368" s="146"/>
      <c r="J1368" s="147"/>
    </row>
    <row r="1369" ht="22.5" customHeight="1">
      <c r="A1369" s="250"/>
      <c r="B1369" s="154"/>
      <c r="C1369" s="154"/>
      <c r="D1369" s="154"/>
      <c r="E1369" s="196"/>
      <c r="F1369" s="152"/>
      <c r="G1369" s="152"/>
      <c r="H1369" s="153"/>
      <c r="I1369" s="154"/>
      <c r="J1369" s="155"/>
    </row>
    <row r="1370" ht="22.5" customHeight="1">
      <c r="A1370" s="202"/>
      <c r="B1370" s="146"/>
      <c r="C1370" s="146"/>
      <c r="D1370" s="146"/>
      <c r="E1370" s="197"/>
      <c r="F1370" s="144"/>
      <c r="G1370" s="144"/>
      <c r="H1370" s="145"/>
      <c r="I1370" s="146"/>
      <c r="J1370" s="147"/>
    </row>
    <row r="1371" ht="22.5" customHeight="1">
      <c r="A1371" s="250"/>
      <c r="B1371" s="154"/>
      <c r="C1371" s="154"/>
      <c r="D1371" s="154"/>
      <c r="E1371" s="196"/>
      <c r="F1371" s="152"/>
      <c r="G1371" s="152"/>
      <c r="H1371" s="153"/>
      <c r="I1371" s="154"/>
      <c r="J1371" s="155"/>
    </row>
    <row r="1372" ht="22.5" customHeight="1">
      <c r="A1372" s="202"/>
      <c r="B1372" s="146"/>
      <c r="C1372" s="146"/>
      <c r="D1372" s="146"/>
      <c r="E1372" s="197"/>
      <c r="F1372" s="144"/>
      <c r="G1372" s="144"/>
      <c r="H1372" s="145"/>
      <c r="I1372" s="146"/>
      <c r="J1372" s="147"/>
    </row>
    <row r="1373" ht="22.5" customHeight="1">
      <c r="A1373" s="250"/>
      <c r="B1373" s="154"/>
      <c r="C1373" s="154"/>
      <c r="D1373" s="154"/>
      <c r="E1373" s="196"/>
      <c r="F1373" s="152"/>
      <c r="G1373" s="152"/>
      <c r="H1373" s="153"/>
      <c r="I1373" s="154"/>
      <c r="J1373" s="155"/>
    </row>
    <row r="1374" ht="22.5" customHeight="1">
      <c r="A1374" s="202"/>
      <c r="B1374" s="146"/>
      <c r="C1374" s="146"/>
      <c r="D1374" s="146"/>
      <c r="E1374" s="197"/>
      <c r="F1374" s="144"/>
      <c r="G1374" s="144"/>
      <c r="H1374" s="145"/>
      <c r="I1374" s="146"/>
      <c r="J1374" s="147"/>
    </row>
    <row r="1375" ht="22.5" customHeight="1">
      <c r="A1375" s="250"/>
      <c r="B1375" s="154"/>
      <c r="C1375" s="154"/>
      <c r="D1375" s="154"/>
      <c r="E1375" s="196"/>
      <c r="F1375" s="152"/>
      <c r="G1375" s="152"/>
      <c r="H1375" s="153"/>
      <c r="I1375" s="154"/>
      <c r="J1375" s="155"/>
    </row>
    <row r="1376" ht="22.5" customHeight="1">
      <c r="A1376" s="202"/>
      <c r="B1376" s="146"/>
      <c r="C1376" s="146"/>
      <c r="D1376" s="146"/>
      <c r="E1376" s="197"/>
      <c r="F1376" s="144"/>
      <c r="G1376" s="144"/>
      <c r="H1376" s="145"/>
      <c r="I1376" s="146"/>
      <c r="J1376" s="147"/>
    </row>
    <row r="1377" ht="22.5" customHeight="1">
      <c r="A1377" s="250"/>
      <c r="B1377" s="154"/>
      <c r="C1377" s="154"/>
      <c r="D1377" s="154"/>
      <c r="E1377" s="196"/>
      <c r="F1377" s="152"/>
      <c r="G1377" s="152"/>
      <c r="H1377" s="153"/>
      <c r="I1377" s="154"/>
      <c r="J1377" s="155"/>
    </row>
    <row r="1378" ht="22.5" customHeight="1">
      <c r="A1378" s="202"/>
      <c r="B1378" s="146"/>
      <c r="C1378" s="146"/>
      <c r="D1378" s="146"/>
      <c r="E1378" s="197"/>
      <c r="F1378" s="144"/>
      <c r="G1378" s="144"/>
      <c r="H1378" s="145"/>
      <c r="I1378" s="146"/>
      <c r="J1378" s="147"/>
    </row>
    <row r="1379" ht="22.5" customHeight="1">
      <c r="A1379" s="250"/>
      <c r="B1379" s="154"/>
      <c r="C1379" s="154"/>
      <c r="D1379" s="154"/>
      <c r="E1379" s="196"/>
      <c r="F1379" s="152"/>
      <c r="G1379" s="152"/>
      <c r="H1379" s="153"/>
      <c r="I1379" s="154"/>
      <c r="J1379" s="155"/>
    </row>
    <row r="1380" ht="22.5" customHeight="1">
      <c r="A1380" s="202"/>
      <c r="B1380" s="146"/>
      <c r="C1380" s="146"/>
      <c r="D1380" s="146"/>
      <c r="E1380" s="197"/>
      <c r="F1380" s="144"/>
      <c r="G1380" s="144"/>
      <c r="H1380" s="145"/>
      <c r="I1380" s="146"/>
      <c r="J1380" s="147"/>
    </row>
    <row r="1381" ht="22.5" customHeight="1">
      <c r="A1381" s="250"/>
      <c r="B1381" s="154"/>
      <c r="C1381" s="154"/>
      <c r="D1381" s="154"/>
      <c r="E1381" s="196"/>
      <c r="F1381" s="152"/>
      <c r="G1381" s="152"/>
      <c r="H1381" s="153"/>
      <c r="I1381" s="154"/>
      <c r="J1381" s="155"/>
    </row>
    <row r="1382" ht="22.5" customHeight="1">
      <c r="A1382" s="202"/>
      <c r="B1382" s="146"/>
      <c r="C1382" s="146"/>
      <c r="D1382" s="146"/>
      <c r="E1382" s="197"/>
      <c r="F1382" s="144"/>
      <c r="G1382" s="144"/>
      <c r="H1382" s="145"/>
      <c r="I1382" s="146"/>
      <c r="J1382" s="147"/>
    </row>
    <row r="1383" ht="22.5" customHeight="1">
      <c r="A1383" s="250"/>
      <c r="B1383" s="154"/>
      <c r="C1383" s="154"/>
      <c r="D1383" s="154"/>
      <c r="E1383" s="196"/>
      <c r="F1383" s="152"/>
      <c r="G1383" s="152"/>
      <c r="H1383" s="153"/>
      <c r="I1383" s="154"/>
      <c r="J1383" s="155"/>
    </row>
    <row r="1384" ht="22.5" customHeight="1">
      <c r="A1384" s="202"/>
      <c r="B1384" s="146"/>
      <c r="C1384" s="146"/>
      <c r="D1384" s="146"/>
      <c r="E1384" s="197"/>
      <c r="F1384" s="144"/>
      <c r="G1384" s="144"/>
      <c r="H1384" s="145"/>
      <c r="I1384" s="146"/>
      <c r="J1384" s="147"/>
    </row>
    <row r="1385" ht="22.5" customHeight="1">
      <c r="A1385" s="250"/>
      <c r="B1385" s="154"/>
      <c r="C1385" s="154"/>
      <c r="D1385" s="154"/>
      <c r="E1385" s="196"/>
      <c r="F1385" s="152"/>
      <c r="G1385" s="152"/>
      <c r="H1385" s="153"/>
      <c r="I1385" s="154"/>
      <c r="J1385" s="155"/>
    </row>
    <row r="1386" ht="22.5" customHeight="1">
      <c r="A1386" s="202"/>
      <c r="B1386" s="146"/>
      <c r="C1386" s="146"/>
      <c r="D1386" s="146"/>
      <c r="E1386" s="197"/>
      <c r="F1386" s="144"/>
      <c r="G1386" s="144"/>
      <c r="H1386" s="145"/>
      <c r="I1386" s="146"/>
      <c r="J1386" s="147"/>
    </row>
    <row r="1387" ht="22.5" customHeight="1">
      <c r="A1387" s="250"/>
      <c r="B1387" s="154"/>
      <c r="C1387" s="154"/>
      <c r="D1387" s="154"/>
      <c r="E1387" s="196"/>
      <c r="F1387" s="152"/>
      <c r="G1387" s="152"/>
      <c r="H1387" s="153"/>
      <c r="I1387" s="154"/>
      <c r="J1387" s="155"/>
    </row>
    <row r="1388" ht="22.5" customHeight="1">
      <c r="A1388" s="202"/>
      <c r="B1388" s="146"/>
      <c r="C1388" s="146"/>
      <c r="D1388" s="146"/>
      <c r="E1388" s="197"/>
      <c r="F1388" s="144"/>
      <c r="G1388" s="144"/>
      <c r="H1388" s="145"/>
      <c r="I1388" s="146"/>
      <c r="J1388" s="147"/>
    </row>
    <row r="1389" ht="22.5" customHeight="1">
      <c r="A1389" s="250"/>
      <c r="B1389" s="154"/>
      <c r="C1389" s="154"/>
      <c r="D1389" s="154"/>
      <c r="E1389" s="196"/>
      <c r="F1389" s="152"/>
      <c r="G1389" s="152"/>
      <c r="H1389" s="153"/>
      <c r="I1389" s="154"/>
      <c r="J1389" s="155"/>
    </row>
    <row r="1390" ht="22.5" customHeight="1">
      <c r="A1390" s="202"/>
      <c r="B1390" s="146"/>
      <c r="C1390" s="146"/>
      <c r="D1390" s="146"/>
      <c r="E1390" s="197"/>
      <c r="F1390" s="144"/>
      <c r="G1390" s="144"/>
      <c r="H1390" s="145"/>
      <c r="I1390" s="146"/>
      <c r="J1390" s="147"/>
    </row>
    <row r="1391" ht="22.5" customHeight="1">
      <c r="A1391" s="250"/>
      <c r="B1391" s="154"/>
      <c r="C1391" s="154"/>
      <c r="D1391" s="154"/>
      <c r="E1391" s="196"/>
      <c r="F1391" s="152"/>
      <c r="G1391" s="152"/>
      <c r="H1391" s="153"/>
      <c r="I1391" s="154"/>
      <c r="J1391" s="155"/>
    </row>
    <row r="1392" ht="22.5" customHeight="1">
      <c r="A1392" s="202"/>
      <c r="B1392" s="146"/>
      <c r="C1392" s="146"/>
      <c r="D1392" s="146"/>
      <c r="E1392" s="197"/>
      <c r="F1392" s="144"/>
      <c r="G1392" s="144"/>
      <c r="H1392" s="145"/>
      <c r="I1392" s="146"/>
      <c r="J1392" s="147"/>
    </row>
    <row r="1393" ht="22.5" customHeight="1">
      <c r="A1393" s="250"/>
      <c r="B1393" s="154"/>
      <c r="C1393" s="154"/>
      <c r="D1393" s="154"/>
      <c r="E1393" s="196"/>
      <c r="F1393" s="152"/>
      <c r="G1393" s="152"/>
      <c r="H1393" s="153"/>
      <c r="I1393" s="154"/>
      <c r="J1393" s="155"/>
    </row>
    <row r="1394" ht="22.5" customHeight="1">
      <c r="A1394" s="202"/>
      <c r="B1394" s="146"/>
      <c r="C1394" s="146"/>
      <c r="D1394" s="146"/>
      <c r="E1394" s="197"/>
      <c r="F1394" s="144"/>
      <c r="G1394" s="144"/>
      <c r="H1394" s="145"/>
      <c r="I1394" s="146"/>
      <c r="J1394" s="147"/>
    </row>
    <row r="1395" ht="22.5" customHeight="1">
      <c r="A1395" s="250"/>
      <c r="B1395" s="154"/>
      <c r="C1395" s="154"/>
      <c r="D1395" s="154"/>
      <c r="E1395" s="196"/>
      <c r="F1395" s="152"/>
      <c r="G1395" s="152"/>
      <c r="H1395" s="153"/>
      <c r="I1395" s="154"/>
      <c r="J1395" s="155"/>
    </row>
    <row r="1396" ht="22.5" customHeight="1">
      <c r="A1396" s="202"/>
      <c r="B1396" s="146"/>
      <c r="C1396" s="146"/>
      <c r="D1396" s="146"/>
      <c r="E1396" s="197"/>
      <c r="F1396" s="144"/>
      <c r="G1396" s="144"/>
      <c r="H1396" s="145"/>
      <c r="I1396" s="146"/>
      <c r="J1396" s="147"/>
    </row>
    <row r="1397" ht="22.5" customHeight="1">
      <c r="A1397" s="250"/>
      <c r="B1397" s="154"/>
      <c r="C1397" s="154"/>
      <c r="D1397" s="154"/>
      <c r="E1397" s="196"/>
      <c r="F1397" s="152"/>
      <c r="G1397" s="152"/>
      <c r="H1397" s="153"/>
      <c r="I1397" s="154"/>
      <c r="J1397" s="155"/>
    </row>
    <row r="1398" ht="22.5" customHeight="1">
      <c r="A1398" s="202"/>
      <c r="B1398" s="146"/>
      <c r="C1398" s="146"/>
      <c r="D1398" s="146"/>
      <c r="E1398" s="197"/>
      <c r="F1398" s="144"/>
      <c r="G1398" s="144"/>
      <c r="H1398" s="145"/>
      <c r="I1398" s="146"/>
      <c r="J1398" s="147"/>
    </row>
    <row r="1399" ht="22.5" customHeight="1">
      <c r="A1399" s="250"/>
      <c r="B1399" s="154"/>
      <c r="C1399" s="154"/>
      <c r="D1399" s="154"/>
      <c r="E1399" s="196"/>
      <c r="F1399" s="152"/>
      <c r="G1399" s="152"/>
      <c r="H1399" s="153"/>
      <c r="I1399" s="154"/>
      <c r="J1399" s="155"/>
    </row>
    <row r="1400" ht="22.5" customHeight="1">
      <c r="A1400" s="202"/>
      <c r="B1400" s="146"/>
      <c r="C1400" s="146"/>
      <c r="D1400" s="146"/>
      <c r="E1400" s="197"/>
      <c r="F1400" s="144"/>
      <c r="G1400" s="144"/>
      <c r="H1400" s="145"/>
      <c r="I1400" s="146"/>
      <c r="J1400" s="147"/>
    </row>
    <row r="1401" ht="22.5" customHeight="1">
      <c r="A1401" s="250"/>
      <c r="B1401" s="154"/>
      <c r="C1401" s="154"/>
      <c r="D1401" s="154"/>
      <c r="E1401" s="196"/>
      <c r="F1401" s="152"/>
      <c r="G1401" s="152"/>
      <c r="H1401" s="153"/>
      <c r="I1401" s="154"/>
      <c r="J1401" s="155"/>
    </row>
    <row r="1402" ht="22.5" customHeight="1">
      <c r="A1402" s="202"/>
      <c r="B1402" s="146"/>
      <c r="C1402" s="146"/>
      <c r="D1402" s="146"/>
      <c r="E1402" s="197"/>
      <c r="F1402" s="144"/>
      <c r="G1402" s="144"/>
      <c r="H1402" s="145"/>
      <c r="I1402" s="146"/>
      <c r="J1402" s="147"/>
    </row>
    <row r="1403" ht="22.5" customHeight="1">
      <c r="A1403" s="250"/>
      <c r="B1403" s="154"/>
      <c r="C1403" s="154"/>
      <c r="D1403" s="154"/>
      <c r="E1403" s="196"/>
      <c r="F1403" s="152"/>
      <c r="G1403" s="152"/>
      <c r="H1403" s="153"/>
      <c r="I1403" s="154"/>
      <c r="J1403" s="155"/>
    </row>
    <row r="1404" ht="22.5" customHeight="1">
      <c r="A1404" s="202"/>
      <c r="B1404" s="146"/>
      <c r="C1404" s="146"/>
      <c r="D1404" s="146"/>
      <c r="E1404" s="197"/>
      <c r="F1404" s="144"/>
      <c r="G1404" s="144"/>
      <c r="H1404" s="145"/>
      <c r="I1404" s="146"/>
      <c r="J1404" s="147"/>
    </row>
    <row r="1405" ht="22.5" customHeight="1">
      <c r="A1405" s="250"/>
      <c r="B1405" s="154"/>
      <c r="C1405" s="154"/>
      <c r="D1405" s="154"/>
      <c r="E1405" s="196"/>
      <c r="F1405" s="152"/>
      <c r="G1405" s="152"/>
      <c r="H1405" s="153"/>
      <c r="I1405" s="154"/>
      <c r="J1405" s="155"/>
    </row>
    <row r="1406" ht="22.5" customHeight="1">
      <c r="A1406" s="202"/>
      <c r="B1406" s="146"/>
      <c r="C1406" s="146"/>
      <c r="D1406" s="146"/>
      <c r="E1406" s="197"/>
      <c r="F1406" s="144"/>
      <c r="G1406" s="144"/>
      <c r="H1406" s="145"/>
      <c r="I1406" s="146"/>
      <c r="J1406" s="147"/>
    </row>
    <row r="1407" ht="22.5" customHeight="1">
      <c r="A1407" s="250"/>
      <c r="B1407" s="154"/>
      <c r="C1407" s="154"/>
      <c r="D1407" s="154"/>
      <c r="E1407" s="196"/>
      <c r="F1407" s="152"/>
      <c r="G1407" s="152"/>
      <c r="H1407" s="153"/>
      <c r="I1407" s="154"/>
      <c r="J1407" s="155"/>
    </row>
    <row r="1408" ht="22.5" customHeight="1">
      <c r="A1408" s="202"/>
      <c r="B1408" s="146"/>
      <c r="C1408" s="146"/>
      <c r="D1408" s="146"/>
      <c r="E1408" s="197"/>
      <c r="F1408" s="144"/>
      <c r="G1408" s="144"/>
      <c r="H1408" s="145"/>
      <c r="I1408" s="146"/>
      <c r="J1408" s="147"/>
    </row>
    <row r="1409" ht="22.5" customHeight="1">
      <c r="A1409" s="250"/>
      <c r="B1409" s="154"/>
      <c r="C1409" s="154"/>
      <c r="D1409" s="154"/>
      <c r="E1409" s="196"/>
      <c r="F1409" s="152"/>
      <c r="G1409" s="152"/>
      <c r="H1409" s="153"/>
      <c r="I1409" s="154"/>
      <c r="J1409" s="155"/>
    </row>
    <row r="1410" ht="22.5" customHeight="1">
      <c r="A1410" s="202"/>
      <c r="B1410" s="146"/>
      <c r="C1410" s="146"/>
      <c r="D1410" s="146"/>
      <c r="E1410" s="197"/>
      <c r="F1410" s="144"/>
      <c r="G1410" s="144"/>
      <c r="H1410" s="145"/>
      <c r="I1410" s="146"/>
      <c r="J1410" s="147"/>
    </row>
    <row r="1411" ht="22.5" customHeight="1">
      <c r="A1411" s="250"/>
      <c r="B1411" s="154"/>
      <c r="C1411" s="154"/>
      <c r="D1411" s="154"/>
      <c r="E1411" s="196"/>
      <c r="F1411" s="152"/>
      <c r="G1411" s="152"/>
      <c r="H1411" s="153"/>
      <c r="I1411" s="154"/>
      <c r="J1411" s="155"/>
    </row>
    <row r="1412" ht="22.5" customHeight="1">
      <c r="A1412" s="202"/>
      <c r="B1412" s="146"/>
      <c r="C1412" s="146"/>
      <c r="D1412" s="146"/>
      <c r="E1412" s="197"/>
      <c r="F1412" s="144"/>
      <c r="G1412" s="144"/>
      <c r="H1412" s="145"/>
      <c r="I1412" s="146"/>
      <c r="J1412" s="147"/>
    </row>
    <row r="1413" ht="22.5" customHeight="1">
      <c r="A1413" s="250"/>
      <c r="B1413" s="154"/>
      <c r="C1413" s="154"/>
      <c r="D1413" s="154"/>
      <c r="E1413" s="196"/>
      <c r="F1413" s="152"/>
      <c r="G1413" s="152"/>
      <c r="H1413" s="153"/>
      <c r="I1413" s="154"/>
      <c r="J1413" s="155"/>
    </row>
    <row r="1414" ht="22.5" customHeight="1">
      <c r="A1414" s="202"/>
      <c r="B1414" s="146"/>
      <c r="C1414" s="146"/>
      <c r="D1414" s="146"/>
      <c r="E1414" s="197"/>
      <c r="F1414" s="144"/>
      <c r="G1414" s="144"/>
      <c r="H1414" s="145"/>
      <c r="I1414" s="146"/>
      <c r="J1414" s="147"/>
    </row>
    <row r="1415" ht="22.5" customHeight="1">
      <c r="A1415" s="250"/>
      <c r="B1415" s="154"/>
      <c r="C1415" s="154"/>
      <c r="D1415" s="154"/>
      <c r="E1415" s="196"/>
      <c r="F1415" s="152"/>
      <c r="G1415" s="152"/>
      <c r="H1415" s="153"/>
      <c r="I1415" s="154"/>
      <c r="J1415" s="155"/>
    </row>
    <row r="1416" ht="22.5" customHeight="1">
      <c r="A1416" s="202"/>
      <c r="B1416" s="146"/>
      <c r="C1416" s="146"/>
      <c r="D1416" s="146"/>
      <c r="E1416" s="197"/>
      <c r="F1416" s="144"/>
      <c r="G1416" s="144"/>
      <c r="H1416" s="145"/>
      <c r="I1416" s="146"/>
      <c r="J1416" s="147"/>
    </row>
    <row r="1417" ht="22.5" customHeight="1">
      <c r="A1417" s="250"/>
      <c r="B1417" s="154"/>
      <c r="C1417" s="154"/>
      <c r="D1417" s="154"/>
      <c r="E1417" s="196"/>
      <c r="F1417" s="152"/>
      <c r="G1417" s="152"/>
      <c r="H1417" s="153"/>
      <c r="I1417" s="154"/>
      <c r="J1417" s="155"/>
    </row>
    <row r="1418" ht="22.5" customHeight="1">
      <c r="A1418" s="202"/>
      <c r="B1418" s="146"/>
      <c r="C1418" s="146"/>
      <c r="D1418" s="146"/>
      <c r="E1418" s="197"/>
      <c r="F1418" s="144"/>
      <c r="G1418" s="144"/>
      <c r="H1418" s="145"/>
      <c r="I1418" s="146"/>
      <c r="J1418" s="147"/>
    </row>
    <row r="1419" ht="22.5" customHeight="1">
      <c r="A1419" s="250"/>
      <c r="B1419" s="154"/>
      <c r="C1419" s="154"/>
      <c r="D1419" s="154"/>
      <c r="E1419" s="196"/>
      <c r="F1419" s="152"/>
      <c r="G1419" s="152"/>
      <c r="H1419" s="153"/>
      <c r="I1419" s="154"/>
      <c r="J1419" s="155"/>
    </row>
    <row r="1420" ht="22.5" customHeight="1">
      <c r="A1420" s="202"/>
      <c r="B1420" s="146"/>
      <c r="C1420" s="146"/>
      <c r="D1420" s="146"/>
      <c r="E1420" s="197"/>
      <c r="F1420" s="144"/>
      <c r="G1420" s="144"/>
      <c r="H1420" s="145"/>
      <c r="I1420" s="146"/>
      <c r="J1420" s="147"/>
    </row>
    <row r="1421" ht="22.5" customHeight="1">
      <c r="A1421" s="250"/>
      <c r="B1421" s="154"/>
      <c r="C1421" s="154"/>
      <c r="D1421" s="154"/>
      <c r="E1421" s="196"/>
      <c r="F1421" s="152"/>
      <c r="G1421" s="152"/>
      <c r="H1421" s="153"/>
      <c r="I1421" s="154"/>
      <c r="J1421" s="155"/>
    </row>
    <row r="1422" ht="22.5" customHeight="1">
      <c r="A1422" s="202"/>
      <c r="B1422" s="146"/>
      <c r="C1422" s="146"/>
      <c r="D1422" s="146"/>
      <c r="E1422" s="197"/>
      <c r="F1422" s="144"/>
      <c r="G1422" s="144"/>
      <c r="H1422" s="145"/>
      <c r="I1422" s="146"/>
      <c r="J1422" s="147"/>
    </row>
    <row r="1423" ht="22.5" customHeight="1">
      <c r="A1423" s="250"/>
      <c r="B1423" s="154"/>
      <c r="C1423" s="154"/>
      <c r="D1423" s="154"/>
      <c r="E1423" s="196"/>
      <c r="F1423" s="152"/>
      <c r="G1423" s="152"/>
      <c r="H1423" s="153"/>
      <c r="I1423" s="154"/>
      <c r="J1423" s="155"/>
    </row>
    <row r="1424" ht="22.5" customHeight="1">
      <c r="A1424" s="202"/>
      <c r="B1424" s="146"/>
      <c r="C1424" s="146"/>
      <c r="D1424" s="146"/>
      <c r="E1424" s="197"/>
      <c r="F1424" s="144"/>
      <c r="G1424" s="144"/>
      <c r="H1424" s="145"/>
      <c r="I1424" s="146"/>
      <c r="J1424" s="147"/>
    </row>
    <row r="1425" ht="22.5" customHeight="1">
      <c r="A1425" s="250"/>
      <c r="B1425" s="154"/>
      <c r="C1425" s="154"/>
      <c r="D1425" s="154"/>
      <c r="E1425" s="196"/>
      <c r="F1425" s="152"/>
      <c r="G1425" s="152"/>
      <c r="H1425" s="153"/>
      <c r="I1425" s="154"/>
      <c r="J1425" s="155"/>
    </row>
    <row r="1426" ht="22.5" customHeight="1">
      <c r="A1426" s="202"/>
      <c r="B1426" s="146"/>
      <c r="C1426" s="146"/>
      <c r="D1426" s="146"/>
      <c r="E1426" s="197"/>
      <c r="F1426" s="144"/>
      <c r="G1426" s="144"/>
      <c r="H1426" s="145"/>
      <c r="I1426" s="146"/>
      <c r="J1426" s="147"/>
    </row>
    <row r="1427" ht="22.5" customHeight="1">
      <c r="A1427" s="250"/>
      <c r="B1427" s="154"/>
      <c r="C1427" s="154"/>
      <c r="D1427" s="154"/>
      <c r="E1427" s="196"/>
      <c r="F1427" s="152"/>
      <c r="G1427" s="152"/>
      <c r="H1427" s="153"/>
      <c r="I1427" s="154"/>
      <c r="J1427" s="155"/>
    </row>
    <row r="1428" ht="22.5" customHeight="1">
      <c r="A1428" s="202"/>
      <c r="B1428" s="146"/>
      <c r="C1428" s="146"/>
      <c r="D1428" s="146"/>
      <c r="E1428" s="197"/>
      <c r="F1428" s="144"/>
      <c r="G1428" s="144"/>
      <c r="H1428" s="145"/>
      <c r="I1428" s="146"/>
      <c r="J1428" s="147"/>
    </row>
    <row r="1429" ht="22.5" customHeight="1">
      <c r="A1429" s="250"/>
      <c r="B1429" s="154"/>
      <c r="C1429" s="154"/>
      <c r="D1429" s="154"/>
      <c r="E1429" s="196"/>
      <c r="F1429" s="152"/>
      <c r="G1429" s="152"/>
      <c r="H1429" s="153"/>
      <c r="I1429" s="154"/>
      <c r="J1429" s="155"/>
    </row>
    <row r="1430" ht="22.5" customHeight="1">
      <c r="A1430" s="202"/>
      <c r="B1430" s="146"/>
      <c r="C1430" s="146"/>
      <c r="D1430" s="146"/>
      <c r="E1430" s="197"/>
      <c r="F1430" s="144"/>
      <c r="G1430" s="144"/>
      <c r="H1430" s="145"/>
      <c r="I1430" s="146"/>
      <c r="J1430" s="147"/>
    </row>
    <row r="1431" ht="22.5" customHeight="1">
      <c r="A1431" s="250"/>
      <c r="B1431" s="154"/>
      <c r="C1431" s="154"/>
      <c r="D1431" s="154"/>
      <c r="E1431" s="196"/>
      <c r="F1431" s="152"/>
      <c r="G1431" s="152"/>
      <c r="H1431" s="153"/>
      <c r="I1431" s="154"/>
      <c r="J1431" s="155"/>
    </row>
    <row r="1432" ht="22.5" customHeight="1">
      <c r="A1432" s="202"/>
      <c r="B1432" s="146"/>
      <c r="C1432" s="146"/>
      <c r="D1432" s="146"/>
      <c r="E1432" s="197"/>
      <c r="F1432" s="144"/>
      <c r="G1432" s="144"/>
      <c r="H1432" s="145"/>
      <c r="I1432" s="146"/>
      <c r="J1432" s="147"/>
    </row>
    <row r="1433" ht="22.5" customHeight="1">
      <c r="A1433" s="250"/>
      <c r="B1433" s="154"/>
      <c r="C1433" s="154"/>
      <c r="D1433" s="154"/>
      <c r="E1433" s="196"/>
      <c r="F1433" s="152"/>
      <c r="G1433" s="152"/>
      <c r="H1433" s="153"/>
      <c r="I1433" s="154"/>
      <c r="J1433" s="155"/>
    </row>
    <row r="1434" ht="22.5" customHeight="1">
      <c r="A1434" s="202"/>
      <c r="B1434" s="146"/>
      <c r="C1434" s="146"/>
      <c r="D1434" s="146"/>
      <c r="E1434" s="197"/>
      <c r="F1434" s="144"/>
      <c r="G1434" s="144"/>
      <c r="H1434" s="145"/>
      <c r="I1434" s="146"/>
      <c r="J1434" s="147"/>
    </row>
    <row r="1435" ht="22.5" customHeight="1">
      <c r="A1435" s="250"/>
      <c r="B1435" s="154"/>
      <c r="C1435" s="154"/>
      <c r="D1435" s="154"/>
      <c r="E1435" s="196"/>
      <c r="F1435" s="152"/>
      <c r="G1435" s="152"/>
      <c r="H1435" s="153"/>
      <c r="I1435" s="154"/>
      <c r="J1435" s="155"/>
    </row>
    <row r="1436" ht="22.5" customHeight="1">
      <c r="A1436" s="202"/>
      <c r="B1436" s="146"/>
      <c r="C1436" s="146"/>
      <c r="D1436" s="146"/>
      <c r="E1436" s="197"/>
      <c r="F1436" s="144"/>
      <c r="G1436" s="144"/>
      <c r="H1436" s="145"/>
      <c r="I1436" s="146"/>
      <c r="J1436" s="147"/>
    </row>
    <row r="1437" ht="22.5" customHeight="1">
      <c r="A1437" s="250"/>
      <c r="B1437" s="154"/>
      <c r="C1437" s="154"/>
      <c r="D1437" s="154"/>
      <c r="E1437" s="196"/>
      <c r="F1437" s="152"/>
      <c r="G1437" s="152"/>
      <c r="H1437" s="153"/>
      <c r="I1437" s="154"/>
      <c r="J1437" s="155"/>
    </row>
    <row r="1438" ht="22.5" customHeight="1">
      <c r="A1438" s="202"/>
      <c r="B1438" s="146"/>
      <c r="C1438" s="146"/>
      <c r="D1438" s="146"/>
      <c r="E1438" s="197"/>
      <c r="F1438" s="144"/>
      <c r="G1438" s="144"/>
      <c r="H1438" s="145"/>
      <c r="I1438" s="146"/>
      <c r="J1438" s="147"/>
    </row>
    <row r="1439" ht="22.5" customHeight="1">
      <c r="A1439" s="250"/>
      <c r="B1439" s="154"/>
      <c r="C1439" s="154"/>
      <c r="D1439" s="154"/>
      <c r="E1439" s="196"/>
      <c r="F1439" s="152"/>
      <c r="G1439" s="152"/>
      <c r="H1439" s="153"/>
      <c r="I1439" s="154"/>
      <c r="J1439" s="155"/>
    </row>
    <row r="1440" ht="22.5" customHeight="1">
      <c r="A1440" s="202"/>
      <c r="B1440" s="146"/>
      <c r="C1440" s="146"/>
      <c r="D1440" s="146"/>
      <c r="E1440" s="197"/>
      <c r="F1440" s="144"/>
      <c r="G1440" s="144"/>
      <c r="H1440" s="145"/>
      <c r="I1440" s="146"/>
      <c r="J1440" s="147"/>
    </row>
    <row r="1441" ht="22.5" customHeight="1">
      <c r="A1441" s="250"/>
      <c r="B1441" s="154"/>
      <c r="C1441" s="154"/>
      <c r="D1441" s="154"/>
      <c r="E1441" s="196"/>
      <c r="F1441" s="152"/>
      <c r="G1441" s="152"/>
      <c r="H1441" s="153"/>
      <c r="I1441" s="154"/>
      <c r="J1441" s="155"/>
    </row>
    <row r="1442" ht="22.5" customHeight="1">
      <c r="A1442" s="202"/>
      <c r="B1442" s="146"/>
      <c r="C1442" s="146"/>
      <c r="D1442" s="146"/>
      <c r="E1442" s="197"/>
      <c r="F1442" s="144"/>
      <c r="G1442" s="144"/>
      <c r="H1442" s="145"/>
      <c r="I1442" s="146"/>
      <c r="J1442" s="147"/>
    </row>
    <row r="1443" ht="22.5" customHeight="1">
      <c r="A1443" s="250"/>
      <c r="B1443" s="154"/>
      <c r="C1443" s="154"/>
      <c r="D1443" s="154"/>
      <c r="E1443" s="196"/>
      <c r="F1443" s="152"/>
      <c r="G1443" s="152"/>
      <c r="H1443" s="153"/>
      <c r="I1443" s="154"/>
      <c r="J1443" s="155"/>
    </row>
    <row r="1444" ht="22.5" customHeight="1">
      <c r="A1444" s="202"/>
      <c r="B1444" s="146"/>
      <c r="C1444" s="146"/>
      <c r="D1444" s="146"/>
      <c r="E1444" s="197"/>
      <c r="F1444" s="144"/>
      <c r="G1444" s="144"/>
      <c r="H1444" s="145"/>
      <c r="I1444" s="146"/>
      <c r="J1444" s="147"/>
    </row>
    <row r="1445" ht="22.5" customHeight="1">
      <c r="A1445" s="250"/>
      <c r="B1445" s="154"/>
      <c r="C1445" s="154"/>
      <c r="D1445" s="154"/>
      <c r="E1445" s="196"/>
      <c r="F1445" s="152"/>
      <c r="G1445" s="152"/>
      <c r="H1445" s="153"/>
      <c r="I1445" s="154"/>
      <c r="J1445" s="155"/>
    </row>
    <row r="1446" ht="22.5" customHeight="1">
      <c r="A1446" s="202"/>
      <c r="B1446" s="146"/>
      <c r="C1446" s="146"/>
      <c r="D1446" s="146"/>
      <c r="E1446" s="197"/>
      <c r="F1446" s="144"/>
      <c r="G1446" s="144"/>
      <c r="H1446" s="145"/>
      <c r="I1446" s="146"/>
      <c r="J1446" s="147"/>
    </row>
    <row r="1447" ht="22.5" customHeight="1">
      <c r="A1447" s="250"/>
      <c r="B1447" s="154"/>
      <c r="C1447" s="154"/>
      <c r="D1447" s="154"/>
      <c r="E1447" s="196"/>
      <c r="F1447" s="152"/>
      <c r="G1447" s="152"/>
      <c r="H1447" s="153"/>
      <c r="I1447" s="154"/>
      <c r="J1447" s="155"/>
    </row>
    <row r="1448" ht="22.5" customHeight="1">
      <c r="A1448" s="202"/>
      <c r="B1448" s="146"/>
      <c r="C1448" s="146"/>
      <c r="D1448" s="146"/>
      <c r="E1448" s="197"/>
      <c r="F1448" s="144"/>
      <c r="G1448" s="144"/>
      <c r="H1448" s="145"/>
      <c r="I1448" s="146"/>
      <c r="J1448" s="147"/>
    </row>
    <row r="1449" ht="22.5" customHeight="1">
      <c r="A1449" s="250"/>
      <c r="B1449" s="154"/>
      <c r="C1449" s="154"/>
      <c r="D1449" s="154"/>
      <c r="E1449" s="196"/>
      <c r="F1449" s="152"/>
      <c r="G1449" s="152"/>
      <c r="H1449" s="153"/>
      <c r="I1449" s="154"/>
      <c r="J1449" s="155"/>
    </row>
    <row r="1450" ht="22.5" customHeight="1">
      <c r="A1450" s="202"/>
      <c r="B1450" s="146"/>
      <c r="C1450" s="146"/>
      <c r="D1450" s="146"/>
      <c r="E1450" s="197"/>
      <c r="F1450" s="144"/>
      <c r="G1450" s="144"/>
      <c r="H1450" s="145"/>
      <c r="I1450" s="146"/>
      <c r="J1450" s="147"/>
    </row>
    <row r="1451" ht="22.5" customHeight="1">
      <c r="A1451" s="250"/>
      <c r="B1451" s="154"/>
      <c r="C1451" s="154"/>
      <c r="D1451" s="154"/>
      <c r="E1451" s="196"/>
      <c r="F1451" s="152"/>
      <c r="G1451" s="152"/>
      <c r="H1451" s="153"/>
      <c r="I1451" s="154"/>
      <c r="J1451" s="155"/>
    </row>
    <row r="1452" ht="22.5" customHeight="1">
      <c r="A1452" s="202"/>
      <c r="B1452" s="146"/>
      <c r="C1452" s="146"/>
      <c r="D1452" s="146"/>
      <c r="E1452" s="197"/>
      <c r="F1452" s="144"/>
      <c r="G1452" s="144"/>
      <c r="H1452" s="145"/>
      <c r="I1452" s="146"/>
      <c r="J1452" s="147"/>
    </row>
    <row r="1453" ht="22.5" customHeight="1">
      <c r="A1453" s="250"/>
      <c r="B1453" s="154"/>
      <c r="C1453" s="154"/>
      <c r="D1453" s="154"/>
      <c r="E1453" s="196"/>
      <c r="F1453" s="152"/>
      <c r="G1453" s="152"/>
      <c r="H1453" s="153"/>
      <c r="I1453" s="154"/>
      <c r="J1453" s="155"/>
    </row>
    <row r="1454" ht="22.5" customHeight="1">
      <c r="A1454" s="202"/>
      <c r="B1454" s="146"/>
      <c r="C1454" s="146"/>
      <c r="D1454" s="146"/>
      <c r="E1454" s="197"/>
      <c r="F1454" s="144"/>
      <c r="G1454" s="144"/>
      <c r="H1454" s="145"/>
      <c r="I1454" s="146"/>
      <c r="J1454" s="147"/>
    </row>
    <row r="1455" ht="22.5" customHeight="1">
      <c r="A1455" s="250"/>
      <c r="B1455" s="154"/>
      <c r="C1455" s="154"/>
      <c r="D1455" s="154"/>
      <c r="E1455" s="196"/>
      <c r="F1455" s="152"/>
      <c r="G1455" s="152"/>
      <c r="H1455" s="153"/>
      <c r="I1455" s="154"/>
      <c r="J1455" s="155"/>
    </row>
    <row r="1456" ht="22.5" customHeight="1">
      <c r="A1456" s="202"/>
      <c r="B1456" s="146"/>
      <c r="C1456" s="146"/>
      <c r="D1456" s="146"/>
      <c r="E1456" s="197"/>
      <c r="F1456" s="144"/>
      <c r="G1456" s="144"/>
      <c r="H1456" s="145"/>
      <c r="I1456" s="146"/>
      <c r="J1456" s="147"/>
    </row>
    <row r="1457" ht="22.5" customHeight="1">
      <c r="A1457" s="250"/>
      <c r="B1457" s="154"/>
      <c r="C1457" s="154"/>
      <c r="D1457" s="154"/>
      <c r="E1457" s="196"/>
      <c r="F1457" s="152"/>
      <c r="G1457" s="152"/>
      <c r="H1457" s="153"/>
      <c r="I1457" s="154"/>
      <c r="J1457" s="155"/>
    </row>
    <row r="1458" ht="22.5" customHeight="1">
      <c r="A1458" s="202"/>
      <c r="B1458" s="146"/>
      <c r="C1458" s="146"/>
      <c r="D1458" s="146"/>
      <c r="E1458" s="197"/>
      <c r="F1458" s="144"/>
      <c r="G1458" s="144"/>
      <c r="H1458" s="145"/>
      <c r="I1458" s="146"/>
      <c r="J1458" s="147"/>
    </row>
    <row r="1459" ht="22.5" customHeight="1">
      <c r="A1459" s="250"/>
      <c r="B1459" s="154"/>
      <c r="C1459" s="154"/>
      <c r="D1459" s="154"/>
      <c r="E1459" s="196"/>
      <c r="F1459" s="152"/>
      <c r="G1459" s="152"/>
      <c r="H1459" s="153"/>
      <c r="I1459" s="154"/>
      <c r="J1459" s="155"/>
    </row>
    <row r="1460" ht="22.5" customHeight="1">
      <c r="A1460" s="202"/>
      <c r="B1460" s="146"/>
      <c r="C1460" s="146"/>
      <c r="D1460" s="146"/>
      <c r="E1460" s="197"/>
      <c r="F1460" s="144"/>
      <c r="G1460" s="144"/>
      <c r="H1460" s="145"/>
      <c r="I1460" s="146"/>
      <c r="J1460" s="147"/>
    </row>
    <row r="1461" ht="22.5" customHeight="1">
      <c r="A1461" s="250"/>
      <c r="B1461" s="154"/>
      <c r="C1461" s="154"/>
      <c r="D1461" s="154"/>
      <c r="E1461" s="196"/>
      <c r="F1461" s="152"/>
      <c r="G1461" s="152"/>
      <c r="H1461" s="153"/>
      <c r="I1461" s="154"/>
      <c r="J1461" s="155"/>
    </row>
    <row r="1462" ht="22.5" customHeight="1">
      <c r="A1462" s="202"/>
      <c r="B1462" s="146"/>
      <c r="C1462" s="146"/>
      <c r="D1462" s="146"/>
      <c r="E1462" s="197"/>
      <c r="F1462" s="144"/>
      <c r="G1462" s="144"/>
      <c r="H1462" s="145"/>
      <c r="I1462" s="146"/>
      <c r="J1462" s="147"/>
    </row>
    <row r="1463" ht="22.5" customHeight="1">
      <c r="A1463" s="250"/>
      <c r="B1463" s="154"/>
      <c r="C1463" s="154"/>
      <c r="D1463" s="154"/>
      <c r="E1463" s="196"/>
      <c r="F1463" s="152"/>
      <c r="G1463" s="152"/>
      <c r="H1463" s="153"/>
      <c r="I1463" s="154"/>
      <c r="J1463" s="155"/>
    </row>
    <row r="1464" ht="22.5" customHeight="1">
      <c r="A1464" s="202"/>
      <c r="B1464" s="146"/>
      <c r="C1464" s="146"/>
      <c r="D1464" s="146"/>
      <c r="E1464" s="197"/>
      <c r="F1464" s="144"/>
      <c r="G1464" s="144"/>
      <c r="H1464" s="145"/>
      <c r="I1464" s="146"/>
      <c r="J1464" s="147"/>
    </row>
    <row r="1465" ht="22.5" customHeight="1">
      <c r="A1465" s="250"/>
      <c r="B1465" s="154"/>
      <c r="C1465" s="154"/>
      <c r="D1465" s="154"/>
      <c r="E1465" s="196"/>
      <c r="F1465" s="152"/>
      <c r="G1465" s="152"/>
      <c r="H1465" s="153"/>
      <c r="I1465" s="154"/>
      <c r="J1465" s="155"/>
    </row>
    <row r="1466" ht="22.5" customHeight="1">
      <c r="A1466" s="202"/>
      <c r="B1466" s="146"/>
      <c r="C1466" s="146"/>
      <c r="D1466" s="146"/>
      <c r="E1466" s="197"/>
      <c r="F1466" s="144"/>
      <c r="G1466" s="144"/>
      <c r="H1466" s="145"/>
      <c r="I1466" s="146"/>
      <c r="J1466" s="147"/>
    </row>
    <row r="1467" ht="22.5" customHeight="1">
      <c r="A1467" s="250"/>
      <c r="B1467" s="154"/>
      <c r="C1467" s="154"/>
      <c r="D1467" s="154"/>
      <c r="E1467" s="196"/>
      <c r="F1467" s="152"/>
      <c r="G1467" s="152"/>
      <c r="H1467" s="153"/>
      <c r="I1467" s="154"/>
      <c r="J1467" s="155"/>
    </row>
    <row r="1468" ht="22.5" customHeight="1">
      <c r="A1468" s="202"/>
      <c r="B1468" s="146"/>
      <c r="C1468" s="146"/>
      <c r="D1468" s="146"/>
      <c r="E1468" s="197"/>
      <c r="F1468" s="144"/>
      <c r="G1468" s="144"/>
      <c r="H1468" s="145"/>
      <c r="I1468" s="146"/>
      <c r="J1468" s="147"/>
    </row>
    <row r="1469" ht="22.5" customHeight="1">
      <c r="A1469" s="250"/>
      <c r="B1469" s="154"/>
      <c r="C1469" s="154"/>
      <c r="D1469" s="154"/>
      <c r="E1469" s="196"/>
      <c r="F1469" s="152"/>
      <c r="G1469" s="152"/>
      <c r="H1469" s="153"/>
      <c r="I1469" s="154"/>
      <c r="J1469" s="155"/>
    </row>
    <row r="1470" ht="22.5" customHeight="1">
      <c r="A1470" s="202"/>
      <c r="B1470" s="146"/>
      <c r="C1470" s="146"/>
      <c r="D1470" s="146"/>
      <c r="E1470" s="197"/>
      <c r="F1470" s="144"/>
      <c r="G1470" s="144"/>
      <c r="H1470" s="145"/>
      <c r="I1470" s="146"/>
      <c r="J1470" s="147"/>
    </row>
    <row r="1471" ht="22.5" customHeight="1">
      <c r="A1471" s="250"/>
      <c r="B1471" s="154"/>
      <c r="C1471" s="154"/>
      <c r="D1471" s="154"/>
      <c r="E1471" s="196"/>
      <c r="F1471" s="152"/>
      <c r="G1471" s="152"/>
      <c r="H1471" s="153"/>
      <c r="I1471" s="154"/>
      <c r="J1471" s="155"/>
    </row>
    <row r="1472" ht="22.5" customHeight="1">
      <c r="A1472" s="202"/>
      <c r="B1472" s="146"/>
      <c r="C1472" s="146"/>
      <c r="D1472" s="146"/>
      <c r="E1472" s="197"/>
      <c r="F1472" s="144"/>
      <c r="G1472" s="144"/>
      <c r="H1472" s="145"/>
      <c r="I1472" s="146"/>
      <c r="J1472" s="147"/>
    </row>
    <row r="1473" ht="22.5" customHeight="1">
      <c r="A1473" s="250"/>
      <c r="B1473" s="154"/>
      <c r="C1473" s="154"/>
      <c r="D1473" s="154"/>
      <c r="E1473" s="196"/>
      <c r="F1473" s="152"/>
      <c r="G1473" s="152"/>
      <c r="H1473" s="153"/>
      <c r="I1473" s="154"/>
      <c r="J1473" s="155"/>
    </row>
    <row r="1474" ht="22.5" customHeight="1">
      <c r="A1474" s="202"/>
      <c r="B1474" s="146"/>
      <c r="C1474" s="146"/>
      <c r="D1474" s="146"/>
      <c r="E1474" s="197"/>
      <c r="F1474" s="144"/>
      <c r="G1474" s="144"/>
      <c r="H1474" s="145"/>
      <c r="I1474" s="146"/>
      <c r="J1474" s="147"/>
    </row>
    <row r="1475" ht="22.5" customHeight="1">
      <c r="A1475" s="250"/>
      <c r="B1475" s="154"/>
      <c r="C1475" s="154"/>
      <c r="D1475" s="154"/>
      <c r="E1475" s="196"/>
      <c r="F1475" s="152"/>
      <c r="G1475" s="152"/>
      <c r="H1475" s="153"/>
      <c r="I1475" s="154"/>
      <c r="J1475" s="155"/>
    </row>
    <row r="1476" ht="22.5" customHeight="1">
      <c r="A1476" s="202"/>
      <c r="B1476" s="146"/>
      <c r="C1476" s="146"/>
      <c r="D1476" s="146"/>
      <c r="E1476" s="197"/>
      <c r="F1476" s="144"/>
      <c r="G1476" s="144"/>
      <c r="H1476" s="145"/>
      <c r="I1476" s="146"/>
      <c r="J1476" s="147"/>
    </row>
    <row r="1477" ht="22.5" customHeight="1">
      <c r="A1477" s="250"/>
      <c r="B1477" s="154"/>
      <c r="C1477" s="154"/>
      <c r="D1477" s="154"/>
      <c r="E1477" s="196"/>
      <c r="F1477" s="152"/>
      <c r="G1477" s="152"/>
      <c r="H1477" s="153"/>
      <c r="I1477" s="154"/>
      <c r="J1477" s="155"/>
    </row>
    <row r="1478" ht="22.5" customHeight="1">
      <c r="A1478" s="202"/>
      <c r="B1478" s="146"/>
      <c r="C1478" s="146"/>
      <c r="D1478" s="146"/>
      <c r="E1478" s="197"/>
      <c r="F1478" s="144"/>
      <c r="G1478" s="144"/>
      <c r="H1478" s="145"/>
      <c r="I1478" s="146"/>
      <c r="J1478" s="147"/>
    </row>
    <row r="1479" ht="22.5" customHeight="1">
      <c r="A1479" s="250"/>
      <c r="B1479" s="154"/>
      <c r="C1479" s="154"/>
      <c r="D1479" s="154"/>
      <c r="E1479" s="196"/>
      <c r="F1479" s="152"/>
      <c r="G1479" s="152"/>
      <c r="H1479" s="153"/>
      <c r="I1479" s="154"/>
      <c r="J1479" s="155"/>
    </row>
    <row r="1480" ht="22.5" customHeight="1">
      <c r="A1480" s="202"/>
      <c r="B1480" s="146"/>
      <c r="C1480" s="146"/>
      <c r="D1480" s="146"/>
      <c r="E1480" s="197"/>
      <c r="F1480" s="144"/>
      <c r="G1480" s="144"/>
      <c r="H1480" s="145"/>
      <c r="I1480" s="146"/>
      <c r="J1480" s="147"/>
    </row>
    <row r="1481" ht="22.5" customHeight="1">
      <c r="A1481" s="250"/>
      <c r="B1481" s="154"/>
      <c r="C1481" s="154"/>
      <c r="D1481" s="154"/>
      <c r="E1481" s="196"/>
      <c r="F1481" s="152"/>
      <c r="G1481" s="152"/>
      <c r="H1481" s="153"/>
      <c r="I1481" s="154"/>
      <c r="J1481" s="155"/>
    </row>
    <row r="1482" ht="22.5" customHeight="1">
      <c r="A1482" s="202"/>
      <c r="B1482" s="146"/>
      <c r="C1482" s="146"/>
      <c r="D1482" s="146"/>
      <c r="E1482" s="197"/>
      <c r="F1482" s="144"/>
      <c r="G1482" s="144"/>
      <c r="H1482" s="145"/>
      <c r="I1482" s="146"/>
      <c r="J1482" s="147"/>
    </row>
    <row r="1483" ht="22.5" customHeight="1">
      <c r="A1483" s="250"/>
      <c r="B1483" s="154"/>
      <c r="C1483" s="154"/>
      <c r="D1483" s="154"/>
      <c r="E1483" s="196"/>
      <c r="F1483" s="152"/>
      <c r="G1483" s="152"/>
      <c r="H1483" s="153"/>
      <c r="I1483" s="154"/>
      <c r="J1483" s="155"/>
    </row>
    <row r="1484" ht="22.5" customHeight="1">
      <c r="A1484" s="202"/>
      <c r="B1484" s="146"/>
      <c r="C1484" s="146"/>
      <c r="D1484" s="146"/>
      <c r="E1484" s="197"/>
      <c r="F1484" s="144"/>
      <c r="G1484" s="144"/>
      <c r="H1484" s="145"/>
      <c r="I1484" s="146"/>
      <c r="J1484" s="147"/>
    </row>
    <row r="1485" ht="22.5" customHeight="1">
      <c r="A1485" s="250"/>
      <c r="B1485" s="154"/>
      <c r="C1485" s="154"/>
      <c r="D1485" s="154"/>
      <c r="E1485" s="196"/>
      <c r="F1485" s="152"/>
      <c r="G1485" s="152"/>
      <c r="H1485" s="153"/>
      <c r="I1485" s="154"/>
      <c r="J1485" s="155"/>
    </row>
    <row r="1486" ht="22.5" customHeight="1">
      <c r="A1486" s="202"/>
      <c r="B1486" s="146"/>
      <c r="C1486" s="146"/>
      <c r="D1486" s="146"/>
      <c r="E1486" s="197"/>
      <c r="F1486" s="144"/>
      <c r="G1486" s="144"/>
      <c r="H1486" s="145"/>
      <c r="I1486" s="146"/>
      <c r="J1486" s="147"/>
    </row>
    <row r="1487" ht="22.5" customHeight="1">
      <c r="A1487" s="250"/>
      <c r="B1487" s="154"/>
      <c r="C1487" s="154"/>
      <c r="D1487" s="154"/>
      <c r="E1487" s="196"/>
      <c r="F1487" s="152"/>
      <c r="G1487" s="152"/>
      <c r="H1487" s="153"/>
      <c r="I1487" s="154"/>
      <c r="J1487" s="155"/>
    </row>
    <row r="1488" ht="22.5" customHeight="1">
      <c r="A1488" s="202"/>
      <c r="B1488" s="146"/>
      <c r="C1488" s="146"/>
      <c r="D1488" s="146"/>
      <c r="E1488" s="197"/>
      <c r="F1488" s="144"/>
      <c r="G1488" s="144"/>
      <c r="H1488" s="145"/>
      <c r="I1488" s="146"/>
      <c r="J1488" s="147"/>
    </row>
    <row r="1489" ht="22.5" customHeight="1">
      <c r="A1489" s="250"/>
      <c r="B1489" s="154"/>
      <c r="C1489" s="154"/>
      <c r="D1489" s="154"/>
      <c r="E1489" s="196"/>
      <c r="F1489" s="152"/>
      <c r="G1489" s="152"/>
      <c r="H1489" s="153"/>
      <c r="I1489" s="154"/>
      <c r="J1489" s="155"/>
    </row>
    <row r="1490" ht="22.5" customHeight="1">
      <c r="A1490" s="202"/>
      <c r="B1490" s="146"/>
      <c r="C1490" s="146"/>
      <c r="D1490" s="146"/>
      <c r="E1490" s="197"/>
      <c r="F1490" s="144"/>
      <c r="G1490" s="144"/>
      <c r="H1490" s="145"/>
      <c r="I1490" s="146"/>
      <c r="J1490" s="147"/>
    </row>
    <row r="1491" ht="22.5" customHeight="1">
      <c r="A1491" s="250"/>
      <c r="B1491" s="154"/>
      <c r="C1491" s="154"/>
      <c r="D1491" s="154"/>
      <c r="E1491" s="196"/>
      <c r="F1491" s="152"/>
      <c r="G1491" s="152"/>
      <c r="H1491" s="153"/>
      <c r="I1491" s="154"/>
      <c r="J1491" s="155"/>
    </row>
    <row r="1492" ht="22.5" customHeight="1">
      <c r="A1492" s="202"/>
      <c r="B1492" s="146"/>
      <c r="C1492" s="146"/>
      <c r="D1492" s="146"/>
      <c r="E1492" s="197"/>
      <c r="F1492" s="144"/>
      <c r="G1492" s="144"/>
      <c r="H1492" s="145"/>
      <c r="I1492" s="146"/>
      <c r="J1492" s="147"/>
    </row>
    <row r="1493" ht="22.5" customHeight="1">
      <c r="A1493" s="250"/>
      <c r="B1493" s="154"/>
      <c r="C1493" s="154"/>
      <c r="D1493" s="154"/>
      <c r="E1493" s="196"/>
      <c r="F1493" s="152"/>
      <c r="G1493" s="152"/>
      <c r="H1493" s="153"/>
      <c r="I1493" s="154"/>
      <c r="J1493" s="155"/>
    </row>
    <row r="1494" ht="22.5" customHeight="1">
      <c r="A1494" s="202"/>
      <c r="B1494" s="146"/>
      <c r="C1494" s="146"/>
      <c r="D1494" s="146"/>
      <c r="E1494" s="197"/>
      <c r="F1494" s="144"/>
      <c r="G1494" s="144"/>
      <c r="H1494" s="145"/>
      <c r="I1494" s="146"/>
      <c r="J1494" s="147"/>
    </row>
    <row r="1495" ht="22.5" customHeight="1">
      <c r="A1495" s="250"/>
      <c r="B1495" s="154"/>
      <c r="C1495" s="154"/>
      <c r="D1495" s="154"/>
      <c r="E1495" s="196"/>
      <c r="F1495" s="152"/>
      <c r="G1495" s="152"/>
      <c r="H1495" s="153"/>
      <c r="I1495" s="154"/>
      <c r="J1495" s="155"/>
    </row>
    <row r="1496" ht="22.5" customHeight="1">
      <c r="A1496" s="202"/>
      <c r="B1496" s="146"/>
      <c r="C1496" s="146"/>
      <c r="D1496" s="146"/>
      <c r="E1496" s="197"/>
      <c r="F1496" s="144"/>
      <c r="G1496" s="144"/>
      <c r="H1496" s="145"/>
      <c r="I1496" s="146"/>
      <c r="J1496" s="147"/>
    </row>
    <row r="1497" ht="22.5" customHeight="1">
      <c r="A1497" s="250"/>
      <c r="B1497" s="154"/>
      <c r="C1497" s="154"/>
      <c r="D1497" s="154"/>
      <c r="E1497" s="196"/>
      <c r="F1497" s="152"/>
      <c r="G1497" s="152"/>
      <c r="H1497" s="153"/>
      <c r="I1497" s="154"/>
      <c r="J1497" s="155"/>
    </row>
    <row r="1498" ht="22.5" customHeight="1">
      <c r="A1498" s="202"/>
      <c r="B1498" s="146"/>
      <c r="C1498" s="146"/>
      <c r="D1498" s="146"/>
      <c r="E1498" s="197"/>
      <c r="F1498" s="144"/>
      <c r="G1498" s="144"/>
      <c r="H1498" s="145"/>
      <c r="I1498" s="146"/>
      <c r="J1498" s="147"/>
    </row>
    <row r="1499" ht="22.5" customHeight="1">
      <c r="A1499" s="250"/>
      <c r="B1499" s="154"/>
      <c r="C1499" s="154"/>
      <c r="D1499" s="154"/>
      <c r="E1499" s="196"/>
      <c r="F1499" s="152"/>
      <c r="G1499" s="152"/>
      <c r="H1499" s="153"/>
      <c r="I1499" s="154"/>
      <c r="J1499" s="155"/>
    </row>
    <row r="1500" ht="22.5" customHeight="1">
      <c r="A1500" s="202"/>
      <c r="B1500" s="146"/>
      <c r="C1500" s="146"/>
      <c r="D1500" s="146"/>
      <c r="E1500" s="197"/>
      <c r="F1500" s="144"/>
      <c r="G1500" s="144"/>
      <c r="H1500" s="145"/>
      <c r="I1500" s="146"/>
      <c r="J1500" s="147"/>
    </row>
    <row r="1501" ht="22.5" customHeight="1">
      <c r="A1501" s="250"/>
      <c r="B1501" s="154"/>
      <c r="C1501" s="154"/>
      <c r="D1501" s="154"/>
      <c r="E1501" s="196"/>
      <c r="F1501" s="152"/>
      <c r="G1501" s="152"/>
      <c r="H1501" s="153"/>
      <c r="I1501" s="154"/>
      <c r="J1501" s="155"/>
    </row>
    <row r="1502" ht="22.5" customHeight="1">
      <c r="A1502" s="202"/>
      <c r="B1502" s="146"/>
      <c r="C1502" s="146"/>
      <c r="D1502" s="146"/>
      <c r="E1502" s="197"/>
      <c r="F1502" s="144"/>
      <c r="G1502" s="144"/>
      <c r="H1502" s="145"/>
      <c r="I1502" s="146"/>
      <c r="J1502" s="147"/>
    </row>
    <row r="1503" ht="22.5" customHeight="1">
      <c r="A1503" s="250"/>
      <c r="B1503" s="154"/>
      <c r="C1503" s="154"/>
      <c r="D1503" s="154"/>
      <c r="E1503" s="196"/>
      <c r="F1503" s="152"/>
      <c r="G1503" s="152"/>
      <c r="H1503" s="153"/>
      <c r="I1503" s="154"/>
      <c r="J1503" s="155"/>
    </row>
    <row r="1504" ht="22.5" customHeight="1">
      <c r="A1504" s="202"/>
      <c r="B1504" s="146"/>
      <c r="C1504" s="146"/>
      <c r="D1504" s="146"/>
      <c r="E1504" s="197"/>
      <c r="F1504" s="144"/>
      <c r="G1504" s="144"/>
      <c r="H1504" s="145"/>
      <c r="I1504" s="146"/>
      <c r="J1504" s="147"/>
    </row>
    <row r="1505" ht="22.5" customHeight="1">
      <c r="A1505" s="250"/>
      <c r="B1505" s="154"/>
      <c r="C1505" s="154"/>
      <c r="D1505" s="154"/>
      <c r="E1505" s="196"/>
      <c r="F1505" s="152"/>
      <c r="G1505" s="152"/>
      <c r="H1505" s="153"/>
      <c r="I1505" s="154"/>
      <c r="J1505" s="155"/>
    </row>
    <row r="1506" ht="22.5" customHeight="1">
      <c r="A1506" s="202"/>
      <c r="B1506" s="146"/>
      <c r="C1506" s="146"/>
      <c r="D1506" s="146"/>
      <c r="E1506" s="197"/>
      <c r="F1506" s="144"/>
      <c r="G1506" s="144"/>
      <c r="H1506" s="145"/>
      <c r="I1506" s="146"/>
      <c r="J1506" s="147"/>
    </row>
    <row r="1507" ht="22.5" customHeight="1">
      <c r="A1507" s="250"/>
      <c r="B1507" s="154"/>
      <c r="C1507" s="154"/>
      <c r="D1507" s="154"/>
      <c r="E1507" s="196"/>
      <c r="F1507" s="152"/>
      <c r="G1507" s="152"/>
      <c r="H1507" s="153"/>
      <c r="I1507" s="154"/>
      <c r="J1507" s="155"/>
    </row>
    <row r="1508" ht="22.5" customHeight="1">
      <c r="A1508" s="202"/>
      <c r="B1508" s="146"/>
      <c r="C1508" s="146"/>
      <c r="D1508" s="146"/>
      <c r="E1508" s="197"/>
      <c r="F1508" s="144"/>
      <c r="G1508" s="144"/>
      <c r="H1508" s="145"/>
      <c r="I1508" s="146"/>
      <c r="J1508" s="147"/>
    </row>
    <row r="1509" ht="22.5" customHeight="1">
      <c r="A1509" s="250"/>
      <c r="B1509" s="154"/>
      <c r="C1509" s="154"/>
      <c r="D1509" s="154"/>
      <c r="E1509" s="196"/>
      <c r="F1509" s="152"/>
      <c r="G1509" s="152"/>
      <c r="H1509" s="153"/>
      <c r="I1509" s="154"/>
      <c r="J1509" s="155"/>
    </row>
    <row r="1510" ht="22.5" customHeight="1">
      <c r="A1510" s="202"/>
      <c r="B1510" s="146"/>
      <c r="C1510" s="146"/>
      <c r="D1510" s="146"/>
      <c r="E1510" s="197"/>
      <c r="F1510" s="144"/>
      <c r="G1510" s="144"/>
      <c r="H1510" s="145"/>
      <c r="I1510" s="146"/>
      <c r="J1510" s="147"/>
    </row>
    <row r="1511" ht="22.5" customHeight="1">
      <c r="A1511" s="250"/>
      <c r="B1511" s="154"/>
      <c r="C1511" s="154"/>
      <c r="D1511" s="154"/>
      <c r="E1511" s="196"/>
      <c r="F1511" s="152"/>
      <c r="G1511" s="152"/>
      <c r="H1511" s="153"/>
      <c r="I1511" s="154"/>
      <c r="J1511" s="155"/>
    </row>
    <row r="1512" ht="22.5" customHeight="1">
      <c r="A1512" s="202"/>
      <c r="B1512" s="146"/>
      <c r="C1512" s="146"/>
      <c r="D1512" s="146"/>
      <c r="E1512" s="197"/>
      <c r="F1512" s="144"/>
      <c r="G1512" s="144"/>
      <c r="H1512" s="145"/>
      <c r="I1512" s="146"/>
      <c r="J1512" s="147"/>
    </row>
    <row r="1513" ht="22.5" customHeight="1">
      <c r="A1513" s="250"/>
      <c r="B1513" s="154"/>
      <c r="C1513" s="154"/>
      <c r="D1513" s="154"/>
      <c r="E1513" s="196"/>
      <c r="F1513" s="152"/>
      <c r="G1513" s="152"/>
      <c r="H1513" s="153"/>
      <c r="I1513" s="154"/>
      <c r="J1513" s="155"/>
    </row>
    <row r="1514" ht="22.5" customHeight="1">
      <c r="A1514" s="202"/>
      <c r="B1514" s="146"/>
      <c r="C1514" s="146"/>
      <c r="D1514" s="146"/>
      <c r="E1514" s="197"/>
      <c r="F1514" s="144"/>
      <c r="G1514" s="144"/>
      <c r="H1514" s="145"/>
      <c r="I1514" s="146"/>
      <c r="J1514" s="147"/>
    </row>
    <row r="1515" ht="22.5" customHeight="1">
      <c r="A1515" s="250"/>
      <c r="B1515" s="154"/>
      <c r="C1515" s="154"/>
      <c r="D1515" s="154"/>
      <c r="E1515" s="196"/>
      <c r="F1515" s="152"/>
      <c r="G1515" s="152"/>
      <c r="H1515" s="153"/>
      <c r="I1515" s="154"/>
      <c r="J1515" s="155"/>
    </row>
    <row r="1516" ht="22.5" customHeight="1">
      <c r="A1516" s="202"/>
      <c r="B1516" s="146"/>
      <c r="C1516" s="146"/>
      <c r="D1516" s="146"/>
      <c r="E1516" s="197"/>
      <c r="F1516" s="144"/>
      <c r="G1516" s="144"/>
      <c r="H1516" s="145"/>
      <c r="I1516" s="146"/>
      <c r="J1516" s="147"/>
    </row>
    <row r="1517" ht="22.5" customHeight="1">
      <c r="A1517" s="250"/>
      <c r="B1517" s="154"/>
      <c r="C1517" s="154"/>
      <c r="D1517" s="154"/>
      <c r="E1517" s="196"/>
      <c r="F1517" s="152"/>
      <c r="G1517" s="152"/>
      <c r="H1517" s="153"/>
      <c r="I1517" s="154"/>
      <c r="J1517" s="155"/>
    </row>
    <row r="1518" ht="22.5" customHeight="1">
      <c r="A1518" s="202"/>
      <c r="B1518" s="146"/>
      <c r="C1518" s="146"/>
      <c r="D1518" s="146"/>
      <c r="E1518" s="197"/>
      <c r="F1518" s="144"/>
      <c r="G1518" s="144"/>
      <c r="H1518" s="145"/>
      <c r="I1518" s="146"/>
      <c r="J1518" s="147"/>
    </row>
    <row r="1519" ht="22.5" customHeight="1">
      <c r="A1519" s="250"/>
      <c r="B1519" s="154"/>
      <c r="C1519" s="154"/>
      <c r="D1519" s="154"/>
      <c r="E1519" s="196"/>
      <c r="F1519" s="152"/>
      <c r="G1519" s="152"/>
      <c r="H1519" s="153"/>
      <c r="I1519" s="154"/>
      <c r="J1519" s="155"/>
    </row>
    <row r="1520" ht="22.5" customHeight="1">
      <c r="A1520" s="202"/>
      <c r="B1520" s="146"/>
      <c r="C1520" s="146"/>
      <c r="D1520" s="146"/>
      <c r="E1520" s="197"/>
      <c r="F1520" s="144"/>
      <c r="G1520" s="144"/>
      <c r="H1520" s="145"/>
      <c r="I1520" s="146"/>
      <c r="J1520" s="147"/>
    </row>
    <row r="1521" ht="22.5" customHeight="1">
      <c r="A1521" s="250"/>
      <c r="B1521" s="154"/>
      <c r="C1521" s="154"/>
      <c r="D1521" s="154"/>
      <c r="E1521" s="196"/>
      <c r="F1521" s="152"/>
      <c r="G1521" s="152"/>
      <c r="H1521" s="153"/>
      <c r="I1521" s="154"/>
      <c r="J1521" s="155"/>
    </row>
    <row r="1522" ht="22.5" customHeight="1">
      <c r="A1522" s="202"/>
      <c r="B1522" s="146"/>
      <c r="C1522" s="146"/>
      <c r="D1522" s="146"/>
      <c r="E1522" s="197"/>
      <c r="F1522" s="144"/>
      <c r="G1522" s="144"/>
      <c r="H1522" s="145"/>
      <c r="I1522" s="146"/>
      <c r="J1522" s="147"/>
    </row>
    <row r="1523" ht="22.5" customHeight="1">
      <c r="A1523" s="250"/>
      <c r="B1523" s="154"/>
      <c r="C1523" s="154"/>
      <c r="D1523" s="154"/>
      <c r="E1523" s="196"/>
      <c r="F1523" s="152"/>
      <c r="G1523" s="152"/>
      <c r="H1523" s="153"/>
      <c r="I1523" s="154"/>
      <c r="J1523" s="155"/>
    </row>
    <row r="1524" ht="22.5" customHeight="1">
      <c r="A1524" s="202"/>
      <c r="B1524" s="146"/>
      <c r="C1524" s="146"/>
      <c r="D1524" s="146"/>
      <c r="E1524" s="197"/>
      <c r="F1524" s="144"/>
      <c r="G1524" s="144"/>
      <c r="H1524" s="145"/>
      <c r="I1524" s="146"/>
      <c r="J1524" s="147"/>
    </row>
    <row r="1525" ht="22.5" customHeight="1">
      <c r="A1525" s="250"/>
      <c r="B1525" s="154"/>
      <c r="C1525" s="154"/>
      <c r="D1525" s="154"/>
      <c r="E1525" s="196"/>
      <c r="F1525" s="152"/>
      <c r="G1525" s="152"/>
      <c r="H1525" s="153"/>
      <c r="I1525" s="154"/>
      <c r="J1525" s="155"/>
    </row>
    <row r="1526" ht="22.5" customHeight="1">
      <c r="A1526" s="202"/>
      <c r="B1526" s="146"/>
      <c r="C1526" s="146"/>
      <c r="D1526" s="146"/>
      <c r="E1526" s="197"/>
      <c r="F1526" s="144"/>
      <c r="G1526" s="144"/>
      <c r="H1526" s="145"/>
      <c r="I1526" s="146"/>
      <c r="J1526" s="147"/>
    </row>
    <row r="1527" ht="22.5" customHeight="1">
      <c r="A1527" s="250"/>
      <c r="B1527" s="154"/>
      <c r="C1527" s="154"/>
      <c r="D1527" s="154"/>
      <c r="E1527" s="196"/>
      <c r="F1527" s="152"/>
      <c r="G1527" s="152"/>
      <c r="H1527" s="153"/>
      <c r="I1527" s="154"/>
      <c r="J1527" s="155"/>
    </row>
    <row r="1528" ht="22.5" customHeight="1">
      <c r="A1528" s="202"/>
      <c r="B1528" s="146"/>
      <c r="C1528" s="146"/>
      <c r="D1528" s="146"/>
      <c r="E1528" s="197"/>
      <c r="F1528" s="144"/>
      <c r="G1528" s="144"/>
      <c r="H1528" s="145"/>
      <c r="I1528" s="146"/>
      <c r="J1528" s="147"/>
    </row>
    <row r="1529" ht="22.5" customHeight="1">
      <c r="A1529" s="250"/>
      <c r="B1529" s="154"/>
      <c r="C1529" s="154"/>
      <c r="D1529" s="154"/>
      <c r="E1529" s="196"/>
      <c r="F1529" s="152"/>
      <c r="G1529" s="152"/>
      <c r="H1529" s="153"/>
      <c r="I1529" s="154"/>
      <c r="J1529" s="155"/>
    </row>
    <row r="1530" ht="22.5" customHeight="1">
      <c r="A1530" s="202"/>
      <c r="B1530" s="146"/>
      <c r="C1530" s="146"/>
      <c r="D1530" s="146"/>
      <c r="E1530" s="197"/>
      <c r="F1530" s="144"/>
      <c r="G1530" s="144"/>
      <c r="H1530" s="145"/>
      <c r="I1530" s="146"/>
      <c r="J1530" s="147"/>
    </row>
    <row r="1531" ht="22.5" customHeight="1">
      <c r="A1531" s="250"/>
      <c r="B1531" s="154"/>
      <c r="C1531" s="154"/>
      <c r="D1531" s="154"/>
      <c r="E1531" s="196"/>
      <c r="F1531" s="152"/>
      <c r="G1531" s="152"/>
      <c r="H1531" s="153"/>
      <c r="I1531" s="154"/>
      <c r="J1531" s="155"/>
    </row>
    <row r="1532" ht="22.5" customHeight="1">
      <c r="A1532" s="202"/>
      <c r="B1532" s="146"/>
      <c r="C1532" s="146"/>
      <c r="D1532" s="146"/>
      <c r="E1532" s="197"/>
      <c r="F1532" s="144"/>
      <c r="G1532" s="144"/>
      <c r="H1532" s="145"/>
      <c r="I1532" s="146"/>
      <c r="J1532" s="147"/>
    </row>
    <row r="1533" ht="22.5" customHeight="1">
      <c r="A1533" s="250"/>
      <c r="B1533" s="154"/>
      <c r="C1533" s="154"/>
      <c r="D1533" s="154"/>
      <c r="E1533" s="196"/>
      <c r="F1533" s="152"/>
      <c r="G1533" s="152"/>
      <c r="H1533" s="153"/>
      <c r="I1533" s="154"/>
      <c r="J1533" s="155"/>
    </row>
    <row r="1534" ht="22.5" customHeight="1">
      <c r="A1534" s="202"/>
      <c r="B1534" s="146"/>
      <c r="C1534" s="146"/>
      <c r="D1534" s="146"/>
      <c r="E1534" s="197"/>
      <c r="F1534" s="144"/>
      <c r="G1534" s="144"/>
      <c r="H1534" s="145"/>
      <c r="I1534" s="146"/>
      <c r="J1534" s="147"/>
    </row>
    <row r="1535" ht="22.5" customHeight="1">
      <c r="A1535" s="250"/>
      <c r="B1535" s="154"/>
      <c r="C1535" s="154"/>
      <c r="D1535" s="154"/>
      <c r="E1535" s="196"/>
      <c r="F1535" s="152"/>
      <c r="G1535" s="152"/>
      <c r="H1535" s="153"/>
      <c r="I1535" s="154"/>
      <c r="J1535" s="155"/>
    </row>
    <row r="1536" ht="22.5" customHeight="1">
      <c r="A1536" s="202"/>
      <c r="B1536" s="146"/>
      <c r="C1536" s="146"/>
      <c r="D1536" s="146"/>
      <c r="E1536" s="197"/>
      <c r="F1536" s="144"/>
      <c r="G1536" s="144"/>
      <c r="H1536" s="145"/>
      <c r="I1536" s="146"/>
      <c r="J1536" s="147"/>
    </row>
    <row r="1537" ht="22.5" customHeight="1">
      <c r="A1537" s="250"/>
      <c r="B1537" s="154"/>
      <c r="C1537" s="154"/>
      <c r="D1537" s="154"/>
      <c r="E1537" s="196"/>
      <c r="F1537" s="152"/>
      <c r="G1537" s="152"/>
      <c r="H1537" s="153"/>
      <c r="I1537" s="154"/>
      <c r="J1537" s="155"/>
    </row>
    <row r="1538" ht="22.5" customHeight="1">
      <c r="A1538" s="202"/>
      <c r="B1538" s="146"/>
      <c r="C1538" s="146"/>
      <c r="D1538" s="146"/>
      <c r="E1538" s="197"/>
      <c r="F1538" s="144"/>
      <c r="G1538" s="144"/>
      <c r="H1538" s="145"/>
      <c r="I1538" s="146"/>
      <c r="J1538" s="147"/>
    </row>
    <row r="1539" ht="22.5" customHeight="1">
      <c r="A1539" s="250"/>
      <c r="B1539" s="154"/>
      <c r="C1539" s="154"/>
      <c r="D1539" s="154"/>
      <c r="E1539" s="196"/>
      <c r="F1539" s="152"/>
      <c r="G1539" s="152"/>
      <c r="H1539" s="153"/>
      <c r="I1539" s="154"/>
      <c r="J1539" s="155"/>
    </row>
    <row r="1540" ht="22.5" customHeight="1">
      <c r="A1540" s="202"/>
      <c r="B1540" s="146"/>
      <c r="C1540" s="146"/>
      <c r="D1540" s="146"/>
      <c r="E1540" s="197"/>
      <c r="F1540" s="144"/>
      <c r="G1540" s="144"/>
      <c r="H1540" s="145"/>
      <c r="I1540" s="146"/>
      <c r="J1540" s="147"/>
    </row>
    <row r="1541" ht="22.5" customHeight="1">
      <c r="A1541" s="250"/>
      <c r="B1541" s="154"/>
      <c r="C1541" s="154"/>
      <c r="D1541" s="154"/>
      <c r="E1541" s="196"/>
      <c r="F1541" s="152"/>
      <c r="G1541" s="152"/>
      <c r="H1541" s="153"/>
      <c r="I1541" s="154"/>
      <c r="J1541" s="155"/>
    </row>
    <row r="1542" ht="22.5" customHeight="1">
      <c r="A1542" s="202"/>
      <c r="B1542" s="146"/>
      <c r="C1542" s="146"/>
      <c r="D1542" s="146"/>
      <c r="E1542" s="197"/>
      <c r="F1542" s="144"/>
      <c r="G1542" s="144"/>
      <c r="H1542" s="145"/>
      <c r="I1542" s="146"/>
      <c r="J1542" s="147"/>
    </row>
    <row r="1543" ht="22.5" customHeight="1">
      <c r="A1543" s="250"/>
      <c r="B1543" s="154"/>
      <c r="C1543" s="154"/>
      <c r="D1543" s="154"/>
      <c r="E1543" s="196"/>
      <c r="F1543" s="152"/>
      <c r="G1543" s="152"/>
      <c r="H1543" s="153"/>
      <c r="I1543" s="154"/>
      <c r="J1543" s="155"/>
    </row>
    <row r="1544" ht="22.5" customHeight="1">
      <c r="A1544" s="202"/>
      <c r="B1544" s="146"/>
      <c r="C1544" s="146"/>
      <c r="D1544" s="146"/>
      <c r="E1544" s="197"/>
      <c r="F1544" s="144"/>
      <c r="G1544" s="144"/>
      <c r="H1544" s="145"/>
      <c r="I1544" s="146"/>
      <c r="J1544" s="147"/>
    </row>
    <row r="1545" ht="22.5" customHeight="1">
      <c r="A1545" s="250"/>
      <c r="B1545" s="154"/>
      <c r="C1545" s="154"/>
      <c r="D1545" s="154"/>
      <c r="E1545" s="196"/>
      <c r="F1545" s="152"/>
      <c r="G1545" s="152"/>
      <c r="H1545" s="153"/>
      <c r="I1545" s="154"/>
      <c r="J1545" s="155"/>
    </row>
    <row r="1546" ht="22.5" customHeight="1">
      <c r="A1546" s="202"/>
      <c r="B1546" s="146"/>
      <c r="C1546" s="146"/>
      <c r="D1546" s="146"/>
      <c r="E1546" s="197"/>
      <c r="F1546" s="144"/>
      <c r="G1546" s="144"/>
      <c r="H1546" s="145"/>
      <c r="I1546" s="146"/>
      <c r="J1546" s="147"/>
    </row>
    <row r="1547" ht="22.5" customHeight="1">
      <c r="A1547" s="250"/>
      <c r="B1547" s="154"/>
      <c r="C1547" s="154"/>
      <c r="D1547" s="154"/>
      <c r="E1547" s="196"/>
      <c r="F1547" s="152"/>
      <c r="G1547" s="152"/>
      <c r="H1547" s="153"/>
      <c r="I1547" s="154"/>
      <c r="J1547" s="155"/>
    </row>
    <row r="1548" ht="22.5" customHeight="1">
      <c r="A1548" s="202"/>
      <c r="B1548" s="146"/>
      <c r="C1548" s="146"/>
      <c r="D1548" s="146"/>
      <c r="E1548" s="197"/>
      <c r="F1548" s="144"/>
      <c r="G1548" s="144"/>
      <c r="H1548" s="145"/>
      <c r="I1548" s="146"/>
      <c r="J1548" s="147"/>
    </row>
    <row r="1549" ht="22.5" customHeight="1">
      <c r="A1549" s="250"/>
      <c r="B1549" s="154"/>
      <c r="C1549" s="154"/>
      <c r="D1549" s="154"/>
      <c r="E1549" s="196"/>
      <c r="F1549" s="152"/>
      <c r="G1549" s="152"/>
      <c r="H1549" s="153"/>
      <c r="I1549" s="154"/>
      <c r="J1549" s="155"/>
    </row>
    <row r="1550" ht="22.5" customHeight="1">
      <c r="A1550" s="202"/>
      <c r="B1550" s="146"/>
      <c r="C1550" s="146"/>
      <c r="D1550" s="146"/>
      <c r="E1550" s="197"/>
      <c r="F1550" s="144"/>
      <c r="G1550" s="144"/>
      <c r="H1550" s="145"/>
      <c r="I1550" s="146"/>
      <c r="J1550" s="147"/>
    </row>
    <row r="1551" ht="22.5" customHeight="1">
      <c r="A1551" s="250"/>
      <c r="B1551" s="154"/>
      <c r="C1551" s="154"/>
      <c r="D1551" s="154"/>
      <c r="E1551" s="196"/>
      <c r="F1551" s="152"/>
      <c r="G1551" s="152"/>
      <c r="H1551" s="153"/>
      <c r="I1551" s="154"/>
      <c r="J1551" s="155"/>
    </row>
    <row r="1552" ht="22.5" customHeight="1">
      <c r="A1552" s="202"/>
      <c r="B1552" s="146"/>
      <c r="C1552" s="146"/>
      <c r="D1552" s="146"/>
      <c r="E1552" s="197"/>
      <c r="F1552" s="144"/>
      <c r="G1552" s="144"/>
      <c r="H1552" s="145"/>
      <c r="I1552" s="146"/>
      <c r="J1552" s="147"/>
    </row>
    <row r="1553" ht="22.5" customHeight="1">
      <c r="A1553" s="250"/>
      <c r="B1553" s="154"/>
      <c r="C1553" s="154"/>
      <c r="D1553" s="154"/>
      <c r="E1553" s="196"/>
      <c r="F1553" s="152"/>
      <c r="G1553" s="152"/>
      <c r="H1553" s="153"/>
      <c r="I1553" s="154"/>
      <c r="J1553" s="155"/>
    </row>
    <row r="1554" ht="22.5" customHeight="1">
      <c r="A1554" s="202"/>
      <c r="B1554" s="146"/>
      <c r="C1554" s="146"/>
      <c r="D1554" s="146"/>
      <c r="E1554" s="197"/>
      <c r="F1554" s="144"/>
      <c r="G1554" s="144"/>
      <c r="H1554" s="145"/>
      <c r="I1554" s="146"/>
      <c r="J1554" s="147"/>
    </row>
    <row r="1555" ht="22.5" customHeight="1">
      <c r="A1555" s="250"/>
      <c r="B1555" s="154"/>
      <c r="C1555" s="154"/>
      <c r="D1555" s="154"/>
      <c r="E1555" s="196"/>
      <c r="F1555" s="152"/>
      <c r="G1555" s="152"/>
      <c r="H1555" s="153"/>
      <c r="I1555" s="154"/>
      <c r="J1555" s="155"/>
    </row>
    <row r="1556" ht="22.5" customHeight="1">
      <c r="A1556" s="202"/>
      <c r="B1556" s="146"/>
      <c r="C1556" s="146"/>
      <c r="D1556" s="146"/>
      <c r="E1556" s="197"/>
      <c r="F1556" s="144"/>
      <c r="G1556" s="144"/>
      <c r="H1556" s="145"/>
      <c r="I1556" s="146"/>
      <c r="J1556" s="147"/>
    </row>
    <row r="1557" ht="22.5" customHeight="1">
      <c r="A1557" s="250"/>
      <c r="B1557" s="154"/>
      <c r="C1557" s="154"/>
      <c r="D1557" s="154"/>
      <c r="E1557" s="196"/>
      <c r="F1557" s="152"/>
      <c r="G1557" s="152"/>
      <c r="H1557" s="153"/>
      <c r="I1557" s="154"/>
      <c r="J1557" s="155"/>
    </row>
    <row r="1558" ht="22.5" customHeight="1">
      <c r="A1558" s="202"/>
      <c r="B1558" s="146"/>
      <c r="C1558" s="146"/>
      <c r="D1558" s="146"/>
      <c r="E1558" s="197"/>
      <c r="F1558" s="144"/>
      <c r="G1558" s="144"/>
      <c r="H1558" s="145"/>
      <c r="I1558" s="146"/>
      <c r="J1558" s="147"/>
    </row>
    <row r="1559" ht="22.5" customHeight="1">
      <c r="A1559" s="250"/>
      <c r="B1559" s="154"/>
      <c r="C1559" s="154"/>
      <c r="D1559" s="154"/>
      <c r="E1559" s="196"/>
      <c r="F1559" s="152"/>
      <c r="G1559" s="152"/>
      <c r="H1559" s="153"/>
      <c r="I1559" s="154"/>
      <c r="J1559" s="155"/>
    </row>
    <row r="1560" ht="22.5" customHeight="1">
      <c r="A1560" s="202"/>
      <c r="B1560" s="146"/>
      <c r="C1560" s="146"/>
      <c r="D1560" s="146"/>
      <c r="E1560" s="197"/>
      <c r="F1560" s="144"/>
      <c r="G1560" s="144"/>
      <c r="H1560" s="145"/>
      <c r="I1560" s="146"/>
      <c r="J1560" s="147"/>
    </row>
    <row r="1561" ht="22.5" customHeight="1">
      <c r="A1561" s="250"/>
      <c r="B1561" s="154"/>
      <c r="C1561" s="154"/>
      <c r="D1561" s="154"/>
      <c r="E1561" s="196"/>
      <c r="F1561" s="152"/>
      <c r="G1561" s="152"/>
      <c r="H1561" s="153"/>
      <c r="I1561" s="154"/>
      <c r="J1561" s="155"/>
    </row>
    <row r="1562" ht="22.5" customHeight="1">
      <c r="A1562" s="202"/>
      <c r="B1562" s="146"/>
      <c r="C1562" s="146"/>
      <c r="D1562" s="146"/>
      <c r="E1562" s="197"/>
      <c r="F1562" s="144"/>
      <c r="G1562" s="144"/>
      <c r="H1562" s="145"/>
      <c r="I1562" s="146"/>
      <c r="J1562" s="147"/>
    </row>
    <row r="1563" ht="22.5" customHeight="1">
      <c r="A1563" s="250"/>
      <c r="B1563" s="154"/>
      <c r="C1563" s="154"/>
      <c r="D1563" s="154"/>
      <c r="E1563" s="196"/>
      <c r="F1563" s="152"/>
      <c r="G1563" s="152"/>
      <c r="H1563" s="153"/>
      <c r="I1563" s="154"/>
      <c r="J1563" s="155"/>
    </row>
    <row r="1564" ht="22.5" customHeight="1">
      <c r="A1564" s="202"/>
      <c r="B1564" s="146"/>
      <c r="C1564" s="146"/>
      <c r="D1564" s="146"/>
      <c r="E1564" s="197"/>
      <c r="F1564" s="144"/>
      <c r="G1564" s="144"/>
      <c r="H1564" s="145"/>
      <c r="I1564" s="146"/>
      <c r="J1564" s="147"/>
    </row>
    <row r="1565" ht="22.5" customHeight="1">
      <c r="A1565" s="250"/>
      <c r="B1565" s="154"/>
      <c r="C1565" s="154"/>
      <c r="D1565" s="154"/>
      <c r="E1565" s="196"/>
      <c r="F1565" s="152"/>
      <c r="G1565" s="152"/>
      <c r="H1565" s="153"/>
      <c r="I1565" s="154"/>
      <c r="J1565" s="155"/>
    </row>
    <row r="1566" ht="22.5" customHeight="1">
      <c r="A1566" s="202"/>
      <c r="B1566" s="146"/>
      <c r="C1566" s="146"/>
      <c r="D1566" s="146"/>
      <c r="E1566" s="197"/>
      <c r="F1566" s="144"/>
      <c r="G1566" s="144"/>
      <c r="H1566" s="145"/>
      <c r="I1566" s="146"/>
      <c r="J1566" s="147"/>
    </row>
    <row r="1567" ht="22.5" customHeight="1">
      <c r="A1567" s="250"/>
      <c r="B1567" s="154"/>
      <c r="C1567" s="154"/>
      <c r="D1567" s="154"/>
      <c r="E1567" s="196"/>
      <c r="F1567" s="152"/>
      <c r="G1567" s="152"/>
      <c r="H1567" s="153"/>
      <c r="I1567" s="154"/>
      <c r="J1567" s="155"/>
    </row>
    <row r="1568" ht="22.5" customHeight="1">
      <c r="A1568" s="202"/>
      <c r="B1568" s="146"/>
      <c r="C1568" s="146"/>
      <c r="D1568" s="146"/>
      <c r="E1568" s="197"/>
      <c r="F1568" s="144"/>
      <c r="G1568" s="144"/>
      <c r="H1568" s="145"/>
      <c r="I1568" s="146"/>
      <c r="J1568" s="147"/>
    </row>
    <row r="1569" ht="22.5" customHeight="1">
      <c r="A1569" s="250"/>
      <c r="B1569" s="154"/>
      <c r="C1569" s="154"/>
      <c r="D1569" s="154"/>
      <c r="E1569" s="196"/>
      <c r="F1569" s="152"/>
      <c r="G1569" s="152"/>
      <c r="H1569" s="153"/>
      <c r="I1569" s="154"/>
      <c r="J1569" s="155"/>
    </row>
    <row r="1570" ht="22.5" customHeight="1">
      <c r="A1570" s="202"/>
      <c r="B1570" s="146"/>
      <c r="C1570" s="146"/>
      <c r="D1570" s="146"/>
      <c r="E1570" s="197"/>
      <c r="F1570" s="144"/>
      <c r="G1570" s="144"/>
      <c r="H1570" s="145"/>
      <c r="I1570" s="146"/>
      <c r="J1570" s="147"/>
    </row>
    <row r="1571" ht="22.5" customHeight="1">
      <c r="A1571" s="250"/>
      <c r="B1571" s="154"/>
      <c r="C1571" s="154"/>
      <c r="D1571" s="154"/>
      <c r="E1571" s="196"/>
      <c r="F1571" s="152"/>
      <c r="G1571" s="152"/>
      <c r="H1571" s="153"/>
      <c r="I1571" s="154"/>
      <c r="J1571" s="155"/>
    </row>
    <row r="1572" ht="22.5" customHeight="1">
      <c r="A1572" s="202"/>
      <c r="B1572" s="146"/>
      <c r="C1572" s="146"/>
      <c r="D1572" s="146"/>
      <c r="E1572" s="197"/>
      <c r="F1572" s="144"/>
      <c r="G1572" s="144"/>
      <c r="H1572" s="145"/>
      <c r="I1572" s="146"/>
      <c r="J1572" s="147"/>
    </row>
    <row r="1573" ht="22.5" customHeight="1">
      <c r="A1573" s="250"/>
      <c r="B1573" s="154"/>
      <c r="C1573" s="154"/>
      <c r="D1573" s="154"/>
      <c r="E1573" s="196"/>
      <c r="F1573" s="152"/>
      <c r="G1573" s="152"/>
      <c r="H1573" s="153"/>
      <c r="I1573" s="154"/>
      <c r="J1573" s="155"/>
    </row>
    <row r="1574" ht="22.5" customHeight="1">
      <c r="A1574" s="202"/>
      <c r="B1574" s="146"/>
      <c r="C1574" s="146"/>
      <c r="D1574" s="146"/>
      <c r="E1574" s="197"/>
      <c r="F1574" s="144"/>
      <c r="G1574" s="144"/>
      <c r="H1574" s="145"/>
      <c r="I1574" s="146"/>
      <c r="J1574" s="147"/>
    </row>
    <row r="1575" ht="22.5" customHeight="1">
      <c r="A1575" s="250"/>
      <c r="B1575" s="154"/>
      <c r="C1575" s="154"/>
      <c r="D1575" s="154"/>
      <c r="E1575" s="196"/>
      <c r="F1575" s="152"/>
      <c r="G1575" s="152"/>
      <c r="H1575" s="153"/>
      <c r="I1575" s="154"/>
      <c r="J1575" s="155"/>
    </row>
    <row r="1576" ht="22.5" customHeight="1">
      <c r="A1576" s="202"/>
      <c r="B1576" s="146"/>
      <c r="C1576" s="146"/>
      <c r="D1576" s="146"/>
      <c r="E1576" s="197"/>
      <c r="F1576" s="144"/>
      <c r="G1576" s="144"/>
      <c r="H1576" s="145"/>
      <c r="I1576" s="146"/>
      <c r="J1576" s="147"/>
    </row>
    <row r="1577" ht="22.5" customHeight="1">
      <c r="A1577" s="250"/>
      <c r="B1577" s="154"/>
      <c r="C1577" s="154"/>
      <c r="D1577" s="154"/>
      <c r="E1577" s="196"/>
      <c r="F1577" s="152"/>
      <c r="G1577" s="152"/>
      <c r="H1577" s="153"/>
      <c r="I1577" s="154"/>
      <c r="J1577" s="155"/>
    </row>
    <row r="1578" ht="22.5" customHeight="1">
      <c r="A1578" s="202"/>
      <c r="B1578" s="146"/>
      <c r="C1578" s="146"/>
      <c r="D1578" s="146"/>
      <c r="E1578" s="197"/>
      <c r="F1578" s="144"/>
      <c r="G1578" s="144"/>
      <c r="H1578" s="145"/>
      <c r="I1578" s="146"/>
      <c r="J1578" s="147"/>
    </row>
    <row r="1579" ht="22.5" customHeight="1">
      <c r="A1579" s="250"/>
      <c r="B1579" s="154"/>
      <c r="C1579" s="154"/>
      <c r="D1579" s="154"/>
      <c r="E1579" s="196"/>
      <c r="F1579" s="152"/>
      <c r="G1579" s="152"/>
      <c r="H1579" s="153"/>
      <c r="I1579" s="154"/>
      <c r="J1579" s="155"/>
    </row>
    <row r="1580" ht="22.5" customHeight="1">
      <c r="A1580" s="202"/>
      <c r="B1580" s="146"/>
      <c r="C1580" s="146"/>
      <c r="D1580" s="146"/>
      <c r="E1580" s="197"/>
      <c r="F1580" s="144"/>
      <c r="G1580" s="144"/>
      <c r="H1580" s="145"/>
      <c r="I1580" s="146"/>
      <c r="J1580" s="147"/>
    </row>
    <row r="1581" ht="22.5" customHeight="1">
      <c r="A1581" s="250"/>
      <c r="B1581" s="154"/>
      <c r="C1581" s="154"/>
      <c r="D1581" s="154"/>
      <c r="E1581" s="196"/>
      <c r="F1581" s="152"/>
      <c r="G1581" s="152"/>
      <c r="H1581" s="153"/>
      <c r="I1581" s="154"/>
      <c r="J1581" s="155"/>
    </row>
    <row r="1582" ht="22.5" customHeight="1">
      <c r="A1582" s="202"/>
      <c r="B1582" s="146"/>
      <c r="C1582" s="146"/>
      <c r="D1582" s="146"/>
      <c r="E1582" s="197"/>
      <c r="F1582" s="144"/>
      <c r="G1582" s="144"/>
      <c r="H1582" s="145"/>
      <c r="I1582" s="146"/>
      <c r="J1582" s="147"/>
    </row>
    <row r="1583" ht="22.5" customHeight="1">
      <c r="A1583" s="250"/>
      <c r="B1583" s="154"/>
      <c r="C1583" s="154"/>
      <c r="D1583" s="154"/>
      <c r="E1583" s="196"/>
      <c r="F1583" s="152"/>
      <c r="G1583" s="152"/>
      <c r="H1583" s="153"/>
      <c r="I1583" s="154"/>
      <c r="J1583" s="155"/>
    </row>
    <row r="1584" ht="22.5" customHeight="1">
      <c r="A1584" s="202"/>
      <c r="B1584" s="146"/>
      <c r="C1584" s="146"/>
      <c r="D1584" s="146"/>
      <c r="E1584" s="197"/>
      <c r="F1584" s="144"/>
      <c r="G1584" s="144"/>
      <c r="H1584" s="145"/>
      <c r="I1584" s="146"/>
      <c r="J1584" s="147"/>
    </row>
    <row r="1585" ht="22.5" customHeight="1">
      <c r="A1585" s="250"/>
      <c r="B1585" s="154"/>
      <c r="C1585" s="154"/>
      <c r="D1585" s="154"/>
      <c r="E1585" s="196"/>
      <c r="F1585" s="152"/>
      <c r="G1585" s="152"/>
      <c r="H1585" s="153"/>
      <c r="I1585" s="154"/>
      <c r="J1585" s="155"/>
    </row>
    <row r="1586" ht="22.5" customHeight="1">
      <c r="A1586" s="202"/>
      <c r="B1586" s="146"/>
      <c r="C1586" s="146"/>
      <c r="D1586" s="146"/>
      <c r="E1586" s="197"/>
      <c r="F1586" s="144"/>
      <c r="G1586" s="144"/>
      <c r="H1586" s="145"/>
      <c r="I1586" s="146"/>
      <c r="J1586" s="147"/>
    </row>
    <row r="1587" ht="22.5" customHeight="1">
      <c r="A1587" s="250"/>
      <c r="B1587" s="154"/>
      <c r="C1587" s="154"/>
      <c r="D1587" s="154"/>
      <c r="E1587" s="196"/>
      <c r="F1587" s="152"/>
      <c r="G1587" s="152"/>
      <c r="H1587" s="153"/>
      <c r="I1587" s="154"/>
      <c r="J1587" s="155"/>
    </row>
    <row r="1588" ht="22.5" customHeight="1">
      <c r="A1588" s="202"/>
      <c r="B1588" s="146"/>
      <c r="C1588" s="146"/>
      <c r="D1588" s="146"/>
      <c r="E1588" s="197"/>
      <c r="F1588" s="144"/>
      <c r="G1588" s="144"/>
      <c r="H1588" s="145"/>
      <c r="I1588" s="146"/>
      <c r="J1588" s="147"/>
    </row>
    <row r="1589" ht="22.5" customHeight="1">
      <c r="A1589" s="250"/>
      <c r="B1589" s="154"/>
      <c r="C1589" s="154"/>
      <c r="D1589" s="154"/>
      <c r="E1589" s="196"/>
      <c r="F1589" s="152"/>
      <c r="G1589" s="152"/>
      <c r="H1589" s="153"/>
      <c r="I1589" s="154"/>
      <c r="J1589" s="155"/>
    </row>
    <row r="1590" ht="22.5" customHeight="1">
      <c r="A1590" s="202"/>
      <c r="B1590" s="146"/>
      <c r="C1590" s="146"/>
      <c r="D1590" s="146"/>
      <c r="E1590" s="197"/>
      <c r="F1590" s="144"/>
      <c r="G1590" s="144"/>
      <c r="H1590" s="145"/>
      <c r="I1590" s="146"/>
      <c r="J1590" s="147"/>
    </row>
    <row r="1591" ht="22.5" customHeight="1">
      <c r="A1591" s="250"/>
      <c r="B1591" s="154"/>
      <c r="C1591" s="154"/>
      <c r="D1591" s="154"/>
      <c r="E1591" s="196"/>
      <c r="F1591" s="152"/>
      <c r="G1591" s="152"/>
      <c r="H1591" s="153"/>
      <c r="I1591" s="154"/>
      <c r="J1591" s="155"/>
    </row>
    <row r="1592" ht="22.5" customHeight="1">
      <c r="A1592" s="202"/>
      <c r="B1592" s="146"/>
      <c r="C1592" s="146"/>
      <c r="D1592" s="146"/>
      <c r="E1592" s="197"/>
      <c r="F1592" s="144"/>
      <c r="G1592" s="144"/>
      <c r="H1592" s="145"/>
      <c r="I1592" s="146"/>
      <c r="J1592" s="147"/>
    </row>
    <row r="1593" ht="22.5" customHeight="1">
      <c r="A1593" s="250"/>
      <c r="B1593" s="154"/>
      <c r="C1593" s="154"/>
      <c r="D1593" s="154"/>
      <c r="E1593" s="196"/>
      <c r="F1593" s="152"/>
      <c r="G1593" s="152"/>
      <c r="H1593" s="153"/>
      <c r="I1593" s="154"/>
      <c r="J1593" s="155"/>
    </row>
    <row r="1594" ht="22.5" customHeight="1">
      <c r="A1594" s="202"/>
      <c r="B1594" s="146"/>
      <c r="C1594" s="146"/>
      <c r="D1594" s="146"/>
      <c r="E1594" s="197"/>
      <c r="F1594" s="144"/>
      <c r="G1594" s="144"/>
      <c r="H1594" s="145"/>
      <c r="I1594" s="146"/>
      <c r="J1594" s="147"/>
    </row>
    <row r="1595" ht="22.5" customHeight="1">
      <c r="A1595" s="250"/>
      <c r="B1595" s="154"/>
      <c r="C1595" s="154"/>
      <c r="D1595" s="154"/>
      <c r="E1595" s="196"/>
      <c r="F1595" s="152"/>
      <c r="G1595" s="152"/>
      <c r="H1595" s="153"/>
      <c r="I1595" s="154"/>
      <c r="J1595" s="155"/>
    </row>
    <row r="1596" ht="22.5" customHeight="1">
      <c r="A1596" s="202"/>
      <c r="B1596" s="146"/>
      <c r="C1596" s="146"/>
      <c r="D1596" s="146"/>
      <c r="E1596" s="197"/>
      <c r="F1596" s="144"/>
      <c r="G1596" s="144"/>
      <c r="H1596" s="145"/>
      <c r="I1596" s="146"/>
      <c r="J1596" s="147"/>
    </row>
    <row r="1597" ht="22.5" customHeight="1">
      <c r="A1597" s="250"/>
      <c r="B1597" s="154"/>
      <c r="C1597" s="154"/>
      <c r="D1597" s="154"/>
      <c r="E1597" s="196"/>
      <c r="F1597" s="152"/>
      <c r="G1597" s="152"/>
      <c r="H1597" s="153"/>
      <c r="I1597" s="154"/>
      <c r="J1597" s="155"/>
    </row>
    <row r="1598" ht="22.5" customHeight="1">
      <c r="A1598" s="202"/>
      <c r="B1598" s="146"/>
      <c r="C1598" s="146"/>
      <c r="D1598" s="146"/>
      <c r="E1598" s="197"/>
      <c r="F1598" s="144"/>
      <c r="G1598" s="144"/>
      <c r="H1598" s="145"/>
      <c r="I1598" s="146"/>
      <c r="J1598" s="147"/>
    </row>
    <row r="1599" ht="22.5" customHeight="1">
      <c r="A1599" s="250"/>
      <c r="B1599" s="154"/>
      <c r="C1599" s="154"/>
      <c r="D1599" s="154"/>
      <c r="E1599" s="196"/>
      <c r="F1599" s="152"/>
      <c r="G1599" s="152"/>
      <c r="H1599" s="153"/>
      <c r="I1599" s="154"/>
      <c r="J1599" s="155"/>
    </row>
    <row r="1600" ht="22.5" customHeight="1">
      <c r="A1600" s="202"/>
      <c r="B1600" s="146"/>
      <c r="C1600" s="146"/>
      <c r="D1600" s="146"/>
      <c r="E1600" s="197"/>
      <c r="F1600" s="144"/>
      <c r="G1600" s="144"/>
      <c r="H1600" s="145"/>
      <c r="I1600" s="146"/>
      <c r="J1600" s="147"/>
    </row>
    <row r="1601" ht="22.5" customHeight="1">
      <c r="A1601" s="250"/>
      <c r="B1601" s="154"/>
      <c r="C1601" s="154"/>
      <c r="D1601" s="154"/>
      <c r="E1601" s="196"/>
      <c r="F1601" s="152"/>
      <c r="G1601" s="152"/>
      <c r="H1601" s="153"/>
      <c r="I1601" s="154"/>
      <c r="J1601" s="155"/>
    </row>
    <row r="1602" ht="22.5" customHeight="1">
      <c r="A1602" s="202"/>
      <c r="B1602" s="146"/>
      <c r="C1602" s="146"/>
      <c r="D1602" s="146"/>
      <c r="E1602" s="197"/>
      <c r="F1602" s="144"/>
      <c r="G1602" s="144"/>
      <c r="H1602" s="145"/>
      <c r="I1602" s="146"/>
      <c r="J1602" s="147"/>
    </row>
    <row r="1603" ht="22.5" customHeight="1">
      <c r="A1603" s="250"/>
      <c r="B1603" s="154"/>
      <c r="C1603" s="154"/>
      <c r="D1603" s="154"/>
      <c r="E1603" s="196"/>
      <c r="F1603" s="152"/>
      <c r="G1603" s="152"/>
      <c r="H1603" s="153"/>
      <c r="I1603" s="154"/>
      <c r="J1603" s="155"/>
    </row>
    <row r="1604" ht="22.5" customHeight="1">
      <c r="A1604" s="202"/>
      <c r="B1604" s="146"/>
      <c r="C1604" s="146"/>
      <c r="D1604" s="146"/>
      <c r="E1604" s="197"/>
      <c r="F1604" s="144"/>
      <c r="G1604" s="144"/>
      <c r="H1604" s="145"/>
      <c r="I1604" s="146"/>
      <c r="J1604" s="147"/>
    </row>
    <row r="1605" ht="22.5" customHeight="1">
      <c r="A1605" s="250"/>
      <c r="B1605" s="154"/>
      <c r="C1605" s="154"/>
      <c r="D1605" s="154"/>
      <c r="E1605" s="196"/>
      <c r="F1605" s="152"/>
      <c r="G1605" s="152"/>
      <c r="H1605" s="153"/>
      <c r="I1605" s="154"/>
      <c r="J1605" s="155"/>
    </row>
    <row r="1606" ht="22.5" customHeight="1">
      <c r="A1606" s="202"/>
      <c r="B1606" s="146"/>
      <c r="C1606" s="146"/>
      <c r="D1606" s="146"/>
      <c r="E1606" s="197"/>
      <c r="F1606" s="144"/>
      <c r="G1606" s="144"/>
      <c r="H1606" s="145"/>
      <c r="I1606" s="146"/>
      <c r="J1606" s="147"/>
    </row>
    <row r="1607" ht="22.5" customHeight="1">
      <c r="A1607" s="250"/>
      <c r="B1607" s="154"/>
      <c r="C1607" s="154"/>
      <c r="D1607" s="154"/>
      <c r="E1607" s="196"/>
      <c r="F1607" s="152"/>
      <c r="G1607" s="152"/>
      <c r="H1607" s="153"/>
      <c r="I1607" s="154"/>
      <c r="J1607" s="155"/>
    </row>
    <row r="1608" ht="22.5" customHeight="1">
      <c r="A1608" s="202"/>
      <c r="B1608" s="146"/>
      <c r="C1608" s="146"/>
      <c r="D1608" s="146"/>
      <c r="E1608" s="197"/>
      <c r="F1608" s="144"/>
      <c r="G1608" s="144"/>
      <c r="H1608" s="145"/>
      <c r="I1608" s="146"/>
      <c r="J1608" s="147"/>
    </row>
    <row r="1609" ht="22.5" customHeight="1">
      <c r="A1609" s="250"/>
      <c r="B1609" s="154"/>
      <c r="C1609" s="154"/>
      <c r="D1609" s="154"/>
      <c r="E1609" s="196"/>
      <c r="F1609" s="152"/>
      <c r="G1609" s="152"/>
      <c r="H1609" s="153"/>
      <c r="I1609" s="154"/>
      <c r="J1609" s="155"/>
    </row>
    <row r="1610" ht="22.5" customHeight="1">
      <c r="A1610" s="202"/>
      <c r="B1610" s="146"/>
      <c r="C1610" s="146"/>
      <c r="D1610" s="146"/>
      <c r="E1610" s="197"/>
      <c r="F1610" s="144"/>
      <c r="G1610" s="144"/>
      <c r="H1610" s="145"/>
      <c r="I1610" s="146"/>
      <c r="J1610" s="147"/>
    </row>
    <row r="1611" ht="22.5" customHeight="1">
      <c r="A1611" s="250"/>
      <c r="B1611" s="154"/>
      <c r="C1611" s="154"/>
      <c r="D1611" s="154"/>
      <c r="E1611" s="196"/>
      <c r="F1611" s="152"/>
      <c r="G1611" s="152"/>
      <c r="H1611" s="153"/>
      <c r="I1611" s="154"/>
      <c r="J1611" s="155"/>
    </row>
    <row r="1612" ht="22.5" customHeight="1">
      <c r="A1612" s="202"/>
      <c r="B1612" s="146"/>
      <c r="C1612" s="146"/>
      <c r="D1612" s="146"/>
      <c r="E1612" s="197"/>
      <c r="F1612" s="144"/>
      <c r="G1612" s="144"/>
      <c r="H1612" s="145"/>
      <c r="I1612" s="146"/>
      <c r="J1612" s="147"/>
    </row>
    <row r="1613" ht="22.5" customHeight="1">
      <c r="A1613" s="250"/>
      <c r="B1613" s="154"/>
      <c r="C1613" s="154"/>
      <c r="D1613" s="154"/>
      <c r="E1613" s="196"/>
      <c r="F1613" s="152"/>
      <c r="G1613" s="152"/>
      <c r="H1613" s="153"/>
      <c r="I1613" s="154"/>
      <c r="J1613" s="155"/>
    </row>
    <row r="1614" ht="22.5" customHeight="1">
      <c r="A1614" s="202"/>
      <c r="B1614" s="146"/>
      <c r="C1614" s="146"/>
      <c r="D1614" s="146"/>
      <c r="E1614" s="197"/>
      <c r="F1614" s="144"/>
      <c r="G1614" s="144"/>
      <c r="H1614" s="145"/>
      <c r="I1614" s="146"/>
      <c r="J1614" s="147"/>
    </row>
    <row r="1615" ht="22.5" customHeight="1">
      <c r="A1615" s="250"/>
      <c r="B1615" s="154"/>
      <c r="C1615" s="154"/>
      <c r="D1615" s="154"/>
      <c r="E1615" s="196"/>
      <c r="F1615" s="152"/>
      <c r="G1615" s="152"/>
      <c r="H1615" s="153"/>
      <c r="I1615" s="154"/>
      <c r="J1615" s="155"/>
    </row>
    <row r="1616" ht="22.5" customHeight="1">
      <c r="A1616" s="202"/>
      <c r="B1616" s="146"/>
      <c r="C1616" s="146"/>
      <c r="D1616" s="146"/>
      <c r="E1616" s="197"/>
      <c r="F1616" s="144"/>
      <c r="G1616" s="144"/>
      <c r="H1616" s="145"/>
      <c r="I1616" s="146"/>
      <c r="J1616" s="147"/>
    </row>
    <row r="1617" ht="22.5" customHeight="1">
      <c r="A1617" s="250"/>
      <c r="B1617" s="154"/>
      <c r="C1617" s="154"/>
      <c r="D1617" s="154"/>
      <c r="E1617" s="196"/>
      <c r="F1617" s="152"/>
      <c r="G1617" s="152"/>
      <c r="H1617" s="153"/>
      <c r="I1617" s="154"/>
      <c r="J1617" s="155"/>
    </row>
    <row r="1618" ht="22.5" customHeight="1">
      <c r="A1618" s="202"/>
      <c r="B1618" s="146"/>
      <c r="C1618" s="146"/>
      <c r="D1618" s="146"/>
      <c r="E1618" s="197"/>
      <c r="F1618" s="144"/>
      <c r="G1618" s="144"/>
      <c r="H1618" s="145"/>
      <c r="I1618" s="146"/>
      <c r="J1618" s="147"/>
    </row>
    <row r="1619" ht="22.5" customHeight="1">
      <c r="A1619" s="250"/>
      <c r="B1619" s="154"/>
      <c r="C1619" s="154"/>
      <c r="D1619" s="154"/>
      <c r="E1619" s="196"/>
      <c r="F1619" s="152"/>
      <c r="G1619" s="152"/>
      <c r="H1619" s="153"/>
      <c r="I1619" s="154"/>
      <c r="J1619" s="155"/>
    </row>
    <row r="1620" ht="22.5" customHeight="1">
      <c r="A1620" s="202"/>
      <c r="B1620" s="146"/>
      <c r="C1620" s="146"/>
      <c r="D1620" s="146"/>
      <c r="E1620" s="197"/>
      <c r="F1620" s="144"/>
      <c r="G1620" s="144"/>
      <c r="H1620" s="145"/>
      <c r="I1620" s="146"/>
      <c r="J1620" s="147"/>
    </row>
    <row r="1621" ht="22.5" customHeight="1">
      <c r="A1621" s="250"/>
      <c r="B1621" s="154"/>
      <c r="C1621" s="154"/>
      <c r="D1621" s="154"/>
      <c r="E1621" s="196"/>
      <c r="F1621" s="152"/>
      <c r="G1621" s="152"/>
      <c r="H1621" s="153"/>
      <c r="I1621" s="154"/>
      <c r="J1621" s="155"/>
    </row>
    <row r="1622" ht="22.5" customHeight="1">
      <c r="A1622" s="202"/>
      <c r="B1622" s="146"/>
      <c r="C1622" s="146"/>
      <c r="D1622" s="146"/>
      <c r="E1622" s="197"/>
      <c r="F1622" s="144"/>
      <c r="G1622" s="144"/>
      <c r="H1622" s="145"/>
      <c r="I1622" s="146"/>
      <c r="J1622" s="147"/>
    </row>
    <row r="1623" ht="22.5" customHeight="1">
      <c r="A1623" s="250"/>
      <c r="B1623" s="154"/>
      <c r="C1623" s="154"/>
      <c r="D1623" s="154"/>
      <c r="E1623" s="196"/>
      <c r="F1623" s="152"/>
      <c r="G1623" s="152"/>
      <c r="H1623" s="153"/>
      <c r="I1623" s="154"/>
      <c r="J1623" s="155"/>
    </row>
    <row r="1624" ht="22.5" customHeight="1">
      <c r="A1624" s="202"/>
      <c r="B1624" s="146"/>
      <c r="C1624" s="146"/>
      <c r="D1624" s="146"/>
      <c r="E1624" s="197"/>
      <c r="F1624" s="144"/>
      <c r="G1624" s="144"/>
      <c r="H1624" s="145"/>
      <c r="I1624" s="146"/>
      <c r="J1624" s="147"/>
    </row>
    <row r="1625" ht="22.5" customHeight="1">
      <c r="A1625" s="250"/>
      <c r="B1625" s="154"/>
      <c r="C1625" s="154"/>
      <c r="D1625" s="154"/>
      <c r="E1625" s="196"/>
      <c r="F1625" s="152"/>
      <c r="G1625" s="152"/>
      <c r="H1625" s="153"/>
      <c r="I1625" s="154"/>
      <c r="J1625" s="155"/>
    </row>
    <row r="1626" ht="22.5" customHeight="1">
      <c r="A1626" s="202"/>
      <c r="B1626" s="146"/>
      <c r="C1626" s="146"/>
      <c r="D1626" s="146"/>
      <c r="E1626" s="197"/>
      <c r="F1626" s="144"/>
      <c r="G1626" s="144"/>
      <c r="H1626" s="145"/>
      <c r="I1626" s="146"/>
      <c r="J1626" s="147"/>
    </row>
    <row r="1627" ht="22.5" customHeight="1">
      <c r="A1627" s="250"/>
      <c r="B1627" s="154"/>
      <c r="C1627" s="154"/>
      <c r="D1627" s="154"/>
      <c r="E1627" s="196"/>
      <c r="F1627" s="152"/>
      <c r="G1627" s="152"/>
      <c r="H1627" s="153"/>
      <c r="I1627" s="154"/>
      <c r="J1627" s="155"/>
    </row>
    <row r="1628" ht="22.5" customHeight="1">
      <c r="A1628" s="202"/>
      <c r="B1628" s="146"/>
      <c r="C1628" s="146"/>
      <c r="D1628" s="146"/>
      <c r="E1628" s="197"/>
      <c r="F1628" s="144"/>
      <c r="G1628" s="144"/>
      <c r="H1628" s="145"/>
      <c r="I1628" s="146"/>
      <c r="J1628" s="147"/>
    </row>
    <row r="1629" ht="22.5" customHeight="1">
      <c r="A1629" s="250"/>
      <c r="B1629" s="154"/>
      <c r="C1629" s="154"/>
      <c r="D1629" s="154"/>
      <c r="E1629" s="196"/>
      <c r="F1629" s="152"/>
      <c r="G1629" s="152"/>
      <c r="H1629" s="153"/>
      <c r="I1629" s="154"/>
      <c r="J1629" s="155"/>
    </row>
    <row r="1630" ht="22.5" customHeight="1">
      <c r="A1630" s="202"/>
      <c r="B1630" s="146"/>
      <c r="C1630" s="146"/>
      <c r="D1630" s="146"/>
      <c r="E1630" s="197"/>
      <c r="F1630" s="144"/>
      <c r="G1630" s="144"/>
      <c r="H1630" s="145"/>
      <c r="I1630" s="146"/>
      <c r="J1630" s="147"/>
    </row>
    <row r="1631" ht="22.5" customHeight="1">
      <c r="A1631" s="250"/>
      <c r="B1631" s="154"/>
      <c r="C1631" s="154"/>
      <c r="D1631" s="154"/>
      <c r="E1631" s="196"/>
      <c r="F1631" s="152"/>
      <c r="G1631" s="152"/>
      <c r="H1631" s="153"/>
      <c r="I1631" s="154"/>
      <c r="J1631" s="155"/>
    </row>
    <row r="1632" ht="22.5" customHeight="1">
      <c r="A1632" s="202"/>
      <c r="B1632" s="146"/>
      <c r="C1632" s="146"/>
      <c r="D1632" s="146"/>
      <c r="E1632" s="197"/>
      <c r="F1632" s="144"/>
      <c r="G1632" s="144"/>
      <c r="H1632" s="145"/>
      <c r="I1632" s="146"/>
      <c r="J1632" s="147"/>
    </row>
    <row r="1633" ht="22.5" customHeight="1">
      <c r="A1633" s="250"/>
      <c r="B1633" s="154"/>
      <c r="C1633" s="154"/>
      <c r="D1633" s="154"/>
      <c r="E1633" s="196"/>
      <c r="F1633" s="152"/>
      <c r="G1633" s="152"/>
      <c r="H1633" s="153"/>
      <c r="I1633" s="154"/>
      <c r="J1633" s="155"/>
    </row>
    <row r="1634" ht="22.5" customHeight="1">
      <c r="A1634" s="202"/>
      <c r="B1634" s="146"/>
      <c r="C1634" s="146"/>
      <c r="D1634" s="146"/>
      <c r="E1634" s="197"/>
      <c r="F1634" s="144"/>
      <c r="G1634" s="144"/>
      <c r="H1634" s="145"/>
      <c r="I1634" s="146"/>
      <c r="J1634" s="147"/>
    </row>
    <row r="1635" ht="22.5" customHeight="1">
      <c r="A1635" s="250"/>
      <c r="B1635" s="154"/>
      <c r="C1635" s="154"/>
      <c r="D1635" s="154"/>
      <c r="E1635" s="196"/>
      <c r="F1635" s="152"/>
      <c r="G1635" s="152"/>
      <c r="H1635" s="153"/>
      <c r="I1635" s="154"/>
      <c r="J1635" s="155"/>
    </row>
    <row r="1636" ht="22.5" customHeight="1">
      <c r="A1636" s="202"/>
      <c r="B1636" s="146"/>
      <c r="C1636" s="146"/>
      <c r="D1636" s="146"/>
      <c r="E1636" s="197"/>
      <c r="F1636" s="144"/>
      <c r="G1636" s="144"/>
      <c r="H1636" s="145"/>
      <c r="I1636" s="146"/>
      <c r="J1636" s="147"/>
    </row>
    <row r="1637" ht="22.5" customHeight="1">
      <c r="A1637" s="250"/>
      <c r="B1637" s="154"/>
      <c r="C1637" s="154"/>
      <c r="D1637" s="154"/>
      <c r="E1637" s="196"/>
      <c r="F1637" s="152"/>
      <c r="G1637" s="152"/>
      <c r="H1637" s="153"/>
      <c r="I1637" s="154"/>
      <c r="J1637" s="155"/>
    </row>
    <row r="1638" ht="22.5" customHeight="1">
      <c r="A1638" s="202"/>
      <c r="B1638" s="146"/>
      <c r="C1638" s="146"/>
      <c r="D1638" s="146"/>
      <c r="E1638" s="197"/>
      <c r="F1638" s="144"/>
      <c r="G1638" s="144"/>
      <c r="H1638" s="145"/>
      <c r="I1638" s="146"/>
      <c r="J1638" s="147"/>
    </row>
    <row r="1639" ht="22.5" customHeight="1">
      <c r="A1639" s="250"/>
      <c r="B1639" s="154"/>
      <c r="C1639" s="154"/>
      <c r="D1639" s="154"/>
      <c r="E1639" s="196"/>
      <c r="F1639" s="152"/>
      <c r="G1639" s="152"/>
      <c r="H1639" s="153"/>
      <c r="I1639" s="154"/>
      <c r="J1639" s="155"/>
    </row>
    <row r="1640" ht="22.5" customHeight="1">
      <c r="A1640" s="202"/>
      <c r="B1640" s="146"/>
      <c r="C1640" s="146"/>
      <c r="D1640" s="146"/>
      <c r="E1640" s="197"/>
      <c r="F1640" s="144"/>
      <c r="G1640" s="144"/>
      <c r="H1640" s="145"/>
      <c r="I1640" s="146"/>
      <c r="J1640" s="147"/>
    </row>
    <row r="1641" ht="22.5" customHeight="1">
      <c r="A1641" s="250"/>
      <c r="B1641" s="154"/>
      <c r="C1641" s="154"/>
      <c r="D1641" s="154"/>
      <c r="E1641" s="196"/>
      <c r="F1641" s="152"/>
      <c r="G1641" s="152"/>
      <c r="H1641" s="153"/>
      <c r="I1641" s="154"/>
      <c r="J1641" s="155"/>
    </row>
    <row r="1642" ht="22.5" customHeight="1">
      <c r="A1642" s="202"/>
      <c r="B1642" s="146"/>
      <c r="C1642" s="146"/>
      <c r="D1642" s="146"/>
      <c r="E1642" s="197"/>
      <c r="F1642" s="144"/>
      <c r="G1642" s="144"/>
      <c r="H1642" s="145"/>
      <c r="I1642" s="146"/>
      <c r="J1642" s="147"/>
    </row>
    <row r="1643" ht="22.5" customHeight="1">
      <c r="A1643" s="250"/>
      <c r="B1643" s="154"/>
      <c r="C1643" s="154"/>
      <c r="D1643" s="154"/>
      <c r="E1643" s="196"/>
      <c r="F1643" s="152"/>
      <c r="G1643" s="152"/>
      <c r="H1643" s="153"/>
      <c r="I1643" s="154"/>
      <c r="J1643" s="155"/>
    </row>
    <row r="1644" ht="22.5" customHeight="1">
      <c r="A1644" s="202"/>
      <c r="B1644" s="146"/>
      <c r="C1644" s="146"/>
      <c r="D1644" s="146"/>
      <c r="E1644" s="197"/>
      <c r="F1644" s="144"/>
      <c r="G1644" s="144"/>
      <c r="H1644" s="145"/>
      <c r="I1644" s="146"/>
      <c r="J1644" s="147"/>
    </row>
    <row r="1645" ht="22.5" customHeight="1">
      <c r="A1645" s="250"/>
      <c r="B1645" s="154"/>
      <c r="C1645" s="154"/>
      <c r="D1645" s="154"/>
      <c r="E1645" s="196"/>
      <c r="F1645" s="152"/>
      <c r="G1645" s="152"/>
      <c r="H1645" s="153"/>
      <c r="I1645" s="154"/>
      <c r="J1645" s="155"/>
    </row>
    <row r="1646" ht="22.5" customHeight="1">
      <c r="A1646" s="202"/>
      <c r="B1646" s="146"/>
      <c r="C1646" s="146"/>
      <c r="D1646" s="146"/>
      <c r="E1646" s="197"/>
      <c r="F1646" s="144"/>
      <c r="G1646" s="144"/>
      <c r="H1646" s="145"/>
      <c r="I1646" s="146"/>
      <c r="J1646" s="147"/>
    </row>
    <row r="1647" ht="22.5" customHeight="1">
      <c r="A1647" s="250"/>
      <c r="B1647" s="154"/>
      <c r="C1647" s="154"/>
      <c r="D1647" s="154"/>
      <c r="E1647" s="196"/>
      <c r="F1647" s="152"/>
      <c r="G1647" s="152"/>
      <c r="H1647" s="153"/>
      <c r="I1647" s="154"/>
      <c r="J1647" s="155"/>
    </row>
    <row r="1648" ht="22.5" customHeight="1">
      <c r="A1648" s="202"/>
      <c r="B1648" s="146"/>
      <c r="C1648" s="146"/>
      <c r="D1648" s="146"/>
      <c r="E1648" s="197"/>
      <c r="F1648" s="144"/>
      <c r="G1648" s="144"/>
      <c r="H1648" s="145"/>
      <c r="I1648" s="146"/>
      <c r="J1648" s="147"/>
    </row>
    <row r="1649" ht="22.5" customHeight="1">
      <c r="A1649" s="250"/>
      <c r="B1649" s="154"/>
      <c r="C1649" s="154"/>
      <c r="D1649" s="154"/>
      <c r="E1649" s="196"/>
      <c r="F1649" s="152"/>
      <c r="G1649" s="152"/>
      <c r="H1649" s="153"/>
      <c r="I1649" s="154"/>
      <c r="J1649" s="155"/>
    </row>
    <row r="1650" ht="22.5" customHeight="1">
      <c r="A1650" s="202"/>
      <c r="B1650" s="146"/>
      <c r="C1650" s="146"/>
      <c r="D1650" s="146"/>
      <c r="E1650" s="197"/>
      <c r="F1650" s="144"/>
      <c r="G1650" s="144"/>
      <c r="H1650" s="145"/>
      <c r="I1650" s="146"/>
      <c r="J1650" s="147"/>
    </row>
    <row r="1651" ht="22.5" customHeight="1">
      <c r="A1651" s="250"/>
      <c r="B1651" s="154"/>
      <c r="C1651" s="154"/>
      <c r="D1651" s="154"/>
      <c r="E1651" s="196"/>
      <c r="F1651" s="152"/>
      <c r="G1651" s="152"/>
      <c r="H1651" s="153"/>
      <c r="I1651" s="154"/>
      <c r="J1651" s="155"/>
    </row>
    <row r="1652" ht="22.5" customHeight="1">
      <c r="A1652" s="202"/>
      <c r="B1652" s="146"/>
      <c r="C1652" s="146"/>
      <c r="D1652" s="146"/>
      <c r="E1652" s="197"/>
      <c r="F1652" s="144"/>
      <c r="G1652" s="144"/>
      <c r="H1652" s="145"/>
      <c r="I1652" s="146"/>
      <c r="J1652" s="147"/>
    </row>
    <row r="1653" ht="22.5" customHeight="1">
      <c r="A1653" s="250"/>
      <c r="B1653" s="154"/>
      <c r="C1653" s="154"/>
      <c r="D1653" s="154"/>
      <c r="E1653" s="196"/>
      <c r="F1653" s="152"/>
      <c r="G1653" s="152"/>
      <c r="H1653" s="153"/>
      <c r="I1653" s="154"/>
      <c r="J1653" s="155"/>
    </row>
    <row r="1654" ht="22.5" customHeight="1">
      <c r="A1654" s="202"/>
      <c r="B1654" s="146"/>
      <c r="C1654" s="146"/>
      <c r="D1654" s="146"/>
      <c r="E1654" s="197"/>
      <c r="F1654" s="144"/>
      <c r="G1654" s="144"/>
      <c r="H1654" s="145"/>
      <c r="I1654" s="146"/>
      <c r="J1654" s="147"/>
    </row>
    <row r="1655" ht="22.5" customHeight="1">
      <c r="A1655" s="250"/>
      <c r="B1655" s="154"/>
      <c r="C1655" s="154"/>
      <c r="D1655" s="154"/>
      <c r="E1655" s="196"/>
      <c r="F1655" s="152"/>
      <c r="G1655" s="152"/>
      <c r="H1655" s="153"/>
      <c r="I1655" s="154"/>
      <c r="J1655" s="155"/>
    </row>
    <row r="1656" ht="22.5" customHeight="1">
      <c r="A1656" s="202"/>
      <c r="B1656" s="146"/>
      <c r="C1656" s="146"/>
      <c r="D1656" s="146"/>
      <c r="E1656" s="197"/>
      <c r="F1656" s="144"/>
      <c r="G1656" s="144"/>
      <c r="H1656" s="145"/>
      <c r="I1656" s="146"/>
      <c r="J1656" s="147"/>
    </row>
    <row r="1657" ht="22.5" customHeight="1">
      <c r="A1657" s="250"/>
      <c r="B1657" s="154"/>
      <c r="C1657" s="154"/>
      <c r="D1657" s="154"/>
      <c r="E1657" s="196"/>
      <c r="F1657" s="152"/>
      <c r="G1657" s="152"/>
      <c r="H1657" s="153"/>
      <c r="I1657" s="154"/>
      <c r="J1657" s="155"/>
    </row>
    <row r="1658" ht="22.5" customHeight="1">
      <c r="A1658" s="202"/>
      <c r="B1658" s="146"/>
      <c r="C1658" s="146"/>
      <c r="D1658" s="146"/>
      <c r="E1658" s="197"/>
      <c r="F1658" s="144"/>
      <c r="G1658" s="144"/>
      <c r="H1658" s="145"/>
      <c r="I1658" s="146"/>
      <c r="J1658" s="147"/>
    </row>
    <row r="1659" ht="22.5" customHeight="1">
      <c r="A1659" s="250"/>
      <c r="B1659" s="154"/>
      <c r="C1659" s="154"/>
      <c r="D1659" s="154"/>
      <c r="E1659" s="196"/>
      <c r="F1659" s="152"/>
      <c r="G1659" s="152"/>
      <c r="H1659" s="153"/>
      <c r="I1659" s="154"/>
      <c r="J1659" s="155"/>
    </row>
    <row r="1660" ht="22.5" customHeight="1">
      <c r="A1660" s="202"/>
      <c r="B1660" s="146"/>
      <c r="C1660" s="146"/>
      <c r="D1660" s="146"/>
      <c r="E1660" s="197"/>
      <c r="F1660" s="144"/>
      <c r="G1660" s="144"/>
      <c r="H1660" s="145"/>
      <c r="I1660" s="146"/>
      <c r="J1660" s="147"/>
    </row>
    <row r="1661" ht="22.5" customHeight="1">
      <c r="A1661" s="250"/>
      <c r="B1661" s="154"/>
      <c r="C1661" s="154"/>
      <c r="D1661" s="154"/>
      <c r="E1661" s="196"/>
      <c r="F1661" s="152"/>
      <c r="G1661" s="152"/>
      <c r="H1661" s="153"/>
      <c r="I1661" s="154"/>
      <c r="J1661" s="155"/>
    </row>
    <row r="1662" ht="22.5" customHeight="1">
      <c r="A1662" s="202"/>
      <c r="B1662" s="146"/>
      <c r="C1662" s="146"/>
      <c r="D1662" s="146"/>
      <c r="E1662" s="197"/>
      <c r="F1662" s="144"/>
      <c r="G1662" s="144"/>
      <c r="H1662" s="145"/>
      <c r="I1662" s="146"/>
      <c r="J1662" s="147"/>
    </row>
    <row r="1663" ht="22.5" customHeight="1">
      <c r="A1663" s="250"/>
      <c r="B1663" s="154"/>
      <c r="C1663" s="154"/>
      <c r="D1663" s="154"/>
      <c r="E1663" s="196"/>
      <c r="F1663" s="152"/>
      <c r="G1663" s="152"/>
      <c r="H1663" s="153"/>
      <c r="I1663" s="154"/>
      <c r="J1663" s="155"/>
    </row>
    <row r="1664" ht="22.5" customHeight="1">
      <c r="A1664" s="202"/>
      <c r="B1664" s="146"/>
      <c r="C1664" s="146"/>
      <c r="D1664" s="146"/>
      <c r="E1664" s="197"/>
      <c r="F1664" s="144"/>
      <c r="G1664" s="144"/>
      <c r="H1664" s="145"/>
      <c r="I1664" s="146"/>
      <c r="J1664" s="147"/>
    </row>
    <row r="1665" ht="22.5" customHeight="1">
      <c r="A1665" s="250"/>
      <c r="B1665" s="154"/>
      <c r="C1665" s="154"/>
      <c r="D1665" s="154"/>
      <c r="E1665" s="196"/>
      <c r="F1665" s="152"/>
      <c r="G1665" s="152"/>
      <c r="H1665" s="153"/>
      <c r="I1665" s="154"/>
      <c r="J1665" s="155"/>
    </row>
    <row r="1666" ht="22.5" customHeight="1">
      <c r="A1666" s="202"/>
      <c r="B1666" s="146"/>
      <c r="C1666" s="146"/>
      <c r="D1666" s="146"/>
      <c r="E1666" s="197"/>
      <c r="F1666" s="144"/>
      <c r="G1666" s="144"/>
      <c r="H1666" s="145"/>
      <c r="I1666" s="146"/>
      <c r="J1666" s="147"/>
    </row>
    <row r="1667" ht="22.5" customHeight="1">
      <c r="A1667" s="250"/>
      <c r="B1667" s="154"/>
      <c r="C1667" s="154"/>
      <c r="D1667" s="154"/>
      <c r="E1667" s="196"/>
      <c r="F1667" s="152"/>
      <c r="G1667" s="152"/>
      <c r="H1667" s="153"/>
      <c r="I1667" s="154"/>
      <c r="J1667" s="155"/>
    </row>
    <row r="1668" ht="22.5" customHeight="1">
      <c r="A1668" s="202"/>
      <c r="B1668" s="146"/>
      <c r="C1668" s="146"/>
      <c r="D1668" s="146"/>
      <c r="E1668" s="197"/>
      <c r="F1668" s="144"/>
      <c r="G1668" s="144"/>
      <c r="H1668" s="145"/>
      <c r="I1668" s="146"/>
      <c r="J1668" s="147"/>
    </row>
    <row r="1669" ht="22.5" customHeight="1">
      <c r="A1669" s="250"/>
      <c r="B1669" s="154"/>
      <c r="C1669" s="154"/>
      <c r="D1669" s="154"/>
      <c r="E1669" s="196"/>
      <c r="F1669" s="152"/>
      <c r="G1669" s="152"/>
      <c r="H1669" s="153"/>
      <c r="I1669" s="154"/>
      <c r="J1669" s="155"/>
    </row>
    <row r="1670" ht="22.5" customHeight="1">
      <c r="A1670" s="202"/>
      <c r="B1670" s="146"/>
      <c r="C1670" s="146"/>
      <c r="D1670" s="146"/>
      <c r="E1670" s="197"/>
      <c r="F1670" s="144"/>
      <c r="G1670" s="144"/>
      <c r="H1670" s="145"/>
      <c r="I1670" s="146"/>
      <c r="J1670" s="147"/>
    </row>
    <row r="1671" ht="22.5" customHeight="1">
      <c r="A1671" s="250"/>
      <c r="B1671" s="154"/>
      <c r="C1671" s="154"/>
      <c r="D1671" s="154"/>
      <c r="E1671" s="196"/>
      <c r="F1671" s="152"/>
      <c r="G1671" s="152"/>
      <c r="H1671" s="153"/>
      <c r="I1671" s="154"/>
      <c r="J1671" s="155"/>
    </row>
    <row r="1672" ht="22.5" customHeight="1">
      <c r="A1672" s="202"/>
      <c r="B1672" s="146"/>
      <c r="C1672" s="146"/>
      <c r="D1672" s="146"/>
      <c r="E1672" s="197"/>
      <c r="F1672" s="144"/>
      <c r="G1672" s="144"/>
      <c r="H1672" s="145"/>
      <c r="I1672" s="146"/>
      <c r="J1672" s="147"/>
    </row>
    <row r="1673" ht="22.5" customHeight="1">
      <c r="A1673" s="250"/>
      <c r="B1673" s="154"/>
      <c r="C1673" s="154"/>
      <c r="D1673" s="154"/>
      <c r="E1673" s="196"/>
      <c r="F1673" s="152"/>
      <c r="G1673" s="152"/>
      <c r="H1673" s="153"/>
      <c r="I1673" s="154"/>
      <c r="J1673" s="155"/>
    </row>
    <row r="1674" ht="22.5" customHeight="1">
      <c r="A1674" s="202"/>
      <c r="B1674" s="146"/>
      <c r="C1674" s="146"/>
      <c r="D1674" s="146"/>
      <c r="E1674" s="197"/>
      <c r="F1674" s="144"/>
      <c r="G1674" s="144"/>
      <c r="H1674" s="145"/>
      <c r="I1674" s="146"/>
      <c r="J1674" s="147"/>
    </row>
    <row r="1675" ht="22.5" customHeight="1">
      <c r="A1675" s="250"/>
      <c r="B1675" s="154"/>
      <c r="C1675" s="154"/>
      <c r="D1675" s="154"/>
      <c r="E1675" s="196"/>
      <c r="F1675" s="152"/>
      <c r="G1675" s="152"/>
      <c r="H1675" s="153"/>
      <c r="I1675" s="154"/>
      <c r="J1675" s="155"/>
    </row>
    <row r="1676" ht="22.5" customHeight="1">
      <c r="A1676" s="202"/>
      <c r="B1676" s="146"/>
      <c r="C1676" s="146"/>
      <c r="D1676" s="146"/>
      <c r="E1676" s="197"/>
      <c r="F1676" s="144"/>
      <c r="G1676" s="144"/>
      <c r="H1676" s="145"/>
      <c r="I1676" s="146"/>
      <c r="J1676" s="147"/>
    </row>
    <row r="1677" ht="22.5" customHeight="1">
      <c r="A1677" s="250"/>
      <c r="B1677" s="154"/>
      <c r="C1677" s="154"/>
      <c r="D1677" s="154"/>
      <c r="E1677" s="196"/>
      <c r="F1677" s="152"/>
      <c r="G1677" s="152"/>
      <c r="H1677" s="153"/>
      <c r="I1677" s="154"/>
      <c r="J1677" s="155"/>
    </row>
    <row r="1678" ht="22.5" customHeight="1">
      <c r="A1678" s="202"/>
      <c r="B1678" s="146"/>
      <c r="C1678" s="146"/>
      <c r="D1678" s="146"/>
      <c r="E1678" s="197"/>
      <c r="F1678" s="144"/>
      <c r="G1678" s="144"/>
      <c r="H1678" s="145"/>
      <c r="I1678" s="146"/>
      <c r="J1678" s="147"/>
    </row>
    <row r="1679" ht="22.5" customHeight="1">
      <c r="A1679" s="250"/>
      <c r="B1679" s="154"/>
      <c r="C1679" s="154"/>
      <c r="D1679" s="154"/>
      <c r="E1679" s="196"/>
      <c r="F1679" s="152"/>
      <c r="G1679" s="152"/>
      <c r="H1679" s="153"/>
      <c r="I1679" s="154"/>
      <c r="J1679" s="155"/>
    </row>
    <row r="1680" ht="22.5" customHeight="1">
      <c r="A1680" s="202"/>
      <c r="B1680" s="146"/>
      <c r="C1680" s="146"/>
      <c r="D1680" s="146"/>
      <c r="E1680" s="197"/>
      <c r="F1680" s="144"/>
      <c r="G1680" s="144"/>
      <c r="H1680" s="145"/>
      <c r="I1680" s="146"/>
      <c r="J1680" s="147"/>
    </row>
    <row r="1681" ht="22.5" customHeight="1">
      <c r="A1681" s="250"/>
      <c r="B1681" s="154"/>
      <c r="C1681" s="154"/>
      <c r="D1681" s="154"/>
      <c r="E1681" s="196"/>
      <c r="F1681" s="152"/>
      <c r="G1681" s="152"/>
      <c r="H1681" s="153"/>
      <c r="I1681" s="154"/>
      <c r="J1681" s="155"/>
    </row>
    <row r="1682" ht="22.5" customHeight="1">
      <c r="A1682" s="202"/>
      <c r="B1682" s="146"/>
      <c r="C1682" s="146"/>
      <c r="D1682" s="146"/>
      <c r="E1682" s="197"/>
      <c r="F1682" s="144"/>
      <c r="G1682" s="144"/>
      <c r="H1682" s="145"/>
      <c r="I1682" s="146"/>
      <c r="J1682" s="147"/>
    </row>
    <row r="1683" ht="22.5" customHeight="1">
      <c r="A1683" s="250"/>
      <c r="B1683" s="154"/>
      <c r="C1683" s="154"/>
      <c r="D1683" s="154"/>
      <c r="E1683" s="196"/>
      <c r="F1683" s="152"/>
      <c r="G1683" s="152"/>
      <c r="H1683" s="153"/>
      <c r="I1683" s="154"/>
      <c r="J1683" s="155"/>
    </row>
    <row r="1684" ht="22.5" customHeight="1">
      <c r="A1684" s="202"/>
      <c r="B1684" s="146"/>
      <c r="C1684" s="146"/>
      <c r="D1684" s="146"/>
      <c r="E1684" s="197"/>
      <c r="F1684" s="144"/>
      <c r="G1684" s="144"/>
      <c r="H1684" s="145"/>
      <c r="I1684" s="146"/>
      <c r="J1684" s="147"/>
    </row>
    <row r="1685" ht="22.5" customHeight="1">
      <c r="A1685" s="250"/>
      <c r="B1685" s="154"/>
      <c r="C1685" s="154"/>
      <c r="D1685" s="154"/>
      <c r="E1685" s="196"/>
      <c r="F1685" s="152"/>
      <c r="G1685" s="152"/>
      <c r="H1685" s="153"/>
      <c r="I1685" s="154"/>
      <c r="J1685" s="155"/>
    </row>
    <row r="1686" ht="22.5" customHeight="1">
      <c r="A1686" s="202"/>
      <c r="B1686" s="146"/>
      <c r="C1686" s="146"/>
      <c r="D1686" s="146"/>
      <c r="E1686" s="197"/>
      <c r="F1686" s="144"/>
      <c r="G1686" s="144"/>
      <c r="H1686" s="145"/>
      <c r="I1686" s="146"/>
      <c r="J1686" s="147"/>
    </row>
    <row r="1687" ht="22.5" customHeight="1">
      <c r="A1687" s="250"/>
      <c r="B1687" s="154"/>
      <c r="C1687" s="154"/>
      <c r="D1687" s="154"/>
      <c r="E1687" s="196"/>
      <c r="F1687" s="152"/>
      <c r="G1687" s="152"/>
      <c r="H1687" s="153"/>
      <c r="I1687" s="154"/>
      <c r="J1687" s="155"/>
    </row>
    <row r="1688" ht="22.5" customHeight="1">
      <c r="A1688" s="202"/>
      <c r="B1688" s="146"/>
      <c r="C1688" s="146"/>
      <c r="D1688" s="146"/>
      <c r="E1688" s="197"/>
      <c r="F1688" s="144"/>
      <c r="G1688" s="144"/>
      <c r="H1688" s="145"/>
      <c r="I1688" s="146"/>
      <c r="J1688" s="147"/>
    </row>
    <row r="1689" ht="22.5" customHeight="1">
      <c r="A1689" s="250"/>
      <c r="B1689" s="154"/>
      <c r="C1689" s="154"/>
      <c r="D1689" s="154"/>
      <c r="E1689" s="196"/>
      <c r="F1689" s="152"/>
      <c r="G1689" s="152"/>
      <c r="H1689" s="153"/>
      <c r="I1689" s="154"/>
      <c r="J1689" s="155"/>
    </row>
    <row r="1690" ht="22.5" customHeight="1">
      <c r="A1690" s="202"/>
      <c r="B1690" s="146"/>
      <c r="C1690" s="146"/>
      <c r="D1690" s="146"/>
      <c r="E1690" s="197"/>
      <c r="F1690" s="144"/>
      <c r="G1690" s="144"/>
      <c r="H1690" s="145"/>
      <c r="I1690" s="146"/>
      <c r="J1690" s="147"/>
    </row>
    <row r="1691" ht="22.5" customHeight="1">
      <c r="A1691" s="250"/>
      <c r="B1691" s="154"/>
      <c r="C1691" s="154"/>
      <c r="D1691" s="154"/>
      <c r="E1691" s="196"/>
      <c r="F1691" s="152"/>
      <c r="G1691" s="152"/>
      <c r="H1691" s="153"/>
      <c r="I1691" s="154"/>
      <c r="J1691" s="155"/>
    </row>
    <row r="1692" ht="22.5" customHeight="1">
      <c r="A1692" s="202"/>
      <c r="B1692" s="146"/>
      <c r="C1692" s="146"/>
      <c r="D1692" s="146"/>
      <c r="E1692" s="197"/>
      <c r="F1692" s="144"/>
      <c r="G1692" s="144"/>
      <c r="H1692" s="145"/>
      <c r="I1692" s="146"/>
      <c r="J1692" s="147"/>
    </row>
    <row r="1693" ht="22.5" customHeight="1">
      <c r="A1693" s="250"/>
      <c r="B1693" s="154"/>
      <c r="C1693" s="154"/>
      <c r="D1693" s="154"/>
      <c r="E1693" s="196"/>
      <c r="F1693" s="152"/>
      <c r="G1693" s="152"/>
      <c r="H1693" s="153"/>
      <c r="I1693" s="154"/>
      <c r="J1693" s="155"/>
    </row>
    <row r="1694" ht="22.5" customHeight="1">
      <c r="A1694" s="202"/>
      <c r="B1694" s="146"/>
      <c r="C1694" s="146"/>
      <c r="D1694" s="146"/>
      <c r="E1694" s="197"/>
      <c r="F1694" s="144"/>
      <c r="G1694" s="144"/>
      <c r="H1694" s="145"/>
      <c r="I1694" s="146"/>
      <c r="J1694" s="147"/>
    </row>
    <row r="1695" ht="22.5" customHeight="1">
      <c r="A1695" s="250"/>
      <c r="B1695" s="154"/>
      <c r="C1695" s="154"/>
      <c r="D1695" s="154"/>
      <c r="E1695" s="196"/>
      <c r="F1695" s="152"/>
      <c r="G1695" s="152"/>
      <c r="H1695" s="153"/>
      <c r="I1695" s="154"/>
      <c r="J1695" s="155"/>
    </row>
    <row r="1696" ht="22.5" customHeight="1">
      <c r="A1696" s="202"/>
      <c r="B1696" s="146"/>
      <c r="C1696" s="146"/>
      <c r="D1696" s="146"/>
      <c r="E1696" s="197"/>
      <c r="F1696" s="144"/>
      <c r="G1696" s="144"/>
      <c r="H1696" s="145"/>
      <c r="I1696" s="146"/>
      <c r="J1696" s="147"/>
    </row>
    <row r="1697" ht="22.5" customHeight="1">
      <c r="A1697" s="250"/>
      <c r="B1697" s="154"/>
      <c r="C1697" s="154"/>
      <c r="D1697" s="154"/>
      <c r="E1697" s="196"/>
      <c r="F1697" s="152"/>
      <c r="G1697" s="152"/>
      <c r="H1697" s="153"/>
      <c r="I1697" s="154"/>
      <c r="J1697" s="155"/>
    </row>
    <row r="1698" ht="22.5" customHeight="1">
      <c r="A1698" s="202"/>
      <c r="B1698" s="146"/>
      <c r="C1698" s="146"/>
      <c r="D1698" s="146"/>
      <c r="E1698" s="197"/>
      <c r="F1698" s="144"/>
      <c r="G1698" s="144"/>
      <c r="H1698" s="145"/>
      <c r="I1698" s="146"/>
      <c r="J1698" s="147"/>
    </row>
    <row r="1699" ht="22.5" customHeight="1">
      <c r="A1699" s="250"/>
      <c r="B1699" s="154"/>
      <c r="C1699" s="154"/>
      <c r="D1699" s="154"/>
      <c r="E1699" s="196"/>
      <c r="F1699" s="152"/>
      <c r="G1699" s="152"/>
      <c r="H1699" s="153"/>
      <c r="I1699" s="154"/>
      <c r="J1699" s="155"/>
    </row>
    <row r="1700" ht="22.5" customHeight="1">
      <c r="A1700" s="202"/>
      <c r="B1700" s="146"/>
      <c r="C1700" s="146"/>
      <c r="D1700" s="146"/>
      <c r="E1700" s="197"/>
      <c r="F1700" s="144"/>
      <c r="G1700" s="144"/>
      <c r="H1700" s="145"/>
      <c r="I1700" s="146"/>
      <c r="J1700" s="147"/>
    </row>
    <row r="1701" ht="22.5" customHeight="1">
      <c r="A1701" s="250"/>
      <c r="B1701" s="154"/>
      <c r="C1701" s="154"/>
      <c r="D1701" s="154"/>
      <c r="E1701" s="196"/>
      <c r="F1701" s="152"/>
      <c r="G1701" s="152"/>
      <c r="H1701" s="153"/>
      <c r="I1701" s="154"/>
      <c r="J1701" s="155"/>
    </row>
    <row r="1702" ht="22.5" customHeight="1">
      <c r="A1702" s="202"/>
      <c r="B1702" s="146"/>
      <c r="C1702" s="146"/>
      <c r="D1702" s="146"/>
      <c r="E1702" s="197"/>
      <c r="F1702" s="144"/>
      <c r="G1702" s="144"/>
      <c r="H1702" s="145"/>
      <c r="I1702" s="146"/>
      <c r="J1702" s="147"/>
    </row>
    <row r="1703" ht="22.5" customHeight="1">
      <c r="A1703" s="250"/>
      <c r="B1703" s="154"/>
      <c r="C1703" s="154"/>
      <c r="D1703" s="154"/>
      <c r="E1703" s="196"/>
      <c r="F1703" s="152"/>
      <c r="G1703" s="152"/>
      <c r="H1703" s="153"/>
      <c r="I1703" s="154"/>
      <c r="J1703" s="155"/>
    </row>
    <row r="1704" ht="22.5" customHeight="1">
      <c r="A1704" s="202"/>
      <c r="B1704" s="146"/>
      <c r="C1704" s="146"/>
      <c r="D1704" s="146"/>
      <c r="E1704" s="197"/>
      <c r="F1704" s="144"/>
      <c r="G1704" s="144"/>
      <c r="H1704" s="145"/>
      <c r="I1704" s="146"/>
      <c r="J1704" s="147"/>
    </row>
    <row r="1705" ht="22.5" customHeight="1">
      <c r="A1705" s="250"/>
      <c r="B1705" s="154"/>
      <c r="C1705" s="154"/>
      <c r="D1705" s="154"/>
      <c r="E1705" s="196"/>
      <c r="F1705" s="152"/>
      <c r="G1705" s="152"/>
      <c r="H1705" s="153"/>
      <c r="I1705" s="154"/>
      <c r="J1705" s="155"/>
    </row>
    <row r="1706" ht="22.5" customHeight="1">
      <c r="A1706" s="202"/>
      <c r="B1706" s="146"/>
      <c r="C1706" s="146"/>
      <c r="D1706" s="146"/>
      <c r="E1706" s="197"/>
      <c r="F1706" s="144"/>
      <c r="G1706" s="144"/>
      <c r="H1706" s="145"/>
      <c r="I1706" s="146"/>
      <c r="J1706" s="147"/>
    </row>
    <row r="1707" ht="22.5" customHeight="1">
      <c r="A1707" s="250"/>
      <c r="B1707" s="154"/>
      <c r="C1707" s="154"/>
      <c r="D1707" s="154"/>
      <c r="E1707" s="196"/>
      <c r="F1707" s="152"/>
      <c r="G1707" s="152"/>
      <c r="H1707" s="153"/>
      <c r="I1707" s="154"/>
      <c r="J1707" s="155"/>
    </row>
    <row r="1708" ht="22.5" customHeight="1">
      <c r="A1708" s="202"/>
      <c r="B1708" s="146"/>
      <c r="C1708" s="146"/>
      <c r="D1708" s="146"/>
      <c r="E1708" s="197"/>
      <c r="F1708" s="144"/>
      <c r="G1708" s="144"/>
      <c r="H1708" s="145"/>
      <c r="I1708" s="146"/>
      <c r="J1708" s="147"/>
    </row>
    <row r="1709" ht="22.5" customHeight="1">
      <c r="A1709" s="250"/>
      <c r="B1709" s="154"/>
      <c r="C1709" s="154"/>
      <c r="D1709" s="154"/>
      <c r="E1709" s="196"/>
      <c r="F1709" s="152"/>
      <c r="G1709" s="152"/>
      <c r="H1709" s="153"/>
      <c r="I1709" s="154"/>
      <c r="J1709" s="155"/>
    </row>
    <row r="1710" ht="22.5" customHeight="1">
      <c r="A1710" s="202"/>
      <c r="B1710" s="146"/>
      <c r="C1710" s="146"/>
      <c r="D1710" s="146"/>
      <c r="E1710" s="197"/>
      <c r="F1710" s="144"/>
      <c r="G1710" s="144"/>
      <c r="H1710" s="145"/>
      <c r="I1710" s="146"/>
      <c r="J1710" s="147"/>
    </row>
    <row r="1711" ht="22.5" customHeight="1">
      <c r="A1711" s="250"/>
      <c r="B1711" s="154"/>
      <c r="C1711" s="154"/>
      <c r="D1711" s="154"/>
      <c r="E1711" s="196"/>
      <c r="F1711" s="152"/>
      <c r="G1711" s="152"/>
      <c r="H1711" s="153"/>
      <c r="I1711" s="154"/>
      <c r="J1711" s="155"/>
    </row>
    <row r="1712" ht="22.5" customHeight="1">
      <c r="A1712" s="202"/>
      <c r="B1712" s="146"/>
      <c r="C1712" s="146"/>
      <c r="D1712" s="146"/>
      <c r="E1712" s="197"/>
      <c r="F1712" s="144"/>
      <c r="G1712" s="144"/>
      <c r="H1712" s="145"/>
      <c r="I1712" s="146"/>
      <c r="J1712" s="147"/>
    </row>
    <row r="1713" ht="22.5" customHeight="1">
      <c r="A1713" s="250"/>
      <c r="B1713" s="154"/>
      <c r="C1713" s="154"/>
      <c r="D1713" s="154"/>
      <c r="E1713" s="196"/>
      <c r="F1713" s="152"/>
      <c r="G1713" s="152"/>
      <c r="H1713" s="153"/>
      <c r="I1713" s="154"/>
      <c r="J1713" s="155"/>
    </row>
    <row r="1714" ht="22.5" customHeight="1">
      <c r="A1714" s="202"/>
      <c r="B1714" s="146"/>
      <c r="C1714" s="146"/>
      <c r="D1714" s="146"/>
      <c r="E1714" s="197"/>
      <c r="F1714" s="144"/>
      <c r="G1714" s="144"/>
      <c r="H1714" s="145"/>
      <c r="I1714" s="146"/>
      <c r="J1714" s="147"/>
    </row>
    <row r="1715" ht="22.5" customHeight="1">
      <c r="A1715" s="250"/>
      <c r="B1715" s="154"/>
      <c r="C1715" s="154"/>
      <c r="D1715" s="154"/>
      <c r="E1715" s="196"/>
      <c r="F1715" s="152"/>
      <c r="G1715" s="152"/>
      <c r="H1715" s="153"/>
      <c r="I1715" s="154"/>
      <c r="J1715" s="155"/>
    </row>
    <row r="1716" ht="22.5" customHeight="1">
      <c r="A1716" s="202"/>
      <c r="B1716" s="146"/>
      <c r="C1716" s="146"/>
      <c r="D1716" s="146"/>
      <c r="E1716" s="197"/>
      <c r="F1716" s="144"/>
      <c r="G1716" s="144"/>
      <c r="H1716" s="145"/>
      <c r="I1716" s="146"/>
      <c r="J1716" s="147"/>
    </row>
    <row r="1717" ht="22.5" customHeight="1">
      <c r="A1717" s="250"/>
      <c r="B1717" s="154"/>
      <c r="C1717" s="154"/>
      <c r="D1717" s="154"/>
      <c r="E1717" s="196"/>
      <c r="F1717" s="152"/>
      <c r="G1717" s="152"/>
      <c r="H1717" s="153"/>
      <c r="I1717" s="154"/>
      <c r="J1717" s="155"/>
    </row>
    <row r="1718" ht="22.5" customHeight="1">
      <c r="A1718" s="202"/>
      <c r="B1718" s="146"/>
      <c r="C1718" s="146"/>
      <c r="D1718" s="146"/>
      <c r="E1718" s="197"/>
      <c r="F1718" s="144"/>
      <c r="G1718" s="144"/>
      <c r="H1718" s="145"/>
      <c r="I1718" s="146"/>
      <c r="J1718" s="147"/>
    </row>
    <row r="1719" ht="22.5" customHeight="1">
      <c r="A1719" s="250"/>
      <c r="B1719" s="154"/>
      <c r="C1719" s="154"/>
      <c r="D1719" s="154"/>
      <c r="E1719" s="196"/>
      <c r="F1719" s="152"/>
      <c r="G1719" s="152"/>
      <c r="H1719" s="153"/>
      <c r="I1719" s="154"/>
      <c r="J1719" s="155"/>
    </row>
    <row r="1720" ht="22.5" customHeight="1">
      <c r="A1720" s="202"/>
      <c r="B1720" s="146"/>
      <c r="C1720" s="146"/>
      <c r="D1720" s="146"/>
      <c r="E1720" s="197"/>
      <c r="F1720" s="144"/>
      <c r="G1720" s="144"/>
      <c r="H1720" s="145"/>
      <c r="I1720" s="146"/>
      <c r="J1720" s="147"/>
    </row>
    <row r="1721" ht="22.5" customHeight="1">
      <c r="A1721" s="250"/>
      <c r="B1721" s="154"/>
      <c r="C1721" s="154"/>
      <c r="D1721" s="154"/>
      <c r="E1721" s="196"/>
      <c r="F1721" s="152"/>
      <c r="G1721" s="152"/>
      <c r="H1721" s="153"/>
      <c r="I1721" s="154"/>
      <c r="J1721" s="155"/>
    </row>
    <row r="1722" ht="22.5" customHeight="1">
      <c r="A1722" s="202"/>
      <c r="B1722" s="146"/>
      <c r="C1722" s="146"/>
      <c r="D1722" s="146"/>
      <c r="E1722" s="197"/>
      <c r="F1722" s="144"/>
      <c r="G1722" s="144"/>
      <c r="H1722" s="145"/>
      <c r="I1722" s="146"/>
      <c r="J1722" s="147"/>
    </row>
    <row r="1723" ht="22.5" customHeight="1">
      <c r="A1723" s="250"/>
      <c r="B1723" s="154"/>
      <c r="C1723" s="154"/>
      <c r="D1723" s="154"/>
      <c r="E1723" s="196"/>
      <c r="F1723" s="152"/>
      <c r="G1723" s="152"/>
      <c r="H1723" s="153"/>
      <c r="I1723" s="154"/>
      <c r="J1723" s="155"/>
    </row>
    <row r="1724" ht="22.5" customHeight="1">
      <c r="A1724" s="202"/>
      <c r="B1724" s="146"/>
      <c r="C1724" s="146"/>
      <c r="D1724" s="146"/>
      <c r="E1724" s="197"/>
      <c r="F1724" s="144"/>
      <c r="G1724" s="144"/>
      <c r="H1724" s="145"/>
      <c r="I1724" s="146"/>
      <c r="J1724" s="147"/>
    </row>
    <row r="1725" ht="22.5" customHeight="1">
      <c r="A1725" s="250"/>
      <c r="B1725" s="154"/>
      <c r="C1725" s="154"/>
      <c r="D1725" s="154"/>
      <c r="E1725" s="196"/>
      <c r="F1725" s="152"/>
      <c r="G1725" s="152"/>
      <c r="H1725" s="153"/>
      <c r="I1725" s="154"/>
      <c r="J1725" s="155"/>
    </row>
    <row r="1726" ht="22.5" customHeight="1">
      <c r="A1726" s="202"/>
      <c r="B1726" s="146"/>
      <c r="C1726" s="146"/>
      <c r="D1726" s="146"/>
      <c r="E1726" s="197"/>
      <c r="F1726" s="144"/>
      <c r="G1726" s="144"/>
      <c r="H1726" s="145"/>
      <c r="I1726" s="146"/>
      <c r="J1726" s="147"/>
    </row>
    <row r="1727" ht="22.5" customHeight="1">
      <c r="A1727" s="250"/>
      <c r="B1727" s="154"/>
      <c r="C1727" s="154"/>
      <c r="D1727" s="154"/>
      <c r="E1727" s="196"/>
      <c r="F1727" s="152"/>
      <c r="G1727" s="152"/>
      <c r="H1727" s="153"/>
      <c r="I1727" s="154"/>
      <c r="J1727" s="155"/>
    </row>
    <row r="1728" ht="22.5" customHeight="1">
      <c r="A1728" s="202"/>
      <c r="B1728" s="146"/>
      <c r="C1728" s="146"/>
      <c r="D1728" s="146"/>
      <c r="E1728" s="197"/>
      <c r="F1728" s="144"/>
      <c r="G1728" s="144"/>
      <c r="H1728" s="145"/>
      <c r="I1728" s="146"/>
      <c r="J1728" s="147"/>
    </row>
    <row r="1729" ht="22.5" customHeight="1">
      <c r="A1729" s="250"/>
      <c r="B1729" s="154"/>
      <c r="C1729" s="154"/>
      <c r="D1729" s="154"/>
      <c r="E1729" s="196"/>
      <c r="F1729" s="152"/>
      <c r="G1729" s="152"/>
      <c r="H1729" s="153"/>
      <c r="I1729" s="154"/>
      <c r="J1729" s="155"/>
    </row>
    <row r="1730" ht="22.5" customHeight="1">
      <c r="A1730" s="202"/>
      <c r="B1730" s="146"/>
      <c r="C1730" s="146"/>
      <c r="D1730" s="146"/>
      <c r="E1730" s="197"/>
      <c r="F1730" s="144"/>
      <c r="G1730" s="144"/>
      <c r="H1730" s="145"/>
      <c r="I1730" s="146"/>
      <c r="J1730" s="147"/>
    </row>
    <row r="1731" ht="22.5" customHeight="1">
      <c r="A1731" s="250"/>
      <c r="B1731" s="154"/>
      <c r="C1731" s="154"/>
      <c r="D1731" s="154"/>
      <c r="E1731" s="196"/>
      <c r="F1731" s="152"/>
      <c r="G1731" s="152"/>
      <c r="H1731" s="153"/>
      <c r="I1731" s="154"/>
      <c r="J1731" s="155"/>
    </row>
    <row r="1732" ht="22.5" customHeight="1">
      <c r="A1732" s="202"/>
      <c r="B1732" s="146"/>
      <c r="C1732" s="146"/>
      <c r="D1732" s="146"/>
      <c r="E1732" s="197"/>
      <c r="F1732" s="144"/>
      <c r="G1732" s="144"/>
      <c r="H1732" s="145"/>
      <c r="I1732" s="146"/>
      <c r="J1732" s="147"/>
    </row>
    <row r="1733" ht="22.5" customHeight="1">
      <c r="A1733" s="250"/>
      <c r="B1733" s="154"/>
      <c r="C1733" s="154"/>
      <c r="D1733" s="154"/>
      <c r="E1733" s="196"/>
      <c r="F1733" s="152"/>
      <c r="G1733" s="152"/>
      <c r="H1733" s="153"/>
      <c r="I1733" s="154"/>
      <c r="J1733" s="155"/>
    </row>
    <row r="1734" ht="22.5" customHeight="1">
      <c r="A1734" s="202"/>
      <c r="B1734" s="146"/>
      <c r="C1734" s="146"/>
      <c r="D1734" s="146"/>
      <c r="E1734" s="197"/>
      <c r="F1734" s="144"/>
      <c r="G1734" s="144"/>
      <c r="H1734" s="145"/>
      <c r="I1734" s="146"/>
      <c r="J1734" s="147"/>
    </row>
    <row r="1735" ht="22.5" customHeight="1">
      <c r="A1735" s="250"/>
      <c r="B1735" s="154"/>
      <c r="C1735" s="154"/>
      <c r="D1735" s="154"/>
      <c r="E1735" s="196"/>
      <c r="F1735" s="152"/>
      <c r="G1735" s="152"/>
      <c r="H1735" s="153"/>
      <c r="I1735" s="154"/>
      <c r="J1735" s="155"/>
    </row>
    <row r="1736" ht="22.5" customHeight="1">
      <c r="A1736" s="202"/>
      <c r="B1736" s="146"/>
      <c r="C1736" s="146"/>
      <c r="D1736" s="146"/>
      <c r="E1736" s="197"/>
      <c r="F1736" s="144"/>
      <c r="G1736" s="144"/>
      <c r="H1736" s="145"/>
      <c r="I1736" s="146"/>
      <c r="J1736" s="147"/>
    </row>
    <row r="1737" ht="22.5" customHeight="1">
      <c r="A1737" s="250"/>
      <c r="B1737" s="154"/>
      <c r="C1737" s="154"/>
      <c r="D1737" s="154"/>
      <c r="E1737" s="196"/>
      <c r="F1737" s="152"/>
      <c r="G1737" s="152"/>
      <c r="H1737" s="153"/>
      <c r="I1737" s="154"/>
      <c r="J1737" s="155"/>
    </row>
    <row r="1738" ht="22.5" customHeight="1">
      <c r="A1738" s="202"/>
      <c r="B1738" s="146"/>
      <c r="C1738" s="146"/>
      <c r="D1738" s="146"/>
      <c r="E1738" s="197"/>
      <c r="F1738" s="144"/>
      <c r="G1738" s="144"/>
      <c r="H1738" s="145"/>
      <c r="I1738" s="146"/>
      <c r="J1738" s="147"/>
    </row>
    <row r="1739" ht="22.5" customHeight="1">
      <c r="A1739" s="250"/>
      <c r="B1739" s="154"/>
      <c r="C1739" s="154"/>
      <c r="D1739" s="154"/>
      <c r="E1739" s="196"/>
      <c r="F1739" s="152"/>
      <c r="G1739" s="152"/>
      <c r="H1739" s="153"/>
      <c r="I1739" s="154"/>
      <c r="J1739" s="155"/>
    </row>
    <row r="1740" ht="22.5" customHeight="1">
      <c r="A1740" s="202"/>
      <c r="B1740" s="146"/>
      <c r="C1740" s="146"/>
      <c r="D1740" s="146"/>
      <c r="E1740" s="197"/>
      <c r="F1740" s="144"/>
      <c r="G1740" s="144"/>
      <c r="H1740" s="145"/>
      <c r="I1740" s="146"/>
      <c r="J1740" s="147"/>
    </row>
    <row r="1741" ht="22.5" customHeight="1">
      <c r="A1741" s="250"/>
      <c r="B1741" s="154"/>
      <c r="C1741" s="154"/>
      <c r="D1741" s="154"/>
      <c r="E1741" s="196"/>
      <c r="F1741" s="152"/>
      <c r="G1741" s="152"/>
      <c r="H1741" s="153"/>
      <c r="I1741" s="154"/>
      <c r="J1741" s="155"/>
    </row>
    <row r="1742" ht="22.5" customHeight="1">
      <c r="A1742" s="202"/>
      <c r="B1742" s="146"/>
      <c r="C1742" s="146"/>
      <c r="D1742" s="146"/>
      <c r="E1742" s="197"/>
      <c r="F1742" s="144"/>
      <c r="G1742" s="144"/>
      <c r="H1742" s="145"/>
      <c r="I1742" s="146"/>
      <c r="J1742" s="147"/>
    </row>
    <row r="1743" ht="22.5" customHeight="1">
      <c r="A1743" s="250"/>
      <c r="B1743" s="154"/>
      <c r="C1743" s="154"/>
      <c r="D1743" s="154"/>
      <c r="E1743" s="196"/>
      <c r="F1743" s="152"/>
      <c r="G1743" s="152"/>
      <c r="H1743" s="153"/>
      <c r="I1743" s="154"/>
      <c r="J1743" s="155"/>
    </row>
    <row r="1744" ht="22.5" customHeight="1">
      <c r="A1744" s="202"/>
      <c r="B1744" s="146"/>
      <c r="C1744" s="146"/>
      <c r="D1744" s="146"/>
      <c r="E1744" s="197"/>
      <c r="F1744" s="144"/>
      <c r="G1744" s="144"/>
      <c r="H1744" s="145"/>
      <c r="I1744" s="146"/>
      <c r="J1744" s="147"/>
    </row>
    <row r="1745" ht="22.5" customHeight="1">
      <c r="A1745" s="250"/>
      <c r="B1745" s="154"/>
      <c r="C1745" s="154"/>
      <c r="D1745" s="154"/>
      <c r="E1745" s="196"/>
      <c r="F1745" s="152"/>
      <c r="G1745" s="152"/>
      <c r="H1745" s="153"/>
      <c r="I1745" s="154"/>
      <c r="J1745" s="155"/>
    </row>
    <row r="1746" ht="22.5" customHeight="1">
      <c r="A1746" s="202"/>
      <c r="B1746" s="146"/>
      <c r="C1746" s="146"/>
      <c r="D1746" s="146"/>
      <c r="E1746" s="197"/>
      <c r="F1746" s="144"/>
      <c r="G1746" s="144"/>
      <c r="H1746" s="145"/>
      <c r="I1746" s="146"/>
      <c r="J1746" s="147"/>
    </row>
    <row r="1747" ht="22.5" customHeight="1">
      <c r="A1747" s="250"/>
      <c r="B1747" s="154"/>
      <c r="C1747" s="154"/>
      <c r="D1747" s="154"/>
      <c r="E1747" s="196"/>
      <c r="F1747" s="152"/>
      <c r="G1747" s="152"/>
      <c r="H1747" s="153"/>
      <c r="I1747" s="154"/>
      <c r="J1747" s="155"/>
    </row>
    <row r="1748" ht="22.5" customHeight="1">
      <c r="A1748" s="202"/>
      <c r="B1748" s="146"/>
      <c r="C1748" s="146"/>
      <c r="D1748" s="146"/>
      <c r="E1748" s="197"/>
      <c r="F1748" s="144"/>
      <c r="G1748" s="144"/>
      <c r="H1748" s="145"/>
      <c r="I1748" s="146"/>
      <c r="J1748" s="147"/>
    </row>
    <row r="1749" ht="22.5" customHeight="1">
      <c r="A1749" s="250"/>
      <c r="B1749" s="154"/>
      <c r="C1749" s="154"/>
      <c r="D1749" s="154"/>
      <c r="E1749" s="196"/>
      <c r="F1749" s="152"/>
      <c r="G1749" s="152"/>
      <c r="H1749" s="153"/>
      <c r="I1749" s="154"/>
      <c r="J1749" s="155"/>
    </row>
    <row r="1750" ht="22.5" customHeight="1">
      <c r="A1750" s="202"/>
      <c r="B1750" s="146"/>
      <c r="C1750" s="146"/>
      <c r="D1750" s="146"/>
      <c r="E1750" s="197"/>
      <c r="F1750" s="144"/>
      <c r="G1750" s="144"/>
      <c r="H1750" s="145"/>
      <c r="I1750" s="146"/>
      <c r="J1750" s="147"/>
    </row>
    <row r="1751" ht="22.5" customHeight="1">
      <c r="A1751" s="250"/>
      <c r="B1751" s="154"/>
      <c r="C1751" s="154"/>
      <c r="D1751" s="154"/>
      <c r="E1751" s="196"/>
      <c r="F1751" s="152"/>
      <c r="G1751" s="152"/>
      <c r="H1751" s="153"/>
      <c r="I1751" s="154"/>
      <c r="J1751" s="155"/>
    </row>
    <row r="1752" ht="22.5" customHeight="1">
      <c r="A1752" s="202"/>
      <c r="B1752" s="146"/>
      <c r="C1752" s="146"/>
      <c r="D1752" s="146"/>
      <c r="E1752" s="197"/>
      <c r="F1752" s="144"/>
      <c r="G1752" s="144"/>
      <c r="H1752" s="145"/>
      <c r="I1752" s="146"/>
      <c r="J1752" s="147"/>
    </row>
    <row r="1753" ht="22.5" customHeight="1">
      <c r="A1753" s="250"/>
      <c r="B1753" s="154"/>
      <c r="C1753" s="154"/>
      <c r="D1753" s="154"/>
      <c r="E1753" s="196"/>
      <c r="F1753" s="152"/>
      <c r="G1753" s="152"/>
      <c r="H1753" s="153"/>
      <c r="I1753" s="154"/>
      <c r="J1753" s="155"/>
    </row>
    <row r="1754" ht="22.5" customHeight="1">
      <c r="A1754" s="202"/>
      <c r="B1754" s="146"/>
      <c r="C1754" s="146"/>
      <c r="D1754" s="146"/>
      <c r="E1754" s="197"/>
      <c r="F1754" s="144"/>
      <c r="G1754" s="144"/>
      <c r="H1754" s="145"/>
      <c r="I1754" s="146"/>
      <c r="J1754" s="147"/>
    </row>
    <row r="1755" ht="22.5" customHeight="1">
      <c r="A1755" s="250"/>
      <c r="B1755" s="154"/>
      <c r="C1755" s="154"/>
      <c r="D1755" s="154"/>
      <c r="E1755" s="196"/>
      <c r="F1755" s="152"/>
      <c r="G1755" s="152"/>
      <c r="H1755" s="153"/>
      <c r="I1755" s="154"/>
      <c r="J1755" s="155"/>
    </row>
    <row r="1756" ht="22.5" customHeight="1">
      <c r="A1756" s="202"/>
      <c r="B1756" s="146"/>
      <c r="C1756" s="146"/>
      <c r="D1756" s="146"/>
      <c r="E1756" s="197"/>
      <c r="F1756" s="144"/>
      <c r="G1756" s="144"/>
      <c r="H1756" s="145"/>
      <c r="I1756" s="146"/>
      <c r="J1756" s="147"/>
    </row>
    <row r="1757" ht="22.5" customHeight="1">
      <c r="A1757" s="250"/>
      <c r="B1757" s="154"/>
      <c r="C1757" s="154"/>
      <c r="D1757" s="154"/>
      <c r="E1757" s="196"/>
      <c r="F1757" s="152"/>
      <c r="G1757" s="152"/>
      <c r="H1757" s="153"/>
      <c r="I1757" s="154"/>
      <c r="J1757" s="155"/>
    </row>
    <row r="1758" ht="22.5" customHeight="1">
      <c r="A1758" s="202"/>
      <c r="B1758" s="146"/>
      <c r="C1758" s="146"/>
      <c r="D1758" s="146"/>
      <c r="E1758" s="197"/>
      <c r="F1758" s="144"/>
      <c r="G1758" s="144"/>
      <c r="H1758" s="145"/>
      <c r="I1758" s="146"/>
      <c r="J1758" s="147"/>
    </row>
    <row r="1759" ht="22.5" customHeight="1">
      <c r="A1759" s="250"/>
      <c r="B1759" s="154"/>
      <c r="C1759" s="154"/>
      <c r="D1759" s="154"/>
      <c r="E1759" s="196"/>
      <c r="F1759" s="152"/>
      <c r="G1759" s="152"/>
      <c r="H1759" s="153"/>
      <c r="I1759" s="154"/>
      <c r="J1759" s="155"/>
    </row>
    <row r="1760" ht="22.5" customHeight="1">
      <c r="A1760" s="202"/>
      <c r="B1760" s="146"/>
      <c r="C1760" s="146"/>
      <c r="D1760" s="146"/>
      <c r="E1760" s="197"/>
      <c r="F1760" s="144"/>
      <c r="G1760" s="144"/>
      <c r="H1760" s="145"/>
      <c r="I1760" s="146"/>
      <c r="J1760" s="147"/>
    </row>
    <row r="1761" ht="22.5" customHeight="1">
      <c r="A1761" s="250"/>
      <c r="B1761" s="154"/>
      <c r="C1761" s="154"/>
      <c r="D1761" s="154"/>
      <c r="E1761" s="196"/>
      <c r="F1761" s="152"/>
      <c r="G1761" s="152"/>
      <c r="H1761" s="153"/>
      <c r="I1761" s="154"/>
      <c r="J1761" s="155"/>
    </row>
    <row r="1762" ht="22.5" customHeight="1">
      <c r="A1762" s="202"/>
      <c r="B1762" s="146"/>
      <c r="C1762" s="146"/>
      <c r="D1762" s="146"/>
      <c r="E1762" s="197"/>
      <c r="F1762" s="144"/>
      <c r="G1762" s="144"/>
      <c r="H1762" s="145"/>
      <c r="I1762" s="146"/>
      <c r="J1762" s="147"/>
    </row>
    <row r="1763" ht="22.5" customHeight="1">
      <c r="A1763" s="250"/>
      <c r="B1763" s="154"/>
      <c r="C1763" s="154"/>
      <c r="D1763" s="154"/>
      <c r="E1763" s="196"/>
      <c r="F1763" s="152"/>
      <c r="G1763" s="152"/>
      <c r="H1763" s="153"/>
      <c r="I1763" s="154"/>
      <c r="J1763" s="155"/>
    </row>
    <row r="1764" ht="22.5" customHeight="1">
      <c r="A1764" s="202"/>
      <c r="B1764" s="146"/>
      <c r="C1764" s="146"/>
      <c r="D1764" s="146"/>
      <c r="E1764" s="197"/>
      <c r="F1764" s="144"/>
      <c r="G1764" s="144"/>
      <c r="H1764" s="145"/>
      <c r="I1764" s="146"/>
      <c r="J1764" s="147"/>
    </row>
    <row r="1765" ht="22.5" customHeight="1">
      <c r="A1765" s="250"/>
      <c r="B1765" s="154"/>
      <c r="C1765" s="154"/>
      <c r="D1765" s="154"/>
      <c r="E1765" s="196"/>
      <c r="F1765" s="152"/>
      <c r="G1765" s="152"/>
      <c r="H1765" s="153"/>
      <c r="I1765" s="154"/>
      <c r="J1765" s="155"/>
    </row>
    <row r="1766" ht="22.5" customHeight="1">
      <c r="A1766" s="202"/>
      <c r="B1766" s="146"/>
      <c r="C1766" s="146"/>
      <c r="D1766" s="146"/>
      <c r="E1766" s="197"/>
      <c r="F1766" s="144"/>
      <c r="G1766" s="144"/>
      <c r="H1766" s="145"/>
      <c r="I1766" s="146"/>
      <c r="J1766" s="147"/>
    </row>
    <row r="1767" ht="22.5" customHeight="1">
      <c r="A1767" s="250"/>
      <c r="B1767" s="154"/>
      <c r="C1767" s="154"/>
      <c r="D1767" s="154"/>
      <c r="E1767" s="196"/>
      <c r="F1767" s="152"/>
      <c r="G1767" s="152"/>
      <c r="H1767" s="153"/>
      <c r="I1767" s="154"/>
      <c r="J1767" s="155"/>
    </row>
    <row r="1768" ht="22.5" customHeight="1">
      <c r="A1768" s="202"/>
      <c r="B1768" s="146"/>
      <c r="C1768" s="146"/>
      <c r="D1768" s="146"/>
      <c r="E1768" s="197"/>
      <c r="F1768" s="144"/>
      <c r="G1768" s="144"/>
      <c r="H1768" s="145"/>
      <c r="I1768" s="146"/>
      <c r="J1768" s="147"/>
    </row>
    <row r="1769" ht="22.5" customHeight="1">
      <c r="A1769" s="250"/>
      <c r="B1769" s="154"/>
      <c r="C1769" s="154"/>
      <c r="D1769" s="154"/>
      <c r="E1769" s="196"/>
      <c r="F1769" s="152"/>
      <c r="G1769" s="152"/>
      <c r="H1769" s="153"/>
      <c r="I1769" s="154"/>
      <c r="J1769" s="155"/>
    </row>
    <row r="1770" ht="22.5" customHeight="1">
      <c r="A1770" s="202"/>
      <c r="B1770" s="146"/>
      <c r="C1770" s="146"/>
      <c r="D1770" s="146"/>
      <c r="E1770" s="197"/>
      <c r="F1770" s="144"/>
      <c r="G1770" s="144"/>
      <c r="H1770" s="145"/>
      <c r="I1770" s="146"/>
      <c r="J1770" s="147"/>
    </row>
    <row r="1771" ht="22.5" customHeight="1">
      <c r="A1771" s="250"/>
      <c r="B1771" s="154"/>
      <c r="C1771" s="154"/>
      <c r="D1771" s="154"/>
      <c r="E1771" s="196"/>
      <c r="F1771" s="152"/>
      <c r="G1771" s="152"/>
      <c r="H1771" s="153"/>
      <c r="I1771" s="154"/>
      <c r="J1771" s="155"/>
    </row>
    <row r="1772" ht="22.5" customHeight="1">
      <c r="A1772" s="202"/>
      <c r="B1772" s="146"/>
      <c r="C1772" s="146"/>
      <c r="D1772" s="146"/>
      <c r="E1772" s="197"/>
      <c r="F1772" s="144"/>
      <c r="G1772" s="144"/>
      <c r="H1772" s="145"/>
      <c r="I1772" s="146"/>
      <c r="J1772" s="147"/>
    </row>
    <row r="1773" ht="22.5" customHeight="1">
      <c r="A1773" s="250"/>
      <c r="B1773" s="154"/>
      <c r="C1773" s="154"/>
      <c r="D1773" s="154"/>
      <c r="E1773" s="196"/>
      <c r="F1773" s="152"/>
      <c r="G1773" s="152"/>
      <c r="H1773" s="153"/>
      <c r="I1773" s="154"/>
      <c r="J1773" s="155"/>
    </row>
    <row r="1774" ht="22.5" customHeight="1">
      <c r="A1774" s="202"/>
      <c r="B1774" s="146"/>
      <c r="C1774" s="146"/>
      <c r="D1774" s="146"/>
      <c r="E1774" s="197"/>
      <c r="F1774" s="144"/>
      <c r="G1774" s="144"/>
      <c r="H1774" s="145"/>
      <c r="I1774" s="146"/>
      <c r="J1774" s="147"/>
    </row>
    <row r="1775" ht="22.5" customHeight="1">
      <c r="A1775" s="250"/>
      <c r="B1775" s="154"/>
      <c r="C1775" s="154"/>
      <c r="D1775" s="154"/>
      <c r="E1775" s="196"/>
      <c r="F1775" s="152"/>
      <c r="G1775" s="152"/>
      <c r="H1775" s="153"/>
      <c r="I1775" s="154"/>
      <c r="J1775" s="155"/>
    </row>
    <row r="1776" ht="22.5" customHeight="1">
      <c r="A1776" s="202"/>
      <c r="B1776" s="146"/>
      <c r="C1776" s="146"/>
      <c r="D1776" s="146"/>
      <c r="E1776" s="197"/>
      <c r="F1776" s="144"/>
      <c r="G1776" s="144"/>
      <c r="H1776" s="145"/>
      <c r="I1776" s="146"/>
      <c r="J1776" s="147"/>
    </row>
    <row r="1777" ht="22.5" customHeight="1">
      <c r="A1777" s="250"/>
      <c r="B1777" s="154"/>
      <c r="C1777" s="154"/>
      <c r="D1777" s="154"/>
      <c r="E1777" s="196"/>
      <c r="F1777" s="152"/>
      <c r="G1777" s="152"/>
      <c r="H1777" s="153"/>
      <c r="I1777" s="154"/>
      <c r="J1777" s="155"/>
    </row>
    <row r="1778" ht="22.5" customHeight="1">
      <c r="A1778" s="202"/>
      <c r="B1778" s="146"/>
      <c r="C1778" s="146"/>
      <c r="D1778" s="146"/>
      <c r="E1778" s="197"/>
      <c r="F1778" s="144"/>
      <c r="G1778" s="144"/>
      <c r="H1778" s="145"/>
      <c r="I1778" s="146"/>
      <c r="J1778" s="147"/>
    </row>
    <row r="1779" ht="22.5" customHeight="1">
      <c r="A1779" s="250"/>
      <c r="B1779" s="154"/>
      <c r="C1779" s="154"/>
      <c r="D1779" s="154"/>
      <c r="E1779" s="196"/>
      <c r="F1779" s="152"/>
      <c r="G1779" s="152"/>
      <c r="H1779" s="153"/>
      <c r="I1779" s="154"/>
      <c r="J1779" s="155"/>
    </row>
    <row r="1780" ht="22.5" customHeight="1">
      <c r="A1780" s="202"/>
      <c r="B1780" s="146"/>
      <c r="C1780" s="146"/>
      <c r="D1780" s="146"/>
      <c r="E1780" s="197"/>
      <c r="F1780" s="144"/>
      <c r="G1780" s="144"/>
      <c r="H1780" s="145"/>
      <c r="I1780" s="146"/>
      <c r="J1780" s="147"/>
    </row>
    <row r="1781" ht="22.5" customHeight="1">
      <c r="A1781" s="250"/>
      <c r="B1781" s="154"/>
      <c r="C1781" s="154"/>
      <c r="D1781" s="154"/>
      <c r="E1781" s="196"/>
      <c r="F1781" s="152"/>
      <c r="G1781" s="152"/>
      <c r="H1781" s="153"/>
      <c r="I1781" s="154"/>
      <c r="J1781" s="155"/>
    </row>
    <row r="1782" ht="22.5" customHeight="1">
      <c r="A1782" s="202"/>
      <c r="B1782" s="146"/>
      <c r="C1782" s="146"/>
      <c r="D1782" s="146"/>
      <c r="E1782" s="197"/>
      <c r="F1782" s="144"/>
      <c r="G1782" s="144"/>
      <c r="H1782" s="145"/>
      <c r="I1782" s="146"/>
      <c r="J1782" s="147"/>
    </row>
    <row r="1783" ht="22.5" customHeight="1">
      <c r="A1783" s="250"/>
      <c r="B1783" s="154"/>
      <c r="C1783" s="154"/>
      <c r="D1783" s="154"/>
      <c r="E1783" s="196"/>
      <c r="F1783" s="152"/>
      <c r="G1783" s="152"/>
      <c r="H1783" s="153"/>
      <c r="I1783" s="154"/>
      <c r="J1783" s="155"/>
    </row>
    <row r="1784" ht="22.5" customHeight="1">
      <c r="A1784" s="202"/>
      <c r="B1784" s="146"/>
      <c r="C1784" s="146"/>
      <c r="D1784" s="146"/>
      <c r="E1784" s="197"/>
      <c r="F1784" s="144"/>
      <c r="G1784" s="144"/>
      <c r="H1784" s="145"/>
      <c r="I1784" s="146"/>
      <c r="J1784" s="147"/>
    </row>
    <row r="1785" ht="22.5" customHeight="1">
      <c r="A1785" s="250"/>
      <c r="B1785" s="154"/>
      <c r="C1785" s="154"/>
      <c r="D1785" s="154"/>
      <c r="E1785" s="196"/>
      <c r="F1785" s="152"/>
      <c r="G1785" s="152"/>
      <c r="H1785" s="153"/>
      <c r="I1785" s="154"/>
      <c r="J1785" s="155"/>
    </row>
    <row r="1786" ht="22.5" customHeight="1">
      <c r="A1786" s="202"/>
      <c r="B1786" s="146"/>
      <c r="C1786" s="146"/>
      <c r="D1786" s="146"/>
      <c r="E1786" s="197"/>
      <c r="F1786" s="144"/>
      <c r="G1786" s="144"/>
      <c r="H1786" s="145"/>
      <c r="I1786" s="146"/>
      <c r="J1786" s="147"/>
    </row>
    <row r="1787" ht="22.5" customHeight="1">
      <c r="A1787" s="250"/>
      <c r="B1787" s="154"/>
      <c r="C1787" s="154"/>
      <c r="D1787" s="154"/>
      <c r="E1787" s="196"/>
      <c r="F1787" s="152"/>
      <c r="G1787" s="152"/>
      <c r="H1787" s="153"/>
      <c r="I1787" s="154"/>
      <c r="J1787" s="155"/>
    </row>
    <row r="1788" ht="22.5" customHeight="1">
      <c r="A1788" s="202"/>
      <c r="B1788" s="146"/>
      <c r="C1788" s="146"/>
      <c r="D1788" s="146"/>
      <c r="E1788" s="197"/>
      <c r="F1788" s="144"/>
      <c r="G1788" s="144"/>
      <c r="H1788" s="145"/>
      <c r="I1788" s="146"/>
      <c r="J1788" s="147"/>
    </row>
    <row r="1789" ht="22.5" customHeight="1">
      <c r="A1789" s="250"/>
      <c r="B1789" s="154"/>
      <c r="C1789" s="154"/>
      <c r="D1789" s="154"/>
      <c r="E1789" s="196"/>
      <c r="F1789" s="152"/>
      <c r="G1789" s="152"/>
      <c r="H1789" s="153"/>
      <c r="I1789" s="154"/>
      <c r="J1789" s="155"/>
    </row>
    <row r="1790" ht="22.5" customHeight="1">
      <c r="A1790" s="202"/>
      <c r="B1790" s="146"/>
      <c r="C1790" s="146"/>
      <c r="D1790" s="146"/>
      <c r="E1790" s="197"/>
      <c r="F1790" s="144"/>
      <c r="G1790" s="144"/>
      <c r="H1790" s="145"/>
      <c r="I1790" s="146"/>
      <c r="J1790" s="147"/>
    </row>
    <row r="1791" ht="22.5" customHeight="1">
      <c r="A1791" s="250"/>
      <c r="B1791" s="154"/>
      <c r="C1791" s="154"/>
      <c r="D1791" s="154"/>
      <c r="E1791" s="196"/>
      <c r="F1791" s="152"/>
      <c r="G1791" s="152"/>
      <c r="H1791" s="153"/>
      <c r="I1791" s="154"/>
      <c r="J1791" s="155"/>
    </row>
    <row r="1792" ht="22.5" customHeight="1">
      <c r="A1792" s="202"/>
      <c r="B1792" s="146"/>
      <c r="C1792" s="146"/>
      <c r="D1792" s="146"/>
      <c r="E1792" s="197"/>
      <c r="F1792" s="144"/>
      <c r="G1792" s="144"/>
      <c r="H1792" s="145"/>
      <c r="I1792" s="146"/>
      <c r="J1792" s="147"/>
    </row>
    <row r="1793" ht="22.5" customHeight="1">
      <c r="A1793" s="250"/>
      <c r="B1793" s="154"/>
      <c r="C1793" s="154"/>
      <c r="D1793" s="154"/>
      <c r="E1793" s="196"/>
      <c r="F1793" s="152"/>
      <c r="G1793" s="152"/>
      <c r="H1793" s="153"/>
      <c r="I1793" s="154"/>
      <c r="J1793" s="155"/>
    </row>
    <row r="1794" ht="22.5" customHeight="1">
      <c r="A1794" s="202"/>
      <c r="B1794" s="146"/>
      <c r="C1794" s="146"/>
      <c r="D1794" s="146"/>
      <c r="E1794" s="197"/>
      <c r="F1794" s="144"/>
      <c r="G1794" s="144"/>
      <c r="H1794" s="145"/>
      <c r="I1794" s="146"/>
      <c r="J1794" s="147"/>
    </row>
    <row r="1795" ht="22.5" customHeight="1">
      <c r="A1795" s="250"/>
      <c r="B1795" s="154"/>
      <c r="C1795" s="154"/>
      <c r="D1795" s="154"/>
      <c r="E1795" s="196"/>
      <c r="F1795" s="152"/>
      <c r="G1795" s="152"/>
      <c r="H1795" s="153"/>
      <c r="I1795" s="154"/>
      <c r="J1795" s="155"/>
    </row>
    <row r="1796" ht="22.5" customHeight="1">
      <c r="A1796" s="202"/>
      <c r="B1796" s="146"/>
      <c r="C1796" s="146"/>
      <c r="D1796" s="146"/>
      <c r="E1796" s="197"/>
      <c r="F1796" s="144"/>
      <c r="G1796" s="144"/>
      <c r="H1796" s="145"/>
      <c r="I1796" s="146"/>
      <c r="J1796" s="147"/>
    </row>
    <row r="1797" ht="22.5" customHeight="1">
      <c r="A1797" s="250"/>
      <c r="B1797" s="154"/>
      <c r="C1797" s="154"/>
      <c r="D1797" s="154"/>
      <c r="E1797" s="196"/>
      <c r="F1797" s="152"/>
      <c r="G1797" s="152"/>
      <c r="H1797" s="153"/>
      <c r="I1797" s="154"/>
      <c r="J1797" s="155"/>
    </row>
    <row r="1798" ht="22.5" customHeight="1">
      <c r="A1798" s="202"/>
      <c r="B1798" s="146"/>
      <c r="C1798" s="146"/>
      <c r="D1798" s="146"/>
      <c r="E1798" s="197"/>
      <c r="F1798" s="144"/>
      <c r="G1798" s="144"/>
      <c r="H1798" s="145"/>
      <c r="I1798" s="146"/>
      <c r="J1798" s="147"/>
    </row>
    <row r="1799" ht="22.5" customHeight="1">
      <c r="A1799" s="250"/>
      <c r="B1799" s="154"/>
      <c r="C1799" s="154"/>
      <c r="D1799" s="154"/>
      <c r="E1799" s="196"/>
      <c r="F1799" s="152"/>
      <c r="G1799" s="152"/>
      <c r="H1799" s="153"/>
      <c r="I1799" s="154"/>
      <c r="J1799" s="155"/>
    </row>
    <row r="1800" ht="22.5" customHeight="1">
      <c r="A1800" s="202"/>
      <c r="B1800" s="146"/>
      <c r="C1800" s="146"/>
      <c r="D1800" s="146"/>
      <c r="E1800" s="197"/>
      <c r="F1800" s="144"/>
      <c r="G1800" s="144"/>
      <c r="H1800" s="145"/>
      <c r="I1800" s="146"/>
      <c r="J1800" s="147"/>
    </row>
    <row r="1801" ht="22.5" customHeight="1">
      <c r="A1801" s="250"/>
      <c r="B1801" s="154"/>
      <c r="C1801" s="154"/>
      <c r="D1801" s="154"/>
      <c r="E1801" s="196"/>
      <c r="F1801" s="152"/>
      <c r="G1801" s="152"/>
      <c r="H1801" s="153"/>
      <c r="I1801" s="154"/>
      <c r="J1801" s="155"/>
    </row>
    <row r="1802" ht="22.5" customHeight="1">
      <c r="A1802" s="202"/>
      <c r="B1802" s="146"/>
      <c r="C1802" s="146"/>
      <c r="D1802" s="146"/>
      <c r="E1802" s="197"/>
      <c r="F1802" s="144"/>
      <c r="G1802" s="144"/>
      <c r="H1802" s="145"/>
      <c r="I1802" s="146"/>
      <c r="J1802" s="147"/>
    </row>
    <row r="1803" ht="22.5" customHeight="1">
      <c r="A1803" s="250"/>
      <c r="B1803" s="154"/>
      <c r="C1803" s="154"/>
      <c r="D1803" s="154"/>
      <c r="E1803" s="196"/>
      <c r="F1803" s="152"/>
      <c r="G1803" s="152"/>
      <c r="H1803" s="153"/>
      <c r="I1803" s="154"/>
      <c r="J1803" s="155"/>
    </row>
    <row r="1804" ht="22.5" customHeight="1">
      <c r="A1804" s="202"/>
      <c r="B1804" s="146"/>
      <c r="C1804" s="146"/>
      <c r="D1804" s="146"/>
      <c r="E1804" s="197"/>
      <c r="F1804" s="144"/>
      <c r="G1804" s="144"/>
      <c r="H1804" s="145"/>
      <c r="I1804" s="146"/>
      <c r="J1804" s="147"/>
    </row>
    <row r="1805" ht="22.5" customHeight="1">
      <c r="A1805" s="250"/>
      <c r="B1805" s="154"/>
      <c r="C1805" s="154"/>
      <c r="D1805" s="154"/>
      <c r="E1805" s="196"/>
      <c r="F1805" s="152"/>
      <c r="G1805" s="152"/>
      <c r="H1805" s="153"/>
      <c r="I1805" s="154"/>
      <c r="J1805" s="155"/>
    </row>
    <row r="1806" ht="22.5" customHeight="1">
      <c r="A1806" s="202"/>
      <c r="B1806" s="146"/>
      <c r="C1806" s="146"/>
      <c r="D1806" s="146"/>
      <c r="E1806" s="197"/>
      <c r="F1806" s="144"/>
      <c r="G1806" s="144"/>
      <c r="H1806" s="145"/>
      <c r="I1806" s="146"/>
      <c r="J1806" s="147"/>
    </row>
    <row r="1807" ht="22.5" customHeight="1">
      <c r="A1807" s="250"/>
      <c r="B1807" s="154"/>
      <c r="C1807" s="154"/>
      <c r="D1807" s="154"/>
      <c r="E1807" s="196"/>
      <c r="F1807" s="152"/>
      <c r="G1807" s="152"/>
      <c r="H1807" s="153"/>
      <c r="I1807" s="154"/>
      <c r="J1807" s="155"/>
    </row>
    <row r="1808" ht="22.5" customHeight="1">
      <c r="A1808" s="202"/>
      <c r="B1808" s="146"/>
      <c r="C1808" s="146"/>
      <c r="D1808" s="146"/>
      <c r="E1808" s="197"/>
      <c r="F1808" s="144"/>
      <c r="G1808" s="144"/>
      <c r="H1808" s="145"/>
      <c r="I1808" s="146"/>
      <c r="J1808" s="147"/>
    </row>
    <row r="1809" ht="22.5" customHeight="1">
      <c r="A1809" s="250"/>
      <c r="B1809" s="154"/>
      <c r="C1809" s="154"/>
      <c r="D1809" s="154"/>
      <c r="E1809" s="196"/>
      <c r="F1809" s="152"/>
      <c r="G1809" s="152"/>
      <c r="H1809" s="153"/>
      <c r="I1809" s="154"/>
      <c r="J1809" s="155"/>
    </row>
    <row r="1810" ht="22.5" customHeight="1">
      <c r="A1810" s="202"/>
      <c r="B1810" s="146"/>
      <c r="C1810" s="146"/>
      <c r="D1810" s="146"/>
      <c r="E1810" s="197"/>
      <c r="F1810" s="144"/>
      <c r="G1810" s="144"/>
      <c r="H1810" s="145"/>
      <c r="I1810" s="146"/>
      <c r="J1810" s="147"/>
    </row>
    <row r="1811" ht="22.5" customHeight="1">
      <c r="A1811" s="250"/>
      <c r="B1811" s="154"/>
      <c r="C1811" s="154"/>
      <c r="D1811" s="154"/>
      <c r="E1811" s="196"/>
      <c r="F1811" s="152"/>
      <c r="G1811" s="152"/>
      <c r="H1811" s="153"/>
      <c r="I1811" s="154"/>
      <c r="J1811" s="155"/>
    </row>
    <row r="1812" ht="22.5" customHeight="1">
      <c r="A1812" s="202"/>
      <c r="B1812" s="146"/>
      <c r="C1812" s="146"/>
      <c r="D1812" s="146"/>
      <c r="E1812" s="197"/>
      <c r="F1812" s="144"/>
      <c r="G1812" s="144"/>
      <c r="H1812" s="145"/>
      <c r="I1812" s="146"/>
      <c r="J1812" s="147"/>
    </row>
    <row r="1813" ht="22.5" customHeight="1">
      <c r="A1813" s="250"/>
      <c r="B1813" s="154"/>
      <c r="C1813" s="154"/>
      <c r="D1813" s="154"/>
      <c r="E1813" s="196"/>
      <c r="F1813" s="152"/>
      <c r="G1813" s="152"/>
      <c r="H1813" s="153"/>
      <c r="I1813" s="154"/>
      <c r="J1813" s="155"/>
    </row>
    <row r="1814" ht="22.5" customHeight="1">
      <c r="A1814" s="202"/>
      <c r="B1814" s="146"/>
      <c r="C1814" s="146"/>
      <c r="D1814" s="146"/>
      <c r="E1814" s="197"/>
      <c r="F1814" s="144"/>
      <c r="G1814" s="144"/>
      <c r="H1814" s="145"/>
      <c r="I1814" s="146"/>
      <c r="J1814" s="147"/>
    </row>
    <row r="1815" ht="22.5" customHeight="1">
      <c r="A1815" s="250"/>
      <c r="B1815" s="154"/>
      <c r="C1815" s="154"/>
      <c r="D1815" s="154"/>
      <c r="E1815" s="196"/>
      <c r="F1815" s="152"/>
      <c r="G1815" s="152"/>
      <c r="H1815" s="153"/>
      <c r="I1815" s="154"/>
      <c r="J1815" s="155"/>
    </row>
    <row r="1816" ht="22.5" customHeight="1">
      <c r="A1816" s="202"/>
      <c r="B1816" s="146"/>
      <c r="C1816" s="146"/>
      <c r="D1816" s="146"/>
      <c r="E1816" s="197"/>
      <c r="F1816" s="144"/>
      <c r="G1816" s="144"/>
      <c r="H1816" s="145"/>
      <c r="I1816" s="146"/>
      <c r="J1816" s="147"/>
    </row>
    <row r="1817" ht="22.5" customHeight="1">
      <c r="A1817" s="250"/>
      <c r="B1817" s="154"/>
      <c r="C1817" s="154"/>
      <c r="D1817" s="154"/>
      <c r="E1817" s="196"/>
      <c r="F1817" s="152"/>
      <c r="G1817" s="152"/>
      <c r="H1817" s="153"/>
      <c r="I1817" s="154"/>
      <c r="J1817" s="155"/>
    </row>
    <row r="1818" ht="22.5" customHeight="1">
      <c r="A1818" s="202"/>
      <c r="B1818" s="146"/>
      <c r="C1818" s="146"/>
      <c r="D1818" s="146"/>
      <c r="E1818" s="197"/>
      <c r="F1818" s="144"/>
      <c r="G1818" s="144"/>
      <c r="H1818" s="145"/>
      <c r="I1818" s="146"/>
      <c r="J1818" s="147"/>
    </row>
    <row r="1819" ht="22.5" customHeight="1">
      <c r="A1819" s="250"/>
      <c r="B1819" s="154"/>
      <c r="C1819" s="154"/>
      <c r="D1819" s="154"/>
      <c r="E1819" s="196"/>
      <c r="F1819" s="152"/>
      <c r="G1819" s="152"/>
      <c r="H1819" s="153"/>
      <c r="I1819" s="154"/>
      <c r="J1819" s="155"/>
    </row>
    <row r="1820" ht="22.5" customHeight="1">
      <c r="A1820" s="202"/>
      <c r="B1820" s="146"/>
      <c r="C1820" s="146"/>
      <c r="D1820" s="146"/>
      <c r="E1820" s="197"/>
      <c r="F1820" s="144"/>
      <c r="G1820" s="144"/>
      <c r="H1820" s="145"/>
      <c r="I1820" s="146"/>
      <c r="J1820" s="147"/>
    </row>
    <row r="1821" ht="22.5" customHeight="1">
      <c r="A1821" s="250"/>
      <c r="B1821" s="154"/>
      <c r="C1821" s="154"/>
      <c r="D1821" s="154"/>
      <c r="E1821" s="196"/>
      <c r="F1821" s="152"/>
      <c r="G1821" s="152"/>
      <c r="H1821" s="153"/>
      <c r="I1821" s="154"/>
      <c r="J1821" s="155"/>
    </row>
    <row r="1822" ht="22.5" customHeight="1">
      <c r="A1822" s="202"/>
      <c r="B1822" s="146"/>
      <c r="C1822" s="146"/>
      <c r="D1822" s="146"/>
      <c r="E1822" s="197"/>
      <c r="F1822" s="144"/>
      <c r="G1822" s="144"/>
      <c r="H1822" s="145"/>
      <c r="I1822" s="146"/>
      <c r="J1822" s="147"/>
    </row>
    <row r="1823" ht="22.5" customHeight="1">
      <c r="A1823" s="250"/>
      <c r="B1823" s="154"/>
      <c r="C1823" s="154"/>
      <c r="D1823" s="154"/>
      <c r="E1823" s="196"/>
      <c r="F1823" s="152"/>
      <c r="G1823" s="152"/>
      <c r="H1823" s="153"/>
      <c r="I1823" s="154"/>
      <c r="J1823" s="155"/>
    </row>
    <row r="1824" ht="22.5" customHeight="1">
      <c r="A1824" s="202"/>
      <c r="B1824" s="146"/>
      <c r="C1824" s="146"/>
      <c r="D1824" s="146"/>
      <c r="E1824" s="197"/>
      <c r="F1824" s="144"/>
      <c r="G1824" s="144"/>
      <c r="H1824" s="145"/>
      <c r="I1824" s="146"/>
      <c r="J1824" s="147"/>
    </row>
    <row r="1825" ht="22.5" customHeight="1">
      <c r="A1825" s="250"/>
      <c r="B1825" s="154"/>
      <c r="C1825" s="154"/>
      <c r="D1825" s="154"/>
      <c r="E1825" s="196"/>
      <c r="F1825" s="152"/>
      <c r="G1825" s="152"/>
      <c r="H1825" s="153"/>
      <c r="I1825" s="154"/>
      <c r="J1825" s="155"/>
    </row>
    <row r="1826" ht="22.5" customHeight="1">
      <c r="A1826" s="202"/>
      <c r="B1826" s="146"/>
      <c r="C1826" s="146"/>
      <c r="D1826" s="146"/>
      <c r="E1826" s="197"/>
      <c r="F1826" s="144"/>
      <c r="G1826" s="144"/>
      <c r="H1826" s="145"/>
      <c r="I1826" s="146"/>
      <c r="J1826" s="147"/>
    </row>
    <row r="1827" ht="22.5" customHeight="1">
      <c r="A1827" s="250"/>
      <c r="B1827" s="154"/>
      <c r="C1827" s="154"/>
      <c r="D1827" s="154"/>
      <c r="E1827" s="196"/>
      <c r="F1827" s="152"/>
      <c r="G1827" s="152"/>
      <c r="H1827" s="153"/>
      <c r="I1827" s="154"/>
      <c r="J1827" s="155"/>
    </row>
    <row r="1828" ht="22.5" customHeight="1">
      <c r="A1828" s="202"/>
      <c r="B1828" s="146"/>
      <c r="C1828" s="146"/>
      <c r="D1828" s="146"/>
      <c r="E1828" s="197"/>
      <c r="F1828" s="144"/>
      <c r="G1828" s="144"/>
      <c r="H1828" s="145"/>
      <c r="I1828" s="146"/>
      <c r="J1828" s="147"/>
    </row>
    <row r="1829" ht="22.5" customHeight="1">
      <c r="A1829" s="250"/>
      <c r="B1829" s="154"/>
      <c r="C1829" s="154"/>
      <c r="D1829" s="154"/>
      <c r="E1829" s="196"/>
      <c r="F1829" s="152"/>
      <c r="G1829" s="152"/>
      <c r="H1829" s="153"/>
      <c r="I1829" s="154"/>
      <c r="J1829" s="155"/>
    </row>
    <row r="1830" ht="22.5" customHeight="1">
      <c r="A1830" s="202"/>
      <c r="B1830" s="146"/>
      <c r="C1830" s="146"/>
      <c r="D1830" s="146"/>
      <c r="E1830" s="197"/>
      <c r="F1830" s="144"/>
      <c r="G1830" s="144"/>
      <c r="H1830" s="145"/>
      <c r="I1830" s="146"/>
      <c r="J1830" s="147"/>
    </row>
    <row r="1831" ht="22.5" customHeight="1">
      <c r="A1831" s="250"/>
      <c r="B1831" s="154"/>
      <c r="C1831" s="154"/>
      <c r="D1831" s="154"/>
      <c r="E1831" s="196"/>
      <c r="F1831" s="152"/>
      <c r="G1831" s="152"/>
      <c r="H1831" s="153"/>
      <c r="I1831" s="154"/>
      <c r="J1831" s="155"/>
    </row>
    <row r="1832" ht="22.5" customHeight="1">
      <c r="A1832" s="202"/>
      <c r="B1832" s="146"/>
      <c r="C1832" s="146"/>
      <c r="D1832" s="146"/>
      <c r="E1832" s="197"/>
      <c r="F1832" s="144"/>
      <c r="G1832" s="144"/>
      <c r="H1832" s="145"/>
      <c r="I1832" s="146"/>
      <c r="J1832" s="147"/>
    </row>
    <row r="1833" ht="22.5" customHeight="1">
      <c r="A1833" s="250"/>
      <c r="B1833" s="154"/>
      <c r="C1833" s="154"/>
      <c r="D1833" s="154"/>
      <c r="E1833" s="196"/>
      <c r="F1833" s="152"/>
      <c r="G1833" s="152"/>
      <c r="H1833" s="153"/>
      <c r="I1833" s="154"/>
      <c r="J1833" s="155"/>
    </row>
    <row r="1834" ht="22.5" customHeight="1">
      <c r="A1834" s="202"/>
      <c r="B1834" s="146"/>
      <c r="C1834" s="146"/>
      <c r="D1834" s="146"/>
      <c r="E1834" s="197"/>
      <c r="F1834" s="144"/>
      <c r="G1834" s="144"/>
      <c r="H1834" s="145"/>
      <c r="I1834" s="146"/>
      <c r="J1834" s="147"/>
    </row>
    <row r="1835" ht="22.5" customHeight="1">
      <c r="A1835" s="250"/>
      <c r="B1835" s="154"/>
      <c r="C1835" s="154"/>
      <c r="D1835" s="154"/>
      <c r="E1835" s="196"/>
      <c r="F1835" s="152"/>
      <c r="G1835" s="152"/>
      <c r="H1835" s="153"/>
      <c r="I1835" s="154"/>
      <c r="J1835" s="155"/>
    </row>
    <row r="1836" ht="22.5" customHeight="1">
      <c r="A1836" s="202"/>
      <c r="B1836" s="146"/>
      <c r="C1836" s="146"/>
      <c r="D1836" s="146"/>
      <c r="E1836" s="197"/>
      <c r="F1836" s="144"/>
      <c r="G1836" s="144"/>
      <c r="H1836" s="145"/>
      <c r="I1836" s="146"/>
      <c r="J1836" s="147"/>
    </row>
    <row r="1837" ht="22.5" customHeight="1">
      <c r="A1837" s="250"/>
      <c r="B1837" s="154"/>
      <c r="C1837" s="154"/>
      <c r="D1837" s="154"/>
      <c r="E1837" s="196"/>
      <c r="F1837" s="152"/>
      <c r="G1837" s="152"/>
      <c r="H1837" s="153"/>
      <c r="I1837" s="154"/>
      <c r="J1837" s="155"/>
    </row>
    <row r="1838" ht="22.5" customHeight="1">
      <c r="A1838" s="202"/>
      <c r="B1838" s="146"/>
      <c r="C1838" s="146"/>
      <c r="D1838" s="146"/>
      <c r="E1838" s="197"/>
      <c r="F1838" s="144"/>
      <c r="G1838" s="144"/>
      <c r="H1838" s="145"/>
      <c r="I1838" s="146"/>
      <c r="J1838" s="147"/>
    </row>
    <row r="1839" ht="22.5" customHeight="1">
      <c r="A1839" s="250"/>
      <c r="B1839" s="154"/>
      <c r="C1839" s="154"/>
      <c r="D1839" s="154"/>
      <c r="E1839" s="196"/>
      <c r="F1839" s="152"/>
      <c r="G1839" s="152"/>
      <c r="H1839" s="153"/>
      <c r="I1839" s="154"/>
      <c r="J1839" s="155"/>
    </row>
    <row r="1840" ht="22.5" customHeight="1">
      <c r="A1840" s="202"/>
      <c r="B1840" s="146"/>
      <c r="C1840" s="146"/>
      <c r="D1840" s="146"/>
      <c r="E1840" s="197"/>
      <c r="F1840" s="144"/>
      <c r="G1840" s="144"/>
      <c r="H1840" s="145"/>
      <c r="I1840" s="146"/>
      <c r="J1840" s="147"/>
    </row>
    <row r="1841" ht="22.5" customHeight="1">
      <c r="A1841" s="250"/>
      <c r="B1841" s="154"/>
      <c r="C1841" s="154"/>
      <c r="D1841" s="154"/>
      <c r="E1841" s="196"/>
      <c r="F1841" s="152"/>
      <c r="G1841" s="152"/>
      <c r="H1841" s="153"/>
      <c r="I1841" s="154"/>
      <c r="J1841" s="155"/>
    </row>
    <row r="1842" ht="22.5" customHeight="1">
      <c r="A1842" s="202"/>
      <c r="B1842" s="146"/>
      <c r="C1842" s="146"/>
      <c r="D1842" s="146"/>
      <c r="E1842" s="197"/>
      <c r="F1842" s="144"/>
      <c r="G1842" s="144"/>
      <c r="H1842" s="145"/>
      <c r="I1842" s="146"/>
      <c r="J1842" s="147"/>
    </row>
    <row r="1843" ht="22.5" customHeight="1">
      <c r="A1843" s="250"/>
      <c r="B1843" s="154"/>
      <c r="C1843" s="154"/>
      <c r="D1843" s="154"/>
      <c r="E1843" s="196"/>
      <c r="F1843" s="152"/>
      <c r="G1843" s="152"/>
      <c r="H1843" s="153"/>
      <c r="I1843" s="154"/>
      <c r="J1843" s="155"/>
    </row>
    <row r="1844" ht="22.5" customHeight="1">
      <c r="A1844" s="202"/>
      <c r="B1844" s="146"/>
      <c r="C1844" s="146"/>
      <c r="D1844" s="146"/>
      <c r="E1844" s="197"/>
      <c r="F1844" s="144"/>
      <c r="G1844" s="144"/>
      <c r="H1844" s="145"/>
      <c r="I1844" s="146"/>
      <c r="J1844" s="147"/>
    </row>
    <row r="1845" ht="22.5" customHeight="1">
      <c r="A1845" s="250"/>
      <c r="B1845" s="154"/>
      <c r="C1845" s="154"/>
      <c r="D1845" s="154"/>
      <c r="E1845" s="196"/>
      <c r="F1845" s="152"/>
      <c r="G1845" s="152"/>
      <c r="H1845" s="153"/>
      <c r="I1845" s="154"/>
      <c r="J1845" s="155"/>
    </row>
    <row r="1846" ht="22.5" customHeight="1">
      <c r="A1846" s="202"/>
      <c r="B1846" s="146"/>
      <c r="C1846" s="146"/>
      <c r="D1846" s="146"/>
      <c r="E1846" s="197"/>
      <c r="F1846" s="144"/>
      <c r="G1846" s="144"/>
      <c r="H1846" s="145"/>
      <c r="I1846" s="146"/>
      <c r="J1846" s="147"/>
    </row>
    <row r="1847" ht="22.5" customHeight="1">
      <c r="A1847" s="250"/>
      <c r="B1847" s="154"/>
      <c r="C1847" s="154"/>
      <c r="D1847" s="154"/>
      <c r="E1847" s="196"/>
      <c r="F1847" s="152"/>
      <c r="G1847" s="152"/>
      <c r="H1847" s="153"/>
      <c r="I1847" s="154"/>
      <c r="J1847" s="155"/>
    </row>
    <row r="1848" ht="22.5" customHeight="1">
      <c r="A1848" s="202"/>
      <c r="B1848" s="146"/>
      <c r="C1848" s="146"/>
      <c r="D1848" s="146"/>
      <c r="E1848" s="197"/>
      <c r="F1848" s="144"/>
      <c r="G1848" s="144"/>
      <c r="H1848" s="145"/>
      <c r="I1848" s="146"/>
      <c r="J1848" s="147"/>
    </row>
    <row r="1849" ht="22.5" customHeight="1">
      <c r="A1849" s="250"/>
      <c r="B1849" s="154"/>
      <c r="C1849" s="154"/>
      <c r="D1849" s="154"/>
      <c r="E1849" s="196"/>
      <c r="F1849" s="152"/>
      <c r="G1849" s="152"/>
      <c r="H1849" s="153"/>
      <c r="I1849" s="154"/>
      <c r="J1849" s="155"/>
    </row>
    <row r="1850" ht="22.5" customHeight="1">
      <c r="A1850" s="202"/>
      <c r="B1850" s="146"/>
      <c r="C1850" s="146"/>
      <c r="D1850" s="146"/>
      <c r="E1850" s="197"/>
      <c r="F1850" s="144"/>
      <c r="G1850" s="144"/>
      <c r="H1850" s="145"/>
      <c r="I1850" s="146"/>
      <c r="J1850" s="147"/>
    </row>
    <row r="1851" ht="22.5" customHeight="1">
      <c r="A1851" s="250"/>
      <c r="B1851" s="154"/>
      <c r="C1851" s="154"/>
      <c r="D1851" s="154"/>
      <c r="E1851" s="196"/>
      <c r="F1851" s="152"/>
      <c r="G1851" s="152"/>
      <c r="H1851" s="153"/>
      <c r="I1851" s="154"/>
      <c r="J1851" s="155"/>
    </row>
    <row r="1852" ht="22.5" customHeight="1">
      <c r="A1852" s="202"/>
      <c r="B1852" s="146"/>
      <c r="C1852" s="146"/>
      <c r="D1852" s="146"/>
      <c r="E1852" s="197"/>
      <c r="F1852" s="144"/>
      <c r="G1852" s="144"/>
      <c r="H1852" s="145"/>
      <c r="I1852" s="146"/>
      <c r="J1852" s="147"/>
    </row>
    <row r="1853" ht="22.5" customHeight="1">
      <c r="A1853" s="250"/>
      <c r="B1853" s="154"/>
      <c r="C1853" s="154"/>
      <c r="D1853" s="154"/>
      <c r="E1853" s="196"/>
      <c r="F1853" s="152"/>
      <c r="G1853" s="152"/>
      <c r="H1853" s="153"/>
      <c r="I1853" s="154"/>
      <c r="J1853" s="155"/>
    </row>
    <row r="1854" ht="22.5" customHeight="1">
      <c r="A1854" s="202"/>
      <c r="B1854" s="146"/>
      <c r="C1854" s="146"/>
      <c r="D1854" s="146"/>
      <c r="E1854" s="197"/>
      <c r="F1854" s="144"/>
      <c r="G1854" s="144"/>
      <c r="H1854" s="145"/>
      <c r="I1854" s="146"/>
      <c r="J1854" s="147"/>
    </row>
    <row r="1855" ht="22.5" customHeight="1">
      <c r="A1855" s="250"/>
      <c r="B1855" s="154"/>
      <c r="C1855" s="154"/>
      <c r="D1855" s="154"/>
      <c r="E1855" s="196"/>
      <c r="F1855" s="152"/>
      <c r="G1855" s="152"/>
      <c r="H1855" s="153"/>
      <c r="I1855" s="154"/>
      <c r="J1855" s="155"/>
    </row>
    <row r="1856" ht="22.5" customHeight="1">
      <c r="A1856" s="202"/>
      <c r="B1856" s="146"/>
      <c r="C1856" s="146"/>
      <c r="D1856" s="146"/>
      <c r="E1856" s="197"/>
      <c r="F1856" s="144"/>
      <c r="G1856" s="144"/>
      <c r="H1856" s="145"/>
      <c r="I1856" s="146"/>
      <c r="J1856" s="147"/>
    </row>
    <row r="1857" ht="22.5" customHeight="1">
      <c r="A1857" s="250"/>
      <c r="B1857" s="154"/>
      <c r="C1857" s="154"/>
      <c r="D1857" s="154"/>
      <c r="E1857" s="196"/>
      <c r="F1857" s="152"/>
      <c r="G1857" s="152"/>
      <c r="H1857" s="153"/>
      <c r="I1857" s="154"/>
      <c r="J1857" s="155"/>
    </row>
    <row r="1858" ht="22.5" customHeight="1">
      <c r="A1858" s="202"/>
      <c r="B1858" s="146"/>
      <c r="C1858" s="146"/>
      <c r="D1858" s="146"/>
      <c r="E1858" s="197"/>
      <c r="F1858" s="144"/>
      <c r="G1858" s="144"/>
      <c r="H1858" s="145"/>
      <c r="I1858" s="146"/>
      <c r="J1858" s="147"/>
    </row>
    <row r="1859" ht="22.5" customHeight="1">
      <c r="A1859" s="250"/>
      <c r="B1859" s="154"/>
      <c r="C1859" s="154"/>
      <c r="D1859" s="154"/>
      <c r="E1859" s="196"/>
      <c r="F1859" s="152"/>
      <c r="G1859" s="152"/>
      <c r="H1859" s="153"/>
      <c r="I1859" s="154"/>
      <c r="J1859" s="155"/>
    </row>
    <row r="1860" ht="22.5" customHeight="1">
      <c r="A1860" s="202"/>
      <c r="B1860" s="146"/>
      <c r="C1860" s="146"/>
      <c r="D1860" s="146"/>
      <c r="E1860" s="197"/>
      <c r="F1860" s="144"/>
      <c r="G1860" s="144"/>
      <c r="H1860" s="145"/>
      <c r="I1860" s="146"/>
      <c r="J1860" s="147"/>
    </row>
    <row r="1861" ht="22.5" customHeight="1">
      <c r="A1861" s="250"/>
      <c r="B1861" s="154"/>
      <c r="C1861" s="154"/>
      <c r="D1861" s="154"/>
      <c r="E1861" s="196"/>
      <c r="F1861" s="152"/>
      <c r="G1861" s="152"/>
      <c r="H1861" s="153"/>
      <c r="I1861" s="154"/>
      <c r="J1861" s="155"/>
    </row>
    <row r="1862" ht="22.5" customHeight="1">
      <c r="A1862" s="202"/>
      <c r="B1862" s="146"/>
      <c r="C1862" s="146"/>
      <c r="D1862" s="146"/>
      <c r="E1862" s="197"/>
      <c r="F1862" s="144"/>
      <c r="G1862" s="144"/>
      <c r="H1862" s="145"/>
      <c r="I1862" s="146"/>
      <c r="J1862" s="147"/>
    </row>
    <row r="1863" ht="22.5" customHeight="1">
      <c r="A1863" s="250"/>
      <c r="B1863" s="154"/>
      <c r="C1863" s="154"/>
      <c r="D1863" s="154"/>
      <c r="E1863" s="196"/>
      <c r="F1863" s="152"/>
      <c r="G1863" s="152"/>
      <c r="H1863" s="153"/>
      <c r="I1863" s="154"/>
      <c r="J1863" s="155"/>
    </row>
    <row r="1864" ht="22.5" customHeight="1">
      <c r="A1864" s="202"/>
      <c r="B1864" s="146"/>
      <c r="C1864" s="146"/>
      <c r="D1864" s="146"/>
      <c r="E1864" s="197"/>
      <c r="F1864" s="144"/>
      <c r="G1864" s="144"/>
      <c r="H1864" s="145"/>
      <c r="I1864" s="146"/>
      <c r="J1864" s="147"/>
    </row>
    <row r="1865" ht="22.5" customHeight="1">
      <c r="A1865" s="250"/>
      <c r="B1865" s="154"/>
      <c r="C1865" s="154"/>
      <c r="D1865" s="154"/>
      <c r="E1865" s="196"/>
      <c r="F1865" s="152"/>
      <c r="G1865" s="152"/>
      <c r="H1865" s="153"/>
      <c r="I1865" s="154"/>
      <c r="J1865" s="155"/>
    </row>
    <row r="1866" ht="22.5" customHeight="1">
      <c r="A1866" s="202"/>
      <c r="B1866" s="146"/>
      <c r="C1866" s="146"/>
      <c r="D1866" s="146"/>
      <c r="E1866" s="197"/>
      <c r="F1866" s="144"/>
      <c r="G1866" s="144"/>
      <c r="H1866" s="145"/>
      <c r="I1866" s="146"/>
      <c r="J1866" s="147"/>
    </row>
    <row r="1867" ht="22.5" customHeight="1">
      <c r="A1867" s="250"/>
      <c r="B1867" s="154"/>
      <c r="C1867" s="154"/>
      <c r="D1867" s="154"/>
      <c r="E1867" s="196"/>
      <c r="F1867" s="152"/>
      <c r="G1867" s="152"/>
      <c r="H1867" s="153"/>
      <c r="I1867" s="154"/>
      <c r="J1867" s="155"/>
    </row>
    <row r="1868" ht="22.5" customHeight="1">
      <c r="A1868" s="202"/>
      <c r="B1868" s="146"/>
      <c r="C1868" s="146"/>
      <c r="D1868" s="146"/>
      <c r="E1868" s="197"/>
      <c r="F1868" s="144"/>
      <c r="G1868" s="144"/>
      <c r="H1868" s="145"/>
      <c r="I1868" s="146"/>
      <c r="J1868" s="147"/>
    </row>
    <row r="1869" ht="22.5" customHeight="1">
      <c r="A1869" s="250"/>
      <c r="B1869" s="154"/>
      <c r="C1869" s="154"/>
      <c r="D1869" s="154"/>
      <c r="E1869" s="196"/>
      <c r="F1869" s="152"/>
      <c r="G1869" s="152"/>
      <c r="H1869" s="153"/>
      <c r="I1869" s="154"/>
      <c r="J1869" s="155"/>
    </row>
    <row r="1870" ht="22.5" customHeight="1">
      <c r="A1870" s="202"/>
      <c r="B1870" s="146"/>
      <c r="C1870" s="146"/>
      <c r="D1870" s="146"/>
      <c r="E1870" s="197"/>
      <c r="F1870" s="144"/>
      <c r="G1870" s="144"/>
      <c r="H1870" s="145"/>
      <c r="I1870" s="146"/>
      <c r="J1870" s="147"/>
    </row>
    <row r="1871" ht="22.5" customHeight="1">
      <c r="A1871" s="250"/>
      <c r="B1871" s="154"/>
      <c r="C1871" s="154"/>
      <c r="D1871" s="154"/>
      <c r="E1871" s="196"/>
      <c r="F1871" s="152"/>
      <c r="G1871" s="152"/>
      <c r="H1871" s="153"/>
      <c r="I1871" s="154"/>
      <c r="J1871" s="155"/>
    </row>
    <row r="1872" ht="22.5" customHeight="1">
      <c r="A1872" s="202"/>
      <c r="B1872" s="146"/>
      <c r="C1872" s="146"/>
      <c r="D1872" s="146"/>
      <c r="E1872" s="197"/>
      <c r="F1872" s="144"/>
      <c r="G1872" s="144"/>
      <c r="H1872" s="145"/>
      <c r="I1872" s="146"/>
      <c r="J1872" s="147"/>
    </row>
    <row r="1873" ht="22.5" customHeight="1">
      <c r="A1873" s="250"/>
      <c r="B1873" s="154"/>
      <c r="C1873" s="154"/>
      <c r="D1873" s="154"/>
      <c r="E1873" s="196"/>
      <c r="F1873" s="152"/>
      <c r="G1873" s="152"/>
      <c r="H1873" s="153"/>
      <c r="I1873" s="154"/>
      <c r="J1873" s="155"/>
    </row>
    <row r="1874" ht="22.5" customHeight="1">
      <c r="A1874" s="202"/>
      <c r="B1874" s="146"/>
      <c r="C1874" s="146"/>
      <c r="D1874" s="146"/>
      <c r="E1874" s="197"/>
      <c r="F1874" s="144"/>
      <c r="G1874" s="144"/>
      <c r="H1874" s="145"/>
      <c r="I1874" s="146"/>
      <c r="J1874" s="147"/>
    </row>
    <row r="1875" ht="22.5" customHeight="1">
      <c r="A1875" s="250"/>
      <c r="B1875" s="154"/>
      <c r="C1875" s="154"/>
      <c r="D1875" s="154"/>
      <c r="E1875" s="196"/>
      <c r="F1875" s="152"/>
      <c r="G1875" s="152"/>
      <c r="H1875" s="153"/>
      <c r="I1875" s="154"/>
      <c r="J1875" s="155"/>
    </row>
    <row r="1876" ht="22.5" customHeight="1">
      <c r="A1876" s="202"/>
      <c r="B1876" s="146"/>
      <c r="C1876" s="146"/>
      <c r="D1876" s="146"/>
      <c r="E1876" s="197"/>
      <c r="F1876" s="144"/>
      <c r="G1876" s="144"/>
      <c r="H1876" s="145"/>
      <c r="I1876" s="146"/>
      <c r="J1876" s="147"/>
    </row>
    <row r="1877" ht="22.5" customHeight="1">
      <c r="A1877" s="250"/>
      <c r="B1877" s="154"/>
      <c r="C1877" s="154"/>
      <c r="D1877" s="154"/>
      <c r="E1877" s="196"/>
      <c r="F1877" s="152"/>
      <c r="G1877" s="152"/>
      <c r="H1877" s="153"/>
      <c r="I1877" s="154"/>
      <c r="J1877" s="155"/>
    </row>
    <row r="1878" ht="22.5" customHeight="1">
      <c r="A1878" s="202"/>
      <c r="B1878" s="146"/>
      <c r="C1878" s="146"/>
      <c r="D1878" s="146"/>
      <c r="E1878" s="197"/>
      <c r="F1878" s="144"/>
      <c r="G1878" s="144"/>
      <c r="H1878" s="145"/>
      <c r="I1878" s="146"/>
      <c r="J1878" s="147"/>
    </row>
    <row r="1879" ht="22.5" customHeight="1">
      <c r="A1879" s="250"/>
      <c r="B1879" s="154"/>
      <c r="C1879" s="154"/>
      <c r="D1879" s="154"/>
      <c r="E1879" s="196"/>
      <c r="F1879" s="152"/>
      <c r="G1879" s="152"/>
      <c r="H1879" s="153"/>
      <c r="I1879" s="154"/>
      <c r="J1879" s="155"/>
    </row>
    <row r="1880" ht="22.5" customHeight="1">
      <c r="A1880" s="202"/>
      <c r="B1880" s="146"/>
      <c r="C1880" s="146"/>
      <c r="D1880" s="146"/>
      <c r="E1880" s="197"/>
      <c r="F1880" s="144"/>
      <c r="G1880" s="144"/>
      <c r="H1880" s="145"/>
      <c r="I1880" s="146"/>
      <c r="J1880" s="147"/>
    </row>
    <row r="1881" ht="22.5" customHeight="1">
      <c r="A1881" s="250"/>
      <c r="B1881" s="154"/>
      <c r="C1881" s="154"/>
      <c r="D1881" s="154"/>
      <c r="E1881" s="196"/>
      <c r="F1881" s="152"/>
      <c r="G1881" s="152"/>
      <c r="H1881" s="153"/>
      <c r="I1881" s="154"/>
      <c r="J1881" s="155"/>
    </row>
    <row r="1882" ht="22.5" customHeight="1">
      <c r="A1882" s="202"/>
      <c r="B1882" s="146"/>
      <c r="C1882" s="146"/>
      <c r="D1882" s="146"/>
      <c r="E1882" s="197"/>
      <c r="F1882" s="144"/>
      <c r="G1882" s="144"/>
      <c r="H1882" s="145"/>
      <c r="I1882" s="146"/>
      <c r="J1882" s="147"/>
    </row>
    <row r="1883" ht="22.5" customHeight="1">
      <c r="A1883" s="250"/>
      <c r="B1883" s="154"/>
      <c r="C1883" s="154"/>
      <c r="D1883" s="154"/>
      <c r="E1883" s="196"/>
      <c r="F1883" s="152"/>
      <c r="G1883" s="152"/>
      <c r="H1883" s="153"/>
      <c r="I1883" s="154"/>
      <c r="J1883" s="155"/>
    </row>
    <row r="1884" ht="22.5" customHeight="1">
      <c r="A1884" s="202"/>
      <c r="B1884" s="146"/>
      <c r="C1884" s="146"/>
      <c r="D1884" s="146"/>
      <c r="E1884" s="197"/>
      <c r="F1884" s="144"/>
      <c r="G1884" s="144"/>
      <c r="H1884" s="145"/>
      <c r="I1884" s="146"/>
      <c r="J1884" s="147"/>
    </row>
    <row r="1885" ht="22.5" customHeight="1">
      <c r="A1885" s="250"/>
      <c r="B1885" s="154"/>
      <c r="C1885" s="154"/>
      <c r="D1885" s="154"/>
      <c r="E1885" s="196"/>
      <c r="F1885" s="152"/>
      <c r="G1885" s="152"/>
      <c r="H1885" s="153"/>
      <c r="I1885" s="154"/>
      <c r="J1885" s="155"/>
    </row>
    <row r="1886" ht="22.5" customHeight="1">
      <c r="A1886" s="202"/>
      <c r="B1886" s="146"/>
      <c r="C1886" s="146"/>
      <c r="D1886" s="146"/>
      <c r="E1886" s="197"/>
      <c r="F1886" s="144"/>
      <c r="G1886" s="144"/>
      <c r="H1886" s="145"/>
      <c r="I1886" s="146"/>
      <c r="J1886" s="147"/>
    </row>
    <row r="1887" ht="22.5" customHeight="1">
      <c r="A1887" s="250"/>
      <c r="B1887" s="154"/>
      <c r="C1887" s="154"/>
      <c r="D1887" s="154"/>
      <c r="E1887" s="196"/>
      <c r="F1887" s="152"/>
      <c r="G1887" s="152"/>
      <c r="H1887" s="153"/>
      <c r="I1887" s="154"/>
      <c r="J1887" s="155"/>
    </row>
    <row r="1888" ht="22.5" customHeight="1">
      <c r="A1888" s="202"/>
      <c r="B1888" s="146"/>
      <c r="C1888" s="146"/>
      <c r="D1888" s="146"/>
      <c r="E1888" s="197"/>
      <c r="F1888" s="144"/>
      <c r="G1888" s="144"/>
      <c r="H1888" s="145"/>
      <c r="I1888" s="146"/>
      <c r="J1888" s="147"/>
    </row>
    <row r="1889" ht="22.5" customHeight="1">
      <c r="A1889" s="250"/>
      <c r="B1889" s="154"/>
      <c r="C1889" s="154"/>
      <c r="D1889" s="154"/>
      <c r="E1889" s="196"/>
      <c r="F1889" s="152"/>
      <c r="G1889" s="152"/>
      <c r="H1889" s="153"/>
      <c r="I1889" s="154"/>
      <c r="J1889" s="155"/>
    </row>
    <row r="1890" ht="22.5" customHeight="1">
      <c r="A1890" s="202"/>
      <c r="B1890" s="146"/>
      <c r="C1890" s="146"/>
      <c r="D1890" s="146"/>
      <c r="E1890" s="197"/>
      <c r="F1890" s="144"/>
      <c r="G1890" s="144"/>
      <c r="H1890" s="145"/>
      <c r="I1890" s="146"/>
      <c r="J1890" s="147"/>
    </row>
    <row r="1891" ht="22.5" customHeight="1">
      <c r="A1891" s="250"/>
      <c r="B1891" s="154"/>
      <c r="C1891" s="154"/>
      <c r="D1891" s="154"/>
      <c r="E1891" s="196"/>
      <c r="F1891" s="152"/>
      <c r="G1891" s="152"/>
      <c r="H1891" s="153"/>
      <c r="I1891" s="154"/>
      <c r="J1891" s="155"/>
    </row>
    <row r="1892" ht="22.5" customHeight="1">
      <c r="A1892" s="202"/>
      <c r="B1892" s="146"/>
      <c r="C1892" s="146"/>
      <c r="D1892" s="146"/>
      <c r="E1892" s="197"/>
      <c r="F1892" s="144"/>
      <c r="G1892" s="144"/>
      <c r="H1892" s="145"/>
      <c r="I1892" s="146"/>
      <c r="J1892" s="147"/>
    </row>
    <row r="1893" ht="22.5" customHeight="1">
      <c r="A1893" s="250"/>
      <c r="B1893" s="154"/>
      <c r="C1893" s="154"/>
      <c r="D1893" s="154"/>
      <c r="E1893" s="196"/>
      <c r="F1893" s="152"/>
      <c r="G1893" s="152"/>
      <c r="H1893" s="153"/>
      <c r="I1893" s="154"/>
      <c r="J1893" s="155"/>
    </row>
    <row r="1894" ht="22.5" customHeight="1">
      <c r="A1894" s="202"/>
      <c r="B1894" s="146"/>
      <c r="C1894" s="146"/>
      <c r="D1894" s="146"/>
      <c r="E1894" s="197"/>
      <c r="F1894" s="144"/>
      <c r="G1894" s="144"/>
      <c r="H1894" s="145"/>
      <c r="I1894" s="146"/>
      <c r="J1894" s="147"/>
    </row>
    <row r="1895" ht="22.5" customHeight="1">
      <c r="A1895" s="250"/>
      <c r="B1895" s="154"/>
      <c r="C1895" s="154"/>
      <c r="D1895" s="154"/>
      <c r="E1895" s="196"/>
      <c r="F1895" s="152"/>
      <c r="G1895" s="152"/>
      <c r="H1895" s="153"/>
      <c r="I1895" s="154"/>
      <c r="J1895" s="155"/>
    </row>
    <row r="1896" ht="22.5" customHeight="1">
      <c r="A1896" s="202"/>
      <c r="B1896" s="146"/>
      <c r="C1896" s="146"/>
      <c r="D1896" s="146"/>
      <c r="E1896" s="197"/>
      <c r="F1896" s="144"/>
      <c r="G1896" s="144"/>
      <c r="H1896" s="145"/>
      <c r="I1896" s="146"/>
      <c r="J1896" s="147"/>
    </row>
    <row r="1897" ht="22.5" customHeight="1">
      <c r="A1897" s="250"/>
      <c r="B1897" s="154"/>
      <c r="C1897" s="154"/>
      <c r="D1897" s="154"/>
      <c r="E1897" s="196"/>
      <c r="F1897" s="152"/>
      <c r="G1897" s="152"/>
      <c r="H1897" s="153"/>
      <c r="I1897" s="154"/>
      <c r="J1897" s="155"/>
    </row>
    <row r="1898" ht="22.5" customHeight="1">
      <c r="A1898" s="202"/>
      <c r="B1898" s="146"/>
      <c r="C1898" s="146"/>
      <c r="D1898" s="146"/>
      <c r="E1898" s="197"/>
      <c r="F1898" s="144"/>
      <c r="G1898" s="144"/>
      <c r="H1898" s="145"/>
      <c r="I1898" s="146"/>
      <c r="J1898" s="147"/>
    </row>
    <row r="1899" ht="22.5" customHeight="1">
      <c r="A1899" s="250"/>
      <c r="B1899" s="154"/>
      <c r="C1899" s="154"/>
      <c r="D1899" s="154"/>
      <c r="E1899" s="196"/>
      <c r="F1899" s="152"/>
      <c r="G1899" s="152"/>
      <c r="H1899" s="153"/>
      <c r="I1899" s="154"/>
      <c r="J1899" s="155"/>
    </row>
    <row r="1900" ht="22.5" customHeight="1">
      <c r="A1900" s="202"/>
      <c r="B1900" s="146"/>
      <c r="C1900" s="146"/>
      <c r="D1900" s="146"/>
      <c r="E1900" s="197"/>
      <c r="F1900" s="144"/>
      <c r="G1900" s="144"/>
      <c r="H1900" s="145"/>
      <c r="I1900" s="146"/>
      <c r="J1900" s="147"/>
    </row>
    <row r="1901" ht="22.5" customHeight="1">
      <c r="A1901" s="250"/>
      <c r="B1901" s="154"/>
      <c r="C1901" s="154"/>
      <c r="D1901" s="154"/>
      <c r="E1901" s="196"/>
      <c r="F1901" s="152"/>
      <c r="G1901" s="152"/>
      <c r="H1901" s="153"/>
      <c r="I1901" s="154"/>
      <c r="J1901" s="155"/>
    </row>
    <row r="1902" ht="22.5" customHeight="1">
      <c r="A1902" s="202"/>
      <c r="B1902" s="146"/>
      <c r="C1902" s="146"/>
      <c r="D1902" s="146"/>
      <c r="E1902" s="197"/>
      <c r="F1902" s="144"/>
      <c r="G1902" s="144"/>
      <c r="H1902" s="145"/>
      <c r="I1902" s="146"/>
      <c r="J1902" s="147"/>
    </row>
    <row r="1903" ht="22.5" customHeight="1">
      <c r="A1903" s="250"/>
      <c r="B1903" s="154"/>
      <c r="C1903" s="154"/>
      <c r="D1903" s="154"/>
      <c r="E1903" s="196"/>
      <c r="F1903" s="152"/>
      <c r="G1903" s="152"/>
      <c r="H1903" s="153"/>
      <c r="I1903" s="154"/>
      <c r="J1903" s="155"/>
    </row>
    <row r="1904" ht="22.5" customHeight="1">
      <c r="A1904" s="202"/>
      <c r="B1904" s="146"/>
      <c r="C1904" s="146"/>
      <c r="D1904" s="146"/>
      <c r="E1904" s="197"/>
      <c r="F1904" s="144"/>
      <c r="G1904" s="144"/>
      <c r="H1904" s="145"/>
      <c r="I1904" s="146"/>
      <c r="J1904" s="147"/>
    </row>
    <row r="1905" ht="22.5" customHeight="1">
      <c r="A1905" s="250"/>
      <c r="B1905" s="154"/>
      <c r="C1905" s="154"/>
      <c r="D1905" s="154"/>
      <c r="E1905" s="196"/>
      <c r="F1905" s="152"/>
      <c r="G1905" s="152"/>
      <c r="H1905" s="153"/>
      <c r="I1905" s="154"/>
      <c r="J1905" s="155"/>
    </row>
    <row r="1906" ht="22.5" customHeight="1">
      <c r="A1906" s="202"/>
      <c r="B1906" s="146"/>
      <c r="C1906" s="146"/>
      <c r="D1906" s="146"/>
      <c r="E1906" s="197"/>
      <c r="F1906" s="144"/>
      <c r="G1906" s="144"/>
      <c r="H1906" s="145"/>
      <c r="I1906" s="146"/>
      <c r="J1906" s="147"/>
    </row>
    <row r="1907" ht="22.5" customHeight="1">
      <c r="A1907" s="250"/>
      <c r="B1907" s="154"/>
      <c r="C1907" s="154"/>
      <c r="D1907" s="154"/>
      <c r="E1907" s="196"/>
      <c r="F1907" s="152"/>
      <c r="G1907" s="152"/>
      <c r="H1907" s="153"/>
      <c r="I1907" s="154"/>
      <c r="J1907" s="155"/>
    </row>
    <row r="1908" ht="22.5" customHeight="1">
      <c r="A1908" s="202"/>
      <c r="B1908" s="146"/>
      <c r="C1908" s="146"/>
      <c r="D1908" s="146"/>
      <c r="E1908" s="197"/>
      <c r="F1908" s="144"/>
      <c r="G1908" s="144"/>
      <c r="H1908" s="145"/>
      <c r="I1908" s="146"/>
      <c r="J1908" s="147"/>
    </row>
    <row r="1909" ht="22.5" customHeight="1">
      <c r="A1909" s="250"/>
      <c r="B1909" s="154"/>
      <c r="C1909" s="154"/>
      <c r="D1909" s="154"/>
      <c r="E1909" s="196"/>
      <c r="F1909" s="152"/>
      <c r="G1909" s="152"/>
      <c r="H1909" s="153"/>
      <c r="I1909" s="154"/>
      <c r="J1909" s="155"/>
    </row>
    <row r="1910" ht="22.5" customHeight="1">
      <c r="A1910" s="202"/>
      <c r="B1910" s="146"/>
      <c r="C1910" s="146"/>
      <c r="D1910" s="146"/>
      <c r="E1910" s="197"/>
      <c r="F1910" s="144"/>
      <c r="G1910" s="144"/>
      <c r="H1910" s="145"/>
      <c r="I1910" s="146"/>
      <c r="J1910" s="147"/>
    </row>
    <row r="1911" ht="22.5" customHeight="1">
      <c r="A1911" s="250"/>
      <c r="B1911" s="154"/>
      <c r="C1911" s="154"/>
      <c r="D1911" s="154"/>
      <c r="E1911" s="196"/>
      <c r="F1911" s="152"/>
      <c r="G1911" s="152"/>
      <c r="H1911" s="153"/>
      <c r="I1911" s="154"/>
      <c r="J1911" s="155"/>
    </row>
    <row r="1912" ht="22.5" customHeight="1">
      <c r="A1912" s="202"/>
      <c r="B1912" s="146"/>
      <c r="C1912" s="146"/>
      <c r="D1912" s="146"/>
      <c r="E1912" s="197"/>
      <c r="F1912" s="144"/>
      <c r="G1912" s="144"/>
      <c r="H1912" s="145"/>
      <c r="I1912" s="146"/>
      <c r="J1912" s="147"/>
    </row>
    <row r="1913" ht="22.5" customHeight="1">
      <c r="A1913" s="250"/>
      <c r="B1913" s="154"/>
      <c r="C1913" s="154"/>
      <c r="D1913" s="154"/>
      <c r="E1913" s="196"/>
      <c r="F1913" s="152"/>
      <c r="G1913" s="152"/>
      <c r="H1913" s="153"/>
      <c r="I1913" s="154"/>
      <c r="J1913" s="155"/>
    </row>
    <row r="1914" ht="22.5" customHeight="1">
      <c r="A1914" s="202"/>
      <c r="B1914" s="146"/>
      <c r="C1914" s="146"/>
      <c r="D1914" s="146"/>
      <c r="E1914" s="197"/>
      <c r="F1914" s="144"/>
      <c r="G1914" s="144"/>
      <c r="H1914" s="145"/>
      <c r="I1914" s="146"/>
      <c r="J1914" s="147"/>
    </row>
    <row r="1915" ht="22.5" customHeight="1">
      <c r="A1915" s="250"/>
      <c r="B1915" s="154"/>
      <c r="C1915" s="154"/>
      <c r="D1915" s="154"/>
      <c r="E1915" s="196"/>
      <c r="F1915" s="152"/>
      <c r="G1915" s="152"/>
      <c r="H1915" s="153"/>
      <c r="I1915" s="154"/>
      <c r="J1915" s="155"/>
    </row>
    <row r="1916" ht="22.5" customHeight="1">
      <c r="A1916" s="202"/>
      <c r="B1916" s="146"/>
      <c r="C1916" s="146"/>
      <c r="D1916" s="146"/>
      <c r="E1916" s="197"/>
      <c r="F1916" s="144"/>
      <c r="G1916" s="144"/>
      <c r="H1916" s="145"/>
      <c r="I1916" s="146"/>
      <c r="J1916" s="147"/>
    </row>
    <row r="1917" ht="22.5" customHeight="1">
      <c r="A1917" s="250"/>
      <c r="B1917" s="154"/>
      <c r="C1917" s="154"/>
      <c r="D1917" s="154"/>
      <c r="E1917" s="196"/>
      <c r="F1917" s="152"/>
      <c r="G1917" s="152"/>
      <c r="H1917" s="153"/>
      <c r="I1917" s="154"/>
      <c r="J1917" s="155"/>
    </row>
    <row r="1918" ht="22.5" customHeight="1">
      <c r="A1918" s="202"/>
      <c r="B1918" s="146"/>
      <c r="C1918" s="146"/>
      <c r="D1918" s="146"/>
      <c r="E1918" s="197"/>
      <c r="F1918" s="144"/>
      <c r="G1918" s="144"/>
      <c r="H1918" s="145"/>
      <c r="I1918" s="146"/>
      <c r="J1918" s="147"/>
    </row>
    <row r="1919" ht="22.5" customHeight="1">
      <c r="A1919" s="250"/>
      <c r="B1919" s="154"/>
      <c r="C1919" s="154"/>
      <c r="D1919" s="154"/>
      <c r="E1919" s="196"/>
      <c r="F1919" s="152"/>
      <c r="G1919" s="152"/>
      <c r="H1919" s="153"/>
      <c r="I1919" s="154"/>
      <c r="J1919" s="155"/>
    </row>
    <row r="1920" ht="22.5" customHeight="1">
      <c r="A1920" s="202"/>
      <c r="B1920" s="146"/>
      <c r="C1920" s="146"/>
      <c r="D1920" s="146"/>
      <c r="E1920" s="197"/>
      <c r="F1920" s="144"/>
      <c r="G1920" s="144"/>
      <c r="H1920" s="145"/>
      <c r="I1920" s="146"/>
      <c r="J1920" s="147"/>
    </row>
    <row r="1921" ht="22.5" customHeight="1">
      <c r="A1921" s="250"/>
      <c r="B1921" s="154"/>
      <c r="C1921" s="154"/>
      <c r="D1921" s="154"/>
      <c r="E1921" s="196"/>
      <c r="F1921" s="152"/>
      <c r="G1921" s="152"/>
      <c r="H1921" s="153"/>
      <c r="I1921" s="154"/>
      <c r="J1921" s="155"/>
    </row>
    <row r="1922" ht="22.5" customHeight="1">
      <c r="A1922" s="202"/>
      <c r="B1922" s="146"/>
      <c r="C1922" s="146"/>
      <c r="D1922" s="146"/>
      <c r="E1922" s="197"/>
      <c r="F1922" s="144"/>
      <c r="G1922" s="144"/>
      <c r="H1922" s="145"/>
      <c r="I1922" s="146"/>
      <c r="J1922" s="147"/>
    </row>
    <row r="1923" ht="22.5" customHeight="1">
      <c r="A1923" s="250"/>
      <c r="B1923" s="154"/>
      <c r="C1923" s="154"/>
      <c r="D1923" s="154"/>
      <c r="E1923" s="196"/>
      <c r="F1923" s="152"/>
      <c r="G1923" s="152"/>
      <c r="H1923" s="153"/>
      <c r="I1923" s="154"/>
      <c r="J1923" s="155"/>
    </row>
    <row r="1924" ht="22.5" customHeight="1">
      <c r="A1924" s="202"/>
      <c r="B1924" s="146"/>
      <c r="C1924" s="146"/>
      <c r="D1924" s="146"/>
      <c r="E1924" s="197"/>
      <c r="F1924" s="144"/>
      <c r="G1924" s="144"/>
      <c r="H1924" s="145"/>
      <c r="I1924" s="146"/>
      <c r="J1924" s="147"/>
    </row>
    <row r="1925" ht="22.5" customHeight="1">
      <c r="A1925" s="250"/>
      <c r="B1925" s="154"/>
      <c r="C1925" s="154"/>
      <c r="D1925" s="154"/>
      <c r="E1925" s="196"/>
      <c r="F1925" s="152"/>
      <c r="G1925" s="152"/>
      <c r="H1925" s="153"/>
      <c r="I1925" s="154"/>
      <c r="J1925" s="155"/>
    </row>
    <row r="1926" ht="22.5" customHeight="1">
      <c r="A1926" s="202"/>
      <c r="B1926" s="146"/>
      <c r="C1926" s="146"/>
      <c r="D1926" s="146"/>
      <c r="E1926" s="197"/>
      <c r="F1926" s="144"/>
      <c r="G1926" s="144"/>
      <c r="H1926" s="145"/>
      <c r="I1926" s="146"/>
      <c r="J1926" s="147"/>
    </row>
    <row r="1927" ht="22.5" customHeight="1">
      <c r="A1927" s="250"/>
      <c r="B1927" s="154"/>
      <c r="C1927" s="154"/>
      <c r="D1927" s="154"/>
      <c r="E1927" s="196"/>
      <c r="F1927" s="152"/>
      <c r="G1927" s="152"/>
      <c r="H1927" s="153"/>
      <c r="I1927" s="154"/>
      <c r="J1927" s="155"/>
    </row>
    <row r="1928" ht="22.5" customHeight="1">
      <c r="A1928" s="202"/>
      <c r="B1928" s="146"/>
      <c r="C1928" s="146"/>
      <c r="D1928" s="146"/>
      <c r="E1928" s="197"/>
      <c r="F1928" s="144"/>
      <c r="G1928" s="144"/>
      <c r="H1928" s="145"/>
      <c r="I1928" s="146"/>
      <c r="J1928" s="147"/>
    </row>
    <row r="1929" ht="22.5" customHeight="1">
      <c r="A1929" s="250"/>
      <c r="B1929" s="154"/>
      <c r="C1929" s="154"/>
      <c r="D1929" s="154"/>
      <c r="E1929" s="196"/>
      <c r="F1929" s="152"/>
      <c r="G1929" s="152"/>
      <c r="H1929" s="153"/>
      <c r="I1929" s="154"/>
      <c r="J1929" s="155"/>
    </row>
    <row r="1930" ht="22.5" customHeight="1">
      <c r="A1930" s="202"/>
      <c r="B1930" s="146"/>
      <c r="C1930" s="146"/>
      <c r="D1930" s="146"/>
      <c r="E1930" s="197"/>
      <c r="F1930" s="144"/>
      <c r="G1930" s="144"/>
      <c r="H1930" s="145"/>
      <c r="I1930" s="146"/>
      <c r="J1930" s="147"/>
    </row>
    <row r="1931" ht="22.5" customHeight="1">
      <c r="A1931" s="250"/>
      <c r="B1931" s="154"/>
      <c r="C1931" s="154"/>
      <c r="D1931" s="154"/>
      <c r="E1931" s="196"/>
      <c r="F1931" s="152"/>
      <c r="G1931" s="152"/>
      <c r="H1931" s="153"/>
      <c r="I1931" s="154"/>
      <c r="J1931" s="155"/>
    </row>
    <row r="1932" ht="22.5" customHeight="1">
      <c r="A1932" s="202"/>
      <c r="B1932" s="146"/>
      <c r="C1932" s="146"/>
      <c r="D1932" s="146"/>
      <c r="E1932" s="197"/>
      <c r="F1932" s="144"/>
      <c r="G1932" s="144"/>
      <c r="H1932" s="145"/>
      <c r="I1932" s="146"/>
      <c r="J1932" s="147"/>
    </row>
    <row r="1933" ht="22.5" customHeight="1">
      <c r="A1933" s="250"/>
      <c r="B1933" s="154"/>
      <c r="C1933" s="154"/>
      <c r="D1933" s="154"/>
      <c r="E1933" s="196"/>
      <c r="F1933" s="152"/>
      <c r="G1933" s="152"/>
      <c r="H1933" s="153"/>
      <c r="I1933" s="154"/>
      <c r="J1933" s="155"/>
    </row>
    <row r="1934" ht="22.5" customHeight="1">
      <c r="A1934" s="202"/>
      <c r="B1934" s="146"/>
      <c r="C1934" s="146"/>
      <c r="D1934" s="146"/>
      <c r="E1934" s="197"/>
      <c r="F1934" s="144"/>
      <c r="G1934" s="144"/>
      <c r="H1934" s="145"/>
      <c r="I1934" s="146"/>
      <c r="J1934" s="147"/>
    </row>
    <row r="1935" ht="22.5" customHeight="1">
      <c r="A1935" s="250"/>
      <c r="B1935" s="154"/>
      <c r="C1935" s="154"/>
      <c r="D1935" s="154"/>
      <c r="E1935" s="196"/>
      <c r="F1935" s="152"/>
      <c r="G1935" s="152"/>
      <c r="H1935" s="153"/>
      <c r="I1935" s="154"/>
      <c r="J1935" s="155"/>
    </row>
    <row r="1936" ht="22.5" customHeight="1">
      <c r="A1936" s="202"/>
      <c r="B1936" s="146"/>
      <c r="C1936" s="146"/>
      <c r="D1936" s="146"/>
      <c r="E1936" s="197"/>
      <c r="F1936" s="144"/>
      <c r="G1936" s="144"/>
      <c r="H1936" s="145"/>
      <c r="I1936" s="146"/>
      <c r="J1936" s="147"/>
    </row>
    <row r="1937" ht="22.5" customHeight="1">
      <c r="A1937" s="250"/>
      <c r="B1937" s="154"/>
      <c r="C1937" s="154"/>
      <c r="D1937" s="154"/>
      <c r="E1937" s="196"/>
      <c r="F1937" s="152"/>
      <c r="G1937" s="152"/>
      <c r="H1937" s="153"/>
      <c r="I1937" s="154"/>
      <c r="J1937" s="155"/>
    </row>
    <row r="1938" ht="22.5" customHeight="1">
      <c r="A1938" s="202"/>
      <c r="B1938" s="146"/>
      <c r="C1938" s="146"/>
      <c r="D1938" s="146"/>
      <c r="E1938" s="197"/>
      <c r="F1938" s="144"/>
      <c r="G1938" s="144"/>
      <c r="H1938" s="145"/>
      <c r="I1938" s="146"/>
      <c r="J1938" s="147"/>
    </row>
    <row r="1939" ht="22.5" customHeight="1">
      <c r="A1939" s="250"/>
      <c r="B1939" s="154"/>
      <c r="C1939" s="154"/>
      <c r="D1939" s="154"/>
      <c r="E1939" s="196"/>
      <c r="F1939" s="152"/>
      <c r="G1939" s="152"/>
      <c r="H1939" s="153"/>
      <c r="I1939" s="154"/>
      <c r="J1939" s="155"/>
    </row>
    <row r="1940" ht="22.5" customHeight="1">
      <c r="A1940" s="202"/>
      <c r="B1940" s="146"/>
      <c r="C1940" s="146"/>
      <c r="D1940" s="146"/>
      <c r="E1940" s="197"/>
      <c r="F1940" s="144"/>
      <c r="G1940" s="144"/>
      <c r="H1940" s="145"/>
      <c r="I1940" s="146"/>
      <c r="J1940" s="147"/>
    </row>
    <row r="1941" ht="22.5" customHeight="1">
      <c r="A1941" s="250"/>
      <c r="B1941" s="154"/>
      <c r="C1941" s="154"/>
      <c r="D1941" s="154"/>
      <c r="E1941" s="196"/>
      <c r="F1941" s="152"/>
      <c r="G1941" s="152"/>
      <c r="H1941" s="153"/>
      <c r="I1941" s="154"/>
      <c r="J1941" s="155"/>
    </row>
    <row r="1942" ht="22.5" customHeight="1">
      <c r="A1942" s="202"/>
      <c r="B1942" s="146"/>
      <c r="C1942" s="146"/>
      <c r="D1942" s="146"/>
      <c r="E1942" s="197"/>
      <c r="F1942" s="144"/>
      <c r="G1942" s="144"/>
      <c r="H1942" s="145"/>
      <c r="I1942" s="146"/>
      <c r="J1942" s="147"/>
    </row>
    <row r="1943" ht="22.5" customHeight="1">
      <c r="A1943" s="250"/>
      <c r="B1943" s="154"/>
      <c r="C1943" s="154"/>
      <c r="D1943" s="154"/>
      <c r="E1943" s="196"/>
      <c r="F1943" s="152"/>
      <c r="G1943" s="152"/>
      <c r="H1943" s="153"/>
      <c r="I1943" s="154"/>
      <c r="J1943" s="155"/>
    </row>
    <row r="1944" ht="22.5" customHeight="1">
      <c r="A1944" s="202"/>
      <c r="B1944" s="146"/>
      <c r="C1944" s="146"/>
      <c r="D1944" s="146"/>
      <c r="E1944" s="197"/>
      <c r="F1944" s="144"/>
      <c r="G1944" s="144"/>
      <c r="H1944" s="145"/>
      <c r="I1944" s="146"/>
      <c r="J1944" s="147"/>
    </row>
    <row r="1945" ht="22.5" customHeight="1">
      <c r="A1945" s="250"/>
      <c r="B1945" s="154"/>
      <c r="C1945" s="154"/>
      <c r="D1945" s="154"/>
      <c r="E1945" s="196"/>
      <c r="F1945" s="152"/>
      <c r="G1945" s="152"/>
      <c r="H1945" s="153"/>
      <c r="I1945" s="154"/>
      <c r="J1945" s="155"/>
    </row>
    <row r="1946" ht="22.5" customHeight="1">
      <c r="A1946" s="202"/>
      <c r="B1946" s="146"/>
      <c r="C1946" s="146"/>
      <c r="D1946" s="146"/>
      <c r="E1946" s="197"/>
      <c r="F1946" s="144"/>
      <c r="G1946" s="144"/>
      <c r="H1946" s="145"/>
      <c r="I1946" s="146"/>
      <c r="J1946" s="147"/>
    </row>
    <row r="1947" ht="22.5" customHeight="1">
      <c r="A1947" s="250"/>
      <c r="B1947" s="154"/>
      <c r="C1947" s="154"/>
      <c r="D1947" s="154"/>
      <c r="E1947" s="196"/>
      <c r="F1947" s="152"/>
      <c r="G1947" s="152"/>
      <c r="H1947" s="153"/>
      <c r="I1947" s="154"/>
      <c r="J1947" s="155"/>
    </row>
    <row r="1948" ht="22.5" customHeight="1">
      <c r="A1948" s="202"/>
      <c r="B1948" s="146"/>
      <c r="C1948" s="146"/>
      <c r="D1948" s="146"/>
      <c r="E1948" s="197"/>
      <c r="F1948" s="144"/>
      <c r="G1948" s="144"/>
      <c r="H1948" s="145"/>
      <c r="I1948" s="146"/>
      <c r="J1948" s="147"/>
    </row>
    <row r="1949" ht="22.5" customHeight="1">
      <c r="A1949" s="250"/>
      <c r="B1949" s="154"/>
      <c r="C1949" s="154"/>
      <c r="D1949" s="154"/>
      <c r="E1949" s="196"/>
      <c r="F1949" s="152"/>
      <c r="G1949" s="152"/>
      <c r="H1949" s="153"/>
      <c r="I1949" s="154"/>
      <c r="J1949" s="155"/>
    </row>
    <row r="1950" ht="22.5" customHeight="1">
      <c r="A1950" s="202"/>
      <c r="B1950" s="146"/>
      <c r="C1950" s="146"/>
      <c r="D1950" s="146"/>
      <c r="E1950" s="197"/>
      <c r="F1950" s="144"/>
      <c r="G1950" s="144"/>
      <c r="H1950" s="145"/>
      <c r="I1950" s="146"/>
      <c r="J1950" s="147"/>
    </row>
    <row r="1951" ht="22.5" customHeight="1">
      <c r="A1951" s="250"/>
      <c r="B1951" s="154"/>
      <c r="C1951" s="154"/>
      <c r="D1951" s="154"/>
      <c r="E1951" s="196"/>
      <c r="F1951" s="152"/>
      <c r="G1951" s="152"/>
      <c r="H1951" s="153"/>
      <c r="I1951" s="154"/>
      <c r="J1951" s="155"/>
    </row>
    <row r="1952" ht="22.5" customHeight="1">
      <c r="A1952" s="202"/>
      <c r="B1952" s="146"/>
      <c r="C1952" s="146"/>
      <c r="D1952" s="146"/>
      <c r="E1952" s="197"/>
      <c r="F1952" s="144"/>
      <c r="G1952" s="144"/>
      <c r="H1952" s="145"/>
      <c r="I1952" s="146"/>
      <c r="J1952" s="147"/>
    </row>
    <row r="1953" ht="22.5" customHeight="1">
      <c r="A1953" s="250"/>
      <c r="B1953" s="154"/>
      <c r="C1953" s="154"/>
      <c r="D1953" s="154"/>
      <c r="E1953" s="196"/>
      <c r="F1953" s="152"/>
      <c r="G1953" s="152"/>
      <c r="H1953" s="153"/>
      <c r="I1953" s="154"/>
      <c r="J1953" s="155"/>
    </row>
    <row r="1954" ht="22.5" customHeight="1">
      <c r="A1954" s="202"/>
      <c r="B1954" s="146"/>
      <c r="C1954" s="146"/>
      <c r="D1954" s="146"/>
      <c r="E1954" s="197"/>
      <c r="F1954" s="144"/>
      <c r="G1954" s="144"/>
      <c r="H1954" s="145"/>
      <c r="I1954" s="146"/>
      <c r="J1954" s="147"/>
    </row>
    <row r="1955" ht="22.5" customHeight="1">
      <c r="A1955" s="250"/>
      <c r="B1955" s="154"/>
      <c r="C1955" s="154"/>
      <c r="D1955" s="154"/>
      <c r="E1955" s="196"/>
      <c r="F1955" s="152"/>
      <c r="G1955" s="152"/>
      <c r="H1955" s="153"/>
      <c r="I1955" s="154"/>
      <c r="J1955" s="155"/>
    </row>
    <row r="1956" ht="22.5" customHeight="1">
      <c r="A1956" s="202"/>
      <c r="B1956" s="146"/>
      <c r="C1956" s="146"/>
      <c r="D1956" s="146"/>
      <c r="E1956" s="197"/>
      <c r="F1956" s="144"/>
      <c r="G1956" s="144"/>
      <c r="H1956" s="145"/>
      <c r="I1956" s="146"/>
      <c r="J1956" s="147"/>
    </row>
    <row r="1957" ht="22.5" customHeight="1">
      <c r="A1957" s="250"/>
      <c r="B1957" s="154"/>
      <c r="C1957" s="154"/>
      <c r="D1957" s="154"/>
      <c r="E1957" s="196"/>
      <c r="F1957" s="152"/>
      <c r="G1957" s="152"/>
      <c r="H1957" s="153"/>
      <c r="I1957" s="154"/>
      <c r="J1957" s="155"/>
    </row>
    <row r="1958" ht="22.5" customHeight="1">
      <c r="A1958" s="202"/>
      <c r="B1958" s="146"/>
      <c r="C1958" s="146"/>
      <c r="D1958" s="146"/>
      <c r="E1958" s="197"/>
      <c r="F1958" s="144"/>
      <c r="G1958" s="144"/>
      <c r="H1958" s="145"/>
      <c r="I1958" s="146"/>
      <c r="J1958" s="147"/>
    </row>
    <row r="1959" ht="22.5" customHeight="1">
      <c r="A1959" s="250"/>
      <c r="B1959" s="154"/>
      <c r="C1959" s="154"/>
      <c r="D1959" s="154"/>
      <c r="E1959" s="196"/>
      <c r="F1959" s="152"/>
      <c r="G1959" s="152"/>
      <c r="H1959" s="153"/>
      <c r="I1959" s="154"/>
      <c r="J1959" s="155"/>
    </row>
    <row r="1960" ht="22.5" customHeight="1">
      <c r="A1960" s="202"/>
      <c r="B1960" s="146"/>
      <c r="C1960" s="146"/>
      <c r="D1960" s="146"/>
      <c r="E1960" s="197"/>
      <c r="F1960" s="144"/>
      <c r="G1960" s="144"/>
      <c r="H1960" s="145"/>
      <c r="I1960" s="146"/>
      <c r="J1960" s="147"/>
    </row>
    <row r="1961" ht="22.5" customHeight="1">
      <c r="A1961" s="250"/>
      <c r="B1961" s="154"/>
      <c r="C1961" s="154"/>
      <c r="D1961" s="154"/>
      <c r="E1961" s="196"/>
      <c r="F1961" s="152"/>
      <c r="G1961" s="152"/>
      <c r="H1961" s="153"/>
      <c r="I1961" s="154"/>
      <c r="J1961" s="155"/>
    </row>
    <row r="1962" ht="22.5" customHeight="1">
      <c r="A1962" s="202"/>
      <c r="B1962" s="146"/>
      <c r="C1962" s="146"/>
      <c r="D1962" s="146"/>
      <c r="E1962" s="197"/>
      <c r="F1962" s="144"/>
      <c r="G1962" s="144"/>
      <c r="H1962" s="145"/>
      <c r="I1962" s="146"/>
      <c r="J1962" s="147"/>
    </row>
    <row r="1963" ht="22.5" customHeight="1">
      <c r="A1963" s="250"/>
      <c r="B1963" s="154"/>
      <c r="C1963" s="154"/>
      <c r="D1963" s="154"/>
      <c r="E1963" s="196"/>
      <c r="F1963" s="152"/>
      <c r="G1963" s="152"/>
      <c r="H1963" s="153"/>
      <c r="I1963" s="154"/>
      <c r="J1963" s="155"/>
    </row>
    <row r="1964" ht="22.5" customHeight="1">
      <c r="A1964" s="202"/>
      <c r="B1964" s="146"/>
      <c r="C1964" s="146"/>
      <c r="D1964" s="146"/>
      <c r="E1964" s="197"/>
      <c r="F1964" s="144"/>
      <c r="G1964" s="144"/>
      <c r="H1964" s="145"/>
      <c r="I1964" s="146"/>
      <c r="J1964" s="147"/>
    </row>
    <row r="1965" ht="22.5" customHeight="1">
      <c r="A1965" s="250"/>
      <c r="B1965" s="154"/>
      <c r="C1965" s="154"/>
      <c r="D1965" s="154"/>
      <c r="E1965" s="196"/>
      <c r="F1965" s="152"/>
      <c r="G1965" s="152"/>
      <c r="H1965" s="153"/>
      <c r="I1965" s="154"/>
      <c r="J1965" s="155"/>
    </row>
    <row r="1966" ht="22.5" customHeight="1">
      <c r="A1966" s="202"/>
      <c r="B1966" s="146"/>
      <c r="C1966" s="146"/>
      <c r="D1966" s="146"/>
      <c r="E1966" s="197"/>
      <c r="F1966" s="144"/>
      <c r="G1966" s="144"/>
      <c r="H1966" s="145"/>
      <c r="I1966" s="146"/>
      <c r="J1966" s="147"/>
    </row>
    <row r="1967" ht="22.5" customHeight="1">
      <c r="A1967" s="250"/>
      <c r="B1967" s="154"/>
      <c r="C1967" s="154"/>
      <c r="D1967" s="154"/>
      <c r="E1967" s="196"/>
      <c r="F1967" s="152"/>
      <c r="G1967" s="152"/>
      <c r="H1967" s="153"/>
      <c r="I1967" s="154"/>
      <c r="J1967" s="155"/>
    </row>
    <row r="1968" ht="22.5" customHeight="1">
      <c r="A1968" s="202"/>
      <c r="B1968" s="146"/>
      <c r="C1968" s="146"/>
      <c r="D1968" s="146"/>
      <c r="E1968" s="197"/>
      <c r="F1968" s="144"/>
      <c r="G1968" s="144"/>
      <c r="H1968" s="145"/>
      <c r="I1968" s="146"/>
      <c r="J1968" s="147"/>
    </row>
    <row r="1969" ht="22.5" customHeight="1">
      <c r="A1969" s="250"/>
      <c r="B1969" s="154"/>
      <c r="C1969" s="154"/>
      <c r="D1969" s="154"/>
      <c r="E1969" s="196"/>
      <c r="F1969" s="152"/>
      <c r="G1969" s="152"/>
      <c r="H1969" s="153"/>
      <c r="I1969" s="154"/>
      <c r="J1969" s="155"/>
    </row>
    <row r="1970" ht="22.5" customHeight="1">
      <c r="A1970" s="202"/>
      <c r="B1970" s="146"/>
      <c r="C1970" s="146"/>
      <c r="D1970" s="146"/>
      <c r="E1970" s="197"/>
      <c r="F1970" s="144"/>
      <c r="G1970" s="144"/>
      <c r="H1970" s="145"/>
      <c r="I1970" s="146"/>
      <c r="J1970" s="147"/>
    </row>
    <row r="1971" ht="22.5" customHeight="1">
      <c r="A1971" s="250"/>
      <c r="B1971" s="154"/>
      <c r="C1971" s="154"/>
      <c r="D1971" s="154"/>
      <c r="E1971" s="196"/>
      <c r="F1971" s="152"/>
      <c r="G1971" s="152"/>
      <c r="H1971" s="153"/>
      <c r="I1971" s="154"/>
      <c r="J1971" s="155"/>
    </row>
    <row r="1972" ht="22.5" customHeight="1">
      <c r="A1972" s="202"/>
      <c r="B1972" s="146"/>
      <c r="C1972" s="146"/>
      <c r="D1972" s="146"/>
      <c r="E1972" s="197"/>
      <c r="F1972" s="144"/>
      <c r="G1972" s="144"/>
      <c r="H1972" s="145"/>
      <c r="I1972" s="146"/>
      <c r="J1972" s="147"/>
    </row>
    <row r="1973" ht="22.5" customHeight="1">
      <c r="A1973" s="250"/>
      <c r="B1973" s="154"/>
      <c r="C1973" s="154"/>
      <c r="D1973" s="154"/>
      <c r="E1973" s="196"/>
      <c r="F1973" s="152"/>
      <c r="G1973" s="152"/>
      <c r="H1973" s="153"/>
      <c r="I1973" s="154"/>
      <c r="J1973" s="155"/>
    </row>
    <row r="1974" ht="22.5" customHeight="1">
      <c r="A1974" s="202"/>
      <c r="B1974" s="146"/>
      <c r="C1974" s="146"/>
      <c r="D1974" s="146"/>
      <c r="E1974" s="197"/>
      <c r="F1974" s="144"/>
      <c r="G1974" s="144"/>
      <c r="H1974" s="145"/>
      <c r="I1974" s="146"/>
      <c r="J1974" s="147"/>
    </row>
    <row r="1975" ht="22.5" customHeight="1">
      <c r="A1975" s="250"/>
      <c r="B1975" s="154"/>
      <c r="C1975" s="154"/>
      <c r="D1975" s="154"/>
      <c r="E1975" s="196"/>
      <c r="F1975" s="152"/>
      <c r="G1975" s="152"/>
      <c r="H1975" s="153"/>
      <c r="I1975" s="154"/>
      <c r="J1975" s="155"/>
    </row>
    <row r="1976" ht="22.5" customHeight="1">
      <c r="A1976" s="202"/>
      <c r="B1976" s="146"/>
      <c r="C1976" s="146"/>
      <c r="D1976" s="146"/>
      <c r="E1976" s="197"/>
      <c r="F1976" s="144"/>
      <c r="G1976" s="144"/>
      <c r="H1976" s="145"/>
      <c r="I1976" s="146"/>
      <c r="J1976" s="147"/>
    </row>
    <row r="1977" ht="22.5" customHeight="1">
      <c r="A1977" s="250"/>
      <c r="B1977" s="154"/>
      <c r="C1977" s="154"/>
      <c r="D1977" s="154"/>
      <c r="E1977" s="196"/>
      <c r="F1977" s="152"/>
      <c r="G1977" s="152"/>
      <c r="H1977" s="153"/>
      <c r="I1977" s="154"/>
      <c r="J1977" s="155"/>
    </row>
    <row r="1978" ht="22.5" customHeight="1">
      <c r="A1978" s="202"/>
      <c r="B1978" s="146"/>
      <c r="C1978" s="146"/>
      <c r="D1978" s="146"/>
      <c r="E1978" s="197"/>
      <c r="F1978" s="144"/>
      <c r="G1978" s="144"/>
      <c r="H1978" s="145"/>
      <c r="I1978" s="146"/>
      <c r="J1978" s="147"/>
    </row>
    <row r="1979" ht="22.5" customHeight="1">
      <c r="A1979" s="250"/>
      <c r="B1979" s="154"/>
      <c r="C1979" s="154"/>
      <c r="D1979" s="154"/>
      <c r="E1979" s="196"/>
      <c r="F1979" s="152"/>
      <c r="G1979" s="152"/>
      <c r="H1979" s="153"/>
      <c r="I1979" s="154"/>
      <c r="J1979" s="155"/>
    </row>
    <row r="1980" ht="22.5" customHeight="1">
      <c r="A1980" s="202"/>
      <c r="B1980" s="146"/>
      <c r="C1980" s="146"/>
      <c r="D1980" s="146"/>
      <c r="E1980" s="197"/>
      <c r="F1980" s="144"/>
      <c r="G1980" s="144"/>
      <c r="H1980" s="145"/>
      <c r="I1980" s="146"/>
      <c r="J1980" s="147"/>
    </row>
    <row r="1981" ht="22.5" customHeight="1">
      <c r="A1981" s="250"/>
      <c r="B1981" s="154"/>
      <c r="C1981" s="154"/>
      <c r="D1981" s="154"/>
      <c r="E1981" s="196"/>
      <c r="F1981" s="152"/>
      <c r="G1981" s="152"/>
      <c r="H1981" s="153"/>
      <c r="I1981" s="154"/>
      <c r="J1981" s="155"/>
    </row>
    <row r="1982" ht="22.5" customHeight="1">
      <c r="A1982" s="202"/>
      <c r="B1982" s="146"/>
      <c r="C1982" s="146"/>
      <c r="D1982" s="146"/>
      <c r="E1982" s="197"/>
      <c r="F1982" s="144"/>
      <c r="G1982" s="144"/>
      <c r="H1982" s="145"/>
      <c r="I1982" s="146"/>
      <c r="J1982" s="147"/>
    </row>
    <row r="1983" ht="22.5" customHeight="1">
      <c r="A1983" s="250"/>
      <c r="B1983" s="154"/>
      <c r="C1983" s="154"/>
      <c r="D1983" s="154"/>
      <c r="E1983" s="196"/>
      <c r="F1983" s="152"/>
      <c r="G1983" s="152"/>
      <c r="H1983" s="153"/>
      <c r="I1983" s="154"/>
      <c r="J1983" s="155"/>
    </row>
    <row r="1984" ht="22.5" customHeight="1">
      <c r="A1984" s="202"/>
      <c r="B1984" s="146"/>
      <c r="C1984" s="146"/>
      <c r="D1984" s="146"/>
      <c r="E1984" s="197"/>
      <c r="F1984" s="144"/>
      <c r="G1984" s="144"/>
      <c r="H1984" s="145"/>
      <c r="I1984" s="146"/>
      <c r="J1984" s="147"/>
    </row>
    <row r="1985" ht="22.5" customHeight="1">
      <c r="A1985" s="250"/>
      <c r="B1985" s="154"/>
      <c r="C1985" s="154"/>
      <c r="D1985" s="154"/>
      <c r="E1985" s="196"/>
      <c r="F1985" s="152"/>
      <c r="G1985" s="152"/>
      <c r="H1985" s="153"/>
      <c r="I1985" s="154"/>
      <c r="J1985" s="155"/>
    </row>
    <row r="1986" ht="22.5" customHeight="1">
      <c r="A1986" s="202"/>
      <c r="B1986" s="146"/>
      <c r="C1986" s="146"/>
      <c r="D1986" s="146"/>
      <c r="E1986" s="197"/>
      <c r="F1986" s="144"/>
      <c r="G1986" s="144"/>
      <c r="H1986" s="145"/>
      <c r="I1986" s="146"/>
      <c r="J1986" s="147"/>
    </row>
    <row r="1987" ht="22.5" customHeight="1">
      <c r="A1987" s="250"/>
      <c r="B1987" s="154"/>
      <c r="C1987" s="154"/>
      <c r="D1987" s="154"/>
      <c r="E1987" s="196"/>
      <c r="F1987" s="152"/>
      <c r="G1987" s="152"/>
      <c r="H1987" s="153"/>
      <c r="I1987" s="154"/>
      <c r="J1987" s="155"/>
    </row>
    <row r="1988" ht="22.5" customHeight="1">
      <c r="A1988" s="202"/>
      <c r="B1988" s="146"/>
      <c r="C1988" s="146"/>
      <c r="D1988" s="146"/>
      <c r="E1988" s="197"/>
      <c r="F1988" s="144"/>
      <c r="G1988" s="144"/>
      <c r="H1988" s="145"/>
      <c r="I1988" s="146"/>
      <c r="J1988" s="147"/>
    </row>
    <row r="1989" ht="22.5" customHeight="1">
      <c r="A1989" s="250"/>
      <c r="B1989" s="154"/>
      <c r="C1989" s="154"/>
      <c r="D1989" s="154"/>
      <c r="E1989" s="196"/>
      <c r="F1989" s="152"/>
      <c r="G1989" s="152"/>
      <c r="H1989" s="153"/>
      <c r="I1989" s="154"/>
      <c r="J1989" s="155"/>
    </row>
    <row r="1990" ht="22.5" customHeight="1">
      <c r="A1990" s="202"/>
      <c r="B1990" s="146"/>
      <c r="C1990" s="146"/>
      <c r="D1990" s="146"/>
      <c r="E1990" s="197"/>
      <c r="F1990" s="144"/>
      <c r="G1990" s="144"/>
      <c r="H1990" s="145"/>
      <c r="I1990" s="146"/>
      <c r="J1990" s="147"/>
    </row>
    <row r="1991" ht="22.5" customHeight="1">
      <c r="A1991" s="250"/>
      <c r="B1991" s="154"/>
      <c r="C1991" s="154"/>
      <c r="D1991" s="154"/>
      <c r="E1991" s="196"/>
      <c r="F1991" s="152"/>
      <c r="G1991" s="152"/>
      <c r="H1991" s="153"/>
      <c r="I1991" s="154"/>
      <c r="J1991" s="155"/>
    </row>
    <row r="1992" ht="22.5" customHeight="1">
      <c r="A1992" s="202"/>
      <c r="B1992" s="146"/>
      <c r="C1992" s="146"/>
      <c r="D1992" s="146"/>
      <c r="E1992" s="197"/>
      <c r="F1992" s="144"/>
      <c r="G1992" s="144"/>
      <c r="H1992" s="145"/>
      <c r="I1992" s="146"/>
      <c r="J1992" s="147"/>
    </row>
    <row r="1993" ht="22.5" customHeight="1">
      <c r="A1993" s="250"/>
      <c r="B1993" s="154"/>
      <c r="C1993" s="154"/>
      <c r="D1993" s="154"/>
      <c r="E1993" s="196"/>
      <c r="F1993" s="152"/>
      <c r="G1993" s="152"/>
      <c r="H1993" s="153"/>
      <c r="I1993" s="154"/>
      <c r="J1993" s="155"/>
    </row>
    <row r="1994" ht="22.5" customHeight="1">
      <c r="A1994" s="202"/>
      <c r="B1994" s="146"/>
      <c r="C1994" s="146"/>
      <c r="D1994" s="146"/>
      <c r="E1994" s="197"/>
      <c r="F1994" s="144"/>
      <c r="G1994" s="144"/>
      <c r="H1994" s="145"/>
      <c r="I1994" s="146"/>
      <c r="J1994" s="147"/>
    </row>
    <row r="1995" ht="22.5" customHeight="1">
      <c r="A1995" s="250"/>
      <c r="B1995" s="154"/>
      <c r="C1995" s="154"/>
      <c r="D1995" s="154"/>
      <c r="E1995" s="196"/>
      <c r="F1995" s="152"/>
      <c r="G1995" s="152"/>
      <c r="H1995" s="153"/>
      <c r="I1995" s="154"/>
      <c r="J1995" s="155"/>
    </row>
    <row r="1996" ht="22.5" customHeight="1">
      <c r="A1996" s="202"/>
      <c r="B1996" s="146"/>
      <c r="C1996" s="146"/>
      <c r="D1996" s="146"/>
      <c r="E1996" s="197"/>
      <c r="F1996" s="144"/>
      <c r="G1996" s="144"/>
      <c r="H1996" s="145"/>
      <c r="I1996" s="146"/>
      <c r="J1996" s="147"/>
    </row>
    <row r="1997" ht="22.5" customHeight="1">
      <c r="A1997" s="250"/>
      <c r="B1997" s="154"/>
      <c r="C1997" s="154"/>
      <c r="D1997" s="154"/>
      <c r="E1997" s="196"/>
      <c r="F1997" s="152"/>
      <c r="G1997" s="152"/>
      <c r="H1997" s="153"/>
      <c r="I1997" s="154"/>
      <c r="J1997" s="155"/>
    </row>
    <row r="1998" ht="22.5" customHeight="1">
      <c r="A1998" s="202"/>
      <c r="B1998" s="146"/>
      <c r="C1998" s="146"/>
      <c r="D1998" s="146"/>
      <c r="E1998" s="197"/>
      <c r="F1998" s="144"/>
      <c r="G1998" s="144"/>
      <c r="H1998" s="145"/>
      <c r="I1998" s="146"/>
      <c r="J1998" s="147"/>
    </row>
    <row r="1999" ht="22.5" customHeight="1">
      <c r="A1999" s="250"/>
      <c r="B1999" s="154"/>
      <c r="C1999" s="154"/>
      <c r="D1999" s="154"/>
      <c r="E1999" s="196"/>
      <c r="F1999" s="152"/>
      <c r="G1999" s="152"/>
      <c r="H1999" s="153"/>
      <c r="I1999" s="154"/>
      <c r="J1999" s="155"/>
    </row>
    <row r="2000" ht="22.5" customHeight="1">
      <c r="A2000" s="202"/>
      <c r="B2000" s="146"/>
      <c r="C2000" s="146"/>
      <c r="D2000" s="146"/>
      <c r="E2000" s="197"/>
      <c r="F2000" s="144"/>
      <c r="G2000" s="144"/>
      <c r="H2000" s="145"/>
      <c r="I2000" s="146"/>
      <c r="J2000" s="147"/>
    </row>
    <row r="2001" ht="22.5" customHeight="1">
      <c r="A2001" s="250"/>
      <c r="B2001" s="154"/>
      <c r="C2001" s="154"/>
      <c r="D2001" s="154"/>
      <c r="E2001" s="196"/>
      <c r="F2001" s="152"/>
      <c r="G2001" s="152"/>
      <c r="H2001" s="153"/>
      <c r="I2001" s="154"/>
      <c r="J2001" s="155"/>
    </row>
    <row r="2002" ht="22.5" customHeight="1">
      <c r="A2002" s="202"/>
      <c r="B2002" s="146"/>
      <c r="C2002" s="146"/>
      <c r="D2002" s="146"/>
      <c r="E2002" s="197"/>
      <c r="F2002" s="144"/>
      <c r="G2002" s="144"/>
      <c r="H2002" s="145"/>
      <c r="I2002" s="146"/>
      <c r="J2002" s="147"/>
    </row>
    <row r="2003" ht="22.5" customHeight="1">
      <c r="A2003" s="250"/>
      <c r="B2003" s="154"/>
      <c r="C2003" s="154"/>
      <c r="D2003" s="154"/>
      <c r="E2003" s="196"/>
      <c r="F2003" s="152"/>
      <c r="G2003" s="152"/>
      <c r="H2003" s="153"/>
      <c r="I2003" s="154"/>
      <c r="J2003" s="155"/>
    </row>
    <row r="2004" ht="22.5" customHeight="1">
      <c r="A2004" s="202"/>
      <c r="B2004" s="146"/>
      <c r="C2004" s="146"/>
      <c r="D2004" s="146"/>
      <c r="E2004" s="197"/>
      <c r="F2004" s="144"/>
      <c r="G2004" s="144"/>
      <c r="H2004" s="145"/>
      <c r="I2004" s="146"/>
      <c r="J2004" s="147"/>
    </row>
    <row r="2005" ht="22.5" customHeight="1">
      <c r="A2005" s="250"/>
      <c r="B2005" s="154"/>
      <c r="C2005" s="154"/>
      <c r="D2005" s="154"/>
      <c r="E2005" s="196"/>
      <c r="F2005" s="152"/>
      <c r="G2005" s="152"/>
      <c r="H2005" s="153"/>
      <c r="I2005" s="154"/>
      <c r="J2005" s="155"/>
    </row>
    <row r="2006" ht="22.5" customHeight="1">
      <c r="A2006" s="202"/>
      <c r="B2006" s="146"/>
      <c r="C2006" s="146"/>
      <c r="D2006" s="146"/>
      <c r="E2006" s="197"/>
      <c r="F2006" s="144"/>
      <c r="G2006" s="144"/>
      <c r="H2006" s="145"/>
      <c r="I2006" s="146"/>
      <c r="J2006" s="147"/>
    </row>
    <row r="2007" ht="22.5" customHeight="1">
      <c r="A2007" s="250"/>
      <c r="B2007" s="154"/>
      <c r="C2007" s="154"/>
      <c r="D2007" s="154"/>
      <c r="E2007" s="196"/>
      <c r="F2007" s="152"/>
      <c r="G2007" s="152"/>
      <c r="H2007" s="153"/>
      <c r="I2007" s="154"/>
      <c r="J2007" s="155"/>
    </row>
    <row r="2008" ht="22.5" customHeight="1">
      <c r="A2008" s="202"/>
      <c r="B2008" s="146"/>
      <c r="C2008" s="146"/>
      <c r="D2008" s="146"/>
      <c r="E2008" s="197"/>
      <c r="F2008" s="144"/>
      <c r="G2008" s="144"/>
      <c r="H2008" s="145"/>
      <c r="I2008" s="146"/>
      <c r="J2008" s="147"/>
    </row>
    <row r="2009" ht="22.5" customHeight="1">
      <c r="A2009" s="250"/>
      <c r="B2009" s="154"/>
      <c r="C2009" s="154"/>
      <c r="D2009" s="154"/>
      <c r="E2009" s="196"/>
      <c r="F2009" s="152"/>
      <c r="G2009" s="152"/>
      <c r="H2009" s="153"/>
      <c r="I2009" s="154"/>
      <c r="J2009" s="155"/>
    </row>
    <row r="2010" ht="22.5" customHeight="1">
      <c r="A2010" s="202"/>
      <c r="B2010" s="146"/>
      <c r="C2010" s="146"/>
      <c r="D2010" s="146"/>
      <c r="E2010" s="197"/>
      <c r="F2010" s="144"/>
      <c r="G2010" s="144"/>
      <c r="H2010" s="145"/>
      <c r="I2010" s="146"/>
      <c r="J2010" s="147"/>
    </row>
    <row r="2011" ht="22.5" customHeight="1">
      <c r="A2011" s="250"/>
      <c r="B2011" s="154"/>
      <c r="C2011" s="154"/>
      <c r="D2011" s="154"/>
      <c r="E2011" s="196"/>
      <c r="F2011" s="152"/>
      <c r="G2011" s="152"/>
      <c r="H2011" s="153"/>
      <c r="I2011" s="154"/>
      <c r="J2011" s="155"/>
    </row>
    <row r="2012" ht="22.5" customHeight="1">
      <c r="A2012" s="202"/>
      <c r="B2012" s="146"/>
      <c r="C2012" s="146"/>
      <c r="D2012" s="146"/>
      <c r="E2012" s="197"/>
      <c r="F2012" s="144"/>
      <c r="G2012" s="144"/>
      <c r="H2012" s="145"/>
      <c r="I2012" s="146"/>
      <c r="J2012" s="147"/>
    </row>
    <row r="2013" ht="22.5" customHeight="1">
      <c r="A2013" s="250"/>
      <c r="B2013" s="154"/>
      <c r="C2013" s="154"/>
      <c r="D2013" s="154"/>
      <c r="E2013" s="196"/>
      <c r="F2013" s="152"/>
      <c r="G2013" s="152"/>
      <c r="H2013" s="153"/>
      <c r="I2013" s="154"/>
      <c r="J2013" s="155"/>
    </row>
    <row r="2014" ht="22.5" customHeight="1">
      <c r="A2014" s="202"/>
      <c r="B2014" s="146"/>
      <c r="C2014" s="146"/>
      <c r="D2014" s="146"/>
      <c r="E2014" s="197"/>
      <c r="F2014" s="144"/>
      <c r="G2014" s="144"/>
      <c r="H2014" s="145"/>
      <c r="I2014" s="146"/>
      <c r="J2014" s="147"/>
    </row>
    <row r="2015" ht="22.5" customHeight="1">
      <c r="A2015" s="250"/>
      <c r="B2015" s="154"/>
      <c r="C2015" s="154"/>
      <c r="D2015" s="154"/>
      <c r="E2015" s="196"/>
      <c r="F2015" s="152"/>
      <c r="G2015" s="152"/>
      <c r="H2015" s="153"/>
      <c r="I2015" s="154"/>
      <c r="J2015" s="155"/>
    </row>
    <row r="2016" ht="22.5" customHeight="1">
      <c r="A2016" s="202"/>
      <c r="B2016" s="146"/>
      <c r="C2016" s="146"/>
      <c r="D2016" s="146"/>
      <c r="E2016" s="197"/>
      <c r="F2016" s="144"/>
      <c r="G2016" s="144"/>
      <c r="H2016" s="145"/>
      <c r="I2016" s="146"/>
      <c r="J2016" s="147"/>
    </row>
    <row r="2017" ht="22.5" customHeight="1">
      <c r="A2017" s="250"/>
      <c r="B2017" s="154"/>
      <c r="C2017" s="154"/>
      <c r="D2017" s="154"/>
      <c r="E2017" s="196"/>
      <c r="F2017" s="152"/>
      <c r="G2017" s="152"/>
      <c r="H2017" s="153"/>
      <c r="I2017" s="154"/>
      <c r="J2017" s="155"/>
    </row>
    <row r="2018" ht="22.5" customHeight="1">
      <c r="A2018" s="202"/>
      <c r="B2018" s="146"/>
      <c r="C2018" s="146"/>
      <c r="D2018" s="146"/>
      <c r="E2018" s="197"/>
      <c r="F2018" s="144"/>
      <c r="G2018" s="144"/>
      <c r="H2018" s="145"/>
      <c r="I2018" s="146"/>
      <c r="J2018" s="147"/>
    </row>
    <row r="2019" ht="22.5" customHeight="1">
      <c r="A2019" s="250"/>
      <c r="B2019" s="154"/>
      <c r="C2019" s="154"/>
      <c r="D2019" s="154"/>
      <c r="E2019" s="196"/>
      <c r="F2019" s="152"/>
      <c r="G2019" s="152"/>
      <c r="H2019" s="153"/>
      <c r="I2019" s="154"/>
      <c r="J2019" s="155"/>
    </row>
    <row r="2020" ht="22.5" customHeight="1">
      <c r="A2020" s="202"/>
      <c r="B2020" s="146"/>
      <c r="C2020" s="146"/>
      <c r="D2020" s="146"/>
      <c r="E2020" s="197"/>
      <c r="F2020" s="144"/>
      <c r="G2020" s="144"/>
      <c r="H2020" s="145"/>
      <c r="I2020" s="146"/>
      <c r="J2020" s="147"/>
    </row>
    <row r="2021" ht="22.5" customHeight="1">
      <c r="A2021" s="250"/>
      <c r="B2021" s="154"/>
      <c r="C2021" s="154"/>
      <c r="D2021" s="154"/>
      <c r="E2021" s="196"/>
      <c r="F2021" s="152"/>
      <c r="G2021" s="152"/>
      <c r="H2021" s="153"/>
      <c r="I2021" s="154"/>
      <c r="J2021" s="155"/>
    </row>
    <row r="2022" ht="22.5" customHeight="1">
      <c r="A2022" s="202"/>
      <c r="B2022" s="146"/>
      <c r="C2022" s="146"/>
      <c r="D2022" s="146"/>
      <c r="E2022" s="197"/>
      <c r="F2022" s="144"/>
      <c r="G2022" s="144"/>
      <c r="H2022" s="145"/>
      <c r="I2022" s="146"/>
      <c r="J2022" s="147"/>
    </row>
    <row r="2023" ht="22.5" customHeight="1">
      <c r="A2023" s="250"/>
      <c r="B2023" s="154"/>
      <c r="C2023" s="154"/>
      <c r="D2023" s="154"/>
      <c r="E2023" s="196"/>
      <c r="F2023" s="152"/>
      <c r="G2023" s="152"/>
      <c r="H2023" s="153"/>
      <c r="I2023" s="154"/>
      <c r="J2023" s="155"/>
    </row>
    <row r="2024" ht="22.5" customHeight="1">
      <c r="A2024" s="202"/>
      <c r="B2024" s="146"/>
      <c r="C2024" s="146"/>
      <c r="D2024" s="146"/>
      <c r="E2024" s="197"/>
      <c r="F2024" s="144"/>
      <c r="G2024" s="144"/>
      <c r="H2024" s="145"/>
      <c r="I2024" s="146"/>
      <c r="J2024" s="147"/>
    </row>
    <row r="2025" ht="22.5" customHeight="1">
      <c r="A2025" s="250"/>
      <c r="B2025" s="154"/>
      <c r="C2025" s="154"/>
      <c r="D2025" s="154"/>
      <c r="E2025" s="196"/>
      <c r="F2025" s="152"/>
      <c r="G2025" s="152"/>
      <c r="H2025" s="153"/>
      <c r="I2025" s="154"/>
      <c r="J2025" s="155"/>
    </row>
    <row r="2026" ht="22.5" customHeight="1">
      <c r="A2026" s="202"/>
      <c r="B2026" s="146"/>
      <c r="C2026" s="146"/>
      <c r="D2026" s="146"/>
      <c r="E2026" s="197"/>
      <c r="F2026" s="144"/>
      <c r="G2026" s="144"/>
      <c r="H2026" s="145"/>
      <c r="I2026" s="146"/>
      <c r="J2026" s="147"/>
    </row>
    <row r="2027" ht="22.5" customHeight="1">
      <c r="A2027" s="250"/>
      <c r="B2027" s="154"/>
      <c r="C2027" s="154"/>
      <c r="D2027" s="154"/>
      <c r="E2027" s="196"/>
      <c r="F2027" s="152"/>
      <c r="G2027" s="152"/>
      <c r="H2027" s="153"/>
      <c r="I2027" s="154"/>
      <c r="J2027" s="155"/>
    </row>
    <row r="2028" ht="22.5" customHeight="1">
      <c r="A2028" s="202"/>
      <c r="B2028" s="146"/>
      <c r="C2028" s="146"/>
      <c r="D2028" s="146"/>
      <c r="E2028" s="197"/>
      <c r="F2028" s="144"/>
      <c r="G2028" s="144"/>
      <c r="H2028" s="145"/>
      <c r="I2028" s="146"/>
      <c r="J2028" s="147"/>
    </row>
    <row r="2029" ht="22.5" customHeight="1">
      <c r="A2029" s="250"/>
      <c r="B2029" s="154"/>
      <c r="C2029" s="154"/>
      <c r="D2029" s="154"/>
      <c r="E2029" s="196"/>
      <c r="F2029" s="152"/>
      <c r="G2029" s="152"/>
      <c r="H2029" s="153"/>
      <c r="I2029" s="154"/>
      <c r="J2029" s="155"/>
    </row>
    <row r="2030" ht="22.5" customHeight="1">
      <c r="A2030" s="202"/>
      <c r="B2030" s="146"/>
      <c r="C2030" s="146"/>
      <c r="D2030" s="146"/>
      <c r="E2030" s="197"/>
      <c r="F2030" s="144"/>
      <c r="G2030" s="144"/>
      <c r="H2030" s="145"/>
      <c r="I2030" s="146"/>
      <c r="J2030" s="147"/>
    </row>
    <row r="2031" ht="22.5" customHeight="1">
      <c r="A2031" s="250"/>
      <c r="B2031" s="154"/>
      <c r="C2031" s="154"/>
      <c r="D2031" s="154"/>
      <c r="E2031" s="196"/>
      <c r="F2031" s="152"/>
      <c r="G2031" s="152"/>
      <c r="H2031" s="153"/>
      <c r="I2031" s="154"/>
      <c r="J2031" s="155"/>
    </row>
    <row r="2032" ht="22.5" customHeight="1">
      <c r="A2032" s="202"/>
      <c r="B2032" s="146"/>
      <c r="C2032" s="146"/>
      <c r="D2032" s="146"/>
      <c r="E2032" s="197"/>
      <c r="F2032" s="144"/>
      <c r="G2032" s="144"/>
      <c r="H2032" s="145"/>
      <c r="I2032" s="146"/>
      <c r="J2032" s="147"/>
    </row>
    <row r="2033" ht="22.5" customHeight="1">
      <c r="A2033" s="250"/>
      <c r="B2033" s="154"/>
      <c r="C2033" s="154"/>
      <c r="D2033" s="154"/>
      <c r="E2033" s="196"/>
      <c r="F2033" s="152"/>
      <c r="G2033" s="152"/>
      <c r="H2033" s="153"/>
      <c r="I2033" s="154"/>
      <c r="J2033" s="155"/>
    </row>
    <row r="2034" ht="22.5" customHeight="1">
      <c r="A2034" s="202"/>
      <c r="B2034" s="146"/>
      <c r="C2034" s="146"/>
      <c r="D2034" s="146"/>
      <c r="E2034" s="197"/>
      <c r="F2034" s="144"/>
      <c r="G2034" s="144"/>
      <c r="H2034" s="145"/>
      <c r="I2034" s="146"/>
      <c r="J2034" s="147"/>
    </row>
    <row r="2035" ht="22.5" customHeight="1">
      <c r="A2035" s="250"/>
      <c r="B2035" s="154"/>
      <c r="C2035" s="154"/>
      <c r="D2035" s="154"/>
      <c r="E2035" s="196"/>
      <c r="F2035" s="152"/>
      <c r="G2035" s="152"/>
      <c r="H2035" s="153"/>
      <c r="I2035" s="154"/>
      <c r="J2035" s="155"/>
    </row>
    <row r="2036" ht="22.5" customHeight="1">
      <c r="A2036" s="202"/>
      <c r="B2036" s="146"/>
      <c r="C2036" s="146"/>
      <c r="D2036" s="146"/>
      <c r="E2036" s="197"/>
      <c r="F2036" s="144"/>
      <c r="G2036" s="144"/>
      <c r="H2036" s="145"/>
      <c r="I2036" s="146"/>
      <c r="J2036" s="147"/>
    </row>
    <row r="2037" ht="22.5" customHeight="1">
      <c r="A2037" s="250"/>
      <c r="B2037" s="154"/>
      <c r="C2037" s="154"/>
      <c r="D2037" s="154"/>
      <c r="E2037" s="196"/>
      <c r="F2037" s="152"/>
      <c r="G2037" s="152"/>
      <c r="H2037" s="153"/>
      <c r="I2037" s="154"/>
      <c r="J2037" s="155"/>
    </row>
    <row r="2038" ht="22.5" customHeight="1">
      <c r="A2038" s="202"/>
      <c r="B2038" s="146"/>
      <c r="C2038" s="146"/>
      <c r="D2038" s="146"/>
      <c r="E2038" s="197"/>
      <c r="F2038" s="144"/>
      <c r="G2038" s="144"/>
      <c r="H2038" s="145"/>
      <c r="I2038" s="146"/>
      <c r="J2038" s="147"/>
    </row>
    <row r="2039" ht="22.5" customHeight="1">
      <c r="A2039" s="250"/>
      <c r="B2039" s="154"/>
      <c r="C2039" s="154"/>
      <c r="D2039" s="154"/>
      <c r="E2039" s="196"/>
      <c r="F2039" s="152"/>
      <c r="G2039" s="152"/>
      <c r="H2039" s="153"/>
      <c r="I2039" s="154"/>
      <c r="J2039" s="155"/>
    </row>
    <row r="2040" ht="22.5" customHeight="1">
      <c r="A2040" s="202"/>
      <c r="B2040" s="146"/>
      <c r="C2040" s="146"/>
      <c r="D2040" s="146"/>
      <c r="E2040" s="197"/>
      <c r="F2040" s="144"/>
      <c r="G2040" s="144"/>
      <c r="H2040" s="145"/>
      <c r="I2040" s="146"/>
      <c r="J2040" s="147"/>
    </row>
    <row r="2041" ht="22.5" customHeight="1">
      <c r="A2041" s="250"/>
      <c r="B2041" s="154"/>
      <c r="C2041" s="154"/>
      <c r="D2041" s="154"/>
      <c r="E2041" s="196"/>
      <c r="F2041" s="152"/>
      <c r="G2041" s="152"/>
      <c r="H2041" s="153"/>
      <c r="I2041" s="154"/>
      <c r="J2041" s="155"/>
    </row>
    <row r="2042" ht="22.5" customHeight="1">
      <c r="A2042" s="202"/>
      <c r="B2042" s="146"/>
      <c r="C2042" s="146"/>
      <c r="D2042" s="146"/>
      <c r="E2042" s="197"/>
      <c r="F2042" s="144"/>
      <c r="G2042" s="144"/>
      <c r="H2042" s="145"/>
      <c r="I2042" s="146"/>
      <c r="J2042" s="147"/>
    </row>
    <row r="2043" ht="22.5" customHeight="1">
      <c r="A2043" s="250"/>
      <c r="B2043" s="154"/>
      <c r="C2043" s="154"/>
      <c r="D2043" s="154"/>
      <c r="E2043" s="196"/>
      <c r="F2043" s="152"/>
      <c r="G2043" s="152"/>
      <c r="H2043" s="153"/>
      <c r="I2043" s="154"/>
      <c r="J2043" s="155"/>
    </row>
    <row r="2044" ht="22.5" customHeight="1">
      <c r="A2044" s="202"/>
      <c r="B2044" s="146"/>
      <c r="C2044" s="146"/>
      <c r="D2044" s="146"/>
      <c r="E2044" s="197"/>
      <c r="F2044" s="144"/>
      <c r="G2044" s="144"/>
      <c r="H2044" s="145"/>
      <c r="I2044" s="146"/>
      <c r="J2044" s="147"/>
    </row>
    <row r="2045" ht="22.5" customHeight="1">
      <c r="A2045" s="250"/>
      <c r="B2045" s="154"/>
      <c r="C2045" s="154"/>
      <c r="D2045" s="154"/>
      <c r="E2045" s="196"/>
      <c r="F2045" s="152"/>
      <c r="G2045" s="152"/>
      <c r="H2045" s="153"/>
      <c r="I2045" s="154"/>
      <c r="J2045" s="155"/>
    </row>
    <row r="2046" ht="22.5" customHeight="1">
      <c r="A2046" s="202"/>
      <c r="B2046" s="146"/>
      <c r="C2046" s="146"/>
      <c r="D2046" s="146"/>
      <c r="E2046" s="197"/>
      <c r="F2046" s="144"/>
      <c r="G2046" s="144"/>
      <c r="H2046" s="145"/>
      <c r="I2046" s="146"/>
      <c r="J2046" s="147"/>
    </row>
    <row r="2047" ht="22.5" customHeight="1">
      <c r="A2047" s="250"/>
      <c r="B2047" s="154"/>
      <c r="C2047" s="154"/>
      <c r="D2047" s="154"/>
      <c r="E2047" s="196"/>
      <c r="F2047" s="152"/>
      <c r="G2047" s="152"/>
      <c r="H2047" s="153"/>
      <c r="I2047" s="154"/>
      <c r="J2047" s="155"/>
    </row>
    <row r="2048" ht="22.5" customHeight="1">
      <c r="A2048" s="202"/>
      <c r="B2048" s="146"/>
      <c r="C2048" s="146"/>
      <c r="D2048" s="146"/>
      <c r="E2048" s="197"/>
      <c r="F2048" s="144"/>
      <c r="G2048" s="144"/>
      <c r="H2048" s="145"/>
      <c r="I2048" s="146"/>
      <c r="J2048" s="147"/>
    </row>
    <row r="2049" ht="22.5" customHeight="1">
      <c r="A2049" s="250"/>
      <c r="B2049" s="154"/>
      <c r="C2049" s="154"/>
      <c r="D2049" s="154"/>
      <c r="E2049" s="196"/>
      <c r="F2049" s="152"/>
      <c r="G2049" s="152"/>
      <c r="H2049" s="153"/>
      <c r="I2049" s="154"/>
      <c r="J2049" s="155"/>
    </row>
    <row r="2050" ht="22.5" customHeight="1">
      <c r="A2050" s="202"/>
      <c r="B2050" s="146"/>
      <c r="C2050" s="146"/>
      <c r="D2050" s="146"/>
      <c r="E2050" s="197"/>
      <c r="F2050" s="144"/>
      <c r="G2050" s="144"/>
      <c r="H2050" s="145"/>
      <c r="I2050" s="146"/>
      <c r="J2050" s="147"/>
    </row>
    <row r="2051" ht="22.5" customHeight="1">
      <c r="A2051" s="250"/>
      <c r="B2051" s="154"/>
      <c r="C2051" s="154"/>
      <c r="D2051" s="154"/>
      <c r="E2051" s="196"/>
      <c r="F2051" s="152"/>
      <c r="G2051" s="152"/>
      <c r="H2051" s="153"/>
      <c r="I2051" s="154"/>
      <c r="J2051" s="155"/>
    </row>
    <row r="2052" ht="22.5" customHeight="1">
      <c r="A2052" s="202"/>
      <c r="B2052" s="146"/>
      <c r="C2052" s="146"/>
      <c r="D2052" s="146"/>
      <c r="E2052" s="197"/>
      <c r="F2052" s="144"/>
      <c r="G2052" s="144"/>
      <c r="H2052" s="145"/>
      <c r="I2052" s="146"/>
      <c r="J2052" s="147"/>
    </row>
    <row r="2053" ht="22.5" customHeight="1">
      <c r="A2053" s="250"/>
      <c r="B2053" s="154"/>
      <c r="C2053" s="154"/>
      <c r="D2053" s="154"/>
      <c r="E2053" s="196"/>
      <c r="F2053" s="152"/>
      <c r="G2053" s="152"/>
      <c r="H2053" s="153"/>
      <c r="I2053" s="154"/>
      <c r="J2053" s="155"/>
    </row>
    <row r="2054" ht="22.5" customHeight="1">
      <c r="A2054" s="202"/>
      <c r="B2054" s="146"/>
      <c r="C2054" s="146"/>
      <c r="D2054" s="146"/>
      <c r="E2054" s="197"/>
      <c r="F2054" s="144"/>
      <c r="G2054" s="144"/>
      <c r="H2054" s="145"/>
      <c r="I2054" s="146"/>
      <c r="J2054" s="147"/>
    </row>
    <row r="2055" ht="22.5" customHeight="1">
      <c r="A2055" s="250"/>
      <c r="B2055" s="154"/>
      <c r="C2055" s="154"/>
      <c r="D2055" s="154"/>
      <c r="E2055" s="196"/>
      <c r="F2055" s="152"/>
      <c r="G2055" s="152"/>
      <c r="H2055" s="153"/>
      <c r="I2055" s="154"/>
      <c r="J2055" s="155"/>
    </row>
    <row r="2056" ht="22.5" customHeight="1">
      <c r="A2056" s="202"/>
      <c r="B2056" s="146"/>
      <c r="C2056" s="146"/>
      <c r="D2056" s="146"/>
      <c r="E2056" s="197"/>
      <c r="F2056" s="144"/>
      <c r="G2056" s="144"/>
      <c r="H2056" s="145"/>
      <c r="I2056" s="146"/>
      <c r="J2056" s="147"/>
    </row>
    <row r="2057" ht="22.5" customHeight="1">
      <c r="A2057" s="250"/>
      <c r="B2057" s="154"/>
      <c r="C2057" s="154"/>
      <c r="D2057" s="154"/>
      <c r="E2057" s="196"/>
      <c r="F2057" s="152"/>
      <c r="G2057" s="152"/>
      <c r="H2057" s="153"/>
      <c r="I2057" s="154"/>
      <c r="J2057" s="155"/>
    </row>
    <row r="2058" ht="22.5" customHeight="1">
      <c r="A2058" s="202"/>
      <c r="B2058" s="146"/>
      <c r="C2058" s="146"/>
      <c r="D2058" s="146"/>
      <c r="E2058" s="197"/>
      <c r="F2058" s="144"/>
      <c r="G2058" s="144"/>
      <c r="H2058" s="145"/>
      <c r="I2058" s="146"/>
      <c r="J2058" s="147"/>
    </row>
    <row r="2059" ht="22.5" customHeight="1">
      <c r="A2059" s="250"/>
      <c r="B2059" s="154"/>
      <c r="C2059" s="154"/>
      <c r="D2059" s="154"/>
      <c r="E2059" s="196"/>
      <c r="F2059" s="152"/>
      <c r="G2059" s="152"/>
      <c r="H2059" s="153"/>
      <c r="I2059" s="154"/>
      <c r="J2059" s="155"/>
    </row>
    <row r="2060" ht="22.5" customHeight="1">
      <c r="A2060" s="202"/>
      <c r="B2060" s="146"/>
      <c r="C2060" s="146"/>
      <c r="D2060" s="146"/>
      <c r="E2060" s="197"/>
      <c r="F2060" s="144"/>
      <c r="G2060" s="144"/>
      <c r="H2060" s="145"/>
      <c r="I2060" s="146"/>
      <c r="J2060" s="147"/>
    </row>
    <row r="2061" ht="22.5" customHeight="1">
      <c r="A2061" s="250"/>
      <c r="B2061" s="154"/>
      <c r="C2061" s="154"/>
      <c r="D2061" s="154"/>
      <c r="E2061" s="196"/>
      <c r="F2061" s="152"/>
      <c r="G2061" s="152"/>
      <c r="H2061" s="153"/>
      <c r="I2061" s="154"/>
      <c r="J2061" s="155"/>
    </row>
    <row r="2062" ht="22.5" customHeight="1">
      <c r="A2062" s="202"/>
      <c r="B2062" s="146"/>
      <c r="C2062" s="146"/>
      <c r="D2062" s="146"/>
      <c r="E2062" s="197"/>
      <c r="F2062" s="144"/>
      <c r="G2062" s="144"/>
      <c r="H2062" s="145"/>
      <c r="I2062" s="146"/>
      <c r="J2062" s="147"/>
    </row>
    <row r="2063" ht="22.5" customHeight="1">
      <c r="A2063" s="250"/>
      <c r="B2063" s="154"/>
      <c r="C2063" s="154"/>
      <c r="D2063" s="154"/>
      <c r="E2063" s="196"/>
      <c r="F2063" s="152"/>
      <c r="G2063" s="152"/>
      <c r="H2063" s="153"/>
      <c r="I2063" s="154"/>
      <c r="J2063" s="155"/>
    </row>
    <row r="2064" ht="22.5" customHeight="1">
      <c r="A2064" s="202"/>
      <c r="B2064" s="146"/>
      <c r="C2064" s="146"/>
      <c r="D2064" s="146"/>
      <c r="E2064" s="197"/>
      <c r="F2064" s="144"/>
      <c r="G2064" s="144"/>
      <c r="H2064" s="145"/>
      <c r="I2064" s="146"/>
      <c r="J2064" s="147"/>
    </row>
    <row r="2065" ht="22.5" customHeight="1">
      <c r="A2065" s="250"/>
      <c r="B2065" s="154"/>
      <c r="C2065" s="154"/>
      <c r="D2065" s="154"/>
      <c r="E2065" s="196"/>
      <c r="F2065" s="152"/>
      <c r="G2065" s="152"/>
      <c r="H2065" s="153"/>
      <c r="I2065" s="154"/>
      <c r="J2065" s="155"/>
    </row>
    <row r="2066" ht="22.5" customHeight="1">
      <c r="A2066" s="202"/>
      <c r="B2066" s="146"/>
      <c r="C2066" s="146"/>
      <c r="D2066" s="146"/>
      <c r="E2066" s="197"/>
      <c r="F2066" s="144"/>
      <c r="G2066" s="144"/>
      <c r="H2066" s="145"/>
      <c r="I2066" s="146"/>
      <c r="J2066" s="147"/>
    </row>
    <row r="2067" ht="22.5" customHeight="1">
      <c r="A2067" s="250"/>
      <c r="B2067" s="154"/>
      <c r="C2067" s="154"/>
      <c r="D2067" s="154"/>
      <c r="E2067" s="196"/>
      <c r="F2067" s="152"/>
      <c r="G2067" s="152"/>
      <c r="H2067" s="153"/>
      <c r="I2067" s="154"/>
      <c r="J2067" s="155"/>
    </row>
    <row r="2068" ht="22.5" customHeight="1">
      <c r="A2068" s="202"/>
      <c r="B2068" s="146"/>
      <c r="C2068" s="146"/>
      <c r="D2068" s="146"/>
      <c r="E2068" s="197"/>
      <c r="F2068" s="144"/>
      <c r="G2068" s="144"/>
      <c r="H2068" s="145"/>
      <c r="I2068" s="146"/>
      <c r="J2068" s="147"/>
    </row>
    <row r="2069" ht="22.5" customHeight="1">
      <c r="A2069" s="250"/>
      <c r="B2069" s="154"/>
      <c r="C2069" s="154"/>
      <c r="D2069" s="154"/>
      <c r="E2069" s="196"/>
      <c r="F2069" s="152"/>
      <c r="G2069" s="152"/>
      <c r="H2069" s="153"/>
      <c r="I2069" s="154"/>
      <c r="J2069" s="155"/>
    </row>
    <row r="2070" ht="22.5" customHeight="1">
      <c r="A2070" s="202"/>
      <c r="B2070" s="146"/>
      <c r="C2070" s="146"/>
      <c r="D2070" s="146"/>
      <c r="E2070" s="197"/>
      <c r="F2070" s="144"/>
      <c r="G2070" s="144"/>
      <c r="H2070" s="145"/>
      <c r="I2070" s="146"/>
      <c r="J2070" s="147"/>
    </row>
    <row r="2071" ht="22.5" customHeight="1">
      <c r="A2071" s="250"/>
      <c r="B2071" s="154"/>
      <c r="C2071" s="154"/>
      <c r="D2071" s="154"/>
      <c r="E2071" s="196"/>
      <c r="F2071" s="152"/>
      <c r="G2071" s="152"/>
      <c r="H2071" s="153"/>
      <c r="I2071" s="154"/>
      <c r="J2071" s="155"/>
    </row>
    <row r="2072" ht="22.5" customHeight="1">
      <c r="A2072" s="202"/>
      <c r="B2072" s="146"/>
      <c r="C2072" s="146"/>
      <c r="D2072" s="146"/>
      <c r="E2072" s="197"/>
      <c r="F2072" s="144"/>
      <c r="G2072" s="144"/>
      <c r="H2072" s="145"/>
      <c r="I2072" s="146"/>
      <c r="J2072" s="147"/>
    </row>
    <row r="2073" ht="22.5" customHeight="1">
      <c r="A2073" s="250"/>
      <c r="B2073" s="154"/>
      <c r="C2073" s="154"/>
      <c r="D2073" s="154"/>
      <c r="E2073" s="196"/>
      <c r="F2073" s="152"/>
      <c r="G2073" s="152"/>
      <c r="H2073" s="153"/>
      <c r="I2073" s="154"/>
      <c r="J2073" s="155"/>
    </row>
    <row r="2074" ht="22.5" customHeight="1">
      <c r="A2074" s="202"/>
      <c r="B2074" s="146"/>
      <c r="C2074" s="146"/>
      <c r="D2074" s="146"/>
      <c r="E2074" s="197"/>
      <c r="F2074" s="144"/>
      <c r="G2074" s="144"/>
      <c r="H2074" s="145"/>
      <c r="I2074" s="146"/>
      <c r="J2074" s="147"/>
    </row>
    <row r="2075" ht="22.5" customHeight="1">
      <c r="A2075" s="250"/>
      <c r="B2075" s="154"/>
      <c r="C2075" s="154"/>
      <c r="D2075" s="154"/>
      <c r="E2075" s="196"/>
      <c r="F2075" s="152"/>
      <c r="G2075" s="152"/>
      <c r="H2075" s="153"/>
      <c r="I2075" s="154"/>
      <c r="J2075" s="155"/>
    </row>
    <row r="2076" ht="22.5" customHeight="1">
      <c r="A2076" s="202"/>
      <c r="B2076" s="146"/>
      <c r="C2076" s="146"/>
      <c r="D2076" s="146"/>
      <c r="E2076" s="197"/>
      <c r="F2076" s="144"/>
      <c r="G2076" s="144"/>
      <c r="H2076" s="145"/>
      <c r="I2076" s="146"/>
      <c r="J2076" s="147"/>
    </row>
    <row r="2077" ht="22.5" customHeight="1">
      <c r="A2077" s="250"/>
      <c r="B2077" s="154"/>
      <c r="C2077" s="154"/>
      <c r="D2077" s="154"/>
      <c r="E2077" s="196"/>
      <c r="F2077" s="152"/>
      <c r="G2077" s="152"/>
      <c r="H2077" s="153"/>
      <c r="I2077" s="154"/>
      <c r="J2077" s="155"/>
    </row>
    <row r="2078" ht="22.5" customHeight="1">
      <c r="A2078" s="202"/>
      <c r="B2078" s="146"/>
      <c r="C2078" s="146"/>
      <c r="D2078" s="146"/>
      <c r="E2078" s="197"/>
      <c r="F2078" s="144"/>
      <c r="G2078" s="144"/>
      <c r="H2078" s="145"/>
      <c r="I2078" s="146"/>
      <c r="J2078" s="147"/>
    </row>
    <row r="2079" ht="22.5" customHeight="1">
      <c r="A2079" s="250"/>
      <c r="B2079" s="154"/>
      <c r="C2079" s="154"/>
      <c r="D2079" s="154"/>
      <c r="E2079" s="196"/>
      <c r="F2079" s="152"/>
      <c r="G2079" s="152"/>
      <c r="H2079" s="153"/>
      <c r="I2079" s="154"/>
      <c r="J2079" s="155"/>
    </row>
    <row r="2080" ht="22.5" customHeight="1">
      <c r="A2080" s="202"/>
      <c r="B2080" s="146"/>
      <c r="C2080" s="146"/>
      <c r="D2080" s="146"/>
      <c r="E2080" s="197"/>
      <c r="F2080" s="144"/>
      <c r="G2080" s="144"/>
      <c r="H2080" s="145"/>
      <c r="I2080" s="146"/>
      <c r="J2080" s="147"/>
    </row>
    <row r="2081" ht="22.5" customHeight="1">
      <c r="A2081" s="250"/>
      <c r="B2081" s="154"/>
      <c r="C2081" s="154"/>
      <c r="D2081" s="154"/>
      <c r="E2081" s="196"/>
      <c r="F2081" s="152"/>
      <c r="G2081" s="152"/>
      <c r="H2081" s="153"/>
      <c r="I2081" s="154"/>
      <c r="J2081" s="155"/>
    </row>
    <row r="2082" ht="22.5" customHeight="1">
      <c r="A2082" s="202"/>
      <c r="B2082" s="146"/>
      <c r="C2082" s="146"/>
      <c r="D2082" s="146"/>
      <c r="E2082" s="197"/>
      <c r="F2082" s="144"/>
      <c r="G2082" s="144"/>
      <c r="H2082" s="145"/>
      <c r="I2082" s="146"/>
      <c r="J2082" s="147"/>
    </row>
    <row r="2083" ht="22.5" customHeight="1">
      <c r="A2083" s="250"/>
      <c r="B2083" s="154"/>
      <c r="C2083" s="154"/>
      <c r="D2083" s="154"/>
      <c r="E2083" s="196"/>
      <c r="F2083" s="152"/>
      <c r="G2083" s="152"/>
      <c r="H2083" s="153"/>
      <c r="I2083" s="154"/>
      <c r="J2083" s="155"/>
    </row>
    <row r="2084" ht="22.5" customHeight="1">
      <c r="A2084" s="202"/>
      <c r="B2084" s="146"/>
      <c r="C2084" s="146"/>
      <c r="D2084" s="146"/>
      <c r="E2084" s="197"/>
      <c r="F2084" s="144"/>
      <c r="G2084" s="144"/>
      <c r="H2084" s="145"/>
      <c r="I2084" s="146"/>
      <c r="J2084" s="147"/>
    </row>
    <row r="2085" ht="22.5" customHeight="1">
      <c r="A2085" s="250"/>
      <c r="B2085" s="154"/>
      <c r="C2085" s="154"/>
      <c r="D2085" s="154"/>
      <c r="E2085" s="196"/>
      <c r="F2085" s="152"/>
      <c r="G2085" s="152"/>
      <c r="H2085" s="153"/>
      <c r="I2085" s="154"/>
      <c r="J2085" s="155"/>
    </row>
    <row r="2086" ht="22.5" customHeight="1">
      <c r="A2086" s="202"/>
      <c r="B2086" s="146"/>
      <c r="C2086" s="146"/>
      <c r="D2086" s="146"/>
      <c r="E2086" s="197"/>
      <c r="F2086" s="144"/>
      <c r="G2086" s="144"/>
      <c r="H2086" s="145"/>
      <c r="I2086" s="146"/>
      <c r="J2086" s="147"/>
    </row>
    <row r="2087" ht="22.5" customHeight="1">
      <c r="A2087" s="250"/>
      <c r="B2087" s="154"/>
      <c r="C2087" s="154"/>
      <c r="D2087" s="154"/>
      <c r="E2087" s="196"/>
      <c r="F2087" s="152"/>
      <c r="G2087" s="152"/>
      <c r="H2087" s="153"/>
      <c r="I2087" s="154"/>
      <c r="J2087" s="155"/>
    </row>
    <row r="2088" ht="22.5" customHeight="1">
      <c r="A2088" s="202"/>
      <c r="B2088" s="146"/>
      <c r="C2088" s="146"/>
      <c r="D2088" s="146"/>
      <c r="E2088" s="197"/>
      <c r="F2088" s="144"/>
      <c r="G2088" s="144"/>
      <c r="H2088" s="145"/>
      <c r="I2088" s="146"/>
      <c r="J2088" s="147"/>
    </row>
    <row r="2089" ht="22.5" customHeight="1">
      <c r="A2089" s="250"/>
      <c r="B2089" s="154"/>
      <c r="C2089" s="154"/>
      <c r="D2089" s="154"/>
      <c r="E2089" s="196"/>
      <c r="F2089" s="152"/>
      <c r="G2089" s="152"/>
      <c r="H2089" s="153"/>
      <c r="I2089" s="154"/>
      <c r="J2089" s="155"/>
    </row>
    <row r="2090" ht="22.5" customHeight="1">
      <c r="A2090" s="202"/>
      <c r="B2090" s="146"/>
      <c r="C2090" s="146"/>
      <c r="D2090" s="146"/>
      <c r="E2090" s="197"/>
      <c r="F2090" s="144"/>
      <c r="G2090" s="144"/>
      <c r="H2090" s="145"/>
      <c r="I2090" s="146"/>
      <c r="J2090" s="147"/>
    </row>
    <row r="2091" ht="22.5" customHeight="1">
      <c r="A2091" s="250"/>
      <c r="B2091" s="154"/>
      <c r="C2091" s="154"/>
      <c r="D2091" s="154"/>
      <c r="E2091" s="196"/>
      <c r="F2091" s="152"/>
      <c r="G2091" s="152"/>
      <c r="H2091" s="153"/>
      <c r="I2091" s="154"/>
      <c r="J2091" s="155"/>
    </row>
    <row r="2092" ht="22.5" customHeight="1">
      <c r="A2092" s="202"/>
      <c r="B2092" s="146"/>
      <c r="C2092" s="146"/>
      <c r="D2092" s="146"/>
      <c r="E2092" s="197"/>
      <c r="F2092" s="144"/>
      <c r="G2092" s="144"/>
      <c r="H2092" s="145"/>
      <c r="I2092" s="146"/>
      <c r="J2092" s="147"/>
    </row>
    <row r="2093" ht="22.5" customHeight="1">
      <c r="A2093" s="250"/>
      <c r="B2093" s="154"/>
      <c r="C2093" s="154"/>
      <c r="D2093" s="154"/>
      <c r="E2093" s="196"/>
      <c r="F2093" s="152"/>
      <c r="G2093" s="152"/>
      <c r="H2093" s="153"/>
      <c r="I2093" s="154"/>
      <c r="J2093" s="155"/>
    </row>
    <row r="2094" ht="22.5" customHeight="1">
      <c r="A2094" s="202"/>
      <c r="B2094" s="146"/>
      <c r="C2094" s="146"/>
      <c r="D2094" s="146"/>
      <c r="E2094" s="197"/>
      <c r="F2094" s="144"/>
      <c r="G2094" s="144"/>
      <c r="H2094" s="145"/>
      <c r="I2094" s="146"/>
      <c r="J2094" s="147"/>
    </row>
    <row r="2095" ht="22.5" customHeight="1">
      <c r="A2095" s="250"/>
      <c r="B2095" s="154"/>
      <c r="C2095" s="154"/>
      <c r="D2095" s="154"/>
      <c r="E2095" s="196"/>
      <c r="F2095" s="152"/>
      <c r="G2095" s="152"/>
      <c r="H2095" s="153"/>
      <c r="I2095" s="154"/>
      <c r="J2095" s="155"/>
    </row>
    <row r="2096" ht="22.5" customHeight="1">
      <c r="A2096" s="202"/>
      <c r="B2096" s="146"/>
      <c r="C2096" s="146"/>
      <c r="D2096" s="146"/>
      <c r="E2096" s="197"/>
      <c r="F2096" s="144"/>
      <c r="G2096" s="144"/>
      <c r="H2096" s="145"/>
      <c r="I2096" s="146"/>
      <c r="J2096" s="147"/>
    </row>
    <row r="2097" ht="22.5" customHeight="1">
      <c r="A2097" s="250"/>
      <c r="B2097" s="154"/>
      <c r="C2097" s="154"/>
      <c r="D2097" s="154"/>
      <c r="E2097" s="196"/>
      <c r="F2097" s="152"/>
      <c r="G2097" s="152"/>
      <c r="H2097" s="153"/>
      <c r="I2097" s="154"/>
      <c r="J2097" s="155"/>
    </row>
    <row r="2098" ht="22.5" customHeight="1">
      <c r="A2098" s="202"/>
      <c r="B2098" s="146"/>
      <c r="C2098" s="146"/>
      <c r="D2098" s="146"/>
      <c r="E2098" s="197"/>
      <c r="F2098" s="144"/>
      <c r="G2098" s="144"/>
      <c r="H2098" s="145"/>
      <c r="I2098" s="146"/>
      <c r="J2098" s="147"/>
    </row>
    <row r="2099" ht="22.5" customHeight="1">
      <c r="A2099" s="250"/>
      <c r="B2099" s="154"/>
      <c r="C2099" s="154"/>
      <c r="D2099" s="154"/>
      <c r="E2099" s="196"/>
      <c r="F2099" s="152"/>
      <c r="G2099" s="152"/>
      <c r="H2099" s="153"/>
      <c r="I2099" s="154"/>
      <c r="J2099" s="155"/>
    </row>
    <row r="2100" ht="22.5" customHeight="1">
      <c r="A2100" s="202"/>
      <c r="B2100" s="146"/>
      <c r="C2100" s="146"/>
      <c r="D2100" s="146"/>
      <c r="E2100" s="197"/>
      <c r="F2100" s="144"/>
      <c r="G2100" s="144"/>
      <c r="H2100" s="145"/>
      <c r="I2100" s="146"/>
      <c r="J2100" s="147"/>
    </row>
    <row r="2101" ht="22.5" customHeight="1">
      <c r="A2101" s="250"/>
      <c r="B2101" s="154"/>
      <c r="C2101" s="154"/>
      <c r="D2101" s="154"/>
      <c r="E2101" s="196"/>
      <c r="F2101" s="152"/>
      <c r="G2101" s="152"/>
      <c r="H2101" s="153"/>
      <c r="I2101" s="154"/>
      <c r="J2101" s="155"/>
    </row>
    <row r="2102" ht="22.5" customHeight="1">
      <c r="A2102" s="202"/>
      <c r="B2102" s="146"/>
      <c r="C2102" s="146"/>
      <c r="D2102" s="146"/>
      <c r="E2102" s="197"/>
      <c r="F2102" s="144"/>
      <c r="G2102" s="144"/>
      <c r="H2102" s="145"/>
      <c r="I2102" s="146"/>
      <c r="J2102" s="147"/>
    </row>
    <row r="2103" ht="22.5" customHeight="1">
      <c r="A2103" s="250"/>
      <c r="B2103" s="154"/>
      <c r="C2103" s="154"/>
      <c r="D2103" s="154"/>
      <c r="E2103" s="196"/>
      <c r="F2103" s="152"/>
      <c r="G2103" s="152"/>
      <c r="H2103" s="153"/>
      <c r="I2103" s="154"/>
      <c r="J2103" s="155"/>
    </row>
    <row r="2104" ht="22.5" customHeight="1">
      <c r="A2104" s="202"/>
      <c r="B2104" s="146"/>
      <c r="C2104" s="146"/>
      <c r="D2104" s="146"/>
      <c r="E2104" s="197"/>
      <c r="F2104" s="144"/>
      <c r="G2104" s="144"/>
      <c r="H2104" s="145"/>
      <c r="I2104" s="146"/>
      <c r="J2104" s="147"/>
    </row>
    <row r="2105" ht="22.5" customHeight="1">
      <c r="A2105" s="250"/>
      <c r="B2105" s="154"/>
      <c r="C2105" s="154"/>
      <c r="D2105" s="154"/>
      <c r="E2105" s="196"/>
      <c r="F2105" s="152"/>
      <c r="G2105" s="152"/>
      <c r="H2105" s="153"/>
      <c r="I2105" s="154"/>
      <c r="J2105" s="155"/>
    </row>
    <row r="2106" ht="22.5" customHeight="1">
      <c r="A2106" s="202"/>
      <c r="B2106" s="146"/>
      <c r="C2106" s="146"/>
      <c r="D2106" s="146"/>
      <c r="E2106" s="197"/>
      <c r="F2106" s="144"/>
      <c r="G2106" s="144"/>
      <c r="H2106" s="145"/>
      <c r="I2106" s="146"/>
      <c r="J2106" s="147"/>
    </row>
    <row r="2107" ht="22.5" customHeight="1">
      <c r="A2107" s="250"/>
      <c r="B2107" s="154"/>
      <c r="C2107" s="154"/>
      <c r="D2107" s="154"/>
      <c r="E2107" s="196"/>
      <c r="F2107" s="152"/>
      <c r="G2107" s="152"/>
      <c r="H2107" s="153"/>
      <c r="I2107" s="154"/>
      <c r="J2107" s="155"/>
    </row>
    <row r="2108" ht="22.5" customHeight="1">
      <c r="A2108" s="202"/>
      <c r="B2108" s="146"/>
      <c r="C2108" s="146"/>
      <c r="D2108" s="146"/>
      <c r="E2108" s="197"/>
      <c r="F2108" s="144"/>
      <c r="G2108" s="144"/>
      <c r="H2108" s="145"/>
      <c r="I2108" s="146"/>
      <c r="J2108" s="147"/>
    </row>
    <row r="2109" ht="22.5" customHeight="1">
      <c r="A2109" s="250"/>
      <c r="B2109" s="154"/>
      <c r="C2109" s="154"/>
      <c r="D2109" s="154"/>
      <c r="E2109" s="196"/>
      <c r="F2109" s="152"/>
      <c r="G2109" s="152"/>
      <c r="H2109" s="153"/>
      <c r="I2109" s="154"/>
      <c r="J2109" s="155"/>
    </row>
    <row r="2110" ht="22.5" customHeight="1">
      <c r="A2110" s="202"/>
      <c r="B2110" s="146"/>
      <c r="C2110" s="146"/>
      <c r="D2110" s="146"/>
      <c r="E2110" s="197"/>
      <c r="F2110" s="144"/>
      <c r="G2110" s="144"/>
      <c r="H2110" s="145"/>
      <c r="I2110" s="146"/>
      <c r="J2110" s="147"/>
    </row>
    <row r="2111" ht="22.5" customHeight="1">
      <c r="A2111" s="250"/>
      <c r="B2111" s="154"/>
      <c r="C2111" s="154"/>
      <c r="D2111" s="154"/>
      <c r="E2111" s="196"/>
      <c r="F2111" s="152"/>
      <c r="G2111" s="152"/>
      <c r="H2111" s="153"/>
      <c r="I2111" s="154"/>
      <c r="J2111" s="155"/>
    </row>
    <row r="2112" ht="22.5" customHeight="1">
      <c r="A2112" s="202"/>
      <c r="B2112" s="146"/>
      <c r="C2112" s="146"/>
      <c r="D2112" s="146"/>
      <c r="E2112" s="197"/>
      <c r="F2112" s="144"/>
      <c r="G2112" s="144"/>
      <c r="H2112" s="145"/>
      <c r="I2112" s="146"/>
      <c r="J2112" s="147"/>
    </row>
    <row r="2113" ht="22.5" customHeight="1">
      <c r="A2113" s="250"/>
      <c r="B2113" s="154"/>
      <c r="C2113" s="154"/>
      <c r="D2113" s="154"/>
      <c r="E2113" s="196"/>
      <c r="F2113" s="152"/>
      <c r="G2113" s="152"/>
      <c r="H2113" s="153"/>
      <c r="I2113" s="154"/>
      <c r="J2113" s="155"/>
    </row>
    <row r="2114" ht="22.5" customHeight="1">
      <c r="A2114" s="202"/>
      <c r="B2114" s="146"/>
      <c r="C2114" s="146"/>
      <c r="D2114" s="146"/>
      <c r="E2114" s="197"/>
      <c r="F2114" s="144"/>
      <c r="G2114" s="144"/>
      <c r="H2114" s="145"/>
      <c r="I2114" s="146"/>
      <c r="J2114" s="147"/>
    </row>
    <row r="2115" ht="22.5" customHeight="1">
      <c r="A2115" s="250"/>
      <c r="B2115" s="154"/>
      <c r="C2115" s="154"/>
      <c r="D2115" s="154"/>
      <c r="E2115" s="196"/>
      <c r="F2115" s="152"/>
      <c r="G2115" s="152"/>
      <c r="H2115" s="153"/>
      <c r="I2115" s="154"/>
      <c r="J2115" s="155"/>
    </row>
    <row r="2116" ht="22.5" customHeight="1">
      <c r="A2116" s="202"/>
      <c r="B2116" s="146"/>
      <c r="C2116" s="146"/>
      <c r="D2116" s="146"/>
      <c r="E2116" s="197"/>
      <c r="F2116" s="144"/>
      <c r="G2116" s="144"/>
      <c r="H2116" s="145"/>
      <c r="I2116" s="146"/>
      <c r="J2116" s="147"/>
    </row>
    <row r="2117" ht="22.5" customHeight="1">
      <c r="A2117" s="250"/>
      <c r="B2117" s="154"/>
      <c r="C2117" s="154"/>
      <c r="D2117" s="154"/>
      <c r="E2117" s="196"/>
      <c r="F2117" s="152"/>
      <c r="G2117" s="152"/>
      <c r="H2117" s="153"/>
      <c r="I2117" s="154"/>
      <c r="J2117" s="155"/>
    </row>
    <row r="2118" ht="22.5" customHeight="1">
      <c r="A2118" s="202"/>
      <c r="B2118" s="146"/>
      <c r="C2118" s="146"/>
      <c r="D2118" s="146"/>
      <c r="E2118" s="197"/>
      <c r="F2118" s="144"/>
      <c r="G2118" s="144"/>
      <c r="H2118" s="145"/>
      <c r="I2118" s="146"/>
      <c r="J2118" s="147"/>
    </row>
    <row r="2119" ht="22.5" customHeight="1">
      <c r="A2119" s="250"/>
      <c r="B2119" s="154"/>
      <c r="C2119" s="154"/>
      <c r="D2119" s="154"/>
      <c r="E2119" s="196"/>
      <c r="F2119" s="152"/>
      <c r="G2119" s="152"/>
      <c r="H2119" s="153"/>
      <c r="I2119" s="154"/>
      <c r="J2119" s="155"/>
    </row>
    <row r="2120" ht="22.5" customHeight="1">
      <c r="A2120" s="202"/>
      <c r="B2120" s="146"/>
      <c r="C2120" s="146"/>
      <c r="D2120" s="146"/>
      <c r="E2120" s="197"/>
      <c r="F2120" s="144"/>
      <c r="G2120" s="144"/>
      <c r="H2120" s="145"/>
      <c r="I2120" s="146"/>
      <c r="J2120" s="147"/>
    </row>
    <row r="2121" ht="22.5" customHeight="1">
      <c r="A2121" s="250"/>
      <c r="B2121" s="154"/>
      <c r="C2121" s="154"/>
      <c r="D2121" s="154"/>
      <c r="E2121" s="196"/>
      <c r="F2121" s="152"/>
      <c r="G2121" s="152"/>
      <c r="H2121" s="153"/>
      <c r="I2121" s="154"/>
      <c r="J2121" s="155"/>
    </row>
    <row r="2122" ht="22.5" customHeight="1">
      <c r="A2122" s="202"/>
      <c r="B2122" s="146"/>
      <c r="C2122" s="146"/>
      <c r="D2122" s="146"/>
      <c r="E2122" s="197"/>
      <c r="F2122" s="144"/>
      <c r="G2122" s="144"/>
      <c r="H2122" s="145"/>
      <c r="I2122" s="146"/>
      <c r="J2122" s="147"/>
    </row>
    <row r="2123" ht="22.5" customHeight="1">
      <c r="A2123" s="250"/>
      <c r="B2123" s="154"/>
      <c r="C2123" s="154"/>
      <c r="D2123" s="154"/>
      <c r="E2123" s="196"/>
      <c r="F2123" s="152"/>
      <c r="G2123" s="152"/>
      <c r="H2123" s="153"/>
      <c r="I2123" s="154"/>
      <c r="J2123" s="155"/>
    </row>
    <row r="2124" ht="22.5" customHeight="1">
      <c r="A2124" s="202"/>
      <c r="B2124" s="146"/>
      <c r="C2124" s="146"/>
      <c r="D2124" s="146"/>
      <c r="E2124" s="197"/>
      <c r="F2124" s="144"/>
      <c r="G2124" s="144"/>
      <c r="H2124" s="145"/>
      <c r="I2124" s="146"/>
      <c r="J2124" s="147"/>
    </row>
    <row r="2125" ht="22.5" customHeight="1">
      <c r="A2125" s="250"/>
      <c r="B2125" s="154"/>
      <c r="C2125" s="154"/>
      <c r="D2125" s="154"/>
      <c r="E2125" s="196"/>
      <c r="F2125" s="152"/>
      <c r="G2125" s="152"/>
      <c r="H2125" s="153"/>
      <c r="I2125" s="154"/>
      <c r="J2125" s="155"/>
    </row>
    <row r="2126" ht="22.5" customHeight="1">
      <c r="A2126" s="202"/>
      <c r="B2126" s="146"/>
      <c r="C2126" s="146"/>
      <c r="D2126" s="146"/>
      <c r="E2126" s="197"/>
      <c r="F2126" s="144"/>
      <c r="G2126" s="144"/>
      <c r="H2126" s="145"/>
      <c r="I2126" s="146"/>
      <c r="J2126" s="147"/>
    </row>
    <row r="2127" ht="22.5" customHeight="1">
      <c r="A2127" s="250"/>
      <c r="B2127" s="154"/>
      <c r="C2127" s="154"/>
      <c r="D2127" s="154"/>
      <c r="E2127" s="196"/>
      <c r="F2127" s="152"/>
      <c r="G2127" s="152"/>
      <c r="H2127" s="153"/>
      <c r="I2127" s="154"/>
      <c r="J2127" s="155"/>
    </row>
    <row r="2128" ht="22.5" customHeight="1">
      <c r="A2128" s="202"/>
      <c r="B2128" s="146"/>
      <c r="C2128" s="146"/>
      <c r="D2128" s="146"/>
      <c r="E2128" s="197"/>
      <c r="F2128" s="144"/>
      <c r="G2128" s="144"/>
      <c r="H2128" s="145"/>
      <c r="I2128" s="146"/>
      <c r="J2128" s="147"/>
    </row>
    <row r="2129" ht="22.5" customHeight="1">
      <c r="A2129" s="250"/>
      <c r="B2129" s="154"/>
      <c r="C2129" s="154"/>
      <c r="D2129" s="154"/>
      <c r="E2129" s="196"/>
      <c r="F2129" s="152"/>
      <c r="G2129" s="152"/>
      <c r="H2129" s="153"/>
      <c r="I2129" s="154"/>
      <c r="J2129" s="155"/>
    </row>
    <row r="2130" ht="22.5" customHeight="1">
      <c r="A2130" s="202"/>
      <c r="B2130" s="146"/>
      <c r="C2130" s="146"/>
      <c r="D2130" s="146"/>
      <c r="E2130" s="197"/>
      <c r="F2130" s="144"/>
      <c r="G2130" s="144"/>
      <c r="H2130" s="145"/>
      <c r="I2130" s="146"/>
      <c r="J2130" s="147"/>
    </row>
    <row r="2131" ht="22.5" customHeight="1">
      <c r="A2131" s="250"/>
      <c r="B2131" s="154"/>
      <c r="C2131" s="154"/>
      <c r="D2131" s="154"/>
      <c r="E2131" s="196"/>
      <c r="F2131" s="152"/>
      <c r="G2131" s="152"/>
      <c r="H2131" s="153"/>
      <c r="I2131" s="154"/>
      <c r="J2131" s="155"/>
    </row>
    <row r="2132" ht="22.5" customHeight="1">
      <c r="A2132" s="202"/>
      <c r="B2132" s="146"/>
      <c r="C2132" s="146"/>
      <c r="D2132" s="146"/>
      <c r="E2132" s="197"/>
      <c r="F2132" s="144"/>
      <c r="G2132" s="144"/>
      <c r="H2132" s="145"/>
      <c r="I2132" s="146"/>
      <c r="J2132" s="147"/>
    </row>
    <row r="2133" ht="22.5" customHeight="1">
      <c r="A2133" s="250"/>
      <c r="B2133" s="154"/>
      <c r="C2133" s="154"/>
      <c r="D2133" s="154"/>
      <c r="E2133" s="196"/>
      <c r="F2133" s="152"/>
      <c r="G2133" s="152"/>
      <c r="H2133" s="153"/>
      <c r="I2133" s="154"/>
      <c r="J2133" s="155"/>
    </row>
    <row r="2134" ht="22.5" customHeight="1">
      <c r="A2134" s="202"/>
      <c r="B2134" s="146"/>
      <c r="C2134" s="146"/>
      <c r="D2134" s="146"/>
      <c r="E2134" s="197"/>
      <c r="F2134" s="144"/>
      <c r="G2134" s="144"/>
      <c r="H2134" s="145"/>
      <c r="I2134" s="146"/>
      <c r="J2134" s="147"/>
    </row>
    <row r="2135" ht="22.5" customHeight="1">
      <c r="A2135" s="250"/>
      <c r="B2135" s="154"/>
      <c r="C2135" s="154"/>
      <c r="D2135" s="154"/>
      <c r="E2135" s="196"/>
      <c r="F2135" s="152"/>
      <c r="G2135" s="152"/>
      <c r="H2135" s="153"/>
      <c r="I2135" s="154"/>
      <c r="J2135" s="155"/>
    </row>
    <row r="2136" ht="22.5" customHeight="1">
      <c r="A2136" s="202"/>
      <c r="B2136" s="146"/>
      <c r="C2136" s="146"/>
      <c r="D2136" s="146"/>
      <c r="E2136" s="197"/>
      <c r="F2136" s="144"/>
      <c r="G2136" s="144"/>
      <c r="H2136" s="145"/>
      <c r="I2136" s="146"/>
      <c r="J2136" s="147"/>
    </row>
    <row r="2137" ht="22.5" customHeight="1">
      <c r="A2137" s="250"/>
      <c r="B2137" s="154"/>
      <c r="C2137" s="154"/>
      <c r="D2137" s="154"/>
      <c r="E2137" s="196"/>
      <c r="F2137" s="152"/>
      <c r="G2137" s="152"/>
      <c r="H2137" s="153"/>
      <c r="I2137" s="154"/>
      <c r="J2137" s="155"/>
    </row>
    <row r="2138" ht="22.5" customHeight="1">
      <c r="A2138" s="202"/>
      <c r="B2138" s="146"/>
      <c r="C2138" s="146"/>
      <c r="D2138" s="146"/>
      <c r="E2138" s="197"/>
      <c r="F2138" s="144"/>
      <c r="G2138" s="144"/>
      <c r="H2138" s="145"/>
      <c r="I2138" s="146"/>
      <c r="J2138" s="147"/>
    </row>
    <row r="2139" ht="22.5" customHeight="1">
      <c r="A2139" s="250"/>
      <c r="B2139" s="154"/>
      <c r="C2139" s="154"/>
      <c r="D2139" s="154"/>
      <c r="E2139" s="196"/>
      <c r="F2139" s="152"/>
      <c r="G2139" s="152"/>
      <c r="H2139" s="153"/>
      <c r="I2139" s="154"/>
      <c r="J2139" s="155"/>
    </row>
    <row r="2140" ht="22.5" customHeight="1">
      <c r="A2140" s="202"/>
      <c r="B2140" s="146"/>
      <c r="C2140" s="146"/>
      <c r="D2140" s="146"/>
      <c r="E2140" s="197"/>
      <c r="F2140" s="144"/>
      <c r="G2140" s="144"/>
      <c r="H2140" s="145"/>
      <c r="I2140" s="146"/>
      <c r="J2140" s="147"/>
    </row>
    <row r="2141" ht="22.5" customHeight="1">
      <c r="A2141" s="250"/>
      <c r="B2141" s="154"/>
      <c r="C2141" s="154"/>
      <c r="D2141" s="154"/>
      <c r="E2141" s="196"/>
      <c r="F2141" s="152"/>
      <c r="G2141" s="152"/>
      <c r="H2141" s="153"/>
      <c r="I2141" s="154"/>
      <c r="J2141" s="155"/>
    </row>
    <row r="2142" ht="22.5" customHeight="1">
      <c r="A2142" s="202"/>
      <c r="B2142" s="146"/>
      <c r="C2142" s="146"/>
      <c r="D2142" s="146"/>
      <c r="E2142" s="197"/>
      <c r="F2142" s="144"/>
      <c r="G2142" s="144"/>
      <c r="H2142" s="145"/>
      <c r="I2142" s="146"/>
      <c r="J2142" s="147"/>
    </row>
    <row r="2143" ht="22.5" customHeight="1">
      <c r="A2143" s="250"/>
      <c r="B2143" s="154"/>
      <c r="C2143" s="154"/>
      <c r="D2143" s="154"/>
      <c r="E2143" s="196"/>
      <c r="F2143" s="152"/>
      <c r="G2143" s="152"/>
      <c r="H2143" s="153"/>
      <c r="I2143" s="154"/>
      <c r="J2143" s="155"/>
    </row>
    <row r="2144" ht="22.5" customHeight="1">
      <c r="A2144" s="202"/>
      <c r="B2144" s="146"/>
      <c r="C2144" s="146"/>
      <c r="D2144" s="146"/>
      <c r="E2144" s="197"/>
      <c r="F2144" s="144"/>
      <c r="G2144" s="144"/>
      <c r="H2144" s="145"/>
      <c r="I2144" s="146"/>
      <c r="J2144" s="147"/>
    </row>
    <row r="2145" ht="22.5" customHeight="1">
      <c r="A2145" s="250"/>
      <c r="B2145" s="154"/>
      <c r="C2145" s="154"/>
      <c r="D2145" s="154"/>
      <c r="E2145" s="196"/>
      <c r="F2145" s="152"/>
      <c r="G2145" s="152"/>
      <c r="H2145" s="153"/>
      <c r="I2145" s="154"/>
      <c r="J2145" s="155"/>
    </row>
    <row r="2146" ht="22.5" customHeight="1">
      <c r="A2146" s="202"/>
      <c r="B2146" s="146"/>
      <c r="C2146" s="146"/>
      <c r="D2146" s="146"/>
      <c r="E2146" s="197"/>
      <c r="F2146" s="144"/>
      <c r="G2146" s="144"/>
      <c r="H2146" s="145"/>
      <c r="I2146" s="146"/>
      <c r="J2146" s="147"/>
    </row>
    <row r="2147" ht="22.5" customHeight="1">
      <c r="A2147" s="250"/>
      <c r="B2147" s="154"/>
      <c r="C2147" s="154"/>
      <c r="D2147" s="154"/>
      <c r="E2147" s="196"/>
      <c r="F2147" s="152"/>
      <c r="G2147" s="152"/>
      <c r="H2147" s="153"/>
      <c r="I2147" s="154"/>
      <c r="J2147" s="155"/>
    </row>
    <row r="2148" ht="22.5" customHeight="1">
      <c r="A2148" s="202"/>
      <c r="B2148" s="146"/>
      <c r="C2148" s="146"/>
      <c r="D2148" s="146"/>
      <c r="E2148" s="197"/>
      <c r="F2148" s="144"/>
      <c r="G2148" s="144"/>
      <c r="H2148" s="145"/>
      <c r="I2148" s="146"/>
      <c r="J2148" s="147"/>
    </row>
    <row r="2149" ht="22.5" customHeight="1">
      <c r="A2149" s="250"/>
      <c r="B2149" s="154"/>
      <c r="C2149" s="154"/>
      <c r="D2149" s="154"/>
      <c r="E2149" s="196"/>
      <c r="F2149" s="152"/>
      <c r="G2149" s="152"/>
      <c r="H2149" s="153"/>
      <c r="I2149" s="154"/>
      <c r="J2149" s="155"/>
    </row>
    <row r="2150" ht="22.5" customHeight="1">
      <c r="A2150" s="202"/>
      <c r="B2150" s="146"/>
      <c r="C2150" s="146"/>
      <c r="D2150" s="146"/>
      <c r="E2150" s="197"/>
      <c r="F2150" s="144"/>
      <c r="G2150" s="144"/>
      <c r="H2150" s="145"/>
      <c r="I2150" s="146"/>
      <c r="J2150" s="147"/>
    </row>
    <row r="2151" ht="22.5" customHeight="1">
      <c r="A2151" s="250"/>
      <c r="B2151" s="154"/>
      <c r="C2151" s="154"/>
      <c r="D2151" s="154"/>
      <c r="E2151" s="196"/>
      <c r="F2151" s="152"/>
      <c r="G2151" s="152"/>
      <c r="H2151" s="153"/>
      <c r="I2151" s="154"/>
      <c r="J2151" s="155"/>
    </row>
    <row r="2152" ht="22.5" customHeight="1">
      <c r="A2152" s="202"/>
      <c r="B2152" s="146"/>
      <c r="C2152" s="146"/>
      <c r="D2152" s="146"/>
      <c r="E2152" s="197"/>
      <c r="F2152" s="144"/>
      <c r="G2152" s="144"/>
      <c r="H2152" s="145"/>
      <c r="I2152" s="146"/>
      <c r="J2152" s="147"/>
    </row>
    <row r="2153" ht="22.5" customHeight="1">
      <c r="A2153" s="250"/>
      <c r="B2153" s="154"/>
      <c r="C2153" s="154"/>
      <c r="D2153" s="154"/>
      <c r="E2153" s="196"/>
      <c r="F2153" s="152"/>
      <c r="G2153" s="152"/>
      <c r="H2153" s="153"/>
      <c r="I2153" s="154"/>
      <c r="J2153" s="155"/>
    </row>
    <row r="2154" ht="22.5" customHeight="1">
      <c r="A2154" s="202"/>
      <c r="B2154" s="146"/>
      <c r="C2154" s="146"/>
      <c r="D2154" s="146"/>
      <c r="E2154" s="197"/>
      <c r="F2154" s="144"/>
      <c r="G2154" s="144"/>
      <c r="H2154" s="145"/>
      <c r="I2154" s="146"/>
      <c r="J2154" s="147"/>
    </row>
    <row r="2155" ht="22.5" customHeight="1">
      <c r="A2155" s="250"/>
      <c r="B2155" s="154"/>
      <c r="C2155" s="154"/>
      <c r="D2155" s="154"/>
      <c r="E2155" s="196"/>
      <c r="F2155" s="152"/>
      <c r="G2155" s="152"/>
      <c r="H2155" s="153"/>
      <c r="I2155" s="154"/>
      <c r="J2155" s="155"/>
    </row>
    <row r="2156" ht="22.5" customHeight="1">
      <c r="A2156" s="202"/>
      <c r="B2156" s="146"/>
      <c r="C2156" s="146"/>
      <c r="D2156" s="146"/>
      <c r="E2156" s="197"/>
      <c r="F2156" s="144"/>
      <c r="G2156" s="144"/>
      <c r="H2156" s="145"/>
      <c r="I2156" s="146"/>
      <c r="J2156" s="147"/>
    </row>
    <row r="2157" ht="22.5" customHeight="1">
      <c r="A2157" s="250"/>
      <c r="B2157" s="154"/>
      <c r="C2157" s="154"/>
      <c r="D2157" s="154"/>
      <c r="E2157" s="196"/>
      <c r="F2157" s="152"/>
      <c r="G2157" s="152"/>
      <c r="H2157" s="153"/>
      <c r="I2157" s="154"/>
      <c r="J2157" s="155"/>
    </row>
    <row r="2158" ht="22.5" customHeight="1">
      <c r="A2158" s="202"/>
      <c r="B2158" s="146"/>
      <c r="C2158" s="146"/>
      <c r="D2158" s="146"/>
      <c r="E2158" s="197"/>
      <c r="F2158" s="144"/>
      <c r="G2158" s="144"/>
      <c r="H2158" s="145"/>
      <c r="I2158" s="146"/>
      <c r="J2158" s="147"/>
    </row>
    <row r="2159" ht="22.5" customHeight="1">
      <c r="A2159" s="250"/>
      <c r="B2159" s="154"/>
      <c r="C2159" s="154"/>
      <c r="D2159" s="154"/>
      <c r="E2159" s="196"/>
      <c r="F2159" s="152"/>
      <c r="G2159" s="152"/>
      <c r="H2159" s="153"/>
      <c r="I2159" s="154"/>
      <c r="J2159" s="155"/>
    </row>
    <row r="2160" ht="22.5" customHeight="1">
      <c r="A2160" s="202"/>
      <c r="B2160" s="146"/>
      <c r="C2160" s="146"/>
      <c r="D2160" s="146"/>
      <c r="E2160" s="197"/>
      <c r="F2160" s="144"/>
      <c r="G2160" s="144"/>
      <c r="H2160" s="145"/>
      <c r="I2160" s="146"/>
      <c r="J2160" s="147"/>
    </row>
    <row r="2161" ht="22.5" customHeight="1">
      <c r="A2161" s="250"/>
      <c r="B2161" s="154"/>
      <c r="C2161" s="154"/>
      <c r="D2161" s="154"/>
      <c r="E2161" s="196"/>
      <c r="F2161" s="152"/>
      <c r="G2161" s="152"/>
      <c r="H2161" s="153"/>
      <c r="I2161" s="154"/>
      <c r="J2161" s="155"/>
    </row>
    <row r="2162" ht="22.5" customHeight="1">
      <c r="A2162" s="202"/>
      <c r="B2162" s="146"/>
      <c r="C2162" s="146"/>
      <c r="D2162" s="146"/>
      <c r="E2162" s="197"/>
      <c r="F2162" s="144"/>
      <c r="G2162" s="144"/>
      <c r="H2162" s="145"/>
      <c r="I2162" s="146"/>
      <c r="J2162" s="147"/>
    </row>
    <row r="2163" ht="22.5" customHeight="1">
      <c r="A2163" s="250"/>
      <c r="B2163" s="154"/>
      <c r="C2163" s="154"/>
      <c r="D2163" s="154"/>
      <c r="E2163" s="196"/>
      <c r="F2163" s="152"/>
      <c r="G2163" s="152"/>
      <c r="H2163" s="153"/>
      <c r="I2163" s="154"/>
      <c r="J2163" s="155"/>
    </row>
    <row r="2164" ht="22.5" customHeight="1">
      <c r="A2164" s="202"/>
      <c r="B2164" s="146"/>
      <c r="C2164" s="146"/>
      <c r="D2164" s="146"/>
      <c r="E2164" s="197"/>
      <c r="F2164" s="144"/>
      <c r="G2164" s="144"/>
      <c r="H2164" s="145"/>
      <c r="I2164" s="146"/>
      <c r="J2164" s="147"/>
    </row>
    <row r="2165" ht="22.5" customHeight="1">
      <c r="A2165" s="250"/>
      <c r="B2165" s="154"/>
      <c r="C2165" s="154"/>
      <c r="D2165" s="154"/>
      <c r="E2165" s="196"/>
      <c r="F2165" s="152"/>
      <c r="G2165" s="152"/>
      <c r="H2165" s="153"/>
      <c r="I2165" s="154"/>
      <c r="J2165" s="155"/>
    </row>
    <row r="2166" ht="22.5" customHeight="1">
      <c r="A2166" s="202"/>
      <c r="B2166" s="146"/>
      <c r="C2166" s="146"/>
      <c r="D2166" s="146"/>
      <c r="E2166" s="197"/>
      <c r="F2166" s="144"/>
      <c r="G2166" s="144"/>
      <c r="H2166" s="145"/>
      <c r="I2166" s="146"/>
      <c r="J2166" s="147"/>
    </row>
    <row r="2167" ht="22.5" customHeight="1">
      <c r="A2167" s="250"/>
      <c r="B2167" s="154"/>
      <c r="C2167" s="154"/>
      <c r="D2167" s="154"/>
      <c r="E2167" s="196"/>
      <c r="F2167" s="152"/>
      <c r="G2167" s="152"/>
      <c r="H2167" s="153"/>
      <c r="I2167" s="154"/>
      <c r="J2167" s="155"/>
    </row>
    <row r="2168" ht="22.5" customHeight="1">
      <c r="A2168" s="202"/>
      <c r="B2168" s="146"/>
      <c r="C2168" s="146"/>
      <c r="D2168" s="146"/>
      <c r="E2168" s="197"/>
      <c r="F2168" s="144"/>
      <c r="G2168" s="144"/>
      <c r="H2168" s="145"/>
      <c r="I2168" s="146"/>
      <c r="J2168" s="147"/>
    </row>
    <row r="2169" ht="22.5" customHeight="1">
      <c r="A2169" s="250"/>
      <c r="B2169" s="154"/>
      <c r="C2169" s="154"/>
      <c r="D2169" s="154"/>
      <c r="E2169" s="196"/>
      <c r="F2169" s="152"/>
      <c r="G2169" s="152"/>
      <c r="H2169" s="153"/>
      <c r="I2169" s="154"/>
      <c r="J2169" s="155"/>
    </row>
    <row r="2170" ht="22.5" customHeight="1">
      <c r="A2170" s="202"/>
      <c r="B2170" s="146"/>
      <c r="C2170" s="146"/>
      <c r="D2170" s="146"/>
      <c r="E2170" s="197"/>
      <c r="F2170" s="144"/>
      <c r="G2170" s="144"/>
      <c r="H2170" s="145"/>
      <c r="I2170" s="146"/>
      <c r="J2170" s="147"/>
    </row>
    <row r="2171" ht="22.5" customHeight="1">
      <c r="A2171" s="250"/>
      <c r="B2171" s="154"/>
      <c r="C2171" s="154"/>
      <c r="D2171" s="154"/>
      <c r="E2171" s="196"/>
      <c r="F2171" s="152"/>
      <c r="G2171" s="152"/>
      <c r="H2171" s="153"/>
      <c r="I2171" s="154"/>
      <c r="J2171" s="155"/>
    </row>
    <row r="2172" ht="22.5" customHeight="1">
      <c r="A2172" s="202"/>
      <c r="B2172" s="146"/>
      <c r="C2172" s="146"/>
      <c r="D2172" s="146"/>
      <c r="E2172" s="197"/>
      <c r="F2172" s="144"/>
      <c r="G2172" s="144"/>
      <c r="H2172" s="145"/>
      <c r="I2172" s="146"/>
      <c r="J2172" s="147"/>
    </row>
    <row r="2173" ht="22.5" customHeight="1">
      <c r="A2173" s="250"/>
      <c r="B2173" s="154"/>
      <c r="C2173" s="154"/>
      <c r="D2173" s="154"/>
      <c r="E2173" s="196"/>
      <c r="F2173" s="152"/>
      <c r="G2173" s="152"/>
      <c r="H2173" s="153"/>
      <c r="I2173" s="154"/>
      <c r="J2173" s="155"/>
    </row>
    <row r="2174" ht="22.5" customHeight="1">
      <c r="A2174" s="202"/>
      <c r="B2174" s="146"/>
      <c r="C2174" s="146"/>
      <c r="D2174" s="146"/>
      <c r="E2174" s="197"/>
      <c r="F2174" s="144"/>
      <c r="G2174" s="144"/>
      <c r="H2174" s="145"/>
      <c r="I2174" s="146"/>
      <c r="J2174" s="147"/>
    </row>
    <row r="2175" ht="22.5" customHeight="1">
      <c r="A2175" s="250"/>
      <c r="B2175" s="154"/>
      <c r="C2175" s="154"/>
      <c r="D2175" s="154"/>
      <c r="E2175" s="196"/>
      <c r="F2175" s="152"/>
      <c r="G2175" s="152"/>
      <c r="H2175" s="153"/>
      <c r="I2175" s="154"/>
      <c r="J2175" s="155"/>
    </row>
    <row r="2176" ht="22.5" customHeight="1">
      <c r="A2176" s="202"/>
      <c r="B2176" s="146"/>
      <c r="C2176" s="146"/>
      <c r="D2176" s="146"/>
      <c r="E2176" s="197"/>
      <c r="F2176" s="144"/>
      <c r="G2176" s="144"/>
      <c r="H2176" s="145"/>
      <c r="I2176" s="146"/>
      <c r="J2176" s="147"/>
    </row>
    <row r="2177" ht="22.5" customHeight="1">
      <c r="A2177" s="250"/>
      <c r="B2177" s="154"/>
      <c r="C2177" s="154"/>
      <c r="D2177" s="154"/>
      <c r="E2177" s="196"/>
      <c r="F2177" s="152"/>
      <c r="G2177" s="152"/>
      <c r="H2177" s="153"/>
      <c r="I2177" s="154"/>
      <c r="J2177" s="155"/>
    </row>
    <row r="2178" ht="22.5" customHeight="1">
      <c r="A2178" s="202"/>
      <c r="B2178" s="146"/>
      <c r="C2178" s="146"/>
      <c r="D2178" s="146"/>
      <c r="E2178" s="197"/>
      <c r="F2178" s="144"/>
      <c r="G2178" s="144"/>
      <c r="H2178" s="145"/>
      <c r="I2178" s="146"/>
      <c r="J2178" s="147"/>
    </row>
    <row r="2179" ht="22.5" customHeight="1">
      <c r="A2179" s="250"/>
      <c r="B2179" s="154"/>
      <c r="C2179" s="154"/>
      <c r="D2179" s="154"/>
      <c r="E2179" s="196"/>
      <c r="F2179" s="152"/>
      <c r="G2179" s="152"/>
      <c r="H2179" s="153"/>
      <c r="I2179" s="154"/>
      <c r="J2179" s="155"/>
    </row>
    <row r="2180" ht="22.5" customHeight="1">
      <c r="A2180" s="202"/>
      <c r="B2180" s="146"/>
      <c r="C2180" s="146"/>
      <c r="D2180" s="146"/>
      <c r="E2180" s="197"/>
      <c r="F2180" s="144"/>
      <c r="G2180" s="144"/>
      <c r="H2180" s="145"/>
      <c r="I2180" s="146"/>
      <c r="J2180" s="147"/>
    </row>
    <row r="2181" ht="22.5" customHeight="1">
      <c r="A2181" s="250"/>
      <c r="B2181" s="154"/>
      <c r="C2181" s="154"/>
      <c r="D2181" s="154"/>
      <c r="E2181" s="196"/>
      <c r="F2181" s="152"/>
      <c r="G2181" s="152"/>
      <c r="H2181" s="153"/>
      <c r="I2181" s="154"/>
      <c r="J2181" s="155"/>
    </row>
    <row r="2182" ht="22.5" customHeight="1">
      <c r="A2182" s="202"/>
      <c r="B2182" s="146"/>
      <c r="C2182" s="146"/>
      <c r="D2182" s="146"/>
      <c r="E2182" s="197"/>
      <c r="F2182" s="144"/>
      <c r="G2182" s="144"/>
      <c r="H2182" s="145"/>
      <c r="I2182" s="146"/>
      <c r="J2182" s="147"/>
    </row>
    <row r="2183" ht="22.5" customHeight="1">
      <c r="A2183" s="250"/>
      <c r="B2183" s="154"/>
      <c r="C2183" s="154"/>
      <c r="D2183" s="154"/>
      <c r="E2183" s="196"/>
      <c r="F2183" s="152"/>
      <c r="G2183" s="152"/>
      <c r="H2183" s="153"/>
      <c r="I2183" s="154"/>
      <c r="J2183" s="155"/>
    </row>
    <row r="2184" ht="22.5" customHeight="1">
      <c r="A2184" s="202"/>
      <c r="B2184" s="146"/>
      <c r="C2184" s="146"/>
      <c r="D2184" s="146"/>
      <c r="E2184" s="197"/>
      <c r="F2184" s="144"/>
      <c r="G2184" s="144"/>
      <c r="H2184" s="145"/>
      <c r="I2184" s="146"/>
      <c r="J2184" s="147"/>
    </row>
    <row r="2185" ht="22.5" customHeight="1">
      <c r="A2185" s="250"/>
      <c r="B2185" s="154"/>
      <c r="C2185" s="154"/>
      <c r="D2185" s="154"/>
      <c r="E2185" s="196"/>
      <c r="F2185" s="152"/>
      <c r="G2185" s="152"/>
      <c r="H2185" s="153"/>
      <c r="I2185" s="154"/>
      <c r="J2185" s="155"/>
    </row>
    <row r="2186" ht="22.5" customHeight="1">
      <c r="A2186" s="202"/>
      <c r="B2186" s="146"/>
      <c r="C2186" s="146"/>
      <c r="D2186" s="146"/>
      <c r="E2186" s="197"/>
      <c r="F2186" s="144"/>
      <c r="G2186" s="144"/>
      <c r="H2186" s="145"/>
      <c r="I2186" s="146"/>
      <c r="J2186" s="147"/>
    </row>
    <row r="2187" ht="22.5" customHeight="1">
      <c r="A2187" s="250"/>
      <c r="B2187" s="154"/>
      <c r="C2187" s="154"/>
      <c r="D2187" s="154"/>
      <c r="E2187" s="196"/>
      <c r="F2187" s="152"/>
      <c r="G2187" s="152"/>
      <c r="H2187" s="153"/>
      <c r="I2187" s="154"/>
      <c r="J2187" s="155"/>
    </row>
    <row r="2188" ht="22.5" customHeight="1">
      <c r="A2188" s="202"/>
      <c r="B2188" s="146"/>
      <c r="C2188" s="146"/>
      <c r="D2188" s="146"/>
      <c r="E2188" s="197"/>
      <c r="F2188" s="144"/>
      <c r="G2188" s="144"/>
      <c r="H2188" s="145"/>
      <c r="I2188" s="146"/>
      <c r="J2188" s="147"/>
    </row>
    <row r="2189" ht="22.5" customHeight="1">
      <c r="A2189" s="250"/>
      <c r="B2189" s="154"/>
      <c r="C2189" s="154"/>
      <c r="D2189" s="154"/>
      <c r="E2189" s="196"/>
      <c r="F2189" s="152"/>
      <c r="G2189" s="152"/>
      <c r="H2189" s="153"/>
      <c r="I2189" s="154"/>
      <c r="J2189" s="155"/>
    </row>
    <row r="2190" ht="22.5" customHeight="1">
      <c r="A2190" s="202"/>
      <c r="B2190" s="146"/>
      <c r="C2190" s="146"/>
      <c r="D2190" s="146"/>
      <c r="E2190" s="197"/>
      <c r="F2190" s="144"/>
      <c r="G2190" s="144"/>
      <c r="H2190" s="145"/>
      <c r="I2190" s="146"/>
      <c r="J2190" s="147"/>
    </row>
    <row r="2191" ht="22.5" customHeight="1">
      <c r="A2191" s="250"/>
      <c r="B2191" s="154"/>
      <c r="C2191" s="154"/>
      <c r="D2191" s="154"/>
      <c r="E2191" s="196"/>
      <c r="F2191" s="152"/>
      <c r="G2191" s="152"/>
      <c r="H2191" s="153"/>
      <c r="I2191" s="154"/>
      <c r="J2191" s="155"/>
    </row>
    <row r="2192" ht="22.5" customHeight="1">
      <c r="A2192" s="202"/>
      <c r="B2192" s="146"/>
      <c r="C2192" s="146"/>
      <c r="D2192" s="146"/>
      <c r="E2192" s="197"/>
      <c r="F2192" s="144"/>
      <c r="G2192" s="144"/>
      <c r="H2192" s="145"/>
      <c r="I2192" s="146"/>
      <c r="J2192" s="147"/>
    </row>
    <row r="2193" ht="22.5" customHeight="1">
      <c r="A2193" s="250"/>
      <c r="B2193" s="154"/>
      <c r="C2193" s="154"/>
      <c r="D2193" s="154"/>
      <c r="E2193" s="196"/>
      <c r="F2193" s="152"/>
      <c r="G2193" s="152"/>
      <c r="H2193" s="153"/>
      <c r="I2193" s="154"/>
      <c r="J2193" s="155"/>
    </row>
    <row r="2194" ht="22.5" customHeight="1">
      <c r="A2194" s="202"/>
      <c r="B2194" s="146"/>
      <c r="C2194" s="146"/>
      <c r="D2194" s="146"/>
      <c r="E2194" s="197"/>
      <c r="F2194" s="144"/>
      <c r="G2194" s="144"/>
      <c r="H2194" s="145"/>
      <c r="I2194" s="146"/>
      <c r="J2194" s="147"/>
    </row>
    <row r="2195" ht="22.5" customHeight="1">
      <c r="A2195" s="250"/>
      <c r="B2195" s="154"/>
      <c r="C2195" s="154"/>
      <c r="D2195" s="154"/>
      <c r="E2195" s="196"/>
      <c r="F2195" s="152"/>
      <c r="G2195" s="152"/>
      <c r="H2195" s="153"/>
      <c r="I2195" s="154"/>
      <c r="J2195" s="155"/>
    </row>
    <row r="2196" ht="22.5" customHeight="1">
      <c r="A2196" s="202"/>
      <c r="B2196" s="146"/>
      <c r="C2196" s="146"/>
      <c r="D2196" s="146"/>
      <c r="E2196" s="197"/>
      <c r="F2196" s="144"/>
      <c r="G2196" s="144"/>
      <c r="H2196" s="145"/>
      <c r="I2196" s="146"/>
      <c r="J2196" s="147"/>
    </row>
    <row r="2197" ht="22.5" customHeight="1">
      <c r="A2197" s="250"/>
      <c r="B2197" s="154"/>
      <c r="C2197" s="154"/>
      <c r="D2197" s="154"/>
      <c r="E2197" s="196"/>
      <c r="F2197" s="152"/>
      <c r="G2197" s="152"/>
      <c r="H2197" s="153"/>
      <c r="I2197" s="154"/>
      <c r="J2197" s="155"/>
    </row>
    <row r="2198" ht="22.5" customHeight="1">
      <c r="A2198" s="202"/>
      <c r="B2198" s="146"/>
      <c r="C2198" s="146"/>
      <c r="D2198" s="146"/>
      <c r="E2198" s="197"/>
      <c r="F2198" s="144"/>
      <c r="G2198" s="144"/>
      <c r="H2198" s="145"/>
      <c r="I2198" s="146"/>
      <c r="J2198" s="147"/>
    </row>
    <row r="2199" ht="22.5" customHeight="1">
      <c r="A2199" s="250"/>
      <c r="B2199" s="154"/>
      <c r="C2199" s="154"/>
      <c r="D2199" s="154"/>
      <c r="E2199" s="196"/>
      <c r="F2199" s="152"/>
      <c r="G2199" s="152"/>
      <c r="H2199" s="153"/>
      <c r="I2199" s="154"/>
      <c r="J2199" s="155"/>
    </row>
    <row r="2200" ht="22.5" customHeight="1">
      <c r="A2200" s="202"/>
      <c r="B2200" s="146"/>
      <c r="C2200" s="146"/>
      <c r="D2200" s="146"/>
      <c r="E2200" s="197"/>
      <c r="F2200" s="144"/>
      <c r="G2200" s="144"/>
      <c r="H2200" s="145"/>
      <c r="I2200" s="146"/>
      <c r="J2200" s="147"/>
    </row>
    <row r="2201" ht="22.5" customHeight="1">
      <c r="A2201" s="250"/>
      <c r="B2201" s="154"/>
      <c r="C2201" s="154"/>
      <c r="D2201" s="154"/>
      <c r="E2201" s="196"/>
      <c r="F2201" s="152"/>
      <c r="G2201" s="152"/>
      <c r="H2201" s="153"/>
      <c r="I2201" s="154"/>
      <c r="J2201" s="155"/>
    </row>
    <row r="2202" ht="22.5" customHeight="1">
      <c r="A2202" s="202"/>
      <c r="B2202" s="146"/>
      <c r="C2202" s="146"/>
      <c r="D2202" s="146"/>
      <c r="E2202" s="197"/>
      <c r="F2202" s="144"/>
      <c r="G2202" s="144"/>
      <c r="H2202" s="145"/>
      <c r="I2202" s="146"/>
      <c r="J2202" s="147"/>
    </row>
    <row r="2203" ht="22.5" customHeight="1">
      <c r="A2203" s="250"/>
      <c r="B2203" s="154"/>
      <c r="C2203" s="154"/>
      <c r="D2203" s="154"/>
      <c r="E2203" s="196"/>
      <c r="F2203" s="152"/>
      <c r="G2203" s="152"/>
      <c r="H2203" s="153"/>
      <c r="I2203" s="154"/>
      <c r="J2203" s="155"/>
    </row>
    <row r="2204" ht="22.5" customHeight="1">
      <c r="A2204" s="202"/>
      <c r="B2204" s="146"/>
      <c r="C2204" s="146"/>
      <c r="D2204" s="146"/>
      <c r="E2204" s="197"/>
      <c r="F2204" s="144"/>
      <c r="G2204" s="144"/>
      <c r="H2204" s="145"/>
      <c r="I2204" s="146"/>
      <c r="J2204" s="147"/>
    </row>
    <row r="2205" ht="22.5" customHeight="1">
      <c r="A2205" s="250"/>
      <c r="B2205" s="154"/>
      <c r="C2205" s="154"/>
      <c r="D2205" s="154"/>
      <c r="E2205" s="196"/>
      <c r="F2205" s="152"/>
      <c r="G2205" s="152"/>
      <c r="H2205" s="153"/>
      <c r="I2205" s="154"/>
      <c r="J2205" s="155"/>
    </row>
    <row r="2206" ht="22.5" customHeight="1">
      <c r="A2206" s="202"/>
      <c r="B2206" s="146"/>
      <c r="C2206" s="146"/>
      <c r="D2206" s="146"/>
      <c r="E2206" s="197"/>
      <c r="F2206" s="144"/>
      <c r="G2206" s="144"/>
      <c r="H2206" s="145"/>
      <c r="I2206" s="146"/>
      <c r="J2206" s="147"/>
    </row>
    <row r="2207" ht="22.5" customHeight="1">
      <c r="A2207" s="250"/>
      <c r="B2207" s="154"/>
      <c r="C2207" s="154"/>
      <c r="D2207" s="154"/>
      <c r="E2207" s="196"/>
      <c r="F2207" s="152"/>
      <c r="G2207" s="152"/>
      <c r="H2207" s="153"/>
      <c r="I2207" s="154"/>
      <c r="J2207" s="155"/>
    </row>
    <row r="2208" ht="22.5" customHeight="1">
      <c r="A2208" s="202"/>
      <c r="B2208" s="146"/>
      <c r="C2208" s="146"/>
      <c r="D2208" s="146"/>
      <c r="E2208" s="197"/>
      <c r="F2208" s="144"/>
      <c r="G2208" s="144"/>
      <c r="H2208" s="145"/>
      <c r="I2208" s="146"/>
      <c r="J2208" s="147"/>
    </row>
    <row r="2209" ht="22.5" customHeight="1">
      <c r="A2209" s="250"/>
      <c r="B2209" s="154"/>
      <c r="C2209" s="154"/>
      <c r="D2209" s="154"/>
      <c r="E2209" s="196"/>
      <c r="F2209" s="152"/>
      <c r="G2209" s="152"/>
      <c r="H2209" s="153"/>
      <c r="I2209" s="154"/>
      <c r="J2209" s="155"/>
    </row>
    <row r="2210" ht="22.5" customHeight="1">
      <c r="A2210" s="202"/>
      <c r="B2210" s="146"/>
      <c r="C2210" s="146"/>
      <c r="D2210" s="146"/>
      <c r="E2210" s="197"/>
      <c r="F2210" s="144"/>
      <c r="G2210" s="144"/>
      <c r="H2210" s="145"/>
      <c r="I2210" s="146"/>
      <c r="J2210" s="147"/>
    </row>
    <row r="2211" ht="22.5" customHeight="1">
      <c r="A2211" s="250"/>
      <c r="B2211" s="154"/>
      <c r="C2211" s="154"/>
      <c r="D2211" s="154"/>
      <c r="E2211" s="196"/>
      <c r="F2211" s="152"/>
      <c r="G2211" s="152"/>
      <c r="H2211" s="153"/>
      <c r="I2211" s="154"/>
      <c r="J2211" s="155"/>
    </row>
    <row r="2212" ht="22.5" customHeight="1">
      <c r="A2212" s="202"/>
      <c r="B2212" s="146"/>
      <c r="C2212" s="146"/>
      <c r="D2212" s="146"/>
      <c r="E2212" s="197"/>
      <c r="F2212" s="144"/>
      <c r="G2212" s="144"/>
      <c r="H2212" s="145"/>
      <c r="I2212" s="146"/>
      <c r="J2212" s="147"/>
    </row>
    <row r="2213" ht="22.5" customHeight="1">
      <c r="A2213" s="250"/>
      <c r="B2213" s="154"/>
      <c r="C2213" s="154"/>
      <c r="D2213" s="154"/>
      <c r="E2213" s="196"/>
      <c r="F2213" s="152"/>
      <c r="G2213" s="152"/>
      <c r="H2213" s="153"/>
      <c r="I2213" s="154"/>
      <c r="J2213" s="155"/>
    </row>
    <row r="2214" ht="22.5" customHeight="1">
      <c r="A2214" s="202"/>
      <c r="B2214" s="146"/>
      <c r="C2214" s="146"/>
      <c r="D2214" s="146"/>
      <c r="E2214" s="197"/>
      <c r="F2214" s="144"/>
      <c r="G2214" s="144"/>
      <c r="H2214" s="145"/>
      <c r="I2214" s="146"/>
      <c r="J2214" s="147"/>
    </row>
    <row r="2215" ht="22.5" customHeight="1">
      <c r="A2215" s="250"/>
      <c r="B2215" s="154"/>
      <c r="C2215" s="154"/>
      <c r="D2215" s="154"/>
      <c r="E2215" s="196"/>
      <c r="F2215" s="152"/>
      <c r="G2215" s="152"/>
      <c r="H2215" s="153"/>
      <c r="I2215" s="154"/>
      <c r="J2215" s="155"/>
    </row>
    <row r="2216" ht="22.5" customHeight="1">
      <c r="A2216" s="202"/>
      <c r="B2216" s="146"/>
      <c r="C2216" s="146"/>
      <c r="D2216" s="146"/>
      <c r="E2216" s="197"/>
      <c r="F2216" s="144"/>
      <c r="G2216" s="144"/>
      <c r="H2216" s="145"/>
      <c r="I2216" s="146"/>
      <c r="J2216" s="147"/>
    </row>
    <row r="2217" ht="22.5" customHeight="1">
      <c r="A2217" s="250"/>
      <c r="B2217" s="154"/>
      <c r="C2217" s="154"/>
      <c r="D2217" s="154"/>
      <c r="E2217" s="196"/>
      <c r="F2217" s="152"/>
      <c r="G2217" s="152"/>
      <c r="H2217" s="153"/>
      <c r="I2217" s="154"/>
      <c r="J2217" s="155"/>
    </row>
    <row r="2218" ht="22.5" customHeight="1">
      <c r="A2218" s="202"/>
      <c r="B2218" s="146"/>
      <c r="C2218" s="146"/>
      <c r="D2218" s="146"/>
      <c r="E2218" s="197"/>
      <c r="F2218" s="144"/>
      <c r="G2218" s="144"/>
      <c r="H2218" s="145"/>
      <c r="I2218" s="146"/>
      <c r="J2218" s="147"/>
    </row>
    <row r="2219" ht="22.5" customHeight="1">
      <c r="A2219" s="250"/>
      <c r="B2219" s="154"/>
      <c r="C2219" s="154"/>
      <c r="D2219" s="154"/>
      <c r="E2219" s="196"/>
      <c r="F2219" s="152"/>
      <c r="G2219" s="152"/>
      <c r="H2219" s="153"/>
      <c r="I2219" s="154"/>
      <c r="J2219" s="155"/>
    </row>
    <row r="2220" ht="22.5" customHeight="1">
      <c r="A2220" s="202"/>
      <c r="B2220" s="146"/>
      <c r="C2220" s="146"/>
      <c r="D2220" s="146"/>
      <c r="E2220" s="197"/>
      <c r="F2220" s="144"/>
      <c r="G2220" s="144"/>
      <c r="H2220" s="145"/>
      <c r="I2220" s="146"/>
      <c r="J2220" s="147"/>
    </row>
    <row r="2221" ht="22.5" customHeight="1">
      <c r="A2221" s="250"/>
      <c r="B2221" s="154"/>
      <c r="C2221" s="154"/>
      <c r="D2221" s="154"/>
      <c r="E2221" s="196"/>
      <c r="F2221" s="152"/>
      <c r="G2221" s="152"/>
      <c r="H2221" s="153"/>
      <c r="I2221" s="154"/>
      <c r="J2221" s="155"/>
    </row>
    <row r="2222" ht="22.5" customHeight="1">
      <c r="A2222" s="202"/>
      <c r="B2222" s="146"/>
      <c r="C2222" s="146"/>
      <c r="D2222" s="146"/>
      <c r="E2222" s="197"/>
      <c r="F2222" s="144"/>
      <c r="G2222" s="144"/>
      <c r="H2222" s="145"/>
      <c r="I2222" s="146"/>
      <c r="J2222" s="147"/>
    </row>
    <row r="2223" ht="22.5" customHeight="1">
      <c r="A2223" s="250"/>
      <c r="B2223" s="154"/>
      <c r="C2223" s="154"/>
      <c r="D2223" s="154"/>
      <c r="E2223" s="196"/>
      <c r="F2223" s="152"/>
      <c r="G2223" s="152"/>
      <c r="H2223" s="153"/>
      <c r="I2223" s="154"/>
      <c r="J2223" s="155"/>
    </row>
    <row r="2224" ht="22.5" customHeight="1">
      <c r="A2224" s="202"/>
      <c r="B2224" s="146"/>
      <c r="C2224" s="146"/>
      <c r="D2224" s="146"/>
      <c r="E2224" s="197"/>
      <c r="F2224" s="144"/>
      <c r="G2224" s="144"/>
      <c r="H2224" s="145"/>
      <c r="I2224" s="146"/>
      <c r="J2224" s="147"/>
    </row>
    <row r="2225" ht="22.5" customHeight="1">
      <c r="A2225" s="251"/>
      <c r="B2225" s="252"/>
      <c r="C2225" s="252"/>
      <c r="D2225" s="252"/>
      <c r="E2225" s="253"/>
      <c r="F2225" s="254"/>
      <c r="G2225" s="254"/>
      <c r="H2225" s="255"/>
      <c r="I2225" s="252"/>
      <c r="J2225" s="256"/>
    </row>
  </sheetData>
  <dataValidations>
    <dataValidation type="list" allowBlank="1" sqref="G2:G2225">
      <formula1>"Low,Mid,High"</formula1>
    </dataValidation>
    <dataValidation allowBlank="1" showDropDown="1" sqref="C2:C2225 I2:I2225"/>
    <dataValidation type="list" allowBlank="1" sqref="F2:F2225">
      <formula1>"Awaiting Response,Closed - Won,Closed - Lost,Form Filled,Please call later,Call is due"</formula1>
    </dataValidation>
    <dataValidation type="custom" allowBlank="1" showDropDown="1" sqref="H2:H2225">
      <formula1>AND(ISNUMBER(H2),(NOT(OR(NOT(ISERROR(DATEVALUE(H2))), AND(ISNUMBER(H2), LEFT(CELL("format", H2))="D")))))</formula1>
    </dataValidation>
    <dataValidation allowBlank="1" showDropDown="1" sqref="D2:D2225"/>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4496</v>
      </c>
      <c r="B1" s="138" t="s">
        <v>0</v>
      </c>
      <c r="C1" s="138" t="s">
        <v>1</v>
      </c>
      <c r="D1" s="138" t="s">
        <v>4497</v>
      </c>
      <c r="E1" s="138" t="s">
        <v>4498</v>
      </c>
      <c r="F1" s="138" t="s">
        <v>4499</v>
      </c>
      <c r="G1" s="138" t="s">
        <v>4</v>
      </c>
      <c r="H1" s="138" t="s">
        <v>4500</v>
      </c>
      <c r="I1" s="138" t="s">
        <v>4501</v>
      </c>
      <c r="J1" s="138" t="s">
        <v>4502</v>
      </c>
      <c r="K1" s="138" t="s">
        <v>4503</v>
      </c>
      <c r="L1" s="138" t="s">
        <v>13</v>
      </c>
    </row>
    <row r="2" ht="22.5" customHeight="1">
      <c r="A2" s="140" t="s">
        <v>4504</v>
      </c>
      <c r="B2" s="141" t="s">
        <v>4505</v>
      </c>
      <c r="C2" s="141" t="s">
        <v>4506</v>
      </c>
      <c r="D2" s="217" t="s">
        <v>4507</v>
      </c>
      <c r="E2" s="217" t="s">
        <v>2096</v>
      </c>
      <c r="F2" s="142">
        <v>45543.0</v>
      </c>
      <c r="G2" s="169" t="s">
        <v>49</v>
      </c>
      <c r="H2" s="144"/>
      <c r="I2" s="197"/>
      <c r="J2" s="197"/>
      <c r="K2" s="197"/>
      <c r="L2" s="257"/>
    </row>
    <row r="3" ht="22.5" customHeight="1">
      <c r="A3" s="148" t="s">
        <v>4508</v>
      </c>
      <c r="B3" s="149" t="s">
        <v>637</v>
      </c>
      <c r="C3" s="149" t="s">
        <v>4509</v>
      </c>
      <c r="D3" s="258" t="s">
        <v>4507</v>
      </c>
      <c r="E3" s="258" t="s">
        <v>2096</v>
      </c>
      <c r="F3" s="196"/>
      <c r="G3" s="213" t="s">
        <v>40</v>
      </c>
      <c r="H3" s="152"/>
      <c r="I3" s="196"/>
      <c r="J3" s="196"/>
      <c r="K3" s="196"/>
      <c r="L3" s="259"/>
    </row>
    <row r="4" ht="22.5" customHeight="1">
      <c r="A4" s="140" t="s">
        <v>4504</v>
      </c>
      <c r="B4" s="141" t="s">
        <v>4510</v>
      </c>
      <c r="C4" s="141" t="s">
        <v>4511</v>
      </c>
      <c r="D4" s="217" t="s">
        <v>4507</v>
      </c>
      <c r="E4" s="217" t="s">
        <v>2096</v>
      </c>
      <c r="F4" s="142">
        <v>45543.0</v>
      </c>
      <c r="G4" s="169" t="s">
        <v>49</v>
      </c>
      <c r="H4" s="144"/>
      <c r="I4" s="197"/>
      <c r="J4" s="197"/>
      <c r="K4" s="197"/>
      <c r="L4" s="257"/>
    </row>
    <row r="5" ht="22.5" customHeight="1">
      <c r="A5" s="148" t="s">
        <v>4508</v>
      </c>
      <c r="B5" s="149" t="s">
        <v>4512</v>
      </c>
      <c r="C5" s="149" t="s">
        <v>4513</v>
      </c>
      <c r="D5" s="258" t="s">
        <v>4507</v>
      </c>
      <c r="E5" s="258" t="s">
        <v>2096</v>
      </c>
      <c r="F5" s="150">
        <v>45543.0</v>
      </c>
      <c r="G5" s="214" t="s">
        <v>17</v>
      </c>
      <c r="H5" s="152"/>
      <c r="I5" s="196"/>
      <c r="J5" s="196"/>
      <c r="K5" s="196"/>
      <c r="L5" s="259"/>
    </row>
    <row r="6" ht="22.5" customHeight="1">
      <c r="A6" s="140" t="s">
        <v>4504</v>
      </c>
      <c r="B6" s="141" t="s">
        <v>4514</v>
      </c>
      <c r="C6" s="141" t="s">
        <v>4515</v>
      </c>
      <c r="D6" s="217" t="s">
        <v>4507</v>
      </c>
      <c r="E6" s="217" t="s">
        <v>2096</v>
      </c>
      <c r="F6" s="142">
        <v>45543.0</v>
      </c>
      <c r="G6" s="156" t="s">
        <v>635</v>
      </c>
      <c r="H6" s="144"/>
      <c r="I6" s="197"/>
      <c r="J6" s="197"/>
      <c r="K6" s="197"/>
      <c r="L6" s="257"/>
    </row>
    <row r="7" ht="22.5" customHeight="1">
      <c r="A7" s="148" t="s">
        <v>4508</v>
      </c>
      <c r="B7" s="149" t="s">
        <v>4516</v>
      </c>
      <c r="C7" s="149" t="s">
        <v>4517</v>
      </c>
      <c r="D7" s="258" t="s">
        <v>4507</v>
      </c>
      <c r="E7" s="258" t="s">
        <v>2096</v>
      </c>
      <c r="F7" s="196"/>
      <c r="G7" s="161" t="s">
        <v>49</v>
      </c>
      <c r="H7" s="152"/>
      <c r="I7" s="196"/>
      <c r="J7" s="196"/>
      <c r="K7" s="196"/>
      <c r="L7" s="259"/>
    </row>
    <row r="8" ht="22.5" customHeight="1">
      <c r="A8" s="140" t="s">
        <v>4504</v>
      </c>
      <c r="B8" s="141" t="s">
        <v>4518</v>
      </c>
      <c r="C8" s="141" t="s">
        <v>4519</v>
      </c>
      <c r="D8" s="217" t="s">
        <v>4507</v>
      </c>
      <c r="E8" s="217" t="s">
        <v>2096</v>
      </c>
      <c r="F8" s="142">
        <v>45543.0</v>
      </c>
      <c r="G8" s="169" t="s">
        <v>49</v>
      </c>
      <c r="H8" s="144"/>
      <c r="I8" s="197"/>
      <c r="J8" s="197"/>
      <c r="K8" s="197"/>
      <c r="L8" s="257"/>
    </row>
    <row r="9" ht="22.5" customHeight="1">
      <c r="A9" s="148" t="s">
        <v>4508</v>
      </c>
      <c r="B9" s="149" t="s">
        <v>4520</v>
      </c>
      <c r="C9" s="149" t="s">
        <v>4521</v>
      </c>
      <c r="D9" s="258" t="s">
        <v>4507</v>
      </c>
      <c r="E9" s="258" t="s">
        <v>2096</v>
      </c>
      <c r="F9" s="150">
        <v>45543.0</v>
      </c>
      <c r="G9" s="165" t="s">
        <v>2076</v>
      </c>
      <c r="H9" s="152"/>
      <c r="I9" s="196"/>
      <c r="J9" s="196"/>
      <c r="K9" s="196"/>
      <c r="L9" s="259"/>
    </row>
    <row r="10" ht="22.5" customHeight="1">
      <c r="A10" s="140" t="s">
        <v>4504</v>
      </c>
      <c r="B10" s="141" t="s">
        <v>4522</v>
      </c>
      <c r="C10" s="141" t="s">
        <v>4523</v>
      </c>
      <c r="D10" s="217" t="s">
        <v>4507</v>
      </c>
      <c r="E10" s="217" t="s">
        <v>2096</v>
      </c>
      <c r="F10" s="142">
        <v>45543.0</v>
      </c>
      <c r="G10" s="143" t="s">
        <v>30</v>
      </c>
      <c r="H10" s="144"/>
      <c r="I10" s="197"/>
      <c r="J10" s="197"/>
      <c r="K10" s="197"/>
      <c r="L10" s="257"/>
    </row>
    <row r="11" ht="22.5" customHeight="1">
      <c r="A11" s="148" t="s">
        <v>4508</v>
      </c>
      <c r="B11" s="149" t="s">
        <v>4524</v>
      </c>
      <c r="C11" s="149" t="s">
        <v>2071</v>
      </c>
      <c r="D11" s="258" t="s">
        <v>4507</v>
      </c>
      <c r="E11" s="258" t="s">
        <v>2096</v>
      </c>
      <c r="F11" s="196"/>
      <c r="G11" s="151" t="s">
        <v>30</v>
      </c>
      <c r="H11" s="152"/>
      <c r="I11" s="196"/>
      <c r="J11" s="196"/>
      <c r="K11" s="196"/>
      <c r="L11" s="259"/>
    </row>
    <row r="12" ht="22.5" customHeight="1">
      <c r="A12" s="140" t="s">
        <v>4504</v>
      </c>
      <c r="B12" s="141" t="s">
        <v>2064</v>
      </c>
      <c r="C12" s="141" t="s">
        <v>4525</v>
      </c>
      <c r="D12" s="217" t="s">
        <v>4507</v>
      </c>
      <c r="E12" s="217" t="s">
        <v>2096</v>
      </c>
      <c r="F12" s="197"/>
      <c r="G12" s="169" t="s">
        <v>49</v>
      </c>
      <c r="H12" s="144"/>
      <c r="I12" s="197"/>
      <c r="J12" s="197"/>
      <c r="K12" s="197"/>
      <c r="L12" s="257"/>
    </row>
    <row r="13" ht="22.5" customHeight="1">
      <c r="A13" s="148" t="s">
        <v>4508</v>
      </c>
      <c r="B13" s="149" t="s">
        <v>4526</v>
      </c>
      <c r="C13" s="149" t="s">
        <v>4527</v>
      </c>
      <c r="D13" s="258" t="s">
        <v>4507</v>
      </c>
      <c r="E13" s="258" t="s">
        <v>2096</v>
      </c>
      <c r="F13" s="196"/>
      <c r="G13" s="161" t="s">
        <v>49</v>
      </c>
      <c r="H13" s="152"/>
      <c r="I13" s="196"/>
      <c r="J13" s="196"/>
      <c r="K13" s="196"/>
      <c r="L13" s="259"/>
    </row>
    <row r="14" ht="22.5" customHeight="1">
      <c r="A14" s="140" t="s">
        <v>4504</v>
      </c>
      <c r="B14" s="141" t="s">
        <v>4528</v>
      </c>
      <c r="C14" s="141" t="s">
        <v>4529</v>
      </c>
      <c r="D14" s="217" t="s">
        <v>4507</v>
      </c>
      <c r="E14" s="217" t="s">
        <v>2096</v>
      </c>
      <c r="F14" s="142">
        <v>45543.0</v>
      </c>
      <c r="G14" s="212" t="s">
        <v>17</v>
      </c>
      <c r="H14" s="144"/>
      <c r="I14" s="197"/>
      <c r="J14" s="197"/>
      <c r="K14" s="197"/>
      <c r="L14" s="257"/>
    </row>
    <row r="15" ht="22.5" customHeight="1">
      <c r="A15" s="148" t="s">
        <v>4508</v>
      </c>
      <c r="B15" s="149" t="s">
        <v>4530</v>
      </c>
      <c r="C15" s="149" t="s">
        <v>4531</v>
      </c>
      <c r="D15" s="258" t="s">
        <v>4507</v>
      </c>
      <c r="E15" s="258" t="s">
        <v>2096</v>
      </c>
      <c r="F15" s="196"/>
      <c r="G15" s="167" t="s">
        <v>635</v>
      </c>
      <c r="H15" s="152"/>
      <c r="I15" s="196"/>
      <c r="J15" s="196"/>
      <c r="K15" s="196"/>
      <c r="L15" s="259"/>
    </row>
    <row r="16" ht="22.5" customHeight="1">
      <c r="A16" s="140" t="s">
        <v>4504</v>
      </c>
      <c r="B16" s="141" t="s">
        <v>4461</v>
      </c>
      <c r="C16" s="141" t="s">
        <v>4532</v>
      </c>
      <c r="D16" s="217" t="s">
        <v>4507</v>
      </c>
      <c r="E16" s="217" t="s">
        <v>2096</v>
      </c>
      <c r="F16" s="197"/>
      <c r="G16" s="156" t="s">
        <v>635</v>
      </c>
      <c r="H16" s="144"/>
      <c r="I16" s="197"/>
      <c r="J16" s="197"/>
      <c r="K16" s="197"/>
      <c r="L16" s="257"/>
    </row>
    <row r="17" ht="22.5" customHeight="1">
      <c r="A17" s="148" t="s">
        <v>4508</v>
      </c>
      <c r="B17" s="149" t="s">
        <v>4533</v>
      </c>
      <c r="C17" s="149" t="s">
        <v>4534</v>
      </c>
      <c r="D17" s="258" t="s">
        <v>4507</v>
      </c>
      <c r="E17" s="258" t="s">
        <v>2096</v>
      </c>
      <c r="F17" s="150">
        <v>45543.0</v>
      </c>
      <c r="G17" s="166" t="s">
        <v>2097</v>
      </c>
      <c r="H17" s="152"/>
      <c r="I17" s="196"/>
      <c r="J17" s="196"/>
      <c r="K17" s="196"/>
      <c r="L17" s="259"/>
    </row>
    <row r="18" ht="22.5" customHeight="1">
      <c r="A18" s="140" t="s">
        <v>4504</v>
      </c>
      <c r="B18" s="141" t="s">
        <v>4535</v>
      </c>
      <c r="C18" s="141" t="s">
        <v>4536</v>
      </c>
      <c r="D18" s="217" t="s">
        <v>4507</v>
      </c>
      <c r="E18" s="217" t="s">
        <v>2096</v>
      </c>
      <c r="F18" s="197"/>
      <c r="G18" s="216" t="s">
        <v>40</v>
      </c>
      <c r="H18" s="144"/>
      <c r="I18" s="197"/>
      <c r="J18" s="197"/>
      <c r="K18" s="197"/>
      <c r="L18" s="260" t="s">
        <v>4537</v>
      </c>
    </row>
    <row r="19" ht="22.5" customHeight="1">
      <c r="A19" s="148" t="s">
        <v>4508</v>
      </c>
      <c r="B19" s="149" t="s">
        <v>4538</v>
      </c>
      <c r="C19" s="149" t="s">
        <v>4539</v>
      </c>
      <c r="D19" s="258" t="s">
        <v>4507</v>
      </c>
      <c r="E19" s="258" t="s">
        <v>2096</v>
      </c>
      <c r="F19" s="261">
        <v>45510.625</v>
      </c>
      <c r="G19" s="166" t="s">
        <v>2097</v>
      </c>
      <c r="H19" s="152"/>
      <c r="I19" s="196"/>
      <c r="J19" s="196"/>
      <c r="K19" s="196"/>
      <c r="L19" s="259"/>
    </row>
    <row r="20" ht="22.5" customHeight="1">
      <c r="A20" s="140" t="s">
        <v>4504</v>
      </c>
      <c r="B20" s="146"/>
      <c r="C20" s="141" t="s">
        <v>4540</v>
      </c>
      <c r="D20" s="217" t="s">
        <v>4507</v>
      </c>
      <c r="E20" s="217" t="s">
        <v>2096</v>
      </c>
      <c r="F20" s="142">
        <v>45543.0</v>
      </c>
      <c r="G20" s="163" t="s">
        <v>2097</v>
      </c>
      <c r="H20" s="144"/>
      <c r="I20" s="197"/>
      <c r="J20" s="197"/>
      <c r="K20" s="197"/>
      <c r="L20" s="257"/>
    </row>
    <row r="21" ht="22.5" customHeight="1">
      <c r="A21" s="148" t="s">
        <v>4508</v>
      </c>
      <c r="B21" s="149" t="s">
        <v>4541</v>
      </c>
      <c r="C21" s="149" t="s">
        <v>4542</v>
      </c>
      <c r="D21" s="258" t="s">
        <v>4507</v>
      </c>
      <c r="E21" s="258" t="s">
        <v>2096</v>
      </c>
      <c r="F21" s="150">
        <v>45543.0</v>
      </c>
      <c r="G21" s="166" t="s">
        <v>2097</v>
      </c>
      <c r="H21" s="152"/>
      <c r="I21" s="196"/>
      <c r="J21" s="196"/>
      <c r="K21" s="196"/>
      <c r="L21" s="259"/>
    </row>
    <row r="22" ht="22.5" customHeight="1">
      <c r="A22" s="140" t="s">
        <v>4504</v>
      </c>
      <c r="B22" s="146"/>
      <c r="C22" s="141" t="s">
        <v>4543</v>
      </c>
      <c r="D22" s="217" t="s">
        <v>4507</v>
      </c>
      <c r="E22" s="217" t="s">
        <v>2096</v>
      </c>
      <c r="F22" s="142">
        <v>45481.0</v>
      </c>
      <c r="G22" s="163" t="s">
        <v>2097</v>
      </c>
      <c r="H22" s="144"/>
      <c r="I22" s="197"/>
      <c r="J22" s="197"/>
      <c r="K22" s="197"/>
      <c r="L22" s="257"/>
    </row>
    <row r="23" ht="22.5" customHeight="1">
      <c r="A23" s="148" t="s">
        <v>4508</v>
      </c>
      <c r="B23" s="149" t="s">
        <v>201</v>
      </c>
      <c r="C23" s="149" t="s">
        <v>4544</v>
      </c>
      <c r="D23" s="258" t="s">
        <v>4507</v>
      </c>
      <c r="E23" s="258" t="s">
        <v>2096</v>
      </c>
      <c r="F23" s="150">
        <v>45543.0</v>
      </c>
      <c r="G23" s="166" t="s">
        <v>2097</v>
      </c>
      <c r="H23" s="152"/>
      <c r="I23" s="196"/>
      <c r="J23" s="196"/>
      <c r="K23" s="196"/>
      <c r="L23" s="259"/>
    </row>
    <row r="24" ht="22.5" customHeight="1">
      <c r="A24" s="140" t="s">
        <v>4504</v>
      </c>
      <c r="B24" s="141" t="s">
        <v>4545</v>
      </c>
      <c r="C24" s="141" t="s">
        <v>4546</v>
      </c>
      <c r="D24" s="217" t="s">
        <v>4507</v>
      </c>
      <c r="E24" s="217" t="s">
        <v>2096</v>
      </c>
      <c r="F24" s="142">
        <v>45543.0</v>
      </c>
      <c r="G24" s="143" t="s">
        <v>30</v>
      </c>
      <c r="H24" s="144"/>
      <c r="I24" s="197"/>
      <c r="J24" s="197"/>
      <c r="K24" s="197"/>
      <c r="L24" s="257"/>
    </row>
    <row r="25" ht="22.5" customHeight="1">
      <c r="A25" s="148" t="s">
        <v>4508</v>
      </c>
      <c r="B25" s="149" t="s">
        <v>4547</v>
      </c>
      <c r="C25" s="149" t="s">
        <v>4548</v>
      </c>
      <c r="D25" s="258" t="s">
        <v>4507</v>
      </c>
      <c r="E25" s="258" t="s">
        <v>2096</v>
      </c>
      <c r="F25" s="196"/>
      <c r="G25" s="161" t="s">
        <v>49</v>
      </c>
      <c r="H25" s="152"/>
      <c r="I25" s="196"/>
      <c r="J25" s="196"/>
      <c r="K25" s="196"/>
      <c r="L25" s="259"/>
    </row>
    <row r="26" ht="22.5" customHeight="1">
      <c r="A26" s="140" t="s">
        <v>4504</v>
      </c>
      <c r="B26" s="141" t="s">
        <v>4549</v>
      </c>
      <c r="C26" s="141" t="s">
        <v>4550</v>
      </c>
      <c r="D26" s="217" t="s">
        <v>4507</v>
      </c>
      <c r="E26" s="217" t="s">
        <v>2096</v>
      </c>
      <c r="F26" s="197"/>
      <c r="G26" s="173" t="s">
        <v>2076</v>
      </c>
      <c r="H26" s="144"/>
      <c r="I26" s="197"/>
      <c r="J26" s="197"/>
      <c r="K26" s="197"/>
      <c r="L26" s="257"/>
    </row>
    <row r="27" ht="22.5" customHeight="1">
      <c r="A27" s="148" t="s">
        <v>4508</v>
      </c>
      <c r="B27" s="149" t="s">
        <v>4551</v>
      </c>
      <c r="C27" s="149" t="s">
        <v>4552</v>
      </c>
      <c r="D27" s="258" t="s">
        <v>4507</v>
      </c>
      <c r="E27" s="258" t="s">
        <v>2096</v>
      </c>
      <c r="F27" s="196"/>
      <c r="G27" s="232" t="s">
        <v>3955</v>
      </c>
      <c r="H27" s="165" t="s">
        <v>4553</v>
      </c>
      <c r="I27" s="196"/>
      <c r="J27" s="196"/>
      <c r="K27" s="196"/>
      <c r="L27" s="259"/>
    </row>
    <row r="28" ht="22.5" customHeight="1">
      <c r="A28" s="140" t="s">
        <v>4504</v>
      </c>
      <c r="B28" s="141" t="s">
        <v>4554</v>
      </c>
      <c r="C28" s="141" t="s">
        <v>4555</v>
      </c>
      <c r="D28" s="217" t="s">
        <v>4507</v>
      </c>
      <c r="E28" s="217" t="s">
        <v>2096</v>
      </c>
      <c r="F28" s="197"/>
      <c r="G28" s="173" t="s">
        <v>2076</v>
      </c>
      <c r="H28" s="144"/>
      <c r="I28" s="197"/>
      <c r="J28" s="197"/>
      <c r="K28" s="197"/>
      <c r="L28" s="257"/>
    </row>
    <row r="29" ht="22.5" customHeight="1">
      <c r="A29" s="148" t="s">
        <v>4508</v>
      </c>
      <c r="B29" s="149" t="s">
        <v>4556</v>
      </c>
      <c r="C29" s="149" t="s">
        <v>4557</v>
      </c>
      <c r="D29" s="258" t="s">
        <v>4507</v>
      </c>
      <c r="E29" s="258" t="s">
        <v>2096</v>
      </c>
      <c r="F29" s="196"/>
      <c r="G29" s="161" t="s">
        <v>49</v>
      </c>
      <c r="H29" s="152"/>
      <c r="I29" s="196"/>
      <c r="J29" s="196"/>
      <c r="K29" s="196"/>
      <c r="L29" s="259"/>
    </row>
    <row r="30" ht="22.5" customHeight="1">
      <c r="A30" s="140" t="s">
        <v>4504</v>
      </c>
      <c r="B30" s="141" t="s">
        <v>4558</v>
      </c>
      <c r="C30" s="141" t="s">
        <v>4559</v>
      </c>
      <c r="D30" s="217" t="s">
        <v>4507</v>
      </c>
      <c r="E30" s="217" t="s">
        <v>2096</v>
      </c>
      <c r="F30" s="197"/>
      <c r="G30" s="173" t="s">
        <v>2076</v>
      </c>
      <c r="H30" s="144"/>
      <c r="I30" s="197"/>
      <c r="J30" s="197"/>
      <c r="K30" s="197"/>
      <c r="L30" s="257"/>
    </row>
    <row r="31" ht="22.5" customHeight="1">
      <c r="A31" s="148" t="s">
        <v>4508</v>
      </c>
      <c r="B31" s="154"/>
      <c r="C31" s="149" t="s">
        <v>4560</v>
      </c>
      <c r="D31" s="258" t="s">
        <v>4507</v>
      </c>
      <c r="E31" s="258" t="s">
        <v>2096</v>
      </c>
      <c r="F31" s="150">
        <v>45908.0</v>
      </c>
      <c r="G31" s="166" t="s">
        <v>2097</v>
      </c>
      <c r="H31" s="152"/>
      <c r="I31" s="196"/>
      <c r="J31" s="196"/>
      <c r="K31" s="196"/>
      <c r="L31" s="259"/>
    </row>
    <row r="32" ht="22.5" customHeight="1">
      <c r="A32" s="140" t="s">
        <v>4504</v>
      </c>
      <c r="B32" s="141" t="s">
        <v>4561</v>
      </c>
      <c r="C32" s="141" t="s">
        <v>4562</v>
      </c>
      <c r="D32" s="217" t="s">
        <v>4507</v>
      </c>
      <c r="E32" s="217" t="s">
        <v>2096</v>
      </c>
      <c r="F32" s="197"/>
      <c r="G32" s="156" t="s">
        <v>635</v>
      </c>
      <c r="H32" s="144"/>
      <c r="I32" s="197"/>
      <c r="J32" s="197"/>
      <c r="K32" s="197"/>
      <c r="L32" s="257"/>
    </row>
    <row r="33" ht="22.5" customHeight="1">
      <c r="A33" s="148" t="s">
        <v>4508</v>
      </c>
      <c r="B33" s="149" t="s">
        <v>4563</v>
      </c>
      <c r="C33" s="149" t="s">
        <v>4564</v>
      </c>
      <c r="D33" s="258" t="s">
        <v>4507</v>
      </c>
      <c r="E33" s="258" t="s">
        <v>2096</v>
      </c>
      <c r="F33" s="150">
        <v>45543.0</v>
      </c>
      <c r="G33" s="166" t="s">
        <v>2097</v>
      </c>
      <c r="H33" s="152"/>
      <c r="I33" s="196"/>
      <c r="J33" s="196"/>
      <c r="K33" s="196"/>
      <c r="L33" s="259"/>
    </row>
    <row r="34" ht="22.5" customHeight="1">
      <c r="A34" s="140" t="s">
        <v>4565</v>
      </c>
      <c r="B34" s="146"/>
      <c r="C34" s="141" t="s">
        <v>4566</v>
      </c>
      <c r="D34" s="217" t="s">
        <v>4507</v>
      </c>
      <c r="E34" s="217" t="s">
        <v>2096</v>
      </c>
      <c r="F34" s="142">
        <v>45543.0</v>
      </c>
      <c r="G34" s="163" t="s">
        <v>2097</v>
      </c>
      <c r="H34" s="144"/>
      <c r="I34" s="197"/>
      <c r="J34" s="197"/>
      <c r="K34" s="197"/>
      <c r="L34" s="257"/>
    </row>
    <row r="35" ht="22.5" customHeight="1">
      <c r="A35" s="148" t="s">
        <v>4565</v>
      </c>
      <c r="B35" s="149" t="s">
        <v>2508</v>
      </c>
      <c r="C35" s="149" t="s">
        <v>4567</v>
      </c>
      <c r="D35" s="258" t="s">
        <v>4507</v>
      </c>
      <c r="E35" s="258" t="s">
        <v>2096</v>
      </c>
      <c r="F35" s="150">
        <v>45543.0</v>
      </c>
      <c r="G35" s="166" t="s">
        <v>2097</v>
      </c>
      <c r="H35" s="152"/>
      <c r="I35" s="196"/>
      <c r="J35" s="196"/>
      <c r="K35" s="196"/>
      <c r="L35" s="259"/>
    </row>
    <row r="36" ht="22.5" customHeight="1">
      <c r="A36" s="140" t="s">
        <v>4565</v>
      </c>
      <c r="B36" s="141" t="s">
        <v>4568</v>
      </c>
      <c r="C36" s="141" t="s">
        <v>4569</v>
      </c>
      <c r="D36" s="217" t="s">
        <v>4507</v>
      </c>
      <c r="E36" s="217" t="s">
        <v>2096</v>
      </c>
      <c r="F36" s="197"/>
      <c r="G36" s="173" t="s">
        <v>2076</v>
      </c>
      <c r="H36" s="144"/>
      <c r="I36" s="197"/>
      <c r="J36" s="197"/>
      <c r="K36" s="197"/>
      <c r="L36" s="257"/>
    </row>
    <row r="37" ht="22.5" customHeight="1">
      <c r="A37" s="148" t="s">
        <v>4565</v>
      </c>
      <c r="B37" s="149" t="s">
        <v>2565</v>
      </c>
      <c r="C37" s="149" t="s">
        <v>4570</v>
      </c>
      <c r="D37" s="258" t="s">
        <v>4507</v>
      </c>
      <c r="E37" s="258" t="s">
        <v>2096</v>
      </c>
      <c r="F37" s="196"/>
      <c r="G37" s="166" t="s">
        <v>2097</v>
      </c>
      <c r="H37" s="152"/>
      <c r="I37" s="196"/>
      <c r="J37" s="196"/>
      <c r="K37" s="196"/>
      <c r="L37" s="259"/>
    </row>
    <row r="38" ht="22.5" customHeight="1">
      <c r="A38" s="140" t="s">
        <v>4565</v>
      </c>
      <c r="B38" s="141" t="s">
        <v>1515</v>
      </c>
      <c r="C38" s="141" t="s">
        <v>4571</v>
      </c>
      <c r="D38" s="217" t="s">
        <v>4507</v>
      </c>
      <c r="E38" s="217" t="s">
        <v>2096</v>
      </c>
      <c r="F38" s="197"/>
      <c r="G38" s="163" t="s">
        <v>2097</v>
      </c>
      <c r="H38" s="144"/>
      <c r="I38" s="197"/>
      <c r="J38" s="197"/>
      <c r="K38" s="197"/>
      <c r="L38" s="257"/>
    </row>
    <row r="39" ht="22.5" customHeight="1">
      <c r="A39" s="250"/>
      <c r="B39" s="149" t="s">
        <v>4572</v>
      </c>
      <c r="C39" s="149" t="s">
        <v>4573</v>
      </c>
      <c r="D39" s="258" t="s">
        <v>4507</v>
      </c>
      <c r="E39" s="258" t="s">
        <v>2096</v>
      </c>
      <c r="F39" s="150">
        <v>45543.0</v>
      </c>
      <c r="G39" s="161" t="s">
        <v>49</v>
      </c>
      <c r="H39" s="152"/>
      <c r="I39" s="196"/>
      <c r="J39" s="196"/>
      <c r="K39" s="196"/>
      <c r="L39" s="259"/>
    </row>
    <row r="40" ht="22.5" customHeight="1">
      <c r="A40" s="202"/>
      <c r="B40" s="141" t="s">
        <v>4574</v>
      </c>
      <c r="C40" s="141" t="s">
        <v>4575</v>
      </c>
      <c r="D40" s="217" t="s">
        <v>4507</v>
      </c>
      <c r="E40" s="217" t="s">
        <v>2096</v>
      </c>
      <c r="F40" s="197"/>
      <c r="G40" s="169" t="s">
        <v>49</v>
      </c>
      <c r="H40" s="144"/>
      <c r="I40" s="197"/>
      <c r="J40" s="197"/>
      <c r="K40" s="197"/>
      <c r="L40" s="257"/>
    </row>
    <row r="41" ht="22.5" customHeight="1">
      <c r="A41" s="250"/>
      <c r="B41" s="154"/>
      <c r="C41" s="149" t="s">
        <v>4576</v>
      </c>
      <c r="D41" s="258" t="s">
        <v>4507</v>
      </c>
      <c r="E41" s="258" t="s">
        <v>2096</v>
      </c>
      <c r="F41" s="196"/>
      <c r="G41" s="166" t="s">
        <v>2097</v>
      </c>
      <c r="H41" s="152"/>
      <c r="I41" s="196"/>
      <c r="J41" s="196"/>
      <c r="K41" s="196"/>
      <c r="L41" s="259"/>
    </row>
    <row r="42" ht="22.5" customHeight="1">
      <c r="A42" s="202"/>
      <c r="B42" s="146"/>
      <c r="C42" s="141" t="s">
        <v>4577</v>
      </c>
      <c r="D42" s="217" t="s">
        <v>4507</v>
      </c>
      <c r="E42" s="217" t="s">
        <v>2096</v>
      </c>
      <c r="F42" s="197"/>
      <c r="G42" s="163" t="s">
        <v>2097</v>
      </c>
      <c r="H42" s="144"/>
      <c r="I42" s="197"/>
      <c r="J42" s="197"/>
      <c r="K42" s="197"/>
      <c r="L42" s="257"/>
    </row>
    <row r="43" ht="22.5" customHeight="1">
      <c r="A43" s="250"/>
      <c r="B43" s="149" t="s">
        <v>4578</v>
      </c>
      <c r="C43" s="149" t="s">
        <v>4579</v>
      </c>
      <c r="D43" s="258" t="s">
        <v>4507</v>
      </c>
      <c r="E43" s="258" t="s">
        <v>2096</v>
      </c>
      <c r="F43" s="196"/>
      <c r="G43" s="166" t="s">
        <v>2097</v>
      </c>
      <c r="H43" s="152"/>
      <c r="I43" s="196"/>
      <c r="J43" s="196"/>
      <c r="K43" s="196"/>
      <c r="L43" s="259"/>
    </row>
    <row r="44" ht="22.5" customHeight="1">
      <c r="A44" s="202"/>
      <c r="B44" s="146"/>
      <c r="C44" s="141" t="s">
        <v>4580</v>
      </c>
      <c r="D44" s="217" t="s">
        <v>4507</v>
      </c>
      <c r="E44" s="217" t="s">
        <v>2096</v>
      </c>
      <c r="F44" s="197"/>
      <c r="G44" s="163" t="s">
        <v>2097</v>
      </c>
      <c r="H44" s="144"/>
      <c r="I44" s="197"/>
      <c r="J44" s="197"/>
      <c r="K44" s="197"/>
      <c r="L44" s="257"/>
    </row>
    <row r="45" ht="22.5" customHeight="1">
      <c r="A45" s="250"/>
      <c r="B45" s="149" t="s">
        <v>4581</v>
      </c>
      <c r="C45" s="149" t="s">
        <v>4582</v>
      </c>
      <c r="D45" s="258" t="s">
        <v>4507</v>
      </c>
      <c r="E45" s="258" t="s">
        <v>2096</v>
      </c>
      <c r="F45" s="196"/>
      <c r="G45" s="166" t="s">
        <v>2097</v>
      </c>
      <c r="H45" s="152"/>
      <c r="I45" s="196"/>
      <c r="J45" s="196"/>
      <c r="K45" s="196"/>
      <c r="L45" s="259"/>
    </row>
    <row r="46" ht="22.5" customHeight="1">
      <c r="A46" s="202"/>
      <c r="B46" s="141" t="s">
        <v>4583</v>
      </c>
      <c r="C46" s="141" t="s">
        <v>4584</v>
      </c>
      <c r="D46" s="217" t="s">
        <v>4507</v>
      </c>
      <c r="E46" s="217" t="s">
        <v>2096</v>
      </c>
      <c r="F46" s="197"/>
      <c r="G46" s="163" t="s">
        <v>2097</v>
      </c>
      <c r="H46" s="144"/>
      <c r="I46" s="197"/>
      <c r="J46" s="197"/>
      <c r="K46" s="197"/>
      <c r="L46" s="257"/>
    </row>
    <row r="47" ht="22.5" customHeight="1">
      <c r="A47" s="250"/>
      <c r="B47" s="149" t="s">
        <v>4585</v>
      </c>
      <c r="C47" s="149" t="s">
        <v>4586</v>
      </c>
      <c r="D47" s="258" t="s">
        <v>4507</v>
      </c>
      <c r="E47" s="258" t="s">
        <v>2096</v>
      </c>
      <c r="F47" s="196"/>
      <c r="G47" s="166" t="s">
        <v>2097</v>
      </c>
      <c r="H47" s="152"/>
      <c r="I47" s="196"/>
      <c r="J47" s="196"/>
      <c r="K47" s="196"/>
      <c r="L47" s="259"/>
    </row>
    <row r="48" ht="22.5" customHeight="1">
      <c r="A48" s="202"/>
      <c r="B48" s="141" t="s">
        <v>4587</v>
      </c>
      <c r="C48" s="141" t="s">
        <v>4588</v>
      </c>
      <c r="D48" s="217" t="s">
        <v>4507</v>
      </c>
      <c r="E48" s="217" t="s">
        <v>2096</v>
      </c>
      <c r="F48" s="197"/>
      <c r="G48" s="163" t="s">
        <v>2097</v>
      </c>
      <c r="H48" s="144"/>
      <c r="I48" s="197"/>
      <c r="J48" s="197"/>
      <c r="K48" s="197"/>
      <c r="L48" s="257"/>
    </row>
    <row r="49" ht="22.5" customHeight="1">
      <c r="A49" s="250"/>
      <c r="B49" s="149" t="s">
        <v>4589</v>
      </c>
      <c r="C49" s="149" t="s">
        <v>4590</v>
      </c>
      <c r="D49" s="258" t="s">
        <v>4507</v>
      </c>
      <c r="E49" s="258" t="s">
        <v>2096</v>
      </c>
      <c r="F49" s="196"/>
      <c r="G49" s="166" t="s">
        <v>2097</v>
      </c>
      <c r="H49" s="152"/>
      <c r="I49" s="196"/>
      <c r="J49" s="196"/>
      <c r="K49" s="196"/>
      <c r="L49" s="259"/>
    </row>
    <row r="50" ht="22.5" customHeight="1">
      <c r="A50" s="202"/>
      <c r="B50" s="141" t="s">
        <v>3752</v>
      </c>
      <c r="C50" s="141" t="s">
        <v>4591</v>
      </c>
      <c r="D50" s="217" t="s">
        <v>4507</v>
      </c>
      <c r="E50" s="217" t="s">
        <v>2096</v>
      </c>
      <c r="F50" s="197"/>
      <c r="G50" s="163" t="s">
        <v>2097</v>
      </c>
      <c r="H50" s="144"/>
      <c r="I50" s="197"/>
      <c r="J50" s="197"/>
      <c r="K50" s="197"/>
      <c r="L50" s="257"/>
    </row>
    <row r="51" ht="22.5" customHeight="1">
      <c r="A51" s="250"/>
      <c r="B51" s="154"/>
      <c r="C51" s="149" t="s">
        <v>4592</v>
      </c>
      <c r="D51" s="258" t="s">
        <v>4507</v>
      </c>
      <c r="E51" s="258" t="s">
        <v>2096</v>
      </c>
      <c r="F51" s="196"/>
      <c r="G51" s="166" t="s">
        <v>2097</v>
      </c>
      <c r="H51" s="152"/>
      <c r="I51" s="196"/>
      <c r="J51" s="196"/>
      <c r="K51" s="196"/>
      <c r="L51" s="259"/>
    </row>
    <row r="52" ht="22.5" customHeight="1">
      <c r="A52" s="202"/>
      <c r="B52" s="141" t="s">
        <v>4593</v>
      </c>
      <c r="C52" s="141" t="s">
        <v>4594</v>
      </c>
      <c r="D52" s="217" t="s">
        <v>4507</v>
      </c>
      <c r="E52" s="217" t="s">
        <v>2096</v>
      </c>
      <c r="F52" s="197"/>
      <c r="G52" s="163" t="s">
        <v>2097</v>
      </c>
      <c r="H52" s="144"/>
      <c r="I52" s="197"/>
      <c r="J52" s="197"/>
      <c r="K52" s="197"/>
      <c r="L52" s="257"/>
    </row>
    <row r="53" ht="22.5" customHeight="1">
      <c r="A53" s="250"/>
      <c r="B53" s="149" t="s">
        <v>4595</v>
      </c>
      <c r="C53" s="149" t="s">
        <v>4070</v>
      </c>
      <c r="D53" s="258" t="s">
        <v>4507</v>
      </c>
      <c r="E53" s="258" t="s">
        <v>2096</v>
      </c>
      <c r="F53" s="196"/>
      <c r="G53" s="166" t="s">
        <v>2097</v>
      </c>
      <c r="H53" s="152"/>
      <c r="I53" s="196"/>
      <c r="J53" s="196"/>
      <c r="K53" s="196"/>
      <c r="L53" s="259"/>
    </row>
    <row r="54" ht="22.5" customHeight="1">
      <c r="A54" s="202"/>
      <c r="B54" s="146"/>
      <c r="C54" s="141" t="s">
        <v>4596</v>
      </c>
      <c r="D54" s="217" t="s">
        <v>4507</v>
      </c>
      <c r="E54" s="217" t="s">
        <v>2096</v>
      </c>
      <c r="F54" s="197"/>
      <c r="G54" s="163" t="s">
        <v>2097</v>
      </c>
      <c r="H54" s="144"/>
      <c r="I54" s="197"/>
      <c r="J54" s="197"/>
      <c r="K54" s="197"/>
      <c r="L54" s="257"/>
    </row>
    <row r="55" ht="22.5" customHeight="1">
      <c r="A55" s="250"/>
      <c r="B55" s="149" t="s">
        <v>4597</v>
      </c>
      <c r="C55" s="149" t="s">
        <v>4598</v>
      </c>
      <c r="D55" s="258" t="s">
        <v>4507</v>
      </c>
      <c r="E55" s="258" t="s">
        <v>2096</v>
      </c>
      <c r="F55" s="196"/>
      <c r="G55" s="166" t="s">
        <v>2097</v>
      </c>
      <c r="H55" s="152"/>
      <c r="I55" s="196"/>
      <c r="J55" s="196"/>
      <c r="K55" s="196"/>
      <c r="L55" s="259"/>
    </row>
    <row r="56" ht="22.5" customHeight="1">
      <c r="A56" s="202"/>
      <c r="B56" s="141" t="s">
        <v>4599</v>
      </c>
      <c r="C56" s="141" t="s">
        <v>3969</v>
      </c>
      <c r="D56" s="217" t="s">
        <v>4507</v>
      </c>
      <c r="E56" s="217" t="s">
        <v>2096</v>
      </c>
      <c r="F56" s="197"/>
      <c r="G56" s="163" t="s">
        <v>2097</v>
      </c>
      <c r="H56" s="144"/>
      <c r="I56" s="197"/>
      <c r="J56" s="197"/>
      <c r="K56" s="197"/>
      <c r="L56" s="257"/>
    </row>
    <row r="57" ht="22.5" customHeight="1">
      <c r="A57" s="250"/>
      <c r="B57" s="149" t="s">
        <v>2965</v>
      </c>
      <c r="C57" s="149" t="s">
        <v>4600</v>
      </c>
      <c r="D57" s="258" t="s">
        <v>4507</v>
      </c>
      <c r="E57" s="258" t="s">
        <v>2096</v>
      </c>
      <c r="F57" s="196"/>
      <c r="G57" s="166" t="s">
        <v>2097</v>
      </c>
      <c r="H57" s="152"/>
      <c r="I57" s="196"/>
      <c r="J57" s="196"/>
      <c r="K57" s="196"/>
      <c r="L57" s="259"/>
    </row>
    <row r="58" ht="22.5" customHeight="1">
      <c r="A58" s="202"/>
      <c r="B58" s="141" t="s">
        <v>2411</v>
      </c>
      <c r="C58" s="141" t="s">
        <v>4601</v>
      </c>
      <c r="D58" s="217" t="s">
        <v>4507</v>
      </c>
      <c r="E58" s="217" t="s">
        <v>2096</v>
      </c>
      <c r="F58" s="197"/>
      <c r="G58" s="163" t="s">
        <v>2097</v>
      </c>
      <c r="H58" s="144"/>
      <c r="I58" s="197"/>
      <c r="J58" s="197"/>
      <c r="K58" s="197"/>
      <c r="L58" s="257"/>
    </row>
    <row r="59" ht="22.5" customHeight="1">
      <c r="A59" s="250"/>
      <c r="B59" s="149" t="s">
        <v>4602</v>
      </c>
      <c r="C59" s="149" t="s">
        <v>4603</v>
      </c>
      <c r="D59" s="258" t="s">
        <v>4507</v>
      </c>
      <c r="E59" s="258" t="s">
        <v>2096</v>
      </c>
      <c r="F59" s="196"/>
      <c r="G59" s="166" t="s">
        <v>2097</v>
      </c>
      <c r="H59" s="152"/>
      <c r="I59" s="196"/>
      <c r="J59" s="196"/>
      <c r="K59" s="196"/>
      <c r="L59" s="259"/>
    </row>
    <row r="60" ht="22.5" customHeight="1">
      <c r="A60" s="202"/>
      <c r="B60" s="141" t="s">
        <v>4604</v>
      </c>
      <c r="C60" s="141" t="s">
        <v>4605</v>
      </c>
      <c r="D60" s="217" t="s">
        <v>4507</v>
      </c>
      <c r="E60" s="217" t="s">
        <v>2096</v>
      </c>
      <c r="F60" s="197"/>
      <c r="G60" s="173" t="s">
        <v>2076</v>
      </c>
      <c r="H60" s="144"/>
      <c r="I60" s="197"/>
      <c r="J60" s="197"/>
      <c r="K60" s="197"/>
      <c r="L60" s="257"/>
    </row>
    <row r="61" ht="22.5" customHeight="1">
      <c r="A61" s="250"/>
      <c r="B61" s="149" t="s">
        <v>4606</v>
      </c>
      <c r="C61" s="149" t="s">
        <v>4607</v>
      </c>
      <c r="D61" s="258" t="s">
        <v>4507</v>
      </c>
      <c r="E61" s="258" t="s">
        <v>2096</v>
      </c>
      <c r="F61" s="196"/>
      <c r="G61" s="166" t="s">
        <v>2097</v>
      </c>
      <c r="H61" s="152"/>
      <c r="I61" s="196"/>
      <c r="J61" s="196"/>
      <c r="K61" s="196"/>
      <c r="L61" s="259"/>
    </row>
    <row r="62" ht="22.5" customHeight="1">
      <c r="A62" s="202"/>
      <c r="B62" s="141" t="s">
        <v>4608</v>
      </c>
      <c r="C62" s="141" t="s">
        <v>4609</v>
      </c>
      <c r="D62" s="217" t="s">
        <v>4507</v>
      </c>
      <c r="E62" s="217" t="s">
        <v>2096</v>
      </c>
      <c r="F62" s="197"/>
      <c r="G62" s="246" t="s">
        <v>3955</v>
      </c>
      <c r="H62" s="144"/>
      <c r="I62" s="197"/>
      <c r="J62" s="197"/>
      <c r="K62" s="197"/>
      <c r="L62" s="257"/>
    </row>
    <row r="63" ht="22.5" customHeight="1">
      <c r="A63" s="250"/>
      <c r="B63" s="149" t="s">
        <v>4610</v>
      </c>
      <c r="C63" s="149" t="s">
        <v>4611</v>
      </c>
      <c r="D63" s="258" t="s">
        <v>4507</v>
      </c>
      <c r="E63" s="258" t="s">
        <v>2096</v>
      </c>
      <c r="F63" s="196"/>
      <c r="G63" s="166" t="s">
        <v>2097</v>
      </c>
      <c r="H63" s="152"/>
      <c r="I63" s="196"/>
      <c r="J63" s="196"/>
      <c r="K63" s="196"/>
      <c r="L63" s="259"/>
    </row>
    <row r="64" ht="22.5" customHeight="1">
      <c r="A64" s="202"/>
      <c r="B64" s="141" t="s">
        <v>4612</v>
      </c>
      <c r="C64" s="141" t="s">
        <v>4613</v>
      </c>
      <c r="D64" s="217" t="s">
        <v>4507</v>
      </c>
      <c r="E64" s="217" t="s">
        <v>2096</v>
      </c>
      <c r="F64" s="197"/>
      <c r="G64" s="215" t="s">
        <v>2192</v>
      </c>
      <c r="H64" s="144"/>
      <c r="I64" s="197"/>
      <c r="J64" s="197"/>
      <c r="K64" s="197"/>
      <c r="L64" s="257"/>
    </row>
    <row r="65" ht="22.5" customHeight="1">
      <c r="A65" s="250"/>
      <c r="B65" s="149" t="s">
        <v>4043</v>
      </c>
      <c r="C65" s="149" t="s">
        <v>4044</v>
      </c>
      <c r="D65" s="258" t="s">
        <v>4507</v>
      </c>
      <c r="E65" s="258" t="s">
        <v>2096</v>
      </c>
      <c r="F65" s="196"/>
      <c r="G65" s="232" t="s">
        <v>3955</v>
      </c>
      <c r="H65" s="152"/>
      <c r="I65" s="196"/>
      <c r="J65" s="196"/>
      <c r="K65" s="196"/>
      <c r="L65" s="259"/>
    </row>
    <row r="66" ht="22.5" customHeight="1">
      <c r="A66" s="202"/>
      <c r="B66" s="141" t="s">
        <v>4614</v>
      </c>
      <c r="C66" s="141" t="s">
        <v>4615</v>
      </c>
      <c r="D66" s="217" t="s">
        <v>4507</v>
      </c>
      <c r="E66" s="217" t="s">
        <v>2096</v>
      </c>
      <c r="F66" s="197"/>
      <c r="G66" s="163" t="s">
        <v>2097</v>
      </c>
      <c r="H66" s="144"/>
      <c r="I66" s="197"/>
      <c r="J66" s="197"/>
      <c r="K66" s="197"/>
      <c r="L66" s="257"/>
    </row>
    <row r="67" ht="22.5" customHeight="1">
      <c r="A67" s="250"/>
      <c r="B67" s="149" t="s">
        <v>653</v>
      </c>
      <c r="C67" s="149" t="s">
        <v>4616</v>
      </c>
      <c r="D67" s="258" t="s">
        <v>4507</v>
      </c>
      <c r="E67" s="258" t="s">
        <v>2096</v>
      </c>
      <c r="F67" s="196"/>
      <c r="G67" s="166" t="s">
        <v>2097</v>
      </c>
      <c r="H67" s="152"/>
      <c r="I67" s="196"/>
      <c r="J67" s="196"/>
      <c r="K67" s="196"/>
      <c r="L67" s="259"/>
    </row>
    <row r="68" ht="22.5" customHeight="1">
      <c r="A68" s="202"/>
      <c r="B68" s="141" t="s">
        <v>4617</v>
      </c>
      <c r="C68" s="141" t="s">
        <v>4618</v>
      </c>
      <c r="D68" s="217" t="s">
        <v>4507</v>
      </c>
      <c r="E68" s="217" t="s">
        <v>2096</v>
      </c>
      <c r="F68" s="197"/>
      <c r="G68" s="173" t="s">
        <v>2076</v>
      </c>
      <c r="H68" s="144"/>
      <c r="I68" s="197"/>
      <c r="J68" s="197"/>
      <c r="K68" s="197"/>
      <c r="L68" s="257"/>
    </row>
    <row r="69" ht="22.5" customHeight="1">
      <c r="A69" s="250"/>
      <c r="B69" s="149" t="s">
        <v>4619</v>
      </c>
      <c r="C69" s="149" t="s">
        <v>4620</v>
      </c>
      <c r="D69" s="258" t="s">
        <v>4507</v>
      </c>
      <c r="E69" s="258" t="s">
        <v>2096</v>
      </c>
      <c r="F69" s="196"/>
      <c r="G69" s="166" t="s">
        <v>2097</v>
      </c>
      <c r="H69" s="152"/>
      <c r="I69" s="196"/>
      <c r="J69" s="196"/>
      <c r="K69" s="196"/>
      <c r="L69" s="259"/>
    </row>
    <row r="70" ht="22.5" customHeight="1">
      <c r="A70" s="202"/>
      <c r="B70" s="146"/>
      <c r="C70" s="141" t="s">
        <v>4621</v>
      </c>
      <c r="D70" s="217" t="s">
        <v>4507</v>
      </c>
      <c r="E70" s="217" t="s">
        <v>2096</v>
      </c>
      <c r="F70" s="197"/>
      <c r="G70" s="177" t="s">
        <v>2096</v>
      </c>
      <c r="H70" s="144"/>
      <c r="I70" s="197"/>
      <c r="J70" s="197"/>
      <c r="K70" s="197"/>
      <c r="L70" s="257"/>
    </row>
    <row r="71" ht="22.5" customHeight="1">
      <c r="A71" s="250"/>
      <c r="B71" s="149" t="s">
        <v>4622</v>
      </c>
      <c r="C71" s="149" t="s">
        <v>4623</v>
      </c>
      <c r="D71" s="258" t="s">
        <v>4507</v>
      </c>
      <c r="E71" s="258" t="s">
        <v>2096</v>
      </c>
      <c r="F71" s="196"/>
      <c r="G71" s="178" t="s">
        <v>2096</v>
      </c>
      <c r="H71" s="152"/>
      <c r="I71" s="196"/>
      <c r="J71" s="196"/>
      <c r="K71" s="196"/>
      <c r="L71" s="259"/>
    </row>
    <row r="72" ht="22.5" customHeight="1">
      <c r="A72" s="202"/>
      <c r="B72" s="141" t="s">
        <v>4624</v>
      </c>
      <c r="C72" s="141" t="s">
        <v>4625</v>
      </c>
      <c r="D72" s="217" t="s">
        <v>4507</v>
      </c>
      <c r="E72" s="217" t="s">
        <v>2096</v>
      </c>
      <c r="F72" s="197"/>
      <c r="G72" s="246" t="s">
        <v>3955</v>
      </c>
      <c r="H72" s="144"/>
      <c r="I72" s="197"/>
      <c r="J72" s="197"/>
      <c r="K72" s="197"/>
      <c r="L72" s="257"/>
    </row>
    <row r="73" ht="22.5" customHeight="1">
      <c r="A73" s="250"/>
      <c r="B73" s="149" t="s">
        <v>4626</v>
      </c>
      <c r="C73" s="149" t="s">
        <v>4627</v>
      </c>
      <c r="D73" s="258" t="s">
        <v>4507</v>
      </c>
      <c r="E73" s="258" t="s">
        <v>2096</v>
      </c>
      <c r="F73" s="196"/>
      <c r="G73" s="262" t="s">
        <v>2362</v>
      </c>
      <c r="H73" s="152"/>
      <c r="I73" s="196"/>
      <c r="J73" s="196"/>
      <c r="K73" s="196"/>
      <c r="L73" s="259"/>
    </row>
    <row r="74" ht="22.5" customHeight="1">
      <c r="A74" s="202"/>
      <c r="B74" s="141" t="s">
        <v>4628</v>
      </c>
      <c r="C74" s="141" t="s">
        <v>4629</v>
      </c>
      <c r="D74" s="217" t="s">
        <v>4507</v>
      </c>
      <c r="E74" s="217" t="s">
        <v>2096</v>
      </c>
      <c r="F74" s="197"/>
      <c r="G74" s="216" t="s">
        <v>40</v>
      </c>
      <c r="H74" s="144"/>
      <c r="I74" s="197"/>
      <c r="J74" s="197"/>
      <c r="K74" s="197"/>
      <c r="L74" s="257"/>
    </row>
    <row r="75" ht="22.5" customHeight="1">
      <c r="A75" s="250"/>
      <c r="B75" s="149" t="s">
        <v>4630</v>
      </c>
      <c r="C75" s="149" t="s">
        <v>4631</v>
      </c>
      <c r="D75" s="258" t="s">
        <v>4507</v>
      </c>
      <c r="E75" s="258" t="s">
        <v>2096</v>
      </c>
      <c r="F75" s="196"/>
      <c r="G75" s="213" t="s">
        <v>40</v>
      </c>
      <c r="H75" s="152"/>
      <c r="I75" s="196"/>
      <c r="J75" s="196"/>
      <c r="K75" s="196"/>
      <c r="L75" s="259"/>
    </row>
    <row r="76" ht="22.5" customHeight="1">
      <c r="A76" s="202"/>
      <c r="B76" s="141" t="s">
        <v>4632</v>
      </c>
      <c r="C76" s="141" t="s">
        <v>4633</v>
      </c>
      <c r="D76" s="217" t="s">
        <v>4507</v>
      </c>
      <c r="E76" s="217" t="s">
        <v>2096</v>
      </c>
      <c r="F76" s="197"/>
      <c r="G76" s="177" t="s">
        <v>2096</v>
      </c>
      <c r="H76" s="144"/>
      <c r="I76" s="197"/>
      <c r="J76" s="197"/>
      <c r="K76" s="197"/>
      <c r="L76" s="257"/>
    </row>
    <row r="77" ht="22.5" customHeight="1">
      <c r="A77" s="250"/>
      <c r="B77" s="149" t="s">
        <v>4634</v>
      </c>
      <c r="C77" s="149" t="s">
        <v>4635</v>
      </c>
      <c r="D77" s="258" t="s">
        <v>4507</v>
      </c>
      <c r="E77" s="258" t="s">
        <v>2096</v>
      </c>
      <c r="F77" s="196"/>
      <c r="G77" s="178" t="s">
        <v>2096</v>
      </c>
      <c r="H77" s="152"/>
      <c r="I77" s="196"/>
      <c r="J77" s="196"/>
      <c r="K77" s="196"/>
      <c r="L77" s="259"/>
    </row>
    <row r="78" ht="22.5" customHeight="1">
      <c r="A78" s="202"/>
      <c r="B78" s="141" t="s">
        <v>4636</v>
      </c>
      <c r="C78" s="141" t="s">
        <v>4637</v>
      </c>
      <c r="D78" s="217" t="s">
        <v>4507</v>
      </c>
      <c r="E78" s="217" t="s">
        <v>2096</v>
      </c>
      <c r="F78" s="197"/>
      <c r="G78" s="177" t="s">
        <v>2096</v>
      </c>
      <c r="H78" s="144"/>
      <c r="I78" s="197"/>
      <c r="J78" s="197"/>
      <c r="K78" s="197"/>
      <c r="L78" s="257"/>
    </row>
    <row r="79" ht="22.5" customHeight="1">
      <c r="A79" s="250"/>
      <c r="B79" s="149" t="s">
        <v>4638</v>
      </c>
      <c r="C79" s="149" t="s">
        <v>4639</v>
      </c>
      <c r="D79" s="258" t="s">
        <v>4507</v>
      </c>
      <c r="E79" s="258" t="s">
        <v>2096</v>
      </c>
      <c r="F79" s="196"/>
      <c r="G79" s="178" t="s">
        <v>2096</v>
      </c>
      <c r="H79" s="152"/>
      <c r="I79" s="196"/>
      <c r="J79" s="196"/>
      <c r="K79" s="196"/>
      <c r="L79" s="259"/>
    </row>
    <row r="80" ht="22.5" customHeight="1">
      <c r="A80" s="202"/>
      <c r="B80" s="146"/>
      <c r="C80" s="141" t="s">
        <v>4640</v>
      </c>
      <c r="D80" s="217" t="s">
        <v>4507</v>
      </c>
      <c r="E80" s="217" t="s">
        <v>2096</v>
      </c>
      <c r="F80" s="197"/>
      <c r="G80" s="177" t="s">
        <v>2096</v>
      </c>
      <c r="H80" s="144"/>
      <c r="I80" s="197"/>
      <c r="J80" s="197"/>
      <c r="K80" s="197"/>
      <c r="L80" s="257"/>
    </row>
    <row r="81" ht="22.5" customHeight="1">
      <c r="A81" s="250"/>
      <c r="B81" s="149" t="s">
        <v>274</v>
      </c>
      <c r="C81" s="149" t="s">
        <v>4641</v>
      </c>
      <c r="D81" s="258" t="s">
        <v>4507</v>
      </c>
      <c r="E81" s="258" t="s">
        <v>2096</v>
      </c>
      <c r="F81" s="196"/>
      <c r="G81" s="178" t="s">
        <v>2096</v>
      </c>
      <c r="H81" s="152"/>
      <c r="I81" s="196"/>
      <c r="J81" s="196"/>
      <c r="K81" s="196"/>
      <c r="L81" s="259"/>
    </row>
    <row r="82" ht="22.5" customHeight="1">
      <c r="A82" s="202"/>
      <c r="B82" s="141" t="s">
        <v>4642</v>
      </c>
      <c r="C82" s="141" t="s">
        <v>4643</v>
      </c>
      <c r="D82" s="217" t="s">
        <v>4507</v>
      </c>
      <c r="E82" s="217" t="s">
        <v>2096</v>
      </c>
      <c r="F82" s="197"/>
      <c r="G82" s="177" t="s">
        <v>2096</v>
      </c>
      <c r="H82" s="144"/>
      <c r="I82" s="197"/>
      <c r="J82" s="197"/>
      <c r="K82" s="197"/>
      <c r="L82" s="257"/>
    </row>
    <row r="83" ht="22.5" customHeight="1">
      <c r="A83" s="250"/>
      <c r="B83" s="149" t="s">
        <v>4333</v>
      </c>
      <c r="C83" s="149" t="s">
        <v>4644</v>
      </c>
      <c r="D83" s="258" t="s">
        <v>4507</v>
      </c>
      <c r="E83" s="258" t="s">
        <v>2096</v>
      </c>
      <c r="F83" s="196"/>
      <c r="G83" s="178" t="s">
        <v>2096</v>
      </c>
      <c r="H83" s="152"/>
      <c r="I83" s="196"/>
      <c r="J83" s="196"/>
      <c r="K83" s="196"/>
      <c r="L83" s="259"/>
    </row>
    <row r="84" ht="22.5" customHeight="1">
      <c r="A84" s="202"/>
      <c r="B84" s="146"/>
      <c r="C84" s="141" t="s">
        <v>4645</v>
      </c>
      <c r="D84" s="217" t="s">
        <v>4507</v>
      </c>
      <c r="E84" s="217" t="s">
        <v>2096</v>
      </c>
      <c r="F84" s="197"/>
      <c r="G84" s="177" t="s">
        <v>2096</v>
      </c>
      <c r="H84" s="144"/>
      <c r="I84" s="197"/>
      <c r="J84" s="197"/>
      <c r="K84" s="197"/>
      <c r="L84" s="257"/>
    </row>
    <row r="85" ht="22.5" customHeight="1">
      <c r="A85" s="250"/>
      <c r="B85" s="149" t="s">
        <v>4646</v>
      </c>
      <c r="C85" s="149" t="s">
        <v>4647</v>
      </c>
      <c r="D85" s="258" t="s">
        <v>4507</v>
      </c>
      <c r="E85" s="258" t="s">
        <v>2096</v>
      </c>
      <c r="F85" s="196"/>
      <c r="G85" s="178" t="s">
        <v>2096</v>
      </c>
      <c r="H85" s="152"/>
      <c r="I85" s="196"/>
      <c r="J85" s="196"/>
      <c r="K85" s="196"/>
      <c r="L85" s="259"/>
    </row>
    <row r="86" ht="22.5" customHeight="1">
      <c r="A86" s="202"/>
      <c r="B86" s="141" t="s">
        <v>4648</v>
      </c>
      <c r="C86" s="141" t="s">
        <v>4649</v>
      </c>
      <c r="D86" s="217" t="s">
        <v>4507</v>
      </c>
      <c r="E86" s="217" t="s">
        <v>2096</v>
      </c>
      <c r="F86" s="197"/>
      <c r="G86" s="156" t="s">
        <v>635</v>
      </c>
      <c r="H86" s="144"/>
      <c r="I86" s="197"/>
      <c r="J86" s="197"/>
      <c r="K86" s="197"/>
      <c r="L86" s="257"/>
    </row>
    <row r="87" ht="22.5" customHeight="1">
      <c r="A87" s="250"/>
      <c r="B87" s="149" t="s">
        <v>4650</v>
      </c>
      <c r="C87" s="149" t="s">
        <v>4651</v>
      </c>
      <c r="D87" s="258" t="s">
        <v>4507</v>
      </c>
      <c r="E87" s="258" t="s">
        <v>2096</v>
      </c>
      <c r="F87" s="196"/>
      <c r="G87" s="165" t="s">
        <v>2076</v>
      </c>
      <c r="H87" s="152"/>
      <c r="I87" s="196"/>
      <c r="J87" s="196"/>
      <c r="K87" s="196"/>
      <c r="L87" s="259"/>
    </row>
    <row r="88" ht="22.5" customHeight="1">
      <c r="A88" s="202"/>
      <c r="B88" s="146"/>
      <c r="C88" s="141" t="s">
        <v>4652</v>
      </c>
      <c r="D88" s="217" t="s">
        <v>4507</v>
      </c>
      <c r="E88" s="217" t="s">
        <v>2096</v>
      </c>
      <c r="F88" s="197"/>
      <c r="G88" s="163" t="s">
        <v>2097</v>
      </c>
      <c r="H88" s="144"/>
      <c r="I88" s="197"/>
      <c r="J88" s="197"/>
      <c r="K88" s="197"/>
      <c r="L88" s="257"/>
    </row>
    <row r="89" ht="22.5" customHeight="1">
      <c r="A89" s="250"/>
      <c r="B89" s="154"/>
      <c r="C89" s="149" t="s">
        <v>4653</v>
      </c>
      <c r="D89" s="258" t="s">
        <v>4507</v>
      </c>
      <c r="E89" s="258" t="s">
        <v>2096</v>
      </c>
      <c r="F89" s="196"/>
      <c r="G89" s="166" t="s">
        <v>2097</v>
      </c>
      <c r="H89" s="152"/>
      <c r="I89" s="196"/>
      <c r="J89" s="196"/>
      <c r="K89" s="196"/>
      <c r="L89" s="259"/>
    </row>
    <row r="90" ht="22.5" customHeight="1">
      <c r="A90" s="202"/>
      <c r="B90" s="141" t="s">
        <v>4654</v>
      </c>
      <c r="C90" s="141" t="s">
        <v>4655</v>
      </c>
      <c r="D90" s="217" t="s">
        <v>4507</v>
      </c>
      <c r="E90" s="217" t="s">
        <v>2096</v>
      </c>
      <c r="F90" s="197"/>
      <c r="G90" s="173" t="s">
        <v>2076</v>
      </c>
      <c r="H90" s="144"/>
      <c r="I90" s="197"/>
      <c r="J90" s="197"/>
      <c r="K90" s="197"/>
      <c r="L90" s="257"/>
    </row>
    <row r="91" ht="22.5" customHeight="1">
      <c r="A91" s="250"/>
      <c r="B91" s="154"/>
      <c r="C91" s="149" t="s">
        <v>4656</v>
      </c>
      <c r="D91" s="258" t="s">
        <v>4507</v>
      </c>
      <c r="E91" s="258" t="s">
        <v>2096</v>
      </c>
      <c r="F91" s="196"/>
      <c r="G91" s="166" t="s">
        <v>2097</v>
      </c>
      <c r="H91" s="152"/>
      <c r="I91" s="196"/>
      <c r="J91" s="196"/>
      <c r="K91" s="196"/>
      <c r="L91" s="259"/>
    </row>
    <row r="92" ht="22.5" customHeight="1">
      <c r="A92" s="202"/>
      <c r="B92" s="141" t="s">
        <v>4657</v>
      </c>
      <c r="C92" s="141" t="s">
        <v>4658</v>
      </c>
      <c r="D92" s="217" t="s">
        <v>4507</v>
      </c>
      <c r="E92" s="217" t="s">
        <v>2096</v>
      </c>
      <c r="F92" s="197"/>
      <c r="G92" s="163" t="s">
        <v>2097</v>
      </c>
      <c r="H92" s="144"/>
      <c r="I92" s="197"/>
      <c r="J92" s="197"/>
      <c r="K92" s="197"/>
      <c r="L92" s="257"/>
    </row>
    <row r="93" ht="22.5" customHeight="1">
      <c r="A93" s="250"/>
      <c r="B93" s="149" t="s">
        <v>4659</v>
      </c>
      <c r="C93" s="149" t="s">
        <v>4660</v>
      </c>
      <c r="D93" s="258" t="s">
        <v>4507</v>
      </c>
      <c r="E93" s="258" t="s">
        <v>2096</v>
      </c>
      <c r="F93" s="196"/>
      <c r="G93" s="166" t="s">
        <v>2097</v>
      </c>
      <c r="H93" s="152"/>
      <c r="I93" s="196"/>
      <c r="J93" s="196"/>
      <c r="K93" s="196"/>
      <c r="L93" s="259"/>
    </row>
    <row r="94" ht="22.5" customHeight="1">
      <c r="A94" s="202"/>
      <c r="B94" s="141" t="s">
        <v>653</v>
      </c>
      <c r="C94" s="141" t="s">
        <v>4661</v>
      </c>
      <c r="D94" s="217" t="s">
        <v>4507</v>
      </c>
      <c r="E94" s="217" t="s">
        <v>2096</v>
      </c>
      <c r="F94" s="197"/>
      <c r="G94" s="163" t="s">
        <v>2097</v>
      </c>
      <c r="H94" s="144"/>
      <c r="I94" s="197"/>
      <c r="J94" s="197"/>
      <c r="K94" s="197"/>
      <c r="L94" s="257"/>
    </row>
    <row r="95" ht="22.5" customHeight="1">
      <c r="A95" s="250"/>
      <c r="B95" s="149" t="s">
        <v>4662</v>
      </c>
      <c r="C95" s="149" t="s">
        <v>4663</v>
      </c>
      <c r="D95" s="258" t="s">
        <v>4507</v>
      </c>
      <c r="E95" s="258" t="s">
        <v>2096</v>
      </c>
      <c r="F95" s="196"/>
      <c r="G95" s="166" t="s">
        <v>2097</v>
      </c>
      <c r="H95" s="152"/>
      <c r="I95" s="196"/>
      <c r="J95" s="196"/>
      <c r="K95" s="196"/>
      <c r="L95" s="259"/>
    </row>
    <row r="96" ht="22.5" customHeight="1">
      <c r="A96" s="202"/>
      <c r="B96" s="141" t="s">
        <v>2414</v>
      </c>
      <c r="C96" s="141" t="s">
        <v>4664</v>
      </c>
      <c r="D96" s="217" t="s">
        <v>4507</v>
      </c>
      <c r="E96" s="217" t="s">
        <v>2096</v>
      </c>
      <c r="F96" s="197"/>
      <c r="G96" s="163" t="s">
        <v>2097</v>
      </c>
      <c r="H96" s="144"/>
      <c r="I96" s="197"/>
      <c r="J96" s="197"/>
      <c r="K96" s="197"/>
      <c r="L96" s="257"/>
    </row>
    <row r="97" ht="22.5" customHeight="1">
      <c r="A97" s="250"/>
      <c r="B97" s="149" t="s">
        <v>4665</v>
      </c>
      <c r="C97" s="149" t="s">
        <v>4666</v>
      </c>
      <c r="D97" s="258" t="s">
        <v>4507</v>
      </c>
      <c r="E97" s="258" t="s">
        <v>2096</v>
      </c>
      <c r="F97" s="196"/>
      <c r="G97" s="166" t="s">
        <v>2097</v>
      </c>
      <c r="H97" s="152"/>
      <c r="I97" s="196"/>
      <c r="J97" s="196"/>
      <c r="K97" s="196"/>
      <c r="L97" s="259"/>
    </row>
    <row r="98" ht="22.5" customHeight="1">
      <c r="A98" s="202"/>
      <c r="B98" s="141" t="s">
        <v>4667</v>
      </c>
      <c r="C98" s="141" t="s">
        <v>4668</v>
      </c>
      <c r="D98" s="217" t="s">
        <v>4507</v>
      </c>
      <c r="E98" s="217" t="s">
        <v>2096</v>
      </c>
      <c r="F98" s="197"/>
      <c r="G98" s="173" t="s">
        <v>2076</v>
      </c>
      <c r="H98" s="144"/>
      <c r="I98" s="197"/>
      <c r="J98" s="197"/>
      <c r="K98" s="197"/>
      <c r="L98" s="257"/>
    </row>
    <row r="99" ht="22.5" customHeight="1">
      <c r="A99" s="250"/>
      <c r="B99" s="149" t="s">
        <v>4669</v>
      </c>
      <c r="C99" s="149" t="s">
        <v>4670</v>
      </c>
      <c r="D99" s="258" t="s">
        <v>4507</v>
      </c>
      <c r="E99" s="258" t="s">
        <v>2096</v>
      </c>
      <c r="F99" s="196"/>
      <c r="G99" s="193" t="s">
        <v>2097</v>
      </c>
      <c r="H99" s="263"/>
      <c r="I99" s="264"/>
      <c r="J99" s="264"/>
      <c r="K99" s="264"/>
      <c r="L99" s="183"/>
    </row>
    <row r="100" ht="22.5" customHeight="1">
      <c r="A100" s="202"/>
      <c r="B100" s="141" t="s">
        <v>4671</v>
      </c>
      <c r="C100" s="141" t="s">
        <v>4672</v>
      </c>
      <c r="D100" s="217" t="s">
        <v>4507</v>
      </c>
      <c r="E100" s="217" t="s">
        <v>2096</v>
      </c>
      <c r="F100" s="197"/>
      <c r="G100" s="177" t="s">
        <v>2096</v>
      </c>
      <c r="H100" s="144"/>
      <c r="I100" s="197"/>
      <c r="J100" s="197"/>
      <c r="K100" s="197"/>
      <c r="L100" s="257"/>
    </row>
    <row r="101" ht="22.5" customHeight="1">
      <c r="A101" s="250"/>
      <c r="B101" s="149" t="s">
        <v>4673</v>
      </c>
      <c r="C101" s="149" t="s">
        <v>4674</v>
      </c>
      <c r="D101" s="258" t="s">
        <v>4507</v>
      </c>
      <c r="E101" s="258" t="s">
        <v>2096</v>
      </c>
      <c r="F101" s="196"/>
      <c r="G101" s="265" t="s">
        <v>40</v>
      </c>
      <c r="H101" s="152"/>
      <c r="I101" s="196"/>
      <c r="J101" s="196"/>
      <c r="K101" s="196"/>
      <c r="L101" s="259"/>
    </row>
    <row r="102" ht="22.5" customHeight="1">
      <c r="A102" s="202"/>
      <c r="B102" s="141" t="s">
        <v>4675</v>
      </c>
      <c r="C102" s="141" t="s">
        <v>4676</v>
      </c>
      <c r="D102" s="217" t="s">
        <v>4507</v>
      </c>
      <c r="E102" s="217" t="s">
        <v>2096</v>
      </c>
      <c r="F102" s="197"/>
      <c r="G102" s="144"/>
      <c r="H102" s="144"/>
      <c r="I102" s="197"/>
      <c r="J102" s="197"/>
      <c r="K102" s="197"/>
      <c r="L102" s="257"/>
    </row>
    <row r="103" ht="22.5" customHeight="1">
      <c r="A103" s="250"/>
      <c r="B103" s="149" t="s">
        <v>4677</v>
      </c>
      <c r="C103" s="149" t="s">
        <v>4678</v>
      </c>
      <c r="D103" s="258" t="s">
        <v>4507</v>
      </c>
      <c r="E103" s="258" t="s">
        <v>2096</v>
      </c>
      <c r="F103" s="196"/>
      <c r="G103" s="181"/>
      <c r="H103" s="152"/>
      <c r="I103" s="196"/>
      <c r="J103" s="196"/>
      <c r="K103" s="196"/>
      <c r="L103" s="259"/>
    </row>
    <row r="104" ht="22.5" customHeight="1">
      <c r="A104" s="202"/>
      <c r="B104" s="141" t="s">
        <v>4679</v>
      </c>
      <c r="C104" s="141" t="s">
        <v>4680</v>
      </c>
      <c r="D104" s="217" t="s">
        <v>4507</v>
      </c>
      <c r="E104" s="217" t="s">
        <v>2096</v>
      </c>
      <c r="F104" s="197"/>
      <c r="G104" s="144"/>
      <c r="H104" s="144"/>
      <c r="I104" s="197"/>
      <c r="J104" s="197"/>
      <c r="K104" s="197"/>
      <c r="L104" s="257"/>
    </row>
    <row r="105" ht="22.5" customHeight="1">
      <c r="A105" s="250"/>
      <c r="B105" s="149" t="s">
        <v>4681</v>
      </c>
      <c r="C105" s="149" t="s">
        <v>4682</v>
      </c>
      <c r="D105" s="258" t="s">
        <v>4507</v>
      </c>
      <c r="E105" s="258" t="s">
        <v>2096</v>
      </c>
      <c r="F105" s="196"/>
      <c r="G105" s="199" t="s">
        <v>2192</v>
      </c>
      <c r="H105" s="152"/>
      <c r="I105" s="196"/>
      <c r="J105" s="196"/>
      <c r="K105" s="196"/>
      <c r="L105" s="266" t="s">
        <v>4683</v>
      </c>
    </row>
    <row r="106" ht="22.5" customHeight="1">
      <c r="A106" s="202"/>
      <c r="B106" s="141" t="s">
        <v>4684</v>
      </c>
      <c r="C106" s="141" t="s">
        <v>4685</v>
      </c>
      <c r="D106" s="217" t="s">
        <v>4507</v>
      </c>
      <c r="E106" s="217" t="s">
        <v>2096</v>
      </c>
      <c r="F106" s="197"/>
      <c r="G106" s="144"/>
      <c r="H106" s="144"/>
      <c r="I106" s="197"/>
      <c r="J106" s="197"/>
      <c r="K106" s="197"/>
      <c r="L106" s="257"/>
    </row>
    <row r="107" ht="22.5" customHeight="1">
      <c r="A107" s="250"/>
      <c r="B107" s="149" t="s">
        <v>4686</v>
      </c>
      <c r="C107" s="149" t="s">
        <v>4687</v>
      </c>
      <c r="D107" s="258" t="s">
        <v>4507</v>
      </c>
      <c r="E107" s="258" t="s">
        <v>2096</v>
      </c>
      <c r="F107" s="196"/>
      <c r="G107" s="265" t="s">
        <v>40</v>
      </c>
      <c r="H107" s="152"/>
      <c r="I107" s="196"/>
      <c r="J107" s="196"/>
      <c r="K107" s="196"/>
      <c r="L107" s="266" t="s">
        <v>4688</v>
      </c>
    </row>
    <row r="108" ht="22.5" customHeight="1">
      <c r="A108" s="202"/>
      <c r="B108" s="141" t="s">
        <v>4689</v>
      </c>
      <c r="C108" s="141" t="s">
        <v>4690</v>
      </c>
      <c r="D108" s="217" t="s">
        <v>4507</v>
      </c>
      <c r="E108" s="217" t="s">
        <v>2096</v>
      </c>
      <c r="F108" s="197"/>
      <c r="G108" s="216" t="s">
        <v>40</v>
      </c>
      <c r="H108" s="144"/>
      <c r="I108" s="197"/>
      <c r="J108" s="197"/>
      <c r="K108" s="197"/>
      <c r="L108" s="260" t="s">
        <v>4691</v>
      </c>
    </row>
    <row r="109" ht="22.5" customHeight="1">
      <c r="A109" s="250"/>
      <c r="B109" s="149" t="s">
        <v>4692</v>
      </c>
      <c r="C109" s="149" t="s">
        <v>4693</v>
      </c>
      <c r="D109" s="258" t="s">
        <v>4507</v>
      </c>
      <c r="E109" s="258" t="s">
        <v>2096</v>
      </c>
      <c r="F109" s="196"/>
      <c r="G109" s="181"/>
      <c r="H109" s="152"/>
      <c r="I109" s="196"/>
      <c r="J109" s="196"/>
      <c r="K109" s="196"/>
      <c r="L109" s="259"/>
    </row>
    <row r="110" ht="22.5" customHeight="1">
      <c r="A110" s="202"/>
      <c r="B110" s="146"/>
      <c r="C110" s="141" t="s">
        <v>4694</v>
      </c>
      <c r="D110" s="217" t="s">
        <v>4507</v>
      </c>
      <c r="E110" s="217" t="s">
        <v>2096</v>
      </c>
      <c r="F110" s="197"/>
      <c r="G110" s="144"/>
      <c r="H110" s="144"/>
      <c r="I110" s="197"/>
      <c r="J110" s="197"/>
      <c r="K110" s="197"/>
      <c r="L110" s="257"/>
    </row>
    <row r="111" ht="22.5" customHeight="1">
      <c r="A111" s="250"/>
      <c r="B111" s="149" t="s">
        <v>4695</v>
      </c>
      <c r="C111" s="149" t="s">
        <v>4696</v>
      </c>
      <c r="D111" s="258" t="s">
        <v>4507</v>
      </c>
      <c r="E111" s="258" t="s">
        <v>2096</v>
      </c>
      <c r="F111" s="196"/>
      <c r="G111" s="192" t="s">
        <v>49</v>
      </c>
      <c r="H111" s="152"/>
      <c r="I111" s="196"/>
      <c r="J111" s="196"/>
      <c r="K111" s="196"/>
      <c r="L111" s="259"/>
    </row>
    <row r="112" ht="22.5" customHeight="1">
      <c r="A112" s="202"/>
      <c r="B112" s="141" t="s">
        <v>4697</v>
      </c>
      <c r="C112" s="141" t="s">
        <v>4698</v>
      </c>
      <c r="D112" s="217" t="s">
        <v>4507</v>
      </c>
      <c r="E112" s="217" t="s">
        <v>2096</v>
      </c>
      <c r="F112" s="197"/>
      <c r="G112" s="215" t="s">
        <v>2192</v>
      </c>
      <c r="H112" s="144"/>
      <c r="I112" s="197"/>
      <c r="J112" s="197"/>
      <c r="K112" s="197"/>
      <c r="L112" s="257"/>
    </row>
    <row r="113" ht="22.5" customHeight="1">
      <c r="A113" s="250"/>
      <c r="B113" s="149" t="s">
        <v>4699</v>
      </c>
      <c r="C113" s="149" t="s">
        <v>4700</v>
      </c>
      <c r="D113" s="258" t="s">
        <v>4507</v>
      </c>
      <c r="E113" s="258" t="s">
        <v>2096</v>
      </c>
      <c r="F113" s="196"/>
      <c r="G113" s="192" t="s">
        <v>49</v>
      </c>
      <c r="H113" s="152"/>
      <c r="I113" s="196"/>
      <c r="J113" s="196"/>
      <c r="K113" s="196"/>
      <c r="L113" s="266" t="s">
        <v>4701</v>
      </c>
    </row>
    <row r="114" ht="22.5" customHeight="1">
      <c r="A114" s="202"/>
      <c r="B114" s="141" t="s">
        <v>4702</v>
      </c>
      <c r="C114" s="141" t="s">
        <v>4703</v>
      </c>
      <c r="D114" s="217" t="s">
        <v>4507</v>
      </c>
      <c r="E114" s="217" t="s">
        <v>2096</v>
      </c>
      <c r="F114" s="197"/>
      <c r="G114" s="173" t="s">
        <v>2076</v>
      </c>
      <c r="H114" s="144"/>
      <c r="I114" s="197"/>
      <c r="J114" s="197"/>
      <c r="K114" s="197"/>
      <c r="L114" s="260" t="s">
        <v>4704</v>
      </c>
    </row>
    <row r="115" ht="22.5" customHeight="1">
      <c r="A115" s="250"/>
      <c r="B115" s="149" t="s">
        <v>4705</v>
      </c>
      <c r="C115" s="149" t="s">
        <v>4706</v>
      </c>
      <c r="D115" s="258" t="s">
        <v>4507</v>
      </c>
      <c r="E115" s="258" t="s">
        <v>2096</v>
      </c>
      <c r="F115" s="196"/>
      <c r="G115" s="265" t="s">
        <v>40</v>
      </c>
      <c r="H115" s="152"/>
      <c r="I115" s="196"/>
      <c r="J115" s="196"/>
      <c r="K115" s="196"/>
      <c r="L115" s="259"/>
    </row>
    <row r="116" ht="22.5" customHeight="1">
      <c r="A116" s="202"/>
      <c r="B116" s="141" t="s">
        <v>4287</v>
      </c>
      <c r="C116" s="141" t="s">
        <v>4707</v>
      </c>
      <c r="D116" s="217" t="s">
        <v>4507</v>
      </c>
      <c r="E116" s="217" t="s">
        <v>2096</v>
      </c>
      <c r="F116" s="197"/>
      <c r="G116" s="216" t="s">
        <v>40</v>
      </c>
      <c r="H116" s="144"/>
      <c r="I116" s="197"/>
      <c r="J116" s="197"/>
      <c r="K116" s="197"/>
      <c r="L116" s="260" t="s">
        <v>4708</v>
      </c>
    </row>
    <row r="117" ht="22.5" customHeight="1">
      <c r="A117" s="250"/>
      <c r="B117" s="149" t="s">
        <v>4709</v>
      </c>
      <c r="C117" s="149" t="s">
        <v>4710</v>
      </c>
      <c r="D117" s="258" t="s">
        <v>4507</v>
      </c>
      <c r="E117" s="258" t="s">
        <v>2096</v>
      </c>
      <c r="F117" s="196"/>
      <c r="G117" s="180" t="s">
        <v>2076</v>
      </c>
      <c r="H117" s="152"/>
      <c r="I117" s="196"/>
      <c r="J117" s="196"/>
      <c r="K117" s="196"/>
      <c r="L117" s="259"/>
    </row>
    <row r="118" ht="22.5" customHeight="1">
      <c r="A118" s="202"/>
      <c r="B118" s="141" t="s">
        <v>4711</v>
      </c>
      <c r="C118" s="141" t="s">
        <v>4712</v>
      </c>
      <c r="D118" s="217" t="s">
        <v>4507</v>
      </c>
      <c r="E118" s="217" t="s">
        <v>2096</v>
      </c>
      <c r="F118" s="197"/>
      <c r="G118" s="144"/>
      <c r="H118" s="144"/>
      <c r="I118" s="197"/>
      <c r="J118" s="197"/>
      <c r="K118" s="197"/>
      <c r="L118" s="257"/>
    </row>
    <row r="119" ht="22.5" customHeight="1">
      <c r="A119" s="250"/>
      <c r="B119" s="149" t="s">
        <v>4713</v>
      </c>
      <c r="C119" s="149" t="s">
        <v>4714</v>
      </c>
      <c r="D119" s="258" t="s">
        <v>4507</v>
      </c>
      <c r="E119" s="258" t="s">
        <v>2096</v>
      </c>
      <c r="F119" s="196"/>
      <c r="G119" s="265" t="s">
        <v>40</v>
      </c>
      <c r="H119" s="152"/>
      <c r="I119" s="196"/>
      <c r="J119" s="196"/>
      <c r="K119" s="196"/>
      <c r="L119" s="266" t="s">
        <v>4715</v>
      </c>
    </row>
    <row r="120" ht="22.5" customHeight="1">
      <c r="A120" s="202"/>
      <c r="B120" s="141" t="s">
        <v>4716</v>
      </c>
      <c r="C120" s="141" t="s">
        <v>4717</v>
      </c>
      <c r="D120" s="217" t="s">
        <v>4507</v>
      </c>
      <c r="E120" s="217" t="s">
        <v>2096</v>
      </c>
      <c r="F120" s="197"/>
      <c r="G120" s="216" t="s">
        <v>40</v>
      </c>
      <c r="H120" s="144"/>
      <c r="I120" s="197"/>
      <c r="J120" s="197"/>
      <c r="K120" s="197"/>
      <c r="L120" s="260" t="s">
        <v>4704</v>
      </c>
    </row>
    <row r="121" ht="22.5" customHeight="1">
      <c r="A121" s="250"/>
      <c r="B121" s="149" t="s">
        <v>4718</v>
      </c>
      <c r="C121" s="149" t="s">
        <v>4719</v>
      </c>
      <c r="D121" s="258" t="s">
        <v>4507</v>
      </c>
      <c r="E121" s="258" t="s">
        <v>2096</v>
      </c>
      <c r="F121" s="196"/>
      <c r="G121" s="192" t="s">
        <v>49</v>
      </c>
      <c r="H121" s="152"/>
      <c r="I121" s="196"/>
      <c r="J121" s="196"/>
      <c r="K121" s="196"/>
      <c r="L121" s="266" t="s">
        <v>4701</v>
      </c>
    </row>
    <row r="122" ht="22.5" customHeight="1">
      <c r="A122" s="202"/>
      <c r="B122" s="141" t="s">
        <v>4720</v>
      </c>
      <c r="C122" s="141" t="s">
        <v>4721</v>
      </c>
      <c r="D122" s="217" t="s">
        <v>4507</v>
      </c>
      <c r="E122" s="217" t="s">
        <v>2096</v>
      </c>
      <c r="F122" s="197"/>
      <c r="G122" s="216" t="s">
        <v>40</v>
      </c>
      <c r="H122" s="144"/>
      <c r="I122" s="197"/>
      <c r="J122" s="197"/>
      <c r="K122" s="197"/>
      <c r="L122" s="260" t="s">
        <v>4722</v>
      </c>
    </row>
    <row r="123" ht="22.5" customHeight="1">
      <c r="A123" s="250"/>
      <c r="B123" s="149" t="s">
        <v>4723</v>
      </c>
      <c r="C123" s="149" t="s">
        <v>4724</v>
      </c>
      <c r="D123" s="258" t="s">
        <v>4507</v>
      </c>
      <c r="E123" s="258" t="s">
        <v>2096</v>
      </c>
      <c r="F123" s="196"/>
      <c r="G123" s="199" t="s">
        <v>2192</v>
      </c>
      <c r="H123" s="152"/>
      <c r="I123" s="196"/>
      <c r="J123" s="196"/>
      <c r="K123" s="196"/>
      <c r="L123" s="259"/>
    </row>
    <row r="124" ht="22.5" customHeight="1">
      <c r="A124" s="202"/>
      <c r="B124" s="146"/>
      <c r="C124" s="141" t="s">
        <v>4725</v>
      </c>
      <c r="D124" s="217" t="s">
        <v>4507</v>
      </c>
      <c r="E124" s="217" t="s">
        <v>2096</v>
      </c>
      <c r="F124" s="197"/>
      <c r="G124" s="212" t="s">
        <v>17</v>
      </c>
      <c r="H124" s="144"/>
      <c r="I124" s="197"/>
      <c r="J124" s="197"/>
      <c r="K124" s="197"/>
      <c r="L124" s="257"/>
    </row>
    <row r="125" ht="22.5" customHeight="1">
      <c r="A125" s="250"/>
      <c r="B125" s="149" t="s">
        <v>4726</v>
      </c>
      <c r="C125" s="149" t="s">
        <v>4727</v>
      </c>
      <c r="D125" s="258" t="s">
        <v>4507</v>
      </c>
      <c r="E125" s="258" t="s">
        <v>2096</v>
      </c>
      <c r="F125" s="196"/>
      <c r="G125" s="265" t="s">
        <v>40</v>
      </c>
      <c r="H125" s="152"/>
      <c r="I125" s="196"/>
      <c r="J125" s="196"/>
      <c r="K125" s="196"/>
      <c r="L125" s="259"/>
    </row>
    <row r="126" ht="22.5" customHeight="1">
      <c r="A126" s="202"/>
      <c r="B126" s="141" t="s">
        <v>4728</v>
      </c>
      <c r="C126" s="141" t="s">
        <v>4729</v>
      </c>
      <c r="D126" s="217" t="s">
        <v>4507</v>
      </c>
      <c r="E126" s="217" t="s">
        <v>2096</v>
      </c>
      <c r="F126" s="197"/>
      <c r="G126" s="215" t="s">
        <v>2192</v>
      </c>
      <c r="H126" s="144"/>
      <c r="I126" s="197"/>
      <c r="J126" s="197"/>
      <c r="K126" s="197"/>
      <c r="L126" s="257"/>
    </row>
    <row r="127" ht="22.5" customHeight="1">
      <c r="A127" s="250"/>
      <c r="B127" s="149" t="s">
        <v>4730</v>
      </c>
      <c r="C127" s="149" t="s">
        <v>4731</v>
      </c>
      <c r="D127" s="258" t="s">
        <v>4507</v>
      </c>
      <c r="E127" s="258" t="s">
        <v>2096</v>
      </c>
      <c r="F127" s="150">
        <v>45481.0</v>
      </c>
      <c r="G127" s="267" t="s">
        <v>17</v>
      </c>
      <c r="H127" s="152"/>
      <c r="I127" s="196"/>
      <c r="J127" s="196"/>
      <c r="K127" s="196"/>
      <c r="L127" s="259"/>
    </row>
    <row r="128" ht="22.5" customHeight="1">
      <c r="A128" s="202"/>
      <c r="B128" s="141" t="s">
        <v>4732</v>
      </c>
      <c r="C128" s="141" t="s">
        <v>4733</v>
      </c>
      <c r="D128" s="217" t="s">
        <v>4507</v>
      </c>
      <c r="E128" s="217" t="s">
        <v>2096</v>
      </c>
      <c r="F128" s="142">
        <v>45481.0</v>
      </c>
      <c r="G128" s="212" t="s">
        <v>17</v>
      </c>
      <c r="H128" s="144"/>
      <c r="I128" s="197"/>
      <c r="J128" s="197"/>
      <c r="K128" s="197"/>
      <c r="L128" s="257"/>
    </row>
    <row r="129" ht="22.5" customHeight="1">
      <c r="A129" s="250"/>
      <c r="B129" s="149" t="s">
        <v>4734</v>
      </c>
      <c r="C129" s="149" t="s">
        <v>4735</v>
      </c>
      <c r="D129" s="258" t="s">
        <v>4507</v>
      </c>
      <c r="E129" s="258" t="s">
        <v>2096</v>
      </c>
      <c r="F129" s="196"/>
      <c r="G129" s="192" t="s">
        <v>49</v>
      </c>
      <c r="H129" s="152"/>
      <c r="I129" s="196"/>
      <c r="J129" s="196"/>
      <c r="K129" s="196"/>
      <c r="L129" s="266" t="s">
        <v>4736</v>
      </c>
    </row>
    <row r="130" ht="22.5" customHeight="1">
      <c r="A130" s="202"/>
      <c r="B130" s="141" t="s">
        <v>4737</v>
      </c>
      <c r="C130" s="141" t="s">
        <v>4738</v>
      </c>
      <c r="D130" s="217" t="s">
        <v>4507</v>
      </c>
      <c r="E130" s="217" t="s">
        <v>2096</v>
      </c>
      <c r="F130" s="197"/>
      <c r="G130" s="215" t="s">
        <v>2192</v>
      </c>
      <c r="H130" s="144"/>
      <c r="I130" s="197"/>
      <c r="J130" s="197"/>
      <c r="K130" s="197"/>
      <c r="L130" s="257"/>
    </row>
    <row r="131" ht="22.5" customHeight="1">
      <c r="A131" s="250"/>
      <c r="B131" s="149" t="s">
        <v>4739</v>
      </c>
      <c r="C131" s="149" t="s">
        <v>4740</v>
      </c>
      <c r="D131" s="258" t="s">
        <v>4507</v>
      </c>
      <c r="E131" s="258" t="s">
        <v>2096</v>
      </c>
      <c r="F131" s="196"/>
      <c r="G131" s="265" t="s">
        <v>40</v>
      </c>
      <c r="H131" s="152"/>
      <c r="I131" s="196"/>
      <c r="J131" s="196"/>
      <c r="K131" s="196"/>
      <c r="L131" s="259"/>
    </row>
    <row r="132" ht="22.5" customHeight="1">
      <c r="A132" s="202"/>
      <c r="B132" s="141" t="s">
        <v>4741</v>
      </c>
      <c r="C132" s="141" t="s">
        <v>4742</v>
      </c>
      <c r="D132" s="217" t="s">
        <v>4507</v>
      </c>
      <c r="E132" s="217" t="s">
        <v>2096</v>
      </c>
      <c r="F132" s="197"/>
      <c r="G132" s="212" t="s">
        <v>17</v>
      </c>
      <c r="H132" s="144"/>
      <c r="I132" s="197"/>
      <c r="J132" s="197"/>
      <c r="K132" s="197"/>
      <c r="L132" s="257"/>
    </row>
    <row r="133" ht="22.5" customHeight="1">
      <c r="A133" s="250"/>
      <c r="B133" s="149" t="s">
        <v>274</v>
      </c>
      <c r="C133" s="149" t="s">
        <v>4743</v>
      </c>
      <c r="D133" s="258" t="s">
        <v>4507</v>
      </c>
      <c r="E133" s="258" t="s">
        <v>2096</v>
      </c>
      <c r="F133" s="150">
        <v>45543.0</v>
      </c>
      <c r="G133" s="192" t="s">
        <v>49</v>
      </c>
      <c r="H133" s="152"/>
      <c r="I133" s="196"/>
      <c r="J133" s="196"/>
      <c r="K133" s="196"/>
      <c r="L133" s="259"/>
    </row>
    <row r="134" ht="22.5" customHeight="1">
      <c r="A134" s="202"/>
      <c r="B134" s="141" t="s">
        <v>4744</v>
      </c>
      <c r="C134" s="141" t="s">
        <v>4745</v>
      </c>
      <c r="D134" s="217" t="s">
        <v>4507</v>
      </c>
      <c r="E134" s="217" t="s">
        <v>2096</v>
      </c>
      <c r="F134" s="142">
        <v>45512.0</v>
      </c>
      <c r="G134" s="212" t="s">
        <v>17</v>
      </c>
      <c r="H134" s="144"/>
      <c r="I134" s="197"/>
      <c r="J134" s="197"/>
      <c r="K134" s="197"/>
      <c r="L134" s="257"/>
    </row>
    <row r="135" ht="22.5" customHeight="1">
      <c r="A135" s="250"/>
      <c r="B135" s="149" t="s">
        <v>4746</v>
      </c>
      <c r="C135" s="149" t="s">
        <v>4747</v>
      </c>
      <c r="D135" s="258" t="s">
        <v>4507</v>
      </c>
      <c r="E135" s="258" t="s">
        <v>2096</v>
      </c>
      <c r="F135" s="196"/>
      <c r="G135" s="192" t="s">
        <v>49</v>
      </c>
      <c r="H135" s="152"/>
      <c r="I135" s="196"/>
      <c r="J135" s="196"/>
      <c r="K135" s="196"/>
      <c r="L135" s="266" t="s">
        <v>4701</v>
      </c>
    </row>
    <row r="136" ht="22.5" customHeight="1">
      <c r="A136" s="202"/>
      <c r="B136" s="141" t="s">
        <v>4748</v>
      </c>
      <c r="C136" s="141" t="s">
        <v>4749</v>
      </c>
      <c r="D136" s="217" t="s">
        <v>4507</v>
      </c>
      <c r="E136" s="217" t="s">
        <v>2096</v>
      </c>
      <c r="F136" s="197"/>
      <c r="G136" s="216" t="s">
        <v>40</v>
      </c>
      <c r="H136" s="144"/>
      <c r="I136" s="197"/>
      <c r="J136" s="197"/>
      <c r="K136" s="197"/>
      <c r="L136" s="260" t="s">
        <v>4750</v>
      </c>
    </row>
    <row r="137" ht="22.5" customHeight="1">
      <c r="A137" s="250"/>
      <c r="B137" s="149" t="s">
        <v>4751</v>
      </c>
      <c r="C137" s="149" t="s">
        <v>4752</v>
      </c>
      <c r="D137" s="258" t="s">
        <v>4507</v>
      </c>
      <c r="E137" s="258" t="s">
        <v>2096</v>
      </c>
      <c r="F137" s="196"/>
      <c r="G137" s="192" t="s">
        <v>49</v>
      </c>
      <c r="H137" s="152"/>
      <c r="I137" s="196"/>
      <c r="J137" s="196"/>
      <c r="K137" s="196"/>
      <c r="L137" s="259"/>
    </row>
    <row r="138" ht="22.5" customHeight="1">
      <c r="A138" s="202"/>
      <c r="B138" s="141" t="s">
        <v>4753</v>
      </c>
      <c r="C138" s="141" t="s">
        <v>4754</v>
      </c>
      <c r="D138" s="217" t="s">
        <v>4507</v>
      </c>
      <c r="E138" s="217" t="s">
        <v>2096</v>
      </c>
      <c r="F138" s="197"/>
      <c r="G138" s="246" t="s">
        <v>3955</v>
      </c>
      <c r="H138" s="144"/>
      <c r="I138" s="197"/>
      <c r="J138" s="197"/>
      <c r="K138" s="197"/>
      <c r="L138" s="260" t="s">
        <v>4755</v>
      </c>
    </row>
    <row r="139" ht="22.5" customHeight="1">
      <c r="A139" s="250"/>
      <c r="B139" s="149" t="s">
        <v>4756</v>
      </c>
      <c r="C139" s="149" t="s">
        <v>4757</v>
      </c>
      <c r="D139" s="258" t="s">
        <v>4507</v>
      </c>
      <c r="E139" s="258" t="s">
        <v>2096</v>
      </c>
      <c r="F139" s="158" t="s">
        <v>4758</v>
      </c>
      <c r="G139" s="192" t="s">
        <v>49</v>
      </c>
      <c r="H139" s="152"/>
      <c r="I139" s="196"/>
      <c r="J139" s="196"/>
      <c r="K139" s="196"/>
      <c r="L139" s="259"/>
    </row>
    <row r="140" ht="22.5" customHeight="1">
      <c r="A140" s="202"/>
      <c r="B140" s="141" t="s">
        <v>4759</v>
      </c>
      <c r="C140" s="141" t="s">
        <v>4760</v>
      </c>
      <c r="D140" s="217" t="s">
        <v>4507</v>
      </c>
      <c r="E140" s="217" t="s">
        <v>2096</v>
      </c>
      <c r="F140" s="197"/>
      <c r="G140" s="143" t="s">
        <v>30</v>
      </c>
      <c r="H140" s="144"/>
      <c r="I140" s="197"/>
      <c r="J140" s="197"/>
      <c r="K140" s="197"/>
      <c r="L140" s="257"/>
    </row>
    <row r="141" ht="22.5" customHeight="1">
      <c r="A141" s="250"/>
      <c r="B141" s="149" t="s">
        <v>4761</v>
      </c>
      <c r="C141" s="149" t="s">
        <v>4762</v>
      </c>
      <c r="D141" s="258" t="s">
        <v>4507</v>
      </c>
      <c r="E141" s="258" t="s">
        <v>2096</v>
      </c>
      <c r="F141" s="150">
        <v>45512.0</v>
      </c>
      <c r="G141" s="192" t="s">
        <v>49</v>
      </c>
      <c r="H141" s="152"/>
      <c r="I141" s="196"/>
      <c r="J141" s="196"/>
      <c r="K141" s="196"/>
      <c r="L141" s="259"/>
    </row>
    <row r="142" ht="22.5" customHeight="1">
      <c r="A142" s="202"/>
      <c r="B142" s="141" t="s">
        <v>4763</v>
      </c>
      <c r="C142" s="141" t="s">
        <v>4764</v>
      </c>
      <c r="D142" s="217" t="s">
        <v>4507</v>
      </c>
      <c r="E142" s="217" t="s">
        <v>2096</v>
      </c>
      <c r="F142" s="197"/>
      <c r="G142" s="216" t="s">
        <v>40</v>
      </c>
      <c r="H142" s="144"/>
      <c r="I142" s="197"/>
      <c r="J142" s="197"/>
      <c r="K142" s="197"/>
      <c r="L142" s="257"/>
    </row>
    <row r="143" ht="22.5" customHeight="1">
      <c r="A143" s="250"/>
      <c r="B143" s="149" t="s">
        <v>4765</v>
      </c>
      <c r="C143" s="149" t="s">
        <v>4766</v>
      </c>
      <c r="D143" s="258" t="s">
        <v>4507</v>
      </c>
      <c r="E143" s="258" t="s">
        <v>2096</v>
      </c>
      <c r="F143" s="196"/>
      <c r="G143" s="192" t="s">
        <v>49</v>
      </c>
      <c r="H143" s="152"/>
      <c r="I143" s="196"/>
      <c r="J143" s="196"/>
      <c r="K143" s="196"/>
      <c r="L143" s="266" t="s">
        <v>4767</v>
      </c>
    </row>
    <row r="144" ht="22.5" customHeight="1">
      <c r="A144" s="202"/>
      <c r="B144" s="146"/>
      <c r="C144" s="141" t="s">
        <v>4768</v>
      </c>
      <c r="D144" s="217" t="s">
        <v>4507</v>
      </c>
      <c r="E144" s="217" t="s">
        <v>2096</v>
      </c>
      <c r="F144" s="197"/>
      <c r="G144" s="144"/>
      <c r="H144" s="144"/>
      <c r="I144" s="197"/>
      <c r="J144" s="197"/>
      <c r="K144" s="197"/>
      <c r="L144" s="257"/>
    </row>
    <row r="145" ht="22.5" customHeight="1">
      <c r="A145" s="250"/>
      <c r="B145" s="149" t="s">
        <v>4769</v>
      </c>
      <c r="C145" s="149" t="s">
        <v>4770</v>
      </c>
      <c r="D145" s="258" t="s">
        <v>4507</v>
      </c>
      <c r="E145" s="258" t="s">
        <v>2096</v>
      </c>
      <c r="F145" s="196"/>
      <c r="G145" s="181"/>
      <c r="H145" s="152"/>
      <c r="I145" s="196"/>
      <c r="J145" s="196"/>
      <c r="K145" s="196"/>
      <c r="L145" s="259"/>
    </row>
    <row r="146" ht="22.5" customHeight="1">
      <c r="A146" s="202"/>
      <c r="B146" s="146"/>
      <c r="C146" s="141" t="s">
        <v>4771</v>
      </c>
      <c r="D146" s="217" t="s">
        <v>4507</v>
      </c>
      <c r="E146" s="217" t="s">
        <v>2096</v>
      </c>
      <c r="F146" s="197"/>
      <c r="G146" s="212" t="s">
        <v>17</v>
      </c>
      <c r="H146" s="144"/>
      <c r="I146" s="197"/>
      <c r="J146" s="197"/>
      <c r="K146" s="197"/>
      <c r="L146" s="257"/>
    </row>
    <row r="147" ht="22.5" customHeight="1">
      <c r="A147" s="250"/>
      <c r="B147" s="149" t="s">
        <v>4772</v>
      </c>
      <c r="C147" s="149" t="s">
        <v>4773</v>
      </c>
      <c r="D147" s="258" t="s">
        <v>4507</v>
      </c>
      <c r="E147" s="258" t="s">
        <v>2096</v>
      </c>
      <c r="F147" s="196"/>
      <c r="G147" s="267" t="s">
        <v>17</v>
      </c>
      <c r="H147" s="152"/>
      <c r="I147" s="196"/>
      <c r="J147" s="196"/>
      <c r="K147" s="196"/>
      <c r="L147" s="259"/>
    </row>
    <row r="148" ht="22.5" customHeight="1">
      <c r="A148" s="202"/>
      <c r="B148" s="141" t="s">
        <v>4774</v>
      </c>
      <c r="C148" s="141" t="s">
        <v>4775</v>
      </c>
      <c r="D148" s="217" t="s">
        <v>4507</v>
      </c>
      <c r="E148" s="217" t="s">
        <v>2096</v>
      </c>
      <c r="F148" s="197"/>
      <c r="G148" s="169" t="s">
        <v>49</v>
      </c>
      <c r="H148" s="144"/>
      <c r="I148" s="197"/>
      <c r="J148" s="197"/>
      <c r="K148" s="197"/>
      <c r="L148" s="257"/>
    </row>
    <row r="149" ht="22.5" customHeight="1">
      <c r="A149" s="250"/>
      <c r="B149" s="154"/>
      <c r="C149" s="149" t="s">
        <v>4776</v>
      </c>
      <c r="D149" s="258" t="s">
        <v>4507</v>
      </c>
      <c r="E149" s="258" t="s">
        <v>2096</v>
      </c>
      <c r="F149" s="196"/>
      <c r="G149" s="192" t="s">
        <v>49</v>
      </c>
      <c r="H149" s="152"/>
      <c r="I149" s="196"/>
      <c r="J149" s="196"/>
      <c r="K149" s="196"/>
      <c r="L149" s="259"/>
    </row>
    <row r="150" ht="22.5" customHeight="1">
      <c r="A150" s="202"/>
      <c r="B150" s="141" t="s">
        <v>4211</v>
      </c>
      <c r="C150" s="141" t="s">
        <v>4777</v>
      </c>
      <c r="D150" s="217" t="s">
        <v>4507</v>
      </c>
      <c r="E150" s="217" t="s">
        <v>2096</v>
      </c>
      <c r="F150" s="197"/>
      <c r="G150" s="169" t="s">
        <v>49</v>
      </c>
      <c r="H150" s="144"/>
      <c r="I150" s="197"/>
      <c r="J150" s="197"/>
      <c r="K150" s="197"/>
      <c r="L150" s="257"/>
    </row>
    <row r="151" ht="22.5" customHeight="1">
      <c r="A151" s="250"/>
      <c r="B151" s="149" t="s">
        <v>4778</v>
      </c>
      <c r="C151" s="149" t="s">
        <v>4779</v>
      </c>
      <c r="D151" s="258" t="s">
        <v>4507</v>
      </c>
      <c r="E151" s="258" t="s">
        <v>2096</v>
      </c>
      <c r="F151" s="196"/>
      <c r="G151" s="268" t="s">
        <v>30</v>
      </c>
      <c r="H151" s="152"/>
      <c r="I151" s="196"/>
      <c r="J151" s="196"/>
      <c r="K151" s="196"/>
      <c r="L151" s="259"/>
    </row>
    <row r="152" ht="22.5" customHeight="1">
      <c r="A152" s="202"/>
      <c r="B152" s="141" t="s">
        <v>4780</v>
      </c>
      <c r="C152" s="141" t="s">
        <v>4781</v>
      </c>
      <c r="D152" s="217" t="s">
        <v>4507</v>
      </c>
      <c r="E152" s="217" t="s">
        <v>2096</v>
      </c>
      <c r="F152" s="197"/>
      <c r="G152" s="212" t="s">
        <v>17</v>
      </c>
      <c r="H152" s="144"/>
      <c r="I152" s="197"/>
      <c r="J152" s="197"/>
      <c r="K152" s="197"/>
      <c r="L152" s="257"/>
    </row>
    <row r="153" ht="22.5" customHeight="1">
      <c r="A153" s="250"/>
      <c r="B153" s="149" t="s">
        <v>4782</v>
      </c>
      <c r="C153" s="149" t="s">
        <v>2148</v>
      </c>
      <c r="D153" s="258" t="s">
        <v>4507</v>
      </c>
      <c r="E153" s="258" t="s">
        <v>2096</v>
      </c>
      <c r="F153" s="196"/>
      <c r="G153" s="192" t="s">
        <v>49</v>
      </c>
      <c r="H153" s="152"/>
      <c r="I153" s="196"/>
      <c r="J153" s="196"/>
      <c r="K153" s="196"/>
      <c r="L153" s="259"/>
    </row>
    <row r="154" ht="22.5" customHeight="1">
      <c r="A154" s="202"/>
      <c r="B154" s="141" t="s">
        <v>4783</v>
      </c>
      <c r="C154" s="141" t="s">
        <v>4784</v>
      </c>
      <c r="D154" s="217" t="s">
        <v>4507</v>
      </c>
      <c r="E154" s="217" t="s">
        <v>2096</v>
      </c>
      <c r="F154" s="197"/>
      <c r="G154" s="173" t="s">
        <v>2076</v>
      </c>
      <c r="H154" s="144"/>
      <c r="I154" s="197"/>
      <c r="J154" s="197"/>
      <c r="K154" s="197"/>
      <c r="L154" s="257"/>
    </row>
    <row r="155" ht="22.5" customHeight="1">
      <c r="A155" s="250"/>
      <c r="B155" s="149" t="s">
        <v>4785</v>
      </c>
      <c r="C155" s="149" t="s">
        <v>4786</v>
      </c>
      <c r="D155" s="258" t="s">
        <v>4507</v>
      </c>
      <c r="E155" s="258" t="s">
        <v>2096</v>
      </c>
      <c r="F155" s="196"/>
      <c r="G155" s="268" t="s">
        <v>30</v>
      </c>
      <c r="H155" s="152"/>
      <c r="I155" s="196"/>
      <c r="J155" s="196"/>
      <c r="K155" s="196"/>
      <c r="L155" s="266" t="s">
        <v>4708</v>
      </c>
    </row>
    <row r="156" ht="22.5" customHeight="1">
      <c r="A156" s="202"/>
      <c r="B156" s="141" t="s">
        <v>4787</v>
      </c>
      <c r="C156" s="141" t="s">
        <v>4788</v>
      </c>
      <c r="D156" s="217" t="s">
        <v>4507</v>
      </c>
      <c r="E156" s="217" t="s">
        <v>2096</v>
      </c>
      <c r="F156" s="197"/>
      <c r="G156" s="215" t="s">
        <v>2192</v>
      </c>
      <c r="H156" s="144"/>
      <c r="I156" s="197"/>
      <c r="J156" s="197"/>
      <c r="K156" s="197"/>
      <c r="L156" s="257"/>
    </row>
    <row r="157" ht="22.5" customHeight="1">
      <c r="A157" s="250"/>
      <c r="B157" s="149" t="s">
        <v>4789</v>
      </c>
      <c r="C157" s="149" t="s">
        <v>4790</v>
      </c>
      <c r="D157" s="258" t="s">
        <v>4507</v>
      </c>
      <c r="E157" s="258" t="s">
        <v>2096</v>
      </c>
      <c r="F157" s="196"/>
      <c r="G157" s="265" t="s">
        <v>40</v>
      </c>
      <c r="H157" s="152"/>
      <c r="I157" s="196"/>
      <c r="J157" s="196"/>
      <c r="K157" s="196"/>
      <c r="L157" s="266" t="s">
        <v>4791</v>
      </c>
    </row>
    <row r="158" ht="22.5" customHeight="1">
      <c r="A158" s="202"/>
      <c r="B158" s="141" t="s">
        <v>4792</v>
      </c>
      <c r="C158" s="141" t="s">
        <v>4793</v>
      </c>
      <c r="D158" s="217" t="s">
        <v>4507</v>
      </c>
      <c r="E158" s="217" t="s">
        <v>2096</v>
      </c>
      <c r="F158" s="197"/>
      <c r="G158" s="169" t="s">
        <v>49</v>
      </c>
      <c r="H158" s="144"/>
      <c r="I158" s="197"/>
      <c r="J158" s="197"/>
      <c r="K158" s="197"/>
      <c r="L158" s="260" t="s">
        <v>4794</v>
      </c>
    </row>
    <row r="159" ht="22.5" customHeight="1">
      <c r="A159" s="250"/>
      <c r="B159" s="149" t="s">
        <v>4795</v>
      </c>
      <c r="C159" s="149" t="s">
        <v>4796</v>
      </c>
      <c r="D159" s="258" t="s">
        <v>4507</v>
      </c>
      <c r="E159" s="258" t="s">
        <v>2096</v>
      </c>
      <c r="F159" s="196"/>
      <c r="G159" s="267" t="s">
        <v>17</v>
      </c>
      <c r="H159" s="152"/>
      <c r="I159" s="196"/>
      <c r="J159" s="196"/>
      <c r="K159" s="196"/>
      <c r="L159" s="259"/>
    </row>
    <row r="160" ht="22.5" customHeight="1">
      <c r="A160" s="202"/>
      <c r="B160" s="141" t="s">
        <v>4797</v>
      </c>
      <c r="C160" s="141" t="s">
        <v>4798</v>
      </c>
      <c r="D160" s="217" t="s">
        <v>4507</v>
      </c>
      <c r="E160" s="217" t="s">
        <v>2096</v>
      </c>
      <c r="F160" s="197"/>
      <c r="G160" s="216" t="s">
        <v>40</v>
      </c>
      <c r="H160" s="144"/>
      <c r="I160" s="197"/>
      <c r="J160" s="197"/>
      <c r="K160" s="197"/>
      <c r="L160" s="257"/>
    </row>
    <row r="161" ht="22.5" customHeight="1">
      <c r="A161" s="250"/>
      <c r="B161" s="149" t="s">
        <v>4799</v>
      </c>
      <c r="C161" s="149" t="s">
        <v>4800</v>
      </c>
      <c r="D161" s="258" t="s">
        <v>4507</v>
      </c>
      <c r="E161" s="258" t="s">
        <v>2096</v>
      </c>
      <c r="F161" s="196"/>
      <c r="G161" s="267" t="s">
        <v>17</v>
      </c>
      <c r="H161" s="152"/>
      <c r="I161" s="196"/>
      <c r="J161" s="196"/>
      <c r="K161" s="196"/>
      <c r="L161" s="259"/>
    </row>
    <row r="162" ht="22.5" customHeight="1">
      <c r="A162" s="202"/>
      <c r="B162" s="146"/>
      <c r="C162" s="141" t="s">
        <v>4801</v>
      </c>
      <c r="D162" s="217" t="s">
        <v>4507</v>
      </c>
      <c r="E162" s="217" t="s">
        <v>2096</v>
      </c>
      <c r="F162" s="197"/>
      <c r="G162" s="212" t="s">
        <v>17</v>
      </c>
      <c r="H162" s="144"/>
      <c r="I162" s="197"/>
      <c r="J162" s="197"/>
      <c r="K162" s="197"/>
      <c r="L162" s="257"/>
    </row>
    <row r="163" ht="22.5" customHeight="1">
      <c r="A163" s="250"/>
      <c r="B163" s="149" t="s">
        <v>4802</v>
      </c>
      <c r="C163" s="149" t="s">
        <v>4803</v>
      </c>
      <c r="D163" s="258" t="s">
        <v>4507</v>
      </c>
      <c r="E163" s="258" t="s">
        <v>2096</v>
      </c>
      <c r="F163" s="196"/>
      <c r="G163" s="265" t="s">
        <v>40</v>
      </c>
      <c r="H163" s="152"/>
      <c r="I163" s="196"/>
      <c r="J163" s="196"/>
      <c r="K163" s="196"/>
      <c r="L163" s="266" t="s">
        <v>4708</v>
      </c>
    </row>
    <row r="164" ht="22.5" customHeight="1">
      <c r="A164" s="202"/>
      <c r="B164" s="141" t="s">
        <v>4804</v>
      </c>
      <c r="C164" s="141" t="s">
        <v>4805</v>
      </c>
      <c r="D164" s="217" t="s">
        <v>4507</v>
      </c>
      <c r="E164" s="217" t="s">
        <v>2096</v>
      </c>
      <c r="F164" s="197"/>
      <c r="G164" s="143" t="s">
        <v>30</v>
      </c>
      <c r="H164" s="144"/>
      <c r="I164" s="197"/>
      <c r="J164" s="197"/>
      <c r="K164" s="197"/>
      <c r="L164" s="260" t="s">
        <v>4806</v>
      </c>
    </row>
    <row r="165" ht="22.5" customHeight="1">
      <c r="A165" s="250"/>
      <c r="B165" s="149" t="s">
        <v>4807</v>
      </c>
      <c r="C165" s="149" t="s">
        <v>4808</v>
      </c>
      <c r="D165" s="258" t="s">
        <v>4507</v>
      </c>
      <c r="E165" s="258" t="s">
        <v>2096</v>
      </c>
      <c r="F165" s="196"/>
      <c r="G165" s="265" t="s">
        <v>40</v>
      </c>
      <c r="H165" s="152"/>
      <c r="I165" s="196"/>
      <c r="J165" s="196"/>
      <c r="K165" s="196"/>
      <c r="L165" s="266" t="s">
        <v>4806</v>
      </c>
    </row>
    <row r="166" ht="22.5" customHeight="1">
      <c r="A166" s="202"/>
      <c r="B166" s="146"/>
      <c r="C166" s="141" t="s">
        <v>4809</v>
      </c>
      <c r="D166" s="217" t="s">
        <v>4507</v>
      </c>
      <c r="E166" s="217" t="s">
        <v>2096</v>
      </c>
      <c r="F166" s="197"/>
      <c r="G166" s="212" t="s">
        <v>17</v>
      </c>
      <c r="H166" s="144"/>
      <c r="I166" s="197"/>
      <c r="J166" s="197"/>
      <c r="K166" s="197"/>
      <c r="L166" s="257"/>
    </row>
    <row r="167" ht="22.5" customHeight="1">
      <c r="A167" s="250"/>
      <c r="B167" s="149" t="s">
        <v>4810</v>
      </c>
      <c r="C167" s="149" t="s">
        <v>4811</v>
      </c>
      <c r="D167" s="258" t="s">
        <v>4507</v>
      </c>
      <c r="E167" s="258" t="s">
        <v>2096</v>
      </c>
      <c r="F167" s="196"/>
      <c r="G167" s="268" t="s">
        <v>30</v>
      </c>
      <c r="H167" s="152"/>
      <c r="I167" s="196"/>
      <c r="J167" s="196"/>
      <c r="K167" s="196"/>
      <c r="L167" s="266" t="s">
        <v>4806</v>
      </c>
    </row>
    <row r="168" ht="22.5" customHeight="1">
      <c r="A168" s="202"/>
      <c r="B168" s="146"/>
      <c r="C168" s="141" t="s">
        <v>4812</v>
      </c>
      <c r="D168" s="217" t="s">
        <v>4507</v>
      </c>
      <c r="E168" s="217" t="s">
        <v>2096</v>
      </c>
      <c r="F168" s="197"/>
      <c r="G168" s="212" t="s">
        <v>17</v>
      </c>
      <c r="H168" s="144"/>
      <c r="I168" s="197"/>
      <c r="J168" s="197"/>
      <c r="K168" s="197"/>
      <c r="L168" s="257"/>
    </row>
    <row r="169" ht="22.5" customHeight="1">
      <c r="A169" s="250"/>
      <c r="B169" s="149" t="s">
        <v>4813</v>
      </c>
      <c r="C169" s="149" t="s">
        <v>4814</v>
      </c>
      <c r="D169" s="258" t="s">
        <v>4507</v>
      </c>
      <c r="E169" s="258" t="s">
        <v>2096</v>
      </c>
      <c r="F169" s="150">
        <v>45481.0</v>
      </c>
      <c r="G169" s="214" t="s">
        <v>17</v>
      </c>
      <c r="H169" s="152"/>
      <c r="I169" s="196"/>
      <c r="J169" s="196"/>
      <c r="K169" s="196"/>
      <c r="L169" s="259"/>
    </row>
    <row r="170" ht="22.5" customHeight="1">
      <c r="A170" s="202"/>
      <c r="B170" s="141" t="s">
        <v>4483</v>
      </c>
      <c r="C170" s="141" t="s">
        <v>4815</v>
      </c>
      <c r="D170" s="217" t="s">
        <v>4507</v>
      </c>
      <c r="E170" s="217" t="s">
        <v>2096</v>
      </c>
      <c r="F170" s="142">
        <v>45481.0</v>
      </c>
      <c r="G170" s="212" t="s">
        <v>17</v>
      </c>
      <c r="H170" s="144"/>
      <c r="I170" s="197"/>
      <c r="J170" s="197"/>
      <c r="K170" s="197"/>
      <c r="L170" s="257"/>
    </row>
    <row r="171" ht="22.5" customHeight="1">
      <c r="A171" s="250"/>
      <c r="B171" s="149" t="s">
        <v>4816</v>
      </c>
      <c r="C171" s="149" t="s">
        <v>4817</v>
      </c>
      <c r="D171" s="258" t="s">
        <v>4507</v>
      </c>
      <c r="E171" s="258" t="s">
        <v>2096</v>
      </c>
      <c r="F171" s="150">
        <v>45543.0</v>
      </c>
      <c r="G171" s="214" t="s">
        <v>17</v>
      </c>
      <c r="H171" s="152"/>
      <c r="I171" s="196"/>
      <c r="J171" s="196"/>
      <c r="K171" s="196"/>
      <c r="L171" s="259"/>
    </row>
    <row r="172" ht="22.5" customHeight="1">
      <c r="A172" s="202"/>
      <c r="B172" s="141" t="s">
        <v>4818</v>
      </c>
      <c r="C172" s="141" t="s">
        <v>4819</v>
      </c>
      <c r="D172" s="217" t="s">
        <v>4507</v>
      </c>
      <c r="E172" s="217" t="s">
        <v>2096</v>
      </c>
      <c r="F172" s="197"/>
      <c r="G172" s="143" t="s">
        <v>30</v>
      </c>
      <c r="H172" s="144"/>
      <c r="I172" s="197"/>
      <c r="J172" s="197"/>
      <c r="K172" s="197"/>
      <c r="L172" s="260" t="s">
        <v>4791</v>
      </c>
    </row>
    <row r="173" ht="22.5" customHeight="1">
      <c r="A173" s="250"/>
      <c r="B173" s="154"/>
      <c r="C173" s="149" t="s">
        <v>4820</v>
      </c>
      <c r="D173" s="258" t="s">
        <v>4507</v>
      </c>
      <c r="E173" s="258" t="s">
        <v>2096</v>
      </c>
      <c r="F173" s="150">
        <v>45543.0</v>
      </c>
      <c r="G173" s="214" t="s">
        <v>17</v>
      </c>
      <c r="H173" s="152"/>
      <c r="I173" s="196"/>
      <c r="J173" s="196"/>
      <c r="K173" s="196"/>
      <c r="L173" s="259"/>
    </row>
    <row r="174" ht="22.5" customHeight="1">
      <c r="A174" s="202"/>
      <c r="B174" s="141" t="s">
        <v>4821</v>
      </c>
      <c r="C174" s="141" t="s">
        <v>4822</v>
      </c>
      <c r="D174" s="217" t="s">
        <v>4507</v>
      </c>
      <c r="E174" s="217" t="s">
        <v>2096</v>
      </c>
      <c r="F174" s="197"/>
      <c r="G174" s="169" t="s">
        <v>49</v>
      </c>
      <c r="H174" s="144"/>
      <c r="I174" s="197"/>
      <c r="J174" s="197"/>
      <c r="K174" s="197"/>
      <c r="L174" s="260" t="s">
        <v>4823</v>
      </c>
    </row>
    <row r="175" ht="22.5" customHeight="1">
      <c r="A175" s="250"/>
      <c r="B175" s="154"/>
      <c r="C175" s="149" t="s">
        <v>4824</v>
      </c>
      <c r="D175" s="258" t="s">
        <v>4507</v>
      </c>
      <c r="E175" s="258" t="s">
        <v>2096</v>
      </c>
      <c r="F175" s="196"/>
      <c r="G175" s="214" t="s">
        <v>17</v>
      </c>
      <c r="H175" s="152"/>
      <c r="I175" s="196"/>
      <c r="J175" s="196"/>
      <c r="K175" s="196"/>
      <c r="L175" s="259"/>
    </row>
    <row r="176" ht="22.5" customHeight="1">
      <c r="A176" s="202"/>
      <c r="B176" s="141" t="s">
        <v>4825</v>
      </c>
      <c r="C176" s="141" t="s">
        <v>4826</v>
      </c>
      <c r="D176" s="217" t="s">
        <v>4507</v>
      </c>
      <c r="E176" s="217" t="s">
        <v>2096</v>
      </c>
      <c r="F176" s="197"/>
      <c r="G176" s="246" t="s">
        <v>3955</v>
      </c>
      <c r="H176" s="144"/>
      <c r="I176" s="197"/>
      <c r="J176" s="197"/>
      <c r="K176" s="197"/>
      <c r="L176" s="260" t="s">
        <v>4827</v>
      </c>
    </row>
    <row r="177" ht="22.5" customHeight="1">
      <c r="A177" s="250"/>
      <c r="B177" s="154"/>
      <c r="C177" s="149" t="s">
        <v>4828</v>
      </c>
      <c r="D177" s="258" t="s">
        <v>4507</v>
      </c>
      <c r="E177" s="258" t="s">
        <v>2096</v>
      </c>
      <c r="F177" s="196"/>
      <c r="G177" s="152"/>
      <c r="H177" s="152"/>
      <c r="I177" s="196"/>
      <c r="J177" s="196"/>
      <c r="K177" s="196"/>
      <c r="L177" s="259"/>
    </row>
    <row r="178" ht="22.5" customHeight="1">
      <c r="A178" s="202"/>
      <c r="B178" s="141" t="s">
        <v>4829</v>
      </c>
      <c r="C178" s="141" t="s">
        <v>4830</v>
      </c>
      <c r="D178" s="217" t="s">
        <v>4507</v>
      </c>
      <c r="E178" s="217" t="s">
        <v>2096</v>
      </c>
      <c r="F178" s="197"/>
      <c r="G178" s="216" t="s">
        <v>40</v>
      </c>
      <c r="H178" s="144"/>
      <c r="I178" s="197"/>
      <c r="J178" s="197"/>
      <c r="K178" s="197"/>
      <c r="L178" s="260" t="s">
        <v>4831</v>
      </c>
    </row>
    <row r="179" ht="22.5" customHeight="1">
      <c r="A179" s="250"/>
      <c r="B179" s="149" t="s">
        <v>4832</v>
      </c>
      <c r="C179" s="149" t="s">
        <v>4833</v>
      </c>
      <c r="D179" s="258" t="s">
        <v>4507</v>
      </c>
      <c r="E179" s="258" t="s">
        <v>2096</v>
      </c>
      <c r="F179" s="196"/>
      <c r="G179" s="174" t="s">
        <v>2192</v>
      </c>
      <c r="H179" s="152"/>
      <c r="I179" s="196"/>
      <c r="J179" s="196"/>
      <c r="K179" s="196"/>
      <c r="L179" s="259"/>
    </row>
    <row r="180" ht="22.5" customHeight="1">
      <c r="A180" s="202"/>
      <c r="B180" s="141" t="s">
        <v>4834</v>
      </c>
      <c r="C180" s="141" t="s">
        <v>4835</v>
      </c>
      <c r="D180" s="217" t="s">
        <v>4507</v>
      </c>
      <c r="E180" s="217" t="s">
        <v>2096</v>
      </c>
      <c r="F180" s="197"/>
      <c r="G180" s="212" t="s">
        <v>17</v>
      </c>
      <c r="H180" s="144"/>
      <c r="I180" s="197"/>
      <c r="J180" s="197"/>
      <c r="K180" s="197"/>
      <c r="L180" s="257"/>
    </row>
    <row r="181" ht="22.5" customHeight="1">
      <c r="A181" s="250"/>
      <c r="B181" s="149" t="s">
        <v>309</v>
      </c>
      <c r="C181" s="149" t="s">
        <v>4836</v>
      </c>
      <c r="D181" s="258" t="s">
        <v>4507</v>
      </c>
      <c r="E181" s="258" t="s">
        <v>2096</v>
      </c>
      <c r="F181" s="196"/>
      <c r="G181" s="213" t="s">
        <v>40</v>
      </c>
      <c r="H181" s="152"/>
      <c r="I181" s="196"/>
      <c r="J181" s="196"/>
      <c r="K181" s="196"/>
      <c r="L181" s="266" t="s">
        <v>4837</v>
      </c>
    </row>
    <row r="182" ht="22.5" customHeight="1">
      <c r="A182" s="202"/>
      <c r="B182" s="141" t="s">
        <v>4838</v>
      </c>
      <c r="C182" s="141" t="s">
        <v>4839</v>
      </c>
      <c r="D182" s="217" t="s">
        <v>4507</v>
      </c>
      <c r="E182" s="217" t="s">
        <v>2096</v>
      </c>
      <c r="F182" s="197"/>
      <c r="G182" s="216" t="s">
        <v>40</v>
      </c>
      <c r="H182" s="144"/>
      <c r="I182" s="197"/>
      <c r="J182" s="197"/>
      <c r="K182" s="197"/>
      <c r="L182" s="260" t="s">
        <v>4837</v>
      </c>
    </row>
    <row r="183" ht="22.5" customHeight="1">
      <c r="A183" s="250"/>
      <c r="B183" s="149" t="s">
        <v>4840</v>
      </c>
      <c r="C183" s="149" t="s">
        <v>4841</v>
      </c>
      <c r="D183" s="258" t="s">
        <v>4507</v>
      </c>
      <c r="E183" s="258" t="s">
        <v>2096</v>
      </c>
      <c r="F183" s="196"/>
      <c r="G183" s="214" t="s">
        <v>17</v>
      </c>
      <c r="H183" s="152"/>
      <c r="I183" s="196"/>
      <c r="J183" s="196"/>
      <c r="K183" s="196"/>
      <c r="L183" s="259"/>
    </row>
    <row r="184" ht="22.5" customHeight="1">
      <c r="A184" s="202"/>
      <c r="B184" s="141" t="s">
        <v>4842</v>
      </c>
      <c r="C184" s="141" t="s">
        <v>4843</v>
      </c>
      <c r="D184" s="217" t="s">
        <v>4507</v>
      </c>
      <c r="E184" s="217" t="s">
        <v>2096</v>
      </c>
      <c r="F184" s="197"/>
      <c r="G184" s="212" t="s">
        <v>17</v>
      </c>
      <c r="H184" s="144"/>
      <c r="I184" s="197"/>
      <c r="J184" s="197"/>
      <c r="K184" s="197"/>
      <c r="L184" s="257"/>
    </row>
    <row r="185" ht="22.5" customHeight="1">
      <c r="A185" s="250"/>
      <c r="B185" s="154"/>
      <c r="C185" s="149" t="s">
        <v>4844</v>
      </c>
      <c r="D185" s="258" t="s">
        <v>4507</v>
      </c>
      <c r="E185" s="258" t="s">
        <v>2096</v>
      </c>
      <c r="F185" s="196"/>
      <c r="G185" s="214" t="s">
        <v>17</v>
      </c>
      <c r="H185" s="152"/>
      <c r="I185" s="196"/>
      <c r="J185" s="196"/>
      <c r="K185" s="196"/>
      <c r="L185" s="259"/>
    </row>
    <row r="186" ht="22.5" customHeight="1">
      <c r="A186" s="202"/>
      <c r="B186" s="141" t="s">
        <v>4845</v>
      </c>
      <c r="C186" s="141" t="s">
        <v>4846</v>
      </c>
      <c r="D186" s="217" t="s">
        <v>4507</v>
      </c>
      <c r="E186" s="217" t="s">
        <v>2096</v>
      </c>
      <c r="F186" s="197"/>
      <c r="G186" s="143" t="s">
        <v>30</v>
      </c>
      <c r="H186" s="144"/>
      <c r="I186" s="197"/>
      <c r="J186" s="197"/>
      <c r="K186" s="197"/>
      <c r="L186" s="260" t="s">
        <v>4847</v>
      </c>
    </row>
    <row r="187" ht="22.5" customHeight="1">
      <c r="A187" s="250"/>
      <c r="B187" s="149" t="s">
        <v>4848</v>
      </c>
      <c r="C187" s="149" t="s">
        <v>4849</v>
      </c>
      <c r="D187" s="258" t="s">
        <v>4507</v>
      </c>
      <c r="E187" s="258" t="s">
        <v>2096</v>
      </c>
      <c r="F187" s="196"/>
      <c r="G187" s="165" t="s">
        <v>2076</v>
      </c>
      <c r="H187" s="152"/>
      <c r="I187" s="196"/>
      <c r="J187" s="196"/>
      <c r="K187" s="196"/>
      <c r="L187" s="259"/>
    </row>
    <row r="188" ht="22.5" customHeight="1">
      <c r="A188" s="202"/>
      <c r="B188" s="146"/>
      <c r="C188" s="141" t="s">
        <v>4850</v>
      </c>
      <c r="D188" s="217" t="s">
        <v>4507</v>
      </c>
      <c r="E188" s="217" t="s">
        <v>2096</v>
      </c>
      <c r="F188" s="197"/>
      <c r="G188" s="144"/>
      <c r="H188" s="144"/>
      <c r="I188" s="197"/>
      <c r="J188" s="197"/>
      <c r="K188" s="197"/>
      <c r="L188" s="257"/>
    </row>
    <row r="189" ht="22.5" customHeight="1">
      <c r="A189" s="250"/>
      <c r="B189" s="149" t="s">
        <v>4851</v>
      </c>
      <c r="C189" s="149" t="s">
        <v>4852</v>
      </c>
      <c r="D189" s="258" t="s">
        <v>4507</v>
      </c>
      <c r="E189" s="258" t="s">
        <v>2096</v>
      </c>
      <c r="F189" s="196"/>
      <c r="G189" s="232" t="s">
        <v>3955</v>
      </c>
      <c r="H189" s="152"/>
      <c r="I189" s="196"/>
      <c r="J189" s="196"/>
      <c r="K189" s="196"/>
      <c r="L189" s="259"/>
    </row>
    <row r="190" ht="22.5" customHeight="1">
      <c r="A190" s="202"/>
      <c r="B190" s="141" t="s">
        <v>263</v>
      </c>
      <c r="C190" s="141" t="s">
        <v>4853</v>
      </c>
      <c r="D190" s="217" t="s">
        <v>4507</v>
      </c>
      <c r="E190" s="217" t="s">
        <v>2096</v>
      </c>
      <c r="F190" s="197"/>
      <c r="G190" s="156" t="s">
        <v>635</v>
      </c>
      <c r="H190" s="144"/>
      <c r="I190" s="197"/>
      <c r="J190" s="197"/>
      <c r="K190" s="197"/>
      <c r="L190" s="257"/>
    </row>
    <row r="191" ht="22.5" customHeight="1">
      <c r="A191" s="250"/>
      <c r="B191" s="149" t="s">
        <v>4854</v>
      </c>
      <c r="C191" s="149" t="s">
        <v>4855</v>
      </c>
      <c r="D191" s="258" t="s">
        <v>4507</v>
      </c>
      <c r="E191" s="258" t="s">
        <v>2096</v>
      </c>
      <c r="F191" s="196"/>
      <c r="G191" s="232" t="s">
        <v>3955</v>
      </c>
      <c r="H191" s="152"/>
      <c r="I191" s="196"/>
      <c r="J191" s="196"/>
      <c r="K191" s="196"/>
      <c r="L191" s="259"/>
    </row>
    <row r="192" ht="22.5" customHeight="1">
      <c r="A192" s="202"/>
      <c r="B192" s="146"/>
      <c r="C192" s="141" t="s">
        <v>4856</v>
      </c>
      <c r="D192" s="217" t="s">
        <v>4507</v>
      </c>
      <c r="E192" s="217" t="s">
        <v>2096</v>
      </c>
      <c r="F192" s="142">
        <v>45908.0</v>
      </c>
      <c r="G192" s="143" t="s">
        <v>30</v>
      </c>
      <c r="H192" s="144"/>
      <c r="I192" s="197"/>
      <c r="J192" s="197"/>
      <c r="K192" s="197"/>
      <c r="L192" s="257"/>
    </row>
    <row r="193" ht="22.5" customHeight="1">
      <c r="A193" s="250"/>
      <c r="B193" s="149" t="s">
        <v>4857</v>
      </c>
      <c r="C193" s="149" t="s">
        <v>4858</v>
      </c>
      <c r="D193" s="258" t="s">
        <v>4507</v>
      </c>
      <c r="E193" s="258" t="s">
        <v>2096</v>
      </c>
      <c r="F193" s="150">
        <v>45908.0</v>
      </c>
      <c r="G193" s="151" t="s">
        <v>30</v>
      </c>
      <c r="H193" s="152"/>
      <c r="I193" s="196"/>
      <c r="J193" s="196"/>
      <c r="K193" s="196"/>
      <c r="L193" s="259"/>
    </row>
    <row r="194" ht="22.5" customHeight="1">
      <c r="A194" s="202"/>
      <c r="B194" s="141" t="s">
        <v>4859</v>
      </c>
      <c r="C194" s="141" t="s">
        <v>4860</v>
      </c>
      <c r="D194" s="217" t="s">
        <v>4507</v>
      </c>
      <c r="E194" s="217" t="s">
        <v>2096</v>
      </c>
      <c r="F194" s="142">
        <v>45908.0</v>
      </c>
      <c r="G194" s="269" t="s">
        <v>4861</v>
      </c>
      <c r="H194" s="144"/>
      <c r="I194" s="197"/>
      <c r="J194" s="197"/>
      <c r="K194" s="197"/>
      <c r="L194" s="257"/>
    </row>
    <row r="195" ht="22.5" customHeight="1">
      <c r="A195" s="250"/>
      <c r="B195" s="149" t="s">
        <v>4862</v>
      </c>
      <c r="C195" s="149" t="s">
        <v>4863</v>
      </c>
      <c r="D195" s="258" t="s">
        <v>4507</v>
      </c>
      <c r="E195" s="258" t="s">
        <v>2096</v>
      </c>
      <c r="F195" s="150">
        <v>45908.0</v>
      </c>
      <c r="G195" s="151" t="s">
        <v>30</v>
      </c>
      <c r="H195" s="152"/>
      <c r="I195" s="196"/>
      <c r="J195" s="196"/>
      <c r="K195" s="196"/>
      <c r="L195" s="259"/>
    </row>
    <row r="196" ht="22.5" customHeight="1">
      <c r="A196" s="202"/>
      <c r="B196" s="141" t="s">
        <v>4864</v>
      </c>
      <c r="C196" s="141" t="s">
        <v>4865</v>
      </c>
      <c r="D196" s="217" t="s">
        <v>4507</v>
      </c>
      <c r="E196" s="217" t="s">
        <v>2096</v>
      </c>
      <c r="F196" s="197"/>
      <c r="G196" s="216" t="s">
        <v>40</v>
      </c>
      <c r="H196" s="144"/>
      <c r="I196" s="197"/>
      <c r="J196" s="197"/>
      <c r="K196" s="197"/>
      <c r="L196" s="257"/>
    </row>
    <row r="197" ht="22.5" customHeight="1">
      <c r="A197" s="250"/>
      <c r="B197" s="149" t="s">
        <v>4866</v>
      </c>
      <c r="C197" s="149" t="s">
        <v>4867</v>
      </c>
      <c r="D197" s="258" t="s">
        <v>4507</v>
      </c>
      <c r="E197" s="258" t="s">
        <v>2096</v>
      </c>
      <c r="F197" s="196"/>
      <c r="G197" s="161" t="s">
        <v>49</v>
      </c>
      <c r="H197" s="152"/>
      <c r="I197" s="196"/>
      <c r="J197" s="196"/>
      <c r="K197" s="196"/>
      <c r="L197" s="259"/>
    </row>
    <row r="198" ht="22.5" customHeight="1">
      <c r="A198" s="202"/>
      <c r="B198" s="146"/>
      <c r="C198" s="141" t="s">
        <v>3695</v>
      </c>
      <c r="D198" s="217" t="s">
        <v>4507</v>
      </c>
      <c r="E198" s="217" t="s">
        <v>2096</v>
      </c>
      <c r="F198" s="142">
        <v>45908.0</v>
      </c>
      <c r="G198" s="143" t="s">
        <v>30</v>
      </c>
      <c r="H198" s="144"/>
      <c r="I198" s="197"/>
      <c r="J198" s="197"/>
      <c r="K198" s="197"/>
      <c r="L198" s="257"/>
    </row>
    <row r="199" ht="22.5" customHeight="1">
      <c r="A199" s="250"/>
      <c r="B199" s="154"/>
      <c r="C199" s="149" t="s">
        <v>4868</v>
      </c>
      <c r="D199" s="258" t="s">
        <v>4507</v>
      </c>
      <c r="E199" s="258" t="s">
        <v>2096</v>
      </c>
      <c r="F199" s="150">
        <v>45908.0</v>
      </c>
      <c r="G199" s="161" t="s">
        <v>49</v>
      </c>
      <c r="H199" s="152"/>
      <c r="I199" s="196"/>
      <c r="J199" s="196"/>
      <c r="K199" s="196"/>
      <c r="L199" s="259"/>
    </row>
    <row r="200" ht="22.5" customHeight="1">
      <c r="A200" s="202"/>
      <c r="B200" s="141" t="s">
        <v>4869</v>
      </c>
      <c r="C200" s="141" t="s">
        <v>4870</v>
      </c>
      <c r="D200" s="217" t="s">
        <v>4507</v>
      </c>
      <c r="E200" s="217" t="s">
        <v>2096</v>
      </c>
      <c r="F200" s="197"/>
      <c r="G200" s="215" t="s">
        <v>2192</v>
      </c>
      <c r="H200" s="144"/>
      <c r="I200" s="197"/>
      <c r="J200" s="197"/>
      <c r="K200" s="197"/>
      <c r="L200" s="260" t="s">
        <v>4871</v>
      </c>
    </row>
    <row r="201" ht="22.5" customHeight="1">
      <c r="A201" s="250"/>
      <c r="B201" s="149" t="s">
        <v>4872</v>
      </c>
      <c r="C201" s="149" t="s">
        <v>4873</v>
      </c>
      <c r="D201" s="258" t="s">
        <v>4507</v>
      </c>
      <c r="E201" s="258" t="s">
        <v>2096</v>
      </c>
      <c r="F201" s="196"/>
      <c r="G201" s="167" t="s">
        <v>635</v>
      </c>
      <c r="H201" s="152"/>
      <c r="I201" s="196"/>
      <c r="J201" s="196"/>
      <c r="K201" s="196"/>
      <c r="L201" s="259"/>
    </row>
    <row r="202" ht="22.5" customHeight="1">
      <c r="A202" s="202"/>
      <c r="B202" s="141" t="s">
        <v>4874</v>
      </c>
      <c r="C202" s="141" t="s">
        <v>4875</v>
      </c>
      <c r="D202" s="217" t="s">
        <v>4507</v>
      </c>
      <c r="E202" s="217" t="s">
        <v>2096</v>
      </c>
      <c r="F202" s="197"/>
      <c r="G202" s="216" t="s">
        <v>40</v>
      </c>
      <c r="H202" s="173" t="s">
        <v>4553</v>
      </c>
      <c r="I202" s="197"/>
      <c r="J202" s="197"/>
      <c r="K202" s="197"/>
      <c r="L202" s="257"/>
    </row>
    <row r="203" ht="22.5" customHeight="1">
      <c r="A203" s="270"/>
      <c r="B203" s="149" t="s">
        <v>4876</v>
      </c>
      <c r="C203" s="149" t="s">
        <v>4877</v>
      </c>
      <c r="D203" s="258" t="s">
        <v>4507</v>
      </c>
      <c r="E203" s="258" t="s">
        <v>2096</v>
      </c>
      <c r="F203" s="196"/>
      <c r="G203" s="165" t="s">
        <v>2076</v>
      </c>
      <c r="H203" s="165" t="s">
        <v>4553</v>
      </c>
      <c r="I203" s="196"/>
      <c r="J203" s="196"/>
      <c r="K203" s="196"/>
      <c r="L203" s="259"/>
    </row>
    <row r="204" ht="22.5" customHeight="1">
      <c r="A204" s="202"/>
      <c r="B204" s="141" t="s">
        <v>4878</v>
      </c>
      <c r="C204" s="141" t="s">
        <v>4879</v>
      </c>
      <c r="D204" s="217" t="s">
        <v>4507</v>
      </c>
      <c r="E204" s="217" t="s">
        <v>2096</v>
      </c>
      <c r="F204" s="197"/>
      <c r="G204" s="173" t="s">
        <v>2076</v>
      </c>
      <c r="H204" s="173" t="s">
        <v>4553</v>
      </c>
      <c r="I204" s="197"/>
      <c r="J204" s="197"/>
      <c r="K204" s="197"/>
      <c r="L204" s="257"/>
    </row>
    <row r="205" ht="22.5" customHeight="1">
      <c r="A205" s="250"/>
      <c r="B205" s="149" t="s">
        <v>4880</v>
      </c>
      <c r="C205" s="149" t="s">
        <v>4881</v>
      </c>
      <c r="D205" s="258" t="s">
        <v>4507</v>
      </c>
      <c r="E205" s="258" t="s">
        <v>2096</v>
      </c>
      <c r="F205" s="196"/>
      <c r="G205" s="165" t="s">
        <v>2076</v>
      </c>
      <c r="H205" s="165" t="s">
        <v>4553</v>
      </c>
      <c r="I205" s="196"/>
      <c r="J205" s="196"/>
      <c r="K205" s="196"/>
      <c r="L205" s="259"/>
    </row>
    <row r="206" ht="22.5" customHeight="1">
      <c r="A206" s="202"/>
      <c r="B206" s="141" t="s">
        <v>4882</v>
      </c>
      <c r="C206" s="141" t="s">
        <v>4883</v>
      </c>
      <c r="D206" s="217" t="s">
        <v>4507</v>
      </c>
      <c r="E206" s="217" t="s">
        <v>2096</v>
      </c>
      <c r="F206" s="197"/>
      <c r="G206" s="246" t="s">
        <v>3955</v>
      </c>
      <c r="H206" s="173" t="s">
        <v>4553</v>
      </c>
      <c r="I206" s="197"/>
      <c r="J206" s="197"/>
      <c r="K206" s="197"/>
      <c r="L206" s="257"/>
    </row>
    <row r="207" ht="22.5" customHeight="1">
      <c r="A207" s="250"/>
      <c r="B207" s="149" t="s">
        <v>4205</v>
      </c>
      <c r="C207" s="149" t="s">
        <v>4884</v>
      </c>
      <c r="D207" s="258" t="s">
        <v>4507</v>
      </c>
      <c r="E207" s="258" t="s">
        <v>2096</v>
      </c>
      <c r="F207" s="196"/>
      <c r="G207" s="166" t="s">
        <v>2097</v>
      </c>
      <c r="H207" s="165" t="s">
        <v>4553</v>
      </c>
      <c r="I207" s="196"/>
      <c r="J207" s="196"/>
      <c r="K207" s="196"/>
      <c r="L207" s="259"/>
    </row>
    <row r="208" ht="22.5" customHeight="1">
      <c r="A208" s="202"/>
      <c r="B208" s="141" t="s">
        <v>4885</v>
      </c>
      <c r="C208" s="141" t="s">
        <v>4886</v>
      </c>
      <c r="D208" s="217" t="s">
        <v>4507</v>
      </c>
      <c r="E208" s="217" t="s">
        <v>2096</v>
      </c>
      <c r="F208" s="142">
        <v>45481.0</v>
      </c>
      <c r="G208" s="173" t="s">
        <v>2076</v>
      </c>
      <c r="H208" s="173" t="s">
        <v>4553</v>
      </c>
      <c r="I208" s="197"/>
      <c r="J208" s="197"/>
      <c r="K208" s="197"/>
      <c r="L208" s="260" t="s">
        <v>4887</v>
      </c>
    </row>
    <row r="209" ht="22.5" customHeight="1">
      <c r="A209" s="250"/>
      <c r="B209" s="149" t="s">
        <v>4328</v>
      </c>
      <c r="C209" s="149" t="s">
        <v>4888</v>
      </c>
      <c r="D209" s="258" t="s">
        <v>4507</v>
      </c>
      <c r="E209" s="258" t="s">
        <v>2096</v>
      </c>
      <c r="F209" s="196"/>
      <c r="G209" s="174" t="s">
        <v>2192</v>
      </c>
      <c r="H209" s="165" t="s">
        <v>4553</v>
      </c>
      <c r="I209" s="196"/>
      <c r="J209" s="196"/>
      <c r="K209" s="196"/>
      <c r="L209" s="266" t="s">
        <v>4889</v>
      </c>
    </row>
    <row r="210" ht="22.5" customHeight="1">
      <c r="A210" s="202"/>
      <c r="B210" s="146"/>
      <c r="C210" s="141" t="s">
        <v>4890</v>
      </c>
      <c r="D210" s="217" t="s">
        <v>4507</v>
      </c>
      <c r="E210" s="217" t="s">
        <v>2096</v>
      </c>
      <c r="F210" s="197"/>
      <c r="G210" s="216" t="s">
        <v>40</v>
      </c>
      <c r="H210" s="173" t="s">
        <v>4553</v>
      </c>
      <c r="I210" s="146"/>
      <c r="J210" s="146"/>
      <c r="K210" s="146"/>
      <c r="L210" s="260" t="s">
        <v>4891</v>
      </c>
    </row>
    <row r="211" ht="22.5" customHeight="1">
      <c r="A211" s="250"/>
      <c r="B211" s="149" t="s">
        <v>4892</v>
      </c>
      <c r="C211" s="149" t="s">
        <v>4893</v>
      </c>
      <c r="D211" s="258" t="s">
        <v>4507</v>
      </c>
      <c r="E211" s="258" t="s">
        <v>2096</v>
      </c>
      <c r="F211" s="196"/>
      <c r="G211" s="166" t="s">
        <v>2097</v>
      </c>
      <c r="H211" s="165" t="s">
        <v>4553</v>
      </c>
      <c r="I211" s="154"/>
      <c r="J211" s="154"/>
      <c r="K211" s="154"/>
      <c r="L211" s="259"/>
    </row>
    <row r="212" ht="22.5" customHeight="1">
      <c r="A212" s="202"/>
      <c r="B212" s="141" t="s">
        <v>4894</v>
      </c>
      <c r="C212" s="141" t="s">
        <v>4895</v>
      </c>
      <c r="D212" s="217" t="s">
        <v>4507</v>
      </c>
      <c r="E212" s="217" t="s">
        <v>2096</v>
      </c>
      <c r="F212" s="197"/>
      <c r="G212" s="156" t="s">
        <v>635</v>
      </c>
      <c r="H212" s="173" t="s">
        <v>4553</v>
      </c>
      <c r="I212" s="146"/>
      <c r="J212" s="146"/>
      <c r="K212" s="146"/>
      <c r="L212" s="260" t="s">
        <v>4896</v>
      </c>
    </row>
    <row r="213" ht="22.5" customHeight="1">
      <c r="A213" s="250"/>
      <c r="B213" s="149" t="s">
        <v>4897</v>
      </c>
      <c r="C213" s="149" t="s">
        <v>4898</v>
      </c>
      <c r="D213" s="258" t="s">
        <v>4507</v>
      </c>
      <c r="E213" s="258" t="s">
        <v>2096</v>
      </c>
      <c r="F213" s="150">
        <v>45481.0</v>
      </c>
      <c r="G213" s="271" t="s">
        <v>4861</v>
      </c>
      <c r="H213" s="165" t="s">
        <v>4553</v>
      </c>
      <c r="I213" s="154"/>
      <c r="J213" s="154"/>
      <c r="K213" s="154"/>
      <c r="L213" s="266" t="s">
        <v>4899</v>
      </c>
    </row>
    <row r="214" ht="22.5" customHeight="1">
      <c r="A214" s="202"/>
      <c r="B214" s="141" t="s">
        <v>4900</v>
      </c>
      <c r="C214" s="141" t="s">
        <v>4901</v>
      </c>
      <c r="D214" s="217" t="s">
        <v>4507</v>
      </c>
      <c r="E214" s="217" t="s">
        <v>2096</v>
      </c>
      <c r="F214" s="142">
        <v>45481.0</v>
      </c>
      <c r="G214" s="143" t="s">
        <v>30</v>
      </c>
      <c r="H214" s="173" t="s">
        <v>4553</v>
      </c>
      <c r="I214" s="146"/>
      <c r="J214" s="146"/>
      <c r="K214" s="146"/>
      <c r="L214" s="260" t="s">
        <v>4902</v>
      </c>
    </row>
    <row r="215" ht="22.5" customHeight="1">
      <c r="A215" s="250"/>
      <c r="B215" s="149" t="s">
        <v>4903</v>
      </c>
      <c r="C215" s="149" t="s">
        <v>4904</v>
      </c>
      <c r="D215" s="258" t="s">
        <v>4507</v>
      </c>
      <c r="E215" s="258" t="s">
        <v>2096</v>
      </c>
      <c r="F215" s="150">
        <v>45481.0</v>
      </c>
      <c r="G215" s="161" t="s">
        <v>49</v>
      </c>
      <c r="H215" s="165" t="s">
        <v>4553</v>
      </c>
      <c r="I215" s="154"/>
      <c r="J215" s="154"/>
      <c r="K215" s="154"/>
      <c r="L215" s="266" t="s">
        <v>4899</v>
      </c>
    </row>
    <row r="216" ht="22.5" customHeight="1">
      <c r="A216" s="202"/>
      <c r="B216" s="141" t="s">
        <v>4905</v>
      </c>
      <c r="C216" s="141" t="s">
        <v>4906</v>
      </c>
      <c r="D216" s="217" t="s">
        <v>4507</v>
      </c>
      <c r="E216" s="217" t="s">
        <v>2096</v>
      </c>
      <c r="F216" s="142">
        <v>45451.0</v>
      </c>
      <c r="G216" s="169" t="s">
        <v>49</v>
      </c>
      <c r="H216" s="173" t="s">
        <v>4553</v>
      </c>
      <c r="I216" s="146"/>
      <c r="J216" s="146"/>
      <c r="K216" s="146"/>
      <c r="L216" s="260" t="s">
        <v>4907</v>
      </c>
    </row>
    <row r="217" ht="22.5" customHeight="1">
      <c r="A217" s="250"/>
      <c r="B217" s="149" t="s">
        <v>4908</v>
      </c>
      <c r="C217" s="149" t="s">
        <v>4909</v>
      </c>
      <c r="D217" s="258" t="s">
        <v>4507</v>
      </c>
      <c r="E217" s="258" t="s">
        <v>2096</v>
      </c>
      <c r="F217" s="150">
        <v>45481.0</v>
      </c>
      <c r="G217" s="214" t="s">
        <v>17</v>
      </c>
      <c r="H217" s="165" t="s">
        <v>4553</v>
      </c>
      <c r="I217" s="154"/>
      <c r="J217" s="154"/>
      <c r="K217" s="154"/>
      <c r="L217" s="259"/>
    </row>
    <row r="218" ht="22.5" customHeight="1">
      <c r="A218" s="202"/>
      <c r="B218" s="141" t="s">
        <v>4910</v>
      </c>
      <c r="C218" s="141" t="s">
        <v>4911</v>
      </c>
      <c r="D218" s="217" t="s">
        <v>4507</v>
      </c>
      <c r="E218" s="217" t="s">
        <v>2096</v>
      </c>
      <c r="F218" s="142">
        <v>45481.0</v>
      </c>
      <c r="G218" s="173" t="s">
        <v>2076</v>
      </c>
      <c r="H218" s="173" t="s">
        <v>4553</v>
      </c>
      <c r="I218" s="146"/>
      <c r="J218" s="146"/>
      <c r="K218" s="146"/>
      <c r="L218" s="260" t="s">
        <v>4912</v>
      </c>
    </row>
    <row r="219" ht="22.5" customHeight="1">
      <c r="A219" s="250"/>
      <c r="B219" s="149" t="s">
        <v>4913</v>
      </c>
      <c r="C219" s="149" t="s">
        <v>4914</v>
      </c>
      <c r="D219" s="258" t="s">
        <v>4507</v>
      </c>
      <c r="E219" s="258" t="s">
        <v>2096</v>
      </c>
      <c r="F219" s="150">
        <v>45481.0</v>
      </c>
      <c r="G219" s="167" t="s">
        <v>635</v>
      </c>
      <c r="H219" s="165" t="s">
        <v>4553</v>
      </c>
      <c r="I219" s="154"/>
      <c r="J219" s="154"/>
      <c r="K219" s="154"/>
      <c r="L219" s="266" t="s">
        <v>4915</v>
      </c>
    </row>
    <row r="220" ht="22.5" customHeight="1">
      <c r="A220" s="202"/>
      <c r="B220" s="141" t="s">
        <v>4916</v>
      </c>
      <c r="C220" s="141" t="s">
        <v>4917</v>
      </c>
      <c r="D220" s="217" t="s">
        <v>4507</v>
      </c>
      <c r="E220" s="217" t="s">
        <v>2096</v>
      </c>
      <c r="F220" s="142">
        <v>45481.0</v>
      </c>
      <c r="G220" s="169" t="s">
        <v>49</v>
      </c>
      <c r="H220" s="173" t="s">
        <v>4553</v>
      </c>
      <c r="I220" s="146"/>
      <c r="J220" s="146"/>
      <c r="K220" s="146"/>
      <c r="L220" s="257"/>
    </row>
    <row r="221" ht="22.5" customHeight="1">
      <c r="A221" s="250"/>
      <c r="B221" s="149" t="s">
        <v>4918</v>
      </c>
      <c r="C221" s="149" t="s">
        <v>4919</v>
      </c>
      <c r="D221" s="258" t="s">
        <v>4507</v>
      </c>
      <c r="E221" s="258" t="s">
        <v>2096</v>
      </c>
      <c r="F221" s="150">
        <v>45481.0</v>
      </c>
      <c r="G221" s="161" t="s">
        <v>49</v>
      </c>
      <c r="H221" s="165" t="s">
        <v>4553</v>
      </c>
      <c r="I221" s="154"/>
      <c r="J221" s="154"/>
      <c r="K221" s="154"/>
      <c r="L221" s="259"/>
    </row>
    <row r="222" ht="22.5" customHeight="1">
      <c r="A222" s="202"/>
      <c r="B222" s="146"/>
      <c r="C222" s="141" t="s">
        <v>4920</v>
      </c>
      <c r="D222" s="217" t="s">
        <v>4507</v>
      </c>
      <c r="E222" s="217" t="s">
        <v>2096</v>
      </c>
      <c r="F222" s="142">
        <v>45479.0</v>
      </c>
      <c r="G222" s="212" t="s">
        <v>17</v>
      </c>
      <c r="H222" s="173" t="s">
        <v>4553</v>
      </c>
      <c r="I222" s="146"/>
      <c r="J222" s="146"/>
      <c r="K222" s="146"/>
      <c r="L222" s="257"/>
    </row>
    <row r="223" ht="22.5" customHeight="1">
      <c r="A223" s="250"/>
      <c r="B223" s="149" t="s">
        <v>267</v>
      </c>
      <c r="C223" s="149" t="s">
        <v>4921</v>
      </c>
      <c r="D223" s="258" t="s">
        <v>4507</v>
      </c>
      <c r="E223" s="258" t="s">
        <v>2096</v>
      </c>
      <c r="F223" s="150">
        <v>45481.0</v>
      </c>
      <c r="G223" s="214" t="s">
        <v>17</v>
      </c>
      <c r="H223" s="165" t="s">
        <v>4553</v>
      </c>
      <c r="I223" s="154"/>
      <c r="J223" s="154"/>
      <c r="K223" s="154"/>
      <c r="L223" s="259"/>
    </row>
    <row r="224" ht="22.5" customHeight="1">
      <c r="A224" s="202"/>
      <c r="B224" s="141" t="s">
        <v>4922</v>
      </c>
      <c r="C224" s="141" t="s">
        <v>4923</v>
      </c>
      <c r="D224" s="217" t="s">
        <v>4507</v>
      </c>
      <c r="E224" s="217" t="s">
        <v>2096</v>
      </c>
      <c r="F224" s="142">
        <v>45481.0</v>
      </c>
      <c r="G224" s="143" t="s">
        <v>30</v>
      </c>
      <c r="H224" s="173" t="s">
        <v>4553</v>
      </c>
      <c r="I224" s="146"/>
      <c r="J224" s="146"/>
      <c r="K224" s="146"/>
      <c r="L224" s="257"/>
    </row>
    <row r="225" ht="22.5" customHeight="1">
      <c r="A225" s="250"/>
      <c r="B225" s="149" t="s">
        <v>4924</v>
      </c>
      <c r="C225" s="149" t="s">
        <v>4925</v>
      </c>
      <c r="D225" s="258" t="s">
        <v>4507</v>
      </c>
      <c r="E225" s="258" t="s">
        <v>2096</v>
      </c>
      <c r="F225" s="150">
        <v>45481.0</v>
      </c>
      <c r="G225" s="151" t="s">
        <v>30</v>
      </c>
      <c r="H225" s="165" t="s">
        <v>4553</v>
      </c>
      <c r="I225" s="154"/>
      <c r="J225" s="154"/>
      <c r="K225" s="154"/>
      <c r="L225" s="259"/>
    </row>
    <row r="226" ht="22.5" customHeight="1">
      <c r="A226" s="202"/>
      <c r="B226" s="141" t="s">
        <v>4926</v>
      </c>
      <c r="C226" s="141" t="s">
        <v>4927</v>
      </c>
      <c r="D226" s="217" t="s">
        <v>4507</v>
      </c>
      <c r="E226" s="217" t="s">
        <v>2096</v>
      </c>
      <c r="F226" s="197"/>
      <c r="G226" s="169" t="s">
        <v>49</v>
      </c>
      <c r="H226" s="173" t="s">
        <v>4553</v>
      </c>
      <c r="I226" s="146"/>
      <c r="J226" s="146"/>
      <c r="K226" s="146"/>
      <c r="L226" s="257"/>
    </row>
    <row r="227" ht="22.5" customHeight="1">
      <c r="A227" s="250"/>
      <c r="B227" s="149" t="s">
        <v>4928</v>
      </c>
      <c r="C227" s="149" t="s">
        <v>4929</v>
      </c>
      <c r="D227" s="258" t="s">
        <v>4507</v>
      </c>
      <c r="E227" s="258" t="s">
        <v>2096</v>
      </c>
      <c r="F227" s="150">
        <v>45481.0</v>
      </c>
      <c r="G227" s="214" t="s">
        <v>17</v>
      </c>
      <c r="H227" s="165" t="s">
        <v>4553</v>
      </c>
      <c r="I227" s="154"/>
      <c r="J227" s="154"/>
      <c r="K227" s="154"/>
      <c r="L227" s="259"/>
    </row>
    <row r="228" ht="22.5" customHeight="1">
      <c r="A228" s="202"/>
      <c r="B228" s="146"/>
      <c r="C228" s="141" t="s">
        <v>4930</v>
      </c>
      <c r="D228" s="217" t="s">
        <v>4507</v>
      </c>
      <c r="E228" s="217" t="s">
        <v>2096</v>
      </c>
      <c r="F228" s="197"/>
      <c r="G228" s="163" t="s">
        <v>2097</v>
      </c>
      <c r="H228" s="173" t="s">
        <v>4553</v>
      </c>
      <c r="I228" s="146"/>
      <c r="J228" s="146"/>
      <c r="K228" s="146"/>
      <c r="L228" s="257"/>
    </row>
    <row r="229" ht="22.5" customHeight="1">
      <c r="A229" s="250"/>
      <c r="B229" s="154"/>
      <c r="C229" s="149" t="s">
        <v>4931</v>
      </c>
      <c r="D229" s="258" t="s">
        <v>4507</v>
      </c>
      <c r="E229" s="258" t="s">
        <v>2096</v>
      </c>
      <c r="F229" s="196"/>
      <c r="G229" s="166" t="s">
        <v>2097</v>
      </c>
      <c r="H229" s="165" t="s">
        <v>4553</v>
      </c>
      <c r="I229" s="154"/>
      <c r="J229" s="154"/>
      <c r="K229" s="154"/>
      <c r="L229" s="259"/>
    </row>
    <row r="230" ht="22.5" customHeight="1">
      <c r="A230" s="202"/>
      <c r="B230" s="141" t="s">
        <v>4932</v>
      </c>
      <c r="C230" s="141" t="s">
        <v>4933</v>
      </c>
      <c r="D230" s="217" t="s">
        <v>4507</v>
      </c>
      <c r="E230" s="217" t="s">
        <v>2096</v>
      </c>
      <c r="F230" s="197"/>
      <c r="G230" s="163" t="s">
        <v>2097</v>
      </c>
      <c r="H230" s="173" t="s">
        <v>4553</v>
      </c>
      <c r="I230" s="146"/>
      <c r="J230" s="146"/>
      <c r="K230" s="146"/>
      <c r="L230" s="257"/>
    </row>
    <row r="231" ht="22.5" customHeight="1">
      <c r="A231" s="250"/>
      <c r="B231" s="149" t="s">
        <v>4934</v>
      </c>
      <c r="C231" s="149" t="s">
        <v>4935</v>
      </c>
      <c r="D231" s="258" t="s">
        <v>4507</v>
      </c>
      <c r="E231" s="258" t="s">
        <v>2096</v>
      </c>
      <c r="F231" s="196"/>
      <c r="G231" s="166" t="s">
        <v>2097</v>
      </c>
      <c r="H231" s="165" t="s">
        <v>4553</v>
      </c>
      <c r="I231" s="154"/>
      <c r="J231" s="154"/>
      <c r="K231" s="154"/>
      <c r="L231" s="259"/>
    </row>
    <row r="232" ht="22.5" customHeight="1">
      <c r="A232" s="202"/>
      <c r="B232" s="141" t="s">
        <v>346</v>
      </c>
      <c r="C232" s="141" t="s">
        <v>4936</v>
      </c>
      <c r="D232" s="217" t="s">
        <v>4507</v>
      </c>
      <c r="E232" s="217" t="s">
        <v>2096</v>
      </c>
      <c r="F232" s="197"/>
      <c r="G232" s="163" t="s">
        <v>2097</v>
      </c>
      <c r="H232" s="173" t="s">
        <v>4553</v>
      </c>
      <c r="I232" s="146"/>
      <c r="J232" s="146"/>
      <c r="K232" s="146"/>
      <c r="L232" s="257"/>
    </row>
    <row r="233" ht="22.5" customHeight="1">
      <c r="A233" s="250"/>
      <c r="B233" s="149" t="s">
        <v>4937</v>
      </c>
      <c r="C233" s="149" t="s">
        <v>4938</v>
      </c>
      <c r="D233" s="258" t="s">
        <v>4507</v>
      </c>
      <c r="E233" s="258" t="s">
        <v>2096</v>
      </c>
      <c r="F233" s="196"/>
      <c r="G233" s="161" t="s">
        <v>49</v>
      </c>
      <c r="H233" s="165" t="s">
        <v>4553</v>
      </c>
      <c r="I233" s="154"/>
      <c r="J233" s="154"/>
      <c r="K233" s="154"/>
      <c r="L233" s="259"/>
    </row>
    <row r="234" ht="22.5" customHeight="1">
      <c r="A234" s="202"/>
      <c r="B234" s="141" t="s">
        <v>4939</v>
      </c>
      <c r="C234" s="141" t="s">
        <v>4940</v>
      </c>
      <c r="D234" s="217" t="s">
        <v>4507</v>
      </c>
      <c r="E234" s="217" t="s">
        <v>2096</v>
      </c>
      <c r="F234" s="197"/>
      <c r="G234" s="169" t="s">
        <v>49</v>
      </c>
      <c r="H234" s="173" t="s">
        <v>4553</v>
      </c>
      <c r="I234" s="146"/>
      <c r="J234" s="146"/>
      <c r="K234" s="146"/>
      <c r="L234" s="257"/>
    </row>
    <row r="235" ht="22.5" customHeight="1">
      <c r="A235" s="250"/>
      <c r="B235" s="154"/>
      <c r="C235" s="149" t="s">
        <v>4941</v>
      </c>
      <c r="D235" s="258" t="s">
        <v>4507</v>
      </c>
      <c r="E235" s="258" t="s">
        <v>2096</v>
      </c>
      <c r="F235" s="196"/>
      <c r="G235" s="166" t="s">
        <v>2097</v>
      </c>
      <c r="H235" s="165" t="s">
        <v>4553</v>
      </c>
      <c r="I235" s="154"/>
      <c r="J235" s="154"/>
      <c r="K235" s="154"/>
      <c r="L235" s="259"/>
    </row>
    <row r="236" ht="22.5" customHeight="1">
      <c r="A236" s="202"/>
      <c r="B236" s="141" t="s">
        <v>4942</v>
      </c>
      <c r="C236" s="141" t="s">
        <v>4943</v>
      </c>
      <c r="D236" s="217" t="s">
        <v>4507</v>
      </c>
      <c r="E236" s="217" t="s">
        <v>2096</v>
      </c>
      <c r="F236" s="197"/>
      <c r="G236" s="173" t="s">
        <v>2076</v>
      </c>
      <c r="H236" s="173" t="s">
        <v>4553</v>
      </c>
      <c r="I236" s="146"/>
      <c r="J236" s="146"/>
      <c r="K236" s="146"/>
      <c r="L236" s="257"/>
    </row>
    <row r="237" ht="22.5" customHeight="1">
      <c r="A237" s="250"/>
      <c r="B237" s="154"/>
      <c r="C237" s="149" t="s">
        <v>4944</v>
      </c>
      <c r="D237" s="258" t="s">
        <v>4507</v>
      </c>
      <c r="E237" s="258" t="s">
        <v>2096</v>
      </c>
      <c r="F237" s="196"/>
      <c r="G237" s="214" t="s">
        <v>17</v>
      </c>
      <c r="H237" s="165" t="s">
        <v>4553</v>
      </c>
      <c r="I237" s="154"/>
      <c r="J237" s="154"/>
      <c r="K237" s="154"/>
      <c r="L237" s="259"/>
    </row>
    <row r="238" ht="22.5" customHeight="1">
      <c r="A238" s="202"/>
      <c r="B238" s="141" t="s">
        <v>4945</v>
      </c>
      <c r="C238" s="141" t="s">
        <v>4946</v>
      </c>
      <c r="D238" s="217" t="s">
        <v>4507</v>
      </c>
      <c r="E238" s="217" t="s">
        <v>2096</v>
      </c>
      <c r="F238" s="142">
        <v>45543.0</v>
      </c>
      <c r="G238" s="169" t="s">
        <v>49</v>
      </c>
      <c r="H238" s="173" t="s">
        <v>4553</v>
      </c>
      <c r="I238" s="146"/>
      <c r="J238" s="146"/>
      <c r="K238" s="146"/>
      <c r="L238" s="257"/>
    </row>
    <row r="239" ht="22.5" customHeight="1">
      <c r="A239" s="250"/>
      <c r="B239" s="154"/>
      <c r="C239" s="149" t="s">
        <v>4947</v>
      </c>
      <c r="D239" s="258" t="s">
        <v>4507</v>
      </c>
      <c r="E239" s="258" t="s">
        <v>2096</v>
      </c>
      <c r="F239" s="196"/>
      <c r="G239" s="214" t="s">
        <v>17</v>
      </c>
      <c r="H239" s="165" t="s">
        <v>4553</v>
      </c>
      <c r="I239" s="154"/>
      <c r="J239" s="154"/>
      <c r="K239" s="154"/>
      <c r="L239" s="259"/>
    </row>
    <row r="240" ht="22.5" customHeight="1">
      <c r="A240" s="202"/>
      <c r="B240" s="141" t="s">
        <v>4948</v>
      </c>
      <c r="C240" s="141" t="s">
        <v>4949</v>
      </c>
      <c r="D240" s="217" t="s">
        <v>4507</v>
      </c>
      <c r="E240" s="217" t="s">
        <v>2096</v>
      </c>
      <c r="F240" s="197"/>
      <c r="G240" s="212" t="s">
        <v>17</v>
      </c>
      <c r="H240" s="173" t="s">
        <v>4553</v>
      </c>
      <c r="I240" s="146"/>
      <c r="J240" s="146"/>
      <c r="K240" s="146"/>
      <c r="L240" s="257"/>
    </row>
    <row r="241" ht="22.5" customHeight="1">
      <c r="A241" s="250"/>
      <c r="B241" s="149" t="s">
        <v>4950</v>
      </c>
      <c r="C241" s="149" t="s">
        <v>4951</v>
      </c>
      <c r="D241" s="258" t="s">
        <v>4507</v>
      </c>
      <c r="E241" s="258" t="s">
        <v>2096</v>
      </c>
      <c r="F241" s="150">
        <v>45481.0</v>
      </c>
      <c r="G241" s="151" t="s">
        <v>30</v>
      </c>
      <c r="H241" s="165" t="s">
        <v>4553</v>
      </c>
      <c r="I241" s="154"/>
      <c r="J241" s="154"/>
      <c r="K241" s="154"/>
      <c r="L241" s="259"/>
    </row>
    <row r="242" ht="22.5" customHeight="1">
      <c r="A242" s="202"/>
      <c r="B242" s="146"/>
      <c r="C242" s="141" t="s">
        <v>4952</v>
      </c>
      <c r="D242" s="217" t="s">
        <v>4507</v>
      </c>
      <c r="E242" s="217" t="s">
        <v>2096</v>
      </c>
      <c r="F242" s="197"/>
      <c r="G242" s="212" t="s">
        <v>17</v>
      </c>
      <c r="H242" s="173" t="s">
        <v>4553</v>
      </c>
      <c r="I242" s="146"/>
      <c r="J242" s="146"/>
      <c r="K242" s="146"/>
      <c r="L242" s="257"/>
    </row>
    <row r="243" ht="22.5" customHeight="1">
      <c r="A243" s="250"/>
      <c r="B243" s="149" t="s">
        <v>4953</v>
      </c>
      <c r="C243" s="149" t="s">
        <v>4954</v>
      </c>
      <c r="D243" s="258" t="s">
        <v>4507</v>
      </c>
      <c r="E243" s="258" t="s">
        <v>2096</v>
      </c>
      <c r="F243" s="196"/>
      <c r="G243" s="214" t="s">
        <v>17</v>
      </c>
      <c r="H243" s="165" t="s">
        <v>4553</v>
      </c>
      <c r="I243" s="154"/>
      <c r="J243" s="154"/>
      <c r="K243" s="154"/>
      <c r="L243" s="259"/>
    </row>
    <row r="244" ht="22.5" customHeight="1">
      <c r="A244" s="202"/>
      <c r="B244" s="141" t="s">
        <v>4955</v>
      </c>
      <c r="C244" s="141" t="s">
        <v>4956</v>
      </c>
      <c r="D244" s="217" t="s">
        <v>4507</v>
      </c>
      <c r="E244" s="217" t="s">
        <v>2096</v>
      </c>
      <c r="F244" s="197"/>
      <c r="G244" s="163" t="s">
        <v>2097</v>
      </c>
      <c r="H244" s="173" t="s">
        <v>4553</v>
      </c>
      <c r="I244" s="146"/>
      <c r="J244" s="146"/>
      <c r="K244" s="146"/>
      <c r="L244" s="257"/>
    </row>
    <row r="245" ht="22.5" customHeight="1">
      <c r="A245" s="250"/>
      <c r="B245" s="149" t="s">
        <v>4957</v>
      </c>
      <c r="C245" s="149" t="s">
        <v>4958</v>
      </c>
      <c r="D245" s="258" t="s">
        <v>4507</v>
      </c>
      <c r="E245" s="258" t="s">
        <v>2096</v>
      </c>
      <c r="F245" s="196"/>
      <c r="G245" s="165" t="s">
        <v>2076</v>
      </c>
      <c r="H245" s="165" t="s">
        <v>4553</v>
      </c>
      <c r="I245" s="154"/>
      <c r="J245" s="154"/>
      <c r="K245" s="154"/>
      <c r="L245" s="259"/>
    </row>
    <row r="246" ht="22.5" customHeight="1">
      <c r="A246" s="202"/>
      <c r="B246" s="146"/>
      <c r="C246" s="141" t="s">
        <v>4959</v>
      </c>
      <c r="D246" s="217" t="s">
        <v>4507</v>
      </c>
      <c r="E246" s="217" t="s">
        <v>2096</v>
      </c>
      <c r="F246" s="197"/>
      <c r="G246" s="163" t="s">
        <v>2097</v>
      </c>
      <c r="H246" s="173" t="s">
        <v>4553</v>
      </c>
      <c r="I246" s="146"/>
      <c r="J246" s="146"/>
      <c r="K246" s="146"/>
      <c r="L246" s="257"/>
    </row>
    <row r="247" ht="22.5" customHeight="1">
      <c r="A247" s="250"/>
      <c r="B247" s="149" t="s">
        <v>4960</v>
      </c>
      <c r="C247" s="149" t="s">
        <v>4961</v>
      </c>
      <c r="D247" s="258" t="s">
        <v>4507</v>
      </c>
      <c r="E247" s="258" t="s">
        <v>2096</v>
      </c>
      <c r="F247" s="196"/>
      <c r="G247" s="161" t="s">
        <v>49</v>
      </c>
      <c r="H247" s="165" t="s">
        <v>4553</v>
      </c>
      <c r="I247" s="154"/>
      <c r="J247" s="154"/>
      <c r="K247" s="154"/>
      <c r="L247" s="266" t="s">
        <v>4962</v>
      </c>
    </row>
    <row r="248" ht="22.5" customHeight="1">
      <c r="A248" s="202"/>
      <c r="B248" s="141" t="s">
        <v>4963</v>
      </c>
      <c r="C248" s="141" t="s">
        <v>4964</v>
      </c>
      <c r="D248" s="217" t="s">
        <v>4507</v>
      </c>
      <c r="E248" s="217" t="s">
        <v>2096</v>
      </c>
      <c r="F248" s="197"/>
      <c r="G248" s="163" t="s">
        <v>2097</v>
      </c>
      <c r="H248" s="173" t="s">
        <v>4553</v>
      </c>
      <c r="I248" s="146"/>
      <c r="J248" s="146"/>
      <c r="K248" s="146"/>
      <c r="L248" s="257"/>
    </row>
    <row r="249" ht="22.5" customHeight="1">
      <c r="A249" s="270"/>
      <c r="B249" s="149" t="s">
        <v>4965</v>
      </c>
      <c r="C249" s="149" t="s">
        <v>4966</v>
      </c>
      <c r="D249" s="258" t="s">
        <v>4507</v>
      </c>
      <c r="E249" s="258" t="s">
        <v>2096</v>
      </c>
      <c r="F249" s="261">
        <v>45510.67916666667</v>
      </c>
      <c r="G249" s="166" t="s">
        <v>2097</v>
      </c>
      <c r="H249" s="165" t="s">
        <v>4553</v>
      </c>
      <c r="I249" s="154"/>
      <c r="J249" s="154"/>
      <c r="K249" s="154"/>
      <c r="L249" s="259"/>
    </row>
    <row r="250" ht="22.5" customHeight="1">
      <c r="A250" s="202"/>
      <c r="B250" s="141" t="s">
        <v>4967</v>
      </c>
      <c r="C250" s="141" t="s">
        <v>4968</v>
      </c>
      <c r="D250" s="217" t="s">
        <v>4507</v>
      </c>
      <c r="E250" s="217" t="s">
        <v>2096</v>
      </c>
      <c r="F250" s="197"/>
      <c r="G250" s="169" t="s">
        <v>49</v>
      </c>
      <c r="H250" s="173" t="s">
        <v>4553</v>
      </c>
      <c r="I250" s="146"/>
      <c r="J250" s="146"/>
      <c r="K250" s="146"/>
      <c r="L250" s="257"/>
    </row>
    <row r="251" ht="22.5" customHeight="1">
      <c r="A251" s="250"/>
      <c r="B251" s="154"/>
      <c r="C251" s="149" t="s">
        <v>4969</v>
      </c>
      <c r="D251" s="258" t="s">
        <v>4507</v>
      </c>
      <c r="E251" s="258" t="s">
        <v>2096</v>
      </c>
      <c r="F251" s="196"/>
      <c r="G251" s="151" t="s">
        <v>30</v>
      </c>
      <c r="H251" s="165" t="s">
        <v>4553</v>
      </c>
      <c r="I251" s="154"/>
      <c r="J251" s="154"/>
      <c r="K251" s="154"/>
      <c r="L251" s="259"/>
    </row>
    <row r="252" ht="22.5" customHeight="1">
      <c r="A252" s="202"/>
      <c r="B252" s="141" t="s">
        <v>4970</v>
      </c>
      <c r="C252" s="141" t="s">
        <v>4971</v>
      </c>
      <c r="D252" s="217" t="s">
        <v>4507</v>
      </c>
      <c r="E252" s="217" t="s">
        <v>2096</v>
      </c>
      <c r="F252" s="197"/>
      <c r="G252" s="156" t="s">
        <v>635</v>
      </c>
      <c r="H252" s="173" t="s">
        <v>4553</v>
      </c>
      <c r="I252" s="146"/>
      <c r="J252" s="146"/>
      <c r="K252" s="146"/>
      <c r="L252" s="257"/>
    </row>
    <row r="253" ht="22.5" customHeight="1">
      <c r="A253" s="250"/>
      <c r="B253" s="149" t="s">
        <v>4972</v>
      </c>
      <c r="C253" s="149" t="s">
        <v>4973</v>
      </c>
      <c r="D253" s="258" t="s">
        <v>4507</v>
      </c>
      <c r="E253" s="258" t="s">
        <v>2096</v>
      </c>
      <c r="F253" s="196"/>
      <c r="G253" s="161" t="s">
        <v>49</v>
      </c>
      <c r="H253" s="165" t="s">
        <v>4553</v>
      </c>
      <c r="I253" s="154"/>
      <c r="J253" s="154"/>
      <c r="K253" s="154"/>
      <c r="L253" s="259"/>
    </row>
    <row r="254" ht="22.5" customHeight="1">
      <c r="A254" s="202"/>
      <c r="B254" s="141" t="s">
        <v>4974</v>
      </c>
      <c r="C254" s="141" t="s">
        <v>4975</v>
      </c>
      <c r="D254" s="217" t="s">
        <v>4507</v>
      </c>
      <c r="E254" s="217" t="s">
        <v>2096</v>
      </c>
      <c r="F254" s="142">
        <v>45481.0</v>
      </c>
      <c r="G254" s="156" t="s">
        <v>635</v>
      </c>
      <c r="H254" s="173" t="s">
        <v>4553</v>
      </c>
      <c r="I254" s="146"/>
      <c r="J254" s="146"/>
      <c r="K254" s="146"/>
      <c r="L254" s="257"/>
    </row>
    <row r="255" ht="22.5" customHeight="1">
      <c r="A255" s="250"/>
      <c r="B255" s="149" t="s">
        <v>4976</v>
      </c>
      <c r="C255" s="149" t="s">
        <v>4977</v>
      </c>
      <c r="D255" s="258" t="s">
        <v>4507</v>
      </c>
      <c r="E255" s="258" t="s">
        <v>2096</v>
      </c>
      <c r="F255" s="150">
        <v>45481.0</v>
      </c>
      <c r="G255" s="151" t="s">
        <v>30</v>
      </c>
      <c r="H255" s="165" t="s">
        <v>4553</v>
      </c>
      <c r="I255" s="154"/>
      <c r="J255" s="154"/>
      <c r="K255" s="154"/>
      <c r="L255" s="259"/>
    </row>
    <row r="256" ht="22.5" customHeight="1">
      <c r="A256" s="202"/>
      <c r="B256" s="141" t="s">
        <v>4978</v>
      </c>
      <c r="C256" s="141" t="s">
        <v>4979</v>
      </c>
      <c r="D256" s="217" t="s">
        <v>4507</v>
      </c>
      <c r="E256" s="217" t="s">
        <v>2096</v>
      </c>
      <c r="F256" s="142">
        <v>45481.0</v>
      </c>
      <c r="G256" s="143" t="s">
        <v>30</v>
      </c>
      <c r="H256" s="173" t="s">
        <v>4553</v>
      </c>
      <c r="I256" s="146"/>
      <c r="J256" s="146"/>
      <c r="K256" s="146"/>
      <c r="L256" s="257"/>
    </row>
    <row r="257" ht="22.5" customHeight="1">
      <c r="A257" s="250"/>
      <c r="B257" s="149" t="s">
        <v>4980</v>
      </c>
      <c r="C257" s="149" t="s">
        <v>4981</v>
      </c>
      <c r="D257" s="258" t="s">
        <v>4507</v>
      </c>
      <c r="E257" s="258" t="s">
        <v>2096</v>
      </c>
      <c r="F257" s="150">
        <v>45481.0</v>
      </c>
      <c r="G257" s="161" t="s">
        <v>49</v>
      </c>
      <c r="H257" s="165" t="s">
        <v>4553</v>
      </c>
      <c r="I257" s="154"/>
      <c r="J257" s="154"/>
      <c r="K257" s="154"/>
      <c r="L257" s="259"/>
    </row>
    <row r="258" ht="22.5" customHeight="1">
      <c r="A258" s="202"/>
      <c r="B258" s="141" t="s">
        <v>4982</v>
      </c>
      <c r="C258" s="141" t="s">
        <v>4983</v>
      </c>
      <c r="D258" s="217" t="s">
        <v>4507</v>
      </c>
      <c r="E258" s="217" t="s">
        <v>2096</v>
      </c>
      <c r="F258" s="142">
        <v>45481.0</v>
      </c>
      <c r="G258" s="169" t="s">
        <v>49</v>
      </c>
      <c r="H258" s="173" t="s">
        <v>4553</v>
      </c>
      <c r="I258" s="146"/>
      <c r="J258" s="146"/>
      <c r="K258" s="146"/>
      <c r="L258" s="257"/>
    </row>
    <row r="259" ht="22.5" customHeight="1">
      <c r="A259" s="250"/>
      <c r="B259" s="154"/>
      <c r="C259" s="149" t="s">
        <v>4984</v>
      </c>
      <c r="D259" s="258" t="s">
        <v>4507</v>
      </c>
      <c r="E259" s="258" t="s">
        <v>2096</v>
      </c>
      <c r="F259" s="150">
        <v>45481.0</v>
      </c>
      <c r="G259" s="161" t="s">
        <v>49</v>
      </c>
      <c r="H259" s="165" t="s">
        <v>4553</v>
      </c>
      <c r="I259" s="154"/>
      <c r="J259" s="154"/>
      <c r="K259" s="154"/>
      <c r="L259" s="259"/>
    </row>
    <row r="260" ht="22.5" customHeight="1">
      <c r="A260" s="202"/>
      <c r="B260" s="141" t="s">
        <v>4985</v>
      </c>
      <c r="C260" s="141" t="s">
        <v>4986</v>
      </c>
      <c r="D260" s="217" t="s">
        <v>4507</v>
      </c>
      <c r="E260" s="217" t="s">
        <v>2096</v>
      </c>
      <c r="F260" s="142">
        <v>45481.0</v>
      </c>
      <c r="G260" s="143" t="s">
        <v>30</v>
      </c>
      <c r="H260" s="173" t="s">
        <v>4553</v>
      </c>
      <c r="I260" s="146"/>
      <c r="J260" s="146"/>
      <c r="K260" s="146"/>
      <c r="L260" s="257"/>
    </row>
    <row r="261" ht="22.5" customHeight="1">
      <c r="A261" s="250"/>
      <c r="B261" s="149" t="s">
        <v>4987</v>
      </c>
      <c r="C261" s="149" t="s">
        <v>4988</v>
      </c>
      <c r="D261" s="258" t="s">
        <v>4507</v>
      </c>
      <c r="E261" s="258" t="s">
        <v>2096</v>
      </c>
      <c r="F261" s="150">
        <v>45481.0</v>
      </c>
      <c r="G261" s="151" t="s">
        <v>30</v>
      </c>
      <c r="H261" s="165" t="s">
        <v>4553</v>
      </c>
      <c r="I261" s="154"/>
      <c r="J261" s="154"/>
      <c r="K261" s="154"/>
      <c r="L261" s="259"/>
    </row>
    <row r="262" ht="22.5" customHeight="1">
      <c r="A262" s="202"/>
      <c r="B262" s="141" t="s">
        <v>4989</v>
      </c>
      <c r="C262" s="141" t="s">
        <v>4990</v>
      </c>
      <c r="D262" s="217" t="s">
        <v>4507</v>
      </c>
      <c r="E262" s="217" t="s">
        <v>2096</v>
      </c>
      <c r="F262" s="142">
        <v>45481.0</v>
      </c>
      <c r="G262" s="269" t="s">
        <v>4861</v>
      </c>
      <c r="H262" s="173" t="s">
        <v>4553</v>
      </c>
      <c r="I262" s="146"/>
      <c r="J262" s="146"/>
      <c r="K262" s="146"/>
      <c r="L262" s="257"/>
    </row>
    <row r="263" ht="22.5" customHeight="1">
      <c r="A263" s="250"/>
      <c r="B263" s="154"/>
      <c r="C263" s="149" t="s">
        <v>4991</v>
      </c>
      <c r="D263" s="258" t="s">
        <v>4507</v>
      </c>
      <c r="E263" s="258" t="s">
        <v>2096</v>
      </c>
      <c r="F263" s="150">
        <v>45481.0</v>
      </c>
      <c r="G263" s="214" t="s">
        <v>17</v>
      </c>
      <c r="H263" s="165" t="s">
        <v>4553</v>
      </c>
      <c r="I263" s="154"/>
      <c r="J263" s="154"/>
      <c r="K263" s="154"/>
      <c r="L263" s="259"/>
    </row>
    <row r="264" ht="22.5" customHeight="1">
      <c r="A264" s="202"/>
      <c r="B264" s="146"/>
      <c r="C264" s="141" t="s">
        <v>4992</v>
      </c>
      <c r="D264" s="217" t="s">
        <v>4507</v>
      </c>
      <c r="E264" s="217" t="s">
        <v>2096</v>
      </c>
      <c r="F264" s="142">
        <v>45481.0</v>
      </c>
      <c r="G264" s="212" t="s">
        <v>17</v>
      </c>
      <c r="H264" s="173" t="s">
        <v>4553</v>
      </c>
      <c r="I264" s="146"/>
      <c r="J264" s="146"/>
      <c r="K264" s="146"/>
      <c r="L264" s="257"/>
    </row>
    <row r="265" ht="22.5" customHeight="1">
      <c r="A265" s="250"/>
      <c r="B265" s="272" t="str">
        <f>Sheet1!C56</f>
        <v>#REF!</v>
      </c>
      <c r="C265" s="149" t="s">
        <v>4993</v>
      </c>
      <c r="D265" s="258" t="s">
        <v>4507</v>
      </c>
      <c r="E265" s="258" t="s">
        <v>2096</v>
      </c>
      <c r="F265" s="150">
        <v>45481.0</v>
      </c>
      <c r="G265" s="161" t="s">
        <v>49</v>
      </c>
      <c r="H265" s="165" t="s">
        <v>4553</v>
      </c>
      <c r="I265" s="196"/>
      <c r="J265" s="196"/>
      <c r="K265" s="196"/>
      <c r="L265" s="259"/>
    </row>
    <row r="266" ht="22.5" customHeight="1">
      <c r="A266" s="202"/>
      <c r="B266" s="141" t="s">
        <v>4994</v>
      </c>
      <c r="C266" s="141" t="s">
        <v>4995</v>
      </c>
      <c r="D266" s="217" t="s">
        <v>4507</v>
      </c>
      <c r="E266" s="217" t="s">
        <v>2096</v>
      </c>
      <c r="F266" s="142">
        <v>45451.0</v>
      </c>
      <c r="G266" s="156" t="s">
        <v>635</v>
      </c>
      <c r="H266" s="173" t="s">
        <v>4553</v>
      </c>
      <c r="I266" s="197"/>
      <c r="J266" s="197"/>
      <c r="K266" s="197"/>
      <c r="L266" s="257"/>
    </row>
    <row r="267" ht="22.5" customHeight="1">
      <c r="A267" s="250"/>
      <c r="B267" s="149" t="s">
        <v>3893</v>
      </c>
      <c r="C267" s="149" t="s">
        <v>4996</v>
      </c>
      <c r="D267" s="258" t="s">
        <v>4507</v>
      </c>
      <c r="E267" s="258" t="s">
        <v>2096</v>
      </c>
      <c r="F267" s="196"/>
      <c r="G267" s="213" t="s">
        <v>40</v>
      </c>
      <c r="H267" s="165" t="s">
        <v>4553</v>
      </c>
      <c r="I267" s="196"/>
      <c r="J267" s="196"/>
      <c r="K267" s="196"/>
      <c r="L267" s="259"/>
    </row>
    <row r="268" ht="22.5" customHeight="1">
      <c r="A268" s="202"/>
      <c r="B268" s="141" t="s">
        <v>201</v>
      </c>
      <c r="C268" s="141" t="s">
        <v>4997</v>
      </c>
      <c r="D268" s="217" t="s">
        <v>4507</v>
      </c>
      <c r="E268" s="217" t="s">
        <v>2096</v>
      </c>
      <c r="F268" s="197"/>
      <c r="G268" s="246" t="s">
        <v>3955</v>
      </c>
      <c r="H268" s="173" t="s">
        <v>4553</v>
      </c>
      <c r="I268" s="197"/>
      <c r="J268" s="197"/>
      <c r="K268" s="197"/>
      <c r="L268" s="257"/>
    </row>
    <row r="269" ht="22.5" customHeight="1">
      <c r="A269" s="250"/>
      <c r="B269" s="272" t="str">
        <f>Sheet1!C60</f>
        <v>#REF!</v>
      </c>
      <c r="C269" s="149" t="s">
        <v>4998</v>
      </c>
      <c r="D269" s="258" t="s">
        <v>4507</v>
      </c>
      <c r="E269" s="258" t="s">
        <v>2096</v>
      </c>
      <c r="F269" s="196"/>
      <c r="G269" s="213" t="s">
        <v>40</v>
      </c>
      <c r="H269" s="165" t="s">
        <v>4553</v>
      </c>
      <c r="I269" s="196"/>
      <c r="J269" s="196"/>
      <c r="K269" s="196"/>
      <c r="L269" s="259"/>
    </row>
    <row r="270" ht="22.5" customHeight="1">
      <c r="A270" s="202"/>
      <c r="B270" s="141" t="s">
        <v>4999</v>
      </c>
      <c r="C270" s="141" t="s">
        <v>5000</v>
      </c>
      <c r="D270" s="217" t="s">
        <v>4507</v>
      </c>
      <c r="E270" s="217" t="s">
        <v>2096</v>
      </c>
      <c r="F270" s="197"/>
      <c r="G270" s="143" t="s">
        <v>30</v>
      </c>
      <c r="H270" s="173" t="s">
        <v>4553</v>
      </c>
      <c r="I270" s="197"/>
      <c r="J270" s="197"/>
      <c r="K270" s="197"/>
      <c r="L270" s="257"/>
    </row>
    <row r="271" ht="22.5" customHeight="1">
      <c r="A271" s="250"/>
      <c r="B271" s="272" t="str">
        <f>Sheet1!C62</f>
        <v>#REF!</v>
      </c>
      <c r="C271" s="149" t="s">
        <v>5001</v>
      </c>
      <c r="D271" s="258" t="s">
        <v>4507</v>
      </c>
      <c r="E271" s="258" t="s">
        <v>2096</v>
      </c>
      <c r="F271" s="196"/>
      <c r="G271" s="213" t="s">
        <v>40</v>
      </c>
      <c r="H271" s="165" t="s">
        <v>4553</v>
      </c>
      <c r="I271" s="196"/>
      <c r="J271" s="196"/>
      <c r="K271" s="196"/>
      <c r="L271" s="259"/>
    </row>
    <row r="272" ht="22.5" customHeight="1">
      <c r="A272" s="202"/>
      <c r="B272" s="141" t="s">
        <v>5002</v>
      </c>
      <c r="C272" s="141" t="s">
        <v>5003</v>
      </c>
      <c r="D272" s="217" t="s">
        <v>4507</v>
      </c>
      <c r="E272" s="217" t="s">
        <v>2096</v>
      </c>
      <c r="F272" s="197"/>
      <c r="G272" s="169" t="s">
        <v>49</v>
      </c>
      <c r="H272" s="173" t="s">
        <v>4553</v>
      </c>
      <c r="I272" s="197"/>
      <c r="J272" s="197"/>
      <c r="K272" s="197"/>
      <c r="L272" s="260" t="s">
        <v>5004</v>
      </c>
    </row>
    <row r="273" ht="22.5" customHeight="1">
      <c r="A273" s="250"/>
      <c r="B273" s="149" t="s">
        <v>5005</v>
      </c>
      <c r="C273" s="149" t="s">
        <v>5006</v>
      </c>
      <c r="D273" s="258" t="s">
        <v>4507</v>
      </c>
      <c r="E273" s="258" t="s">
        <v>2096</v>
      </c>
      <c r="F273" s="196"/>
      <c r="G273" s="166" t="s">
        <v>2097</v>
      </c>
      <c r="H273" s="165" t="s">
        <v>4553</v>
      </c>
      <c r="I273" s="196"/>
      <c r="J273" s="196"/>
      <c r="K273" s="196"/>
      <c r="L273" s="259"/>
    </row>
    <row r="274" ht="22.5" customHeight="1">
      <c r="A274" s="202"/>
      <c r="B274" s="273" t="str">
        <f t="shared" ref="B274:B275" si="1">Sheet1!C65</f>
        <v>#REF!</v>
      </c>
      <c r="C274" s="141" t="s">
        <v>4100</v>
      </c>
      <c r="D274" s="217" t="s">
        <v>4507</v>
      </c>
      <c r="E274" s="217" t="s">
        <v>2096</v>
      </c>
      <c r="F274" s="197"/>
      <c r="G274" s="212" t="s">
        <v>17</v>
      </c>
      <c r="H274" s="173" t="s">
        <v>4553</v>
      </c>
      <c r="I274" s="197"/>
      <c r="J274" s="197"/>
      <c r="K274" s="197"/>
      <c r="L274" s="257"/>
    </row>
    <row r="275" ht="22.5" customHeight="1">
      <c r="A275" s="250"/>
      <c r="B275" s="272" t="str">
        <f t="shared" si="1"/>
        <v>#REF!</v>
      </c>
      <c r="C275" s="149" t="s">
        <v>5007</v>
      </c>
      <c r="D275" s="258" t="s">
        <v>4507</v>
      </c>
      <c r="E275" s="258" t="s">
        <v>2096</v>
      </c>
      <c r="F275" s="196"/>
      <c r="G275" s="214" t="s">
        <v>17</v>
      </c>
      <c r="H275" s="165" t="s">
        <v>4553</v>
      </c>
      <c r="I275" s="196"/>
      <c r="J275" s="196"/>
      <c r="K275" s="196"/>
      <c r="L275" s="259"/>
    </row>
    <row r="276" ht="22.5" customHeight="1">
      <c r="A276" s="202"/>
      <c r="B276" s="141" t="s">
        <v>5008</v>
      </c>
      <c r="C276" s="141" t="s">
        <v>5009</v>
      </c>
      <c r="D276" s="217" t="s">
        <v>4507</v>
      </c>
      <c r="E276" s="217" t="s">
        <v>2096</v>
      </c>
      <c r="F276" s="197"/>
      <c r="G276" s="216" t="s">
        <v>40</v>
      </c>
      <c r="H276" s="173" t="s">
        <v>4553</v>
      </c>
      <c r="I276" s="197"/>
      <c r="J276" s="197"/>
      <c r="K276" s="197"/>
      <c r="L276" s="257"/>
    </row>
    <row r="277" ht="22.5" customHeight="1">
      <c r="A277" s="250"/>
      <c r="B277" s="149" t="s">
        <v>5010</v>
      </c>
      <c r="C277" s="149" t="s">
        <v>5011</v>
      </c>
      <c r="D277" s="258" t="s">
        <v>4507</v>
      </c>
      <c r="E277" s="258" t="s">
        <v>2096</v>
      </c>
      <c r="F277" s="261">
        <v>45510.625</v>
      </c>
      <c r="G277" s="151" t="s">
        <v>30</v>
      </c>
      <c r="H277" s="165" t="s">
        <v>4553</v>
      </c>
      <c r="I277" s="196"/>
      <c r="J277" s="196"/>
      <c r="K277" s="196"/>
      <c r="L277" s="266" t="s">
        <v>5012</v>
      </c>
    </row>
    <row r="278" ht="22.5" customHeight="1">
      <c r="A278" s="202"/>
      <c r="B278" s="141" t="s">
        <v>5013</v>
      </c>
      <c r="C278" s="141" t="s">
        <v>5014</v>
      </c>
      <c r="D278" s="217" t="s">
        <v>4507</v>
      </c>
      <c r="E278" s="217" t="s">
        <v>2096</v>
      </c>
      <c r="F278" s="274">
        <v>45510.604166666664</v>
      </c>
      <c r="G278" s="216" t="s">
        <v>40</v>
      </c>
      <c r="H278" s="173" t="s">
        <v>4553</v>
      </c>
      <c r="I278" s="197"/>
      <c r="J278" s="197"/>
      <c r="K278" s="197"/>
      <c r="L278" s="260" t="s">
        <v>5012</v>
      </c>
    </row>
    <row r="279" ht="22.5" customHeight="1">
      <c r="A279" s="250"/>
      <c r="B279" s="149" t="s">
        <v>5015</v>
      </c>
      <c r="C279" s="149" t="s">
        <v>5016</v>
      </c>
      <c r="D279" s="258" t="s">
        <v>4507</v>
      </c>
      <c r="E279" s="258" t="s">
        <v>2096</v>
      </c>
      <c r="F279" s="261">
        <v>45510.61111111111</v>
      </c>
      <c r="G279" s="161" t="s">
        <v>49</v>
      </c>
      <c r="H279" s="165" t="s">
        <v>4553</v>
      </c>
      <c r="I279" s="196"/>
      <c r="J279" s="196"/>
      <c r="K279" s="196"/>
      <c r="L279" s="259"/>
    </row>
    <row r="280" ht="22.5" customHeight="1">
      <c r="A280" s="202"/>
      <c r="B280" s="141" t="s">
        <v>5017</v>
      </c>
      <c r="C280" s="141" t="s">
        <v>5018</v>
      </c>
      <c r="D280" s="217" t="s">
        <v>4507</v>
      </c>
      <c r="E280" s="217" t="s">
        <v>2096</v>
      </c>
      <c r="F280" s="274">
        <v>45510.62152777778</v>
      </c>
      <c r="G280" s="216" t="s">
        <v>40</v>
      </c>
      <c r="H280" s="173" t="s">
        <v>4553</v>
      </c>
      <c r="I280" s="197"/>
      <c r="J280" s="197"/>
      <c r="K280" s="197"/>
      <c r="L280" s="257"/>
    </row>
    <row r="281" ht="22.5" customHeight="1">
      <c r="A281" s="250"/>
      <c r="B281" s="149" t="s">
        <v>5019</v>
      </c>
      <c r="C281" s="149" t="s">
        <v>5020</v>
      </c>
      <c r="D281" s="258" t="s">
        <v>4507</v>
      </c>
      <c r="E281" s="258" t="s">
        <v>2096</v>
      </c>
      <c r="F281" s="196"/>
      <c r="G281" s="161" t="s">
        <v>49</v>
      </c>
      <c r="H281" s="165" t="s">
        <v>4553</v>
      </c>
      <c r="I281" s="196"/>
      <c r="J281" s="196"/>
      <c r="K281" s="196"/>
      <c r="L281" s="259"/>
    </row>
    <row r="282" ht="22.5" customHeight="1">
      <c r="A282" s="202"/>
      <c r="B282" s="141" t="s">
        <v>5021</v>
      </c>
      <c r="C282" s="141" t="s">
        <v>5022</v>
      </c>
      <c r="D282" s="217" t="s">
        <v>4507</v>
      </c>
      <c r="E282" s="217" t="s">
        <v>2096</v>
      </c>
      <c r="F282" s="274">
        <v>45510.614583333336</v>
      </c>
      <c r="G282" s="216" t="s">
        <v>40</v>
      </c>
      <c r="H282" s="173" t="s">
        <v>4553</v>
      </c>
      <c r="I282" s="197"/>
      <c r="J282" s="197"/>
      <c r="K282" s="197"/>
      <c r="L282" s="257"/>
    </row>
    <row r="283" ht="22.5" customHeight="1">
      <c r="A283" s="250"/>
      <c r="B283" s="272" t="str">
        <f>Sheet1!C74</f>
        <v>#REF!</v>
      </c>
      <c r="C283" s="149" t="s">
        <v>5023</v>
      </c>
      <c r="D283" s="258" t="s">
        <v>4507</v>
      </c>
      <c r="E283" s="258" t="s">
        <v>2096</v>
      </c>
      <c r="F283" s="261">
        <v>45510.618055555555</v>
      </c>
      <c r="G283" s="161" t="s">
        <v>49</v>
      </c>
      <c r="H283" s="165" t="s">
        <v>4553</v>
      </c>
      <c r="I283" s="196"/>
      <c r="J283" s="196"/>
      <c r="K283" s="196"/>
      <c r="L283" s="259"/>
    </row>
    <row r="284" ht="22.5" customHeight="1">
      <c r="A284" s="202"/>
      <c r="B284" s="141" t="s">
        <v>5024</v>
      </c>
      <c r="C284" s="141" t="s">
        <v>5025</v>
      </c>
      <c r="D284" s="217" t="s">
        <v>4507</v>
      </c>
      <c r="E284" s="217" t="s">
        <v>2096</v>
      </c>
      <c r="F284" s="274">
        <v>45510.63055555556</v>
      </c>
      <c r="G284" s="216" t="s">
        <v>40</v>
      </c>
      <c r="H284" s="173" t="s">
        <v>4553</v>
      </c>
      <c r="I284" s="197"/>
      <c r="J284" s="197"/>
      <c r="K284" s="197"/>
      <c r="L284" s="257"/>
    </row>
    <row r="285" ht="22.5" customHeight="1">
      <c r="A285" s="250"/>
      <c r="B285" s="149" t="s">
        <v>5026</v>
      </c>
      <c r="C285" s="149" t="s">
        <v>5027</v>
      </c>
      <c r="D285" s="258" t="s">
        <v>4507</v>
      </c>
      <c r="E285" s="258" t="s">
        <v>2096</v>
      </c>
      <c r="F285" s="196"/>
      <c r="G285" s="214" t="s">
        <v>17</v>
      </c>
      <c r="H285" s="165" t="s">
        <v>4553</v>
      </c>
      <c r="I285" s="196"/>
      <c r="J285" s="196"/>
      <c r="K285" s="196"/>
      <c r="L285" s="259"/>
    </row>
    <row r="286" ht="22.5" customHeight="1">
      <c r="A286" s="202"/>
      <c r="B286" s="141" t="s">
        <v>267</v>
      </c>
      <c r="C286" s="141" t="s">
        <v>5028</v>
      </c>
      <c r="D286" s="217" t="s">
        <v>4507</v>
      </c>
      <c r="E286" s="217" t="s">
        <v>2096</v>
      </c>
      <c r="F286" s="197"/>
      <c r="G286" s="212" t="s">
        <v>17</v>
      </c>
      <c r="H286" s="173" t="s">
        <v>4553</v>
      </c>
      <c r="I286" s="197"/>
      <c r="J286" s="197"/>
      <c r="K286" s="197"/>
      <c r="L286" s="257"/>
    </row>
    <row r="287" ht="22.5" customHeight="1">
      <c r="A287" s="250"/>
      <c r="B287" s="149" t="s">
        <v>5029</v>
      </c>
      <c r="C287" s="149" t="s">
        <v>5030</v>
      </c>
      <c r="D287" s="258" t="s">
        <v>4507</v>
      </c>
      <c r="E287" s="258" t="s">
        <v>2096</v>
      </c>
      <c r="F287" s="196"/>
      <c r="G287" s="214" t="s">
        <v>17</v>
      </c>
      <c r="H287" s="165" t="s">
        <v>4553</v>
      </c>
      <c r="I287" s="196"/>
      <c r="J287" s="196"/>
      <c r="K287" s="196"/>
      <c r="L287" s="259"/>
    </row>
    <row r="288" ht="22.5" customHeight="1">
      <c r="A288" s="202"/>
      <c r="B288" s="141" t="s">
        <v>5031</v>
      </c>
      <c r="C288" s="141" t="s">
        <v>5032</v>
      </c>
      <c r="D288" s="217" t="s">
        <v>4507</v>
      </c>
      <c r="E288" s="217" t="s">
        <v>2096</v>
      </c>
      <c r="F288" s="274">
        <v>45510.64791666667</v>
      </c>
      <c r="G288" s="216" t="s">
        <v>40</v>
      </c>
      <c r="H288" s="173" t="s">
        <v>4553</v>
      </c>
      <c r="I288" s="197"/>
      <c r="J288" s="197"/>
      <c r="K288" s="197"/>
      <c r="L288" s="260" t="s">
        <v>5033</v>
      </c>
    </row>
    <row r="289" ht="22.5" customHeight="1">
      <c r="A289" s="250"/>
      <c r="B289" s="149" t="s">
        <v>5034</v>
      </c>
      <c r="C289" s="149" t="s">
        <v>5035</v>
      </c>
      <c r="D289" s="258" t="s">
        <v>4507</v>
      </c>
      <c r="E289" s="258" t="s">
        <v>2096</v>
      </c>
      <c r="F289" s="196"/>
      <c r="G289" s="167" t="s">
        <v>635</v>
      </c>
      <c r="H289" s="165" t="s">
        <v>4553</v>
      </c>
      <c r="I289" s="196"/>
      <c r="J289" s="196"/>
      <c r="K289" s="196"/>
      <c r="L289" s="259"/>
    </row>
    <row r="290" ht="22.5" customHeight="1">
      <c r="A290" s="202"/>
      <c r="B290" s="141" t="s">
        <v>4989</v>
      </c>
      <c r="C290" s="141" t="s">
        <v>5036</v>
      </c>
      <c r="D290" s="217" t="s">
        <v>4507</v>
      </c>
      <c r="E290" s="217" t="s">
        <v>2096</v>
      </c>
      <c r="F290" s="274">
        <v>45510.65138888889</v>
      </c>
      <c r="G290" s="216" t="s">
        <v>40</v>
      </c>
      <c r="H290" s="173" t="s">
        <v>4553</v>
      </c>
      <c r="I290" s="197"/>
      <c r="J290" s="197"/>
      <c r="K290" s="197"/>
      <c r="L290" s="257"/>
    </row>
    <row r="291" ht="22.5" customHeight="1">
      <c r="A291" s="250"/>
      <c r="B291" s="149" t="s">
        <v>5037</v>
      </c>
      <c r="C291" s="149" t="s">
        <v>5038</v>
      </c>
      <c r="D291" s="258" t="s">
        <v>4507</v>
      </c>
      <c r="E291" s="258" t="s">
        <v>2096</v>
      </c>
      <c r="F291" s="196"/>
      <c r="G291" s="213" t="s">
        <v>40</v>
      </c>
      <c r="H291" s="165" t="s">
        <v>4553</v>
      </c>
      <c r="I291" s="196"/>
      <c r="J291" s="196"/>
      <c r="K291" s="196"/>
      <c r="L291" s="259"/>
    </row>
    <row r="292" ht="22.5" customHeight="1">
      <c r="A292" s="202"/>
      <c r="B292" s="141" t="s">
        <v>5039</v>
      </c>
      <c r="C292" s="141" t="s">
        <v>5040</v>
      </c>
      <c r="D292" s="217" t="s">
        <v>4507</v>
      </c>
      <c r="E292" s="217" t="s">
        <v>2096</v>
      </c>
      <c r="F292" s="274">
        <v>45510.67083333333</v>
      </c>
      <c r="G292" s="246" t="s">
        <v>3955</v>
      </c>
      <c r="H292" s="173" t="s">
        <v>4553</v>
      </c>
      <c r="I292" s="197"/>
      <c r="J292" s="197"/>
      <c r="K292" s="197"/>
      <c r="L292" s="257"/>
    </row>
    <row r="293" ht="22.5" customHeight="1">
      <c r="A293" s="250"/>
      <c r="B293" s="149" t="s">
        <v>5041</v>
      </c>
      <c r="C293" s="149" t="s">
        <v>5042</v>
      </c>
      <c r="D293" s="258" t="s">
        <v>4507</v>
      </c>
      <c r="E293" s="258" t="s">
        <v>2096</v>
      </c>
      <c r="F293" s="196"/>
      <c r="G293" s="214" t="s">
        <v>17</v>
      </c>
      <c r="H293" s="165" t="s">
        <v>4553</v>
      </c>
      <c r="I293" s="196"/>
      <c r="J293" s="196"/>
      <c r="K293" s="196"/>
      <c r="L293" s="259"/>
    </row>
    <row r="294" ht="22.5" customHeight="1">
      <c r="A294" s="202"/>
      <c r="B294" s="273" t="str">
        <f>Sheet1!C85</f>
        <v>#REF!</v>
      </c>
      <c r="C294" s="141" t="s">
        <v>5043</v>
      </c>
      <c r="D294" s="217" t="s">
        <v>4507</v>
      </c>
      <c r="E294" s="217" t="s">
        <v>2096</v>
      </c>
      <c r="F294" s="197"/>
      <c r="G294" s="212" t="s">
        <v>17</v>
      </c>
      <c r="H294" s="173" t="s">
        <v>4553</v>
      </c>
      <c r="I294" s="197"/>
      <c r="J294" s="197"/>
      <c r="K294" s="197"/>
      <c r="L294" s="257"/>
    </row>
    <row r="295" ht="22.5" customHeight="1">
      <c r="A295" s="250"/>
      <c r="B295" s="149" t="s">
        <v>5044</v>
      </c>
      <c r="C295" s="149" t="s">
        <v>5045</v>
      </c>
      <c r="D295" s="258" t="s">
        <v>4507</v>
      </c>
      <c r="E295" s="258" t="s">
        <v>2096</v>
      </c>
      <c r="F295" s="196"/>
      <c r="G295" s="214" t="s">
        <v>17</v>
      </c>
      <c r="H295" s="165" t="s">
        <v>4553</v>
      </c>
      <c r="I295" s="196"/>
      <c r="J295" s="196"/>
      <c r="K295" s="196"/>
      <c r="L295" s="259"/>
    </row>
    <row r="296" ht="22.5" customHeight="1">
      <c r="A296" s="202"/>
      <c r="B296" s="141" t="s">
        <v>5046</v>
      </c>
      <c r="C296" s="141" t="s">
        <v>5047</v>
      </c>
      <c r="D296" s="217" t="s">
        <v>4507</v>
      </c>
      <c r="E296" s="217" t="s">
        <v>2096</v>
      </c>
      <c r="F296" s="142">
        <v>45543.0</v>
      </c>
      <c r="G296" s="163" t="s">
        <v>2097</v>
      </c>
      <c r="H296" s="173" t="s">
        <v>4553</v>
      </c>
      <c r="I296" s="197"/>
      <c r="J296" s="197"/>
      <c r="K296" s="197"/>
      <c r="L296" s="257"/>
    </row>
    <row r="297" ht="22.5" customHeight="1">
      <c r="A297" s="250"/>
      <c r="B297" s="149" t="s">
        <v>5048</v>
      </c>
      <c r="C297" s="149" t="s">
        <v>5049</v>
      </c>
      <c r="D297" s="258" t="s">
        <v>4507</v>
      </c>
      <c r="E297" s="258" t="s">
        <v>2096</v>
      </c>
      <c r="F297" s="150">
        <v>45543.0</v>
      </c>
      <c r="G297" s="214" t="s">
        <v>17</v>
      </c>
      <c r="H297" s="165" t="s">
        <v>4553</v>
      </c>
      <c r="I297" s="196"/>
      <c r="J297" s="196"/>
      <c r="K297" s="196"/>
      <c r="L297" s="259"/>
    </row>
    <row r="298" ht="22.5" customHeight="1">
      <c r="A298" s="202"/>
      <c r="B298" s="141" t="s">
        <v>5050</v>
      </c>
      <c r="C298" s="141" t="s">
        <v>5051</v>
      </c>
      <c r="D298" s="217" t="s">
        <v>4507</v>
      </c>
      <c r="E298" s="217" t="s">
        <v>2096</v>
      </c>
      <c r="F298" s="274">
        <v>45510.68958333333</v>
      </c>
      <c r="G298" s="216" t="s">
        <v>40</v>
      </c>
      <c r="H298" s="173" t="s">
        <v>4553</v>
      </c>
      <c r="I298" s="197"/>
      <c r="J298" s="197"/>
      <c r="K298" s="197"/>
      <c r="L298" s="257"/>
    </row>
    <row r="299" ht="22.5" customHeight="1">
      <c r="A299" s="250"/>
      <c r="B299" s="149" t="s">
        <v>5052</v>
      </c>
      <c r="C299" s="149" t="s">
        <v>5053</v>
      </c>
      <c r="D299" s="258" t="s">
        <v>4507</v>
      </c>
      <c r="E299" s="258" t="s">
        <v>2096</v>
      </c>
      <c r="F299" s="150">
        <v>45543.0</v>
      </c>
      <c r="G299" s="214" t="s">
        <v>17</v>
      </c>
      <c r="H299" s="165" t="s">
        <v>4553</v>
      </c>
      <c r="I299" s="196"/>
      <c r="J299" s="196"/>
      <c r="K299" s="196"/>
      <c r="L299" s="259"/>
    </row>
    <row r="300" ht="22.5" customHeight="1">
      <c r="A300" s="202"/>
      <c r="B300" s="141" t="s">
        <v>5054</v>
      </c>
      <c r="C300" s="141" t="s">
        <v>5055</v>
      </c>
      <c r="D300" s="217" t="s">
        <v>4507</v>
      </c>
      <c r="E300" s="217" t="s">
        <v>2096</v>
      </c>
      <c r="F300" s="197"/>
      <c r="G300" s="169" t="s">
        <v>49</v>
      </c>
      <c r="H300" s="173" t="s">
        <v>4553</v>
      </c>
      <c r="I300" s="197"/>
      <c r="J300" s="197"/>
      <c r="K300" s="197"/>
      <c r="L300" s="257"/>
    </row>
    <row r="301" ht="22.5" customHeight="1">
      <c r="A301" s="250"/>
      <c r="B301" s="149" t="s">
        <v>5056</v>
      </c>
      <c r="C301" s="149" t="s">
        <v>5057</v>
      </c>
      <c r="D301" s="258" t="s">
        <v>4507</v>
      </c>
      <c r="E301" s="258" t="s">
        <v>2096</v>
      </c>
      <c r="F301" s="150">
        <v>45543.0</v>
      </c>
      <c r="G301" s="151" t="s">
        <v>30</v>
      </c>
      <c r="H301" s="165" t="s">
        <v>4553</v>
      </c>
      <c r="I301" s="196"/>
      <c r="J301" s="196"/>
      <c r="K301" s="196"/>
      <c r="L301" s="259"/>
    </row>
    <row r="302" ht="22.5" customHeight="1">
      <c r="A302" s="202"/>
      <c r="B302" s="141" t="s">
        <v>1459</v>
      </c>
      <c r="C302" s="141" t="s">
        <v>5058</v>
      </c>
      <c r="D302" s="217" t="s">
        <v>4507</v>
      </c>
      <c r="E302" s="217" t="s">
        <v>2096</v>
      </c>
      <c r="F302" s="142">
        <v>45543.0</v>
      </c>
      <c r="G302" s="212" t="s">
        <v>17</v>
      </c>
      <c r="H302" s="173" t="s">
        <v>4553</v>
      </c>
      <c r="I302" s="197"/>
      <c r="J302" s="197"/>
      <c r="K302" s="197"/>
      <c r="L302" s="257"/>
    </row>
    <row r="303" ht="22.5" customHeight="1">
      <c r="A303" s="250"/>
      <c r="B303" s="149" t="s">
        <v>5059</v>
      </c>
      <c r="C303" s="149" t="s">
        <v>5060</v>
      </c>
      <c r="D303" s="258" t="s">
        <v>4507</v>
      </c>
      <c r="E303" s="258" t="s">
        <v>2096</v>
      </c>
      <c r="F303" s="150">
        <v>45543.0</v>
      </c>
      <c r="G303" s="151" t="s">
        <v>30</v>
      </c>
      <c r="H303" s="165" t="s">
        <v>4553</v>
      </c>
      <c r="I303" s="196"/>
      <c r="J303" s="196"/>
      <c r="K303" s="196"/>
      <c r="L303" s="259"/>
    </row>
    <row r="304" ht="22.5" customHeight="1">
      <c r="A304" s="202"/>
      <c r="B304" s="141" t="s">
        <v>4934</v>
      </c>
      <c r="C304" s="141" t="s">
        <v>5061</v>
      </c>
      <c r="D304" s="217" t="s">
        <v>4507</v>
      </c>
      <c r="E304" s="217" t="s">
        <v>2096</v>
      </c>
      <c r="F304" s="197"/>
      <c r="G304" s="169" t="s">
        <v>49</v>
      </c>
      <c r="H304" s="173" t="s">
        <v>4553</v>
      </c>
      <c r="I304" s="197"/>
      <c r="J304" s="197"/>
      <c r="K304" s="197"/>
      <c r="L304" s="257"/>
    </row>
    <row r="305" ht="22.5" customHeight="1">
      <c r="A305" s="250"/>
      <c r="B305" s="149" t="s">
        <v>3904</v>
      </c>
      <c r="C305" s="149" t="s">
        <v>5062</v>
      </c>
      <c r="D305" s="258" t="s">
        <v>4507</v>
      </c>
      <c r="E305" s="258" t="s">
        <v>2096</v>
      </c>
      <c r="F305" s="150">
        <v>45451.0</v>
      </c>
      <c r="G305" s="167" t="s">
        <v>635</v>
      </c>
      <c r="H305" s="165" t="s">
        <v>4553</v>
      </c>
      <c r="I305" s="196"/>
      <c r="J305" s="196"/>
      <c r="K305" s="196"/>
      <c r="L305" s="259"/>
    </row>
    <row r="306" ht="22.5" customHeight="1">
      <c r="A306" s="202"/>
      <c r="B306" s="141" t="s">
        <v>5063</v>
      </c>
      <c r="C306" s="141" t="s">
        <v>5064</v>
      </c>
      <c r="D306" s="217" t="s">
        <v>4507</v>
      </c>
      <c r="E306" s="217" t="s">
        <v>2096</v>
      </c>
      <c r="F306" s="142">
        <v>45451.0</v>
      </c>
      <c r="G306" s="156" t="s">
        <v>635</v>
      </c>
      <c r="H306" s="173" t="s">
        <v>4553</v>
      </c>
      <c r="I306" s="197"/>
      <c r="J306" s="197"/>
      <c r="K306" s="197"/>
      <c r="L306" s="257"/>
    </row>
    <row r="307" ht="22.5" customHeight="1">
      <c r="A307" s="250"/>
      <c r="B307" s="272" t="str">
        <f>Sheet1!C98</f>
        <v>#REF!</v>
      </c>
      <c r="C307" s="149" t="s">
        <v>5065</v>
      </c>
      <c r="D307" s="258" t="s">
        <v>4507</v>
      </c>
      <c r="E307" s="258" t="s">
        <v>2096</v>
      </c>
      <c r="F307" s="261">
        <v>45511.525</v>
      </c>
      <c r="G307" s="213" t="s">
        <v>40</v>
      </c>
      <c r="H307" s="165" t="s">
        <v>4553</v>
      </c>
      <c r="I307" s="196"/>
      <c r="J307" s="196"/>
      <c r="K307" s="196"/>
      <c r="L307" s="259"/>
    </row>
    <row r="308" ht="22.5" customHeight="1">
      <c r="A308" s="202"/>
      <c r="B308" s="141" t="s">
        <v>5066</v>
      </c>
      <c r="C308" s="141" t="s">
        <v>5067</v>
      </c>
      <c r="D308" s="217" t="s">
        <v>4507</v>
      </c>
      <c r="E308" s="217" t="s">
        <v>2096</v>
      </c>
      <c r="F308" s="274">
        <v>45511.527083333334</v>
      </c>
      <c r="G308" s="163" t="s">
        <v>2097</v>
      </c>
      <c r="H308" s="173" t="s">
        <v>4553</v>
      </c>
      <c r="I308" s="197"/>
      <c r="J308" s="197"/>
      <c r="K308" s="197"/>
      <c r="L308" s="257"/>
    </row>
    <row r="309" ht="22.5" customHeight="1">
      <c r="A309" s="250"/>
      <c r="B309" s="272" t="str">
        <f>Sheet1!C100</f>
        <v>#REF!</v>
      </c>
      <c r="C309" s="149" t="s">
        <v>5068</v>
      </c>
      <c r="D309" s="258" t="s">
        <v>4507</v>
      </c>
      <c r="E309" s="258" t="s">
        <v>2096</v>
      </c>
      <c r="F309" s="150">
        <v>45543.0</v>
      </c>
      <c r="G309" s="166" t="s">
        <v>2097</v>
      </c>
      <c r="H309" s="165" t="s">
        <v>4553</v>
      </c>
      <c r="I309" s="196"/>
      <c r="J309" s="196"/>
      <c r="K309" s="196"/>
      <c r="L309" s="259"/>
    </row>
    <row r="310" ht="22.5" customHeight="1">
      <c r="A310" s="202"/>
      <c r="B310" s="141" t="s">
        <v>5069</v>
      </c>
      <c r="C310" s="141" t="s">
        <v>5070</v>
      </c>
      <c r="D310" s="217" t="s">
        <v>4507</v>
      </c>
      <c r="E310" s="217" t="s">
        <v>2096</v>
      </c>
      <c r="F310" s="142">
        <v>45543.0</v>
      </c>
      <c r="G310" s="269" t="s">
        <v>4861</v>
      </c>
      <c r="H310" s="173" t="s">
        <v>4553</v>
      </c>
      <c r="I310" s="197"/>
      <c r="J310" s="197"/>
      <c r="K310" s="197"/>
      <c r="L310" s="257"/>
    </row>
    <row r="311" ht="22.5" customHeight="1">
      <c r="A311" s="250"/>
      <c r="B311" s="149" t="s">
        <v>5071</v>
      </c>
      <c r="C311" s="149" t="s">
        <v>5072</v>
      </c>
      <c r="D311" s="196"/>
      <c r="E311" s="196"/>
      <c r="F311" s="150">
        <v>45543.0</v>
      </c>
      <c r="G311" s="214" t="s">
        <v>17</v>
      </c>
      <c r="H311" s="165" t="s">
        <v>4553</v>
      </c>
      <c r="I311" s="196"/>
      <c r="J311" s="196"/>
      <c r="K311" s="196"/>
      <c r="L311" s="259"/>
    </row>
    <row r="312" ht="22.5" customHeight="1">
      <c r="A312" s="202"/>
      <c r="B312" s="273" t="str">
        <f>Sheet1!C103</f>
        <v>#REF!</v>
      </c>
      <c r="C312" s="141" t="s">
        <v>5073</v>
      </c>
      <c r="D312" s="197"/>
      <c r="E312" s="197"/>
      <c r="F312" s="142">
        <v>45543.0</v>
      </c>
      <c r="G312" s="163" t="s">
        <v>2097</v>
      </c>
      <c r="H312" s="173" t="s">
        <v>4553</v>
      </c>
      <c r="I312" s="197"/>
      <c r="J312" s="197"/>
      <c r="K312" s="197"/>
      <c r="L312" s="257"/>
    </row>
    <row r="313" ht="22.5" customHeight="1">
      <c r="A313" s="250"/>
      <c r="B313" s="149" t="s">
        <v>5074</v>
      </c>
      <c r="C313" s="149" t="s">
        <v>5075</v>
      </c>
      <c r="D313" s="196"/>
      <c r="E313" s="196"/>
      <c r="F313" s="150">
        <v>45543.0</v>
      </c>
      <c r="G313" s="165" t="s">
        <v>2076</v>
      </c>
      <c r="H313" s="165" t="s">
        <v>4553</v>
      </c>
      <c r="I313" s="196"/>
      <c r="J313" s="196"/>
      <c r="K313" s="196"/>
      <c r="L313" s="259"/>
    </row>
    <row r="314" ht="22.5" customHeight="1">
      <c r="A314" s="202"/>
      <c r="B314" s="141" t="s">
        <v>5076</v>
      </c>
      <c r="C314" s="141" t="s">
        <v>5077</v>
      </c>
      <c r="D314" s="197"/>
      <c r="E314" s="197"/>
      <c r="F314" s="197"/>
      <c r="G314" s="163" t="s">
        <v>2097</v>
      </c>
      <c r="H314" s="173" t="s">
        <v>4553</v>
      </c>
      <c r="I314" s="197"/>
      <c r="J314" s="197"/>
      <c r="K314" s="197"/>
      <c r="L314" s="257"/>
    </row>
    <row r="315" ht="22.5" customHeight="1">
      <c r="A315" s="250"/>
      <c r="B315" s="149" t="s">
        <v>5078</v>
      </c>
      <c r="C315" s="149" t="s">
        <v>5079</v>
      </c>
      <c r="D315" s="196"/>
      <c r="E315" s="196"/>
      <c r="F315" s="261">
        <v>45511.61736111111</v>
      </c>
      <c r="G315" s="166" t="s">
        <v>2097</v>
      </c>
      <c r="H315" s="165" t="s">
        <v>4553</v>
      </c>
      <c r="I315" s="196"/>
      <c r="J315" s="196"/>
      <c r="K315" s="196"/>
      <c r="L315" s="259"/>
    </row>
    <row r="316" ht="22.5" customHeight="1">
      <c r="A316" s="202"/>
      <c r="B316" s="141" t="s">
        <v>5080</v>
      </c>
      <c r="C316" s="141" t="s">
        <v>5081</v>
      </c>
      <c r="D316" s="197"/>
      <c r="E316" s="197"/>
      <c r="F316" s="274">
        <v>45511.626388888886</v>
      </c>
      <c r="G316" s="246" t="s">
        <v>3955</v>
      </c>
      <c r="H316" s="173" t="s">
        <v>4553</v>
      </c>
      <c r="I316" s="197"/>
      <c r="J316" s="197"/>
      <c r="K316" s="197"/>
      <c r="L316" s="257"/>
    </row>
    <row r="317" ht="22.5" customHeight="1">
      <c r="A317" s="250"/>
      <c r="B317" s="149" t="s">
        <v>5082</v>
      </c>
      <c r="C317" s="149" t="s">
        <v>5083</v>
      </c>
      <c r="D317" s="196"/>
      <c r="E317" s="196"/>
      <c r="F317" s="261">
        <v>45511.63611111111</v>
      </c>
      <c r="G317" s="232" t="s">
        <v>3955</v>
      </c>
      <c r="H317" s="165" t="s">
        <v>4553</v>
      </c>
      <c r="I317" s="196"/>
      <c r="J317" s="196"/>
      <c r="K317" s="196"/>
      <c r="L317" s="259"/>
    </row>
    <row r="318" ht="22.5" customHeight="1">
      <c r="A318" s="202"/>
      <c r="B318" s="141" t="s">
        <v>682</v>
      </c>
      <c r="C318" s="141" t="s">
        <v>5084</v>
      </c>
      <c r="D318" s="197"/>
      <c r="E318" s="197"/>
      <c r="F318" s="197"/>
      <c r="G318" s="163" t="s">
        <v>2097</v>
      </c>
      <c r="H318" s="173" t="s">
        <v>4553</v>
      </c>
      <c r="I318" s="197"/>
      <c r="J318" s="197"/>
      <c r="K318" s="197"/>
      <c r="L318" s="257"/>
    </row>
    <row r="319" ht="22.5" customHeight="1">
      <c r="A319" s="250"/>
      <c r="B319" s="149" t="s">
        <v>5085</v>
      </c>
      <c r="C319" s="149" t="s">
        <v>5086</v>
      </c>
      <c r="D319" s="196"/>
      <c r="E319" s="196"/>
      <c r="F319" s="150">
        <v>45543.0</v>
      </c>
      <c r="G319" s="214" t="s">
        <v>17</v>
      </c>
      <c r="H319" s="165" t="s">
        <v>4553</v>
      </c>
      <c r="I319" s="196"/>
      <c r="J319" s="196"/>
      <c r="K319" s="196"/>
      <c r="L319" s="266" t="s">
        <v>5087</v>
      </c>
    </row>
    <row r="320" ht="22.5" customHeight="1">
      <c r="A320" s="202"/>
      <c r="B320" s="141" t="s">
        <v>5088</v>
      </c>
      <c r="C320" s="141" t="s">
        <v>5089</v>
      </c>
      <c r="D320" s="197"/>
      <c r="E320" s="197"/>
      <c r="F320" s="197"/>
      <c r="G320" s="163" t="s">
        <v>2097</v>
      </c>
      <c r="H320" s="173" t="s">
        <v>4553</v>
      </c>
      <c r="I320" s="197"/>
      <c r="J320" s="197"/>
      <c r="K320" s="197"/>
      <c r="L320" s="257"/>
    </row>
    <row r="321" ht="22.5" customHeight="1">
      <c r="A321" s="250"/>
      <c r="B321" s="149" t="s">
        <v>5090</v>
      </c>
      <c r="C321" s="149" t="s">
        <v>5091</v>
      </c>
      <c r="D321" s="196"/>
      <c r="E321" s="196"/>
      <c r="F321" s="261">
        <v>45511.65416666667</v>
      </c>
      <c r="G321" s="165" t="s">
        <v>2076</v>
      </c>
      <c r="H321" s="165" t="s">
        <v>4553</v>
      </c>
      <c r="I321" s="196"/>
      <c r="J321" s="196"/>
      <c r="K321" s="196"/>
      <c r="L321" s="266" t="s">
        <v>5092</v>
      </c>
    </row>
    <row r="322" ht="22.5" customHeight="1">
      <c r="A322" s="202"/>
      <c r="B322" s="141" t="s">
        <v>5093</v>
      </c>
      <c r="C322" s="141" t="s">
        <v>5094</v>
      </c>
      <c r="D322" s="197"/>
      <c r="E322" s="197"/>
      <c r="F322" s="274">
        <v>45511.65625</v>
      </c>
      <c r="G322" s="246" t="s">
        <v>3955</v>
      </c>
      <c r="H322" s="173" t="s">
        <v>4553</v>
      </c>
      <c r="I322" s="197"/>
      <c r="J322" s="197"/>
      <c r="K322" s="197"/>
      <c r="L322" s="257"/>
    </row>
    <row r="323" ht="22.5" customHeight="1">
      <c r="A323" s="250"/>
      <c r="B323" s="149" t="s">
        <v>5095</v>
      </c>
      <c r="C323" s="149" t="s">
        <v>5096</v>
      </c>
      <c r="D323" s="196"/>
      <c r="E323" s="196"/>
      <c r="F323" s="158" t="s">
        <v>5097</v>
      </c>
      <c r="G323" s="167" t="s">
        <v>635</v>
      </c>
      <c r="H323" s="165" t="s">
        <v>4553</v>
      </c>
      <c r="I323" s="196"/>
      <c r="J323" s="196"/>
      <c r="K323" s="196"/>
      <c r="L323" s="259"/>
    </row>
    <row r="324" ht="22.5" customHeight="1">
      <c r="A324" s="202"/>
      <c r="B324" s="141" t="s">
        <v>5098</v>
      </c>
      <c r="C324" s="141" t="s">
        <v>5099</v>
      </c>
      <c r="D324" s="197"/>
      <c r="E324" s="197"/>
      <c r="F324" s="142">
        <v>45543.0</v>
      </c>
      <c r="G324" s="216" t="s">
        <v>40</v>
      </c>
      <c r="H324" s="173" t="s">
        <v>4553</v>
      </c>
      <c r="I324" s="197"/>
      <c r="J324" s="197"/>
      <c r="K324" s="197"/>
      <c r="L324" s="260" t="s">
        <v>5100</v>
      </c>
    </row>
    <row r="325" ht="22.5" customHeight="1">
      <c r="A325" s="250"/>
      <c r="B325" s="149" t="s">
        <v>5101</v>
      </c>
      <c r="C325" s="149" t="s">
        <v>5102</v>
      </c>
      <c r="D325" s="196"/>
      <c r="E325" s="196"/>
      <c r="F325" s="150">
        <v>45543.0</v>
      </c>
      <c r="G325" s="151" t="s">
        <v>30</v>
      </c>
      <c r="H325" s="165" t="s">
        <v>4553</v>
      </c>
      <c r="I325" s="196"/>
      <c r="J325" s="196"/>
      <c r="K325" s="196"/>
      <c r="L325" s="259"/>
    </row>
    <row r="326" ht="22.5" customHeight="1">
      <c r="A326" s="202"/>
      <c r="B326" s="141" t="s">
        <v>4080</v>
      </c>
      <c r="C326" s="141" t="s">
        <v>5103</v>
      </c>
      <c r="D326" s="197"/>
      <c r="E326" s="197"/>
      <c r="F326" s="197"/>
      <c r="G326" s="246" t="s">
        <v>3955</v>
      </c>
      <c r="H326" s="173" t="s">
        <v>4553</v>
      </c>
      <c r="I326" s="197"/>
      <c r="J326" s="197"/>
      <c r="K326" s="197"/>
      <c r="L326" s="260" t="s">
        <v>5104</v>
      </c>
    </row>
    <row r="327" ht="22.5" customHeight="1">
      <c r="A327" s="250"/>
      <c r="B327" s="149" t="s">
        <v>5105</v>
      </c>
      <c r="C327" s="149" t="s">
        <v>5106</v>
      </c>
      <c r="D327" s="196"/>
      <c r="E327" s="196"/>
      <c r="F327" s="150">
        <v>45543.0</v>
      </c>
      <c r="G327" s="166" t="s">
        <v>2097</v>
      </c>
      <c r="H327" s="165" t="s">
        <v>4553</v>
      </c>
      <c r="I327" s="196"/>
      <c r="J327" s="196"/>
      <c r="K327" s="196"/>
      <c r="L327" s="259"/>
    </row>
    <row r="328" ht="22.5" customHeight="1">
      <c r="A328" s="202"/>
      <c r="B328" s="141" t="s">
        <v>5107</v>
      </c>
      <c r="C328" s="141" t="s">
        <v>5108</v>
      </c>
      <c r="D328" s="197"/>
      <c r="E328" s="197"/>
      <c r="F328" s="274">
        <v>45511.68194444444</v>
      </c>
      <c r="G328" s="163" t="s">
        <v>2097</v>
      </c>
      <c r="H328" s="173" t="s">
        <v>4553</v>
      </c>
      <c r="I328" s="197"/>
      <c r="J328" s="197"/>
      <c r="K328" s="197"/>
      <c r="L328" s="257"/>
    </row>
    <row r="329" ht="22.5" customHeight="1">
      <c r="A329" s="250"/>
      <c r="B329" s="272" t="str">
        <f t="shared" ref="B329:B330" si="2">Sheet1!C120</f>
        <v>#REF!</v>
      </c>
      <c r="C329" s="149" t="s">
        <v>5109</v>
      </c>
      <c r="D329" s="196"/>
      <c r="E329" s="196"/>
      <c r="F329" s="150">
        <v>45543.0</v>
      </c>
      <c r="G329" s="161" t="s">
        <v>49</v>
      </c>
      <c r="H329" s="165" t="s">
        <v>4553</v>
      </c>
      <c r="I329" s="196"/>
      <c r="J329" s="196"/>
      <c r="K329" s="196"/>
      <c r="L329" s="259"/>
    </row>
    <row r="330" ht="22.5" customHeight="1">
      <c r="A330" s="202"/>
      <c r="B330" s="273" t="str">
        <f t="shared" si="2"/>
        <v>#REF!</v>
      </c>
      <c r="C330" s="141" t="s">
        <v>5110</v>
      </c>
      <c r="D330" s="197"/>
      <c r="E330" s="197"/>
      <c r="F330" s="142">
        <v>45543.0</v>
      </c>
      <c r="G330" s="143" t="s">
        <v>30</v>
      </c>
      <c r="H330" s="173" t="s">
        <v>4553</v>
      </c>
      <c r="I330" s="197"/>
      <c r="J330" s="197"/>
      <c r="K330" s="197"/>
      <c r="L330" s="257"/>
    </row>
    <row r="331" ht="22.5" customHeight="1">
      <c r="A331" s="250"/>
      <c r="B331" s="149" t="s">
        <v>5111</v>
      </c>
      <c r="C331" s="149" t="s">
        <v>5112</v>
      </c>
      <c r="D331" s="196"/>
      <c r="E331" s="196"/>
      <c r="F331" s="150">
        <v>45543.0</v>
      </c>
      <c r="G331" s="161" t="s">
        <v>49</v>
      </c>
      <c r="H331" s="165" t="s">
        <v>4553</v>
      </c>
      <c r="I331" s="196"/>
      <c r="J331" s="196"/>
      <c r="K331" s="196"/>
      <c r="L331" s="259"/>
    </row>
    <row r="332" ht="22.5" customHeight="1">
      <c r="A332" s="202"/>
      <c r="B332" s="141" t="s">
        <v>5113</v>
      </c>
      <c r="C332" s="141" t="s">
        <v>5114</v>
      </c>
      <c r="D332" s="197"/>
      <c r="E332" s="197"/>
      <c r="F332" s="142">
        <v>45543.0</v>
      </c>
      <c r="G332" s="143" t="s">
        <v>30</v>
      </c>
      <c r="H332" s="173" t="s">
        <v>4553</v>
      </c>
      <c r="I332" s="197"/>
      <c r="J332" s="197"/>
      <c r="K332" s="197"/>
      <c r="L332" s="257"/>
    </row>
    <row r="333" ht="22.5" customHeight="1">
      <c r="A333" s="250"/>
      <c r="B333" s="149" t="s">
        <v>5115</v>
      </c>
      <c r="C333" s="149" t="s">
        <v>5116</v>
      </c>
      <c r="D333" s="196"/>
      <c r="E333" s="196"/>
      <c r="F333" s="150">
        <v>45543.0</v>
      </c>
      <c r="G333" s="166" t="s">
        <v>2097</v>
      </c>
      <c r="H333" s="165" t="s">
        <v>4553</v>
      </c>
      <c r="I333" s="196"/>
      <c r="J333" s="196"/>
      <c r="K333" s="196"/>
      <c r="L333" s="259"/>
    </row>
    <row r="334" ht="22.5" customHeight="1">
      <c r="A334" s="202"/>
      <c r="B334" s="141" t="s">
        <v>5117</v>
      </c>
      <c r="C334" s="141" t="s">
        <v>5118</v>
      </c>
      <c r="D334" s="197"/>
      <c r="E334" s="197"/>
      <c r="F334" s="142">
        <v>45543.0</v>
      </c>
      <c r="G334" s="163" t="s">
        <v>2097</v>
      </c>
      <c r="H334" s="173" t="s">
        <v>4553</v>
      </c>
      <c r="I334" s="197"/>
      <c r="J334" s="197"/>
      <c r="K334" s="197"/>
      <c r="L334" s="257"/>
    </row>
    <row r="335" ht="22.5" customHeight="1">
      <c r="A335" s="250"/>
      <c r="B335" s="149" t="s">
        <v>5119</v>
      </c>
      <c r="C335" s="149" t="s">
        <v>5120</v>
      </c>
      <c r="D335" s="196"/>
      <c r="E335" s="196"/>
      <c r="F335" s="150">
        <v>45543.0</v>
      </c>
      <c r="G335" s="166" t="s">
        <v>2097</v>
      </c>
      <c r="H335" s="165" t="s">
        <v>4553</v>
      </c>
      <c r="I335" s="196"/>
      <c r="J335" s="196"/>
      <c r="K335" s="196"/>
      <c r="L335" s="259"/>
    </row>
    <row r="336" ht="22.5" customHeight="1">
      <c r="A336" s="202"/>
      <c r="B336" s="141" t="s">
        <v>5121</v>
      </c>
      <c r="C336" s="141" t="s">
        <v>5122</v>
      </c>
      <c r="D336" s="197"/>
      <c r="E336" s="197"/>
      <c r="F336" s="142">
        <v>45481.0</v>
      </c>
      <c r="G336" s="212" t="s">
        <v>17</v>
      </c>
      <c r="H336" s="173" t="s">
        <v>4553</v>
      </c>
      <c r="I336" s="197"/>
      <c r="J336" s="197"/>
      <c r="K336" s="197"/>
      <c r="L336" s="257"/>
    </row>
    <row r="337" ht="22.5" customHeight="1">
      <c r="A337" s="250"/>
      <c r="B337" s="149" t="s">
        <v>5123</v>
      </c>
      <c r="C337" s="149" t="s">
        <v>5124</v>
      </c>
      <c r="D337" s="196"/>
      <c r="E337" s="196"/>
      <c r="F337" s="196"/>
      <c r="G337" s="161" t="s">
        <v>49</v>
      </c>
      <c r="H337" s="165" t="s">
        <v>4553</v>
      </c>
      <c r="I337" s="196"/>
      <c r="J337" s="196"/>
      <c r="K337" s="196"/>
      <c r="L337" s="266" t="s">
        <v>5125</v>
      </c>
    </row>
    <row r="338" ht="22.5" customHeight="1">
      <c r="A338" s="202"/>
      <c r="B338" s="141" t="s">
        <v>5126</v>
      </c>
      <c r="C338" s="141" t="s">
        <v>5127</v>
      </c>
      <c r="D338" s="197"/>
      <c r="E338" s="197"/>
      <c r="F338" s="274">
        <v>45510.71875</v>
      </c>
      <c r="G338" s="216" t="s">
        <v>40</v>
      </c>
      <c r="H338" s="173" t="s">
        <v>4553</v>
      </c>
      <c r="I338" s="197"/>
      <c r="J338" s="197"/>
      <c r="K338" s="197"/>
      <c r="L338" s="257"/>
    </row>
    <row r="339" ht="22.5" customHeight="1">
      <c r="A339" s="250"/>
      <c r="B339" s="149" t="s">
        <v>5128</v>
      </c>
      <c r="C339" s="149" t="s">
        <v>5129</v>
      </c>
      <c r="D339" s="196"/>
      <c r="E339" s="196"/>
      <c r="F339" s="150">
        <v>45543.0</v>
      </c>
      <c r="G339" s="165" t="s">
        <v>2076</v>
      </c>
      <c r="H339" s="165" t="s">
        <v>4553</v>
      </c>
      <c r="I339" s="196"/>
      <c r="J339" s="196"/>
      <c r="K339" s="196"/>
      <c r="L339" s="259"/>
    </row>
    <row r="340" ht="22.5" customHeight="1">
      <c r="A340" s="202"/>
      <c r="B340" s="141" t="s">
        <v>5130</v>
      </c>
      <c r="C340" s="141" t="s">
        <v>5131</v>
      </c>
      <c r="D340" s="197"/>
      <c r="E340" s="197"/>
      <c r="F340" s="197"/>
      <c r="G340" s="169" t="s">
        <v>49</v>
      </c>
      <c r="H340" s="173" t="s">
        <v>4553</v>
      </c>
      <c r="I340" s="197"/>
      <c r="J340" s="197"/>
      <c r="K340" s="197"/>
      <c r="L340" s="257"/>
    </row>
    <row r="341" ht="22.5" customHeight="1">
      <c r="A341" s="250"/>
      <c r="B341" s="149" t="s">
        <v>5132</v>
      </c>
      <c r="C341" s="149" t="s">
        <v>5133</v>
      </c>
      <c r="D341" s="196"/>
      <c r="E341" s="196"/>
      <c r="F341" s="150">
        <v>45543.0</v>
      </c>
      <c r="G341" s="165" t="s">
        <v>2076</v>
      </c>
      <c r="H341" s="165" t="s">
        <v>4553</v>
      </c>
      <c r="I341" s="196"/>
      <c r="J341" s="196"/>
      <c r="K341" s="196"/>
      <c r="L341" s="259"/>
    </row>
    <row r="342" ht="22.5" customHeight="1">
      <c r="A342" s="202"/>
      <c r="B342" s="141" t="s">
        <v>5134</v>
      </c>
      <c r="C342" s="141" t="s">
        <v>5135</v>
      </c>
      <c r="D342" s="197"/>
      <c r="E342" s="197"/>
      <c r="F342" s="197"/>
      <c r="G342" s="156" t="s">
        <v>635</v>
      </c>
      <c r="H342" s="173" t="s">
        <v>4553</v>
      </c>
      <c r="I342" s="197"/>
      <c r="J342" s="197"/>
      <c r="K342" s="197"/>
      <c r="L342" s="257"/>
    </row>
    <row r="343" ht="22.5" customHeight="1">
      <c r="A343" s="250"/>
      <c r="B343" s="149" t="s">
        <v>5136</v>
      </c>
      <c r="C343" s="149" t="s">
        <v>5137</v>
      </c>
      <c r="D343" s="196"/>
      <c r="E343" s="196"/>
      <c r="F343" s="261">
        <v>45510.71875</v>
      </c>
      <c r="G343" s="165" t="s">
        <v>2076</v>
      </c>
      <c r="H343" s="165" t="s">
        <v>4553</v>
      </c>
      <c r="I343" s="196"/>
      <c r="J343" s="196"/>
      <c r="K343" s="196"/>
      <c r="L343" s="259"/>
    </row>
    <row r="344" ht="22.5" customHeight="1">
      <c r="A344" s="202"/>
      <c r="B344" s="141" t="s">
        <v>5138</v>
      </c>
      <c r="C344" s="141" t="s">
        <v>3455</v>
      </c>
      <c r="D344" s="197"/>
      <c r="E344" s="197"/>
      <c r="F344" s="197"/>
      <c r="G344" s="173" t="s">
        <v>2076</v>
      </c>
      <c r="H344" s="173" t="s">
        <v>4553</v>
      </c>
      <c r="I344" s="197"/>
      <c r="J344" s="197"/>
      <c r="K344" s="197"/>
      <c r="L344" s="257"/>
    </row>
    <row r="345" ht="22.5" customHeight="1">
      <c r="A345" s="250"/>
      <c r="B345" s="149" t="s">
        <v>5139</v>
      </c>
      <c r="C345" s="149" t="s">
        <v>5140</v>
      </c>
      <c r="D345" s="196"/>
      <c r="E345" s="196"/>
      <c r="F345" s="196"/>
      <c r="G345" s="165" t="s">
        <v>2076</v>
      </c>
      <c r="H345" s="165" t="s">
        <v>4553</v>
      </c>
      <c r="I345" s="196"/>
      <c r="J345" s="196"/>
      <c r="K345" s="196"/>
      <c r="L345" s="259"/>
    </row>
    <row r="346" ht="22.5" customHeight="1">
      <c r="A346" s="202"/>
      <c r="B346" s="141" t="s">
        <v>3432</v>
      </c>
      <c r="C346" s="141" t="s">
        <v>5141</v>
      </c>
      <c r="D346" s="197"/>
      <c r="E346" s="197"/>
      <c r="F346" s="274">
        <v>45511.49791666667</v>
      </c>
      <c r="G346" s="173" t="s">
        <v>2076</v>
      </c>
      <c r="H346" s="173" t="s">
        <v>4553</v>
      </c>
      <c r="I346" s="197"/>
      <c r="J346" s="197"/>
      <c r="K346" s="197"/>
      <c r="L346" s="257"/>
    </row>
    <row r="347" ht="22.5" customHeight="1">
      <c r="A347" s="250"/>
      <c r="B347" s="149" t="s">
        <v>5142</v>
      </c>
      <c r="C347" s="149" t="s">
        <v>5143</v>
      </c>
      <c r="D347" s="196"/>
      <c r="E347" s="196"/>
      <c r="F347" s="196"/>
      <c r="G347" s="167" t="s">
        <v>635</v>
      </c>
      <c r="H347" s="165" t="s">
        <v>4553</v>
      </c>
      <c r="I347" s="196"/>
      <c r="J347" s="196"/>
      <c r="K347" s="196"/>
      <c r="L347" s="259"/>
    </row>
    <row r="348" ht="22.5" customHeight="1">
      <c r="A348" s="202"/>
      <c r="B348" s="141" t="s">
        <v>5144</v>
      </c>
      <c r="C348" s="141" t="s">
        <v>5145</v>
      </c>
      <c r="D348" s="197"/>
      <c r="E348" s="197"/>
      <c r="F348" s="142">
        <v>45543.0</v>
      </c>
      <c r="G348" s="163" t="s">
        <v>2097</v>
      </c>
      <c r="H348" s="173" t="s">
        <v>4553</v>
      </c>
      <c r="I348" s="197"/>
      <c r="J348" s="197"/>
      <c r="K348" s="197"/>
      <c r="L348" s="257"/>
    </row>
    <row r="349" ht="22.5" customHeight="1">
      <c r="A349" s="250"/>
      <c r="B349" s="149" t="s">
        <v>5146</v>
      </c>
      <c r="C349" s="149" t="s">
        <v>5147</v>
      </c>
      <c r="D349" s="196"/>
      <c r="E349" s="196"/>
      <c r="F349" s="150">
        <v>45481.0</v>
      </c>
      <c r="G349" s="161" t="s">
        <v>49</v>
      </c>
      <c r="H349" s="165" t="s">
        <v>4553</v>
      </c>
      <c r="I349" s="196"/>
      <c r="J349" s="196"/>
      <c r="K349" s="196"/>
      <c r="L349" s="259"/>
    </row>
    <row r="350" ht="22.5" customHeight="1">
      <c r="A350" s="202"/>
      <c r="B350" s="273" t="str">
        <f>Sheet1!C142</f>
        <v>#REF!</v>
      </c>
      <c r="C350" s="141" t="s">
        <v>5148</v>
      </c>
      <c r="D350" s="197"/>
      <c r="E350" s="197"/>
      <c r="F350" s="142">
        <v>45481.0</v>
      </c>
      <c r="G350" s="212" t="s">
        <v>17</v>
      </c>
      <c r="H350" s="173" t="s">
        <v>4553</v>
      </c>
      <c r="I350" s="197"/>
      <c r="J350" s="197"/>
      <c r="K350" s="197"/>
      <c r="L350" s="257"/>
    </row>
    <row r="351" ht="22.5" customHeight="1">
      <c r="A351" s="250"/>
      <c r="B351" s="149" t="s">
        <v>5149</v>
      </c>
      <c r="C351" s="149" t="s">
        <v>5150</v>
      </c>
      <c r="D351" s="196"/>
      <c r="E351" s="196"/>
      <c r="F351" s="150">
        <v>45543.0</v>
      </c>
      <c r="G351" s="174" t="s">
        <v>2192</v>
      </c>
      <c r="H351" s="165" t="s">
        <v>4553</v>
      </c>
      <c r="I351" s="196"/>
      <c r="J351" s="196"/>
      <c r="K351" s="196"/>
      <c r="L351" s="259"/>
    </row>
    <row r="352" ht="22.5" customHeight="1">
      <c r="A352" s="202"/>
      <c r="B352" s="141" t="s">
        <v>5151</v>
      </c>
      <c r="C352" s="141" t="s">
        <v>5152</v>
      </c>
      <c r="D352" s="197"/>
      <c r="E352" s="197"/>
      <c r="F352" s="142">
        <v>45543.0</v>
      </c>
      <c r="G352" s="169" t="s">
        <v>49</v>
      </c>
      <c r="H352" s="173" t="s">
        <v>4553</v>
      </c>
      <c r="I352" s="197"/>
      <c r="J352" s="197"/>
      <c r="K352" s="197"/>
      <c r="L352" s="257"/>
    </row>
    <row r="353" ht="22.5" customHeight="1">
      <c r="A353" s="250"/>
      <c r="B353" s="149" t="s">
        <v>5153</v>
      </c>
      <c r="C353" s="149" t="s">
        <v>5154</v>
      </c>
      <c r="D353" s="196"/>
      <c r="E353" s="196"/>
      <c r="F353" s="150">
        <v>45543.0</v>
      </c>
      <c r="G353" s="214" t="s">
        <v>17</v>
      </c>
      <c r="H353" s="165" t="s">
        <v>4553</v>
      </c>
      <c r="I353" s="196"/>
      <c r="J353" s="196"/>
      <c r="K353" s="196"/>
      <c r="L353" s="259"/>
    </row>
    <row r="354" ht="22.5" customHeight="1">
      <c r="A354" s="202"/>
      <c r="B354" s="273" t="str">
        <f>Sheet1!C146</f>
        <v>#REF!</v>
      </c>
      <c r="C354" s="141" t="s">
        <v>5155</v>
      </c>
      <c r="D354" s="197"/>
      <c r="E354" s="197"/>
      <c r="F354" s="142">
        <v>45543.0</v>
      </c>
      <c r="G354" s="169" t="s">
        <v>49</v>
      </c>
      <c r="H354" s="173" t="s">
        <v>4553</v>
      </c>
      <c r="I354" s="197"/>
      <c r="J354" s="197"/>
      <c r="K354" s="197"/>
      <c r="L354" s="257"/>
    </row>
    <row r="355" ht="22.5" customHeight="1">
      <c r="A355" s="250"/>
      <c r="B355" s="149" t="s">
        <v>5156</v>
      </c>
      <c r="C355" s="149" t="s">
        <v>5157</v>
      </c>
      <c r="D355" s="196"/>
      <c r="E355" s="196"/>
      <c r="F355" s="196"/>
      <c r="G355" s="166" t="s">
        <v>2097</v>
      </c>
      <c r="H355" s="165" t="s">
        <v>4553</v>
      </c>
      <c r="I355" s="196"/>
      <c r="J355" s="196"/>
      <c r="K355" s="196"/>
      <c r="L355" s="259"/>
    </row>
    <row r="356" ht="22.5" customHeight="1">
      <c r="A356" s="202"/>
      <c r="B356" s="141" t="s">
        <v>3662</v>
      </c>
      <c r="C356" s="141" t="s">
        <v>5158</v>
      </c>
      <c r="D356" s="197"/>
      <c r="E356" s="197"/>
      <c r="F356" s="142">
        <v>45481.0</v>
      </c>
      <c r="G356" s="169" t="s">
        <v>49</v>
      </c>
      <c r="H356" s="173" t="s">
        <v>4553</v>
      </c>
      <c r="I356" s="197"/>
      <c r="J356" s="197"/>
      <c r="K356" s="197"/>
      <c r="L356" s="257"/>
    </row>
    <row r="357" ht="22.5" customHeight="1">
      <c r="A357" s="250"/>
      <c r="B357" s="149" t="s">
        <v>5159</v>
      </c>
      <c r="C357" s="149" t="s">
        <v>5160</v>
      </c>
      <c r="D357" s="196"/>
      <c r="E357" s="196"/>
      <c r="F357" s="150">
        <v>45543.0</v>
      </c>
      <c r="G357" s="166" t="s">
        <v>2097</v>
      </c>
      <c r="H357" s="165" t="s">
        <v>4553</v>
      </c>
      <c r="I357" s="196"/>
      <c r="J357" s="196"/>
      <c r="K357" s="196"/>
      <c r="L357" s="259"/>
    </row>
    <row r="358" ht="22.5" customHeight="1">
      <c r="A358" s="202"/>
      <c r="B358" s="141" t="s">
        <v>5161</v>
      </c>
      <c r="C358" s="141" t="s">
        <v>5162</v>
      </c>
      <c r="D358" s="197"/>
      <c r="E358" s="197"/>
      <c r="F358" s="142">
        <v>45481.0</v>
      </c>
      <c r="G358" s="143" t="s">
        <v>30</v>
      </c>
      <c r="H358" s="173" t="s">
        <v>4553</v>
      </c>
      <c r="I358" s="197"/>
      <c r="J358" s="197"/>
      <c r="K358" s="197"/>
      <c r="L358" s="257"/>
    </row>
    <row r="359" ht="22.5" customHeight="1">
      <c r="A359" s="250"/>
      <c r="B359" s="149" t="s">
        <v>5163</v>
      </c>
      <c r="C359" s="149" t="s">
        <v>5164</v>
      </c>
      <c r="D359" s="196"/>
      <c r="E359" s="196"/>
      <c r="F359" s="261">
        <v>45513.69930555556</v>
      </c>
      <c r="G359" s="165" t="s">
        <v>2076</v>
      </c>
      <c r="H359" s="165" t="s">
        <v>4553</v>
      </c>
      <c r="I359" s="196"/>
      <c r="J359" s="196"/>
      <c r="K359" s="196"/>
      <c r="L359" s="259"/>
    </row>
    <row r="360" ht="22.5" customHeight="1">
      <c r="A360" s="202"/>
      <c r="B360" s="141" t="s">
        <v>5165</v>
      </c>
      <c r="C360" s="141" t="s">
        <v>5166</v>
      </c>
      <c r="D360" s="197"/>
      <c r="E360" s="197"/>
      <c r="F360" s="142">
        <v>45481.0</v>
      </c>
      <c r="G360" s="169" t="s">
        <v>49</v>
      </c>
      <c r="H360" s="173" t="s">
        <v>4553</v>
      </c>
      <c r="I360" s="197"/>
      <c r="J360" s="197"/>
      <c r="K360" s="197"/>
      <c r="L360" s="257"/>
    </row>
    <row r="361" ht="22.5" customHeight="1">
      <c r="A361" s="148" t="s">
        <v>5167</v>
      </c>
      <c r="B361" s="149" t="s">
        <v>5168</v>
      </c>
      <c r="C361" s="149" t="s">
        <v>5169</v>
      </c>
      <c r="D361" s="196"/>
      <c r="E361" s="196"/>
      <c r="F361" s="150">
        <v>45481.0</v>
      </c>
      <c r="G361" s="214" t="s">
        <v>17</v>
      </c>
      <c r="H361" s="165" t="s">
        <v>4553</v>
      </c>
      <c r="I361" s="196"/>
      <c r="J361" s="196"/>
      <c r="K361" s="196"/>
      <c r="L361" s="259"/>
    </row>
    <row r="362" ht="22.5" customHeight="1">
      <c r="A362" s="140" t="s">
        <v>5167</v>
      </c>
      <c r="B362" s="141" t="s">
        <v>5170</v>
      </c>
      <c r="C362" s="141" t="s">
        <v>5171</v>
      </c>
      <c r="D362" s="197"/>
      <c r="E362" s="197"/>
      <c r="F362" s="274">
        <v>45511.69930555556</v>
      </c>
      <c r="G362" s="169" t="s">
        <v>49</v>
      </c>
      <c r="H362" s="173" t="s">
        <v>4553</v>
      </c>
      <c r="I362" s="197"/>
      <c r="J362" s="197"/>
      <c r="K362" s="197"/>
      <c r="L362" s="257"/>
    </row>
    <row r="363" ht="22.5" customHeight="1">
      <c r="A363" s="148" t="s">
        <v>5167</v>
      </c>
      <c r="B363" s="154"/>
      <c r="C363" s="149" t="s">
        <v>5172</v>
      </c>
      <c r="D363" s="196"/>
      <c r="E363" s="196"/>
      <c r="F363" s="150">
        <v>45481.0</v>
      </c>
      <c r="G363" s="214" t="s">
        <v>17</v>
      </c>
      <c r="H363" s="165" t="s">
        <v>4553</v>
      </c>
      <c r="I363" s="196"/>
      <c r="J363" s="196"/>
      <c r="K363" s="196"/>
      <c r="L363" s="259"/>
    </row>
    <row r="364" ht="22.5" customHeight="1">
      <c r="A364" s="140" t="s">
        <v>5167</v>
      </c>
      <c r="B364" s="141" t="s">
        <v>5173</v>
      </c>
      <c r="C364" s="141" t="s">
        <v>5174</v>
      </c>
      <c r="D364" s="197"/>
      <c r="E364" s="197"/>
      <c r="F364" s="142">
        <v>45481.0</v>
      </c>
      <c r="G364" s="215" t="s">
        <v>2192</v>
      </c>
      <c r="H364" s="173" t="s">
        <v>4553</v>
      </c>
      <c r="I364" s="197"/>
      <c r="J364" s="197"/>
      <c r="K364" s="197"/>
      <c r="L364" s="257"/>
    </row>
    <row r="365" ht="22.5" customHeight="1">
      <c r="A365" s="148" t="s">
        <v>5167</v>
      </c>
      <c r="B365" s="272" t="str">
        <f>Sheet1!C157</f>
        <v>#REF!</v>
      </c>
      <c r="C365" s="149" t="s">
        <v>5175</v>
      </c>
      <c r="D365" s="196"/>
      <c r="E365" s="196"/>
      <c r="F365" s="150">
        <v>45481.0</v>
      </c>
      <c r="G365" s="214" t="s">
        <v>17</v>
      </c>
      <c r="H365" s="165" t="s">
        <v>4553</v>
      </c>
      <c r="I365" s="196"/>
      <c r="J365" s="196"/>
      <c r="K365" s="196"/>
      <c r="L365" s="259"/>
    </row>
    <row r="366" ht="22.5" customHeight="1">
      <c r="A366" s="140" t="s">
        <v>5167</v>
      </c>
      <c r="B366" s="141" t="s">
        <v>5176</v>
      </c>
      <c r="C366" s="141" t="s">
        <v>5177</v>
      </c>
      <c r="D366" s="197"/>
      <c r="E366" s="197"/>
      <c r="F366" s="142">
        <v>45481.0</v>
      </c>
      <c r="G366" s="163" t="s">
        <v>2097</v>
      </c>
      <c r="H366" s="144"/>
      <c r="I366" s="197"/>
      <c r="J366" s="197"/>
      <c r="K366" s="197"/>
      <c r="L366" s="257"/>
    </row>
    <row r="367" ht="22.5" customHeight="1">
      <c r="A367" s="148" t="s">
        <v>5167</v>
      </c>
      <c r="B367" s="154"/>
      <c r="C367" s="275" t="s">
        <v>5178</v>
      </c>
      <c r="D367" s="196"/>
      <c r="E367" s="196"/>
      <c r="F367" s="150">
        <v>45481.0</v>
      </c>
      <c r="G367" s="214" t="s">
        <v>17</v>
      </c>
      <c r="H367" s="165" t="s">
        <v>4553</v>
      </c>
      <c r="I367" s="196"/>
      <c r="J367" s="196"/>
      <c r="K367" s="196"/>
      <c r="L367" s="259"/>
    </row>
    <row r="368" ht="22.5" customHeight="1">
      <c r="A368" s="140" t="s">
        <v>5167</v>
      </c>
      <c r="B368" s="273" t="str">
        <f t="shared" ref="B368:B371" si="3">Sheet1!C160</f>
        <v>#REF!</v>
      </c>
      <c r="C368" s="141" t="s">
        <v>5179</v>
      </c>
      <c r="D368" s="197"/>
      <c r="E368" s="197"/>
      <c r="F368" s="142">
        <v>45543.0</v>
      </c>
      <c r="G368" s="212" t="s">
        <v>17</v>
      </c>
      <c r="H368" s="144"/>
      <c r="I368" s="197"/>
      <c r="J368" s="197"/>
      <c r="K368" s="197"/>
      <c r="L368" s="257"/>
    </row>
    <row r="369" ht="22.5" customHeight="1">
      <c r="A369" s="148" t="s">
        <v>5167</v>
      </c>
      <c r="B369" s="272" t="str">
        <f t="shared" si="3"/>
        <v>#REF!</v>
      </c>
      <c r="C369" s="149" t="s">
        <v>5180</v>
      </c>
      <c r="D369" s="196"/>
      <c r="E369" s="196"/>
      <c r="F369" s="196"/>
      <c r="G369" s="166" t="s">
        <v>2097</v>
      </c>
      <c r="H369" s="152"/>
      <c r="I369" s="196"/>
      <c r="J369" s="196"/>
      <c r="K369" s="196"/>
      <c r="L369" s="259"/>
    </row>
    <row r="370" ht="22.5" customHeight="1">
      <c r="A370" s="140" t="s">
        <v>5167</v>
      </c>
      <c r="B370" s="273" t="str">
        <f t="shared" si="3"/>
        <v>#REF!</v>
      </c>
      <c r="C370" s="141" t="s">
        <v>5181</v>
      </c>
      <c r="D370" s="197"/>
      <c r="E370" s="197"/>
      <c r="F370" s="142">
        <v>45543.0</v>
      </c>
      <c r="G370" s="212" t="s">
        <v>17</v>
      </c>
      <c r="H370" s="144"/>
      <c r="I370" s="197"/>
      <c r="J370" s="197"/>
      <c r="K370" s="197"/>
      <c r="L370" s="257"/>
    </row>
    <row r="371" ht="22.5" customHeight="1">
      <c r="A371" s="148" t="s">
        <v>5167</v>
      </c>
      <c r="B371" s="272" t="str">
        <f t="shared" si="3"/>
        <v>#REF!</v>
      </c>
      <c r="C371" s="149" t="s">
        <v>5182</v>
      </c>
      <c r="D371" s="196"/>
      <c r="E371" s="196"/>
      <c r="F371" s="150">
        <v>45543.0</v>
      </c>
      <c r="G371" s="166" t="s">
        <v>2097</v>
      </c>
      <c r="H371" s="152"/>
      <c r="I371" s="196"/>
      <c r="J371" s="196"/>
      <c r="K371" s="196"/>
      <c r="L371" s="259"/>
    </row>
    <row r="372" ht="22.5" customHeight="1">
      <c r="A372" s="140" t="s">
        <v>5167</v>
      </c>
      <c r="B372" s="141" t="s">
        <v>5183</v>
      </c>
      <c r="C372" s="141" t="s">
        <v>5184</v>
      </c>
      <c r="D372" s="197"/>
      <c r="E372" s="197"/>
      <c r="F372" s="142">
        <v>45543.0</v>
      </c>
      <c r="G372" s="143" t="s">
        <v>30</v>
      </c>
      <c r="H372" s="144"/>
      <c r="I372" s="197"/>
      <c r="J372" s="197"/>
      <c r="K372" s="197"/>
      <c r="L372" s="257"/>
    </row>
    <row r="373" ht="22.5" customHeight="1">
      <c r="A373" s="148" t="s">
        <v>5167</v>
      </c>
      <c r="B373" s="149" t="s">
        <v>5185</v>
      </c>
      <c r="C373" s="149" t="s">
        <v>5186</v>
      </c>
      <c r="D373" s="196"/>
      <c r="E373" s="196"/>
      <c r="F373" s="261">
        <v>45511.69930555556</v>
      </c>
      <c r="G373" s="166" t="s">
        <v>2097</v>
      </c>
      <c r="H373" s="152"/>
      <c r="I373" s="196"/>
      <c r="J373" s="196"/>
      <c r="K373" s="196"/>
      <c r="L373" s="259"/>
    </row>
    <row r="374" ht="22.5" customHeight="1">
      <c r="A374" s="140" t="s">
        <v>5167</v>
      </c>
      <c r="B374" s="141" t="s">
        <v>5187</v>
      </c>
      <c r="C374" s="141" t="s">
        <v>5188</v>
      </c>
      <c r="D374" s="197"/>
      <c r="E374" s="197"/>
      <c r="F374" s="142">
        <v>45543.0</v>
      </c>
      <c r="G374" s="173" t="s">
        <v>2076</v>
      </c>
      <c r="H374" s="144"/>
      <c r="I374" s="197"/>
      <c r="J374" s="197"/>
      <c r="K374" s="197"/>
      <c r="L374" s="257"/>
    </row>
    <row r="375" ht="22.5" customHeight="1">
      <c r="A375" s="148" t="s">
        <v>5167</v>
      </c>
      <c r="B375" s="272" t="str">
        <f t="shared" ref="B375:B376" si="4">Sheet1!C167</f>
        <v>#REF!</v>
      </c>
      <c r="C375" s="149" t="s">
        <v>5189</v>
      </c>
      <c r="D375" s="196"/>
      <c r="E375" s="196"/>
      <c r="F375" s="196"/>
      <c r="G375" s="166" t="s">
        <v>2097</v>
      </c>
      <c r="H375" s="152"/>
      <c r="I375" s="196"/>
      <c r="J375" s="196"/>
      <c r="K375" s="196"/>
      <c r="L375" s="259"/>
    </row>
    <row r="376" ht="22.5" customHeight="1">
      <c r="A376" s="140" t="s">
        <v>5167</v>
      </c>
      <c r="B376" s="273" t="str">
        <f t="shared" si="4"/>
        <v>#REF!</v>
      </c>
      <c r="C376" s="141" t="s">
        <v>5190</v>
      </c>
      <c r="D376" s="197"/>
      <c r="E376" s="197"/>
      <c r="F376" s="197"/>
      <c r="G376" s="212" t="s">
        <v>17</v>
      </c>
      <c r="H376" s="173" t="s">
        <v>4553</v>
      </c>
      <c r="I376" s="197"/>
      <c r="J376" s="197"/>
      <c r="K376" s="197"/>
      <c r="L376" s="257"/>
    </row>
    <row r="377" ht="22.5" customHeight="1">
      <c r="A377" s="148" t="s">
        <v>5167</v>
      </c>
      <c r="B377" s="149" t="s">
        <v>5008</v>
      </c>
      <c r="C377" s="149" t="s">
        <v>5191</v>
      </c>
      <c r="D377" s="196"/>
      <c r="E377" s="196"/>
      <c r="F377" s="150">
        <v>45543.0</v>
      </c>
      <c r="G377" s="214" t="s">
        <v>17</v>
      </c>
      <c r="H377" s="152"/>
      <c r="I377" s="196"/>
      <c r="J377" s="196"/>
      <c r="K377" s="196"/>
      <c r="L377" s="259"/>
    </row>
    <row r="378" ht="22.5" customHeight="1">
      <c r="A378" s="140" t="s">
        <v>5167</v>
      </c>
      <c r="B378" s="141" t="s">
        <v>2239</v>
      </c>
      <c r="C378" s="141" t="s">
        <v>5192</v>
      </c>
      <c r="D378" s="197"/>
      <c r="E378" s="197"/>
      <c r="F378" s="142">
        <v>45543.0</v>
      </c>
      <c r="G378" s="163" t="s">
        <v>2097</v>
      </c>
      <c r="H378" s="144"/>
      <c r="I378" s="197"/>
      <c r="J378" s="197"/>
      <c r="K378" s="197"/>
      <c r="L378" s="257"/>
    </row>
    <row r="379" ht="22.5" customHeight="1">
      <c r="A379" s="148" t="s">
        <v>5167</v>
      </c>
      <c r="B379" s="272" t="str">
        <f>Sheet1!C171</f>
        <v>#REF!</v>
      </c>
      <c r="C379" s="149" t="s">
        <v>5193</v>
      </c>
      <c r="D379" s="196"/>
      <c r="E379" s="196"/>
      <c r="F379" s="196"/>
      <c r="G379" s="166" t="s">
        <v>2097</v>
      </c>
      <c r="H379" s="152"/>
      <c r="I379" s="196"/>
      <c r="J379" s="196"/>
      <c r="K379" s="196"/>
      <c r="L379" s="259"/>
    </row>
    <row r="380" ht="22.5" customHeight="1">
      <c r="A380" s="140" t="s">
        <v>5167</v>
      </c>
      <c r="B380" s="141" t="s">
        <v>5194</v>
      </c>
      <c r="C380" s="141" t="s">
        <v>5195</v>
      </c>
      <c r="D380" s="197"/>
      <c r="E380" s="197"/>
      <c r="F380" s="142">
        <v>45481.0</v>
      </c>
      <c r="G380" s="212" t="s">
        <v>17</v>
      </c>
      <c r="H380" s="173" t="s">
        <v>4553</v>
      </c>
      <c r="I380" s="197"/>
      <c r="J380" s="197"/>
      <c r="K380" s="197"/>
      <c r="L380" s="257"/>
    </row>
    <row r="381" ht="22.5" customHeight="1">
      <c r="A381" s="148" t="s">
        <v>5167</v>
      </c>
      <c r="B381" s="149" t="s">
        <v>5196</v>
      </c>
      <c r="C381" s="149" t="s">
        <v>5197</v>
      </c>
      <c r="D381" s="196"/>
      <c r="E381" s="196"/>
      <c r="F381" s="150">
        <v>45481.0</v>
      </c>
      <c r="G381" s="151" t="s">
        <v>30</v>
      </c>
      <c r="H381" s="165" t="s">
        <v>4553</v>
      </c>
      <c r="I381" s="196"/>
      <c r="J381" s="196"/>
      <c r="K381" s="196"/>
      <c r="L381" s="259"/>
    </row>
    <row r="382" ht="22.5" customHeight="1">
      <c r="A382" s="140" t="s">
        <v>5167</v>
      </c>
      <c r="B382" s="141" t="s">
        <v>193</v>
      </c>
      <c r="C382" s="141" t="s">
        <v>5198</v>
      </c>
      <c r="D382" s="197"/>
      <c r="E382" s="197"/>
      <c r="F382" s="142">
        <v>45481.0</v>
      </c>
      <c r="G382" s="143" t="s">
        <v>30</v>
      </c>
      <c r="H382" s="173" t="s">
        <v>4553</v>
      </c>
      <c r="I382" s="197"/>
      <c r="J382" s="197"/>
      <c r="K382" s="197"/>
      <c r="L382" s="257"/>
    </row>
    <row r="383" ht="22.5" customHeight="1">
      <c r="A383" s="148" t="s">
        <v>5167</v>
      </c>
      <c r="B383" s="149" t="s">
        <v>5199</v>
      </c>
      <c r="C383" s="149" t="s">
        <v>5200</v>
      </c>
      <c r="D383" s="196"/>
      <c r="E383" s="196"/>
      <c r="F383" s="150">
        <v>45451.0</v>
      </c>
      <c r="G383" s="214" t="s">
        <v>17</v>
      </c>
      <c r="H383" s="152"/>
      <c r="I383" s="196"/>
      <c r="J383" s="196"/>
      <c r="K383" s="196"/>
      <c r="L383" s="259"/>
    </row>
    <row r="384" ht="22.5" customHeight="1">
      <c r="A384" s="140" t="s">
        <v>5167</v>
      </c>
      <c r="B384" s="141" t="s">
        <v>5201</v>
      </c>
      <c r="C384" s="141" t="s">
        <v>2045</v>
      </c>
      <c r="D384" s="197"/>
      <c r="E384" s="197"/>
      <c r="F384" s="142">
        <v>45512.0</v>
      </c>
      <c r="G384" s="246" t="s">
        <v>3955</v>
      </c>
      <c r="H384" s="144"/>
      <c r="I384" s="197"/>
      <c r="J384" s="197"/>
      <c r="K384" s="197"/>
      <c r="L384" s="257"/>
    </row>
    <row r="385" ht="22.5" customHeight="1">
      <c r="A385" s="148" t="s">
        <v>5167</v>
      </c>
      <c r="B385" s="149" t="s">
        <v>4263</v>
      </c>
      <c r="C385" s="149" t="s">
        <v>5202</v>
      </c>
      <c r="D385" s="196"/>
      <c r="E385" s="196"/>
      <c r="F385" s="150">
        <v>44385.0</v>
      </c>
      <c r="G385" s="214" t="s">
        <v>17</v>
      </c>
      <c r="H385" s="152"/>
      <c r="I385" s="196"/>
      <c r="J385" s="196"/>
      <c r="K385" s="196"/>
      <c r="L385" s="259"/>
    </row>
    <row r="386" ht="22.5" customHeight="1">
      <c r="A386" s="140" t="s">
        <v>5167</v>
      </c>
      <c r="B386" s="141" t="s">
        <v>5203</v>
      </c>
      <c r="C386" s="141" t="s">
        <v>5204</v>
      </c>
      <c r="D386" s="197"/>
      <c r="E386" s="197"/>
      <c r="F386" s="142">
        <v>44385.0</v>
      </c>
      <c r="G386" s="143" t="s">
        <v>30</v>
      </c>
      <c r="H386" s="144"/>
      <c r="I386" s="197"/>
      <c r="J386" s="197"/>
      <c r="K386" s="197"/>
      <c r="L386" s="257"/>
    </row>
    <row r="387" ht="22.5" customHeight="1">
      <c r="A387" s="148" t="s">
        <v>5167</v>
      </c>
      <c r="B387" s="272" t="str">
        <f>Sheet1!C179</f>
        <v>#REF!</v>
      </c>
      <c r="C387" s="149" t="s">
        <v>5205</v>
      </c>
      <c r="D387" s="196"/>
      <c r="E387" s="196"/>
      <c r="F387" s="150">
        <v>44385.0</v>
      </c>
      <c r="G387" s="214" t="s">
        <v>17</v>
      </c>
      <c r="H387" s="152"/>
      <c r="I387" s="196"/>
      <c r="J387" s="196"/>
      <c r="K387" s="196"/>
      <c r="L387" s="259"/>
    </row>
    <row r="388" ht="22.5" customHeight="1">
      <c r="A388" s="140" t="s">
        <v>5167</v>
      </c>
      <c r="B388" s="141" t="s">
        <v>811</v>
      </c>
      <c r="C388" s="141" t="s">
        <v>2047</v>
      </c>
      <c r="D388" s="197"/>
      <c r="E388" s="197"/>
      <c r="F388" s="142">
        <v>44385.0</v>
      </c>
      <c r="G388" s="246" t="s">
        <v>3955</v>
      </c>
      <c r="H388" s="144"/>
      <c r="I388" s="197"/>
      <c r="J388" s="197"/>
      <c r="K388" s="197"/>
      <c r="L388" s="257"/>
    </row>
    <row r="389" ht="22.5" customHeight="1">
      <c r="A389" s="148" t="s">
        <v>5167</v>
      </c>
      <c r="B389" s="149" t="s">
        <v>5206</v>
      </c>
      <c r="C389" s="149" t="s">
        <v>5207</v>
      </c>
      <c r="D389" s="196"/>
      <c r="E389" s="196"/>
      <c r="F389" s="261">
        <v>45513.15</v>
      </c>
      <c r="G389" s="166" t="s">
        <v>2097</v>
      </c>
      <c r="H389" s="152"/>
      <c r="I389" s="196"/>
      <c r="J389" s="196"/>
      <c r="K389" s="196"/>
      <c r="L389" s="259"/>
    </row>
    <row r="390" ht="22.5" customHeight="1">
      <c r="A390" s="140" t="s">
        <v>5167</v>
      </c>
      <c r="B390" s="141" t="s">
        <v>2969</v>
      </c>
      <c r="C390" s="141" t="s">
        <v>5208</v>
      </c>
      <c r="D390" s="197"/>
      <c r="E390" s="197"/>
      <c r="F390" s="197"/>
      <c r="G390" s="163" t="s">
        <v>2097</v>
      </c>
      <c r="H390" s="144"/>
      <c r="I390" s="197"/>
      <c r="J390" s="197"/>
      <c r="K390" s="197"/>
      <c r="L390" s="257"/>
    </row>
    <row r="391" ht="22.5" customHeight="1">
      <c r="A391" s="148" t="s">
        <v>5167</v>
      </c>
      <c r="B391" s="149" t="s">
        <v>5209</v>
      </c>
      <c r="C391" s="149" t="s">
        <v>5210</v>
      </c>
      <c r="D391" s="196"/>
      <c r="E391" s="196"/>
      <c r="F391" s="261">
        <v>45512.50833333333</v>
      </c>
      <c r="G391" s="151" t="s">
        <v>30</v>
      </c>
      <c r="H391" s="152"/>
      <c r="I391" s="196"/>
      <c r="J391" s="196"/>
      <c r="K391" s="196"/>
      <c r="L391" s="259"/>
    </row>
    <row r="392" ht="22.5" customHeight="1">
      <c r="A392" s="140" t="s">
        <v>5167</v>
      </c>
      <c r="B392" s="141" t="s">
        <v>5211</v>
      </c>
      <c r="C392" s="141" t="s">
        <v>5212</v>
      </c>
      <c r="D392" s="197"/>
      <c r="E392" s="197"/>
      <c r="F392" s="197"/>
      <c r="G392" s="173" t="s">
        <v>2076</v>
      </c>
      <c r="H392" s="144"/>
      <c r="I392" s="197"/>
      <c r="J392" s="197"/>
      <c r="K392" s="197"/>
      <c r="L392" s="257"/>
    </row>
    <row r="393" ht="22.5" customHeight="1">
      <c r="A393" s="148" t="s">
        <v>5167</v>
      </c>
      <c r="B393" s="149" t="s">
        <v>5213</v>
      </c>
      <c r="C393" s="149" t="s">
        <v>5214</v>
      </c>
      <c r="D393" s="196"/>
      <c r="E393" s="196"/>
      <c r="F393" s="196"/>
      <c r="G393" s="161" t="s">
        <v>49</v>
      </c>
      <c r="H393" s="152"/>
      <c r="I393" s="196"/>
      <c r="J393" s="196"/>
      <c r="K393" s="196"/>
      <c r="L393" s="259"/>
    </row>
    <row r="394" ht="22.5" customHeight="1">
      <c r="A394" s="140" t="s">
        <v>5167</v>
      </c>
      <c r="B394" s="141" t="s">
        <v>5215</v>
      </c>
      <c r="C394" s="141" t="s">
        <v>5216</v>
      </c>
      <c r="D394" s="197"/>
      <c r="E394" s="197"/>
      <c r="F394" s="197"/>
      <c r="G394" s="215" t="s">
        <v>2192</v>
      </c>
      <c r="H394" s="144"/>
      <c r="I394" s="197"/>
      <c r="J394" s="162">
        <f>206/3</f>
        <v>68.66666667</v>
      </c>
      <c r="K394" s="197"/>
      <c r="L394" s="260" t="s">
        <v>5217</v>
      </c>
    </row>
    <row r="395" ht="22.5" customHeight="1">
      <c r="A395" s="148" t="s">
        <v>5167</v>
      </c>
      <c r="B395" s="149" t="s">
        <v>5218</v>
      </c>
      <c r="C395" s="149" t="s">
        <v>5219</v>
      </c>
      <c r="D395" s="196"/>
      <c r="E395" s="196"/>
      <c r="F395" s="261">
        <v>45512.49930555555</v>
      </c>
      <c r="G395" s="161" t="s">
        <v>49</v>
      </c>
      <c r="H395" s="152"/>
      <c r="I395" s="196"/>
      <c r="J395" s="196"/>
      <c r="K395" s="196"/>
      <c r="L395" s="259"/>
    </row>
    <row r="396" ht="22.5" customHeight="1">
      <c r="A396" s="140" t="s">
        <v>5167</v>
      </c>
      <c r="B396" s="141" t="s">
        <v>5220</v>
      </c>
      <c r="C396" s="141" t="s">
        <v>5221</v>
      </c>
      <c r="D396" s="197"/>
      <c r="E396" s="197"/>
      <c r="F396" s="197"/>
      <c r="G396" s="163" t="s">
        <v>2097</v>
      </c>
      <c r="H396" s="144"/>
      <c r="I396" s="197"/>
      <c r="J396" s="162">
        <f>J394/2</f>
        <v>34.33333333</v>
      </c>
      <c r="K396" s="197"/>
      <c r="L396" s="257"/>
    </row>
    <row r="397" ht="22.5" customHeight="1">
      <c r="A397" s="148" t="s">
        <v>5167</v>
      </c>
      <c r="B397" s="149" t="s">
        <v>5222</v>
      </c>
      <c r="C397" s="149" t="s">
        <v>5223</v>
      </c>
      <c r="D397" s="196"/>
      <c r="E397" s="196"/>
      <c r="F397" s="261">
        <v>45512.493055555555</v>
      </c>
      <c r="G397" s="151" t="s">
        <v>30</v>
      </c>
      <c r="H397" s="152"/>
      <c r="I397" s="196"/>
      <c r="J397" s="196"/>
      <c r="K397" s="196"/>
      <c r="L397" s="266" t="s">
        <v>5224</v>
      </c>
    </row>
    <row r="398" ht="22.5" customHeight="1">
      <c r="A398" s="140" t="s">
        <v>5167</v>
      </c>
      <c r="B398" s="146"/>
      <c r="C398" s="141" t="s">
        <v>5225</v>
      </c>
      <c r="D398" s="197"/>
      <c r="E398" s="197"/>
      <c r="F398" s="197"/>
      <c r="G398" s="163" t="s">
        <v>2097</v>
      </c>
      <c r="H398" s="144"/>
      <c r="I398" s="197"/>
      <c r="J398" s="162">
        <f>9/206</f>
        <v>0.04368932039</v>
      </c>
      <c r="K398" s="197"/>
      <c r="L398" s="257"/>
    </row>
    <row r="399" ht="22.5" customHeight="1">
      <c r="A399" s="148" t="s">
        <v>5167</v>
      </c>
      <c r="B399" s="149" t="s">
        <v>5226</v>
      </c>
      <c r="C399" s="149" t="s">
        <v>5227</v>
      </c>
      <c r="D399" s="196"/>
      <c r="E399" s="196"/>
      <c r="F399" s="261">
        <v>45512.48402777778</v>
      </c>
      <c r="G399" s="151" t="s">
        <v>30</v>
      </c>
      <c r="H399" s="152"/>
      <c r="I399" s="196"/>
      <c r="J399" s="160">
        <f>J398*100</f>
        <v>4.368932039</v>
      </c>
      <c r="K399" s="196"/>
      <c r="L399" s="266" t="s">
        <v>5004</v>
      </c>
    </row>
    <row r="400" ht="22.5" customHeight="1">
      <c r="A400" s="140" t="s">
        <v>5167</v>
      </c>
      <c r="B400" s="141" t="s">
        <v>5228</v>
      </c>
      <c r="C400" s="141" t="s">
        <v>5229</v>
      </c>
      <c r="D400" s="197"/>
      <c r="E400" s="197"/>
      <c r="F400" s="197"/>
      <c r="G400" s="163" t="s">
        <v>2097</v>
      </c>
      <c r="H400" s="144"/>
      <c r="I400" s="197"/>
      <c r="J400" s="197"/>
      <c r="K400" s="197"/>
      <c r="L400" s="257"/>
    </row>
    <row r="401" ht="22.5" customHeight="1">
      <c r="A401" s="148" t="s">
        <v>5167</v>
      </c>
      <c r="B401" s="149" t="s">
        <v>5230</v>
      </c>
      <c r="C401" s="149" t="s">
        <v>5231</v>
      </c>
      <c r="D401" s="196"/>
      <c r="E401" s="196"/>
      <c r="F401" s="261">
        <v>45512.46875</v>
      </c>
      <c r="G401" s="161" t="s">
        <v>49</v>
      </c>
      <c r="H401" s="152"/>
      <c r="I401" s="196"/>
      <c r="J401" s="196"/>
      <c r="K401" s="196"/>
      <c r="L401" s="266" t="s">
        <v>5232</v>
      </c>
    </row>
    <row r="402" ht="22.5" customHeight="1">
      <c r="A402" s="140" t="s">
        <v>5167</v>
      </c>
      <c r="B402" s="146"/>
      <c r="C402" s="141" t="s">
        <v>5233</v>
      </c>
      <c r="D402" s="197"/>
      <c r="E402" s="197"/>
      <c r="F402" s="197"/>
      <c r="G402" s="169" t="s">
        <v>49</v>
      </c>
      <c r="H402" s="144"/>
      <c r="I402" s="197"/>
      <c r="J402" s="197"/>
      <c r="K402" s="197"/>
      <c r="L402" s="257"/>
    </row>
    <row r="403" ht="22.5" customHeight="1">
      <c r="A403" s="148" t="s">
        <v>5167</v>
      </c>
      <c r="B403" s="149" t="s">
        <v>5234</v>
      </c>
      <c r="C403" s="149" t="s">
        <v>5235</v>
      </c>
      <c r="D403" s="196"/>
      <c r="E403" s="196"/>
      <c r="F403" s="261">
        <v>45512.46111111111</v>
      </c>
      <c r="G403" s="232" t="s">
        <v>3955</v>
      </c>
      <c r="H403" s="152"/>
      <c r="I403" s="196"/>
      <c r="J403" s="196"/>
      <c r="K403" s="196"/>
      <c r="L403" s="259"/>
    </row>
    <row r="404" ht="22.5" customHeight="1">
      <c r="A404" s="140" t="s">
        <v>5167</v>
      </c>
      <c r="B404" s="141" t="s">
        <v>5236</v>
      </c>
      <c r="C404" s="141" t="s">
        <v>5237</v>
      </c>
      <c r="D404" s="197"/>
      <c r="E404" s="197"/>
      <c r="F404" s="197"/>
      <c r="G404" s="163" t="s">
        <v>2097</v>
      </c>
      <c r="H404" s="144"/>
      <c r="I404" s="197"/>
      <c r="J404" s="197"/>
      <c r="K404" s="197"/>
      <c r="L404" s="257"/>
    </row>
    <row r="405" ht="22.5" customHeight="1">
      <c r="A405" s="148" t="s">
        <v>5167</v>
      </c>
      <c r="B405" s="149" t="s">
        <v>5238</v>
      </c>
      <c r="C405" s="149" t="s">
        <v>5239</v>
      </c>
      <c r="D405" s="196"/>
      <c r="E405" s="196"/>
      <c r="F405" s="196"/>
      <c r="G405" s="165" t="s">
        <v>2076</v>
      </c>
      <c r="H405" s="152"/>
      <c r="I405" s="196"/>
      <c r="J405" s="196"/>
      <c r="K405" s="196"/>
      <c r="L405" s="259"/>
    </row>
    <row r="406" ht="22.5" customHeight="1">
      <c r="A406" s="140" t="s">
        <v>5167</v>
      </c>
      <c r="B406" s="141" t="s">
        <v>5240</v>
      </c>
      <c r="C406" s="141" t="s">
        <v>5241</v>
      </c>
      <c r="D406" s="197"/>
      <c r="E406" s="197"/>
      <c r="F406" s="197"/>
      <c r="G406" s="215" t="s">
        <v>2192</v>
      </c>
      <c r="H406" s="144"/>
      <c r="I406" s="197"/>
      <c r="J406" s="197"/>
      <c r="K406" s="197"/>
      <c r="L406" s="260" t="s">
        <v>5242</v>
      </c>
    </row>
    <row r="407" ht="22.5" customHeight="1">
      <c r="A407" s="148" t="s">
        <v>5167</v>
      </c>
      <c r="B407" s="149" t="s">
        <v>2038</v>
      </c>
      <c r="C407" s="149" t="s">
        <v>5243</v>
      </c>
      <c r="D407" s="196"/>
      <c r="E407" s="196"/>
      <c r="F407" s="150">
        <v>45481.0</v>
      </c>
      <c r="G407" s="232" t="s">
        <v>3955</v>
      </c>
      <c r="H407" s="152"/>
      <c r="I407" s="196"/>
      <c r="J407" s="196"/>
      <c r="K407" s="196"/>
      <c r="L407" s="259"/>
    </row>
    <row r="408" ht="22.5" customHeight="1">
      <c r="A408" s="140" t="s">
        <v>5167</v>
      </c>
      <c r="B408" s="141" t="s">
        <v>5244</v>
      </c>
      <c r="C408" s="141" t="s">
        <v>5245</v>
      </c>
      <c r="D408" s="197"/>
      <c r="E408" s="197"/>
      <c r="F408" s="197"/>
      <c r="G408" s="169" t="s">
        <v>49</v>
      </c>
      <c r="H408" s="144"/>
      <c r="I408" s="197"/>
      <c r="J408" s="197"/>
      <c r="K408" s="197"/>
      <c r="L408" s="257"/>
    </row>
    <row r="409" ht="22.5" customHeight="1">
      <c r="A409" s="148" t="s">
        <v>5167</v>
      </c>
      <c r="B409" s="149" t="s">
        <v>5246</v>
      </c>
      <c r="C409" s="149" t="s">
        <v>5247</v>
      </c>
      <c r="D409" s="196"/>
      <c r="E409" s="196"/>
      <c r="F409" s="150">
        <v>45481.0</v>
      </c>
      <c r="G409" s="232" t="s">
        <v>3955</v>
      </c>
      <c r="H409" s="152"/>
      <c r="I409" s="196"/>
      <c r="J409" s="196"/>
      <c r="K409" s="196"/>
      <c r="L409" s="259"/>
    </row>
    <row r="410" ht="22.5" customHeight="1">
      <c r="A410" s="140" t="s">
        <v>5167</v>
      </c>
      <c r="B410" s="141" t="s">
        <v>1135</v>
      </c>
      <c r="C410" s="141" t="s">
        <v>5248</v>
      </c>
      <c r="D410" s="197"/>
      <c r="E410" s="197"/>
      <c r="F410" s="142">
        <v>45481.0</v>
      </c>
      <c r="G410" s="246" t="s">
        <v>3955</v>
      </c>
      <c r="H410" s="144"/>
      <c r="I410" s="197"/>
      <c r="J410" s="197"/>
      <c r="K410" s="197"/>
      <c r="L410" s="257"/>
    </row>
    <row r="411" ht="22.5" customHeight="1">
      <c r="A411" s="250"/>
      <c r="B411" s="154"/>
      <c r="C411" s="149" t="s">
        <v>5249</v>
      </c>
      <c r="D411" s="196"/>
      <c r="E411" s="196"/>
      <c r="F411" s="150">
        <v>45543.0</v>
      </c>
      <c r="G411" s="161" t="s">
        <v>49</v>
      </c>
      <c r="H411" s="152"/>
      <c r="I411" s="196"/>
      <c r="J411" s="196"/>
      <c r="K411" s="196"/>
      <c r="L411" s="259"/>
    </row>
    <row r="412" ht="22.5" customHeight="1">
      <c r="A412" s="202"/>
      <c r="B412" s="141" t="s">
        <v>5250</v>
      </c>
      <c r="C412" s="141" t="s">
        <v>5251</v>
      </c>
      <c r="D412" s="197"/>
      <c r="E412" s="197"/>
      <c r="F412" s="142">
        <v>45512.0</v>
      </c>
      <c r="G412" s="156" t="s">
        <v>635</v>
      </c>
      <c r="H412" s="144"/>
      <c r="I412" s="197"/>
      <c r="J412" s="197"/>
      <c r="K412" s="197"/>
      <c r="L412" s="257"/>
    </row>
    <row r="413" ht="22.5" customHeight="1">
      <c r="A413" s="148" t="s">
        <v>2052</v>
      </c>
      <c r="B413" s="149" t="s">
        <v>5252</v>
      </c>
      <c r="C413" s="149" t="s">
        <v>5253</v>
      </c>
      <c r="D413" s="196"/>
      <c r="E413" s="196"/>
      <c r="F413" s="150">
        <v>45512.0</v>
      </c>
      <c r="G413" s="161" t="s">
        <v>49</v>
      </c>
      <c r="H413" s="152"/>
      <c r="I413" s="196"/>
      <c r="J413" s="196"/>
      <c r="K413" s="196"/>
      <c r="L413" s="259"/>
    </row>
    <row r="414" ht="22.5" customHeight="1">
      <c r="A414" s="140" t="s">
        <v>2052</v>
      </c>
      <c r="B414" s="141" t="s">
        <v>5254</v>
      </c>
      <c r="C414" s="141" t="s">
        <v>5255</v>
      </c>
      <c r="D414" s="197"/>
      <c r="E414" s="197"/>
      <c r="F414" s="142">
        <v>45512.0</v>
      </c>
      <c r="G414" s="173" t="s">
        <v>2076</v>
      </c>
      <c r="H414" s="144"/>
      <c r="I414" s="197"/>
      <c r="J414" s="197"/>
      <c r="K414" s="197"/>
      <c r="L414" s="257"/>
    </row>
    <row r="415" ht="22.5" customHeight="1">
      <c r="A415" s="148" t="s">
        <v>2052</v>
      </c>
      <c r="B415" s="149" t="s">
        <v>5256</v>
      </c>
      <c r="C415" s="149" t="s">
        <v>5257</v>
      </c>
      <c r="D415" s="196"/>
      <c r="E415" s="196"/>
      <c r="F415" s="150">
        <v>45512.0</v>
      </c>
      <c r="G415" s="167" t="s">
        <v>635</v>
      </c>
      <c r="H415" s="152"/>
      <c r="I415" s="196"/>
      <c r="J415" s="196"/>
      <c r="K415" s="196"/>
      <c r="L415" s="259"/>
    </row>
    <row r="416" ht="22.5" customHeight="1">
      <c r="A416" s="140" t="s">
        <v>2052</v>
      </c>
      <c r="B416" s="141" t="s">
        <v>5258</v>
      </c>
      <c r="C416" s="141" t="s">
        <v>5259</v>
      </c>
      <c r="D416" s="197"/>
      <c r="E416" s="197"/>
      <c r="F416" s="142">
        <v>45512.0</v>
      </c>
      <c r="G416" s="156" t="s">
        <v>635</v>
      </c>
      <c r="H416" s="144"/>
      <c r="I416" s="197"/>
      <c r="J416" s="197"/>
      <c r="K416" s="197"/>
      <c r="L416" s="257"/>
    </row>
    <row r="417" ht="22.5" customHeight="1">
      <c r="A417" s="148" t="s">
        <v>2052</v>
      </c>
      <c r="B417" s="149" t="s">
        <v>5260</v>
      </c>
      <c r="C417" s="149" t="s">
        <v>5261</v>
      </c>
      <c r="D417" s="196"/>
      <c r="E417" s="196"/>
      <c r="F417" s="150">
        <v>45512.0</v>
      </c>
      <c r="G417" s="161" t="s">
        <v>49</v>
      </c>
      <c r="H417" s="152"/>
      <c r="I417" s="196"/>
      <c r="J417" s="196"/>
      <c r="K417" s="196"/>
      <c r="L417" s="266" t="s">
        <v>5262</v>
      </c>
    </row>
    <row r="418" ht="22.5" customHeight="1">
      <c r="A418" s="140" t="s">
        <v>2052</v>
      </c>
      <c r="B418" s="141" t="s">
        <v>5263</v>
      </c>
      <c r="C418" s="276" t="s">
        <v>5264</v>
      </c>
      <c r="D418" s="197"/>
      <c r="E418" s="197"/>
      <c r="F418" s="142">
        <v>45512.0</v>
      </c>
      <c r="G418" s="156" t="s">
        <v>635</v>
      </c>
      <c r="H418" s="144"/>
      <c r="I418" s="197"/>
      <c r="J418" s="197"/>
      <c r="K418" s="197"/>
      <c r="L418" s="257"/>
    </row>
    <row r="419" ht="22.5" customHeight="1">
      <c r="A419" s="148" t="s">
        <v>2052</v>
      </c>
      <c r="B419" s="149" t="s">
        <v>5265</v>
      </c>
      <c r="C419" s="149" t="s">
        <v>5266</v>
      </c>
      <c r="D419" s="196"/>
      <c r="E419" s="196"/>
      <c r="F419" s="150">
        <v>45512.0</v>
      </c>
      <c r="G419" s="167" t="s">
        <v>635</v>
      </c>
      <c r="H419" s="152"/>
      <c r="I419" s="196"/>
      <c r="J419" s="196"/>
      <c r="K419" s="196"/>
      <c r="L419" s="259"/>
    </row>
    <row r="420" ht="22.5" customHeight="1">
      <c r="A420" s="140" t="s">
        <v>2052</v>
      </c>
      <c r="B420" s="141" t="s">
        <v>5267</v>
      </c>
      <c r="C420" s="276" t="s">
        <v>5268</v>
      </c>
      <c r="D420" s="197"/>
      <c r="E420" s="197"/>
      <c r="F420" s="142">
        <v>45634.0</v>
      </c>
      <c r="G420" s="156" t="s">
        <v>635</v>
      </c>
      <c r="H420" s="144"/>
      <c r="I420" s="197"/>
      <c r="J420" s="197"/>
      <c r="K420" s="197"/>
      <c r="L420" s="257"/>
    </row>
    <row r="421" ht="22.5" customHeight="1">
      <c r="A421" s="250"/>
      <c r="B421" s="272" t="str">
        <f t="shared" ref="B421:B2224" si="5">Sheet1!C213</f>
        <v>#REF!</v>
      </c>
      <c r="C421" s="154"/>
      <c r="D421" s="196"/>
      <c r="E421" s="196"/>
      <c r="F421" s="196"/>
      <c r="G421" s="152"/>
      <c r="H421" s="152"/>
      <c r="I421" s="196"/>
      <c r="J421" s="196"/>
      <c r="K421" s="196"/>
      <c r="L421" s="259"/>
    </row>
    <row r="422" ht="22.5" customHeight="1">
      <c r="A422" s="202"/>
      <c r="B422" s="273" t="str">
        <f t="shared" si="5"/>
        <v>#REF!</v>
      </c>
      <c r="C422" s="146"/>
      <c r="D422" s="197"/>
      <c r="E422" s="197"/>
      <c r="F422" s="197"/>
      <c r="G422" s="144"/>
      <c r="H422" s="144"/>
      <c r="I422" s="197"/>
      <c r="J422" s="197"/>
      <c r="K422" s="197"/>
      <c r="L422" s="257"/>
    </row>
    <row r="423" ht="22.5" customHeight="1">
      <c r="A423" s="250"/>
      <c r="B423" s="272" t="str">
        <f t="shared" si="5"/>
        <v>#REF!</v>
      </c>
      <c r="C423" s="154"/>
      <c r="D423" s="196"/>
      <c r="E423" s="196"/>
      <c r="F423" s="196"/>
      <c r="G423" s="152"/>
      <c r="H423" s="152"/>
      <c r="I423" s="196"/>
      <c r="J423" s="196"/>
      <c r="K423" s="196"/>
      <c r="L423" s="259"/>
    </row>
    <row r="424" ht="22.5" customHeight="1">
      <c r="A424" s="202"/>
      <c r="B424" s="273" t="str">
        <f t="shared" si="5"/>
        <v>#REF!</v>
      </c>
      <c r="C424" s="146"/>
      <c r="D424" s="197"/>
      <c r="E424" s="197"/>
      <c r="F424" s="197"/>
      <c r="G424" s="144"/>
      <c r="H424" s="144"/>
      <c r="I424" s="197"/>
      <c r="J424" s="197"/>
      <c r="K424" s="197"/>
      <c r="L424" s="257"/>
    </row>
    <row r="425" ht="22.5" customHeight="1">
      <c r="A425" s="250"/>
      <c r="B425" s="272" t="str">
        <f t="shared" si="5"/>
        <v>#REF!</v>
      </c>
      <c r="C425" s="154"/>
      <c r="D425" s="196"/>
      <c r="E425" s="196"/>
      <c r="F425" s="196"/>
      <c r="G425" s="152"/>
      <c r="H425" s="152"/>
      <c r="I425" s="196"/>
      <c r="J425" s="196"/>
      <c r="K425" s="196"/>
      <c r="L425" s="259"/>
    </row>
    <row r="426" ht="22.5" customHeight="1">
      <c r="A426" s="202"/>
      <c r="B426" s="273" t="str">
        <f t="shared" si="5"/>
        <v>#REF!</v>
      </c>
      <c r="C426" s="146"/>
      <c r="D426" s="197"/>
      <c r="E426" s="197"/>
      <c r="F426" s="197"/>
      <c r="G426" s="144"/>
      <c r="H426" s="144"/>
      <c r="I426" s="197"/>
      <c r="J426" s="197"/>
      <c r="K426" s="197"/>
      <c r="L426" s="257"/>
    </row>
    <row r="427" ht="22.5" customHeight="1">
      <c r="A427" s="250"/>
      <c r="B427" s="272" t="str">
        <f t="shared" si="5"/>
        <v>#REF!</v>
      </c>
      <c r="C427" s="154"/>
      <c r="D427" s="196"/>
      <c r="E427" s="196"/>
      <c r="F427" s="196"/>
      <c r="G427" s="152"/>
      <c r="H427" s="152"/>
      <c r="I427" s="196"/>
      <c r="J427" s="196"/>
      <c r="K427" s="196"/>
      <c r="L427" s="259"/>
    </row>
    <row r="428" ht="22.5" customHeight="1">
      <c r="A428" s="202"/>
      <c r="B428" s="273" t="str">
        <f t="shared" si="5"/>
        <v>#REF!</v>
      </c>
      <c r="C428" s="146"/>
      <c r="D428" s="197"/>
      <c r="E428" s="197"/>
      <c r="F428" s="197"/>
      <c r="G428" s="144"/>
      <c r="H428" s="144"/>
      <c r="I428" s="197"/>
      <c r="J428" s="197"/>
      <c r="K428" s="197"/>
      <c r="L428" s="257"/>
    </row>
    <row r="429" ht="22.5" customHeight="1">
      <c r="A429" s="250"/>
      <c r="B429" s="272" t="str">
        <f t="shared" si="5"/>
        <v>#REF!</v>
      </c>
      <c r="C429" s="154"/>
      <c r="D429" s="196"/>
      <c r="E429" s="196"/>
      <c r="F429" s="196"/>
      <c r="G429" s="152"/>
      <c r="H429" s="152"/>
      <c r="I429" s="196"/>
      <c r="J429" s="196"/>
      <c r="K429" s="196"/>
      <c r="L429" s="259"/>
    </row>
    <row r="430" ht="22.5" customHeight="1">
      <c r="A430" s="202"/>
      <c r="B430" s="273" t="str">
        <f t="shared" si="5"/>
        <v>#REF!</v>
      </c>
      <c r="C430" s="146"/>
      <c r="D430" s="197"/>
      <c r="E430" s="197"/>
      <c r="F430" s="197"/>
      <c r="G430" s="144"/>
      <c r="H430" s="144"/>
      <c r="I430" s="197"/>
      <c r="J430" s="197"/>
      <c r="K430" s="197"/>
      <c r="L430" s="257"/>
    </row>
    <row r="431" ht="22.5" customHeight="1">
      <c r="A431" s="250"/>
      <c r="B431" s="272" t="str">
        <f t="shared" si="5"/>
        <v>#REF!</v>
      </c>
      <c r="C431" s="154"/>
      <c r="D431" s="196"/>
      <c r="E431" s="196"/>
      <c r="F431" s="196"/>
      <c r="G431" s="152"/>
      <c r="H431" s="152"/>
      <c r="I431" s="196"/>
      <c r="J431" s="196"/>
      <c r="K431" s="196"/>
      <c r="L431" s="259"/>
    </row>
    <row r="432" ht="22.5" customHeight="1">
      <c r="A432" s="202"/>
      <c r="B432" s="273" t="str">
        <f t="shared" si="5"/>
        <v>#REF!</v>
      </c>
      <c r="C432" s="146"/>
      <c r="D432" s="197"/>
      <c r="E432" s="197"/>
      <c r="F432" s="197"/>
      <c r="G432" s="144"/>
      <c r="H432" s="144"/>
      <c r="I432" s="197"/>
      <c r="J432" s="197"/>
      <c r="K432" s="197"/>
      <c r="L432" s="257"/>
    </row>
    <row r="433" ht="22.5" customHeight="1">
      <c r="A433" s="250"/>
      <c r="B433" s="272" t="str">
        <f t="shared" si="5"/>
        <v>#REF!</v>
      </c>
      <c r="C433" s="154"/>
      <c r="D433" s="196"/>
      <c r="E433" s="196"/>
      <c r="F433" s="196"/>
      <c r="G433" s="152"/>
      <c r="H433" s="152"/>
      <c r="I433" s="196"/>
      <c r="J433" s="196"/>
      <c r="K433" s="196"/>
      <c r="L433" s="259"/>
    </row>
    <row r="434" ht="22.5" customHeight="1">
      <c r="A434" s="202"/>
      <c r="B434" s="273" t="str">
        <f t="shared" si="5"/>
        <v>#REF!</v>
      </c>
      <c r="C434" s="146"/>
      <c r="D434" s="197"/>
      <c r="E434" s="197"/>
      <c r="F434" s="197"/>
      <c r="G434" s="144"/>
      <c r="H434" s="144"/>
      <c r="I434" s="197"/>
      <c r="J434" s="197"/>
      <c r="K434" s="197"/>
      <c r="L434" s="257"/>
    </row>
    <row r="435" ht="22.5" customHeight="1">
      <c r="A435" s="250"/>
      <c r="B435" s="272" t="str">
        <f t="shared" si="5"/>
        <v>#REF!</v>
      </c>
      <c r="C435" s="154"/>
      <c r="D435" s="196"/>
      <c r="E435" s="196"/>
      <c r="F435" s="196"/>
      <c r="G435" s="152"/>
      <c r="H435" s="152"/>
      <c r="I435" s="196"/>
      <c r="J435" s="196"/>
      <c r="K435" s="196"/>
      <c r="L435" s="259"/>
    </row>
    <row r="436" ht="22.5" customHeight="1">
      <c r="A436" s="202"/>
      <c r="B436" s="273" t="str">
        <f t="shared" si="5"/>
        <v>#REF!</v>
      </c>
      <c r="C436" s="146"/>
      <c r="D436" s="197"/>
      <c r="E436" s="197"/>
      <c r="F436" s="197"/>
      <c r="G436" s="144"/>
      <c r="H436" s="144"/>
      <c r="I436" s="197"/>
      <c r="J436" s="197"/>
      <c r="K436" s="197"/>
      <c r="L436" s="257"/>
    </row>
    <row r="437" ht="22.5" customHeight="1">
      <c r="A437" s="250"/>
      <c r="B437" s="272" t="str">
        <f t="shared" si="5"/>
        <v>#REF!</v>
      </c>
      <c r="C437" s="154"/>
      <c r="D437" s="196"/>
      <c r="E437" s="196"/>
      <c r="F437" s="196"/>
      <c r="G437" s="152"/>
      <c r="H437" s="152"/>
      <c r="I437" s="196"/>
      <c r="J437" s="196"/>
      <c r="K437" s="196"/>
      <c r="L437" s="259"/>
    </row>
    <row r="438" ht="22.5" customHeight="1">
      <c r="A438" s="202"/>
      <c r="B438" s="273" t="str">
        <f t="shared" si="5"/>
        <v>#REF!</v>
      </c>
      <c r="C438" s="146"/>
      <c r="D438" s="197"/>
      <c r="E438" s="197"/>
      <c r="F438" s="197"/>
      <c r="G438" s="144"/>
      <c r="H438" s="144"/>
      <c r="I438" s="197"/>
      <c r="J438" s="197"/>
      <c r="K438" s="197"/>
      <c r="L438" s="257"/>
    </row>
    <row r="439" ht="22.5" customHeight="1">
      <c r="A439" s="250"/>
      <c r="B439" s="272" t="str">
        <f t="shared" si="5"/>
        <v>#REF!</v>
      </c>
      <c r="C439" s="154"/>
      <c r="D439" s="196"/>
      <c r="E439" s="196"/>
      <c r="F439" s="196"/>
      <c r="G439" s="152"/>
      <c r="H439" s="152"/>
      <c r="I439" s="196"/>
      <c r="J439" s="196"/>
      <c r="K439" s="196"/>
      <c r="L439" s="259"/>
    </row>
    <row r="440" ht="22.5" customHeight="1">
      <c r="A440" s="202"/>
      <c r="B440" s="273" t="str">
        <f t="shared" si="5"/>
        <v>#REF!</v>
      </c>
      <c r="C440" s="146"/>
      <c r="D440" s="197"/>
      <c r="E440" s="197"/>
      <c r="F440" s="197"/>
      <c r="G440" s="144"/>
      <c r="H440" s="144"/>
      <c r="I440" s="197"/>
      <c r="J440" s="197"/>
      <c r="K440" s="197"/>
      <c r="L440" s="257"/>
    </row>
    <row r="441" ht="22.5" customHeight="1">
      <c r="A441" s="250"/>
      <c r="B441" s="272" t="str">
        <f t="shared" si="5"/>
        <v>#REF!</v>
      </c>
      <c r="C441" s="154"/>
      <c r="D441" s="196"/>
      <c r="E441" s="196"/>
      <c r="F441" s="196"/>
      <c r="G441" s="152"/>
      <c r="H441" s="152"/>
      <c r="I441" s="196"/>
      <c r="J441" s="196"/>
      <c r="K441" s="196"/>
      <c r="L441" s="259"/>
    </row>
    <row r="442" ht="22.5" customHeight="1">
      <c r="A442" s="202"/>
      <c r="B442" s="273" t="str">
        <f t="shared" si="5"/>
        <v>#REF!</v>
      </c>
      <c r="C442" s="146"/>
      <c r="D442" s="197"/>
      <c r="E442" s="197"/>
      <c r="F442" s="197"/>
      <c r="G442" s="144"/>
      <c r="H442" s="144"/>
      <c r="I442" s="197"/>
      <c r="J442" s="197"/>
      <c r="K442" s="197"/>
      <c r="L442" s="257"/>
    </row>
    <row r="443" ht="22.5" customHeight="1">
      <c r="A443" s="250"/>
      <c r="B443" s="272" t="str">
        <f t="shared" si="5"/>
        <v>#REF!</v>
      </c>
      <c r="C443" s="154"/>
      <c r="D443" s="196"/>
      <c r="E443" s="196"/>
      <c r="F443" s="196"/>
      <c r="G443" s="152"/>
      <c r="H443" s="152"/>
      <c r="I443" s="196"/>
      <c r="J443" s="196"/>
      <c r="K443" s="196"/>
      <c r="L443" s="259"/>
    </row>
    <row r="444" ht="22.5" customHeight="1">
      <c r="A444" s="202"/>
      <c r="B444" s="273" t="str">
        <f t="shared" si="5"/>
        <v>#REF!</v>
      </c>
      <c r="C444" s="146"/>
      <c r="D444" s="197"/>
      <c r="E444" s="197"/>
      <c r="F444" s="197"/>
      <c r="G444" s="144"/>
      <c r="H444" s="144"/>
      <c r="I444" s="197"/>
      <c r="J444" s="197"/>
      <c r="K444" s="197"/>
      <c r="L444" s="257"/>
    </row>
    <row r="445" ht="22.5" customHeight="1">
      <c r="A445" s="250"/>
      <c r="B445" s="272" t="str">
        <f t="shared" si="5"/>
        <v>#REF!</v>
      </c>
      <c r="C445" s="154"/>
      <c r="D445" s="196"/>
      <c r="E445" s="196"/>
      <c r="F445" s="196"/>
      <c r="G445" s="152"/>
      <c r="H445" s="152"/>
      <c r="I445" s="196"/>
      <c r="J445" s="196"/>
      <c r="K445" s="196"/>
      <c r="L445" s="259"/>
    </row>
    <row r="446" ht="22.5" customHeight="1">
      <c r="A446" s="202"/>
      <c r="B446" s="273" t="str">
        <f t="shared" si="5"/>
        <v>#REF!</v>
      </c>
      <c r="C446" s="146"/>
      <c r="D446" s="197"/>
      <c r="E446" s="197"/>
      <c r="F446" s="197"/>
      <c r="G446" s="144"/>
      <c r="H446" s="144"/>
      <c r="I446" s="197"/>
      <c r="J446" s="197"/>
      <c r="K446" s="197"/>
      <c r="L446" s="257"/>
    </row>
    <row r="447" ht="22.5" customHeight="1">
      <c r="A447" s="250"/>
      <c r="B447" s="272" t="str">
        <f t="shared" si="5"/>
        <v>#REF!</v>
      </c>
      <c r="C447" s="154"/>
      <c r="D447" s="196"/>
      <c r="E447" s="196"/>
      <c r="F447" s="196"/>
      <c r="G447" s="152"/>
      <c r="H447" s="152"/>
      <c r="I447" s="196"/>
      <c r="J447" s="196"/>
      <c r="K447" s="196"/>
      <c r="L447" s="259"/>
    </row>
    <row r="448" ht="22.5" customHeight="1">
      <c r="A448" s="202"/>
      <c r="B448" s="273" t="str">
        <f t="shared" si="5"/>
        <v>#REF!</v>
      </c>
      <c r="C448" s="146"/>
      <c r="D448" s="197"/>
      <c r="E448" s="197"/>
      <c r="F448" s="197"/>
      <c r="G448" s="144"/>
      <c r="H448" s="144"/>
      <c r="I448" s="197"/>
      <c r="J448" s="197"/>
      <c r="K448" s="197"/>
      <c r="L448" s="257"/>
    </row>
    <row r="449" ht="22.5" customHeight="1">
      <c r="A449" s="250"/>
      <c r="B449" s="272" t="str">
        <f t="shared" si="5"/>
        <v>#REF!</v>
      </c>
      <c r="C449" s="154"/>
      <c r="D449" s="196"/>
      <c r="E449" s="196"/>
      <c r="F449" s="196"/>
      <c r="G449" s="152"/>
      <c r="H449" s="152"/>
      <c r="I449" s="196"/>
      <c r="J449" s="196"/>
      <c r="K449" s="196"/>
      <c r="L449" s="259"/>
    </row>
    <row r="450" ht="22.5" customHeight="1">
      <c r="A450" s="202"/>
      <c r="B450" s="273" t="str">
        <f t="shared" si="5"/>
        <v>#REF!</v>
      </c>
      <c r="C450" s="146"/>
      <c r="D450" s="197"/>
      <c r="E450" s="197"/>
      <c r="F450" s="197"/>
      <c r="G450" s="144"/>
      <c r="H450" s="144"/>
      <c r="I450" s="197"/>
      <c r="J450" s="197"/>
      <c r="K450" s="197"/>
      <c r="L450" s="257"/>
    </row>
    <row r="451" ht="22.5" customHeight="1">
      <c r="A451" s="250"/>
      <c r="B451" s="272" t="str">
        <f t="shared" si="5"/>
        <v>#REF!</v>
      </c>
      <c r="C451" s="154"/>
      <c r="D451" s="196"/>
      <c r="E451" s="196"/>
      <c r="F451" s="196"/>
      <c r="G451" s="152"/>
      <c r="H451" s="152"/>
      <c r="I451" s="196"/>
      <c r="J451" s="196"/>
      <c r="K451" s="196"/>
      <c r="L451" s="259"/>
    </row>
    <row r="452" ht="22.5" customHeight="1">
      <c r="A452" s="202"/>
      <c r="B452" s="273" t="str">
        <f t="shared" si="5"/>
        <v>#REF!</v>
      </c>
      <c r="C452" s="146"/>
      <c r="D452" s="197"/>
      <c r="E452" s="197"/>
      <c r="F452" s="197"/>
      <c r="G452" s="144"/>
      <c r="H452" s="144"/>
      <c r="I452" s="197"/>
      <c r="J452" s="197"/>
      <c r="K452" s="197"/>
      <c r="L452" s="257"/>
    </row>
    <row r="453" ht="22.5" customHeight="1">
      <c r="A453" s="250"/>
      <c r="B453" s="272" t="str">
        <f t="shared" si="5"/>
        <v>#REF!</v>
      </c>
      <c r="C453" s="154"/>
      <c r="D453" s="196"/>
      <c r="E453" s="196"/>
      <c r="F453" s="196"/>
      <c r="G453" s="152"/>
      <c r="H453" s="152"/>
      <c r="I453" s="196"/>
      <c r="J453" s="196"/>
      <c r="K453" s="196"/>
      <c r="L453" s="259"/>
    </row>
    <row r="454" ht="22.5" customHeight="1">
      <c r="A454" s="202"/>
      <c r="B454" s="273" t="str">
        <f t="shared" si="5"/>
        <v>#REF!</v>
      </c>
      <c r="C454" s="146"/>
      <c r="D454" s="197"/>
      <c r="E454" s="197"/>
      <c r="F454" s="197"/>
      <c r="G454" s="144"/>
      <c r="H454" s="144"/>
      <c r="I454" s="197"/>
      <c r="J454" s="197"/>
      <c r="K454" s="197"/>
      <c r="L454" s="257"/>
    </row>
    <row r="455" ht="22.5" customHeight="1">
      <c r="A455" s="250"/>
      <c r="B455" s="272" t="str">
        <f t="shared" si="5"/>
        <v>#REF!</v>
      </c>
      <c r="C455" s="154"/>
      <c r="D455" s="196"/>
      <c r="E455" s="196"/>
      <c r="F455" s="196"/>
      <c r="G455" s="152"/>
      <c r="H455" s="152"/>
      <c r="I455" s="196"/>
      <c r="J455" s="196"/>
      <c r="K455" s="196"/>
      <c r="L455" s="259"/>
    </row>
    <row r="456" ht="22.5" customHeight="1">
      <c r="A456" s="202"/>
      <c r="B456" s="273" t="str">
        <f t="shared" si="5"/>
        <v>#REF!</v>
      </c>
      <c r="C456" s="146"/>
      <c r="D456" s="197"/>
      <c r="E456" s="197"/>
      <c r="F456" s="197"/>
      <c r="G456" s="144"/>
      <c r="H456" s="144"/>
      <c r="I456" s="197"/>
      <c r="J456" s="197"/>
      <c r="K456" s="197"/>
      <c r="L456" s="257"/>
    </row>
    <row r="457" ht="22.5" customHeight="1">
      <c r="A457" s="250"/>
      <c r="B457" s="272" t="str">
        <f t="shared" si="5"/>
        <v>#REF!</v>
      </c>
      <c r="C457" s="154"/>
      <c r="D457" s="196"/>
      <c r="E457" s="196"/>
      <c r="F457" s="196"/>
      <c r="G457" s="152"/>
      <c r="H457" s="152"/>
      <c r="I457" s="196"/>
      <c r="J457" s="196"/>
      <c r="K457" s="196"/>
      <c r="L457" s="259"/>
    </row>
    <row r="458" ht="22.5" customHeight="1">
      <c r="A458" s="202"/>
      <c r="B458" s="273" t="str">
        <f t="shared" si="5"/>
        <v>#REF!</v>
      </c>
      <c r="C458" s="146"/>
      <c r="D458" s="197"/>
      <c r="E458" s="197"/>
      <c r="F458" s="197"/>
      <c r="G458" s="144"/>
      <c r="H458" s="144"/>
      <c r="I458" s="197"/>
      <c r="J458" s="197"/>
      <c r="K458" s="197"/>
      <c r="L458" s="257"/>
    </row>
    <row r="459" ht="22.5" customHeight="1">
      <c r="A459" s="250"/>
      <c r="B459" s="272" t="str">
        <f t="shared" si="5"/>
        <v>#REF!</v>
      </c>
      <c r="C459" s="154"/>
      <c r="D459" s="196"/>
      <c r="E459" s="196"/>
      <c r="F459" s="196"/>
      <c r="G459" s="152"/>
      <c r="H459" s="152"/>
      <c r="I459" s="196"/>
      <c r="J459" s="196"/>
      <c r="K459" s="196"/>
      <c r="L459" s="259"/>
    </row>
    <row r="460" ht="22.5" customHeight="1">
      <c r="A460" s="202"/>
      <c r="B460" s="273" t="str">
        <f t="shared" si="5"/>
        <v>#REF!</v>
      </c>
      <c r="C460" s="146"/>
      <c r="D460" s="197"/>
      <c r="E460" s="197"/>
      <c r="F460" s="197"/>
      <c r="G460" s="144"/>
      <c r="H460" s="144"/>
      <c r="I460" s="197"/>
      <c r="J460" s="197"/>
      <c r="K460" s="197"/>
      <c r="L460" s="257"/>
    </row>
    <row r="461" ht="22.5" customHeight="1">
      <c r="A461" s="250"/>
      <c r="B461" s="272" t="str">
        <f t="shared" si="5"/>
        <v>#REF!</v>
      </c>
      <c r="C461" s="154"/>
      <c r="D461" s="196"/>
      <c r="E461" s="196"/>
      <c r="F461" s="196"/>
      <c r="G461" s="152"/>
      <c r="H461" s="152"/>
      <c r="I461" s="196"/>
      <c r="J461" s="196"/>
      <c r="K461" s="196"/>
      <c r="L461" s="259"/>
    </row>
    <row r="462" ht="22.5" customHeight="1">
      <c r="A462" s="202"/>
      <c r="B462" s="273" t="str">
        <f t="shared" si="5"/>
        <v>#REF!</v>
      </c>
      <c r="C462" s="146"/>
      <c r="D462" s="197"/>
      <c r="E462" s="197"/>
      <c r="F462" s="197"/>
      <c r="G462" s="144"/>
      <c r="H462" s="144"/>
      <c r="I462" s="197"/>
      <c r="J462" s="197"/>
      <c r="K462" s="197"/>
      <c r="L462" s="257"/>
    </row>
    <row r="463" ht="22.5" customHeight="1">
      <c r="A463" s="250"/>
      <c r="B463" s="272" t="str">
        <f t="shared" si="5"/>
        <v>#REF!</v>
      </c>
      <c r="C463" s="154"/>
      <c r="D463" s="196"/>
      <c r="E463" s="196"/>
      <c r="F463" s="196"/>
      <c r="G463" s="152"/>
      <c r="H463" s="152"/>
      <c r="I463" s="196"/>
      <c r="J463" s="196"/>
      <c r="K463" s="196"/>
      <c r="L463" s="259"/>
    </row>
    <row r="464" ht="22.5" customHeight="1">
      <c r="A464" s="202"/>
      <c r="B464" s="273" t="str">
        <f t="shared" si="5"/>
        <v>#REF!</v>
      </c>
      <c r="C464" s="146"/>
      <c r="D464" s="197"/>
      <c r="E464" s="197"/>
      <c r="F464" s="197"/>
      <c r="G464" s="144"/>
      <c r="H464" s="144"/>
      <c r="I464" s="197"/>
      <c r="J464" s="197"/>
      <c r="K464" s="197"/>
      <c r="L464" s="257"/>
    </row>
    <row r="465" ht="22.5" customHeight="1">
      <c r="A465" s="250"/>
      <c r="B465" s="272" t="str">
        <f t="shared" si="5"/>
        <v>#REF!</v>
      </c>
      <c r="C465" s="154"/>
      <c r="D465" s="196"/>
      <c r="E465" s="196"/>
      <c r="F465" s="196"/>
      <c r="G465" s="152"/>
      <c r="H465" s="152"/>
      <c r="I465" s="196"/>
      <c r="J465" s="196"/>
      <c r="K465" s="196"/>
      <c r="L465" s="259"/>
    </row>
    <row r="466" ht="22.5" customHeight="1">
      <c r="A466" s="202"/>
      <c r="B466" s="273" t="str">
        <f t="shared" si="5"/>
        <v>#REF!</v>
      </c>
      <c r="C466" s="146"/>
      <c r="D466" s="197"/>
      <c r="E466" s="197"/>
      <c r="F466" s="197"/>
      <c r="G466" s="144"/>
      <c r="H466" s="144"/>
      <c r="I466" s="197"/>
      <c r="J466" s="197"/>
      <c r="K466" s="197"/>
      <c r="L466" s="257"/>
    </row>
    <row r="467" ht="22.5" customHeight="1">
      <c r="A467" s="250"/>
      <c r="B467" s="272" t="str">
        <f t="shared" si="5"/>
        <v>#REF!</v>
      </c>
      <c r="C467" s="154"/>
      <c r="D467" s="196"/>
      <c r="E467" s="196"/>
      <c r="F467" s="196"/>
      <c r="G467" s="152"/>
      <c r="H467" s="152"/>
      <c r="I467" s="196"/>
      <c r="J467" s="196"/>
      <c r="K467" s="196"/>
      <c r="L467" s="259"/>
    </row>
    <row r="468" ht="22.5" customHeight="1">
      <c r="A468" s="202"/>
      <c r="B468" s="273" t="str">
        <f t="shared" si="5"/>
        <v>#REF!</v>
      </c>
      <c r="C468" s="146"/>
      <c r="D468" s="197"/>
      <c r="E468" s="197"/>
      <c r="F468" s="197"/>
      <c r="G468" s="144"/>
      <c r="H468" s="144"/>
      <c r="I468" s="197"/>
      <c r="J468" s="197"/>
      <c r="K468" s="197"/>
      <c r="L468" s="257"/>
    </row>
    <row r="469" ht="22.5" customHeight="1">
      <c r="A469" s="250"/>
      <c r="B469" s="272" t="str">
        <f t="shared" si="5"/>
        <v>#REF!</v>
      </c>
      <c r="C469" s="154"/>
      <c r="D469" s="196"/>
      <c r="E469" s="196"/>
      <c r="F469" s="196"/>
      <c r="G469" s="152"/>
      <c r="H469" s="152"/>
      <c r="I469" s="196"/>
      <c r="J469" s="196"/>
      <c r="K469" s="196"/>
      <c r="L469" s="259"/>
    </row>
    <row r="470" ht="22.5" customHeight="1">
      <c r="A470" s="202"/>
      <c r="B470" s="273" t="str">
        <f t="shared" si="5"/>
        <v>#REF!</v>
      </c>
      <c r="C470" s="146"/>
      <c r="D470" s="197"/>
      <c r="E470" s="197"/>
      <c r="F470" s="197"/>
      <c r="G470" s="144"/>
      <c r="H470" s="144"/>
      <c r="I470" s="197"/>
      <c r="J470" s="197"/>
      <c r="K470" s="197"/>
      <c r="L470" s="257"/>
    </row>
    <row r="471" ht="22.5" customHeight="1">
      <c r="A471" s="250"/>
      <c r="B471" s="272" t="str">
        <f t="shared" si="5"/>
        <v>#REF!</v>
      </c>
      <c r="C471" s="154"/>
      <c r="D471" s="196"/>
      <c r="E471" s="196"/>
      <c r="F471" s="196"/>
      <c r="G471" s="152"/>
      <c r="H471" s="152"/>
      <c r="I471" s="196"/>
      <c r="J471" s="196"/>
      <c r="K471" s="196"/>
      <c r="L471" s="259"/>
    </row>
    <row r="472" ht="22.5" customHeight="1">
      <c r="A472" s="202"/>
      <c r="B472" s="273" t="str">
        <f t="shared" si="5"/>
        <v>#REF!</v>
      </c>
      <c r="C472" s="146"/>
      <c r="D472" s="197"/>
      <c r="E472" s="197"/>
      <c r="F472" s="197"/>
      <c r="G472" s="144"/>
      <c r="H472" s="144"/>
      <c r="I472" s="197"/>
      <c r="J472" s="197"/>
      <c r="K472" s="197"/>
      <c r="L472" s="257"/>
    </row>
    <row r="473" ht="22.5" customHeight="1">
      <c r="A473" s="250"/>
      <c r="B473" s="272" t="str">
        <f t="shared" si="5"/>
        <v>#REF!</v>
      </c>
      <c r="C473" s="154"/>
      <c r="D473" s="196"/>
      <c r="E473" s="196"/>
      <c r="F473" s="196"/>
      <c r="G473" s="152"/>
      <c r="H473" s="152"/>
      <c r="I473" s="196"/>
      <c r="J473" s="196"/>
      <c r="K473" s="196"/>
      <c r="L473" s="259"/>
    </row>
    <row r="474" ht="22.5" customHeight="1">
      <c r="A474" s="202"/>
      <c r="B474" s="273" t="str">
        <f t="shared" si="5"/>
        <v>#REF!</v>
      </c>
      <c r="C474" s="146"/>
      <c r="D474" s="197"/>
      <c r="E474" s="197"/>
      <c r="F474" s="197"/>
      <c r="G474" s="144"/>
      <c r="H474" s="144"/>
      <c r="I474" s="197"/>
      <c r="J474" s="197"/>
      <c r="K474" s="197"/>
      <c r="L474" s="257"/>
    </row>
    <row r="475" ht="22.5" customHeight="1">
      <c r="A475" s="250"/>
      <c r="B475" s="272" t="str">
        <f t="shared" si="5"/>
        <v>#REF!</v>
      </c>
      <c r="C475" s="154"/>
      <c r="D475" s="196"/>
      <c r="E475" s="196"/>
      <c r="F475" s="196"/>
      <c r="G475" s="152"/>
      <c r="H475" s="152"/>
      <c r="I475" s="196"/>
      <c r="J475" s="196"/>
      <c r="K475" s="196"/>
      <c r="L475" s="259"/>
    </row>
    <row r="476" ht="22.5" customHeight="1">
      <c r="A476" s="202"/>
      <c r="B476" s="273" t="str">
        <f t="shared" si="5"/>
        <v>#REF!</v>
      </c>
      <c r="C476" s="146"/>
      <c r="D476" s="197"/>
      <c r="E476" s="197"/>
      <c r="F476" s="197"/>
      <c r="G476" s="144"/>
      <c r="H476" s="144"/>
      <c r="I476" s="197"/>
      <c r="J476" s="197"/>
      <c r="K476" s="197"/>
      <c r="L476" s="257"/>
    </row>
    <row r="477" ht="22.5" customHeight="1">
      <c r="A477" s="250"/>
      <c r="B477" s="272" t="str">
        <f t="shared" si="5"/>
        <v>#REF!</v>
      </c>
      <c r="C477" s="154"/>
      <c r="D477" s="196"/>
      <c r="E477" s="196"/>
      <c r="F477" s="196"/>
      <c r="G477" s="152"/>
      <c r="H477" s="152"/>
      <c r="I477" s="196"/>
      <c r="J477" s="196"/>
      <c r="K477" s="196"/>
      <c r="L477" s="259"/>
    </row>
    <row r="478" ht="22.5" customHeight="1">
      <c r="A478" s="202"/>
      <c r="B478" s="273" t="str">
        <f t="shared" si="5"/>
        <v>#REF!</v>
      </c>
      <c r="C478" s="146"/>
      <c r="D478" s="197"/>
      <c r="E478" s="197"/>
      <c r="F478" s="197"/>
      <c r="G478" s="144"/>
      <c r="H478" s="144"/>
      <c r="I478" s="197"/>
      <c r="J478" s="197"/>
      <c r="K478" s="197"/>
      <c r="L478" s="257"/>
    </row>
    <row r="479" ht="22.5" customHeight="1">
      <c r="A479" s="250"/>
      <c r="B479" s="272" t="str">
        <f t="shared" si="5"/>
        <v>#REF!</v>
      </c>
      <c r="C479" s="154"/>
      <c r="D479" s="196"/>
      <c r="E479" s="196"/>
      <c r="F479" s="196"/>
      <c r="G479" s="152"/>
      <c r="H479" s="152"/>
      <c r="I479" s="196"/>
      <c r="J479" s="196"/>
      <c r="K479" s="196"/>
      <c r="L479" s="259"/>
    </row>
    <row r="480" ht="22.5" customHeight="1">
      <c r="A480" s="202"/>
      <c r="B480" s="273" t="str">
        <f t="shared" si="5"/>
        <v>#REF!</v>
      </c>
      <c r="C480" s="146"/>
      <c r="D480" s="197"/>
      <c r="E480" s="197"/>
      <c r="F480" s="197"/>
      <c r="G480" s="144"/>
      <c r="H480" s="144"/>
      <c r="I480" s="197"/>
      <c r="J480" s="197"/>
      <c r="K480" s="197"/>
      <c r="L480" s="257"/>
    </row>
    <row r="481" ht="22.5" customHeight="1">
      <c r="A481" s="250"/>
      <c r="B481" s="272" t="str">
        <f t="shared" si="5"/>
        <v>#REF!</v>
      </c>
      <c r="C481" s="154"/>
      <c r="D481" s="196"/>
      <c r="E481" s="196"/>
      <c r="F481" s="196"/>
      <c r="G481" s="152"/>
      <c r="H481" s="152"/>
      <c r="I481" s="196"/>
      <c r="J481" s="196"/>
      <c r="K481" s="196"/>
      <c r="L481" s="259"/>
    </row>
    <row r="482" ht="22.5" customHeight="1">
      <c r="A482" s="202"/>
      <c r="B482" s="273" t="str">
        <f t="shared" si="5"/>
        <v>#REF!</v>
      </c>
      <c r="C482" s="146"/>
      <c r="D482" s="197"/>
      <c r="E482" s="197"/>
      <c r="F482" s="197"/>
      <c r="G482" s="144"/>
      <c r="H482" s="144"/>
      <c r="I482" s="197"/>
      <c r="J482" s="197"/>
      <c r="K482" s="197"/>
      <c r="L482" s="257"/>
    </row>
    <row r="483" ht="22.5" customHeight="1">
      <c r="A483" s="250"/>
      <c r="B483" s="272" t="str">
        <f t="shared" si="5"/>
        <v>#REF!</v>
      </c>
      <c r="C483" s="154"/>
      <c r="D483" s="196"/>
      <c r="E483" s="196"/>
      <c r="F483" s="196"/>
      <c r="G483" s="152"/>
      <c r="H483" s="152"/>
      <c r="I483" s="196"/>
      <c r="J483" s="196"/>
      <c r="K483" s="196"/>
      <c r="L483" s="259"/>
    </row>
    <row r="484" ht="22.5" customHeight="1">
      <c r="A484" s="202"/>
      <c r="B484" s="273" t="str">
        <f t="shared" si="5"/>
        <v>#REF!</v>
      </c>
      <c r="C484" s="146"/>
      <c r="D484" s="197"/>
      <c r="E484" s="197"/>
      <c r="F484" s="197"/>
      <c r="G484" s="144"/>
      <c r="H484" s="144"/>
      <c r="I484" s="197"/>
      <c r="J484" s="197"/>
      <c r="K484" s="197"/>
      <c r="L484" s="257"/>
    </row>
    <row r="485" ht="22.5" customHeight="1">
      <c r="A485" s="250"/>
      <c r="B485" s="272" t="str">
        <f t="shared" si="5"/>
        <v>#REF!</v>
      </c>
      <c r="C485" s="154"/>
      <c r="D485" s="196"/>
      <c r="E485" s="196"/>
      <c r="F485" s="196"/>
      <c r="G485" s="152"/>
      <c r="H485" s="152"/>
      <c r="I485" s="196"/>
      <c r="J485" s="196"/>
      <c r="K485" s="196"/>
      <c r="L485" s="259"/>
    </row>
    <row r="486" ht="22.5" customHeight="1">
      <c r="A486" s="202"/>
      <c r="B486" s="273" t="str">
        <f t="shared" si="5"/>
        <v>#REF!</v>
      </c>
      <c r="C486" s="146"/>
      <c r="D486" s="197"/>
      <c r="E486" s="197"/>
      <c r="F486" s="197"/>
      <c r="G486" s="144"/>
      <c r="H486" s="144"/>
      <c r="I486" s="197"/>
      <c r="J486" s="197"/>
      <c r="K486" s="197"/>
      <c r="L486" s="257"/>
    </row>
    <row r="487" ht="22.5" customHeight="1">
      <c r="A487" s="250"/>
      <c r="B487" s="272" t="str">
        <f t="shared" si="5"/>
        <v>#REF!</v>
      </c>
      <c r="C487" s="154"/>
      <c r="D487" s="196"/>
      <c r="E487" s="196"/>
      <c r="F487" s="196"/>
      <c r="G487" s="152"/>
      <c r="H487" s="152"/>
      <c r="I487" s="196"/>
      <c r="J487" s="196"/>
      <c r="K487" s="196"/>
      <c r="L487" s="259"/>
    </row>
    <row r="488" ht="22.5" customHeight="1">
      <c r="A488" s="202"/>
      <c r="B488" s="273" t="str">
        <f t="shared" si="5"/>
        <v>#REF!</v>
      </c>
      <c r="C488" s="146"/>
      <c r="D488" s="197"/>
      <c r="E488" s="197"/>
      <c r="F488" s="197"/>
      <c r="G488" s="144"/>
      <c r="H488" s="144"/>
      <c r="I488" s="197"/>
      <c r="J488" s="197"/>
      <c r="K488" s="197"/>
      <c r="L488" s="257"/>
    </row>
    <row r="489" ht="22.5" customHeight="1">
      <c r="A489" s="250"/>
      <c r="B489" s="272" t="str">
        <f t="shared" si="5"/>
        <v>#REF!</v>
      </c>
      <c r="C489" s="154"/>
      <c r="D489" s="196"/>
      <c r="E489" s="196"/>
      <c r="F489" s="196"/>
      <c r="G489" s="152"/>
      <c r="H489" s="152"/>
      <c r="I489" s="196"/>
      <c r="J489" s="196"/>
      <c r="K489" s="196"/>
      <c r="L489" s="259"/>
    </row>
    <row r="490" ht="22.5" customHeight="1">
      <c r="A490" s="202"/>
      <c r="B490" s="273" t="str">
        <f t="shared" si="5"/>
        <v>#REF!</v>
      </c>
      <c r="C490" s="146"/>
      <c r="D490" s="197"/>
      <c r="E490" s="197"/>
      <c r="F490" s="197"/>
      <c r="G490" s="144"/>
      <c r="H490" s="144"/>
      <c r="I490" s="197"/>
      <c r="J490" s="197"/>
      <c r="K490" s="197"/>
      <c r="L490" s="257"/>
    </row>
    <row r="491" ht="22.5" customHeight="1">
      <c r="A491" s="250"/>
      <c r="B491" s="272" t="str">
        <f t="shared" si="5"/>
        <v>#REF!</v>
      </c>
      <c r="C491" s="154"/>
      <c r="D491" s="196"/>
      <c r="E491" s="196"/>
      <c r="F491" s="196"/>
      <c r="G491" s="152"/>
      <c r="H491" s="152"/>
      <c r="I491" s="196"/>
      <c r="J491" s="196"/>
      <c r="K491" s="196"/>
      <c r="L491" s="259"/>
    </row>
    <row r="492" ht="22.5" customHeight="1">
      <c r="A492" s="202"/>
      <c r="B492" s="273" t="str">
        <f t="shared" si="5"/>
        <v>#REF!</v>
      </c>
      <c r="C492" s="146"/>
      <c r="D492" s="197"/>
      <c r="E492" s="197"/>
      <c r="F492" s="197"/>
      <c r="G492" s="144"/>
      <c r="H492" s="144"/>
      <c r="I492" s="197"/>
      <c r="J492" s="197"/>
      <c r="K492" s="197"/>
      <c r="L492" s="257"/>
    </row>
    <row r="493" ht="22.5" customHeight="1">
      <c r="A493" s="250"/>
      <c r="B493" s="272" t="str">
        <f t="shared" si="5"/>
        <v>#REF!</v>
      </c>
      <c r="C493" s="154"/>
      <c r="D493" s="196"/>
      <c r="E493" s="196"/>
      <c r="F493" s="196"/>
      <c r="G493" s="152"/>
      <c r="H493" s="152"/>
      <c r="I493" s="196"/>
      <c r="J493" s="196"/>
      <c r="K493" s="196"/>
      <c r="L493" s="259"/>
    </row>
    <row r="494" ht="22.5" customHeight="1">
      <c r="A494" s="202"/>
      <c r="B494" s="273" t="str">
        <f t="shared" si="5"/>
        <v>#REF!</v>
      </c>
      <c r="C494" s="146"/>
      <c r="D494" s="197"/>
      <c r="E494" s="197"/>
      <c r="F494" s="197"/>
      <c r="G494" s="144"/>
      <c r="H494" s="144"/>
      <c r="I494" s="197"/>
      <c r="J494" s="197"/>
      <c r="K494" s="197"/>
      <c r="L494" s="257"/>
    </row>
    <row r="495" ht="22.5" customHeight="1">
      <c r="A495" s="250"/>
      <c r="B495" s="272" t="str">
        <f t="shared" si="5"/>
        <v>#REF!</v>
      </c>
      <c r="C495" s="154"/>
      <c r="D495" s="196"/>
      <c r="E495" s="196"/>
      <c r="F495" s="196"/>
      <c r="G495" s="152"/>
      <c r="H495" s="152"/>
      <c r="I495" s="196"/>
      <c r="J495" s="196"/>
      <c r="K495" s="196"/>
      <c r="L495" s="259"/>
    </row>
    <row r="496" ht="22.5" customHeight="1">
      <c r="A496" s="202"/>
      <c r="B496" s="273" t="str">
        <f t="shared" si="5"/>
        <v>#REF!</v>
      </c>
      <c r="C496" s="146"/>
      <c r="D496" s="197"/>
      <c r="E496" s="197"/>
      <c r="F496" s="197"/>
      <c r="G496" s="144"/>
      <c r="H496" s="144"/>
      <c r="I496" s="197"/>
      <c r="J496" s="197"/>
      <c r="K496" s="197"/>
      <c r="L496" s="257"/>
    </row>
    <row r="497" ht="22.5" customHeight="1">
      <c r="A497" s="250"/>
      <c r="B497" s="272" t="str">
        <f t="shared" si="5"/>
        <v>#REF!</v>
      </c>
      <c r="C497" s="154"/>
      <c r="D497" s="196"/>
      <c r="E497" s="196"/>
      <c r="F497" s="196"/>
      <c r="G497" s="152"/>
      <c r="H497" s="152"/>
      <c r="I497" s="196"/>
      <c r="J497" s="196"/>
      <c r="K497" s="196"/>
      <c r="L497" s="259"/>
    </row>
    <row r="498" ht="22.5" customHeight="1">
      <c r="A498" s="202"/>
      <c r="B498" s="273" t="str">
        <f t="shared" si="5"/>
        <v>#REF!</v>
      </c>
      <c r="C498" s="146"/>
      <c r="D498" s="197"/>
      <c r="E498" s="197"/>
      <c r="F498" s="197"/>
      <c r="G498" s="144"/>
      <c r="H498" s="144"/>
      <c r="I498" s="197"/>
      <c r="J498" s="197"/>
      <c r="K498" s="197"/>
      <c r="L498" s="257"/>
    </row>
    <row r="499" ht="22.5" customHeight="1">
      <c r="A499" s="250"/>
      <c r="B499" s="272" t="str">
        <f t="shared" si="5"/>
        <v>#REF!</v>
      </c>
      <c r="C499" s="154"/>
      <c r="D499" s="196"/>
      <c r="E499" s="196"/>
      <c r="F499" s="196"/>
      <c r="G499" s="152"/>
      <c r="H499" s="152"/>
      <c r="I499" s="196"/>
      <c r="J499" s="196"/>
      <c r="K499" s="196"/>
      <c r="L499" s="259"/>
    </row>
    <row r="500" ht="22.5" customHeight="1">
      <c r="A500" s="202"/>
      <c r="B500" s="273" t="str">
        <f t="shared" si="5"/>
        <v>#REF!</v>
      </c>
      <c r="C500" s="146"/>
      <c r="D500" s="197"/>
      <c r="E500" s="197"/>
      <c r="F500" s="197"/>
      <c r="G500" s="144"/>
      <c r="H500" s="144"/>
      <c r="I500" s="197"/>
      <c r="J500" s="197"/>
      <c r="K500" s="197"/>
      <c r="L500" s="257"/>
    </row>
    <row r="501" ht="22.5" customHeight="1">
      <c r="A501" s="250"/>
      <c r="B501" s="272" t="str">
        <f t="shared" si="5"/>
        <v>#REF!</v>
      </c>
      <c r="C501" s="154"/>
      <c r="D501" s="196"/>
      <c r="E501" s="196"/>
      <c r="F501" s="196"/>
      <c r="G501" s="152"/>
      <c r="H501" s="152"/>
      <c r="I501" s="196"/>
      <c r="J501" s="196"/>
      <c r="K501" s="196"/>
      <c r="L501" s="259"/>
    </row>
    <row r="502" ht="22.5" customHeight="1">
      <c r="A502" s="202"/>
      <c r="B502" s="273" t="str">
        <f t="shared" si="5"/>
        <v>#REF!</v>
      </c>
      <c r="C502" s="146"/>
      <c r="D502" s="197"/>
      <c r="E502" s="197"/>
      <c r="F502" s="197"/>
      <c r="G502" s="144"/>
      <c r="H502" s="144"/>
      <c r="I502" s="197"/>
      <c r="J502" s="197"/>
      <c r="K502" s="197"/>
      <c r="L502" s="257"/>
    </row>
    <row r="503" ht="22.5" customHeight="1">
      <c r="A503" s="250"/>
      <c r="B503" s="272" t="str">
        <f t="shared" si="5"/>
        <v>#REF!</v>
      </c>
      <c r="C503" s="154"/>
      <c r="D503" s="196"/>
      <c r="E503" s="196"/>
      <c r="F503" s="196"/>
      <c r="G503" s="152"/>
      <c r="H503" s="152"/>
      <c r="I503" s="196"/>
      <c r="J503" s="196"/>
      <c r="K503" s="196"/>
      <c r="L503" s="259"/>
    </row>
    <row r="504" ht="22.5" customHeight="1">
      <c r="A504" s="202"/>
      <c r="B504" s="273" t="str">
        <f t="shared" si="5"/>
        <v>#REF!</v>
      </c>
      <c r="C504" s="146"/>
      <c r="D504" s="197"/>
      <c r="E504" s="197"/>
      <c r="F504" s="197"/>
      <c r="G504" s="144"/>
      <c r="H504" s="144"/>
      <c r="I504" s="197"/>
      <c r="J504" s="197"/>
      <c r="K504" s="197"/>
      <c r="L504" s="257"/>
    </row>
    <row r="505" ht="22.5" customHeight="1">
      <c r="A505" s="250"/>
      <c r="B505" s="272" t="str">
        <f t="shared" si="5"/>
        <v>#REF!</v>
      </c>
      <c r="C505" s="154"/>
      <c r="D505" s="196"/>
      <c r="E505" s="196"/>
      <c r="F505" s="196"/>
      <c r="G505" s="152"/>
      <c r="H505" s="152"/>
      <c r="I505" s="196"/>
      <c r="J505" s="196"/>
      <c r="K505" s="196"/>
      <c r="L505" s="259"/>
    </row>
    <row r="506" ht="22.5" customHeight="1">
      <c r="A506" s="202"/>
      <c r="B506" s="273" t="str">
        <f t="shared" si="5"/>
        <v>#REF!</v>
      </c>
      <c r="C506" s="146"/>
      <c r="D506" s="197"/>
      <c r="E506" s="197"/>
      <c r="F506" s="197"/>
      <c r="G506" s="144"/>
      <c r="H506" s="144"/>
      <c r="I506" s="197"/>
      <c r="J506" s="197"/>
      <c r="K506" s="197"/>
      <c r="L506" s="257"/>
    </row>
    <row r="507" ht="22.5" customHeight="1">
      <c r="A507" s="250"/>
      <c r="B507" s="272" t="str">
        <f t="shared" si="5"/>
        <v>#REF!</v>
      </c>
      <c r="C507" s="154"/>
      <c r="D507" s="196"/>
      <c r="E507" s="196"/>
      <c r="F507" s="196"/>
      <c r="G507" s="152"/>
      <c r="H507" s="152"/>
      <c r="I507" s="196"/>
      <c r="J507" s="196"/>
      <c r="K507" s="196"/>
      <c r="L507" s="259"/>
    </row>
    <row r="508" ht="22.5" customHeight="1">
      <c r="A508" s="202"/>
      <c r="B508" s="273" t="str">
        <f t="shared" si="5"/>
        <v>#REF!</v>
      </c>
      <c r="C508" s="146"/>
      <c r="D508" s="197"/>
      <c r="E508" s="197"/>
      <c r="F508" s="197"/>
      <c r="G508" s="144"/>
      <c r="H508" s="144"/>
      <c r="I508" s="197"/>
      <c r="J508" s="197"/>
      <c r="K508" s="197"/>
      <c r="L508" s="257"/>
    </row>
    <row r="509" ht="22.5" customHeight="1">
      <c r="A509" s="250"/>
      <c r="B509" s="272" t="str">
        <f t="shared" si="5"/>
        <v>#REF!</v>
      </c>
      <c r="C509" s="154"/>
      <c r="D509" s="196"/>
      <c r="E509" s="196"/>
      <c r="F509" s="196"/>
      <c r="G509" s="152"/>
      <c r="H509" s="152"/>
      <c r="I509" s="196"/>
      <c r="J509" s="196"/>
      <c r="K509" s="196"/>
      <c r="L509" s="259"/>
    </row>
    <row r="510" ht="22.5" customHeight="1">
      <c r="A510" s="202"/>
      <c r="B510" s="273" t="str">
        <f t="shared" si="5"/>
        <v>#REF!</v>
      </c>
      <c r="C510" s="146"/>
      <c r="D510" s="197"/>
      <c r="E510" s="197"/>
      <c r="F510" s="197"/>
      <c r="G510" s="144"/>
      <c r="H510" s="144"/>
      <c r="I510" s="197"/>
      <c r="J510" s="197"/>
      <c r="K510" s="197"/>
      <c r="L510" s="257"/>
    </row>
    <row r="511" ht="22.5" customHeight="1">
      <c r="A511" s="250"/>
      <c r="B511" s="272" t="str">
        <f t="shared" si="5"/>
        <v>#REF!</v>
      </c>
      <c r="C511" s="154"/>
      <c r="D511" s="196"/>
      <c r="E511" s="196"/>
      <c r="F511" s="196"/>
      <c r="G511" s="152"/>
      <c r="H511" s="152"/>
      <c r="I511" s="196"/>
      <c r="J511" s="196"/>
      <c r="K511" s="196"/>
      <c r="L511" s="259"/>
    </row>
    <row r="512" ht="22.5" customHeight="1">
      <c r="A512" s="202"/>
      <c r="B512" s="273" t="str">
        <f t="shared" si="5"/>
        <v>#REF!</v>
      </c>
      <c r="C512" s="146"/>
      <c r="D512" s="197"/>
      <c r="E512" s="197"/>
      <c r="F512" s="197"/>
      <c r="G512" s="144"/>
      <c r="H512" s="144"/>
      <c r="I512" s="197"/>
      <c r="J512" s="197"/>
      <c r="K512" s="197"/>
      <c r="L512" s="257"/>
    </row>
    <row r="513" ht="22.5" customHeight="1">
      <c r="A513" s="250"/>
      <c r="B513" s="272" t="str">
        <f t="shared" si="5"/>
        <v>#REF!</v>
      </c>
      <c r="C513" s="154"/>
      <c r="D513" s="196"/>
      <c r="E513" s="196"/>
      <c r="F513" s="196"/>
      <c r="G513" s="152"/>
      <c r="H513" s="152"/>
      <c r="I513" s="196"/>
      <c r="J513" s="196"/>
      <c r="K513" s="196"/>
      <c r="L513" s="259"/>
    </row>
    <row r="514" ht="22.5" customHeight="1">
      <c r="A514" s="202"/>
      <c r="B514" s="273" t="str">
        <f t="shared" si="5"/>
        <v>#REF!</v>
      </c>
      <c r="C514" s="146"/>
      <c r="D514" s="197"/>
      <c r="E514" s="197"/>
      <c r="F514" s="197"/>
      <c r="G514" s="144"/>
      <c r="H514" s="144"/>
      <c r="I514" s="197"/>
      <c r="J514" s="197"/>
      <c r="K514" s="197"/>
      <c r="L514" s="257"/>
    </row>
    <row r="515" ht="22.5" customHeight="1">
      <c r="A515" s="250"/>
      <c r="B515" s="272" t="str">
        <f t="shared" si="5"/>
        <v>#REF!</v>
      </c>
      <c r="C515" s="154"/>
      <c r="D515" s="196"/>
      <c r="E515" s="196"/>
      <c r="F515" s="196"/>
      <c r="G515" s="152"/>
      <c r="H515" s="152"/>
      <c r="I515" s="196"/>
      <c r="J515" s="196"/>
      <c r="K515" s="196"/>
      <c r="L515" s="259"/>
    </row>
    <row r="516" ht="22.5" customHeight="1">
      <c r="A516" s="202"/>
      <c r="B516" s="273" t="str">
        <f t="shared" si="5"/>
        <v>#REF!</v>
      </c>
      <c r="C516" s="146"/>
      <c r="D516" s="197"/>
      <c r="E516" s="197"/>
      <c r="F516" s="197"/>
      <c r="G516" s="144"/>
      <c r="H516" s="144"/>
      <c r="I516" s="197"/>
      <c r="J516" s="197"/>
      <c r="K516" s="197"/>
      <c r="L516" s="257"/>
    </row>
    <row r="517" ht="22.5" customHeight="1">
      <c r="A517" s="250"/>
      <c r="B517" s="272" t="str">
        <f t="shared" si="5"/>
        <v>#REF!</v>
      </c>
      <c r="C517" s="154"/>
      <c r="D517" s="196"/>
      <c r="E517" s="196"/>
      <c r="F517" s="196"/>
      <c r="G517" s="152"/>
      <c r="H517" s="152"/>
      <c r="I517" s="196"/>
      <c r="J517" s="196"/>
      <c r="K517" s="196"/>
      <c r="L517" s="259"/>
    </row>
    <row r="518" ht="22.5" customHeight="1">
      <c r="A518" s="202"/>
      <c r="B518" s="273" t="str">
        <f t="shared" si="5"/>
        <v>#REF!</v>
      </c>
      <c r="C518" s="146"/>
      <c r="D518" s="197"/>
      <c r="E518" s="197"/>
      <c r="F518" s="197"/>
      <c r="G518" s="144"/>
      <c r="H518" s="144"/>
      <c r="I518" s="197"/>
      <c r="J518" s="197"/>
      <c r="K518" s="197"/>
      <c r="L518" s="257"/>
    </row>
    <row r="519" ht="22.5" customHeight="1">
      <c r="A519" s="250"/>
      <c r="B519" s="272" t="str">
        <f t="shared" si="5"/>
        <v>#REF!</v>
      </c>
      <c r="C519" s="154"/>
      <c r="D519" s="196"/>
      <c r="E519" s="196"/>
      <c r="F519" s="196"/>
      <c r="G519" s="152"/>
      <c r="H519" s="152"/>
      <c r="I519" s="196"/>
      <c r="J519" s="196"/>
      <c r="K519" s="196"/>
      <c r="L519" s="259"/>
    </row>
    <row r="520" ht="22.5" customHeight="1">
      <c r="A520" s="202"/>
      <c r="B520" s="273" t="str">
        <f t="shared" si="5"/>
        <v>#REF!</v>
      </c>
      <c r="C520" s="146"/>
      <c r="D520" s="197"/>
      <c r="E520" s="197"/>
      <c r="F520" s="197"/>
      <c r="G520" s="144"/>
      <c r="H520" s="144"/>
      <c r="I520" s="197"/>
      <c r="J520" s="197"/>
      <c r="K520" s="197"/>
      <c r="L520" s="257"/>
    </row>
    <row r="521" ht="22.5" customHeight="1">
      <c r="A521" s="250"/>
      <c r="B521" s="272" t="str">
        <f t="shared" si="5"/>
        <v>#REF!</v>
      </c>
      <c r="C521" s="154"/>
      <c r="D521" s="196"/>
      <c r="E521" s="196"/>
      <c r="F521" s="196"/>
      <c r="G521" s="152"/>
      <c r="H521" s="152"/>
      <c r="I521" s="196"/>
      <c r="J521" s="196"/>
      <c r="K521" s="196"/>
      <c r="L521" s="259"/>
    </row>
    <row r="522" ht="22.5" customHeight="1">
      <c r="A522" s="202"/>
      <c r="B522" s="273" t="str">
        <f t="shared" si="5"/>
        <v>#REF!</v>
      </c>
      <c r="C522" s="146"/>
      <c r="D522" s="197"/>
      <c r="E522" s="197"/>
      <c r="F522" s="197"/>
      <c r="G522" s="144"/>
      <c r="H522" s="144"/>
      <c r="I522" s="197"/>
      <c r="J522" s="197"/>
      <c r="K522" s="197"/>
      <c r="L522" s="257"/>
    </row>
    <row r="523" ht="22.5" customHeight="1">
      <c r="A523" s="250"/>
      <c r="B523" s="272" t="str">
        <f t="shared" si="5"/>
        <v>#REF!</v>
      </c>
      <c r="C523" s="154"/>
      <c r="D523" s="196"/>
      <c r="E523" s="196"/>
      <c r="F523" s="196"/>
      <c r="G523" s="152"/>
      <c r="H523" s="152"/>
      <c r="I523" s="196"/>
      <c r="J523" s="196"/>
      <c r="K523" s="196"/>
      <c r="L523" s="259"/>
    </row>
    <row r="524" ht="22.5" customHeight="1">
      <c r="A524" s="202"/>
      <c r="B524" s="273" t="str">
        <f t="shared" si="5"/>
        <v>#REF!</v>
      </c>
      <c r="C524" s="146"/>
      <c r="D524" s="197"/>
      <c r="E524" s="197"/>
      <c r="F524" s="197"/>
      <c r="G524" s="144"/>
      <c r="H524" s="144"/>
      <c r="I524" s="197"/>
      <c r="J524" s="197"/>
      <c r="K524" s="197"/>
      <c r="L524" s="257"/>
    </row>
    <row r="525" ht="22.5" customHeight="1">
      <c r="A525" s="250"/>
      <c r="B525" s="272" t="str">
        <f t="shared" si="5"/>
        <v>#REF!</v>
      </c>
      <c r="C525" s="154"/>
      <c r="D525" s="196"/>
      <c r="E525" s="196"/>
      <c r="F525" s="196"/>
      <c r="G525" s="152"/>
      <c r="H525" s="152"/>
      <c r="I525" s="196"/>
      <c r="J525" s="196"/>
      <c r="K525" s="196"/>
      <c r="L525" s="259"/>
    </row>
    <row r="526" ht="22.5" customHeight="1">
      <c r="A526" s="202"/>
      <c r="B526" s="273" t="str">
        <f t="shared" si="5"/>
        <v>#REF!</v>
      </c>
      <c r="C526" s="146"/>
      <c r="D526" s="197"/>
      <c r="E526" s="197"/>
      <c r="F526" s="197"/>
      <c r="G526" s="144"/>
      <c r="H526" s="144"/>
      <c r="I526" s="197"/>
      <c r="J526" s="197"/>
      <c r="K526" s="197"/>
      <c r="L526" s="257"/>
    </row>
    <row r="527" ht="22.5" customHeight="1">
      <c r="A527" s="250"/>
      <c r="B527" s="272" t="str">
        <f t="shared" si="5"/>
        <v>#REF!</v>
      </c>
      <c r="C527" s="154"/>
      <c r="D527" s="196"/>
      <c r="E527" s="196"/>
      <c r="F527" s="196"/>
      <c r="G527" s="152"/>
      <c r="H527" s="152"/>
      <c r="I527" s="196"/>
      <c r="J527" s="196"/>
      <c r="K527" s="196"/>
      <c r="L527" s="259"/>
    </row>
    <row r="528" ht="22.5" customHeight="1">
      <c r="A528" s="202"/>
      <c r="B528" s="273" t="str">
        <f t="shared" si="5"/>
        <v>#REF!</v>
      </c>
      <c r="C528" s="146"/>
      <c r="D528" s="197"/>
      <c r="E528" s="197"/>
      <c r="F528" s="197"/>
      <c r="G528" s="144"/>
      <c r="H528" s="144"/>
      <c r="I528" s="197"/>
      <c r="J528" s="197"/>
      <c r="K528" s="197"/>
      <c r="L528" s="257"/>
    </row>
    <row r="529" ht="22.5" customHeight="1">
      <c r="A529" s="250"/>
      <c r="B529" s="272" t="str">
        <f t="shared" si="5"/>
        <v>#REF!</v>
      </c>
      <c r="C529" s="154"/>
      <c r="D529" s="196"/>
      <c r="E529" s="196"/>
      <c r="F529" s="196"/>
      <c r="G529" s="152"/>
      <c r="H529" s="152"/>
      <c r="I529" s="196"/>
      <c r="J529" s="196"/>
      <c r="K529" s="196"/>
      <c r="L529" s="259"/>
    </row>
    <row r="530" ht="22.5" customHeight="1">
      <c r="A530" s="202"/>
      <c r="B530" s="273" t="str">
        <f t="shared" si="5"/>
        <v>#REF!</v>
      </c>
      <c r="C530" s="146"/>
      <c r="D530" s="197"/>
      <c r="E530" s="197"/>
      <c r="F530" s="197"/>
      <c r="G530" s="144"/>
      <c r="H530" s="144"/>
      <c r="I530" s="197"/>
      <c r="J530" s="197"/>
      <c r="K530" s="197"/>
      <c r="L530" s="257"/>
    </row>
    <row r="531" ht="22.5" customHeight="1">
      <c r="A531" s="250"/>
      <c r="B531" s="272" t="str">
        <f t="shared" si="5"/>
        <v>#REF!</v>
      </c>
      <c r="C531" s="154"/>
      <c r="D531" s="196"/>
      <c r="E531" s="196"/>
      <c r="F531" s="196"/>
      <c r="G531" s="152"/>
      <c r="H531" s="152"/>
      <c r="I531" s="196"/>
      <c r="J531" s="196"/>
      <c r="K531" s="196"/>
      <c r="L531" s="259"/>
    </row>
    <row r="532" ht="22.5" customHeight="1">
      <c r="A532" s="202"/>
      <c r="B532" s="273" t="str">
        <f t="shared" si="5"/>
        <v>#REF!</v>
      </c>
      <c r="C532" s="146"/>
      <c r="D532" s="197"/>
      <c r="E532" s="197"/>
      <c r="F532" s="197"/>
      <c r="G532" s="144"/>
      <c r="H532" s="144"/>
      <c r="I532" s="197"/>
      <c r="J532" s="197"/>
      <c r="K532" s="197"/>
      <c r="L532" s="257"/>
    </row>
    <row r="533" ht="22.5" customHeight="1">
      <c r="A533" s="250"/>
      <c r="B533" s="272" t="str">
        <f t="shared" si="5"/>
        <v>#REF!</v>
      </c>
      <c r="C533" s="154"/>
      <c r="D533" s="196"/>
      <c r="E533" s="196"/>
      <c r="F533" s="196"/>
      <c r="G533" s="152"/>
      <c r="H533" s="152"/>
      <c r="I533" s="196"/>
      <c r="J533" s="196"/>
      <c r="K533" s="196"/>
      <c r="L533" s="259"/>
    </row>
    <row r="534" ht="22.5" customHeight="1">
      <c r="A534" s="202"/>
      <c r="B534" s="273" t="str">
        <f t="shared" si="5"/>
        <v>#REF!</v>
      </c>
      <c r="C534" s="146"/>
      <c r="D534" s="197"/>
      <c r="E534" s="197"/>
      <c r="F534" s="197"/>
      <c r="G534" s="144"/>
      <c r="H534" s="144"/>
      <c r="I534" s="197"/>
      <c r="J534" s="197"/>
      <c r="K534" s="197"/>
      <c r="L534" s="257"/>
    </row>
    <row r="535" ht="22.5" customHeight="1">
      <c r="A535" s="250"/>
      <c r="B535" s="272" t="str">
        <f t="shared" si="5"/>
        <v>#REF!</v>
      </c>
      <c r="C535" s="154"/>
      <c r="D535" s="196"/>
      <c r="E535" s="196"/>
      <c r="F535" s="196"/>
      <c r="G535" s="152"/>
      <c r="H535" s="152"/>
      <c r="I535" s="196"/>
      <c r="J535" s="196"/>
      <c r="K535" s="196"/>
      <c r="L535" s="259"/>
    </row>
    <row r="536" ht="22.5" customHeight="1">
      <c r="A536" s="202"/>
      <c r="B536" s="273" t="str">
        <f t="shared" si="5"/>
        <v>#REF!</v>
      </c>
      <c r="C536" s="146"/>
      <c r="D536" s="197"/>
      <c r="E536" s="197"/>
      <c r="F536" s="197"/>
      <c r="G536" s="144"/>
      <c r="H536" s="144"/>
      <c r="I536" s="197"/>
      <c r="J536" s="197"/>
      <c r="K536" s="197"/>
      <c r="L536" s="257"/>
    </row>
    <row r="537" ht="22.5" customHeight="1">
      <c r="A537" s="250"/>
      <c r="B537" s="272" t="str">
        <f t="shared" si="5"/>
        <v>#REF!</v>
      </c>
      <c r="C537" s="154"/>
      <c r="D537" s="196"/>
      <c r="E537" s="196"/>
      <c r="F537" s="196"/>
      <c r="G537" s="152"/>
      <c r="H537" s="152"/>
      <c r="I537" s="196"/>
      <c r="J537" s="196"/>
      <c r="K537" s="196"/>
      <c r="L537" s="259"/>
    </row>
    <row r="538" ht="22.5" customHeight="1">
      <c r="A538" s="202"/>
      <c r="B538" s="273" t="str">
        <f t="shared" si="5"/>
        <v>#REF!</v>
      </c>
      <c r="C538" s="146"/>
      <c r="D538" s="197"/>
      <c r="E538" s="197"/>
      <c r="F538" s="197"/>
      <c r="G538" s="144"/>
      <c r="H538" s="144"/>
      <c r="I538" s="197"/>
      <c r="J538" s="197"/>
      <c r="K538" s="197"/>
      <c r="L538" s="257"/>
    </row>
    <row r="539" ht="22.5" customHeight="1">
      <c r="A539" s="250"/>
      <c r="B539" s="272" t="str">
        <f t="shared" si="5"/>
        <v>#REF!</v>
      </c>
      <c r="C539" s="154"/>
      <c r="D539" s="196"/>
      <c r="E539" s="196"/>
      <c r="F539" s="196"/>
      <c r="G539" s="152"/>
      <c r="H539" s="152"/>
      <c r="I539" s="196"/>
      <c r="J539" s="196"/>
      <c r="K539" s="196"/>
      <c r="L539" s="259"/>
    </row>
    <row r="540" ht="22.5" customHeight="1">
      <c r="A540" s="202"/>
      <c r="B540" s="273" t="str">
        <f t="shared" si="5"/>
        <v>#REF!</v>
      </c>
      <c r="C540" s="146"/>
      <c r="D540" s="197"/>
      <c r="E540" s="197"/>
      <c r="F540" s="197"/>
      <c r="G540" s="144"/>
      <c r="H540" s="144"/>
      <c r="I540" s="197"/>
      <c r="J540" s="197"/>
      <c r="K540" s="197"/>
      <c r="L540" s="257"/>
    </row>
    <row r="541" ht="22.5" customHeight="1">
      <c r="A541" s="250"/>
      <c r="B541" s="272" t="str">
        <f t="shared" si="5"/>
        <v>#REF!</v>
      </c>
      <c r="C541" s="154"/>
      <c r="D541" s="196"/>
      <c r="E541" s="196"/>
      <c r="F541" s="196"/>
      <c r="G541" s="152"/>
      <c r="H541" s="152"/>
      <c r="I541" s="196"/>
      <c r="J541" s="196"/>
      <c r="K541" s="196"/>
      <c r="L541" s="259"/>
    </row>
    <row r="542" ht="22.5" customHeight="1">
      <c r="A542" s="202"/>
      <c r="B542" s="273" t="str">
        <f t="shared" si="5"/>
        <v>#REF!</v>
      </c>
      <c r="C542" s="146"/>
      <c r="D542" s="197"/>
      <c r="E542" s="197"/>
      <c r="F542" s="197"/>
      <c r="G542" s="144"/>
      <c r="H542" s="144"/>
      <c r="I542" s="197"/>
      <c r="J542" s="197"/>
      <c r="K542" s="197"/>
      <c r="L542" s="257"/>
    </row>
    <row r="543" ht="22.5" customHeight="1">
      <c r="A543" s="250"/>
      <c r="B543" s="272" t="str">
        <f t="shared" si="5"/>
        <v>#REF!</v>
      </c>
      <c r="C543" s="154"/>
      <c r="D543" s="196"/>
      <c r="E543" s="196"/>
      <c r="F543" s="196"/>
      <c r="G543" s="152"/>
      <c r="H543" s="152"/>
      <c r="I543" s="196"/>
      <c r="J543" s="196"/>
      <c r="K543" s="196"/>
      <c r="L543" s="259"/>
    </row>
    <row r="544" ht="22.5" customHeight="1">
      <c r="A544" s="202"/>
      <c r="B544" s="273" t="str">
        <f t="shared" si="5"/>
        <v>#REF!</v>
      </c>
      <c r="C544" s="146"/>
      <c r="D544" s="197"/>
      <c r="E544" s="197"/>
      <c r="F544" s="197"/>
      <c r="G544" s="144"/>
      <c r="H544" s="144"/>
      <c r="I544" s="197"/>
      <c r="J544" s="197"/>
      <c r="K544" s="197"/>
      <c r="L544" s="257"/>
    </row>
    <row r="545" ht="22.5" customHeight="1">
      <c r="A545" s="250"/>
      <c r="B545" s="272" t="str">
        <f t="shared" si="5"/>
        <v>#REF!</v>
      </c>
      <c r="C545" s="154"/>
      <c r="D545" s="196"/>
      <c r="E545" s="196"/>
      <c r="F545" s="196"/>
      <c r="G545" s="152"/>
      <c r="H545" s="152"/>
      <c r="I545" s="196"/>
      <c r="J545" s="196"/>
      <c r="K545" s="196"/>
      <c r="L545" s="259"/>
    </row>
    <row r="546" ht="22.5" customHeight="1">
      <c r="A546" s="202"/>
      <c r="B546" s="273" t="str">
        <f t="shared" si="5"/>
        <v>#REF!</v>
      </c>
      <c r="C546" s="146"/>
      <c r="D546" s="197"/>
      <c r="E546" s="197"/>
      <c r="F546" s="197"/>
      <c r="G546" s="144"/>
      <c r="H546" s="144"/>
      <c r="I546" s="197"/>
      <c r="J546" s="197"/>
      <c r="K546" s="197"/>
      <c r="L546" s="257"/>
    </row>
    <row r="547" ht="22.5" customHeight="1">
      <c r="A547" s="250"/>
      <c r="B547" s="272" t="str">
        <f t="shared" si="5"/>
        <v>#REF!</v>
      </c>
      <c r="C547" s="154"/>
      <c r="D547" s="196"/>
      <c r="E547" s="196"/>
      <c r="F547" s="196"/>
      <c r="G547" s="152"/>
      <c r="H547" s="152"/>
      <c r="I547" s="196"/>
      <c r="J547" s="196"/>
      <c r="K547" s="196"/>
      <c r="L547" s="259"/>
    </row>
    <row r="548" ht="22.5" customHeight="1">
      <c r="A548" s="202"/>
      <c r="B548" s="273" t="str">
        <f t="shared" si="5"/>
        <v>#REF!</v>
      </c>
      <c r="C548" s="146"/>
      <c r="D548" s="197"/>
      <c r="E548" s="197"/>
      <c r="F548" s="197"/>
      <c r="G548" s="144"/>
      <c r="H548" s="144"/>
      <c r="I548" s="197"/>
      <c r="J548" s="197"/>
      <c r="K548" s="197"/>
      <c r="L548" s="257"/>
    </row>
    <row r="549" ht="22.5" customHeight="1">
      <c r="A549" s="250"/>
      <c r="B549" s="272" t="str">
        <f t="shared" si="5"/>
        <v>#REF!</v>
      </c>
      <c r="C549" s="154"/>
      <c r="D549" s="196"/>
      <c r="E549" s="196"/>
      <c r="F549" s="196"/>
      <c r="G549" s="152"/>
      <c r="H549" s="152"/>
      <c r="I549" s="196"/>
      <c r="J549" s="196"/>
      <c r="K549" s="196"/>
      <c r="L549" s="259"/>
    </row>
    <row r="550" ht="22.5" customHeight="1">
      <c r="A550" s="202"/>
      <c r="B550" s="273" t="str">
        <f t="shared" si="5"/>
        <v>#REF!</v>
      </c>
      <c r="C550" s="146"/>
      <c r="D550" s="197"/>
      <c r="E550" s="197"/>
      <c r="F550" s="197"/>
      <c r="G550" s="144"/>
      <c r="H550" s="144"/>
      <c r="I550" s="197"/>
      <c r="J550" s="197"/>
      <c r="K550" s="197"/>
      <c r="L550" s="257"/>
    </row>
    <row r="551" ht="22.5" customHeight="1">
      <c r="A551" s="250"/>
      <c r="B551" s="272" t="str">
        <f t="shared" si="5"/>
        <v>#REF!</v>
      </c>
      <c r="C551" s="154"/>
      <c r="D551" s="196"/>
      <c r="E551" s="196"/>
      <c r="F551" s="196"/>
      <c r="G551" s="152"/>
      <c r="H551" s="152"/>
      <c r="I551" s="196"/>
      <c r="J551" s="196"/>
      <c r="K551" s="196"/>
      <c r="L551" s="259"/>
    </row>
    <row r="552" ht="22.5" customHeight="1">
      <c r="A552" s="202"/>
      <c r="B552" s="273" t="str">
        <f t="shared" si="5"/>
        <v>#REF!</v>
      </c>
      <c r="C552" s="146"/>
      <c r="D552" s="197"/>
      <c r="E552" s="197"/>
      <c r="F552" s="197"/>
      <c r="G552" s="144"/>
      <c r="H552" s="144"/>
      <c r="I552" s="197"/>
      <c r="J552" s="197"/>
      <c r="K552" s="197"/>
      <c r="L552" s="257"/>
    </row>
    <row r="553" ht="22.5" customHeight="1">
      <c r="A553" s="250"/>
      <c r="B553" s="272" t="str">
        <f t="shared" si="5"/>
        <v>#REF!</v>
      </c>
      <c r="C553" s="154"/>
      <c r="D553" s="196"/>
      <c r="E553" s="196"/>
      <c r="F553" s="196"/>
      <c r="G553" s="152"/>
      <c r="H553" s="152"/>
      <c r="I553" s="196"/>
      <c r="J553" s="196"/>
      <c r="K553" s="196"/>
      <c r="L553" s="259"/>
    </row>
    <row r="554" ht="22.5" customHeight="1">
      <c r="A554" s="202"/>
      <c r="B554" s="273" t="str">
        <f t="shared" si="5"/>
        <v>#REF!</v>
      </c>
      <c r="C554" s="146"/>
      <c r="D554" s="197"/>
      <c r="E554" s="197"/>
      <c r="F554" s="197"/>
      <c r="G554" s="144"/>
      <c r="H554" s="144"/>
      <c r="I554" s="197"/>
      <c r="J554" s="197"/>
      <c r="K554" s="197"/>
      <c r="L554" s="257"/>
    </row>
    <row r="555" ht="22.5" customHeight="1">
      <c r="A555" s="250"/>
      <c r="B555" s="272" t="str">
        <f t="shared" si="5"/>
        <v>#REF!</v>
      </c>
      <c r="C555" s="154"/>
      <c r="D555" s="196"/>
      <c r="E555" s="196"/>
      <c r="F555" s="196"/>
      <c r="G555" s="152"/>
      <c r="H555" s="152"/>
      <c r="I555" s="196"/>
      <c r="J555" s="196"/>
      <c r="K555" s="196"/>
      <c r="L555" s="259"/>
    </row>
    <row r="556" ht="22.5" customHeight="1">
      <c r="A556" s="202"/>
      <c r="B556" s="273" t="str">
        <f t="shared" si="5"/>
        <v>#REF!</v>
      </c>
      <c r="C556" s="146"/>
      <c r="D556" s="197"/>
      <c r="E556" s="197"/>
      <c r="F556" s="197"/>
      <c r="G556" s="144"/>
      <c r="H556" s="144"/>
      <c r="I556" s="197"/>
      <c r="J556" s="197"/>
      <c r="K556" s="197"/>
      <c r="L556" s="257"/>
    </row>
    <row r="557" ht="22.5" customHeight="1">
      <c r="A557" s="250"/>
      <c r="B557" s="272" t="str">
        <f t="shared" si="5"/>
        <v>#REF!</v>
      </c>
      <c r="C557" s="154"/>
      <c r="D557" s="196"/>
      <c r="E557" s="196"/>
      <c r="F557" s="196"/>
      <c r="G557" s="152"/>
      <c r="H557" s="152"/>
      <c r="I557" s="196"/>
      <c r="J557" s="196"/>
      <c r="K557" s="196"/>
      <c r="L557" s="259"/>
    </row>
    <row r="558" ht="22.5" customHeight="1">
      <c r="A558" s="202"/>
      <c r="B558" s="273" t="str">
        <f t="shared" si="5"/>
        <v>#REF!</v>
      </c>
      <c r="C558" s="146"/>
      <c r="D558" s="197"/>
      <c r="E558" s="197"/>
      <c r="F558" s="197"/>
      <c r="G558" s="144"/>
      <c r="H558" s="144"/>
      <c r="I558" s="197"/>
      <c r="J558" s="197"/>
      <c r="K558" s="197"/>
      <c r="L558" s="257"/>
    </row>
    <row r="559" ht="22.5" customHeight="1">
      <c r="A559" s="250"/>
      <c r="B559" s="272" t="str">
        <f t="shared" si="5"/>
        <v>#REF!</v>
      </c>
      <c r="C559" s="154"/>
      <c r="D559" s="196"/>
      <c r="E559" s="196"/>
      <c r="F559" s="196"/>
      <c r="G559" s="152"/>
      <c r="H559" s="152"/>
      <c r="I559" s="196"/>
      <c r="J559" s="196"/>
      <c r="K559" s="196"/>
      <c r="L559" s="259"/>
    </row>
    <row r="560" ht="22.5" customHeight="1">
      <c r="A560" s="202"/>
      <c r="B560" s="273" t="str">
        <f t="shared" si="5"/>
        <v>#REF!</v>
      </c>
      <c r="C560" s="146"/>
      <c r="D560" s="197"/>
      <c r="E560" s="197"/>
      <c r="F560" s="197"/>
      <c r="G560" s="144"/>
      <c r="H560" s="144"/>
      <c r="I560" s="197"/>
      <c r="J560" s="197"/>
      <c r="K560" s="197"/>
      <c r="L560" s="257"/>
    </row>
    <row r="561" ht="22.5" customHeight="1">
      <c r="A561" s="250"/>
      <c r="B561" s="272" t="str">
        <f t="shared" si="5"/>
        <v>#REF!</v>
      </c>
      <c r="C561" s="154"/>
      <c r="D561" s="196"/>
      <c r="E561" s="196"/>
      <c r="F561" s="196"/>
      <c r="G561" s="152"/>
      <c r="H561" s="152"/>
      <c r="I561" s="196"/>
      <c r="J561" s="196"/>
      <c r="K561" s="196"/>
      <c r="L561" s="259"/>
    </row>
    <row r="562" ht="22.5" customHeight="1">
      <c r="A562" s="202"/>
      <c r="B562" s="273" t="str">
        <f t="shared" si="5"/>
        <v>#REF!</v>
      </c>
      <c r="C562" s="146"/>
      <c r="D562" s="197"/>
      <c r="E562" s="197"/>
      <c r="F562" s="197"/>
      <c r="G562" s="144"/>
      <c r="H562" s="144"/>
      <c r="I562" s="197"/>
      <c r="J562" s="197"/>
      <c r="K562" s="197"/>
      <c r="L562" s="257"/>
    </row>
    <row r="563" ht="22.5" customHeight="1">
      <c r="A563" s="250"/>
      <c r="B563" s="272" t="str">
        <f t="shared" si="5"/>
        <v>#REF!</v>
      </c>
      <c r="C563" s="154"/>
      <c r="D563" s="196"/>
      <c r="E563" s="196"/>
      <c r="F563" s="196"/>
      <c r="G563" s="152"/>
      <c r="H563" s="152"/>
      <c r="I563" s="196"/>
      <c r="J563" s="196"/>
      <c r="K563" s="196"/>
      <c r="L563" s="259"/>
    </row>
    <row r="564" ht="22.5" customHeight="1">
      <c r="A564" s="202"/>
      <c r="B564" s="273" t="str">
        <f t="shared" si="5"/>
        <v>#REF!</v>
      </c>
      <c r="C564" s="146"/>
      <c r="D564" s="197"/>
      <c r="E564" s="197"/>
      <c r="F564" s="197"/>
      <c r="G564" s="144"/>
      <c r="H564" s="144"/>
      <c r="I564" s="197"/>
      <c r="J564" s="197"/>
      <c r="K564" s="197"/>
      <c r="L564" s="257"/>
    </row>
    <row r="565" ht="22.5" customHeight="1">
      <c r="A565" s="250"/>
      <c r="B565" s="272" t="str">
        <f t="shared" si="5"/>
        <v>#REF!</v>
      </c>
      <c r="C565" s="154"/>
      <c r="D565" s="196"/>
      <c r="E565" s="196"/>
      <c r="F565" s="196"/>
      <c r="G565" s="152"/>
      <c r="H565" s="152"/>
      <c r="I565" s="196"/>
      <c r="J565" s="196"/>
      <c r="K565" s="196"/>
      <c r="L565" s="259"/>
    </row>
    <row r="566" ht="22.5" customHeight="1">
      <c r="A566" s="202"/>
      <c r="B566" s="273" t="str">
        <f t="shared" si="5"/>
        <v>#REF!</v>
      </c>
      <c r="C566" s="146"/>
      <c r="D566" s="197"/>
      <c r="E566" s="197"/>
      <c r="F566" s="197"/>
      <c r="G566" s="144"/>
      <c r="H566" s="144"/>
      <c r="I566" s="197"/>
      <c r="J566" s="197"/>
      <c r="K566" s="197"/>
      <c r="L566" s="257"/>
    </row>
    <row r="567" ht="22.5" customHeight="1">
      <c r="A567" s="250"/>
      <c r="B567" s="272" t="str">
        <f t="shared" si="5"/>
        <v>#REF!</v>
      </c>
      <c r="C567" s="154"/>
      <c r="D567" s="196"/>
      <c r="E567" s="196"/>
      <c r="F567" s="196"/>
      <c r="G567" s="152"/>
      <c r="H567" s="152"/>
      <c r="I567" s="196"/>
      <c r="J567" s="196"/>
      <c r="K567" s="196"/>
      <c r="L567" s="259"/>
    </row>
    <row r="568" ht="22.5" customHeight="1">
      <c r="A568" s="202"/>
      <c r="B568" s="273" t="str">
        <f t="shared" si="5"/>
        <v>#REF!</v>
      </c>
      <c r="C568" s="146"/>
      <c r="D568" s="197"/>
      <c r="E568" s="197"/>
      <c r="F568" s="197"/>
      <c r="G568" s="144"/>
      <c r="H568" s="144"/>
      <c r="I568" s="197"/>
      <c r="J568" s="197"/>
      <c r="K568" s="197"/>
      <c r="L568" s="257"/>
    </row>
    <row r="569" ht="22.5" customHeight="1">
      <c r="A569" s="250"/>
      <c r="B569" s="272" t="str">
        <f t="shared" si="5"/>
        <v>#REF!</v>
      </c>
      <c r="C569" s="154"/>
      <c r="D569" s="196"/>
      <c r="E569" s="196"/>
      <c r="F569" s="196"/>
      <c r="G569" s="152"/>
      <c r="H569" s="152"/>
      <c r="I569" s="196"/>
      <c r="J569" s="196"/>
      <c r="K569" s="196"/>
      <c r="L569" s="259"/>
    </row>
    <row r="570" ht="22.5" customHeight="1">
      <c r="A570" s="202"/>
      <c r="B570" s="273" t="str">
        <f t="shared" si="5"/>
        <v>#REF!</v>
      </c>
      <c r="C570" s="146"/>
      <c r="D570" s="197"/>
      <c r="E570" s="197"/>
      <c r="F570" s="197"/>
      <c r="G570" s="144"/>
      <c r="H570" s="144"/>
      <c r="I570" s="197"/>
      <c r="J570" s="197"/>
      <c r="K570" s="197"/>
      <c r="L570" s="257"/>
    </row>
    <row r="571" ht="22.5" customHeight="1">
      <c r="A571" s="250"/>
      <c r="B571" s="272" t="str">
        <f t="shared" si="5"/>
        <v>#REF!</v>
      </c>
      <c r="C571" s="154"/>
      <c r="D571" s="196"/>
      <c r="E571" s="196"/>
      <c r="F571" s="196"/>
      <c r="G571" s="152"/>
      <c r="H571" s="152"/>
      <c r="I571" s="196"/>
      <c r="J571" s="196"/>
      <c r="K571" s="196"/>
      <c r="L571" s="259"/>
    </row>
    <row r="572" ht="22.5" customHeight="1">
      <c r="A572" s="202"/>
      <c r="B572" s="273" t="str">
        <f t="shared" si="5"/>
        <v>#REF!</v>
      </c>
      <c r="C572" s="146"/>
      <c r="D572" s="197"/>
      <c r="E572" s="197"/>
      <c r="F572" s="197"/>
      <c r="G572" s="144"/>
      <c r="H572" s="144"/>
      <c r="I572" s="197"/>
      <c r="J572" s="197"/>
      <c r="K572" s="197"/>
      <c r="L572" s="257"/>
    </row>
    <row r="573" ht="22.5" customHeight="1">
      <c r="A573" s="250"/>
      <c r="B573" s="272" t="str">
        <f t="shared" si="5"/>
        <v>#REF!</v>
      </c>
      <c r="C573" s="154"/>
      <c r="D573" s="196"/>
      <c r="E573" s="196"/>
      <c r="F573" s="196"/>
      <c r="G573" s="152"/>
      <c r="H573" s="152"/>
      <c r="I573" s="196"/>
      <c r="J573" s="196"/>
      <c r="K573" s="196"/>
      <c r="L573" s="259"/>
    </row>
    <row r="574" ht="22.5" customHeight="1">
      <c r="A574" s="202"/>
      <c r="B574" s="273" t="str">
        <f t="shared" si="5"/>
        <v>#REF!</v>
      </c>
      <c r="C574" s="146"/>
      <c r="D574" s="197"/>
      <c r="E574" s="197"/>
      <c r="F574" s="197"/>
      <c r="G574" s="144"/>
      <c r="H574" s="144"/>
      <c r="I574" s="197"/>
      <c r="J574" s="197"/>
      <c r="K574" s="197"/>
      <c r="L574" s="257"/>
    </row>
    <row r="575" ht="22.5" customHeight="1">
      <c r="A575" s="250"/>
      <c r="B575" s="272" t="str">
        <f t="shared" si="5"/>
        <v>#REF!</v>
      </c>
      <c r="C575" s="154"/>
      <c r="D575" s="196"/>
      <c r="E575" s="196"/>
      <c r="F575" s="196"/>
      <c r="G575" s="152"/>
      <c r="H575" s="152"/>
      <c r="I575" s="196"/>
      <c r="J575" s="196"/>
      <c r="K575" s="196"/>
      <c r="L575" s="259"/>
    </row>
    <row r="576" ht="22.5" customHeight="1">
      <c r="A576" s="202"/>
      <c r="B576" s="273" t="str">
        <f t="shared" si="5"/>
        <v>#REF!</v>
      </c>
      <c r="C576" s="146"/>
      <c r="D576" s="197"/>
      <c r="E576" s="197"/>
      <c r="F576" s="197"/>
      <c r="G576" s="144"/>
      <c r="H576" s="144"/>
      <c r="I576" s="197"/>
      <c r="J576" s="197"/>
      <c r="K576" s="197"/>
      <c r="L576" s="257"/>
    </row>
    <row r="577" ht="22.5" customHeight="1">
      <c r="A577" s="250"/>
      <c r="B577" s="272" t="str">
        <f t="shared" si="5"/>
        <v>#REF!</v>
      </c>
      <c r="C577" s="154"/>
      <c r="D577" s="196"/>
      <c r="E577" s="196"/>
      <c r="F577" s="196"/>
      <c r="G577" s="152"/>
      <c r="H577" s="152"/>
      <c r="I577" s="196"/>
      <c r="J577" s="196"/>
      <c r="K577" s="196"/>
      <c r="L577" s="259"/>
    </row>
    <row r="578" ht="22.5" customHeight="1">
      <c r="A578" s="202"/>
      <c r="B578" s="273" t="str">
        <f t="shared" si="5"/>
        <v>#REF!</v>
      </c>
      <c r="C578" s="146"/>
      <c r="D578" s="197"/>
      <c r="E578" s="197"/>
      <c r="F578" s="197"/>
      <c r="G578" s="144"/>
      <c r="H578" s="144"/>
      <c r="I578" s="197"/>
      <c r="J578" s="197"/>
      <c r="K578" s="197"/>
      <c r="L578" s="257"/>
    </row>
    <row r="579" ht="22.5" customHeight="1">
      <c r="A579" s="250"/>
      <c r="B579" s="272" t="str">
        <f t="shared" si="5"/>
        <v>#REF!</v>
      </c>
      <c r="C579" s="154"/>
      <c r="D579" s="196"/>
      <c r="E579" s="196"/>
      <c r="F579" s="196"/>
      <c r="G579" s="152"/>
      <c r="H579" s="152"/>
      <c r="I579" s="196"/>
      <c r="J579" s="196"/>
      <c r="K579" s="196"/>
      <c r="L579" s="259"/>
    </row>
    <row r="580" ht="22.5" customHeight="1">
      <c r="A580" s="202"/>
      <c r="B580" s="273" t="str">
        <f t="shared" si="5"/>
        <v>#REF!</v>
      </c>
      <c r="C580" s="146"/>
      <c r="D580" s="197"/>
      <c r="E580" s="197"/>
      <c r="F580" s="197"/>
      <c r="G580" s="144"/>
      <c r="H580" s="144"/>
      <c r="I580" s="197"/>
      <c r="J580" s="197"/>
      <c r="K580" s="197"/>
      <c r="L580" s="257"/>
    </row>
    <row r="581" ht="22.5" customHeight="1">
      <c r="A581" s="250"/>
      <c r="B581" s="272" t="str">
        <f t="shared" si="5"/>
        <v>#REF!</v>
      </c>
      <c r="C581" s="154"/>
      <c r="D581" s="196"/>
      <c r="E581" s="196"/>
      <c r="F581" s="196"/>
      <c r="G581" s="152"/>
      <c r="H581" s="152"/>
      <c r="I581" s="196"/>
      <c r="J581" s="196"/>
      <c r="K581" s="196"/>
      <c r="L581" s="259"/>
    </row>
    <row r="582" ht="22.5" customHeight="1">
      <c r="A582" s="202"/>
      <c r="B582" s="273" t="str">
        <f t="shared" si="5"/>
        <v>#REF!</v>
      </c>
      <c r="C582" s="146"/>
      <c r="D582" s="197"/>
      <c r="E582" s="197"/>
      <c r="F582" s="197"/>
      <c r="G582" s="144"/>
      <c r="H582" s="144"/>
      <c r="I582" s="197"/>
      <c r="J582" s="197"/>
      <c r="K582" s="197"/>
      <c r="L582" s="257"/>
    </row>
    <row r="583" ht="22.5" customHeight="1">
      <c r="A583" s="250"/>
      <c r="B583" s="272" t="str">
        <f t="shared" si="5"/>
        <v>#REF!</v>
      </c>
      <c r="C583" s="154"/>
      <c r="D583" s="196"/>
      <c r="E583" s="196"/>
      <c r="F583" s="196"/>
      <c r="G583" s="152"/>
      <c r="H583" s="152"/>
      <c r="I583" s="196"/>
      <c r="J583" s="196"/>
      <c r="K583" s="196"/>
      <c r="L583" s="259"/>
    </row>
    <row r="584" ht="22.5" customHeight="1">
      <c r="A584" s="202"/>
      <c r="B584" s="273" t="str">
        <f t="shared" si="5"/>
        <v>#REF!</v>
      </c>
      <c r="C584" s="146"/>
      <c r="D584" s="197"/>
      <c r="E584" s="197"/>
      <c r="F584" s="197"/>
      <c r="G584" s="144"/>
      <c r="H584" s="144"/>
      <c r="I584" s="197"/>
      <c r="J584" s="197"/>
      <c r="K584" s="197"/>
      <c r="L584" s="257"/>
    </row>
    <row r="585" ht="22.5" customHeight="1">
      <c r="A585" s="250"/>
      <c r="B585" s="272" t="str">
        <f t="shared" si="5"/>
        <v>#REF!</v>
      </c>
      <c r="C585" s="154"/>
      <c r="D585" s="196"/>
      <c r="E585" s="196"/>
      <c r="F585" s="196"/>
      <c r="G585" s="152"/>
      <c r="H585" s="152"/>
      <c r="I585" s="196"/>
      <c r="J585" s="196"/>
      <c r="K585" s="196"/>
      <c r="L585" s="259"/>
    </row>
    <row r="586" ht="22.5" customHeight="1">
      <c r="A586" s="202"/>
      <c r="B586" s="273" t="str">
        <f t="shared" si="5"/>
        <v>#REF!</v>
      </c>
      <c r="C586" s="146"/>
      <c r="D586" s="197"/>
      <c r="E586" s="197"/>
      <c r="F586" s="197"/>
      <c r="G586" s="144"/>
      <c r="H586" s="144"/>
      <c r="I586" s="197"/>
      <c r="J586" s="197"/>
      <c r="K586" s="197"/>
      <c r="L586" s="257"/>
    </row>
    <row r="587" ht="22.5" customHeight="1">
      <c r="A587" s="250"/>
      <c r="B587" s="272" t="str">
        <f t="shared" si="5"/>
        <v>#REF!</v>
      </c>
      <c r="C587" s="154"/>
      <c r="D587" s="196"/>
      <c r="E587" s="196"/>
      <c r="F587" s="196"/>
      <c r="G587" s="152"/>
      <c r="H587" s="152"/>
      <c r="I587" s="196"/>
      <c r="J587" s="196"/>
      <c r="K587" s="196"/>
      <c r="L587" s="259"/>
    </row>
    <row r="588" ht="22.5" customHeight="1">
      <c r="A588" s="202"/>
      <c r="B588" s="273" t="str">
        <f t="shared" si="5"/>
        <v>#REF!</v>
      </c>
      <c r="C588" s="146"/>
      <c r="D588" s="197"/>
      <c r="E588" s="197"/>
      <c r="F588" s="197"/>
      <c r="G588" s="144"/>
      <c r="H588" s="144"/>
      <c r="I588" s="197"/>
      <c r="J588" s="197"/>
      <c r="K588" s="197"/>
      <c r="L588" s="257"/>
    </row>
    <row r="589" ht="22.5" customHeight="1">
      <c r="A589" s="250"/>
      <c r="B589" s="272" t="str">
        <f t="shared" si="5"/>
        <v>#REF!</v>
      </c>
      <c r="C589" s="154"/>
      <c r="D589" s="196"/>
      <c r="E589" s="196"/>
      <c r="F589" s="196"/>
      <c r="G589" s="152"/>
      <c r="H589" s="152"/>
      <c r="I589" s="196"/>
      <c r="J589" s="196"/>
      <c r="K589" s="196"/>
      <c r="L589" s="259"/>
    </row>
    <row r="590" ht="22.5" customHeight="1">
      <c r="A590" s="202"/>
      <c r="B590" s="273" t="str">
        <f t="shared" si="5"/>
        <v>#REF!</v>
      </c>
      <c r="C590" s="146"/>
      <c r="D590" s="197"/>
      <c r="E590" s="197"/>
      <c r="F590" s="197"/>
      <c r="G590" s="144"/>
      <c r="H590" s="144"/>
      <c r="I590" s="197"/>
      <c r="J590" s="197"/>
      <c r="K590" s="197"/>
      <c r="L590" s="257"/>
    </row>
    <row r="591" ht="22.5" customHeight="1">
      <c r="A591" s="250"/>
      <c r="B591" s="272" t="str">
        <f t="shared" si="5"/>
        <v>#REF!</v>
      </c>
      <c r="C591" s="154"/>
      <c r="D591" s="196"/>
      <c r="E591" s="196"/>
      <c r="F591" s="196"/>
      <c r="G591" s="152"/>
      <c r="H591" s="152"/>
      <c r="I591" s="196"/>
      <c r="J591" s="196"/>
      <c r="K591" s="196"/>
      <c r="L591" s="259"/>
    </row>
    <row r="592" ht="22.5" customHeight="1">
      <c r="A592" s="202"/>
      <c r="B592" s="273" t="str">
        <f t="shared" si="5"/>
        <v>#REF!</v>
      </c>
      <c r="C592" s="146"/>
      <c r="D592" s="197"/>
      <c r="E592" s="197"/>
      <c r="F592" s="197"/>
      <c r="G592" s="144"/>
      <c r="H592" s="144"/>
      <c r="I592" s="197"/>
      <c r="J592" s="197"/>
      <c r="K592" s="197"/>
      <c r="L592" s="257"/>
    </row>
    <row r="593" ht="22.5" customHeight="1">
      <c r="A593" s="250"/>
      <c r="B593" s="272" t="str">
        <f t="shared" si="5"/>
        <v>#REF!</v>
      </c>
      <c r="C593" s="154"/>
      <c r="D593" s="196"/>
      <c r="E593" s="196"/>
      <c r="F593" s="196"/>
      <c r="G593" s="152"/>
      <c r="H593" s="152"/>
      <c r="I593" s="196"/>
      <c r="J593" s="196"/>
      <c r="K593" s="196"/>
      <c r="L593" s="259"/>
    </row>
    <row r="594" ht="22.5" customHeight="1">
      <c r="A594" s="202"/>
      <c r="B594" s="273" t="str">
        <f t="shared" si="5"/>
        <v>#REF!</v>
      </c>
      <c r="C594" s="146"/>
      <c r="D594" s="197"/>
      <c r="E594" s="197"/>
      <c r="F594" s="197"/>
      <c r="G594" s="144"/>
      <c r="H594" s="144"/>
      <c r="I594" s="197"/>
      <c r="J594" s="197"/>
      <c r="K594" s="197"/>
      <c r="L594" s="257"/>
    </row>
    <row r="595" ht="22.5" customHeight="1">
      <c r="A595" s="250"/>
      <c r="B595" s="272" t="str">
        <f t="shared" si="5"/>
        <v>#REF!</v>
      </c>
      <c r="C595" s="154"/>
      <c r="D595" s="196"/>
      <c r="E595" s="196"/>
      <c r="F595" s="196"/>
      <c r="G595" s="152"/>
      <c r="H595" s="152"/>
      <c r="I595" s="196"/>
      <c r="J595" s="196"/>
      <c r="K595" s="196"/>
      <c r="L595" s="259"/>
    </row>
    <row r="596" ht="22.5" customHeight="1">
      <c r="A596" s="202"/>
      <c r="B596" s="273" t="str">
        <f t="shared" si="5"/>
        <v>#REF!</v>
      </c>
      <c r="C596" s="146"/>
      <c r="D596" s="197"/>
      <c r="E596" s="197"/>
      <c r="F596" s="197"/>
      <c r="G596" s="144"/>
      <c r="H596" s="144"/>
      <c r="I596" s="197"/>
      <c r="J596" s="197"/>
      <c r="K596" s="197"/>
      <c r="L596" s="257"/>
    </row>
    <row r="597" ht="22.5" customHeight="1">
      <c r="A597" s="250"/>
      <c r="B597" s="272" t="str">
        <f t="shared" si="5"/>
        <v>#REF!</v>
      </c>
      <c r="C597" s="154"/>
      <c r="D597" s="196"/>
      <c r="E597" s="196"/>
      <c r="F597" s="196"/>
      <c r="G597" s="152"/>
      <c r="H597" s="152"/>
      <c r="I597" s="196"/>
      <c r="J597" s="196"/>
      <c r="K597" s="196"/>
      <c r="L597" s="259"/>
    </row>
    <row r="598" ht="22.5" customHeight="1">
      <c r="A598" s="202"/>
      <c r="B598" s="273" t="str">
        <f t="shared" si="5"/>
        <v>#REF!</v>
      </c>
      <c r="C598" s="146"/>
      <c r="D598" s="197"/>
      <c r="E598" s="197"/>
      <c r="F598" s="197"/>
      <c r="G598" s="144"/>
      <c r="H598" s="144"/>
      <c r="I598" s="197"/>
      <c r="J598" s="197"/>
      <c r="K598" s="197"/>
      <c r="L598" s="257"/>
    </row>
    <row r="599" ht="22.5" customHeight="1">
      <c r="A599" s="250"/>
      <c r="B599" s="272" t="str">
        <f t="shared" si="5"/>
        <v>#REF!</v>
      </c>
      <c r="C599" s="154"/>
      <c r="D599" s="196"/>
      <c r="E599" s="196"/>
      <c r="F599" s="196"/>
      <c r="G599" s="152"/>
      <c r="H599" s="152"/>
      <c r="I599" s="196"/>
      <c r="J599" s="196"/>
      <c r="K599" s="196"/>
      <c r="L599" s="259"/>
    </row>
    <row r="600" ht="22.5" customHeight="1">
      <c r="A600" s="202"/>
      <c r="B600" s="273" t="str">
        <f t="shared" si="5"/>
        <v>#REF!</v>
      </c>
      <c r="C600" s="146"/>
      <c r="D600" s="197"/>
      <c r="E600" s="197"/>
      <c r="F600" s="197"/>
      <c r="G600" s="144"/>
      <c r="H600" s="144"/>
      <c r="I600" s="197"/>
      <c r="J600" s="197"/>
      <c r="K600" s="197"/>
      <c r="L600" s="257"/>
    </row>
    <row r="601" ht="22.5" customHeight="1">
      <c r="A601" s="250"/>
      <c r="B601" s="272" t="str">
        <f t="shared" si="5"/>
        <v>#REF!</v>
      </c>
      <c r="C601" s="154"/>
      <c r="D601" s="196"/>
      <c r="E601" s="196"/>
      <c r="F601" s="196"/>
      <c r="G601" s="152"/>
      <c r="H601" s="152"/>
      <c r="I601" s="196"/>
      <c r="J601" s="196"/>
      <c r="K601" s="196"/>
      <c r="L601" s="259"/>
    </row>
    <row r="602" ht="22.5" customHeight="1">
      <c r="A602" s="202"/>
      <c r="B602" s="273" t="str">
        <f t="shared" si="5"/>
        <v>#REF!</v>
      </c>
      <c r="C602" s="146"/>
      <c r="D602" s="197"/>
      <c r="E602" s="197"/>
      <c r="F602" s="197"/>
      <c r="G602" s="144"/>
      <c r="H602" s="144"/>
      <c r="I602" s="197"/>
      <c r="J602" s="197"/>
      <c r="K602" s="197"/>
      <c r="L602" s="257"/>
    </row>
    <row r="603" ht="22.5" customHeight="1">
      <c r="A603" s="250"/>
      <c r="B603" s="272" t="str">
        <f t="shared" si="5"/>
        <v>#REF!</v>
      </c>
      <c r="C603" s="154"/>
      <c r="D603" s="196"/>
      <c r="E603" s="196"/>
      <c r="F603" s="196"/>
      <c r="G603" s="152"/>
      <c r="H603" s="152"/>
      <c r="I603" s="196"/>
      <c r="J603" s="196"/>
      <c r="K603" s="196"/>
      <c r="L603" s="259"/>
    </row>
    <row r="604" ht="22.5" customHeight="1">
      <c r="A604" s="202"/>
      <c r="B604" s="273" t="str">
        <f t="shared" si="5"/>
        <v>#REF!</v>
      </c>
      <c r="C604" s="146"/>
      <c r="D604" s="197"/>
      <c r="E604" s="197"/>
      <c r="F604" s="197"/>
      <c r="G604" s="144"/>
      <c r="H604" s="144"/>
      <c r="I604" s="197"/>
      <c r="J604" s="197"/>
      <c r="K604" s="197"/>
      <c r="L604" s="257"/>
    </row>
    <row r="605" ht="22.5" customHeight="1">
      <c r="A605" s="250"/>
      <c r="B605" s="272" t="str">
        <f t="shared" si="5"/>
        <v>#REF!</v>
      </c>
      <c r="C605" s="154"/>
      <c r="D605" s="196"/>
      <c r="E605" s="196"/>
      <c r="F605" s="196"/>
      <c r="G605" s="152"/>
      <c r="H605" s="152"/>
      <c r="I605" s="196"/>
      <c r="J605" s="196"/>
      <c r="K605" s="196"/>
      <c r="L605" s="259"/>
    </row>
    <row r="606" ht="22.5" customHeight="1">
      <c r="A606" s="202"/>
      <c r="B606" s="273" t="str">
        <f t="shared" si="5"/>
        <v>#REF!</v>
      </c>
      <c r="C606" s="146"/>
      <c r="D606" s="197"/>
      <c r="E606" s="197"/>
      <c r="F606" s="197"/>
      <c r="G606" s="144"/>
      <c r="H606" s="144"/>
      <c r="I606" s="197"/>
      <c r="J606" s="197"/>
      <c r="K606" s="197"/>
      <c r="L606" s="257"/>
    </row>
    <row r="607" ht="22.5" customHeight="1">
      <c r="A607" s="250"/>
      <c r="B607" s="272" t="str">
        <f t="shared" si="5"/>
        <v>#REF!</v>
      </c>
      <c r="C607" s="154"/>
      <c r="D607" s="196"/>
      <c r="E607" s="196"/>
      <c r="F607" s="196"/>
      <c r="G607" s="152"/>
      <c r="H607" s="152"/>
      <c r="I607" s="196"/>
      <c r="J607" s="196"/>
      <c r="K607" s="196"/>
      <c r="L607" s="259"/>
    </row>
    <row r="608" ht="22.5" customHeight="1">
      <c r="A608" s="202"/>
      <c r="B608" s="273" t="str">
        <f t="shared" si="5"/>
        <v>#REF!</v>
      </c>
      <c r="C608" s="146"/>
      <c r="D608" s="197"/>
      <c r="E608" s="197"/>
      <c r="F608" s="197"/>
      <c r="G608" s="144"/>
      <c r="H608" s="144"/>
      <c r="I608" s="197"/>
      <c r="J608" s="197"/>
      <c r="K608" s="197"/>
      <c r="L608" s="257"/>
    </row>
    <row r="609" ht="22.5" customHeight="1">
      <c r="A609" s="250"/>
      <c r="B609" s="272" t="str">
        <f t="shared" si="5"/>
        <v>#REF!</v>
      </c>
      <c r="C609" s="154"/>
      <c r="D609" s="196"/>
      <c r="E609" s="196"/>
      <c r="F609" s="196"/>
      <c r="G609" s="152"/>
      <c r="H609" s="152"/>
      <c r="I609" s="196"/>
      <c r="J609" s="196"/>
      <c r="K609" s="196"/>
      <c r="L609" s="259"/>
    </row>
    <row r="610" ht="22.5" customHeight="1">
      <c r="A610" s="202"/>
      <c r="B610" s="273" t="str">
        <f t="shared" si="5"/>
        <v>#REF!</v>
      </c>
      <c r="C610" s="146"/>
      <c r="D610" s="197"/>
      <c r="E610" s="197"/>
      <c r="F610" s="197"/>
      <c r="G610" s="144"/>
      <c r="H610" s="144"/>
      <c r="I610" s="197"/>
      <c r="J610" s="197"/>
      <c r="K610" s="197"/>
      <c r="L610" s="257"/>
    </row>
    <row r="611" ht="22.5" customHeight="1">
      <c r="A611" s="250"/>
      <c r="B611" s="272" t="str">
        <f t="shared" si="5"/>
        <v>#REF!</v>
      </c>
      <c r="C611" s="154"/>
      <c r="D611" s="196"/>
      <c r="E611" s="196"/>
      <c r="F611" s="196"/>
      <c r="G611" s="152"/>
      <c r="H611" s="152"/>
      <c r="I611" s="196"/>
      <c r="J611" s="196"/>
      <c r="K611" s="196"/>
      <c r="L611" s="259"/>
    </row>
    <row r="612" ht="22.5" customHeight="1">
      <c r="A612" s="202"/>
      <c r="B612" s="273" t="str">
        <f t="shared" si="5"/>
        <v>#REF!</v>
      </c>
      <c r="C612" s="146"/>
      <c r="D612" s="197"/>
      <c r="E612" s="197"/>
      <c r="F612" s="197"/>
      <c r="G612" s="144"/>
      <c r="H612" s="144"/>
      <c r="I612" s="197"/>
      <c r="J612" s="197"/>
      <c r="K612" s="197"/>
      <c r="L612" s="257"/>
    </row>
    <row r="613" ht="22.5" customHeight="1">
      <c r="A613" s="250"/>
      <c r="B613" s="272" t="str">
        <f t="shared" si="5"/>
        <v>#REF!</v>
      </c>
      <c r="C613" s="154"/>
      <c r="D613" s="196"/>
      <c r="E613" s="196"/>
      <c r="F613" s="196"/>
      <c r="G613" s="152"/>
      <c r="H613" s="152"/>
      <c r="I613" s="196"/>
      <c r="J613" s="196"/>
      <c r="K613" s="196"/>
      <c r="L613" s="259"/>
    </row>
    <row r="614" ht="22.5" customHeight="1">
      <c r="A614" s="202"/>
      <c r="B614" s="273" t="str">
        <f t="shared" si="5"/>
        <v>#REF!</v>
      </c>
      <c r="C614" s="146"/>
      <c r="D614" s="197"/>
      <c r="E614" s="197"/>
      <c r="F614" s="197"/>
      <c r="G614" s="144"/>
      <c r="H614" s="144"/>
      <c r="I614" s="197"/>
      <c r="J614" s="197"/>
      <c r="K614" s="197"/>
      <c r="L614" s="257"/>
    </row>
    <row r="615" ht="22.5" customHeight="1">
      <c r="A615" s="250"/>
      <c r="B615" s="272" t="str">
        <f t="shared" si="5"/>
        <v>#REF!</v>
      </c>
      <c r="C615" s="154"/>
      <c r="D615" s="196"/>
      <c r="E615" s="196"/>
      <c r="F615" s="196"/>
      <c r="G615" s="152"/>
      <c r="H615" s="152"/>
      <c r="I615" s="196"/>
      <c r="J615" s="196"/>
      <c r="K615" s="196"/>
      <c r="L615" s="259"/>
    </row>
    <row r="616" ht="22.5" customHeight="1">
      <c r="A616" s="202"/>
      <c r="B616" s="273" t="str">
        <f t="shared" si="5"/>
        <v>#REF!</v>
      </c>
      <c r="C616" s="146"/>
      <c r="D616" s="197"/>
      <c r="E616" s="197"/>
      <c r="F616" s="197"/>
      <c r="G616" s="144"/>
      <c r="H616" s="144"/>
      <c r="I616" s="197"/>
      <c r="J616" s="197"/>
      <c r="K616" s="197"/>
      <c r="L616" s="257"/>
    </row>
    <row r="617" ht="22.5" customHeight="1">
      <c r="A617" s="250"/>
      <c r="B617" s="272" t="str">
        <f t="shared" si="5"/>
        <v>#REF!</v>
      </c>
      <c r="C617" s="154"/>
      <c r="D617" s="196"/>
      <c r="E617" s="196"/>
      <c r="F617" s="196"/>
      <c r="G617" s="152"/>
      <c r="H617" s="152"/>
      <c r="I617" s="196"/>
      <c r="J617" s="196"/>
      <c r="K617" s="196"/>
      <c r="L617" s="259"/>
    </row>
    <row r="618" ht="22.5" customHeight="1">
      <c r="A618" s="202"/>
      <c r="B618" s="273" t="str">
        <f t="shared" si="5"/>
        <v>#REF!</v>
      </c>
      <c r="C618" s="146"/>
      <c r="D618" s="197"/>
      <c r="E618" s="197"/>
      <c r="F618" s="197"/>
      <c r="G618" s="144"/>
      <c r="H618" s="144"/>
      <c r="I618" s="197"/>
      <c r="J618" s="197"/>
      <c r="K618" s="197"/>
      <c r="L618" s="257"/>
    </row>
    <row r="619" ht="22.5" customHeight="1">
      <c r="A619" s="250"/>
      <c r="B619" s="272" t="str">
        <f t="shared" si="5"/>
        <v>#REF!</v>
      </c>
      <c r="C619" s="154"/>
      <c r="D619" s="196"/>
      <c r="E619" s="196"/>
      <c r="F619" s="196"/>
      <c r="G619" s="152"/>
      <c r="H619" s="152"/>
      <c r="I619" s="196"/>
      <c r="J619" s="196"/>
      <c r="K619" s="196"/>
      <c r="L619" s="259"/>
    </row>
    <row r="620" ht="22.5" customHeight="1">
      <c r="A620" s="202"/>
      <c r="B620" s="273" t="str">
        <f t="shared" si="5"/>
        <v>#REF!</v>
      </c>
      <c r="C620" s="146"/>
      <c r="D620" s="197"/>
      <c r="E620" s="197"/>
      <c r="F620" s="197"/>
      <c r="G620" s="144"/>
      <c r="H620" s="144"/>
      <c r="I620" s="197"/>
      <c r="J620" s="197"/>
      <c r="K620" s="197"/>
      <c r="L620" s="257"/>
    </row>
    <row r="621" ht="22.5" customHeight="1">
      <c r="A621" s="250"/>
      <c r="B621" s="272" t="str">
        <f t="shared" si="5"/>
        <v>#REF!</v>
      </c>
      <c r="C621" s="154"/>
      <c r="D621" s="196"/>
      <c r="E621" s="196"/>
      <c r="F621" s="196"/>
      <c r="G621" s="152"/>
      <c r="H621" s="152"/>
      <c r="I621" s="196"/>
      <c r="J621" s="196"/>
      <c r="K621" s="196"/>
      <c r="L621" s="259"/>
    </row>
    <row r="622" ht="22.5" customHeight="1">
      <c r="A622" s="202"/>
      <c r="B622" s="273" t="str">
        <f t="shared" si="5"/>
        <v>#REF!</v>
      </c>
      <c r="C622" s="146"/>
      <c r="D622" s="197"/>
      <c r="E622" s="197"/>
      <c r="F622" s="197"/>
      <c r="G622" s="144"/>
      <c r="H622" s="144"/>
      <c r="I622" s="197"/>
      <c r="J622" s="197"/>
      <c r="K622" s="197"/>
      <c r="L622" s="257"/>
    </row>
    <row r="623" ht="22.5" customHeight="1">
      <c r="A623" s="250"/>
      <c r="B623" s="272" t="str">
        <f t="shared" si="5"/>
        <v>#REF!</v>
      </c>
      <c r="C623" s="154"/>
      <c r="D623" s="196"/>
      <c r="E623" s="196"/>
      <c r="F623" s="196"/>
      <c r="G623" s="152"/>
      <c r="H623" s="152"/>
      <c r="I623" s="196"/>
      <c r="J623" s="196"/>
      <c r="K623" s="196"/>
      <c r="L623" s="259"/>
    </row>
    <row r="624" ht="22.5" customHeight="1">
      <c r="A624" s="202"/>
      <c r="B624" s="273" t="str">
        <f t="shared" si="5"/>
        <v>#REF!</v>
      </c>
      <c r="C624" s="146"/>
      <c r="D624" s="197"/>
      <c r="E624" s="197"/>
      <c r="F624" s="197"/>
      <c r="G624" s="144"/>
      <c r="H624" s="144"/>
      <c r="I624" s="197"/>
      <c r="J624" s="197"/>
      <c r="K624" s="197"/>
      <c r="L624" s="257"/>
    </row>
    <row r="625" ht="22.5" customHeight="1">
      <c r="A625" s="250"/>
      <c r="B625" s="272" t="str">
        <f t="shared" si="5"/>
        <v>#REF!</v>
      </c>
      <c r="C625" s="154"/>
      <c r="D625" s="196"/>
      <c r="E625" s="196"/>
      <c r="F625" s="196"/>
      <c r="G625" s="152"/>
      <c r="H625" s="152"/>
      <c r="I625" s="196"/>
      <c r="J625" s="196"/>
      <c r="K625" s="196"/>
      <c r="L625" s="259"/>
    </row>
    <row r="626" ht="22.5" customHeight="1">
      <c r="A626" s="202"/>
      <c r="B626" s="273" t="str">
        <f t="shared" si="5"/>
        <v>#REF!</v>
      </c>
      <c r="C626" s="146"/>
      <c r="D626" s="197"/>
      <c r="E626" s="197"/>
      <c r="F626" s="197"/>
      <c r="G626" s="144"/>
      <c r="H626" s="144"/>
      <c r="I626" s="197"/>
      <c r="J626" s="197"/>
      <c r="K626" s="197"/>
      <c r="L626" s="257"/>
    </row>
    <row r="627" ht="22.5" customHeight="1">
      <c r="A627" s="250"/>
      <c r="B627" s="272" t="str">
        <f t="shared" si="5"/>
        <v>#REF!</v>
      </c>
      <c r="C627" s="154"/>
      <c r="D627" s="196"/>
      <c r="E627" s="196"/>
      <c r="F627" s="196"/>
      <c r="G627" s="152"/>
      <c r="H627" s="152"/>
      <c r="I627" s="196"/>
      <c r="J627" s="196"/>
      <c r="K627" s="196"/>
      <c r="L627" s="259"/>
    </row>
    <row r="628" ht="22.5" customHeight="1">
      <c r="A628" s="202"/>
      <c r="B628" s="273" t="str">
        <f t="shared" si="5"/>
        <v>#REF!</v>
      </c>
      <c r="C628" s="146"/>
      <c r="D628" s="197"/>
      <c r="E628" s="197"/>
      <c r="F628" s="197"/>
      <c r="G628" s="144"/>
      <c r="H628" s="144"/>
      <c r="I628" s="197"/>
      <c r="J628" s="197"/>
      <c r="K628" s="197"/>
      <c r="L628" s="257"/>
    </row>
    <row r="629" ht="22.5" customHeight="1">
      <c r="A629" s="250"/>
      <c r="B629" s="272" t="str">
        <f t="shared" si="5"/>
        <v>#REF!</v>
      </c>
      <c r="C629" s="154"/>
      <c r="D629" s="196"/>
      <c r="E629" s="196"/>
      <c r="F629" s="196"/>
      <c r="G629" s="152"/>
      <c r="H629" s="152"/>
      <c r="I629" s="196"/>
      <c r="J629" s="196"/>
      <c r="K629" s="196"/>
      <c r="L629" s="259"/>
    </row>
    <row r="630" ht="22.5" customHeight="1">
      <c r="A630" s="202"/>
      <c r="B630" s="273" t="str">
        <f t="shared" si="5"/>
        <v>#REF!</v>
      </c>
      <c r="C630" s="146"/>
      <c r="D630" s="197"/>
      <c r="E630" s="197"/>
      <c r="F630" s="197"/>
      <c r="G630" s="144"/>
      <c r="H630" s="144"/>
      <c r="I630" s="197"/>
      <c r="J630" s="197"/>
      <c r="K630" s="197"/>
      <c r="L630" s="257"/>
    </row>
    <row r="631" ht="22.5" customHeight="1">
      <c r="A631" s="250"/>
      <c r="B631" s="272" t="str">
        <f t="shared" si="5"/>
        <v>#REF!</v>
      </c>
      <c r="C631" s="154"/>
      <c r="D631" s="196"/>
      <c r="E631" s="196"/>
      <c r="F631" s="196"/>
      <c r="G631" s="152"/>
      <c r="H631" s="152"/>
      <c r="I631" s="196"/>
      <c r="J631" s="196"/>
      <c r="K631" s="196"/>
      <c r="L631" s="259"/>
    </row>
    <row r="632" ht="22.5" customHeight="1">
      <c r="A632" s="202"/>
      <c r="B632" s="273" t="str">
        <f t="shared" si="5"/>
        <v>#REF!</v>
      </c>
      <c r="C632" s="146"/>
      <c r="D632" s="197"/>
      <c r="E632" s="197"/>
      <c r="F632" s="197"/>
      <c r="G632" s="144"/>
      <c r="H632" s="144"/>
      <c r="I632" s="197"/>
      <c r="J632" s="197"/>
      <c r="K632" s="197"/>
      <c r="L632" s="257"/>
    </row>
    <row r="633" ht="22.5" customHeight="1">
      <c r="A633" s="250"/>
      <c r="B633" s="272" t="str">
        <f t="shared" si="5"/>
        <v>#REF!</v>
      </c>
      <c r="C633" s="154"/>
      <c r="D633" s="196"/>
      <c r="E633" s="196"/>
      <c r="F633" s="196"/>
      <c r="G633" s="152"/>
      <c r="H633" s="152"/>
      <c r="I633" s="196"/>
      <c r="J633" s="196"/>
      <c r="K633" s="196"/>
      <c r="L633" s="259"/>
    </row>
    <row r="634" ht="22.5" customHeight="1">
      <c r="A634" s="202"/>
      <c r="B634" s="273" t="str">
        <f t="shared" si="5"/>
        <v>#REF!</v>
      </c>
      <c r="C634" s="146"/>
      <c r="D634" s="197"/>
      <c r="E634" s="197"/>
      <c r="F634" s="197"/>
      <c r="G634" s="144"/>
      <c r="H634" s="144"/>
      <c r="I634" s="197"/>
      <c r="J634" s="197"/>
      <c r="K634" s="197"/>
      <c r="L634" s="257"/>
    </row>
    <row r="635" ht="22.5" customHeight="1">
      <c r="A635" s="250"/>
      <c r="B635" s="272" t="str">
        <f t="shared" si="5"/>
        <v>#REF!</v>
      </c>
      <c r="C635" s="154"/>
      <c r="D635" s="196"/>
      <c r="E635" s="196"/>
      <c r="F635" s="196"/>
      <c r="G635" s="152"/>
      <c r="H635" s="152"/>
      <c r="I635" s="196"/>
      <c r="J635" s="196"/>
      <c r="K635" s="196"/>
      <c r="L635" s="259"/>
    </row>
    <row r="636" ht="22.5" customHeight="1">
      <c r="A636" s="202"/>
      <c r="B636" s="273" t="str">
        <f t="shared" si="5"/>
        <v>#REF!</v>
      </c>
      <c r="C636" s="146"/>
      <c r="D636" s="197"/>
      <c r="E636" s="197"/>
      <c r="F636" s="197"/>
      <c r="G636" s="144"/>
      <c r="H636" s="144"/>
      <c r="I636" s="197"/>
      <c r="J636" s="197"/>
      <c r="K636" s="197"/>
      <c r="L636" s="257"/>
    </row>
    <row r="637" ht="22.5" customHeight="1">
      <c r="A637" s="250"/>
      <c r="B637" s="272" t="str">
        <f t="shared" si="5"/>
        <v>#REF!</v>
      </c>
      <c r="C637" s="154"/>
      <c r="D637" s="196"/>
      <c r="E637" s="196"/>
      <c r="F637" s="196"/>
      <c r="G637" s="152"/>
      <c r="H637" s="152"/>
      <c r="I637" s="196"/>
      <c r="J637" s="196"/>
      <c r="K637" s="196"/>
      <c r="L637" s="259"/>
    </row>
    <row r="638" ht="22.5" customHeight="1">
      <c r="A638" s="202"/>
      <c r="B638" s="273" t="str">
        <f t="shared" si="5"/>
        <v>#REF!</v>
      </c>
      <c r="C638" s="146"/>
      <c r="D638" s="197"/>
      <c r="E638" s="197"/>
      <c r="F638" s="197"/>
      <c r="G638" s="144"/>
      <c r="H638" s="144"/>
      <c r="I638" s="197"/>
      <c r="J638" s="197"/>
      <c r="K638" s="197"/>
      <c r="L638" s="257"/>
    </row>
    <row r="639" ht="22.5" customHeight="1">
      <c r="A639" s="250"/>
      <c r="B639" s="272" t="str">
        <f t="shared" si="5"/>
        <v>#REF!</v>
      </c>
      <c r="C639" s="154"/>
      <c r="D639" s="196"/>
      <c r="E639" s="196"/>
      <c r="F639" s="196"/>
      <c r="G639" s="152"/>
      <c r="H639" s="152"/>
      <c r="I639" s="196"/>
      <c r="J639" s="196"/>
      <c r="K639" s="196"/>
      <c r="L639" s="259"/>
    </row>
    <row r="640" ht="22.5" customHeight="1">
      <c r="A640" s="202"/>
      <c r="B640" s="273" t="str">
        <f t="shared" si="5"/>
        <v>#REF!</v>
      </c>
      <c r="C640" s="146"/>
      <c r="D640" s="197"/>
      <c r="E640" s="197"/>
      <c r="F640" s="197"/>
      <c r="G640" s="144"/>
      <c r="H640" s="144"/>
      <c r="I640" s="197"/>
      <c r="J640" s="197"/>
      <c r="K640" s="197"/>
      <c r="L640" s="257"/>
    </row>
    <row r="641" ht="22.5" customHeight="1">
      <c r="A641" s="250"/>
      <c r="B641" s="272" t="str">
        <f t="shared" si="5"/>
        <v>#REF!</v>
      </c>
      <c r="C641" s="154"/>
      <c r="D641" s="196"/>
      <c r="E641" s="196"/>
      <c r="F641" s="196"/>
      <c r="G641" s="152"/>
      <c r="H641" s="152"/>
      <c r="I641" s="196"/>
      <c r="J641" s="196"/>
      <c r="K641" s="196"/>
      <c r="L641" s="259"/>
    </row>
    <row r="642" ht="22.5" customHeight="1">
      <c r="A642" s="202"/>
      <c r="B642" s="273" t="str">
        <f t="shared" si="5"/>
        <v>#REF!</v>
      </c>
      <c r="C642" s="146"/>
      <c r="D642" s="197"/>
      <c r="E642" s="197"/>
      <c r="F642" s="197"/>
      <c r="G642" s="144"/>
      <c r="H642" s="144"/>
      <c r="I642" s="197"/>
      <c r="J642" s="197"/>
      <c r="K642" s="197"/>
      <c r="L642" s="257"/>
    </row>
    <row r="643" ht="22.5" customHeight="1">
      <c r="A643" s="250"/>
      <c r="B643" s="272" t="str">
        <f t="shared" si="5"/>
        <v>#REF!</v>
      </c>
      <c r="C643" s="154"/>
      <c r="D643" s="196"/>
      <c r="E643" s="196"/>
      <c r="F643" s="196"/>
      <c r="G643" s="152"/>
      <c r="H643" s="152"/>
      <c r="I643" s="196"/>
      <c r="J643" s="196"/>
      <c r="K643" s="196"/>
      <c r="L643" s="259"/>
    </row>
    <row r="644" ht="22.5" customHeight="1">
      <c r="A644" s="202"/>
      <c r="B644" s="273" t="str">
        <f t="shared" si="5"/>
        <v>#REF!</v>
      </c>
      <c r="C644" s="146"/>
      <c r="D644" s="197"/>
      <c r="E644" s="197"/>
      <c r="F644" s="197"/>
      <c r="G644" s="144"/>
      <c r="H644" s="144"/>
      <c r="I644" s="197"/>
      <c r="J644" s="197"/>
      <c r="K644" s="197"/>
      <c r="L644" s="257"/>
    </row>
    <row r="645" ht="22.5" customHeight="1">
      <c r="A645" s="250"/>
      <c r="B645" s="272" t="str">
        <f t="shared" si="5"/>
        <v>#REF!</v>
      </c>
      <c r="C645" s="154"/>
      <c r="D645" s="196"/>
      <c r="E645" s="196"/>
      <c r="F645" s="196"/>
      <c r="G645" s="152"/>
      <c r="H645" s="152"/>
      <c r="I645" s="196"/>
      <c r="J645" s="196"/>
      <c r="K645" s="196"/>
      <c r="L645" s="259"/>
    </row>
    <row r="646" ht="22.5" customHeight="1">
      <c r="A646" s="202"/>
      <c r="B646" s="273" t="str">
        <f t="shared" si="5"/>
        <v>#REF!</v>
      </c>
      <c r="C646" s="146"/>
      <c r="D646" s="197"/>
      <c r="E646" s="197"/>
      <c r="F646" s="197"/>
      <c r="G646" s="144"/>
      <c r="H646" s="144"/>
      <c r="I646" s="197"/>
      <c r="J646" s="197"/>
      <c r="K646" s="197"/>
      <c r="L646" s="257"/>
    </row>
    <row r="647" ht="22.5" customHeight="1">
      <c r="A647" s="250"/>
      <c r="B647" s="272" t="str">
        <f t="shared" si="5"/>
        <v>#REF!</v>
      </c>
      <c r="C647" s="154"/>
      <c r="D647" s="196"/>
      <c r="E647" s="196"/>
      <c r="F647" s="196"/>
      <c r="G647" s="152"/>
      <c r="H647" s="152"/>
      <c r="I647" s="196"/>
      <c r="J647" s="196"/>
      <c r="K647" s="196"/>
      <c r="L647" s="259"/>
    </row>
    <row r="648" ht="22.5" customHeight="1">
      <c r="A648" s="202"/>
      <c r="B648" s="273" t="str">
        <f t="shared" si="5"/>
        <v>#REF!</v>
      </c>
      <c r="C648" s="146"/>
      <c r="D648" s="197"/>
      <c r="E648" s="197"/>
      <c r="F648" s="197"/>
      <c r="G648" s="144"/>
      <c r="H648" s="144"/>
      <c r="I648" s="197"/>
      <c r="J648" s="197"/>
      <c r="K648" s="197"/>
      <c r="L648" s="257"/>
    </row>
    <row r="649" ht="22.5" customHeight="1">
      <c r="A649" s="250"/>
      <c r="B649" s="272" t="str">
        <f t="shared" si="5"/>
        <v>#REF!</v>
      </c>
      <c r="C649" s="154"/>
      <c r="D649" s="196"/>
      <c r="E649" s="196"/>
      <c r="F649" s="196"/>
      <c r="G649" s="152"/>
      <c r="H649" s="152"/>
      <c r="I649" s="196"/>
      <c r="J649" s="196"/>
      <c r="K649" s="196"/>
      <c r="L649" s="259"/>
    </row>
    <row r="650" ht="22.5" customHeight="1">
      <c r="A650" s="202"/>
      <c r="B650" s="273" t="str">
        <f t="shared" si="5"/>
        <v>#REF!</v>
      </c>
      <c r="C650" s="146"/>
      <c r="D650" s="197"/>
      <c r="E650" s="197"/>
      <c r="F650" s="197"/>
      <c r="G650" s="144"/>
      <c r="H650" s="144"/>
      <c r="I650" s="197"/>
      <c r="J650" s="197"/>
      <c r="K650" s="197"/>
      <c r="L650" s="257"/>
    </row>
    <row r="651" ht="22.5" customHeight="1">
      <c r="A651" s="250"/>
      <c r="B651" s="272" t="str">
        <f t="shared" si="5"/>
        <v>#REF!</v>
      </c>
      <c r="C651" s="154"/>
      <c r="D651" s="196"/>
      <c r="E651" s="196"/>
      <c r="F651" s="196"/>
      <c r="G651" s="152"/>
      <c r="H651" s="152"/>
      <c r="I651" s="196"/>
      <c r="J651" s="196"/>
      <c r="K651" s="196"/>
      <c r="L651" s="259"/>
    </row>
    <row r="652" ht="22.5" customHeight="1">
      <c r="A652" s="202"/>
      <c r="B652" s="273" t="str">
        <f t="shared" si="5"/>
        <v>#REF!</v>
      </c>
      <c r="C652" s="146"/>
      <c r="D652" s="197"/>
      <c r="E652" s="197"/>
      <c r="F652" s="197"/>
      <c r="G652" s="144"/>
      <c r="H652" s="144"/>
      <c r="I652" s="197"/>
      <c r="J652" s="197"/>
      <c r="K652" s="197"/>
      <c r="L652" s="257"/>
    </row>
    <row r="653" ht="22.5" customHeight="1">
      <c r="A653" s="250"/>
      <c r="B653" s="272" t="str">
        <f t="shared" si="5"/>
        <v>#REF!</v>
      </c>
      <c r="C653" s="154"/>
      <c r="D653" s="196"/>
      <c r="E653" s="196"/>
      <c r="F653" s="196"/>
      <c r="G653" s="152"/>
      <c r="H653" s="152"/>
      <c r="I653" s="196"/>
      <c r="J653" s="196"/>
      <c r="K653" s="196"/>
      <c r="L653" s="259"/>
    </row>
    <row r="654" ht="22.5" customHeight="1">
      <c r="A654" s="202"/>
      <c r="B654" s="273" t="str">
        <f t="shared" si="5"/>
        <v>#REF!</v>
      </c>
      <c r="C654" s="146"/>
      <c r="D654" s="197"/>
      <c r="E654" s="197"/>
      <c r="F654" s="197"/>
      <c r="G654" s="144"/>
      <c r="H654" s="144"/>
      <c r="I654" s="197"/>
      <c r="J654" s="197"/>
      <c r="K654" s="197"/>
      <c r="L654" s="257"/>
    </row>
    <row r="655" ht="22.5" customHeight="1">
      <c r="A655" s="250"/>
      <c r="B655" s="272" t="str">
        <f t="shared" si="5"/>
        <v>#REF!</v>
      </c>
      <c r="C655" s="154"/>
      <c r="D655" s="196"/>
      <c r="E655" s="196"/>
      <c r="F655" s="196"/>
      <c r="G655" s="152"/>
      <c r="H655" s="152"/>
      <c r="I655" s="196"/>
      <c r="J655" s="196"/>
      <c r="K655" s="196"/>
      <c r="L655" s="259"/>
    </row>
    <row r="656" ht="22.5" customHeight="1">
      <c r="A656" s="202"/>
      <c r="B656" s="273" t="str">
        <f t="shared" si="5"/>
        <v>#REF!</v>
      </c>
      <c r="C656" s="146"/>
      <c r="D656" s="197"/>
      <c r="E656" s="197"/>
      <c r="F656" s="197"/>
      <c r="G656" s="144"/>
      <c r="H656" s="144"/>
      <c r="I656" s="197"/>
      <c r="J656" s="197"/>
      <c r="K656" s="197"/>
      <c r="L656" s="257"/>
    </row>
    <row r="657" ht="22.5" customHeight="1">
      <c r="A657" s="250"/>
      <c r="B657" s="272" t="str">
        <f t="shared" si="5"/>
        <v>#REF!</v>
      </c>
      <c r="C657" s="154"/>
      <c r="D657" s="196"/>
      <c r="E657" s="196"/>
      <c r="F657" s="196"/>
      <c r="G657" s="152"/>
      <c r="H657" s="152"/>
      <c r="I657" s="196"/>
      <c r="J657" s="196"/>
      <c r="K657" s="196"/>
      <c r="L657" s="259"/>
    </row>
    <row r="658" ht="22.5" customHeight="1">
      <c r="A658" s="202"/>
      <c r="B658" s="273" t="str">
        <f t="shared" si="5"/>
        <v>#REF!</v>
      </c>
      <c r="C658" s="146"/>
      <c r="D658" s="197"/>
      <c r="E658" s="197"/>
      <c r="F658" s="197"/>
      <c r="G658" s="144"/>
      <c r="H658" s="144"/>
      <c r="I658" s="197"/>
      <c r="J658" s="197"/>
      <c r="K658" s="197"/>
      <c r="L658" s="257"/>
    </row>
    <row r="659" ht="22.5" customHeight="1">
      <c r="A659" s="250"/>
      <c r="B659" s="272" t="str">
        <f t="shared" si="5"/>
        <v>#REF!</v>
      </c>
      <c r="C659" s="154"/>
      <c r="D659" s="196"/>
      <c r="E659" s="196"/>
      <c r="F659" s="196"/>
      <c r="G659" s="152"/>
      <c r="H659" s="152"/>
      <c r="I659" s="196"/>
      <c r="J659" s="196"/>
      <c r="K659" s="196"/>
      <c r="L659" s="259"/>
    </row>
    <row r="660" ht="22.5" customHeight="1">
      <c r="A660" s="202"/>
      <c r="B660" s="273" t="str">
        <f t="shared" si="5"/>
        <v>#REF!</v>
      </c>
      <c r="C660" s="146"/>
      <c r="D660" s="197"/>
      <c r="E660" s="197"/>
      <c r="F660" s="197"/>
      <c r="G660" s="144"/>
      <c r="H660" s="144"/>
      <c r="I660" s="197"/>
      <c r="J660" s="197"/>
      <c r="K660" s="197"/>
      <c r="L660" s="257"/>
    </row>
    <row r="661" ht="22.5" customHeight="1">
      <c r="A661" s="250"/>
      <c r="B661" s="272" t="str">
        <f t="shared" si="5"/>
        <v>#REF!</v>
      </c>
      <c r="C661" s="154"/>
      <c r="D661" s="196"/>
      <c r="E661" s="196"/>
      <c r="F661" s="196"/>
      <c r="G661" s="152"/>
      <c r="H661" s="152"/>
      <c r="I661" s="196"/>
      <c r="J661" s="196"/>
      <c r="K661" s="196"/>
      <c r="L661" s="259"/>
    </row>
    <row r="662" ht="22.5" customHeight="1">
      <c r="A662" s="202"/>
      <c r="B662" s="273" t="str">
        <f t="shared" si="5"/>
        <v>#REF!</v>
      </c>
      <c r="C662" s="146"/>
      <c r="D662" s="197"/>
      <c r="E662" s="197"/>
      <c r="F662" s="197"/>
      <c r="G662" s="144"/>
      <c r="H662" s="144"/>
      <c r="I662" s="197"/>
      <c r="J662" s="197"/>
      <c r="K662" s="197"/>
      <c r="L662" s="257"/>
    </row>
    <row r="663" ht="22.5" customHeight="1">
      <c r="A663" s="250"/>
      <c r="B663" s="272" t="str">
        <f t="shared" si="5"/>
        <v>#REF!</v>
      </c>
      <c r="C663" s="154"/>
      <c r="D663" s="196"/>
      <c r="E663" s="196"/>
      <c r="F663" s="196"/>
      <c r="G663" s="152"/>
      <c r="H663" s="152"/>
      <c r="I663" s="196"/>
      <c r="J663" s="196"/>
      <c r="K663" s="196"/>
      <c r="L663" s="259"/>
    </row>
    <row r="664" ht="22.5" customHeight="1">
      <c r="A664" s="202"/>
      <c r="B664" s="273" t="str">
        <f t="shared" si="5"/>
        <v>#REF!</v>
      </c>
      <c r="C664" s="146"/>
      <c r="D664" s="197"/>
      <c r="E664" s="197"/>
      <c r="F664" s="197"/>
      <c r="G664" s="144"/>
      <c r="H664" s="144"/>
      <c r="I664" s="197"/>
      <c r="J664" s="197"/>
      <c r="K664" s="197"/>
      <c r="L664" s="257"/>
    </row>
    <row r="665" ht="22.5" customHeight="1">
      <c r="A665" s="250"/>
      <c r="B665" s="272" t="str">
        <f t="shared" si="5"/>
        <v>#REF!</v>
      </c>
      <c r="C665" s="154"/>
      <c r="D665" s="196"/>
      <c r="E665" s="196"/>
      <c r="F665" s="196"/>
      <c r="G665" s="152"/>
      <c r="H665" s="152"/>
      <c r="I665" s="196"/>
      <c r="J665" s="196"/>
      <c r="K665" s="196"/>
      <c r="L665" s="259"/>
    </row>
    <row r="666" ht="22.5" customHeight="1">
      <c r="A666" s="202"/>
      <c r="B666" s="273" t="str">
        <f t="shared" si="5"/>
        <v>#REF!</v>
      </c>
      <c r="C666" s="146"/>
      <c r="D666" s="197"/>
      <c r="E666" s="197"/>
      <c r="F666" s="197"/>
      <c r="G666" s="144"/>
      <c r="H666" s="144"/>
      <c r="I666" s="197"/>
      <c r="J666" s="197"/>
      <c r="K666" s="197"/>
      <c r="L666" s="257"/>
    </row>
    <row r="667" ht="22.5" customHeight="1">
      <c r="A667" s="250"/>
      <c r="B667" s="272" t="str">
        <f t="shared" si="5"/>
        <v>#REF!</v>
      </c>
      <c r="C667" s="154"/>
      <c r="D667" s="196"/>
      <c r="E667" s="196"/>
      <c r="F667" s="196"/>
      <c r="G667" s="152"/>
      <c r="H667" s="152"/>
      <c r="I667" s="196"/>
      <c r="J667" s="196"/>
      <c r="K667" s="196"/>
      <c r="L667" s="259"/>
    </row>
    <row r="668" ht="22.5" customHeight="1">
      <c r="A668" s="202"/>
      <c r="B668" s="273" t="str">
        <f t="shared" si="5"/>
        <v>#REF!</v>
      </c>
      <c r="C668" s="146"/>
      <c r="D668" s="197"/>
      <c r="E668" s="197"/>
      <c r="F668" s="197"/>
      <c r="G668" s="144"/>
      <c r="H668" s="144"/>
      <c r="I668" s="197"/>
      <c r="J668" s="197"/>
      <c r="K668" s="197"/>
      <c r="L668" s="257"/>
    </row>
    <row r="669" ht="22.5" customHeight="1">
      <c r="A669" s="250"/>
      <c r="B669" s="272" t="str">
        <f t="shared" si="5"/>
        <v>#REF!</v>
      </c>
      <c r="C669" s="154"/>
      <c r="D669" s="196"/>
      <c r="E669" s="196"/>
      <c r="F669" s="196"/>
      <c r="G669" s="152"/>
      <c r="H669" s="152"/>
      <c r="I669" s="196"/>
      <c r="J669" s="196"/>
      <c r="K669" s="196"/>
      <c r="L669" s="259"/>
    </row>
    <row r="670" ht="22.5" customHeight="1">
      <c r="A670" s="202"/>
      <c r="B670" s="273" t="str">
        <f t="shared" si="5"/>
        <v>#REF!</v>
      </c>
      <c r="C670" s="146"/>
      <c r="D670" s="197"/>
      <c r="E670" s="197"/>
      <c r="F670" s="197"/>
      <c r="G670" s="144"/>
      <c r="H670" s="144"/>
      <c r="I670" s="197"/>
      <c r="J670" s="197"/>
      <c r="K670" s="197"/>
      <c r="L670" s="257"/>
    </row>
    <row r="671" ht="22.5" customHeight="1">
      <c r="A671" s="250"/>
      <c r="B671" s="272" t="str">
        <f t="shared" si="5"/>
        <v>#REF!</v>
      </c>
      <c r="C671" s="154"/>
      <c r="D671" s="196"/>
      <c r="E671" s="196"/>
      <c r="F671" s="196"/>
      <c r="G671" s="152"/>
      <c r="H671" s="152"/>
      <c r="I671" s="196"/>
      <c r="J671" s="196"/>
      <c r="K671" s="196"/>
      <c r="L671" s="259"/>
    </row>
    <row r="672" ht="22.5" customHeight="1">
      <c r="A672" s="202"/>
      <c r="B672" s="273" t="str">
        <f t="shared" si="5"/>
        <v>#REF!</v>
      </c>
      <c r="C672" s="146"/>
      <c r="D672" s="197"/>
      <c r="E672" s="197"/>
      <c r="F672" s="197"/>
      <c r="G672" s="144"/>
      <c r="H672" s="144"/>
      <c r="I672" s="197"/>
      <c r="J672" s="197"/>
      <c r="K672" s="197"/>
      <c r="L672" s="257"/>
    </row>
    <row r="673" ht="22.5" customHeight="1">
      <c r="A673" s="250"/>
      <c r="B673" s="272" t="str">
        <f t="shared" si="5"/>
        <v>#REF!</v>
      </c>
      <c r="C673" s="154"/>
      <c r="D673" s="196"/>
      <c r="E673" s="196"/>
      <c r="F673" s="196"/>
      <c r="G673" s="152"/>
      <c r="H673" s="152"/>
      <c r="I673" s="196"/>
      <c r="J673" s="196"/>
      <c r="K673" s="196"/>
      <c r="L673" s="259"/>
    </row>
    <row r="674" ht="22.5" customHeight="1">
      <c r="A674" s="202"/>
      <c r="B674" s="273" t="str">
        <f t="shared" si="5"/>
        <v>#REF!</v>
      </c>
      <c r="C674" s="146"/>
      <c r="D674" s="197"/>
      <c r="E674" s="197"/>
      <c r="F674" s="197"/>
      <c r="G674" s="144"/>
      <c r="H674" s="144"/>
      <c r="I674" s="197"/>
      <c r="J674" s="197"/>
      <c r="K674" s="197"/>
      <c r="L674" s="257"/>
    </row>
    <row r="675" ht="22.5" customHeight="1">
      <c r="A675" s="250"/>
      <c r="B675" s="272" t="str">
        <f t="shared" si="5"/>
        <v>#REF!</v>
      </c>
      <c r="C675" s="154"/>
      <c r="D675" s="196"/>
      <c r="E675" s="196"/>
      <c r="F675" s="196"/>
      <c r="G675" s="152"/>
      <c r="H675" s="152"/>
      <c r="I675" s="196"/>
      <c r="J675" s="196"/>
      <c r="K675" s="196"/>
      <c r="L675" s="259"/>
    </row>
    <row r="676" ht="22.5" customHeight="1">
      <c r="A676" s="202"/>
      <c r="B676" s="273" t="str">
        <f t="shared" si="5"/>
        <v>#REF!</v>
      </c>
      <c r="C676" s="146"/>
      <c r="D676" s="197"/>
      <c r="E676" s="197"/>
      <c r="F676" s="197"/>
      <c r="G676" s="144"/>
      <c r="H676" s="144"/>
      <c r="I676" s="197"/>
      <c r="J676" s="197"/>
      <c r="K676" s="197"/>
      <c r="L676" s="257"/>
    </row>
    <row r="677" ht="22.5" customHeight="1">
      <c r="A677" s="250"/>
      <c r="B677" s="272" t="str">
        <f t="shared" si="5"/>
        <v>#REF!</v>
      </c>
      <c r="C677" s="154"/>
      <c r="D677" s="196"/>
      <c r="E677" s="196"/>
      <c r="F677" s="196"/>
      <c r="G677" s="152"/>
      <c r="H677" s="152"/>
      <c r="I677" s="196"/>
      <c r="J677" s="196"/>
      <c r="K677" s="196"/>
      <c r="L677" s="259"/>
    </row>
    <row r="678" ht="22.5" customHeight="1">
      <c r="A678" s="202"/>
      <c r="B678" s="273" t="str">
        <f t="shared" si="5"/>
        <v>#REF!</v>
      </c>
      <c r="C678" s="146"/>
      <c r="D678" s="197"/>
      <c r="E678" s="197"/>
      <c r="F678" s="197"/>
      <c r="G678" s="144"/>
      <c r="H678" s="144"/>
      <c r="I678" s="197"/>
      <c r="J678" s="197"/>
      <c r="K678" s="197"/>
      <c r="L678" s="257"/>
    </row>
    <row r="679" ht="22.5" customHeight="1">
      <c r="A679" s="250"/>
      <c r="B679" s="272" t="str">
        <f t="shared" si="5"/>
        <v>#REF!</v>
      </c>
      <c r="C679" s="154"/>
      <c r="D679" s="196"/>
      <c r="E679" s="196"/>
      <c r="F679" s="196"/>
      <c r="G679" s="152"/>
      <c r="H679" s="152"/>
      <c r="I679" s="196"/>
      <c r="J679" s="196"/>
      <c r="K679" s="196"/>
      <c r="L679" s="259"/>
    </row>
    <row r="680" ht="22.5" customHeight="1">
      <c r="A680" s="202"/>
      <c r="B680" s="273" t="str">
        <f t="shared" si="5"/>
        <v>#REF!</v>
      </c>
      <c r="C680" s="146"/>
      <c r="D680" s="197"/>
      <c r="E680" s="197"/>
      <c r="F680" s="197"/>
      <c r="G680" s="144"/>
      <c r="H680" s="144"/>
      <c r="I680" s="197"/>
      <c r="J680" s="197"/>
      <c r="K680" s="197"/>
      <c r="L680" s="257"/>
    </row>
    <row r="681" ht="22.5" customHeight="1">
      <c r="A681" s="250"/>
      <c r="B681" s="272" t="str">
        <f t="shared" si="5"/>
        <v>#REF!</v>
      </c>
      <c r="C681" s="154"/>
      <c r="D681" s="196"/>
      <c r="E681" s="196"/>
      <c r="F681" s="196"/>
      <c r="G681" s="152"/>
      <c r="H681" s="152"/>
      <c r="I681" s="196"/>
      <c r="J681" s="196"/>
      <c r="K681" s="196"/>
      <c r="L681" s="259"/>
    </row>
    <row r="682" ht="22.5" customHeight="1">
      <c r="A682" s="202"/>
      <c r="B682" s="273" t="str">
        <f t="shared" si="5"/>
        <v>#REF!</v>
      </c>
      <c r="C682" s="146"/>
      <c r="D682" s="197"/>
      <c r="E682" s="197"/>
      <c r="F682" s="197"/>
      <c r="G682" s="144"/>
      <c r="H682" s="144"/>
      <c r="I682" s="197"/>
      <c r="J682" s="197"/>
      <c r="K682" s="197"/>
      <c r="L682" s="257"/>
    </row>
    <row r="683" ht="22.5" customHeight="1">
      <c r="A683" s="250"/>
      <c r="B683" s="272" t="str">
        <f t="shared" si="5"/>
        <v>#REF!</v>
      </c>
      <c r="C683" s="154"/>
      <c r="D683" s="196"/>
      <c r="E683" s="196"/>
      <c r="F683" s="196"/>
      <c r="G683" s="152"/>
      <c r="H683" s="152"/>
      <c r="I683" s="196"/>
      <c r="J683" s="196"/>
      <c r="K683" s="196"/>
      <c r="L683" s="259"/>
    </row>
    <row r="684" ht="22.5" customHeight="1">
      <c r="A684" s="202"/>
      <c r="B684" s="273" t="str">
        <f t="shared" si="5"/>
        <v>#REF!</v>
      </c>
      <c r="C684" s="146"/>
      <c r="D684" s="197"/>
      <c r="E684" s="197"/>
      <c r="F684" s="197"/>
      <c r="G684" s="144"/>
      <c r="H684" s="144"/>
      <c r="I684" s="197"/>
      <c r="J684" s="197"/>
      <c r="K684" s="197"/>
      <c r="L684" s="257"/>
    </row>
    <row r="685" ht="22.5" customHeight="1">
      <c r="A685" s="250"/>
      <c r="B685" s="272" t="str">
        <f t="shared" si="5"/>
        <v>#REF!</v>
      </c>
      <c r="C685" s="154"/>
      <c r="D685" s="196"/>
      <c r="E685" s="196"/>
      <c r="F685" s="196"/>
      <c r="G685" s="152"/>
      <c r="H685" s="152"/>
      <c r="I685" s="196"/>
      <c r="J685" s="196"/>
      <c r="K685" s="196"/>
      <c r="L685" s="259"/>
    </row>
    <row r="686" ht="22.5" customHeight="1">
      <c r="A686" s="202"/>
      <c r="B686" s="273" t="str">
        <f t="shared" si="5"/>
        <v>#REF!</v>
      </c>
      <c r="C686" s="146"/>
      <c r="D686" s="197"/>
      <c r="E686" s="197"/>
      <c r="F686" s="197"/>
      <c r="G686" s="144"/>
      <c r="H686" s="144"/>
      <c r="I686" s="197"/>
      <c r="J686" s="197"/>
      <c r="K686" s="197"/>
      <c r="L686" s="257"/>
    </row>
    <row r="687" ht="22.5" customHeight="1">
      <c r="A687" s="250"/>
      <c r="B687" s="272" t="str">
        <f t="shared" si="5"/>
        <v>#REF!</v>
      </c>
      <c r="C687" s="154"/>
      <c r="D687" s="196"/>
      <c r="E687" s="196"/>
      <c r="F687" s="196"/>
      <c r="G687" s="152"/>
      <c r="H687" s="152"/>
      <c r="I687" s="196"/>
      <c r="J687" s="196"/>
      <c r="K687" s="196"/>
      <c r="L687" s="259"/>
    </row>
    <row r="688" ht="22.5" customHeight="1">
      <c r="A688" s="202"/>
      <c r="B688" s="273" t="str">
        <f t="shared" si="5"/>
        <v>#REF!</v>
      </c>
      <c r="C688" s="146"/>
      <c r="D688" s="197"/>
      <c r="E688" s="197"/>
      <c r="F688" s="197"/>
      <c r="G688" s="144"/>
      <c r="H688" s="144"/>
      <c r="I688" s="197"/>
      <c r="J688" s="197"/>
      <c r="K688" s="197"/>
      <c r="L688" s="257"/>
    </row>
    <row r="689" ht="22.5" customHeight="1">
      <c r="A689" s="250"/>
      <c r="B689" s="272" t="str">
        <f t="shared" si="5"/>
        <v>#REF!</v>
      </c>
      <c r="C689" s="154"/>
      <c r="D689" s="196"/>
      <c r="E689" s="196"/>
      <c r="F689" s="196"/>
      <c r="G689" s="152"/>
      <c r="H689" s="152"/>
      <c r="I689" s="196"/>
      <c r="J689" s="196"/>
      <c r="K689" s="196"/>
      <c r="L689" s="259"/>
    </row>
    <row r="690" ht="22.5" customHeight="1">
      <c r="A690" s="202"/>
      <c r="B690" s="273" t="str">
        <f t="shared" si="5"/>
        <v>#REF!</v>
      </c>
      <c r="C690" s="146"/>
      <c r="D690" s="197"/>
      <c r="E690" s="197"/>
      <c r="F690" s="197"/>
      <c r="G690" s="144"/>
      <c r="H690" s="144"/>
      <c r="I690" s="197"/>
      <c r="J690" s="197"/>
      <c r="K690" s="197"/>
      <c r="L690" s="257"/>
    </row>
    <row r="691" ht="22.5" customHeight="1">
      <c r="A691" s="250"/>
      <c r="B691" s="272" t="str">
        <f t="shared" si="5"/>
        <v>#REF!</v>
      </c>
      <c r="C691" s="154"/>
      <c r="D691" s="196"/>
      <c r="E691" s="196"/>
      <c r="F691" s="196"/>
      <c r="G691" s="152"/>
      <c r="H691" s="152"/>
      <c r="I691" s="196"/>
      <c r="J691" s="196"/>
      <c r="K691" s="196"/>
      <c r="L691" s="259"/>
    </row>
    <row r="692" ht="22.5" customHeight="1">
      <c r="A692" s="202"/>
      <c r="B692" s="273" t="str">
        <f t="shared" si="5"/>
        <v>#REF!</v>
      </c>
      <c r="C692" s="146"/>
      <c r="D692" s="197"/>
      <c r="E692" s="197"/>
      <c r="F692" s="197"/>
      <c r="G692" s="144"/>
      <c r="H692" s="144"/>
      <c r="I692" s="197"/>
      <c r="J692" s="197"/>
      <c r="K692" s="197"/>
      <c r="L692" s="257"/>
    </row>
    <row r="693" ht="22.5" customHeight="1">
      <c r="A693" s="250"/>
      <c r="B693" s="272" t="str">
        <f t="shared" si="5"/>
        <v>#REF!</v>
      </c>
      <c r="C693" s="154"/>
      <c r="D693" s="196"/>
      <c r="E693" s="196"/>
      <c r="F693" s="196"/>
      <c r="G693" s="152"/>
      <c r="H693" s="152"/>
      <c r="I693" s="196"/>
      <c r="J693" s="196"/>
      <c r="K693" s="196"/>
      <c r="L693" s="259"/>
    </row>
    <row r="694" ht="22.5" customHeight="1">
      <c r="A694" s="202"/>
      <c r="B694" s="273" t="str">
        <f t="shared" si="5"/>
        <v>#REF!</v>
      </c>
      <c r="C694" s="146"/>
      <c r="D694" s="197"/>
      <c r="E694" s="197"/>
      <c r="F694" s="197"/>
      <c r="G694" s="144"/>
      <c r="H694" s="144"/>
      <c r="I694" s="197"/>
      <c r="J694" s="197"/>
      <c r="K694" s="197"/>
      <c r="L694" s="257"/>
    </row>
    <row r="695" ht="22.5" customHeight="1">
      <c r="A695" s="250"/>
      <c r="B695" s="272" t="str">
        <f t="shared" si="5"/>
        <v>#REF!</v>
      </c>
      <c r="C695" s="154"/>
      <c r="D695" s="196"/>
      <c r="E695" s="196"/>
      <c r="F695" s="196"/>
      <c r="G695" s="152"/>
      <c r="H695" s="152"/>
      <c r="I695" s="196"/>
      <c r="J695" s="196"/>
      <c r="K695" s="196"/>
      <c r="L695" s="259"/>
    </row>
    <row r="696" ht="22.5" customHeight="1">
      <c r="A696" s="202"/>
      <c r="B696" s="273" t="str">
        <f t="shared" si="5"/>
        <v>#REF!</v>
      </c>
      <c r="C696" s="146"/>
      <c r="D696" s="197"/>
      <c r="E696" s="197"/>
      <c r="F696" s="197"/>
      <c r="G696" s="144"/>
      <c r="H696" s="144"/>
      <c r="I696" s="197"/>
      <c r="J696" s="197"/>
      <c r="K696" s="197"/>
      <c r="L696" s="257"/>
    </row>
    <row r="697" ht="22.5" customHeight="1">
      <c r="A697" s="250"/>
      <c r="B697" s="272" t="str">
        <f t="shared" si="5"/>
        <v>#REF!</v>
      </c>
      <c r="C697" s="154"/>
      <c r="D697" s="196"/>
      <c r="E697" s="196"/>
      <c r="F697" s="196"/>
      <c r="G697" s="152"/>
      <c r="H697" s="152"/>
      <c r="I697" s="196"/>
      <c r="J697" s="196"/>
      <c r="K697" s="196"/>
      <c r="L697" s="259"/>
    </row>
    <row r="698" ht="22.5" customHeight="1">
      <c r="A698" s="202"/>
      <c r="B698" s="273" t="str">
        <f t="shared" si="5"/>
        <v>#REF!</v>
      </c>
      <c r="C698" s="146"/>
      <c r="D698" s="197"/>
      <c r="E698" s="197"/>
      <c r="F698" s="197"/>
      <c r="G698" s="144"/>
      <c r="H698" s="144"/>
      <c r="I698" s="197"/>
      <c r="J698" s="197"/>
      <c r="K698" s="197"/>
      <c r="L698" s="257"/>
    </row>
    <row r="699" ht="22.5" customHeight="1">
      <c r="A699" s="250"/>
      <c r="B699" s="272" t="str">
        <f t="shared" si="5"/>
        <v>#REF!</v>
      </c>
      <c r="C699" s="154"/>
      <c r="D699" s="196"/>
      <c r="E699" s="196"/>
      <c r="F699" s="196"/>
      <c r="G699" s="152"/>
      <c r="H699" s="152"/>
      <c r="I699" s="196"/>
      <c r="J699" s="196"/>
      <c r="K699" s="196"/>
      <c r="L699" s="259"/>
    </row>
    <row r="700" ht="22.5" customHeight="1">
      <c r="A700" s="202"/>
      <c r="B700" s="273" t="str">
        <f t="shared" si="5"/>
        <v>#REF!</v>
      </c>
      <c r="C700" s="146"/>
      <c r="D700" s="197"/>
      <c r="E700" s="197"/>
      <c r="F700" s="197"/>
      <c r="G700" s="144"/>
      <c r="H700" s="144"/>
      <c r="I700" s="197"/>
      <c r="J700" s="197"/>
      <c r="K700" s="197"/>
      <c r="L700" s="257"/>
    </row>
    <row r="701" ht="22.5" customHeight="1">
      <c r="A701" s="250"/>
      <c r="B701" s="272" t="str">
        <f t="shared" si="5"/>
        <v>#REF!</v>
      </c>
      <c r="C701" s="154"/>
      <c r="D701" s="196"/>
      <c r="E701" s="196"/>
      <c r="F701" s="196"/>
      <c r="G701" s="152"/>
      <c r="H701" s="152"/>
      <c r="I701" s="196"/>
      <c r="J701" s="196"/>
      <c r="K701" s="196"/>
      <c r="L701" s="259"/>
    </row>
    <row r="702" ht="22.5" customHeight="1">
      <c r="A702" s="202"/>
      <c r="B702" s="273" t="str">
        <f t="shared" si="5"/>
        <v>#REF!</v>
      </c>
      <c r="C702" s="146"/>
      <c r="D702" s="197"/>
      <c r="E702" s="197"/>
      <c r="F702" s="197"/>
      <c r="G702" s="144"/>
      <c r="H702" s="144"/>
      <c r="I702" s="197"/>
      <c r="J702" s="197"/>
      <c r="K702" s="197"/>
      <c r="L702" s="257"/>
    </row>
    <row r="703" ht="22.5" customHeight="1">
      <c r="A703" s="250"/>
      <c r="B703" s="272" t="str">
        <f t="shared" si="5"/>
        <v>#REF!</v>
      </c>
      <c r="C703" s="154"/>
      <c r="D703" s="196"/>
      <c r="E703" s="196"/>
      <c r="F703" s="196"/>
      <c r="G703" s="152"/>
      <c r="H703" s="152"/>
      <c r="I703" s="196"/>
      <c r="J703" s="196"/>
      <c r="K703" s="196"/>
      <c r="L703" s="259"/>
    </row>
    <row r="704" ht="22.5" customHeight="1">
      <c r="A704" s="202"/>
      <c r="B704" s="273" t="str">
        <f t="shared" si="5"/>
        <v>#REF!</v>
      </c>
      <c r="C704" s="146"/>
      <c r="D704" s="197"/>
      <c r="E704" s="197"/>
      <c r="F704" s="197"/>
      <c r="G704" s="144"/>
      <c r="H704" s="144"/>
      <c r="I704" s="197"/>
      <c r="J704" s="197"/>
      <c r="K704" s="197"/>
      <c r="L704" s="257"/>
    </row>
    <row r="705" ht="22.5" customHeight="1">
      <c r="A705" s="250"/>
      <c r="B705" s="272" t="str">
        <f t="shared" si="5"/>
        <v>#REF!</v>
      </c>
      <c r="C705" s="154"/>
      <c r="D705" s="196"/>
      <c r="E705" s="196"/>
      <c r="F705" s="196"/>
      <c r="G705" s="152"/>
      <c r="H705" s="152"/>
      <c r="I705" s="196"/>
      <c r="J705" s="196"/>
      <c r="K705" s="196"/>
      <c r="L705" s="259"/>
    </row>
    <row r="706" ht="22.5" customHeight="1">
      <c r="A706" s="202"/>
      <c r="B706" s="273" t="str">
        <f t="shared" si="5"/>
        <v>#REF!</v>
      </c>
      <c r="C706" s="146"/>
      <c r="D706" s="197"/>
      <c r="E706" s="197"/>
      <c r="F706" s="197"/>
      <c r="G706" s="144"/>
      <c r="H706" s="144"/>
      <c r="I706" s="197"/>
      <c r="J706" s="197"/>
      <c r="K706" s="197"/>
      <c r="L706" s="257"/>
    </row>
    <row r="707" ht="22.5" customHeight="1">
      <c r="A707" s="250"/>
      <c r="B707" s="272" t="str">
        <f t="shared" si="5"/>
        <v>#REF!</v>
      </c>
      <c r="C707" s="154"/>
      <c r="D707" s="196"/>
      <c r="E707" s="196"/>
      <c r="F707" s="196"/>
      <c r="G707" s="152"/>
      <c r="H707" s="152"/>
      <c r="I707" s="196"/>
      <c r="J707" s="196"/>
      <c r="K707" s="196"/>
      <c r="L707" s="259"/>
    </row>
    <row r="708" ht="22.5" customHeight="1">
      <c r="A708" s="202"/>
      <c r="B708" s="273" t="str">
        <f t="shared" si="5"/>
        <v>#REF!</v>
      </c>
      <c r="C708" s="146"/>
      <c r="D708" s="197"/>
      <c r="E708" s="197"/>
      <c r="F708" s="197"/>
      <c r="G708" s="144"/>
      <c r="H708" s="144"/>
      <c r="I708" s="197"/>
      <c r="J708" s="197"/>
      <c r="K708" s="197"/>
      <c r="L708" s="257"/>
    </row>
    <row r="709" ht="22.5" customHeight="1">
      <c r="A709" s="250"/>
      <c r="B709" s="272" t="str">
        <f t="shared" si="5"/>
        <v>#REF!</v>
      </c>
      <c r="C709" s="154"/>
      <c r="D709" s="196"/>
      <c r="E709" s="196"/>
      <c r="F709" s="196"/>
      <c r="G709" s="152"/>
      <c r="H709" s="152"/>
      <c r="I709" s="196"/>
      <c r="J709" s="196"/>
      <c r="K709" s="196"/>
      <c r="L709" s="259"/>
    </row>
    <row r="710" ht="22.5" customHeight="1">
      <c r="A710" s="202"/>
      <c r="B710" s="273" t="str">
        <f t="shared" si="5"/>
        <v>#REF!</v>
      </c>
      <c r="C710" s="146"/>
      <c r="D710" s="197"/>
      <c r="E710" s="197"/>
      <c r="F710" s="197"/>
      <c r="G710" s="144"/>
      <c r="H710" s="144"/>
      <c r="I710" s="197"/>
      <c r="J710" s="197"/>
      <c r="K710" s="197"/>
      <c r="L710" s="257"/>
    </row>
    <row r="711" ht="22.5" customHeight="1">
      <c r="A711" s="250"/>
      <c r="B711" s="272" t="str">
        <f t="shared" si="5"/>
        <v>#REF!</v>
      </c>
      <c r="C711" s="154"/>
      <c r="D711" s="196"/>
      <c r="E711" s="196"/>
      <c r="F711" s="196"/>
      <c r="G711" s="152"/>
      <c r="H711" s="152"/>
      <c r="I711" s="196"/>
      <c r="J711" s="196"/>
      <c r="K711" s="196"/>
      <c r="L711" s="259"/>
    </row>
    <row r="712" ht="22.5" customHeight="1">
      <c r="A712" s="202"/>
      <c r="B712" s="273" t="str">
        <f t="shared" si="5"/>
        <v>#REF!</v>
      </c>
      <c r="C712" s="146"/>
      <c r="D712" s="197"/>
      <c r="E712" s="197"/>
      <c r="F712" s="197"/>
      <c r="G712" s="144"/>
      <c r="H712" s="144"/>
      <c r="I712" s="197"/>
      <c r="J712" s="197"/>
      <c r="K712" s="197"/>
      <c r="L712" s="257"/>
    </row>
    <row r="713" ht="22.5" customHeight="1">
      <c r="A713" s="250"/>
      <c r="B713" s="272" t="str">
        <f t="shared" si="5"/>
        <v>#REF!</v>
      </c>
      <c r="C713" s="154"/>
      <c r="D713" s="196"/>
      <c r="E713" s="196"/>
      <c r="F713" s="196"/>
      <c r="G713" s="152"/>
      <c r="H713" s="152"/>
      <c r="I713" s="196"/>
      <c r="J713" s="196"/>
      <c r="K713" s="196"/>
      <c r="L713" s="259"/>
    </row>
    <row r="714" ht="22.5" customHeight="1">
      <c r="A714" s="202"/>
      <c r="B714" s="273" t="str">
        <f t="shared" si="5"/>
        <v>#REF!</v>
      </c>
      <c r="C714" s="146"/>
      <c r="D714" s="197"/>
      <c r="E714" s="197"/>
      <c r="F714" s="197"/>
      <c r="G714" s="144"/>
      <c r="H714" s="144"/>
      <c r="I714" s="197"/>
      <c r="J714" s="197"/>
      <c r="K714" s="197"/>
      <c r="L714" s="257"/>
    </row>
    <row r="715" ht="22.5" customHeight="1">
      <c r="A715" s="250"/>
      <c r="B715" s="272" t="str">
        <f t="shared" si="5"/>
        <v>#REF!</v>
      </c>
      <c r="C715" s="154"/>
      <c r="D715" s="196"/>
      <c r="E715" s="196"/>
      <c r="F715" s="196"/>
      <c r="G715" s="152"/>
      <c r="H715" s="152"/>
      <c r="I715" s="196"/>
      <c r="J715" s="196"/>
      <c r="K715" s="196"/>
      <c r="L715" s="259"/>
    </row>
    <row r="716" ht="22.5" customHeight="1">
      <c r="A716" s="202"/>
      <c r="B716" s="273" t="str">
        <f t="shared" si="5"/>
        <v>#REF!</v>
      </c>
      <c r="C716" s="146"/>
      <c r="D716" s="197"/>
      <c r="E716" s="197"/>
      <c r="F716" s="197"/>
      <c r="G716" s="144"/>
      <c r="H716" s="144"/>
      <c r="I716" s="197"/>
      <c r="J716" s="197"/>
      <c r="K716" s="197"/>
      <c r="L716" s="257"/>
    </row>
    <row r="717" ht="22.5" customHeight="1">
      <c r="A717" s="250"/>
      <c r="B717" s="272" t="str">
        <f t="shared" si="5"/>
        <v>#REF!</v>
      </c>
      <c r="C717" s="154"/>
      <c r="D717" s="196"/>
      <c r="E717" s="196"/>
      <c r="F717" s="196"/>
      <c r="G717" s="152"/>
      <c r="H717" s="152"/>
      <c r="I717" s="196"/>
      <c r="J717" s="196"/>
      <c r="K717" s="196"/>
      <c r="L717" s="259"/>
    </row>
    <row r="718" ht="22.5" customHeight="1">
      <c r="A718" s="202"/>
      <c r="B718" s="273" t="str">
        <f t="shared" si="5"/>
        <v>#REF!</v>
      </c>
      <c r="C718" s="146"/>
      <c r="D718" s="197"/>
      <c r="E718" s="197"/>
      <c r="F718" s="197"/>
      <c r="G718" s="144"/>
      <c r="H718" s="144"/>
      <c r="I718" s="197"/>
      <c r="J718" s="197"/>
      <c r="K718" s="197"/>
      <c r="L718" s="257"/>
    </row>
    <row r="719" ht="22.5" customHeight="1">
      <c r="A719" s="250"/>
      <c r="B719" s="272" t="str">
        <f t="shared" si="5"/>
        <v>#REF!</v>
      </c>
      <c r="C719" s="154"/>
      <c r="D719" s="196"/>
      <c r="E719" s="196"/>
      <c r="F719" s="196"/>
      <c r="G719" s="152"/>
      <c r="H719" s="152"/>
      <c r="I719" s="196"/>
      <c r="J719" s="196"/>
      <c r="K719" s="196"/>
      <c r="L719" s="259"/>
    </row>
    <row r="720" ht="22.5" customHeight="1">
      <c r="A720" s="202"/>
      <c r="B720" s="273" t="str">
        <f t="shared" si="5"/>
        <v>#REF!</v>
      </c>
      <c r="C720" s="146"/>
      <c r="D720" s="197"/>
      <c r="E720" s="197"/>
      <c r="F720" s="197"/>
      <c r="G720" s="144"/>
      <c r="H720" s="144"/>
      <c r="I720" s="197"/>
      <c r="J720" s="197"/>
      <c r="K720" s="197"/>
      <c r="L720" s="257"/>
    </row>
    <row r="721" ht="22.5" customHeight="1">
      <c r="A721" s="250"/>
      <c r="B721" s="272" t="str">
        <f t="shared" si="5"/>
        <v>#REF!</v>
      </c>
      <c r="C721" s="154"/>
      <c r="D721" s="196"/>
      <c r="E721" s="196"/>
      <c r="F721" s="196"/>
      <c r="G721" s="152"/>
      <c r="H721" s="152"/>
      <c r="I721" s="196"/>
      <c r="J721" s="196"/>
      <c r="K721" s="196"/>
      <c r="L721" s="259"/>
    </row>
    <row r="722" ht="22.5" customHeight="1">
      <c r="A722" s="202"/>
      <c r="B722" s="273" t="str">
        <f t="shared" si="5"/>
        <v>#REF!</v>
      </c>
      <c r="C722" s="146"/>
      <c r="D722" s="197"/>
      <c r="E722" s="197"/>
      <c r="F722" s="197"/>
      <c r="G722" s="144"/>
      <c r="H722" s="144"/>
      <c r="I722" s="197"/>
      <c r="J722" s="197"/>
      <c r="K722" s="197"/>
      <c r="L722" s="257"/>
    </row>
    <row r="723" ht="22.5" customHeight="1">
      <c r="A723" s="250"/>
      <c r="B723" s="272" t="str">
        <f t="shared" si="5"/>
        <v>#REF!</v>
      </c>
      <c r="C723" s="154"/>
      <c r="D723" s="196"/>
      <c r="E723" s="196"/>
      <c r="F723" s="196"/>
      <c r="G723" s="152"/>
      <c r="H723" s="152"/>
      <c r="I723" s="196"/>
      <c r="J723" s="196"/>
      <c r="K723" s="196"/>
      <c r="L723" s="259"/>
    </row>
    <row r="724" ht="22.5" customHeight="1">
      <c r="A724" s="202"/>
      <c r="B724" s="273" t="str">
        <f t="shared" si="5"/>
        <v>#REF!</v>
      </c>
      <c r="C724" s="146"/>
      <c r="D724" s="197"/>
      <c r="E724" s="197"/>
      <c r="F724" s="197"/>
      <c r="G724" s="144"/>
      <c r="H724" s="144"/>
      <c r="I724" s="197"/>
      <c r="J724" s="197"/>
      <c r="K724" s="197"/>
      <c r="L724" s="257"/>
    </row>
    <row r="725" ht="22.5" customHeight="1">
      <c r="A725" s="250"/>
      <c r="B725" s="272" t="str">
        <f t="shared" si="5"/>
        <v>#REF!</v>
      </c>
      <c r="C725" s="154"/>
      <c r="D725" s="196"/>
      <c r="E725" s="196"/>
      <c r="F725" s="196"/>
      <c r="G725" s="152"/>
      <c r="H725" s="152"/>
      <c r="I725" s="196"/>
      <c r="J725" s="196"/>
      <c r="K725" s="196"/>
      <c r="L725" s="259"/>
    </row>
    <row r="726" ht="22.5" customHeight="1">
      <c r="A726" s="202"/>
      <c r="B726" s="273" t="str">
        <f t="shared" si="5"/>
        <v>#REF!</v>
      </c>
      <c r="C726" s="146"/>
      <c r="D726" s="197"/>
      <c r="E726" s="197"/>
      <c r="F726" s="197"/>
      <c r="G726" s="144"/>
      <c r="H726" s="144"/>
      <c r="I726" s="197"/>
      <c r="J726" s="197"/>
      <c r="K726" s="197"/>
      <c r="L726" s="257"/>
    </row>
    <row r="727" ht="22.5" customHeight="1">
      <c r="A727" s="250"/>
      <c r="B727" s="272" t="str">
        <f t="shared" si="5"/>
        <v>#REF!</v>
      </c>
      <c r="C727" s="154"/>
      <c r="D727" s="196"/>
      <c r="E727" s="196"/>
      <c r="F727" s="196"/>
      <c r="G727" s="152"/>
      <c r="H727" s="152"/>
      <c r="I727" s="196"/>
      <c r="J727" s="196"/>
      <c r="K727" s="196"/>
      <c r="L727" s="259"/>
    </row>
    <row r="728" ht="22.5" customHeight="1">
      <c r="A728" s="202"/>
      <c r="B728" s="273" t="str">
        <f t="shared" si="5"/>
        <v>#REF!</v>
      </c>
      <c r="C728" s="146"/>
      <c r="D728" s="197"/>
      <c r="E728" s="197"/>
      <c r="F728" s="197"/>
      <c r="G728" s="144"/>
      <c r="H728" s="144"/>
      <c r="I728" s="197"/>
      <c r="J728" s="197"/>
      <c r="K728" s="197"/>
      <c r="L728" s="257"/>
    </row>
    <row r="729" ht="22.5" customHeight="1">
      <c r="A729" s="250"/>
      <c r="B729" s="272" t="str">
        <f t="shared" si="5"/>
        <v>#REF!</v>
      </c>
      <c r="C729" s="154"/>
      <c r="D729" s="196"/>
      <c r="E729" s="196"/>
      <c r="F729" s="196"/>
      <c r="G729" s="152"/>
      <c r="H729" s="152"/>
      <c r="I729" s="196"/>
      <c r="J729" s="196"/>
      <c r="K729" s="196"/>
      <c r="L729" s="259"/>
    </row>
    <row r="730" ht="22.5" customHeight="1">
      <c r="A730" s="202"/>
      <c r="B730" s="273" t="str">
        <f t="shared" si="5"/>
        <v>#REF!</v>
      </c>
      <c r="C730" s="146"/>
      <c r="D730" s="197"/>
      <c r="E730" s="197"/>
      <c r="F730" s="197"/>
      <c r="G730" s="144"/>
      <c r="H730" s="144"/>
      <c r="I730" s="197"/>
      <c r="J730" s="197"/>
      <c r="K730" s="197"/>
      <c r="L730" s="257"/>
    </row>
    <row r="731" ht="22.5" customHeight="1">
      <c r="A731" s="250"/>
      <c r="B731" s="272" t="str">
        <f t="shared" si="5"/>
        <v>#REF!</v>
      </c>
      <c r="C731" s="154"/>
      <c r="D731" s="196"/>
      <c r="E731" s="196"/>
      <c r="F731" s="196"/>
      <c r="G731" s="152"/>
      <c r="H731" s="152"/>
      <c r="I731" s="196"/>
      <c r="J731" s="196"/>
      <c r="K731" s="196"/>
      <c r="L731" s="259"/>
    </row>
    <row r="732" ht="22.5" customHeight="1">
      <c r="A732" s="202"/>
      <c r="B732" s="273" t="str">
        <f t="shared" si="5"/>
        <v>#REF!</v>
      </c>
      <c r="C732" s="146"/>
      <c r="D732" s="197"/>
      <c r="E732" s="197"/>
      <c r="F732" s="197"/>
      <c r="G732" s="144"/>
      <c r="H732" s="144"/>
      <c r="I732" s="197"/>
      <c r="J732" s="197"/>
      <c r="K732" s="197"/>
      <c r="L732" s="257"/>
    </row>
    <row r="733" ht="22.5" customHeight="1">
      <c r="A733" s="250"/>
      <c r="B733" s="272" t="str">
        <f t="shared" si="5"/>
        <v>#REF!</v>
      </c>
      <c r="C733" s="154"/>
      <c r="D733" s="196"/>
      <c r="E733" s="196"/>
      <c r="F733" s="196"/>
      <c r="G733" s="152"/>
      <c r="H733" s="152"/>
      <c r="I733" s="196"/>
      <c r="J733" s="196"/>
      <c r="K733" s="196"/>
      <c r="L733" s="259"/>
    </row>
    <row r="734" ht="22.5" customHeight="1">
      <c r="A734" s="202"/>
      <c r="B734" s="273" t="str">
        <f t="shared" si="5"/>
        <v>#REF!</v>
      </c>
      <c r="C734" s="146"/>
      <c r="D734" s="197"/>
      <c r="E734" s="197"/>
      <c r="F734" s="197"/>
      <c r="G734" s="144"/>
      <c r="H734" s="144"/>
      <c r="I734" s="197"/>
      <c r="J734" s="197"/>
      <c r="K734" s="197"/>
      <c r="L734" s="257"/>
    </row>
    <row r="735" ht="22.5" customHeight="1">
      <c r="A735" s="250"/>
      <c r="B735" s="272" t="str">
        <f t="shared" si="5"/>
        <v>#REF!</v>
      </c>
      <c r="C735" s="154"/>
      <c r="D735" s="196"/>
      <c r="E735" s="196"/>
      <c r="F735" s="196"/>
      <c r="G735" s="152"/>
      <c r="H735" s="152"/>
      <c r="I735" s="196"/>
      <c r="J735" s="196"/>
      <c r="K735" s="196"/>
      <c r="L735" s="259"/>
    </row>
    <row r="736" ht="22.5" customHeight="1">
      <c r="A736" s="202"/>
      <c r="B736" s="273" t="str">
        <f t="shared" si="5"/>
        <v>#REF!</v>
      </c>
      <c r="C736" s="146"/>
      <c r="D736" s="197"/>
      <c r="E736" s="197"/>
      <c r="F736" s="197"/>
      <c r="G736" s="144"/>
      <c r="H736" s="144"/>
      <c r="I736" s="197"/>
      <c r="J736" s="197"/>
      <c r="K736" s="197"/>
      <c r="L736" s="257"/>
    </row>
    <row r="737" ht="22.5" customHeight="1">
      <c r="A737" s="250"/>
      <c r="B737" s="272" t="str">
        <f t="shared" si="5"/>
        <v>#REF!</v>
      </c>
      <c r="C737" s="154"/>
      <c r="D737" s="196"/>
      <c r="E737" s="196"/>
      <c r="F737" s="196"/>
      <c r="G737" s="152"/>
      <c r="H737" s="152"/>
      <c r="I737" s="196"/>
      <c r="J737" s="196"/>
      <c r="K737" s="196"/>
      <c r="L737" s="259"/>
    </row>
    <row r="738" ht="22.5" customHeight="1">
      <c r="A738" s="202"/>
      <c r="B738" s="273" t="str">
        <f t="shared" si="5"/>
        <v>#REF!</v>
      </c>
      <c r="C738" s="146"/>
      <c r="D738" s="197"/>
      <c r="E738" s="197"/>
      <c r="F738" s="197"/>
      <c r="G738" s="144"/>
      <c r="H738" s="144"/>
      <c r="I738" s="197"/>
      <c r="J738" s="197"/>
      <c r="K738" s="197"/>
      <c r="L738" s="257"/>
    </row>
    <row r="739" ht="22.5" customHeight="1">
      <c r="A739" s="250"/>
      <c r="B739" s="272" t="str">
        <f t="shared" si="5"/>
        <v>#REF!</v>
      </c>
      <c r="C739" s="154"/>
      <c r="D739" s="196"/>
      <c r="E739" s="196"/>
      <c r="F739" s="196"/>
      <c r="G739" s="152"/>
      <c r="H739" s="152"/>
      <c r="I739" s="196"/>
      <c r="J739" s="196"/>
      <c r="K739" s="196"/>
      <c r="L739" s="259"/>
    </row>
    <row r="740" ht="22.5" customHeight="1">
      <c r="A740" s="202"/>
      <c r="B740" s="273" t="str">
        <f t="shared" si="5"/>
        <v>#REF!</v>
      </c>
      <c r="C740" s="146"/>
      <c r="D740" s="197"/>
      <c r="E740" s="197"/>
      <c r="F740" s="197"/>
      <c r="G740" s="144"/>
      <c r="H740" s="144"/>
      <c r="I740" s="197"/>
      <c r="J740" s="197"/>
      <c r="K740" s="197"/>
      <c r="L740" s="257"/>
    </row>
    <row r="741" ht="22.5" customHeight="1">
      <c r="A741" s="250"/>
      <c r="B741" s="272" t="str">
        <f t="shared" si="5"/>
        <v>#REF!</v>
      </c>
      <c r="C741" s="154"/>
      <c r="D741" s="196"/>
      <c r="E741" s="196"/>
      <c r="F741" s="196"/>
      <c r="G741" s="152"/>
      <c r="H741" s="152"/>
      <c r="I741" s="196"/>
      <c r="J741" s="196"/>
      <c r="K741" s="196"/>
      <c r="L741" s="259"/>
    </row>
    <row r="742" ht="22.5" customHeight="1">
      <c r="A742" s="202"/>
      <c r="B742" s="273" t="str">
        <f t="shared" si="5"/>
        <v>#REF!</v>
      </c>
      <c r="C742" s="146"/>
      <c r="D742" s="197"/>
      <c r="E742" s="197"/>
      <c r="F742" s="197"/>
      <c r="G742" s="144"/>
      <c r="H742" s="144"/>
      <c r="I742" s="197"/>
      <c r="J742" s="197"/>
      <c r="K742" s="197"/>
      <c r="L742" s="257"/>
    </row>
    <row r="743" ht="22.5" customHeight="1">
      <c r="A743" s="250"/>
      <c r="B743" s="272" t="str">
        <f t="shared" si="5"/>
        <v>#REF!</v>
      </c>
      <c r="C743" s="154"/>
      <c r="D743" s="196"/>
      <c r="E743" s="196"/>
      <c r="F743" s="196"/>
      <c r="G743" s="152"/>
      <c r="H743" s="152"/>
      <c r="I743" s="196"/>
      <c r="J743" s="196"/>
      <c r="K743" s="196"/>
      <c r="L743" s="259"/>
    </row>
    <row r="744" ht="22.5" customHeight="1">
      <c r="A744" s="202"/>
      <c r="B744" s="273" t="str">
        <f t="shared" si="5"/>
        <v>#REF!</v>
      </c>
      <c r="C744" s="146"/>
      <c r="D744" s="197"/>
      <c r="E744" s="197"/>
      <c r="F744" s="197"/>
      <c r="G744" s="144"/>
      <c r="H744" s="144"/>
      <c r="I744" s="197"/>
      <c r="J744" s="197"/>
      <c r="K744" s="197"/>
      <c r="L744" s="257"/>
    </row>
    <row r="745" ht="22.5" customHeight="1">
      <c r="A745" s="250"/>
      <c r="B745" s="272" t="str">
        <f t="shared" si="5"/>
        <v>#REF!</v>
      </c>
      <c r="C745" s="154"/>
      <c r="D745" s="196"/>
      <c r="E745" s="196"/>
      <c r="F745" s="196"/>
      <c r="G745" s="152"/>
      <c r="H745" s="152"/>
      <c r="I745" s="196"/>
      <c r="J745" s="196"/>
      <c r="K745" s="196"/>
      <c r="L745" s="259"/>
    </row>
    <row r="746" ht="22.5" customHeight="1">
      <c r="A746" s="202"/>
      <c r="B746" s="273" t="str">
        <f t="shared" si="5"/>
        <v>#REF!</v>
      </c>
      <c r="C746" s="146"/>
      <c r="D746" s="197"/>
      <c r="E746" s="197"/>
      <c r="F746" s="197"/>
      <c r="G746" s="144"/>
      <c r="H746" s="144"/>
      <c r="I746" s="197"/>
      <c r="J746" s="197"/>
      <c r="K746" s="197"/>
      <c r="L746" s="257"/>
    </row>
    <row r="747" ht="22.5" customHeight="1">
      <c r="A747" s="250"/>
      <c r="B747" s="272" t="str">
        <f t="shared" si="5"/>
        <v>#REF!</v>
      </c>
      <c r="C747" s="154"/>
      <c r="D747" s="196"/>
      <c r="E747" s="196"/>
      <c r="F747" s="196"/>
      <c r="G747" s="152"/>
      <c r="H747" s="152"/>
      <c r="I747" s="196"/>
      <c r="J747" s="196"/>
      <c r="K747" s="196"/>
      <c r="L747" s="259"/>
    </row>
    <row r="748" ht="22.5" customHeight="1">
      <c r="A748" s="202"/>
      <c r="B748" s="273" t="str">
        <f t="shared" si="5"/>
        <v>#REF!</v>
      </c>
      <c r="C748" s="146"/>
      <c r="D748" s="197"/>
      <c r="E748" s="197"/>
      <c r="F748" s="197"/>
      <c r="G748" s="144"/>
      <c r="H748" s="144"/>
      <c r="I748" s="197"/>
      <c r="J748" s="197"/>
      <c r="K748" s="197"/>
      <c r="L748" s="257"/>
    </row>
    <row r="749" ht="22.5" customHeight="1">
      <c r="A749" s="250"/>
      <c r="B749" s="272" t="str">
        <f t="shared" si="5"/>
        <v>#REF!</v>
      </c>
      <c r="C749" s="154"/>
      <c r="D749" s="196"/>
      <c r="E749" s="196"/>
      <c r="F749" s="196"/>
      <c r="G749" s="152"/>
      <c r="H749" s="152"/>
      <c r="I749" s="196"/>
      <c r="J749" s="196"/>
      <c r="K749" s="196"/>
      <c r="L749" s="259"/>
    </row>
    <row r="750" ht="22.5" customHeight="1">
      <c r="A750" s="202"/>
      <c r="B750" s="273" t="str">
        <f t="shared" si="5"/>
        <v>#REF!</v>
      </c>
      <c r="C750" s="146"/>
      <c r="D750" s="197"/>
      <c r="E750" s="197"/>
      <c r="F750" s="197"/>
      <c r="G750" s="144"/>
      <c r="H750" s="144"/>
      <c r="I750" s="197"/>
      <c r="J750" s="197"/>
      <c r="K750" s="197"/>
      <c r="L750" s="257"/>
    </row>
    <row r="751" ht="22.5" customHeight="1">
      <c r="A751" s="250"/>
      <c r="B751" s="272" t="str">
        <f t="shared" si="5"/>
        <v>#REF!</v>
      </c>
      <c r="C751" s="154"/>
      <c r="D751" s="196"/>
      <c r="E751" s="196"/>
      <c r="F751" s="196"/>
      <c r="G751" s="152"/>
      <c r="H751" s="152"/>
      <c r="I751" s="196"/>
      <c r="J751" s="196"/>
      <c r="K751" s="196"/>
      <c r="L751" s="259"/>
    </row>
    <row r="752" ht="22.5" customHeight="1">
      <c r="A752" s="202"/>
      <c r="B752" s="273" t="str">
        <f t="shared" si="5"/>
        <v>#REF!</v>
      </c>
      <c r="C752" s="146"/>
      <c r="D752" s="197"/>
      <c r="E752" s="197"/>
      <c r="F752" s="197"/>
      <c r="G752" s="144"/>
      <c r="H752" s="144"/>
      <c r="I752" s="197"/>
      <c r="J752" s="197"/>
      <c r="K752" s="197"/>
      <c r="L752" s="257"/>
    </row>
    <row r="753" ht="22.5" customHeight="1">
      <c r="A753" s="250"/>
      <c r="B753" s="272" t="str">
        <f t="shared" si="5"/>
        <v>#REF!</v>
      </c>
      <c r="C753" s="154"/>
      <c r="D753" s="196"/>
      <c r="E753" s="196"/>
      <c r="F753" s="196"/>
      <c r="G753" s="152"/>
      <c r="H753" s="152"/>
      <c r="I753" s="196"/>
      <c r="J753" s="196"/>
      <c r="K753" s="196"/>
      <c r="L753" s="259"/>
    </row>
    <row r="754" ht="22.5" customHeight="1">
      <c r="A754" s="202"/>
      <c r="B754" s="273" t="str">
        <f t="shared" si="5"/>
        <v>#REF!</v>
      </c>
      <c r="C754" s="146"/>
      <c r="D754" s="197"/>
      <c r="E754" s="197"/>
      <c r="F754" s="197"/>
      <c r="G754" s="144"/>
      <c r="H754" s="144"/>
      <c r="I754" s="197"/>
      <c r="J754" s="197"/>
      <c r="K754" s="197"/>
      <c r="L754" s="257"/>
    </row>
    <row r="755" ht="22.5" customHeight="1">
      <c r="A755" s="250"/>
      <c r="B755" s="272" t="str">
        <f t="shared" si="5"/>
        <v>#REF!</v>
      </c>
      <c r="C755" s="154"/>
      <c r="D755" s="196"/>
      <c r="E755" s="196"/>
      <c r="F755" s="196"/>
      <c r="G755" s="152"/>
      <c r="H755" s="152"/>
      <c r="I755" s="196"/>
      <c r="J755" s="196"/>
      <c r="K755" s="196"/>
      <c r="L755" s="259"/>
    </row>
    <row r="756" ht="22.5" customHeight="1">
      <c r="A756" s="202"/>
      <c r="B756" s="273" t="str">
        <f t="shared" si="5"/>
        <v>#REF!</v>
      </c>
      <c r="C756" s="146"/>
      <c r="D756" s="197"/>
      <c r="E756" s="197"/>
      <c r="F756" s="197"/>
      <c r="G756" s="144"/>
      <c r="H756" s="144"/>
      <c r="I756" s="197"/>
      <c r="J756" s="197"/>
      <c r="K756" s="197"/>
      <c r="L756" s="257"/>
    </row>
    <row r="757" ht="22.5" customHeight="1">
      <c r="A757" s="250"/>
      <c r="B757" s="272" t="str">
        <f t="shared" si="5"/>
        <v>#REF!</v>
      </c>
      <c r="C757" s="154"/>
      <c r="D757" s="196"/>
      <c r="E757" s="196"/>
      <c r="F757" s="196"/>
      <c r="G757" s="152"/>
      <c r="H757" s="152"/>
      <c r="I757" s="196"/>
      <c r="J757" s="196"/>
      <c r="K757" s="196"/>
      <c r="L757" s="259"/>
    </row>
    <row r="758" ht="22.5" customHeight="1">
      <c r="A758" s="202"/>
      <c r="B758" s="273" t="str">
        <f t="shared" si="5"/>
        <v>#REF!</v>
      </c>
      <c r="C758" s="146"/>
      <c r="D758" s="197"/>
      <c r="E758" s="197"/>
      <c r="F758" s="197"/>
      <c r="G758" s="144"/>
      <c r="H758" s="144"/>
      <c r="I758" s="197"/>
      <c r="J758" s="197"/>
      <c r="K758" s="197"/>
      <c r="L758" s="257"/>
    </row>
    <row r="759" ht="22.5" customHeight="1">
      <c r="A759" s="250"/>
      <c r="B759" s="272" t="str">
        <f t="shared" si="5"/>
        <v>#REF!</v>
      </c>
      <c r="C759" s="154"/>
      <c r="D759" s="196"/>
      <c r="E759" s="196"/>
      <c r="F759" s="196"/>
      <c r="G759" s="152"/>
      <c r="H759" s="152"/>
      <c r="I759" s="196"/>
      <c r="J759" s="196"/>
      <c r="K759" s="196"/>
      <c r="L759" s="259"/>
    </row>
    <row r="760" ht="22.5" customHeight="1">
      <c r="A760" s="202"/>
      <c r="B760" s="273" t="str">
        <f t="shared" si="5"/>
        <v>#REF!</v>
      </c>
      <c r="C760" s="146"/>
      <c r="D760" s="197"/>
      <c r="E760" s="197"/>
      <c r="F760" s="197"/>
      <c r="G760" s="144"/>
      <c r="H760" s="144"/>
      <c r="I760" s="197"/>
      <c r="J760" s="197"/>
      <c r="K760" s="197"/>
      <c r="L760" s="257"/>
    </row>
    <row r="761" ht="22.5" customHeight="1">
      <c r="A761" s="250"/>
      <c r="B761" s="272" t="str">
        <f t="shared" si="5"/>
        <v>#REF!</v>
      </c>
      <c r="C761" s="154"/>
      <c r="D761" s="196"/>
      <c r="E761" s="196"/>
      <c r="F761" s="196"/>
      <c r="G761" s="152"/>
      <c r="H761" s="152"/>
      <c r="I761" s="196"/>
      <c r="J761" s="196"/>
      <c r="K761" s="196"/>
      <c r="L761" s="259"/>
    </row>
    <row r="762" ht="22.5" customHeight="1">
      <c r="A762" s="202"/>
      <c r="B762" s="273" t="str">
        <f t="shared" si="5"/>
        <v>#REF!</v>
      </c>
      <c r="C762" s="146"/>
      <c r="D762" s="197"/>
      <c r="E762" s="197"/>
      <c r="F762" s="197"/>
      <c r="G762" s="144"/>
      <c r="H762" s="144"/>
      <c r="I762" s="197"/>
      <c r="J762" s="197"/>
      <c r="K762" s="197"/>
      <c r="L762" s="257"/>
    </row>
    <row r="763" ht="22.5" customHeight="1">
      <c r="A763" s="250"/>
      <c r="B763" s="272" t="str">
        <f t="shared" si="5"/>
        <v>#REF!</v>
      </c>
      <c r="C763" s="154"/>
      <c r="D763" s="196"/>
      <c r="E763" s="196"/>
      <c r="F763" s="196"/>
      <c r="G763" s="152"/>
      <c r="H763" s="152"/>
      <c r="I763" s="196"/>
      <c r="J763" s="196"/>
      <c r="K763" s="196"/>
      <c r="L763" s="259"/>
    </row>
    <row r="764" ht="22.5" customHeight="1">
      <c r="A764" s="202"/>
      <c r="B764" s="273" t="str">
        <f t="shared" si="5"/>
        <v>#REF!</v>
      </c>
      <c r="C764" s="146"/>
      <c r="D764" s="197"/>
      <c r="E764" s="197"/>
      <c r="F764" s="197"/>
      <c r="G764" s="144"/>
      <c r="H764" s="144"/>
      <c r="I764" s="197"/>
      <c r="J764" s="197"/>
      <c r="K764" s="197"/>
      <c r="L764" s="257"/>
    </row>
    <row r="765" ht="22.5" customHeight="1">
      <c r="A765" s="250"/>
      <c r="B765" s="272" t="str">
        <f t="shared" si="5"/>
        <v>#REF!</v>
      </c>
      <c r="C765" s="154"/>
      <c r="D765" s="196"/>
      <c r="E765" s="196"/>
      <c r="F765" s="196"/>
      <c r="G765" s="152"/>
      <c r="H765" s="152"/>
      <c r="I765" s="196"/>
      <c r="J765" s="196"/>
      <c r="K765" s="196"/>
      <c r="L765" s="259"/>
    </row>
    <row r="766" ht="22.5" customHeight="1">
      <c r="A766" s="202"/>
      <c r="B766" s="273" t="str">
        <f t="shared" si="5"/>
        <v>#REF!</v>
      </c>
      <c r="C766" s="146"/>
      <c r="D766" s="197"/>
      <c r="E766" s="197"/>
      <c r="F766" s="197"/>
      <c r="G766" s="144"/>
      <c r="H766" s="144"/>
      <c r="I766" s="197"/>
      <c r="J766" s="197"/>
      <c r="K766" s="197"/>
      <c r="L766" s="257"/>
    </row>
    <row r="767" ht="22.5" customHeight="1">
      <c r="A767" s="250"/>
      <c r="B767" s="272" t="str">
        <f t="shared" si="5"/>
        <v>#REF!</v>
      </c>
      <c r="C767" s="154"/>
      <c r="D767" s="196"/>
      <c r="E767" s="196"/>
      <c r="F767" s="196"/>
      <c r="G767" s="152"/>
      <c r="H767" s="152"/>
      <c r="I767" s="196"/>
      <c r="J767" s="196"/>
      <c r="K767" s="196"/>
      <c r="L767" s="259"/>
    </row>
    <row r="768" ht="22.5" customHeight="1">
      <c r="A768" s="202"/>
      <c r="B768" s="273" t="str">
        <f t="shared" si="5"/>
        <v>#REF!</v>
      </c>
      <c r="C768" s="146"/>
      <c r="D768" s="197"/>
      <c r="E768" s="197"/>
      <c r="F768" s="197"/>
      <c r="G768" s="144"/>
      <c r="H768" s="144"/>
      <c r="I768" s="197"/>
      <c r="J768" s="197"/>
      <c r="K768" s="197"/>
      <c r="L768" s="257"/>
    </row>
    <row r="769" ht="22.5" customHeight="1">
      <c r="A769" s="250"/>
      <c r="B769" s="272" t="str">
        <f t="shared" si="5"/>
        <v>#REF!</v>
      </c>
      <c r="C769" s="154"/>
      <c r="D769" s="196"/>
      <c r="E769" s="196"/>
      <c r="F769" s="196"/>
      <c r="G769" s="152"/>
      <c r="H769" s="152"/>
      <c r="I769" s="196"/>
      <c r="J769" s="196"/>
      <c r="K769" s="196"/>
      <c r="L769" s="259"/>
    </row>
    <row r="770" ht="22.5" customHeight="1">
      <c r="A770" s="202"/>
      <c r="B770" s="273" t="str">
        <f t="shared" si="5"/>
        <v>#REF!</v>
      </c>
      <c r="C770" s="146"/>
      <c r="D770" s="197"/>
      <c r="E770" s="197"/>
      <c r="F770" s="197"/>
      <c r="G770" s="144"/>
      <c r="H770" s="144"/>
      <c r="I770" s="197"/>
      <c r="J770" s="197"/>
      <c r="K770" s="197"/>
      <c r="L770" s="257"/>
    </row>
    <row r="771" ht="22.5" customHeight="1">
      <c r="A771" s="250"/>
      <c r="B771" s="272" t="str">
        <f t="shared" si="5"/>
        <v>#REF!</v>
      </c>
      <c r="C771" s="154"/>
      <c r="D771" s="196"/>
      <c r="E771" s="196"/>
      <c r="F771" s="196"/>
      <c r="G771" s="152"/>
      <c r="H771" s="152"/>
      <c r="I771" s="196"/>
      <c r="J771" s="196"/>
      <c r="K771" s="196"/>
      <c r="L771" s="259"/>
    </row>
    <row r="772" ht="22.5" customHeight="1">
      <c r="A772" s="202"/>
      <c r="B772" s="273" t="str">
        <f t="shared" si="5"/>
        <v>#REF!</v>
      </c>
      <c r="C772" s="146"/>
      <c r="D772" s="197"/>
      <c r="E772" s="197"/>
      <c r="F772" s="197"/>
      <c r="G772" s="144"/>
      <c r="H772" s="144"/>
      <c r="I772" s="197"/>
      <c r="J772" s="197"/>
      <c r="K772" s="197"/>
      <c r="L772" s="257"/>
    </row>
    <row r="773" ht="22.5" customHeight="1">
      <c r="A773" s="250"/>
      <c r="B773" s="272" t="str">
        <f t="shared" si="5"/>
        <v>#REF!</v>
      </c>
      <c r="C773" s="154"/>
      <c r="D773" s="196"/>
      <c r="E773" s="196"/>
      <c r="F773" s="196"/>
      <c r="G773" s="152"/>
      <c r="H773" s="152"/>
      <c r="I773" s="196"/>
      <c r="J773" s="196"/>
      <c r="K773" s="196"/>
      <c r="L773" s="259"/>
    </row>
    <row r="774" ht="22.5" customHeight="1">
      <c r="A774" s="202"/>
      <c r="B774" s="273" t="str">
        <f t="shared" si="5"/>
        <v>#REF!</v>
      </c>
      <c r="C774" s="146"/>
      <c r="D774" s="197"/>
      <c r="E774" s="197"/>
      <c r="F774" s="197"/>
      <c r="G774" s="144"/>
      <c r="H774" s="144"/>
      <c r="I774" s="197"/>
      <c r="J774" s="197"/>
      <c r="K774" s="197"/>
      <c r="L774" s="257"/>
    </row>
    <row r="775" ht="22.5" customHeight="1">
      <c r="A775" s="250"/>
      <c r="B775" s="272" t="str">
        <f t="shared" si="5"/>
        <v>#REF!</v>
      </c>
      <c r="C775" s="154"/>
      <c r="D775" s="196"/>
      <c r="E775" s="196"/>
      <c r="F775" s="196"/>
      <c r="G775" s="152"/>
      <c r="H775" s="152"/>
      <c r="I775" s="196"/>
      <c r="J775" s="196"/>
      <c r="K775" s="196"/>
      <c r="L775" s="259"/>
    </row>
    <row r="776" ht="22.5" customHeight="1">
      <c r="A776" s="202"/>
      <c r="B776" s="273" t="str">
        <f t="shared" si="5"/>
        <v>#REF!</v>
      </c>
      <c r="C776" s="146"/>
      <c r="D776" s="197"/>
      <c r="E776" s="197"/>
      <c r="F776" s="197"/>
      <c r="G776" s="144"/>
      <c r="H776" s="144"/>
      <c r="I776" s="197"/>
      <c r="J776" s="197"/>
      <c r="K776" s="197"/>
      <c r="L776" s="257"/>
    </row>
    <row r="777" ht="22.5" customHeight="1">
      <c r="A777" s="250"/>
      <c r="B777" s="272" t="str">
        <f t="shared" si="5"/>
        <v>#REF!</v>
      </c>
      <c r="C777" s="154"/>
      <c r="D777" s="196"/>
      <c r="E777" s="196"/>
      <c r="F777" s="196"/>
      <c r="G777" s="152"/>
      <c r="H777" s="152"/>
      <c r="I777" s="196"/>
      <c r="J777" s="196"/>
      <c r="K777" s="196"/>
      <c r="L777" s="259"/>
    </row>
    <row r="778" ht="22.5" customHeight="1">
      <c r="A778" s="202"/>
      <c r="B778" s="273" t="str">
        <f t="shared" si="5"/>
        <v>#REF!</v>
      </c>
      <c r="C778" s="146"/>
      <c r="D778" s="197"/>
      <c r="E778" s="197"/>
      <c r="F778" s="197"/>
      <c r="G778" s="144"/>
      <c r="H778" s="144"/>
      <c r="I778" s="197"/>
      <c r="J778" s="197"/>
      <c r="K778" s="197"/>
      <c r="L778" s="257"/>
    </row>
    <row r="779" ht="22.5" customHeight="1">
      <c r="A779" s="250"/>
      <c r="B779" s="272" t="str">
        <f t="shared" si="5"/>
        <v>#REF!</v>
      </c>
      <c r="C779" s="154"/>
      <c r="D779" s="196"/>
      <c r="E779" s="196"/>
      <c r="F779" s="196"/>
      <c r="G779" s="152"/>
      <c r="H779" s="152"/>
      <c r="I779" s="196"/>
      <c r="J779" s="196"/>
      <c r="K779" s="196"/>
      <c r="L779" s="259"/>
    </row>
    <row r="780" ht="22.5" customHeight="1">
      <c r="A780" s="202"/>
      <c r="B780" s="273" t="str">
        <f t="shared" si="5"/>
        <v>#REF!</v>
      </c>
      <c r="C780" s="146"/>
      <c r="D780" s="197"/>
      <c r="E780" s="197"/>
      <c r="F780" s="197"/>
      <c r="G780" s="144"/>
      <c r="H780" s="144"/>
      <c r="I780" s="197"/>
      <c r="J780" s="197"/>
      <c r="K780" s="197"/>
      <c r="L780" s="257"/>
    </row>
    <row r="781" ht="22.5" customHeight="1">
      <c r="A781" s="250"/>
      <c r="B781" s="272" t="str">
        <f t="shared" si="5"/>
        <v>#REF!</v>
      </c>
      <c r="C781" s="154"/>
      <c r="D781" s="196"/>
      <c r="E781" s="196"/>
      <c r="F781" s="196"/>
      <c r="G781" s="152"/>
      <c r="H781" s="152"/>
      <c r="I781" s="196"/>
      <c r="J781" s="196"/>
      <c r="K781" s="196"/>
      <c r="L781" s="259"/>
    </row>
    <row r="782" ht="22.5" customHeight="1">
      <c r="A782" s="202"/>
      <c r="B782" s="273" t="str">
        <f t="shared" si="5"/>
        <v>#REF!</v>
      </c>
      <c r="C782" s="146"/>
      <c r="D782" s="197"/>
      <c r="E782" s="197"/>
      <c r="F782" s="197"/>
      <c r="G782" s="144"/>
      <c r="H782" s="144"/>
      <c r="I782" s="197"/>
      <c r="J782" s="197"/>
      <c r="K782" s="197"/>
      <c r="L782" s="257"/>
    </row>
    <row r="783" ht="22.5" customHeight="1">
      <c r="A783" s="250"/>
      <c r="B783" s="272" t="str">
        <f t="shared" si="5"/>
        <v>#REF!</v>
      </c>
      <c r="C783" s="154"/>
      <c r="D783" s="196"/>
      <c r="E783" s="196"/>
      <c r="F783" s="196"/>
      <c r="G783" s="152"/>
      <c r="H783" s="152"/>
      <c r="I783" s="196"/>
      <c r="J783" s="196"/>
      <c r="K783" s="196"/>
      <c r="L783" s="259"/>
    </row>
    <row r="784" ht="22.5" customHeight="1">
      <c r="A784" s="202"/>
      <c r="B784" s="273" t="str">
        <f t="shared" si="5"/>
        <v>#REF!</v>
      </c>
      <c r="C784" s="146"/>
      <c r="D784" s="197"/>
      <c r="E784" s="197"/>
      <c r="F784" s="197"/>
      <c r="G784" s="144"/>
      <c r="H784" s="144"/>
      <c r="I784" s="197"/>
      <c r="J784" s="197"/>
      <c r="K784" s="197"/>
      <c r="L784" s="257"/>
    </row>
    <row r="785" ht="22.5" customHeight="1">
      <c r="A785" s="250"/>
      <c r="B785" s="272" t="str">
        <f t="shared" si="5"/>
        <v>#REF!</v>
      </c>
      <c r="C785" s="154"/>
      <c r="D785" s="196"/>
      <c r="E785" s="196"/>
      <c r="F785" s="196"/>
      <c r="G785" s="152"/>
      <c r="H785" s="152"/>
      <c r="I785" s="196"/>
      <c r="J785" s="196"/>
      <c r="K785" s="196"/>
      <c r="L785" s="259"/>
    </row>
    <row r="786" ht="22.5" customHeight="1">
      <c r="A786" s="202"/>
      <c r="B786" s="273" t="str">
        <f t="shared" si="5"/>
        <v>#REF!</v>
      </c>
      <c r="C786" s="146"/>
      <c r="D786" s="197"/>
      <c r="E786" s="197"/>
      <c r="F786" s="197"/>
      <c r="G786" s="144"/>
      <c r="H786" s="144"/>
      <c r="I786" s="197"/>
      <c r="J786" s="197"/>
      <c r="K786" s="197"/>
      <c r="L786" s="257"/>
    </row>
    <row r="787" ht="22.5" customHeight="1">
      <c r="A787" s="250"/>
      <c r="B787" s="272" t="str">
        <f t="shared" si="5"/>
        <v>#REF!</v>
      </c>
      <c r="C787" s="154"/>
      <c r="D787" s="196"/>
      <c r="E787" s="196"/>
      <c r="F787" s="196"/>
      <c r="G787" s="152"/>
      <c r="H787" s="152"/>
      <c r="I787" s="196"/>
      <c r="J787" s="196"/>
      <c r="K787" s="196"/>
      <c r="L787" s="259"/>
    </row>
    <row r="788" ht="22.5" customHeight="1">
      <c r="A788" s="202"/>
      <c r="B788" s="273" t="str">
        <f t="shared" si="5"/>
        <v>#REF!</v>
      </c>
      <c r="C788" s="146"/>
      <c r="D788" s="197"/>
      <c r="E788" s="197"/>
      <c r="F788" s="197"/>
      <c r="G788" s="144"/>
      <c r="H788" s="144"/>
      <c r="I788" s="197"/>
      <c r="J788" s="197"/>
      <c r="K788" s="197"/>
      <c r="L788" s="257"/>
    </row>
    <row r="789" ht="22.5" customHeight="1">
      <c r="A789" s="250"/>
      <c r="B789" s="272" t="str">
        <f t="shared" si="5"/>
        <v>#REF!</v>
      </c>
      <c r="C789" s="154"/>
      <c r="D789" s="196"/>
      <c r="E789" s="196"/>
      <c r="F789" s="196"/>
      <c r="G789" s="152"/>
      <c r="H789" s="152"/>
      <c r="I789" s="196"/>
      <c r="J789" s="196"/>
      <c r="K789" s="196"/>
      <c r="L789" s="259"/>
    </row>
    <row r="790" ht="22.5" customHeight="1">
      <c r="A790" s="202"/>
      <c r="B790" s="273" t="str">
        <f t="shared" si="5"/>
        <v>#REF!</v>
      </c>
      <c r="C790" s="146"/>
      <c r="D790" s="197"/>
      <c r="E790" s="197"/>
      <c r="F790" s="197"/>
      <c r="G790" s="144"/>
      <c r="H790" s="144"/>
      <c r="I790" s="197"/>
      <c r="J790" s="197"/>
      <c r="K790" s="197"/>
      <c r="L790" s="257"/>
    </row>
    <row r="791" ht="22.5" customHeight="1">
      <c r="A791" s="250"/>
      <c r="B791" s="272" t="str">
        <f t="shared" si="5"/>
        <v>#REF!</v>
      </c>
      <c r="C791" s="154"/>
      <c r="D791" s="196"/>
      <c r="E791" s="196"/>
      <c r="F791" s="196"/>
      <c r="G791" s="152"/>
      <c r="H791" s="152"/>
      <c r="I791" s="196"/>
      <c r="J791" s="196"/>
      <c r="K791" s="196"/>
      <c r="L791" s="259"/>
    </row>
    <row r="792" ht="22.5" customHeight="1">
      <c r="A792" s="202"/>
      <c r="B792" s="273" t="str">
        <f t="shared" si="5"/>
        <v>#REF!</v>
      </c>
      <c r="C792" s="146"/>
      <c r="D792" s="197"/>
      <c r="E792" s="197"/>
      <c r="F792" s="197"/>
      <c r="G792" s="144"/>
      <c r="H792" s="144"/>
      <c r="I792" s="197"/>
      <c r="J792" s="197"/>
      <c r="K792" s="197"/>
      <c r="L792" s="257"/>
    </row>
    <row r="793" ht="22.5" customHeight="1">
      <c r="A793" s="250"/>
      <c r="B793" s="272" t="str">
        <f t="shared" si="5"/>
        <v>#REF!</v>
      </c>
      <c r="C793" s="154"/>
      <c r="D793" s="196"/>
      <c r="E793" s="196"/>
      <c r="F793" s="196"/>
      <c r="G793" s="152"/>
      <c r="H793" s="152"/>
      <c r="I793" s="196"/>
      <c r="J793" s="196"/>
      <c r="K793" s="196"/>
      <c r="L793" s="259"/>
    </row>
    <row r="794" ht="22.5" customHeight="1">
      <c r="A794" s="202"/>
      <c r="B794" s="273" t="str">
        <f t="shared" si="5"/>
        <v>#REF!</v>
      </c>
      <c r="C794" s="146"/>
      <c r="D794" s="197"/>
      <c r="E794" s="197"/>
      <c r="F794" s="197"/>
      <c r="G794" s="144"/>
      <c r="H794" s="144"/>
      <c r="I794" s="197"/>
      <c r="J794" s="197"/>
      <c r="K794" s="197"/>
      <c r="L794" s="257"/>
    </row>
    <row r="795" ht="22.5" customHeight="1">
      <c r="A795" s="250"/>
      <c r="B795" s="272" t="str">
        <f t="shared" si="5"/>
        <v>#REF!</v>
      </c>
      <c r="C795" s="154"/>
      <c r="D795" s="196"/>
      <c r="E795" s="196"/>
      <c r="F795" s="196"/>
      <c r="G795" s="152"/>
      <c r="H795" s="152"/>
      <c r="I795" s="196"/>
      <c r="J795" s="196"/>
      <c r="K795" s="196"/>
      <c r="L795" s="259"/>
    </row>
    <row r="796" ht="22.5" customHeight="1">
      <c r="A796" s="202"/>
      <c r="B796" s="273" t="str">
        <f t="shared" si="5"/>
        <v>#REF!</v>
      </c>
      <c r="C796" s="146"/>
      <c r="D796" s="197"/>
      <c r="E796" s="197"/>
      <c r="F796" s="197"/>
      <c r="G796" s="144"/>
      <c r="H796" s="144"/>
      <c r="I796" s="197"/>
      <c r="J796" s="197"/>
      <c r="K796" s="197"/>
      <c r="L796" s="257"/>
    </row>
    <row r="797" ht="22.5" customHeight="1">
      <c r="A797" s="250"/>
      <c r="B797" s="272" t="str">
        <f t="shared" si="5"/>
        <v>#REF!</v>
      </c>
      <c r="C797" s="154"/>
      <c r="D797" s="196"/>
      <c r="E797" s="196"/>
      <c r="F797" s="196"/>
      <c r="G797" s="152"/>
      <c r="H797" s="152"/>
      <c r="I797" s="196"/>
      <c r="J797" s="196"/>
      <c r="K797" s="196"/>
      <c r="L797" s="259"/>
    </row>
    <row r="798" ht="22.5" customHeight="1">
      <c r="A798" s="202"/>
      <c r="B798" s="273" t="str">
        <f t="shared" si="5"/>
        <v>#REF!</v>
      </c>
      <c r="C798" s="146"/>
      <c r="D798" s="197"/>
      <c r="E798" s="197"/>
      <c r="F798" s="197"/>
      <c r="G798" s="144"/>
      <c r="H798" s="144"/>
      <c r="I798" s="197"/>
      <c r="J798" s="197"/>
      <c r="K798" s="197"/>
      <c r="L798" s="257"/>
    </row>
    <row r="799" ht="22.5" customHeight="1">
      <c r="A799" s="250"/>
      <c r="B799" s="272" t="str">
        <f t="shared" si="5"/>
        <v>#REF!</v>
      </c>
      <c r="C799" s="154"/>
      <c r="D799" s="196"/>
      <c r="E799" s="196"/>
      <c r="F799" s="196"/>
      <c r="G799" s="152"/>
      <c r="H799" s="152"/>
      <c r="I799" s="196"/>
      <c r="J799" s="196"/>
      <c r="K799" s="196"/>
      <c r="L799" s="259"/>
    </row>
    <row r="800" ht="22.5" customHeight="1">
      <c r="A800" s="202"/>
      <c r="B800" s="273" t="str">
        <f t="shared" si="5"/>
        <v>#REF!</v>
      </c>
      <c r="C800" s="146"/>
      <c r="D800" s="197"/>
      <c r="E800" s="197"/>
      <c r="F800" s="197"/>
      <c r="G800" s="144"/>
      <c r="H800" s="144"/>
      <c r="I800" s="197"/>
      <c r="J800" s="197"/>
      <c r="K800" s="197"/>
      <c r="L800" s="257"/>
    </row>
    <row r="801" ht="22.5" customHeight="1">
      <c r="A801" s="250"/>
      <c r="B801" s="272" t="str">
        <f t="shared" si="5"/>
        <v>#REF!</v>
      </c>
      <c r="C801" s="154"/>
      <c r="D801" s="196"/>
      <c r="E801" s="196"/>
      <c r="F801" s="196"/>
      <c r="G801" s="152"/>
      <c r="H801" s="152"/>
      <c r="I801" s="196"/>
      <c r="J801" s="196"/>
      <c r="K801" s="196"/>
      <c r="L801" s="259"/>
    </row>
    <row r="802" ht="22.5" customHeight="1">
      <c r="A802" s="202"/>
      <c r="B802" s="273" t="str">
        <f t="shared" si="5"/>
        <v>#REF!</v>
      </c>
      <c r="C802" s="146"/>
      <c r="D802" s="197"/>
      <c r="E802" s="197"/>
      <c r="F802" s="197"/>
      <c r="G802" s="144"/>
      <c r="H802" s="144"/>
      <c r="I802" s="197"/>
      <c r="J802" s="197"/>
      <c r="K802" s="197"/>
      <c r="L802" s="257"/>
    </row>
    <row r="803" ht="22.5" customHeight="1">
      <c r="A803" s="250"/>
      <c r="B803" s="272" t="str">
        <f t="shared" si="5"/>
        <v>#REF!</v>
      </c>
      <c r="C803" s="154"/>
      <c r="D803" s="196"/>
      <c r="E803" s="196"/>
      <c r="F803" s="196"/>
      <c r="G803" s="152"/>
      <c r="H803" s="152"/>
      <c r="I803" s="196"/>
      <c r="J803" s="196"/>
      <c r="K803" s="196"/>
      <c r="L803" s="259"/>
    </row>
    <row r="804" ht="22.5" customHeight="1">
      <c r="A804" s="202"/>
      <c r="B804" s="273" t="str">
        <f t="shared" si="5"/>
        <v>#REF!</v>
      </c>
      <c r="C804" s="146"/>
      <c r="D804" s="197"/>
      <c r="E804" s="197"/>
      <c r="F804" s="197"/>
      <c r="G804" s="144"/>
      <c r="H804" s="144"/>
      <c r="I804" s="197"/>
      <c r="J804" s="197"/>
      <c r="K804" s="197"/>
      <c r="L804" s="257"/>
    </row>
    <row r="805" ht="22.5" customHeight="1">
      <c r="A805" s="250"/>
      <c r="B805" s="272" t="str">
        <f t="shared" si="5"/>
        <v>#REF!</v>
      </c>
      <c r="C805" s="154"/>
      <c r="D805" s="196"/>
      <c r="E805" s="196"/>
      <c r="F805" s="196"/>
      <c r="G805" s="152"/>
      <c r="H805" s="152"/>
      <c r="I805" s="196"/>
      <c r="J805" s="196"/>
      <c r="K805" s="196"/>
      <c r="L805" s="259"/>
    </row>
    <row r="806" ht="22.5" customHeight="1">
      <c r="A806" s="202"/>
      <c r="B806" s="273" t="str">
        <f t="shared" si="5"/>
        <v>#REF!</v>
      </c>
      <c r="C806" s="146"/>
      <c r="D806" s="197"/>
      <c r="E806" s="197"/>
      <c r="F806" s="197"/>
      <c r="G806" s="144"/>
      <c r="H806" s="144"/>
      <c r="I806" s="197"/>
      <c r="J806" s="197"/>
      <c r="K806" s="197"/>
      <c r="L806" s="257"/>
    </row>
    <row r="807" ht="22.5" customHeight="1">
      <c r="A807" s="250"/>
      <c r="B807" s="272" t="str">
        <f t="shared" si="5"/>
        <v>#REF!</v>
      </c>
      <c r="C807" s="154"/>
      <c r="D807" s="196"/>
      <c r="E807" s="196"/>
      <c r="F807" s="196"/>
      <c r="G807" s="152"/>
      <c r="H807" s="152"/>
      <c r="I807" s="196"/>
      <c r="J807" s="196"/>
      <c r="K807" s="196"/>
      <c r="L807" s="259"/>
    </row>
    <row r="808" ht="22.5" customHeight="1">
      <c r="A808" s="202"/>
      <c r="B808" s="273" t="str">
        <f t="shared" si="5"/>
        <v>#REF!</v>
      </c>
      <c r="C808" s="146"/>
      <c r="D808" s="197"/>
      <c r="E808" s="197"/>
      <c r="F808" s="197"/>
      <c r="G808" s="144"/>
      <c r="H808" s="144"/>
      <c r="I808" s="197"/>
      <c r="J808" s="197"/>
      <c r="K808" s="197"/>
      <c r="L808" s="257"/>
    </row>
    <row r="809" ht="22.5" customHeight="1">
      <c r="A809" s="250"/>
      <c r="B809" s="272" t="str">
        <f t="shared" si="5"/>
        <v>#REF!</v>
      </c>
      <c r="C809" s="154"/>
      <c r="D809" s="196"/>
      <c r="E809" s="196"/>
      <c r="F809" s="196"/>
      <c r="G809" s="152"/>
      <c r="H809" s="152"/>
      <c r="I809" s="196"/>
      <c r="J809" s="196"/>
      <c r="K809" s="196"/>
      <c r="L809" s="259"/>
    </row>
    <row r="810" ht="22.5" customHeight="1">
      <c r="A810" s="202"/>
      <c r="B810" s="273" t="str">
        <f t="shared" si="5"/>
        <v>#REF!</v>
      </c>
      <c r="C810" s="146"/>
      <c r="D810" s="197"/>
      <c r="E810" s="197"/>
      <c r="F810" s="197"/>
      <c r="G810" s="144"/>
      <c r="H810" s="144"/>
      <c r="I810" s="197"/>
      <c r="J810" s="197"/>
      <c r="K810" s="197"/>
      <c r="L810" s="257"/>
    </row>
    <row r="811" ht="22.5" customHeight="1">
      <c r="A811" s="250"/>
      <c r="B811" s="272" t="str">
        <f t="shared" si="5"/>
        <v>#REF!</v>
      </c>
      <c r="C811" s="154"/>
      <c r="D811" s="196"/>
      <c r="E811" s="196"/>
      <c r="F811" s="196"/>
      <c r="G811" s="152"/>
      <c r="H811" s="152"/>
      <c r="I811" s="196"/>
      <c r="J811" s="196"/>
      <c r="K811" s="196"/>
      <c r="L811" s="259"/>
    </row>
    <row r="812" ht="22.5" customHeight="1">
      <c r="A812" s="202"/>
      <c r="B812" s="273" t="str">
        <f t="shared" si="5"/>
        <v>#REF!</v>
      </c>
      <c r="C812" s="146"/>
      <c r="D812" s="197"/>
      <c r="E812" s="197"/>
      <c r="F812" s="197"/>
      <c r="G812" s="144"/>
      <c r="H812" s="144"/>
      <c r="I812" s="197"/>
      <c r="J812" s="197"/>
      <c r="K812" s="197"/>
      <c r="L812" s="257"/>
    </row>
    <row r="813" ht="22.5" customHeight="1">
      <c r="A813" s="250"/>
      <c r="B813" s="272" t="str">
        <f t="shared" si="5"/>
        <v>#REF!</v>
      </c>
      <c r="C813" s="154"/>
      <c r="D813" s="196"/>
      <c r="E813" s="196"/>
      <c r="F813" s="196"/>
      <c r="G813" s="152"/>
      <c r="H813" s="152"/>
      <c r="I813" s="196"/>
      <c r="J813" s="196"/>
      <c r="K813" s="196"/>
      <c r="L813" s="259"/>
    </row>
    <row r="814" ht="22.5" customHeight="1">
      <c r="A814" s="202"/>
      <c r="B814" s="273" t="str">
        <f t="shared" si="5"/>
        <v>#REF!</v>
      </c>
      <c r="C814" s="146"/>
      <c r="D814" s="197"/>
      <c r="E814" s="197"/>
      <c r="F814" s="197"/>
      <c r="G814" s="144"/>
      <c r="H814" s="144"/>
      <c r="I814" s="197"/>
      <c r="J814" s="197"/>
      <c r="K814" s="197"/>
      <c r="L814" s="257"/>
    </row>
    <row r="815" ht="22.5" customHeight="1">
      <c r="A815" s="250"/>
      <c r="B815" s="272" t="str">
        <f t="shared" si="5"/>
        <v>#REF!</v>
      </c>
      <c r="C815" s="154"/>
      <c r="D815" s="196"/>
      <c r="E815" s="196"/>
      <c r="F815" s="196"/>
      <c r="G815" s="152"/>
      <c r="H815" s="152"/>
      <c r="I815" s="196"/>
      <c r="J815" s="196"/>
      <c r="K815" s="196"/>
      <c r="L815" s="259"/>
    </row>
    <row r="816" ht="22.5" customHeight="1">
      <c r="A816" s="202"/>
      <c r="B816" s="273" t="str">
        <f t="shared" si="5"/>
        <v>#REF!</v>
      </c>
      <c r="C816" s="146"/>
      <c r="D816" s="197"/>
      <c r="E816" s="197"/>
      <c r="F816" s="197"/>
      <c r="G816" s="144"/>
      <c r="H816" s="144"/>
      <c r="I816" s="197"/>
      <c r="J816" s="197"/>
      <c r="K816" s="197"/>
      <c r="L816" s="257"/>
    </row>
    <row r="817" ht="22.5" customHeight="1">
      <c r="A817" s="250"/>
      <c r="B817" s="272" t="str">
        <f t="shared" si="5"/>
        <v>#REF!</v>
      </c>
      <c r="C817" s="154"/>
      <c r="D817" s="196"/>
      <c r="E817" s="196"/>
      <c r="F817" s="196"/>
      <c r="G817" s="152"/>
      <c r="H817" s="152"/>
      <c r="I817" s="196"/>
      <c r="J817" s="196"/>
      <c r="K817" s="196"/>
      <c r="L817" s="259"/>
    </row>
    <row r="818" ht="22.5" customHeight="1">
      <c r="A818" s="202"/>
      <c r="B818" s="273" t="str">
        <f t="shared" si="5"/>
        <v>#REF!</v>
      </c>
      <c r="C818" s="146"/>
      <c r="D818" s="197"/>
      <c r="E818" s="197"/>
      <c r="F818" s="197"/>
      <c r="G818" s="144"/>
      <c r="H818" s="144"/>
      <c r="I818" s="197"/>
      <c r="J818" s="197"/>
      <c r="K818" s="197"/>
      <c r="L818" s="257"/>
    </row>
    <row r="819" ht="22.5" customHeight="1">
      <c r="A819" s="250"/>
      <c r="B819" s="272" t="str">
        <f t="shared" si="5"/>
        <v>#REF!</v>
      </c>
      <c r="C819" s="154"/>
      <c r="D819" s="196"/>
      <c r="E819" s="196"/>
      <c r="F819" s="196"/>
      <c r="G819" s="152"/>
      <c r="H819" s="152"/>
      <c r="I819" s="196"/>
      <c r="J819" s="196"/>
      <c r="K819" s="196"/>
      <c r="L819" s="259"/>
    </row>
    <row r="820" ht="22.5" customHeight="1">
      <c r="A820" s="202"/>
      <c r="B820" s="273" t="str">
        <f t="shared" si="5"/>
        <v>#REF!</v>
      </c>
      <c r="C820" s="146"/>
      <c r="D820" s="197"/>
      <c r="E820" s="197"/>
      <c r="F820" s="197"/>
      <c r="G820" s="144"/>
      <c r="H820" s="144"/>
      <c r="I820" s="197"/>
      <c r="J820" s="197"/>
      <c r="K820" s="197"/>
      <c r="L820" s="257"/>
    </row>
    <row r="821" ht="22.5" customHeight="1">
      <c r="A821" s="250"/>
      <c r="B821" s="272" t="str">
        <f t="shared" si="5"/>
        <v>#REF!</v>
      </c>
      <c r="C821" s="154"/>
      <c r="D821" s="196"/>
      <c r="E821" s="196"/>
      <c r="F821" s="196"/>
      <c r="G821" s="152"/>
      <c r="H821" s="152"/>
      <c r="I821" s="196"/>
      <c r="J821" s="196"/>
      <c r="K821" s="196"/>
      <c r="L821" s="259"/>
    </row>
    <row r="822" ht="22.5" customHeight="1">
      <c r="A822" s="202"/>
      <c r="B822" s="273" t="str">
        <f t="shared" si="5"/>
        <v>#REF!</v>
      </c>
      <c r="C822" s="146"/>
      <c r="D822" s="197"/>
      <c r="E822" s="197"/>
      <c r="F822" s="197"/>
      <c r="G822" s="144"/>
      <c r="H822" s="144"/>
      <c r="I822" s="197"/>
      <c r="J822" s="197"/>
      <c r="K822" s="197"/>
      <c r="L822" s="257"/>
    </row>
    <row r="823" ht="22.5" customHeight="1">
      <c r="A823" s="250"/>
      <c r="B823" s="272" t="str">
        <f t="shared" si="5"/>
        <v>#REF!</v>
      </c>
      <c r="C823" s="154"/>
      <c r="D823" s="196"/>
      <c r="E823" s="196"/>
      <c r="F823" s="196"/>
      <c r="G823" s="152"/>
      <c r="H823" s="152"/>
      <c r="I823" s="196"/>
      <c r="J823" s="196"/>
      <c r="K823" s="196"/>
      <c r="L823" s="259"/>
    </row>
    <row r="824" ht="22.5" customHeight="1">
      <c r="A824" s="202"/>
      <c r="B824" s="273" t="str">
        <f t="shared" si="5"/>
        <v>#REF!</v>
      </c>
      <c r="C824" s="146"/>
      <c r="D824" s="197"/>
      <c r="E824" s="197"/>
      <c r="F824" s="197"/>
      <c r="G824" s="144"/>
      <c r="H824" s="144"/>
      <c r="I824" s="197"/>
      <c r="J824" s="197"/>
      <c r="K824" s="197"/>
      <c r="L824" s="257"/>
    </row>
    <row r="825" ht="22.5" customHeight="1">
      <c r="A825" s="250"/>
      <c r="B825" s="272" t="str">
        <f t="shared" si="5"/>
        <v>#REF!</v>
      </c>
      <c r="C825" s="154"/>
      <c r="D825" s="196"/>
      <c r="E825" s="196"/>
      <c r="F825" s="196"/>
      <c r="G825" s="152"/>
      <c r="H825" s="152"/>
      <c r="I825" s="196"/>
      <c r="J825" s="196"/>
      <c r="K825" s="196"/>
      <c r="L825" s="259"/>
    </row>
    <row r="826" ht="22.5" customHeight="1">
      <c r="A826" s="202"/>
      <c r="B826" s="273" t="str">
        <f t="shared" si="5"/>
        <v>#REF!</v>
      </c>
      <c r="C826" s="146"/>
      <c r="D826" s="197"/>
      <c r="E826" s="197"/>
      <c r="F826" s="197"/>
      <c r="G826" s="144"/>
      <c r="H826" s="144"/>
      <c r="I826" s="197"/>
      <c r="J826" s="197"/>
      <c r="K826" s="197"/>
      <c r="L826" s="257"/>
    </row>
    <row r="827" ht="22.5" customHeight="1">
      <c r="A827" s="250"/>
      <c r="B827" s="272" t="str">
        <f t="shared" si="5"/>
        <v>#REF!</v>
      </c>
      <c r="C827" s="154"/>
      <c r="D827" s="196"/>
      <c r="E827" s="196"/>
      <c r="F827" s="196"/>
      <c r="G827" s="152"/>
      <c r="H827" s="152"/>
      <c r="I827" s="196"/>
      <c r="J827" s="196"/>
      <c r="K827" s="196"/>
      <c r="L827" s="259"/>
    </row>
    <row r="828" ht="22.5" customHeight="1">
      <c r="A828" s="202"/>
      <c r="B828" s="273" t="str">
        <f t="shared" si="5"/>
        <v>#REF!</v>
      </c>
      <c r="C828" s="146"/>
      <c r="D828" s="197"/>
      <c r="E828" s="197"/>
      <c r="F828" s="197"/>
      <c r="G828" s="144"/>
      <c r="H828" s="144"/>
      <c r="I828" s="197"/>
      <c r="J828" s="197"/>
      <c r="K828" s="197"/>
      <c r="L828" s="257"/>
    </row>
    <row r="829" ht="22.5" customHeight="1">
      <c r="A829" s="250"/>
      <c r="B829" s="272" t="str">
        <f t="shared" si="5"/>
        <v>#REF!</v>
      </c>
      <c r="C829" s="154"/>
      <c r="D829" s="196"/>
      <c r="E829" s="196"/>
      <c r="F829" s="196"/>
      <c r="G829" s="152"/>
      <c r="H829" s="152"/>
      <c r="I829" s="196"/>
      <c r="J829" s="196"/>
      <c r="K829" s="196"/>
      <c r="L829" s="259"/>
    </row>
    <row r="830" ht="22.5" customHeight="1">
      <c r="A830" s="202"/>
      <c r="B830" s="273" t="str">
        <f t="shared" si="5"/>
        <v>#REF!</v>
      </c>
      <c r="C830" s="146"/>
      <c r="D830" s="197"/>
      <c r="E830" s="197"/>
      <c r="F830" s="197"/>
      <c r="G830" s="144"/>
      <c r="H830" s="144"/>
      <c r="I830" s="197"/>
      <c r="J830" s="197"/>
      <c r="K830" s="197"/>
      <c r="L830" s="257"/>
    </row>
    <row r="831" ht="22.5" customHeight="1">
      <c r="A831" s="250"/>
      <c r="B831" s="272" t="str">
        <f t="shared" si="5"/>
        <v>#REF!</v>
      </c>
      <c r="C831" s="154"/>
      <c r="D831" s="196"/>
      <c r="E831" s="196"/>
      <c r="F831" s="196"/>
      <c r="G831" s="152"/>
      <c r="H831" s="152"/>
      <c r="I831" s="196"/>
      <c r="J831" s="196"/>
      <c r="K831" s="196"/>
      <c r="L831" s="259"/>
    </row>
    <row r="832" ht="22.5" customHeight="1">
      <c r="A832" s="202"/>
      <c r="B832" s="273" t="str">
        <f t="shared" si="5"/>
        <v>#REF!</v>
      </c>
      <c r="C832" s="146"/>
      <c r="D832" s="197"/>
      <c r="E832" s="197"/>
      <c r="F832" s="197"/>
      <c r="G832" s="144"/>
      <c r="H832" s="144"/>
      <c r="I832" s="197"/>
      <c r="J832" s="197"/>
      <c r="K832" s="197"/>
      <c r="L832" s="257"/>
    </row>
    <row r="833" ht="22.5" customHeight="1">
      <c r="A833" s="250"/>
      <c r="B833" s="272" t="str">
        <f t="shared" si="5"/>
        <v>#REF!</v>
      </c>
      <c r="C833" s="154"/>
      <c r="D833" s="196"/>
      <c r="E833" s="196"/>
      <c r="F833" s="196"/>
      <c r="G833" s="152"/>
      <c r="H833" s="152"/>
      <c r="I833" s="196"/>
      <c r="J833" s="196"/>
      <c r="K833" s="196"/>
      <c r="L833" s="259"/>
    </row>
    <row r="834" ht="22.5" customHeight="1">
      <c r="A834" s="202"/>
      <c r="B834" s="273" t="str">
        <f t="shared" si="5"/>
        <v>#REF!</v>
      </c>
      <c r="C834" s="146"/>
      <c r="D834" s="197"/>
      <c r="E834" s="197"/>
      <c r="F834" s="197"/>
      <c r="G834" s="144"/>
      <c r="H834" s="144"/>
      <c r="I834" s="197"/>
      <c r="J834" s="197"/>
      <c r="K834" s="197"/>
      <c r="L834" s="257"/>
    </row>
    <row r="835" ht="22.5" customHeight="1">
      <c r="A835" s="250"/>
      <c r="B835" s="272" t="str">
        <f t="shared" si="5"/>
        <v>#REF!</v>
      </c>
      <c r="C835" s="154"/>
      <c r="D835" s="196"/>
      <c r="E835" s="196"/>
      <c r="F835" s="196"/>
      <c r="G835" s="152"/>
      <c r="H835" s="152"/>
      <c r="I835" s="196"/>
      <c r="J835" s="196"/>
      <c r="K835" s="196"/>
      <c r="L835" s="259"/>
    </row>
    <row r="836" ht="22.5" customHeight="1">
      <c r="A836" s="202"/>
      <c r="B836" s="273" t="str">
        <f t="shared" si="5"/>
        <v>#REF!</v>
      </c>
      <c r="C836" s="146"/>
      <c r="D836" s="197"/>
      <c r="E836" s="197"/>
      <c r="F836" s="197"/>
      <c r="G836" s="144"/>
      <c r="H836" s="144"/>
      <c r="I836" s="197"/>
      <c r="J836" s="197"/>
      <c r="K836" s="197"/>
      <c r="L836" s="257"/>
    </row>
    <row r="837" ht="22.5" customHeight="1">
      <c r="A837" s="250"/>
      <c r="B837" s="272" t="str">
        <f t="shared" si="5"/>
        <v>#REF!</v>
      </c>
      <c r="C837" s="154"/>
      <c r="D837" s="196"/>
      <c r="E837" s="196"/>
      <c r="F837" s="196"/>
      <c r="G837" s="152"/>
      <c r="H837" s="152"/>
      <c r="I837" s="196"/>
      <c r="J837" s="196"/>
      <c r="K837" s="196"/>
      <c r="L837" s="259"/>
    </row>
    <row r="838" ht="22.5" customHeight="1">
      <c r="A838" s="202"/>
      <c r="B838" s="273" t="str">
        <f t="shared" si="5"/>
        <v>#REF!</v>
      </c>
      <c r="C838" s="146"/>
      <c r="D838" s="197"/>
      <c r="E838" s="197"/>
      <c r="F838" s="197"/>
      <c r="G838" s="144"/>
      <c r="H838" s="144"/>
      <c r="I838" s="197"/>
      <c r="J838" s="197"/>
      <c r="K838" s="197"/>
      <c r="L838" s="257"/>
    </row>
    <row r="839" ht="22.5" customHeight="1">
      <c r="A839" s="250"/>
      <c r="B839" s="272" t="str">
        <f t="shared" si="5"/>
        <v>#REF!</v>
      </c>
      <c r="C839" s="154"/>
      <c r="D839" s="196"/>
      <c r="E839" s="196"/>
      <c r="F839" s="196"/>
      <c r="G839" s="152"/>
      <c r="H839" s="152"/>
      <c r="I839" s="196"/>
      <c r="J839" s="196"/>
      <c r="K839" s="196"/>
      <c r="L839" s="259"/>
    </row>
    <row r="840" ht="22.5" customHeight="1">
      <c r="A840" s="202"/>
      <c r="B840" s="273" t="str">
        <f t="shared" si="5"/>
        <v>#REF!</v>
      </c>
      <c r="C840" s="146"/>
      <c r="D840" s="197"/>
      <c r="E840" s="197"/>
      <c r="F840" s="197"/>
      <c r="G840" s="144"/>
      <c r="H840" s="144"/>
      <c r="I840" s="197"/>
      <c r="J840" s="197"/>
      <c r="K840" s="197"/>
      <c r="L840" s="257"/>
    </row>
    <row r="841" ht="22.5" customHeight="1">
      <c r="A841" s="250"/>
      <c r="B841" s="272" t="str">
        <f t="shared" si="5"/>
        <v>#REF!</v>
      </c>
      <c r="C841" s="154"/>
      <c r="D841" s="196"/>
      <c r="E841" s="196"/>
      <c r="F841" s="196"/>
      <c r="G841" s="152"/>
      <c r="H841" s="152"/>
      <c r="I841" s="196"/>
      <c r="J841" s="196"/>
      <c r="K841" s="196"/>
      <c r="L841" s="259"/>
    </row>
    <row r="842" ht="22.5" customHeight="1">
      <c r="A842" s="202"/>
      <c r="B842" s="273" t="str">
        <f t="shared" si="5"/>
        <v>#REF!</v>
      </c>
      <c r="C842" s="146"/>
      <c r="D842" s="197"/>
      <c r="E842" s="197"/>
      <c r="F842" s="197"/>
      <c r="G842" s="144"/>
      <c r="H842" s="144"/>
      <c r="I842" s="197"/>
      <c r="J842" s="197"/>
      <c r="K842" s="197"/>
      <c r="L842" s="257"/>
    </row>
    <row r="843" ht="22.5" customHeight="1">
      <c r="A843" s="250"/>
      <c r="B843" s="272" t="str">
        <f t="shared" si="5"/>
        <v>#REF!</v>
      </c>
      <c r="C843" s="154"/>
      <c r="D843" s="196"/>
      <c r="E843" s="196"/>
      <c r="F843" s="196"/>
      <c r="G843" s="152"/>
      <c r="H843" s="152"/>
      <c r="I843" s="196"/>
      <c r="J843" s="196"/>
      <c r="K843" s="196"/>
      <c r="L843" s="259"/>
    </row>
    <row r="844" ht="22.5" customHeight="1">
      <c r="A844" s="202"/>
      <c r="B844" s="273" t="str">
        <f t="shared" si="5"/>
        <v>#REF!</v>
      </c>
      <c r="C844" s="146"/>
      <c r="D844" s="197"/>
      <c r="E844" s="197"/>
      <c r="F844" s="197"/>
      <c r="G844" s="144"/>
      <c r="H844" s="144"/>
      <c r="I844" s="197"/>
      <c r="J844" s="197"/>
      <c r="K844" s="197"/>
      <c r="L844" s="257"/>
    </row>
    <row r="845" ht="22.5" customHeight="1">
      <c r="A845" s="250"/>
      <c r="B845" s="272" t="str">
        <f t="shared" si="5"/>
        <v>#REF!</v>
      </c>
      <c r="C845" s="154"/>
      <c r="D845" s="196"/>
      <c r="E845" s="196"/>
      <c r="F845" s="196"/>
      <c r="G845" s="152"/>
      <c r="H845" s="152"/>
      <c r="I845" s="196"/>
      <c r="J845" s="196"/>
      <c r="K845" s="196"/>
      <c r="L845" s="259"/>
    </row>
    <row r="846" ht="22.5" customHeight="1">
      <c r="A846" s="202"/>
      <c r="B846" s="273" t="str">
        <f t="shared" si="5"/>
        <v>#REF!</v>
      </c>
      <c r="C846" s="146"/>
      <c r="D846" s="197"/>
      <c r="E846" s="197"/>
      <c r="F846" s="197"/>
      <c r="G846" s="144"/>
      <c r="H846" s="144"/>
      <c r="I846" s="197"/>
      <c r="J846" s="197"/>
      <c r="K846" s="197"/>
      <c r="L846" s="257"/>
    </row>
    <row r="847" ht="22.5" customHeight="1">
      <c r="A847" s="250"/>
      <c r="B847" s="272" t="str">
        <f t="shared" si="5"/>
        <v>#REF!</v>
      </c>
      <c r="C847" s="154"/>
      <c r="D847" s="196"/>
      <c r="E847" s="196"/>
      <c r="F847" s="196"/>
      <c r="G847" s="152"/>
      <c r="H847" s="152"/>
      <c r="I847" s="196"/>
      <c r="J847" s="196"/>
      <c r="K847" s="196"/>
      <c r="L847" s="259"/>
    </row>
    <row r="848" ht="22.5" customHeight="1">
      <c r="A848" s="202"/>
      <c r="B848" s="273" t="str">
        <f t="shared" si="5"/>
        <v>#REF!</v>
      </c>
      <c r="C848" s="146"/>
      <c r="D848" s="197"/>
      <c r="E848" s="197"/>
      <c r="F848" s="197"/>
      <c r="G848" s="144"/>
      <c r="H848" s="144"/>
      <c r="I848" s="197"/>
      <c r="J848" s="197"/>
      <c r="K848" s="197"/>
      <c r="L848" s="257"/>
    </row>
    <row r="849" ht="22.5" customHeight="1">
      <c r="A849" s="250"/>
      <c r="B849" s="272" t="str">
        <f t="shared" si="5"/>
        <v>#REF!</v>
      </c>
      <c r="C849" s="154"/>
      <c r="D849" s="196"/>
      <c r="E849" s="196"/>
      <c r="F849" s="196"/>
      <c r="G849" s="152"/>
      <c r="H849" s="152"/>
      <c r="I849" s="196"/>
      <c r="J849" s="196"/>
      <c r="K849" s="196"/>
      <c r="L849" s="259"/>
    </row>
    <row r="850" ht="22.5" customHeight="1">
      <c r="A850" s="202"/>
      <c r="B850" s="273" t="str">
        <f t="shared" si="5"/>
        <v>#REF!</v>
      </c>
      <c r="C850" s="146"/>
      <c r="D850" s="197"/>
      <c r="E850" s="197"/>
      <c r="F850" s="197"/>
      <c r="G850" s="144"/>
      <c r="H850" s="144"/>
      <c r="I850" s="197"/>
      <c r="J850" s="197"/>
      <c r="K850" s="197"/>
      <c r="L850" s="257"/>
    </row>
    <row r="851" ht="22.5" customHeight="1">
      <c r="A851" s="250"/>
      <c r="B851" s="272" t="str">
        <f t="shared" si="5"/>
        <v>#REF!</v>
      </c>
      <c r="C851" s="154"/>
      <c r="D851" s="196"/>
      <c r="E851" s="196"/>
      <c r="F851" s="196"/>
      <c r="G851" s="152"/>
      <c r="H851" s="152"/>
      <c r="I851" s="196"/>
      <c r="J851" s="196"/>
      <c r="K851" s="196"/>
      <c r="L851" s="259"/>
    </row>
    <row r="852" ht="22.5" customHeight="1">
      <c r="A852" s="202"/>
      <c r="B852" s="273" t="str">
        <f t="shared" si="5"/>
        <v>#REF!</v>
      </c>
      <c r="C852" s="146"/>
      <c r="D852" s="197"/>
      <c r="E852" s="197"/>
      <c r="F852" s="197"/>
      <c r="G852" s="144"/>
      <c r="H852" s="144"/>
      <c r="I852" s="197"/>
      <c r="J852" s="197"/>
      <c r="K852" s="197"/>
      <c r="L852" s="257"/>
    </row>
    <row r="853" ht="22.5" customHeight="1">
      <c r="A853" s="250"/>
      <c r="B853" s="272" t="str">
        <f t="shared" si="5"/>
        <v>#REF!</v>
      </c>
      <c r="C853" s="154"/>
      <c r="D853" s="196"/>
      <c r="E853" s="196"/>
      <c r="F853" s="196"/>
      <c r="G853" s="152"/>
      <c r="H853" s="152"/>
      <c r="I853" s="196"/>
      <c r="J853" s="196"/>
      <c r="K853" s="196"/>
      <c r="L853" s="259"/>
    </row>
    <row r="854" ht="22.5" customHeight="1">
      <c r="A854" s="202"/>
      <c r="B854" s="273" t="str">
        <f t="shared" si="5"/>
        <v>#REF!</v>
      </c>
      <c r="C854" s="146"/>
      <c r="D854" s="197"/>
      <c r="E854" s="197"/>
      <c r="F854" s="197"/>
      <c r="G854" s="144"/>
      <c r="H854" s="144"/>
      <c r="I854" s="197"/>
      <c r="J854" s="197"/>
      <c r="K854" s="197"/>
      <c r="L854" s="257"/>
    </row>
    <row r="855" ht="22.5" customHeight="1">
      <c r="A855" s="250"/>
      <c r="B855" s="272" t="str">
        <f t="shared" si="5"/>
        <v>#REF!</v>
      </c>
      <c r="C855" s="154"/>
      <c r="D855" s="196"/>
      <c r="E855" s="196"/>
      <c r="F855" s="196"/>
      <c r="G855" s="152"/>
      <c r="H855" s="152"/>
      <c r="I855" s="196"/>
      <c r="J855" s="196"/>
      <c r="K855" s="196"/>
      <c r="L855" s="259"/>
    </row>
    <row r="856" ht="22.5" customHeight="1">
      <c r="A856" s="202"/>
      <c r="B856" s="273" t="str">
        <f t="shared" si="5"/>
        <v>#REF!</v>
      </c>
      <c r="C856" s="146"/>
      <c r="D856" s="197"/>
      <c r="E856" s="197"/>
      <c r="F856" s="197"/>
      <c r="G856" s="144"/>
      <c r="H856" s="144"/>
      <c r="I856" s="197"/>
      <c r="J856" s="197"/>
      <c r="K856" s="197"/>
      <c r="L856" s="257"/>
    </row>
    <row r="857" ht="22.5" customHeight="1">
      <c r="A857" s="250"/>
      <c r="B857" s="272" t="str">
        <f t="shared" si="5"/>
        <v>#REF!</v>
      </c>
      <c r="C857" s="154"/>
      <c r="D857" s="196"/>
      <c r="E857" s="196"/>
      <c r="F857" s="196"/>
      <c r="G857" s="152"/>
      <c r="H857" s="152"/>
      <c r="I857" s="196"/>
      <c r="J857" s="196"/>
      <c r="K857" s="196"/>
      <c r="L857" s="259"/>
    </row>
    <row r="858" ht="22.5" customHeight="1">
      <c r="A858" s="202"/>
      <c r="B858" s="273" t="str">
        <f t="shared" si="5"/>
        <v>#REF!</v>
      </c>
      <c r="C858" s="146"/>
      <c r="D858" s="197"/>
      <c r="E858" s="197"/>
      <c r="F858" s="197"/>
      <c r="G858" s="144"/>
      <c r="H858" s="144"/>
      <c r="I858" s="197"/>
      <c r="J858" s="197"/>
      <c r="K858" s="197"/>
      <c r="L858" s="257"/>
    </row>
    <row r="859" ht="22.5" customHeight="1">
      <c r="A859" s="250"/>
      <c r="B859" s="272" t="str">
        <f t="shared" si="5"/>
        <v>#REF!</v>
      </c>
      <c r="C859" s="154"/>
      <c r="D859" s="196"/>
      <c r="E859" s="196"/>
      <c r="F859" s="196"/>
      <c r="G859" s="152"/>
      <c r="H859" s="152"/>
      <c r="I859" s="196"/>
      <c r="J859" s="196"/>
      <c r="K859" s="196"/>
      <c r="L859" s="259"/>
    </row>
    <row r="860" ht="22.5" customHeight="1">
      <c r="A860" s="202"/>
      <c r="B860" s="273" t="str">
        <f t="shared" si="5"/>
        <v>#REF!</v>
      </c>
      <c r="C860" s="146"/>
      <c r="D860" s="197"/>
      <c r="E860" s="197"/>
      <c r="F860" s="197"/>
      <c r="G860" s="144"/>
      <c r="H860" s="144"/>
      <c r="I860" s="197"/>
      <c r="J860" s="197"/>
      <c r="K860" s="197"/>
      <c r="L860" s="257"/>
    </row>
    <row r="861" ht="22.5" customHeight="1">
      <c r="A861" s="250"/>
      <c r="B861" s="272" t="str">
        <f t="shared" si="5"/>
        <v>#REF!</v>
      </c>
      <c r="C861" s="154"/>
      <c r="D861" s="196"/>
      <c r="E861" s="196"/>
      <c r="F861" s="196"/>
      <c r="G861" s="152"/>
      <c r="H861" s="152"/>
      <c r="I861" s="196"/>
      <c r="J861" s="196"/>
      <c r="K861" s="196"/>
      <c r="L861" s="259"/>
    </row>
    <row r="862" ht="22.5" customHeight="1">
      <c r="A862" s="202"/>
      <c r="B862" s="273" t="str">
        <f t="shared" si="5"/>
        <v>#REF!</v>
      </c>
      <c r="C862" s="146"/>
      <c r="D862" s="197"/>
      <c r="E862" s="197"/>
      <c r="F862" s="197"/>
      <c r="G862" s="144"/>
      <c r="H862" s="144"/>
      <c r="I862" s="197"/>
      <c r="J862" s="197"/>
      <c r="K862" s="197"/>
      <c r="L862" s="257"/>
    </row>
    <row r="863" ht="22.5" customHeight="1">
      <c r="A863" s="250"/>
      <c r="B863" s="272" t="str">
        <f t="shared" si="5"/>
        <v>#REF!</v>
      </c>
      <c r="C863" s="154"/>
      <c r="D863" s="196"/>
      <c r="E863" s="196"/>
      <c r="F863" s="196"/>
      <c r="G863" s="152"/>
      <c r="H863" s="152"/>
      <c r="I863" s="196"/>
      <c r="J863" s="196"/>
      <c r="K863" s="196"/>
      <c r="L863" s="259"/>
    </row>
    <row r="864" ht="22.5" customHeight="1">
      <c r="A864" s="202"/>
      <c r="B864" s="273" t="str">
        <f t="shared" si="5"/>
        <v>#REF!</v>
      </c>
      <c r="C864" s="146"/>
      <c r="D864" s="197"/>
      <c r="E864" s="197"/>
      <c r="F864" s="197"/>
      <c r="G864" s="144"/>
      <c r="H864" s="144"/>
      <c r="I864" s="197"/>
      <c r="J864" s="197"/>
      <c r="K864" s="197"/>
      <c r="L864" s="257"/>
    </row>
    <row r="865" ht="22.5" customHeight="1">
      <c r="A865" s="250"/>
      <c r="B865" s="272" t="str">
        <f t="shared" si="5"/>
        <v>#REF!</v>
      </c>
      <c r="C865" s="154"/>
      <c r="D865" s="196"/>
      <c r="E865" s="196"/>
      <c r="F865" s="196"/>
      <c r="G865" s="152"/>
      <c r="H865" s="152"/>
      <c r="I865" s="196"/>
      <c r="J865" s="196"/>
      <c r="K865" s="196"/>
      <c r="L865" s="259"/>
    </row>
    <row r="866" ht="22.5" customHeight="1">
      <c r="A866" s="202"/>
      <c r="B866" s="273" t="str">
        <f t="shared" si="5"/>
        <v>#REF!</v>
      </c>
      <c r="C866" s="146"/>
      <c r="D866" s="197"/>
      <c r="E866" s="197"/>
      <c r="F866" s="197"/>
      <c r="G866" s="144"/>
      <c r="H866" s="144"/>
      <c r="I866" s="197"/>
      <c r="J866" s="197"/>
      <c r="K866" s="197"/>
      <c r="L866" s="257"/>
    </row>
    <row r="867" ht="22.5" customHeight="1">
      <c r="A867" s="250"/>
      <c r="B867" s="272" t="str">
        <f t="shared" si="5"/>
        <v>#REF!</v>
      </c>
      <c r="C867" s="154"/>
      <c r="D867" s="196"/>
      <c r="E867" s="196"/>
      <c r="F867" s="196"/>
      <c r="G867" s="152"/>
      <c r="H867" s="152"/>
      <c r="I867" s="196"/>
      <c r="J867" s="196"/>
      <c r="K867" s="196"/>
      <c r="L867" s="259"/>
    </row>
    <row r="868" ht="22.5" customHeight="1">
      <c r="A868" s="202"/>
      <c r="B868" s="273" t="str">
        <f t="shared" si="5"/>
        <v>#REF!</v>
      </c>
      <c r="C868" s="146"/>
      <c r="D868" s="197"/>
      <c r="E868" s="197"/>
      <c r="F868" s="197"/>
      <c r="G868" s="144"/>
      <c r="H868" s="144"/>
      <c r="I868" s="197"/>
      <c r="J868" s="197"/>
      <c r="K868" s="197"/>
      <c r="L868" s="257"/>
    </row>
    <row r="869" ht="22.5" customHeight="1">
      <c r="A869" s="250"/>
      <c r="B869" s="272" t="str">
        <f t="shared" si="5"/>
        <v>#REF!</v>
      </c>
      <c r="C869" s="154"/>
      <c r="D869" s="196"/>
      <c r="E869" s="196"/>
      <c r="F869" s="196"/>
      <c r="G869" s="152"/>
      <c r="H869" s="152"/>
      <c r="I869" s="196"/>
      <c r="J869" s="196"/>
      <c r="K869" s="196"/>
      <c r="L869" s="259"/>
    </row>
    <row r="870" ht="22.5" customHeight="1">
      <c r="A870" s="202"/>
      <c r="B870" s="273" t="str">
        <f t="shared" si="5"/>
        <v>#REF!</v>
      </c>
      <c r="C870" s="146"/>
      <c r="D870" s="197"/>
      <c r="E870" s="197"/>
      <c r="F870" s="197"/>
      <c r="G870" s="144"/>
      <c r="H870" s="144"/>
      <c r="I870" s="197"/>
      <c r="J870" s="197"/>
      <c r="K870" s="197"/>
      <c r="L870" s="257"/>
    </row>
    <row r="871" ht="22.5" customHeight="1">
      <c r="A871" s="250"/>
      <c r="B871" s="272" t="str">
        <f t="shared" si="5"/>
        <v>#REF!</v>
      </c>
      <c r="C871" s="154"/>
      <c r="D871" s="196"/>
      <c r="E871" s="196"/>
      <c r="F871" s="196"/>
      <c r="G871" s="152"/>
      <c r="H871" s="152"/>
      <c r="I871" s="196"/>
      <c r="J871" s="196"/>
      <c r="K871" s="196"/>
      <c r="L871" s="259"/>
    </row>
    <row r="872" ht="22.5" customHeight="1">
      <c r="A872" s="202"/>
      <c r="B872" s="273" t="str">
        <f t="shared" si="5"/>
        <v>#REF!</v>
      </c>
      <c r="C872" s="146"/>
      <c r="D872" s="197"/>
      <c r="E872" s="197"/>
      <c r="F872" s="197"/>
      <c r="G872" s="144"/>
      <c r="H872" s="144"/>
      <c r="I872" s="197"/>
      <c r="J872" s="197"/>
      <c r="K872" s="197"/>
      <c r="L872" s="257"/>
    </row>
    <row r="873" ht="22.5" customHeight="1">
      <c r="A873" s="250"/>
      <c r="B873" s="272" t="str">
        <f t="shared" si="5"/>
        <v>#REF!</v>
      </c>
      <c r="C873" s="154"/>
      <c r="D873" s="196"/>
      <c r="E873" s="196"/>
      <c r="F873" s="196"/>
      <c r="G873" s="152"/>
      <c r="H873" s="152"/>
      <c r="I873" s="196"/>
      <c r="J873" s="196"/>
      <c r="K873" s="196"/>
      <c r="L873" s="259"/>
    </row>
    <row r="874" ht="22.5" customHeight="1">
      <c r="A874" s="202"/>
      <c r="B874" s="273" t="str">
        <f t="shared" si="5"/>
        <v>#REF!</v>
      </c>
      <c r="C874" s="146"/>
      <c r="D874" s="197"/>
      <c r="E874" s="197"/>
      <c r="F874" s="197"/>
      <c r="G874" s="144"/>
      <c r="H874" s="144"/>
      <c r="I874" s="197"/>
      <c r="J874" s="197"/>
      <c r="K874" s="197"/>
      <c r="L874" s="257"/>
    </row>
    <row r="875" ht="22.5" customHeight="1">
      <c r="A875" s="250"/>
      <c r="B875" s="272" t="str">
        <f t="shared" si="5"/>
        <v>#REF!</v>
      </c>
      <c r="C875" s="154"/>
      <c r="D875" s="196"/>
      <c r="E875" s="196"/>
      <c r="F875" s="196"/>
      <c r="G875" s="152"/>
      <c r="H875" s="152"/>
      <c r="I875" s="196"/>
      <c r="J875" s="196"/>
      <c r="K875" s="196"/>
      <c r="L875" s="259"/>
    </row>
    <row r="876" ht="22.5" customHeight="1">
      <c r="A876" s="202"/>
      <c r="B876" s="273" t="str">
        <f t="shared" si="5"/>
        <v>#REF!</v>
      </c>
      <c r="C876" s="146"/>
      <c r="D876" s="197"/>
      <c r="E876" s="197"/>
      <c r="F876" s="197"/>
      <c r="G876" s="144"/>
      <c r="H876" s="144"/>
      <c r="I876" s="197"/>
      <c r="J876" s="197"/>
      <c r="K876" s="197"/>
      <c r="L876" s="257"/>
    </row>
    <row r="877" ht="22.5" customHeight="1">
      <c r="A877" s="250"/>
      <c r="B877" s="272" t="str">
        <f t="shared" si="5"/>
        <v>#REF!</v>
      </c>
      <c r="C877" s="154"/>
      <c r="D877" s="196"/>
      <c r="E877" s="196"/>
      <c r="F877" s="196"/>
      <c r="G877" s="152"/>
      <c r="H877" s="152"/>
      <c r="I877" s="196"/>
      <c r="J877" s="196"/>
      <c r="K877" s="196"/>
      <c r="L877" s="259"/>
    </row>
    <row r="878" ht="22.5" customHeight="1">
      <c r="A878" s="202"/>
      <c r="B878" s="273" t="str">
        <f t="shared" si="5"/>
        <v>#REF!</v>
      </c>
      <c r="C878" s="146"/>
      <c r="D878" s="197"/>
      <c r="E878" s="197"/>
      <c r="F878" s="197"/>
      <c r="G878" s="144"/>
      <c r="H878" s="144"/>
      <c r="I878" s="197"/>
      <c r="J878" s="197"/>
      <c r="K878" s="197"/>
      <c r="L878" s="257"/>
    </row>
    <row r="879" ht="22.5" customHeight="1">
      <c r="A879" s="250"/>
      <c r="B879" s="272" t="str">
        <f t="shared" si="5"/>
        <v>#REF!</v>
      </c>
      <c r="C879" s="154"/>
      <c r="D879" s="196"/>
      <c r="E879" s="196"/>
      <c r="F879" s="196"/>
      <c r="G879" s="152"/>
      <c r="H879" s="152"/>
      <c r="I879" s="196"/>
      <c r="J879" s="196"/>
      <c r="K879" s="196"/>
      <c r="L879" s="259"/>
    </row>
    <row r="880" ht="22.5" customHeight="1">
      <c r="A880" s="202"/>
      <c r="B880" s="273" t="str">
        <f t="shared" si="5"/>
        <v>#REF!</v>
      </c>
      <c r="C880" s="146"/>
      <c r="D880" s="197"/>
      <c r="E880" s="197"/>
      <c r="F880" s="197"/>
      <c r="G880" s="144"/>
      <c r="H880" s="144"/>
      <c r="I880" s="197"/>
      <c r="J880" s="197"/>
      <c r="K880" s="197"/>
      <c r="L880" s="257"/>
    </row>
    <row r="881" ht="22.5" customHeight="1">
      <c r="A881" s="250"/>
      <c r="B881" s="272" t="str">
        <f t="shared" si="5"/>
        <v>#REF!</v>
      </c>
      <c r="C881" s="154"/>
      <c r="D881" s="196"/>
      <c r="E881" s="196"/>
      <c r="F881" s="196"/>
      <c r="G881" s="152"/>
      <c r="H881" s="152"/>
      <c r="I881" s="196"/>
      <c r="J881" s="196"/>
      <c r="K881" s="196"/>
      <c r="L881" s="259"/>
    </row>
    <row r="882" ht="22.5" customHeight="1">
      <c r="A882" s="202"/>
      <c r="B882" s="273" t="str">
        <f t="shared" si="5"/>
        <v>#REF!</v>
      </c>
      <c r="C882" s="146"/>
      <c r="D882" s="197"/>
      <c r="E882" s="197"/>
      <c r="F882" s="197"/>
      <c r="G882" s="144"/>
      <c r="H882" s="144"/>
      <c r="I882" s="197"/>
      <c r="J882" s="197"/>
      <c r="K882" s="197"/>
      <c r="L882" s="257"/>
    </row>
    <row r="883" ht="22.5" customHeight="1">
      <c r="A883" s="250"/>
      <c r="B883" s="272" t="str">
        <f t="shared" si="5"/>
        <v>#REF!</v>
      </c>
      <c r="C883" s="154"/>
      <c r="D883" s="196"/>
      <c r="E883" s="196"/>
      <c r="F883" s="196"/>
      <c r="G883" s="152"/>
      <c r="H883" s="152"/>
      <c r="I883" s="196"/>
      <c r="J883" s="196"/>
      <c r="K883" s="196"/>
      <c r="L883" s="259"/>
    </row>
    <row r="884" ht="22.5" customHeight="1">
      <c r="A884" s="202"/>
      <c r="B884" s="273" t="str">
        <f t="shared" si="5"/>
        <v>#REF!</v>
      </c>
      <c r="C884" s="146"/>
      <c r="D884" s="197"/>
      <c r="E884" s="197"/>
      <c r="F884" s="197"/>
      <c r="G884" s="144"/>
      <c r="H884" s="144"/>
      <c r="I884" s="197"/>
      <c r="J884" s="197"/>
      <c r="K884" s="197"/>
      <c r="L884" s="257"/>
    </row>
    <row r="885" ht="22.5" customHeight="1">
      <c r="A885" s="250"/>
      <c r="B885" s="272" t="str">
        <f t="shared" si="5"/>
        <v>#REF!</v>
      </c>
      <c r="C885" s="154"/>
      <c r="D885" s="196"/>
      <c r="E885" s="196"/>
      <c r="F885" s="196"/>
      <c r="G885" s="152"/>
      <c r="H885" s="152"/>
      <c r="I885" s="196"/>
      <c r="J885" s="196"/>
      <c r="K885" s="196"/>
      <c r="L885" s="259"/>
    </row>
    <row r="886" ht="22.5" customHeight="1">
      <c r="A886" s="202"/>
      <c r="B886" s="273" t="str">
        <f t="shared" si="5"/>
        <v>#REF!</v>
      </c>
      <c r="C886" s="146"/>
      <c r="D886" s="197"/>
      <c r="E886" s="197"/>
      <c r="F886" s="197"/>
      <c r="G886" s="144"/>
      <c r="H886" s="144"/>
      <c r="I886" s="197"/>
      <c r="J886" s="197"/>
      <c r="K886" s="197"/>
      <c r="L886" s="257"/>
    </row>
    <row r="887" ht="22.5" customHeight="1">
      <c r="A887" s="250"/>
      <c r="B887" s="272" t="str">
        <f t="shared" si="5"/>
        <v>#REF!</v>
      </c>
      <c r="C887" s="154"/>
      <c r="D887" s="196"/>
      <c r="E887" s="196"/>
      <c r="F887" s="196"/>
      <c r="G887" s="152"/>
      <c r="H887" s="152"/>
      <c r="I887" s="196"/>
      <c r="J887" s="196"/>
      <c r="K887" s="196"/>
      <c r="L887" s="259"/>
    </row>
    <row r="888" ht="22.5" customHeight="1">
      <c r="A888" s="202"/>
      <c r="B888" s="273" t="str">
        <f t="shared" si="5"/>
        <v>#REF!</v>
      </c>
      <c r="C888" s="146"/>
      <c r="D888" s="197"/>
      <c r="E888" s="197"/>
      <c r="F888" s="197"/>
      <c r="G888" s="144"/>
      <c r="H888" s="144"/>
      <c r="I888" s="197"/>
      <c r="J888" s="197"/>
      <c r="K888" s="197"/>
      <c r="L888" s="257"/>
    </row>
    <row r="889" ht="22.5" customHeight="1">
      <c r="A889" s="250"/>
      <c r="B889" s="272" t="str">
        <f t="shared" si="5"/>
        <v>#REF!</v>
      </c>
      <c r="C889" s="154"/>
      <c r="D889" s="196"/>
      <c r="E889" s="196"/>
      <c r="F889" s="196"/>
      <c r="G889" s="152"/>
      <c r="H889" s="152"/>
      <c r="I889" s="196"/>
      <c r="J889" s="196"/>
      <c r="K889" s="196"/>
      <c r="L889" s="259"/>
    </row>
    <row r="890" ht="22.5" customHeight="1">
      <c r="A890" s="202"/>
      <c r="B890" s="273" t="str">
        <f t="shared" si="5"/>
        <v>#REF!</v>
      </c>
      <c r="C890" s="146"/>
      <c r="D890" s="197"/>
      <c r="E890" s="197"/>
      <c r="F890" s="197"/>
      <c r="G890" s="144"/>
      <c r="H890" s="144"/>
      <c r="I890" s="197"/>
      <c r="J890" s="197"/>
      <c r="K890" s="197"/>
      <c r="L890" s="257"/>
    </row>
    <row r="891" ht="22.5" customHeight="1">
      <c r="A891" s="250"/>
      <c r="B891" s="272" t="str">
        <f t="shared" si="5"/>
        <v>#REF!</v>
      </c>
      <c r="C891" s="154"/>
      <c r="D891" s="196"/>
      <c r="E891" s="196"/>
      <c r="F891" s="196"/>
      <c r="G891" s="152"/>
      <c r="H891" s="152"/>
      <c r="I891" s="196"/>
      <c r="J891" s="196"/>
      <c r="K891" s="196"/>
      <c r="L891" s="259"/>
    </row>
    <row r="892" ht="22.5" customHeight="1">
      <c r="A892" s="202"/>
      <c r="B892" s="273" t="str">
        <f t="shared" si="5"/>
        <v>#REF!</v>
      </c>
      <c r="C892" s="146"/>
      <c r="D892" s="197"/>
      <c r="E892" s="197"/>
      <c r="F892" s="197"/>
      <c r="G892" s="144"/>
      <c r="H892" s="144"/>
      <c r="I892" s="197"/>
      <c r="J892" s="197"/>
      <c r="K892" s="197"/>
      <c r="L892" s="257"/>
    </row>
    <row r="893" ht="22.5" customHeight="1">
      <c r="A893" s="250"/>
      <c r="B893" s="272" t="str">
        <f t="shared" si="5"/>
        <v>#REF!</v>
      </c>
      <c r="C893" s="154"/>
      <c r="D893" s="196"/>
      <c r="E893" s="196"/>
      <c r="F893" s="196"/>
      <c r="G893" s="152"/>
      <c r="H893" s="152"/>
      <c r="I893" s="196"/>
      <c r="J893" s="196"/>
      <c r="K893" s="196"/>
      <c r="L893" s="259"/>
    </row>
    <row r="894" ht="22.5" customHeight="1">
      <c r="A894" s="202"/>
      <c r="B894" s="273" t="str">
        <f t="shared" si="5"/>
        <v>#REF!</v>
      </c>
      <c r="C894" s="146"/>
      <c r="D894" s="197"/>
      <c r="E894" s="197"/>
      <c r="F894" s="197"/>
      <c r="G894" s="144"/>
      <c r="H894" s="144"/>
      <c r="I894" s="197"/>
      <c r="J894" s="197"/>
      <c r="K894" s="197"/>
      <c r="L894" s="257"/>
    </row>
    <row r="895" ht="22.5" customHeight="1">
      <c r="A895" s="250"/>
      <c r="B895" s="272" t="str">
        <f t="shared" si="5"/>
        <v>#REF!</v>
      </c>
      <c r="C895" s="154"/>
      <c r="D895" s="196"/>
      <c r="E895" s="196"/>
      <c r="F895" s="196"/>
      <c r="G895" s="152"/>
      <c r="H895" s="152"/>
      <c r="I895" s="196"/>
      <c r="J895" s="196"/>
      <c r="K895" s="196"/>
      <c r="L895" s="259"/>
    </row>
    <row r="896" ht="22.5" customHeight="1">
      <c r="A896" s="202"/>
      <c r="B896" s="273" t="str">
        <f t="shared" si="5"/>
        <v>#REF!</v>
      </c>
      <c r="C896" s="146"/>
      <c r="D896" s="197"/>
      <c r="E896" s="197"/>
      <c r="F896" s="197"/>
      <c r="G896" s="144"/>
      <c r="H896" s="144"/>
      <c r="I896" s="197"/>
      <c r="J896" s="197"/>
      <c r="K896" s="197"/>
      <c r="L896" s="257"/>
    </row>
    <row r="897" ht="22.5" customHeight="1">
      <c r="A897" s="250"/>
      <c r="B897" s="272" t="str">
        <f t="shared" si="5"/>
        <v>#REF!</v>
      </c>
      <c r="C897" s="154"/>
      <c r="D897" s="196"/>
      <c r="E897" s="196"/>
      <c r="F897" s="196"/>
      <c r="G897" s="152"/>
      <c r="H897" s="152"/>
      <c r="I897" s="196"/>
      <c r="J897" s="196"/>
      <c r="K897" s="196"/>
      <c r="L897" s="259"/>
    </row>
    <row r="898" ht="22.5" customHeight="1">
      <c r="A898" s="202"/>
      <c r="B898" s="273" t="str">
        <f t="shared" si="5"/>
        <v>#REF!</v>
      </c>
      <c r="C898" s="146"/>
      <c r="D898" s="197"/>
      <c r="E898" s="197"/>
      <c r="F898" s="197"/>
      <c r="G898" s="144"/>
      <c r="H898" s="144"/>
      <c r="I898" s="197"/>
      <c r="J898" s="197"/>
      <c r="K898" s="197"/>
      <c r="L898" s="257"/>
    </row>
    <row r="899" ht="22.5" customHeight="1">
      <c r="A899" s="250"/>
      <c r="B899" s="272" t="str">
        <f t="shared" si="5"/>
        <v>#REF!</v>
      </c>
      <c r="C899" s="154"/>
      <c r="D899" s="196"/>
      <c r="E899" s="196"/>
      <c r="F899" s="196"/>
      <c r="G899" s="152"/>
      <c r="H899" s="152"/>
      <c r="I899" s="196"/>
      <c r="J899" s="196"/>
      <c r="K899" s="196"/>
      <c r="L899" s="259"/>
    </row>
    <row r="900" ht="22.5" customHeight="1">
      <c r="A900" s="202"/>
      <c r="B900" s="273" t="str">
        <f t="shared" si="5"/>
        <v>#REF!</v>
      </c>
      <c r="C900" s="146"/>
      <c r="D900" s="197"/>
      <c r="E900" s="197"/>
      <c r="F900" s="197"/>
      <c r="G900" s="144"/>
      <c r="H900" s="144"/>
      <c r="I900" s="197"/>
      <c r="J900" s="197"/>
      <c r="K900" s="197"/>
      <c r="L900" s="257"/>
    </row>
    <row r="901" ht="22.5" customHeight="1">
      <c r="A901" s="250"/>
      <c r="B901" s="272" t="str">
        <f t="shared" si="5"/>
        <v>#REF!</v>
      </c>
      <c r="C901" s="154"/>
      <c r="D901" s="196"/>
      <c r="E901" s="196"/>
      <c r="F901" s="196"/>
      <c r="G901" s="152"/>
      <c r="H901" s="152"/>
      <c r="I901" s="196"/>
      <c r="J901" s="196"/>
      <c r="K901" s="196"/>
      <c r="L901" s="259"/>
    </row>
    <row r="902" ht="22.5" customHeight="1">
      <c r="A902" s="202"/>
      <c r="B902" s="273" t="str">
        <f t="shared" si="5"/>
        <v>#REF!</v>
      </c>
      <c r="C902" s="146"/>
      <c r="D902" s="197"/>
      <c r="E902" s="197"/>
      <c r="F902" s="197"/>
      <c r="G902" s="144"/>
      <c r="H902" s="144"/>
      <c r="I902" s="197"/>
      <c r="J902" s="197"/>
      <c r="K902" s="197"/>
      <c r="L902" s="257"/>
    </row>
    <row r="903" ht="22.5" customHeight="1">
      <c r="A903" s="250"/>
      <c r="B903" s="272" t="str">
        <f t="shared" si="5"/>
        <v>#REF!</v>
      </c>
      <c r="C903" s="154"/>
      <c r="D903" s="196"/>
      <c r="E903" s="196"/>
      <c r="F903" s="196"/>
      <c r="G903" s="152"/>
      <c r="H903" s="152"/>
      <c r="I903" s="196"/>
      <c r="J903" s="196"/>
      <c r="K903" s="196"/>
      <c r="L903" s="259"/>
    </row>
    <row r="904" ht="22.5" customHeight="1">
      <c r="A904" s="202"/>
      <c r="B904" s="273" t="str">
        <f t="shared" si="5"/>
        <v>#REF!</v>
      </c>
      <c r="C904" s="146"/>
      <c r="D904" s="197"/>
      <c r="E904" s="197"/>
      <c r="F904" s="197"/>
      <c r="G904" s="144"/>
      <c r="H904" s="144"/>
      <c r="I904" s="197"/>
      <c r="J904" s="197"/>
      <c r="K904" s="197"/>
      <c r="L904" s="257"/>
    </row>
    <row r="905" ht="22.5" customHeight="1">
      <c r="A905" s="250"/>
      <c r="B905" s="272" t="str">
        <f t="shared" si="5"/>
        <v>#REF!</v>
      </c>
      <c r="C905" s="154"/>
      <c r="D905" s="196"/>
      <c r="E905" s="196"/>
      <c r="F905" s="196"/>
      <c r="G905" s="152"/>
      <c r="H905" s="152"/>
      <c r="I905" s="196"/>
      <c r="J905" s="196"/>
      <c r="K905" s="196"/>
      <c r="L905" s="259"/>
    </row>
    <row r="906" ht="22.5" customHeight="1">
      <c r="A906" s="202"/>
      <c r="B906" s="273" t="str">
        <f t="shared" si="5"/>
        <v>#REF!</v>
      </c>
      <c r="C906" s="146"/>
      <c r="D906" s="197"/>
      <c r="E906" s="197"/>
      <c r="F906" s="197"/>
      <c r="G906" s="144"/>
      <c r="H906" s="144"/>
      <c r="I906" s="197"/>
      <c r="J906" s="197"/>
      <c r="K906" s="197"/>
      <c r="L906" s="257"/>
    </row>
    <row r="907" ht="22.5" customHeight="1">
      <c r="A907" s="250"/>
      <c r="B907" s="272" t="str">
        <f t="shared" si="5"/>
        <v>#REF!</v>
      </c>
      <c r="C907" s="154"/>
      <c r="D907" s="196"/>
      <c r="E907" s="196"/>
      <c r="F907" s="196"/>
      <c r="G907" s="152"/>
      <c r="H907" s="152"/>
      <c r="I907" s="196"/>
      <c r="J907" s="196"/>
      <c r="K907" s="196"/>
      <c r="L907" s="259"/>
    </row>
    <row r="908" ht="22.5" customHeight="1">
      <c r="A908" s="202"/>
      <c r="B908" s="273" t="str">
        <f t="shared" si="5"/>
        <v>#REF!</v>
      </c>
      <c r="C908" s="146"/>
      <c r="D908" s="197"/>
      <c r="E908" s="197"/>
      <c r="F908" s="197"/>
      <c r="G908" s="144"/>
      <c r="H908" s="144"/>
      <c r="I908" s="197"/>
      <c r="J908" s="197"/>
      <c r="K908" s="197"/>
      <c r="L908" s="257"/>
    </row>
    <row r="909" ht="22.5" customHeight="1">
      <c r="A909" s="250"/>
      <c r="B909" s="272" t="str">
        <f t="shared" si="5"/>
        <v>#REF!</v>
      </c>
      <c r="C909" s="154"/>
      <c r="D909" s="196"/>
      <c r="E909" s="196"/>
      <c r="F909" s="196"/>
      <c r="G909" s="152"/>
      <c r="H909" s="152"/>
      <c r="I909" s="196"/>
      <c r="J909" s="196"/>
      <c r="K909" s="196"/>
      <c r="L909" s="259"/>
    </row>
    <row r="910" ht="22.5" customHeight="1">
      <c r="A910" s="202"/>
      <c r="B910" s="273" t="str">
        <f t="shared" si="5"/>
        <v>#REF!</v>
      </c>
      <c r="C910" s="146"/>
      <c r="D910" s="197"/>
      <c r="E910" s="197"/>
      <c r="F910" s="197"/>
      <c r="G910" s="144"/>
      <c r="H910" s="144"/>
      <c r="I910" s="197"/>
      <c r="J910" s="197"/>
      <c r="K910" s="197"/>
      <c r="L910" s="257"/>
    </row>
    <row r="911" ht="22.5" customHeight="1">
      <c r="A911" s="250"/>
      <c r="B911" s="272" t="str">
        <f t="shared" si="5"/>
        <v>#REF!</v>
      </c>
      <c r="C911" s="154"/>
      <c r="D911" s="196"/>
      <c r="E911" s="196"/>
      <c r="F911" s="196"/>
      <c r="G911" s="152"/>
      <c r="H911" s="152"/>
      <c r="I911" s="196"/>
      <c r="J911" s="196"/>
      <c r="K911" s="196"/>
      <c r="L911" s="259"/>
    </row>
    <row r="912" ht="22.5" customHeight="1">
      <c r="A912" s="202"/>
      <c r="B912" s="273" t="str">
        <f t="shared" si="5"/>
        <v>#REF!</v>
      </c>
      <c r="C912" s="146"/>
      <c r="D912" s="197"/>
      <c r="E912" s="197"/>
      <c r="F912" s="197"/>
      <c r="G912" s="144"/>
      <c r="H912" s="144"/>
      <c r="I912" s="197"/>
      <c r="J912" s="197"/>
      <c r="K912" s="197"/>
      <c r="L912" s="257"/>
    </row>
    <row r="913" ht="22.5" customHeight="1">
      <c r="A913" s="250"/>
      <c r="B913" s="272" t="str">
        <f t="shared" si="5"/>
        <v>#REF!</v>
      </c>
      <c r="C913" s="154"/>
      <c r="D913" s="196"/>
      <c r="E913" s="196"/>
      <c r="F913" s="196"/>
      <c r="G913" s="152"/>
      <c r="H913" s="152"/>
      <c r="I913" s="196"/>
      <c r="J913" s="196"/>
      <c r="K913" s="196"/>
      <c r="L913" s="259"/>
    </row>
    <row r="914" ht="22.5" customHeight="1">
      <c r="A914" s="202"/>
      <c r="B914" s="273" t="str">
        <f t="shared" si="5"/>
        <v>#REF!</v>
      </c>
      <c r="C914" s="146"/>
      <c r="D914" s="197"/>
      <c r="E914" s="197"/>
      <c r="F914" s="197"/>
      <c r="G914" s="144"/>
      <c r="H914" s="144"/>
      <c r="I914" s="197"/>
      <c r="J914" s="197"/>
      <c r="K914" s="197"/>
      <c r="L914" s="257"/>
    </row>
    <row r="915" ht="22.5" customHeight="1">
      <c r="A915" s="250"/>
      <c r="B915" s="272" t="str">
        <f t="shared" si="5"/>
        <v>#REF!</v>
      </c>
      <c r="C915" s="154"/>
      <c r="D915" s="196"/>
      <c r="E915" s="196"/>
      <c r="F915" s="196"/>
      <c r="G915" s="152"/>
      <c r="H915" s="152"/>
      <c r="I915" s="196"/>
      <c r="J915" s="196"/>
      <c r="K915" s="196"/>
      <c r="L915" s="259"/>
    </row>
    <row r="916" ht="22.5" customHeight="1">
      <c r="A916" s="202"/>
      <c r="B916" s="273" t="str">
        <f t="shared" si="5"/>
        <v>#REF!</v>
      </c>
      <c r="C916" s="146"/>
      <c r="D916" s="197"/>
      <c r="E916" s="197"/>
      <c r="F916" s="197"/>
      <c r="G916" s="144"/>
      <c r="H916" s="144"/>
      <c r="I916" s="197"/>
      <c r="J916" s="197"/>
      <c r="K916" s="197"/>
      <c r="L916" s="257"/>
    </row>
    <row r="917" ht="22.5" customHeight="1">
      <c r="A917" s="250"/>
      <c r="B917" s="272" t="str">
        <f t="shared" si="5"/>
        <v>#REF!</v>
      </c>
      <c r="C917" s="154"/>
      <c r="D917" s="196"/>
      <c r="E917" s="196"/>
      <c r="F917" s="196"/>
      <c r="G917" s="152"/>
      <c r="H917" s="152"/>
      <c r="I917" s="196"/>
      <c r="J917" s="196"/>
      <c r="K917" s="196"/>
      <c r="L917" s="259"/>
    </row>
    <row r="918" ht="22.5" customHeight="1">
      <c r="A918" s="202"/>
      <c r="B918" s="273" t="str">
        <f t="shared" si="5"/>
        <v>#REF!</v>
      </c>
      <c r="C918" s="146"/>
      <c r="D918" s="197"/>
      <c r="E918" s="197"/>
      <c r="F918" s="197"/>
      <c r="G918" s="144"/>
      <c r="H918" s="144"/>
      <c r="I918" s="197"/>
      <c r="J918" s="197"/>
      <c r="K918" s="197"/>
      <c r="L918" s="257"/>
    </row>
    <row r="919" ht="22.5" customHeight="1">
      <c r="A919" s="250"/>
      <c r="B919" s="272" t="str">
        <f t="shared" si="5"/>
        <v>#REF!</v>
      </c>
      <c r="C919" s="154"/>
      <c r="D919" s="196"/>
      <c r="E919" s="196"/>
      <c r="F919" s="196"/>
      <c r="G919" s="152"/>
      <c r="H919" s="152"/>
      <c r="I919" s="196"/>
      <c r="J919" s="196"/>
      <c r="K919" s="196"/>
      <c r="L919" s="259"/>
    </row>
    <row r="920" ht="22.5" customHeight="1">
      <c r="A920" s="202"/>
      <c r="B920" s="273" t="str">
        <f t="shared" si="5"/>
        <v>#REF!</v>
      </c>
      <c r="C920" s="146"/>
      <c r="D920" s="197"/>
      <c r="E920" s="197"/>
      <c r="F920" s="197"/>
      <c r="G920" s="144"/>
      <c r="H920" s="144"/>
      <c r="I920" s="197"/>
      <c r="J920" s="197"/>
      <c r="K920" s="197"/>
      <c r="L920" s="257"/>
    </row>
    <row r="921" ht="22.5" customHeight="1">
      <c r="A921" s="250"/>
      <c r="B921" s="272" t="str">
        <f t="shared" si="5"/>
        <v>#REF!</v>
      </c>
      <c r="C921" s="154"/>
      <c r="D921" s="196"/>
      <c r="E921" s="196"/>
      <c r="F921" s="196"/>
      <c r="G921" s="152"/>
      <c r="H921" s="152"/>
      <c r="I921" s="196"/>
      <c r="J921" s="196"/>
      <c r="K921" s="196"/>
      <c r="L921" s="259"/>
    </row>
    <row r="922" ht="22.5" customHeight="1">
      <c r="A922" s="202"/>
      <c r="B922" s="273" t="str">
        <f t="shared" si="5"/>
        <v>#REF!</v>
      </c>
      <c r="C922" s="146"/>
      <c r="D922" s="197"/>
      <c r="E922" s="197"/>
      <c r="F922" s="197"/>
      <c r="G922" s="144"/>
      <c r="H922" s="144"/>
      <c r="I922" s="197"/>
      <c r="J922" s="197"/>
      <c r="K922" s="197"/>
      <c r="L922" s="257"/>
    </row>
    <row r="923" ht="22.5" customHeight="1">
      <c r="A923" s="250"/>
      <c r="B923" s="272" t="str">
        <f t="shared" si="5"/>
        <v>#REF!</v>
      </c>
      <c r="C923" s="154"/>
      <c r="D923" s="196"/>
      <c r="E923" s="196"/>
      <c r="F923" s="196"/>
      <c r="G923" s="152"/>
      <c r="H923" s="152"/>
      <c r="I923" s="196"/>
      <c r="J923" s="196"/>
      <c r="K923" s="196"/>
      <c r="L923" s="259"/>
    </row>
    <row r="924" ht="22.5" customHeight="1">
      <c r="A924" s="202"/>
      <c r="B924" s="273" t="str">
        <f t="shared" si="5"/>
        <v>#REF!</v>
      </c>
      <c r="C924" s="146"/>
      <c r="D924" s="197"/>
      <c r="E924" s="197"/>
      <c r="F924" s="197"/>
      <c r="G924" s="144"/>
      <c r="H924" s="144"/>
      <c r="I924" s="197"/>
      <c r="J924" s="197"/>
      <c r="K924" s="197"/>
      <c r="L924" s="257"/>
    </row>
    <row r="925" ht="22.5" customHeight="1">
      <c r="A925" s="250"/>
      <c r="B925" s="272" t="str">
        <f t="shared" si="5"/>
        <v>#REF!</v>
      </c>
      <c r="C925" s="154"/>
      <c r="D925" s="196"/>
      <c r="E925" s="196"/>
      <c r="F925" s="196"/>
      <c r="G925" s="152"/>
      <c r="H925" s="152"/>
      <c r="I925" s="196"/>
      <c r="J925" s="196"/>
      <c r="K925" s="196"/>
      <c r="L925" s="259"/>
    </row>
    <row r="926" ht="22.5" customHeight="1">
      <c r="A926" s="202"/>
      <c r="B926" s="273" t="str">
        <f t="shared" si="5"/>
        <v>#REF!</v>
      </c>
      <c r="C926" s="146"/>
      <c r="D926" s="197"/>
      <c r="E926" s="197"/>
      <c r="F926" s="197"/>
      <c r="G926" s="144"/>
      <c r="H926" s="144"/>
      <c r="I926" s="197"/>
      <c r="J926" s="197"/>
      <c r="K926" s="197"/>
      <c r="L926" s="257"/>
    </row>
    <row r="927" ht="22.5" customHeight="1">
      <c r="A927" s="250"/>
      <c r="B927" s="272" t="str">
        <f t="shared" si="5"/>
        <v>#REF!</v>
      </c>
      <c r="C927" s="154"/>
      <c r="D927" s="196"/>
      <c r="E927" s="196"/>
      <c r="F927" s="196"/>
      <c r="G927" s="152"/>
      <c r="H927" s="152"/>
      <c r="I927" s="196"/>
      <c r="J927" s="196"/>
      <c r="K927" s="196"/>
      <c r="L927" s="259"/>
    </row>
    <row r="928" ht="22.5" customHeight="1">
      <c r="A928" s="202"/>
      <c r="B928" s="273" t="str">
        <f t="shared" si="5"/>
        <v>#REF!</v>
      </c>
      <c r="C928" s="146"/>
      <c r="D928" s="197"/>
      <c r="E928" s="197"/>
      <c r="F928" s="197"/>
      <c r="G928" s="144"/>
      <c r="H928" s="144"/>
      <c r="I928" s="197"/>
      <c r="J928" s="197"/>
      <c r="K928" s="197"/>
      <c r="L928" s="257"/>
    </row>
    <row r="929" ht="22.5" customHeight="1">
      <c r="A929" s="250"/>
      <c r="B929" s="272" t="str">
        <f t="shared" si="5"/>
        <v>#REF!</v>
      </c>
      <c r="C929" s="154"/>
      <c r="D929" s="196"/>
      <c r="E929" s="196"/>
      <c r="F929" s="196"/>
      <c r="G929" s="152"/>
      <c r="H929" s="152"/>
      <c r="I929" s="196"/>
      <c r="J929" s="196"/>
      <c r="K929" s="196"/>
      <c r="L929" s="259"/>
    </row>
    <row r="930" ht="22.5" customHeight="1">
      <c r="A930" s="202"/>
      <c r="B930" s="273" t="str">
        <f t="shared" si="5"/>
        <v>#REF!</v>
      </c>
      <c r="C930" s="146"/>
      <c r="D930" s="197"/>
      <c r="E930" s="197"/>
      <c r="F930" s="197"/>
      <c r="G930" s="144"/>
      <c r="H930" s="144"/>
      <c r="I930" s="197"/>
      <c r="J930" s="197"/>
      <c r="K930" s="197"/>
      <c r="L930" s="257"/>
    </row>
    <row r="931" ht="22.5" customHeight="1">
      <c r="A931" s="250"/>
      <c r="B931" s="272" t="str">
        <f t="shared" si="5"/>
        <v>#REF!</v>
      </c>
      <c r="C931" s="154"/>
      <c r="D931" s="196"/>
      <c r="E931" s="196"/>
      <c r="F931" s="196"/>
      <c r="G931" s="152"/>
      <c r="H931" s="152"/>
      <c r="I931" s="196"/>
      <c r="J931" s="196"/>
      <c r="K931" s="196"/>
      <c r="L931" s="259"/>
    </row>
    <row r="932" ht="22.5" customHeight="1">
      <c r="A932" s="202"/>
      <c r="B932" s="273" t="str">
        <f t="shared" si="5"/>
        <v>#REF!</v>
      </c>
      <c r="C932" s="146"/>
      <c r="D932" s="197"/>
      <c r="E932" s="197"/>
      <c r="F932" s="197"/>
      <c r="G932" s="144"/>
      <c r="H932" s="144"/>
      <c r="I932" s="197"/>
      <c r="J932" s="197"/>
      <c r="K932" s="197"/>
      <c r="L932" s="257"/>
    </row>
    <row r="933" ht="22.5" customHeight="1">
      <c r="A933" s="250"/>
      <c r="B933" s="272" t="str">
        <f t="shared" si="5"/>
        <v>#REF!</v>
      </c>
      <c r="C933" s="154"/>
      <c r="D933" s="196"/>
      <c r="E933" s="196"/>
      <c r="F933" s="196"/>
      <c r="G933" s="152"/>
      <c r="H933" s="152"/>
      <c r="I933" s="196"/>
      <c r="J933" s="196"/>
      <c r="K933" s="196"/>
      <c r="L933" s="259"/>
    </row>
    <row r="934" ht="22.5" customHeight="1">
      <c r="A934" s="202"/>
      <c r="B934" s="273" t="str">
        <f t="shared" si="5"/>
        <v>#REF!</v>
      </c>
      <c r="C934" s="146"/>
      <c r="D934" s="197"/>
      <c r="E934" s="197"/>
      <c r="F934" s="197"/>
      <c r="G934" s="144"/>
      <c r="H934" s="144"/>
      <c r="I934" s="197"/>
      <c r="J934" s="197"/>
      <c r="K934" s="197"/>
      <c r="L934" s="257"/>
    </row>
    <row r="935" ht="22.5" customHeight="1">
      <c r="A935" s="250"/>
      <c r="B935" s="272" t="str">
        <f t="shared" si="5"/>
        <v>#REF!</v>
      </c>
      <c r="C935" s="154"/>
      <c r="D935" s="196"/>
      <c r="E935" s="196"/>
      <c r="F935" s="196"/>
      <c r="G935" s="152"/>
      <c r="H935" s="152"/>
      <c r="I935" s="196"/>
      <c r="J935" s="196"/>
      <c r="K935" s="196"/>
      <c r="L935" s="259"/>
    </row>
    <row r="936" ht="22.5" customHeight="1">
      <c r="A936" s="202"/>
      <c r="B936" s="273" t="str">
        <f t="shared" si="5"/>
        <v>#REF!</v>
      </c>
      <c r="C936" s="146"/>
      <c r="D936" s="197"/>
      <c r="E936" s="197"/>
      <c r="F936" s="197"/>
      <c r="G936" s="144"/>
      <c r="H936" s="144"/>
      <c r="I936" s="197"/>
      <c r="J936" s="197"/>
      <c r="K936" s="197"/>
      <c r="L936" s="257"/>
    </row>
    <row r="937" ht="22.5" customHeight="1">
      <c r="A937" s="250"/>
      <c r="B937" s="272" t="str">
        <f t="shared" si="5"/>
        <v>#REF!</v>
      </c>
      <c r="C937" s="154"/>
      <c r="D937" s="196"/>
      <c r="E937" s="196"/>
      <c r="F937" s="196"/>
      <c r="G937" s="152"/>
      <c r="H937" s="152"/>
      <c r="I937" s="196"/>
      <c r="J937" s="196"/>
      <c r="K937" s="196"/>
      <c r="L937" s="259"/>
    </row>
    <row r="938" ht="22.5" customHeight="1">
      <c r="A938" s="202"/>
      <c r="B938" s="273" t="str">
        <f t="shared" si="5"/>
        <v>#REF!</v>
      </c>
      <c r="C938" s="146"/>
      <c r="D938" s="197"/>
      <c r="E938" s="197"/>
      <c r="F938" s="197"/>
      <c r="G938" s="144"/>
      <c r="H938" s="144"/>
      <c r="I938" s="197"/>
      <c r="J938" s="197"/>
      <c r="K938" s="197"/>
      <c r="L938" s="257"/>
    </row>
    <row r="939" ht="22.5" customHeight="1">
      <c r="A939" s="250"/>
      <c r="B939" s="272" t="str">
        <f t="shared" si="5"/>
        <v>#REF!</v>
      </c>
      <c r="C939" s="154"/>
      <c r="D939" s="196"/>
      <c r="E939" s="196"/>
      <c r="F939" s="196"/>
      <c r="G939" s="152"/>
      <c r="H939" s="152"/>
      <c r="I939" s="196"/>
      <c r="J939" s="196"/>
      <c r="K939" s="196"/>
      <c r="L939" s="259"/>
    </row>
    <row r="940" ht="22.5" customHeight="1">
      <c r="A940" s="202"/>
      <c r="B940" s="273" t="str">
        <f t="shared" si="5"/>
        <v>#REF!</v>
      </c>
      <c r="C940" s="146"/>
      <c r="D940" s="197"/>
      <c r="E940" s="197"/>
      <c r="F940" s="197"/>
      <c r="G940" s="144"/>
      <c r="H940" s="144"/>
      <c r="I940" s="197"/>
      <c r="J940" s="197"/>
      <c r="K940" s="197"/>
      <c r="L940" s="257"/>
    </row>
    <row r="941" ht="22.5" customHeight="1">
      <c r="A941" s="250"/>
      <c r="B941" s="272" t="str">
        <f t="shared" si="5"/>
        <v>#REF!</v>
      </c>
      <c r="C941" s="154"/>
      <c r="D941" s="196"/>
      <c r="E941" s="196"/>
      <c r="F941" s="196"/>
      <c r="G941" s="152"/>
      <c r="H941" s="152"/>
      <c r="I941" s="196"/>
      <c r="J941" s="196"/>
      <c r="K941" s="196"/>
      <c r="L941" s="259"/>
    </row>
    <row r="942" ht="22.5" customHeight="1">
      <c r="A942" s="202"/>
      <c r="B942" s="273" t="str">
        <f t="shared" si="5"/>
        <v>#REF!</v>
      </c>
      <c r="C942" s="146"/>
      <c r="D942" s="197"/>
      <c r="E942" s="197"/>
      <c r="F942" s="197"/>
      <c r="G942" s="144"/>
      <c r="H942" s="144"/>
      <c r="I942" s="197"/>
      <c r="J942" s="197"/>
      <c r="K942" s="197"/>
      <c r="L942" s="257"/>
    </row>
    <row r="943" ht="22.5" customHeight="1">
      <c r="A943" s="250"/>
      <c r="B943" s="272" t="str">
        <f t="shared" si="5"/>
        <v>#REF!</v>
      </c>
      <c r="C943" s="154"/>
      <c r="D943" s="196"/>
      <c r="E943" s="196"/>
      <c r="F943" s="196"/>
      <c r="G943" s="152"/>
      <c r="H943" s="152"/>
      <c r="I943" s="196"/>
      <c r="J943" s="196"/>
      <c r="K943" s="196"/>
      <c r="L943" s="259"/>
    </row>
    <row r="944" ht="22.5" customHeight="1">
      <c r="A944" s="202"/>
      <c r="B944" s="273" t="str">
        <f t="shared" si="5"/>
        <v>#REF!</v>
      </c>
      <c r="C944" s="146"/>
      <c r="D944" s="197"/>
      <c r="E944" s="197"/>
      <c r="F944" s="197"/>
      <c r="G944" s="144"/>
      <c r="H944" s="144"/>
      <c r="I944" s="197"/>
      <c r="J944" s="197"/>
      <c r="K944" s="197"/>
      <c r="L944" s="257"/>
    </row>
    <row r="945" ht="22.5" customHeight="1">
      <c r="A945" s="250"/>
      <c r="B945" s="272" t="str">
        <f t="shared" si="5"/>
        <v>#REF!</v>
      </c>
      <c r="C945" s="154"/>
      <c r="D945" s="196"/>
      <c r="E945" s="196"/>
      <c r="F945" s="196"/>
      <c r="G945" s="152"/>
      <c r="H945" s="152"/>
      <c r="I945" s="196"/>
      <c r="J945" s="196"/>
      <c r="K945" s="196"/>
      <c r="L945" s="259"/>
    </row>
    <row r="946" ht="22.5" customHeight="1">
      <c r="A946" s="202"/>
      <c r="B946" s="273" t="str">
        <f t="shared" si="5"/>
        <v>#REF!</v>
      </c>
      <c r="C946" s="146"/>
      <c r="D946" s="197"/>
      <c r="E946" s="197"/>
      <c r="F946" s="197"/>
      <c r="G946" s="144"/>
      <c r="H946" s="144"/>
      <c r="I946" s="197"/>
      <c r="J946" s="197"/>
      <c r="K946" s="197"/>
      <c r="L946" s="257"/>
    </row>
    <row r="947" ht="22.5" customHeight="1">
      <c r="A947" s="250"/>
      <c r="B947" s="272" t="str">
        <f t="shared" si="5"/>
        <v>#REF!</v>
      </c>
      <c r="C947" s="154"/>
      <c r="D947" s="196"/>
      <c r="E947" s="196"/>
      <c r="F947" s="196"/>
      <c r="G947" s="152"/>
      <c r="H947" s="152"/>
      <c r="I947" s="196"/>
      <c r="J947" s="196"/>
      <c r="K947" s="196"/>
      <c r="L947" s="259"/>
    </row>
    <row r="948" ht="22.5" customHeight="1">
      <c r="A948" s="202"/>
      <c r="B948" s="273" t="str">
        <f t="shared" si="5"/>
        <v>#REF!</v>
      </c>
      <c r="C948" s="146"/>
      <c r="D948" s="197"/>
      <c r="E948" s="197"/>
      <c r="F948" s="197"/>
      <c r="G948" s="144"/>
      <c r="H948" s="144"/>
      <c r="I948" s="197"/>
      <c r="J948" s="197"/>
      <c r="K948" s="197"/>
      <c r="L948" s="257"/>
    </row>
    <row r="949" ht="22.5" customHeight="1">
      <c r="A949" s="250"/>
      <c r="B949" s="272" t="str">
        <f t="shared" si="5"/>
        <v>#REF!</v>
      </c>
      <c r="C949" s="154"/>
      <c r="D949" s="196"/>
      <c r="E949" s="196"/>
      <c r="F949" s="196"/>
      <c r="G949" s="152"/>
      <c r="H949" s="152"/>
      <c r="I949" s="196"/>
      <c r="J949" s="196"/>
      <c r="K949" s="196"/>
      <c r="L949" s="259"/>
    </row>
    <row r="950" ht="22.5" customHeight="1">
      <c r="A950" s="202"/>
      <c r="B950" s="273" t="str">
        <f t="shared" si="5"/>
        <v>#REF!</v>
      </c>
      <c r="C950" s="146"/>
      <c r="D950" s="197"/>
      <c r="E950" s="197"/>
      <c r="F950" s="197"/>
      <c r="G950" s="144"/>
      <c r="H950" s="144"/>
      <c r="I950" s="197"/>
      <c r="J950" s="197"/>
      <c r="K950" s="197"/>
      <c r="L950" s="257"/>
    </row>
    <row r="951" ht="22.5" customHeight="1">
      <c r="A951" s="250"/>
      <c r="B951" s="272" t="str">
        <f t="shared" si="5"/>
        <v>#REF!</v>
      </c>
      <c r="C951" s="154"/>
      <c r="D951" s="196"/>
      <c r="E951" s="196"/>
      <c r="F951" s="196"/>
      <c r="G951" s="152"/>
      <c r="H951" s="152"/>
      <c r="I951" s="196"/>
      <c r="J951" s="196"/>
      <c r="K951" s="196"/>
      <c r="L951" s="259"/>
    </row>
    <row r="952" ht="22.5" customHeight="1">
      <c r="A952" s="202"/>
      <c r="B952" s="273" t="str">
        <f t="shared" si="5"/>
        <v>#REF!</v>
      </c>
      <c r="C952" s="146"/>
      <c r="D952" s="197"/>
      <c r="E952" s="197"/>
      <c r="F952" s="197"/>
      <c r="G952" s="144"/>
      <c r="H952" s="144"/>
      <c r="I952" s="197"/>
      <c r="J952" s="197"/>
      <c r="K952" s="197"/>
      <c r="L952" s="257"/>
    </row>
    <row r="953" ht="22.5" customHeight="1">
      <c r="A953" s="250"/>
      <c r="B953" s="272" t="str">
        <f t="shared" si="5"/>
        <v>#REF!</v>
      </c>
      <c r="C953" s="154"/>
      <c r="D953" s="196"/>
      <c r="E953" s="196"/>
      <c r="F953" s="196"/>
      <c r="G953" s="152"/>
      <c r="H953" s="152"/>
      <c r="I953" s="196"/>
      <c r="J953" s="196"/>
      <c r="K953" s="196"/>
      <c r="L953" s="259"/>
    </row>
    <row r="954" ht="22.5" customHeight="1">
      <c r="A954" s="202"/>
      <c r="B954" s="273" t="str">
        <f t="shared" si="5"/>
        <v>#REF!</v>
      </c>
      <c r="C954" s="146"/>
      <c r="D954" s="197"/>
      <c r="E954" s="197"/>
      <c r="F954" s="197"/>
      <c r="G954" s="144"/>
      <c r="H954" s="144"/>
      <c r="I954" s="197"/>
      <c r="J954" s="197"/>
      <c r="K954" s="197"/>
      <c r="L954" s="257"/>
    </row>
    <row r="955" ht="22.5" customHeight="1">
      <c r="A955" s="250"/>
      <c r="B955" s="272" t="str">
        <f t="shared" si="5"/>
        <v>#REF!</v>
      </c>
      <c r="C955" s="154"/>
      <c r="D955" s="196"/>
      <c r="E955" s="196"/>
      <c r="F955" s="196"/>
      <c r="G955" s="152"/>
      <c r="H955" s="152"/>
      <c r="I955" s="196"/>
      <c r="J955" s="196"/>
      <c r="K955" s="196"/>
      <c r="L955" s="259"/>
    </row>
    <row r="956" ht="22.5" customHeight="1">
      <c r="A956" s="202"/>
      <c r="B956" s="273" t="str">
        <f t="shared" si="5"/>
        <v>#REF!</v>
      </c>
      <c r="C956" s="146"/>
      <c r="D956" s="197"/>
      <c r="E956" s="197"/>
      <c r="F956" s="197"/>
      <c r="G956" s="144"/>
      <c r="H956" s="144"/>
      <c r="I956" s="197"/>
      <c r="J956" s="197"/>
      <c r="K956" s="197"/>
      <c r="L956" s="257"/>
    </row>
    <row r="957" ht="22.5" customHeight="1">
      <c r="A957" s="250"/>
      <c r="B957" s="272" t="str">
        <f t="shared" si="5"/>
        <v>#REF!</v>
      </c>
      <c r="C957" s="154"/>
      <c r="D957" s="196"/>
      <c r="E957" s="196"/>
      <c r="F957" s="196"/>
      <c r="G957" s="152"/>
      <c r="H957" s="152"/>
      <c r="I957" s="196"/>
      <c r="J957" s="196"/>
      <c r="K957" s="196"/>
      <c r="L957" s="259"/>
    </row>
    <row r="958" ht="22.5" customHeight="1">
      <c r="A958" s="202"/>
      <c r="B958" s="273" t="str">
        <f t="shared" si="5"/>
        <v>#REF!</v>
      </c>
      <c r="C958" s="146"/>
      <c r="D958" s="197"/>
      <c r="E958" s="197"/>
      <c r="F958" s="197"/>
      <c r="G958" s="144"/>
      <c r="H958" s="144"/>
      <c r="I958" s="197"/>
      <c r="J958" s="197"/>
      <c r="K958" s="197"/>
      <c r="L958" s="257"/>
    </row>
    <row r="959" ht="22.5" customHeight="1">
      <c r="A959" s="250"/>
      <c r="B959" s="272" t="str">
        <f t="shared" si="5"/>
        <v>#REF!</v>
      </c>
      <c r="C959" s="154"/>
      <c r="D959" s="196"/>
      <c r="E959" s="196"/>
      <c r="F959" s="196"/>
      <c r="G959" s="152"/>
      <c r="H959" s="152"/>
      <c r="I959" s="196"/>
      <c r="J959" s="196"/>
      <c r="K959" s="196"/>
      <c r="L959" s="259"/>
    </row>
    <row r="960" ht="22.5" customHeight="1">
      <c r="A960" s="202"/>
      <c r="B960" s="273" t="str">
        <f t="shared" si="5"/>
        <v>#REF!</v>
      </c>
      <c r="C960" s="146"/>
      <c r="D960" s="197"/>
      <c r="E960" s="197"/>
      <c r="F960" s="197"/>
      <c r="G960" s="144"/>
      <c r="H960" s="144"/>
      <c r="I960" s="197"/>
      <c r="J960" s="197"/>
      <c r="K960" s="197"/>
      <c r="L960" s="257"/>
    </row>
    <row r="961" ht="22.5" customHeight="1">
      <c r="A961" s="250"/>
      <c r="B961" s="272" t="str">
        <f t="shared" si="5"/>
        <v>#REF!</v>
      </c>
      <c r="C961" s="154"/>
      <c r="D961" s="196"/>
      <c r="E961" s="196"/>
      <c r="F961" s="196"/>
      <c r="G961" s="152"/>
      <c r="H961" s="152"/>
      <c r="I961" s="196"/>
      <c r="J961" s="196"/>
      <c r="K961" s="196"/>
      <c r="L961" s="259"/>
    </row>
    <row r="962" ht="22.5" customHeight="1">
      <c r="A962" s="202"/>
      <c r="B962" s="273" t="str">
        <f t="shared" si="5"/>
        <v>#REF!</v>
      </c>
      <c r="C962" s="146"/>
      <c r="D962" s="197"/>
      <c r="E962" s="197"/>
      <c r="F962" s="197"/>
      <c r="G962" s="144"/>
      <c r="H962" s="144"/>
      <c r="I962" s="197"/>
      <c r="J962" s="197"/>
      <c r="K962" s="197"/>
      <c r="L962" s="257"/>
    </row>
    <row r="963" ht="22.5" customHeight="1">
      <c r="A963" s="250"/>
      <c r="B963" s="272" t="str">
        <f t="shared" si="5"/>
        <v>#REF!</v>
      </c>
      <c r="C963" s="154"/>
      <c r="D963" s="196"/>
      <c r="E963" s="196"/>
      <c r="F963" s="196"/>
      <c r="G963" s="152"/>
      <c r="H963" s="152"/>
      <c r="I963" s="196"/>
      <c r="J963" s="196"/>
      <c r="K963" s="196"/>
      <c r="L963" s="259"/>
    </row>
    <row r="964" ht="22.5" customHeight="1">
      <c r="A964" s="202"/>
      <c r="B964" s="273" t="str">
        <f t="shared" si="5"/>
        <v>#REF!</v>
      </c>
      <c r="C964" s="146"/>
      <c r="D964" s="197"/>
      <c r="E964" s="197"/>
      <c r="F964" s="197"/>
      <c r="G964" s="144"/>
      <c r="H964" s="144"/>
      <c r="I964" s="197"/>
      <c r="J964" s="197"/>
      <c r="K964" s="197"/>
      <c r="L964" s="257"/>
    </row>
    <row r="965" ht="22.5" customHeight="1">
      <c r="A965" s="250"/>
      <c r="B965" s="272" t="str">
        <f t="shared" si="5"/>
        <v>#REF!</v>
      </c>
      <c r="C965" s="154"/>
      <c r="D965" s="196"/>
      <c r="E965" s="196"/>
      <c r="F965" s="196"/>
      <c r="G965" s="152"/>
      <c r="H965" s="152"/>
      <c r="I965" s="196"/>
      <c r="J965" s="196"/>
      <c r="K965" s="196"/>
      <c r="L965" s="259"/>
    </row>
    <row r="966" ht="22.5" customHeight="1">
      <c r="A966" s="202"/>
      <c r="B966" s="273" t="str">
        <f t="shared" si="5"/>
        <v>#REF!</v>
      </c>
      <c r="C966" s="146"/>
      <c r="D966" s="197"/>
      <c r="E966" s="197"/>
      <c r="F966" s="197"/>
      <c r="G966" s="144"/>
      <c r="H966" s="144"/>
      <c r="I966" s="197"/>
      <c r="J966" s="197"/>
      <c r="K966" s="197"/>
      <c r="L966" s="257"/>
    </row>
    <row r="967" ht="22.5" customHeight="1">
      <c r="A967" s="250"/>
      <c r="B967" s="272" t="str">
        <f t="shared" si="5"/>
        <v>#REF!</v>
      </c>
      <c r="C967" s="154"/>
      <c r="D967" s="196"/>
      <c r="E967" s="196"/>
      <c r="F967" s="196"/>
      <c r="G967" s="152"/>
      <c r="H967" s="152"/>
      <c r="I967" s="196"/>
      <c r="J967" s="196"/>
      <c r="K967" s="196"/>
      <c r="L967" s="259"/>
    </row>
    <row r="968" ht="22.5" customHeight="1">
      <c r="A968" s="202"/>
      <c r="B968" s="273" t="str">
        <f t="shared" si="5"/>
        <v>#REF!</v>
      </c>
      <c r="C968" s="146"/>
      <c r="D968" s="197"/>
      <c r="E968" s="197"/>
      <c r="F968" s="197"/>
      <c r="G968" s="144"/>
      <c r="H968" s="144"/>
      <c r="I968" s="197"/>
      <c r="J968" s="197"/>
      <c r="K968" s="197"/>
      <c r="L968" s="257"/>
    </row>
    <row r="969" ht="22.5" customHeight="1">
      <c r="A969" s="250"/>
      <c r="B969" s="272" t="str">
        <f t="shared" si="5"/>
        <v>#REF!</v>
      </c>
      <c r="C969" s="154"/>
      <c r="D969" s="196"/>
      <c r="E969" s="196"/>
      <c r="F969" s="196"/>
      <c r="G969" s="152"/>
      <c r="H969" s="152"/>
      <c r="I969" s="196"/>
      <c r="J969" s="196"/>
      <c r="K969" s="196"/>
      <c r="L969" s="259"/>
    </row>
    <row r="970" ht="22.5" customHeight="1">
      <c r="A970" s="202"/>
      <c r="B970" s="273" t="str">
        <f t="shared" si="5"/>
        <v>#REF!</v>
      </c>
      <c r="C970" s="146"/>
      <c r="D970" s="197"/>
      <c r="E970" s="197"/>
      <c r="F970" s="197"/>
      <c r="G970" s="144"/>
      <c r="H970" s="144"/>
      <c r="I970" s="197"/>
      <c r="J970" s="197"/>
      <c r="K970" s="197"/>
      <c r="L970" s="257"/>
    </row>
    <row r="971" ht="22.5" customHeight="1">
      <c r="A971" s="250"/>
      <c r="B971" s="272" t="str">
        <f t="shared" si="5"/>
        <v>#REF!</v>
      </c>
      <c r="C971" s="154"/>
      <c r="D971" s="196"/>
      <c r="E971" s="196"/>
      <c r="F971" s="196"/>
      <c r="G971" s="152"/>
      <c r="H971" s="152"/>
      <c r="I971" s="196"/>
      <c r="J971" s="196"/>
      <c r="K971" s="196"/>
      <c r="L971" s="259"/>
    </row>
    <row r="972" ht="22.5" customHeight="1">
      <c r="A972" s="202"/>
      <c r="B972" s="273" t="str">
        <f t="shared" si="5"/>
        <v>#REF!</v>
      </c>
      <c r="C972" s="146"/>
      <c r="D972" s="197"/>
      <c r="E972" s="197"/>
      <c r="F972" s="197"/>
      <c r="G972" s="144"/>
      <c r="H972" s="144"/>
      <c r="I972" s="197"/>
      <c r="J972" s="197"/>
      <c r="K972" s="197"/>
      <c r="L972" s="257"/>
    </row>
    <row r="973" ht="22.5" customHeight="1">
      <c r="A973" s="250"/>
      <c r="B973" s="272" t="str">
        <f t="shared" si="5"/>
        <v>#REF!</v>
      </c>
      <c r="C973" s="154"/>
      <c r="D973" s="196"/>
      <c r="E973" s="196"/>
      <c r="F973" s="196"/>
      <c r="G973" s="152"/>
      <c r="H973" s="152"/>
      <c r="I973" s="196"/>
      <c r="J973" s="196"/>
      <c r="K973" s="196"/>
      <c r="L973" s="259"/>
    </row>
    <row r="974" ht="22.5" customHeight="1">
      <c r="A974" s="202"/>
      <c r="B974" s="273" t="str">
        <f t="shared" si="5"/>
        <v>#REF!</v>
      </c>
      <c r="C974" s="146"/>
      <c r="D974" s="197"/>
      <c r="E974" s="197"/>
      <c r="F974" s="197"/>
      <c r="G974" s="144"/>
      <c r="H974" s="144"/>
      <c r="I974" s="197"/>
      <c r="J974" s="197"/>
      <c r="K974" s="197"/>
      <c r="L974" s="257"/>
    </row>
    <row r="975" ht="22.5" customHeight="1">
      <c r="A975" s="250"/>
      <c r="B975" s="272" t="str">
        <f t="shared" si="5"/>
        <v>#REF!</v>
      </c>
      <c r="C975" s="154"/>
      <c r="D975" s="196"/>
      <c r="E975" s="196"/>
      <c r="F975" s="196"/>
      <c r="G975" s="152"/>
      <c r="H975" s="152"/>
      <c r="I975" s="196"/>
      <c r="J975" s="196"/>
      <c r="K975" s="196"/>
      <c r="L975" s="259"/>
    </row>
    <row r="976" ht="22.5" customHeight="1">
      <c r="A976" s="202"/>
      <c r="B976" s="273" t="str">
        <f t="shared" si="5"/>
        <v>#REF!</v>
      </c>
      <c r="C976" s="146"/>
      <c r="D976" s="197"/>
      <c r="E976" s="197"/>
      <c r="F976" s="197"/>
      <c r="G976" s="144"/>
      <c r="H976" s="144"/>
      <c r="I976" s="197"/>
      <c r="J976" s="197"/>
      <c r="K976" s="197"/>
      <c r="L976" s="257"/>
    </row>
    <row r="977" ht="22.5" customHeight="1">
      <c r="A977" s="250"/>
      <c r="B977" s="272" t="str">
        <f t="shared" si="5"/>
        <v>#REF!</v>
      </c>
      <c r="C977" s="154"/>
      <c r="D977" s="196"/>
      <c r="E977" s="196"/>
      <c r="F977" s="196"/>
      <c r="G977" s="152"/>
      <c r="H977" s="152"/>
      <c r="I977" s="196"/>
      <c r="J977" s="196"/>
      <c r="K977" s="196"/>
      <c r="L977" s="259"/>
    </row>
    <row r="978" ht="22.5" customHeight="1">
      <c r="A978" s="202"/>
      <c r="B978" s="273" t="str">
        <f t="shared" si="5"/>
        <v>#REF!</v>
      </c>
      <c r="C978" s="146"/>
      <c r="D978" s="197"/>
      <c r="E978" s="197"/>
      <c r="F978" s="197"/>
      <c r="G978" s="144"/>
      <c r="H978" s="144"/>
      <c r="I978" s="197"/>
      <c r="J978" s="197"/>
      <c r="K978" s="197"/>
      <c r="L978" s="257"/>
    </row>
    <row r="979" ht="22.5" customHeight="1">
      <c r="A979" s="250"/>
      <c r="B979" s="272" t="str">
        <f t="shared" si="5"/>
        <v>#REF!</v>
      </c>
      <c r="C979" s="154"/>
      <c r="D979" s="196"/>
      <c r="E979" s="196"/>
      <c r="F979" s="196"/>
      <c r="G979" s="152"/>
      <c r="H979" s="152"/>
      <c r="I979" s="196"/>
      <c r="J979" s="196"/>
      <c r="K979" s="196"/>
      <c r="L979" s="259"/>
    </row>
    <row r="980" ht="22.5" customHeight="1">
      <c r="A980" s="202"/>
      <c r="B980" s="273" t="str">
        <f t="shared" si="5"/>
        <v>#REF!</v>
      </c>
      <c r="C980" s="146"/>
      <c r="D980" s="197"/>
      <c r="E980" s="197"/>
      <c r="F980" s="197"/>
      <c r="G980" s="144"/>
      <c r="H980" s="144"/>
      <c r="I980" s="197"/>
      <c r="J980" s="197"/>
      <c r="K980" s="197"/>
      <c r="L980" s="257"/>
    </row>
    <row r="981" ht="22.5" customHeight="1">
      <c r="A981" s="250"/>
      <c r="B981" s="272" t="str">
        <f t="shared" si="5"/>
        <v>#REF!</v>
      </c>
      <c r="C981" s="154"/>
      <c r="D981" s="196"/>
      <c r="E981" s="196"/>
      <c r="F981" s="196"/>
      <c r="G981" s="152"/>
      <c r="H981" s="152"/>
      <c r="I981" s="196"/>
      <c r="J981" s="196"/>
      <c r="K981" s="196"/>
      <c r="L981" s="259"/>
    </row>
    <row r="982" ht="22.5" customHeight="1">
      <c r="A982" s="202"/>
      <c r="B982" s="273" t="str">
        <f t="shared" si="5"/>
        <v>#REF!</v>
      </c>
      <c r="C982" s="146"/>
      <c r="D982" s="197"/>
      <c r="E982" s="197"/>
      <c r="F982" s="197"/>
      <c r="G982" s="144"/>
      <c r="H982" s="144"/>
      <c r="I982" s="197"/>
      <c r="J982" s="197"/>
      <c r="K982" s="197"/>
      <c r="L982" s="257"/>
    </row>
    <row r="983" ht="22.5" customHeight="1">
      <c r="A983" s="250"/>
      <c r="B983" s="272" t="str">
        <f t="shared" si="5"/>
        <v>#REF!</v>
      </c>
      <c r="C983" s="154"/>
      <c r="D983" s="196"/>
      <c r="E983" s="196"/>
      <c r="F983" s="196"/>
      <c r="G983" s="152"/>
      <c r="H983" s="152"/>
      <c r="I983" s="196"/>
      <c r="J983" s="196"/>
      <c r="K983" s="196"/>
      <c r="L983" s="259"/>
    </row>
    <row r="984" ht="22.5" customHeight="1">
      <c r="A984" s="202"/>
      <c r="B984" s="273" t="str">
        <f t="shared" si="5"/>
        <v>#REF!</v>
      </c>
      <c r="C984" s="146"/>
      <c r="D984" s="197"/>
      <c r="E984" s="197"/>
      <c r="F984" s="197"/>
      <c r="G984" s="144"/>
      <c r="H984" s="144"/>
      <c r="I984" s="197"/>
      <c r="J984" s="197"/>
      <c r="K984" s="197"/>
      <c r="L984" s="257"/>
    </row>
    <row r="985" ht="22.5" customHeight="1">
      <c r="A985" s="250"/>
      <c r="B985" s="272" t="str">
        <f t="shared" si="5"/>
        <v>#REF!</v>
      </c>
      <c r="C985" s="154"/>
      <c r="D985" s="196"/>
      <c r="E985" s="196"/>
      <c r="F985" s="196"/>
      <c r="G985" s="152"/>
      <c r="H985" s="152"/>
      <c r="I985" s="196"/>
      <c r="J985" s="196"/>
      <c r="K985" s="196"/>
      <c r="L985" s="259"/>
    </row>
    <row r="986" ht="22.5" customHeight="1">
      <c r="A986" s="202"/>
      <c r="B986" s="273" t="str">
        <f t="shared" si="5"/>
        <v>#REF!</v>
      </c>
      <c r="C986" s="146"/>
      <c r="D986" s="197"/>
      <c r="E986" s="197"/>
      <c r="F986" s="197"/>
      <c r="G986" s="144"/>
      <c r="H986" s="144"/>
      <c r="I986" s="197"/>
      <c r="J986" s="197"/>
      <c r="K986" s="197"/>
      <c r="L986" s="257"/>
    </row>
    <row r="987" ht="22.5" customHeight="1">
      <c r="A987" s="250"/>
      <c r="B987" s="272" t="str">
        <f t="shared" si="5"/>
        <v>#REF!</v>
      </c>
      <c r="C987" s="154"/>
      <c r="D987" s="196"/>
      <c r="E987" s="196"/>
      <c r="F987" s="196"/>
      <c r="G987" s="152"/>
      <c r="H987" s="152"/>
      <c r="I987" s="196"/>
      <c r="J987" s="196"/>
      <c r="K987" s="196"/>
      <c r="L987" s="259"/>
    </row>
    <row r="988" ht="22.5" customHeight="1">
      <c r="A988" s="202"/>
      <c r="B988" s="273" t="str">
        <f t="shared" si="5"/>
        <v>#REF!</v>
      </c>
      <c r="C988" s="146"/>
      <c r="D988" s="197"/>
      <c r="E988" s="197"/>
      <c r="F988" s="197"/>
      <c r="G988" s="144"/>
      <c r="H988" s="144"/>
      <c r="I988" s="197"/>
      <c r="J988" s="197"/>
      <c r="K988" s="197"/>
      <c r="L988" s="257"/>
    </row>
    <row r="989" ht="22.5" customHeight="1">
      <c r="A989" s="250"/>
      <c r="B989" s="272" t="str">
        <f t="shared" si="5"/>
        <v>#REF!</v>
      </c>
      <c r="C989" s="154"/>
      <c r="D989" s="196"/>
      <c r="E989" s="196"/>
      <c r="F989" s="196"/>
      <c r="G989" s="152"/>
      <c r="H989" s="152"/>
      <c r="I989" s="196"/>
      <c r="J989" s="196"/>
      <c r="K989" s="196"/>
      <c r="L989" s="259"/>
    </row>
    <row r="990" ht="22.5" customHeight="1">
      <c r="A990" s="202"/>
      <c r="B990" s="273" t="str">
        <f t="shared" si="5"/>
        <v>#REF!</v>
      </c>
      <c r="C990" s="146"/>
      <c r="D990" s="197"/>
      <c r="E990" s="197"/>
      <c r="F990" s="197"/>
      <c r="G990" s="144"/>
      <c r="H990" s="144"/>
      <c r="I990" s="197"/>
      <c r="J990" s="197"/>
      <c r="K990" s="197"/>
      <c r="L990" s="257"/>
    </row>
    <row r="991" ht="22.5" customHeight="1">
      <c r="A991" s="250"/>
      <c r="B991" s="272" t="str">
        <f t="shared" si="5"/>
        <v>#REF!</v>
      </c>
      <c r="C991" s="154"/>
      <c r="D991" s="196"/>
      <c r="E991" s="196"/>
      <c r="F991" s="196"/>
      <c r="G991" s="152"/>
      <c r="H991" s="152"/>
      <c r="I991" s="196"/>
      <c r="J991" s="196"/>
      <c r="K991" s="196"/>
      <c r="L991" s="259"/>
    </row>
    <row r="992" ht="22.5" customHeight="1">
      <c r="A992" s="202"/>
      <c r="B992" s="273" t="str">
        <f t="shared" si="5"/>
        <v>#REF!</v>
      </c>
      <c r="C992" s="146"/>
      <c r="D992" s="197"/>
      <c r="E992" s="197"/>
      <c r="F992" s="197"/>
      <c r="G992" s="144"/>
      <c r="H992" s="144"/>
      <c r="I992" s="197"/>
      <c r="J992" s="197"/>
      <c r="K992" s="197"/>
      <c r="L992" s="257"/>
    </row>
    <row r="993" ht="22.5" customHeight="1">
      <c r="A993" s="250"/>
      <c r="B993" s="272" t="str">
        <f t="shared" si="5"/>
        <v>#REF!</v>
      </c>
      <c r="C993" s="154"/>
      <c r="D993" s="196"/>
      <c r="E993" s="196"/>
      <c r="F993" s="196"/>
      <c r="G993" s="152"/>
      <c r="H993" s="152"/>
      <c r="I993" s="196"/>
      <c r="J993" s="196"/>
      <c r="K993" s="196"/>
      <c r="L993" s="259"/>
    </row>
    <row r="994" ht="22.5" customHeight="1">
      <c r="A994" s="202"/>
      <c r="B994" s="273" t="str">
        <f t="shared" si="5"/>
        <v>#REF!</v>
      </c>
      <c r="C994" s="146"/>
      <c r="D994" s="197"/>
      <c r="E994" s="197"/>
      <c r="F994" s="197"/>
      <c r="G994" s="144"/>
      <c r="H994" s="144"/>
      <c r="I994" s="197"/>
      <c r="J994" s="197"/>
      <c r="K994" s="197"/>
      <c r="L994" s="257"/>
    </row>
    <row r="995" ht="22.5" customHeight="1">
      <c r="A995" s="250"/>
      <c r="B995" s="272" t="str">
        <f t="shared" si="5"/>
        <v>#REF!</v>
      </c>
      <c r="C995" s="154"/>
      <c r="D995" s="196"/>
      <c r="E995" s="196"/>
      <c r="F995" s="196"/>
      <c r="G995" s="152"/>
      <c r="H995" s="152"/>
      <c r="I995" s="196"/>
      <c r="J995" s="196"/>
      <c r="K995" s="196"/>
      <c r="L995" s="259"/>
    </row>
    <row r="996" ht="22.5" customHeight="1">
      <c r="A996" s="202"/>
      <c r="B996" s="273" t="str">
        <f t="shared" si="5"/>
        <v>#REF!</v>
      </c>
      <c r="C996" s="146"/>
      <c r="D996" s="197"/>
      <c r="E996" s="197"/>
      <c r="F996" s="197"/>
      <c r="G996" s="144"/>
      <c r="H996" s="144"/>
      <c r="I996" s="197"/>
      <c r="J996" s="197"/>
      <c r="K996" s="197"/>
      <c r="L996" s="257"/>
    </row>
    <row r="997" ht="22.5" customHeight="1">
      <c r="A997" s="250"/>
      <c r="B997" s="272" t="str">
        <f t="shared" si="5"/>
        <v>#REF!</v>
      </c>
      <c r="C997" s="154"/>
      <c r="D997" s="196"/>
      <c r="E997" s="196"/>
      <c r="F997" s="196"/>
      <c r="G997" s="152"/>
      <c r="H997" s="152"/>
      <c r="I997" s="196"/>
      <c r="J997" s="196"/>
      <c r="K997" s="196"/>
      <c r="L997" s="259"/>
    </row>
    <row r="998" ht="22.5" customHeight="1">
      <c r="A998" s="202"/>
      <c r="B998" s="273" t="str">
        <f t="shared" si="5"/>
        <v>#REF!</v>
      </c>
      <c r="C998" s="146"/>
      <c r="D998" s="197"/>
      <c r="E998" s="197"/>
      <c r="F998" s="197"/>
      <c r="G998" s="144"/>
      <c r="H998" s="144"/>
      <c r="I998" s="197"/>
      <c r="J998" s="197"/>
      <c r="K998" s="197"/>
      <c r="L998" s="257"/>
    </row>
    <row r="999" ht="22.5" customHeight="1">
      <c r="A999" s="250"/>
      <c r="B999" s="272" t="str">
        <f t="shared" si="5"/>
        <v>#REF!</v>
      </c>
      <c r="C999" s="154"/>
      <c r="D999" s="196"/>
      <c r="E999" s="196"/>
      <c r="F999" s="196"/>
      <c r="G999" s="152"/>
      <c r="H999" s="152"/>
      <c r="I999" s="196"/>
      <c r="J999" s="196"/>
      <c r="K999" s="196"/>
      <c r="L999" s="259"/>
    </row>
    <row r="1000" ht="22.5" customHeight="1">
      <c r="A1000" s="202"/>
      <c r="B1000" s="273" t="str">
        <f t="shared" si="5"/>
        <v>#REF!</v>
      </c>
      <c r="C1000" s="146"/>
      <c r="D1000" s="197"/>
      <c r="E1000" s="197"/>
      <c r="F1000" s="197"/>
      <c r="G1000" s="144"/>
      <c r="H1000" s="144"/>
      <c r="I1000" s="197"/>
      <c r="J1000" s="197"/>
      <c r="K1000" s="197"/>
      <c r="L1000" s="257"/>
    </row>
    <row r="1001" ht="22.5" customHeight="1">
      <c r="A1001" s="250"/>
      <c r="B1001" s="272" t="str">
        <f t="shared" si="5"/>
        <v>#REF!</v>
      </c>
      <c r="C1001" s="154"/>
      <c r="D1001" s="196"/>
      <c r="E1001" s="196"/>
      <c r="F1001" s="196"/>
      <c r="G1001" s="152"/>
      <c r="H1001" s="152"/>
      <c r="I1001" s="196"/>
      <c r="J1001" s="196"/>
      <c r="K1001" s="196"/>
      <c r="L1001" s="259"/>
    </row>
    <row r="1002" ht="22.5" customHeight="1">
      <c r="A1002" s="202"/>
      <c r="B1002" s="273" t="str">
        <f t="shared" si="5"/>
        <v>#REF!</v>
      </c>
      <c r="C1002" s="146"/>
      <c r="D1002" s="197"/>
      <c r="E1002" s="197"/>
      <c r="F1002" s="197"/>
      <c r="G1002" s="144"/>
      <c r="H1002" s="144"/>
      <c r="I1002" s="197"/>
      <c r="J1002" s="197"/>
      <c r="K1002" s="197"/>
      <c r="L1002" s="257"/>
    </row>
    <row r="1003" ht="22.5" customHeight="1">
      <c r="A1003" s="250"/>
      <c r="B1003" s="272" t="str">
        <f t="shared" si="5"/>
        <v>#REF!</v>
      </c>
      <c r="C1003" s="154"/>
      <c r="D1003" s="196"/>
      <c r="E1003" s="196"/>
      <c r="F1003" s="196"/>
      <c r="G1003" s="152"/>
      <c r="H1003" s="152"/>
      <c r="I1003" s="196"/>
      <c r="J1003" s="196"/>
      <c r="K1003" s="196"/>
      <c r="L1003" s="259"/>
    </row>
    <row r="1004" ht="22.5" customHeight="1">
      <c r="A1004" s="202"/>
      <c r="B1004" s="273" t="str">
        <f t="shared" si="5"/>
        <v>#REF!</v>
      </c>
      <c r="C1004" s="146"/>
      <c r="D1004" s="197"/>
      <c r="E1004" s="197"/>
      <c r="F1004" s="197"/>
      <c r="G1004" s="144"/>
      <c r="H1004" s="144"/>
      <c r="I1004" s="197"/>
      <c r="J1004" s="197"/>
      <c r="K1004" s="197"/>
      <c r="L1004" s="257"/>
    </row>
    <row r="1005" ht="22.5" customHeight="1">
      <c r="A1005" s="250"/>
      <c r="B1005" s="272" t="str">
        <f t="shared" si="5"/>
        <v>#REF!</v>
      </c>
      <c r="C1005" s="154"/>
      <c r="D1005" s="196"/>
      <c r="E1005" s="196"/>
      <c r="F1005" s="196"/>
      <c r="G1005" s="152"/>
      <c r="H1005" s="152"/>
      <c r="I1005" s="196"/>
      <c r="J1005" s="196"/>
      <c r="K1005" s="196"/>
      <c r="L1005" s="259"/>
    </row>
    <row r="1006" ht="22.5" customHeight="1">
      <c r="A1006" s="202"/>
      <c r="B1006" s="273" t="str">
        <f t="shared" si="5"/>
        <v>#REF!</v>
      </c>
      <c r="C1006" s="146"/>
      <c r="D1006" s="197"/>
      <c r="E1006" s="197"/>
      <c r="F1006" s="197"/>
      <c r="G1006" s="144"/>
      <c r="H1006" s="144"/>
      <c r="I1006" s="197"/>
      <c r="J1006" s="197"/>
      <c r="K1006" s="197"/>
      <c r="L1006" s="257"/>
    </row>
    <row r="1007" ht="22.5" customHeight="1">
      <c r="A1007" s="250"/>
      <c r="B1007" s="272" t="str">
        <f t="shared" si="5"/>
        <v>#REF!</v>
      </c>
      <c r="C1007" s="154"/>
      <c r="D1007" s="196"/>
      <c r="E1007" s="196"/>
      <c r="F1007" s="196"/>
      <c r="G1007" s="152"/>
      <c r="H1007" s="152"/>
      <c r="I1007" s="196"/>
      <c r="J1007" s="196"/>
      <c r="K1007" s="196"/>
      <c r="L1007" s="259"/>
    </row>
    <row r="1008" ht="22.5" customHeight="1">
      <c r="A1008" s="202"/>
      <c r="B1008" s="273" t="str">
        <f t="shared" si="5"/>
        <v>#REF!</v>
      </c>
      <c r="C1008" s="146"/>
      <c r="D1008" s="197"/>
      <c r="E1008" s="197"/>
      <c r="F1008" s="197"/>
      <c r="G1008" s="144"/>
      <c r="H1008" s="144"/>
      <c r="I1008" s="197"/>
      <c r="J1008" s="197"/>
      <c r="K1008" s="197"/>
      <c r="L1008" s="257"/>
    </row>
    <row r="1009" ht="22.5" customHeight="1">
      <c r="A1009" s="250"/>
      <c r="B1009" s="272" t="str">
        <f t="shared" si="5"/>
        <v>#REF!</v>
      </c>
      <c r="C1009" s="154"/>
      <c r="D1009" s="196"/>
      <c r="E1009" s="196"/>
      <c r="F1009" s="196"/>
      <c r="G1009" s="152"/>
      <c r="H1009" s="152"/>
      <c r="I1009" s="196"/>
      <c r="J1009" s="196"/>
      <c r="K1009" s="196"/>
      <c r="L1009" s="259"/>
    </row>
    <row r="1010" ht="22.5" customHeight="1">
      <c r="A1010" s="202"/>
      <c r="B1010" s="273" t="str">
        <f t="shared" si="5"/>
        <v>#REF!</v>
      </c>
      <c r="C1010" s="146"/>
      <c r="D1010" s="197"/>
      <c r="E1010" s="197"/>
      <c r="F1010" s="197"/>
      <c r="G1010" s="144"/>
      <c r="H1010" s="144"/>
      <c r="I1010" s="197"/>
      <c r="J1010" s="197"/>
      <c r="K1010" s="197"/>
      <c r="L1010" s="257"/>
    </row>
    <row r="1011" ht="22.5" customHeight="1">
      <c r="A1011" s="250"/>
      <c r="B1011" s="272" t="str">
        <f t="shared" si="5"/>
        <v>#REF!</v>
      </c>
      <c r="C1011" s="154"/>
      <c r="D1011" s="196"/>
      <c r="E1011" s="196"/>
      <c r="F1011" s="196"/>
      <c r="G1011" s="152"/>
      <c r="H1011" s="152"/>
      <c r="I1011" s="196"/>
      <c r="J1011" s="196"/>
      <c r="K1011" s="196"/>
      <c r="L1011" s="259"/>
    </row>
    <row r="1012" ht="22.5" customHeight="1">
      <c r="A1012" s="202"/>
      <c r="B1012" s="273" t="str">
        <f t="shared" si="5"/>
        <v>#REF!</v>
      </c>
      <c r="C1012" s="146"/>
      <c r="D1012" s="197"/>
      <c r="E1012" s="197"/>
      <c r="F1012" s="197"/>
      <c r="G1012" s="144"/>
      <c r="H1012" s="144"/>
      <c r="I1012" s="197"/>
      <c r="J1012" s="197"/>
      <c r="K1012" s="197"/>
      <c r="L1012" s="257"/>
    </row>
    <row r="1013" ht="22.5" customHeight="1">
      <c r="A1013" s="250"/>
      <c r="B1013" s="272" t="str">
        <f t="shared" si="5"/>
        <v>#REF!</v>
      </c>
      <c r="C1013" s="154"/>
      <c r="D1013" s="196"/>
      <c r="E1013" s="196"/>
      <c r="F1013" s="196"/>
      <c r="G1013" s="152"/>
      <c r="H1013" s="152"/>
      <c r="I1013" s="196"/>
      <c r="J1013" s="196"/>
      <c r="K1013" s="196"/>
      <c r="L1013" s="259"/>
    </row>
    <row r="1014" ht="22.5" customHeight="1">
      <c r="A1014" s="202"/>
      <c r="B1014" s="273" t="str">
        <f t="shared" si="5"/>
        <v>#REF!</v>
      </c>
      <c r="C1014" s="146"/>
      <c r="D1014" s="197"/>
      <c r="E1014" s="197"/>
      <c r="F1014" s="197"/>
      <c r="G1014" s="144"/>
      <c r="H1014" s="144"/>
      <c r="I1014" s="197"/>
      <c r="J1014" s="197"/>
      <c r="K1014" s="197"/>
      <c r="L1014" s="257"/>
    </row>
    <row r="1015" ht="22.5" customHeight="1">
      <c r="A1015" s="250"/>
      <c r="B1015" s="272" t="str">
        <f t="shared" si="5"/>
        <v>#REF!</v>
      </c>
      <c r="C1015" s="154"/>
      <c r="D1015" s="196"/>
      <c r="E1015" s="196"/>
      <c r="F1015" s="196"/>
      <c r="G1015" s="152"/>
      <c r="H1015" s="152"/>
      <c r="I1015" s="196"/>
      <c r="J1015" s="196"/>
      <c r="K1015" s="196"/>
      <c r="L1015" s="259"/>
    </row>
    <row r="1016" ht="22.5" customHeight="1">
      <c r="A1016" s="202"/>
      <c r="B1016" s="273" t="str">
        <f t="shared" si="5"/>
        <v>#REF!</v>
      </c>
      <c r="C1016" s="146"/>
      <c r="D1016" s="197"/>
      <c r="E1016" s="197"/>
      <c r="F1016" s="197"/>
      <c r="G1016" s="144"/>
      <c r="H1016" s="144"/>
      <c r="I1016" s="197"/>
      <c r="J1016" s="197"/>
      <c r="K1016" s="197"/>
      <c r="L1016" s="257"/>
    </row>
    <row r="1017" ht="22.5" customHeight="1">
      <c r="A1017" s="250"/>
      <c r="B1017" s="272" t="str">
        <f t="shared" si="5"/>
        <v>#REF!</v>
      </c>
      <c r="C1017" s="154"/>
      <c r="D1017" s="196"/>
      <c r="E1017" s="196"/>
      <c r="F1017" s="196"/>
      <c r="G1017" s="152"/>
      <c r="H1017" s="152"/>
      <c r="I1017" s="196"/>
      <c r="J1017" s="196"/>
      <c r="K1017" s="196"/>
      <c r="L1017" s="259"/>
    </row>
    <row r="1018" ht="22.5" customHeight="1">
      <c r="A1018" s="202"/>
      <c r="B1018" s="273" t="str">
        <f t="shared" si="5"/>
        <v>#REF!</v>
      </c>
      <c r="C1018" s="146"/>
      <c r="D1018" s="197"/>
      <c r="E1018" s="197"/>
      <c r="F1018" s="197"/>
      <c r="G1018" s="144"/>
      <c r="H1018" s="144"/>
      <c r="I1018" s="197"/>
      <c r="J1018" s="197"/>
      <c r="K1018" s="197"/>
      <c r="L1018" s="257"/>
    </row>
    <row r="1019" ht="22.5" customHeight="1">
      <c r="A1019" s="250"/>
      <c r="B1019" s="272" t="str">
        <f t="shared" si="5"/>
        <v>#REF!</v>
      </c>
      <c r="C1019" s="154"/>
      <c r="D1019" s="196"/>
      <c r="E1019" s="196"/>
      <c r="F1019" s="196"/>
      <c r="G1019" s="152"/>
      <c r="H1019" s="152"/>
      <c r="I1019" s="196"/>
      <c r="J1019" s="196"/>
      <c r="K1019" s="196"/>
      <c r="L1019" s="259"/>
    </row>
    <row r="1020" ht="22.5" customHeight="1">
      <c r="A1020" s="202"/>
      <c r="B1020" s="273" t="str">
        <f t="shared" si="5"/>
        <v>#REF!</v>
      </c>
      <c r="C1020" s="146"/>
      <c r="D1020" s="197"/>
      <c r="E1020" s="197"/>
      <c r="F1020" s="197"/>
      <c r="G1020" s="144"/>
      <c r="H1020" s="144"/>
      <c r="I1020" s="197"/>
      <c r="J1020" s="197"/>
      <c r="K1020" s="197"/>
      <c r="L1020" s="257"/>
    </row>
    <row r="1021" ht="22.5" customHeight="1">
      <c r="A1021" s="250"/>
      <c r="B1021" s="272" t="str">
        <f t="shared" si="5"/>
        <v>#REF!</v>
      </c>
      <c r="C1021" s="154"/>
      <c r="D1021" s="196"/>
      <c r="E1021" s="196"/>
      <c r="F1021" s="196"/>
      <c r="G1021" s="152"/>
      <c r="H1021" s="152"/>
      <c r="I1021" s="196"/>
      <c r="J1021" s="196"/>
      <c r="K1021" s="196"/>
      <c r="L1021" s="259"/>
    </row>
    <row r="1022" ht="22.5" customHeight="1">
      <c r="A1022" s="202"/>
      <c r="B1022" s="273" t="str">
        <f t="shared" si="5"/>
        <v>#REF!</v>
      </c>
      <c r="C1022" s="146"/>
      <c r="D1022" s="197"/>
      <c r="E1022" s="197"/>
      <c r="F1022" s="197"/>
      <c r="G1022" s="144"/>
      <c r="H1022" s="144"/>
      <c r="I1022" s="197"/>
      <c r="J1022" s="197"/>
      <c r="K1022" s="197"/>
      <c r="L1022" s="257"/>
    </row>
    <row r="1023" ht="22.5" customHeight="1">
      <c r="A1023" s="250"/>
      <c r="B1023" s="272" t="str">
        <f t="shared" si="5"/>
        <v>#REF!</v>
      </c>
      <c r="C1023" s="154"/>
      <c r="D1023" s="196"/>
      <c r="E1023" s="196"/>
      <c r="F1023" s="196"/>
      <c r="G1023" s="152"/>
      <c r="H1023" s="152"/>
      <c r="I1023" s="196"/>
      <c r="J1023" s="196"/>
      <c r="K1023" s="196"/>
      <c r="L1023" s="259"/>
    </row>
    <row r="1024" ht="22.5" customHeight="1">
      <c r="A1024" s="202"/>
      <c r="B1024" s="273" t="str">
        <f t="shared" si="5"/>
        <v>#REF!</v>
      </c>
      <c r="C1024" s="146"/>
      <c r="D1024" s="197"/>
      <c r="E1024" s="197"/>
      <c r="F1024" s="197"/>
      <c r="G1024" s="144"/>
      <c r="H1024" s="144"/>
      <c r="I1024" s="197"/>
      <c r="J1024" s="197"/>
      <c r="K1024" s="197"/>
      <c r="L1024" s="257"/>
    </row>
    <row r="1025" ht="22.5" customHeight="1">
      <c r="A1025" s="250"/>
      <c r="B1025" s="272" t="str">
        <f t="shared" si="5"/>
        <v>#REF!</v>
      </c>
      <c r="C1025" s="154"/>
      <c r="D1025" s="196"/>
      <c r="E1025" s="196"/>
      <c r="F1025" s="196"/>
      <c r="G1025" s="152"/>
      <c r="H1025" s="152"/>
      <c r="I1025" s="196"/>
      <c r="J1025" s="196"/>
      <c r="K1025" s="196"/>
      <c r="L1025" s="259"/>
    </row>
    <row r="1026" ht="22.5" customHeight="1">
      <c r="A1026" s="202"/>
      <c r="B1026" s="273" t="str">
        <f t="shared" si="5"/>
        <v>#REF!</v>
      </c>
      <c r="C1026" s="146"/>
      <c r="D1026" s="197"/>
      <c r="E1026" s="197"/>
      <c r="F1026" s="197"/>
      <c r="G1026" s="144"/>
      <c r="H1026" s="144"/>
      <c r="I1026" s="197"/>
      <c r="J1026" s="197"/>
      <c r="K1026" s="197"/>
      <c r="L1026" s="257"/>
    </row>
    <row r="1027" ht="22.5" customHeight="1">
      <c r="A1027" s="250"/>
      <c r="B1027" s="272" t="str">
        <f t="shared" si="5"/>
        <v>#REF!</v>
      </c>
      <c r="C1027" s="154"/>
      <c r="D1027" s="196"/>
      <c r="E1027" s="196"/>
      <c r="F1027" s="196"/>
      <c r="G1027" s="152"/>
      <c r="H1027" s="152"/>
      <c r="I1027" s="196"/>
      <c r="J1027" s="196"/>
      <c r="K1027" s="196"/>
      <c r="L1027" s="259"/>
    </row>
    <row r="1028" ht="22.5" customHeight="1">
      <c r="A1028" s="202"/>
      <c r="B1028" s="273" t="str">
        <f t="shared" si="5"/>
        <v>#REF!</v>
      </c>
      <c r="C1028" s="146"/>
      <c r="D1028" s="197"/>
      <c r="E1028" s="197"/>
      <c r="F1028" s="197"/>
      <c r="G1028" s="144"/>
      <c r="H1028" s="144"/>
      <c r="I1028" s="197"/>
      <c r="J1028" s="197"/>
      <c r="K1028" s="197"/>
      <c r="L1028" s="257"/>
    </row>
    <row r="1029" ht="22.5" customHeight="1">
      <c r="A1029" s="250"/>
      <c r="B1029" s="272" t="str">
        <f t="shared" si="5"/>
        <v>#REF!</v>
      </c>
      <c r="C1029" s="154"/>
      <c r="D1029" s="196"/>
      <c r="E1029" s="196"/>
      <c r="F1029" s="196"/>
      <c r="G1029" s="152"/>
      <c r="H1029" s="152"/>
      <c r="I1029" s="196"/>
      <c r="J1029" s="196"/>
      <c r="K1029" s="196"/>
      <c r="L1029" s="259"/>
    </row>
    <row r="1030" ht="22.5" customHeight="1">
      <c r="A1030" s="202"/>
      <c r="B1030" s="273" t="str">
        <f t="shared" si="5"/>
        <v>#REF!</v>
      </c>
      <c r="C1030" s="146"/>
      <c r="D1030" s="197"/>
      <c r="E1030" s="197"/>
      <c r="F1030" s="197"/>
      <c r="G1030" s="144"/>
      <c r="H1030" s="144"/>
      <c r="I1030" s="197"/>
      <c r="J1030" s="197"/>
      <c r="K1030" s="197"/>
      <c r="L1030" s="257"/>
    </row>
    <row r="1031" ht="22.5" customHeight="1">
      <c r="A1031" s="250"/>
      <c r="B1031" s="272" t="str">
        <f t="shared" si="5"/>
        <v>#REF!</v>
      </c>
      <c r="C1031" s="154"/>
      <c r="D1031" s="196"/>
      <c r="E1031" s="196"/>
      <c r="F1031" s="196"/>
      <c r="G1031" s="152"/>
      <c r="H1031" s="152"/>
      <c r="I1031" s="196"/>
      <c r="J1031" s="196"/>
      <c r="K1031" s="196"/>
      <c r="L1031" s="259"/>
    </row>
    <row r="1032" ht="22.5" customHeight="1">
      <c r="A1032" s="202"/>
      <c r="B1032" s="273" t="str">
        <f t="shared" si="5"/>
        <v>#REF!</v>
      </c>
      <c r="C1032" s="146"/>
      <c r="D1032" s="197"/>
      <c r="E1032" s="197"/>
      <c r="F1032" s="197"/>
      <c r="G1032" s="144"/>
      <c r="H1032" s="144"/>
      <c r="I1032" s="197"/>
      <c r="J1032" s="197"/>
      <c r="K1032" s="197"/>
      <c r="L1032" s="257"/>
    </row>
    <row r="1033" ht="22.5" customHeight="1">
      <c r="A1033" s="250"/>
      <c r="B1033" s="272" t="str">
        <f t="shared" si="5"/>
        <v>#REF!</v>
      </c>
      <c r="C1033" s="154"/>
      <c r="D1033" s="196"/>
      <c r="E1033" s="196"/>
      <c r="F1033" s="196"/>
      <c r="G1033" s="152"/>
      <c r="H1033" s="152"/>
      <c r="I1033" s="196"/>
      <c r="J1033" s="196"/>
      <c r="K1033" s="196"/>
      <c r="L1033" s="259"/>
    </row>
    <row r="1034" ht="22.5" customHeight="1">
      <c r="A1034" s="202"/>
      <c r="B1034" s="273" t="str">
        <f t="shared" si="5"/>
        <v>#REF!</v>
      </c>
      <c r="C1034" s="146"/>
      <c r="D1034" s="197"/>
      <c r="E1034" s="197"/>
      <c r="F1034" s="197"/>
      <c r="G1034" s="144"/>
      <c r="H1034" s="144"/>
      <c r="I1034" s="197"/>
      <c r="J1034" s="197"/>
      <c r="K1034" s="197"/>
      <c r="L1034" s="257"/>
    </row>
    <row r="1035" ht="22.5" customHeight="1">
      <c r="A1035" s="250"/>
      <c r="B1035" s="272" t="str">
        <f t="shared" si="5"/>
        <v>#REF!</v>
      </c>
      <c r="C1035" s="154"/>
      <c r="D1035" s="196"/>
      <c r="E1035" s="196"/>
      <c r="F1035" s="196"/>
      <c r="G1035" s="152"/>
      <c r="H1035" s="152"/>
      <c r="I1035" s="196"/>
      <c r="J1035" s="196"/>
      <c r="K1035" s="196"/>
      <c r="L1035" s="259"/>
    </row>
    <row r="1036" ht="22.5" customHeight="1">
      <c r="A1036" s="202"/>
      <c r="B1036" s="273" t="str">
        <f t="shared" si="5"/>
        <v>#REF!</v>
      </c>
      <c r="C1036" s="146"/>
      <c r="D1036" s="197"/>
      <c r="E1036" s="197"/>
      <c r="F1036" s="197"/>
      <c r="G1036" s="144"/>
      <c r="H1036" s="144"/>
      <c r="I1036" s="197"/>
      <c r="J1036" s="197"/>
      <c r="K1036" s="197"/>
      <c r="L1036" s="257"/>
    </row>
    <row r="1037" ht="22.5" customHeight="1">
      <c r="A1037" s="250"/>
      <c r="B1037" s="272" t="str">
        <f t="shared" si="5"/>
        <v>#REF!</v>
      </c>
      <c r="C1037" s="154"/>
      <c r="D1037" s="196"/>
      <c r="E1037" s="196"/>
      <c r="F1037" s="196"/>
      <c r="G1037" s="152"/>
      <c r="H1037" s="152"/>
      <c r="I1037" s="196"/>
      <c r="J1037" s="196"/>
      <c r="K1037" s="196"/>
      <c r="L1037" s="259"/>
    </row>
    <row r="1038" ht="22.5" customHeight="1">
      <c r="A1038" s="202"/>
      <c r="B1038" s="273" t="str">
        <f t="shared" si="5"/>
        <v>#REF!</v>
      </c>
      <c r="C1038" s="146"/>
      <c r="D1038" s="197"/>
      <c r="E1038" s="197"/>
      <c r="F1038" s="197"/>
      <c r="G1038" s="144"/>
      <c r="H1038" s="144"/>
      <c r="I1038" s="197"/>
      <c r="J1038" s="197"/>
      <c r="K1038" s="197"/>
      <c r="L1038" s="257"/>
    </row>
    <row r="1039" ht="22.5" customHeight="1">
      <c r="A1039" s="250"/>
      <c r="B1039" s="272" t="str">
        <f t="shared" si="5"/>
        <v>#REF!</v>
      </c>
      <c r="C1039" s="154"/>
      <c r="D1039" s="196"/>
      <c r="E1039" s="196"/>
      <c r="F1039" s="196"/>
      <c r="G1039" s="152"/>
      <c r="H1039" s="152"/>
      <c r="I1039" s="196"/>
      <c r="J1039" s="196"/>
      <c r="K1039" s="196"/>
      <c r="L1039" s="259"/>
    </row>
    <row r="1040" ht="22.5" customHeight="1">
      <c r="A1040" s="202"/>
      <c r="B1040" s="273" t="str">
        <f t="shared" si="5"/>
        <v>#REF!</v>
      </c>
      <c r="C1040" s="146"/>
      <c r="D1040" s="197"/>
      <c r="E1040" s="197"/>
      <c r="F1040" s="197"/>
      <c r="G1040" s="144"/>
      <c r="H1040" s="144"/>
      <c r="I1040" s="197"/>
      <c r="J1040" s="197"/>
      <c r="K1040" s="197"/>
      <c r="L1040" s="257"/>
    </row>
    <row r="1041" ht="22.5" customHeight="1">
      <c r="A1041" s="250"/>
      <c r="B1041" s="272" t="str">
        <f t="shared" si="5"/>
        <v>#REF!</v>
      </c>
      <c r="C1041" s="154"/>
      <c r="D1041" s="196"/>
      <c r="E1041" s="196"/>
      <c r="F1041" s="196"/>
      <c r="G1041" s="152"/>
      <c r="H1041" s="152"/>
      <c r="I1041" s="196"/>
      <c r="J1041" s="196"/>
      <c r="K1041" s="196"/>
      <c r="L1041" s="259"/>
    </row>
    <row r="1042" ht="22.5" customHeight="1">
      <c r="A1042" s="202"/>
      <c r="B1042" s="273" t="str">
        <f t="shared" si="5"/>
        <v>#REF!</v>
      </c>
      <c r="C1042" s="146"/>
      <c r="D1042" s="197"/>
      <c r="E1042" s="197"/>
      <c r="F1042" s="197"/>
      <c r="G1042" s="144"/>
      <c r="H1042" s="144"/>
      <c r="I1042" s="197"/>
      <c r="J1042" s="197"/>
      <c r="K1042" s="197"/>
      <c r="L1042" s="257"/>
    </row>
    <row r="1043" ht="22.5" customHeight="1">
      <c r="A1043" s="250"/>
      <c r="B1043" s="272" t="str">
        <f t="shared" si="5"/>
        <v>#REF!</v>
      </c>
      <c r="C1043" s="154"/>
      <c r="D1043" s="196"/>
      <c r="E1043" s="196"/>
      <c r="F1043" s="196"/>
      <c r="G1043" s="152"/>
      <c r="H1043" s="152"/>
      <c r="I1043" s="196"/>
      <c r="J1043" s="196"/>
      <c r="K1043" s="196"/>
      <c r="L1043" s="259"/>
    </row>
    <row r="1044" ht="22.5" customHeight="1">
      <c r="A1044" s="202"/>
      <c r="B1044" s="273" t="str">
        <f t="shared" si="5"/>
        <v>#REF!</v>
      </c>
      <c r="C1044" s="146"/>
      <c r="D1044" s="197"/>
      <c r="E1044" s="197"/>
      <c r="F1044" s="197"/>
      <c r="G1044" s="144"/>
      <c r="H1044" s="144"/>
      <c r="I1044" s="197"/>
      <c r="J1044" s="197"/>
      <c r="K1044" s="197"/>
      <c r="L1044" s="257"/>
    </row>
    <row r="1045" ht="22.5" customHeight="1">
      <c r="A1045" s="250"/>
      <c r="B1045" s="272" t="str">
        <f t="shared" si="5"/>
        <v>#REF!</v>
      </c>
      <c r="C1045" s="154"/>
      <c r="D1045" s="196"/>
      <c r="E1045" s="196"/>
      <c r="F1045" s="196"/>
      <c r="G1045" s="152"/>
      <c r="H1045" s="152"/>
      <c r="I1045" s="196"/>
      <c r="J1045" s="196"/>
      <c r="K1045" s="196"/>
      <c r="L1045" s="259"/>
    </row>
    <row r="1046" ht="22.5" customHeight="1">
      <c r="A1046" s="202"/>
      <c r="B1046" s="273" t="str">
        <f t="shared" si="5"/>
        <v>#REF!</v>
      </c>
      <c r="C1046" s="146"/>
      <c r="D1046" s="197"/>
      <c r="E1046" s="197"/>
      <c r="F1046" s="197"/>
      <c r="G1046" s="144"/>
      <c r="H1046" s="144"/>
      <c r="I1046" s="197"/>
      <c r="J1046" s="197"/>
      <c r="K1046" s="197"/>
      <c r="L1046" s="257"/>
    </row>
    <row r="1047" ht="22.5" customHeight="1">
      <c r="A1047" s="250"/>
      <c r="B1047" s="272" t="str">
        <f t="shared" si="5"/>
        <v>#REF!</v>
      </c>
      <c r="C1047" s="154"/>
      <c r="D1047" s="196"/>
      <c r="E1047" s="196"/>
      <c r="F1047" s="196"/>
      <c r="G1047" s="152"/>
      <c r="H1047" s="152"/>
      <c r="I1047" s="196"/>
      <c r="J1047" s="196"/>
      <c r="K1047" s="196"/>
      <c r="L1047" s="259"/>
    </row>
    <row r="1048" ht="22.5" customHeight="1">
      <c r="A1048" s="202"/>
      <c r="B1048" s="273" t="str">
        <f t="shared" si="5"/>
        <v>#REF!</v>
      </c>
      <c r="C1048" s="146"/>
      <c r="D1048" s="197"/>
      <c r="E1048" s="197"/>
      <c r="F1048" s="197"/>
      <c r="G1048" s="144"/>
      <c r="H1048" s="144"/>
      <c r="I1048" s="197"/>
      <c r="J1048" s="197"/>
      <c r="K1048" s="197"/>
      <c r="L1048" s="257"/>
    </row>
    <row r="1049" ht="22.5" customHeight="1">
      <c r="A1049" s="250"/>
      <c r="B1049" s="272" t="str">
        <f t="shared" si="5"/>
        <v>#REF!</v>
      </c>
      <c r="C1049" s="154"/>
      <c r="D1049" s="196"/>
      <c r="E1049" s="196"/>
      <c r="F1049" s="196"/>
      <c r="G1049" s="152"/>
      <c r="H1049" s="152"/>
      <c r="I1049" s="196"/>
      <c r="J1049" s="196"/>
      <c r="K1049" s="196"/>
      <c r="L1049" s="259"/>
    </row>
    <row r="1050" ht="22.5" customHeight="1">
      <c r="A1050" s="202"/>
      <c r="B1050" s="273" t="str">
        <f t="shared" si="5"/>
        <v>#REF!</v>
      </c>
      <c r="C1050" s="146"/>
      <c r="D1050" s="197"/>
      <c r="E1050" s="197"/>
      <c r="F1050" s="197"/>
      <c r="G1050" s="144"/>
      <c r="H1050" s="144"/>
      <c r="I1050" s="197"/>
      <c r="J1050" s="197"/>
      <c r="K1050" s="197"/>
      <c r="L1050" s="257"/>
    </row>
    <row r="1051" ht="22.5" customHeight="1">
      <c r="A1051" s="250"/>
      <c r="B1051" s="272" t="str">
        <f t="shared" si="5"/>
        <v>#REF!</v>
      </c>
      <c r="C1051" s="154"/>
      <c r="D1051" s="196"/>
      <c r="E1051" s="196"/>
      <c r="F1051" s="196"/>
      <c r="G1051" s="152"/>
      <c r="H1051" s="152"/>
      <c r="I1051" s="196"/>
      <c r="J1051" s="196"/>
      <c r="K1051" s="196"/>
      <c r="L1051" s="259"/>
    </row>
    <row r="1052" ht="22.5" customHeight="1">
      <c r="A1052" s="202"/>
      <c r="B1052" s="273" t="str">
        <f t="shared" si="5"/>
        <v>#REF!</v>
      </c>
      <c r="C1052" s="146"/>
      <c r="D1052" s="197"/>
      <c r="E1052" s="197"/>
      <c r="F1052" s="197"/>
      <c r="G1052" s="144"/>
      <c r="H1052" s="144"/>
      <c r="I1052" s="197"/>
      <c r="J1052" s="197"/>
      <c r="K1052" s="197"/>
      <c r="L1052" s="257"/>
    </row>
    <row r="1053" ht="22.5" customHeight="1">
      <c r="A1053" s="250"/>
      <c r="B1053" s="272" t="str">
        <f t="shared" si="5"/>
        <v>#REF!</v>
      </c>
      <c r="C1053" s="154"/>
      <c r="D1053" s="196"/>
      <c r="E1053" s="196"/>
      <c r="F1053" s="196"/>
      <c r="G1053" s="152"/>
      <c r="H1053" s="152"/>
      <c r="I1053" s="196"/>
      <c r="J1053" s="196"/>
      <c r="K1053" s="196"/>
      <c r="L1053" s="259"/>
    </row>
    <row r="1054" ht="22.5" customHeight="1">
      <c r="A1054" s="202"/>
      <c r="B1054" s="273" t="str">
        <f t="shared" si="5"/>
        <v>#REF!</v>
      </c>
      <c r="C1054" s="146"/>
      <c r="D1054" s="197"/>
      <c r="E1054" s="197"/>
      <c r="F1054" s="197"/>
      <c r="G1054" s="144"/>
      <c r="H1054" s="144"/>
      <c r="I1054" s="197"/>
      <c r="J1054" s="197"/>
      <c r="K1054" s="197"/>
      <c r="L1054" s="257"/>
    </row>
    <row r="1055" ht="22.5" customHeight="1">
      <c r="A1055" s="250"/>
      <c r="B1055" s="272" t="str">
        <f t="shared" si="5"/>
        <v>#REF!</v>
      </c>
      <c r="C1055" s="154"/>
      <c r="D1055" s="196"/>
      <c r="E1055" s="196"/>
      <c r="F1055" s="196"/>
      <c r="G1055" s="152"/>
      <c r="H1055" s="152"/>
      <c r="I1055" s="196"/>
      <c r="J1055" s="196"/>
      <c r="K1055" s="196"/>
      <c r="L1055" s="259"/>
    </row>
    <row r="1056" ht="22.5" customHeight="1">
      <c r="A1056" s="202"/>
      <c r="B1056" s="273" t="str">
        <f t="shared" si="5"/>
        <v>#REF!</v>
      </c>
      <c r="C1056" s="146"/>
      <c r="D1056" s="197"/>
      <c r="E1056" s="197"/>
      <c r="F1056" s="197"/>
      <c r="G1056" s="144"/>
      <c r="H1056" s="144"/>
      <c r="I1056" s="197"/>
      <c r="J1056" s="197"/>
      <c r="K1056" s="197"/>
      <c r="L1056" s="257"/>
    </row>
    <row r="1057" ht="22.5" customHeight="1">
      <c r="A1057" s="250"/>
      <c r="B1057" s="272" t="str">
        <f t="shared" si="5"/>
        <v>#REF!</v>
      </c>
      <c r="C1057" s="154"/>
      <c r="D1057" s="196"/>
      <c r="E1057" s="196"/>
      <c r="F1057" s="196"/>
      <c r="G1057" s="152"/>
      <c r="H1057" s="152"/>
      <c r="I1057" s="196"/>
      <c r="J1057" s="196"/>
      <c r="K1057" s="196"/>
      <c r="L1057" s="259"/>
    </row>
    <row r="1058" ht="22.5" customHeight="1">
      <c r="A1058" s="202"/>
      <c r="B1058" s="273" t="str">
        <f t="shared" si="5"/>
        <v>#REF!</v>
      </c>
      <c r="C1058" s="146"/>
      <c r="D1058" s="197"/>
      <c r="E1058" s="197"/>
      <c r="F1058" s="197"/>
      <c r="G1058" s="144"/>
      <c r="H1058" s="144"/>
      <c r="I1058" s="197"/>
      <c r="J1058" s="197"/>
      <c r="K1058" s="197"/>
      <c r="L1058" s="257"/>
    </row>
    <row r="1059" ht="22.5" customHeight="1">
      <c r="A1059" s="250"/>
      <c r="B1059" s="272" t="str">
        <f t="shared" si="5"/>
        <v>#REF!</v>
      </c>
      <c r="C1059" s="154"/>
      <c r="D1059" s="196"/>
      <c r="E1059" s="196"/>
      <c r="F1059" s="196"/>
      <c r="G1059" s="152"/>
      <c r="H1059" s="152"/>
      <c r="I1059" s="196"/>
      <c r="J1059" s="196"/>
      <c r="K1059" s="196"/>
      <c r="L1059" s="259"/>
    </row>
    <row r="1060" ht="22.5" customHeight="1">
      <c r="A1060" s="202"/>
      <c r="B1060" s="273" t="str">
        <f t="shared" si="5"/>
        <v>#REF!</v>
      </c>
      <c r="C1060" s="146"/>
      <c r="D1060" s="197"/>
      <c r="E1060" s="197"/>
      <c r="F1060" s="197"/>
      <c r="G1060" s="144"/>
      <c r="H1060" s="144"/>
      <c r="I1060" s="197"/>
      <c r="J1060" s="197"/>
      <c r="K1060" s="197"/>
      <c r="L1060" s="257"/>
    </row>
    <row r="1061" ht="22.5" customHeight="1">
      <c r="A1061" s="250"/>
      <c r="B1061" s="272" t="str">
        <f t="shared" si="5"/>
        <v>#REF!</v>
      </c>
      <c r="C1061" s="154"/>
      <c r="D1061" s="196"/>
      <c r="E1061" s="196"/>
      <c r="F1061" s="196"/>
      <c r="G1061" s="152"/>
      <c r="H1061" s="152"/>
      <c r="I1061" s="196"/>
      <c r="J1061" s="196"/>
      <c r="K1061" s="196"/>
      <c r="L1061" s="259"/>
    </row>
    <row r="1062" ht="22.5" customHeight="1">
      <c r="A1062" s="202"/>
      <c r="B1062" s="273" t="str">
        <f t="shared" si="5"/>
        <v>#REF!</v>
      </c>
      <c r="C1062" s="146"/>
      <c r="D1062" s="197"/>
      <c r="E1062" s="197"/>
      <c r="F1062" s="197"/>
      <c r="G1062" s="144"/>
      <c r="H1062" s="144"/>
      <c r="I1062" s="197"/>
      <c r="J1062" s="197"/>
      <c r="K1062" s="197"/>
      <c r="L1062" s="257"/>
    </row>
    <row r="1063" ht="22.5" customHeight="1">
      <c r="A1063" s="250"/>
      <c r="B1063" s="272" t="str">
        <f t="shared" si="5"/>
        <v>#REF!</v>
      </c>
      <c r="C1063" s="154"/>
      <c r="D1063" s="196"/>
      <c r="E1063" s="196"/>
      <c r="F1063" s="196"/>
      <c r="G1063" s="152"/>
      <c r="H1063" s="152"/>
      <c r="I1063" s="196"/>
      <c r="J1063" s="196"/>
      <c r="K1063" s="196"/>
      <c r="L1063" s="259"/>
    </row>
    <row r="1064" ht="22.5" customHeight="1">
      <c r="A1064" s="202"/>
      <c r="B1064" s="273" t="str">
        <f t="shared" si="5"/>
        <v>#REF!</v>
      </c>
      <c r="C1064" s="146"/>
      <c r="D1064" s="197"/>
      <c r="E1064" s="197"/>
      <c r="F1064" s="197"/>
      <c r="G1064" s="144"/>
      <c r="H1064" s="144"/>
      <c r="I1064" s="197"/>
      <c r="J1064" s="197"/>
      <c r="K1064" s="197"/>
      <c r="L1064" s="257"/>
    </row>
    <row r="1065" ht="22.5" customHeight="1">
      <c r="A1065" s="250"/>
      <c r="B1065" s="272" t="str">
        <f t="shared" si="5"/>
        <v>#REF!</v>
      </c>
      <c r="C1065" s="154"/>
      <c r="D1065" s="196"/>
      <c r="E1065" s="196"/>
      <c r="F1065" s="196"/>
      <c r="G1065" s="152"/>
      <c r="H1065" s="152"/>
      <c r="I1065" s="196"/>
      <c r="J1065" s="196"/>
      <c r="K1065" s="196"/>
      <c r="L1065" s="259"/>
    </row>
    <row r="1066" ht="22.5" customHeight="1">
      <c r="A1066" s="202"/>
      <c r="B1066" s="273" t="str">
        <f t="shared" si="5"/>
        <v>#REF!</v>
      </c>
      <c r="C1066" s="146"/>
      <c r="D1066" s="197"/>
      <c r="E1066" s="197"/>
      <c r="F1066" s="197"/>
      <c r="G1066" s="144"/>
      <c r="H1066" s="144"/>
      <c r="I1066" s="197"/>
      <c r="J1066" s="197"/>
      <c r="K1066" s="197"/>
      <c r="L1066" s="257"/>
    </row>
    <row r="1067" ht="22.5" customHeight="1">
      <c r="A1067" s="250"/>
      <c r="B1067" s="272" t="str">
        <f t="shared" si="5"/>
        <v>#REF!</v>
      </c>
      <c r="C1067" s="154"/>
      <c r="D1067" s="196"/>
      <c r="E1067" s="196"/>
      <c r="F1067" s="196"/>
      <c r="G1067" s="152"/>
      <c r="H1067" s="152"/>
      <c r="I1067" s="196"/>
      <c r="J1067" s="196"/>
      <c r="K1067" s="196"/>
      <c r="L1067" s="259"/>
    </row>
    <row r="1068" ht="22.5" customHeight="1">
      <c r="A1068" s="202"/>
      <c r="B1068" s="273" t="str">
        <f t="shared" si="5"/>
        <v>#REF!</v>
      </c>
      <c r="C1068" s="146"/>
      <c r="D1068" s="197"/>
      <c r="E1068" s="197"/>
      <c r="F1068" s="197"/>
      <c r="G1068" s="144"/>
      <c r="H1068" s="144"/>
      <c r="I1068" s="197"/>
      <c r="J1068" s="197"/>
      <c r="K1068" s="197"/>
      <c r="L1068" s="257"/>
    </row>
    <row r="1069" ht="22.5" customHeight="1">
      <c r="A1069" s="250"/>
      <c r="B1069" s="272" t="str">
        <f t="shared" si="5"/>
        <v>#REF!</v>
      </c>
      <c r="C1069" s="154"/>
      <c r="D1069" s="196"/>
      <c r="E1069" s="196"/>
      <c r="F1069" s="196"/>
      <c r="G1069" s="152"/>
      <c r="H1069" s="152"/>
      <c r="I1069" s="196"/>
      <c r="J1069" s="196"/>
      <c r="K1069" s="196"/>
      <c r="L1069" s="259"/>
    </row>
    <row r="1070" ht="22.5" customHeight="1">
      <c r="A1070" s="202"/>
      <c r="B1070" s="273" t="str">
        <f t="shared" si="5"/>
        <v>#REF!</v>
      </c>
      <c r="C1070" s="146"/>
      <c r="D1070" s="197"/>
      <c r="E1070" s="197"/>
      <c r="F1070" s="197"/>
      <c r="G1070" s="144"/>
      <c r="H1070" s="144"/>
      <c r="I1070" s="197"/>
      <c r="J1070" s="197"/>
      <c r="K1070" s="197"/>
      <c r="L1070" s="257"/>
    </row>
    <row r="1071" ht="22.5" customHeight="1">
      <c r="A1071" s="250"/>
      <c r="B1071" s="272" t="str">
        <f t="shared" si="5"/>
        <v>#REF!</v>
      </c>
      <c r="C1071" s="154"/>
      <c r="D1071" s="196"/>
      <c r="E1071" s="196"/>
      <c r="F1071" s="196"/>
      <c r="G1071" s="152"/>
      <c r="H1071" s="152"/>
      <c r="I1071" s="196"/>
      <c r="J1071" s="196"/>
      <c r="K1071" s="196"/>
      <c r="L1071" s="259"/>
    </row>
    <row r="1072" ht="22.5" customHeight="1">
      <c r="A1072" s="202"/>
      <c r="B1072" s="273" t="str">
        <f t="shared" si="5"/>
        <v>#REF!</v>
      </c>
      <c r="C1072" s="146"/>
      <c r="D1072" s="197"/>
      <c r="E1072" s="197"/>
      <c r="F1072" s="197"/>
      <c r="G1072" s="144"/>
      <c r="H1072" s="144"/>
      <c r="I1072" s="197"/>
      <c r="J1072" s="197"/>
      <c r="K1072" s="197"/>
      <c r="L1072" s="257"/>
    </row>
    <row r="1073" ht="22.5" customHeight="1">
      <c r="A1073" s="250"/>
      <c r="B1073" s="272" t="str">
        <f t="shared" si="5"/>
        <v>#REF!</v>
      </c>
      <c r="C1073" s="154"/>
      <c r="D1073" s="196"/>
      <c r="E1073" s="196"/>
      <c r="F1073" s="196"/>
      <c r="G1073" s="152"/>
      <c r="H1073" s="152"/>
      <c r="I1073" s="196"/>
      <c r="J1073" s="196"/>
      <c r="K1073" s="196"/>
      <c r="L1073" s="259"/>
    </row>
    <row r="1074" ht="22.5" customHeight="1">
      <c r="A1074" s="202"/>
      <c r="B1074" s="273" t="str">
        <f t="shared" si="5"/>
        <v>#REF!</v>
      </c>
      <c r="C1074" s="146"/>
      <c r="D1074" s="197"/>
      <c r="E1074" s="197"/>
      <c r="F1074" s="197"/>
      <c r="G1074" s="144"/>
      <c r="H1074" s="144"/>
      <c r="I1074" s="197"/>
      <c r="J1074" s="197"/>
      <c r="K1074" s="197"/>
      <c r="L1074" s="257"/>
    </row>
    <row r="1075" ht="22.5" customHeight="1">
      <c r="A1075" s="250"/>
      <c r="B1075" s="272" t="str">
        <f t="shared" si="5"/>
        <v>#REF!</v>
      </c>
      <c r="C1075" s="154"/>
      <c r="D1075" s="196"/>
      <c r="E1075" s="196"/>
      <c r="F1075" s="196"/>
      <c r="G1075" s="152"/>
      <c r="H1075" s="152"/>
      <c r="I1075" s="196"/>
      <c r="J1075" s="196"/>
      <c r="K1075" s="196"/>
      <c r="L1075" s="259"/>
    </row>
    <row r="1076" ht="22.5" customHeight="1">
      <c r="A1076" s="202"/>
      <c r="B1076" s="273" t="str">
        <f t="shared" si="5"/>
        <v>#REF!</v>
      </c>
      <c r="C1076" s="146"/>
      <c r="D1076" s="197"/>
      <c r="E1076" s="197"/>
      <c r="F1076" s="197"/>
      <c r="G1076" s="144"/>
      <c r="H1076" s="144"/>
      <c r="I1076" s="197"/>
      <c r="J1076" s="197"/>
      <c r="K1076" s="197"/>
      <c r="L1076" s="257"/>
    </row>
    <row r="1077" ht="22.5" customHeight="1">
      <c r="A1077" s="250"/>
      <c r="B1077" s="272" t="str">
        <f t="shared" si="5"/>
        <v>#REF!</v>
      </c>
      <c r="C1077" s="154"/>
      <c r="D1077" s="196"/>
      <c r="E1077" s="196"/>
      <c r="F1077" s="196"/>
      <c r="G1077" s="152"/>
      <c r="H1077" s="152"/>
      <c r="I1077" s="196"/>
      <c r="J1077" s="196"/>
      <c r="K1077" s="196"/>
      <c r="L1077" s="259"/>
    </row>
    <row r="1078" ht="22.5" customHeight="1">
      <c r="A1078" s="202"/>
      <c r="B1078" s="273" t="str">
        <f t="shared" si="5"/>
        <v>#REF!</v>
      </c>
      <c r="C1078" s="146"/>
      <c r="D1078" s="197"/>
      <c r="E1078" s="197"/>
      <c r="F1078" s="197"/>
      <c r="G1078" s="144"/>
      <c r="H1078" s="144"/>
      <c r="I1078" s="197"/>
      <c r="J1078" s="197"/>
      <c r="K1078" s="197"/>
      <c r="L1078" s="257"/>
    </row>
    <row r="1079" ht="22.5" customHeight="1">
      <c r="A1079" s="250"/>
      <c r="B1079" s="272" t="str">
        <f t="shared" si="5"/>
        <v>#REF!</v>
      </c>
      <c r="C1079" s="154"/>
      <c r="D1079" s="196"/>
      <c r="E1079" s="196"/>
      <c r="F1079" s="196"/>
      <c r="G1079" s="152"/>
      <c r="H1079" s="152"/>
      <c r="I1079" s="196"/>
      <c r="J1079" s="196"/>
      <c r="K1079" s="196"/>
      <c r="L1079" s="259"/>
    </row>
    <row r="1080" ht="22.5" customHeight="1">
      <c r="A1080" s="202"/>
      <c r="B1080" s="273" t="str">
        <f t="shared" si="5"/>
        <v>#REF!</v>
      </c>
      <c r="C1080" s="146"/>
      <c r="D1080" s="197"/>
      <c r="E1080" s="197"/>
      <c r="F1080" s="197"/>
      <c r="G1080" s="144"/>
      <c r="H1080" s="144"/>
      <c r="I1080" s="197"/>
      <c r="J1080" s="197"/>
      <c r="K1080" s="197"/>
      <c r="L1080" s="257"/>
    </row>
    <row r="1081" ht="22.5" customHeight="1">
      <c r="A1081" s="250"/>
      <c r="B1081" s="272" t="str">
        <f t="shared" si="5"/>
        <v>#REF!</v>
      </c>
      <c r="C1081" s="154"/>
      <c r="D1081" s="196"/>
      <c r="E1081" s="196"/>
      <c r="F1081" s="196"/>
      <c r="G1081" s="152"/>
      <c r="H1081" s="152"/>
      <c r="I1081" s="196"/>
      <c r="J1081" s="196"/>
      <c r="K1081" s="196"/>
      <c r="L1081" s="259"/>
    </row>
    <row r="1082" ht="22.5" customHeight="1">
      <c r="A1082" s="202"/>
      <c r="B1082" s="273" t="str">
        <f t="shared" si="5"/>
        <v>#REF!</v>
      </c>
      <c r="C1082" s="146"/>
      <c r="D1082" s="197"/>
      <c r="E1082" s="197"/>
      <c r="F1082" s="197"/>
      <c r="G1082" s="144"/>
      <c r="H1082" s="144"/>
      <c r="I1082" s="197"/>
      <c r="J1082" s="197"/>
      <c r="K1082" s="197"/>
      <c r="L1082" s="257"/>
    </row>
    <row r="1083" ht="22.5" customHeight="1">
      <c r="A1083" s="250"/>
      <c r="B1083" s="272" t="str">
        <f t="shared" si="5"/>
        <v>#REF!</v>
      </c>
      <c r="C1083" s="154"/>
      <c r="D1083" s="196"/>
      <c r="E1083" s="196"/>
      <c r="F1083" s="196"/>
      <c r="G1083" s="152"/>
      <c r="H1083" s="152"/>
      <c r="I1083" s="196"/>
      <c r="J1083" s="196"/>
      <c r="K1083" s="196"/>
      <c r="L1083" s="259"/>
    </row>
    <row r="1084" ht="22.5" customHeight="1">
      <c r="A1084" s="202"/>
      <c r="B1084" s="273" t="str">
        <f t="shared" si="5"/>
        <v>#REF!</v>
      </c>
      <c r="C1084" s="146"/>
      <c r="D1084" s="197"/>
      <c r="E1084" s="197"/>
      <c r="F1084" s="197"/>
      <c r="G1084" s="144"/>
      <c r="H1084" s="144"/>
      <c r="I1084" s="197"/>
      <c r="J1084" s="197"/>
      <c r="K1084" s="197"/>
      <c r="L1084" s="257"/>
    </row>
    <row r="1085" ht="22.5" customHeight="1">
      <c r="A1085" s="250"/>
      <c r="B1085" s="272" t="str">
        <f t="shared" si="5"/>
        <v>#REF!</v>
      </c>
      <c r="C1085" s="154"/>
      <c r="D1085" s="196"/>
      <c r="E1085" s="196"/>
      <c r="F1085" s="196"/>
      <c r="G1085" s="152"/>
      <c r="H1085" s="152"/>
      <c r="I1085" s="196"/>
      <c r="J1085" s="196"/>
      <c r="K1085" s="196"/>
      <c r="L1085" s="259"/>
    </row>
    <row r="1086" ht="22.5" customHeight="1">
      <c r="A1086" s="202"/>
      <c r="B1086" s="273" t="str">
        <f t="shared" si="5"/>
        <v>#REF!</v>
      </c>
      <c r="C1086" s="146"/>
      <c r="D1086" s="197"/>
      <c r="E1086" s="197"/>
      <c r="F1086" s="197"/>
      <c r="G1086" s="144"/>
      <c r="H1086" s="144"/>
      <c r="I1086" s="197"/>
      <c r="J1086" s="197"/>
      <c r="K1086" s="197"/>
      <c r="L1086" s="257"/>
    </row>
    <row r="1087" ht="22.5" customHeight="1">
      <c r="A1087" s="250"/>
      <c r="B1087" s="272" t="str">
        <f t="shared" si="5"/>
        <v>#REF!</v>
      </c>
      <c r="C1087" s="154"/>
      <c r="D1087" s="196"/>
      <c r="E1087" s="196"/>
      <c r="F1087" s="196"/>
      <c r="G1087" s="152"/>
      <c r="H1087" s="152"/>
      <c r="I1087" s="196"/>
      <c r="J1087" s="196"/>
      <c r="K1087" s="196"/>
      <c r="L1087" s="259"/>
    </row>
    <row r="1088" ht="22.5" customHeight="1">
      <c r="A1088" s="202"/>
      <c r="B1088" s="273" t="str">
        <f t="shared" si="5"/>
        <v>#REF!</v>
      </c>
      <c r="C1088" s="146"/>
      <c r="D1088" s="197"/>
      <c r="E1088" s="197"/>
      <c r="F1088" s="197"/>
      <c r="G1088" s="144"/>
      <c r="H1088" s="144"/>
      <c r="I1088" s="197"/>
      <c r="J1088" s="197"/>
      <c r="K1088" s="197"/>
      <c r="L1088" s="257"/>
    </row>
    <row r="1089" ht="22.5" customHeight="1">
      <c r="A1089" s="250"/>
      <c r="B1089" s="272" t="str">
        <f t="shared" si="5"/>
        <v>#REF!</v>
      </c>
      <c r="C1089" s="154"/>
      <c r="D1089" s="196"/>
      <c r="E1089" s="196"/>
      <c r="F1089" s="196"/>
      <c r="G1089" s="152"/>
      <c r="H1089" s="152"/>
      <c r="I1089" s="196"/>
      <c r="J1089" s="196"/>
      <c r="K1089" s="196"/>
      <c r="L1089" s="259"/>
    </row>
    <row r="1090" ht="22.5" customHeight="1">
      <c r="A1090" s="202"/>
      <c r="B1090" s="273" t="str">
        <f t="shared" si="5"/>
        <v>#REF!</v>
      </c>
      <c r="C1090" s="146"/>
      <c r="D1090" s="197"/>
      <c r="E1090" s="197"/>
      <c r="F1090" s="197"/>
      <c r="G1090" s="144"/>
      <c r="H1090" s="144"/>
      <c r="I1090" s="197"/>
      <c r="J1090" s="197"/>
      <c r="K1090" s="197"/>
      <c r="L1090" s="257"/>
    </row>
    <row r="1091" ht="22.5" customHeight="1">
      <c r="A1091" s="250"/>
      <c r="B1091" s="272" t="str">
        <f t="shared" si="5"/>
        <v>#REF!</v>
      </c>
      <c r="C1091" s="154"/>
      <c r="D1091" s="196"/>
      <c r="E1091" s="196"/>
      <c r="F1091" s="196"/>
      <c r="G1091" s="152"/>
      <c r="H1091" s="152"/>
      <c r="I1091" s="196"/>
      <c r="J1091" s="196"/>
      <c r="K1091" s="196"/>
      <c r="L1091" s="259"/>
    </row>
    <row r="1092" ht="22.5" customHeight="1">
      <c r="A1092" s="202"/>
      <c r="B1092" s="273" t="str">
        <f t="shared" si="5"/>
        <v>#REF!</v>
      </c>
      <c r="C1092" s="146"/>
      <c r="D1092" s="197"/>
      <c r="E1092" s="197"/>
      <c r="F1092" s="197"/>
      <c r="G1092" s="144"/>
      <c r="H1092" s="144"/>
      <c r="I1092" s="197"/>
      <c r="J1092" s="197"/>
      <c r="K1092" s="197"/>
      <c r="L1092" s="257"/>
    </row>
    <row r="1093" ht="22.5" customHeight="1">
      <c r="A1093" s="250"/>
      <c r="B1093" s="272" t="str">
        <f t="shared" si="5"/>
        <v>#REF!</v>
      </c>
      <c r="C1093" s="154"/>
      <c r="D1093" s="196"/>
      <c r="E1093" s="196"/>
      <c r="F1093" s="196"/>
      <c r="G1093" s="152"/>
      <c r="H1093" s="152"/>
      <c r="I1093" s="196"/>
      <c r="J1093" s="196"/>
      <c r="K1093" s="196"/>
      <c r="L1093" s="259"/>
    </row>
    <row r="1094" ht="22.5" customHeight="1">
      <c r="A1094" s="202"/>
      <c r="B1094" s="273" t="str">
        <f t="shared" si="5"/>
        <v>#REF!</v>
      </c>
      <c r="C1094" s="146"/>
      <c r="D1094" s="197"/>
      <c r="E1094" s="197"/>
      <c r="F1094" s="197"/>
      <c r="G1094" s="144"/>
      <c r="H1094" s="144"/>
      <c r="I1094" s="197"/>
      <c r="J1094" s="197"/>
      <c r="K1094" s="197"/>
      <c r="L1094" s="257"/>
    </row>
    <row r="1095" ht="22.5" customHeight="1">
      <c r="A1095" s="250"/>
      <c r="B1095" s="272" t="str">
        <f t="shared" si="5"/>
        <v>#REF!</v>
      </c>
      <c r="C1095" s="154"/>
      <c r="D1095" s="196"/>
      <c r="E1095" s="196"/>
      <c r="F1095" s="196"/>
      <c r="G1095" s="152"/>
      <c r="H1095" s="152"/>
      <c r="I1095" s="196"/>
      <c r="J1095" s="196"/>
      <c r="K1095" s="196"/>
      <c r="L1095" s="259"/>
    </row>
    <row r="1096" ht="22.5" customHeight="1">
      <c r="A1096" s="202"/>
      <c r="B1096" s="273" t="str">
        <f t="shared" si="5"/>
        <v>#REF!</v>
      </c>
      <c r="C1096" s="146"/>
      <c r="D1096" s="197"/>
      <c r="E1096" s="197"/>
      <c r="F1096" s="197"/>
      <c r="G1096" s="144"/>
      <c r="H1096" s="144"/>
      <c r="I1096" s="197"/>
      <c r="J1096" s="197"/>
      <c r="K1096" s="197"/>
      <c r="L1096" s="257"/>
    </row>
    <row r="1097" ht="22.5" customHeight="1">
      <c r="A1097" s="250"/>
      <c r="B1097" s="272" t="str">
        <f t="shared" si="5"/>
        <v>#REF!</v>
      </c>
      <c r="C1097" s="154"/>
      <c r="D1097" s="196"/>
      <c r="E1097" s="196"/>
      <c r="F1097" s="196"/>
      <c r="G1097" s="152"/>
      <c r="H1097" s="152"/>
      <c r="I1097" s="196"/>
      <c r="J1097" s="196"/>
      <c r="K1097" s="196"/>
      <c r="L1097" s="259"/>
    </row>
    <row r="1098" ht="22.5" customHeight="1">
      <c r="A1098" s="202"/>
      <c r="B1098" s="273" t="str">
        <f t="shared" si="5"/>
        <v>#REF!</v>
      </c>
      <c r="C1098" s="146"/>
      <c r="D1098" s="197"/>
      <c r="E1098" s="197"/>
      <c r="F1098" s="197"/>
      <c r="G1098" s="144"/>
      <c r="H1098" s="144"/>
      <c r="I1098" s="197"/>
      <c r="J1098" s="197"/>
      <c r="K1098" s="197"/>
      <c r="L1098" s="257"/>
    </row>
    <row r="1099" ht="22.5" customHeight="1">
      <c r="A1099" s="250"/>
      <c r="B1099" s="272" t="str">
        <f t="shared" si="5"/>
        <v>#REF!</v>
      </c>
      <c r="C1099" s="154"/>
      <c r="D1099" s="196"/>
      <c r="E1099" s="196"/>
      <c r="F1099" s="196"/>
      <c r="G1099" s="152"/>
      <c r="H1099" s="152"/>
      <c r="I1099" s="196"/>
      <c r="J1099" s="196"/>
      <c r="K1099" s="196"/>
      <c r="L1099" s="259"/>
    </row>
    <row r="1100" ht="22.5" customHeight="1">
      <c r="A1100" s="202"/>
      <c r="B1100" s="273" t="str">
        <f t="shared" si="5"/>
        <v>#REF!</v>
      </c>
      <c r="C1100" s="146"/>
      <c r="D1100" s="197"/>
      <c r="E1100" s="197"/>
      <c r="F1100" s="197"/>
      <c r="G1100" s="144"/>
      <c r="H1100" s="144"/>
      <c r="I1100" s="197"/>
      <c r="J1100" s="197"/>
      <c r="K1100" s="197"/>
      <c r="L1100" s="257"/>
    </row>
    <row r="1101" ht="22.5" customHeight="1">
      <c r="A1101" s="250"/>
      <c r="B1101" s="272" t="str">
        <f t="shared" si="5"/>
        <v>#REF!</v>
      </c>
      <c r="C1101" s="154"/>
      <c r="D1101" s="196"/>
      <c r="E1101" s="196"/>
      <c r="F1101" s="196"/>
      <c r="G1101" s="152"/>
      <c r="H1101" s="152"/>
      <c r="I1101" s="196"/>
      <c r="J1101" s="196"/>
      <c r="K1101" s="196"/>
      <c r="L1101" s="259"/>
    </row>
    <row r="1102" ht="22.5" customHeight="1">
      <c r="A1102" s="202"/>
      <c r="B1102" s="273" t="str">
        <f t="shared" si="5"/>
        <v>#REF!</v>
      </c>
      <c r="C1102" s="146"/>
      <c r="D1102" s="197"/>
      <c r="E1102" s="197"/>
      <c r="F1102" s="197"/>
      <c r="G1102" s="144"/>
      <c r="H1102" s="144"/>
      <c r="I1102" s="197"/>
      <c r="J1102" s="197"/>
      <c r="K1102" s="197"/>
      <c r="L1102" s="257"/>
    </row>
    <row r="1103" ht="22.5" customHeight="1">
      <c r="A1103" s="250"/>
      <c r="B1103" s="272" t="str">
        <f t="shared" si="5"/>
        <v>#REF!</v>
      </c>
      <c r="C1103" s="154"/>
      <c r="D1103" s="196"/>
      <c r="E1103" s="196"/>
      <c r="F1103" s="196"/>
      <c r="G1103" s="152"/>
      <c r="H1103" s="152"/>
      <c r="I1103" s="196"/>
      <c r="J1103" s="196"/>
      <c r="K1103" s="196"/>
      <c r="L1103" s="259"/>
    </row>
    <row r="1104" ht="22.5" customHeight="1">
      <c r="A1104" s="202"/>
      <c r="B1104" s="273" t="str">
        <f t="shared" si="5"/>
        <v>#REF!</v>
      </c>
      <c r="C1104" s="146"/>
      <c r="D1104" s="197"/>
      <c r="E1104" s="197"/>
      <c r="F1104" s="197"/>
      <c r="G1104" s="144"/>
      <c r="H1104" s="144"/>
      <c r="I1104" s="197"/>
      <c r="J1104" s="197"/>
      <c r="K1104" s="197"/>
      <c r="L1104" s="257"/>
    </row>
    <row r="1105" ht="22.5" customHeight="1">
      <c r="A1105" s="250"/>
      <c r="B1105" s="272" t="str">
        <f t="shared" si="5"/>
        <v>#REF!</v>
      </c>
      <c r="C1105" s="154"/>
      <c r="D1105" s="196"/>
      <c r="E1105" s="196"/>
      <c r="F1105" s="196"/>
      <c r="G1105" s="152"/>
      <c r="H1105" s="152"/>
      <c r="I1105" s="196"/>
      <c r="J1105" s="196"/>
      <c r="K1105" s="196"/>
      <c r="L1105" s="259"/>
    </row>
    <row r="1106" ht="22.5" customHeight="1">
      <c r="A1106" s="202"/>
      <c r="B1106" s="273" t="str">
        <f t="shared" si="5"/>
        <v>#REF!</v>
      </c>
      <c r="C1106" s="146"/>
      <c r="D1106" s="197"/>
      <c r="E1106" s="197"/>
      <c r="F1106" s="197"/>
      <c r="G1106" s="144"/>
      <c r="H1106" s="144"/>
      <c r="I1106" s="197"/>
      <c r="J1106" s="197"/>
      <c r="K1106" s="197"/>
      <c r="L1106" s="257"/>
    </row>
    <row r="1107" ht="22.5" customHeight="1">
      <c r="A1107" s="250"/>
      <c r="B1107" s="272" t="str">
        <f t="shared" si="5"/>
        <v>#REF!</v>
      </c>
      <c r="C1107" s="154"/>
      <c r="D1107" s="196"/>
      <c r="E1107" s="196"/>
      <c r="F1107" s="196"/>
      <c r="G1107" s="152"/>
      <c r="H1107" s="152"/>
      <c r="I1107" s="196"/>
      <c r="J1107" s="196"/>
      <c r="K1107" s="196"/>
      <c r="L1107" s="259"/>
    </row>
    <row r="1108" ht="22.5" customHeight="1">
      <c r="A1108" s="202"/>
      <c r="B1108" s="273" t="str">
        <f t="shared" si="5"/>
        <v>#REF!</v>
      </c>
      <c r="C1108" s="146"/>
      <c r="D1108" s="197"/>
      <c r="E1108" s="197"/>
      <c r="F1108" s="197"/>
      <c r="G1108" s="144"/>
      <c r="H1108" s="144"/>
      <c r="I1108" s="197"/>
      <c r="J1108" s="197"/>
      <c r="K1108" s="197"/>
      <c r="L1108" s="257"/>
    </row>
    <row r="1109" ht="22.5" customHeight="1">
      <c r="A1109" s="250"/>
      <c r="B1109" s="272" t="str">
        <f t="shared" si="5"/>
        <v>#REF!</v>
      </c>
      <c r="C1109" s="154"/>
      <c r="D1109" s="196"/>
      <c r="E1109" s="196"/>
      <c r="F1109" s="196"/>
      <c r="G1109" s="152"/>
      <c r="H1109" s="152"/>
      <c r="I1109" s="196"/>
      <c r="J1109" s="196"/>
      <c r="K1109" s="196"/>
      <c r="L1109" s="259"/>
    </row>
    <row r="1110" ht="22.5" customHeight="1">
      <c r="A1110" s="202"/>
      <c r="B1110" s="273" t="str">
        <f t="shared" si="5"/>
        <v>#REF!</v>
      </c>
      <c r="C1110" s="146"/>
      <c r="D1110" s="197"/>
      <c r="E1110" s="197"/>
      <c r="F1110" s="197"/>
      <c r="G1110" s="144"/>
      <c r="H1110" s="144"/>
      <c r="I1110" s="197"/>
      <c r="J1110" s="197"/>
      <c r="K1110" s="197"/>
      <c r="L1110" s="257"/>
    </row>
    <row r="1111" ht="22.5" customHeight="1">
      <c r="A1111" s="250"/>
      <c r="B1111" s="272" t="str">
        <f t="shared" si="5"/>
        <v>#REF!</v>
      </c>
      <c r="C1111" s="154"/>
      <c r="D1111" s="196"/>
      <c r="E1111" s="196"/>
      <c r="F1111" s="196"/>
      <c r="G1111" s="152"/>
      <c r="H1111" s="152"/>
      <c r="I1111" s="196"/>
      <c r="J1111" s="196"/>
      <c r="K1111" s="196"/>
      <c r="L1111" s="259"/>
    </row>
    <row r="1112" ht="22.5" customHeight="1">
      <c r="A1112" s="202"/>
      <c r="B1112" s="273" t="str">
        <f t="shared" si="5"/>
        <v>#REF!</v>
      </c>
      <c r="C1112" s="146"/>
      <c r="D1112" s="197"/>
      <c r="E1112" s="197"/>
      <c r="F1112" s="197"/>
      <c r="G1112" s="144"/>
      <c r="H1112" s="144"/>
      <c r="I1112" s="197"/>
      <c r="J1112" s="197"/>
      <c r="K1112" s="197"/>
      <c r="L1112" s="257"/>
    </row>
    <row r="1113" ht="22.5" customHeight="1">
      <c r="A1113" s="250"/>
      <c r="B1113" s="272" t="str">
        <f t="shared" si="5"/>
        <v>#REF!</v>
      </c>
      <c r="C1113" s="154"/>
      <c r="D1113" s="196"/>
      <c r="E1113" s="196"/>
      <c r="F1113" s="196"/>
      <c r="G1113" s="152"/>
      <c r="H1113" s="152"/>
      <c r="I1113" s="196"/>
      <c r="J1113" s="196"/>
      <c r="K1113" s="196"/>
      <c r="L1113" s="259"/>
    </row>
    <row r="1114" ht="22.5" customHeight="1">
      <c r="A1114" s="202"/>
      <c r="B1114" s="273" t="str">
        <f t="shared" si="5"/>
        <v>#REF!</v>
      </c>
      <c r="C1114" s="146"/>
      <c r="D1114" s="197"/>
      <c r="E1114" s="197"/>
      <c r="F1114" s="197"/>
      <c r="G1114" s="144"/>
      <c r="H1114" s="144"/>
      <c r="I1114" s="197"/>
      <c r="J1114" s="197"/>
      <c r="K1114" s="197"/>
      <c r="L1114" s="257"/>
    </row>
    <row r="1115" ht="22.5" customHeight="1">
      <c r="A1115" s="250"/>
      <c r="B1115" s="272" t="str">
        <f t="shared" si="5"/>
        <v>#REF!</v>
      </c>
      <c r="C1115" s="154"/>
      <c r="D1115" s="196"/>
      <c r="E1115" s="196"/>
      <c r="F1115" s="196"/>
      <c r="G1115" s="152"/>
      <c r="H1115" s="152"/>
      <c r="I1115" s="196"/>
      <c r="J1115" s="196"/>
      <c r="K1115" s="196"/>
      <c r="L1115" s="259"/>
    </row>
    <row r="1116" ht="22.5" customHeight="1">
      <c r="A1116" s="202"/>
      <c r="B1116" s="273" t="str">
        <f t="shared" si="5"/>
        <v>#REF!</v>
      </c>
      <c r="C1116" s="146"/>
      <c r="D1116" s="197"/>
      <c r="E1116" s="197"/>
      <c r="F1116" s="197"/>
      <c r="G1116" s="144"/>
      <c r="H1116" s="144"/>
      <c r="I1116" s="197"/>
      <c r="J1116" s="197"/>
      <c r="K1116" s="197"/>
      <c r="L1116" s="257"/>
    </row>
    <row r="1117" ht="22.5" customHeight="1">
      <c r="A1117" s="250"/>
      <c r="B1117" s="272" t="str">
        <f t="shared" si="5"/>
        <v>#REF!</v>
      </c>
      <c r="C1117" s="154"/>
      <c r="D1117" s="196"/>
      <c r="E1117" s="196"/>
      <c r="F1117" s="196"/>
      <c r="G1117" s="152"/>
      <c r="H1117" s="152"/>
      <c r="I1117" s="196"/>
      <c r="J1117" s="196"/>
      <c r="K1117" s="196"/>
      <c r="L1117" s="259"/>
    </row>
    <row r="1118" ht="22.5" customHeight="1">
      <c r="A1118" s="202"/>
      <c r="B1118" s="273" t="str">
        <f t="shared" si="5"/>
        <v>#REF!</v>
      </c>
      <c r="C1118" s="146"/>
      <c r="D1118" s="197"/>
      <c r="E1118" s="197"/>
      <c r="F1118" s="197"/>
      <c r="G1118" s="144"/>
      <c r="H1118" s="144"/>
      <c r="I1118" s="197"/>
      <c r="J1118" s="197"/>
      <c r="K1118" s="197"/>
      <c r="L1118" s="257"/>
    </row>
    <row r="1119" ht="22.5" customHeight="1">
      <c r="A1119" s="250"/>
      <c r="B1119" s="272" t="str">
        <f t="shared" si="5"/>
        <v>#REF!</v>
      </c>
      <c r="C1119" s="154"/>
      <c r="D1119" s="196"/>
      <c r="E1119" s="196"/>
      <c r="F1119" s="196"/>
      <c r="G1119" s="152"/>
      <c r="H1119" s="152"/>
      <c r="I1119" s="196"/>
      <c r="J1119" s="196"/>
      <c r="K1119" s="196"/>
      <c r="L1119" s="259"/>
    </row>
    <row r="1120" ht="22.5" customHeight="1">
      <c r="A1120" s="202"/>
      <c r="B1120" s="273" t="str">
        <f t="shared" si="5"/>
        <v>#REF!</v>
      </c>
      <c r="C1120" s="146"/>
      <c r="D1120" s="197"/>
      <c r="E1120" s="197"/>
      <c r="F1120" s="197"/>
      <c r="G1120" s="144"/>
      <c r="H1120" s="144"/>
      <c r="I1120" s="197"/>
      <c r="J1120" s="197"/>
      <c r="K1120" s="197"/>
      <c r="L1120" s="257"/>
    </row>
    <row r="1121" ht="22.5" customHeight="1">
      <c r="A1121" s="250"/>
      <c r="B1121" s="272" t="str">
        <f t="shared" si="5"/>
        <v>#REF!</v>
      </c>
      <c r="C1121" s="154"/>
      <c r="D1121" s="196"/>
      <c r="E1121" s="196"/>
      <c r="F1121" s="196"/>
      <c r="G1121" s="152"/>
      <c r="H1121" s="152"/>
      <c r="I1121" s="196"/>
      <c r="J1121" s="196"/>
      <c r="K1121" s="196"/>
      <c r="L1121" s="259"/>
    </row>
    <row r="1122" ht="22.5" customHeight="1">
      <c r="A1122" s="202"/>
      <c r="B1122" s="273" t="str">
        <f t="shared" si="5"/>
        <v>#REF!</v>
      </c>
      <c r="C1122" s="146"/>
      <c r="D1122" s="197"/>
      <c r="E1122" s="197"/>
      <c r="F1122" s="197"/>
      <c r="G1122" s="144"/>
      <c r="H1122" s="144"/>
      <c r="I1122" s="197"/>
      <c r="J1122" s="197"/>
      <c r="K1122" s="197"/>
      <c r="L1122" s="257"/>
    </row>
    <row r="1123" ht="22.5" customHeight="1">
      <c r="A1123" s="250"/>
      <c r="B1123" s="272" t="str">
        <f t="shared" si="5"/>
        <v>#REF!</v>
      </c>
      <c r="C1123" s="154"/>
      <c r="D1123" s="196"/>
      <c r="E1123" s="196"/>
      <c r="F1123" s="196"/>
      <c r="G1123" s="152"/>
      <c r="H1123" s="152"/>
      <c r="I1123" s="196"/>
      <c r="J1123" s="196"/>
      <c r="K1123" s="196"/>
      <c r="L1123" s="259"/>
    </row>
    <row r="1124" ht="22.5" customHeight="1">
      <c r="A1124" s="202"/>
      <c r="B1124" s="273" t="str">
        <f t="shared" si="5"/>
        <v>#REF!</v>
      </c>
      <c r="C1124" s="146"/>
      <c r="D1124" s="197"/>
      <c r="E1124" s="197"/>
      <c r="F1124" s="197"/>
      <c r="G1124" s="144"/>
      <c r="H1124" s="144"/>
      <c r="I1124" s="197"/>
      <c r="J1124" s="197"/>
      <c r="K1124" s="197"/>
      <c r="L1124" s="257"/>
    </row>
    <row r="1125" ht="22.5" customHeight="1">
      <c r="A1125" s="250"/>
      <c r="B1125" s="272" t="str">
        <f t="shared" si="5"/>
        <v>#REF!</v>
      </c>
      <c r="C1125" s="154"/>
      <c r="D1125" s="196"/>
      <c r="E1125" s="196"/>
      <c r="F1125" s="196"/>
      <c r="G1125" s="152"/>
      <c r="H1125" s="152"/>
      <c r="I1125" s="196"/>
      <c r="J1125" s="196"/>
      <c r="K1125" s="196"/>
      <c r="L1125" s="259"/>
    </row>
    <row r="1126" ht="22.5" customHeight="1">
      <c r="A1126" s="202"/>
      <c r="B1126" s="273" t="str">
        <f t="shared" si="5"/>
        <v>#REF!</v>
      </c>
      <c r="C1126" s="146"/>
      <c r="D1126" s="197"/>
      <c r="E1126" s="197"/>
      <c r="F1126" s="197"/>
      <c r="G1126" s="144"/>
      <c r="H1126" s="144"/>
      <c r="I1126" s="197"/>
      <c r="J1126" s="197"/>
      <c r="K1126" s="197"/>
      <c r="L1126" s="257"/>
    </row>
    <row r="1127" ht="22.5" customHeight="1">
      <c r="A1127" s="250"/>
      <c r="B1127" s="272" t="str">
        <f t="shared" si="5"/>
        <v>#REF!</v>
      </c>
      <c r="C1127" s="154"/>
      <c r="D1127" s="196"/>
      <c r="E1127" s="196"/>
      <c r="F1127" s="196"/>
      <c r="G1127" s="152"/>
      <c r="H1127" s="152"/>
      <c r="I1127" s="196"/>
      <c r="J1127" s="196"/>
      <c r="K1127" s="196"/>
      <c r="L1127" s="259"/>
    </row>
    <row r="1128" ht="22.5" customHeight="1">
      <c r="A1128" s="202"/>
      <c r="B1128" s="273" t="str">
        <f t="shared" si="5"/>
        <v>#REF!</v>
      </c>
      <c r="C1128" s="146"/>
      <c r="D1128" s="197"/>
      <c r="E1128" s="197"/>
      <c r="F1128" s="197"/>
      <c r="G1128" s="144"/>
      <c r="H1128" s="144"/>
      <c r="I1128" s="197"/>
      <c r="J1128" s="197"/>
      <c r="K1128" s="197"/>
      <c r="L1128" s="257"/>
    </row>
    <row r="1129" ht="22.5" customHeight="1">
      <c r="A1129" s="250"/>
      <c r="B1129" s="272" t="str">
        <f t="shared" si="5"/>
        <v>#REF!</v>
      </c>
      <c r="C1129" s="154"/>
      <c r="D1129" s="196"/>
      <c r="E1129" s="196"/>
      <c r="F1129" s="196"/>
      <c r="G1129" s="152"/>
      <c r="H1129" s="152"/>
      <c r="I1129" s="196"/>
      <c r="J1129" s="196"/>
      <c r="K1129" s="196"/>
      <c r="L1129" s="259"/>
    </row>
    <row r="1130" ht="22.5" customHeight="1">
      <c r="A1130" s="202"/>
      <c r="B1130" s="273" t="str">
        <f t="shared" si="5"/>
        <v>#REF!</v>
      </c>
      <c r="C1130" s="146"/>
      <c r="D1130" s="197"/>
      <c r="E1130" s="197"/>
      <c r="F1130" s="197"/>
      <c r="G1130" s="144"/>
      <c r="H1130" s="144"/>
      <c r="I1130" s="197"/>
      <c r="J1130" s="197"/>
      <c r="K1130" s="197"/>
      <c r="L1130" s="257"/>
    </row>
    <row r="1131" ht="22.5" customHeight="1">
      <c r="A1131" s="250"/>
      <c r="B1131" s="272" t="str">
        <f t="shared" si="5"/>
        <v>#REF!</v>
      </c>
      <c r="C1131" s="154"/>
      <c r="D1131" s="196"/>
      <c r="E1131" s="196"/>
      <c r="F1131" s="196"/>
      <c r="G1131" s="152"/>
      <c r="H1131" s="152"/>
      <c r="I1131" s="196"/>
      <c r="J1131" s="196"/>
      <c r="K1131" s="196"/>
      <c r="L1131" s="259"/>
    </row>
    <row r="1132" ht="22.5" customHeight="1">
      <c r="A1132" s="202"/>
      <c r="B1132" s="273" t="str">
        <f t="shared" si="5"/>
        <v>#REF!</v>
      </c>
      <c r="C1132" s="146"/>
      <c r="D1132" s="197"/>
      <c r="E1132" s="197"/>
      <c r="F1132" s="197"/>
      <c r="G1132" s="144"/>
      <c r="H1132" s="144"/>
      <c r="I1132" s="197"/>
      <c r="J1132" s="197"/>
      <c r="K1132" s="197"/>
      <c r="L1132" s="257"/>
    </row>
    <row r="1133" ht="22.5" customHeight="1">
      <c r="A1133" s="250"/>
      <c r="B1133" s="272" t="str">
        <f t="shared" si="5"/>
        <v>#REF!</v>
      </c>
      <c r="C1133" s="154"/>
      <c r="D1133" s="196"/>
      <c r="E1133" s="196"/>
      <c r="F1133" s="196"/>
      <c r="G1133" s="152"/>
      <c r="H1133" s="152"/>
      <c r="I1133" s="196"/>
      <c r="J1133" s="196"/>
      <c r="K1133" s="196"/>
      <c r="L1133" s="259"/>
    </row>
    <row r="1134" ht="22.5" customHeight="1">
      <c r="A1134" s="202"/>
      <c r="B1134" s="273" t="str">
        <f t="shared" si="5"/>
        <v>#REF!</v>
      </c>
      <c r="C1134" s="146"/>
      <c r="D1134" s="197"/>
      <c r="E1134" s="197"/>
      <c r="F1134" s="197"/>
      <c r="G1134" s="144"/>
      <c r="H1134" s="144"/>
      <c r="I1134" s="197"/>
      <c r="J1134" s="197"/>
      <c r="K1134" s="197"/>
      <c r="L1134" s="257"/>
    </row>
    <row r="1135" ht="22.5" customHeight="1">
      <c r="A1135" s="250"/>
      <c r="B1135" s="272" t="str">
        <f t="shared" si="5"/>
        <v>#REF!</v>
      </c>
      <c r="C1135" s="154"/>
      <c r="D1135" s="196"/>
      <c r="E1135" s="196"/>
      <c r="F1135" s="196"/>
      <c r="G1135" s="152"/>
      <c r="H1135" s="152"/>
      <c r="I1135" s="196"/>
      <c r="J1135" s="196"/>
      <c r="K1135" s="196"/>
      <c r="L1135" s="259"/>
    </row>
    <row r="1136" ht="22.5" customHeight="1">
      <c r="A1136" s="202"/>
      <c r="B1136" s="273" t="str">
        <f t="shared" si="5"/>
        <v>#REF!</v>
      </c>
      <c r="C1136" s="146"/>
      <c r="D1136" s="197"/>
      <c r="E1136" s="197"/>
      <c r="F1136" s="197"/>
      <c r="G1136" s="144"/>
      <c r="H1136" s="144"/>
      <c r="I1136" s="197"/>
      <c r="J1136" s="197"/>
      <c r="K1136" s="197"/>
      <c r="L1136" s="257"/>
    </row>
    <row r="1137" ht="22.5" customHeight="1">
      <c r="A1137" s="250"/>
      <c r="B1137" s="272" t="str">
        <f t="shared" si="5"/>
        <v>#REF!</v>
      </c>
      <c r="C1137" s="154"/>
      <c r="D1137" s="196"/>
      <c r="E1137" s="196"/>
      <c r="F1137" s="196"/>
      <c r="G1137" s="152"/>
      <c r="H1137" s="152"/>
      <c r="I1137" s="196"/>
      <c r="J1137" s="196"/>
      <c r="K1137" s="196"/>
      <c r="L1137" s="259"/>
    </row>
    <row r="1138" ht="22.5" customHeight="1">
      <c r="A1138" s="202"/>
      <c r="B1138" s="273" t="str">
        <f t="shared" si="5"/>
        <v>#REF!</v>
      </c>
      <c r="C1138" s="146"/>
      <c r="D1138" s="197"/>
      <c r="E1138" s="197"/>
      <c r="F1138" s="197"/>
      <c r="G1138" s="144"/>
      <c r="H1138" s="144"/>
      <c r="I1138" s="197"/>
      <c r="J1138" s="197"/>
      <c r="K1138" s="197"/>
      <c r="L1138" s="257"/>
    </row>
    <row r="1139" ht="22.5" customHeight="1">
      <c r="A1139" s="250"/>
      <c r="B1139" s="272" t="str">
        <f t="shared" si="5"/>
        <v>#REF!</v>
      </c>
      <c r="C1139" s="154"/>
      <c r="D1139" s="196"/>
      <c r="E1139" s="196"/>
      <c r="F1139" s="196"/>
      <c r="G1139" s="152"/>
      <c r="H1139" s="152"/>
      <c r="I1139" s="196"/>
      <c r="J1139" s="196"/>
      <c r="K1139" s="196"/>
      <c r="L1139" s="259"/>
    </row>
    <row r="1140" ht="22.5" customHeight="1">
      <c r="A1140" s="202"/>
      <c r="B1140" s="273" t="str">
        <f t="shared" si="5"/>
        <v>#REF!</v>
      </c>
      <c r="C1140" s="146"/>
      <c r="D1140" s="197"/>
      <c r="E1140" s="197"/>
      <c r="F1140" s="197"/>
      <c r="G1140" s="144"/>
      <c r="H1140" s="144"/>
      <c r="I1140" s="197"/>
      <c r="J1140" s="197"/>
      <c r="K1140" s="197"/>
      <c r="L1140" s="257"/>
    </row>
    <row r="1141" ht="22.5" customHeight="1">
      <c r="A1141" s="250"/>
      <c r="B1141" s="272" t="str">
        <f t="shared" si="5"/>
        <v>#REF!</v>
      </c>
      <c r="C1141" s="154"/>
      <c r="D1141" s="196"/>
      <c r="E1141" s="196"/>
      <c r="F1141" s="196"/>
      <c r="G1141" s="152"/>
      <c r="H1141" s="152"/>
      <c r="I1141" s="196"/>
      <c r="J1141" s="196"/>
      <c r="K1141" s="196"/>
      <c r="L1141" s="259"/>
    </row>
    <row r="1142" ht="22.5" customHeight="1">
      <c r="A1142" s="202"/>
      <c r="B1142" s="273" t="str">
        <f t="shared" si="5"/>
        <v>#REF!</v>
      </c>
      <c r="C1142" s="146"/>
      <c r="D1142" s="197"/>
      <c r="E1142" s="197"/>
      <c r="F1142" s="197"/>
      <c r="G1142" s="144"/>
      <c r="H1142" s="144"/>
      <c r="I1142" s="197"/>
      <c r="J1142" s="197"/>
      <c r="K1142" s="197"/>
      <c r="L1142" s="257"/>
    </row>
    <row r="1143" ht="22.5" customHeight="1">
      <c r="A1143" s="250"/>
      <c r="B1143" s="272" t="str">
        <f t="shared" si="5"/>
        <v>#REF!</v>
      </c>
      <c r="C1143" s="154"/>
      <c r="D1143" s="196"/>
      <c r="E1143" s="196"/>
      <c r="F1143" s="196"/>
      <c r="G1143" s="152"/>
      <c r="H1143" s="152"/>
      <c r="I1143" s="196"/>
      <c r="J1143" s="196"/>
      <c r="K1143" s="196"/>
      <c r="L1143" s="259"/>
    </row>
    <row r="1144" ht="22.5" customHeight="1">
      <c r="A1144" s="202"/>
      <c r="B1144" s="273" t="str">
        <f t="shared" si="5"/>
        <v>#REF!</v>
      </c>
      <c r="C1144" s="146"/>
      <c r="D1144" s="197"/>
      <c r="E1144" s="197"/>
      <c r="F1144" s="197"/>
      <c r="G1144" s="144"/>
      <c r="H1144" s="144"/>
      <c r="I1144" s="197"/>
      <c r="J1144" s="197"/>
      <c r="K1144" s="197"/>
      <c r="L1144" s="257"/>
    </row>
    <row r="1145" ht="22.5" customHeight="1">
      <c r="A1145" s="250"/>
      <c r="B1145" s="272" t="str">
        <f t="shared" si="5"/>
        <v>#REF!</v>
      </c>
      <c r="C1145" s="154"/>
      <c r="D1145" s="196"/>
      <c r="E1145" s="196"/>
      <c r="F1145" s="196"/>
      <c r="G1145" s="152"/>
      <c r="H1145" s="152"/>
      <c r="I1145" s="196"/>
      <c r="J1145" s="196"/>
      <c r="K1145" s="196"/>
      <c r="L1145" s="259"/>
    </row>
    <row r="1146" ht="22.5" customHeight="1">
      <c r="A1146" s="202"/>
      <c r="B1146" s="273" t="str">
        <f t="shared" si="5"/>
        <v>#REF!</v>
      </c>
      <c r="C1146" s="146"/>
      <c r="D1146" s="197"/>
      <c r="E1146" s="197"/>
      <c r="F1146" s="197"/>
      <c r="G1146" s="144"/>
      <c r="H1146" s="144"/>
      <c r="I1146" s="197"/>
      <c r="J1146" s="197"/>
      <c r="K1146" s="197"/>
      <c r="L1146" s="257"/>
    </row>
    <row r="1147" ht="22.5" customHeight="1">
      <c r="A1147" s="250"/>
      <c r="B1147" s="272" t="str">
        <f t="shared" si="5"/>
        <v>#REF!</v>
      </c>
      <c r="C1147" s="154"/>
      <c r="D1147" s="196"/>
      <c r="E1147" s="196"/>
      <c r="F1147" s="196"/>
      <c r="G1147" s="152"/>
      <c r="H1147" s="152"/>
      <c r="I1147" s="196"/>
      <c r="J1147" s="196"/>
      <c r="K1147" s="196"/>
      <c r="L1147" s="259"/>
    </row>
    <row r="1148" ht="22.5" customHeight="1">
      <c r="A1148" s="202"/>
      <c r="B1148" s="273" t="str">
        <f t="shared" si="5"/>
        <v>#REF!</v>
      </c>
      <c r="C1148" s="146"/>
      <c r="D1148" s="197"/>
      <c r="E1148" s="197"/>
      <c r="F1148" s="197"/>
      <c r="G1148" s="144"/>
      <c r="H1148" s="144"/>
      <c r="I1148" s="197"/>
      <c r="J1148" s="197"/>
      <c r="K1148" s="197"/>
      <c r="L1148" s="257"/>
    </row>
    <row r="1149" ht="22.5" customHeight="1">
      <c r="A1149" s="250"/>
      <c r="B1149" s="272" t="str">
        <f t="shared" si="5"/>
        <v>#REF!</v>
      </c>
      <c r="C1149" s="154"/>
      <c r="D1149" s="196"/>
      <c r="E1149" s="196"/>
      <c r="F1149" s="196"/>
      <c r="G1149" s="152"/>
      <c r="H1149" s="152"/>
      <c r="I1149" s="196"/>
      <c r="J1149" s="196"/>
      <c r="K1149" s="196"/>
      <c r="L1149" s="259"/>
    </row>
    <row r="1150" ht="22.5" customHeight="1">
      <c r="A1150" s="202"/>
      <c r="B1150" s="273" t="str">
        <f t="shared" si="5"/>
        <v>#REF!</v>
      </c>
      <c r="C1150" s="146"/>
      <c r="D1150" s="197"/>
      <c r="E1150" s="197"/>
      <c r="F1150" s="197"/>
      <c r="G1150" s="144"/>
      <c r="H1150" s="144"/>
      <c r="I1150" s="197"/>
      <c r="J1150" s="197"/>
      <c r="K1150" s="197"/>
      <c r="L1150" s="257"/>
    </row>
    <row r="1151" ht="22.5" customHeight="1">
      <c r="A1151" s="250"/>
      <c r="B1151" s="272" t="str">
        <f t="shared" si="5"/>
        <v>#REF!</v>
      </c>
      <c r="C1151" s="154"/>
      <c r="D1151" s="196"/>
      <c r="E1151" s="196"/>
      <c r="F1151" s="196"/>
      <c r="G1151" s="152"/>
      <c r="H1151" s="152"/>
      <c r="I1151" s="196"/>
      <c r="J1151" s="196"/>
      <c r="K1151" s="196"/>
      <c r="L1151" s="259"/>
    </row>
    <row r="1152" ht="22.5" customHeight="1">
      <c r="A1152" s="202"/>
      <c r="B1152" s="273" t="str">
        <f t="shared" si="5"/>
        <v>#REF!</v>
      </c>
      <c r="C1152" s="146"/>
      <c r="D1152" s="197"/>
      <c r="E1152" s="197"/>
      <c r="F1152" s="197"/>
      <c r="G1152" s="144"/>
      <c r="H1152" s="144"/>
      <c r="I1152" s="197"/>
      <c r="J1152" s="197"/>
      <c r="K1152" s="197"/>
      <c r="L1152" s="257"/>
    </row>
    <row r="1153" ht="22.5" customHeight="1">
      <c r="A1153" s="250"/>
      <c r="B1153" s="272" t="str">
        <f t="shared" si="5"/>
        <v>#REF!</v>
      </c>
      <c r="C1153" s="154"/>
      <c r="D1153" s="196"/>
      <c r="E1153" s="196"/>
      <c r="F1153" s="196"/>
      <c r="G1153" s="152"/>
      <c r="H1153" s="152"/>
      <c r="I1153" s="196"/>
      <c r="J1153" s="196"/>
      <c r="K1153" s="196"/>
      <c r="L1153" s="259"/>
    </row>
    <row r="1154" ht="22.5" customHeight="1">
      <c r="A1154" s="202"/>
      <c r="B1154" s="273" t="str">
        <f t="shared" si="5"/>
        <v>#REF!</v>
      </c>
      <c r="C1154" s="146"/>
      <c r="D1154" s="197"/>
      <c r="E1154" s="197"/>
      <c r="F1154" s="197"/>
      <c r="G1154" s="144"/>
      <c r="H1154" s="144"/>
      <c r="I1154" s="197"/>
      <c r="J1154" s="197"/>
      <c r="K1154" s="197"/>
      <c r="L1154" s="257"/>
    </row>
    <row r="1155" ht="22.5" customHeight="1">
      <c r="A1155" s="250"/>
      <c r="B1155" s="272" t="str">
        <f t="shared" si="5"/>
        <v>#REF!</v>
      </c>
      <c r="C1155" s="154"/>
      <c r="D1155" s="196"/>
      <c r="E1155" s="196"/>
      <c r="F1155" s="196"/>
      <c r="G1155" s="152"/>
      <c r="H1155" s="152"/>
      <c r="I1155" s="196"/>
      <c r="J1155" s="196"/>
      <c r="K1155" s="196"/>
      <c r="L1155" s="259"/>
    </row>
    <row r="1156" ht="22.5" customHeight="1">
      <c r="A1156" s="202"/>
      <c r="B1156" s="273" t="str">
        <f t="shared" si="5"/>
        <v>#REF!</v>
      </c>
      <c r="C1156" s="146"/>
      <c r="D1156" s="197"/>
      <c r="E1156" s="197"/>
      <c r="F1156" s="197"/>
      <c r="G1156" s="144"/>
      <c r="H1156" s="144"/>
      <c r="I1156" s="197"/>
      <c r="J1156" s="197"/>
      <c r="K1156" s="197"/>
      <c r="L1156" s="257"/>
    </row>
    <row r="1157" ht="22.5" customHeight="1">
      <c r="A1157" s="250"/>
      <c r="B1157" s="272" t="str">
        <f t="shared" si="5"/>
        <v>#REF!</v>
      </c>
      <c r="C1157" s="154"/>
      <c r="D1157" s="196"/>
      <c r="E1157" s="196"/>
      <c r="F1157" s="196"/>
      <c r="G1157" s="152"/>
      <c r="H1157" s="152"/>
      <c r="I1157" s="196"/>
      <c r="J1157" s="196"/>
      <c r="K1157" s="196"/>
      <c r="L1157" s="259"/>
    </row>
    <row r="1158" ht="22.5" customHeight="1">
      <c r="A1158" s="202"/>
      <c r="B1158" s="273" t="str">
        <f t="shared" si="5"/>
        <v>#REF!</v>
      </c>
      <c r="C1158" s="146"/>
      <c r="D1158" s="197"/>
      <c r="E1158" s="197"/>
      <c r="F1158" s="197"/>
      <c r="G1158" s="144"/>
      <c r="H1158" s="144"/>
      <c r="I1158" s="197"/>
      <c r="J1158" s="197"/>
      <c r="K1158" s="197"/>
      <c r="L1158" s="257"/>
    </row>
    <row r="1159" ht="22.5" customHeight="1">
      <c r="A1159" s="250"/>
      <c r="B1159" s="272" t="str">
        <f t="shared" si="5"/>
        <v>#REF!</v>
      </c>
      <c r="C1159" s="154"/>
      <c r="D1159" s="196"/>
      <c r="E1159" s="196"/>
      <c r="F1159" s="196"/>
      <c r="G1159" s="152"/>
      <c r="H1159" s="152"/>
      <c r="I1159" s="196"/>
      <c r="J1159" s="196"/>
      <c r="K1159" s="196"/>
      <c r="L1159" s="259"/>
    </row>
    <row r="1160" ht="22.5" customHeight="1">
      <c r="A1160" s="202"/>
      <c r="B1160" s="273" t="str">
        <f t="shared" si="5"/>
        <v>#REF!</v>
      </c>
      <c r="C1160" s="146"/>
      <c r="D1160" s="197"/>
      <c r="E1160" s="197"/>
      <c r="F1160" s="197"/>
      <c r="G1160" s="144"/>
      <c r="H1160" s="144"/>
      <c r="I1160" s="197"/>
      <c r="J1160" s="197"/>
      <c r="K1160" s="197"/>
      <c r="L1160" s="257"/>
    </row>
    <row r="1161" ht="22.5" customHeight="1">
      <c r="A1161" s="250"/>
      <c r="B1161" s="272" t="str">
        <f t="shared" si="5"/>
        <v>#REF!</v>
      </c>
      <c r="C1161" s="154"/>
      <c r="D1161" s="196"/>
      <c r="E1161" s="196"/>
      <c r="F1161" s="196"/>
      <c r="G1161" s="152"/>
      <c r="H1161" s="152"/>
      <c r="I1161" s="196"/>
      <c r="J1161" s="196"/>
      <c r="K1161" s="196"/>
      <c r="L1161" s="259"/>
    </row>
    <row r="1162" ht="22.5" customHeight="1">
      <c r="A1162" s="202"/>
      <c r="B1162" s="273" t="str">
        <f t="shared" si="5"/>
        <v>#REF!</v>
      </c>
      <c r="C1162" s="146"/>
      <c r="D1162" s="197"/>
      <c r="E1162" s="197"/>
      <c r="F1162" s="197"/>
      <c r="G1162" s="144"/>
      <c r="H1162" s="144"/>
      <c r="I1162" s="197"/>
      <c r="J1162" s="197"/>
      <c r="K1162" s="197"/>
      <c r="L1162" s="257"/>
    </row>
    <row r="1163" ht="22.5" customHeight="1">
      <c r="A1163" s="250"/>
      <c r="B1163" s="272" t="str">
        <f t="shared" si="5"/>
        <v>#REF!</v>
      </c>
      <c r="C1163" s="154"/>
      <c r="D1163" s="196"/>
      <c r="E1163" s="196"/>
      <c r="F1163" s="196"/>
      <c r="G1163" s="152"/>
      <c r="H1163" s="152"/>
      <c r="I1163" s="196"/>
      <c r="J1163" s="196"/>
      <c r="K1163" s="196"/>
      <c r="L1163" s="259"/>
    </row>
    <row r="1164" ht="22.5" customHeight="1">
      <c r="A1164" s="202"/>
      <c r="B1164" s="273" t="str">
        <f t="shared" si="5"/>
        <v>#REF!</v>
      </c>
      <c r="C1164" s="146"/>
      <c r="D1164" s="197"/>
      <c r="E1164" s="197"/>
      <c r="F1164" s="197"/>
      <c r="G1164" s="144"/>
      <c r="H1164" s="144"/>
      <c r="I1164" s="197"/>
      <c r="J1164" s="197"/>
      <c r="K1164" s="197"/>
      <c r="L1164" s="257"/>
    </row>
    <row r="1165" ht="22.5" customHeight="1">
      <c r="A1165" s="250"/>
      <c r="B1165" s="272" t="str">
        <f t="shared" si="5"/>
        <v>#REF!</v>
      </c>
      <c r="C1165" s="154"/>
      <c r="D1165" s="196"/>
      <c r="E1165" s="196"/>
      <c r="F1165" s="196"/>
      <c r="G1165" s="152"/>
      <c r="H1165" s="152"/>
      <c r="I1165" s="196"/>
      <c r="J1165" s="196"/>
      <c r="K1165" s="196"/>
      <c r="L1165" s="259"/>
    </row>
    <row r="1166" ht="22.5" customHeight="1">
      <c r="A1166" s="202"/>
      <c r="B1166" s="273" t="str">
        <f t="shared" si="5"/>
        <v>#REF!</v>
      </c>
      <c r="C1166" s="146"/>
      <c r="D1166" s="197"/>
      <c r="E1166" s="197"/>
      <c r="F1166" s="197"/>
      <c r="G1166" s="144"/>
      <c r="H1166" s="144"/>
      <c r="I1166" s="197"/>
      <c r="J1166" s="197"/>
      <c r="K1166" s="197"/>
      <c r="L1166" s="257"/>
    </row>
    <row r="1167" ht="22.5" customHeight="1">
      <c r="A1167" s="250"/>
      <c r="B1167" s="272" t="str">
        <f t="shared" si="5"/>
        <v>#REF!</v>
      </c>
      <c r="C1167" s="154"/>
      <c r="D1167" s="196"/>
      <c r="E1167" s="196"/>
      <c r="F1167" s="196"/>
      <c r="G1167" s="152"/>
      <c r="H1167" s="152"/>
      <c r="I1167" s="196"/>
      <c r="J1167" s="196"/>
      <c r="K1167" s="196"/>
      <c r="L1167" s="259"/>
    </row>
    <row r="1168" ht="22.5" customHeight="1">
      <c r="A1168" s="202"/>
      <c r="B1168" s="273" t="str">
        <f t="shared" si="5"/>
        <v>#REF!</v>
      </c>
      <c r="C1168" s="146"/>
      <c r="D1168" s="197"/>
      <c r="E1168" s="197"/>
      <c r="F1168" s="197"/>
      <c r="G1168" s="144"/>
      <c r="H1168" s="144"/>
      <c r="I1168" s="197"/>
      <c r="J1168" s="197"/>
      <c r="K1168" s="197"/>
      <c r="L1168" s="257"/>
    </row>
    <row r="1169" ht="22.5" customHeight="1">
      <c r="A1169" s="250"/>
      <c r="B1169" s="272" t="str">
        <f t="shared" si="5"/>
        <v>#REF!</v>
      </c>
      <c r="C1169" s="154"/>
      <c r="D1169" s="196"/>
      <c r="E1169" s="196"/>
      <c r="F1169" s="196"/>
      <c r="G1169" s="152"/>
      <c r="H1169" s="152"/>
      <c r="I1169" s="196"/>
      <c r="J1169" s="196"/>
      <c r="K1169" s="196"/>
      <c r="L1169" s="259"/>
    </row>
    <row r="1170" ht="22.5" customHeight="1">
      <c r="A1170" s="202"/>
      <c r="B1170" s="273" t="str">
        <f t="shared" si="5"/>
        <v>#REF!</v>
      </c>
      <c r="C1170" s="146"/>
      <c r="D1170" s="197"/>
      <c r="E1170" s="197"/>
      <c r="F1170" s="197"/>
      <c r="G1170" s="144"/>
      <c r="H1170" s="144"/>
      <c r="I1170" s="197"/>
      <c r="J1170" s="197"/>
      <c r="K1170" s="197"/>
      <c r="L1170" s="257"/>
    </row>
    <row r="1171" ht="22.5" customHeight="1">
      <c r="A1171" s="250"/>
      <c r="B1171" s="272" t="str">
        <f t="shared" si="5"/>
        <v>#REF!</v>
      </c>
      <c r="C1171" s="154"/>
      <c r="D1171" s="196"/>
      <c r="E1171" s="196"/>
      <c r="F1171" s="196"/>
      <c r="G1171" s="152"/>
      <c r="H1171" s="152"/>
      <c r="I1171" s="196"/>
      <c r="J1171" s="196"/>
      <c r="K1171" s="196"/>
      <c r="L1171" s="259"/>
    </row>
    <row r="1172" ht="22.5" customHeight="1">
      <c r="A1172" s="202"/>
      <c r="B1172" s="273" t="str">
        <f t="shared" si="5"/>
        <v>#REF!</v>
      </c>
      <c r="C1172" s="146"/>
      <c r="D1172" s="197"/>
      <c r="E1172" s="197"/>
      <c r="F1172" s="197"/>
      <c r="G1172" s="144"/>
      <c r="H1172" s="144"/>
      <c r="I1172" s="197"/>
      <c r="J1172" s="197"/>
      <c r="K1172" s="197"/>
      <c r="L1172" s="257"/>
    </row>
    <row r="1173" ht="22.5" customHeight="1">
      <c r="A1173" s="250"/>
      <c r="B1173" s="272" t="str">
        <f t="shared" si="5"/>
        <v>#REF!</v>
      </c>
      <c r="C1173" s="154"/>
      <c r="D1173" s="196"/>
      <c r="E1173" s="196"/>
      <c r="F1173" s="196"/>
      <c r="G1173" s="152"/>
      <c r="H1173" s="152"/>
      <c r="I1173" s="196"/>
      <c r="J1173" s="196"/>
      <c r="K1173" s="196"/>
      <c r="L1173" s="259"/>
    </row>
    <row r="1174" ht="22.5" customHeight="1">
      <c r="A1174" s="202"/>
      <c r="B1174" s="273" t="str">
        <f t="shared" si="5"/>
        <v>#REF!</v>
      </c>
      <c r="C1174" s="146"/>
      <c r="D1174" s="197"/>
      <c r="E1174" s="197"/>
      <c r="F1174" s="197"/>
      <c r="G1174" s="144"/>
      <c r="H1174" s="144"/>
      <c r="I1174" s="197"/>
      <c r="J1174" s="197"/>
      <c r="K1174" s="197"/>
      <c r="L1174" s="257"/>
    </row>
    <row r="1175" ht="22.5" customHeight="1">
      <c r="A1175" s="250"/>
      <c r="B1175" s="272" t="str">
        <f t="shared" si="5"/>
        <v>#REF!</v>
      </c>
      <c r="C1175" s="154"/>
      <c r="D1175" s="196"/>
      <c r="E1175" s="196"/>
      <c r="F1175" s="196"/>
      <c r="G1175" s="152"/>
      <c r="H1175" s="152"/>
      <c r="I1175" s="196"/>
      <c r="J1175" s="196"/>
      <c r="K1175" s="196"/>
      <c r="L1175" s="259"/>
    </row>
    <row r="1176" ht="22.5" customHeight="1">
      <c r="A1176" s="202"/>
      <c r="B1176" s="273" t="str">
        <f t="shared" si="5"/>
        <v>#REF!</v>
      </c>
      <c r="C1176" s="146"/>
      <c r="D1176" s="197"/>
      <c r="E1176" s="197"/>
      <c r="F1176" s="197"/>
      <c r="G1176" s="144"/>
      <c r="H1176" s="144"/>
      <c r="I1176" s="197"/>
      <c r="J1176" s="197"/>
      <c r="K1176" s="197"/>
      <c r="L1176" s="257"/>
    </row>
    <row r="1177" ht="22.5" customHeight="1">
      <c r="A1177" s="250"/>
      <c r="B1177" s="272" t="str">
        <f t="shared" si="5"/>
        <v>#REF!</v>
      </c>
      <c r="C1177" s="154"/>
      <c r="D1177" s="196"/>
      <c r="E1177" s="196"/>
      <c r="F1177" s="196"/>
      <c r="G1177" s="152"/>
      <c r="H1177" s="152"/>
      <c r="I1177" s="196"/>
      <c r="J1177" s="196"/>
      <c r="K1177" s="196"/>
      <c r="L1177" s="259"/>
    </row>
    <row r="1178" ht="22.5" customHeight="1">
      <c r="A1178" s="202"/>
      <c r="B1178" s="273" t="str">
        <f t="shared" si="5"/>
        <v>#REF!</v>
      </c>
      <c r="C1178" s="146"/>
      <c r="D1178" s="197"/>
      <c r="E1178" s="197"/>
      <c r="F1178" s="197"/>
      <c r="G1178" s="144"/>
      <c r="H1178" s="144"/>
      <c r="I1178" s="197"/>
      <c r="J1178" s="197"/>
      <c r="K1178" s="197"/>
      <c r="L1178" s="257"/>
    </row>
    <row r="1179" ht="22.5" customHeight="1">
      <c r="A1179" s="250"/>
      <c r="B1179" s="272" t="str">
        <f t="shared" si="5"/>
        <v>#REF!</v>
      </c>
      <c r="C1179" s="154"/>
      <c r="D1179" s="196"/>
      <c r="E1179" s="196"/>
      <c r="F1179" s="196"/>
      <c r="G1179" s="152"/>
      <c r="H1179" s="152"/>
      <c r="I1179" s="196"/>
      <c r="J1179" s="196"/>
      <c r="K1179" s="196"/>
      <c r="L1179" s="259"/>
    </row>
    <row r="1180" ht="22.5" customHeight="1">
      <c r="A1180" s="202"/>
      <c r="B1180" s="273" t="str">
        <f t="shared" si="5"/>
        <v>#REF!</v>
      </c>
      <c r="C1180" s="146"/>
      <c r="D1180" s="197"/>
      <c r="E1180" s="197"/>
      <c r="F1180" s="197"/>
      <c r="G1180" s="144"/>
      <c r="H1180" s="144"/>
      <c r="I1180" s="197"/>
      <c r="J1180" s="197"/>
      <c r="K1180" s="197"/>
      <c r="L1180" s="257"/>
    </row>
    <row r="1181" ht="22.5" customHeight="1">
      <c r="A1181" s="250"/>
      <c r="B1181" s="272" t="str">
        <f t="shared" si="5"/>
        <v>#REF!</v>
      </c>
      <c r="C1181" s="154"/>
      <c r="D1181" s="196"/>
      <c r="E1181" s="196"/>
      <c r="F1181" s="196"/>
      <c r="G1181" s="152"/>
      <c r="H1181" s="152"/>
      <c r="I1181" s="196"/>
      <c r="J1181" s="196"/>
      <c r="K1181" s="196"/>
      <c r="L1181" s="259"/>
    </row>
    <row r="1182" ht="22.5" customHeight="1">
      <c r="A1182" s="202"/>
      <c r="B1182" s="273" t="str">
        <f t="shared" si="5"/>
        <v>#REF!</v>
      </c>
      <c r="C1182" s="146"/>
      <c r="D1182" s="197"/>
      <c r="E1182" s="197"/>
      <c r="F1182" s="197"/>
      <c r="G1182" s="144"/>
      <c r="H1182" s="144"/>
      <c r="I1182" s="197"/>
      <c r="J1182" s="197"/>
      <c r="K1182" s="197"/>
      <c r="L1182" s="257"/>
    </row>
    <row r="1183" ht="22.5" customHeight="1">
      <c r="A1183" s="250"/>
      <c r="B1183" s="272" t="str">
        <f t="shared" si="5"/>
        <v>#REF!</v>
      </c>
      <c r="C1183" s="154"/>
      <c r="D1183" s="196"/>
      <c r="E1183" s="196"/>
      <c r="F1183" s="196"/>
      <c r="G1183" s="152"/>
      <c r="H1183" s="152"/>
      <c r="I1183" s="196"/>
      <c r="J1183" s="196"/>
      <c r="K1183" s="196"/>
      <c r="L1183" s="259"/>
    </row>
    <row r="1184" ht="22.5" customHeight="1">
      <c r="A1184" s="202"/>
      <c r="B1184" s="273" t="str">
        <f t="shared" si="5"/>
        <v>#REF!</v>
      </c>
      <c r="C1184" s="146"/>
      <c r="D1184" s="197"/>
      <c r="E1184" s="197"/>
      <c r="F1184" s="197"/>
      <c r="G1184" s="144"/>
      <c r="H1184" s="144"/>
      <c r="I1184" s="197"/>
      <c r="J1184" s="197"/>
      <c r="K1184" s="197"/>
      <c r="L1184" s="257"/>
    </row>
    <row r="1185" ht="22.5" customHeight="1">
      <c r="A1185" s="250"/>
      <c r="B1185" s="272" t="str">
        <f t="shared" si="5"/>
        <v>#REF!</v>
      </c>
      <c r="C1185" s="154"/>
      <c r="D1185" s="196"/>
      <c r="E1185" s="196"/>
      <c r="F1185" s="196"/>
      <c r="G1185" s="152"/>
      <c r="H1185" s="152"/>
      <c r="I1185" s="196"/>
      <c r="J1185" s="196"/>
      <c r="K1185" s="196"/>
      <c r="L1185" s="259"/>
    </row>
    <row r="1186" ht="22.5" customHeight="1">
      <c r="A1186" s="202"/>
      <c r="B1186" s="273" t="str">
        <f t="shared" si="5"/>
        <v>#REF!</v>
      </c>
      <c r="C1186" s="146"/>
      <c r="D1186" s="197"/>
      <c r="E1186" s="197"/>
      <c r="F1186" s="197"/>
      <c r="G1186" s="144"/>
      <c r="H1186" s="144"/>
      <c r="I1186" s="197"/>
      <c r="J1186" s="197"/>
      <c r="K1186" s="197"/>
      <c r="L1186" s="257"/>
    </row>
    <row r="1187" ht="22.5" customHeight="1">
      <c r="A1187" s="250"/>
      <c r="B1187" s="272" t="str">
        <f t="shared" si="5"/>
        <v>#REF!</v>
      </c>
      <c r="C1187" s="154"/>
      <c r="D1187" s="196"/>
      <c r="E1187" s="196"/>
      <c r="F1187" s="196"/>
      <c r="G1187" s="152"/>
      <c r="H1187" s="152"/>
      <c r="I1187" s="196"/>
      <c r="J1187" s="196"/>
      <c r="K1187" s="196"/>
      <c r="L1187" s="259"/>
    </row>
    <row r="1188" ht="22.5" customHeight="1">
      <c r="A1188" s="202"/>
      <c r="B1188" s="273" t="str">
        <f t="shared" si="5"/>
        <v>#REF!</v>
      </c>
      <c r="C1188" s="146"/>
      <c r="D1188" s="197"/>
      <c r="E1188" s="197"/>
      <c r="F1188" s="197"/>
      <c r="G1188" s="144"/>
      <c r="H1188" s="144"/>
      <c r="I1188" s="197"/>
      <c r="J1188" s="197"/>
      <c r="K1188" s="197"/>
      <c r="L1188" s="257"/>
    </row>
    <row r="1189" ht="22.5" customHeight="1">
      <c r="A1189" s="250"/>
      <c r="B1189" s="272" t="str">
        <f t="shared" si="5"/>
        <v>#REF!</v>
      </c>
      <c r="C1189" s="154"/>
      <c r="D1189" s="196"/>
      <c r="E1189" s="196"/>
      <c r="F1189" s="196"/>
      <c r="G1189" s="152"/>
      <c r="H1189" s="152"/>
      <c r="I1189" s="196"/>
      <c r="J1189" s="196"/>
      <c r="K1189" s="196"/>
      <c r="L1189" s="259"/>
    </row>
    <row r="1190" ht="22.5" customHeight="1">
      <c r="A1190" s="202"/>
      <c r="B1190" s="273" t="str">
        <f t="shared" si="5"/>
        <v>#REF!</v>
      </c>
      <c r="C1190" s="146"/>
      <c r="D1190" s="197"/>
      <c r="E1190" s="197"/>
      <c r="F1190" s="197"/>
      <c r="G1190" s="144"/>
      <c r="H1190" s="144"/>
      <c r="I1190" s="197"/>
      <c r="J1190" s="197"/>
      <c r="K1190" s="197"/>
      <c r="L1190" s="257"/>
    </row>
    <row r="1191" ht="22.5" customHeight="1">
      <c r="A1191" s="250"/>
      <c r="B1191" s="272" t="str">
        <f t="shared" si="5"/>
        <v>#REF!</v>
      </c>
      <c r="C1191" s="154"/>
      <c r="D1191" s="196"/>
      <c r="E1191" s="196"/>
      <c r="F1191" s="196"/>
      <c r="G1191" s="152"/>
      <c r="H1191" s="152"/>
      <c r="I1191" s="196"/>
      <c r="J1191" s="196"/>
      <c r="K1191" s="196"/>
      <c r="L1191" s="259"/>
    </row>
    <row r="1192" ht="22.5" customHeight="1">
      <c r="A1192" s="202"/>
      <c r="B1192" s="273" t="str">
        <f t="shared" si="5"/>
        <v>#REF!</v>
      </c>
      <c r="C1192" s="146"/>
      <c r="D1192" s="197"/>
      <c r="E1192" s="197"/>
      <c r="F1192" s="197"/>
      <c r="G1192" s="144"/>
      <c r="H1192" s="144"/>
      <c r="I1192" s="197"/>
      <c r="J1192" s="197"/>
      <c r="K1192" s="197"/>
      <c r="L1192" s="257"/>
    </row>
    <row r="1193" ht="22.5" customHeight="1">
      <c r="A1193" s="250"/>
      <c r="B1193" s="272" t="str">
        <f t="shared" si="5"/>
        <v>#REF!</v>
      </c>
      <c r="C1193" s="154"/>
      <c r="D1193" s="196"/>
      <c r="E1193" s="196"/>
      <c r="F1193" s="196"/>
      <c r="G1193" s="152"/>
      <c r="H1193" s="152"/>
      <c r="I1193" s="196"/>
      <c r="J1193" s="196"/>
      <c r="K1193" s="196"/>
      <c r="L1193" s="259"/>
    </row>
    <row r="1194" ht="22.5" customHeight="1">
      <c r="A1194" s="202"/>
      <c r="B1194" s="273" t="str">
        <f t="shared" si="5"/>
        <v>#REF!</v>
      </c>
      <c r="C1194" s="146"/>
      <c r="D1194" s="197"/>
      <c r="E1194" s="197"/>
      <c r="F1194" s="197"/>
      <c r="G1194" s="144"/>
      <c r="H1194" s="144"/>
      <c r="I1194" s="197"/>
      <c r="J1194" s="197"/>
      <c r="K1194" s="197"/>
      <c r="L1194" s="257"/>
    </row>
    <row r="1195" ht="22.5" customHeight="1">
      <c r="A1195" s="250"/>
      <c r="B1195" s="272" t="str">
        <f t="shared" si="5"/>
        <v>#REF!</v>
      </c>
      <c r="C1195" s="154"/>
      <c r="D1195" s="196"/>
      <c r="E1195" s="196"/>
      <c r="F1195" s="196"/>
      <c r="G1195" s="152"/>
      <c r="H1195" s="152"/>
      <c r="I1195" s="196"/>
      <c r="J1195" s="196"/>
      <c r="K1195" s="196"/>
      <c r="L1195" s="259"/>
    </row>
    <row r="1196" ht="22.5" customHeight="1">
      <c r="A1196" s="202"/>
      <c r="B1196" s="273" t="str">
        <f t="shared" si="5"/>
        <v>#REF!</v>
      </c>
      <c r="C1196" s="146"/>
      <c r="D1196" s="197"/>
      <c r="E1196" s="197"/>
      <c r="F1196" s="197"/>
      <c r="G1196" s="144"/>
      <c r="H1196" s="144"/>
      <c r="I1196" s="197"/>
      <c r="J1196" s="197"/>
      <c r="K1196" s="197"/>
      <c r="L1196" s="257"/>
    </row>
    <row r="1197" ht="22.5" customHeight="1">
      <c r="A1197" s="250"/>
      <c r="B1197" s="272" t="str">
        <f t="shared" si="5"/>
        <v>#REF!</v>
      </c>
      <c r="C1197" s="154"/>
      <c r="D1197" s="196"/>
      <c r="E1197" s="196"/>
      <c r="F1197" s="196"/>
      <c r="G1197" s="152"/>
      <c r="H1197" s="152"/>
      <c r="I1197" s="196"/>
      <c r="J1197" s="196"/>
      <c r="K1197" s="196"/>
      <c r="L1197" s="259"/>
    </row>
    <row r="1198" ht="22.5" customHeight="1">
      <c r="A1198" s="202"/>
      <c r="B1198" s="273" t="str">
        <f t="shared" si="5"/>
        <v>#REF!</v>
      </c>
      <c r="C1198" s="146"/>
      <c r="D1198" s="197"/>
      <c r="E1198" s="197"/>
      <c r="F1198" s="197"/>
      <c r="G1198" s="144"/>
      <c r="H1198" s="144"/>
      <c r="I1198" s="197"/>
      <c r="J1198" s="197"/>
      <c r="K1198" s="197"/>
      <c r="L1198" s="257"/>
    </row>
    <row r="1199" ht="22.5" customHeight="1">
      <c r="A1199" s="250"/>
      <c r="B1199" s="272" t="str">
        <f t="shared" si="5"/>
        <v>#REF!</v>
      </c>
      <c r="C1199" s="154"/>
      <c r="D1199" s="196"/>
      <c r="E1199" s="196"/>
      <c r="F1199" s="196"/>
      <c r="G1199" s="152"/>
      <c r="H1199" s="152"/>
      <c r="I1199" s="196"/>
      <c r="J1199" s="196"/>
      <c r="K1199" s="196"/>
      <c r="L1199" s="259"/>
    </row>
    <row r="1200" ht="22.5" customHeight="1">
      <c r="A1200" s="202"/>
      <c r="B1200" s="273" t="str">
        <f t="shared" si="5"/>
        <v>#REF!</v>
      </c>
      <c r="C1200" s="146"/>
      <c r="D1200" s="197"/>
      <c r="E1200" s="197"/>
      <c r="F1200" s="197"/>
      <c r="G1200" s="144"/>
      <c r="H1200" s="144"/>
      <c r="I1200" s="197"/>
      <c r="J1200" s="197"/>
      <c r="K1200" s="197"/>
      <c r="L1200" s="257"/>
    </row>
    <row r="1201" ht="22.5" customHeight="1">
      <c r="A1201" s="250"/>
      <c r="B1201" s="272" t="str">
        <f t="shared" si="5"/>
        <v>#REF!</v>
      </c>
      <c r="C1201" s="154"/>
      <c r="D1201" s="196"/>
      <c r="E1201" s="196"/>
      <c r="F1201" s="196"/>
      <c r="G1201" s="152"/>
      <c r="H1201" s="152"/>
      <c r="I1201" s="196"/>
      <c r="J1201" s="196"/>
      <c r="K1201" s="196"/>
      <c r="L1201" s="259"/>
    </row>
    <row r="1202" ht="22.5" customHeight="1">
      <c r="A1202" s="202"/>
      <c r="B1202" s="273" t="str">
        <f t="shared" si="5"/>
        <v>#REF!</v>
      </c>
      <c r="C1202" s="146"/>
      <c r="D1202" s="197"/>
      <c r="E1202" s="197"/>
      <c r="F1202" s="197"/>
      <c r="G1202" s="144"/>
      <c r="H1202" s="144"/>
      <c r="I1202" s="197"/>
      <c r="J1202" s="197"/>
      <c r="K1202" s="197"/>
      <c r="L1202" s="257"/>
    </row>
    <row r="1203" ht="22.5" customHeight="1">
      <c r="A1203" s="250"/>
      <c r="B1203" s="272" t="str">
        <f t="shared" si="5"/>
        <v>#REF!</v>
      </c>
      <c r="C1203" s="154"/>
      <c r="D1203" s="196"/>
      <c r="E1203" s="196"/>
      <c r="F1203" s="196"/>
      <c r="G1203" s="152"/>
      <c r="H1203" s="152"/>
      <c r="I1203" s="196"/>
      <c r="J1203" s="196"/>
      <c r="K1203" s="196"/>
      <c r="L1203" s="259"/>
    </row>
    <row r="1204" ht="22.5" customHeight="1">
      <c r="A1204" s="202"/>
      <c r="B1204" s="273" t="str">
        <f t="shared" si="5"/>
        <v>#REF!</v>
      </c>
      <c r="C1204" s="146"/>
      <c r="D1204" s="197"/>
      <c r="E1204" s="197"/>
      <c r="F1204" s="197"/>
      <c r="G1204" s="144"/>
      <c r="H1204" s="144"/>
      <c r="I1204" s="197"/>
      <c r="J1204" s="197"/>
      <c r="K1204" s="197"/>
      <c r="L1204" s="257"/>
    </row>
    <row r="1205" ht="22.5" customHeight="1">
      <c r="A1205" s="250"/>
      <c r="B1205" s="272" t="str">
        <f t="shared" si="5"/>
        <v>#REF!</v>
      </c>
      <c r="C1205" s="154"/>
      <c r="D1205" s="196"/>
      <c r="E1205" s="196"/>
      <c r="F1205" s="196"/>
      <c r="G1205" s="152"/>
      <c r="H1205" s="152"/>
      <c r="I1205" s="196"/>
      <c r="J1205" s="196"/>
      <c r="K1205" s="196"/>
      <c r="L1205" s="259"/>
    </row>
    <row r="1206" ht="22.5" customHeight="1">
      <c r="A1206" s="202"/>
      <c r="B1206" s="273" t="str">
        <f t="shared" si="5"/>
        <v>#REF!</v>
      </c>
      <c r="C1206" s="146"/>
      <c r="D1206" s="197"/>
      <c r="E1206" s="197"/>
      <c r="F1206" s="197"/>
      <c r="G1206" s="144"/>
      <c r="H1206" s="144"/>
      <c r="I1206" s="197"/>
      <c r="J1206" s="197"/>
      <c r="K1206" s="197"/>
      <c r="L1206" s="257"/>
    </row>
    <row r="1207" ht="22.5" customHeight="1">
      <c r="A1207" s="250"/>
      <c r="B1207" s="272" t="str">
        <f t="shared" si="5"/>
        <v>#REF!</v>
      </c>
      <c r="C1207" s="154"/>
      <c r="D1207" s="196"/>
      <c r="E1207" s="196"/>
      <c r="F1207" s="196"/>
      <c r="G1207" s="152"/>
      <c r="H1207" s="152"/>
      <c r="I1207" s="196"/>
      <c r="J1207" s="196"/>
      <c r="K1207" s="196"/>
      <c r="L1207" s="259"/>
    </row>
    <row r="1208" ht="22.5" customHeight="1">
      <c r="A1208" s="202"/>
      <c r="B1208" s="273" t="str">
        <f t="shared" si="5"/>
        <v>#REF!</v>
      </c>
      <c r="C1208" s="146"/>
      <c r="D1208" s="197"/>
      <c r="E1208" s="197"/>
      <c r="F1208" s="197"/>
      <c r="G1208" s="144"/>
      <c r="H1208" s="144"/>
      <c r="I1208" s="197"/>
      <c r="J1208" s="197"/>
      <c r="K1208" s="197"/>
      <c r="L1208" s="257"/>
    </row>
    <row r="1209" ht="22.5" customHeight="1">
      <c r="A1209" s="250"/>
      <c r="B1209" s="272" t="str">
        <f t="shared" si="5"/>
        <v>#REF!</v>
      </c>
      <c r="C1209" s="154"/>
      <c r="D1209" s="196"/>
      <c r="E1209" s="196"/>
      <c r="F1209" s="196"/>
      <c r="G1209" s="152"/>
      <c r="H1209" s="152"/>
      <c r="I1209" s="196"/>
      <c r="J1209" s="196"/>
      <c r="K1209" s="196"/>
      <c r="L1209" s="259"/>
    </row>
    <row r="1210" ht="22.5" customHeight="1">
      <c r="A1210" s="202"/>
      <c r="B1210" s="273" t="str">
        <f t="shared" si="5"/>
        <v>#REF!</v>
      </c>
      <c r="C1210" s="146"/>
      <c r="D1210" s="197"/>
      <c r="E1210" s="197"/>
      <c r="F1210" s="197"/>
      <c r="G1210" s="144"/>
      <c r="H1210" s="144"/>
      <c r="I1210" s="197"/>
      <c r="J1210" s="197"/>
      <c r="K1210" s="197"/>
      <c r="L1210" s="257"/>
    </row>
    <row r="1211" ht="22.5" customHeight="1">
      <c r="A1211" s="250"/>
      <c r="B1211" s="272" t="str">
        <f t="shared" si="5"/>
        <v>#REF!</v>
      </c>
      <c r="C1211" s="154"/>
      <c r="D1211" s="196"/>
      <c r="E1211" s="196"/>
      <c r="F1211" s="196"/>
      <c r="G1211" s="152"/>
      <c r="H1211" s="152"/>
      <c r="I1211" s="196"/>
      <c r="J1211" s="196"/>
      <c r="K1211" s="196"/>
      <c r="L1211" s="259"/>
    </row>
    <row r="1212" ht="22.5" customHeight="1">
      <c r="A1212" s="202"/>
      <c r="B1212" s="273" t="str">
        <f t="shared" si="5"/>
        <v>#REF!</v>
      </c>
      <c r="C1212" s="146"/>
      <c r="D1212" s="197"/>
      <c r="E1212" s="197"/>
      <c r="F1212" s="197"/>
      <c r="G1212" s="144"/>
      <c r="H1212" s="144"/>
      <c r="I1212" s="197"/>
      <c r="J1212" s="197"/>
      <c r="K1212" s="197"/>
      <c r="L1212" s="257"/>
    </row>
    <row r="1213" ht="22.5" customHeight="1">
      <c r="A1213" s="250"/>
      <c r="B1213" s="272" t="str">
        <f t="shared" si="5"/>
        <v>#REF!</v>
      </c>
      <c r="C1213" s="154"/>
      <c r="D1213" s="196"/>
      <c r="E1213" s="196"/>
      <c r="F1213" s="196"/>
      <c r="G1213" s="152"/>
      <c r="H1213" s="152"/>
      <c r="I1213" s="196"/>
      <c r="J1213" s="196"/>
      <c r="K1213" s="196"/>
      <c r="L1213" s="259"/>
    </row>
    <row r="1214" ht="22.5" customHeight="1">
      <c r="A1214" s="202"/>
      <c r="B1214" s="273" t="str">
        <f t="shared" si="5"/>
        <v>#REF!</v>
      </c>
      <c r="C1214" s="146"/>
      <c r="D1214" s="197"/>
      <c r="E1214" s="197"/>
      <c r="F1214" s="197"/>
      <c r="G1214" s="144"/>
      <c r="H1214" s="144"/>
      <c r="I1214" s="197"/>
      <c r="J1214" s="197"/>
      <c r="K1214" s="197"/>
      <c r="L1214" s="257"/>
    </row>
    <row r="1215" ht="22.5" customHeight="1">
      <c r="A1215" s="250"/>
      <c r="B1215" s="272" t="str">
        <f t="shared" si="5"/>
        <v>#REF!</v>
      </c>
      <c r="C1215" s="154"/>
      <c r="D1215" s="196"/>
      <c r="E1215" s="196"/>
      <c r="F1215" s="196"/>
      <c r="G1215" s="152"/>
      <c r="H1215" s="152"/>
      <c r="I1215" s="196"/>
      <c r="J1215" s="196"/>
      <c r="K1215" s="196"/>
      <c r="L1215" s="259"/>
    </row>
    <row r="1216" ht="22.5" customHeight="1">
      <c r="A1216" s="202"/>
      <c r="B1216" s="273" t="str">
        <f t="shared" si="5"/>
        <v>#REF!</v>
      </c>
      <c r="C1216" s="146"/>
      <c r="D1216" s="197"/>
      <c r="E1216" s="197"/>
      <c r="F1216" s="197"/>
      <c r="G1216" s="144"/>
      <c r="H1216" s="144"/>
      <c r="I1216" s="197"/>
      <c r="J1216" s="197"/>
      <c r="K1216" s="197"/>
      <c r="L1216" s="257"/>
    </row>
    <row r="1217" ht="22.5" customHeight="1">
      <c r="A1217" s="250"/>
      <c r="B1217" s="272" t="str">
        <f t="shared" si="5"/>
        <v>#REF!</v>
      </c>
      <c r="C1217" s="154"/>
      <c r="D1217" s="196"/>
      <c r="E1217" s="196"/>
      <c r="F1217" s="196"/>
      <c r="G1217" s="152"/>
      <c r="H1217" s="152"/>
      <c r="I1217" s="196"/>
      <c r="J1217" s="196"/>
      <c r="K1217" s="196"/>
      <c r="L1217" s="259"/>
    </row>
    <row r="1218" ht="22.5" customHeight="1">
      <c r="A1218" s="202"/>
      <c r="B1218" s="273" t="str">
        <f t="shared" si="5"/>
        <v>#REF!</v>
      </c>
      <c r="C1218" s="146"/>
      <c r="D1218" s="197"/>
      <c r="E1218" s="197"/>
      <c r="F1218" s="197"/>
      <c r="G1218" s="144"/>
      <c r="H1218" s="144"/>
      <c r="I1218" s="197"/>
      <c r="J1218" s="197"/>
      <c r="K1218" s="197"/>
      <c r="L1218" s="257"/>
    </row>
    <row r="1219" ht="22.5" customHeight="1">
      <c r="A1219" s="250"/>
      <c r="B1219" s="272" t="str">
        <f t="shared" si="5"/>
        <v>#REF!</v>
      </c>
      <c r="C1219" s="154"/>
      <c r="D1219" s="196"/>
      <c r="E1219" s="196"/>
      <c r="F1219" s="196"/>
      <c r="G1219" s="152"/>
      <c r="H1219" s="152"/>
      <c r="I1219" s="196"/>
      <c r="J1219" s="196"/>
      <c r="K1219" s="196"/>
      <c r="L1219" s="259"/>
    </row>
    <row r="1220" ht="22.5" customHeight="1">
      <c r="A1220" s="202"/>
      <c r="B1220" s="273" t="str">
        <f t="shared" si="5"/>
        <v>#REF!</v>
      </c>
      <c r="C1220" s="146"/>
      <c r="D1220" s="197"/>
      <c r="E1220" s="197"/>
      <c r="F1220" s="197"/>
      <c r="G1220" s="144"/>
      <c r="H1220" s="144"/>
      <c r="I1220" s="197"/>
      <c r="J1220" s="197"/>
      <c r="K1220" s="197"/>
      <c r="L1220" s="257"/>
    </row>
    <row r="1221" ht="22.5" customHeight="1">
      <c r="A1221" s="250"/>
      <c r="B1221" s="272" t="str">
        <f t="shared" si="5"/>
        <v>#REF!</v>
      </c>
      <c r="C1221" s="154"/>
      <c r="D1221" s="196"/>
      <c r="E1221" s="196"/>
      <c r="F1221" s="196"/>
      <c r="G1221" s="152"/>
      <c r="H1221" s="152"/>
      <c r="I1221" s="196"/>
      <c r="J1221" s="196"/>
      <c r="K1221" s="196"/>
      <c r="L1221" s="259"/>
    </row>
    <row r="1222" ht="22.5" customHeight="1">
      <c r="A1222" s="202"/>
      <c r="B1222" s="273" t="str">
        <f t="shared" si="5"/>
        <v>#REF!</v>
      </c>
      <c r="C1222" s="146"/>
      <c r="D1222" s="197"/>
      <c r="E1222" s="197"/>
      <c r="F1222" s="197"/>
      <c r="G1222" s="144"/>
      <c r="H1222" s="144"/>
      <c r="I1222" s="197"/>
      <c r="J1222" s="197"/>
      <c r="K1222" s="197"/>
      <c r="L1222" s="257"/>
    </row>
    <row r="1223" ht="22.5" customHeight="1">
      <c r="A1223" s="250"/>
      <c r="B1223" s="272" t="str">
        <f t="shared" si="5"/>
        <v>#REF!</v>
      </c>
      <c r="C1223" s="154"/>
      <c r="D1223" s="196"/>
      <c r="E1223" s="196"/>
      <c r="F1223" s="196"/>
      <c r="G1223" s="152"/>
      <c r="H1223" s="152"/>
      <c r="I1223" s="196"/>
      <c r="J1223" s="196"/>
      <c r="K1223" s="196"/>
      <c r="L1223" s="259"/>
    </row>
    <row r="1224" ht="22.5" customHeight="1">
      <c r="A1224" s="202"/>
      <c r="B1224" s="273" t="str">
        <f t="shared" si="5"/>
        <v>#REF!</v>
      </c>
      <c r="C1224" s="146"/>
      <c r="D1224" s="197"/>
      <c r="E1224" s="197"/>
      <c r="F1224" s="197"/>
      <c r="G1224" s="144"/>
      <c r="H1224" s="144"/>
      <c r="I1224" s="197"/>
      <c r="J1224" s="197"/>
      <c r="K1224" s="197"/>
      <c r="L1224" s="257"/>
    </row>
    <row r="1225" ht="22.5" customHeight="1">
      <c r="A1225" s="250"/>
      <c r="B1225" s="272" t="str">
        <f t="shared" si="5"/>
        <v>#REF!</v>
      </c>
      <c r="C1225" s="154"/>
      <c r="D1225" s="196"/>
      <c r="E1225" s="196"/>
      <c r="F1225" s="196"/>
      <c r="G1225" s="152"/>
      <c r="H1225" s="152"/>
      <c r="I1225" s="196"/>
      <c r="J1225" s="196"/>
      <c r="K1225" s="196"/>
      <c r="L1225" s="259"/>
    </row>
    <row r="1226" ht="22.5" customHeight="1">
      <c r="A1226" s="202"/>
      <c r="B1226" s="273" t="str">
        <f t="shared" si="5"/>
        <v>#REF!</v>
      </c>
      <c r="C1226" s="146"/>
      <c r="D1226" s="197"/>
      <c r="E1226" s="197"/>
      <c r="F1226" s="197"/>
      <c r="G1226" s="144"/>
      <c r="H1226" s="144"/>
      <c r="I1226" s="197"/>
      <c r="J1226" s="197"/>
      <c r="K1226" s="197"/>
      <c r="L1226" s="257"/>
    </row>
    <row r="1227" ht="22.5" customHeight="1">
      <c r="A1227" s="250"/>
      <c r="B1227" s="272" t="str">
        <f t="shared" si="5"/>
        <v>#REF!</v>
      </c>
      <c r="C1227" s="154"/>
      <c r="D1227" s="196"/>
      <c r="E1227" s="196"/>
      <c r="F1227" s="196"/>
      <c r="G1227" s="152"/>
      <c r="H1227" s="152"/>
      <c r="I1227" s="196"/>
      <c r="J1227" s="196"/>
      <c r="K1227" s="196"/>
      <c r="L1227" s="259"/>
    </row>
    <row r="1228" ht="22.5" customHeight="1">
      <c r="A1228" s="202"/>
      <c r="B1228" s="273" t="str">
        <f t="shared" si="5"/>
        <v>#REF!</v>
      </c>
      <c r="C1228" s="146"/>
      <c r="D1228" s="197"/>
      <c r="E1228" s="197"/>
      <c r="F1228" s="197"/>
      <c r="G1228" s="144"/>
      <c r="H1228" s="144"/>
      <c r="I1228" s="197"/>
      <c r="J1228" s="197"/>
      <c r="K1228" s="197"/>
      <c r="L1228" s="257"/>
    </row>
    <row r="1229" ht="22.5" customHeight="1">
      <c r="A1229" s="250"/>
      <c r="B1229" s="272" t="str">
        <f t="shared" si="5"/>
        <v>#REF!</v>
      </c>
      <c r="C1229" s="154"/>
      <c r="D1229" s="196"/>
      <c r="E1229" s="196"/>
      <c r="F1229" s="196"/>
      <c r="G1229" s="152"/>
      <c r="H1229" s="152"/>
      <c r="I1229" s="196"/>
      <c r="J1229" s="196"/>
      <c r="K1229" s="196"/>
      <c r="L1229" s="259"/>
    </row>
    <row r="1230" ht="22.5" customHeight="1">
      <c r="A1230" s="202"/>
      <c r="B1230" s="273" t="str">
        <f t="shared" si="5"/>
        <v>#REF!</v>
      </c>
      <c r="C1230" s="146"/>
      <c r="D1230" s="197"/>
      <c r="E1230" s="197"/>
      <c r="F1230" s="197"/>
      <c r="G1230" s="144"/>
      <c r="H1230" s="144"/>
      <c r="I1230" s="197"/>
      <c r="J1230" s="197"/>
      <c r="K1230" s="197"/>
      <c r="L1230" s="257"/>
    </row>
    <row r="1231" ht="22.5" customHeight="1">
      <c r="A1231" s="250"/>
      <c r="B1231" s="272" t="str">
        <f t="shared" si="5"/>
        <v>#REF!</v>
      </c>
      <c r="C1231" s="154"/>
      <c r="D1231" s="196"/>
      <c r="E1231" s="196"/>
      <c r="F1231" s="196"/>
      <c r="G1231" s="152"/>
      <c r="H1231" s="152"/>
      <c r="I1231" s="196"/>
      <c r="J1231" s="196"/>
      <c r="K1231" s="196"/>
      <c r="L1231" s="259"/>
    </row>
    <row r="1232" ht="22.5" customHeight="1">
      <c r="A1232" s="202"/>
      <c r="B1232" s="273" t="str">
        <f t="shared" si="5"/>
        <v>#REF!</v>
      </c>
      <c r="C1232" s="146"/>
      <c r="D1232" s="197"/>
      <c r="E1232" s="197"/>
      <c r="F1232" s="197"/>
      <c r="G1232" s="144"/>
      <c r="H1232" s="144"/>
      <c r="I1232" s="197"/>
      <c r="J1232" s="197"/>
      <c r="K1232" s="197"/>
      <c r="L1232" s="257"/>
    </row>
    <row r="1233" ht="22.5" customHeight="1">
      <c r="A1233" s="250"/>
      <c r="B1233" s="272" t="str">
        <f t="shared" si="5"/>
        <v>#REF!</v>
      </c>
      <c r="C1233" s="154"/>
      <c r="D1233" s="196"/>
      <c r="E1233" s="196"/>
      <c r="F1233" s="196"/>
      <c r="G1233" s="152"/>
      <c r="H1233" s="152"/>
      <c r="I1233" s="196"/>
      <c r="J1233" s="196"/>
      <c r="K1233" s="196"/>
      <c r="L1233" s="259"/>
    </row>
    <row r="1234" ht="22.5" customHeight="1">
      <c r="A1234" s="202"/>
      <c r="B1234" s="273" t="str">
        <f t="shared" si="5"/>
        <v>#REF!</v>
      </c>
      <c r="C1234" s="146"/>
      <c r="D1234" s="197"/>
      <c r="E1234" s="197"/>
      <c r="F1234" s="197"/>
      <c r="G1234" s="144"/>
      <c r="H1234" s="144"/>
      <c r="I1234" s="197"/>
      <c r="J1234" s="197"/>
      <c r="K1234" s="197"/>
      <c r="L1234" s="257"/>
    </row>
    <row r="1235" ht="22.5" customHeight="1">
      <c r="A1235" s="250"/>
      <c r="B1235" s="272" t="str">
        <f t="shared" si="5"/>
        <v>#REF!</v>
      </c>
      <c r="C1235" s="154"/>
      <c r="D1235" s="196"/>
      <c r="E1235" s="196"/>
      <c r="F1235" s="196"/>
      <c r="G1235" s="152"/>
      <c r="H1235" s="152"/>
      <c r="I1235" s="196"/>
      <c r="J1235" s="196"/>
      <c r="K1235" s="196"/>
      <c r="L1235" s="259"/>
    </row>
    <row r="1236" ht="22.5" customHeight="1">
      <c r="A1236" s="202"/>
      <c r="B1236" s="273" t="str">
        <f t="shared" si="5"/>
        <v>#REF!</v>
      </c>
      <c r="C1236" s="146"/>
      <c r="D1236" s="197"/>
      <c r="E1236" s="197"/>
      <c r="F1236" s="197"/>
      <c r="G1236" s="144"/>
      <c r="H1236" s="144"/>
      <c r="I1236" s="197"/>
      <c r="J1236" s="197"/>
      <c r="K1236" s="197"/>
      <c r="L1236" s="257"/>
    </row>
    <row r="1237" ht="22.5" customHeight="1">
      <c r="A1237" s="250"/>
      <c r="B1237" s="272" t="str">
        <f t="shared" si="5"/>
        <v>#REF!</v>
      </c>
      <c r="C1237" s="154"/>
      <c r="D1237" s="196"/>
      <c r="E1237" s="196"/>
      <c r="F1237" s="196"/>
      <c r="G1237" s="152"/>
      <c r="H1237" s="152"/>
      <c r="I1237" s="196"/>
      <c r="J1237" s="196"/>
      <c r="K1237" s="196"/>
      <c r="L1237" s="259"/>
    </row>
    <row r="1238" ht="22.5" customHeight="1">
      <c r="A1238" s="202"/>
      <c r="B1238" s="273" t="str">
        <f t="shared" si="5"/>
        <v>#REF!</v>
      </c>
      <c r="C1238" s="146"/>
      <c r="D1238" s="197"/>
      <c r="E1238" s="197"/>
      <c r="F1238" s="197"/>
      <c r="G1238" s="144"/>
      <c r="H1238" s="144"/>
      <c r="I1238" s="197"/>
      <c r="J1238" s="197"/>
      <c r="K1238" s="197"/>
      <c r="L1238" s="257"/>
    </row>
    <row r="1239" ht="22.5" customHeight="1">
      <c r="A1239" s="250"/>
      <c r="B1239" s="272" t="str">
        <f t="shared" si="5"/>
        <v>#REF!</v>
      </c>
      <c r="C1239" s="154"/>
      <c r="D1239" s="196"/>
      <c r="E1239" s="196"/>
      <c r="F1239" s="196"/>
      <c r="G1239" s="152"/>
      <c r="H1239" s="152"/>
      <c r="I1239" s="196"/>
      <c r="J1239" s="196"/>
      <c r="K1239" s="196"/>
      <c r="L1239" s="259"/>
    </row>
    <row r="1240" ht="22.5" customHeight="1">
      <c r="A1240" s="202"/>
      <c r="B1240" s="273" t="str">
        <f t="shared" si="5"/>
        <v>#REF!</v>
      </c>
      <c r="C1240" s="146"/>
      <c r="D1240" s="197"/>
      <c r="E1240" s="197"/>
      <c r="F1240" s="197"/>
      <c r="G1240" s="144"/>
      <c r="H1240" s="144"/>
      <c r="I1240" s="197"/>
      <c r="J1240" s="197"/>
      <c r="K1240" s="197"/>
      <c r="L1240" s="257"/>
    </row>
    <row r="1241" ht="22.5" customHeight="1">
      <c r="A1241" s="250"/>
      <c r="B1241" s="272" t="str">
        <f t="shared" si="5"/>
        <v>#REF!</v>
      </c>
      <c r="C1241" s="154"/>
      <c r="D1241" s="196"/>
      <c r="E1241" s="196"/>
      <c r="F1241" s="196"/>
      <c r="G1241" s="152"/>
      <c r="H1241" s="152"/>
      <c r="I1241" s="196"/>
      <c r="J1241" s="196"/>
      <c r="K1241" s="196"/>
      <c r="L1241" s="259"/>
    </row>
    <row r="1242" ht="22.5" customHeight="1">
      <c r="A1242" s="202"/>
      <c r="B1242" s="273" t="str">
        <f t="shared" si="5"/>
        <v>#REF!</v>
      </c>
      <c r="C1242" s="146"/>
      <c r="D1242" s="197"/>
      <c r="E1242" s="197"/>
      <c r="F1242" s="197"/>
      <c r="G1242" s="144"/>
      <c r="H1242" s="144"/>
      <c r="I1242" s="197"/>
      <c r="J1242" s="197"/>
      <c r="K1242" s="197"/>
      <c r="L1242" s="257"/>
    </row>
    <row r="1243" ht="22.5" customHeight="1">
      <c r="A1243" s="250"/>
      <c r="B1243" s="272" t="str">
        <f t="shared" si="5"/>
        <v>#REF!</v>
      </c>
      <c r="C1243" s="154"/>
      <c r="D1243" s="196"/>
      <c r="E1243" s="196"/>
      <c r="F1243" s="196"/>
      <c r="G1243" s="152"/>
      <c r="H1243" s="152"/>
      <c r="I1243" s="196"/>
      <c r="J1243" s="196"/>
      <c r="K1243" s="196"/>
      <c r="L1243" s="259"/>
    </row>
    <row r="1244" ht="22.5" customHeight="1">
      <c r="A1244" s="202"/>
      <c r="B1244" s="273" t="str">
        <f t="shared" si="5"/>
        <v>#REF!</v>
      </c>
      <c r="C1244" s="146"/>
      <c r="D1244" s="197"/>
      <c r="E1244" s="197"/>
      <c r="F1244" s="197"/>
      <c r="G1244" s="144"/>
      <c r="H1244" s="144"/>
      <c r="I1244" s="197"/>
      <c r="J1244" s="197"/>
      <c r="K1244" s="197"/>
      <c r="L1244" s="257"/>
    </row>
    <row r="1245" ht="22.5" customHeight="1">
      <c r="A1245" s="250"/>
      <c r="B1245" s="272" t="str">
        <f t="shared" si="5"/>
        <v>#REF!</v>
      </c>
      <c r="C1245" s="154"/>
      <c r="D1245" s="196"/>
      <c r="E1245" s="196"/>
      <c r="F1245" s="196"/>
      <c r="G1245" s="152"/>
      <c r="H1245" s="152"/>
      <c r="I1245" s="196"/>
      <c r="J1245" s="196"/>
      <c r="K1245" s="196"/>
      <c r="L1245" s="259"/>
    </row>
    <row r="1246" ht="22.5" customHeight="1">
      <c r="A1246" s="202"/>
      <c r="B1246" s="273" t="str">
        <f t="shared" si="5"/>
        <v>#REF!</v>
      </c>
      <c r="C1246" s="146"/>
      <c r="D1246" s="197"/>
      <c r="E1246" s="197"/>
      <c r="F1246" s="197"/>
      <c r="G1246" s="144"/>
      <c r="H1246" s="144"/>
      <c r="I1246" s="197"/>
      <c r="J1246" s="197"/>
      <c r="K1246" s="197"/>
      <c r="L1246" s="257"/>
    </row>
    <row r="1247" ht="22.5" customHeight="1">
      <c r="A1247" s="250"/>
      <c r="B1247" s="272" t="str">
        <f t="shared" si="5"/>
        <v>#REF!</v>
      </c>
      <c r="C1247" s="154"/>
      <c r="D1247" s="196"/>
      <c r="E1247" s="196"/>
      <c r="F1247" s="196"/>
      <c r="G1247" s="152"/>
      <c r="H1247" s="152"/>
      <c r="I1247" s="196"/>
      <c r="J1247" s="196"/>
      <c r="K1247" s="196"/>
      <c r="L1247" s="259"/>
    </row>
    <row r="1248" ht="22.5" customHeight="1">
      <c r="A1248" s="202"/>
      <c r="B1248" s="273" t="str">
        <f t="shared" si="5"/>
        <v>#REF!</v>
      </c>
      <c r="C1248" s="146"/>
      <c r="D1248" s="197"/>
      <c r="E1248" s="197"/>
      <c r="F1248" s="197"/>
      <c r="G1248" s="144"/>
      <c r="H1248" s="144"/>
      <c r="I1248" s="197"/>
      <c r="J1248" s="197"/>
      <c r="K1248" s="197"/>
      <c r="L1248" s="257"/>
    </row>
    <row r="1249" ht="22.5" customHeight="1">
      <c r="A1249" s="250"/>
      <c r="B1249" s="272" t="str">
        <f t="shared" si="5"/>
        <v>#REF!</v>
      </c>
      <c r="C1249" s="154"/>
      <c r="D1249" s="196"/>
      <c r="E1249" s="196"/>
      <c r="F1249" s="196"/>
      <c r="G1249" s="152"/>
      <c r="H1249" s="152"/>
      <c r="I1249" s="196"/>
      <c r="J1249" s="196"/>
      <c r="K1249" s="196"/>
      <c r="L1249" s="259"/>
    </row>
    <row r="1250" ht="22.5" customHeight="1">
      <c r="A1250" s="202"/>
      <c r="B1250" s="273" t="str">
        <f t="shared" si="5"/>
        <v>#REF!</v>
      </c>
      <c r="C1250" s="146"/>
      <c r="D1250" s="197"/>
      <c r="E1250" s="197"/>
      <c r="F1250" s="197"/>
      <c r="G1250" s="144"/>
      <c r="H1250" s="144"/>
      <c r="I1250" s="197"/>
      <c r="J1250" s="197"/>
      <c r="K1250" s="197"/>
      <c r="L1250" s="257"/>
    </row>
    <row r="1251" ht="22.5" customHeight="1">
      <c r="A1251" s="250"/>
      <c r="B1251" s="272" t="str">
        <f t="shared" si="5"/>
        <v>#REF!</v>
      </c>
      <c r="C1251" s="154"/>
      <c r="D1251" s="196"/>
      <c r="E1251" s="196"/>
      <c r="F1251" s="196"/>
      <c r="G1251" s="152"/>
      <c r="H1251" s="152"/>
      <c r="I1251" s="196"/>
      <c r="J1251" s="196"/>
      <c r="K1251" s="196"/>
      <c r="L1251" s="259"/>
    </row>
    <row r="1252" ht="22.5" customHeight="1">
      <c r="A1252" s="202"/>
      <c r="B1252" s="273" t="str">
        <f t="shared" si="5"/>
        <v>#REF!</v>
      </c>
      <c r="C1252" s="146"/>
      <c r="D1252" s="197"/>
      <c r="E1252" s="197"/>
      <c r="F1252" s="197"/>
      <c r="G1252" s="144"/>
      <c r="H1252" s="144"/>
      <c r="I1252" s="197"/>
      <c r="J1252" s="197"/>
      <c r="K1252" s="197"/>
      <c r="L1252" s="257"/>
    </row>
    <row r="1253" ht="22.5" customHeight="1">
      <c r="A1253" s="250"/>
      <c r="B1253" s="272" t="str">
        <f t="shared" si="5"/>
        <v>#REF!</v>
      </c>
      <c r="C1253" s="154"/>
      <c r="D1253" s="196"/>
      <c r="E1253" s="196"/>
      <c r="F1253" s="196"/>
      <c r="G1253" s="152"/>
      <c r="H1253" s="152"/>
      <c r="I1253" s="196"/>
      <c r="J1253" s="196"/>
      <c r="K1253" s="196"/>
      <c r="L1253" s="259"/>
    </row>
    <row r="1254" ht="22.5" customHeight="1">
      <c r="A1254" s="202"/>
      <c r="B1254" s="273" t="str">
        <f t="shared" si="5"/>
        <v>#REF!</v>
      </c>
      <c r="C1254" s="146"/>
      <c r="D1254" s="197"/>
      <c r="E1254" s="197"/>
      <c r="F1254" s="197"/>
      <c r="G1254" s="144"/>
      <c r="H1254" s="144"/>
      <c r="I1254" s="197"/>
      <c r="J1254" s="197"/>
      <c r="K1254" s="197"/>
      <c r="L1254" s="257"/>
    </row>
    <row r="1255" ht="22.5" customHeight="1">
      <c r="A1255" s="250"/>
      <c r="B1255" s="272" t="str">
        <f t="shared" si="5"/>
        <v>#REF!</v>
      </c>
      <c r="C1255" s="154"/>
      <c r="D1255" s="196"/>
      <c r="E1255" s="196"/>
      <c r="F1255" s="196"/>
      <c r="G1255" s="152"/>
      <c r="H1255" s="152"/>
      <c r="I1255" s="196"/>
      <c r="J1255" s="196"/>
      <c r="K1255" s="196"/>
      <c r="L1255" s="259"/>
    </row>
    <row r="1256" ht="22.5" customHeight="1">
      <c r="A1256" s="202"/>
      <c r="B1256" s="273" t="str">
        <f t="shared" si="5"/>
        <v>#REF!</v>
      </c>
      <c r="C1256" s="146"/>
      <c r="D1256" s="197"/>
      <c r="E1256" s="197"/>
      <c r="F1256" s="197"/>
      <c r="G1256" s="144"/>
      <c r="H1256" s="144"/>
      <c r="I1256" s="197"/>
      <c r="J1256" s="197"/>
      <c r="K1256" s="197"/>
      <c r="L1256" s="257"/>
    </row>
    <row r="1257" ht="22.5" customHeight="1">
      <c r="A1257" s="250"/>
      <c r="B1257" s="272" t="str">
        <f t="shared" si="5"/>
        <v>#REF!</v>
      </c>
      <c r="C1257" s="154"/>
      <c r="D1257" s="196"/>
      <c r="E1257" s="196"/>
      <c r="F1257" s="196"/>
      <c r="G1257" s="152"/>
      <c r="H1257" s="152"/>
      <c r="I1257" s="196"/>
      <c r="J1257" s="196"/>
      <c r="K1257" s="196"/>
      <c r="L1257" s="259"/>
    </row>
    <row r="1258" ht="22.5" customHeight="1">
      <c r="A1258" s="202"/>
      <c r="B1258" s="273" t="str">
        <f t="shared" si="5"/>
        <v>#REF!</v>
      </c>
      <c r="C1258" s="146"/>
      <c r="D1258" s="197"/>
      <c r="E1258" s="197"/>
      <c r="F1258" s="197"/>
      <c r="G1258" s="144"/>
      <c r="H1258" s="144"/>
      <c r="I1258" s="197"/>
      <c r="J1258" s="197"/>
      <c r="K1258" s="197"/>
      <c r="L1258" s="257"/>
    </row>
    <row r="1259" ht="22.5" customHeight="1">
      <c r="A1259" s="250"/>
      <c r="B1259" s="272" t="str">
        <f t="shared" si="5"/>
        <v>#REF!</v>
      </c>
      <c r="C1259" s="154"/>
      <c r="D1259" s="196"/>
      <c r="E1259" s="196"/>
      <c r="F1259" s="196"/>
      <c r="G1259" s="152"/>
      <c r="H1259" s="152"/>
      <c r="I1259" s="196"/>
      <c r="J1259" s="196"/>
      <c r="K1259" s="196"/>
      <c r="L1259" s="259"/>
    </row>
    <row r="1260" ht="22.5" customHeight="1">
      <c r="A1260" s="202"/>
      <c r="B1260" s="273" t="str">
        <f t="shared" si="5"/>
        <v>#REF!</v>
      </c>
      <c r="C1260" s="146"/>
      <c r="D1260" s="197"/>
      <c r="E1260" s="197"/>
      <c r="F1260" s="197"/>
      <c r="G1260" s="144"/>
      <c r="H1260" s="144"/>
      <c r="I1260" s="197"/>
      <c r="J1260" s="197"/>
      <c r="K1260" s="197"/>
      <c r="L1260" s="257"/>
    </row>
    <row r="1261" ht="22.5" customHeight="1">
      <c r="A1261" s="250"/>
      <c r="B1261" s="272" t="str">
        <f t="shared" si="5"/>
        <v>#REF!</v>
      </c>
      <c r="C1261" s="154"/>
      <c r="D1261" s="196"/>
      <c r="E1261" s="196"/>
      <c r="F1261" s="196"/>
      <c r="G1261" s="152"/>
      <c r="H1261" s="152"/>
      <c r="I1261" s="196"/>
      <c r="J1261" s="196"/>
      <c r="K1261" s="196"/>
      <c r="L1261" s="259"/>
    </row>
    <row r="1262" ht="22.5" customHeight="1">
      <c r="A1262" s="202"/>
      <c r="B1262" s="273" t="str">
        <f t="shared" si="5"/>
        <v>#REF!</v>
      </c>
      <c r="C1262" s="146"/>
      <c r="D1262" s="197"/>
      <c r="E1262" s="197"/>
      <c r="F1262" s="197"/>
      <c r="G1262" s="144"/>
      <c r="H1262" s="144"/>
      <c r="I1262" s="197"/>
      <c r="J1262" s="197"/>
      <c r="K1262" s="197"/>
      <c r="L1262" s="257"/>
    </row>
    <row r="1263" ht="22.5" customHeight="1">
      <c r="A1263" s="250"/>
      <c r="B1263" s="272" t="str">
        <f t="shared" si="5"/>
        <v>#REF!</v>
      </c>
      <c r="C1263" s="154"/>
      <c r="D1263" s="196"/>
      <c r="E1263" s="196"/>
      <c r="F1263" s="196"/>
      <c r="G1263" s="152"/>
      <c r="H1263" s="152"/>
      <c r="I1263" s="196"/>
      <c r="J1263" s="196"/>
      <c r="K1263" s="196"/>
      <c r="L1263" s="259"/>
    </row>
    <row r="1264" ht="22.5" customHeight="1">
      <c r="A1264" s="202"/>
      <c r="B1264" s="273" t="str">
        <f t="shared" si="5"/>
        <v>#REF!</v>
      </c>
      <c r="C1264" s="146"/>
      <c r="D1264" s="197"/>
      <c r="E1264" s="197"/>
      <c r="F1264" s="197"/>
      <c r="G1264" s="144"/>
      <c r="H1264" s="144"/>
      <c r="I1264" s="197"/>
      <c r="J1264" s="197"/>
      <c r="K1264" s="197"/>
      <c r="L1264" s="257"/>
    </row>
    <row r="1265" ht="22.5" customHeight="1">
      <c r="A1265" s="250"/>
      <c r="B1265" s="272" t="str">
        <f t="shared" si="5"/>
        <v>#REF!</v>
      </c>
      <c r="C1265" s="154"/>
      <c r="D1265" s="196"/>
      <c r="E1265" s="196"/>
      <c r="F1265" s="196"/>
      <c r="G1265" s="152"/>
      <c r="H1265" s="152"/>
      <c r="I1265" s="196"/>
      <c r="J1265" s="196"/>
      <c r="K1265" s="196"/>
      <c r="L1265" s="259"/>
    </row>
    <row r="1266" ht="22.5" customHeight="1">
      <c r="A1266" s="202"/>
      <c r="B1266" s="273" t="str">
        <f t="shared" si="5"/>
        <v>#REF!</v>
      </c>
      <c r="C1266" s="146"/>
      <c r="D1266" s="197"/>
      <c r="E1266" s="197"/>
      <c r="F1266" s="197"/>
      <c r="G1266" s="144"/>
      <c r="H1266" s="144"/>
      <c r="I1266" s="197"/>
      <c r="J1266" s="197"/>
      <c r="K1266" s="197"/>
      <c r="L1266" s="257"/>
    </row>
    <row r="1267" ht="22.5" customHeight="1">
      <c r="A1267" s="250"/>
      <c r="B1267" s="272" t="str">
        <f t="shared" si="5"/>
        <v>#REF!</v>
      </c>
      <c r="C1267" s="154"/>
      <c r="D1267" s="196"/>
      <c r="E1267" s="196"/>
      <c r="F1267" s="196"/>
      <c r="G1267" s="152"/>
      <c r="H1267" s="152"/>
      <c r="I1267" s="196"/>
      <c r="J1267" s="196"/>
      <c r="K1267" s="196"/>
      <c r="L1267" s="259"/>
    </row>
    <row r="1268" ht="22.5" customHeight="1">
      <c r="A1268" s="202"/>
      <c r="B1268" s="273" t="str">
        <f t="shared" si="5"/>
        <v>#REF!</v>
      </c>
      <c r="C1268" s="146"/>
      <c r="D1268" s="197"/>
      <c r="E1268" s="197"/>
      <c r="F1268" s="197"/>
      <c r="G1268" s="144"/>
      <c r="H1268" s="144"/>
      <c r="I1268" s="197"/>
      <c r="J1268" s="197"/>
      <c r="K1268" s="197"/>
      <c r="L1268" s="257"/>
    </row>
    <row r="1269" ht="22.5" customHeight="1">
      <c r="A1269" s="250"/>
      <c r="B1269" s="272" t="str">
        <f t="shared" si="5"/>
        <v>#REF!</v>
      </c>
      <c r="C1269" s="154"/>
      <c r="D1269" s="196"/>
      <c r="E1269" s="196"/>
      <c r="F1269" s="196"/>
      <c r="G1269" s="152"/>
      <c r="H1269" s="152"/>
      <c r="I1269" s="196"/>
      <c r="J1269" s="196"/>
      <c r="K1269" s="196"/>
      <c r="L1269" s="259"/>
    </row>
    <row r="1270" ht="22.5" customHeight="1">
      <c r="A1270" s="202"/>
      <c r="B1270" s="273" t="str">
        <f t="shared" si="5"/>
        <v>#REF!</v>
      </c>
      <c r="C1270" s="146"/>
      <c r="D1270" s="197"/>
      <c r="E1270" s="197"/>
      <c r="F1270" s="197"/>
      <c r="G1270" s="144"/>
      <c r="H1270" s="144"/>
      <c r="I1270" s="197"/>
      <c r="J1270" s="197"/>
      <c r="K1270" s="197"/>
      <c r="L1270" s="257"/>
    </row>
    <row r="1271" ht="22.5" customHeight="1">
      <c r="A1271" s="250"/>
      <c r="B1271" s="272" t="str">
        <f t="shared" si="5"/>
        <v>#REF!</v>
      </c>
      <c r="C1271" s="154"/>
      <c r="D1271" s="196"/>
      <c r="E1271" s="196"/>
      <c r="F1271" s="196"/>
      <c r="G1271" s="152"/>
      <c r="H1271" s="152"/>
      <c r="I1271" s="196"/>
      <c r="J1271" s="196"/>
      <c r="K1271" s="196"/>
      <c r="L1271" s="259"/>
    </row>
    <row r="1272" ht="22.5" customHeight="1">
      <c r="A1272" s="202"/>
      <c r="B1272" s="273" t="str">
        <f t="shared" si="5"/>
        <v>#REF!</v>
      </c>
      <c r="C1272" s="146"/>
      <c r="D1272" s="197"/>
      <c r="E1272" s="197"/>
      <c r="F1272" s="197"/>
      <c r="G1272" s="144"/>
      <c r="H1272" s="144"/>
      <c r="I1272" s="197"/>
      <c r="J1272" s="197"/>
      <c r="K1272" s="197"/>
      <c r="L1272" s="257"/>
    </row>
    <row r="1273" ht="22.5" customHeight="1">
      <c r="A1273" s="250"/>
      <c r="B1273" s="272" t="str">
        <f t="shared" si="5"/>
        <v>#REF!</v>
      </c>
      <c r="C1273" s="154"/>
      <c r="D1273" s="196"/>
      <c r="E1273" s="196"/>
      <c r="F1273" s="196"/>
      <c r="G1273" s="152"/>
      <c r="H1273" s="152"/>
      <c r="I1273" s="196"/>
      <c r="J1273" s="196"/>
      <c r="K1273" s="196"/>
      <c r="L1273" s="259"/>
    </row>
    <row r="1274" ht="22.5" customHeight="1">
      <c r="A1274" s="202"/>
      <c r="B1274" s="273" t="str">
        <f t="shared" si="5"/>
        <v>#REF!</v>
      </c>
      <c r="C1274" s="146"/>
      <c r="D1274" s="197"/>
      <c r="E1274" s="197"/>
      <c r="F1274" s="197"/>
      <c r="G1274" s="144"/>
      <c r="H1274" s="144"/>
      <c r="I1274" s="197"/>
      <c r="J1274" s="197"/>
      <c r="K1274" s="197"/>
      <c r="L1274" s="257"/>
    </row>
    <row r="1275" ht="22.5" customHeight="1">
      <c r="A1275" s="250"/>
      <c r="B1275" s="272" t="str">
        <f t="shared" si="5"/>
        <v>#REF!</v>
      </c>
      <c r="C1275" s="154"/>
      <c r="D1275" s="196"/>
      <c r="E1275" s="196"/>
      <c r="F1275" s="196"/>
      <c r="G1275" s="152"/>
      <c r="H1275" s="152"/>
      <c r="I1275" s="196"/>
      <c r="J1275" s="196"/>
      <c r="K1275" s="196"/>
      <c r="L1275" s="259"/>
    </row>
    <row r="1276" ht="22.5" customHeight="1">
      <c r="A1276" s="202"/>
      <c r="B1276" s="273" t="str">
        <f t="shared" si="5"/>
        <v>#REF!</v>
      </c>
      <c r="C1276" s="146"/>
      <c r="D1276" s="197"/>
      <c r="E1276" s="197"/>
      <c r="F1276" s="197"/>
      <c r="G1276" s="144"/>
      <c r="H1276" s="144"/>
      <c r="I1276" s="197"/>
      <c r="J1276" s="197"/>
      <c r="K1276" s="197"/>
      <c r="L1276" s="257"/>
    </row>
    <row r="1277" ht="22.5" customHeight="1">
      <c r="A1277" s="250"/>
      <c r="B1277" s="272" t="str">
        <f t="shared" si="5"/>
        <v>#REF!</v>
      </c>
      <c r="C1277" s="154"/>
      <c r="D1277" s="196"/>
      <c r="E1277" s="196"/>
      <c r="F1277" s="196"/>
      <c r="G1277" s="152"/>
      <c r="H1277" s="152"/>
      <c r="I1277" s="196"/>
      <c r="J1277" s="196"/>
      <c r="K1277" s="196"/>
      <c r="L1277" s="259"/>
    </row>
    <row r="1278" ht="22.5" customHeight="1">
      <c r="A1278" s="202"/>
      <c r="B1278" s="273" t="str">
        <f t="shared" si="5"/>
        <v>#REF!</v>
      </c>
      <c r="C1278" s="146"/>
      <c r="D1278" s="197"/>
      <c r="E1278" s="197"/>
      <c r="F1278" s="197"/>
      <c r="G1278" s="144"/>
      <c r="H1278" s="144"/>
      <c r="I1278" s="197"/>
      <c r="J1278" s="197"/>
      <c r="K1278" s="197"/>
      <c r="L1278" s="257"/>
    </row>
    <row r="1279" ht="22.5" customHeight="1">
      <c r="A1279" s="250"/>
      <c r="B1279" s="272" t="str">
        <f t="shared" si="5"/>
        <v>#REF!</v>
      </c>
      <c r="C1279" s="154"/>
      <c r="D1279" s="196"/>
      <c r="E1279" s="196"/>
      <c r="F1279" s="196"/>
      <c r="G1279" s="152"/>
      <c r="H1279" s="152"/>
      <c r="I1279" s="196"/>
      <c r="J1279" s="196"/>
      <c r="K1279" s="196"/>
      <c r="L1279" s="259"/>
    </row>
    <row r="1280" ht="22.5" customHeight="1">
      <c r="A1280" s="202"/>
      <c r="B1280" s="273" t="str">
        <f t="shared" si="5"/>
        <v>#REF!</v>
      </c>
      <c r="C1280" s="146"/>
      <c r="D1280" s="197"/>
      <c r="E1280" s="197"/>
      <c r="F1280" s="197"/>
      <c r="G1280" s="144"/>
      <c r="H1280" s="144"/>
      <c r="I1280" s="197"/>
      <c r="J1280" s="197"/>
      <c r="K1280" s="197"/>
      <c r="L1280" s="257"/>
    </row>
    <row r="1281" ht="22.5" customHeight="1">
      <c r="A1281" s="250"/>
      <c r="B1281" s="272" t="str">
        <f t="shared" si="5"/>
        <v>#REF!</v>
      </c>
      <c r="C1281" s="154"/>
      <c r="D1281" s="196"/>
      <c r="E1281" s="196"/>
      <c r="F1281" s="196"/>
      <c r="G1281" s="152"/>
      <c r="H1281" s="152"/>
      <c r="I1281" s="196"/>
      <c r="J1281" s="196"/>
      <c r="K1281" s="196"/>
      <c r="L1281" s="259"/>
    </row>
    <row r="1282" ht="22.5" customHeight="1">
      <c r="A1282" s="202"/>
      <c r="B1282" s="273" t="str">
        <f t="shared" si="5"/>
        <v>#REF!</v>
      </c>
      <c r="C1282" s="146"/>
      <c r="D1282" s="197"/>
      <c r="E1282" s="197"/>
      <c r="F1282" s="197"/>
      <c r="G1282" s="144"/>
      <c r="H1282" s="144"/>
      <c r="I1282" s="197"/>
      <c r="J1282" s="197"/>
      <c r="K1282" s="197"/>
      <c r="L1282" s="257"/>
    </row>
    <row r="1283" ht="22.5" customHeight="1">
      <c r="A1283" s="250"/>
      <c r="B1283" s="272" t="str">
        <f t="shared" si="5"/>
        <v>#REF!</v>
      </c>
      <c r="C1283" s="154"/>
      <c r="D1283" s="196"/>
      <c r="E1283" s="196"/>
      <c r="F1283" s="196"/>
      <c r="G1283" s="152"/>
      <c r="H1283" s="152"/>
      <c r="I1283" s="196"/>
      <c r="J1283" s="196"/>
      <c r="K1283" s="196"/>
      <c r="L1283" s="259"/>
    </row>
    <row r="1284" ht="22.5" customHeight="1">
      <c r="A1284" s="202"/>
      <c r="B1284" s="273" t="str">
        <f t="shared" si="5"/>
        <v>#REF!</v>
      </c>
      <c r="C1284" s="146"/>
      <c r="D1284" s="197"/>
      <c r="E1284" s="197"/>
      <c r="F1284" s="197"/>
      <c r="G1284" s="144"/>
      <c r="H1284" s="144"/>
      <c r="I1284" s="197"/>
      <c r="J1284" s="197"/>
      <c r="K1284" s="197"/>
      <c r="L1284" s="257"/>
    </row>
    <row r="1285" ht="22.5" customHeight="1">
      <c r="A1285" s="250"/>
      <c r="B1285" s="272" t="str">
        <f t="shared" si="5"/>
        <v>#REF!</v>
      </c>
      <c r="C1285" s="154"/>
      <c r="D1285" s="196"/>
      <c r="E1285" s="196"/>
      <c r="F1285" s="196"/>
      <c r="G1285" s="152"/>
      <c r="H1285" s="152"/>
      <c r="I1285" s="196"/>
      <c r="J1285" s="196"/>
      <c r="K1285" s="196"/>
      <c r="L1285" s="259"/>
    </row>
    <row r="1286" ht="22.5" customHeight="1">
      <c r="A1286" s="202"/>
      <c r="B1286" s="273" t="str">
        <f t="shared" si="5"/>
        <v>#REF!</v>
      </c>
      <c r="C1286" s="146"/>
      <c r="D1286" s="197"/>
      <c r="E1286" s="197"/>
      <c r="F1286" s="197"/>
      <c r="G1286" s="144"/>
      <c r="H1286" s="144"/>
      <c r="I1286" s="197"/>
      <c r="J1286" s="197"/>
      <c r="K1286" s="197"/>
      <c r="L1286" s="257"/>
    </row>
    <row r="1287" ht="22.5" customHeight="1">
      <c r="A1287" s="250"/>
      <c r="B1287" s="272" t="str">
        <f t="shared" si="5"/>
        <v>#REF!</v>
      </c>
      <c r="C1287" s="154"/>
      <c r="D1287" s="196"/>
      <c r="E1287" s="196"/>
      <c r="F1287" s="196"/>
      <c r="G1287" s="152"/>
      <c r="H1287" s="152"/>
      <c r="I1287" s="196"/>
      <c r="J1287" s="196"/>
      <c r="K1287" s="196"/>
      <c r="L1287" s="259"/>
    </row>
    <row r="1288" ht="22.5" customHeight="1">
      <c r="A1288" s="202"/>
      <c r="B1288" s="273" t="str">
        <f t="shared" si="5"/>
        <v>#REF!</v>
      </c>
      <c r="C1288" s="146"/>
      <c r="D1288" s="197"/>
      <c r="E1288" s="197"/>
      <c r="F1288" s="197"/>
      <c r="G1288" s="144"/>
      <c r="H1288" s="144"/>
      <c r="I1288" s="197"/>
      <c r="J1288" s="197"/>
      <c r="K1288" s="197"/>
      <c r="L1288" s="257"/>
    </row>
    <row r="1289" ht="22.5" customHeight="1">
      <c r="A1289" s="250"/>
      <c r="B1289" s="272" t="str">
        <f t="shared" si="5"/>
        <v>#REF!</v>
      </c>
      <c r="C1289" s="154"/>
      <c r="D1289" s="196"/>
      <c r="E1289" s="196"/>
      <c r="F1289" s="196"/>
      <c r="G1289" s="152"/>
      <c r="H1289" s="152"/>
      <c r="I1289" s="196"/>
      <c r="J1289" s="196"/>
      <c r="K1289" s="196"/>
      <c r="L1289" s="259"/>
    </row>
    <row r="1290" ht="22.5" customHeight="1">
      <c r="A1290" s="202"/>
      <c r="B1290" s="273" t="str">
        <f t="shared" si="5"/>
        <v>#REF!</v>
      </c>
      <c r="C1290" s="146"/>
      <c r="D1290" s="197"/>
      <c r="E1290" s="197"/>
      <c r="F1290" s="197"/>
      <c r="G1290" s="144"/>
      <c r="H1290" s="144"/>
      <c r="I1290" s="197"/>
      <c r="J1290" s="197"/>
      <c r="K1290" s="197"/>
      <c r="L1290" s="257"/>
    </row>
    <row r="1291" ht="22.5" customHeight="1">
      <c r="A1291" s="250"/>
      <c r="B1291" s="272" t="str">
        <f t="shared" si="5"/>
        <v>#REF!</v>
      </c>
      <c r="C1291" s="154"/>
      <c r="D1291" s="196"/>
      <c r="E1291" s="196"/>
      <c r="F1291" s="196"/>
      <c r="G1291" s="152"/>
      <c r="H1291" s="152"/>
      <c r="I1291" s="196"/>
      <c r="J1291" s="196"/>
      <c r="K1291" s="196"/>
      <c r="L1291" s="259"/>
    </row>
    <row r="1292" ht="22.5" customHeight="1">
      <c r="A1292" s="202"/>
      <c r="B1292" s="273" t="str">
        <f t="shared" si="5"/>
        <v>#REF!</v>
      </c>
      <c r="C1292" s="146"/>
      <c r="D1292" s="197"/>
      <c r="E1292" s="197"/>
      <c r="F1292" s="197"/>
      <c r="G1292" s="144"/>
      <c r="H1292" s="144"/>
      <c r="I1292" s="197"/>
      <c r="J1292" s="197"/>
      <c r="K1292" s="197"/>
      <c r="L1292" s="257"/>
    </row>
    <row r="1293" ht="22.5" customHeight="1">
      <c r="A1293" s="250"/>
      <c r="B1293" s="272" t="str">
        <f t="shared" si="5"/>
        <v>#REF!</v>
      </c>
      <c r="C1293" s="154"/>
      <c r="D1293" s="196"/>
      <c r="E1293" s="196"/>
      <c r="F1293" s="196"/>
      <c r="G1293" s="152"/>
      <c r="H1293" s="152"/>
      <c r="I1293" s="196"/>
      <c r="J1293" s="196"/>
      <c r="K1293" s="196"/>
      <c r="L1293" s="259"/>
    </row>
    <row r="1294" ht="22.5" customHeight="1">
      <c r="A1294" s="202"/>
      <c r="B1294" s="273" t="str">
        <f t="shared" si="5"/>
        <v>#REF!</v>
      </c>
      <c r="C1294" s="146"/>
      <c r="D1294" s="197"/>
      <c r="E1294" s="197"/>
      <c r="F1294" s="197"/>
      <c r="G1294" s="144"/>
      <c r="H1294" s="144"/>
      <c r="I1294" s="197"/>
      <c r="J1294" s="197"/>
      <c r="K1294" s="197"/>
      <c r="L1294" s="257"/>
    </row>
    <row r="1295" ht="22.5" customHeight="1">
      <c r="A1295" s="250"/>
      <c r="B1295" s="272" t="str">
        <f t="shared" si="5"/>
        <v>#REF!</v>
      </c>
      <c r="C1295" s="154"/>
      <c r="D1295" s="196"/>
      <c r="E1295" s="196"/>
      <c r="F1295" s="196"/>
      <c r="G1295" s="152"/>
      <c r="H1295" s="152"/>
      <c r="I1295" s="196"/>
      <c r="J1295" s="196"/>
      <c r="K1295" s="196"/>
      <c r="L1295" s="259"/>
    </row>
    <row r="1296" ht="22.5" customHeight="1">
      <c r="A1296" s="202"/>
      <c r="B1296" s="273" t="str">
        <f t="shared" si="5"/>
        <v>#REF!</v>
      </c>
      <c r="C1296" s="146"/>
      <c r="D1296" s="197"/>
      <c r="E1296" s="197"/>
      <c r="F1296" s="197"/>
      <c r="G1296" s="144"/>
      <c r="H1296" s="144"/>
      <c r="I1296" s="197"/>
      <c r="J1296" s="197"/>
      <c r="K1296" s="197"/>
      <c r="L1296" s="257"/>
    </row>
    <row r="1297" ht="22.5" customHeight="1">
      <c r="A1297" s="250"/>
      <c r="B1297" s="272" t="str">
        <f t="shared" si="5"/>
        <v>#REF!</v>
      </c>
      <c r="C1297" s="154"/>
      <c r="D1297" s="196"/>
      <c r="E1297" s="196"/>
      <c r="F1297" s="196"/>
      <c r="G1297" s="152"/>
      <c r="H1297" s="152"/>
      <c r="I1297" s="196"/>
      <c r="J1297" s="196"/>
      <c r="K1297" s="196"/>
      <c r="L1297" s="259"/>
    </row>
    <row r="1298" ht="22.5" customHeight="1">
      <c r="A1298" s="202"/>
      <c r="B1298" s="273" t="str">
        <f t="shared" si="5"/>
        <v>#REF!</v>
      </c>
      <c r="C1298" s="146"/>
      <c r="D1298" s="197"/>
      <c r="E1298" s="197"/>
      <c r="F1298" s="197"/>
      <c r="G1298" s="144"/>
      <c r="H1298" s="144"/>
      <c r="I1298" s="197"/>
      <c r="J1298" s="197"/>
      <c r="K1298" s="197"/>
      <c r="L1298" s="257"/>
    </row>
    <row r="1299" ht="22.5" customHeight="1">
      <c r="A1299" s="250"/>
      <c r="B1299" s="272" t="str">
        <f t="shared" si="5"/>
        <v>#REF!</v>
      </c>
      <c r="C1299" s="154"/>
      <c r="D1299" s="196"/>
      <c r="E1299" s="196"/>
      <c r="F1299" s="196"/>
      <c r="G1299" s="152"/>
      <c r="H1299" s="152"/>
      <c r="I1299" s="196"/>
      <c r="J1299" s="196"/>
      <c r="K1299" s="196"/>
      <c r="L1299" s="259"/>
    </row>
    <row r="1300" ht="22.5" customHeight="1">
      <c r="A1300" s="202"/>
      <c r="B1300" s="273" t="str">
        <f t="shared" si="5"/>
        <v>#REF!</v>
      </c>
      <c r="C1300" s="146"/>
      <c r="D1300" s="197"/>
      <c r="E1300" s="197"/>
      <c r="F1300" s="197"/>
      <c r="G1300" s="144"/>
      <c r="H1300" s="144"/>
      <c r="I1300" s="197"/>
      <c r="J1300" s="197"/>
      <c r="K1300" s="197"/>
      <c r="L1300" s="257"/>
    </row>
    <row r="1301" ht="22.5" customHeight="1">
      <c r="A1301" s="250"/>
      <c r="B1301" s="272" t="str">
        <f t="shared" si="5"/>
        <v>#REF!</v>
      </c>
      <c r="C1301" s="154"/>
      <c r="D1301" s="196"/>
      <c r="E1301" s="196"/>
      <c r="F1301" s="196"/>
      <c r="G1301" s="152"/>
      <c r="H1301" s="152"/>
      <c r="I1301" s="196"/>
      <c r="J1301" s="196"/>
      <c r="K1301" s="196"/>
      <c r="L1301" s="259"/>
    </row>
    <row r="1302" ht="22.5" customHeight="1">
      <c r="A1302" s="202"/>
      <c r="B1302" s="273" t="str">
        <f t="shared" si="5"/>
        <v>#REF!</v>
      </c>
      <c r="C1302" s="146"/>
      <c r="D1302" s="197"/>
      <c r="E1302" s="197"/>
      <c r="F1302" s="197"/>
      <c r="G1302" s="144"/>
      <c r="H1302" s="144"/>
      <c r="I1302" s="197"/>
      <c r="J1302" s="197"/>
      <c r="K1302" s="197"/>
      <c r="L1302" s="257"/>
    </row>
    <row r="1303" ht="22.5" customHeight="1">
      <c r="A1303" s="250"/>
      <c r="B1303" s="272" t="str">
        <f t="shared" si="5"/>
        <v>#REF!</v>
      </c>
      <c r="C1303" s="154"/>
      <c r="D1303" s="196"/>
      <c r="E1303" s="196"/>
      <c r="F1303" s="196"/>
      <c r="G1303" s="152"/>
      <c r="H1303" s="152"/>
      <c r="I1303" s="196"/>
      <c r="J1303" s="196"/>
      <c r="K1303" s="196"/>
      <c r="L1303" s="259"/>
    </row>
    <row r="1304" ht="22.5" customHeight="1">
      <c r="A1304" s="202"/>
      <c r="B1304" s="273" t="str">
        <f t="shared" si="5"/>
        <v>#REF!</v>
      </c>
      <c r="C1304" s="146"/>
      <c r="D1304" s="197"/>
      <c r="E1304" s="197"/>
      <c r="F1304" s="197"/>
      <c r="G1304" s="144"/>
      <c r="H1304" s="144"/>
      <c r="I1304" s="197"/>
      <c r="J1304" s="197"/>
      <c r="K1304" s="197"/>
      <c r="L1304" s="257"/>
    </row>
    <row r="1305" ht="22.5" customHeight="1">
      <c r="A1305" s="250"/>
      <c r="B1305" s="272" t="str">
        <f t="shared" si="5"/>
        <v>#REF!</v>
      </c>
      <c r="C1305" s="154"/>
      <c r="D1305" s="196"/>
      <c r="E1305" s="196"/>
      <c r="F1305" s="196"/>
      <c r="G1305" s="152"/>
      <c r="H1305" s="152"/>
      <c r="I1305" s="196"/>
      <c r="J1305" s="196"/>
      <c r="K1305" s="196"/>
      <c r="L1305" s="259"/>
    </row>
    <row r="1306" ht="22.5" customHeight="1">
      <c r="A1306" s="202"/>
      <c r="B1306" s="273" t="str">
        <f t="shared" si="5"/>
        <v>#REF!</v>
      </c>
      <c r="C1306" s="146"/>
      <c r="D1306" s="197"/>
      <c r="E1306" s="197"/>
      <c r="F1306" s="197"/>
      <c r="G1306" s="144"/>
      <c r="H1306" s="144"/>
      <c r="I1306" s="197"/>
      <c r="J1306" s="197"/>
      <c r="K1306" s="197"/>
      <c r="L1306" s="257"/>
    </row>
    <row r="1307" ht="22.5" customHeight="1">
      <c r="A1307" s="250"/>
      <c r="B1307" s="272" t="str">
        <f t="shared" si="5"/>
        <v>#REF!</v>
      </c>
      <c r="C1307" s="154"/>
      <c r="D1307" s="196"/>
      <c r="E1307" s="196"/>
      <c r="F1307" s="196"/>
      <c r="G1307" s="152"/>
      <c r="H1307" s="152"/>
      <c r="I1307" s="196"/>
      <c r="J1307" s="196"/>
      <c r="K1307" s="196"/>
      <c r="L1307" s="259"/>
    </row>
    <row r="1308" ht="22.5" customHeight="1">
      <c r="A1308" s="202"/>
      <c r="B1308" s="273" t="str">
        <f t="shared" si="5"/>
        <v>#REF!</v>
      </c>
      <c r="C1308" s="146"/>
      <c r="D1308" s="197"/>
      <c r="E1308" s="197"/>
      <c r="F1308" s="197"/>
      <c r="G1308" s="144"/>
      <c r="H1308" s="144"/>
      <c r="I1308" s="197"/>
      <c r="J1308" s="197"/>
      <c r="K1308" s="197"/>
      <c r="L1308" s="257"/>
    </row>
    <row r="1309" ht="22.5" customHeight="1">
      <c r="A1309" s="250"/>
      <c r="B1309" s="272" t="str">
        <f t="shared" si="5"/>
        <v>#REF!</v>
      </c>
      <c r="C1309" s="154"/>
      <c r="D1309" s="196"/>
      <c r="E1309" s="196"/>
      <c r="F1309" s="196"/>
      <c r="G1309" s="152"/>
      <c r="H1309" s="152"/>
      <c r="I1309" s="196"/>
      <c r="J1309" s="196"/>
      <c r="K1309" s="196"/>
      <c r="L1309" s="259"/>
    </row>
    <row r="1310" ht="22.5" customHeight="1">
      <c r="A1310" s="202"/>
      <c r="B1310" s="273" t="str">
        <f t="shared" si="5"/>
        <v>#REF!</v>
      </c>
      <c r="C1310" s="146"/>
      <c r="D1310" s="197"/>
      <c r="E1310" s="197"/>
      <c r="F1310" s="197"/>
      <c r="G1310" s="144"/>
      <c r="H1310" s="144"/>
      <c r="I1310" s="197"/>
      <c r="J1310" s="197"/>
      <c r="K1310" s="197"/>
      <c r="L1310" s="257"/>
    </row>
    <row r="1311" ht="22.5" customHeight="1">
      <c r="A1311" s="250"/>
      <c r="B1311" s="272" t="str">
        <f t="shared" si="5"/>
        <v>#REF!</v>
      </c>
      <c r="C1311" s="154"/>
      <c r="D1311" s="196"/>
      <c r="E1311" s="196"/>
      <c r="F1311" s="196"/>
      <c r="G1311" s="152"/>
      <c r="H1311" s="152"/>
      <c r="I1311" s="196"/>
      <c r="J1311" s="196"/>
      <c r="K1311" s="196"/>
      <c r="L1311" s="259"/>
    </row>
    <row r="1312" ht="22.5" customHeight="1">
      <c r="A1312" s="202"/>
      <c r="B1312" s="273" t="str">
        <f t="shared" si="5"/>
        <v>#REF!</v>
      </c>
      <c r="C1312" s="146"/>
      <c r="D1312" s="197"/>
      <c r="E1312" s="197"/>
      <c r="F1312" s="197"/>
      <c r="G1312" s="144"/>
      <c r="H1312" s="144"/>
      <c r="I1312" s="197"/>
      <c r="J1312" s="197"/>
      <c r="K1312" s="197"/>
      <c r="L1312" s="257"/>
    </row>
    <row r="1313" ht="22.5" customHeight="1">
      <c r="A1313" s="250"/>
      <c r="B1313" s="272" t="str">
        <f t="shared" si="5"/>
        <v>#REF!</v>
      </c>
      <c r="C1313" s="154"/>
      <c r="D1313" s="196"/>
      <c r="E1313" s="196"/>
      <c r="F1313" s="196"/>
      <c r="G1313" s="152"/>
      <c r="H1313" s="152"/>
      <c r="I1313" s="196"/>
      <c r="J1313" s="196"/>
      <c r="K1313" s="196"/>
      <c r="L1313" s="259"/>
    </row>
    <row r="1314" ht="22.5" customHeight="1">
      <c r="A1314" s="202"/>
      <c r="B1314" s="273" t="str">
        <f t="shared" si="5"/>
        <v>#REF!</v>
      </c>
      <c r="C1314" s="146"/>
      <c r="D1314" s="197"/>
      <c r="E1314" s="197"/>
      <c r="F1314" s="197"/>
      <c r="G1314" s="144"/>
      <c r="H1314" s="144"/>
      <c r="I1314" s="197"/>
      <c r="J1314" s="197"/>
      <c r="K1314" s="197"/>
      <c r="L1314" s="257"/>
    </row>
    <row r="1315" ht="22.5" customHeight="1">
      <c r="A1315" s="250"/>
      <c r="B1315" s="272" t="str">
        <f t="shared" si="5"/>
        <v>#REF!</v>
      </c>
      <c r="C1315" s="154"/>
      <c r="D1315" s="196"/>
      <c r="E1315" s="196"/>
      <c r="F1315" s="196"/>
      <c r="G1315" s="152"/>
      <c r="H1315" s="152"/>
      <c r="I1315" s="196"/>
      <c r="J1315" s="196"/>
      <c r="K1315" s="196"/>
      <c r="L1315" s="259"/>
    </row>
    <row r="1316" ht="22.5" customHeight="1">
      <c r="A1316" s="202"/>
      <c r="B1316" s="273" t="str">
        <f t="shared" si="5"/>
        <v>#REF!</v>
      </c>
      <c r="C1316" s="146"/>
      <c r="D1316" s="197"/>
      <c r="E1316" s="197"/>
      <c r="F1316" s="197"/>
      <c r="G1316" s="144"/>
      <c r="H1316" s="144"/>
      <c r="I1316" s="197"/>
      <c r="J1316" s="197"/>
      <c r="K1316" s="197"/>
      <c r="L1316" s="257"/>
    </row>
    <row r="1317" ht="22.5" customHeight="1">
      <c r="A1317" s="250"/>
      <c r="B1317" s="272" t="str">
        <f t="shared" si="5"/>
        <v>#REF!</v>
      </c>
      <c r="C1317" s="154"/>
      <c r="D1317" s="196"/>
      <c r="E1317" s="196"/>
      <c r="F1317" s="196"/>
      <c r="G1317" s="152"/>
      <c r="H1317" s="152"/>
      <c r="I1317" s="196"/>
      <c r="J1317" s="196"/>
      <c r="K1317" s="196"/>
      <c r="L1317" s="259"/>
    </row>
    <row r="1318" ht="22.5" customHeight="1">
      <c r="A1318" s="202"/>
      <c r="B1318" s="273" t="str">
        <f t="shared" si="5"/>
        <v>#REF!</v>
      </c>
      <c r="C1318" s="146"/>
      <c r="D1318" s="197"/>
      <c r="E1318" s="197"/>
      <c r="F1318" s="197"/>
      <c r="G1318" s="144"/>
      <c r="H1318" s="144"/>
      <c r="I1318" s="197"/>
      <c r="J1318" s="197"/>
      <c r="K1318" s="197"/>
      <c r="L1318" s="257"/>
    </row>
    <row r="1319" ht="22.5" customHeight="1">
      <c r="A1319" s="250"/>
      <c r="B1319" s="272" t="str">
        <f t="shared" si="5"/>
        <v>#REF!</v>
      </c>
      <c r="C1319" s="154"/>
      <c r="D1319" s="196"/>
      <c r="E1319" s="196"/>
      <c r="F1319" s="196"/>
      <c r="G1319" s="152"/>
      <c r="H1319" s="152"/>
      <c r="I1319" s="196"/>
      <c r="J1319" s="196"/>
      <c r="K1319" s="196"/>
      <c r="L1319" s="259"/>
    </row>
    <row r="1320" ht="22.5" customHeight="1">
      <c r="A1320" s="202"/>
      <c r="B1320" s="273" t="str">
        <f t="shared" si="5"/>
        <v>#REF!</v>
      </c>
      <c r="C1320" s="146"/>
      <c r="D1320" s="197"/>
      <c r="E1320" s="197"/>
      <c r="F1320" s="197"/>
      <c r="G1320" s="144"/>
      <c r="H1320" s="144"/>
      <c r="I1320" s="197"/>
      <c r="J1320" s="197"/>
      <c r="K1320" s="197"/>
      <c r="L1320" s="257"/>
    </row>
    <row r="1321" ht="22.5" customHeight="1">
      <c r="A1321" s="250"/>
      <c r="B1321" s="272" t="str">
        <f t="shared" si="5"/>
        <v>#REF!</v>
      </c>
      <c r="C1321" s="154"/>
      <c r="D1321" s="196"/>
      <c r="E1321" s="196"/>
      <c r="F1321" s="196"/>
      <c r="G1321" s="152"/>
      <c r="H1321" s="152"/>
      <c r="I1321" s="196"/>
      <c r="J1321" s="196"/>
      <c r="K1321" s="196"/>
      <c r="L1321" s="259"/>
    </row>
    <row r="1322" ht="22.5" customHeight="1">
      <c r="A1322" s="202"/>
      <c r="B1322" s="273" t="str">
        <f t="shared" si="5"/>
        <v>#REF!</v>
      </c>
      <c r="C1322" s="146"/>
      <c r="D1322" s="197"/>
      <c r="E1322" s="197"/>
      <c r="F1322" s="197"/>
      <c r="G1322" s="144"/>
      <c r="H1322" s="144"/>
      <c r="I1322" s="197"/>
      <c r="J1322" s="197"/>
      <c r="K1322" s="197"/>
      <c r="L1322" s="257"/>
    </row>
    <row r="1323" ht="22.5" customHeight="1">
      <c r="A1323" s="250"/>
      <c r="B1323" s="272" t="str">
        <f t="shared" si="5"/>
        <v>#REF!</v>
      </c>
      <c r="C1323" s="154"/>
      <c r="D1323" s="196"/>
      <c r="E1323" s="196"/>
      <c r="F1323" s="196"/>
      <c r="G1323" s="152"/>
      <c r="H1323" s="152"/>
      <c r="I1323" s="196"/>
      <c r="J1323" s="196"/>
      <c r="K1323" s="196"/>
      <c r="L1323" s="259"/>
    </row>
    <row r="1324" ht="22.5" customHeight="1">
      <c r="A1324" s="202"/>
      <c r="B1324" s="273" t="str">
        <f t="shared" si="5"/>
        <v>#REF!</v>
      </c>
      <c r="C1324" s="146"/>
      <c r="D1324" s="197"/>
      <c r="E1324" s="197"/>
      <c r="F1324" s="197"/>
      <c r="G1324" s="144"/>
      <c r="H1324" s="144"/>
      <c r="I1324" s="197"/>
      <c r="J1324" s="197"/>
      <c r="K1324" s="197"/>
      <c r="L1324" s="257"/>
    </row>
    <row r="1325" ht="22.5" customHeight="1">
      <c r="A1325" s="250"/>
      <c r="B1325" s="272" t="str">
        <f t="shared" si="5"/>
        <v>#REF!</v>
      </c>
      <c r="C1325" s="154"/>
      <c r="D1325" s="196"/>
      <c r="E1325" s="196"/>
      <c r="F1325" s="196"/>
      <c r="G1325" s="152"/>
      <c r="H1325" s="152"/>
      <c r="I1325" s="196"/>
      <c r="J1325" s="196"/>
      <c r="K1325" s="196"/>
      <c r="L1325" s="259"/>
    </row>
    <row r="1326" ht="22.5" customHeight="1">
      <c r="A1326" s="202"/>
      <c r="B1326" s="273" t="str">
        <f t="shared" si="5"/>
        <v>#REF!</v>
      </c>
      <c r="C1326" s="146"/>
      <c r="D1326" s="197"/>
      <c r="E1326" s="197"/>
      <c r="F1326" s="197"/>
      <c r="G1326" s="144"/>
      <c r="H1326" s="144"/>
      <c r="I1326" s="197"/>
      <c r="J1326" s="197"/>
      <c r="K1326" s="197"/>
      <c r="L1326" s="257"/>
    </row>
    <row r="1327" ht="22.5" customHeight="1">
      <c r="A1327" s="250"/>
      <c r="B1327" s="272" t="str">
        <f t="shared" si="5"/>
        <v>#REF!</v>
      </c>
      <c r="C1327" s="154"/>
      <c r="D1327" s="196"/>
      <c r="E1327" s="196"/>
      <c r="F1327" s="196"/>
      <c r="G1327" s="152"/>
      <c r="H1327" s="152"/>
      <c r="I1327" s="196"/>
      <c r="J1327" s="196"/>
      <c r="K1327" s="196"/>
      <c r="L1327" s="259"/>
    </row>
    <row r="1328" ht="22.5" customHeight="1">
      <c r="A1328" s="202"/>
      <c r="B1328" s="273" t="str">
        <f t="shared" si="5"/>
        <v>#REF!</v>
      </c>
      <c r="C1328" s="146"/>
      <c r="D1328" s="197"/>
      <c r="E1328" s="197"/>
      <c r="F1328" s="197"/>
      <c r="G1328" s="144"/>
      <c r="H1328" s="144"/>
      <c r="I1328" s="197"/>
      <c r="J1328" s="197"/>
      <c r="K1328" s="197"/>
      <c r="L1328" s="257"/>
    </row>
    <row r="1329" ht="22.5" customHeight="1">
      <c r="A1329" s="250"/>
      <c r="B1329" s="272" t="str">
        <f t="shared" si="5"/>
        <v>#REF!</v>
      </c>
      <c r="C1329" s="154"/>
      <c r="D1329" s="196"/>
      <c r="E1329" s="196"/>
      <c r="F1329" s="196"/>
      <c r="G1329" s="152"/>
      <c r="H1329" s="152"/>
      <c r="I1329" s="196"/>
      <c r="J1329" s="196"/>
      <c r="K1329" s="196"/>
      <c r="L1329" s="259"/>
    </row>
    <row r="1330" ht="22.5" customHeight="1">
      <c r="A1330" s="202"/>
      <c r="B1330" s="273" t="str">
        <f t="shared" si="5"/>
        <v>#REF!</v>
      </c>
      <c r="C1330" s="146"/>
      <c r="D1330" s="197"/>
      <c r="E1330" s="197"/>
      <c r="F1330" s="197"/>
      <c r="G1330" s="144"/>
      <c r="H1330" s="144"/>
      <c r="I1330" s="197"/>
      <c r="J1330" s="197"/>
      <c r="K1330" s="197"/>
      <c r="L1330" s="257"/>
    </row>
    <row r="1331" ht="22.5" customHeight="1">
      <c r="A1331" s="250"/>
      <c r="B1331" s="272" t="str">
        <f t="shared" si="5"/>
        <v>#REF!</v>
      </c>
      <c r="C1331" s="154"/>
      <c r="D1331" s="196"/>
      <c r="E1331" s="196"/>
      <c r="F1331" s="196"/>
      <c r="G1331" s="152"/>
      <c r="H1331" s="152"/>
      <c r="I1331" s="196"/>
      <c r="J1331" s="196"/>
      <c r="K1331" s="196"/>
      <c r="L1331" s="259"/>
    </row>
    <row r="1332" ht="22.5" customHeight="1">
      <c r="A1332" s="202"/>
      <c r="B1332" s="273" t="str">
        <f t="shared" si="5"/>
        <v>#REF!</v>
      </c>
      <c r="C1332" s="146"/>
      <c r="D1332" s="197"/>
      <c r="E1332" s="197"/>
      <c r="F1332" s="197"/>
      <c r="G1332" s="144"/>
      <c r="H1332" s="144"/>
      <c r="I1332" s="197"/>
      <c r="J1332" s="197"/>
      <c r="K1332" s="197"/>
      <c r="L1332" s="257"/>
    </row>
    <row r="1333" ht="22.5" customHeight="1">
      <c r="A1333" s="250"/>
      <c r="B1333" s="272" t="str">
        <f t="shared" si="5"/>
        <v>#REF!</v>
      </c>
      <c r="C1333" s="154"/>
      <c r="D1333" s="196"/>
      <c r="E1333" s="196"/>
      <c r="F1333" s="196"/>
      <c r="G1333" s="152"/>
      <c r="H1333" s="152"/>
      <c r="I1333" s="196"/>
      <c r="J1333" s="196"/>
      <c r="K1333" s="196"/>
      <c r="L1333" s="259"/>
    </row>
    <row r="1334" ht="22.5" customHeight="1">
      <c r="A1334" s="202"/>
      <c r="B1334" s="273" t="str">
        <f t="shared" si="5"/>
        <v>#REF!</v>
      </c>
      <c r="C1334" s="146"/>
      <c r="D1334" s="197"/>
      <c r="E1334" s="197"/>
      <c r="F1334" s="197"/>
      <c r="G1334" s="144"/>
      <c r="H1334" s="144"/>
      <c r="I1334" s="197"/>
      <c r="J1334" s="197"/>
      <c r="K1334" s="197"/>
      <c r="L1334" s="257"/>
    </row>
    <row r="1335" ht="22.5" customHeight="1">
      <c r="A1335" s="250"/>
      <c r="B1335" s="272" t="str">
        <f t="shared" si="5"/>
        <v>#REF!</v>
      </c>
      <c r="C1335" s="154"/>
      <c r="D1335" s="196"/>
      <c r="E1335" s="196"/>
      <c r="F1335" s="196"/>
      <c r="G1335" s="152"/>
      <c r="H1335" s="152"/>
      <c r="I1335" s="196"/>
      <c r="J1335" s="196"/>
      <c r="K1335" s="196"/>
      <c r="L1335" s="259"/>
    </row>
    <row r="1336" ht="22.5" customHeight="1">
      <c r="A1336" s="202"/>
      <c r="B1336" s="273" t="str">
        <f t="shared" si="5"/>
        <v>#REF!</v>
      </c>
      <c r="C1336" s="146"/>
      <c r="D1336" s="197"/>
      <c r="E1336" s="197"/>
      <c r="F1336" s="197"/>
      <c r="G1336" s="144"/>
      <c r="H1336" s="144"/>
      <c r="I1336" s="197"/>
      <c r="J1336" s="197"/>
      <c r="K1336" s="197"/>
      <c r="L1336" s="257"/>
    </row>
    <row r="1337" ht="22.5" customHeight="1">
      <c r="A1337" s="250"/>
      <c r="B1337" s="272" t="str">
        <f t="shared" si="5"/>
        <v>#REF!</v>
      </c>
      <c r="C1337" s="154"/>
      <c r="D1337" s="196"/>
      <c r="E1337" s="196"/>
      <c r="F1337" s="196"/>
      <c r="G1337" s="152"/>
      <c r="H1337" s="152"/>
      <c r="I1337" s="196"/>
      <c r="J1337" s="196"/>
      <c r="K1337" s="196"/>
      <c r="L1337" s="259"/>
    </row>
    <row r="1338" ht="22.5" customHeight="1">
      <c r="A1338" s="202"/>
      <c r="B1338" s="273" t="str">
        <f t="shared" si="5"/>
        <v>#REF!</v>
      </c>
      <c r="C1338" s="146"/>
      <c r="D1338" s="197"/>
      <c r="E1338" s="197"/>
      <c r="F1338" s="197"/>
      <c r="G1338" s="144"/>
      <c r="H1338" s="144"/>
      <c r="I1338" s="197"/>
      <c r="J1338" s="197"/>
      <c r="K1338" s="197"/>
      <c r="L1338" s="257"/>
    </row>
    <row r="1339" ht="22.5" customHeight="1">
      <c r="A1339" s="250"/>
      <c r="B1339" s="272" t="str">
        <f t="shared" si="5"/>
        <v>#REF!</v>
      </c>
      <c r="C1339" s="154"/>
      <c r="D1339" s="196"/>
      <c r="E1339" s="196"/>
      <c r="F1339" s="196"/>
      <c r="G1339" s="152"/>
      <c r="H1339" s="152"/>
      <c r="I1339" s="196"/>
      <c r="J1339" s="196"/>
      <c r="K1339" s="196"/>
      <c r="L1339" s="259"/>
    </row>
    <row r="1340" ht="22.5" customHeight="1">
      <c r="A1340" s="202"/>
      <c r="B1340" s="273" t="str">
        <f t="shared" si="5"/>
        <v>#REF!</v>
      </c>
      <c r="C1340" s="146"/>
      <c r="D1340" s="197"/>
      <c r="E1340" s="197"/>
      <c r="F1340" s="197"/>
      <c r="G1340" s="144"/>
      <c r="H1340" s="144"/>
      <c r="I1340" s="197"/>
      <c r="J1340" s="197"/>
      <c r="K1340" s="197"/>
      <c r="L1340" s="257"/>
    </row>
    <row r="1341" ht="22.5" customHeight="1">
      <c r="A1341" s="250"/>
      <c r="B1341" s="272" t="str">
        <f t="shared" si="5"/>
        <v>#REF!</v>
      </c>
      <c r="C1341" s="154"/>
      <c r="D1341" s="196"/>
      <c r="E1341" s="196"/>
      <c r="F1341" s="196"/>
      <c r="G1341" s="152"/>
      <c r="H1341" s="152"/>
      <c r="I1341" s="196"/>
      <c r="J1341" s="196"/>
      <c r="K1341" s="196"/>
      <c r="L1341" s="259"/>
    </row>
    <row r="1342" ht="22.5" customHeight="1">
      <c r="A1342" s="202"/>
      <c r="B1342" s="273" t="str">
        <f t="shared" si="5"/>
        <v>#REF!</v>
      </c>
      <c r="C1342" s="146"/>
      <c r="D1342" s="197"/>
      <c r="E1342" s="197"/>
      <c r="F1342" s="197"/>
      <c r="G1342" s="144"/>
      <c r="H1342" s="144"/>
      <c r="I1342" s="197"/>
      <c r="J1342" s="197"/>
      <c r="K1342" s="197"/>
      <c r="L1342" s="257"/>
    </row>
    <row r="1343" ht="22.5" customHeight="1">
      <c r="A1343" s="250"/>
      <c r="B1343" s="272" t="str">
        <f t="shared" si="5"/>
        <v>#REF!</v>
      </c>
      <c r="C1343" s="154"/>
      <c r="D1343" s="196"/>
      <c r="E1343" s="196"/>
      <c r="F1343" s="196"/>
      <c r="G1343" s="152"/>
      <c r="H1343" s="152"/>
      <c r="I1343" s="196"/>
      <c r="J1343" s="196"/>
      <c r="K1343" s="196"/>
      <c r="L1343" s="259"/>
    </row>
    <row r="1344" ht="22.5" customHeight="1">
      <c r="A1344" s="202"/>
      <c r="B1344" s="273" t="str">
        <f t="shared" si="5"/>
        <v>#REF!</v>
      </c>
      <c r="C1344" s="146"/>
      <c r="D1344" s="197"/>
      <c r="E1344" s="197"/>
      <c r="F1344" s="197"/>
      <c r="G1344" s="144"/>
      <c r="H1344" s="144"/>
      <c r="I1344" s="197"/>
      <c r="J1344" s="197"/>
      <c r="K1344" s="197"/>
      <c r="L1344" s="257"/>
    </row>
    <row r="1345" ht="22.5" customHeight="1">
      <c r="A1345" s="250"/>
      <c r="B1345" s="272" t="str">
        <f t="shared" si="5"/>
        <v>#REF!</v>
      </c>
      <c r="C1345" s="154"/>
      <c r="D1345" s="196"/>
      <c r="E1345" s="196"/>
      <c r="F1345" s="196"/>
      <c r="G1345" s="152"/>
      <c r="H1345" s="152"/>
      <c r="I1345" s="196"/>
      <c r="J1345" s="196"/>
      <c r="K1345" s="196"/>
      <c r="L1345" s="259"/>
    </row>
    <row r="1346" ht="22.5" customHeight="1">
      <c r="A1346" s="202"/>
      <c r="B1346" s="273" t="str">
        <f t="shared" si="5"/>
        <v>#REF!</v>
      </c>
      <c r="C1346" s="146"/>
      <c r="D1346" s="197"/>
      <c r="E1346" s="197"/>
      <c r="F1346" s="197"/>
      <c r="G1346" s="144"/>
      <c r="H1346" s="144"/>
      <c r="I1346" s="197"/>
      <c r="J1346" s="197"/>
      <c r="K1346" s="197"/>
      <c r="L1346" s="257"/>
    </row>
    <row r="1347" ht="22.5" customHeight="1">
      <c r="A1347" s="250"/>
      <c r="B1347" s="272" t="str">
        <f t="shared" si="5"/>
        <v>#REF!</v>
      </c>
      <c r="C1347" s="154"/>
      <c r="D1347" s="196"/>
      <c r="E1347" s="196"/>
      <c r="F1347" s="196"/>
      <c r="G1347" s="152"/>
      <c r="H1347" s="152"/>
      <c r="I1347" s="196"/>
      <c r="J1347" s="196"/>
      <c r="K1347" s="196"/>
      <c r="L1347" s="259"/>
    </row>
    <row r="1348" ht="22.5" customHeight="1">
      <c r="A1348" s="202"/>
      <c r="B1348" s="273" t="str">
        <f t="shared" si="5"/>
        <v>#REF!</v>
      </c>
      <c r="C1348" s="146"/>
      <c r="D1348" s="197"/>
      <c r="E1348" s="197"/>
      <c r="F1348" s="197"/>
      <c r="G1348" s="144"/>
      <c r="H1348" s="144"/>
      <c r="I1348" s="197"/>
      <c r="J1348" s="197"/>
      <c r="K1348" s="197"/>
      <c r="L1348" s="257"/>
    </row>
    <row r="1349" ht="22.5" customHeight="1">
      <c r="A1349" s="250"/>
      <c r="B1349" s="272" t="str">
        <f t="shared" si="5"/>
        <v>#REF!</v>
      </c>
      <c r="C1349" s="154"/>
      <c r="D1349" s="196"/>
      <c r="E1349" s="196"/>
      <c r="F1349" s="196"/>
      <c r="G1349" s="152"/>
      <c r="H1349" s="152"/>
      <c r="I1349" s="196"/>
      <c r="J1349" s="196"/>
      <c r="K1349" s="196"/>
      <c r="L1349" s="259"/>
    </row>
    <row r="1350" ht="22.5" customHeight="1">
      <c r="A1350" s="202"/>
      <c r="B1350" s="273" t="str">
        <f t="shared" si="5"/>
        <v>#REF!</v>
      </c>
      <c r="C1350" s="146"/>
      <c r="D1350" s="197"/>
      <c r="E1350" s="197"/>
      <c r="F1350" s="197"/>
      <c r="G1350" s="144"/>
      <c r="H1350" s="144"/>
      <c r="I1350" s="197"/>
      <c r="J1350" s="197"/>
      <c r="K1350" s="197"/>
      <c r="L1350" s="257"/>
    </row>
    <row r="1351" ht="22.5" customHeight="1">
      <c r="A1351" s="250"/>
      <c r="B1351" s="272" t="str">
        <f t="shared" si="5"/>
        <v>#REF!</v>
      </c>
      <c r="C1351" s="154"/>
      <c r="D1351" s="196"/>
      <c r="E1351" s="196"/>
      <c r="F1351" s="196"/>
      <c r="G1351" s="152"/>
      <c r="H1351" s="152"/>
      <c r="I1351" s="196"/>
      <c r="J1351" s="196"/>
      <c r="K1351" s="196"/>
      <c r="L1351" s="259"/>
    </row>
    <row r="1352" ht="22.5" customHeight="1">
      <c r="A1352" s="202"/>
      <c r="B1352" s="273" t="str">
        <f t="shared" si="5"/>
        <v>#REF!</v>
      </c>
      <c r="C1352" s="146"/>
      <c r="D1352" s="197"/>
      <c r="E1352" s="197"/>
      <c r="F1352" s="197"/>
      <c r="G1352" s="144"/>
      <c r="H1352" s="144"/>
      <c r="I1352" s="197"/>
      <c r="J1352" s="197"/>
      <c r="K1352" s="197"/>
      <c r="L1352" s="257"/>
    </row>
    <row r="1353" ht="22.5" customHeight="1">
      <c r="A1353" s="250"/>
      <c r="B1353" s="272" t="str">
        <f t="shared" si="5"/>
        <v>#REF!</v>
      </c>
      <c r="C1353" s="154"/>
      <c r="D1353" s="196"/>
      <c r="E1353" s="196"/>
      <c r="F1353" s="196"/>
      <c r="G1353" s="152"/>
      <c r="H1353" s="152"/>
      <c r="I1353" s="196"/>
      <c r="J1353" s="196"/>
      <c r="K1353" s="196"/>
      <c r="L1353" s="259"/>
    </row>
    <row r="1354" ht="22.5" customHeight="1">
      <c r="A1354" s="202"/>
      <c r="B1354" s="273" t="str">
        <f t="shared" si="5"/>
        <v>#REF!</v>
      </c>
      <c r="C1354" s="146"/>
      <c r="D1354" s="197"/>
      <c r="E1354" s="197"/>
      <c r="F1354" s="197"/>
      <c r="G1354" s="144"/>
      <c r="H1354" s="144"/>
      <c r="I1354" s="197"/>
      <c r="J1354" s="197"/>
      <c r="K1354" s="197"/>
      <c r="L1354" s="257"/>
    </row>
    <row r="1355" ht="22.5" customHeight="1">
      <c r="A1355" s="250"/>
      <c r="B1355" s="272" t="str">
        <f t="shared" si="5"/>
        <v>#REF!</v>
      </c>
      <c r="C1355" s="154"/>
      <c r="D1355" s="196"/>
      <c r="E1355" s="196"/>
      <c r="F1355" s="196"/>
      <c r="G1355" s="152"/>
      <c r="H1355" s="152"/>
      <c r="I1355" s="196"/>
      <c r="J1355" s="196"/>
      <c r="K1355" s="196"/>
      <c r="L1355" s="259"/>
    </row>
    <row r="1356" ht="22.5" customHeight="1">
      <c r="A1356" s="202"/>
      <c r="B1356" s="273" t="str">
        <f t="shared" si="5"/>
        <v>#REF!</v>
      </c>
      <c r="C1356" s="146"/>
      <c r="D1356" s="197"/>
      <c r="E1356" s="197"/>
      <c r="F1356" s="197"/>
      <c r="G1356" s="144"/>
      <c r="H1356" s="144"/>
      <c r="I1356" s="197"/>
      <c r="J1356" s="197"/>
      <c r="K1356" s="197"/>
      <c r="L1356" s="257"/>
    </row>
    <row r="1357" ht="22.5" customHeight="1">
      <c r="A1357" s="250"/>
      <c r="B1357" s="272" t="str">
        <f t="shared" si="5"/>
        <v>#REF!</v>
      </c>
      <c r="C1357" s="154"/>
      <c r="D1357" s="196"/>
      <c r="E1357" s="196"/>
      <c r="F1357" s="196"/>
      <c r="G1357" s="152"/>
      <c r="H1357" s="152"/>
      <c r="I1357" s="196"/>
      <c r="J1357" s="196"/>
      <c r="K1357" s="196"/>
      <c r="L1357" s="259"/>
    </row>
    <row r="1358" ht="22.5" customHeight="1">
      <c r="A1358" s="202"/>
      <c r="B1358" s="273" t="str">
        <f t="shared" si="5"/>
        <v>#REF!</v>
      </c>
      <c r="C1358" s="146"/>
      <c r="D1358" s="197"/>
      <c r="E1358" s="197"/>
      <c r="F1358" s="197"/>
      <c r="G1358" s="144"/>
      <c r="H1358" s="144"/>
      <c r="I1358" s="197"/>
      <c r="J1358" s="197"/>
      <c r="K1358" s="197"/>
      <c r="L1358" s="257"/>
    </row>
    <row r="1359" ht="22.5" customHeight="1">
      <c r="A1359" s="250"/>
      <c r="B1359" s="272" t="str">
        <f t="shared" si="5"/>
        <v>#REF!</v>
      </c>
      <c r="C1359" s="154"/>
      <c r="D1359" s="196"/>
      <c r="E1359" s="196"/>
      <c r="F1359" s="196"/>
      <c r="G1359" s="152"/>
      <c r="H1359" s="152"/>
      <c r="I1359" s="196"/>
      <c r="J1359" s="196"/>
      <c r="K1359" s="196"/>
      <c r="L1359" s="259"/>
    </row>
    <row r="1360" ht="22.5" customHeight="1">
      <c r="A1360" s="202"/>
      <c r="B1360" s="273" t="str">
        <f t="shared" si="5"/>
        <v>#REF!</v>
      </c>
      <c r="C1360" s="146"/>
      <c r="D1360" s="197"/>
      <c r="E1360" s="197"/>
      <c r="F1360" s="197"/>
      <c r="G1360" s="144"/>
      <c r="H1360" s="144"/>
      <c r="I1360" s="197"/>
      <c r="J1360" s="197"/>
      <c r="K1360" s="197"/>
      <c r="L1360" s="257"/>
    </row>
    <row r="1361" ht="22.5" customHeight="1">
      <c r="A1361" s="250"/>
      <c r="B1361" s="272" t="str">
        <f t="shared" si="5"/>
        <v>#REF!</v>
      </c>
      <c r="C1361" s="154"/>
      <c r="D1361" s="196"/>
      <c r="E1361" s="196"/>
      <c r="F1361" s="196"/>
      <c r="G1361" s="152"/>
      <c r="H1361" s="152"/>
      <c r="I1361" s="196"/>
      <c r="J1361" s="196"/>
      <c r="K1361" s="196"/>
      <c r="L1361" s="259"/>
    </row>
    <row r="1362" ht="22.5" customHeight="1">
      <c r="A1362" s="202"/>
      <c r="B1362" s="273" t="str">
        <f t="shared" si="5"/>
        <v>#REF!</v>
      </c>
      <c r="C1362" s="146"/>
      <c r="D1362" s="197"/>
      <c r="E1362" s="197"/>
      <c r="F1362" s="197"/>
      <c r="G1362" s="144"/>
      <c r="H1362" s="144"/>
      <c r="I1362" s="197"/>
      <c r="J1362" s="197"/>
      <c r="K1362" s="197"/>
      <c r="L1362" s="257"/>
    </row>
    <row r="1363" ht="22.5" customHeight="1">
      <c r="A1363" s="250"/>
      <c r="B1363" s="272" t="str">
        <f t="shared" si="5"/>
        <v>#REF!</v>
      </c>
      <c r="C1363" s="154"/>
      <c r="D1363" s="196"/>
      <c r="E1363" s="196"/>
      <c r="F1363" s="196"/>
      <c r="G1363" s="152"/>
      <c r="H1363" s="152"/>
      <c r="I1363" s="196"/>
      <c r="J1363" s="196"/>
      <c r="K1363" s="196"/>
      <c r="L1363" s="259"/>
    </row>
    <row r="1364" ht="22.5" customHeight="1">
      <c r="A1364" s="202"/>
      <c r="B1364" s="273" t="str">
        <f t="shared" si="5"/>
        <v>#REF!</v>
      </c>
      <c r="C1364" s="146"/>
      <c r="D1364" s="197"/>
      <c r="E1364" s="197"/>
      <c r="F1364" s="197"/>
      <c r="G1364" s="144"/>
      <c r="H1364" s="144"/>
      <c r="I1364" s="197"/>
      <c r="J1364" s="197"/>
      <c r="K1364" s="197"/>
      <c r="L1364" s="257"/>
    </row>
    <row r="1365" ht="22.5" customHeight="1">
      <c r="A1365" s="250"/>
      <c r="B1365" s="272" t="str">
        <f t="shared" si="5"/>
        <v>#REF!</v>
      </c>
      <c r="C1365" s="154"/>
      <c r="D1365" s="196"/>
      <c r="E1365" s="196"/>
      <c r="F1365" s="196"/>
      <c r="G1365" s="152"/>
      <c r="H1365" s="152"/>
      <c r="I1365" s="196"/>
      <c r="J1365" s="196"/>
      <c r="K1365" s="196"/>
      <c r="L1365" s="259"/>
    </row>
    <row r="1366" ht="22.5" customHeight="1">
      <c r="A1366" s="202"/>
      <c r="B1366" s="273" t="str">
        <f t="shared" si="5"/>
        <v>#REF!</v>
      </c>
      <c r="C1366" s="146"/>
      <c r="D1366" s="197"/>
      <c r="E1366" s="197"/>
      <c r="F1366" s="197"/>
      <c r="G1366" s="144"/>
      <c r="H1366" s="144"/>
      <c r="I1366" s="197"/>
      <c r="J1366" s="197"/>
      <c r="K1366" s="197"/>
      <c r="L1366" s="257"/>
    </row>
    <row r="1367" ht="22.5" customHeight="1">
      <c r="A1367" s="250"/>
      <c r="B1367" s="272" t="str">
        <f t="shared" si="5"/>
        <v>#REF!</v>
      </c>
      <c r="C1367" s="154"/>
      <c r="D1367" s="196"/>
      <c r="E1367" s="196"/>
      <c r="F1367" s="196"/>
      <c r="G1367" s="152"/>
      <c r="H1367" s="152"/>
      <c r="I1367" s="196"/>
      <c r="J1367" s="196"/>
      <c r="K1367" s="196"/>
      <c r="L1367" s="259"/>
    </row>
    <row r="1368" ht="22.5" customHeight="1">
      <c r="A1368" s="202"/>
      <c r="B1368" s="273" t="str">
        <f t="shared" si="5"/>
        <v>#REF!</v>
      </c>
      <c r="C1368" s="146"/>
      <c r="D1368" s="197"/>
      <c r="E1368" s="197"/>
      <c r="F1368" s="197"/>
      <c r="G1368" s="144"/>
      <c r="H1368" s="144"/>
      <c r="I1368" s="197"/>
      <c r="J1368" s="197"/>
      <c r="K1368" s="197"/>
      <c r="L1368" s="257"/>
    </row>
    <row r="1369" ht="22.5" customHeight="1">
      <c r="A1369" s="250"/>
      <c r="B1369" s="272" t="str">
        <f t="shared" si="5"/>
        <v>#REF!</v>
      </c>
      <c r="C1369" s="154"/>
      <c r="D1369" s="196"/>
      <c r="E1369" s="196"/>
      <c r="F1369" s="196"/>
      <c r="G1369" s="152"/>
      <c r="H1369" s="152"/>
      <c r="I1369" s="196"/>
      <c r="J1369" s="196"/>
      <c r="K1369" s="196"/>
      <c r="L1369" s="259"/>
    </row>
    <row r="1370" ht="22.5" customHeight="1">
      <c r="A1370" s="202"/>
      <c r="B1370" s="273" t="str">
        <f t="shared" si="5"/>
        <v>#REF!</v>
      </c>
      <c r="C1370" s="146"/>
      <c r="D1370" s="197"/>
      <c r="E1370" s="197"/>
      <c r="F1370" s="197"/>
      <c r="G1370" s="144"/>
      <c r="H1370" s="144"/>
      <c r="I1370" s="197"/>
      <c r="J1370" s="197"/>
      <c r="K1370" s="197"/>
      <c r="L1370" s="257"/>
    </row>
    <row r="1371" ht="22.5" customHeight="1">
      <c r="A1371" s="250"/>
      <c r="B1371" s="272" t="str">
        <f t="shared" si="5"/>
        <v>#REF!</v>
      </c>
      <c r="C1371" s="154"/>
      <c r="D1371" s="196"/>
      <c r="E1371" s="196"/>
      <c r="F1371" s="196"/>
      <c r="G1371" s="152"/>
      <c r="H1371" s="152"/>
      <c r="I1371" s="196"/>
      <c r="J1371" s="196"/>
      <c r="K1371" s="196"/>
      <c r="L1371" s="259"/>
    </row>
    <row r="1372" ht="22.5" customHeight="1">
      <c r="A1372" s="202"/>
      <c r="B1372" s="273" t="str">
        <f t="shared" si="5"/>
        <v>#REF!</v>
      </c>
      <c r="C1372" s="146"/>
      <c r="D1372" s="197"/>
      <c r="E1372" s="197"/>
      <c r="F1372" s="197"/>
      <c r="G1372" s="144"/>
      <c r="H1372" s="144"/>
      <c r="I1372" s="197"/>
      <c r="J1372" s="197"/>
      <c r="K1372" s="197"/>
      <c r="L1372" s="257"/>
    </row>
    <row r="1373" ht="22.5" customHeight="1">
      <c r="A1373" s="250"/>
      <c r="B1373" s="272" t="str">
        <f t="shared" si="5"/>
        <v>#REF!</v>
      </c>
      <c r="C1373" s="154"/>
      <c r="D1373" s="196"/>
      <c r="E1373" s="196"/>
      <c r="F1373" s="196"/>
      <c r="G1373" s="152"/>
      <c r="H1373" s="152"/>
      <c r="I1373" s="196"/>
      <c r="J1373" s="196"/>
      <c r="K1373" s="196"/>
      <c r="L1373" s="259"/>
    </row>
    <row r="1374" ht="22.5" customHeight="1">
      <c r="A1374" s="202"/>
      <c r="B1374" s="273" t="str">
        <f t="shared" si="5"/>
        <v>#REF!</v>
      </c>
      <c r="C1374" s="146"/>
      <c r="D1374" s="197"/>
      <c r="E1374" s="197"/>
      <c r="F1374" s="197"/>
      <c r="G1374" s="144"/>
      <c r="H1374" s="144"/>
      <c r="I1374" s="197"/>
      <c r="J1374" s="197"/>
      <c r="K1374" s="197"/>
      <c r="L1374" s="257"/>
    </row>
    <row r="1375" ht="22.5" customHeight="1">
      <c r="A1375" s="250"/>
      <c r="B1375" s="272" t="str">
        <f t="shared" si="5"/>
        <v>#REF!</v>
      </c>
      <c r="C1375" s="154"/>
      <c r="D1375" s="196"/>
      <c r="E1375" s="196"/>
      <c r="F1375" s="196"/>
      <c r="G1375" s="152"/>
      <c r="H1375" s="152"/>
      <c r="I1375" s="196"/>
      <c r="J1375" s="196"/>
      <c r="K1375" s="196"/>
      <c r="L1375" s="259"/>
    </row>
    <row r="1376" ht="22.5" customHeight="1">
      <c r="A1376" s="202"/>
      <c r="B1376" s="273" t="str">
        <f t="shared" si="5"/>
        <v>#REF!</v>
      </c>
      <c r="C1376" s="146"/>
      <c r="D1376" s="197"/>
      <c r="E1376" s="197"/>
      <c r="F1376" s="197"/>
      <c r="G1376" s="144"/>
      <c r="H1376" s="144"/>
      <c r="I1376" s="197"/>
      <c r="J1376" s="197"/>
      <c r="K1376" s="197"/>
      <c r="L1376" s="257"/>
    </row>
    <row r="1377" ht="22.5" customHeight="1">
      <c r="A1377" s="250"/>
      <c r="B1377" s="272" t="str">
        <f t="shared" si="5"/>
        <v>#REF!</v>
      </c>
      <c r="C1377" s="154"/>
      <c r="D1377" s="196"/>
      <c r="E1377" s="196"/>
      <c r="F1377" s="196"/>
      <c r="G1377" s="152"/>
      <c r="H1377" s="152"/>
      <c r="I1377" s="196"/>
      <c r="J1377" s="196"/>
      <c r="K1377" s="196"/>
      <c r="L1377" s="259"/>
    </row>
    <row r="1378" ht="22.5" customHeight="1">
      <c r="A1378" s="202"/>
      <c r="B1378" s="273" t="str">
        <f t="shared" si="5"/>
        <v>#REF!</v>
      </c>
      <c r="C1378" s="146"/>
      <c r="D1378" s="197"/>
      <c r="E1378" s="197"/>
      <c r="F1378" s="197"/>
      <c r="G1378" s="144"/>
      <c r="H1378" s="144"/>
      <c r="I1378" s="197"/>
      <c r="J1378" s="197"/>
      <c r="K1378" s="197"/>
      <c r="L1378" s="257"/>
    </row>
    <row r="1379" ht="22.5" customHeight="1">
      <c r="A1379" s="250"/>
      <c r="B1379" s="272" t="str">
        <f t="shared" si="5"/>
        <v>#REF!</v>
      </c>
      <c r="C1379" s="154"/>
      <c r="D1379" s="196"/>
      <c r="E1379" s="196"/>
      <c r="F1379" s="196"/>
      <c r="G1379" s="152"/>
      <c r="H1379" s="152"/>
      <c r="I1379" s="196"/>
      <c r="J1379" s="196"/>
      <c r="K1379" s="196"/>
      <c r="L1379" s="259"/>
    </row>
    <row r="1380" ht="22.5" customHeight="1">
      <c r="A1380" s="202"/>
      <c r="B1380" s="273" t="str">
        <f t="shared" si="5"/>
        <v>#REF!</v>
      </c>
      <c r="C1380" s="146"/>
      <c r="D1380" s="197"/>
      <c r="E1380" s="197"/>
      <c r="F1380" s="197"/>
      <c r="G1380" s="144"/>
      <c r="H1380" s="144"/>
      <c r="I1380" s="197"/>
      <c r="J1380" s="197"/>
      <c r="K1380" s="197"/>
      <c r="L1380" s="257"/>
    </row>
    <row r="1381" ht="22.5" customHeight="1">
      <c r="A1381" s="250"/>
      <c r="B1381" s="272" t="str">
        <f t="shared" si="5"/>
        <v>#REF!</v>
      </c>
      <c r="C1381" s="154"/>
      <c r="D1381" s="196"/>
      <c r="E1381" s="196"/>
      <c r="F1381" s="196"/>
      <c r="G1381" s="152"/>
      <c r="H1381" s="152"/>
      <c r="I1381" s="196"/>
      <c r="J1381" s="196"/>
      <c r="K1381" s="196"/>
      <c r="L1381" s="259"/>
    </row>
    <row r="1382" ht="22.5" customHeight="1">
      <c r="A1382" s="202"/>
      <c r="B1382" s="273" t="str">
        <f t="shared" si="5"/>
        <v>#REF!</v>
      </c>
      <c r="C1382" s="146"/>
      <c r="D1382" s="197"/>
      <c r="E1382" s="197"/>
      <c r="F1382" s="197"/>
      <c r="G1382" s="144"/>
      <c r="H1382" s="144"/>
      <c r="I1382" s="197"/>
      <c r="J1382" s="197"/>
      <c r="K1382" s="197"/>
      <c r="L1382" s="257"/>
    </row>
    <row r="1383" ht="22.5" customHeight="1">
      <c r="A1383" s="250"/>
      <c r="B1383" s="272" t="str">
        <f t="shared" si="5"/>
        <v>#REF!</v>
      </c>
      <c r="C1383" s="154"/>
      <c r="D1383" s="196"/>
      <c r="E1383" s="196"/>
      <c r="F1383" s="196"/>
      <c r="G1383" s="152"/>
      <c r="H1383" s="152"/>
      <c r="I1383" s="196"/>
      <c r="J1383" s="196"/>
      <c r="K1383" s="196"/>
      <c r="L1383" s="259"/>
    </row>
    <row r="1384" ht="22.5" customHeight="1">
      <c r="A1384" s="202"/>
      <c r="B1384" s="273" t="str">
        <f t="shared" si="5"/>
        <v>#REF!</v>
      </c>
      <c r="C1384" s="146"/>
      <c r="D1384" s="197"/>
      <c r="E1384" s="197"/>
      <c r="F1384" s="197"/>
      <c r="G1384" s="144"/>
      <c r="H1384" s="144"/>
      <c r="I1384" s="197"/>
      <c r="J1384" s="197"/>
      <c r="K1384" s="197"/>
      <c r="L1384" s="257"/>
    </row>
    <row r="1385" ht="22.5" customHeight="1">
      <c r="A1385" s="250"/>
      <c r="B1385" s="272" t="str">
        <f t="shared" si="5"/>
        <v>#REF!</v>
      </c>
      <c r="C1385" s="154"/>
      <c r="D1385" s="196"/>
      <c r="E1385" s="196"/>
      <c r="F1385" s="196"/>
      <c r="G1385" s="152"/>
      <c r="H1385" s="152"/>
      <c r="I1385" s="196"/>
      <c r="J1385" s="196"/>
      <c r="K1385" s="196"/>
      <c r="L1385" s="259"/>
    </row>
    <row r="1386" ht="22.5" customHeight="1">
      <c r="A1386" s="202"/>
      <c r="B1386" s="273" t="str">
        <f t="shared" si="5"/>
        <v>#REF!</v>
      </c>
      <c r="C1386" s="146"/>
      <c r="D1386" s="197"/>
      <c r="E1386" s="197"/>
      <c r="F1386" s="197"/>
      <c r="G1386" s="144"/>
      <c r="H1386" s="144"/>
      <c r="I1386" s="197"/>
      <c r="J1386" s="197"/>
      <c r="K1386" s="197"/>
      <c r="L1386" s="257"/>
    </row>
    <row r="1387" ht="22.5" customHeight="1">
      <c r="A1387" s="250"/>
      <c r="B1387" s="272" t="str">
        <f t="shared" si="5"/>
        <v>#REF!</v>
      </c>
      <c r="C1387" s="154"/>
      <c r="D1387" s="196"/>
      <c r="E1387" s="196"/>
      <c r="F1387" s="196"/>
      <c r="G1387" s="152"/>
      <c r="H1387" s="152"/>
      <c r="I1387" s="196"/>
      <c r="J1387" s="196"/>
      <c r="K1387" s="196"/>
      <c r="L1387" s="259"/>
    </row>
    <row r="1388" ht="22.5" customHeight="1">
      <c r="A1388" s="202"/>
      <c r="B1388" s="273" t="str">
        <f t="shared" si="5"/>
        <v>#REF!</v>
      </c>
      <c r="C1388" s="146"/>
      <c r="D1388" s="197"/>
      <c r="E1388" s="197"/>
      <c r="F1388" s="197"/>
      <c r="G1388" s="144"/>
      <c r="H1388" s="144"/>
      <c r="I1388" s="197"/>
      <c r="J1388" s="197"/>
      <c r="K1388" s="197"/>
      <c r="L1388" s="257"/>
    </row>
    <row r="1389" ht="22.5" customHeight="1">
      <c r="A1389" s="250"/>
      <c r="B1389" s="272" t="str">
        <f t="shared" si="5"/>
        <v>#REF!</v>
      </c>
      <c r="C1389" s="154"/>
      <c r="D1389" s="196"/>
      <c r="E1389" s="196"/>
      <c r="F1389" s="196"/>
      <c r="G1389" s="152"/>
      <c r="H1389" s="152"/>
      <c r="I1389" s="196"/>
      <c r="J1389" s="196"/>
      <c r="K1389" s="196"/>
      <c r="L1389" s="259"/>
    </row>
    <row r="1390" ht="22.5" customHeight="1">
      <c r="A1390" s="202"/>
      <c r="B1390" s="273" t="str">
        <f t="shared" si="5"/>
        <v>#REF!</v>
      </c>
      <c r="C1390" s="146"/>
      <c r="D1390" s="197"/>
      <c r="E1390" s="197"/>
      <c r="F1390" s="197"/>
      <c r="G1390" s="144"/>
      <c r="H1390" s="144"/>
      <c r="I1390" s="197"/>
      <c r="J1390" s="197"/>
      <c r="K1390" s="197"/>
      <c r="L1390" s="257"/>
    </row>
    <row r="1391" ht="22.5" customHeight="1">
      <c r="A1391" s="250"/>
      <c r="B1391" s="272" t="str">
        <f t="shared" si="5"/>
        <v>#REF!</v>
      </c>
      <c r="C1391" s="154"/>
      <c r="D1391" s="196"/>
      <c r="E1391" s="196"/>
      <c r="F1391" s="196"/>
      <c r="G1391" s="152"/>
      <c r="H1391" s="152"/>
      <c r="I1391" s="196"/>
      <c r="J1391" s="196"/>
      <c r="K1391" s="196"/>
      <c r="L1391" s="259"/>
    </row>
    <row r="1392" ht="22.5" customHeight="1">
      <c r="A1392" s="202"/>
      <c r="B1392" s="273" t="str">
        <f t="shared" si="5"/>
        <v>#REF!</v>
      </c>
      <c r="C1392" s="146"/>
      <c r="D1392" s="197"/>
      <c r="E1392" s="197"/>
      <c r="F1392" s="197"/>
      <c r="G1392" s="144"/>
      <c r="H1392" s="144"/>
      <c r="I1392" s="197"/>
      <c r="J1392" s="197"/>
      <c r="K1392" s="197"/>
      <c r="L1392" s="257"/>
    </row>
    <row r="1393" ht="22.5" customHeight="1">
      <c r="A1393" s="250"/>
      <c r="B1393" s="272" t="str">
        <f t="shared" si="5"/>
        <v>#REF!</v>
      </c>
      <c r="C1393" s="154"/>
      <c r="D1393" s="196"/>
      <c r="E1393" s="196"/>
      <c r="F1393" s="196"/>
      <c r="G1393" s="152"/>
      <c r="H1393" s="152"/>
      <c r="I1393" s="196"/>
      <c r="J1393" s="196"/>
      <c r="K1393" s="196"/>
      <c r="L1393" s="259"/>
    </row>
    <row r="1394" ht="22.5" customHeight="1">
      <c r="A1394" s="202"/>
      <c r="B1394" s="273" t="str">
        <f t="shared" si="5"/>
        <v>#REF!</v>
      </c>
      <c r="C1394" s="146"/>
      <c r="D1394" s="197"/>
      <c r="E1394" s="197"/>
      <c r="F1394" s="197"/>
      <c r="G1394" s="144"/>
      <c r="H1394" s="144"/>
      <c r="I1394" s="197"/>
      <c r="J1394" s="197"/>
      <c r="K1394" s="197"/>
      <c r="L1394" s="257"/>
    </row>
    <row r="1395" ht="22.5" customHeight="1">
      <c r="A1395" s="250"/>
      <c r="B1395" s="272" t="str">
        <f t="shared" si="5"/>
        <v>#REF!</v>
      </c>
      <c r="C1395" s="154"/>
      <c r="D1395" s="196"/>
      <c r="E1395" s="196"/>
      <c r="F1395" s="196"/>
      <c r="G1395" s="152"/>
      <c r="H1395" s="152"/>
      <c r="I1395" s="196"/>
      <c r="J1395" s="196"/>
      <c r="K1395" s="196"/>
      <c r="L1395" s="259"/>
    </row>
    <row r="1396" ht="22.5" customHeight="1">
      <c r="A1396" s="202"/>
      <c r="B1396" s="273" t="str">
        <f t="shared" si="5"/>
        <v>#REF!</v>
      </c>
      <c r="C1396" s="146"/>
      <c r="D1396" s="197"/>
      <c r="E1396" s="197"/>
      <c r="F1396" s="197"/>
      <c r="G1396" s="144"/>
      <c r="H1396" s="144"/>
      <c r="I1396" s="197"/>
      <c r="J1396" s="197"/>
      <c r="K1396" s="197"/>
      <c r="L1396" s="257"/>
    </row>
    <row r="1397" ht="22.5" customHeight="1">
      <c r="A1397" s="250"/>
      <c r="B1397" s="272" t="str">
        <f t="shared" si="5"/>
        <v>#REF!</v>
      </c>
      <c r="C1397" s="154"/>
      <c r="D1397" s="196"/>
      <c r="E1397" s="196"/>
      <c r="F1397" s="196"/>
      <c r="G1397" s="152"/>
      <c r="H1397" s="152"/>
      <c r="I1397" s="196"/>
      <c r="J1397" s="196"/>
      <c r="K1397" s="196"/>
      <c r="L1397" s="259"/>
    </row>
    <row r="1398" ht="22.5" customHeight="1">
      <c r="A1398" s="202"/>
      <c r="B1398" s="273" t="str">
        <f t="shared" si="5"/>
        <v>#REF!</v>
      </c>
      <c r="C1398" s="146"/>
      <c r="D1398" s="197"/>
      <c r="E1398" s="197"/>
      <c r="F1398" s="197"/>
      <c r="G1398" s="144"/>
      <c r="H1398" s="144"/>
      <c r="I1398" s="197"/>
      <c r="J1398" s="197"/>
      <c r="K1398" s="197"/>
      <c r="L1398" s="257"/>
    </row>
    <row r="1399" ht="22.5" customHeight="1">
      <c r="A1399" s="250"/>
      <c r="B1399" s="272" t="str">
        <f t="shared" si="5"/>
        <v>#REF!</v>
      </c>
      <c r="C1399" s="154"/>
      <c r="D1399" s="196"/>
      <c r="E1399" s="196"/>
      <c r="F1399" s="196"/>
      <c r="G1399" s="152"/>
      <c r="H1399" s="152"/>
      <c r="I1399" s="196"/>
      <c r="J1399" s="196"/>
      <c r="K1399" s="196"/>
      <c r="L1399" s="259"/>
    </row>
    <row r="1400" ht="22.5" customHeight="1">
      <c r="A1400" s="202"/>
      <c r="B1400" s="273" t="str">
        <f t="shared" si="5"/>
        <v>#REF!</v>
      </c>
      <c r="C1400" s="146"/>
      <c r="D1400" s="197"/>
      <c r="E1400" s="197"/>
      <c r="F1400" s="197"/>
      <c r="G1400" s="144"/>
      <c r="H1400" s="144"/>
      <c r="I1400" s="197"/>
      <c r="J1400" s="197"/>
      <c r="K1400" s="197"/>
      <c r="L1400" s="257"/>
    </row>
    <row r="1401" ht="22.5" customHeight="1">
      <c r="A1401" s="250"/>
      <c r="B1401" s="272" t="str">
        <f t="shared" si="5"/>
        <v>#REF!</v>
      </c>
      <c r="C1401" s="154"/>
      <c r="D1401" s="196"/>
      <c r="E1401" s="196"/>
      <c r="F1401" s="196"/>
      <c r="G1401" s="152"/>
      <c r="H1401" s="152"/>
      <c r="I1401" s="196"/>
      <c r="J1401" s="196"/>
      <c r="K1401" s="196"/>
      <c r="L1401" s="259"/>
    </row>
    <row r="1402" ht="22.5" customHeight="1">
      <c r="A1402" s="202"/>
      <c r="B1402" s="273" t="str">
        <f t="shared" si="5"/>
        <v>#REF!</v>
      </c>
      <c r="C1402" s="146"/>
      <c r="D1402" s="197"/>
      <c r="E1402" s="197"/>
      <c r="F1402" s="197"/>
      <c r="G1402" s="144"/>
      <c r="H1402" s="144"/>
      <c r="I1402" s="197"/>
      <c r="J1402" s="197"/>
      <c r="K1402" s="197"/>
      <c r="L1402" s="257"/>
    </row>
    <row r="1403" ht="22.5" customHeight="1">
      <c r="A1403" s="250"/>
      <c r="B1403" s="272" t="str">
        <f t="shared" si="5"/>
        <v>#REF!</v>
      </c>
      <c r="C1403" s="154"/>
      <c r="D1403" s="196"/>
      <c r="E1403" s="196"/>
      <c r="F1403" s="196"/>
      <c r="G1403" s="152"/>
      <c r="H1403" s="152"/>
      <c r="I1403" s="196"/>
      <c r="J1403" s="196"/>
      <c r="K1403" s="196"/>
      <c r="L1403" s="259"/>
    </row>
    <row r="1404" ht="22.5" customHeight="1">
      <c r="A1404" s="202"/>
      <c r="B1404" s="273" t="str">
        <f t="shared" si="5"/>
        <v>#REF!</v>
      </c>
      <c r="C1404" s="146"/>
      <c r="D1404" s="197"/>
      <c r="E1404" s="197"/>
      <c r="F1404" s="197"/>
      <c r="G1404" s="144"/>
      <c r="H1404" s="144"/>
      <c r="I1404" s="197"/>
      <c r="J1404" s="197"/>
      <c r="K1404" s="197"/>
      <c r="L1404" s="257"/>
    </row>
    <row r="1405" ht="22.5" customHeight="1">
      <c r="A1405" s="250"/>
      <c r="B1405" s="272" t="str">
        <f t="shared" si="5"/>
        <v>#REF!</v>
      </c>
      <c r="C1405" s="154"/>
      <c r="D1405" s="196"/>
      <c r="E1405" s="196"/>
      <c r="F1405" s="196"/>
      <c r="G1405" s="152"/>
      <c r="H1405" s="152"/>
      <c r="I1405" s="196"/>
      <c r="J1405" s="196"/>
      <c r="K1405" s="196"/>
      <c r="L1405" s="259"/>
    </row>
    <row r="1406" ht="22.5" customHeight="1">
      <c r="A1406" s="202"/>
      <c r="B1406" s="273" t="str">
        <f t="shared" si="5"/>
        <v>#REF!</v>
      </c>
      <c r="C1406" s="146"/>
      <c r="D1406" s="197"/>
      <c r="E1406" s="197"/>
      <c r="F1406" s="197"/>
      <c r="G1406" s="144"/>
      <c r="H1406" s="144"/>
      <c r="I1406" s="197"/>
      <c r="J1406" s="197"/>
      <c r="K1406" s="197"/>
      <c r="L1406" s="257"/>
    </row>
    <row r="1407" ht="22.5" customHeight="1">
      <c r="A1407" s="250"/>
      <c r="B1407" s="272" t="str">
        <f t="shared" si="5"/>
        <v>#REF!</v>
      </c>
      <c r="C1407" s="154"/>
      <c r="D1407" s="196"/>
      <c r="E1407" s="196"/>
      <c r="F1407" s="196"/>
      <c r="G1407" s="152"/>
      <c r="H1407" s="152"/>
      <c r="I1407" s="196"/>
      <c r="J1407" s="196"/>
      <c r="K1407" s="196"/>
      <c r="L1407" s="259"/>
    </row>
    <row r="1408" ht="22.5" customHeight="1">
      <c r="A1408" s="202"/>
      <c r="B1408" s="273" t="str">
        <f t="shared" si="5"/>
        <v>#REF!</v>
      </c>
      <c r="C1408" s="146"/>
      <c r="D1408" s="197"/>
      <c r="E1408" s="197"/>
      <c r="F1408" s="197"/>
      <c r="G1408" s="144"/>
      <c r="H1408" s="144"/>
      <c r="I1408" s="197"/>
      <c r="J1408" s="197"/>
      <c r="K1408" s="197"/>
      <c r="L1408" s="257"/>
    </row>
    <row r="1409" ht="22.5" customHeight="1">
      <c r="A1409" s="250"/>
      <c r="B1409" s="272" t="str">
        <f t="shared" si="5"/>
        <v>#REF!</v>
      </c>
      <c r="C1409" s="154"/>
      <c r="D1409" s="196"/>
      <c r="E1409" s="196"/>
      <c r="F1409" s="196"/>
      <c r="G1409" s="152"/>
      <c r="H1409" s="152"/>
      <c r="I1409" s="196"/>
      <c r="J1409" s="196"/>
      <c r="K1409" s="196"/>
      <c r="L1409" s="259"/>
    </row>
    <row r="1410" ht="22.5" customHeight="1">
      <c r="A1410" s="202"/>
      <c r="B1410" s="273" t="str">
        <f t="shared" si="5"/>
        <v>#REF!</v>
      </c>
      <c r="C1410" s="146"/>
      <c r="D1410" s="197"/>
      <c r="E1410" s="197"/>
      <c r="F1410" s="197"/>
      <c r="G1410" s="144"/>
      <c r="H1410" s="144"/>
      <c r="I1410" s="197"/>
      <c r="J1410" s="197"/>
      <c r="K1410" s="197"/>
      <c r="L1410" s="257"/>
    </row>
    <row r="1411" ht="22.5" customHeight="1">
      <c r="A1411" s="250"/>
      <c r="B1411" s="272" t="str">
        <f t="shared" si="5"/>
        <v>#REF!</v>
      </c>
      <c r="C1411" s="154"/>
      <c r="D1411" s="196"/>
      <c r="E1411" s="196"/>
      <c r="F1411" s="196"/>
      <c r="G1411" s="152"/>
      <c r="H1411" s="152"/>
      <c r="I1411" s="196"/>
      <c r="J1411" s="196"/>
      <c r="K1411" s="196"/>
      <c r="L1411" s="259"/>
    </row>
    <row r="1412" ht="22.5" customHeight="1">
      <c r="A1412" s="202"/>
      <c r="B1412" s="273" t="str">
        <f t="shared" si="5"/>
        <v>#REF!</v>
      </c>
      <c r="C1412" s="146"/>
      <c r="D1412" s="197"/>
      <c r="E1412" s="197"/>
      <c r="F1412" s="197"/>
      <c r="G1412" s="144"/>
      <c r="H1412" s="144"/>
      <c r="I1412" s="197"/>
      <c r="J1412" s="197"/>
      <c r="K1412" s="197"/>
      <c r="L1412" s="257"/>
    </row>
    <row r="1413" ht="22.5" customHeight="1">
      <c r="A1413" s="250"/>
      <c r="B1413" s="272" t="str">
        <f t="shared" si="5"/>
        <v>#REF!</v>
      </c>
      <c r="C1413" s="154"/>
      <c r="D1413" s="196"/>
      <c r="E1413" s="196"/>
      <c r="F1413" s="196"/>
      <c r="G1413" s="152"/>
      <c r="H1413" s="152"/>
      <c r="I1413" s="196"/>
      <c r="J1413" s="196"/>
      <c r="K1413" s="196"/>
      <c r="L1413" s="259"/>
    </row>
    <row r="1414" ht="22.5" customHeight="1">
      <c r="A1414" s="202"/>
      <c r="B1414" s="273" t="str">
        <f t="shared" si="5"/>
        <v>#REF!</v>
      </c>
      <c r="C1414" s="146"/>
      <c r="D1414" s="197"/>
      <c r="E1414" s="197"/>
      <c r="F1414" s="197"/>
      <c r="G1414" s="144"/>
      <c r="H1414" s="144"/>
      <c r="I1414" s="197"/>
      <c r="J1414" s="197"/>
      <c r="K1414" s="197"/>
      <c r="L1414" s="257"/>
    </row>
    <row r="1415" ht="22.5" customHeight="1">
      <c r="A1415" s="250"/>
      <c r="B1415" s="272" t="str">
        <f t="shared" si="5"/>
        <v>#REF!</v>
      </c>
      <c r="C1415" s="154"/>
      <c r="D1415" s="196"/>
      <c r="E1415" s="196"/>
      <c r="F1415" s="196"/>
      <c r="G1415" s="152"/>
      <c r="H1415" s="152"/>
      <c r="I1415" s="196"/>
      <c r="J1415" s="196"/>
      <c r="K1415" s="196"/>
      <c r="L1415" s="259"/>
    </row>
    <row r="1416" ht="22.5" customHeight="1">
      <c r="A1416" s="202"/>
      <c r="B1416" s="273" t="str">
        <f t="shared" si="5"/>
        <v>#REF!</v>
      </c>
      <c r="C1416" s="146"/>
      <c r="D1416" s="197"/>
      <c r="E1416" s="197"/>
      <c r="F1416" s="197"/>
      <c r="G1416" s="144"/>
      <c r="H1416" s="144"/>
      <c r="I1416" s="197"/>
      <c r="J1416" s="197"/>
      <c r="K1416" s="197"/>
      <c r="L1416" s="257"/>
    </row>
    <row r="1417" ht="22.5" customHeight="1">
      <c r="A1417" s="250"/>
      <c r="B1417" s="272" t="str">
        <f t="shared" si="5"/>
        <v>#REF!</v>
      </c>
      <c r="C1417" s="154"/>
      <c r="D1417" s="196"/>
      <c r="E1417" s="196"/>
      <c r="F1417" s="196"/>
      <c r="G1417" s="152"/>
      <c r="H1417" s="152"/>
      <c r="I1417" s="196"/>
      <c r="J1417" s="196"/>
      <c r="K1417" s="196"/>
      <c r="L1417" s="259"/>
    </row>
    <row r="1418" ht="22.5" customHeight="1">
      <c r="A1418" s="202"/>
      <c r="B1418" s="273" t="str">
        <f t="shared" si="5"/>
        <v>#REF!</v>
      </c>
      <c r="C1418" s="146"/>
      <c r="D1418" s="197"/>
      <c r="E1418" s="197"/>
      <c r="F1418" s="197"/>
      <c r="G1418" s="144"/>
      <c r="H1418" s="144"/>
      <c r="I1418" s="197"/>
      <c r="J1418" s="197"/>
      <c r="K1418" s="197"/>
      <c r="L1418" s="257"/>
    </row>
    <row r="1419" ht="22.5" customHeight="1">
      <c r="A1419" s="250"/>
      <c r="B1419" s="272" t="str">
        <f t="shared" si="5"/>
        <v>#REF!</v>
      </c>
      <c r="C1419" s="154"/>
      <c r="D1419" s="196"/>
      <c r="E1419" s="196"/>
      <c r="F1419" s="196"/>
      <c r="G1419" s="152"/>
      <c r="H1419" s="152"/>
      <c r="I1419" s="196"/>
      <c r="J1419" s="196"/>
      <c r="K1419" s="196"/>
      <c r="L1419" s="259"/>
    </row>
    <row r="1420" ht="22.5" customHeight="1">
      <c r="A1420" s="202"/>
      <c r="B1420" s="273" t="str">
        <f t="shared" si="5"/>
        <v>#REF!</v>
      </c>
      <c r="C1420" s="146"/>
      <c r="D1420" s="197"/>
      <c r="E1420" s="197"/>
      <c r="F1420" s="197"/>
      <c r="G1420" s="144"/>
      <c r="H1420" s="144"/>
      <c r="I1420" s="197"/>
      <c r="J1420" s="197"/>
      <c r="K1420" s="197"/>
      <c r="L1420" s="257"/>
    </row>
    <row r="1421" ht="22.5" customHeight="1">
      <c r="A1421" s="250"/>
      <c r="B1421" s="272" t="str">
        <f t="shared" si="5"/>
        <v>#REF!</v>
      </c>
      <c r="C1421" s="154"/>
      <c r="D1421" s="196"/>
      <c r="E1421" s="196"/>
      <c r="F1421" s="196"/>
      <c r="G1421" s="152"/>
      <c r="H1421" s="152"/>
      <c r="I1421" s="196"/>
      <c r="J1421" s="196"/>
      <c r="K1421" s="196"/>
      <c r="L1421" s="259"/>
    </row>
    <row r="1422" ht="22.5" customHeight="1">
      <c r="A1422" s="202"/>
      <c r="B1422" s="273" t="str">
        <f t="shared" si="5"/>
        <v>#REF!</v>
      </c>
      <c r="C1422" s="146"/>
      <c r="D1422" s="197"/>
      <c r="E1422" s="197"/>
      <c r="F1422" s="197"/>
      <c r="G1422" s="144"/>
      <c r="H1422" s="144"/>
      <c r="I1422" s="197"/>
      <c r="J1422" s="197"/>
      <c r="K1422" s="197"/>
      <c r="L1422" s="257"/>
    </row>
    <row r="1423" ht="22.5" customHeight="1">
      <c r="A1423" s="250"/>
      <c r="B1423" s="272" t="str">
        <f t="shared" si="5"/>
        <v>#REF!</v>
      </c>
      <c r="C1423" s="154"/>
      <c r="D1423" s="196"/>
      <c r="E1423" s="196"/>
      <c r="F1423" s="196"/>
      <c r="G1423" s="152"/>
      <c r="H1423" s="152"/>
      <c r="I1423" s="196"/>
      <c r="J1423" s="196"/>
      <c r="K1423" s="196"/>
      <c r="L1423" s="259"/>
    </row>
    <row r="1424" ht="22.5" customHeight="1">
      <c r="A1424" s="202"/>
      <c r="B1424" s="273" t="str">
        <f t="shared" si="5"/>
        <v>#REF!</v>
      </c>
      <c r="C1424" s="146"/>
      <c r="D1424" s="197"/>
      <c r="E1424" s="197"/>
      <c r="F1424" s="197"/>
      <c r="G1424" s="144"/>
      <c r="H1424" s="144"/>
      <c r="I1424" s="197"/>
      <c r="J1424" s="197"/>
      <c r="K1424" s="197"/>
      <c r="L1424" s="257"/>
    </row>
    <row r="1425" ht="22.5" customHeight="1">
      <c r="A1425" s="250"/>
      <c r="B1425" s="272" t="str">
        <f t="shared" si="5"/>
        <v>#REF!</v>
      </c>
      <c r="C1425" s="154"/>
      <c r="D1425" s="196"/>
      <c r="E1425" s="196"/>
      <c r="F1425" s="196"/>
      <c r="G1425" s="152"/>
      <c r="H1425" s="152"/>
      <c r="I1425" s="196"/>
      <c r="J1425" s="196"/>
      <c r="K1425" s="196"/>
      <c r="L1425" s="259"/>
    </row>
    <row r="1426" ht="22.5" customHeight="1">
      <c r="A1426" s="202"/>
      <c r="B1426" s="273" t="str">
        <f t="shared" si="5"/>
        <v>#REF!</v>
      </c>
      <c r="C1426" s="146"/>
      <c r="D1426" s="197"/>
      <c r="E1426" s="197"/>
      <c r="F1426" s="197"/>
      <c r="G1426" s="144"/>
      <c r="H1426" s="144"/>
      <c r="I1426" s="197"/>
      <c r="J1426" s="197"/>
      <c r="K1426" s="197"/>
      <c r="L1426" s="257"/>
    </row>
    <row r="1427" ht="22.5" customHeight="1">
      <c r="A1427" s="250"/>
      <c r="B1427" s="272" t="str">
        <f t="shared" si="5"/>
        <v>#REF!</v>
      </c>
      <c r="C1427" s="154"/>
      <c r="D1427" s="196"/>
      <c r="E1427" s="196"/>
      <c r="F1427" s="196"/>
      <c r="G1427" s="152"/>
      <c r="H1427" s="152"/>
      <c r="I1427" s="196"/>
      <c r="J1427" s="196"/>
      <c r="K1427" s="196"/>
      <c r="L1427" s="259"/>
    </row>
    <row r="1428" ht="22.5" customHeight="1">
      <c r="A1428" s="202"/>
      <c r="B1428" s="273" t="str">
        <f t="shared" si="5"/>
        <v>#REF!</v>
      </c>
      <c r="C1428" s="146"/>
      <c r="D1428" s="197"/>
      <c r="E1428" s="197"/>
      <c r="F1428" s="197"/>
      <c r="G1428" s="144"/>
      <c r="H1428" s="144"/>
      <c r="I1428" s="197"/>
      <c r="J1428" s="197"/>
      <c r="K1428" s="197"/>
      <c r="L1428" s="257"/>
    </row>
    <row r="1429" ht="22.5" customHeight="1">
      <c r="A1429" s="250"/>
      <c r="B1429" s="272" t="str">
        <f t="shared" si="5"/>
        <v>#REF!</v>
      </c>
      <c r="C1429" s="154"/>
      <c r="D1429" s="196"/>
      <c r="E1429" s="196"/>
      <c r="F1429" s="196"/>
      <c r="G1429" s="152"/>
      <c r="H1429" s="152"/>
      <c r="I1429" s="196"/>
      <c r="J1429" s="196"/>
      <c r="K1429" s="196"/>
      <c r="L1429" s="259"/>
    </row>
    <row r="1430" ht="22.5" customHeight="1">
      <c r="A1430" s="202"/>
      <c r="B1430" s="273" t="str">
        <f t="shared" si="5"/>
        <v>#REF!</v>
      </c>
      <c r="C1430" s="146"/>
      <c r="D1430" s="197"/>
      <c r="E1430" s="197"/>
      <c r="F1430" s="197"/>
      <c r="G1430" s="144"/>
      <c r="H1430" s="144"/>
      <c r="I1430" s="197"/>
      <c r="J1430" s="197"/>
      <c r="K1430" s="197"/>
      <c r="L1430" s="257"/>
    </row>
    <row r="1431" ht="22.5" customHeight="1">
      <c r="A1431" s="250"/>
      <c r="B1431" s="272" t="str">
        <f t="shared" si="5"/>
        <v>#REF!</v>
      </c>
      <c r="C1431" s="154"/>
      <c r="D1431" s="196"/>
      <c r="E1431" s="196"/>
      <c r="F1431" s="196"/>
      <c r="G1431" s="152"/>
      <c r="H1431" s="152"/>
      <c r="I1431" s="196"/>
      <c r="J1431" s="196"/>
      <c r="K1431" s="196"/>
      <c r="L1431" s="259"/>
    </row>
    <row r="1432" ht="22.5" customHeight="1">
      <c r="A1432" s="202"/>
      <c r="B1432" s="273" t="str">
        <f t="shared" si="5"/>
        <v>#REF!</v>
      </c>
      <c r="C1432" s="146"/>
      <c r="D1432" s="197"/>
      <c r="E1432" s="197"/>
      <c r="F1432" s="197"/>
      <c r="G1432" s="144"/>
      <c r="H1432" s="144"/>
      <c r="I1432" s="197"/>
      <c r="J1432" s="197"/>
      <c r="K1432" s="197"/>
      <c r="L1432" s="257"/>
    </row>
    <row r="1433" ht="22.5" customHeight="1">
      <c r="A1433" s="250"/>
      <c r="B1433" s="272" t="str">
        <f t="shared" si="5"/>
        <v>#REF!</v>
      </c>
      <c r="C1433" s="154"/>
      <c r="D1433" s="196"/>
      <c r="E1433" s="196"/>
      <c r="F1433" s="196"/>
      <c r="G1433" s="152"/>
      <c r="H1433" s="152"/>
      <c r="I1433" s="196"/>
      <c r="J1433" s="196"/>
      <c r="K1433" s="196"/>
      <c r="L1433" s="259"/>
    </row>
    <row r="1434" ht="22.5" customHeight="1">
      <c r="A1434" s="202"/>
      <c r="B1434" s="273" t="str">
        <f t="shared" si="5"/>
        <v>#REF!</v>
      </c>
      <c r="C1434" s="146"/>
      <c r="D1434" s="197"/>
      <c r="E1434" s="197"/>
      <c r="F1434" s="197"/>
      <c r="G1434" s="144"/>
      <c r="H1434" s="144"/>
      <c r="I1434" s="197"/>
      <c r="J1434" s="197"/>
      <c r="K1434" s="197"/>
      <c r="L1434" s="257"/>
    </row>
    <row r="1435" ht="22.5" customHeight="1">
      <c r="A1435" s="250"/>
      <c r="B1435" s="272" t="str">
        <f t="shared" si="5"/>
        <v>#REF!</v>
      </c>
      <c r="C1435" s="154"/>
      <c r="D1435" s="196"/>
      <c r="E1435" s="196"/>
      <c r="F1435" s="196"/>
      <c r="G1435" s="152"/>
      <c r="H1435" s="152"/>
      <c r="I1435" s="196"/>
      <c r="J1435" s="196"/>
      <c r="K1435" s="196"/>
      <c r="L1435" s="259"/>
    </row>
    <row r="1436" ht="22.5" customHeight="1">
      <c r="A1436" s="202"/>
      <c r="B1436" s="273" t="str">
        <f t="shared" si="5"/>
        <v>#REF!</v>
      </c>
      <c r="C1436" s="146"/>
      <c r="D1436" s="197"/>
      <c r="E1436" s="197"/>
      <c r="F1436" s="197"/>
      <c r="G1436" s="144"/>
      <c r="H1436" s="144"/>
      <c r="I1436" s="197"/>
      <c r="J1436" s="197"/>
      <c r="K1436" s="197"/>
      <c r="L1436" s="257"/>
    </row>
    <row r="1437" ht="22.5" customHeight="1">
      <c r="A1437" s="250"/>
      <c r="B1437" s="272" t="str">
        <f t="shared" si="5"/>
        <v>#REF!</v>
      </c>
      <c r="C1437" s="154"/>
      <c r="D1437" s="196"/>
      <c r="E1437" s="196"/>
      <c r="F1437" s="196"/>
      <c r="G1437" s="152"/>
      <c r="H1437" s="152"/>
      <c r="I1437" s="196"/>
      <c r="J1437" s="196"/>
      <c r="K1437" s="196"/>
      <c r="L1437" s="259"/>
    </row>
    <row r="1438" ht="22.5" customHeight="1">
      <c r="A1438" s="202"/>
      <c r="B1438" s="273" t="str">
        <f t="shared" si="5"/>
        <v>#REF!</v>
      </c>
      <c r="C1438" s="146"/>
      <c r="D1438" s="197"/>
      <c r="E1438" s="197"/>
      <c r="F1438" s="197"/>
      <c r="G1438" s="144"/>
      <c r="H1438" s="144"/>
      <c r="I1438" s="197"/>
      <c r="J1438" s="197"/>
      <c r="K1438" s="197"/>
      <c r="L1438" s="257"/>
    </row>
    <row r="1439" ht="22.5" customHeight="1">
      <c r="A1439" s="250"/>
      <c r="B1439" s="272" t="str">
        <f t="shared" si="5"/>
        <v>#REF!</v>
      </c>
      <c r="C1439" s="154"/>
      <c r="D1439" s="196"/>
      <c r="E1439" s="196"/>
      <c r="F1439" s="196"/>
      <c r="G1439" s="152"/>
      <c r="H1439" s="152"/>
      <c r="I1439" s="196"/>
      <c r="J1439" s="196"/>
      <c r="K1439" s="196"/>
      <c r="L1439" s="259"/>
    </row>
    <row r="1440" ht="22.5" customHeight="1">
      <c r="A1440" s="202"/>
      <c r="B1440" s="273" t="str">
        <f t="shared" si="5"/>
        <v>#REF!</v>
      </c>
      <c r="C1440" s="146"/>
      <c r="D1440" s="197"/>
      <c r="E1440" s="197"/>
      <c r="F1440" s="197"/>
      <c r="G1440" s="144"/>
      <c r="H1440" s="144"/>
      <c r="I1440" s="197"/>
      <c r="J1440" s="197"/>
      <c r="K1440" s="197"/>
      <c r="L1440" s="257"/>
    </row>
    <row r="1441" ht="22.5" customHeight="1">
      <c r="A1441" s="250"/>
      <c r="B1441" s="272" t="str">
        <f t="shared" si="5"/>
        <v>#REF!</v>
      </c>
      <c r="C1441" s="154"/>
      <c r="D1441" s="196"/>
      <c r="E1441" s="196"/>
      <c r="F1441" s="196"/>
      <c r="G1441" s="152"/>
      <c r="H1441" s="152"/>
      <c r="I1441" s="196"/>
      <c r="J1441" s="196"/>
      <c r="K1441" s="196"/>
      <c r="L1441" s="259"/>
    </row>
    <row r="1442" ht="22.5" customHeight="1">
      <c r="A1442" s="202"/>
      <c r="B1442" s="273" t="str">
        <f t="shared" si="5"/>
        <v>#REF!</v>
      </c>
      <c r="C1442" s="146"/>
      <c r="D1442" s="197"/>
      <c r="E1442" s="197"/>
      <c r="F1442" s="197"/>
      <c r="G1442" s="144"/>
      <c r="H1442" s="144"/>
      <c r="I1442" s="197"/>
      <c r="J1442" s="197"/>
      <c r="K1442" s="197"/>
      <c r="L1442" s="257"/>
    </row>
    <row r="1443" ht="22.5" customHeight="1">
      <c r="A1443" s="250"/>
      <c r="B1443" s="272" t="str">
        <f t="shared" si="5"/>
        <v>#REF!</v>
      </c>
      <c r="C1443" s="154"/>
      <c r="D1443" s="196"/>
      <c r="E1443" s="196"/>
      <c r="F1443" s="196"/>
      <c r="G1443" s="152"/>
      <c r="H1443" s="152"/>
      <c r="I1443" s="196"/>
      <c r="J1443" s="196"/>
      <c r="K1443" s="196"/>
      <c r="L1443" s="259"/>
    </row>
    <row r="1444" ht="22.5" customHeight="1">
      <c r="A1444" s="202"/>
      <c r="B1444" s="273" t="str">
        <f t="shared" si="5"/>
        <v>#REF!</v>
      </c>
      <c r="C1444" s="146"/>
      <c r="D1444" s="197"/>
      <c r="E1444" s="197"/>
      <c r="F1444" s="197"/>
      <c r="G1444" s="144"/>
      <c r="H1444" s="144"/>
      <c r="I1444" s="197"/>
      <c r="J1444" s="197"/>
      <c r="K1444" s="197"/>
      <c r="L1444" s="257"/>
    </row>
    <row r="1445" ht="22.5" customHeight="1">
      <c r="A1445" s="250"/>
      <c r="B1445" s="272" t="str">
        <f t="shared" si="5"/>
        <v>#REF!</v>
      </c>
      <c r="C1445" s="154"/>
      <c r="D1445" s="196"/>
      <c r="E1445" s="196"/>
      <c r="F1445" s="196"/>
      <c r="G1445" s="152"/>
      <c r="H1445" s="152"/>
      <c r="I1445" s="196"/>
      <c r="J1445" s="196"/>
      <c r="K1445" s="196"/>
      <c r="L1445" s="259"/>
    </row>
    <row r="1446" ht="22.5" customHeight="1">
      <c r="A1446" s="202"/>
      <c r="B1446" s="273" t="str">
        <f t="shared" si="5"/>
        <v>#REF!</v>
      </c>
      <c r="C1446" s="146"/>
      <c r="D1446" s="197"/>
      <c r="E1446" s="197"/>
      <c r="F1446" s="197"/>
      <c r="G1446" s="144"/>
      <c r="H1446" s="144"/>
      <c r="I1446" s="197"/>
      <c r="J1446" s="197"/>
      <c r="K1446" s="197"/>
      <c r="L1446" s="257"/>
    </row>
    <row r="1447" ht="22.5" customHeight="1">
      <c r="A1447" s="250"/>
      <c r="B1447" s="272" t="str">
        <f t="shared" si="5"/>
        <v>#REF!</v>
      </c>
      <c r="C1447" s="154"/>
      <c r="D1447" s="196"/>
      <c r="E1447" s="196"/>
      <c r="F1447" s="196"/>
      <c r="G1447" s="152"/>
      <c r="H1447" s="152"/>
      <c r="I1447" s="196"/>
      <c r="J1447" s="196"/>
      <c r="K1447" s="196"/>
      <c r="L1447" s="259"/>
    </row>
    <row r="1448" ht="22.5" customHeight="1">
      <c r="A1448" s="202"/>
      <c r="B1448" s="273" t="str">
        <f t="shared" si="5"/>
        <v>#REF!</v>
      </c>
      <c r="C1448" s="146"/>
      <c r="D1448" s="197"/>
      <c r="E1448" s="197"/>
      <c r="F1448" s="197"/>
      <c r="G1448" s="144"/>
      <c r="H1448" s="144"/>
      <c r="I1448" s="197"/>
      <c r="J1448" s="197"/>
      <c r="K1448" s="197"/>
      <c r="L1448" s="257"/>
    </row>
    <row r="1449" ht="22.5" customHeight="1">
      <c r="A1449" s="250"/>
      <c r="B1449" s="272" t="str">
        <f t="shared" si="5"/>
        <v>#REF!</v>
      </c>
      <c r="C1449" s="154"/>
      <c r="D1449" s="196"/>
      <c r="E1449" s="196"/>
      <c r="F1449" s="196"/>
      <c r="G1449" s="152"/>
      <c r="H1449" s="152"/>
      <c r="I1449" s="196"/>
      <c r="J1449" s="196"/>
      <c r="K1449" s="196"/>
      <c r="L1449" s="259"/>
    </row>
    <row r="1450" ht="22.5" customHeight="1">
      <c r="A1450" s="202"/>
      <c r="B1450" s="273" t="str">
        <f t="shared" si="5"/>
        <v>#REF!</v>
      </c>
      <c r="C1450" s="146"/>
      <c r="D1450" s="197"/>
      <c r="E1450" s="197"/>
      <c r="F1450" s="197"/>
      <c r="G1450" s="144"/>
      <c r="H1450" s="144"/>
      <c r="I1450" s="197"/>
      <c r="J1450" s="197"/>
      <c r="K1450" s="197"/>
      <c r="L1450" s="257"/>
    </row>
    <row r="1451" ht="22.5" customHeight="1">
      <c r="A1451" s="250"/>
      <c r="B1451" s="272" t="str">
        <f t="shared" si="5"/>
        <v>#REF!</v>
      </c>
      <c r="C1451" s="154"/>
      <c r="D1451" s="196"/>
      <c r="E1451" s="196"/>
      <c r="F1451" s="196"/>
      <c r="G1451" s="152"/>
      <c r="H1451" s="152"/>
      <c r="I1451" s="196"/>
      <c r="J1451" s="196"/>
      <c r="K1451" s="196"/>
      <c r="L1451" s="259"/>
    </row>
    <row r="1452" ht="22.5" customHeight="1">
      <c r="A1452" s="202"/>
      <c r="B1452" s="273" t="str">
        <f t="shared" si="5"/>
        <v>#REF!</v>
      </c>
      <c r="C1452" s="146"/>
      <c r="D1452" s="197"/>
      <c r="E1452" s="197"/>
      <c r="F1452" s="197"/>
      <c r="G1452" s="144"/>
      <c r="H1452" s="144"/>
      <c r="I1452" s="197"/>
      <c r="J1452" s="197"/>
      <c r="K1452" s="197"/>
      <c r="L1452" s="257"/>
    </row>
    <row r="1453" ht="22.5" customHeight="1">
      <c r="A1453" s="250"/>
      <c r="B1453" s="272" t="str">
        <f t="shared" si="5"/>
        <v>#REF!</v>
      </c>
      <c r="C1453" s="154"/>
      <c r="D1453" s="196"/>
      <c r="E1453" s="196"/>
      <c r="F1453" s="196"/>
      <c r="G1453" s="152"/>
      <c r="H1453" s="152"/>
      <c r="I1453" s="196"/>
      <c r="J1453" s="196"/>
      <c r="K1453" s="196"/>
      <c r="L1453" s="259"/>
    </row>
    <row r="1454" ht="22.5" customHeight="1">
      <c r="A1454" s="202"/>
      <c r="B1454" s="273" t="str">
        <f t="shared" si="5"/>
        <v>#REF!</v>
      </c>
      <c r="C1454" s="146"/>
      <c r="D1454" s="197"/>
      <c r="E1454" s="197"/>
      <c r="F1454" s="197"/>
      <c r="G1454" s="144"/>
      <c r="H1454" s="144"/>
      <c r="I1454" s="197"/>
      <c r="J1454" s="197"/>
      <c r="K1454" s="197"/>
      <c r="L1454" s="257"/>
    </row>
    <row r="1455" ht="22.5" customHeight="1">
      <c r="A1455" s="250"/>
      <c r="B1455" s="272" t="str">
        <f t="shared" si="5"/>
        <v>#REF!</v>
      </c>
      <c r="C1455" s="154"/>
      <c r="D1455" s="196"/>
      <c r="E1455" s="196"/>
      <c r="F1455" s="196"/>
      <c r="G1455" s="152"/>
      <c r="H1455" s="152"/>
      <c r="I1455" s="196"/>
      <c r="J1455" s="196"/>
      <c r="K1455" s="196"/>
      <c r="L1455" s="259"/>
    </row>
    <row r="1456" ht="22.5" customHeight="1">
      <c r="A1456" s="202"/>
      <c r="B1456" s="273" t="str">
        <f t="shared" si="5"/>
        <v>#REF!</v>
      </c>
      <c r="C1456" s="146"/>
      <c r="D1456" s="197"/>
      <c r="E1456" s="197"/>
      <c r="F1456" s="197"/>
      <c r="G1456" s="144"/>
      <c r="H1456" s="144"/>
      <c r="I1456" s="197"/>
      <c r="J1456" s="197"/>
      <c r="K1456" s="197"/>
      <c r="L1456" s="257"/>
    </row>
    <row r="1457" ht="22.5" customHeight="1">
      <c r="A1457" s="250"/>
      <c r="B1457" s="272" t="str">
        <f t="shared" si="5"/>
        <v>#REF!</v>
      </c>
      <c r="C1457" s="154"/>
      <c r="D1457" s="196"/>
      <c r="E1457" s="196"/>
      <c r="F1457" s="196"/>
      <c r="G1457" s="152"/>
      <c r="H1457" s="152"/>
      <c r="I1457" s="196"/>
      <c r="J1457" s="196"/>
      <c r="K1457" s="196"/>
      <c r="L1457" s="259"/>
    </row>
    <row r="1458" ht="22.5" customHeight="1">
      <c r="A1458" s="202"/>
      <c r="B1458" s="273" t="str">
        <f t="shared" si="5"/>
        <v>#REF!</v>
      </c>
      <c r="C1458" s="146"/>
      <c r="D1458" s="197"/>
      <c r="E1458" s="197"/>
      <c r="F1458" s="197"/>
      <c r="G1458" s="144"/>
      <c r="H1458" s="144"/>
      <c r="I1458" s="197"/>
      <c r="J1458" s="197"/>
      <c r="K1458" s="197"/>
      <c r="L1458" s="257"/>
    </row>
    <row r="1459" ht="22.5" customHeight="1">
      <c r="A1459" s="250"/>
      <c r="B1459" s="272" t="str">
        <f t="shared" si="5"/>
        <v>#REF!</v>
      </c>
      <c r="C1459" s="154"/>
      <c r="D1459" s="196"/>
      <c r="E1459" s="196"/>
      <c r="F1459" s="196"/>
      <c r="G1459" s="152"/>
      <c r="H1459" s="152"/>
      <c r="I1459" s="196"/>
      <c r="J1459" s="196"/>
      <c r="K1459" s="196"/>
      <c r="L1459" s="259"/>
    </row>
    <row r="1460" ht="22.5" customHeight="1">
      <c r="A1460" s="202"/>
      <c r="B1460" s="273" t="str">
        <f t="shared" si="5"/>
        <v>#REF!</v>
      </c>
      <c r="C1460" s="146"/>
      <c r="D1460" s="197"/>
      <c r="E1460" s="197"/>
      <c r="F1460" s="197"/>
      <c r="G1460" s="144"/>
      <c r="H1460" s="144"/>
      <c r="I1460" s="197"/>
      <c r="J1460" s="197"/>
      <c r="K1460" s="197"/>
      <c r="L1460" s="257"/>
    </row>
    <row r="1461" ht="22.5" customHeight="1">
      <c r="A1461" s="250"/>
      <c r="B1461" s="272" t="str">
        <f t="shared" si="5"/>
        <v>#REF!</v>
      </c>
      <c r="C1461" s="154"/>
      <c r="D1461" s="196"/>
      <c r="E1461" s="196"/>
      <c r="F1461" s="196"/>
      <c r="G1461" s="152"/>
      <c r="H1461" s="152"/>
      <c r="I1461" s="196"/>
      <c r="J1461" s="196"/>
      <c r="K1461" s="196"/>
      <c r="L1461" s="259"/>
    </row>
    <row r="1462" ht="22.5" customHeight="1">
      <c r="A1462" s="202"/>
      <c r="B1462" s="273" t="str">
        <f t="shared" si="5"/>
        <v>#REF!</v>
      </c>
      <c r="C1462" s="146"/>
      <c r="D1462" s="197"/>
      <c r="E1462" s="197"/>
      <c r="F1462" s="197"/>
      <c r="G1462" s="144"/>
      <c r="H1462" s="144"/>
      <c r="I1462" s="197"/>
      <c r="J1462" s="197"/>
      <c r="K1462" s="197"/>
      <c r="L1462" s="257"/>
    </row>
    <row r="1463" ht="22.5" customHeight="1">
      <c r="A1463" s="250"/>
      <c r="B1463" s="272" t="str">
        <f t="shared" si="5"/>
        <v>#REF!</v>
      </c>
      <c r="C1463" s="154"/>
      <c r="D1463" s="196"/>
      <c r="E1463" s="196"/>
      <c r="F1463" s="196"/>
      <c r="G1463" s="152"/>
      <c r="H1463" s="152"/>
      <c r="I1463" s="196"/>
      <c r="J1463" s="196"/>
      <c r="K1463" s="196"/>
      <c r="L1463" s="259"/>
    </row>
    <row r="1464" ht="22.5" customHeight="1">
      <c r="A1464" s="202"/>
      <c r="B1464" s="273" t="str">
        <f t="shared" si="5"/>
        <v>#REF!</v>
      </c>
      <c r="C1464" s="146"/>
      <c r="D1464" s="197"/>
      <c r="E1464" s="197"/>
      <c r="F1464" s="197"/>
      <c r="G1464" s="144"/>
      <c r="H1464" s="144"/>
      <c r="I1464" s="197"/>
      <c r="J1464" s="197"/>
      <c r="K1464" s="197"/>
      <c r="L1464" s="257"/>
    </row>
    <row r="1465" ht="22.5" customHeight="1">
      <c r="A1465" s="250"/>
      <c r="B1465" s="272" t="str">
        <f t="shared" si="5"/>
        <v>#REF!</v>
      </c>
      <c r="C1465" s="154"/>
      <c r="D1465" s="196"/>
      <c r="E1465" s="196"/>
      <c r="F1465" s="196"/>
      <c r="G1465" s="152"/>
      <c r="H1465" s="152"/>
      <c r="I1465" s="196"/>
      <c r="J1465" s="196"/>
      <c r="K1465" s="196"/>
      <c r="L1465" s="259"/>
    </row>
    <row r="1466" ht="22.5" customHeight="1">
      <c r="A1466" s="202"/>
      <c r="B1466" s="273" t="str">
        <f t="shared" si="5"/>
        <v>#REF!</v>
      </c>
      <c r="C1466" s="146"/>
      <c r="D1466" s="197"/>
      <c r="E1466" s="197"/>
      <c r="F1466" s="197"/>
      <c r="G1466" s="144"/>
      <c r="H1466" s="144"/>
      <c r="I1466" s="197"/>
      <c r="J1466" s="197"/>
      <c r="K1466" s="197"/>
      <c r="L1466" s="257"/>
    </row>
    <row r="1467" ht="22.5" customHeight="1">
      <c r="A1467" s="250"/>
      <c r="B1467" s="272" t="str">
        <f t="shared" si="5"/>
        <v>#REF!</v>
      </c>
      <c r="C1467" s="154"/>
      <c r="D1467" s="196"/>
      <c r="E1467" s="196"/>
      <c r="F1467" s="196"/>
      <c r="G1467" s="152"/>
      <c r="H1467" s="152"/>
      <c r="I1467" s="196"/>
      <c r="J1467" s="196"/>
      <c r="K1467" s="196"/>
      <c r="L1467" s="259"/>
    </row>
    <row r="1468" ht="22.5" customHeight="1">
      <c r="A1468" s="202"/>
      <c r="B1468" s="273" t="str">
        <f t="shared" si="5"/>
        <v>#REF!</v>
      </c>
      <c r="C1468" s="146"/>
      <c r="D1468" s="197"/>
      <c r="E1468" s="197"/>
      <c r="F1468" s="197"/>
      <c r="G1468" s="144"/>
      <c r="H1468" s="144"/>
      <c r="I1468" s="197"/>
      <c r="J1468" s="197"/>
      <c r="K1468" s="197"/>
      <c r="L1468" s="257"/>
    </row>
    <row r="1469" ht="22.5" customHeight="1">
      <c r="A1469" s="250"/>
      <c r="B1469" s="272" t="str">
        <f t="shared" si="5"/>
        <v>#REF!</v>
      </c>
      <c r="C1469" s="154"/>
      <c r="D1469" s="196"/>
      <c r="E1469" s="196"/>
      <c r="F1469" s="196"/>
      <c r="G1469" s="152"/>
      <c r="H1469" s="152"/>
      <c r="I1469" s="196"/>
      <c r="J1469" s="196"/>
      <c r="K1469" s="196"/>
      <c r="L1469" s="259"/>
    </row>
    <row r="1470" ht="22.5" customHeight="1">
      <c r="A1470" s="202"/>
      <c r="B1470" s="273" t="str">
        <f t="shared" si="5"/>
        <v>#REF!</v>
      </c>
      <c r="C1470" s="146"/>
      <c r="D1470" s="197"/>
      <c r="E1470" s="197"/>
      <c r="F1470" s="197"/>
      <c r="G1470" s="144"/>
      <c r="H1470" s="144"/>
      <c r="I1470" s="197"/>
      <c r="J1470" s="197"/>
      <c r="K1470" s="197"/>
      <c r="L1470" s="257"/>
    </row>
    <row r="1471" ht="22.5" customHeight="1">
      <c r="A1471" s="250"/>
      <c r="B1471" s="272" t="str">
        <f t="shared" si="5"/>
        <v>#REF!</v>
      </c>
      <c r="C1471" s="154"/>
      <c r="D1471" s="196"/>
      <c r="E1471" s="196"/>
      <c r="F1471" s="196"/>
      <c r="G1471" s="152"/>
      <c r="H1471" s="152"/>
      <c r="I1471" s="196"/>
      <c r="J1471" s="196"/>
      <c r="K1471" s="196"/>
      <c r="L1471" s="259"/>
    </row>
    <row r="1472" ht="22.5" customHeight="1">
      <c r="A1472" s="202"/>
      <c r="B1472" s="273" t="str">
        <f t="shared" si="5"/>
        <v>#REF!</v>
      </c>
      <c r="C1472" s="146"/>
      <c r="D1472" s="197"/>
      <c r="E1472" s="197"/>
      <c r="F1472" s="197"/>
      <c r="G1472" s="144"/>
      <c r="H1472" s="144"/>
      <c r="I1472" s="197"/>
      <c r="J1472" s="197"/>
      <c r="K1472" s="197"/>
      <c r="L1472" s="257"/>
    </row>
    <row r="1473" ht="22.5" customHeight="1">
      <c r="A1473" s="250"/>
      <c r="B1473" s="272" t="str">
        <f t="shared" si="5"/>
        <v>#REF!</v>
      </c>
      <c r="C1473" s="154"/>
      <c r="D1473" s="196"/>
      <c r="E1473" s="196"/>
      <c r="F1473" s="196"/>
      <c r="G1473" s="152"/>
      <c r="H1473" s="152"/>
      <c r="I1473" s="196"/>
      <c r="J1473" s="196"/>
      <c r="K1473" s="196"/>
      <c r="L1473" s="259"/>
    </row>
    <row r="1474" ht="22.5" customHeight="1">
      <c r="A1474" s="202"/>
      <c r="B1474" s="273" t="str">
        <f t="shared" si="5"/>
        <v>#REF!</v>
      </c>
      <c r="C1474" s="146"/>
      <c r="D1474" s="197"/>
      <c r="E1474" s="197"/>
      <c r="F1474" s="197"/>
      <c r="G1474" s="144"/>
      <c r="H1474" s="144"/>
      <c r="I1474" s="197"/>
      <c r="J1474" s="197"/>
      <c r="K1474" s="197"/>
      <c r="L1474" s="257"/>
    </row>
    <row r="1475" ht="22.5" customHeight="1">
      <c r="A1475" s="250"/>
      <c r="B1475" s="272" t="str">
        <f t="shared" si="5"/>
        <v>#REF!</v>
      </c>
      <c r="C1475" s="154"/>
      <c r="D1475" s="196"/>
      <c r="E1475" s="196"/>
      <c r="F1475" s="196"/>
      <c r="G1475" s="152"/>
      <c r="H1475" s="152"/>
      <c r="I1475" s="196"/>
      <c r="J1475" s="196"/>
      <c r="K1475" s="196"/>
      <c r="L1475" s="259"/>
    </row>
    <row r="1476" ht="22.5" customHeight="1">
      <c r="A1476" s="202"/>
      <c r="B1476" s="273" t="str">
        <f t="shared" si="5"/>
        <v>#REF!</v>
      </c>
      <c r="C1476" s="146"/>
      <c r="D1476" s="197"/>
      <c r="E1476" s="197"/>
      <c r="F1476" s="197"/>
      <c r="G1476" s="144"/>
      <c r="H1476" s="144"/>
      <c r="I1476" s="197"/>
      <c r="J1476" s="197"/>
      <c r="K1476" s="197"/>
      <c r="L1476" s="257"/>
    </row>
    <row r="1477" ht="22.5" customHeight="1">
      <c r="A1477" s="250"/>
      <c r="B1477" s="272" t="str">
        <f t="shared" si="5"/>
        <v>#REF!</v>
      </c>
      <c r="C1477" s="154"/>
      <c r="D1477" s="196"/>
      <c r="E1477" s="196"/>
      <c r="F1477" s="196"/>
      <c r="G1477" s="152"/>
      <c r="H1477" s="152"/>
      <c r="I1477" s="196"/>
      <c r="J1477" s="196"/>
      <c r="K1477" s="196"/>
      <c r="L1477" s="259"/>
    </row>
    <row r="1478" ht="22.5" customHeight="1">
      <c r="A1478" s="202"/>
      <c r="B1478" s="273" t="str">
        <f t="shared" si="5"/>
        <v>#REF!</v>
      </c>
      <c r="C1478" s="146"/>
      <c r="D1478" s="197"/>
      <c r="E1478" s="197"/>
      <c r="F1478" s="197"/>
      <c r="G1478" s="144"/>
      <c r="H1478" s="144"/>
      <c r="I1478" s="197"/>
      <c r="J1478" s="197"/>
      <c r="K1478" s="197"/>
      <c r="L1478" s="257"/>
    </row>
    <row r="1479" ht="22.5" customHeight="1">
      <c r="A1479" s="250"/>
      <c r="B1479" s="272" t="str">
        <f t="shared" si="5"/>
        <v>#REF!</v>
      </c>
      <c r="C1479" s="154"/>
      <c r="D1479" s="196"/>
      <c r="E1479" s="196"/>
      <c r="F1479" s="196"/>
      <c r="G1479" s="152"/>
      <c r="H1479" s="152"/>
      <c r="I1479" s="196"/>
      <c r="J1479" s="196"/>
      <c r="K1479" s="196"/>
      <c r="L1479" s="259"/>
    </row>
    <row r="1480" ht="22.5" customHeight="1">
      <c r="A1480" s="202"/>
      <c r="B1480" s="273" t="str">
        <f t="shared" si="5"/>
        <v>#REF!</v>
      </c>
      <c r="C1480" s="146"/>
      <c r="D1480" s="197"/>
      <c r="E1480" s="197"/>
      <c r="F1480" s="197"/>
      <c r="G1480" s="144"/>
      <c r="H1480" s="144"/>
      <c r="I1480" s="197"/>
      <c r="J1480" s="197"/>
      <c r="K1480" s="197"/>
      <c r="L1480" s="257"/>
    </row>
    <row r="1481" ht="22.5" customHeight="1">
      <c r="A1481" s="250"/>
      <c r="B1481" s="272" t="str">
        <f t="shared" si="5"/>
        <v>#REF!</v>
      </c>
      <c r="C1481" s="154"/>
      <c r="D1481" s="196"/>
      <c r="E1481" s="196"/>
      <c r="F1481" s="196"/>
      <c r="G1481" s="152"/>
      <c r="H1481" s="152"/>
      <c r="I1481" s="196"/>
      <c r="J1481" s="196"/>
      <c r="K1481" s="196"/>
      <c r="L1481" s="259"/>
    </row>
    <row r="1482" ht="22.5" customHeight="1">
      <c r="A1482" s="202"/>
      <c r="B1482" s="273" t="str">
        <f t="shared" si="5"/>
        <v>#REF!</v>
      </c>
      <c r="C1482" s="146"/>
      <c r="D1482" s="197"/>
      <c r="E1482" s="197"/>
      <c r="F1482" s="197"/>
      <c r="G1482" s="144"/>
      <c r="H1482" s="144"/>
      <c r="I1482" s="197"/>
      <c r="J1482" s="197"/>
      <c r="K1482" s="197"/>
      <c r="L1482" s="257"/>
    </row>
    <row r="1483" ht="22.5" customHeight="1">
      <c r="A1483" s="250"/>
      <c r="B1483" s="272" t="str">
        <f t="shared" si="5"/>
        <v>#REF!</v>
      </c>
      <c r="C1483" s="154"/>
      <c r="D1483" s="196"/>
      <c r="E1483" s="196"/>
      <c r="F1483" s="196"/>
      <c r="G1483" s="152"/>
      <c r="H1483" s="152"/>
      <c r="I1483" s="196"/>
      <c r="J1483" s="196"/>
      <c r="K1483" s="196"/>
      <c r="L1483" s="259"/>
    </row>
    <row r="1484" ht="22.5" customHeight="1">
      <c r="A1484" s="202"/>
      <c r="B1484" s="273" t="str">
        <f t="shared" si="5"/>
        <v>#REF!</v>
      </c>
      <c r="C1484" s="146"/>
      <c r="D1484" s="197"/>
      <c r="E1484" s="197"/>
      <c r="F1484" s="197"/>
      <c r="G1484" s="144"/>
      <c r="H1484" s="144"/>
      <c r="I1484" s="197"/>
      <c r="J1484" s="197"/>
      <c r="K1484" s="197"/>
      <c r="L1484" s="257"/>
    </row>
    <row r="1485" ht="22.5" customHeight="1">
      <c r="A1485" s="250"/>
      <c r="B1485" s="272" t="str">
        <f t="shared" si="5"/>
        <v>#REF!</v>
      </c>
      <c r="C1485" s="154"/>
      <c r="D1485" s="196"/>
      <c r="E1485" s="196"/>
      <c r="F1485" s="196"/>
      <c r="G1485" s="152"/>
      <c r="H1485" s="152"/>
      <c r="I1485" s="196"/>
      <c r="J1485" s="196"/>
      <c r="K1485" s="196"/>
      <c r="L1485" s="259"/>
    </row>
    <row r="1486" ht="22.5" customHeight="1">
      <c r="A1486" s="202"/>
      <c r="B1486" s="273" t="str">
        <f t="shared" si="5"/>
        <v>#REF!</v>
      </c>
      <c r="C1486" s="146"/>
      <c r="D1486" s="197"/>
      <c r="E1486" s="197"/>
      <c r="F1486" s="197"/>
      <c r="G1486" s="144"/>
      <c r="H1486" s="144"/>
      <c r="I1486" s="197"/>
      <c r="J1486" s="197"/>
      <c r="K1486" s="197"/>
      <c r="L1486" s="257"/>
    </row>
    <row r="1487" ht="22.5" customHeight="1">
      <c r="A1487" s="250"/>
      <c r="B1487" s="272" t="str">
        <f t="shared" si="5"/>
        <v>#REF!</v>
      </c>
      <c r="C1487" s="154"/>
      <c r="D1487" s="196"/>
      <c r="E1487" s="196"/>
      <c r="F1487" s="196"/>
      <c r="G1487" s="152"/>
      <c r="H1487" s="152"/>
      <c r="I1487" s="196"/>
      <c r="J1487" s="196"/>
      <c r="K1487" s="196"/>
      <c r="L1487" s="259"/>
    </row>
    <row r="1488" ht="22.5" customHeight="1">
      <c r="A1488" s="202"/>
      <c r="B1488" s="273" t="str">
        <f t="shared" si="5"/>
        <v>#REF!</v>
      </c>
      <c r="C1488" s="146"/>
      <c r="D1488" s="197"/>
      <c r="E1488" s="197"/>
      <c r="F1488" s="197"/>
      <c r="G1488" s="144"/>
      <c r="H1488" s="144"/>
      <c r="I1488" s="197"/>
      <c r="J1488" s="197"/>
      <c r="K1488" s="197"/>
      <c r="L1488" s="257"/>
    </row>
    <row r="1489" ht="22.5" customHeight="1">
      <c r="A1489" s="250"/>
      <c r="B1489" s="272" t="str">
        <f t="shared" si="5"/>
        <v>#REF!</v>
      </c>
      <c r="C1489" s="154"/>
      <c r="D1489" s="196"/>
      <c r="E1489" s="196"/>
      <c r="F1489" s="196"/>
      <c r="G1489" s="152"/>
      <c r="H1489" s="152"/>
      <c r="I1489" s="196"/>
      <c r="J1489" s="196"/>
      <c r="K1489" s="196"/>
      <c r="L1489" s="259"/>
    </row>
    <row r="1490" ht="22.5" customHeight="1">
      <c r="A1490" s="202"/>
      <c r="B1490" s="273" t="str">
        <f t="shared" si="5"/>
        <v>#REF!</v>
      </c>
      <c r="C1490" s="146"/>
      <c r="D1490" s="197"/>
      <c r="E1490" s="197"/>
      <c r="F1490" s="197"/>
      <c r="G1490" s="144"/>
      <c r="H1490" s="144"/>
      <c r="I1490" s="197"/>
      <c r="J1490" s="197"/>
      <c r="K1490" s="197"/>
      <c r="L1490" s="257"/>
    </row>
    <row r="1491" ht="22.5" customHeight="1">
      <c r="A1491" s="250"/>
      <c r="B1491" s="272" t="str">
        <f t="shared" si="5"/>
        <v>#REF!</v>
      </c>
      <c r="C1491" s="154"/>
      <c r="D1491" s="196"/>
      <c r="E1491" s="196"/>
      <c r="F1491" s="196"/>
      <c r="G1491" s="152"/>
      <c r="H1491" s="152"/>
      <c r="I1491" s="196"/>
      <c r="J1491" s="196"/>
      <c r="K1491" s="196"/>
      <c r="L1491" s="259"/>
    </row>
    <row r="1492" ht="22.5" customHeight="1">
      <c r="A1492" s="202"/>
      <c r="B1492" s="273" t="str">
        <f t="shared" si="5"/>
        <v>#REF!</v>
      </c>
      <c r="C1492" s="146"/>
      <c r="D1492" s="197"/>
      <c r="E1492" s="197"/>
      <c r="F1492" s="197"/>
      <c r="G1492" s="144"/>
      <c r="H1492" s="144"/>
      <c r="I1492" s="197"/>
      <c r="J1492" s="197"/>
      <c r="K1492" s="197"/>
      <c r="L1492" s="257"/>
    </row>
    <row r="1493" ht="22.5" customHeight="1">
      <c r="A1493" s="250"/>
      <c r="B1493" s="272" t="str">
        <f t="shared" si="5"/>
        <v>#REF!</v>
      </c>
      <c r="C1493" s="154"/>
      <c r="D1493" s="196"/>
      <c r="E1493" s="196"/>
      <c r="F1493" s="196"/>
      <c r="G1493" s="152"/>
      <c r="H1493" s="152"/>
      <c r="I1493" s="196"/>
      <c r="J1493" s="196"/>
      <c r="K1493" s="196"/>
      <c r="L1493" s="259"/>
    </row>
    <row r="1494" ht="22.5" customHeight="1">
      <c r="A1494" s="202"/>
      <c r="B1494" s="273" t="str">
        <f t="shared" si="5"/>
        <v>#REF!</v>
      </c>
      <c r="C1494" s="146"/>
      <c r="D1494" s="197"/>
      <c r="E1494" s="197"/>
      <c r="F1494" s="197"/>
      <c r="G1494" s="144"/>
      <c r="H1494" s="144"/>
      <c r="I1494" s="197"/>
      <c r="J1494" s="197"/>
      <c r="K1494" s="197"/>
      <c r="L1494" s="257"/>
    </row>
    <row r="1495" ht="22.5" customHeight="1">
      <c r="A1495" s="250"/>
      <c r="B1495" s="272" t="str">
        <f t="shared" si="5"/>
        <v>#REF!</v>
      </c>
      <c r="C1495" s="154"/>
      <c r="D1495" s="196"/>
      <c r="E1495" s="196"/>
      <c r="F1495" s="196"/>
      <c r="G1495" s="152"/>
      <c r="H1495" s="152"/>
      <c r="I1495" s="196"/>
      <c r="J1495" s="196"/>
      <c r="K1495" s="196"/>
      <c r="L1495" s="259"/>
    </row>
    <row r="1496" ht="22.5" customHeight="1">
      <c r="A1496" s="202"/>
      <c r="B1496" s="273" t="str">
        <f t="shared" si="5"/>
        <v>#REF!</v>
      </c>
      <c r="C1496" s="146"/>
      <c r="D1496" s="197"/>
      <c r="E1496" s="197"/>
      <c r="F1496" s="197"/>
      <c r="G1496" s="144"/>
      <c r="H1496" s="144"/>
      <c r="I1496" s="197"/>
      <c r="J1496" s="197"/>
      <c r="K1496" s="197"/>
      <c r="L1496" s="257"/>
    </row>
    <row r="1497" ht="22.5" customHeight="1">
      <c r="A1497" s="250"/>
      <c r="B1497" s="272" t="str">
        <f t="shared" si="5"/>
        <v>#REF!</v>
      </c>
      <c r="C1497" s="154"/>
      <c r="D1497" s="196"/>
      <c r="E1497" s="196"/>
      <c r="F1497" s="196"/>
      <c r="G1497" s="152"/>
      <c r="H1497" s="152"/>
      <c r="I1497" s="196"/>
      <c r="J1497" s="196"/>
      <c r="K1497" s="196"/>
      <c r="L1497" s="259"/>
    </row>
    <row r="1498" ht="22.5" customHeight="1">
      <c r="A1498" s="202"/>
      <c r="B1498" s="273" t="str">
        <f t="shared" si="5"/>
        <v>#REF!</v>
      </c>
      <c r="C1498" s="146"/>
      <c r="D1498" s="197"/>
      <c r="E1498" s="197"/>
      <c r="F1498" s="197"/>
      <c r="G1498" s="144"/>
      <c r="H1498" s="144"/>
      <c r="I1498" s="197"/>
      <c r="J1498" s="197"/>
      <c r="K1498" s="197"/>
      <c r="L1498" s="257"/>
    </row>
    <row r="1499" ht="22.5" customHeight="1">
      <c r="A1499" s="250"/>
      <c r="B1499" s="272" t="str">
        <f t="shared" si="5"/>
        <v>#REF!</v>
      </c>
      <c r="C1499" s="154"/>
      <c r="D1499" s="196"/>
      <c r="E1499" s="196"/>
      <c r="F1499" s="196"/>
      <c r="G1499" s="152"/>
      <c r="H1499" s="152"/>
      <c r="I1499" s="196"/>
      <c r="J1499" s="196"/>
      <c r="K1499" s="196"/>
      <c r="L1499" s="259"/>
    </row>
    <row r="1500" ht="22.5" customHeight="1">
      <c r="A1500" s="202"/>
      <c r="B1500" s="273" t="str">
        <f t="shared" si="5"/>
        <v>#REF!</v>
      </c>
      <c r="C1500" s="146"/>
      <c r="D1500" s="197"/>
      <c r="E1500" s="197"/>
      <c r="F1500" s="197"/>
      <c r="G1500" s="144"/>
      <c r="H1500" s="144"/>
      <c r="I1500" s="197"/>
      <c r="J1500" s="197"/>
      <c r="K1500" s="197"/>
      <c r="L1500" s="257"/>
    </row>
    <row r="1501" ht="22.5" customHeight="1">
      <c r="A1501" s="250"/>
      <c r="B1501" s="272" t="str">
        <f t="shared" si="5"/>
        <v>#REF!</v>
      </c>
      <c r="C1501" s="154"/>
      <c r="D1501" s="196"/>
      <c r="E1501" s="196"/>
      <c r="F1501" s="196"/>
      <c r="G1501" s="152"/>
      <c r="H1501" s="152"/>
      <c r="I1501" s="196"/>
      <c r="J1501" s="196"/>
      <c r="K1501" s="196"/>
      <c r="L1501" s="259"/>
    </row>
    <row r="1502" ht="22.5" customHeight="1">
      <c r="A1502" s="202"/>
      <c r="B1502" s="273" t="str">
        <f t="shared" si="5"/>
        <v>#REF!</v>
      </c>
      <c r="C1502" s="146"/>
      <c r="D1502" s="197"/>
      <c r="E1502" s="197"/>
      <c r="F1502" s="197"/>
      <c r="G1502" s="144"/>
      <c r="H1502" s="144"/>
      <c r="I1502" s="197"/>
      <c r="J1502" s="197"/>
      <c r="K1502" s="197"/>
      <c r="L1502" s="257"/>
    </row>
    <row r="1503" ht="22.5" customHeight="1">
      <c r="A1503" s="250"/>
      <c r="B1503" s="272" t="str">
        <f t="shared" si="5"/>
        <v>#REF!</v>
      </c>
      <c r="C1503" s="154"/>
      <c r="D1503" s="196"/>
      <c r="E1503" s="196"/>
      <c r="F1503" s="196"/>
      <c r="G1503" s="152"/>
      <c r="H1503" s="152"/>
      <c r="I1503" s="196"/>
      <c r="J1503" s="196"/>
      <c r="K1503" s="196"/>
      <c r="L1503" s="259"/>
    </row>
    <row r="1504" ht="22.5" customHeight="1">
      <c r="A1504" s="202"/>
      <c r="B1504" s="273" t="str">
        <f t="shared" si="5"/>
        <v>#REF!</v>
      </c>
      <c r="C1504" s="146"/>
      <c r="D1504" s="197"/>
      <c r="E1504" s="197"/>
      <c r="F1504" s="197"/>
      <c r="G1504" s="144"/>
      <c r="H1504" s="144"/>
      <c r="I1504" s="197"/>
      <c r="J1504" s="197"/>
      <c r="K1504" s="197"/>
      <c r="L1504" s="257"/>
    </row>
    <row r="1505" ht="22.5" customHeight="1">
      <c r="A1505" s="250"/>
      <c r="B1505" s="272" t="str">
        <f t="shared" si="5"/>
        <v>#REF!</v>
      </c>
      <c r="C1505" s="154"/>
      <c r="D1505" s="196"/>
      <c r="E1505" s="196"/>
      <c r="F1505" s="196"/>
      <c r="G1505" s="152"/>
      <c r="H1505" s="152"/>
      <c r="I1505" s="196"/>
      <c r="J1505" s="196"/>
      <c r="K1505" s="196"/>
      <c r="L1505" s="259"/>
    </row>
    <row r="1506" ht="22.5" customHeight="1">
      <c r="A1506" s="202"/>
      <c r="B1506" s="273" t="str">
        <f t="shared" si="5"/>
        <v>#REF!</v>
      </c>
      <c r="C1506" s="146"/>
      <c r="D1506" s="197"/>
      <c r="E1506" s="197"/>
      <c r="F1506" s="197"/>
      <c r="G1506" s="144"/>
      <c r="H1506" s="144"/>
      <c r="I1506" s="197"/>
      <c r="J1506" s="197"/>
      <c r="K1506" s="197"/>
      <c r="L1506" s="257"/>
    </row>
    <row r="1507" ht="22.5" customHeight="1">
      <c r="A1507" s="250"/>
      <c r="B1507" s="272" t="str">
        <f t="shared" si="5"/>
        <v>#REF!</v>
      </c>
      <c r="C1507" s="154"/>
      <c r="D1507" s="196"/>
      <c r="E1507" s="196"/>
      <c r="F1507" s="196"/>
      <c r="G1507" s="152"/>
      <c r="H1507" s="152"/>
      <c r="I1507" s="196"/>
      <c r="J1507" s="196"/>
      <c r="K1507" s="196"/>
      <c r="L1507" s="259"/>
    </row>
    <row r="1508" ht="22.5" customHeight="1">
      <c r="A1508" s="202"/>
      <c r="B1508" s="273" t="str">
        <f t="shared" si="5"/>
        <v>#REF!</v>
      </c>
      <c r="C1508" s="146"/>
      <c r="D1508" s="197"/>
      <c r="E1508" s="197"/>
      <c r="F1508" s="197"/>
      <c r="G1508" s="144"/>
      <c r="H1508" s="144"/>
      <c r="I1508" s="197"/>
      <c r="J1508" s="197"/>
      <c r="K1508" s="197"/>
      <c r="L1508" s="257"/>
    </row>
    <row r="1509" ht="22.5" customHeight="1">
      <c r="A1509" s="250"/>
      <c r="B1509" s="272" t="str">
        <f t="shared" si="5"/>
        <v>#REF!</v>
      </c>
      <c r="C1509" s="154"/>
      <c r="D1509" s="196"/>
      <c r="E1509" s="196"/>
      <c r="F1509" s="196"/>
      <c r="G1509" s="152"/>
      <c r="H1509" s="152"/>
      <c r="I1509" s="196"/>
      <c r="J1509" s="196"/>
      <c r="K1509" s="196"/>
      <c r="L1509" s="259"/>
    </row>
    <row r="1510" ht="22.5" customHeight="1">
      <c r="A1510" s="202"/>
      <c r="B1510" s="273" t="str">
        <f t="shared" si="5"/>
        <v>#REF!</v>
      </c>
      <c r="C1510" s="146"/>
      <c r="D1510" s="197"/>
      <c r="E1510" s="197"/>
      <c r="F1510" s="197"/>
      <c r="G1510" s="144"/>
      <c r="H1510" s="144"/>
      <c r="I1510" s="197"/>
      <c r="J1510" s="197"/>
      <c r="K1510" s="197"/>
      <c r="L1510" s="257"/>
    </row>
    <row r="1511" ht="22.5" customHeight="1">
      <c r="A1511" s="250"/>
      <c r="B1511" s="272" t="str">
        <f t="shared" si="5"/>
        <v>#REF!</v>
      </c>
      <c r="C1511" s="154"/>
      <c r="D1511" s="196"/>
      <c r="E1511" s="196"/>
      <c r="F1511" s="196"/>
      <c r="G1511" s="152"/>
      <c r="H1511" s="152"/>
      <c r="I1511" s="196"/>
      <c r="J1511" s="196"/>
      <c r="K1511" s="196"/>
      <c r="L1511" s="259"/>
    </row>
    <row r="1512" ht="22.5" customHeight="1">
      <c r="A1512" s="202"/>
      <c r="B1512" s="273" t="str">
        <f t="shared" si="5"/>
        <v>#REF!</v>
      </c>
      <c r="C1512" s="146"/>
      <c r="D1512" s="197"/>
      <c r="E1512" s="197"/>
      <c r="F1512" s="197"/>
      <c r="G1512" s="144"/>
      <c r="H1512" s="144"/>
      <c r="I1512" s="197"/>
      <c r="J1512" s="197"/>
      <c r="K1512" s="197"/>
      <c r="L1512" s="257"/>
    </row>
    <row r="1513" ht="22.5" customHeight="1">
      <c r="A1513" s="250"/>
      <c r="B1513" s="272" t="str">
        <f t="shared" si="5"/>
        <v>#REF!</v>
      </c>
      <c r="C1513" s="154"/>
      <c r="D1513" s="196"/>
      <c r="E1513" s="196"/>
      <c r="F1513" s="196"/>
      <c r="G1513" s="152"/>
      <c r="H1513" s="152"/>
      <c r="I1513" s="196"/>
      <c r="J1513" s="196"/>
      <c r="K1513" s="196"/>
      <c r="L1513" s="259"/>
    </row>
    <row r="1514" ht="22.5" customHeight="1">
      <c r="A1514" s="202"/>
      <c r="B1514" s="273" t="str">
        <f t="shared" si="5"/>
        <v>#REF!</v>
      </c>
      <c r="C1514" s="146"/>
      <c r="D1514" s="197"/>
      <c r="E1514" s="197"/>
      <c r="F1514" s="197"/>
      <c r="G1514" s="144"/>
      <c r="H1514" s="144"/>
      <c r="I1514" s="197"/>
      <c r="J1514" s="197"/>
      <c r="K1514" s="197"/>
      <c r="L1514" s="257"/>
    </row>
    <row r="1515" ht="22.5" customHeight="1">
      <c r="A1515" s="250"/>
      <c r="B1515" s="272" t="str">
        <f t="shared" si="5"/>
        <v>#REF!</v>
      </c>
      <c r="C1515" s="154"/>
      <c r="D1515" s="196"/>
      <c r="E1515" s="196"/>
      <c r="F1515" s="196"/>
      <c r="G1515" s="152"/>
      <c r="H1515" s="152"/>
      <c r="I1515" s="196"/>
      <c r="J1515" s="196"/>
      <c r="K1515" s="196"/>
      <c r="L1515" s="259"/>
    </row>
    <row r="1516" ht="22.5" customHeight="1">
      <c r="A1516" s="202"/>
      <c r="B1516" s="273" t="str">
        <f t="shared" si="5"/>
        <v>#REF!</v>
      </c>
      <c r="C1516" s="146"/>
      <c r="D1516" s="197"/>
      <c r="E1516" s="197"/>
      <c r="F1516" s="197"/>
      <c r="G1516" s="144"/>
      <c r="H1516" s="144"/>
      <c r="I1516" s="197"/>
      <c r="J1516" s="197"/>
      <c r="K1516" s="197"/>
      <c r="L1516" s="257"/>
    </row>
    <row r="1517" ht="22.5" customHeight="1">
      <c r="A1517" s="250"/>
      <c r="B1517" s="272" t="str">
        <f t="shared" si="5"/>
        <v>#REF!</v>
      </c>
      <c r="C1517" s="154"/>
      <c r="D1517" s="196"/>
      <c r="E1517" s="196"/>
      <c r="F1517" s="196"/>
      <c r="G1517" s="152"/>
      <c r="H1517" s="152"/>
      <c r="I1517" s="196"/>
      <c r="J1517" s="196"/>
      <c r="K1517" s="196"/>
      <c r="L1517" s="259"/>
    </row>
    <row r="1518" ht="22.5" customHeight="1">
      <c r="A1518" s="202"/>
      <c r="B1518" s="273" t="str">
        <f t="shared" si="5"/>
        <v>#REF!</v>
      </c>
      <c r="C1518" s="146"/>
      <c r="D1518" s="197"/>
      <c r="E1518" s="197"/>
      <c r="F1518" s="197"/>
      <c r="G1518" s="144"/>
      <c r="H1518" s="144"/>
      <c r="I1518" s="197"/>
      <c r="J1518" s="197"/>
      <c r="K1518" s="197"/>
      <c r="L1518" s="257"/>
    </row>
    <row r="1519" ht="22.5" customHeight="1">
      <c r="A1519" s="250"/>
      <c r="B1519" s="272" t="str">
        <f t="shared" si="5"/>
        <v>#REF!</v>
      </c>
      <c r="C1519" s="154"/>
      <c r="D1519" s="196"/>
      <c r="E1519" s="196"/>
      <c r="F1519" s="196"/>
      <c r="G1519" s="152"/>
      <c r="H1519" s="152"/>
      <c r="I1519" s="196"/>
      <c r="J1519" s="196"/>
      <c r="K1519" s="196"/>
      <c r="L1519" s="259"/>
    </row>
    <row r="1520" ht="22.5" customHeight="1">
      <c r="A1520" s="202"/>
      <c r="B1520" s="273" t="str">
        <f t="shared" si="5"/>
        <v>#REF!</v>
      </c>
      <c r="C1520" s="146"/>
      <c r="D1520" s="197"/>
      <c r="E1520" s="197"/>
      <c r="F1520" s="197"/>
      <c r="G1520" s="144"/>
      <c r="H1520" s="144"/>
      <c r="I1520" s="197"/>
      <c r="J1520" s="197"/>
      <c r="K1520" s="197"/>
      <c r="L1520" s="257"/>
    </row>
    <row r="1521" ht="22.5" customHeight="1">
      <c r="A1521" s="250"/>
      <c r="B1521" s="272" t="str">
        <f t="shared" si="5"/>
        <v>#REF!</v>
      </c>
      <c r="C1521" s="154"/>
      <c r="D1521" s="196"/>
      <c r="E1521" s="196"/>
      <c r="F1521" s="196"/>
      <c r="G1521" s="152"/>
      <c r="H1521" s="152"/>
      <c r="I1521" s="196"/>
      <c r="J1521" s="196"/>
      <c r="K1521" s="196"/>
      <c r="L1521" s="259"/>
    </row>
    <row r="1522" ht="22.5" customHeight="1">
      <c r="A1522" s="202"/>
      <c r="B1522" s="273" t="str">
        <f t="shared" si="5"/>
        <v>#REF!</v>
      </c>
      <c r="C1522" s="146"/>
      <c r="D1522" s="197"/>
      <c r="E1522" s="197"/>
      <c r="F1522" s="197"/>
      <c r="G1522" s="144"/>
      <c r="H1522" s="144"/>
      <c r="I1522" s="197"/>
      <c r="J1522" s="197"/>
      <c r="K1522" s="197"/>
      <c r="L1522" s="257"/>
    </row>
    <row r="1523" ht="22.5" customHeight="1">
      <c r="A1523" s="250"/>
      <c r="B1523" s="272" t="str">
        <f t="shared" si="5"/>
        <v>#REF!</v>
      </c>
      <c r="C1523" s="154"/>
      <c r="D1523" s="196"/>
      <c r="E1523" s="196"/>
      <c r="F1523" s="196"/>
      <c r="G1523" s="152"/>
      <c r="H1523" s="152"/>
      <c r="I1523" s="196"/>
      <c r="J1523" s="196"/>
      <c r="K1523" s="196"/>
      <c r="L1523" s="259"/>
    </row>
    <row r="1524" ht="22.5" customHeight="1">
      <c r="A1524" s="202"/>
      <c r="B1524" s="273" t="str">
        <f t="shared" si="5"/>
        <v>#REF!</v>
      </c>
      <c r="C1524" s="146"/>
      <c r="D1524" s="197"/>
      <c r="E1524" s="197"/>
      <c r="F1524" s="197"/>
      <c r="G1524" s="144"/>
      <c r="H1524" s="144"/>
      <c r="I1524" s="197"/>
      <c r="J1524" s="197"/>
      <c r="K1524" s="197"/>
      <c r="L1524" s="257"/>
    </row>
    <row r="1525" ht="22.5" customHeight="1">
      <c r="A1525" s="250"/>
      <c r="B1525" s="272" t="str">
        <f t="shared" si="5"/>
        <v>#REF!</v>
      </c>
      <c r="C1525" s="154"/>
      <c r="D1525" s="196"/>
      <c r="E1525" s="196"/>
      <c r="F1525" s="196"/>
      <c r="G1525" s="152"/>
      <c r="H1525" s="152"/>
      <c r="I1525" s="196"/>
      <c r="J1525" s="196"/>
      <c r="K1525" s="196"/>
      <c r="L1525" s="259"/>
    </row>
    <row r="1526" ht="22.5" customHeight="1">
      <c r="A1526" s="202"/>
      <c r="B1526" s="273" t="str">
        <f t="shared" si="5"/>
        <v>#REF!</v>
      </c>
      <c r="C1526" s="146"/>
      <c r="D1526" s="197"/>
      <c r="E1526" s="197"/>
      <c r="F1526" s="197"/>
      <c r="G1526" s="144"/>
      <c r="H1526" s="144"/>
      <c r="I1526" s="197"/>
      <c r="J1526" s="197"/>
      <c r="K1526" s="197"/>
      <c r="L1526" s="257"/>
    </row>
    <row r="1527" ht="22.5" customHeight="1">
      <c r="A1527" s="250"/>
      <c r="B1527" s="272" t="str">
        <f t="shared" si="5"/>
        <v>#REF!</v>
      </c>
      <c r="C1527" s="154"/>
      <c r="D1527" s="196"/>
      <c r="E1527" s="196"/>
      <c r="F1527" s="196"/>
      <c r="G1527" s="152"/>
      <c r="H1527" s="152"/>
      <c r="I1527" s="196"/>
      <c r="J1527" s="196"/>
      <c r="K1527" s="196"/>
      <c r="L1527" s="259"/>
    </row>
    <row r="1528" ht="22.5" customHeight="1">
      <c r="A1528" s="202"/>
      <c r="B1528" s="273" t="str">
        <f t="shared" si="5"/>
        <v>#REF!</v>
      </c>
      <c r="C1528" s="146"/>
      <c r="D1528" s="197"/>
      <c r="E1528" s="197"/>
      <c r="F1528" s="197"/>
      <c r="G1528" s="144"/>
      <c r="H1528" s="144"/>
      <c r="I1528" s="197"/>
      <c r="J1528" s="197"/>
      <c r="K1528" s="197"/>
      <c r="L1528" s="257"/>
    </row>
    <row r="1529" ht="22.5" customHeight="1">
      <c r="A1529" s="250"/>
      <c r="B1529" s="272" t="str">
        <f t="shared" si="5"/>
        <v>#REF!</v>
      </c>
      <c r="C1529" s="154"/>
      <c r="D1529" s="196"/>
      <c r="E1529" s="196"/>
      <c r="F1529" s="196"/>
      <c r="G1529" s="152"/>
      <c r="H1529" s="152"/>
      <c r="I1529" s="196"/>
      <c r="J1529" s="196"/>
      <c r="K1529" s="196"/>
      <c r="L1529" s="259"/>
    </row>
    <row r="1530" ht="22.5" customHeight="1">
      <c r="A1530" s="202"/>
      <c r="B1530" s="273" t="str">
        <f t="shared" si="5"/>
        <v>#REF!</v>
      </c>
      <c r="C1530" s="146"/>
      <c r="D1530" s="197"/>
      <c r="E1530" s="197"/>
      <c r="F1530" s="197"/>
      <c r="G1530" s="144"/>
      <c r="H1530" s="144"/>
      <c r="I1530" s="197"/>
      <c r="J1530" s="197"/>
      <c r="K1530" s="197"/>
      <c r="L1530" s="257"/>
    </row>
    <row r="1531" ht="22.5" customHeight="1">
      <c r="A1531" s="250"/>
      <c r="B1531" s="272" t="str">
        <f t="shared" si="5"/>
        <v>#REF!</v>
      </c>
      <c r="C1531" s="154"/>
      <c r="D1531" s="196"/>
      <c r="E1531" s="196"/>
      <c r="F1531" s="196"/>
      <c r="G1531" s="152"/>
      <c r="H1531" s="152"/>
      <c r="I1531" s="196"/>
      <c r="J1531" s="196"/>
      <c r="K1531" s="196"/>
      <c r="L1531" s="259"/>
    </row>
    <row r="1532" ht="22.5" customHeight="1">
      <c r="A1532" s="202"/>
      <c r="B1532" s="273" t="str">
        <f t="shared" si="5"/>
        <v>#REF!</v>
      </c>
      <c r="C1532" s="146"/>
      <c r="D1532" s="197"/>
      <c r="E1532" s="197"/>
      <c r="F1532" s="197"/>
      <c r="G1532" s="144"/>
      <c r="H1532" s="144"/>
      <c r="I1532" s="197"/>
      <c r="J1532" s="197"/>
      <c r="K1532" s="197"/>
      <c r="L1532" s="257"/>
    </row>
    <row r="1533" ht="22.5" customHeight="1">
      <c r="A1533" s="250"/>
      <c r="B1533" s="272" t="str">
        <f t="shared" si="5"/>
        <v>#REF!</v>
      </c>
      <c r="C1533" s="154"/>
      <c r="D1533" s="196"/>
      <c r="E1533" s="196"/>
      <c r="F1533" s="196"/>
      <c r="G1533" s="152"/>
      <c r="H1533" s="152"/>
      <c r="I1533" s="196"/>
      <c r="J1533" s="196"/>
      <c r="K1533" s="196"/>
      <c r="L1533" s="259"/>
    </row>
    <row r="1534" ht="22.5" customHeight="1">
      <c r="A1534" s="202"/>
      <c r="B1534" s="273" t="str">
        <f t="shared" si="5"/>
        <v>#REF!</v>
      </c>
      <c r="C1534" s="146"/>
      <c r="D1534" s="197"/>
      <c r="E1534" s="197"/>
      <c r="F1534" s="197"/>
      <c r="G1534" s="144"/>
      <c r="H1534" s="144"/>
      <c r="I1534" s="197"/>
      <c r="J1534" s="197"/>
      <c r="K1534" s="197"/>
      <c r="L1534" s="257"/>
    </row>
    <row r="1535" ht="22.5" customHeight="1">
      <c r="A1535" s="250"/>
      <c r="B1535" s="272" t="str">
        <f t="shared" si="5"/>
        <v>#REF!</v>
      </c>
      <c r="C1535" s="154"/>
      <c r="D1535" s="196"/>
      <c r="E1535" s="196"/>
      <c r="F1535" s="196"/>
      <c r="G1535" s="152"/>
      <c r="H1535" s="152"/>
      <c r="I1535" s="196"/>
      <c r="J1535" s="196"/>
      <c r="K1535" s="196"/>
      <c r="L1535" s="259"/>
    </row>
    <row r="1536" ht="22.5" customHeight="1">
      <c r="A1536" s="202"/>
      <c r="B1536" s="273" t="str">
        <f t="shared" si="5"/>
        <v>#REF!</v>
      </c>
      <c r="C1536" s="146"/>
      <c r="D1536" s="197"/>
      <c r="E1536" s="197"/>
      <c r="F1536" s="197"/>
      <c r="G1536" s="144"/>
      <c r="H1536" s="144"/>
      <c r="I1536" s="197"/>
      <c r="J1536" s="197"/>
      <c r="K1536" s="197"/>
      <c r="L1536" s="257"/>
    </row>
    <row r="1537" ht="22.5" customHeight="1">
      <c r="A1537" s="250"/>
      <c r="B1537" s="272" t="str">
        <f t="shared" si="5"/>
        <v>#REF!</v>
      </c>
      <c r="C1537" s="154"/>
      <c r="D1537" s="196"/>
      <c r="E1537" s="196"/>
      <c r="F1537" s="196"/>
      <c r="G1537" s="152"/>
      <c r="H1537" s="152"/>
      <c r="I1537" s="196"/>
      <c r="J1537" s="196"/>
      <c r="K1537" s="196"/>
      <c r="L1537" s="259"/>
    </row>
    <row r="1538" ht="22.5" customHeight="1">
      <c r="A1538" s="202"/>
      <c r="B1538" s="273" t="str">
        <f t="shared" si="5"/>
        <v>#REF!</v>
      </c>
      <c r="C1538" s="146"/>
      <c r="D1538" s="197"/>
      <c r="E1538" s="197"/>
      <c r="F1538" s="197"/>
      <c r="G1538" s="144"/>
      <c r="H1538" s="144"/>
      <c r="I1538" s="197"/>
      <c r="J1538" s="197"/>
      <c r="K1538" s="197"/>
      <c r="L1538" s="257"/>
    </row>
    <row r="1539" ht="22.5" customHeight="1">
      <c r="A1539" s="250"/>
      <c r="B1539" s="272" t="str">
        <f t="shared" si="5"/>
        <v>#REF!</v>
      </c>
      <c r="C1539" s="154"/>
      <c r="D1539" s="196"/>
      <c r="E1539" s="196"/>
      <c r="F1539" s="196"/>
      <c r="G1539" s="152"/>
      <c r="H1539" s="152"/>
      <c r="I1539" s="196"/>
      <c r="J1539" s="196"/>
      <c r="K1539" s="196"/>
      <c r="L1539" s="259"/>
    </row>
    <row r="1540" ht="22.5" customHeight="1">
      <c r="A1540" s="202"/>
      <c r="B1540" s="273" t="str">
        <f t="shared" si="5"/>
        <v>#REF!</v>
      </c>
      <c r="C1540" s="146"/>
      <c r="D1540" s="197"/>
      <c r="E1540" s="197"/>
      <c r="F1540" s="197"/>
      <c r="G1540" s="144"/>
      <c r="H1540" s="144"/>
      <c r="I1540" s="197"/>
      <c r="J1540" s="197"/>
      <c r="K1540" s="197"/>
      <c r="L1540" s="257"/>
    </row>
    <row r="1541" ht="22.5" customHeight="1">
      <c r="A1541" s="250"/>
      <c r="B1541" s="272" t="str">
        <f t="shared" si="5"/>
        <v>#REF!</v>
      </c>
      <c r="C1541" s="154"/>
      <c r="D1541" s="196"/>
      <c r="E1541" s="196"/>
      <c r="F1541" s="196"/>
      <c r="G1541" s="152"/>
      <c r="H1541" s="152"/>
      <c r="I1541" s="196"/>
      <c r="J1541" s="196"/>
      <c r="K1541" s="196"/>
      <c r="L1541" s="259"/>
    </row>
    <row r="1542" ht="22.5" customHeight="1">
      <c r="A1542" s="202"/>
      <c r="B1542" s="273" t="str">
        <f t="shared" si="5"/>
        <v>#REF!</v>
      </c>
      <c r="C1542" s="146"/>
      <c r="D1542" s="197"/>
      <c r="E1542" s="197"/>
      <c r="F1542" s="197"/>
      <c r="G1542" s="144"/>
      <c r="H1542" s="144"/>
      <c r="I1542" s="197"/>
      <c r="J1542" s="197"/>
      <c r="K1542" s="197"/>
      <c r="L1542" s="257"/>
    </row>
    <row r="1543" ht="22.5" customHeight="1">
      <c r="A1543" s="250"/>
      <c r="B1543" s="272" t="str">
        <f t="shared" si="5"/>
        <v>#REF!</v>
      </c>
      <c r="C1543" s="154"/>
      <c r="D1543" s="196"/>
      <c r="E1543" s="196"/>
      <c r="F1543" s="196"/>
      <c r="G1543" s="152"/>
      <c r="H1543" s="152"/>
      <c r="I1543" s="196"/>
      <c r="J1543" s="196"/>
      <c r="K1543" s="196"/>
      <c r="L1543" s="259"/>
    </row>
    <row r="1544" ht="22.5" customHeight="1">
      <c r="A1544" s="202"/>
      <c r="B1544" s="273" t="str">
        <f t="shared" si="5"/>
        <v>#REF!</v>
      </c>
      <c r="C1544" s="146"/>
      <c r="D1544" s="197"/>
      <c r="E1544" s="197"/>
      <c r="F1544" s="197"/>
      <c r="G1544" s="144"/>
      <c r="H1544" s="144"/>
      <c r="I1544" s="197"/>
      <c r="J1544" s="197"/>
      <c r="K1544" s="197"/>
      <c r="L1544" s="257"/>
    </row>
    <row r="1545" ht="22.5" customHeight="1">
      <c r="A1545" s="250"/>
      <c r="B1545" s="272" t="str">
        <f t="shared" si="5"/>
        <v>#REF!</v>
      </c>
      <c r="C1545" s="154"/>
      <c r="D1545" s="196"/>
      <c r="E1545" s="196"/>
      <c r="F1545" s="196"/>
      <c r="G1545" s="152"/>
      <c r="H1545" s="152"/>
      <c r="I1545" s="196"/>
      <c r="J1545" s="196"/>
      <c r="K1545" s="196"/>
      <c r="L1545" s="259"/>
    </row>
    <row r="1546" ht="22.5" customHeight="1">
      <c r="A1546" s="202"/>
      <c r="B1546" s="273" t="str">
        <f t="shared" si="5"/>
        <v>#REF!</v>
      </c>
      <c r="C1546" s="146"/>
      <c r="D1546" s="197"/>
      <c r="E1546" s="197"/>
      <c r="F1546" s="197"/>
      <c r="G1546" s="144"/>
      <c r="H1546" s="144"/>
      <c r="I1546" s="197"/>
      <c r="J1546" s="197"/>
      <c r="K1546" s="197"/>
      <c r="L1546" s="257"/>
    </row>
    <row r="1547" ht="22.5" customHeight="1">
      <c r="A1547" s="250"/>
      <c r="B1547" s="272" t="str">
        <f t="shared" si="5"/>
        <v>#REF!</v>
      </c>
      <c r="C1547" s="154"/>
      <c r="D1547" s="196"/>
      <c r="E1547" s="196"/>
      <c r="F1547" s="196"/>
      <c r="G1547" s="152"/>
      <c r="H1547" s="152"/>
      <c r="I1547" s="196"/>
      <c r="J1547" s="196"/>
      <c r="K1547" s="196"/>
      <c r="L1547" s="259"/>
    </row>
    <row r="1548" ht="22.5" customHeight="1">
      <c r="A1548" s="202"/>
      <c r="B1548" s="273" t="str">
        <f t="shared" si="5"/>
        <v>#REF!</v>
      </c>
      <c r="C1548" s="146"/>
      <c r="D1548" s="197"/>
      <c r="E1548" s="197"/>
      <c r="F1548" s="197"/>
      <c r="G1548" s="144"/>
      <c r="H1548" s="144"/>
      <c r="I1548" s="197"/>
      <c r="J1548" s="197"/>
      <c r="K1548" s="197"/>
      <c r="L1548" s="257"/>
    </row>
    <row r="1549" ht="22.5" customHeight="1">
      <c r="A1549" s="250"/>
      <c r="B1549" s="272" t="str">
        <f t="shared" si="5"/>
        <v>#REF!</v>
      </c>
      <c r="C1549" s="154"/>
      <c r="D1549" s="196"/>
      <c r="E1549" s="196"/>
      <c r="F1549" s="196"/>
      <c r="G1549" s="152"/>
      <c r="H1549" s="152"/>
      <c r="I1549" s="196"/>
      <c r="J1549" s="196"/>
      <c r="K1549" s="196"/>
      <c r="L1549" s="259"/>
    </row>
    <row r="1550" ht="22.5" customHeight="1">
      <c r="A1550" s="202"/>
      <c r="B1550" s="273" t="str">
        <f t="shared" si="5"/>
        <v>#REF!</v>
      </c>
      <c r="C1550" s="146"/>
      <c r="D1550" s="197"/>
      <c r="E1550" s="197"/>
      <c r="F1550" s="197"/>
      <c r="G1550" s="144"/>
      <c r="H1550" s="144"/>
      <c r="I1550" s="197"/>
      <c r="J1550" s="197"/>
      <c r="K1550" s="197"/>
      <c r="L1550" s="257"/>
    </row>
    <row r="1551" ht="22.5" customHeight="1">
      <c r="A1551" s="250"/>
      <c r="B1551" s="272" t="str">
        <f t="shared" si="5"/>
        <v>#REF!</v>
      </c>
      <c r="C1551" s="154"/>
      <c r="D1551" s="196"/>
      <c r="E1551" s="196"/>
      <c r="F1551" s="196"/>
      <c r="G1551" s="152"/>
      <c r="H1551" s="152"/>
      <c r="I1551" s="196"/>
      <c r="J1551" s="196"/>
      <c r="K1551" s="196"/>
      <c r="L1551" s="259"/>
    </row>
    <row r="1552" ht="22.5" customHeight="1">
      <c r="A1552" s="202"/>
      <c r="B1552" s="273" t="str">
        <f t="shared" si="5"/>
        <v>#REF!</v>
      </c>
      <c r="C1552" s="146"/>
      <c r="D1552" s="197"/>
      <c r="E1552" s="197"/>
      <c r="F1552" s="197"/>
      <c r="G1552" s="144"/>
      <c r="H1552" s="144"/>
      <c r="I1552" s="197"/>
      <c r="J1552" s="197"/>
      <c r="K1552" s="197"/>
      <c r="L1552" s="257"/>
    </row>
    <row r="1553" ht="22.5" customHeight="1">
      <c r="A1553" s="250"/>
      <c r="B1553" s="272" t="str">
        <f t="shared" si="5"/>
        <v>#REF!</v>
      </c>
      <c r="C1553" s="154"/>
      <c r="D1553" s="196"/>
      <c r="E1553" s="196"/>
      <c r="F1553" s="196"/>
      <c r="G1553" s="152"/>
      <c r="H1553" s="152"/>
      <c r="I1553" s="196"/>
      <c r="J1553" s="196"/>
      <c r="K1553" s="196"/>
      <c r="L1553" s="259"/>
    </row>
    <row r="1554" ht="22.5" customHeight="1">
      <c r="A1554" s="202"/>
      <c r="B1554" s="273" t="str">
        <f t="shared" si="5"/>
        <v>#REF!</v>
      </c>
      <c r="C1554" s="146"/>
      <c r="D1554" s="197"/>
      <c r="E1554" s="197"/>
      <c r="F1554" s="197"/>
      <c r="G1554" s="144"/>
      <c r="H1554" s="144"/>
      <c r="I1554" s="197"/>
      <c r="J1554" s="197"/>
      <c r="K1554" s="197"/>
      <c r="L1554" s="257"/>
    </row>
    <row r="1555" ht="22.5" customHeight="1">
      <c r="A1555" s="250"/>
      <c r="B1555" s="272" t="str">
        <f t="shared" si="5"/>
        <v>#REF!</v>
      </c>
      <c r="C1555" s="154"/>
      <c r="D1555" s="196"/>
      <c r="E1555" s="196"/>
      <c r="F1555" s="196"/>
      <c r="G1555" s="152"/>
      <c r="H1555" s="152"/>
      <c r="I1555" s="196"/>
      <c r="J1555" s="196"/>
      <c r="K1555" s="196"/>
      <c r="L1555" s="259"/>
    </row>
    <row r="1556" ht="22.5" customHeight="1">
      <c r="A1556" s="202"/>
      <c r="B1556" s="273" t="str">
        <f t="shared" si="5"/>
        <v>#REF!</v>
      </c>
      <c r="C1556" s="146"/>
      <c r="D1556" s="197"/>
      <c r="E1556" s="197"/>
      <c r="F1556" s="197"/>
      <c r="G1556" s="144"/>
      <c r="H1556" s="144"/>
      <c r="I1556" s="197"/>
      <c r="J1556" s="197"/>
      <c r="K1556" s="197"/>
      <c r="L1556" s="257"/>
    </row>
    <row r="1557" ht="22.5" customHeight="1">
      <c r="A1557" s="250"/>
      <c r="B1557" s="272" t="str">
        <f t="shared" si="5"/>
        <v>#REF!</v>
      </c>
      <c r="C1557" s="154"/>
      <c r="D1557" s="196"/>
      <c r="E1557" s="196"/>
      <c r="F1557" s="196"/>
      <c r="G1557" s="152"/>
      <c r="H1557" s="152"/>
      <c r="I1557" s="196"/>
      <c r="J1557" s="196"/>
      <c r="K1557" s="196"/>
      <c r="L1557" s="259"/>
    </row>
    <row r="1558" ht="22.5" customHeight="1">
      <c r="A1558" s="202"/>
      <c r="B1558" s="273" t="str">
        <f t="shared" si="5"/>
        <v>#REF!</v>
      </c>
      <c r="C1558" s="146"/>
      <c r="D1558" s="197"/>
      <c r="E1558" s="197"/>
      <c r="F1558" s="197"/>
      <c r="G1558" s="144"/>
      <c r="H1558" s="144"/>
      <c r="I1558" s="197"/>
      <c r="J1558" s="197"/>
      <c r="K1558" s="197"/>
      <c r="L1558" s="257"/>
    </row>
    <row r="1559" ht="22.5" customHeight="1">
      <c r="A1559" s="250"/>
      <c r="B1559" s="272" t="str">
        <f t="shared" si="5"/>
        <v>#REF!</v>
      </c>
      <c r="C1559" s="154"/>
      <c r="D1559" s="196"/>
      <c r="E1559" s="196"/>
      <c r="F1559" s="196"/>
      <c r="G1559" s="152"/>
      <c r="H1559" s="152"/>
      <c r="I1559" s="196"/>
      <c r="J1559" s="196"/>
      <c r="K1559" s="196"/>
      <c r="L1559" s="259"/>
    </row>
    <row r="1560" ht="22.5" customHeight="1">
      <c r="A1560" s="202"/>
      <c r="B1560" s="273" t="str">
        <f t="shared" si="5"/>
        <v>#REF!</v>
      </c>
      <c r="C1560" s="146"/>
      <c r="D1560" s="197"/>
      <c r="E1560" s="197"/>
      <c r="F1560" s="197"/>
      <c r="G1560" s="144"/>
      <c r="H1560" s="144"/>
      <c r="I1560" s="197"/>
      <c r="J1560" s="197"/>
      <c r="K1560" s="197"/>
      <c r="L1560" s="257"/>
    </row>
    <row r="1561" ht="22.5" customHeight="1">
      <c r="A1561" s="250"/>
      <c r="B1561" s="272" t="str">
        <f t="shared" si="5"/>
        <v>#REF!</v>
      </c>
      <c r="C1561" s="154"/>
      <c r="D1561" s="196"/>
      <c r="E1561" s="196"/>
      <c r="F1561" s="196"/>
      <c r="G1561" s="152"/>
      <c r="H1561" s="152"/>
      <c r="I1561" s="196"/>
      <c r="J1561" s="196"/>
      <c r="K1561" s="196"/>
      <c r="L1561" s="259"/>
    </row>
    <row r="1562" ht="22.5" customHeight="1">
      <c r="A1562" s="202"/>
      <c r="B1562" s="273" t="str">
        <f t="shared" si="5"/>
        <v>#REF!</v>
      </c>
      <c r="C1562" s="146"/>
      <c r="D1562" s="197"/>
      <c r="E1562" s="197"/>
      <c r="F1562" s="197"/>
      <c r="G1562" s="144"/>
      <c r="H1562" s="144"/>
      <c r="I1562" s="197"/>
      <c r="J1562" s="197"/>
      <c r="K1562" s="197"/>
      <c r="L1562" s="257"/>
    </row>
    <row r="1563" ht="22.5" customHeight="1">
      <c r="A1563" s="250"/>
      <c r="B1563" s="272" t="str">
        <f t="shared" si="5"/>
        <v>#REF!</v>
      </c>
      <c r="C1563" s="154"/>
      <c r="D1563" s="196"/>
      <c r="E1563" s="196"/>
      <c r="F1563" s="196"/>
      <c r="G1563" s="152"/>
      <c r="H1563" s="152"/>
      <c r="I1563" s="196"/>
      <c r="J1563" s="196"/>
      <c r="K1563" s="196"/>
      <c r="L1563" s="259"/>
    </row>
    <row r="1564" ht="22.5" customHeight="1">
      <c r="A1564" s="202"/>
      <c r="B1564" s="273" t="str">
        <f t="shared" si="5"/>
        <v>#REF!</v>
      </c>
      <c r="C1564" s="146"/>
      <c r="D1564" s="197"/>
      <c r="E1564" s="197"/>
      <c r="F1564" s="197"/>
      <c r="G1564" s="144"/>
      <c r="H1564" s="144"/>
      <c r="I1564" s="197"/>
      <c r="J1564" s="197"/>
      <c r="K1564" s="197"/>
      <c r="L1564" s="257"/>
    </row>
    <row r="1565" ht="22.5" customHeight="1">
      <c r="A1565" s="250"/>
      <c r="B1565" s="272" t="str">
        <f t="shared" si="5"/>
        <v>#REF!</v>
      </c>
      <c r="C1565" s="154"/>
      <c r="D1565" s="196"/>
      <c r="E1565" s="196"/>
      <c r="F1565" s="196"/>
      <c r="G1565" s="152"/>
      <c r="H1565" s="152"/>
      <c r="I1565" s="196"/>
      <c r="J1565" s="196"/>
      <c r="K1565" s="196"/>
      <c r="L1565" s="259"/>
    </row>
    <row r="1566" ht="22.5" customHeight="1">
      <c r="A1566" s="202"/>
      <c r="B1566" s="273" t="str">
        <f t="shared" si="5"/>
        <v>#REF!</v>
      </c>
      <c r="C1566" s="146"/>
      <c r="D1566" s="197"/>
      <c r="E1566" s="197"/>
      <c r="F1566" s="197"/>
      <c r="G1566" s="144"/>
      <c r="H1566" s="144"/>
      <c r="I1566" s="197"/>
      <c r="J1566" s="197"/>
      <c r="K1566" s="197"/>
      <c r="L1566" s="257"/>
    </row>
    <row r="1567" ht="22.5" customHeight="1">
      <c r="A1567" s="250"/>
      <c r="B1567" s="272" t="str">
        <f t="shared" si="5"/>
        <v>#REF!</v>
      </c>
      <c r="C1567" s="154"/>
      <c r="D1567" s="196"/>
      <c r="E1567" s="196"/>
      <c r="F1567" s="196"/>
      <c r="G1567" s="152"/>
      <c r="H1567" s="152"/>
      <c r="I1567" s="196"/>
      <c r="J1567" s="196"/>
      <c r="K1567" s="196"/>
      <c r="L1567" s="259"/>
    </row>
    <row r="1568" ht="22.5" customHeight="1">
      <c r="A1568" s="202"/>
      <c r="B1568" s="273" t="str">
        <f t="shared" si="5"/>
        <v>#REF!</v>
      </c>
      <c r="C1568" s="146"/>
      <c r="D1568" s="197"/>
      <c r="E1568" s="197"/>
      <c r="F1568" s="197"/>
      <c r="G1568" s="144"/>
      <c r="H1568" s="144"/>
      <c r="I1568" s="197"/>
      <c r="J1568" s="197"/>
      <c r="K1568" s="197"/>
      <c r="L1568" s="257"/>
    </row>
    <row r="1569" ht="22.5" customHeight="1">
      <c r="A1569" s="250"/>
      <c r="B1569" s="272" t="str">
        <f t="shared" si="5"/>
        <v>#REF!</v>
      </c>
      <c r="C1569" s="154"/>
      <c r="D1569" s="196"/>
      <c r="E1569" s="196"/>
      <c r="F1569" s="196"/>
      <c r="G1569" s="152"/>
      <c r="H1569" s="152"/>
      <c r="I1569" s="196"/>
      <c r="J1569" s="196"/>
      <c r="K1569" s="196"/>
      <c r="L1569" s="259"/>
    </row>
    <row r="1570" ht="22.5" customHeight="1">
      <c r="A1570" s="202"/>
      <c r="B1570" s="273" t="str">
        <f t="shared" si="5"/>
        <v>#REF!</v>
      </c>
      <c r="C1570" s="146"/>
      <c r="D1570" s="197"/>
      <c r="E1570" s="197"/>
      <c r="F1570" s="197"/>
      <c r="G1570" s="144"/>
      <c r="H1570" s="144"/>
      <c r="I1570" s="197"/>
      <c r="J1570" s="197"/>
      <c r="K1570" s="197"/>
      <c r="L1570" s="257"/>
    </row>
    <row r="1571" ht="22.5" customHeight="1">
      <c r="A1571" s="250"/>
      <c r="B1571" s="272" t="str">
        <f t="shared" si="5"/>
        <v>#REF!</v>
      </c>
      <c r="C1571" s="154"/>
      <c r="D1571" s="196"/>
      <c r="E1571" s="196"/>
      <c r="F1571" s="196"/>
      <c r="G1571" s="152"/>
      <c r="H1571" s="152"/>
      <c r="I1571" s="196"/>
      <c r="J1571" s="196"/>
      <c r="K1571" s="196"/>
      <c r="L1571" s="259"/>
    </row>
    <row r="1572" ht="22.5" customHeight="1">
      <c r="A1572" s="202"/>
      <c r="B1572" s="273" t="str">
        <f t="shared" si="5"/>
        <v>#REF!</v>
      </c>
      <c r="C1572" s="146"/>
      <c r="D1572" s="197"/>
      <c r="E1572" s="197"/>
      <c r="F1572" s="197"/>
      <c r="G1572" s="144"/>
      <c r="H1572" s="144"/>
      <c r="I1572" s="197"/>
      <c r="J1572" s="197"/>
      <c r="K1572" s="197"/>
      <c r="L1572" s="257"/>
    </row>
    <row r="1573" ht="22.5" customHeight="1">
      <c r="A1573" s="250"/>
      <c r="B1573" s="272" t="str">
        <f t="shared" si="5"/>
        <v>#REF!</v>
      </c>
      <c r="C1573" s="154"/>
      <c r="D1573" s="196"/>
      <c r="E1573" s="196"/>
      <c r="F1573" s="196"/>
      <c r="G1573" s="152"/>
      <c r="H1573" s="152"/>
      <c r="I1573" s="196"/>
      <c r="J1573" s="196"/>
      <c r="K1573" s="196"/>
      <c r="L1573" s="259"/>
    </row>
    <row r="1574" ht="22.5" customHeight="1">
      <c r="A1574" s="202"/>
      <c r="B1574" s="273" t="str">
        <f t="shared" si="5"/>
        <v>#REF!</v>
      </c>
      <c r="C1574" s="146"/>
      <c r="D1574" s="197"/>
      <c r="E1574" s="197"/>
      <c r="F1574" s="197"/>
      <c r="G1574" s="144"/>
      <c r="H1574" s="144"/>
      <c r="I1574" s="197"/>
      <c r="J1574" s="197"/>
      <c r="K1574" s="197"/>
      <c r="L1574" s="257"/>
    </row>
    <row r="1575" ht="22.5" customHeight="1">
      <c r="A1575" s="250"/>
      <c r="B1575" s="272" t="str">
        <f t="shared" si="5"/>
        <v>#REF!</v>
      </c>
      <c r="C1575" s="154"/>
      <c r="D1575" s="196"/>
      <c r="E1575" s="196"/>
      <c r="F1575" s="196"/>
      <c r="G1575" s="152"/>
      <c r="H1575" s="152"/>
      <c r="I1575" s="196"/>
      <c r="J1575" s="196"/>
      <c r="K1575" s="196"/>
      <c r="L1575" s="259"/>
    </row>
    <row r="1576" ht="22.5" customHeight="1">
      <c r="A1576" s="202"/>
      <c r="B1576" s="273" t="str">
        <f t="shared" si="5"/>
        <v>#REF!</v>
      </c>
      <c r="C1576" s="146"/>
      <c r="D1576" s="197"/>
      <c r="E1576" s="197"/>
      <c r="F1576" s="197"/>
      <c r="G1576" s="144"/>
      <c r="H1576" s="144"/>
      <c r="I1576" s="197"/>
      <c r="J1576" s="197"/>
      <c r="K1576" s="197"/>
      <c r="L1576" s="257"/>
    </row>
    <row r="1577" ht="22.5" customHeight="1">
      <c r="A1577" s="250"/>
      <c r="B1577" s="272" t="str">
        <f t="shared" si="5"/>
        <v>#REF!</v>
      </c>
      <c r="C1577" s="154"/>
      <c r="D1577" s="196"/>
      <c r="E1577" s="196"/>
      <c r="F1577" s="196"/>
      <c r="G1577" s="152"/>
      <c r="H1577" s="152"/>
      <c r="I1577" s="196"/>
      <c r="J1577" s="196"/>
      <c r="K1577" s="196"/>
      <c r="L1577" s="259"/>
    </row>
    <row r="1578" ht="22.5" customHeight="1">
      <c r="A1578" s="202"/>
      <c r="B1578" s="273" t="str">
        <f t="shared" si="5"/>
        <v>#REF!</v>
      </c>
      <c r="C1578" s="146"/>
      <c r="D1578" s="197"/>
      <c r="E1578" s="197"/>
      <c r="F1578" s="197"/>
      <c r="G1578" s="144"/>
      <c r="H1578" s="144"/>
      <c r="I1578" s="197"/>
      <c r="J1578" s="197"/>
      <c r="K1578" s="197"/>
      <c r="L1578" s="257"/>
    </row>
    <row r="1579" ht="22.5" customHeight="1">
      <c r="A1579" s="250"/>
      <c r="B1579" s="272" t="str">
        <f t="shared" si="5"/>
        <v>#REF!</v>
      </c>
      <c r="C1579" s="154"/>
      <c r="D1579" s="196"/>
      <c r="E1579" s="196"/>
      <c r="F1579" s="196"/>
      <c r="G1579" s="152"/>
      <c r="H1579" s="152"/>
      <c r="I1579" s="196"/>
      <c r="J1579" s="196"/>
      <c r="K1579" s="196"/>
      <c r="L1579" s="259"/>
    </row>
    <row r="1580" ht="22.5" customHeight="1">
      <c r="A1580" s="202"/>
      <c r="B1580" s="273" t="str">
        <f t="shared" si="5"/>
        <v>#REF!</v>
      </c>
      <c r="C1580" s="146"/>
      <c r="D1580" s="197"/>
      <c r="E1580" s="197"/>
      <c r="F1580" s="197"/>
      <c r="G1580" s="144"/>
      <c r="H1580" s="144"/>
      <c r="I1580" s="197"/>
      <c r="J1580" s="197"/>
      <c r="K1580" s="197"/>
      <c r="L1580" s="257"/>
    </row>
    <row r="1581" ht="22.5" customHeight="1">
      <c r="A1581" s="250"/>
      <c r="B1581" s="272" t="str">
        <f t="shared" si="5"/>
        <v>#REF!</v>
      </c>
      <c r="C1581" s="154"/>
      <c r="D1581" s="196"/>
      <c r="E1581" s="196"/>
      <c r="F1581" s="196"/>
      <c r="G1581" s="152"/>
      <c r="H1581" s="152"/>
      <c r="I1581" s="196"/>
      <c r="J1581" s="196"/>
      <c r="K1581" s="196"/>
      <c r="L1581" s="259"/>
    </row>
    <row r="1582" ht="22.5" customHeight="1">
      <c r="A1582" s="202"/>
      <c r="B1582" s="273" t="str">
        <f t="shared" si="5"/>
        <v>#REF!</v>
      </c>
      <c r="C1582" s="146"/>
      <c r="D1582" s="197"/>
      <c r="E1582" s="197"/>
      <c r="F1582" s="197"/>
      <c r="G1582" s="144"/>
      <c r="H1582" s="144"/>
      <c r="I1582" s="197"/>
      <c r="J1582" s="197"/>
      <c r="K1582" s="197"/>
      <c r="L1582" s="257"/>
    </row>
    <row r="1583" ht="22.5" customHeight="1">
      <c r="A1583" s="250"/>
      <c r="B1583" s="272" t="str">
        <f t="shared" si="5"/>
        <v>#REF!</v>
      </c>
      <c r="C1583" s="154"/>
      <c r="D1583" s="196"/>
      <c r="E1583" s="196"/>
      <c r="F1583" s="196"/>
      <c r="G1583" s="152"/>
      <c r="H1583" s="152"/>
      <c r="I1583" s="196"/>
      <c r="J1583" s="196"/>
      <c r="K1583" s="196"/>
      <c r="L1583" s="259"/>
    </row>
    <row r="1584" ht="22.5" customHeight="1">
      <c r="A1584" s="202"/>
      <c r="B1584" s="273" t="str">
        <f t="shared" si="5"/>
        <v>#REF!</v>
      </c>
      <c r="C1584" s="146"/>
      <c r="D1584" s="197"/>
      <c r="E1584" s="197"/>
      <c r="F1584" s="197"/>
      <c r="G1584" s="144"/>
      <c r="H1584" s="144"/>
      <c r="I1584" s="197"/>
      <c r="J1584" s="197"/>
      <c r="K1584" s="197"/>
      <c r="L1584" s="257"/>
    </row>
    <row r="1585" ht="22.5" customHeight="1">
      <c r="A1585" s="250"/>
      <c r="B1585" s="272" t="str">
        <f t="shared" si="5"/>
        <v>#REF!</v>
      </c>
      <c r="C1585" s="154"/>
      <c r="D1585" s="196"/>
      <c r="E1585" s="196"/>
      <c r="F1585" s="196"/>
      <c r="G1585" s="152"/>
      <c r="H1585" s="152"/>
      <c r="I1585" s="196"/>
      <c r="J1585" s="196"/>
      <c r="K1585" s="196"/>
      <c r="L1585" s="259"/>
    </row>
    <row r="1586" ht="22.5" customHeight="1">
      <c r="A1586" s="202"/>
      <c r="B1586" s="273" t="str">
        <f t="shared" si="5"/>
        <v>#REF!</v>
      </c>
      <c r="C1586" s="146"/>
      <c r="D1586" s="197"/>
      <c r="E1586" s="197"/>
      <c r="F1586" s="197"/>
      <c r="G1586" s="144"/>
      <c r="H1586" s="144"/>
      <c r="I1586" s="197"/>
      <c r="J1586" s="197"/>
      <c r="K1586" s="197"/>
      <c r="L1586" s="257"/>
    </row>
    <row r="1587" ht="22.5" customHeight="1">
      <c r="A1587" s="250"/>
      <c r="B1587" s="272" t="str">
        <f t="shared" si="5"/>
        <v>#REF!</v>
      </c>
      <c r="C1587" s="154"/>
      <c r="D1587" s="196"/>
      <c r="E1587" s="196"/>
      <c r="F1587" s="196"/>
      <c r="G1587" s="152"/>
      <c r="H1587" s="152"/>
      <c r="I1587" s="196"/>
      <c r="J1587" s="196"/>
      <c r="K1587" s="196"/>
      <c r="L1587" s="259"/>
    </row>
    <row r="1588" ht="22.5" customHeight="1">
      <c r="A1588" s="202"/>
      <c r="B1588" s="273" t="str">
        <f t="shared" si="5"/>
        <v>#REF!</v>
      </c>
      <c r="C1588" s="146"/>
      <c r="D1588" s="197"/>
      <c r="E1588" s="197"/>
      <c r="F1588" s="197"/>
      <c r="G1588" s="144"/>
      <c r="H1588" s="144"/>
      <c r="I1588" s="197"/>
      <c r="J1588" s="197"/>
      <c r="K1588" s="197"/>
      <c r="L1588" s="257"/>
    </row>
    <row r="1589" ht="22.5" customHeight="1">
      <c r="A1589" s="250"/>
      <c r="B1589" s="272" t="str">
        <f t="shared" si="5"/>
        <v>#REF!</v>
      </c>
      <c r="C1589" s="154"/>
      <c r="D1589" s="196"/>
      <c r="E1589" s="196"/>
      <c r="F1589" s="196"/>
      <c r="G1589" s="152"/>
      <c r="H1589" s="152"/>
      <c r="I1589" s="196"/>
      <c r="J1589" s="196"/>
      <c r="K1589" s="196"/>
      <c r="L1589" s="259"/>
    </row>
    <row r="1590" ht="22.5" customHeight="1">
      <c r="A1590" s="202"/>
      <c r="B1590" s="273" t="str">
        <f t="shared" si="5"/>
        <v>#REF!</v>
      </c>
      <c r="C1590" s="146"/>
      <c r="D1590" s="197"/>
      <c r="E1590" s="197"/>
      <c r="F1590" s="197"/>
      <c r="G1590" s="144"/>
      <c r="H1590" s="144"/>
      <c r="I1590" s="197"/>
      <c r="J1590" s="197"/>
      <c r="K1590" s="197"/>
      <c r="L1590" s="257"/>
    </row>
    <row r="1591" ht="22.5" customHeight="1">
      <c r="A1591" s="250"/>
      <c r="B1591" s="272" t="str">
        <f t="shared" si="5"/>
        <v>#REF!</v>
      </c>
      <c r="C1591" s="154"/>
      <c r="D1591" s="196"/>
      <c r="E1591" s="196"/>
      <c r="F1591" s="196"/>
      <c r="G1591" s="152"/>
      <c r="H1591" s="152"/>
      <c r="I1591" s="196"/>
      <c r="J1591" s="196"/>
      <c r="K1591" s="196"/>
      <c r="L1591" s="259"/>
    </row>
    <row r="1592" ht="22.5" customHeight="1">
      <c r="A1592" s="202"/>
      <c r="B1592" s="273" t="str">
        <f t="shared" si="5"/>
        <v>#REF!</v>
      </c>
      <c r="C1592" s="146"/>
      <c r="D1592" s="197"/>
      <c r="E1592" s="197"/>
      <c r="F1592" s="197"/>
      <c r="G1592" s="144"/>
      <c r="H1592" s="144"/>
      <c r="I1592" s="197"/>
      <c r="J1592" s="197"/>
      <c r="K1592" s="197"/>
      <c r="L1592" s="257"/>
    </row>
    <row r="1593" ht="22.5" customHeight="1">
      <c r="A1593" s="250"/>
      <c r="B1593" s="272" t="str">
        <f t="shared" si="5"/>
        <v>#REF!</v>
      </c>
      <c r="C1593" s="154"/>
      <c r="D1593" s="196"/>
      <c r="E1593" s="196"/>
      <c r="F1593" s="196"/>
      <c r="G1593" s="152"/>
      <c r="H1593" s="152"/>
      <c r="I1593" s="196"/>
      <c r="J1593" s="196"/>
      <c r="K1593" s="196"/>
      <c r="L1593" s="259"/>
    </row>
    <row r="1594" ht="22.5" customHeight="1">
      <c r="A1594" s="202"/>
      <c r="B1594" s="273" t="str">
        <f t="shared" si="5"/>
        <v>#REF!</v>
      </c>
      <c r="C1594" s="146"/>
      <c r="D1594" s="197"/>
      <c r="E1594" s="197"/>
      <c r="F1594" s="197"/>
      <c r="G1594" s="144"/>
      <c r="H1594" s="144"/>
      <c r="I1594" s="197"/>
      <c r="J1594" s="197"/>
      <c r="K1594" s="197"/>
      <c r="L1594" s="257"/>
    </row>
    <row r="1595" ht="22.5" customHeight="1">
      <c r="A1595" s="250"/>
      <c r="B1595" s="272" t="str">
        <f t="shared" si="5"/>
        <v>#REF!</v>
      </c>
      <c r="C1595" s="154"/>
      <c r="D1595" s="196"/>
      <c r="E1595" s="196"/>
      <c r="F1595" s="196"/>
      <c r="G1595" s="152"/>
      <c r="H1595" s="152"/>
      <c r="I1595" s="196"/>
      <c r="J1595" s="196"/>
      <c r="K1595" s="196"/>
      <c r="L1595" s="259"/>
    </row>
    <row r="1596" ht="22.5" customHeight="1">
      <c r="A1596" s="202"/>
      <c r="B1596" s="273" t="str">
        <f t="shared" si="5"/>
        <v>#REF!</v>
      </c>
      <c r="C1596" s="146"/>
      <c r="D1596" s="197"/>
      <c r="E1596" s="197"/>
      <c r="F1596" s="197"/>
      <c r="G1596" s="144"/>
      <c r="H1596" s="144"/>
      <c r="I1596" s="197"/>
      <c r="J1596" s="197"/>
      <c r="K1596" s="197"/>
      <c r="L1596" s="257"/>
    </row>
    <row r="1597" ht="22.5" customHeight="1">
      <c r="A1597" s="250"/>
      <c r="B1597" s="272" t="str">
        <f t="shared" si="5"/>
        <v>#REF!</v>
      </c>
      <c r="C1597" s="154"/>
      <c r="D1597" s="196"/>
      <c r="E1597" s="196"/>
      <c r="F1597" s="196"/>
      <c r="G1597" s="152"/>
      <c r="H1597" s="152"/>
      <c r="I1597" s="196"/>
      <c r="J1597" s="196"/>
      <c r="K1597" s="196"/>
      <c r="L1597" s="259"/>
    </row>
    <row r="1598" ht="22.5" customHeight="1">
      <c r="A1598" s="202"/>
      <c r="B1598" s="273" t="str">
        <f t="shared" si="5"/>
        <v>#REF!</v>
      </c>
      <c r="C1598" s="146"/>
      <c r="D1598" s="197"/>
      <c r="E1598" s="197"/>
      <c r="F1598" s="197"/>
      <c r="G1598" s="144"/>
      <c r="H1598" s="144"/>
      <c r="I1598" s="197"/>
      <c r="J1598" s="197"/>
      <c r="K1598" s="197"/>
      <c r="L1598" s="257"/>
    </row>
    <row r="1599" ht="22.5" customHeight="1">
      <c r="A1599" s="250"/>
      <c r="B1599" s="272" t="str">
        <f t="shared" si="5"/>
        <v>#REF!</v>
      </c>
      <c r="C1599" s="154"/>
      <c r="D1599" s="196"/>
      <c r="E1599" s="196"/>
      <c r="F1599" s="196"/>
      <c r="G1599" s="152"/>
      <c r="H1599" s="152"/>
      <c r="I1599" s="196"/>
      <c r="J1599" s="196"/>
      <c r="K1599" s="196"/>
      <c r="L1599" s="259"/>
    </row>
    <row r="1600" ht="22.5" customHeight="1">
      <c r="A1600" s="202"/>
      <c r="B1600" s="273" t="str">
        <f t="shared" si="5"/>
        <v>#REF!</v>
      </c>
      <c r="C1600" s="146"/>
      <c r="D1600" s="197"/>
      <c r="E1600" s="197"/>
      <c r="F1600" s="197"/>
      <c r="G1600" s="144"/>
      <c r="H1600" s="144"/>
      <c r="I1600" s="197"/>
      <c r="J1600" s="197"/>
      <c r="K1600" s="197"/>
      <c r="L1600" s="257"/>
    </row>
    <row r="1601" ht="22.5" customHeight="1">
      <c r="A1601" s="250"/>
      <c r="B1601" s="272" t="str">
        <f t="shared" si="5"/>
        <v>#REF!</v>
      </c>
      <c r="C1601" s="154"/>
      <c r="D1601" s="196"/>
      <c r="E1601" s="196"/>
      <c r="F1601" s="196"/>
      <c r="G1601" s="152"/>
      <c r="H1601" s="152"/>
      <c r="I1601" s="196"/>
      <c r="J1601" s="196"/>
      <c r="K1601" s="196"/>
      <c r="L1601" s="259"/>
    </row>
    <row r="1602" ht="22.5" customHeight="1">
      <c r="A1602" s="202"/>
      <c r="B1602" s="273" t="str">
        <f t="shared" si="5"/>
        <v>#REF!</v>
      </c>
      <c r="C1602" s="146"/>
      <c r="D1602" s="197"/>
      <c r="E1602" s="197"/>
      <c r="F1602" s="197"/>
      <c r="G1602" s="144"/>
      <c r="H1602" s="144"/>
      <c r="I1602" s="197"/>
      <c r="J1602" s="197"/>
      <c r="K1602" s="197"/>
      <c r="L1602" s="257"/>
    </row>
    <row r="1603" ht="22.5" customHeight="1">
      <c r="A1603" s="250"/>
      <c r="B1603" s="272" t="str">
        <f t="shared" si="5"/>
        <v>#REF!</v>
      </c>
      <c r="C1603" s="154"/>
      <c r="D1603" s="196"/>
      <c r="E1603" s="196"/>
      <c r="F1603" s="196"/>
      <c r="G1603" s="152"/>
      <c r="H1603" s="152"/>
      <c r="I1603" s="196"/>
      <c r="J1603" s="196"/>
      <c r="K1603" s="196"/>
      <c r="L1603" s="259"/>
    </row>
    <row r="1604" ht="22.5" customHeight="1">
      <c r="A1604" s="202"/>
      <c r="B1604" s="273" t="str">
        <f t="shared" si="5"/>
        <v>#REF!</v>
      </c>
      <c r="C1604" s="146"/>
      <c r="D1604" s="197"/>
      <c r="E1604" s="197"/>
      <c r="F1604" s="197"/>
      <c r="G1604" s="144"/>
      <c r="H1604" s="144"/>
      <c r="I1604" s="197"/>
      <c r="J1604" s="197"/>
      <c r="K1604" s="197"/>
      <c r="L1604" s="257"/>
    </row>
    <row r="1605" ht="22.5" customHeight="1">
      <c r="A1605" s="250"/>
      <c r="B1605" s="272" t="str">
        <f t="shared" si="5"/>
        <v>#REF!</v>
      </c>
      <c r="C1605" s="154"/>
      <c r="D1605" s="196"/>
      <c r="E1605" s="196"/>
      <c r="F1605" s="196"/>
      <c r="G1605" s="152"/>
      <c r="H1605" s="152"/>
      <c r="I1605" s="196"/>
      <c r="J1605" s="196"/>
      <c r="K1605" s="196"/>
      <c r="L1605" s="259"/>
    </row>
    <row r="1606" ht="22.5" customHeight="1">
      <c r="A1606" s="202"/>
      <c r="B1606" s="273" t="str">
        <f t="shared" si="5"/>
        <v>#REF!</v>
      </c>
      <c r="C1606" s="146"/>
      <c r="D1606" s="197"/>
      <c r="E1606" s="197"/>
      <c r="F1606" s="197"/>
      <c r="G1606" s="144"/>
      <c r="H1606" s="144"/>
      <c r="I1606" s="197"/>
      <c r="J1606" s="197"/>
      <c r="K1606" s="197"/>
      <c r="L1606" s="257"/>
    </row>
    <row r="1607" ht="22.5" customHeight="1">
      <c r="A1607" s="250"/>
      <c r="B1607" s="272" t="str">
        <f t="shared" si="5"/>
        <v>#REF!</v>
      </c>
      <c r="C1607" s="154"/>
      <c r="D1607" s="196"/>
      <c r="E1607" s="196"/>
      <c r="F1607" s="196"/>
      <c r="G1607" s="152"/>
      <c r="H1607" s="152"/>
      <c r="I1607" s="196"/>
      <c r="J1607" s="196"/>
      <c r="K1607" s="196"/>
      <c r="L1607" s="259"/>
    </row>
    <row r="1608" ht="22.5" customHeight="1">
      <c r="A1608" s="202"/>
      <c r="B1608" s="273" t="str">
        <f t="shared" si="5"/>
        <v>#REF!</v>
      </c>
      <c r="C1608" s="146"/>
      <c r="D1608" s="197"/>
      <c r="E1608" s="197"/>
      <c r="F1608" s="197"/>
      <c r="G1608" s="144"/>
      <c r="H1608" s="144"/>
      <c r="I1608" s="197"/>
      <c r="J1608" s="197"/>
      <c r="K1608" s="197"/>
      <c r="L1608" s="257"/>
    </row>
    <row r="1609" ht="22.5" customHeight="1">
      <c r="A1609" s="250"/>
      <c r="B1609" s="272" t="str">
        <f t="shared" si="5"/>
        <v>#REF!</v>
      </c>
      <c r="C1609" s="154"/>
      <c r="D1609" s="196"/>
      <c r="E1609" s="196"/>
      <c r="F1609" s="196"/>
      <c r="G1609" s="152"/>
      <c r="H1609" s="152"/>
      <c r="I1609" s="196"/>
      <c r="J1609" s="196"/>
      <c r="K1609" s="196"/>
      <c r="L1609" s="259"/>
    </row>
    <row r="1610" ht="22.5" customHeight="1">
      <c r="A1610" s="202"/>
      <c r="B1610" s="273" t="str">
        <f t="shared" si="5"/>
        <v>#REF!</v>
      </c>
      <c r="C1610" s="146"/>
      <c r="D1610" s="197"/>
      <c r="E1610" s="197"/>
      <c r="F1610" s="197"/>
      <c r="G1610" s="144"/>
      <c r="H1610" s="144"/>
      <c r="I1610" s="197"/>
      <c r="J1610" s="197"/>
      <c r="K1610" s="197"/>
      <c r="L1610" s="257"/>
    </row>
    <row r="1611" ht="22.5" customHeight="1">
      <c r="A1611" s="250"/>
      <c r="B1611" s="272" t="str">
        <f t="shared" si="5"/>
        <v>#REF!</v>
      </c>
      <c r="C1611" s="154"/>
      <c r="D1611" s="196"/>
      <c r="E1611" s="196"/>
      <c r="F1611" s="196"/>
      <c r="G1611" s="152"/>
      <c r="H1611" s="152"/>
      <c r="I1611" s="196"/>
      <c r="J1611" s="196"/>
      <c r="K1611" s="196"/>
      <c r="L1611" s="259"/>
    </row>
    <row r="1612" ht="22.5" customHeight="1">
      <c r="A1612" s="202"/>
      <c r="B1612" s="273" t="str">
        <f t="shared" si="5"/>
        <v>#REF!</v>
      </c>
      <c r="C1612" s="146"/>
      <c r="D1612" s="197"/>
      <c r="E1612" s="197"/>
      <c r="F1612" s="197"/>
      <c r="G1612" s="144"/>
      <c r="H1612" s="144"/>
      <c r="I1612" s="197"/>
      <c r="J1612" s="197"/>
      <c r="K1612" s="197"/>
      <c r="L1612" s="257"/>
    </row>
    <row r="1613" ht="22.5" customHeight="1">
      <c r="A1613" s="250"/>
      <c r="B1613" s="272" t="str">
        <f t="shared" si="5"/>
        <v>#REF!</v>
      </c>
      <c r="C1613" s="154"/>
      <c r="D1613" s="196"/>
      <c r="E1613" s="196"/>
      <c r="F1613" s="196"/>
      <c r="G1613" s="152"/>
      <c r="H1613" s="152"/>
      <c r="I1613" s="196"/>
      <c r="J1613" s="196"/>
      <c r="K1613" s="196"/>
      <c r="L1613" s="259"/>
    </row>
    <row r="1614" ht="22.5" customHeight="1">
      <c r="A1614" s="202"/>
      <c r="B1614" s="273" t="str">
        <f t="shared" si="5"/>
        <v>#REF!</v>
      </c>
      <c r="C1614" s="146"/>
      <c r="D1614" s="197"/>
      <c r="E1614" s="197"/>
      <c r="F1614" s="197"/>
      <c r="G1614" s="144"/>
      <c r="H1614" s="144"/>
      <c r="I1614" s="197"/>
      <c r="J1614" s="197"/>
      <c r="K1614" s="197"/>
      <c r="L1614" s="257"/>
    </row>
    <row r="1615" ht="22.5" customHeight="1">
      <c r="A1615" s="250"/>
      <c r="B1615" s="272" t="str">
        <f t="shared" si="5"/>
        <v>#REF!</v>
      </c>
      <c r="C1615" s="154"/>
      <c r="D1615" s="196"/>
      <c r="E1615" s="196"/>
      <c r="F1615" s="196"/>
      <c r="G1615" s="152"/>
      <c r="H1615" s="152"/>
      <c r="I1615" s="196"/>
      <c r="J1615" s="196"/>
      <c r="K1615" s="196"/>
      <c r="L1615" s="259"/>
    </row>
    <row r="1616" ht="22.5" customHeight="1">
      <c r="A1616" s="202"/>
      <c r="B1616" s="273" t="str">
        <f t="shared" si="5"/>
        <v>#REF!</v>
      </c>
      <c r="C1616" s="146"/>
      <c r="D1616" s="197"/>
      <c r="E1616" s="197"/>
      <c r="F1616" s="197"/>
      <c r="G1616" s="144"/>
      <c r="H1616" s="144"/>
      <c r="I1616" s="197"/>
      <c r="J1616" s="197"/>
      <c r="K1616" s="197"/>
      <c r="L1616" s="257"/>
    </row>
    <row r="1617" ht="22.5" customHeight="1">
      <c r="A1617" s="250"/>
      <c r="B1617" s="272" t="str">
        <f t="shared" si="5"/>
        <v>#REF!</v>
      </c>
      <c r="C1617" s="154"/>
      <c r="D1617" s="196"/>
      <c r="E1617" s="196"/>
      <c r="F1617" s="196"/>
      <c r="G1617" s="152"/>
      <c r="H1617" s="152"/>
      <c r="I1617" s="196"/>
      <c r="J1617" s="196"/>
      <c r="K1617" s="196"/>
      <c r="L1617" s="259"/>
    </row>
    <row r="1618" ht="22.5" customHeight="1">
      <c r="A1618" s="202"/>
      <c r="B1618" s="273" t="str">
        <f t="shared" si="5"/>
        <v>#REF!</v>
      </c>
      <c r="C1618" s="146"/>
      <c r="D1618" s="197"/>
      <c r="E1618" s="197"/>
      <c r="F1618" s="197"/>
      <c r="G1618" s="144"/>
      <c r="H1618" s="144"/>
      <c r="I1618" s="197"/>
      <c r="J1618" s="197"/>
      <c r="K1618" s="197"/>
      <c r="L1618" s="257"/>
    </row>
    <row r="1619" ht="22.5" customHeight="1">
      <c r="A1619" s="250"/>
      <c r="B1619" s="272" t="str">
        <f t="shared" si="5"/>
        <v>#REF!</v>
      </c>
      <c r="C1619" s="154"/>
      <c r="D1619" s="196"/>
      <c r="E1619" s="196"/>
      <c r="F1619" s="196"/>
      <c r="G1619" s="152"/>
      <c r="H1619" s="152"/>
      <c r="I1619" s="196"/>
      <c r="J1619" s="196"/>
      <c r="K1619" s="196"/>
      <c r="L1619" s="259"/>
    </row>
    <row r="1620" ht="22.5" customHeight="1">
      <c r="A1620" s="202"/>
      <c r="B1620" s="273" t="str">
        <f t="shared" si="5"/>
        <v>#REF!</v>
      </c>
      <c r="C1620" s="146"/>
      <c r="D1620" s="197"/>
      <c r="E1620" s="197"/>
      <c r="F1620" s="197"/>
      <c r="G1620" s="144"/>
      <c r="H1620" s="144"/>
      <c r="I1620" s="197"/>
      <c r="J1620" s="197"/>
      <c r="K1620" s="197"/>
      <c r="L1620" s="257"/>
    </row>
    <row r="1621" ht="22.5" customHeight="1">
      <c r="A1621" s="250"/>
      <c r="B1621" s="272" t="str">
        <f t="shared" si="5"/>
        <v>#REF!</v>
      </c>
      <c r="C1621" s="154"/>
      <c r="D1621" s="196"/>
      <c r="E1621" s="196"/>
      <c r="F1621" s="196"/>
      <c r="G1621" s="152"/>
      <c r="H1621" s="152"/>
      <c r="I1621" s="196"/>
      <c r="J1621" s="196"/>
      <c r="K1621" s="196"/>
      <c r="L1621" s="259"/>
    </row>
    <row r="1622" ht="22.5" customHeight="1">
      <c r="A1622" s="202"/>
      <c r="B1622" s="273" t="str">
        <f t="shared" si="5"/>
        <v>#REF!</v>
      </c>
      <c r="C1622" s="146"/>
      <c r="D1622" s="197"/>
      <c r="E1622" s="197"/>
      <c r="F1622" s="197"/>
      <c r="G1622" s="144"/>
      <c r="H1622" s="144"/>
      <c r="I1622" s="197"/>
      <c r="J1622" s="197"/>
      <c r="K1622" s="197"/>
      <c r="L1622" s="257"/>
    </row>
    <row r="1623" ht="22.5" customHeight="1">
      <c r="A1623" s="250"/>
      <c r="B1623" s="272" t="str">
        <f t="shared" si="5"/>
        <v>#REF!</v>
      </c>
      <c r="C1623" s="154"/>
      <c r="D1623" s="196"/>
      <c r="E1623" s="196"/>
      <c r="F1623" s="196"/>
      <c r="G1623" s="152"/>
      <c r="H1623" s="152"/>
      <c r="I1623" s="196"/>
      <c r="J1623" s="196"/>
      <c r="K1623" s="196"/>
      <c r="L1623" s="259"/>
    </row>
    <row r="1624" ht="22.5" customHeight="1">
      <c r="A1624" s="202"/>
      <c r="B1624" s="273" t="str">
        <f t="shared" si="5"/>
        <v>#REF!</v>
      </c>
      <c r="C1624" s="146"/>
      <c r="D1624" s="197"/>
      <c r="E1624" s="197"/>
      <c r="F1624" s="197"/>
      <c r="G1624" s="144"/>
      <c r="H1624" s="144"/>
      <c r="I1624" s="197"/>
      <c r="J1624" s="197"/>
      <c r="K1624" s="197"/>
      <c r="L1624" s="257"/>
    </row>
    <row r="1625" ht="22.5" customHeight="1">
      <c r="A1625" s="250"/>
      <c r="B1625" s="272" t="str">
        <f t="shared" si="5"/>
        <v>#REF!</v>
      </c>
      <c r="C1625" s="154"/>
      <c r="D1625" s="196"/>
      <c r="E1625" s="196"/>
      <c r="F1625" s="196"/>
      <c r="G1625" s="152"/>
      <c r="H1625" s="152"/>
      <c r="I1625" s="196"/>
      <c r="J1625" s="196"/>
      <c r="K1625" s="196"/>
      <c r="L1625" s="259"/>
    </row>
    <row r="1626" ht="22.5" customHeight="1">
      <c r="A1626" s="202"/>
      <c r="B1626" s="273" t="str">
        <f t="shared" si="5"/>
        <v>#REF!</v>
      </c>
      <c r="C1626" s="146"/>
      <c r="D1626" s="197"/>
      <c r="E1626" s="197"/>
      <c r="F1626" s="197"/>
      <c r="G1626" s="144"/>
      <c r="H1626" s="144"/>
      <c r="I1626" s="197"/>
      <c r="J1626" s="197"/>
      <c r="K1626" s="197"/>
      <c r="L1626" s="257"/>
    </row>
    <row r="1627" ht="22.5" customHeight="1">
      <c r="A1627" s="250"/>
      <c r="B1627" s="272" t="str">
        <f t="shared" si="5"/>
        <v>#REF!</v>
      </c>
      <c r="C1627" s="154"/>
      <c r="D1627" s="196"/>
      <c r="E1627" s="196"/>
      <c r="F1627" s="196"/>
      <c r="G1627" s="152"/>
      <c r="H1627" s="152"/>
      <c r="I1627" s="196"/>
      <c r="J1627" s="196"/>
      <c r="K1627" s="196"/>
      <c r="L1627" s="259"/>
    </row>
    <row r="1628" ht="22.5" customHeight="1">
      <c r="A1628" s="202"/>
      <c r="B1628" s="273" t="str">
        <f t="shared" si="5"/>
        <v>#REF!</v>
      </c>
      <c r="C1628" s="146"/>
      <c r="D1628" s="197"/>
      <c r="E1628" s="197"/>
      <c r="F1628" s="197"/>
      <c r="G1628" s="144"/>
      <c r="H1628" s="144"/>
      <c r="I1628" s="197"/>
      <c r="J1628" s="197"/>
      <c r="K1628" s="197"/>
      <c r="L1628" s="257"/>
    </row>
    <row r="1629" ht="22.5" customHeight="1">
      <c r="A1629" s="250"/>
      <c r="B1629" s="272" t="str">
        <f t="shared" si="5"/>
        <v>#REF!</v>
      </c>
      <c r="C1629" s="154"/>
      <c r="D1629" s="196"/>
      <c r="E1629" s="196"/>
      <c r="F1629" s="196"/>
      <c r="G1629" s="152"/>
      <c r="H1629" s="152"/>
      <c r="I1629" s="196"/>
      <c r="J1629" s="196"/>
      <c r="K1629" s="196"/>
      <c r="L1629" s="259"/>
    </row>
    <row r="1630" ht="22.5" customHeight="1">
      <c r="A1630" s="202"/>
      <c r="B1630" s="273" t="str">
        <f t="shared" si="5"/>
        <v>#REF!</v>
      </c>
      <c r="C1630" s="146"/>
      <c r="D1630" s="197"/>
      <c r="E1630" s="197"/>
      <c r="F1630" s="197"/>
      <c r="G1630" s="144"/>
      <c r="H1630" s="144"/>
      <c r="I1630" s="197"/>
      <c r="J1630" s="197"/>
      <c r="K1630" s="197"/>
      <c r="L1630" s="257"/>
    </row>
    <row r="1631" ht="22.5" customHeight="1">
      <c r="A1631" s="250"/>
      <c r="B1631" s="272" t="str">
        <f t="shared" si="5"/>
        <v>#REF!</v>
      </c>
      <c r="C1631" s="154"/>
      <c r="D1631" s="196"/>
      <c r="E1631" s="196"/>
      <c r="F1631" s="196"/>
      <c r="G1631" s="152"/>
      <c r="H1631" s="152"/>
      <c r="I1631" s="196"/>
      <c r="J1631" s="196"/>
      <c r="K1631" s="196"/>
      <c r="L1631" s="259"/>
    </row>
    <row r="1632" ht="22.5" customHeight="1">
      <c r="A1632" s="202"/>
      <c r="B1632" s="273" t="str">
        <f t="shared" si="5"/>
        <v>#REF!</v>
      </c>
      <c r="C1632" s="146"/>
      <c r="D1632" s="197"/>
      <c r="E1632" s="197"/>
      <c r="F1632" s="197"/>
      <c r="G1632" s="144"/>
      <c r="H1632" s="144"/>
      <c r="I1632" s="197"/>
      <c r="J1632" s="197"/>
      <c r="K1632" s="197"/>
      <c r="L1632" s="257"/>
    </row>
    <row r="1633" ht="22.5" customHeight="1">
      <c r="A1633" s="250"/>
      <c r="B1633" s="272" t="str">
        <f t="shared" si="5"/>
        <v>#REF!</v>
      </c>
      <c r="C1633" s="154"/>
      <c r="D1633" s="196"/>
      <c r="E1633" s="196"/>
      <c r="F1633" s="196"/>
      <c r="G1633" s="152"/>
      <c r="H1633" s="152"/>
      <c r="I1633" s="196"/>
      <c r="J1633" s="196"/>
      <c r="K1633" s="196"/>
      <c r="L1633" s="259"/>
    </row>
    <row r="1634" ht="22.5" customHeight="1">
      <c r="A1634" s="202"/>
      <c r="B1634" s="273" t="str">
        <f t="shared" si="5"/>
        <v>#REF!</v>
      </c>
      <c r="C1634" s="146"/>
      <c r="D1634" s="197"/>
      <c r="E1634" s="197"/>
      <c r="F1634" s="197"/>
      <c r="G1634" s="144"/>
      <c r="H1634" s="144"/>
      <c r="I1634" s="197"/>
      <c r="J1634" s="197"/>
      <c r="K1634" s="197"/>
      <c r="L1634" s="257"/>
    </row>
    <row r="1635" ht="22.5" customHeight="1">
      <c r="A1635" s="250"/>
      <c r="B1635" s="272" t="str">
        <f t="shared" si="5"/>
        <v>#REF!</v>
      </c>
      <c r="C1635" s="154"/>
      <c r="D1635" s="196"/>
      <c r="E1635" s="196"/>
      <c r="F1635" s="196"/>
      <c r="G1635" s="152"/>
      <c r="H1635" s="152"/>
      <c r="I1635" s="196"/>
      <c r="J1635" s="196"/>
      <c r="K1635" s="196"/>
      <c r="L1635" s="259"/>
    </row>
    <row r="1636" ht="22.5" customHeight="1">
      <c r="A1636" s="202"/>
      <c r="B1636" s="273" t="str">
        <f t="shared" si="5"/>
        <v>#REF!</v>
      </c>
      <c r="C1636" s="146"/>
      <c r="D1636" s="197"/>
      <c r="E1636" s="197"/>
      <c r="F1636" s="197"/>
      <c r="G1636" s="144"/>
      <c r="H1636" s="144"/>
      <c r="I1636" s="197"/>
      <c r="J1636" s="197"/>
      <c r="K1636" s="197"/>
      <c r="L1636" s="257"/>
    </row>
    <row r="1637" ht="22.5" customHeight="1">
      <c r="A1637" s="250"/>
      <c r="B1637" s="272" t="str">
        <f t="shared" si="5"/>
        <v>#REF!</v>
      </c>
      <c r="C1637" s="154"/>
      <c r="D1637" s="196"/>
      <c r="E1637" s="196"/>
      <c r="F1637" s="196"/>
      <c r="G1637" s="152"/>
      <c r="H1637" s="152"/>
      <c r="I1637" s="196"/>
      <c r="J1637" s="196"/>
      <c r="K1637" s="196"/>
      <c r="L1637" s="259"/>
    </row>
    <row r="1638" ht="22.5" customHeight="1">
      <c r="A1638" s="202"/>
      <c r="B1638" s="273" t="str">
        <f t="shared" si="5"/>
        <v>#REF!</v>
      </c>
      <c r="C1638" s="146"/>
      <c r="D1638" s="197"/>
      <c r="E1638" s="197"/>
      <c r="F1638" s="197"/>
      <c r="G1638" s="144"/>
      <c r="H1638" s="144"/>
      <c r="I1638" s="197"/>
      <c r="J1638" s="197"/>
      <c r="K1638" s="197"/>
      <c r="L1638" s="257"/>
    </row>
    <row r="1639" ht="22.5" customHeight="1">
      <c r="A1639" s="250"/>
      <c r="B1639" s="272" t="str">
        <f t="shared" si="5"/>
        <v>#REF!</v>
      </c>
      <c r="C1639" s="154"/>
      <c r="D1639" s="196"/>
      <c r="E1639" s="196"/>
      <c r="F1639" s="196"/>
      <c r="G1639" s="152"/>
      <c r="H1639" s="152"/>
      <c r="I1639" s="196"/>
      <c r="J1639" s="196"/>
      <c r="K1639" s="196"/>
      <c r="L1639" s="259"/>
    </row>
    <row r="1640" ht="22.5" customHeight="1">
      <c r="A1640" s="202"/>
      <c r="B1640" s="273" t="str">
        <f t="shared" si="5"/>
        <v>#REF!</v>
      </c>
      <c r="C1640" s="146"/>
      <c r="D1640" s="197"/>
      <c r="E1640" s="197"/>
      <c r="F1640" s="197"/>
      <c r="G1640" s="144"/>
      <c r="H1640" s="144"/>
      <c r="I1640" s="197"/>
      <c r="J1640" s="197"/>
      <c r="K1640" s="197"/>
      <c r="L1640" s="257"/>
    </row>
    <row r="1641" ht="22.5" customHeight="1">
      <c r="A1641" s="250"/>
      <c r="B1641" s="272" t="str">
        <f t="shared" si="5"/>
        <v>#REF!</v>
      </c>
      <c r="C1641" s="154"/>
      <c r="D1641" s="196"/>
      <c r="E1641" s="196"/>
      <c r="F1641" s="196"/>
      <c r="G1641" s="152"/>
      <c r="H1641" s="152"/>
      <c r="I1641" s="196"/>
      <c r="J1641" s="196"/>
      <c r="K1641" s="196"/>
      <c r="L1641" s="259"/>
    </row>
    <row r="1642" ht="22.5" customHeight="1">
      <c r="A1642" s="202"/>
      <c r="B1642" s="273" t="str">
        <f t="shared" si="5"/>
        <v>#REF!</v>
      </c>
      <c r="C1642" s="146"/>
      <c r="D1642" s="197"/>
      <c r="E1642" s="197"/>
      <c r="F1642" s="197"/>
      <c r="G1642" s="144"/>
      <c r="H1642" s="144"/>
      <c r="I1642" s="197"/>
      <c r="J1642" s="197"/>
      <c r="K1642" s="197"/>
      <c r="L1642" s="257"/>
    </row>
    <row r="1643" ht="22.5" customHeight="1">
      <c r="A1643" s="250"/>
      <c r="B1643" s="272" t="str">
        <f t="shared" si="5"/>
        <v>#REF!</v>
      </c>
      <c r="C1643" s="154"/>
      <c r="D1643" s="196"/>
      <c r="E1643" s="196"/>
      <c r="F1643" s="196"/>
      <c r="G1643" s="152"/>
      <c r="H1643" s="152"/>
      <c r="I1643" s="196"/>
      <c r="J1643" s="196"/>
      <c r="K1643" s="196"/>
      <c r="L1643" s="259"/>
    </row>
    <row r="1644" ht="22.5" customHeight="1">
      <c r="A1644" s="202"/>
      <c r="B1644" s="273" t="str">
        <f t="shared" si="5"/>
        <v>#REF!</v>
      </c>
      <c r="C1644" s="146"/>
      <c r="D1644" s="197"/>
      <c r="E1644" s="197"/>
      <c r="F1644" s="197"/>
      <c r="G1644" s="144"/>
      <c r="H1644" s="144"/>
      <c r="I1644" s="197"/>
      <c r="J1644" s="197"/>
      <c r="K1644" s="197"/>
      <c r="L1644" s="257"/>
    </row>
    <row r="1645" ht="22.5" customHeight="1">
      <c r="A1645" s="250"/>
      <c r="B1645" s="272" t="str">
        <f t="shared" si="5"/>
        <v>#REF!</v>
      </c>
      <c r="C1645" s="154"/>
      <c r="D1645" s="196"/>
      <c r="E1645" s="196"/>
      <c r="F1645" s="196"/>
      <c r="G1645" s="152"/>
      <c r="H1645" s="152"/>
      <c r="I1645" s="196"/>
      <c r="J1645" s="196"/>
      <c r="K1645" s="196"/>
      <c r="L1645" s="259"/>
    </row>
    <row r="1646" ht="22.5" customHeight="1">
      <c r="A1646" s="202"/>
      <c r="B1646" s="273" t="str">
        <f t="shared" si="5"/>
        <v>#REF!</v>
      </c>
      <c r="C1646" s="146"/>
      <c r="D1646" s="197"/>
      <c r="E1646" s="197"/>
      <c r="F1646" s="197"/>
      <c r="G1646" s="144"/>
      <c r="H1646" s="144"/>
      <c r="I1646" s="197"/>
      <c r="J1646" s="197"/>
      <c r="K1646" s="197"/>
      <c r="L1646" s="257"/>
    </row>
    <row r="1647" ht="22.5" customHeight="1">
      <c r="A1647" s="250"/>
      <c r="B1647" s="272" t="str">
        <f t="shared" si="5"/>
        <v>#REF!</v>
      </c>
      <c r="C1647" s="154"/>
      <c r="D1647" s="196"/>
      <c r="E1647" s="196"/>
      <c r="F1647" s="196"/>
      <c r="G1647" s="152"/>
      <c r="H1647" s="152"/>
      <c r="I1647" s="196"/>
      <c r="J1647" s="196"/>
      <c r="K1647" s="196"/>
      <c r="L1647" s="259"/>
    </row>
    <row r="1648" ht="22.5" customHeight="1">
      <c r="A1648" s="202"/>
      <c r="B1648" s="273" t="str">
        <f t="shared" si="5"/>
        <v>#REF!</v>
      </c>
      <c r="C1648" s="146"/>
      <c r="D1648" s="197"/>
      <c r="E1648" s="197"/>
      <c r="F1648" s="197"/>
      <c r="G1648" s="144"/>
      <c r="H1648" s="144"/>
      <c r="I1648" s="197"/>
      <c r="J1648" s="197"/>
      <c r="K1648" s="197"/>
      <c r="L1648" s="257"/>
    </row>
    <row r="1649" ht="22.5" customHeight="1">
      <c r="A1649" s="250"/>
      <c r="B1649" s="272" t="str">
        <f t="shared" si="5"/>
        <v>#REF!</v>
      </c>
      <c r="C1649" s="154"/>
      <c r="D1649" s="196"/>
      <c r="E1649" s="196"/>
      <c r="F1649" s="196"/>
      <c r="G1649" s="152"/>
      <c r="H1649" s="152"/>
      <c r="I1649" s="196"/>
      <c r="J1649" s="196"/>
      <c r="K1649" s="196"/>
      <c r="L1649" s="259"/>
    </row>
    <row r="1650" ht="22.5" customHeight="1">
      <c r="A1650" s="202"/>
      <c r="B1650" s="273" t="str">
        <f t="shared" si="5"/>
        <v>#REF!</v>
      </c>
      <c r="C1650" s="146"/>
      <c r="D1650" s="197"/>
      <c r="E1650" s="197"/>
      <c r="F1650" s="197"/>
      <c r="G1650" s="144"/>
      <c r="H1650" s="144"/>
      <c r="I1650" s="197"/>
      <c r="J1650" s="197"/>
      <c r="K1650" s="197"/>
      <c r="L1650" s="257"/>
    </row>
    <row r="1651" ht="22.5" customHeight="1">
      <c r="A1651" s="250"/>
      <c r="B1651" s="272" t="str">
        <f t="shared" si="5"/>
        <v>#REF!</v>
      </c>
      <c r="C1651" s="154"/>
      <c r="D1651" s="196"/>
      <c r="E1651" s="196"/>
      <c r="F1651" s="196"/>
      <c r="G1651" s="152"/>
      <c r="H1651" s="152"/>
      <c r="I1651" s="196"/>
      <c r="J1651" s="196"/>
      <c r="K1651" s="196"/>
      <c r="L1651" s="259"/>
    </row>
    <row r="1652" ht="22.5" customHeight="1">
      <c r="A1652" s="202"/>
      <c r="B1652" s="273" t="str">
        <f t="shared" si="5"/>
        <v>#REF!</v>
      </c>
      <c r="C1652" s="146"/>
      <c r="D1652" s="197"/>
      <c r="E1652" s="197"/>
      <c r="F1652" s="197"/>
      <c r="G1652" s="144"/>
      <c r="H1652" s="144"/>
      <c r="I1652" s="197"/>
      <c r="J1652" s="197"/>
      <c r="K1652" s="197"/>
      <c r="L1652" s="257"/>
    </row>
    <row r="1653" ht="22.5" customHeight="1">
      <c r="A1653" s="250"/>
      <c r="B1653" s="272" t="str">
        <f t="shared" si="5"/>
        <v>#REF!</v>
      </c>
      <c r="C1653" s="154"/>
      <c r="D1653" s="196"/>
      <c r="E1653" s="196"/>
      <c r="F1653" s="196"/>
      <c r="G1653" s="152"/>
      <c r="H1653" s="152"/>
      <c r="I1653" s="196"/>
      <c r="J1653" s="196"/>
      <c r="K1653" s="196"/>
      <c r="L1653" s="259"/>
    </row>
    <row r="1654" ht="22.5" customHeight="1">
      <c r="A1654" s="202"/>
      <c r="B1654" s="273" t="str">
        <f t="shared" si="5"/>
        <v>#REF!</v>
      </c>
      <c r="C1654" s="146"/>
      <c r="D1654" s="197"/>
      <c r="E1654" s="197"/>
      <c r="F1654" s="197"/>
      <c r="G1654" s="144"/>
      <c r="H1654" s="144"/>
      <c r="I1654" s="197"/>
      <c r="J1654" s="197"/>
      <c r="K1654" s="197"/>
      <c r="L1654" s="257"/>
    </row>
    <row r="1655" ht="22.5" customHeight="1">
      <c r="A1655" s="250"/>
      <c r="B1655" s="272" t="str">
        <f t="shared" si="5"/>
        <v>#REF!</v>
      </c>
      <c r="C1655" s="154"/>
      <c r="D1655" s="196"/>
      <c r="E1655" s="196"/>
      <c r="F1655" s="196"/>
      <c r="G1655" s="152"/>
      <c r="H1655" s="152"/>
      <c r="I1655" s="196"/>
      <c r="J1655" s="196"/>
      <c r="K1655" s="196"/>
      <c r="L1655" s="259"/>
    </row>
    <row r="1656" ht="22.5" customHeight="1">
      <c r="A1656" s="202"/>
      <c r="B1656" s="273" t="str">
        <f t="shared" si="5"/>
        <v>#REF!</v>
      </c>
      <c r="C1656" s="146"/>
      <c r="D1656" s="197"/>
      <c r="E1656" s="197"/>
      <c r="F1656" s="197"/>
      <c r="G1656" s="144"/>
      <c r="H1656" s="144"/>
      <c r="I1656" s="197"/>
      <c r="J1656" s="197"/>
      <c r="K1656" s="197"/>
      <c r="L1656" s="257"/>
    </row>
    <row r="1657" ht="22.5" customHeight="1">
      <c r="A1657" s="250"/>
      <c r="B1657" s="272" t="str">
        <f t="shared" si="5"/>
        <v>#REF!</v>
      </c>
      <c r="C1657" s="154"/>
      <c r="D1657" s="196"/>
      <c r="E1657" s="196"/>
      <c r="F1657" s="196"/>
      <c r="G1657" s="152"/>
      <c r="H1657" s="152"/>
      <c r="I1657" s="196"/>
      <c r="J1657" s="196"/>
      <c r="K1657" s="196"/>
      <c r="L1657" s="259"/>
    </row>
    <row r="1658" ht="22.5" customHeight="1">
      <c r="A1658" s="202"/>
      <c r="B1658" s="273" t="str">
        <f t="shared" si="5"/>
        <v>#REF!</v>
      </c>
      <c r="C1658" s="146"/>
      <c r="D1658" s="197"/>
      <c r="E1658" s="197"/>
      <c r="F1658" s="197"/>
      <c r="G1658" s="144"/>
      <c r="H1658" s="144"/>
      <c r="I1658" s="197"/>
      <c r="J1658" s="197"/>
      <c r="K1658" s="197"/>
      <c r="L1658" s="257"/>
    </row>
    <row r="1659" ht="22.5" customHeight="1">
      <c r="A1659" s="250"/>
      <c r="B1659" s="272" t="str">
        <f t="shared" si="5"/>
        <v>#REF!</v>
      </c>
      <c r="C1659" s="154"/>
      <c r="D1659" s="196"/>
      <c r="E1659" s="196"/>
      <c r="F1659" s="196"/>
      <c r="G1659" s="152"/>
      <c r="H1659" s="152"/>
      <c r="I1659" s="196"/>
      <c r="J1659" s="196"/>
      <c r="K1659" s="196"/>
      <c r="L1659" s="259"/>
    </row>
    <row r="1660" ht="22.5" customHeight="1">
      <c r="A1660" s="202"/>
      <c r="B1660" s="273" t="str">
        <f t="shared" si="5"/>
        <v>#REF!</v>
      </c>
      <c r="C1660" s="146"/>
      <c r="D1660" s="197"/>
      <c r="E1660" s="197"/>
      <c r="F1660" s="197"/>
      <c r="G1660" s="144"/>
      <c r="H1660" s="144"/>
      <c r="I1660" s="197"/>
      <c r="J1660" s="197"/>
      <c r="K1660" s="197"/>
      <c r="L1660" s="257"/>
    </row>
    <row r="1661" ht="22.5" customHeight="1">
      <c r="A1661" s="250"/>
      <c r="B1661" s="272" t="str">
        <f t="shared" si="5"/>
        <v>#REF!</v>
      </c>
      <c r="C1661" s="154"/>
      <c r="D1661" s="196"/>
      <c r="E1661" s="196"/>
      <c r="F1661" s="196"/>
      <c r="G1661" s="152"/>
      <c r="H1661" s="152"/>
      <c r="I1661" s="196"/>
      <c r="J1661" s="196"/>
      <c r="K1661" s="196"/>
      <c r="L1661" s="259"/>
    </row>
    <row r="1662" ht="22.5" customHeight="1">
      <c r="A1662" s="202"/>
      <c r="B1662" s="273" t="str">
        <f t="shared" si="5"/>
        <v>#REF!</v>
      </c>
      <c r="C1662" s="146"/>
      <c r="D1662" s="197"/>
      <c r="E1662" s="197"/>
      <c r="F1662" s="197"/>
      <c r="G1662" s="144"/>
      <c r="H1662" s="144"/>
      <c r="I1662" s="197"/>
      <c r="J1662" s="197"/>
      <c r="K1662" s="197"/>
      <c r="L1662" s="257"/>
    </row>
    <row r="1663" ht="22.5" customHeight="1">
      <c r="A1663" s="250"/>
      <c r="B1663" s="272" t="str">
        <f t="shared" si="5"/>
        <v>#REF!</v>
      </c>
      <c r="C1663" s="154"/>
      <c r="D1663" s="196"/>
      <c r="E1663" s="196"/>
      <c r="F1663" s="196"/>
      <c r="G1663" s="152"/>
      <c r="H1663" s="152"/>
      <c r="I1663" s="196"/>
      <c r="J1663" s="196"/>
      <c r="K1663" s="196"/>
      <c r="L1663" s="259"/>
    </row>
    <row r="1664" ht="22.5" customHeight="1">
      <c r="A1664" s="202"/>
      <c r="B1664" s="273" t="str">
        <f t="shared" si="5"/>
        <v>#REF!</v>
      </c>
      <c r="C1664" s="146"/>
      <c r="D1664" s="197"/>
      <c r="E1664" s="197"/>
      <c r="F1664" s="197"/>
      <c r="G1664" s="144"/>
      <c r="H1664" s="144"/>
      <c r="I1664" s="197"/>
      <c r="J1664" s="197"/>
      <c r="K1664" s="197"/>
      <c r="L1664" s="257"/>
    </row>
    <row r="1665" ht="22.5" customHeight="1">
      <c r="A1665" s="250"/>
      <c r="B1665" s="272" t="str">
        <f t="shared" si="5"/>
        <v>#REF!</v>
      </c>
      <c r="C1665" s="154"/>
      <c r="D1665" s="196"/>
      <c r="E1665" s="196"/>
      <c r="F1665" s="196"/>
      <c r="G1665" s="152"/>
      <c r="H1665" s="152"/>
      <c r="I1665" s="196"/>
      <c r="J1665" s="196"/>
      <c r="K1665" s="196"/>
      <c r="L1665" s="259"/>
    </row>
    <row r="1666" ht="22.5" customHeight="1">
      <c r="A1666" s="202"/>
      <c r="B1666" s="273" t="str">
        <f t="shared" si="5"/>
        <v>#REF!</v>
      </c>
      <c r="C1666" s="146"/>
      <c r="D1666" s="197"/>
      <c r="E1666" s="197"/>
      <c r="F1666" s="197"/>
      <c r="G1666" s="144"/>
      <c r="H1666" s="144"/>
      <c r="I1666" s="197"/>
      <c r="J1666" s="197"/>
      <c r="K1666" s="197"/>
      <c r="L1666" s="257"/>
    </row>
    <row r="1667" ht="22.5" customHeight="1">
      <c r="A1667" s="250"/>
      <c r="B1667" s="272" t="str">
        <f t="shared" si="5"/>
        <v>#REF!</v>
      </c>
      <c r="C1667" s="154"/>
      <c r="D1667" s="196"/>
      <c r="E1667" s="196"/>
      <c r="F1667" s="196"/>
      <c r="G1667" s="152"/>
      <c r="H1667" s="152"/>
      <c r="I1667" s="196"/>
      <c r="J1667" s="196"/>
      <c r="K1667" s="196"/>
      <c r="L1667" s="259"/>
    </row>
    <row r="1668" ht="22.5" customHeight="1">
      <c r="A1668" s="202"/>
      <c r="B1668" s="273" t="str">
        <f t="shared" si="5"/>
        <v>#REF!</v>
      </c>
      <c r="C1668" s="146"/>
      <c r="D1668" s="197"/>
      <c r="E1668" s="197"/>
      <c r="F1668" s="197"/>
      <c r="G1668" s="144"/>
      <c r="H1668" s="144"/>
      <c r="I1668" s="197"/>
      <c r="J1668" s="197"/>
      <c r="K1668" s="197"/>
      <c r="L1668" s="257"/>
    </row>
    <row r="1669" ht="22.5" customHeight="1">
      <c r="A1669" s="250"/>
      <c r="B1669" s="272" t="str">
        <f t="shared" si="5"/>
        <v>#REF!</v>
      </c>
      <c r="C1669" s="154"/>
      <c r="D1669" s="196"/>
      <c r="E1669" s="196"/>
      <c r="F1669" s="196"/>
      <c r="G1669" s="152"/>
      <c r="H1669" s="152"/>
      <c r="I1669" s="196"/>
      <c r="J1669" s="196"/>
      <c r="K1669" s="196"/>
      <c r="L1669" s="259"/>
    </row>
    <row r="1670" ht="22.5" customHeight="1">
      <c r="A1670" s="202"/>
      <c r="B1670" s="273" t="str">
        <f t="shared" si="5"/>
        <v>#REF!</v>
      </c>
      <c r="C1670" s="146"/>
      <c r="D1670" s="197"/>
      <c r="E1670" s="197"/>
      <c r="F1670" s="197"/>
      <c r="G1670" s="144"/>
      <c r="H1670" s="144"/>
      <c r="I1670" s="197"/>
      <c r="J1670" s="197"/>
      <c r="K1670" s="197"/>
      <c r="L1670" s="257"/>
    </row>
    <row r="1671" ht="22.5" customHeight="1">
      <c r="A1671" s="250"/>
      <c r="B1671" s="272" t="str">
        <f t="shared" si="5"/>
        <v>#REF!</v>
      </c>
      <c r="C1671" s="154"/>
      <c r="D1671" s="196"/>
      <c r="E1671" s="196"/>
      <c r="F1671" s="196"/>
      <c r="G1671" s="152"/>
      <c r="H1671" s="152"/>
      <c r="I1671" s="196"/>
      <c r="J1671" s="196"/>
      <c r="K1671" s="196"/>
      <c r="L1671" s="259"/>
    </row>
    <row r="1672" ht="22.5" customHeight="1">
      <c r="A1672" s="202"/>
      <c r="B1672" s="273" t="str">
        <f t="shared" si="5"/>
        <v>#REF!</v>
      </c>
      <c r="C1672" s="146"/>
      <c r="D1672" s="197"/>
      <c r="E1672" s="197"/>
      <c r="F1672" s="197"/>
      <c r="G1672" s="144"/>
      <c r="H1672" s="144"/>
      <c r="I1672" s="197"/>
      <c r="J1672" s="197"/>
      <c r="K1672" s="197"/>
      <c r="L1672" s="257"/>
    </row>
    <row r="1673" ht="22.5" customHeight="1">
      <c r="A1673" s="250"/>
      <c r="B1673" s="272" t="str">
        <f t="shared" si="5"/>
        <v>#REF!</v>
      </c>
      <c r="C1673" s="154"/>
      <c r="D1673" s="196"/>
      <c r="E1673" s="196"/>
      <c r="F1673" s="196"/>
      <c r="G1673" s="152"/>
      <c r="H1673" s="152"/>
      <c r="I1673" s="196"/>
      <c r="J1673" s="196"/>
      <c r="K1673" s="196"/>
      <c r="L1673" s="259"/>
    </row>
    <row r="1674" ht="22.5" customHeight="1">
      <c r="A1674" s="202"/>
      <c r="B1674" s="273" t="str">
        <f t="shared" si="5"/>
        <v>#REF!</v>
      </c>
      <c r="C1674" s="146"/>
      <c r="D1674" s="197"/>
      <c r="E1674" s="197"/>
      <c r="F1674" s="197"/>
      <c r="G1674" s="144"/>
      <c r="H1674" s="144"/>
      <c r="I1674" s="197"/>
      <c r="J1674" s="197"/>
      <c r="K1674" s="197"/>
      <c r="L1674" s="257"/>
    </row>
    <row r="1675" ht="22.5" customHeight="1">
      <c r="A1675" s="250"/>
      <c r="B1675" s="272" t="str">
        <f t="shared" si="5"/>
        <v>#REF!</v>
      </c>
      <c r="C1675" s="154"/>
      <c r="D1675" s="196"/>
      <c r="E1675" s="196"/>
      <c r="F1675" s="196"/>
      <c r="G1675" s="152"/>
      <c r="H1675" s="152"/>
      <c r="I1675" s="196"/>
      <c r="J1675" s="196"/>
      <c r="K1675" s="196"/>
      <c r="L1675" s="259"/>
    </row>
    <row r="1676" ht="22.5" customHeight="1">
      <c r="A1676" s="202"/>
      <c r="B1676" s="273" t="str">
        <f t="shared" si="5"/>
        <v>#REF!</v>
      </c>
      <c r="C1676" s="146"/>
      <c r="D1676" s="197"/>
      <c r="E1676" s="197"/>
      <c r="F1676" s="197"/>
      <c r="G1676" s="144"/>
      <c r="H1676" s="144"/>
      <c r="I1676" s="197"/>
      <c r="J1676" s="197"/>
      <c r="K1676" s="197"/>
      <c r="L1676" s="257"/>
    </row>
    <row r="1677" ht="22.5" customHeight="1">
      <c r="A1677" s="250"/>
      <c r="B1677" s="272" t="str">
        <f t="shared" si="5"/>
        <v>#REF!</v>
      </c>
      <c r="C1677" s="154"/>
      <c r="D1677" s="196"/>
      <c r="E1677" s="196"/>
      <c r="F1677" s="196"/>
      <c r="G1677" s="152"/>
      <c r="H1677" s="152"/>
      <c r="I1677" s="196"/>
      <c r="J1677" s="196"/>
      <c r="K1677" s="196"/>
      <c r="L1677" s="259"/>
    </row>
    <row r="1678" ht="22.5" customHeight="1">
      <c r="A1678" s="202"/>
      <c r="B1678" s="273" t="str">
        <f t="shared" si="5"/>
        <v>#REF!</v>
      </c>
      <c r="C1678" s="146"/>
      <c r="D1678" s="197"/>
      <c r="E1678" s="197"/>
      <c r="F1678" s="197"/>
      <c r="G1678" s="144"/>
      <c r="H1678" s="144"/>
      <c r="I1678" s="197"/>
      <c r="J1678" s="197"/>
      <c r="K1678" s="197"/>
      <c r="L1678" s="257"/>
    </row>
    <row r="1679" ht="22.5" customHeight="1">
      <c r="A1679" s="250"/>
      <c r="B1679" s="272" t="str">
        <f t="shared" si="5"/>
        <v>#REF!</v>
      </c>
      <c r="C1679" s="154"/>
      <c r="D1679" s="196"/>
      <c r="E1679" s="196"/>
      <c r="F1679" s="196"/>
      <c r="G1679" s="152"/>
      <c r="H1679" s="152"/>
      <c r="I1679" s="196"/>
      <c r="J1679" s="196"/>
      <c r="K1679" s="196"/>
      <c r="L1679" s="259"/>
    </row>
    <row r="1680" ht="22.5" customHeight="1">
      <c r="A1680" s="202"/>
      <c r="B1680" s="273" t="str">
        <f t="shared" si="5"/>
        <v>#REF!</v>
      </c>
      <c r="C1680" s="146"/>
      <c r="D1680" s="197"/>
      <c r="E1680" s="197"/>
      <c r="F1680" s="197"/>
      <c r="G1680" s="144"/>
      <c r="H1680" s="144"/>
      <c r="I1680" s="197"/>
      <c r="J1680" s="197"/>
      <c r="K1680" s="197"/>
      <c r="L1680" s="257"/>
    </row>
    <row r="1681" ht="22.5" customHeight="1">
      <c r="A1681" s="250"/>
      <c r="B1681" s="272" t="str">
        <f t="shared" si="5"/>
        <v>#REF!</v>
      </c>
      <c r="C1681" s="154"/>
      <c r="D1681" s="196"/>
      <c r="E1681" s="196"/>
      <c r="F1681" s="196"/>
      <c r="G1681" s="152"/>
      <c r="H1681" s="152"/>
      <c r="I1681" s="196"/>
      <c r="J1681" s="196"/>
      <c r="K1681" s="196"/>
      <c r="L1681" s="259"/>
    </row>
    <row r="1682" ht="22.5" customHeight="1">
      <c r="A1682" s="202"/>
      <c r="B1682" s="273" t="str">
        <f t="shared" si="5"/>
        <v>#REF!</v>
      </c>
      <c r="C1682" s="146"/>
      <c r="D1682" s="197"/>
      <c r="E1682" s="197"/>
      <c r="F1682" s="197"/>
      <c r="G1682" s="144"/>
      <c r="H1682" s="144"/>
      <c r="I1682" s="197"/>
      <c r="J1682" s="197"/>
      <c r="K1682" s="197"/>
      <c r="L1682" s="257"/>
    </row>
    <row r="1683" ht="22.5" customHeight="1">
      <c r="A1683" s="250"/>
      <c r="B1683" s="272" t="str">
        <f t="shared" si="5"/>
        <v>#REF!</v>
      </c>
      <c r="C1683" s="154"/>
      <c r="D1683" s="196"/>
      <c r="E1683" s="196"/>
      <c r="F1683" s="196"/>
      <c r="G1683" s="152"/>
      <c r="H1683" s="152"/>
      <c r="I1683" s="196"/>
      <c r="J1683" s="196"/>
      <c r="K1683" s="196"/>
      <c r="L1683" s="259"/>
    </row>
    <row r="1684" ht="22.5" customHeight="1">
      <c r="A1684" s="202"/>
      <c r="B1684" s="273" t="str">
        <f t="shared" si="5"/>
        <v>#REF!</v>
      </c>
      <c r="C1684" s="146"/>
      <c r="D1684" s="197"/>
      <c r="E1684" s="197"/>
      <c r="F1684" s="197"/>
      <c r="G1684" s="144"/>
      <c r="H1684" s="144"/>
      <c r="I1684" s="197"/>
      <c r="J1684" s="197"/>
      <c r="K1684" s="197"/>
      <c r="L1684" s="257"/>
    </row>
    <row r="1685" ht="22.5" customHeight="1">
      <c r="A1685" s="250"/>
      <c r="B1685" s="272" t="str">
        <f t="shared" si="5"/>
        <v>#REF!</v>
      </c>
      <c r="C1685" s="154"/>
      <c r="D1685" s="196"/>
      <c r="E1685" s="196"/>
      <c r="F1685" s="196"/>
      <c r="G1685" s="152"/>
      <c r="H1685" s="152"/>
      <c r="I1685" s="196"/>
      <c r="J1685" s="196"/>
      <c r="K1685" s="196"/>
      <c r="L1685" s="259"/>
    </row>
    <row r="1686" ht="22.5" customHeight="1">
      <c r="A1686" s="202"/>
      <c r="B1686" s="273" t="str">
        <f t="shared" si="5"/>
        <v>#REF!</v>
      </c>
      <c r="C1686" s="146"/>
      <c r="D1686" s="197"/>
      <c r="E1686" s="197"/>
      <c r="F1686" s="197"/>
      <c r="G1686" s="144"/>
      <c r="H1686" s="144"/>
      <c r="I1686" s="197"/>
      <c r="J1686" s="197"/>
      <c r="K1686" s="197"/>
      <c r="L1686" s="257"/>
    </row>
    <row r="1687" ht="22.5" customHeight="1">
      <c r="A1687" s="250"/>
      <c r="B1687" s="272" t="str">
        <f t="shared" si="5"/>
        <v>#REF!</v>
      </c>
      <c r="C1687" s="154"/>
      <c r="D1687" s="196"/>
      <c r="E1687" s="196"/>
      <c r="F1687" s="196"/>
      <c r="G1687" s="152"/>
      <c r="H1687" s="152"/>
      <c r="I1687" s="196"/>
      <c r="J1687" s="196"/>
      <c r="K1687" s="196"/>
      <c r="L1687" s="259"/>
    </row>
    <row r="1688" ht="22.5" customHeight="1">
      <c r="A1688" s="202"/>
      <c r="B1688" s="273" t="str">
        <f t="shared" si="5"/>
        <v>#REF!</v>
      </c>
      <c r="C1688" s="146"/>
      <c r="D1688" s="197"/>
      <c r="E1688" s="197"/>
      <c r="F1688" s="197"/>
      <c r="G1688" s="144"/>
      <c r="H1688" s="144"/>
      <c r="I1688" s="197"/>
      <c r="J1688" s="197"/>
      <c r="K1688" s="197"/>
      <c r="L1688" s="257"/>
    </row>
    <row r="1689" ht="22.5" customHeight="1">
      <c r="A1689" s="250"/>
      <c r="B1689" s="272" t="str">
        <f t="shared" si="5"/>
        <v>#REF!</v>
      </c>
      <c r="C1689" s="154"/>
      <c r="D1689" s="196"/>
      <c r="E1689" s="196"/>
      <c r="F1689" s="196"/>
      <c r="G1689" s="152"/>
      <c r="H1689" s="152"/>
      <c r="I1689" s="196"/>
      <c r="J1689" s="196"/>
      <c r="K1689" s="196"/>
      <c r="L1689" s="259"/>
    </row>
    <row r="1690" ht="22.5" customHeight="1">
      <c r="A1690" s="202"/>
      <c r="B1690" s="273" t="str">
        <f t="shared" si="5"/>
        <v>#REF!</v>
      </c>
      <c r="C1690" s="146"/>
      <c r="D1690" s="197"/>
      <c r="E1690" s="197"/>
      <c r="F1690" s="197"/>
      <c r="G1690" s="144"/>
      <c r="H1690" s="144"/>
      <c r="I1690" s="197"/>
      <c r="J1690" s="197"/>
      <c r="K1690" s="197"/>
      <c r="L1690" s="257"/>
    </row>
    <row r="1691" ht="22.5" customHeight="1">
      <c r="A1691" s="250"/>
      <c r="B1691" s="272" t="str">
        <f t="shared" si="5"/>
        <v>#REF!</v>
      </c>
      <c r="C1691" s="154"/>
      <c r="D1691" s="196"/>
      <c r="E1691" s="196"/>
      <c r="F1691" s="196"/>
      <c r="G1691" s="152"/>
      <c r="H1691" s="152"/>
      <c r="I1691" s="196"/>
      <c r="J1691" s="196"/>
      <c r="K1691" s="196"/>
      <c r="L1691" s="259"/>
    </row>
    <row r="1692" ht="22.5" customHeight="1">
      <c r="A1692" s="202"/>
      <c r="B1692" s="273" t="str">
        <f t="shared" si="5"/>
        <v>#REF!</v>
      </c>
      <c r="C1692" s="146"/>
      <c r="D1692" s="197"/>
      <c r="E1692" s="197"/>
      <c r="F1692" s="197"/>
      <c r="G1692" s="144"/>
      <c r="H1692" s="144"/>
      <c r="I1692" s="197"/>
      <c r="J1692" s="197"/>
      <c r="K1692" s="197"/>
      <c r="L1692" s="257"/>
    </row>
    <row r="1693" ht="22.5" customHeight="1">
      <c r="A1693" s="250"/>
      <c r="B1693" s="272" t="str">
        <f t="shared" si="5"/>
        <v>#REF!</v>
      </c>
      <c r="C1693" s="154"/>
      <c r="D1693" s="196"/>
      <c r="E1693" s="196"/>
      <c r="F1693" s="196"/>
      <c r="G1693" s="152"/>
      <c r="H1693" s="152"/>
      <c r="I1693" s="196"/>
      <c r="J1693" s="196"/>
      <c r="K1693" s="196"/>
      <c r="L1693" s="259"/>
    </row>
    <row r="1694" ht="22.5" customHeight="1">
      <c r="A1694" s="202"/>
      <c r="B1694" s="273" t="str">
        <f t="shared" si="5"/>
        <v>#REF!</v>
      </c>
      <c r="C1694" s="146"/>
      <c r="D1694" s="197"/>
      <c r="E1694" s="197"/>
      <c r="F1694" s="197"/>
      <c r="G1694" s="144"/>
      <c r="H1694" s="144"/>
      <c r="I1694" s="197"/>
      <c r="J1694" s="197"/>
      <c r="K1694" s="197"/>
      <c r="L1694" s="257"/>
    </row>
    <row r="1695" ht="22.5" customHeight="1">
      <c r="A1695" s="250"/>
      <c r="B1695" s="272" t="str">
        <f t="shared" si="5"/>
        <v>#REF!</v>
      </c>
      <c r="C1695" s="154"/>
      <c r="D1695" s="196"/>
      <c r="E1695" s="196"/>
      <c r="F1695" s="196"/>
      <c r="G1695" s="152"/>
      <c r="H1695" s="152"/>
      <c r="I1695" s="196"/>
      <c r="J1695" s="196"/>
      <c r="K1695" s="196"/>
      <c r="L1695" s="259"/>
    </row>
    <row r="1696" ht="22.5" customHeight="1">
      <c r="A1696" s="202"/>
      <c r="B1696" s="273" t="str">
        <f t="shared" si="5"/>
        <v>#REF!</v>
      </c>
      <c r="C1696" s="146"/>
      <c r="D1696" s="197"/>
      <c r="E1696" s="197"/>
      <c r="F1696" s="197"/>
      <c r="G1696" s="144"/>
      <c r="H1696" s="144"/>
      <c r="I1696" s="197"/>
      <c r="J1696" s="197"/>
      <c r="K1696" s="197"/>
      <c r="L1696" s="257"/>
    </row>
    <row r="1697" ht="22.5" customHeight="1">
      <c r="A1697" s="250"/>
      <c r="B1697" s="272" t="str">
        <f t="shared" si="5"/>
        <v>#REF!</v>
      </c>
      <c r="C1697" s="154"/>
      <c r="D1697" s="196"/>
      <c r="E1697" s="196"/>
      <c r="F1697" s="196"/>
      <c r="G1697" s="152"/>
      <c r="H1697" s="152"/>
      <c r="I1697" s="196"/>
      <c r="J1697" s="196"/>
      <c r="K1697" s="196"/>
      <c r="L1697" s="259"/>
    </row>
    <row r="1698" ht="22.5" customHeight="1">
      <c r="A1698" s="202"/>
      <c r="B1698" s="273" t="str">
        <f t="shared" si="5"/>
        <v>#REF!</v>
      </c>
      <c r="C1698" s="146"/>
      <c r="D1698" s="197"/>
      <c r="E1698" s="197"/>
      <c r="F1698" s="197"/>
      <c r="G1698" s="144"/>
      <c r="H1698" s="144"/>
      <c r="I1698" s="197"/>
      <c r="J1698" s="197"/>
      <c r="K1698" s="197"/>
      <c r="L1698" s="257"/>
    </row>
    <row r="1699" ht="22.5" customHeight="1">
      <c r="A1699" s="250"/>
      <c r="B1699" s="272" t="str">
        <f t="shared" si="5"/>
        <v>#REF!</v>
      </c>
      <c r="C1699" s="154"/>
      <c r="D1699" s="196"/>
      <c r="E1699" s="196"/>
      <c r="F1699" s="196"/>
      <c r="G1699" s="152"/>
      <c r="H1699" s="152"/>
      <c r="I1699" s="196"/>
      <c r="J1699" s="196"/>
      <c r="K1699" s="196"/>
      <c r="L1699" s="259"/>
    </row>
    <row r="1700" ht="22.5" customHeight="1">
      <c r="A1700" s="202"/>
      <c r="B1700" s="273" t="str">
        <f t="shared" si="5"/>
        <v>#REF!</v>
      </c>
      <c r="C1700" s="146"/>
      <c r="D1700" s="197"/>
      <c r="E1700" s="197"/>
      <c r="F1700" s="197"/>
      <c r="G1700" s="144"/>
      <c r="H1700" s="144"/>
      <c r="I1700" s="197"/>
      <c r="J1700" s="197"/>
      <c r="K1700" s="197"/>
      <c r="L1700" s="257"/>
    </row>
    <row r="1701" ht="22.5" customHeight="1">
      <c r="A1701" s="250"/>
      <c r="B1701" s="272" t="str">
        <f t="shared" si="5"/>
        <v>#REF!</v>
      </c>
      <c r="C1701" s="154"/>
      <c r="D1701" s="196"/>
      <c r="E1701" s="196"/>
      <c r="F1701" s="196"/>
      <c r="G1701" s="152"/>
      <c r="H1701" s="152"/>
      <c r="I1701" s="196"/>
      <c r="J1701" s="196"/>
      <c r="K1701" s="196"/>
      <c r="L1701" s="259"/>
    </row>
    <row r="1702" ht="22.5" customHeight="1">
      <c r="A1702" s="202"/>
      <c r="B1702" s="273" t="str">
        <f t="shared" si="5"/>
        <v>#REF!</v>
      </c>
      <c r="C1702" s="146"/>
      <c r="D1702" s="197"/>
      <c r="E1702" s="197"/>
      <c r="F1702" s="197"/>
      <c r="G1702" s="144"/>
      <c r="H1702" s="144"/>
      <c r="I1702" s="197"/>
      <c r="J1702" s="197"/>
      <c r="K1702" s="197"/>
      <c r="L1702" s="257"/>
    </row>
    <row r="1703" ht="22.5" customHeight="1">
      <c r="A1703" s="250"/>
      <c r="B1703" s="272" t="str">
        <f t="shared" si="5"/>
        <v>#REF!</v>
      </c>
      <c r="C1703" s="154"/>
      <c r="D1703" s="196"/>
      <c r="E1703" s="196"/>
      <c r="F1703" s="196"/>
      <c r="G1703" s="152"/>
      <c r="H1703" s="152"/>
      <c r="I1703" s="196"/>
      <c r="J1703" s="196"/>
      <c r="K1703" s="196"/>
      <c r="L1703" s="259"/>
    </row>
    <row r="1704" ht="22.5" customHeight="1">
      <c r="A1704" s="202"/>
      <c r="B1704" s="273" t="str">
        <f t="shared" si="5"/>
        <v>#REF!</v>
      </c>
      <c r="C1704" s="146"/>
      <c r="D1704" s="197"/>
      <c r="E1704" s="197"/>
      <c r="F1704" s="197"/>
      <c r="G1704" s="144"/>
      <c r="H1704" s="144"/>
      <c r="I1704" s="197"/>
      <c r="J1704" s="197"/>
      <c r="K1704" s="197"/>
      <c r="L1704" s="257"/>
    </row>
    <row r="1705" ht="22.5" customHeight="1">
      <c r="A1705" s="250"/>
      <c r="B1705" s="272" t="str">
        <f t="shared" si="5"/>
        <v>#REF!</v>
      </c>
      <c r="C1705" s="154"/>
      <c r="D1705" s="196"/>
      <c r="E1705" s="196"/>
      <c r="F1705" s="196"/>
      <c r="G1705" s="152"/>
      <c r="H1705" s="152"/>
      <c r="I1705" s="196"/>
      <c r="J1705" s="196"/>
      <c r="K1705" s="196"/>
      <c r="L1705" s="259"/>
    </row>
    <row r="1706" ht="22.5" customHeight="1">
      <c r="A1706" s="202"/>
      <c r="B1706" s="273" t="str">
        <f t="shared" si="5"/>
        <v>#REF!</v>
      </c>
      <c r="C1706" s="146"/>
      <c r="D1706" s="197"/>
      <c r="E1706" s="197"/>
      <c r="F1706" s="197"/>
      <c r="G1706" s="144"/>
      <c r="H1706" s="144"/>
      <c r="I1706" s="197"/>
      <c r="J1706" s="197"/>
      <c r="K1706" s="197"/>
      <c r="L1706" s="257"/>
    </row>
    <row r="1707" ht="22.5" customHeight="1">
      <c r="A1707" s="250"/>
      <c r="B1707" s="272" t="str">
        <f t="shared" si="5"/>
        <v>#REF!</v>
      </c>
      <c r="C1707" s="154"/>
      <c r="D1707" s="196"/>
      <c r="E1707" s="196"/>
      <c r="F1707" s="196"/>
      <c r="G1707" s="152"/>
      <c r="H1707" s="152"/>
      <c r="I1707" s="196"/>
      <c r="J1707" s="196"/>
      <c r="K1707" s="196"/>
      <c r="L1707" s="259"/>
    </row>
    <row r="1708" ht="22.5" customHeight="1">
      <c r="A1708" s="202"/>
      <c r="B1708" s="273" t="str">
        <f t="shared" si="5"/>
        <v>#REF!</v>
      </c>
      <c r="C1708" s="146"/>
      <c r="D1708" s="197"/>
      <c r="E1708" s="197"/>
      <c r="F1708" s="197"/>
      <c r="G1708" s="144"/>
      <c r="H1708" s="144"/>
      <c r="I1708" s="197"/>
      <c r="J1708" s="197"/>
      <c r="K1708" s="197"/>
      <c r="L1708" s="257"/>
    </row>
    <row r="1709" ht="22.5" customHeight="1">
      <c r="A1709" s="250"/>
      <c r="B1709" s="272" t="str">
        <f t="shared" si="5"/>
        <v>#REF!</v>
      </c>
      <c r="C1709" s="154"/>
      <c r="D1709" s="196"/>
      <c r="E1709" s="196"/>
      <c r="F1709" s="196"/>
      <c r="G1709" s="152"/>
      <c r="H1709" s="152"/>
      <c r="I1709" s="196"/>
      <c r="J1709" s="196"/>
      <c r="K1709" s="196"/>
      <c r="L1709" s="259"/>
    </row>
    <row r="1710" ht="22.5" customHeight="1">
      <c r="A1710" s="202"/>
      <c r="B1710" s="273" t="str">
        <f t="shared" si="5"/>
        <v>#REF!</v>
      </c>
      <c r="C1710" s="146"/>
      <c r="D1710" s="197"/>
      <c r="E1710" s="197"/>
      <c r="F1710" s="197"/>
      <c r="G1710" s="144"/>
      <c r="H1710" s="144"/>
      <c r="I1710" s="197"/>
      <c r="J1710" s="197"/>
      <c r="K1710" s="197"/>
      <c r="L1710" s="257"/>
    </row>
    <row r="1711" ht="22.5" customHeight="1">
      <c r="A1711" s="250"/>
      <c r="B1711" s="272" t="str">
        <f t="shared" si="5"/>
        <v>#REF!</v>
      </c>
      <c r="C1711" s="154"/>
      <c r="D1711" s="196"/>
      <c r="E1711" s="196"/>
      <c r="F1711" s="196"/>
      <c r="G1711" s="152"/>
      <c r="H1711" s="152"/>
      <c r="I1711" s="196"/>
      <c r="J1711" s="196"/>
      <c r="K1711" s="196"/>
      <c r="L1711" s="259"/>
    </row>
    <row r="1712" ht="22.5" customHeight="1">
      <c r="A1712" s="202"/>
      <c r="B1712" s="273" t="str">
        <f t="shared" si="5"/>
        <v>#REF!</v>
      </c>
      <c r="C1712" s="146"/>
      <c r="D1712" s="197"/>
      <c r="E1712" s="197"/>
      <c r="F1712" s="197"/>
      <c r="G1712" s="144"/>
      <c r="H1712" s="144"/>
      <c r="I1712" s="197"/>
      <c r="J1712" s="197"/>
      <c r="K1712" s="197"/>
      <c r="L1712" s="257"/>
    </row>
    <row r="1713" ht="22.5" customHeight="1">
      <c r="A1713" s="250"/>
      <c r="B1713" s="272" t="str">
        <f t="shared" si="5"/>
        <v>#REF!</v>
      </c>
      <c r="C1713" s="154"/>
      <c r="D1713" s="196"/>
      <c r="E1713" s="196"/>
      <c r="F1713" s="196"/>
      <c r="G1713" s="152"/>
      <c r="H1713" s="152"/>
      <c r="I1713" s="196"/>
      <c r="J1713" s="196"/>
      <c r="K1713" s="196"/>
      <c r="L1713" s="259"/>
    </row>
    <row r="1714" ht="22.5" customHeight="1">
      <c r="A1714" s="202"/>
      <c r="B1714" s="273" t="str">
        <f t="shared" si="5"/>
        <v>#REF!</v>
      </c>
      <c r="C1714" s="146"/>
      <c r="D1714" s="197"/>
      <c r="E1714" s="197"/>
      <c r="F1714" s="197"/>
      <c r="G1714" s="144"/>
      <c r="H1714" s="144"/>
      <c r="I1714" s="197"/>
      <c r="J1714" s="197"/>
      <c r="K1714" s="197"/>
      <c r="L1714" s="257"/>
    </row>
    <row r="1715" ht="22.5" customHeight="1">
      <c r="A1715" s="250"/>
      <c r="B1715" s="272" t="str">
        <f t="shared" si="5"/>
        <v>#REF!</v>
      </c>
      <c r="C1715" s="154"/>
      <c r="D1715" s="196"/>
      <c r="E1715" s="196"/>
      <c r="F1715" s="196"/>
      <c r="G1715" s="152"/>
      <c r="H1715" s="152"/>
      <c r="I1715" s="196"/>
      <c r="J1715" s="196"/>
      <c r="K1715" s="196"/>
      <c r="L1715" s="259"/>
    </row>
    <row r="1716" ht="22.5" customHeight="1">
      <c r="A1716" s="202"/>
      <c r="B1716" s="273" t="str">
        <f t="shared" si="5"/>
        <v>#REF!</v>
      </c>
      <c r="C1716" s="146"/>
      <c r="D1716" s="197"/>
      <c r="E1716" s="197"/>
      <c r="F1716" s="197"/>
      <c r="G1716" s="144"/>
      <c r="H1716" s="144"/>
      <c r="I1716" s="197"/>
      <c r="J1716" s="197"/>
      <c r="K1716" s="197"/>
      <c r="L1716" s="257"/>
    </row>
    <row r="1717" ht="22.5" customHeight="1">
      <c r="A1717" s="250"/>
      <c r="B1717" s="272" t="str">
        <f t="shared" si="5"/>
        <v>#REF!</v>
      </c>
      <c r="C1717" s="154"/>
      <c r="D1717" s="196"/>
      <c r="E1717" s="196"/>
      <c r="F1717" s="196"/>
      <c r="G1717" s="152"/>
      <c r="H1717" s="152"/>
      <c r="I1717" s="196"/>
      <c r="J1717" s="196"/>
      <c r="K1717" s="196"/>
      <c r="L1717" s="259"/>
    </row>
    <row r="1718" ht="22.5" customHeight="1">
      <c r="A1718" s="202"/>
      <c r="B1718" s="273" t="str">
        <f t="shared" si="5"/>
        <v>#REF!</v>
      </c>
      <c r="C1718" s="146"/>
      <c r="D1718" s="197"/>
      <c r="E1718" s="197"/>
      <c r="F1718" s="197"/>
      <c r="G1718" s="144"/>
      <c r="H1718" s="144"/>
      <c r="I1718" s="197"/>
      <c r="J1718" s="197"/>
      <c r="K1718" s="197"/>
      <c r="L1718" s="257"/>
    </row>
    <row r="1719" ht="22.5" customHeight="1">
      <c r="A1719" s="250"/>
      <c r="B1719" s="272" t="str">
        <f t="shared" si="5"/>
        <v>#REF!</v>
      </c>
      <c r="C1719" s="154"/>
      <c r="D1719" s="196"/>
      <c r="E1719" s="196"/>
      <c r="F1719" s="196"/>
      <c r="G1719" s="152"/>
      <c r="H1719" s="152"/>
      <c r="I1719" s="196"/>
      <c r="J1719" s="196"/>
      <c r="K1719" s="196"/>
      <c r="L1719" s="259"/>
    </row>
    <row r="1720" ht="22.5" customHeight="1">
      <c r="A1720" s="202"/>
      <c r="B1720" s="273" t="str">
        <f t="shared" si="5"/>
        <v>#REF!</v>
      </c>
      <c r="C1720" s="146"/>
      <c r="D1720" s="197"/>
      <c r="E1720" s="197"/>
      <c r="F1720" s="197"/>
      <c r="G1720" s="144"/>
      <c r="H1720" s="144"/>
      <c r="I1720" s="197"/>
      <c r="J1720" s="197"/>
      <c r="K1720" s="197"/>
      <c r="L1720" s="257"/>
    </row>
    <row r="1721" ht="22.5" customHeight="1">
      <c r="A1721" s="250"/>
      <c r="B1721" s="272" t="str">
        <f t="shared" si="5"/>
        <v>#REF!</v>
      </c>
      <c r="C1721" s="154"/>
      <c r="D1721" s="196"/>
      <c r="E1721" s="196"/>
      <c r="F1721" s="196"/>
      <c r="G1721" s="152"/>
      <c r="H1721" s="152"/>
      <c r="I1721" s="196"/>
      <c r="J1721" s="196"/>
      <c r="K1721" s="196"/>
      <c r="L1721" s="259"/>
    </row>
    <row r="1722" ht="22.5" customHeight="1">
      <c r="A1722" s="202"/>
      <c r="B1722" s="273" t="str">
        <f t="shared" si="5"/>
        <v>#REF!</v>
      </c>
      <c r="C1722" s="146"/>
      <c r="D1722" s="197"/>
      <c r="E1722" s="197"/>
      <c r="F1722" s="197"/>
      <c r="G1722" s="144"/>
      <c r="H1722" s="144"/>
      <c r="I1722" s="197"/>
      <c r="J1722" s="197"/>
      <c r="K1722" s="197"/>
      <c r="L1722" s="257"/>
    </row>
    <row r="1723" ht="22.5" customHeight="1">
      <c r="A1723" s="250"/>
      <c r="B1723" s="272" t="str">
        <f t="shared" si="5"/>
        <v>#REF!</v>
      </c>
      <c r="C1723" s="154"/>
      <c r="D1723" s="196"/>
      <c r="E1723" s="196"/>
      <c r="F1723" s="196"/>
      <c r="G1723" s="152"/>
      <c r="H1723" s="152"/>
      <c r="I1723" s="196"/>
      <c r="J1723" s="196"/>
      <c r="K1723" s="196"/>
      <c r="L1723" s="259"/>
    </row>
    <row r="1724" ht="22.5" customHeight="1">
      <c r="A1724" s="202"/>
      <c r="B1724" s="273" t="str">
        <f t="shared" si="5"/>
        <v>#REF!</v>
      </c>
      <c r="C1724" s="146"/>
      <c r="D1724" s="197"/>
      <c r="E1724" s="197"/>
      <c r="F1724" s="197"/>
      <c r="G1724" s="144"/>
      <c r="H1724" s="144"/>
      <c r="I1724" s="197"/>
      <c r="J1724" s="197"/>
      <c r="K1724" s="197"/>
      <c r="L1724" s="257"/>
    </row>
    <row r="1725" ht="22.5" customHeight="1">
      <c r="A1725" s="250"/>
      <c r="B1725" s="272" t="str">
        <f t="shared" si="5"/>
        <v>#REF!</v>
      </c>
      <c r="C1725" s="154"/>
      <c r="D1725" s="196"/>
      <c r="E1725" s="196"/>
      <c r="F1725" s="196"/>
      <c r="G1725" s="152"/>
      <c r="H1725" s="152"/>
      <c r="I1725" s="196"/>
      <c r="J1725" s="196"/>
      <c r="K1725" s="196"/>
      <c r="L1725" s="259"/>
    </row>
    <row r="1726" ht="22.5" customHeight="1">
      <c r="A1726" s="202"/>
      <c r="B1726" s="273" t="str">
        <f t="shared" si="5"/>
        <v>#REF!</v>
      </c>
      <c r="C1726" s="146"/>
      <c r="D1726" s="197"/>
      <c r="E1726" s="197"/>
      <c r="F1726" s="197"/>
      <c r="G1726" s="144"/>
      <c r="H1726" s="144"/>
      <c r="I1726" s="197"/>
      <c r="J1726" s="197"/>
      <c r="K1726" s="197"/>
      <c r="L1726" s="257"/>
    </row>
    <row r="1727" ht="22.5" customHeight="1">
      <c r="A1727" s="250"/>
      <c r="B1727" s="272" t="str">
        <f t="shared" si="5"/>
        <v>#REF!</v>
      </c>
      <c r="C1727" s="154"/>
      <c r="D1727" s="196"/>
      <c r="E1727" s="196"/>
      <c r="F1727" s="196"/>
      <c r="G1727" s="152"/>
      <c r="H1727" s="152"/>
      <c r="I1727" s="196"/>
      <c r="J1727" s="196"/>
      <c r="K1727" s="196"/>
      <c r="L1727" s="259"/>
    </row>
    <row r="1728" ht="22.5" customHeight="1">
      <c r="A1728" s="202"/>
      <c r="B1728" s="273" t="str">
        <f t="shared" si="5"/>
        <v>#REF!</v>
      </c>
      <c r="C1728" s="146"/>
      <c r="D1728" s="197"/>
      <c r="E1728" s="197"/>
      <c r="F1728" s="197"/>
      <c r="G1728" s="144"/>
      <c r="H1728" s="144"/>
      <c r="I1728" s="197"/>
      <c r="J1728" s="197"/>
      <c r="K1728" s="197"/>
      <c r="L1728" s="257"/>
    </row>
    <row r="1729" ht="22.5" customHeight="1">
      <c r="A1729" s="250"/>
      <c r="B1729" s="272" t="str">
        <f t="shared" si="5"/>
        <v>#REF!</v>
      </c>
      <c r="C1729" s="154"/>
      <c r="D1729" s="196"/>
      <c r="E1729" s="196"/>
      <c r="F1729" s="196"/>
      <c r="G1729" s="152"/>
      <c r="H1729" s="152"/>
      <c r="I1729" s="196"/>
      <c r="J1729" s="196"/>
      <c r="K1729" s="196"/>
      <c r="L1729" s="259"/>
    </row>
    <row r="1730" ht="22.5" customHeight="1">
      <c r="A1730" s="202"/>
      <c r="B1730" s="273" t="str">
        <f t="shared" si="5"/>
        <v>#REF!</v>
      </c>
      <c r="C1730" s="146"/>
      <c r="D1730" s="197"/>
      <c r="E1730" s="197"/>
      <c r="F1730" s="197"/>
      <c r="G1730" s="144"/>
      <c r="H1730" s="144"/>
      <c r="I1730" s="197"/>
      <c r="J1730" s="197"/>
      <c r="K1730" s="197"/>
      <c r="L1730" s="257"/>
    </row>
    <row r="1731" ht="22.5" customHeight="1">
      <c r="A1731" s="250"/>
      <c r="B1731" s="272" t="str">
        <f t="shared" si="5"/>
        <v>#REF!</v>
      </c>
      <c r="C1731" s="154"/>
      <c r="D1731" s="196"/>
      <c r="E1731" s="196"/>
      <c r="F1731" s="196"/>
      <c r="G1731" s="152"/>
      <c r="H1731" s="152"/>
      <c r="I1731" s="196"/>
      <c r="J1731" s="196"/>
      <c r="K1731" s="196"/>
      <c r="L1731" s="259"/>
    </row>
    <row r="1732" ht="22.5" customHeight="1">
      <c r="A1732" s="202"/>
      <c r="B1732" s="273" t="str">
        <f t="shared" si="5"/>
        <v>#REF!</v>
      </c>
      <c r="C1732" s="146"/>
      <c r="D1732" s="197"/>
      <c r="E1732" s="197"/>
      <c r="F1732" s="197"/>
      <c r="G1732" s="144"/>
      <c r="H1732" s="144"/>
      <c r="I1732" s="197"/>
      <c r="J1732" s="197"/>
      <c r="K1732" s="197"/>
      <c r="L1732" s="257"/>
    </row>
    <row r="1733" ht="22.5" customHeight="1">
      <c r="A1733" s="250"/>
      <c r="B1733" s="272" t="str">
        <f t="shared" si="5"/>
        <v>#REF!</v>
      </c>
      <c r="C1733" s="154"/>
      <c r="D1733" s="196"/>
      <c r="E1733" s="196"/>
      <c r="F1733" s="196"/>
      <c r="G1733" s="152"/>
      <c r="H1733" s="152"/>
      <c r="I1733" s="196"/>
      <c r="J1733" s="196"/>
      <c r="K1733" s="196"/>
      <c r="L1733" s="259"/>
    </row>
    <row r="1734" ht="22.5" customHeight="1">
      <c r="A1734" s="202"/>
      <c r="B1734" s="273" t="str">
        <f t="shared" si="5"/>
        <v>#REF!</v>
      </c>
      <c r="C1734" s="146"/>
      <c r="D1734" s="197"/>
      <c r="E1734" s="197"/>
      <c r="F1734" s="197"/>
      <c r="G1734" s="144"/>
      <c r="H1734" s="144"/>
      <c r="I1734" s="197"/>
      <c r="J1734" s="197"/>
      <c r="K1734" s="197"/>
      <c r="L1734" s="257"/>
    </row>
    <row r="1735" ht="22.5" customHeight="1">
      <c r="A1735" s="250"/>
      <c r="B1735" s="272" t="str">
        <f t="shared" si="5"/>
        <v>#REF!</v>
      </c>
      <c r="C1735" s="154"/>
      <c r="D1735" s="196"/>
      <c r="E1735" s="196"/>
      <c r="F1735" s="196"/>
      <c r="G1735" s="152"/>
      <c r="H1735" s="152"/>
      <c r="I1735" s="196"/>
      <c r="J1735" s="196"/>
      <c r="K1735" s="196"/>
      <c r="L1735" s="259"/>
    </row>
    <row r="1736" ht="22.5" customHeight="1">
      <c r="A1736" s="202"/>
      <c r="B1736" s="273" t="str">
        <f t="shared" si="5"/>
        <v>#REF!</v>
      </c>
      <c r="C1736" s="146"/>
      <c r="D1736" s="197"/>
      <c r="E1736" s="197"/>
      <c r="F1736" s="197"/>
      <c r="G1736" s="144"/>
      <c r="H1736" s="144"/>
      <c r="I1736" s="197"/>
      <c r="J1736" s="197"/>
      <c r="K1736" s="197"/>
      <c r="L1736" s="257"/>
    </row>
    <row r="1737" ht="22.5" customHeight="1">
      <c r="A1737" s="250"/>
      <c r="B1737" s="272" t="str">
        <f t="shared" si="5"/>
        <v>#REF!</v>
      </c>
      <c r="C1737" s="154"/>
      <c r="D1737" s="196"/>
      <c r="E1737" s="196"/>
      <c r="F1737" s="196"/>
      <c r="G1737" s="152"/>
      <c r="H1737" s="152"/>
      <c r="I1737" s="196"/>
      <c r="J1737" s="196"/>
      <c r="K1737" s="196"/>
      <c r="L1737" s="259"/>
    </row>
    <row r="1738" ht="22.5" customHeight="1">
      <c r="A1738" s="202"/>
      <c r="B1738" s="273" t="str">
        <f t="shared" si="5"/>
        <v>#REF!</v>
      </c>
      <c r="C1738" s="146"/>
      <c r="D1738" s="197"/>
      <c r="E1738" s="197"/>
      <c r="F1738" s="197"/>
      <c r="G1738" s="144"/>
      <c r="H1738" s="144"/>
      <c r="I1738" s="197"/>
      <c r="J1738" s="197"/>
      <c r="K1738" s="197"/>
      <c r="L1738" s="257"/>
    </row>
    <row r="1739" ht="22.5" customHeight="1">
      <c r="A1739" s="250"/>
      <c r="B1739" s="272" t="str">
        <f t="shared" si="5"/>
        <v>#REF!</v>
      </c>
      <c r="C1739" s="154"/>
      <c r="D1739" s="196"/>
      <c r="E1739" s="196"/>
      <c r="F1739" s="196"/>
      <c r="G1739" s="152"/>
      <c r="H1739" s="152"/>
      <c r="I1739" s="196"/>
      <c r="J1739" s="196"/>
      <c r="K1739" s="196"/>
      <c r="L1739" s="259"/>
    </row>
    <row r="1740" ht="22.5" customHeight="1">
      <c r="A1740" s="202"/>
      <c r="B1740" s="273" t="str">
        <f t="shared" si="5"/>
        <v>#REF!</v>
      </c>
      <c r="C1740" s="146"/>
      <c r="D1740" s="197"/>
      <c r="E1740" s="197"/>
      <c r="F1740" s="197"/>
      <c r="G1740" s="144"/>
      <c r="H1740" s="144"/>
      <c r="I1740" s="197"/>
      <c r="J1740" s="197"/>
      <c r="K1740" s="197"/>
      <c r="L1740" s="257"/>
    </row>
    <row r="1741" ht="22.5" customHeight="1">
      <c r="A1741" s="250"/>
      <c r="B1741" s="272" t="str">
        <f t="shared" si="5"/>
        <v>#REF!</v>
      </c>
      <c r="C1741" s="154"/>
      <c r="D1741" s="196"/>
      <c r="E1741" s="196"/>
      <c r="F1741" s="196"/>
      <c r="G1741" s="152"/>
      <c r="H1741" s="152"/>
      <c r="I1741" s="196"/>
      <c r="J1741" s="196"/>
      <c r="K1741" s="196"/>
      <c r="L1741" s="259"/>
    </row>
    <row r="1742" ht="22.5" customHeight="1">
      <c r="A1742" s="202"/>
      <c r="B1742" s="273" t="str">
        <f t="shared" si="5"/>
        <v>#REF!</v>
      </c>
      <c r="C1742" s="146"/>
      <c r="D1742" s="197"/>
      <c r="E1742" s="197"/>
      <c r="F1742" s="197"/>
      <c r="G1742" s="144"/>
      <c r="H1742" s="144"/>
      <c r="I1742" s="197"/>
      <c r="J1742" s="197"/>
      <c r="K1742" s="197"/>
      <c r="L1742" s="257"/>
    </row>
    <row r="1743" ht="22.5" customHeight="1">
      <c r="A1743" s="250"/>
      <c r="B1743" s="272" t="str">
        <f t="shared" si="5"/>
        <v>#REF!</v>
      </c>
      <c r="C1743" s="154"/>
      <c r="D1743" s="196"/>
      <c r="E1743" s="196"/>
      <c r="F1743" s="196"/>
      <c r="G1743" s="152"/>
      <c r="H1743" s="152"/>
      <c r="I1743" s="196"/>
      <c r="J1743" s="196"/>
      <c r="K1743" s="196"/>
      <c r="L1743" s="259"/>
    </row>
    <row r="1744" ht="22.5" customHeight="1">
      <c r="A1744" s="202"/>
      <c r="B1744" s="273" t="str">
        <f t="shared" si="5"/>
        <v>#REF!</v>
      </c>
      <c r="C1744" s="146"/>
      <c r="D1744" s="197"/>
      <c r="E1744" s="197"/>
      <c r="F1744" s="197"/>
      <c r="G1744" s="144"/>
      <c r="H1744" s="144"/>
      <c r="I1744" s="197"/>
      <c r="J1744" s="197"/>
      <c r="K1744" s="197"/>
      <c r="L1744" s="257"/>
    </row>
    <row r="1745" ht="22.5" customHeight="1">
      <c r="A1745" s="250"/>
      <c r="B1745" s="272" t="str">
        <f t="shared" si="5"/>
        <v>#REF!</v>
      </c>
      <c r="C1745" s="154"/>
      <c r="D1745" s="196"/>
      <c r="E1745" s="196"/>
      <c r="F1745" s="196"/>
      <c r="G1745" s="152"/>
      <c r="H1745" s="152"/>
      <c r="I1745" s="196"/>
      <c r="J1745" s="196"/>
      <c r="K1745" s="196"/>
      <c r="L1745" s="259"/>
    </row>
    <row r="1746" ht="22.5" customHeight="1">
      <c r="A1746" s="202"/>
      <c r="B1746" s="273" t="str">
        <f t="shared" si="5"/>
        <v>#REF!</v>
      </c>
      <c r="C1746" s="146"/>
      <c r="D1746" s="197"/>
      <c r="E1746" s="197"/>
      <c r="F1746" s="197"/>
      <c r="G1746" s="144"/>
      <c r="H1746" s="144"/>
      <c r="I1746" s="197"/>
      <c r="J1746" s="197"/>
      <c r="K1746" s="197"/>
      <c r="L1746" s="257"/>
    </row>
    <row r="1747" ht="22.5" customHeight="1">
      <c r="A1747" s="250"/>
      <c r="B1747" s="272" t="str">
        <f t="shared" si="5"/>
        <v>#REF!</v>
      </c>
      <c r="C1747" s="154"/>
      <c r="D1747" s="196"/>
      <c r="E1747" s="196"/>
      <c r="F1747" s="196"/>
      <c r="G1747" s="152"/>
      <c r="H1747" s="152"/>
      <c r="I1747" s="196"/>
      <c r="J1747" s="196"/>
      <c r="K1747" s="196"/>
      <c r="L1747" s="259"/>
    </row>
    <row r="1748" ht="22.5" customHeight="1">
      <c r="A1748" s="202"/>
      <c r="B1748" s="273" t="str">
        <f t="shared" si="5"/>
        <v>#REF!</v>
      </c>
      <c r="C1748" s="146"/>
      <c r="D1748" s="197"/>
      <c r="E1748" s="197"/>
      <c r="F1748" s="197"/>
      <c r="G1748" s="144"/>
      <c r="H1748" s="144"/>
      <c r="I1748" s="197"/>
      <c r="J1748" s="197"/>
      <c r="K1748" s="197"/>
      <c r="L1748" s="257"/>
    </row>
    <row r="1749" ht="22.5" customHeight="1">
      <c r="A1749" s="250"/>
      <c r="B1749" s="272" t="str">
        <f t="shared" si="5"/>
        <v>#REF!</v>
      </c>
      <c r="C1749" s="154"/>
      <c r="D1749" s="196"/>
      <c r="E1749" s="196"/>
      <c r="F1749" s="196"/>
      <c r="G1749" s="152"/>
      <c r="H1749" s="152"/>
      <c r="I1749" s="196"/>
      <c r="J1749" s="196"/>
      <c r="K1749" s="196"/>
      <c r="L1749" s="259"/>
    </row>
    <row r="1750" ht="22.5" customHeight="1">
      <c r="A1750" s="202"/>
      <c r="B1750" s="273" t="str">
        <f t="shared" si="5"/>
        <v>#REF!</v>
      </c>
      <c r="C1750" s="146"/>
      <c r="D1750" s="197"/>
      <c r="E1750" s="197"/>
      <c r="F1750" s="197"/>
      <c r="G1750" s="144"/>
      <c r="H1750" s="144"/>
      <c r="I1750" s="197"/>
      <c r="J1750" s="197"/>
      <c r="K1750" s="197"/>
      <c r="L1750" s="257"/>
    </row>
    <row r="1751" ht="22.5" customHeight="1">
      <c r="A1751" s="250"/>
      <c r="B1751" s="272" t="str">
        <f t="shared" si="5"/>
        <v>#REF!</v>
      </c>
      <c r="C1751" s="154"/>
      <c r="D1751" s="196"/>
      <c r="E1751" s="196"/>
      <c r="F1751" s="196"/>
      <c r="G1751" s="152"/>
      <c r="H1751" s="152"/>
      <c r="I1751" s="196"/>
      <c r="J1751" s="196"/>
      <c r="K1751" s="196"/>
      <c r="L1751" s="259"/>
    </row>
    <row r="1752" ht="22.5" customHeight="1">
      <c r="A1752" s="202"/>
      <c r="B1752" s="273" t="str">
        <f t="shared" si="5"/>
        <v>#REF!</v>
      </c>
      <c r="C1752" s="146"/>
      <c r="D1752" s="197"/>
      <c r="E1752" s="197"/>
      <c r="F1752" s="197"/>
      <c r="G1752" s="144"/>
      <c r="H1752" s="144"/>
      <c r="I1752" s="197"/>
      <c r="J1752" s="197"/>
      <c r="K1752" s="197"/>
      <c r="L1752" s="257"/>
    </row>
    <row r="1753" ht="22.5" customHeight="1">
      <c r="A1753" s="250"/>
      <c r="B1753" s="272" t="str">
        <f t="shared" si="5"/>
        <v>#REF!</v>
      </c>
      <c r="C1753" s="154"/>
      <c r="D1753" s="196"/>
      <c r="E1753" s="196"/>
      <c r="F1753" s="196"/>
      <c r="G1753" s="152"/>
      <c r="H1753" s="152"/>
      <c r="I1753" s="196"/>
      <c r="J1753" s="196"/>
      <c r="K1753" s="196"/>
      <c r="L1753" s="259"/>
    </row>
    <row r="1754" ht="22.5" customHeight="1">
      <c r="A1754" s="202"/>
      <c r="B1754" s="273" t="str">
        <f t="shared" si="5"/>
        <v>#REF!</v>
      </c>
      <c r="C1754" s="146"/>
      <c r="D1754" s="197"/>
      <c r="E1754" s="197"/>
      <c r="F1754" s="197"/>
      <c r="G1754" s="144"/>
      <c r="H1754" s="144"/>
      <c r="I1754" s="197"/>
      <c r="J1754" s="197"/>
      <c r="K1754" s="197"/>
      <c r="L1754" s="257"/>
    </row>
    <row r="1755" ht="22.5" customHeight="1">
      <c r="A1755" s="250"/>
      <c r="B1755" s="272" t="str">
        <f t="shared" si="5"/>
        <v>#REF!</v>
      </c>
      <c r="C1755" s="154"/>
      <c r="D1755" s="196"/>
      <c r="E1755" s="196"/>
      <c r="F1755" s="196"/>
      <c r="G1755" s="152"/>
      <c r="H1755" s="152"/>
      <c r="I1755" s="196"/>
      <c r="J1755" s="196"/>
      <c r="K1755" s="196"/>
      <c r="L1755" s="259"/>
    </row>
    <row r="1756" ht="22.5" customHeight="1">
      <c r="A1756" s="202"/>
      <c r="B1756" s="273" t="str">
        <f t="shared" si="5"/>
        <v>#REF!</v>
      </c>
      <c r="C1756" s="146"/>
      <c r="D1756" s="197"/>
      <c r="E1756" s="197"/>
      <c r="F1756" s="197"/>
      <c r="G1756" s="144"/>
      <c r="H1756" s="144"/>
      <c r="I1756" s="197"/>
      <c r="J1756" s="197"/>
      <c r="K1756" s="197"/>
      <c r="L1756" s="257"/>
    </row>
    <row r="1757" ht="22.5" customHeight="1">
      <c r="A1757" s="250"/>
      <c r="B1757" s="272" t="str">
        <f t="shared" si="5"/>
        <v>#REF!</v>
      </c>
      <c r="C1757" s="154"/>
      <c r="D1757" s="196"/>
      <c r="E1757" s="196"/>
      <c r="F1757" s="196"/>
      <c r="G1757" s="152"/>
      <c r="H1757" s="152"/>
      <c r="I1757" s="196"/>
      <c r="J1757" s="196"/>
      <c r="K1757" s="196"/>
      <c r="L1757" s="259"/>
    </row>
    <row r="1758" ht="22.5" customHeight="1">
      <c r="A1758" s="202"/>
      <c r="B1758" s="273" t="str">
        <f t="shared" si="5"/>
        <v>#REF!</v>
      </c>
      <c r="C1758" s="146"/>
      <c r="D1758" s="197"/>
      <c r="E1758" s="197"/>
      <c r="F1758" s="197"/>
      <c r="G1758" s="144"/>
      <c r="H1758" s="144"/>
      <c r="I1758" s="197"/>
      <c r="J1758" s="197"/>
      <c r="K1758" s="197"/>
      <c r="L1758" s="257"/>
    </row>
    <row r="1759" ht="22.5" customHeight="1">
      <c r="A1759" s="250"/>
      <c r="B1759" s="272" t="str">
        <f t="shared" si="5"/>
        <v>#REF!</v>
      </c>
      <c r="C1759" s="154"/>
      <c r="D1759" s="196"/>
      <c r="E1759" s="196"/>
      <c r="F1759" s="196"/>
      <c r="G1759" s="152"/>
      <c r="H1759" s="152"/>
      <c r="I1759" s="196"/>
      <c r="J1759" s="196"/>
      <c r="K1759" s="196"/>
      <c r="L1759" s="259"/>
    </row>
    <row r="1760" ht="22.5" customHeight="1">
      <c r="A1760" s="202"/>
      <c r="B1760" s="273" t="str">
        <f t="shared" si="5"/>
        <v>#REF!</v>
      </c>
      <c r="C1760" s="146"/>
      <c r="D1760" s="197"/>
      <c r="E1760" s="197"/>
      <c r="F1760" s="197"/>
      <c r="G1760" s="144"/>
      <c r="H1760" s="144"/>
      <c r="I1760" s="197"/>
      <c r="J1760" s="197"/>
      <c r="K1760" s="197"/>
      <c r="L1760" s="257"/>
    </row>
    <row r="1761" ht="22.5" customHeight="1">
      <c r="A1761" s="250"/>
      <c r="B1761" s="272" t="str">
        <f t="shared" si="5"/>
        <v>#REF!</v>
      </c>
      <c r="C1761" s="154"/>
      <c r="D1761" s="196"/>
      <c r="E1761" s="196"/>
      <c r="F1761" s="196"/>
      <c r="G1761" s="152"/>
      <c r="H1761" s="152"/>
      <c r="I1761" s="196"/>
      <c r="J1761" s="196"/>
      <c r="K1761" s="196"/>
      <c r="L1761" s="259"/>
    </row>
    <row r="1762" ht="22.5" customHeight="1">
      <c r="A1762" s="202"/>
      <c r="B1762" s="273" t="str">
        <f t="shared" si="5"/>
        <v>#REF!</v>
      </c>
      <c r="C1762" s="146"/>
      <c r="D1762" s="197"/>
      <c r="E1762" s="197"/>
      <c r="F1762" s="197"/>
      <c r="G1762" s="144"/>
      <c r="H1762" s="144"/>
      <c r="I1762" s="197"/>
      <c r="J1762" s="197"/>
      <c r="K1762" s="197"/>
      <c r="L1762" s="257"/>
    </row>
    <row r="1763" ht="22.5" customHeight="1">
      <c r="A1763" s="250"/>
      <c r="B1763" s="272" t="str">
        <f t="shared" si="5"/>
        <v>#REF!</v>
      </c>
      <c r="C1763" s="154"/>
      <c r="D1763" s="196"/>
      <c r="E1763" s="196"/>
      <c r="F1763" s="196"/>
      <c r="G1763" s="152"/>
      <c r="H1763" s="152"/>
      <c r="I1763" s="196"/>
      <c r="J1763" s="196"/>
      <c r="K1763" s="196"/>
      <c r="L1763" s="259"/>
    </row>
    <row r="1764" ht="22.5" customHeight="1">
      <c r="A1764" s="202"/>
      <c r="B1764" s="273" t="str">
        <f t="shared" si="5"/>
        <v>#REF!</v>
      </c>
      <c r="C1764" s="146"/>
      <c r="D1764" s="197"/>
      <c r="E1764" s="197"/>
      <c r="F1764" s="197"/>
      <c r="G1764" s="144"/>
      <c r="H1764" s="144"/>
      <c r="I1764" s="197"/>
      <c r="J1764" s="197"/>
      <c r="K1764" s="197"/>
      <c r="L1764" s="257"/>
    </row>
    <row r="1765" ht="22.5" customHeight="1">
      <c r="A1765" s="250"/>
      <c r="B1765" s="272" t="str">
        <f t="shared" si="5"/>
        <v>#REF!</v>
      </c>
      <c r="C1765" s="154"/>
      <c r="D1765" s="196"/>
      <c r="E1765" s="196"/>
      <c r="F1765" s="196"/>
      <c r="G1765" s="152"/>
      <c r="H1765" s="152"/>
      <c r="I1765" s="196"/>
      <c r="J1765" s="196"/>
      <c r="K1765" s="196"/>
      <c r="L1765" s="259"/>
    </row>
    <row r="1766" ht="22.5" customHeight="1">
      <c r="A1766" s="202"/>
      <c r="B1766" s="273" t="str">
        <f t="shared" si="5"/>
        <v>#REF!</v>
      </c>
      <c r="C1766" s="146"/>
      <c r="D1766" s="197"/>
      <c r="E1766" s="197"/>
      <c r="F1766" s="197"/>
      <c r="G1766" s="144"/>
      <c r="H1766" s="144"/>
      <c r="I1766" s="197"/>
      <c r="J1766" s="197"/>
      <c r="K1766" s="197"/>
      <c r="L1766" s="257"/>
    </row>
    <row r="1767" ht="22.5" customHeight="1">
      <c r="A1767" s="250"/>
      <c r="B1767" s="272" t="str">
        <f t="shared" si="5"/>
        <v>#REF!</v>
      </c>
      <c r="C1767" s="154"/>
      <c r="D1767" s="196"/>
      <c r="E1767" s="196"/>
      <c r="F1767" s="196"/>
      <c r="G1767" s="152"/>
      <c r="H1767" s="152"/>
      <c r="I1767" s="196"/>
      <c r="J1767" s="196"/>
      <c r="K1767" s="196"/>
      <c r="L1767" s="259"/>
    </row>
    <row r="1768" ht="22.5" customHeight="1">
      <c r="A1768" s="202"/>
      <c r="B1768" s="273" t="str">
        <f t="shared" si="5"/>
        <v>#REF!</v>
      </c>
      <c r="C1768" s="146"/>
      <c r="D1768" s="197"/>
      <c r="E1768" s="197"/>
      <c r="F1768" s="197"/>
      <c r="G1768" s="144"/>
      <c r="H1768" s="144"/>
      <c r="I1768" s="197"/>
      <c r="J1768" s="197"/>
      <c r="K1768" s="197"/>
      <c r="L1768" s="257"/>
    </row>
    <row r="1769" ht="22.5" customHeight="1">
      <c r="A1769" s="250"/>
      <c r="B1769" s="272" t="str">
        <f t="shared" si="5"/>
        <v>#REF!</v>
      </c>
      <c r="C1769" s="154"/>
      <c r="D1769" s="196"/>
      <c r="E1769" s="196"/>
      <c r="F1769" s="196"/>
      <c r="G1769" s="152"/>
      <c r="H1769" s="152"/>
      <c r="I1769" s="196"/>
      <c r="J1769" s="196"/>
      <c r="K1769" s="196"/>
      <c r="L1769" s="259"/>
    </row>
    <row r="1770" ht="22.5" customHeight="1">
      <c r="A1770" s="202"/>
      <c r="B1770" s="273" t="str">
        <f t="shared" si="5"/>
        <v>#REF!</v>
      </c>
      <c r="C1770" s="146"/>
      <c r="D1770" s="197"/>
      <c r="E1770" s="197"/>
      <c r="F1770" s="197"/>
      <c r="G1770" s="144"/>
      <c r="H1770" s="144"/>
      <c r="I1770" s="197"/>
      <c r="J1770" s="197"/>
      <c r="K1770" s="197"/>
      <c r="L1770" s="257"/>
    </row>
    <row r="1771" ht="22.5" customHeight="1">
      <c r="A1771" s="250"/>
      <c r="B1771" s="272" t="str">
        <f t="shared" si="5"/>
        <v>#REF!</v>
      </c>
      <c r="C1771" s="154"/>
      <c r="D1771" s="196"/>
      <c r="E1771" s="196"/>
      <c r="F1771" s="196"/>
      <c r="G1771" s="152"/>
      <c r="H1771" s="152"/>
      <c r="I1771" s="196"/>
      <c r="J1771" s="196"/>
      <c r="K1771" s="196"/>
      <c r="L1771" s="259"/>
    </row>
    <row r="1772" ht="22.5" customHeight="1">
      <c r="A1772" s="202"/>
      <c r="B1772" s="273" t="str">
        <f t="shared" si="5"/>
        <v>#REF!</v>
      </c>
      <c r="C1772" s="146"/>
      <c r="D1772" s="197"/>
      <c r="E1772" s="197"/>
      <c r="F1772" s="197"/>
      <c r="G1772" s="144"/>
      <c r="H1772" s="144"/>
      <c r="I1772" s="197"/>
      <c r="J1772" s="197"/>
      <c r="K1772" s="197"/>
      <c r="L1772" s="257"/>
    </row>
    <row r="1773" ht="22.5" customHeight="1">
      <c r="A1773" s="250"/>
      <c r="B1773" s="272" t="str">
        <f t="shared" si="5"/>
        <v>#REF!</v>
      </c>
      <c r="C1773" s="154"/>
      <c r="D1773" s="196"/>
      <c r="E1773" s="196"/>
      <c r="F1773" s="196"/>
      <c r="G1773" s="152"/>
      <c r="H1773" s="152"/>
      <c r="I1773" s="196"/>
      <c r="J1773" s="196"/>
      <c r="K1773" s="196"/>
      <c r="L1773" s="259"/>
    </row>
    <row r="1774" ht="22.5" customHeight="1">
      <c r="A1774" s="202"/>
      <c r="B1774" s="273" t="str">
        <f t="shared" si="5"/>
        <v>#REF!</v>
      </c>
      <c r="C1774" s="146"/>
      <c r="D1774" s="197"/>
      <c r="E1774" s="197"/>
      <c r="F1774" s="197"/>
      <c r="G1774" s="144"/>
      <c r="H1774" s="144"/>
      <c r="I1774" s="197"/>
      <c r="J1774" s="197"/>
      <c r="K1774" s="197"/>
      <c r="L1774" s="257"/>
    </row>
    <row r="1775" ht="22.5" customHeight="1">
      <c r="A1775" s="250"/>
      <c r="B1775" s="272" t="str">
        <f t="shared" si="5"/>
        <v>#REF!</v>
      </c>
      <c r="C1775" s="154"/>
      <c r="D1775" s="196"/>
      <c r="E1775" s="196"/>
      <c r="F1775" s="196"/>
      <c r="G1775" s="152"/>
      <c r="H1775" s="152"/>
      <c r="I1775" s="196"/>
      <c r="J1775" s="196"/>
      <c r="K1775" s="196"/>
      <c r="L1775" s="259"/>
    </row>
    <row r="1776" ht="22.5" customHeight="1">
      <c r="A1776" s="202"/>
      <c r="B1776" s="273" t="str">
        <f t="shared" si="5"/>
        <v>#REF!</v>
      </c>
      <c r="C1776" s="146"/>
      <c r="D1776" s="197"/>
      <c r="E1776" s="197"/>
      <c r="F1776" s="197"/>
      <c r="G1776" s="144"/>
      <c r="H1776" s="144"/>
      <c r="I1776" s="197"/>
      <c r="J1776" s="197"/>
      <c r="K1776" s="197"/>
      <c r="L1776" s="257"/>
    </row>
    <row r="1777" ht="22.5" customHeight="1">
      <c r="A1777" s="250"/>
      <c r="B1777" s="272" t="str">
        <f t="shared" si="5"/>
        <v>#REF!</v>
      </c>
      <c r="C1777" s="154"/>
      <c r="D1777" s="196"/>
      <c r="E1777" s="196"/>
      <c r="F1777" s="196"/>
      <c r="G1777" s="152"/>
      <c r="H1777" s="152"/>
      <c r="I1777" s="196"/>
      <c r="J1777" s="196"/>
      <c r="K1777" s="196"/>
      <c r="L1777" s="259"/>
    </row>
    <row r="1778" ht="22.5" customHeight="1">
      <c r="A1778" s="202"/>
      <c r="B1778" s="273" t="str">
        <f t="shared" si="5"/>
        <v>#REF!</v>
      </c>
      <c r="C1778" s="146"/>
      <c r="D1778" s="197"/>
      <c r="E1778" s="197"/>
      <c r="F1778" s="197"/>
      <c r="G1778" s="144"/>
      <c r="H1778" s="144"/>
      <c r="I1778" s="197"/>
      <c r="J1778" s="197"/>
      <c r="K1778" s="197"/>
      <c r="L1778" s="257"/>
    </row>
    <row r="1779" ht="22.5" customHeight="1">
      <c r="A1779" s="250"/>
      <c r="B1779" s="272" t="str">
        <f t="shared" si="5"/>
        <v>#REF!</v>
      </c>
      <c r="C1779" s="154"/>
      <c r="D1779" s="196"/>
      <c r="E1779" s="196"/>
      <c r="F1779" s="196"/>
      <c r="G1779" s="152"/>
      <c r="H1779" s="152"/>
      <c r="I1779" s="196"/>
      <c r="J1779" s="196"/>
      <c r="K1779" s="196"/>
      <c r="L1779" s="259"/>
    </row>
    <row r="1780" ht="22.5" customHeight="1">
      <c r="A1780" s="202"/>
      <c r="B1780" s="273" t="str">
        <f t="shared" si="5"/>
        <v>#REF!</v>
      </c>
      <c r="C1780" s="146"/>
      <c r="D1780" s="197"/>
      <c r="E1780" s="197"/>
      <c r="F1780" s="197"/>
      <c r="G1780" s="144"/>
      <c r="H1780" s="144"/>
      <c r="I1780" s="197"/>
      <c r="J1780" s="197"/>
      <c r="K1780" s="197"/>
      <c r="L1780" s="257"/>
    </row>
    <row r="1781" ht="22.5" customHeight="1">
      <c r="A1781" s="250"/>
      <c r="B1781" s="272" t="str">
        <f t="shared" si="5"/>
        <v>#REF!</v>
      </c>
      <c r="C1781" s="154"/>
      <c r="D1781" s="196"/>
      <c r="E1781" s="196"/>
      <c r="F1781" s="196"/>
      <c r="G1781" s="152"/>
      <c r="H1781" s="152"/>
      <c r="I1781" s="196"/>
      <c r="J1781" s="196"/>
      <c r="K1781" s="196"/>
      <c r="L1781" s="259"/>
    </row>
    <row r="1782" ht="22.5" customHeight="1">
      <c r="A1782" s="202"/>
      <c r="B1782" s="273" t="str">
        <f t="shared" si="5"/>
        <v>#REF!</v>
      </c>
      <c r="C1782" s="146"/>
      <c r="D1782" s="197"/>
      <c r="E1782" s="197"/>
      <c r="F1782" s="197"/>
      <c r="G1782" s="144"/>
      <c r="H1782" s="144"/>
      <c r="I1782" s="197"/>
      <c r="J1782" s="197"/>
      <c r="K1782" s="197"/>
      <c r="L1782" s="257"/>
    </row>
    <row r="1783" ht="22.5" customHeight="1">
      <c r="A1783" s="250"/>
      <c r="B1783" s="272" t="str">
        <f t="shared" si="5"/>
        <v>#REF!</v>
      </c>
      <c r="C1783" s="154"/>
      <c r="D1783" s="196"/>
      <c r="E1783" s="196"/>
      <c r="F1783" s="196"/>
      <c r="G1783" s="152"/>
      <c r="H1783" s="152"/>
      <c r="I1783" s="196"/>
      <c r="J1783" s="196"/>
      <c r="K1783" s="196"/>
      <c r="L1783" s="259"/>
    </row>
    <row r="1784" ht="22.5" customHeight="1">
      <c r="A1784" s="202"/>
      <c r="B1784" s="273" t="str">
        <f t="shared" si="5"/>
        <v>#REF!</v>
      </c>
      <c r="C1784" s="146"/>
      <c r="D1784" s="197"/>
      <c r="E1784" s="197"/>
      <c r="F1784" s="197"/>
      <c r="G1784" s="144"/>
      <c r="H1784" s="144"/>
      <c r="I1784" s="197"/>
      <c r="J1784" s="197"/>
      <c r="K1784" s="197"/>
      <c r="L1784" s="257"/>
    </row>
    <row r="1785" ht="22.5" customHeight="1">
      <c r="A1785" s="250"/>
      <c r="B1785" s="272" t="str">
        <f t="shared" si="5"/>
        <v>#REF!</v>
      </c>
      <c r="C1785" s="154"/>
      <c r="D1785" s="196"/>
      <c r="E1785" s="196"/>
      <c r="F1785" s="196"/>
      <c r="G1785" s="152"/>
      <c r="H1785" s="152"/>
      <c r="I1785" s="196"/>
      <c r="J1785" s="196"/>
      <c r="K1785" s="196"/>
      <c r="L1785" s="259"/>
    </row>
    <row r="1786" ht="22.5" customHeight="1">
      <c r="A1786" s="202"/>
      <c r="B1786" s="273" t="str">
        <f t="shared" si="5"/>
        <v>#REF!</v>
      </c>
      <c r="C1786" s="146"/>
      <c r="D1786" s="197"/>
      <c r="E1786" s="197"/>
      <c r="F1786" s="197"/>
      <c r="G1786" s="144"/>
      <c r="H1786" s="144"/>
      <c r="I1786" s="197"/>
      <c r="J1786" s="197"/>
      <c r="K1786" s="197"/>
      <c r="L1786" s="257"/>
    </row>
    <row r="1787" ht="22.5" customHeight="1">
      <c r="A1787" s="250"/>
      <c r="B1787" s="272" t="str">
        <f t="shared" si="5"/>
        <v>#REF!</v>
      </c>
      <c r="C1787" s="154"/>
      <c r="D1787" s="196"/>
      <c r="E1787" s="196"/>
      <c r="F1787" s="196"/>
      <c r="G1787" s="152"/>
      <c r="H1787" s="152"/>
      <c r="I1787" s="196"/>
      <c r="J1787" s="196"/>
      <c r="K1787" s="196"/>
      <c r="L1787" s="259"/>
    </row>
    <row r="1788" ht="22.5" customHeight="1">
      <c r="A1788" s="202"/>
      <c r="B1788" s="273" t="str">
        <f t="shared" si="5"/>
        <v>#REF!</v>
      </c>
      <c r="C1788" s="146"/>
      <c r="D1788" s="197"/>
      <c r="E1788" s="197"/>
      <c r="F1788" s="197"/>
      <c r="G1788" s="144"/>
      <c r="H1788" s="144"/>
      <c r="I1788" s="197"/>
      <c r="J1788" s="197"/>
      <c r="K1788" s="197"/>
      <c r="L1788" s="257"/>
    </row>
    <row r="1789" ht="22.5" customHeight="1">
      <c r="A1789" s="250"/>
      <c r="B1789" s="272" t="str">
        <f t="shared" si="5"/>
        <v>#REF!</v>
      </c>
      <c r="C1789" s="154"/>
      <c r="D1789" s="196"/>
      <c r="E1789" s="196"/>
      <c r="F1789" s="196"/>
      <c r="G1789" s="152"/>
      <c r="H1789" s="152"/>
      <c r="I1789" s="196"/>
      <c r="J1789" s="196"/>
      <c r="K1789" s="196"/>
      <c r="L1789" s="259"/>
    </row>
    <row r="1790" ht="22.5" customHeight="1">
      <c r="A1790" s="202"/>
      <c r="B1790" s="273" t="str">
        <f t="shared" si="5"/>
        <v>#REF!</v>
      </c>
      <c r="C1790" s="146"/>
      <c r="D1790" s="197"/>
      <c r="E1790" s="197"/>
      <c r="F1790" s="197"/>
      <c r="G1790" s="144"/>
      <c r="H1790" s="144"/>
      <c r="I1790" s="197"/>
      <c r="J1790" s="197"/>
      <c r="K1790" s="197"/>
      <c r="L1790" s="257"/>
    </row>
    <row r="1791" ht="22.5" customHeight="1">
      <c r="A1791" s="250"/>
      <c r="B1791" s="272" t="str">
        <f t="shared" si="5"/>
        <v>#REF!</v>
      </c>
      <c r="C1791" s="154"/>
      <c r="D1791" s="196"/>
      <c r="E1791" s="196"/>
      <c r="F1791" s="196"/>
      <c r="G1791" s="152"/>
      <c r="H1791" s="152"/>
      <c r="I1791" s="196"/>
      <c r="J1791" s="196"/>
      <c r="K1791" s="196"/>
      <c r="L1791" s="259"/>
    </row>
    <row r="1792" ht="22.5" customHeight="1">
      <c r="A1792" s="202"/>
      <c r="B1792" s="273" t="str">
        <f t="shared" si="5"/>
        <v>#REF!</v>
      </c>
      <c r="C1792" s="146"/>
      <c r="D1792" s="197"/>
      <c r="E1792" s="197"/>
      <c r="F1792" s="197"/>
      <c r="G1792" s="144"/>
      <c r="H1792" s="144"/>
      <c r="I1792" s="197"/>
      <c r="J1792" s="197"/>
      <c r="K1792" s="197"/>
      <c r="L1792" s="257"/>
    </row>
    <row r="1793" ht="22.5" customHeight="1">
      <c r="A1793" s="250"/>
      <c r="B1793" s="272" t="str">
        <f t="shared" si="5"/>
        <v>#REF!</v>
      </c>
      <c r="C1793" s="154"/>
      <c r="D1793" s="196"/>
      <c r="E1793" s="196"/>
      <c r="F1793" s="196"/>
      <c r="G1793" s="152"/>
      <c r="H1793" s="152"/>
      <c r="I1793" s="196"/>
      <c r="J1793" s="196"/>
      <c r="K1793" s="196"/>
      <c r="L1793" s="259"/>
    </row>
    <row r="1794" ht="22.5" customHeight="1">
      <c r="A1794" s="202"/>
      <c r="B1794" s="273" t="str">
        <f t="shared" si="5"/>
        <v>#REF!</v>
      </c>
      <c r="C1794" s="146"/>
      <c r="D1794" s="197"/>
      <c r="E1794" s="197"/>
      <c r="F1794" s="197"/>
      <c r="G1794" s="144"/>
      <c r="H1794" s="144"/>
      <c r="I1794" s="197"/>
      <c r="J1794" s="197"/>
      <c r="K1794" s="197"/>
      <c r="L1794" s="257"/>
    </row>
    <row r="1795" ht="22.5" customHeight="1">
      <c r="A1795" s="250"/>
      <c r="B1795" s="272" t="str">
        <f t="shared" si="5"/>
        <v>#REF!</v>
      </c>
      <c r="C1795" s="154"/>
      <c r="D1795" s="196"/>
      <c r="E1795" s="196"/>
      <c r="F1795" s="196"/>
      <c r="G1795" s="152"/>
      <c r="H1795" s="152"/>
      <c r="I1795" s="196"/>
      <c r="J1795" s="196"/>
      <c r="K1795" s="196"/>
      <c r="L1795" s="259"/>
    </row>
    <row r="1796" ht="22.5" customHeight="1">
      <c r="A1796" s="202"/>
      <c r="B1796" s="273" t="str">
        <f t="shared" si="5"/>
        <v>#REF!</v>
      </c>
      <c r="C1796" s="146"/>
      <c r="D1796" s="197"/>
      <c r="E1796" s="197"/>
      <c r="F1796" s="197"/>
      <c r="G1796" s="144"/>
      <c r="H1796" s="144"/>
      <c r="I1796" s="197"/>
      <c r="J1796" s="197"/>
      <c r="K1796" s="197"/>
      <c r="L1796" s="257"/>
    </row>
    <row r="1797" ht="22.5" customHeight="1">
      <c r="A1797" s="250"/>
      <c r="B1797" s="272" t="str">
        <f t="shared" si="5"/>
        <v>#REF!</v>
      </c>
      <c r="C1797" s="154"/>
      <c r="D1797" s="196"/>
      <c r="E1797" s="196"/>
      <c r="F1797" s="196"/>
      <c r="G1797" s="152"/>
      <c r="H1797" s="152"/>
      <c r="I1797" s="196"/>
      <c r="J1797" s="196"/>
      <c r="K1797" s="196"/>
      <c r="L1797" s="259"/>
    </row>
    <row r="1798" ht="22.5" customHeight="1">
      <c r="A1798" s="202"/>
      <c r="B1798" s="273" t="str">
        <f t="shared" si="5"/>
        <v>#REF!</v>
      </c>
      <c r="C1798" s="146"/>
      <c r="D1798" s="197"/>
      <c r="E1798" s="197"/>
      <c r="F1798" s="197"/>
      <c r="G1798" s="144"/>
      <c r="H1798" s="144"/>
      <c r="I1798" s="197"/>
      <c r="J1798" s="197"/>
      <c r="K1798" s="197"/>
      <c r="L1798" s="257"/>
    </row>
    <row r="1799" ht="22.5" customHeight="1">
      <c r="A1799" s="250"/>
      <c r="B1799" s="272" t="str">
        <f t="shared" si="5"/>
        <v>#REF!</v>
      </c>
      <c r="C1799" s="154"/>
      <c r="D1799" s="196"/>
      <c r="E1799" s="196"/>
      <c r="F1799" s="196"/>
      <c r="G1799" s="152"/>
      <c r="H1799" s="152"/>
      <c r="I1799" s="196"/>
      <c r="J1799" s="196"/>
      <c r="K1799" s="196"/>
      <c r="L1799" s="259"/>
    </row>
    <row r="1800" ht="22.5" customHeight="1">
      <c r="A1800" s="202"/>
      <c r="B1800" s="273" t="str">
        <f t="shared" si="5"/>
        <v>#REF!</v>
      </c>
      <c r="C1800" s="146"/>
      <c r="D1800" s="197"/>
      <c r="E1800" s="197"/>
      <c r="F1800" s="197"/>
      <c r="G1800" s="144"/>
      <c r="H1800" s="144"/>
      <c r="I1800" s="197"/>
      <c r="J1800" s="197"/>
      <c r="K1800" s="197"/>
      <c r="L1800" s="257"/>
    </row>
    <row r="1801" ht="22.5" customHeight="1">
      <c r="A1801" s="250"/>
      <c r="B1801" s="272" t="str">
        <f t="shared" si="5"/>
        <v>#REF!</v>
      </c>
      <c r="C1801" s="154"/>
      <c r="D1801" s="196"/>
      <c r="E1801" s="196"/>
      <c r="F1801" s="196"/>
      <c r="G1801" s="152"/>
      <c r="H1801" s="152"/>
      <c r="I1801" s="196"/>
      <c r="J1801" s="196"/>
      <c r="K1801" s="196"/>
      <c r="L1801" s="259"/>
    </row>
    <row r="1802" ht="22.5" customHeight="1">
      <c r="A1802" s="202"/>
      <c r="B1802" s="273" t="str">
        <f t="shared" si="5"/>
        <v>#REF!</v>
      </c>
      <c r="C1802" s="146"/>
      <c r="D1802" s="197"/>
      <c r="E1802" s="197"/>
      <c r="F1802" s="197"/>
      <c r="G1802" s="144"/>
      <c r="H1802" s="144"/>
      <c r="I1802" s="197"/>
      <c r="J1802" s="197"/>
      <c r="K1802" s="197"/>
      <c r="L1802" s="257"/>
    </row>
    <row r="1803" ht="22.5" customHeight="1">
      <c r="A1803" s="250"/>
      <c r="B1803" s="272" t="str">
        <f t="shared" si="5"/>
        <v>#REF!</v>
      </c>
      <c r="C1803" s="154"/>
      <c r="D1803" s="196"/>
      <c r="E1803" s="196"/>
      <c r="F1803" s="196"/>
      <c r="G1803" s="152"/>
      <c r="H1803" s="152"/>
      <c r="I1803" s="196"/>
      <c r="J1803" s="196"/>
      <c r="K1803" s="196"/>
      <c r="L1803" s="259"/>
    </row>
    <row r="1804" ht="22.5" customHeight="1">
      <c r="A1804" s="202"/>
      <c r="B1804" s="273" t="str">
        <f t="shared" si="5"/>
        <v>#REF!</v>
      </c>
      <c r="C1804" s="146"/>
      <c r="D1804" s="197"/>
      <c r="E1804" s="197"/>
      <c r="F1804" s="197"/>
      <c r="G1804" s="144"/>
      <c r="H1804" s="144"/>
      <c r="I1804" s="197"/>
      <c r="J1804" s="197"/>
      <c r="K1804" s="197"/>
      <c r="L1804" s="257"/>
    </row>
    <row r="1805" ht="22.5" customHeight="1">
      <c r="A1805" s="250"/>
      <c r="B1805" s="272" t="str">
        <f t="shared" si="5"/>
        <v>#REF!</v>
      </c>
      <c r="C1805" s="154"/>
      <c r="D1805" s="196"/>
      <c r="E1805" s="196"/>
      <c r="F1805" s="196"/>
      <c r="G1805" s="152"/>
      <c r="H1805" s="152"/>
      <c r="I1805" s="196"/>
      <c r="J1805" s="196"/>
      <c r="K1805" s="196"/>
      <c r="L1805" s="259"/>
    </row>
    <row r="1806" ht="22.5" customHeight="1">
      <c r="A1806" s="202"/>
      <c r="B1806" s="273" t="str">
        <f t="shared" si="5"/>
        <v>#REF!</v>
      </c>
      <c r="C1806" s="146"/>
      <c r="D1806" s="197"/>
      <c r="E1806" s="197"/>
      <c r="F1806" s="197"/>
      <c r="G1806" s="144"/>
      <c r="H1806" s="144"/>
      <c r="I1806" s="197"/>
      <c r="J1806" s="197"/>
      <c r="K1806" s="197"/>
      <c r="L1806" s="257"/>
    </row>
    <row r="1807" ht="22.5" customHeight="1">
      <c r="A1807" s="250"/>
      <c r="B1807" s="272" t="str">
        <f t="shared" si="5"/>
        <v>#REF!</v>
      </c>
      <c r="C1807" s="154"/>
      <c r="D1807" s="196"/>
      <c r="E1807" s="196"/>
      <c r="F1807" s="196"/>
      <c r="G1807" s="152"/>
      <c r="H1807" s="152"/>
      <c r="I1807" s="196"/>
      <c r="J1807" s="196"/>
      <c r="K1807" s="196"/>
      <c r="L1807" s="259"/>
    </row>
    <row r="1808" ht="22.5" customHeight="1">
      <c r="A1808" s="202"/>
      <c r="B1808" s="273" t="str">
        <f t="shared" si="5"/>
        <v>#REF!</v>
      </c>
      <c r="C1808" s="146"/>
      <c r="D1808" s="197"/>
      <c r="E1808" s="197"/>
      <c r="F1808" s="197"/>
      <c r="G1808" s="144"/>
      <c r="H1808" s="144"/>
      <c r="I1808" s="197"/>
      <c r="J1808" s="197"/>
      <c r="K1808" s="197"/>
      <c r="L1808" s="257"/>
    </row>
    <row r="1809" ht="22.5" customHeight="1">
      <c r="A1809" s="250"/>
      <c r="B1809" s="272" t="str">
        <f t="shared" si="5"/>
        <v>#REF!</v>
      </c>
      <c r="C1809" s="154"/>
      <c r="D1809" s="196"/>
      <c r="E1809" s="196"/>
      <c r="F1809" s="196"/>
      <c r="G1809" s="152"/>
      <c r="H1809" s="152"/>
      <c r="I1809" s="196"/>
      <c r="J1809" s="196"/>
      <c r="K1809" s="196"/>
      <c r="L1809" s="259"/>
    </row>
    <row r="1810" ht="22.5" customHeight="1">
      <c r="A1810" s="202"/>
      <c r="B1810" s="273" t="str">
        <f t="shared" si="5"/>
        <v>#REF!</v>
      </c>
      <c r="C1810" s="146"/>
      <c r="D1810" s="197"/>
      <c r="E1810" s="197"/>
      <c r="F1810" s="197"/>
      <c r="G1810" s="144"/>
      <c r="H1810" s="144"/>
      <c r="I1810" s="197"/>
      <c r="J1810" s="197"/>
      <c r="K1810" s="197"/>
      <c r="L1810" s="257"/>
    </row>
    <row r="1811" ht="22.5" customHeight="1">
      <c r="A1811" s="250"/>
      <c r="B1811" s="272" t="str">
        <f t="shared" si="5"/>
        <v>#REF!</v>
      </c>
      <c r="C1811" s="154"/>
      <c r="D1811" s="196"/>
      <c r="E1811" s="196"/>
      <c r="F1811" s="196"/>
      <c r="G1811" s="152"/>
      <c r="H1811" s="152"/>
      <c r="I1811" s="196"/>
      <c r="J1811" s="196"/>
      <c r="K1811" s="196"/>
      <c r="L1811" s="259"/>
    </row>
    <row r="1812" ht="22.5" customHeight="1">
      <c r="A1812" s="202"/>
      <c r="B1812" s="273" t="str">
        <f t="shared" si="5"/>
        <v>#REF!</v>
      </c>
      <c r="C1812" s="146"/>
      <c r="D1812" s="197"/>
      <c r="E1812" s="197"/>
      <c r="F1812" s="197"/>
      <c r="G1812" s="144"/>
      <c r="H1812" s="144"/>
      <c r="I1812" s="197"/>
      <c r="J1812" s="197"/>
      <c r="K1812" s="197"/>
      <c r="L1812" s="257"/>
    </row>
    <row r="1813" ht="22.5" customHeight="1">
      <c r="A1813" s="250"/>
      <c r="B1813" s="272" t="str">
        <f t="shared" si="5"/>
        <v>#REF!</v>
      </c>
      <c r="C1813" s="154"/>
      <c r="D1813" s="196"/>
      <c r="E1813" s="196"/>
      <c r="F1813" s="196"/>
      <c r="G1813" s="152"/>
      <c r="H1813" s="152"/>
      <c r="I1813" s="196"/>
      <c r="J1813" s="196"/>
      <c r="K1813" s="196"/>
      <c r="L1813" s="259"/>
    </row>
    <row r="1814" ht="22.5" customHeight="1">
      <c r="A1814" s="202"/>
      <c r="B1814" s="273" t="str">
        <f t="shared" si="5"/>
        <v>#REF!</v>
      </c>
      <c r="C1814" s="146"/>
      <c r="D1814" s="197"/>
      <c r="E1814" s="197"/>
      <c r="F1814" s="197"/>
      <c r="G1814" s="144"/>
      <c r="H1814" s="144"/>
      <c r="I1814" s="197"/>
      <c r="J1814" s="197"/>
      <c r="K1814" s="197"/>
      <c r="L1814" s="257"/>
    </row>
    <row r="1815" ht="22.5" customHeight="1">
      <c r="A1815" s="250"/>
      <c r="B1815" s="272" t="str">
        <f t="shared" si="5"/>
        <v>#REF!</v>
      </c>
      <c r="C1815" s="154"/>
      <c r="D1815" s="196"/>
      <c r="E1815" s="196"/>
      <c r="F1815" s="196"/>
      <c r="G1815" s="152"/>
      <c r="H1815" s="152"/>
      <c r="I1815" s="196"/>
      <c r="J1815" s="196"/>
      <c r="K1815" s="196"/>
      <c r="L1815" s="259"/>
    </row>
    <row r="1816" ht="22.5" customHeight="1">
      <c r="A1816" s="202"/>
      <c r="B1816" s="273" t="str">
        <f t="shared" si="5"/>
        <v>#REF!</v>
      </c>
      <c r="C1816" s="146"/>
      <c r="D1816" s="197"/>
      <c r="E1816" s="197"/>
      <c r="F1816" s="197"/>
      <c r="G1816" s="144"/>
      <c r="H1816" s="144"/>
      <c r="I1816" s="197"/>
      <c r="J1816" s="197"/>
      <c r="K1816" s="197"/>
      <c r="L1816" s="257"/>
    </row>
    <row r="1817" ht="22.5" customHeight="1">
      <c r="A1817" s="250"/>
      <c r="B1817" s="272" t="str">
        <f t="shared" si="5"/>
        <v>#REF!</v>
      </c>
      <c r="C1817" s="154"/>
      <c r="D1817" s="196"/>
      <c r="E1817" s="196"/>
      <c r="F1817" s="196"/>
      <c r="G1817" s="152"/>
      <c r="H1817" s="152"/>
      <c r="I1817" s="196"/>
      <c r="J1817" s="196"/>
      <c r="K1817" s="196"/>
      <c r="L1817" s="259"/>
    </row>
    <row r="1818" ht="22.5" customHeight="1">
      <c r="A1818" s="202"/>
      <c r="B1818" s="273" t="str">
        <f t="shared" si="5"/>
        <v>#REF!</v>
      </c>
      <c r="C1818" s="146"/>
      <c r="D1818" s="197"/>
      <c r="E1818" s="197"/>
      <c r="F1818" s="197"/>
      <c r="G1818" s="144"/>
      <c r="H1818" s="144"/>
      <c r="I1818" s="197"/>
      <c r="J1818" s="197"/>
      <c r="K1818" s="197"/>
      <c r="L1818" s="257"/>
    </row>
    <row r="1819" ht="22.5" customHeight="1">
      <c r="A1819" s="250"/>
      <c r="B1819" s="272" t="str">
        <f t="shared" si="5"/>
        <v>#REF!</v>
      </c>
      <c r="C1819" s="154"/>
      <c r="D1819" s="196"/>
      <c r="E1819" s="196"/>
      <c r="F1819" s="196"/>
      <c r="G1819" s="152"/>
      <c r="H1819" s="152"/>
      <c r="I1819" s="196"/>
      <c r="J1819" s="196"/>
      <c r="K1819" s="196"/>
      <c r="L1819" s="259"/>
    </row>
    <row r="1820" ht="22.5" customHeight="1">
      <c r="A1820" s="202"/>
      <c r="B1820" s="273" t="str">
        <f t="shared" si="5"/>
        <v>#REF!</v>
      </c>
      <c r="C1820" s="146"/>
      <c r="D1820" s="197"/>
      <c r="E1820" s="197"/>
      <c r="F1820" s="197"/>
      <c r="G1820" s="144"/>
      <c r="H1820" s="144"/>
      <c r="I1820" s="197"/>
      <c r="J1820" s="197"/>
      <c r="K1820" s="197"/>
      <c r="L1820" s="257"/>
    </row>
    <row r="1821" ht="22.5" customHeight="1">
      <c r="A1821" s="250"/>
      <c r="B1821" s="272" t="str">
        <f t="shared" si="5"/>
        <v>#REF!</v>
      </c>
      <c r="C1821" s="154"/>
      <c r="D1821" s="196"/>
      <c r="E1821" s="196"/>
      <c r="F1821" s="196"/>
      <c r="G1821" s="152"/>
      <c r="H1821" s="152"/>
      <c r="I1821" s="196"/>
      <c r="J1821" s="196"/>
      <c r="K1821" s="196"/>
      <c r="L1821" s="259"/>
    </row>
    <row r="1822" ht="22.5" customHeight="1">
      <c r="A1822" s="202"/>
      <c r="B1822" s="273" t="str">
        <f t="shared" si="5"/>
        <v>#REF!</v>
      </c>
      <c r="C1822" s="146"/>
      <c r="D1822" s="197"/>
      <c r="E1822" s="197"/>
      <c r="F1822" s="197"/>
      <c r="G1822" s="144"/>
      <c r="H1822" s="144"/>
      <c r="I1822" s="197"/>
      <c r="J1822" s="197"/>
      <c r="K1822" s="197"/>
      <c r="L1822" s="257"/>
    </row>
    <row r="1823" ht="22.5" customHeight="1">
      <c r="A1823" s="250"/>
      <c r="B1823" s="272" t="str">
        <f t="shared" si="5"/>
        <v>#REF!</v>
      </c>
      <c r="C1823" s="154"/>
      <c r="D1823" s="196"/>
      <c r="E1823" s="196"/>
      <c r="F1823" s="196"/>
      <c r="G1823" s="152"/>
      <c r="H1823" s="152"/>
      <c r="I1823" s="196"/>
      <c r="J1823" s="196"/>
      <c r="K1823" s="196"/>
      <c r="L1823" s="259"/>
    </row>
    <row r="1824" ht="22.5" customHeight="1">
      <c r="A1824" s="202"/>
      <c r="B1824" s="273" t="str">
        <f t="shared" si="5"/>
        <v>#REF!</v>
      </c>
      <c r="C1824" s="146"/>
      <c r="D1824" s="197"/>
      <c r="E1824" s="197"/>
      <c r="F1824" s="197"/>
      <c r="G1824" s="144"/>
      <c r="H1824" s="144"/>
      <c r="I1824" s="197"/>
      <c r="J1824" s="197"/>
      <c r="K1824" s="197"/>
      <c r="L1824" s="257"/>
    </row>
    <row r="1825" ht="22.5" customHeight="1">
      <c r="A1825" s="250"/>
      <c r="B1825" s="272" t="str">
        <f t="shared" si="5"/>
        <v>#REF!</v>
      </c>
      <c r="C1825" s="154"/>
      <c r="D1825" s="196"/>
      <c r="E1825" s="196"/>
      <c r="F1825" s="196"/>
      <c r="G1825" s="152"/>
      <c r="H1825" s="152"/>
      <c r="I1825" s="196"/>
      <c r="J1825" s="196"/>
      <c r="K1825" s="196"/>
      <c r="L1825" s="259"/>
    </row>
    <row r="1826" ht="22.5" customHeight="1">
      <c r="A1826" s="202"/>
      <c r="B1826" s="273" t="str">
        <f t="shared" si="5"/>
        <v>#REF!</v>
      </c>
      <c r="C1826" s="146"/>
      <c r="D1826" s="197"/>
      <c r="E1826" s="197"/>
      <c r="F1826" s="197"/>
      <c r="G1826" s="144"/>
      <c r="H1826" s="144"/>
      <c r="I1826" s="197"/>
      <c r="J1826" s="197"/>
      <c r="K1826" s="197"/>
      <c r="L1826" s="257"/>
    </row>
    <row r="1827" ht="22.5" customHeight="1">
      <c r="A1827" s="250"/>
      <c r="B1827" s="272" t="str">
        <f t="shared" si="5"/>
        <v>#REF!</v>
      </c>
      <c r="C1827" s="154"/>
      <c r="D1827" s="196"/>
      <c r="E1827" s="196"/>
      <c r="F1827" s="196"/>
      <c r="G1827" s="152"/>
      <c r="H1827" s="152"/>
      <c r="I1827" s="196"/>
      <c r="J1827" s="196"/>
      <c r="K1827" s="196"/>
      <c r="L1827" s="259"/>
    </row>
    <row r="1828" ht="22.5" customHeight="1">
      <c r="A1828" s="202"/>
      <c r="B1828" s="273" t="str">
        <f t="shared" si="5"/>
        <v>#REF!</v>
      </c>
      <c r="C1828" s="146"/>
      <c r="D1828" s="197"/>
      <c r="E1828" s="197"/>
      <c r="F1828" s="197"/>
      <c r="G1828" s="144"/>
      <c r="H1828" s="144"/>
      <c r="I1828" s="197"/>
      <c r="J1828" s="197"/>
      <c r="K1828" s="197"/>
      <c r="L1828" s="257"/>
    </row>
    <row r="1829" ht="22.5" customHeight="1">
      <c r="A1829" s="250"/>
      <c r="B1829" s="272" t="str">
        <f t="shared" si="5"/>
        <v>#REF!</v>
      </c>
      <c r="C1829" s="154"/>
      <c r="D1829" s="196"/>
      <c r="E1829" s="196"/>
      <c r="F1829" s="196"/>
      <c r="G1829" s="152"/>
      <c r="H1829" s="152"/>
      <c r="I1829" s="196"/>
      <c r="J1829" s="196"/>
      <c r="K1829" s="196"/>
      <c r="L1829" s="259"/>
    </row>
    <row r="1830" ht="22.5" customHeight="1">
      <c r="A1830" s="202"/>
      <c r="B1830" s="273" t="str">
        <f t="shared" si="5"/>
        <v>#REF!</v>
      </c>
      <c r="C1830" s="146"/>
      <c r="D1830" s="197"/>
      <c r="E1830" s="197"/>
      <c r="F1830" s="197"/>
      <c r="G1830" s="144"/>
      <c r="H1830" s="144"/>
      <c r="I1830" s="197"/>
      <c r="J1830" s="197"/>
      <c r="K1830" s="197"/>
      <c r="L1830" s="257"/>
    </row>
    <row r="1831" ht="22.5" customHeight="1">
      <c r="A1831" s="250"/>
      <c r="B1831" s="272" t="str">
        <f t="shared" si="5"/>
        <v>#REF!</v>
      </c>
      <c r="C1831" s="154"/>
      <c r="D1831" s="196"/>
      <c r="E1831" s="196"/>
      <c r="F1831" s="196"/>
      <c r="G1831" s="152"/>
      <c r="H1831" s="152"/>
      <c r="I1831" s="196"/>
      <c r="J1831" s="196"/>
      <c r="K1831" s="196"/>
      <c r="L1831" s="259"/>
    </row>
    <row r="1832" ht="22.5" customHeight="1">
      <c r="A1832" s="202"/>
      <c r="B1832" s="273" t="str">
        <f t="shared" si="5"/>
        <v>#REF!</v>
      </c>
      <c r="C1832" s="146"/>
      <c r="D1832" s="197"/>
      <c r="E1832" s="197"/>
      <c r="F1832" s="197"/>
      <c r="G1832" s="144"/>
      <c r="H1832" s="144"/>
      <c r="I1832" s="197"/>
      <c r="J1832" s="197"/>
      <c r="K1832" s="197"/>
      <c r="L1832" s="257"/>
    </row>
    <row r="1833" ht="22.5" customHeight="1">
      <c r="A1833" s="250"/>
      <c r="B1833" s="272" t="str">
        <f t="shared" si="5"/>
        <v>#REF!</v>
      </c>
      <c r="C1833" s="154"/>
      <c r="D1833" s="196"/>
      <c r="E1833" s="196"/>
      <c r="F1833" s="196"/>
      <c r="G1833" s="152"/>
      <c r="H1833" s="152"/>
      <c r="I1833" s="196"/>
      <c r="J1833" s="196"/>
      <c r="K1833" s="196"/>
      <c r="L1833" s="259"/>
    </row>
    <row r="1834" ht="22.5" customHeight="1">
      <c r="A1834" s="202"/>
      <c r="B1834" s="273" t="str">
        <f t="shared" si="5"/>
        <v>#REF!</v>
      </c>
      <c r="C1834" s="146"/>
      <c r="D1834" s="197"/>
      <c r="E1834" s="197"/>
      <c r="F1834" s="197"/>
      <c r="G1834" s="144"/>
      <c r="H1834" s="144"/>
      <c r="I1834" s="197"/>
      <c r="J1834" s="197"/>
      <c r="K1834" s="197"/>
      <c r="L1834" s="257"/>
    </row>
    <row r="1835" ht="22.5" customHeight="1">
      <c r="A1835" s="250"/>
      <c r="B1835" s="272" t="str">
        <f t="shared" si="5"/>
        <v>#REF!</v>
      </c>
      <c r="C1835" s="154"/>
      <c r="D1835" s="196"/>
      <c r="E1835" s="196"/>
      <c r="F1835" s="196"/>
      <c r="G1835" s="152"/>
      <c r="H1835" s="152"/>
      <c r="I1835" s="196"/>
      <c r="J1835" s="196"/>
      <c r="K1835" s="196"/>
      <c r="L1835" s="259"/>
    </row>
    <row r="1836" ht="22.5" customHeight="1">
      <c r="A1836" s="202"/>
      <c r="B1836" s="273" t="str">
        <f t="shared" si="5"/>
        <v>#REF!</v>
      </c>
      <c r="C1836" s="146"/>
      <c r="D1836" s="197"/>
      <c r="E1836" s="197"/>
      <c r="F1836" s="197"/>
      <c r="G1836" s="144"/>
      <c r="H1836" s="144"/>
      <c r="I1836" s="197"/>
      <c r="J1836" s="197"/>
      <c r="K1836" s="197"/>
      <c r="L1836" s="257"/>
    </row>
    <row r="1837" ht="22.5" customHeight="1">
      <c r="A1837" s="250"/>
      <c r="B1837" s="272" t="str">
        <f t="shared" si="5"/>
        <v>#REF!</v>
      </c>
      <c r="C1837" s="154"/>
      <c r="D1837" s="196"/>
      <c r="E1837" s="196"/>
      <c r="F1837" s="196"/>
      <c r="G1837" s="152"/>
      <c r="H1837" s="152"/>
      <c r="I1837" s="196"/>
      <c r="J1837" s="196"/>
      <c r="K1837" s="196"/>
      <c r="L1837" s="259"/>
    </row>
    <row r="1838" ht="22.5" customHeight="1">
      <c r="A1838" s="202"/>
      <c r="B1838" s="273" t="str">
        <f t="shared" si="5"/>
        <v>#REF!</v>
      </c>
      <c r="C1838" s="146"/>
      <c r="D1838" s="197"/>
      <c r="E1838" s="197"/>
      <c r="F1838" s="197"/>
      <c r="G1838" s="144"/>
      <c r="H1838" s="144"/>
      <c r="I1838" s="197"/>
      <c r="J1838" s="197"/>
      <c r="K1838" s="197"/>
      <c r="L1838" s="257"/>
    </row>
    <row r="1839" ht="22.5" customHeight="1">
      <c r="A1839" s="250"/>
      <c r="B1839" s="272" t="str">
        <f t="shared" si="5"/>
        <v>#REF!</v>
      </c>
      <c r="C1839" s="154"/>
      <c r="D1839" s="196"/>
      <c r="E1839" s="196"/>
      <c r="F1839" s="196"/>
      <c r="G1839" s="152"/>
      <c r="H1839" s="152"/>
      <c r="I1839" s="196"/>
      <c r="J1839" s="196"/>
      <c r="K1839" s="196"/>
      <c r="L1839" s="259"/>
    </row>
    <row r="1840" ht="22.5" customHeight="1">
      <c r="A1840" s="202"/>
      <c r="B1840" s="273" t="str">
        <f t="shared" si="5"/>
        <v>#REF!</v>
      </c>
      <c r="C1840" s="146"/>
      <c r="D1840" s="197"/>
      <c r="E1840" s="197"/>
      <c r="F1840" s="197"/>
      <c r="G1840" s="144"/>
      <c r="H1840" s="144"/>
      <c r="I1840" s="197"/>
      <c r="J1840" s="197"/>
      <c r="K1840" s="197"/>
      <c r="L1840" s="257"/>
    </row>
    <row r="1841" ht="22.5" customHeight="1">
      <c r="A1841" s="250"/>
      <c r="B1841" s="272" t="str">
        <f t="shared" si="5"/>
        <v>#REF!</v>
      </c>
      <c r="C1841" s="154"/>
      <c r="D1841" s="196"/>
      <c r="E1841" s="196"/>
      <c r="F1841" s="196"/>
      <c r="G1841" s="152"/>
      <c r="H1841" s="152"/>
      <c r="I1841" s="196"/>
      <c r="J1841" s="196"/>
      <c r="K1841" s="196"/>
      <c r="L1841" s="259"/>
    </row>
    <row r="1842" ht="22.5" customHeight="1">
      <c r="A1842" s="202"/>
      <c r="B1842" s="273" t="str">
        <f t="shared" si="5"/>
        <v>#REF!</v>
      </c>
      <c r="C1842" s="146"/>
      <c r="D1842" s="197"/>
      <c r="E1842" s="197"/>
      <c r="F1842" s="197"/>
      <c r="G1842" s="144"/>
      <c r="H1842" s="144"/>
      <c r="I1842" s="197"/>
      <c r="J1842" s="197"/>
      <c r="K1842" s="197"/>
      <c r="L1842" s="257"/>
    </row>
    <row r="1843" ht="22.5" customHeight="1">
      <c r="A1843" s="250"/>
      <c r="B1843" s="272" t="str">
        <f t="shared" si="5"/>
        <v>#REF!</v>
      </c>
      <c r="C1843" s="154"/>
      <c r="D1843" s="196"/>
      <c r="E1843" s="196"/>
      <c r="F1843" s="196"/>
      <c r="G1843" s="152"/>
      <c r="H1843" s="152"/>
      <c r="I1843" s="196"/>
      <c r="J1843" s="196"/>
      <c r="K1843" s="196"/>
      <c r="L1843" s="259"/>
    </row>
    <row r="1844" ht="22.5" customHeight="1">
      <c r="A1844" s="202"/>
      <c r="B1844" s="273" t="str">
        <f t="shared" si="5"/>
        <v>#REF!</v>
      </c>
      <c r="C1844" s="146"/>
      <c r="D1844" s="197"/>
      <c r="E1844" s="197"/>
      <c r="F1844" s="197"/>
      <c r="G1844" s="144"/>
      <c r="H1844" s="144"/>
      <c r="I1844" s="197"/>
      <c r="J1844" s="197"/>
      <c r="K1844" s="197"/>
      <c r="L1844" s="257"/>
    </row>
    <row r="1845" ht="22.5" customHeight="1">
      <c r="A1845" s="250"/>
      <c r="B1845" s="272" t="str">
        <f t="shared" si="5"/>
        <v>#REF!</v>
      </c>
      <c r="C1845" s="154"/>
      <c r="D1845" s="196"/>
      <c r="E1845" s="196"/>
      <c r="F1845" s="196"/>
      <c r="G1845" s="152"/>
      <c r="H1845" s="152"/>
      <c r="I1845" s="196"/>
      <c r="J1845" s="196"/>
      <c r="K1845" s="196"/>
      <c r="L1845" s="259"/>
    </row>
    <row r="1846" ht="22.5" customHeight="1">
      <c r="A1846" s="202"/>
      <c r="B1846" s="273" t="str">
        <f t="shared" si="5"/>
        <v>#REF!</v>
      </c>
      <c r="C1846" s="146"/>
      <c r="D1846" s="197"/>
      <c r="E1846" s="197"/>
      <c r="F1846" s="197"/>
      <c r="G1846" s="144"/>
      <c r="H1846" s="144"/>
      <c r="I1846" s="197"/>
      <c r="J1846" s="197"/>
      <c r="K1846" s="197"/>
      <c r="L1846" s="257"/>
    </row>
    <row r="1847" ht="22.5" customHeight="1">
      <c r="A1847" s="250"/>
      <c r="B1847" s="272" t="str">
        <f t="shared" si="5"/>
        <v>#REF!</v>
      </c>
      <c r="C1847" s="154"/>
      <c r="D1847" s="196"/>
      <c r="E1847" s="196"/>
      <c r="F1847" s="196"/>
      <c r="G1847" s="152"/>
      <c r="H1847" s="152"/>
      <c r="I1847" s="196"/>
      <c r="J1847" s="196"/>
      <c r="K1847" s="196"/>
      <c r="L1847" s="259"/>
    </row>
    <row r="1848" ht="22.5" customHeight="1">
      <c r="A1848" s="202"/>
      <c r="B1848" s="273" t="str">
        <f t="shared" si="5"/>
        <v>#REF!</v>
      </c>
      <c r="C1848" s="146"/>
      <c r="D1848" s="197"/>
      <c r="E1848" s="197"/>
      <c r="F1848" s="197"/>
      <c r="G1848" s="144"/>
      <c r="H1848" s="144"/>
      <c r="I1848" s="197"/>
      <c r="J1848" s="197"/>
      <c r="K1848" s="197"/>
      <c r="L1848" s="257"/>
    </row>
    <row r="1849" ht="22.5" customHeight="1">
      <c r="A1849" s="250"/>
      <c r="B1849" s="272" t="str">
        <f t="shared" si="5"/>
        <v>#REF!</v>
      </c>
      <c r="C1849" s="154"/>
      <c r="D1849" s="196"/>
      <c r="E1849" s="196"/>
      <c r="F1849" s="196"/>
      <c r="G1849" s="152"/>
      <c r="H1849" s="152"/>
      <c r="I1849" s="196"/>
      <c r="J1849" s="196"/>
      <c r="K1849" s="196"/>
      <c r="L1849" s="259"/>
    </row>
    <row r="1850" ht="22.5" customHeight="1">
      <c r="A1850" s="202"/>
      <c r="B1850" s="273" t="str">
        <f t="shared" si="5"/>
        <v>#REF!</v>
      </c>
      <c r="C1850" s="146"/>
      <c r="D1850" s="197"/>
      <c r="E1850" s="197"/>
      <c r="F1850" s="197"/>
      <c r="G1850" s="144"/>
      <c r="H1850" s="144"/>
      <c r="I1850" s="197"/>
      <c r="J1850" s="197"/>
      <c r="K1850" s="197"/>
      <c r="L1850" s="257"/>
    </row>
    <row r="1851" ht="22.5" customHeight="1">
      <c r="A1851" s="250"/>
      <c r="B1851" s="272" t="str">
        <f t="shared" si="5"/>
        <v>#REF!</v>
      </c>
      <c r="C1851" s="154"/>
      <c r="D1851" s="196"/>
      <c r="E1851" s="196"/>
      <c r="F1851" s="196"/>
      <c r="G1851" s="152"/>
      <c r="H1851" s="152"/>
      <c r="I1851" s="196"/>
      <c r="J1851" s="196"/>
      <c r="K1851" s="196"/>
      <c r="L1851" s="259"/>
    </row>
    <row r="1852" ht="22.5" customHeight="1">
      <c r="A1852" s="202"/>
      <c r="B1852" s="273" t="str">
        <f t="shared" si="5"/>
        <v>#REF!</v>
      </c>
      <c r="C1852" s="146"/>
      <c r="D1852" s="197"/>
      <c r="E1852" s="197"/>
      <c r="F1852" s="197"/>
      <c r="G1852" s="144"/>
      <c r="H1852" s="144"/>
      <c r="I1852" s="197"/>
      <c r="J1852" s="197"/>
      <c r="K1852" s="197"/>
      <c r="L1852" s="257"/>
    </row>
    <row r="1853" ht="22.5" customHeight="1">
      <c r="A1853" s="250"/>
      <c r="B1853" s="272" t="str">
        <f t="shared" si="5"/>
        <v>#REF!</v>
      </c>
      <c r="C1853" s="154"/>
      <c r="D1853" s="196"/>
      <c r="E1853" s="196"/>
      <c r="F1853" s="196"/>
      <c r="G1853" s="152"/>
      <c r="H1853" s="152"/>
      <c r="I1853" s="196"/>
      <c r="J1853" s="196"/>
      <c r="K1853" s="196"/>
      <c r="L1853" s="259"/>
    </row>
    <row r="1854" ht="22.5" customHeight="1">
      <c r="A1854" s="202"/>
      <c r="B1854" s="273" t="str">
        <f t="shared" si="5"/>
        <v>#REF!</v>
      </c>
      <c r="C1854" s="146"/>
      <c r="D1854" s="197"/>
      <c r="E1854" s="197"/>
      <c r="F1854" s="197"/>
      <c r="G1854" s="144"/>
      <c r="H1854" s="144"/>
      <c r="I1854" s="197"/>
      <c r="J1854" s="197"/>
      <c r="K1854" s="197"/>
      <c r="L1854" s="257"/>
    </row>
    <row r="1855" ht="22.5" customHeight="1">
      <c r="A1855" s="250"/>
      <c r="B1855" s="272" t="str">
        <f t="shared" si="5"/>
        <v>#REF!</v>
      </c>
      <c r="C1855" s="154"/>
      <c r="D1855" s="196"/>
      <c r="E1855" s="196"/>
      <c r="F1855" s="196"/>
      <c r="G1855" s="152"/>
      <c r="H1855" s="152"/>
      <c r="I1855" s="196"/>
      <c r="J1855" s="196"/>
      <c r="K1855" s="196"/>
      <c r="L1855" s="259"/>
    </row>
    <row r="1856" ht="22.5" customHeight="1">
      <c r="A1856" s="202"/>
      <c r="B1856" s="273" t="str">
        <f t="shared" si="5"/>
        <v>#REF!</v>
      </c>
      <c r="C1856" s="146"/>
      <c r="D1856" s="197"/>
      <c r="E1856" s="197"/>
      <c r="F1856" s="197"/>
      <c r="G1856" s="144"/>
      <c r="H1856" s="144"/>
      <c r="I1856" s="197"/>
      <c r="J1856" s="197"/>
      <c r="K1856" s="197"/>
      <c r="L1856" s="257"/>
    </row>
    <row r="1857" ht="22.5" customHeight="1">
      <c r="A1857" s="250"/>
      <c r="B1857" s="272" t="str">
        <f t="shared" si="5"/>
        <v>#REF!</v>
      </c>
      <c r="C1857" s="154"/>
      <c r="D1857" s="196"/>
      <c r="E1857" s="196"/>
      <c r="F1857" s="196"/>
      <c r="G1857" s="152"/>
      <c r="H1857" s="152"/>
      <c r="I1857" s="196"/>
      <c r="J1857" s="196"/>
      <c r="K1857" s="196"/>
      <c r="L1857" s="259"/>
    </row>
    <row r="1858" ht="22.5" customHeight="1">
      <c r="A1858" s="202"/>
      <c r="B1858" s="273" t="str">
        <f t="shared" si="5"/>
        <v>#REF!</v>
      </c>
      <c r="C1858" s="146"/>
      <c r="D1858" s="197"/>
      <c r="E1858" s="197"/>
      <c r="F1858" s="197"/>
      <c r="G1858" s="144"/>
      <c r="H1858" s="144"/>
      <c r="I1858" s="197"/>
      <c r="J1858" s="197"/>
      <c r="K1858" s="197"/>
      <c r="L1858" s="257"/>
    </row>
    <row r="1859" ht="22.5" customHeight="1">
      <c r="A1859" s="250"/>
      <c r="B1859" s="272" t="str">
        <f t="shared" si="5"/>
        <v>#REF!</v>
      </c>
      <c r="C1859" s="154"/>
      <c r="D1859" s="196"/>
      <c r="E1859" s="196"/>
      <c r="F1859" s="196"/>
      <c r="G1859" s="152"/>
      <c r="H1859" s="152"/>
      <c r="I1859" s="196"/>
      <c r="J1859" s="196"/>
      <c r="K1859" s="196"/>
      <c r="L1859" s="259"/>
    </row>
    <row r="1860" ht="22.5" customHeight="1">
      <c r="A1860" s="202"/>
      <c r="B1860" s="273" t="str">
        <f t="shared" si="5"/>
        <v>#REF!</v>
      </c>
      <c r="C1860" s="146"/>
      <c r="D1860" s="197"/>
      <c r="E1860" s="197"/>
      <c r="F1860" s="197"/>
      <c r="G1860" s="144"/>
      <c r="H1860" s="144"/>
      <c r="I1860" s="197"/>
      <c r="J1860" s="197"/>
      <c r="K1860" s="197"/>
      <c r="L1860" s="257"/>
    </row>
    <row r="1861" ht="22.5" customHeight="1">
      <c r="A1861" s="250"/>
      <c r="B1861" s="272" t="str">
        <f t="shared" si="5"/>
        <v>#REF!</v>
      </c>
      <c r="C1861" s="154"/>
      <c r="D1861" s="196"/>
      <c r="E1861" s="196"/>
      <c r="F1861" s="196"/>
      <c r="G1861" s="152"/>
      <c r="H1861" s="152"/>
      <c r="I1861" s="196"/>
      <c r="J1861" s="196"/>
      <c r="K1861" s="196"/>
      <c r="L1861" s="259"/>
    </row>
    <row r="1862" ht="22.5" customHeight="1">
      <c r="A1862" s="202"/>
      <c r="B1862" s="273" t="str">
        <f t="shared" si="5"/>
        <v>#REF!</v>
      </c>
      <c r="C1862" s="146"/>
      <c r="D1862" s="197"/>
      <c r="E1862" s="197"/>
      <c r="F1862" s="197"/>
      <c r="G1862" s="144"/>
      <c r="H1862" s="144"/>
      <c r="I1862" s="197"/>
      <c r="J1862" s="197"/>
      <c r="K1862" s="197"/>
      <c r="L1862" s="257"/>
    </row>
    <row r="1863" ht="22.5" customHeight="1">
      <c r="A1863" s="250"/>
      <c r="B1863" s="272" t="str">
        <f t="shared" si="5"/>
        <v>#REF!</v>
      </c>
      <c r="C1863" s="154"/>
      <c r="D1863" s="196"/>
      <c r="E1863" s="196"/>
      <c r="F1863" s="196"/>
      <c r="G1863" s="152"/>
      <c r="H1863" s="152"/>
      <c r="I1863" s="196"/>
      <c r="J1863" s="196"/>
      <c r="K1863" s="196"/>
      <c r="L1863" s="259"/>
    </row>
    <row r="1864" ht="22.5" customHeight="1">
      <c r="A1864" s="202"/>
      <c r="B1864" s="273" t="str">
        <f t="shared" si="5"/>
        <v>#REF!</v>
      </c>
      <c r="C1864" s="146"/>
      <c r="D1864" s="197"/>
      <c r="E1864" s="197"/>
      <c r="F1864" s="197"/>
      <c r="G1864" s="144"/>
      <c r="H1864" s="144"/>
      <c r="I1864" s="197"/>
      <c r="J1864" s="197"/>
      <c r="K1864" s="197"/>
      <c r="L1864" s="257"/>
    </row>
    <row r="1865" ht="22.5" customHeight="1">
      <c r="A1865" s="250"/>
      <c r="B1865" s="272" t="str">
        <f t="shared" si="5"/>
        <v>#REF!</v>
      </c>
      <c r="C1865" s="154"/>
      <c r="D1865" s="196"/>
      <c r="E1865" s="196"/>
      <c r="F1865" s="196"/>
      <c r="G1865" s="152"/>
      <c r="H1865" s="152"/>
      <c r="I1865" s="196"/>
      <c r="J1865" s="196"/>
      <c r="K1865" s="196"/>
      <c r="L1865" s="259"/>
    </row>
    <row r="1866" ht="22.5" customHeight="1">
      <c r="A1866" s="202"/>
      <c r="B1866" s="273" t="str">
        <f t="shared" si="5"/>
        <v>#REF!</v>
      </c>
      <c r="C1866" s="146"/>
      <c r="D1866" s="197"/>
      <c r="E1866" s="197"/>
      <c r="F1866" s="197"/>
      <c r="G1866" s="144"/>
      <c r="H1866" s="144"/>
      <c r="I1866" s="197"/>
      <c r="J1866" s="197"/>
      <c r="K1866" s="197"/>
      <c r="L1866" s="257"/>
    </row>
    <row r="1867" ht="22.5" customHeight="1">
      <c r="A1867" s="250"/>
      <c r="B1867" s="272" t="str">
        <f t="shared" si="5"/>
        <v>#REF!</v>
      </c>
      <c r="C1867" s="154"/>
      <c r="D1867" s="196"/>
      <c r="E1867" s="196"/>
      <c r="F1867" s="196"/>
      <c r="G1867" s="152"/>
      <c r="H1867" s="152"/>
      <c r="I1867" s="196"/>
      <c r="J1867" s="196"/>
      <c r="K1867" s="196"/>
      <c r="L1867" s="259"/>
    </row>
    <row r="1868" ht="22.5" customHeight="1">
      <c r="A1868" s="202"/>
      <c r="B1868" s="273" t="str">
        <f t="shared" si="5"/>
        <v>#REF!</v>
      </c>
      <c r="C1868" s="146"/>
      <c r="D1868" s="197"/>
      <c r="E1868" s="197"/>
      <c r="F1868" s="197"/>
      <c r="G1868" s="144"/>
      <c r="H1868" s="144"/>
      <c r="I1868" s="197"/>
      <c r="J1868" s="197"/>
      <c r="K1868" s="197"/>
      <c r="L1868" s="257"/>
    </row>
    <row r="1869" ht="22.5" customHeight="1">
      <c r="A1869" s="250"/>
      <c r="B1869" s="272" t="str">
        <f t="shared" si="5"/>
        <v>#REF!</v>
      </c>
      <c r="C1869" s="154"/>
      <c r="D1869" s="196"/>
      <c r="E1869" s="196"/>
      <c r="F1869" s="196"/>
      <c r="G1869" s="152"/>
      <c r="H1869" s="152"/>
      <c r="I1869" s="196"/>
      <c r="J1869" s="196"/>
      <c r="K1869" s="196"/>
      <c r="L1869" s="259"/>
    </row>
    <row r="1870" ht="22.5" customHeight="1">
      <c r="A1870" s="202"/>
      <c r="B1870" s="273" t="str">
        <f t="shared" si="5"/>
        <v>#REF!</v>
      </c>
      <c r="C1870" s="146"/>
      <c r="D1870" s="197"/>
      <c r="E1870" s="197"/>
      <c r="F1870" s="197"/>
      <c r="G1870" s="144"/>
      <c r="H1870" s="144"/>
      <c r="I1870" s="197"/>
      <c r="J1870" s="197"/>
      <c r="K1870" s="197"/>
      <c r="L1870" s="257"/>
    </row>
    <row r="1871" ht="22.5" customHeight="1">
      <c r="A1871" s="250"/>
      <c r="B1871" s="272" t="str">
        <f t="shared" si="5"/>
        <v>#REF!</v>
      </c>
      <c r="C1871" s="154"/>
      <c r="D1871" s="196"/>
      <c r="E1871" s="196"/>
      <c r="F1871" s="196"/>
      <c r="G1871" s="152"/>
      <c r="H1871" s="152"/>
      <c r="I1871" s="196"/>
      <c r="J1871" s="196"/>
      <c r="K1871" s="196"/>
      <c r="L1871" s="259"/>
    </row>
    <row r="1872" ht="22.5" customHeight="1">
      <c r="A1872" s="202"/>
      <c r="B1872" s="273" t="str">
        <f t="shared" si="5"/>
        <v>#REF!</v>
      </c>
      <c r="C1872" s="146"/>
      <c r="D1872" s="197"/>
      <c r="E1872" s="197"/>
      <c r="F1872" s="197"/>
      <c r="G1872" s="144"/>
      <c r="H1872" s="144"/>
      <c r="I1872" s="197"/>
      <c r="J1872" s="197"/>
      <c r="K1872" s="197"/>
      <c r="L1872" s="257"/>
    </row>
    <row r="1873" ht="22.5" customHeight="1">
      <c r="A1873" s="250"/>
      <c r="B1873" s="272" t="str">
        <f t="shared" si="5"/>
        <v>#REF!</v>
      </c>
      <c r="C1873" s="154"/>
      <c r="D1873" s="196"/>
      <c r="E1873" s="196"/>
      <c r="F1873" s="196"/>
      <c r="G1873" s="152"/>
      <c r="H1873" s="152"/>
      <c r="I1873" s="196"/>
      <c r="J1873" s="196"/>
      <c r="K1873" s="196"/>
      <c r="L1873" s="259"/>
    </row>
    <row r="1874" ht="22.5" customHeight="1">
      <c r="A1874" s="202"/>
      <c r="B1874" s="273" t="str">
        <f t="shared" si="5"/>
        <v>#REF!</v>
      </c>
      <c r="C1874" s="146"/>
      <c r="D1874" s="197"/>
      <c r="E1874" s="197"/>
      <c r="F1874" s="197"/>
      <c r="G1874" s="144"/>
      <c r="H1874" s="144"/>
      <c r="I1874" s="197"/>
      <c r="J1874" s="197"/>
      <c r="K1874" s="197"/>
      <c r="L1874" s="257"/>
    </row>
    <row r="1875" ht="22.5" customHeight="1">
      <c r="A1875" s="250"/>
      <c r="B1875" s="272" t="str">
        <f t="shared" si="5"/>
        <v>#REF!</v>
      </c>
      <c r="C1875" s="154"/>
      <c r="D1875" s="196"/>
      <c r="E1875" s="196"/>
      <c r="F1875" s="196"/>
      <c r="G1875" s="152"/>
      <c r="H1875" s="152"/>
      <c r="I1875" s="196"/>
      <c r="J1875" s="196"/>
      <c r="K1875" s="196"/>
      <c r="L1875" s="259"/>
    </row>
    <row r="1876" ht="22.5" customHeight="1">
      <c r="A1876" s="202"/>
      <c r="B1876" s="273" t="str">
        <f t="shared" si="5"/>
        <v>#REF!</v>
      </c>
      <c r="C1876" s="146"/>
      <c r="D1876" s="197"/>
      <c r="E1876" s="197"/>
      <c r="F1876" s="197"/>
      <c r="G1876" s="144"/>
      <c r="H1876" s="144"/>
      <c r="I1876" s="197"/>
      <c r="J1876" s="197"/>
      <c r="K1876" s="197"/>
      <c r="L1876" s="257"/>
    </row>
    <row r="1877" ht="22.5" customHeight="1">
      <c r="A1877" s="250"/>
      <c r="B1877" s="272" t="str">
        <f t="shared" si="5"/>
        <v>#REF!</v>
      </c>
      <c r="C1877" s="154"/>
      <c r="D1877" s="196"/>
      <c r="E1877" s="196"/>
      <c r="F1877" s="196"/>
      <c r="G1877" s="152"/>
      <c r="H1877" s="152"/>
      <c r="I1877" s="196"/>
      <c r="J1877" s="196"/>
      <c r="K1877" s="196"/>
      <c r="L1877" s="259"/>
    </row>
    <row r="1878" ht="22.5" customHeight="1">
      <c r="A1878" s="202"/>
      <c r="B1878" s="273" t="str">
        <f t="shared" si="5"/>
        <v>#REF!</v>
      </c>
      <c r="C1878" s="146"/>
      <c r="D1878" s="197"/>
      <c r="E1878" s="197"/>
      <c r="F1878" s="197"/>
      <c r="G1878" s="144"/>
      <c r="H1878" s="144"/>
      <c r="I1878" s="197"/>
      <c r="J1878" s="197"/>
      <c r="K1878" s="197"/>
      <c r="L1878" s="257"/>
    </row>
    <row r="1879" ht="22.5" customHeight="1">
      <c r="A1879" s="250"/>
      <c r="B1879" s="272" t="str">
        <f t="shared" si="5"/>
        <v>#REF!</v>
      </c>
      <c r="C1879" s="154"/>
      <c r="D1879" s="196"/>
      <c r="E1879" s="196"/>
      <c r="F1879" s="196"/>
      <c r="G1879" s="152"/>
      <c r="H1879" s="152"/>
      <c r="I1879" s="196"/>
      <c r="J1879" s="196"/>
      <c r="K1879" s="196"/>
      <c r="L1879" s="259"/>
    </row>
    <row r="1880" ht="22.5" customHeight="1">
      <c r="A1880" s="202"/>
      <c r="B1880" s="273" t="str">
        <f t="shared" si="5"/>
        <v>#REF!</v>
      </c>
      <c r="C1880" s="146"/>
      <c r="D1880" s="197"/>
      <c r="E1880" s="197"/>
      <c r="F1880" s="197"/>
      <c r="G1880" s="144"/>
      <c r="H1880" s="144"/>
      <c r="I1880" s="197"/>
      <c r="J1880" s="197"/>
      <c r="K1880" s="197"/>
      <c r="L1880" s="257"/>
    </row>
    <row r="1881" ht="22.5" customHeight="1">
      <c r="A1881" s="250"/>
      <c r="B1881" s="272" t="str">
        <f t="shared" si="5"/>
        <v>#REF!</v>
      </c>
      <c r="C1881" s="154"/>
      <c r="D1881" s="196"/>
      <c r="E1881" s="196"/>
      <c r="F1881" s="196"/>
      <c r="G1881" s="152"/>
      <c r="H1881" s="152"/>
      <c r="I1881" s="196"/>
      <c r="J1881" s="196"/>
      <c r="K1881" s="196"/>
      <c r="L1881" s="259"/>
    </row>
    <row r="1882" ht="22.5" customHeight="1">
      <c r="A1882" s="202"/>
      <c r="B1882" s="273" t="str">
        <f t="shared" si="5"/>
        <v>#REF!</v>
      </c>
      <c r="C1882" s="146"/>
      <c r="D1882" s="197"/>
      <c r="E1882" s="197"/>
      <c r="F1882" s="197"/>
      <c r="G1882" s="144"/>
      <c r="H1882" s="144"/>
      <c r="I1882" s="197"/>
      <c r="J1882" s="197"/>
      <c r="K1882" s="197"/>
      <c r="L1882" s="257"/>
    </row>
    <row r="1883" ht="22.5" customHeight="1">
      <c r="A1883" s="250"/>
      <c r="B1883" s="272" t="str">
        <f t="shared" si="5"/>
        <v>#REF!</v>
      </c>
      <c r="C1883" s="154"/>
      <c r="D1883" s="196"/>
      <c r="E1883" s="196"/>
      <c r="F1883" s="196"/>
      <c r="G1883" s="152"/>
      <c r="H1883" s="152"/>
      <c r="I1883" s="196"/>
      <c r="J1883" s="196"/>
      <c r="K1883" s="196"/>
      <c r="L1883" s="259"/>
    </row>
    <row r="1884" ht="22.5" customHeight="1">
      <c r="A1884" s="202"/>
      <c r="B1884" s="273" t="str">
        <f t="shared" si="5"/>
        <v>#REF!</v>
      </c>
      <c r="C1884" s="146"/>
      <c r="D1884" s="197"/>
      <c r="E1884" s="197"/>
      <c r="F1884" s="197"/>
      <c r="G1884" s="144"/>
      <c r="H1884" s="144"/>
      <c r="I1884" s="197"/>
      <c r="J1884" s="197"/>
      <c r="K1884" s="197"/>
      <c r="L1884" s="257"/>
    </row>
    <row r="1885" ht="22.5" customHeight="1">
      <c r="A1885" s="250"/>
      <c r="B1885" s="272" t="str">
        <f t="shared" si="5"/>
        <v>#REF!</v>
      </c>
      <c r="C1885" s="154"/>
      <c r="D1885" s="196"/>
      <c r="E1885" s="196"/>
      <c r="F1885" s="196"/>
      <c r="G1885" s="152"/>
      <c r="H1885" s="152"/>
      <c r="I1885" s="196"/>
      <c r="J1885" s="196"/>
      <c r="K1885" s="196"/>
      <c r="L1885" s="259"/>
    </row>
    <row r="1886" ht="22.5" customHeight="1">
      <c r="A1886" s="202"/>
      <c r="B1886" s="273" t="str">
        <f t="shared" si="5"/>
        <v>#REF!</v>
      </c>
      <c r="C1886" s="146"/>
      <c r="D1886" s="197"/>
      <c r="E1886" s="197"/>
      <c r="F1886" s="197"/>
      <c r="G1886" s="144"/>
      <c r="H1886" s="144"/>
      <c r="I1886" s="197"/>
      <c r="J1886" s="197"/>
      <c r="K1886" s="197"/>
      <c r="L1886" s="257"/>
    </row>
    <row r="1887" ht="22.5" customHeight="1">
      <c r="A1887" s="250"/>
      <c r="B1887" s="272" t="str">
        <f t="shared" si="5"/>
        <v>#REF!</v>
      </c>
      <c r="C1887" s="154"/>
      <c r="D1887" s="196"/>
      <c r="E1887" s="196"/>
      <c r="F1887" s="196"/>
      <c r="G1887" s="152"/>
      <c r="H1887" s="152"/>
      <c r="I1887" s="196"/>
      <c r="J1887" s="196"/>
      <c r="K1887" s="196"/>
      <c r="L1887" s="259"/>
    </row>
    <row r="1888" ht="22.5" customHeight="1">
      <c r="A1888" s="202"/>
      <c r="B1888" s="273" t="str">
        <f t="shared" si="5"/>
        <v>#REF!</v>
      </c>
      <c r="C1888" s="146"/>
      <c r="D1888" s="197"/>
      <c r="E1888" s="197"/>
      <c r="F1888" s="197"/>
      <c r="G1888" s="144"/>
      <c r="H1888" s="144"/>
      <c r="I1888" s="197"/>
      <c r="J1888" s="197"/>
      <c r="K1888" s="197"/>
      <c r="L1888" s="257"/>
    </row>
    <row r="1889" ht="22.5" customHeight="1">
      <c r="A1889" s="250"/>
      <c r="B1889" s="272" t="str">
        <f t="shared" si="5"/>
        <v>#REF!</v>
      </c>
      <c r="C1889" s="154"/>
      <c r="D1889" s="196"/>
      <c r="E1889" s="196"/>
      <c r="F1889" s="196"/>
      <c r="G1889" s="152"/>
      <c r="H1889" s="152"/>
      <c r="I1889" s="196"/>
      <c r="J1889" s="196"/>
      <c r="K1889" s="196"/>
      <c r="L1889" s="259"/>
    </row>
    <row r="1890" ht="22.5" customHeight="1">
      <c r="A1890" s="202"/>
      <c r="B1890" s="273" t="str">
        <f t="shared" si="5"/>
        <v>#REF!</v>
      </c>
      <c r="C1890" s="146"/>
      <c r="D1890" s="197"/>
      <c r="E1890" s="197"/>
      <c r="F1890" s="197"/>
      <c r="G1890" s="144"/>
      <c r="H1890" s="144"/>
      <c r="I1890" s="197"/>
      <c r="J1890" s="197"/>
      <c r="K1890" s="197"/>
      <c r="L1890" s="257"/>
    </row>
    <row r="1891" ht="22.5" customHeight="1">
      <c r="A1891" s="250"/>
      <c r="B1891" s="272" t="str">
        <f t="shared" si="5"/>
        <v>#REF!</v>
      </c>
      <c r="C1891" s="154"/>
      <c r="D1891" s="196"/>
      <c r="E1891" s="196"/>
      <c r="F1891" s="196"/>
      <c r="G1891" s="152"/>
      <c r="H1891" s="152"/>
      <c r="I1891" s="196"/>
      <c r="J1891" s="196"/>
      <c r="K1891" s="196"/>
      <c r="L1891" s="259"/>
    </row>
    <row r="1892" ht="22.5" customHeight="1">
      <c r="A1892" s="202"/>
      <c r="B1892" s="273" t="str">
        <f t="shared" si="5"/>
        <v>#REF!</v>
      </c>
      <c r="C1892" s="146"/>
      <c r="D1892" s="197"/>
      <c r="E1892" s="197"/>
      <c r="F1892" s="197"/>
      <c r="G1892" s="144"/>
      <c r="H1892" s="144"/>
      <c r="I1892" s="197"/>
      <c r="J1892" s="197"/>
      <c r="K1892" s="197"/>
      <c r="L1892" s="257"/>
    </row>
    <row r="1893" ht="22.5" customHeight="1">
      <c r="A1893" s="250"/>
      <c r="B1893" s="272" t="str">
        <f t="shared" si="5"/>
        <v>#REF!</v>
      </c>
      <c r="C1893" s="154"/>
      <c r="D1893" s="196"/>
      <c r="E1893" s="196"/>
      <c r="F1893" s="196"/>
      <c r="G1893" s="152"/>
      <c r="H1893" s="152"/>
      <c r="I1893" s="196"/>
      <c r="J1893" s="196"/>
      <c r="K1893" s="196"/>
      <c r="L1893" s="259"/>
    </row>
    <row r="1894" ht="22.5" customHeight="1">
      <c r="A1894" s="202"/>
      <c r="B1894" s="273" t="str">
        <f t="shared" si="5"/>
        <v>#REF!</v>
      </c>
      <c r="C1894" s="146"/>
      <c r="D1894" s="197"/>
      <c r="E1894" s="197"/>
      <c r="F1894" s="197"/>
      <c r="G1894" s="144"/>
      <c r="H1894" s="144"/>
      <c r="I1894" s="197"/>
      <c r="J1894" s="197"/>
      <c r="K1894" s="197"/>
      <c r="L1894" s="257"/>
    </row>
    <row r="1895" ht="22.5" customHeight="1">
      <c r="A1895" s="250"/>
      <c r="B1895" s="272" t="str">
        <f t="shared" si="5"/>
        <v>#REF!</v>
      </c>
      <c r="C1895" s="154"/>
      <c r="D1895" s="196"/>
      <c r="E1895" s="196"/>
      <c r="F1895" s="196"/>
      <c r="G1895" s="152"/>
      <c r="H1895" s="152"/>
      <c r="I1895" s="196"/>
      <c r="J1895" s="196"/>
      <c r="K1895" s="196"/>
      <c r="L1895" s="259"/>
    </row>
    <row r="1896" ht="22.5" customHeight="1">
      <c r="A1896" s="202"/>
      <c r="B1896" s="273" t="str">
        <f t="shared" si="5"/>
        <v>#REF!</v>
      </c>
      <c r="C1896" s="146"/>
      <c r="D1896" s="197"/>
      <c r="E1896" s="197"/>
      <c r="F1896" s="197"/>
      <c r="G1896" s="144"/>
      <c r="H1896" s="144"/>
      <c r="I1896" s="197"/>
      <c r="J1896" s="197"/>
      <c r="K1896" s="197"/>
      <c r="L1896" s="257"/>
    </row>
    <row r="1897" ht="22.5" customHeight="1">
      <c r="A1897" s="250"/>
      <c r="B1897" s="272" t="str">
        <f t="shared" si="5"/>
        <v>#REF!</v>
      </c>
      <c r="C1897" s="154"/>
      <c r="D1897" s="196"/>
      <c r="E1897" s="196"/>
      <c r="F1897" s="196"/>
      <c r="G1897" s="152"/>
      <c r="H1897" s="152"/>
      <c r="I1897" s="196"/>
      <c r="J1897" s="196"/>
      <c r="K1897" s="196"/>
      <c r="L1897" s="259"/>
    </row>
    <row r="1898" ht="22.5" customHeight="1">
      <c r="A1898" s="202"/>
      <c r="B1898" s="273" t="str">
        <f t="shared" si="5"/>
        <v>#REF!</v>
      </c>
      <c r="C1898" s="146"/>
      <c r="D1898" s="197"/>
      <c r="E1898" s="197"/>
      <c r="F1898" s="197"/>
      <c r="G1898" s="144"/>
      <c r="H1898" s="144"/>
      <c r="I1898" s="197"/>
      <c r="J1898" s="197"/>
      <c r="K1898" s="197"/>
      <c r="L1898" s="257"/>
    </row>
    <row r="1899" ht="22.5" customHeight="1">
      <c r="A1899" s="250"/>
      <c r="B1899" s="272" t="str">
        <f t="shared" si="5"/>
        <v>#REF!</v>
      </c>
      <c r="C1899" s="154"/>
      <c r="D1899" s="196"/>
      <c r="E1899" s="196"/>
      <c r="F1899" s="196"/>
      <c r="G1899" s="152"/>
      <c r="H1899" s="152"/>
      <c r="I1899" s="196"/>
      <c r="J1899" s="196"/>
      <c r="K1899" s="196"/>
      <c r="L1899" s="259"/>
    </row>
    <row r="1900" ht="22.5" customHeight="1">
      <c r="A1900" s="202"/>
      <c r="B1900" s="273" t="str">
        <f t="shared" si="5"/>
        <v>#REF!</v>
      </c>
      <c r="C1900" s="146"/>
      <c r="D1900" s="197"/>
      <c r="E1900" s="197"/>
      <c r="F1900" s="197"/>
      <c r="G1900" s="144"/>
      <c r="H1900" s="144"/>
      <c r="I1900" s="197"/>
      <c r="J1900" s="197"/>
      <c r="K1900" s="197"/>
      <c r="L1900" s="257"/>
    </row>
    <row r="1901" ht="22.5" customHeight="1">
      <c r="A1901" s="250"/>
      <c r="B1901" s="272" t="str">
        <f t="shared" si="5"/>
        <v>#REF!</v>
      </c>
      <c r="C1901" s="154"/>
      <c r="D1901" s="196"/>
      <c r="E1901" s="196"/>
      <c r="F1901" s="196"/>
      <c r="G1901" s="152"/>
      <c r="H1901" s="152"/>
      <c r="I1901" s="196"/>
      <c r="J1901" s="196"/>
      <c r="K1901" s="196"/>
      <c r="L1901" s="259"/>
    </row>
    <row r="1902" ht="22.5" customHeight="1">
      <c r="A1902" s="202"/>
      <c r="B1902" s="273" t="str">
        <f t="shared" si="5"/>
        <v>#REF!</v>
      </c>
      <c r="C1902" s="146"/>
      <c r="D1902" s="197"/>
      <c r="E1902" s="197"/>
      <c r="F1902" s="197"/>
      <c r="G1902" s="144"/>
      <c r="H1902" s="144"/>
      <c r="I1902" s="197"/>
      <c r="J1902" s="197"/>
      <c r="K1902" s="197"/>
      <c r="L1902" s="257"/>
    </row>
    <row r="1903" ht="22.5" customHeight="1">
      <c r="A1903" s="250"/>
      <c r="B1903" s="272" t="str">
        <f t="shared" si="5"/>
        <v>#REF!</v>
      </c>
      <c r="C1903" s="154"/>
      <c r="D1903" s="196"/>
      <c r="E1903" s="196"/>
      <c r="F1903" s="196"/>
      <c r="G1903" s="152"/>
      <c r="H1903" s="152"/>
      <c r="I1903" s="196"/>
      <c r="J1903" s="196"/>
      <c r="K1903" s="196"/>
      <c r="L1903" s="259"/>
    </row>
    <row r="1904" ht="22.5" customHeight="1">
      <c r="A1904" s="202"/>
      <c r="B1904" s="273" t="str">
        <f t="shared" si="5"/>
        <v>#REF!</v>
      </c>
      <c r="C1904" s="146"/>
      <c r="D1904" s="197"/>
      <c r="E1904" s="197"/>
      <c r="F1904" s="197"/>
      <c r="G1904" s="144"/>
      <c r="H1904" s="144"/>
      <c r="I1904" s="197"/>
      <c r="J1904" s="197"/>
      <c r="K1904" s="197"/>
      <c r="L1904" s="257"/>
    </row>
    <row r="1905" ht="22.5" customHeight="1">
      <c r="A1905" s="250"/>
      <c r="B1905" s="272" t="str">
        <f t="shared" si="5"/>
        <v>#REF!</v>
      </c>
      <c r="C1905" s="154"/>
      <c r="D1905" s="196"/>
      <c r="E1905" s="196"/>
      <c r="F1905" s="196"/>
      <c r="G1905" s="152"/>
      <c r="H1905" s="152"/>
      <c r="I1905" s="196"/>
      <c r="J1905" s="196"/>
      <c r="K1905" s="196"/>
      <c r="L1905" s="259"/>
    </row>
    <row r="1906" ht="22.5" customHeight="1">
      <c r="A1906" s="202"/>
      <c r="B1906" s="273" t="str">
        <f t="shared" si="5"/>
        <v>#REF!</v>
      </c>
      <c r="C1906" s="146"/>
      <c r="D1906" s="197"/>
      <c r="E1906" s="197"/>
      <c r="F1906" s="197"/>
      <c r="G1906" s="144"/>
      <c r="H1906" s="144"/>
      <c r="I1906" s="197"/>
      <c r="J1906" s="197"/>
      <c r="K1906" s="197"/>
      <c r="L1906" s="257"/>
    </row>
    <row r="1907" ht="22.5" customHeight="1">
      <c r="A1907" s="250"/>
      <c r="B1907" s="272" t="str">
        <f t="shared" si="5"/>
        <v>#REF!</v>
      </c>
      <c r="C1907" s="154"/>
      <c r="D1907" s="196"/>
      <c r="E1907" s="196"/>
      <c r="F1907" s="196"/>
      <c r="G1907" s="152"/>
      <c r="H1907" s="152"/>
      <c r="I1907" s="196"/>
      <c r="J1907" s="196"/>
      <c r="K1907" s="196"/>
      <c r="L1907" s="259"/>
    </row>
    <row r="1908" ht="22.5" customHeight="1">
      <c r="A1908" s="202"/>
      <c r="B1908" s="273" t="str">
        <f t="shared" si="5"/>
        <v>#REF!</v>
      </c>
      <c r="C1908" s="146"/>
      <c r="D1908" s="197"/>
      <c r="E1908" s="197"/>
      <c r="F1908" s="197"/>
      <c r="G1908" s="144"/>
      <c r="H1908" s="144"/>
      <c r="I1908" s="197"/>
      <c r="J1908" s="197"/>
      <c r="K1908" s="197"/>
      <c r="L1908" s="257"/>
    </row>
    <row r="1909" ht="22.5" customHeight="1">
      <c r="A1909" s="250"/>
      <c r="B1909" s="272" t="str">
        <f t="shared" si="5"/>
        <v>#REF!</v>
      </c>
      <c r="C1909" s="154"/>
      <c r="D1909" s="196"/>
      <c r="E1909" s="196"/>
      <c r="F1909" s="196"/>
      <c r="G1909" s="152"/>
      <c r="H1909" s="152"/>
      <c r="I1909" s="196"/>
      <c r="J1909" s="196"/>
      <c r="K1909" s="196"/>
      <c r="L1909" s="259"/>
    </row>
    <row r="1910" ht="22.5" customHeight="1">
      <c r="A1910" s="202"/>
      <c r="B1910" s="273" t="str">
        <f t="shared" si="5"/>
        <v>#REF!</v>
      </c>
      <c r="C1910" s="146"/>
      <c r="D1910" s="197"/>
      <c r="E1910" s="197"/>
      <c r="F1910" s="197"/>
      <c r="G1910" s="144"/>
      <c r="H1910" s="144"/>
      <c r="I1910" s="197"/>
      <c r="J1910" s="197"/>
      <c r="K1910" s="197"/>
      <c r="L1910" s="257"/>
    </row>
    <row r="1911" ht="22.5" customHeight="1">
      <c r="A1911" s="250"/>
      <c r="B1911" s="272" t="str">
        <f t="shared" si="5"/>
        <v>#REF!</v>
      </c>
      <c r="C1911" s="154"/>
      <c r="D1911" s="196"/>
      <c r="E1911" s="196"/>
      <c r="F1911" s="196"/>
      <c r="G1911" s="152"/>
      <c r="H1911" s="152"/>
      <c r="I1911" s="196"/>
      <c r="J1911" s="196"/>
      <c r="K1911" s="196"/>
      <c r="L1911" s="259"/>
    </row>
    <row r="1912" ht="22.5" customHeight="1">
      <c r="A1912" s="202"/>
      <c r="B1912" s="273" t="str">
        <f t="shared" si="5"/>
        <v>#REF!</v>
      </c>
      <c r="C1912" s="146"/>
      <c r="D1912" s="197"/>
      <c r="E1912" s="197"/>
      <c r="F1912" s="197"/>
      <c r="G1912" s="144"/>
      <c r="H1912" s="144"/>
      <c r="I1912" s="197"/>
      <c r="J1912" s="197"/>
      <c r="K1912" s="197"/>
      <c r="L1912" s="257"/>
    </row>
    <row r="1913" ht="22.5" customHeight="1">
      <c r="A1913" s="250"/>
      <c r="B1913" s="272" t="str">
        <f t="shared" si="5"/>
        <v>#REF!</v>
      </c>
      <c r="C1913" s="154"/>
      <c r="D1913" s="196"/>
      <c r="E1913" s="196"/>
      <c r="F1913" s="196"/>
      <c r="G1913" s="152"/>
      <c r="H1913" s="152"/>
      <c r="I1913" s="196"/>
      <c r="J1913" s="196"/>
      <c r="K1913" s="196"/>
      <c r="L1913" s="259"/>
    </row>
    <row r="1914" ht="22.5" customHeight="1">
      <c r="A1914" s="202"/>
      <c r="B1914" s="273" t="str">
        <f t="shared" si="5"/>
        <v>#REF!</v>
      </c>
      <c r="C1914" s="146"/>
      <c r="D1914" s="197"/>
      <c r="E1914" s="197"/>
      <c r="F1914" s="197"/>
      <c r="G1914" s="144"/>
      <c r="H1914" s="144"/>
      <c r="I1914" s="197"/>
      <c r="J1914" s="197"/>
      <c r="K1914" s="197"/>
      <c r="L1914" s="257"/>
    </row>
    <row r="1915" ht="22.5" customHeight="1">
      <c r="A1915" s="250"/>
      <c r="B1915" s="272" t="str">
        <f t="shared" si="5"/>
        <v>#REF!</v>
      </c>
      <c r="C1915" s="154"/>
      <c r="D1915" s="196"/>
      <c r="E1915" s="196"/>
      <c r="F1915" s="196"/>
      <c r="G1915" s="152"/>
      <c r="H1915" s="152"/>
      <c r="I1915" s="196"/>
      <c r="J1915" s="196"/>
      <c r="K1915" s="196"/>
      <c r="L1915" s="259"/>
    </row>
    <row r="1916" ht="22.5" customHeight="1">
      <c r="A1916" s="202"/>
      <c r="B1916" s="273" t="str">
        <f t="shared" si="5"/>
        <v>#REF!</v>
      </c>
      <c r="C1916" s="146"/>
      <c r="D1916" s="197"/>
      <c r="E1916" s="197"/>
      <c r="F1916" s="197"/>
      <c r="G1916" s="144"/>
      <c r="H1916" s="144"/>
      <c r="I1916" s="197"/>
      <c r="J1916" s="197"/>
      <c r="K1916" s="197"/>
      <c r="L1916" s="257"/>
    </row>
    <row r="1917" ht="22.5" customHeight="1">
      <c r="A1917" s="250"/>
      <c r="B1917" s="272" t="str">
        <f t="shared" si="5"/>
        <v>#REF!</v>
      </c>
      <c r="C1917" s="154"/>
      <c r="D1917" s="196"/>
      <c r="E1917" s="196"/>
      <c r="F1917" s="196"/>
      <c r="G1917" s="152"/>
      <c r="H1917" s="152"/>
      <c r="I1917" s="196"/>
      <c r="J1917" s="196"/>
      <c r="K1917" s="196"/>
      <c r="L1917" s="259"/>
    </row>
    <row r="1918" ht="22.5" customHeight="1">
      <c r="A1918" s="202"/>
      <c r="B1918" s="273" t="str">
        <f t="shared" si="5"/>
        <v>#REF!</v>
      </c>
      <c r="C1918" s="146"/>
      <c r="D1918" s="197"/>
      <c r="E1918" s="197"/>
      <c r="F1918" s="197"/>
      <c r="G1918" s="144"/>
      <c r="H1918" s="144"/>
      <c r="I1918" s="197"/>
      <c r="J1918" s="197"/>
      <c r="K1918" s="197"/>
      <c r="L1918" s="257"/>
    </row>
    <row r="1919" ht="22.5" customHeight="1">
      <c r="A1919" s="250"/>
      <c r="B1919" s="272" t="str">
        <f t="shared" si="5"/>
        <v>#REF!</v>
      </c>
      <c r="C1919" s="154"/>
      <c r="D1919" s="196"/>
      <c r="E1919" s="196"/>
      <c r="F1919" s="196"/>
      <c r="G1919" s="152"/>
      <c r="H1919" s="152"/>
      <c r="I1919" s="196"/>
      <c r="J1919" s="196"/>
      <c r="K1919" s="196"/>
      <c r="L1919" s="259"/>
    </row>
    <row r="1920" ht="22.5" customHeight="1">
      <c r="A1920" s="202"/>
      <c r="B1920" s="273" t="str">
        <f t="shared" si="5"/>
        <v>#REF!</v>
      </c>
      <c r="C1920" s="146"/>
      <c r="D1920" s="197"/>
      <c r="E1920" s="197"/>
      <c r="F1920" s="197"/>
      <c r="G1920" s="144"/>
      <c r="H1920" s="144"/>
      <c r="I1920" s="197"/>
      <c r="J1920" s="197"/>
      <c r="K1920" s="197"/>
      <c r="L1920" s="257"/>
    </row>
    <row r="1921" ht="22.5" customHeight="1">
      <c r="A1921" s="250"/>
      <c r="B1921" s="272" t="str">
        <f t="shared" si="5"/>
        <v>#REF!</v>
      </c>
      <c r="C1921" s="154"/>
      <c r="D1921" s="196"/>
      <c r="E1921" s="196"/>
      <c r="F1921" s="196"/>
      <c r="G1921" s="152"/>
      <c r="H1921" s="152"/>
      <c r="I1921" s="196"/>
      <c r="J1921" s="196"/>
      <c r="K1921" s="196"/>
      <c r="L1921" s="259"/>
    </row>
    <row r="1922" ht="22.5" customHeight="1">
      <c r="A1922" s="202"/>
      <c r="B1922" s="273" t="str">
        <f t="shared" si="5"/>
        <v>#REF!</v>
      </c>
      <c r="C1922" s="146"/>
      <c r="D1922" s="197"/>
      <c r="E1922" s="197"/>
      <c r="F1922" s="197"/>
      <c r="G1922" s="144"/>
      <c r="H1922" s="144"/>
      <c r="I1922" s="197"/>
      <c r="J1922" s="197"/>
      <c r="K1922" s="197"/>
      <c r="L1922" s="257"/>
    </row>
    <row r="1923" ht="22.5" customHeight="1">
      <c r="A1923" s="250"/>
      <c r="B1923" s="272" t="str">
        <f t="shared" si="5"/>
        <v>#REF!</v>
      </c>
      <c r="C1923" s="154"/>
      <c r="D1923" s="196"/>
      <c r="E1923" s="196"/>
      <c r="F1923" s="196"/>
      <c r="G1923" s="152"/>
      <c r="H1923" s="152"/>
      <c r="I1923" s="196"/>
      <c r="J1923" s="196"/>
      <c r="K1923" s="196"/>
      <c r="L1923" s="259"/>
    </row>
    <row r="1924" ht="22.5" customHeight="1">
      <c r="A1924" s="202"/>
      <c r="B1924" s="273" t="str">
        <f t="shared" si="5"/>
        <v>#REF!</v>
      </c>
      <c r="C1924" s="146"/>
      <c r="D1924" s="197"/>
      <c r="E1924" s="197"/>
      <c r="F1924" s="197"/>
      <c r="G1924" s="144"/>
      <c r="H1924" s="144"/>
      <c r="I1924" s="197"/>
      <c r="J1924" s="197"/>
      <c r="K1924" s="197"/>
      <c r="L1924" s="257"/>
    </row>
    <row r="1925" ht="22.5" customHeight="1">
      <c r="A1925" s="250"/>
      <c r="B1925" s="272" t="str">
        <f t="shared" si="5"/>
        <v>#REF!</v>
      </c>
      <c r="C1925" s="154"/>
      <c r="D1925" s="196"/>
      <c r="E1925" s="196"/>
      <c r="F1925" s="196"/>
      <c r="G1925" s="152"/>
      <c r="H1925" s="152"/>
      <c r="I1925" s="196"/>
      <c r="J1925" s="196"/>
      <c r="K1925" s="196"/>
      <c r="L1925" s="259"/>
    </row>
    <row r="1926" ht="22.5" customHeight="1">
      <c r="A1926" s="202"/>
      <c r="B1926" s="273" t="str">
        <f t="shared" si="5"/>
        <v>#REF!</v>
      </c>
      <c r="C1926" s="146"/>
      <c r="D1926" s="197"/>
      <c r="E1926" s="197"/>
      <c r="F1926" s="197"/>
      <c r="G1926" s="144"/>
      <c r="H1926" s="144"/>
      <c r="I1926" s="197"/>
      <c r="J1926" s="197"/>
      <c r="K1926" s="197"/>
      <c r="L1926" s="257"/>
    </row>
    <row r="1927" ht="22.5" customHeight="1">
      <c r="A1927" s="250"/>
      <c r="B1927" s="272" t="str">
        <f t="shared" si="5"/>
        <v>#REF!</v>
      </c>
      <c r="C1927" s="154"/>
      <c r="D1927" s="196"/>
      <c r="E1927" s="196"/>
      <c r="F1927" s="196"/>
      <c r="G1927" s="152"/>
      <c r="H1927" s="152"/>
      <c r="I1927" s="196"/>
      <c r="J1927" s="196"/>
      <c r="K1927" s="196"/>
      <c r="L1927" s="259"/>
    </row>
    <row r="1928" ht="22.5" customHeight="1">
      <c r="A1928" s="202"/>
      <c r="B1928" s="273" t="str">
        <f t="shared" si="5"/>
        <v>#REF!</v>
      </c>
      <c r="C1928" s="146"/>
      <c r="D1928" s="197"/>
      <c r="E1928" s="197"/>
      <c r="F1928" s="197"/>
      <c r="G1928" s="144"/>
      <c r="H1928" s="144"/>
      <c r="I1928" s="197"/>
      <c r="J1928" s="197"/>
      <c r="K1928" s="197"/>
      <c r="L1928" s="257"/>
    </row>
    <row r="1929" ht="22.5" customHeight="1">
      <c r="A1929" s="250"/>
      <c r="B1929" s="272" t="str">
        <f t="shared" si="5"/>
        <v>#REF!</v>
      </c>
      <c r="C1929" s="154"/>
      <c r="D1929" s="196"/>
      <c r="E1929" s="196"/>
      <c r="F1929" s="196"/>
      <c r="G1929" s="152"/>
      <c r="H1929" s="152"/>
      <c r="I1929" s="196"/>
      <c r="J1929" s="196"/>
      <c r="K1929" s="196"/>
      <c r="L1929" s="259"/>
    </row>
    <row r="1930" ht="22.5" customHeight="1">
      <c r="A1930" s="202"/>
      <c r="B1930" s="273" t="str">
        <f t="shared" si="5"/>
        <v>#REF!</v>
      </c>
      <c r="C1930" s="146"/>
      <c r="D1930" s="197"/>
      <c r="E1930" s="197"/>
      <c r="F1930" s="197"/>
      <c r="G1930" s="144"/>
      <c r="H1930" s="144"/>
      <c r="I1930" s="197"/>
      <c r="J1930" s="197"/>
      <c r="K1930" s="197"/>
      <c r="L1930" s="257"/>
    </row>
    <row r="1931" ht="22.5" customHeight="1">
      <c r="A1931" s="250"/>
      <c r="B1931" s="272" t="str">
        <f t="shared" si="5"/>
        <v>#REF!</v>
      </c>
      <c r="C1931" s="154"/>
      <c r="D1931" s="196"/>
      <c r="E1931" s="196"/>
      <c r="F1931" s="196"/>
      <c r="G1931" s="152"/>
      <c r="H1931" s="152"/>
      <c r="I1931" s="196"/>
      <c r="J1931" s="196"/>
      <c r="K1931" s="196"/>
      <c r="L1931" s="259"/>
    </row>
    <row r="1932" ht="22.5" customHeight="1">
      <c r="A1932" s="202"/>
      <c r="B1932" s="273" t="str">
        <f t="shared" si="5"/>
        <v>#REF!</v>
      </c>
      <c r="C1932" s="146"/>
      <c r="D1932" s="197"/>
      <c r="E1932" s="197"/>
      <c r="F1932" s="197"/>
      <c r="G1932" s="144"/>
      <c r="H1932" s="144"/>
      <c r="I1932" s="197"/>
      <c r="J1932" s="197"/>
      <c r="K1932" s="197"/>
      <c r="L1932" s="257"/>
    </row>
    <row r="1933" ht="22.5" customHeight="1">
      <c r="A1933" s="250"/>
      <c r="B1933" s="272" t="str">
        <f t="shared" si="5"/>
        <v>#REF!</v>
      </c>
      <c r="C1933" s="154"/>
      <c r="D1933" s="196"/>
      <c r="E1933" s="196"/>
      <c r="F1933" s="196"/>
      <c r="G1933" s="152"/>
      <c r="H1933" s="152"/>
      <c r="I1933" s="196"/>
      <c r="J1933" s="196"/>
      <c r="K1933" s="196"/>
      <c r="L1933" s="259"/>
    </row>
    <row r="1934" ht="22.5" customHeight="1">
      <c r="A1934" s="202"/>
      <c r="B1934" s="273" t="str">
        <f t="shared" si="5"/>
        <v>#REF!</v>
      </c>
      <c r="C1934" s="146"/>
      <c r="D1934" s="197"/>
      <c r="E1934" s="197"/>
      <c r="F1934" s="197"/>
      <c r="G1934" s="144"/>
      <c r="H1934" s="144"/>
      <c r="I1934" s="197"/>
      <c r="J1934" s="197"/>
      <c r="K1934" s="197"/>
      <c r="L1934" s="257"/>
    </row>
    <row r="1935" ht="22.5" customHeight="1">
      <c r="A1935" s="250"/>
      <c r="B1935" s="272" t="str">
        <f t="shared" si="5"/>
        <v>#REF!</v>
      </c>
      <c r="C1935" s="154"/>
      <c r="D1935" s="196"/>
      <c r="E1935" s="196"/>
      <c r="F1935" s="196"/>
      <c r="G1935" s="152"/>
      <c r="H1935" s="152"/>
      <c r="I1935" s="196"/>
      <c r="J1935" s="196"/>
      <c r="K1935" s="196"/>
      <c r="L1935" s="259"/>
    </row>
    <row r="1936" ht="22.5" customHeight="1">
      <c r="A1936" s="202"/>
      <c r="B1936" s="273" t="str">
        <f t="shared" si="5"/>
        <v>#REF!</v>
      </c>
      <c r="C1936" s="146"/>
      <c r="D1936" s="197"/>
      <c r="E1936" s="197"/>
      <c r="F1936" s="197"/>
      <c r="G1936" s="144"/>
      <c r="H1936" s="144"/>
      <c r="I1936" s="197"/>
      <c r="J1936" s="197"/>
      <c r="K1936" s="197"/>
      <c r="L1936" s="257"/>
    </row>
    <row r="1937" ht="22.5" customHeight="1">
      <c r="A1937" s="250"/>
      <c r="B1937" s="272" t="str">
        <f t="shared" si="5"/>
        <v>#REF!</v>
      </c>
      <c r="C1937" s="154"/>
      <c r="D1937" s="196"/>
      <c r="E1937" s="196"/>
      <c r="F1937" s="196"/>
      <c r="G1937" s="152"/>
      <c r="H1937" s="152"/>
      <c r="I1937" s="196"/>
      <c r="J1937" s="196"/>
      <c r="K1937" s="196"/>
      <c r="L1937" s="259"/>
    </row>
    <row r="1938" ht="22.5" customHeight="1">
      <c r="A1938" s="202"/>
      <c r="B1938" s="273" t="str">
        <f t="shared" si="5"/>
        <v>#REF!</v>
      </c>
      <c r="C1938" s="146"/>
      <c r="D1938" s="197"/>
      <c r="E1938" s="197"/>
      <c r="F1938" s="197"/>
      <c r="G1938" s="144"/>
      <c r="H1938" s="144"/>
      <c r="I1938" s="197"/>
      <c r="J1938" s="197"/>
      <c r="K1938" s="197"/>
      <c r="L1938" s="257"/>
    </row>
    <row r="1939" ht="22.5" customHeight="1">
      <c r="A1939" s="250"/>
      <c r="B1939" s="272" t="str">
        <f t="shared" si="5"/>
        <v>#REF!</v>
      </c>
      <c r="C1939" s="154"/>
      <c r="D1939" s="196"/>
      <c r="E1939" s="196"/>
      <c r="F1939" s="196"/>
      <c r="G1939" s="152"/>
      <c r="H1939" s="152"/>
      <c r="I1939" s="196"/>
      <c r="J1939" s="196"/>
      <c r="K1939" s="196"/>
      <c r="L1939" s="259"/>
    </row>
    <row r="1940" ht="22.5" customHeight="1">
      <c r="A1940" s="202"/>
      <c r="B1940" s="273" t="str">
        <f t="shared" si="5"/>
        <v>#REF!</v>
      </c>
      <c r="C1940" s="146"/>
      <c r="D1940" s="197"/>
      <c r="E1940" s="197"/>
      <c r="F1940" s="197"/>
      <c r="G1940" s="144"/>
      <c r="H1940" s="144"/>
      <c r="I1940" s="197"/>
      <c r="J1940" s="197"/>
      <c r="K1940" s="197"/>
      <c r="L1940" s="257"/>
    </row>
    <row r="1941" ht="22.5" customHeight="1">
      <c r="A1941" s="250"/>
      <c r="B1941" s="272" t="str">
        <f t="shared" si="5"/>
        <v>#REF!</v>
      </c>
      <c r="C1941" s="154"/>
      <c r="D1941" s="196"/>
      <c r="E1941" s="196"/>
      <c r="F1941" s="196"/>
      <c r="G1941" s="152"/>
      <c r="H1941" s="152"/>
      <c r="I1941" s="196"/>
      <c r="J1941" s="196"/>
      <c r="K1941" s="196"/>
      <c r="L1941" s="259"/>
    </row>
    <row r="1942" ht="22.5" customHeight="1">
      <c r="A1942" s="202"/>
      <c r="B1942" s="273" t="str">
        <f t="shared" si="5"/>
        <v>#REF!</v>
      </c>
      <c r="C1942" s="146"/>
      <c r="D1942" s="197"/>
      <c r="E1942" s="197"/>
      <c r="F1942" s="197"/>
      <c r="G1942" s="144"/>
      <c r="H1942" s="144"/>
      <c r="I1942" s="197"/>
      <c r="J1942" s="197"/>
      <c r="K1942" s="197"/>
      <c r="L1942" s="257"/>
    </row>
    <row r="1943" ht="22.5" customHeight="1">
      <c r="A1943" s="250"/>
      <c r="B1943" s="272" t="str">
        <f t="shared" si="5"/>
        <v>#REF!</v>
      </c>
      <c r="C1943" s="154"/>
      <c r="D1943" s="196"/>
      <c r="E1943" s="196"/>
      <c r="F1943" s="196"/>
      <c r="G1943" s="152"/>
      <c r="H1943" s="152"/>
      <c r="I1943" s="196"/>
      <c r="J1943" s="196"/>
      <c r="K1943" s="196"/>
      <c r="L1943" s="259"/>
    </row>
    <row r="1944" ht="22.5" customHeight="1">
      <c r="A1944" s="202"/>
      <c r="B1944" s="273" t="str">
        <f t="shared" si="5"/>
        <v>#REF!</v>
      </c>
      <c r="C1944" s="146"/>
      <c r="D1944" s="197"/>
      <c r="E1944" s="197"/>
      <c r="F1944" s="197"/>
      <c r="G1944" s="144"/>
      <c r="H1944" s="144"/>
      <c r="I1944" s="197"/>
      <c r="J1944" s="197"/>
      <c r="K1944" s="197"/>
      <c r="L1944" s="257"/>
    </row>
    <row r="1945" ht="22.5" customHeight="1">
      <c r="A1945" s="250"/>
      <c r="B1945" s="272" t="str">
        <f t="shared" si="5"/>
        <v>#REF!</v>
      </c>
      <c r="C1945" s="154"/>
      <c r="D1945" s="196"/>
      <c r="E1945" s="196"/>
      <c r="F1945" s="196"/>
      <c r="G1945" s="152"/>
      <c r="H1945" s="152"/>
      <c r="I1945" s="196"/>
      <c r="J1945" s="196"/>
      <c r="K1945" s="196"/>
      <c r="L1945" s="259"/>
    </row>
    <row r="1946" ht="22.5" customHeight="1">
      <c r="A1946" s="202"/>
      <c r="B1946" s="273" t="str">
        <f t="shared" si="5"/>
        <v>#REF!</v>
      </c>
      <c r="C1946" s="146"/>
      <c r="D1946" s="197"/>
      <c r="E1946" s="197"/>
      <c r="F1946" s="197"/>
      <c r="G1946" s="144"/>
      <c r="H1946" s="144"/>
      <c r="I1946" s="197"/>
      <c r="J1946" s="197"/>
      <c r="K1946" s="197"/>
      <c r="L1946" s="257"/>
    </row>
    <row r="1947" ht="22.5" customHeight="1">
      <c r="A1947" s="250"/>
      <c r="B1947" s="272" t="str">
        <f t="shared" si="5"/>
        <v>#REF!</v>
      </c>
      <c r="C1947" s="154"/>
      <c r="D1947" s="196"/>
      <c r="E1947" s="196"/>
      <c r="F1947" s="196"/>
      <c r="G1947" s="152"/>
      <c r="H1947" s="152"/>
      <c r="I1947" s="196"/>
      <c r="J1947" s="196"/>
      <c r="K1947" s="196"/>
      <c r="L1947" s="259"/>
    </row>
    <row r="1948" ht="22.5" customHeight="1">
      <c r="A1948" s="202"/>
      <c r="B1948" s="273" t="str">
        <f t="shared" si="5"/>
        <v>#REF!</v>
      </c>
      <c r="C1948" s="146"/>
      <c r="D1948" s="197"/>
      <c r="E1948" s="197"/>
      <c r="F1948" s="197"/>
      <c r="G1948" s="144"/>
      <c r="H1948" s="144"/>
      <c r="I1948" s="197"/>
      <c r="J1948" s="197"/>
      <c r="K1948" s="197"/>
      <c r="L1948" s="257"/>
    </row>
    <row r="1949" ht="22.5" customHeight="1">
      <c r="A1949" s="250"/>
      <c r="B1949" s="272" t="str">
        <f t="shared" si="5"/>
        <v>#REF!</v>
      </c>
      <c r="C1949" s="154"/>
      <c r="D1949" s="196"/>
      <c r="E1949" s="196"/>
      <c r="F1949" s="196"/>
      <c r="G1949" s="152"/>
      <c r="H1949" s="152"/>
      <c r="I1949" s="196"/>
      <c r="J1949" s="196"/>
      <c r="K1949" s="196"/>
      <c r="L1949" s="259"/>
    </row>
    <row r="1950" ht="22.5" customHeight="1">
      <c r="A1950" s="202"/>
      <c r="B1950" s="273" t="str">
        <f t="shared" si="5"/>
        <v>#REF!</v>
      </c>
      <c r="C1950" s="146"/>
      <c r="D1950" s="197"/>
      <c r="E1950" s="197"/>
      <c r="F1950" s="197"/>
      <c r="G1950" s="144"/>
      <c r="H1950" s="144"/>
      <c r="I1950" s="197"/>
      <c r="J1950" s="197"/>
      <c r="K1950" s="197"/>
      <c r="L1950" s="257"/>
    </row>
    <row r="1951" ht="22.5" customHeight="1">
      <c r="A1951" s="250"/>
      <c r="B1951" s="272" t="str">
        <f t="shared" si="5"/>
        <v>#REF!</v>
      </c>
      <c r="C1951" s="154"/>
      <c r="D1951" s="196"/>
      <c r="E1951" s="196"/>
      <c r="F1951" s="196"/>
      <c r="G1951" s="152"/>
      <c r="H1951" s="152"/>
      <c r="I1951" s="196"/>
      <c r="J1951" s="196"/>
      <c r="K1951" s="196"/>
      <c r="L1951" s="259"/>
    </row>
    <row r="1952" ht="22.5" customHeight="1">
      <c r="A1952" s="202"/>
      <c r="B1952" s="273" t="str">
        <f t="shared" si="5"/>
        <v>#REF!</v>
      </c>
      <c r="C1952" s="146"/>
      <c r="D1952" s="197"/>
      <c r="E1952" s="197"/>
      <c r="F1952" s="197"/>
      <c r="G1952" s="144"/>
      <c r="H1952" s="144"/>
      <c r="I1952" s="197"/>
      <c r="J1952" s="197"/>
      <c r="K1952" s="197"/>
      <c r="L1952" s="257"/>
    </row>
    <row r="1953" ht="22.5" customHeight="1">
      <c r="A1953" s="250"/>
      <c r="B1953" s="272" t="str">
        <f t="shared" si="5"/>
        <v>#REF!</v>
      </c>
      <c r="C1953" s="154"/>
      <c r="D1953" s="196"/>
      <c r="E1953" s="196"/>
      <c r="F1953" s="196"/>
      <c r="G1953" s="152"/>
      <c r="H1953" s="152"/>
      <c r="I1953" s="196"/>
      <c r="J1953" s="196"/>
      <c r="K1953" s="196"/>
      <c r="L1953" s="259"/>
    </row>
    <row r="1954" ht="22.5" customHeight="1">
      <c r="A1954" s="202"/>
      <c r="B1954" s="273" t="str">
        <f t="shared" si="5"/>
        <v>#REF!</v>
      </c>
      <c r="C1954" s="146"/>
      <c r="D1954" s="197"/>
      <c r="E1954" s="197"/>
      <c r="F1954" s="197"/>
      <c r="G1954" s="144"/>
      <c r="H1954" s="144"/>
      <c r="I1954" s="197"/>
      <c r="J1954" s="197"/>
      <c r="K1954" s="197"/>
      <c r="L1954" s="257"/>
    </row>
    <row r="1955" ht="22.5" customHeight="1">
      <c r="A1955" s="250"/>
      <c r="B1955" s="272" t="str">
        <f t="shared" si="5"/>
        <v>#REF!</v>
      </c>
      <c r="C1955" s="154"/>
      <c r="D1955" s="196"/>
      <c r="E1955" s="196"/>
      <c r="F1955" s="196"/>
      <c r="G1955" s="152"/>
      <c r="H1955" s="152"/>
      <c r="I1955" s="196"/>
      <c r="J1955" s="196"/>
      <c r="K1955" s="196"/>
      <c r="L1955" s="259"/>
    </row>
    <row r="1956" ht="22.5" customHeight="1">
      <c r="A1956" s="202"/>
      <c r="B1956" s="273" t="str">
        <f t="shared" si="5"/>
        <v>#REF!</v>
      </c>
      <c r="C1956" s="146"/>
      <c r="D1956" s="197"/>
      <c r="E1956" s="197"/>
      <c r="F1956" s="197"/>
      <c r="G1956" s="144"/>
      <c r="H1956" s="144"/>
      <c r="I1956" s="197"/>
      <c r="J1956" s="197"/>
      <c r="K1956" s="197"/>
      <c r="L1956" s="257"/>
    </row>
    <row r="1957" ht="22.5" customHeight="1">
      <c r="A1957" s="250"/>
      <c r="B1957" s="272" t="str">
        <f t="shared" si="5"/>
        <v>#REF!</v>
      </c>
      <c r="C1957" s="154"/>
      <c r="D1957" s="196"/>
      <c r="E1957" s="196"/>
      <c r="F1957" s="196"/>
      <c r="G1957" s="152"/>
      <c r="H1957" s="152"/>
      <c r="I1957" s="196"/>
      <c r="J1957" s="196"/>
      <c r="K1957" s="196"/>
      <c r="L1957" s="259"/>
    </row>
    <row r="1958" ht="22.5" customHeight="1">
      <c r="A1958" s="202"/>
      <c r="B1958" s="273" t="str">
        <f t="shared" si="5"/>
        <v>#REF!</v>
      </c>
      <c r="C1958" s="146"/>
      <c r="D1958" s="197"/>
      <c r="E1958" s="197"/>
      <c r="F1958" s="197"/>
      <c r="G1958" s="144"/>
      <c r="H1958" s="144"/>
      <c r="I1958" s="197"/>
      <c r="J1958" s="197"/>
      <c r="K1958" s="197"/>
      <c r="L1958" s="257"/>
    </row>
    <row r="1959" ht="22.5" customHeight="1">
      <c r="A1959" s="250"/>
      <c r="B1959" s="272" t="str">
        <f t="shared" si="5"/>
        <v>#REF!</v>
      </c>
      <c r="C1959" s="154"/>
      <c r="D1959" s="196"/>
      <c r="E1959" s="196"/>
      <c r="F1959" s="196"/>
      <c r="G1959" s="152"/>
      <c r="H1959" s="152"/>
      <c r="I1959" s="196"/>
      <c r="J1959" s="196"/>
      <c r="K1959" s="196"/>
      <c r="L1959" s="259"/>
    </row>
    <row r="1960" ht="22.5" customHeight="1">
      <c r="A1960" s="202"/>
      <c r="B1960" s="273" t="str">
        <f t="shared" si="5"/>
        <v>#REF!</v>
      </c>
      <c r="C1960" s="146"/>
      <c r="D1960" s="197"/>
      <c r="E1960" s="197"/>
      <c r="F1960" s="197"/>
      <c r="G1960" s="144"/>
      <c r="H1960" s="144"/>
      <c r="I1960" s="197"/>
      <c r="J1960" s="197"/>
      <c r="K1960" s="197"/>
      <c r="L1960" s="257"/>
    </row>
    <row r="1961" ht="22.5" customHeight="1">
      <c r="A1961" s="250"/>
      <c r="B1961" s="272" t="str">
        <f t="shared" si="5"/>
        <v>#REF!</v>
      </c>
      <c r="C1961" s="154"/>
      <c r="D1961" s="196"/>
      <c r="E1961" s="196"/>
      <c r="F1961" s="196"/>
      <c r="G1961" s="152"/>
      <c r="H1961" s="152"/>
      <c r="I1961" s="196"/>
      <c r="J1961" s="196"/>
      <c r="K1961" s="196"/>
      <c r="L1961" s="259"/>
    </row>
    <row r="1962" ht="22.5" customHeight="1">
      <c r="A1962" s="202"/>
      <c r="B1962" s="273" t="str">
        <f t="shared" si="5"/>
        <v>#REF!</v>
      </c>
      <c r="C1962" s="146"/>
      <c r="D1962" s="197"/>
      <c r="E1962" s="197"/>
      <c r="F1962" s="197"/>
      <c r="G1962" s="144"/>
      <c r="H1962" s="144"/>
      <c r="I1962" s="197"/>
      <c r="J1962" s="197"/>
      <c r="K1962" s="197"/>
      <c r="L1962" s="257"/>
    </row>
    <row r="1963" ht="22.5" customHeight="1">
      <c r="A1963" s="250"/>
      <c r="B1963" s="272" t="str">
        <f t="shared" si="5"/>
        <v>#REF!</v>
      </c>
      <c r="C1963" s="154"/>
      <c r="D1963" s="196"/>
      <c r="E1963" s="196"/>
      <c r="F1963" s="196"/>
      <c r="G1963" s="152"/>
      <c r="H1963" s="152"/>
      <c r="I1963" s="196"/>
      <c r="J1963" s="196"/>
      <c r="K1963" s="196"/>
      <c r="L1963" s="259"/>
    </row>
    <row r="1964" ht="22.5" customHeight="1">
      <c r="A1964" s="202"/>
      <c r="B1964" s="273" t="str">
        <f t="shared" si="5"/>
        <v>#REF!</v>
      </c>
      <c r="C1964" s="146"/>
      <c r="D1964" s="197"/>
      <c r="E1964" s="197"/>
      <c r="F1964" s="197"/>
      <c r="G1964" s="144"/>
      <c r="H1964" s="144"/>
      <c r="I1964" s="197"/>
      <c r="J1964" s="197"/>
      <c r="K1964" s="197"/>
      <c r="L1964" s="257"/>
    </row>
    <row r="1965" ht="22.5" customHeight="1">
      <c r="A1965" s="250"/>
      <c r="B1965" s="272" t="str">
        <f t="shared" si="5"/>
        <v>#REF!</v>
      </c>
      <c r="C1965" s="154"/>
      <c r="D1965" s="196"/>
      <c r="E1965" s="196"/>
      <c r="F1965" s="196"/>
      <c r="G1965" s="152"/>
      <c r="H1965" s="152"/>
      <c r="I1965" s="196"/>
      <c r="J1965" s="196"/>
      <c r="K1965" s="196"/>
      <c r="L1965" s="259"/>
    </row>
    <row r="1966" ht="22.5" customHeight="1">
      <c r="A1966" s="202"/>
      <c r="B1966" s="273" t="str">
        <f t="shared" si="5"/>
        <v>#REF!</v>
      </c>
      <c r="C1966" s="146"/>
      <c r="D1966" s="197"/>
      <c r="E1966" s="197"/>
      <c r="F1966" s="197"/>
      <c r="G1966" s="144"/>
      <c r="H1966" s="144"/>
      <c r="I1966" s="197"/>
      <c r="J1966" s="197"/>
      <c r="K1966" s="197"/>
      <c r="L1966" s="257"/>
    </row>
    <row r="1967" ht="22.5" customHeight="1">
      <c r="A1967" s="250"/>
      <c r="B1967" s="272" t="str">
        <f t="shared" si="5"/>
        <v>#REF!</v>
      </c>
      <c r="C1967" s="154"/>
      <c r="D1967" s="196"/>
      <c r="E1967" s="196"/>
      <c r="F1967" s="196"/>
      <c r="G1967" s="152"/>
      <c r="H1967" s="152"/>
      <c r="I1967" s="196"/>
      <c r="J1967" s="196"/>
      <c r="K1967" s="196"/>
      <c r="L1967" s="259"/>
    </row>
    <row r="1968" ht="22.5" customHeight="1">
      <c r="A1968" s="202"/>
      <c r="B1968" s="273" t="str">
        <f t="shared" si="5"/>
        <v>#REF!</v>
      </c>
      <c r="C1968" s="146"/>
      <c r="D1968" s="197"/>
      <c r="E1968" s="197"/>
      <c r="F1968" s="197"/>
      <c r="G1968" s="144"/>
      <c r="H1968" s="144"/>
      <c r="I1968" s="197"/>
      <c r="J1968" s="197"/>
      <c r="K1968" s="197"/>
      <c r="L1968" s="257"/>
    </row>
    <row r="1969" ht="22.5" customHeight="1">
      <c r="A1969" s="250"/>
      <c r="B1969" s="272" t="str">
        <f t="shared" si="5"/>
        <v>#REF!</v>
      </c>
      <c r="C1969" s="154"/>
      <c r="D1969" s="196"/>
      <c r="E1969" s="196"/>
      <c r="F1969" s="196"/>
      <c r="G1969" s="152"/>
      <c r="H1969" s="152"/>
      <c r="I1969" s="196"/>
      <c r="J1969" s="196"/>
      <c r="K1969" s="196"/>
      <c r="L1969" s="259"/>
    </row>
    <row r="1970" ht="22.5" customHeight="1">
      <c r="A1970" s="202"/>
      <c r="B1970" s="273" t="str">
        <f t="shared" si="5"/>
        <v>#REF!</v>
      </c>
      <c r="C1970" s="146"/>
      <c r="D1970" s="197"/>
      <c r="E1970" s="197"/>
      <c r="F1970" s="197"/>
      <c r="G1970" s="144"/>
      <c r="H1970" s="144"/>
      <c r="I1970" s="197"/>
      <c r="J1970" s="197"/>
      <c r="K1970" s="197"/>
      <c r="L1970" s="257"/>
    </row>
    <row r="1971" ht="22.5" customHeight="1">
      <c r="A1971" s="250"/>
      <c r="B1971" s="272" t="str">
        <f t="shared" si="5"/>
        <v>#REF!</v>
      </c>
      <c r="C1971" s="154"/>
      <c r="D1971" s="196"/>
      <c r="E1971" s="196"/>
      <c r="F1971" s="196"/>
      <c r="G1971" s="152"/>
      <c r="H1971" s="152"/>
      <c r="I1971" s="196"/>
      <c r="J1971" s="196"/>
      <c r="K1971" s="196"/>
      <c r="L1971" s="259"/>
    </row>
    <row r="1972" ht="22.5" customHeight="1">
      <c r="A1972" s="202"/>
      <c r="B1972" s="273" t="str">
        <f t="shared" si="5"/>
        <v>#REF!</v>
      </c>
      <c r="C1972" s="146"/>
      <c r="D1972" s="197"/>
      <c r="E1972" s="197"/>
      <c r="F1972" s="197"/>
      <c r="G1972" s="144"/>
      <c r="H1972" s="144"/>
      <c r="I1972" s="197"/>
      <c r="J1972" s="197"/>
      <c r="K1972" s="197"/>
      <c r="L1972" s="257"/>
    </row>
    <row r="1973" ht="22.5" customHeight="1">
      <c r="A1973" s="250"/>
      <c r="B1973" s="272" t="str">
        <f t="shared" si="5"/>
        <v>#REF!</v>
      </c>
      <c r="C1973" s="154"/>
      <c r="D1973" s="196"/>
      <c r="E1973" s="196"/>
      <c r="F1973" s="196"/>
      <c r="G1973" s="152"/>
      <c r="H1973" s="152"/>
      <c r="I1973" s="196"/>
      <c r="J1973" s="196"/>
      <c r="K1973" s="196"/>
      <c r="L1973" s="259"/>
    </row>
    <row r="1974" ht="22.5" customHeight="1">
      <c r="A1974" s="202"/>
      <c r="B1974" s="273" t="str">
        <f t="shared" si="5"/>
        <v>#REF!</v>
      </c>
      <c r="C1974" s="146"/>
      <c r="D1974" s="197"/>
      <c r="E1974" s="197"/>
      <c r="F1974" s="197"/>
      <c r="G1974" s="144"/>
      <c r="H1974" s="144"/>
      <c r="I1974" s="197"/>
      <c r="J1974" s="197"/>
      <c r="K1974" s="197"/>
      <c r="L1974" s="257"/>
    </row>
    <row r="1975" ht="22.5" customHeight="1">
      <c r="A1975" s="250"/>
      <c r="B1975" s="272" t="str">
        <f t="shared" si="5"/>
        <v>#REF!</v>
      </c>
      <c r="C1975" s="154"/>
      <c r="D1975" s="196"/>
      <c r="E1975" s="196"/>
      <c r="F1975" s="196"/>
      <c r="G1975" s="152"/>
      <c r="H1975" s="152"/>
      <c r="I1975" s="196"/>
      <c r="J1975" s="196"/>
      <c r="K1975" s="196"/>
      <c r="L1975" s="259"/>
    </row>
    <row r="1976" ht="22.5" customHeight="1">
      <c r="A1976" s="202"/>
      <c r="B1976" s="273" t="str">
        <f t="shared" si="5"/>
        <v>#REF!</v>
      </c>
      <c r="C1976" s="146"/>
      <c r="D1976" s="197"/>
      <c r="E1976" s="197"/>
      <c r="F1976" s="197"/>
      <c r="G1976" s="144"/>
      <c r="H1976" s="144"/>
      <c r="I1976" s="197"/>
      <c r="J1976" s="197"/>
      <c r="K1976" s="197"/>
      <c r="L1976" s="257"/>
    </row>
    <row r="1977" ht="22.5" customHeight="1">
      <c r="A1977" s="250"/>
      <c r="B1977" s="272" t="str">
        <f t="shared" si="5"/>
        <v>#REF!</v>
      </c>
      <c r="C1977" s="154"/>
      <c r="D1977" s="196"/>
      <c r="E1977" s="196"/>
      <c r="F1977" s="196"/>
      <c r="G1977" s="152"/>
      <c r="H1977" s="152"/>
      <c r="I1977" s="196"/>
      <c r="J1977" s="196"/>
      <c r="K1977" s="196"/>
      <c r="L1977" s="259"/>
    </row>
    <row r="1978" ht="22.5" customHeight="1">
      <c r="A1978" s="202"/>
      <c r="B1978" s="273" t="str">
        <f t="shared" si="5"/>
        <v>#REF!</v>
      </c>
      <c r="C1978" s="146"/>
      <c r="D1978" s="197"/>
      <c r="E1978" s="197"/>
      <c r="F1978" s="197"/>
      <c r="G1978" s="144"/>
      <c r="H1978" s="144"/>
      <c r="I1978" s="197"/>
      <c r="J1978" s="197"/>
      <c r="K1978" s="197"/>
      <c r="L1978" s="257"/>
    </row>
    <row r="1979" ht="22.5" customHeight="1">
      <c r="A1979" s="250"/>
      <c r="B1979" s="272" t="str">
        <f t="shared" si="5"/>
        <v>#REF!</v>
      </c>
      <c r="C1979" s="154"/>
      <c r="D1979" s="196"/>
      <c r="E1979" s="196"/>
      <c r="F1979" s="196"/>
      <c r="G1979" s="152"/>
      <c r="H1979" s="152"/>
      <c r="I1979" s="196"/>
      <c r="J1979" s="196"/>
      <c r="K1979" s="196"/>
      <c r="L1979" s="259"/>
    </row>
    <row r="1980" ht="22.5" customHeight="1">
      <c r="A1980" s="202"/>
      <c r="B1980" s="273" t="str">
        <f t="shared" si="5"/>
        <v>#REF!</v>
      </c>
      <c r="C1980" s="146"/>
      <c r="D1980" s="197"/>
      <c r="E1980" s="197"/>
      <c r="F1980" s="197"/>
      <c r="G1980" s="144"/>
      <c r="H1980" s="144"/>
      <c r="I1980" s="197"/>
      <c r="J1980" s="197"/>
      <c r="K1980" s="197"/>
      <c r="L1980" s="257"/>
    </row>
    <row r="1981" ht="22.5" customHeight="1">
      <c r="A1981" s="250"/>
      <c r="B1981" s="272" t="str">
        <f t="shared" si="5"/>
        <v>#REF!</v>
      </c>
      <c r="C1981" s="154"/>
      <c r="D1981" s="196"/>
      <c r="E1981" s="196"/>
      <c r="F1981" s="196"/>
      <c r="G1981" s="152"/>
      <c r="H1981" s="152"/>
      <c r="I1981" s="196"/>
      <c r="J1981" s="196"/>
      <c r="K1981" s="196"/>
      <c r="L1981" s="259"/>
    </row>
    <row r="1982" ht="22.5" customHeight="1">
      <c r="A1982" s="202"/>
      <c r="B1982" s="273" t="str">
        <f t="shared" si="5"/>
        <v>#REF!</v>
      </c>
      <c r="C1982" s="146"/>
      <c r="D1982" s="197"/>
      <c r="E1982" s="197"/>
      <c r="F1982" s="197"/>
      <c r="G1982" s="144"/>
      <c r="H1982" s="144"/>
      <c r="I1982" s="197"/>
      <c r="J1982" s="197"/>
      <c r="K1982" s="197"/>
      <c r="L1982" s="257"/>
    </row>
    <row r="1983" ht="22.5" customHeight="1">
      <c r="A1983" s="250"/>
      <c r="B1983" s="272" t="str">
        <f t="shared" si="5"/>
        <v>#REF!</v>
      </c>
      <c r="C1983" s="154"/>
      <c r="D1983" s="196"/>
      <c r="E1983" s="196"/>
      <c r="F1983" s="196"/>
      <c r="G1983" s="152"/>
      <c r="H1983" s="152"/>
      <c r="I1983" s="196"/>
      <c r="J1983" s="196"/>
      <c r="K1983" s="196"/>
      <c r="L1983" s="259"/>
    </row>
    <row r="1984" ht="22.5" customHeight="1">
      <c r="A1984" s="202"/>
      <c r="B1984" s="273" t="str">
        <f t="shared" si="5"/>
        <v>#REF!</v>
      </c>
      <c r="C1984" s="146"/>
      <c r="D1984" s="197"/>
      <c r="E1984" s="197"/>
      <c r="F1984" s="197"/>
      <c r="G1984" s="144"/>
      <c r="H1984" s="144"/>
      <c r="I1984" s="197"/>
      <c r="J1984" s="197"/>
      <c r="K1984" s="197"/>
      <c r="L1984" s="257"/>
    </row>
    <row r="1985" ht="22.5" customHeight="1">
      <c r="A1985" s="250"/>
      <c r="B1985" s="272" t="str">
        <f t="shared" si="5"/>
        <v>#REF!</v>
      </c>
      <c r="C1985" s="154"/>
      <c r="D1985" s="196"/>
      <c r="E1985" s="196"/>
      <c r="F1985" s="196"/>
      <c r="G1985" s="152"/>
      <c r="H1985" s="152"/>
      <c r="I1985" s="196"/>
      <c r="J1985" s="196"/>
      <c r="K1985" s="196"/>
      <c r="L1985" s="259"/>
    </row>
    <row r="1986" ht="22.5" customHeight="1">
      <c r="A1986" s="202"/>
      <c r="B1986" s="273" t="str">
        <f t="shared" si="5"/>
        <v>#REF!</v>
      </c>
      <c r="C1986" s="146"/>
      <c r="D1986" s="197"/>
      <c r="E1986" s="197"/>
      <c r="F1986" s="197"/>
      <c r="G1986" s="144"/>
      <c r="H1986" s="144"/>
      <c r="I1986" s="197"/>
      <c r="J1986" s="197"/>
      <c r="K1986" s="197"/>
      <c r="L1986" s="257"/>
    </row>
    <row r="1987" ht="22.5" customHeight="1">
      <c r="A1987" s="250"/>
      <c r="B1987" s="272" t="str">
        <f t="shared" si="5"/>
        <v>#REF!</v>
      </c>
      <c r="C1987" s="154"/>
      <c r="D1987" s="196"/>
      <c r="E1987" s="196"/>
      <c r="F1987" s="196"/>
      <c r="G1987" s="152"/>
      <c r="H1987" s="152"/>
      <c r="I1987" s="196"/>
      <c r="J1987" s="196"/>
      <c r="K1987" s="196"/>
      <c r="L1987" s="259"/>
    </row>
    <row r="1988" ht="22.5" customHeight="1">
      <c r="A1988" s="202"/>
      <c r="B1988" s="273" t="str">
        <f t="shared" si="5"/>
        <v>#REF!</v>
      </c>
      <c r="C1988" s="146"/>
      <c r="D1988" s="197"/>
      <c r="E1988" s="197"/>
      <c r="F1988" s="197"/>
      <c r="G1988" s="144"/>
      <c r="H1988" s="144"/>
      <c r="I1988" s="197"/>
      <c r="J1988" s="197"/>
      <c r="K1988" s="197"/>
      <c r="L1988" s="257"/>
    </row>
    <row r="1989" ht="22.5" customHeight="1">
      <c r="A1989" s="250"/>
      <c r="B1989" s="272" t="str">
        <f t="shared" si="5"/>
        <v>#REF!</v>
      </c>
      <c r="C1989" s="154"/>
      <c r="D1989" s="196"/>
      <c r="E1989" s="196"/>
      <c r="F1989" s="196"/>
      <c r="G1989" s="152"/>
      <c r="H1989" s="152"/>
      <c r="I1989" s="196"/>
      <c r="J1989" s="196"/>
      <c r="K1989" s="196"/>
      <c r="L1989" s="259"/>
    </row>
    <row r="1990" ht="22.5" customHeight="1">
      <c r="A1990" s="202"/>
      <c r="B1990" s="273" t="str">
        <f t="shared" si="5"/>
        <v>#REF!</v>
      </c>
      <c r="C1990" s="146"/>
      <c r="D1990" s="197"/>
      <c r="E1990" s="197"/>
      <c r="F1990" s="197"/>
      <c r="G1990" s="144"/>
      <c r="H1990" s="144"/>
      <c r="I1990" s="197"/>
      <c r="J1990" s="197"/>
      <c r="K1990" s="197"/>
      <c r="L1990" s="257"/>
    </row>
    <row r="1991" ht="22.5" customHeight="1">
      <c r="A1991" s="250"/>
      <c r="B1991" s="272" t="str">
        <f t="shared" si="5"/>
        <v>#REF!</v>
      </c>
      <c r="C1991" s="154"/>
      <c r="D1991" s="196"/>
      <c r="E1991" s="196"/>
      <c r="F1991" s="196"/>
      <c r="G1991" s="152"/>
      <c r="H1991" s="152"/>
      <c r="I1991" s="196"/>
      <c r="J1991" s="196"/>
      <c r="K1991" s="196"/>
      <c r="L1991" s="259"/>
    </row>
    <row r="1992" ht="22.5" customHeight="1">
      <c r="A1992" s="202"/>
      <c r="B1992" s="273" t="str">
        <f t="shared" si="5"/>
        <v>#REF!</v>
      </c>
      <c r="C1992" s="146"/>
      <c r="D1992" s="197"/>
      <c r="E1992" s="197"/>
      <c r="F1992" s="197"/>
      <c r="G1992" s="144"/>
      <c r="H1992" s="144"/>
      <c r="I1992" s="197"/>
      <c r="J1992" s="197"/>
      <c r="K1992" s="197"/>
      <c r="L1992" s="257"/>
    </row>
    <row r="1993" ht="22.5" customHeight="1">
      <c r="A1993" s="250"/>
      <c r="B1993" s="272" t="str">
        <f t="shared" si="5"/>
        <v>#REF!</v>
      </c>
      <c r="C1993" s="154"/>
      <c r="D1993" s="196"/>
      <c r="E1993" s="196"/>
      <c r="F1993" s="196"/>
      <c r="G1993" s="152"/>
      <c r="H1993" s="152"/>
      <c r="I1993" s="196"/>
      <c r="J1993" s="196"/>
      <c r="K1993" s="196"/>
      <c r="L1993" s="259"/>
    </row>
    <row r="1994" ht="22.5" customHeight="1">
      <c r="A1994" s="202"/>
      <c r="B1994" s="273" t="str">
        <f t="shared" si="5"/>
        <v>#REF!</v>
      </c>
      <c r="C1994" s="146"/>
      <c r="D1994" s="197"/>
      <c r="E1994" s="197"/>
      <c r="F1994" s="197"/>
      <c r="G1994" s="144"/>
      <c r="H1994" s="144"/>
      <c r="I1994" s="197"/>
      <c r="J1994" s="197"/>
      <c r="K1994" s="197"/>
      <c r="L1994" s="257"/>
    </row>
    <row r="1995" ht="22.5" customHeight="1">
      <c r="A1995" s="250"/>
      <c r="B1995" s="272" t="str">
        <f t="shared" si="5"/>
        <v>#REF!</v>
      </c>
      <c r="C1995" s="154"/>
      <c r="D1995" s="196"/>
      <c r="E1995" s="196"/>
      <c r="F1995" s="196"/>
      <c r="G1995" s="152"/>
      <c r="H1995" s="152"/>
      <c r="I1995" s="196"/>
      <c r="J1995" s="196"/>
      <c r="K1995" s="196"/>
      <c r="L1995" s="259"/>
    </row>
    <row r="1996" ht="22.5" customHeight="1">
      <c r="A1996" s="202"/>
      <c r="B1996" s="273" t="str">
        <f t="shared" si="5"/>
        <v>#REF!</v>
      </c>
      <c r="C1996" s="146"/>
      <c r="D1996" s="197"/>
      <c r="E1996" s="197"/>
      <c r="F1996" s="197"/>
      <c r="G1996" s="144"/>
      <c r="H1996" s="144"/>
      <c r="I1996" s="197"/>
      <c r="J1996" s="197"/>
      <c r="K1996" s="197"/>
      <c r="L1996" s="257"/>
    </row>
    <row r="1997" ht="22.5" customHeight="1">
      <c r="A1997" s="250"/>
      <c r="B1997" s="272" t="str">
        <f t="shared" si="5"/>
        <v>#REF!</v>
      </c>
      <c r="C1997" s="154"/>
      <c r="D1997" s="196"/>
      <c r="E1997" s="196"/>
      <c r="F1997" s="196"/>
      <c r="G1997" s="152"/>
      <c r="H1997" s="152"/>
      <c r="I1997" s="196"/>
      <c r="J1997" s="196"/>
      <c r="K1997" s="196"/>
      <c r="L1997" s="259"/>
    </row>
    <row r="1998" ht="22.5" customHeight="1">
      <c r="A1998" s="202"/>
      <c r="B1998" s="273" t="str">
        <f t="shared" si="5"/>
        <v>#REF!</v>
      </c>
      <c r="C1998" s="146"/>
      <c r="D1998" s="197"/>
      <c r="E1998" s="197"/>
      <c r="F1998" s="197"/>
      <c r="G1998" s="144"/>
      <c r="H1998" s="144"/>
      <c r="I1998" s="197"/>
      <c r="J1998" s="197"/>
      <c r="K1998" s="197"/>
      <c r="L1998" s="257"/>
    </row>
    <row r="1999" ht="22.5" customHeight="1">
      <c r="A1999" s="250"/>
      <c r="B1999" s="272" t="str">
        <f t="shared" si="5"/>
        <v>#REF!</v>
      </c>
      <c r="C1999" s="154"/>
      <c r="D1999" s="196"/>
      <c r="E1999" s="196"/>
      <c r="F1999" s="196"/>
      <c r="G1999" s="152"/>
      <c r="H1999" s="152"/>
      <c r="I1999" s="196"/>
      <c r="J1999" s="196"/>
      <c r="K1999" s="196"/>
      <c r="L1999" s="259"/>
    </row>
    <row r="2000" ht="22.5" customHeight="1">
      <c r="A2000" s="202"/>
      <c r="B2000" s="273" t="str">
        <f t="shared" si="5"/>
        <v>#REF!</v>
      </c>
      <c r="C2000" s="146"/>
      <c r="D2000" s="197"/>
      <c r="E2000" s="197"/>
      <c r="F2000" s="197"/>
      <c r="G2000" s="144"/>
      <c r="H2000" s="144"/>
      <c r="I2000" s="197"/>
      <c r="J2000" s="197"/>
      <c r="K2000" s="197"/>
      <c r="L2000" s="257"/>
    </row>
    <row r="2001" ht="22.5" customHeight="1">
      <c r="A2001" s="250"/>
      <c r="B2001" s="272" t="str">
        <f t="shared" si="5"/>
        <v>#REF!</v>
      </c>
      <c r="C2001" s="154"/>
      <c r="D2001" s="196"/>
      <c r="E2001" s="196"/>
      <c r="F2001" s="196"/>
      <c r="G2001" s="152"/>
      <c r="H2001" s="152"/>
      <c r="I2001" s="196"/>
      <c r="J2001" s="196"/>
      <c r="K2001" s="196"/>
      <c r="L2001" s="259"/>
    </row>
    <row r="2002" ht="22.5" customHeight="1">
      <c r="A2002" s="202"/>
      <c r="B2002" s="273" t="str">
        <f t="shared" si="5"/>
        <v>#REF!</v>
      </c>
      <c r="C2002" s="146"/>
      <c r="D2002" s="197"/>
      <c r="E2002" s="197"/>
      <c r="F2002" s="197"/>
      <c r="G2002" s="144"/>
      <c r="H2002" s="144"/>
      <c r="I2002" s="197"/>
      <c r="J2002" s="197"/>
      <c r="K2002" s="197"/>
      <c r="L2002" s="257"/>
    </row>
    <row r="2003" ht="22.5" customHeight="1">
      <c r="A2003" s="250"/>
      <c r="B2003" s="272" t="str">
        <f t="shared" si="5"/>
        <v>#REF!</v>
      </c>
      <c r="C2003" s="154"/>
      <c r="D2003" s="196"/>
      <c r="E2003" s="196"/>
      <c r="F2003" s="196"/>
      <c r="G2003" s="152"/>
      <c r="H2003" s="152"/>
      <c r="I2003" s="196"/>
      <c r="J2003" s="196"/>
      <c r="K2003" s="196"/>
      <c r="L2003" s="259"/>
    </row>
    <row r="2004" ht="22.5" customHeight="1">
      <c r="A2004" s="202"/>
      <c r="B2004" s="273" t="str">
        <f t="shared" si="5"/>
        <v>#REF!</v>
      </c>
      <c r="C2004" s="146"/>
      <c r="D2004" s="197"/>
      <c r="E2004" s="197"/>
      <c r="F2004" s="197"/>
      <c r="G2004" s="144"/>
      <c r="H2004" s="144"/>
      <c r="I2004" s="197"/>
      <c r="J2004" s="197"/>
      <c r="K2004" s="197"/>
      <c r="L2004" s="257"/>
    </row>
    <row r="2005" ht="22.5" customHeight="1">
      <c r="A2005" s="250"/>
      <c r="B2005" s="272" t="str">
        <f t="shared" si="5"/>
        <v>#REF!</v>
      </c>
      <c r="C2005" s="154"/>
      <c r="D2005" s="196"/>
      <c r="E2005" s="196"/>
      <c r="F2005" s="196"/>
      <c r="G2005" s="152"/>
      <c r="H2005" s="152"/>
      <c r="I2005" s="196"/>
      <c r="J2005" s="196"/>
      <c r="K2005" s="196"/>
      <c r="L2005" s="259"/>
    </row>
    <row r="2006" ht="22.5" customHeight="1">
      <c r="A2006" s="202"/>
      <c r="B2006" s="273" t="str">
        <f t="shared" si="5"/>
        <v>#REF!</v>
      </c>
      <c r="C2006" s="146"/>
      <c r="D2006" s="197"/>
      <c r="E2006" s="197"/>
      <c r="F2006" s="197"/>
      <c r="G2006" s="144"/>
      <c r="H2006" s="144"/>
      <c r="I2006" s="197"/>
      <c r="J2006" s="197"/>
      <c r="K2006" s="197"/>
      <c r="L2006" s="257"/>
    </row>
    <row r="2007" ht="22.5" customHeight="1">
      <c r="A2007" s="250"/>
      <c r="B2007" s="272" t="str">
        <f t="shared" si="5"/>
        <v>#REF!</v>
      </c>
      <c r="C2007" s="154"/>
      <c r="D2007" s="196"/>
      <c r="E2007" s="196"/>
      <c r="F2007" s="196"/>
      <c r="G2007" s="152"/>
      <c r="H2007" s="152"/>
      <c r="I2007" s="196"/>
      <c r="J2007" s="196"/>
      <c r="K2007" s="196"/>
      <c r="L2007" s="259"/>
    </row>
    <row r="2008" ht="22.5" customHeight="1">
      <c r="A2008" s="202"/>
      <c r="B2008" s="273" t="str">
        <f t="shared" si="5"/>
        <v>#REF!</v>
      </c>
      <c r="C2008" s="146"/>
      <c r="D2008" s="197"/>
      <c r="E2008" s="197"/>
      <c r="F2008" s="197"/>
      <c r="G2008" s="144"/>
      <c r="H2008" s="144"/>
      <c r="I2008" s="197"/>
      <c r="J2008" s="197"/>
      <c r="K2008" s="197"/>
      <c r="L2008" s="257"/>
    </row>
    <row r="2009" ht="22.5" customHeight="1">
      <c r="A2009" s="250"/>
      <c r="B2009" s="272" t="str">
        <f t="shared" si="5"/>
        <v>#REF!</v>
      </c>
      <c r="C2009" s="154"/>
      <c r="D2009" s="196"/>
      <c r="E2009" s="196"/>
      <c r="F2009" s="196"/>
      <c r="G2009" s="152"/>
      <c r="H2009" s="152"/>
      <c r="I2009" s="196"/>
      <c r="J2009" s="196"/>
      <c r="K2009" s="196"/>
      <c r="L2009" s="259"/>
    </row>
    <row r="2010" ht="22.5" customHeight="1">
      <c r="A2010" s="202"/>
      <c r="B2010" s="273" t="str">
        <f t="shared" si="5"/>
        <v>#REF!</v>
      </c>
      <c r="C2010" s="146"/>
      <c r="D2010" s="197"/>
      <c r="E2010" s="197"/>
      <c r="F2010" s="197"/>
      <c r="G2010" s="144"/>
      <c r="H2010" s="144"/>
      <c r="I2010" s="197"/>
      <c r="J2010" s="197"/>
      <c r="K2010" s="197"/>
      <c r="L2010" s="257"/>
    </row>
    <row r="2011" ht="22.5" customHeight="1">
      <c r="A2011" s="250"/>
      <c r="B2011" s="272" t="str">
        <f t="shared" si="5"/>
        <v>#REF!</v>
      </c>
      <c r="C2011" s="154"/>
      <c r="D2011" s="196"/>
      <c r="E2011" s="196"/>
      <c r="F2011" s="196"/>
      <c r="G2011" s="152"/>
      <c r="H2011" s="152"/>
      <c r="I2011" s="196"/>
      <c r="J2011" s="196"/>
      <c r="K2011" s="196"/>
      <c r="L2011" s="259"/>
    </row>
    <row r="2012" ht="22.5" customHeight="1">
      <c r="A2012" s="202"/>
      <c r="B2012" s="273" t="str">
        <f t="shared" si="5"/>
        <v>#REF!</v>
      </c>
      <c r="C2012" s="146"/>
      <c r="D2012" s="197"/>
      <c r="E2012" s="197"/>
      <c r="F2012" s="197"/>
      <c r="G2012" s="144"/>
      <c r="H2012" s="144"/>
      <c r="I2012" s="197"/>
      <c r="J2012" s="197"/>
      <c r="K2012" s="197"/>
      <c r="L2012" s="257"/>
    </row>
    <row r="2013" ht="22.5" customHeight="1">
      <c r="A2013" s="250"/>
      <c r="B2013" s="272" t="str">
        <f t="shared" si="5"/>
        <v>#REF!</v>
      </c>
      <c r="C2013" s="154"/>
      <c r="D2013" s="196"/>
      <c r="E2013" s="196"/>
      <c r="F2013" s="196"/>
      <c r="G2013" s="152"/>
      <c r="H2013" s="152"/>
      <c r="I2013" s="196"/>
      <c r="J2013" s="196"/>
      <c r="K2013" s="196"/>
      <c r="L2013" s="259"/>
    </row>
    <row r="2014" ht="22.5" customHeight="1">
      <c r="A2014" s="202"/>
      <c r="B2014" s="273" t="str">
        <f t="shared" si="5"/>
        <v>#REF!</v>
      </c>
      <c r="C2014" s="146"/>
      <c r="D2014" s="197"/>
      <c r="E2014" s="197"/>
      <c r="F2014" s="197"/>
      <c r="G2014" s="144"/>
      <c r="H2014" s="144"/>
      <c r="I2014" s="197"/>
      <c r="J2014" s="197"/>
      <c r="K2014" s="197"/>
      <c r="L2014" s="257"/>
    </row>
    <row r="2015" ht="22.5" customHeight="1">
      <c r="A2015" s="250"/>
      <c r="B2015" s="272" t="str">
        <f t="shared" si="5"/>
        <v>#REF!</v>
      </c>
      <c r="C2015" s="154"/>
      <c r="D2015" s="196"/>
      <c r="E2015" s="196"/>
      <c r="F2015" s="196"/>
      <c r="G2015" s="152"/>
      <c r="H2015" s="152"/>
      <c r="I2015" s="196"/>
      <c r="J2015" s="196"/>
      <c r="K2015" s="196"/>
      <c r="L2015" s="259"/>
    </row>
    <row r="2016" ht="22.5" customHeight="1">
      <c r="A2016" s="202"/>
      <c r="B2016" s="273" t="str">
        <f t="shared" si="5"/>
        <v>#REF!</v>
      </c>
      <c r="C2016" s="146"/>
      <c r="D2016" s="197"/>
      <c r="E2016" s="197"/>
      <c r="F2016" s="197"/>
      <c r="G2016" s="144"/>
      <c r="H2016" s="144"/>
      <c r="I2016" s="197"/>
      <c r="J2016" s="197"/>
      <c r="K2016" s="197"/>
      <c r="L2016" s="257"/>
    </row>
    <row r="2017" ht="22.5" customHeight="1">
      <c r="A2017" s="250"/>
      <c r="B2017" s="272" t="str">
        <f t="shared" si="5"/>
        <v>#REF!</v>
      </c>
      <c r="C2017" s="154"/>
      <c r="D2017" s="196"/>
      <c r="E2017" s="196"/>
      <c r="F2017" s="196"/>
      <c r="G2017" s="152"/>
      <c r="H2017" s="152"/>
      <c r="I2017" s="196"/>
      <c r="J2017" s="196"/>
      <c r="K2017" s="196"/>
      <c r="L2017" s="259"/>
    </row>
    <row r="2018" ht="22.5" customHeight="1">
      <c r="A2018" s="202"/>
      <c r="B2018" s="273" t="str">
        <f t="shared" si="5"/>
        <v>#REF!</v>
      </c>
      <c r="C2018" s="146"/>
      <c r="D2018" s="197"/>
      <c r="E2018" s="197"/>
      <c r="F2018" s="197"/>
      <c r="G2018" s="144"/>
      <c r="H2018" s="144"/>
      <c r="I2018" s="197"/>
      <c r="J2018" s="197"/>
      <c r="K2018" s="197"/>
      <c r="L2018" s="257"/>
    </row>
    <row r="2019" ht="22.5" customHeight="1">
      <c r="A2019" s="250"/>
      <c r="B2019" s="272" t="str">
        <f t="shared" si="5"/>
        <v>#REF!</v>
      </c>
      <c r="C2019" s="154"/>
      <c r="D2019" s="196"/>
      <c r="E2019" s="196"/>
      <c r="F2019" s="196"/>
      <c r="G2019" s="152"/>
      <c r="H2019" s="152"/>
      <c r="I2019" s="196"/>
      <c r="J2019" s="196"/>
      <c r="K2019" s="196"/>
      <c r="L2019" s="259"/>
    </row>
    <row r="2020" ht="22.5" customHeight="1">
      <c r="A2020" s="202"/>
      <c r="B2020" s="273" t="str">
        <f t="shared" si="5"/>
        <v>#REF!</v>
      </c>
      <c r="C2020" s="146"/>
      <c r="D2020" s="197"/>
      <c r="E2020" s="197"/>
      <c r="F2020" s="197"/>
      <c r="G2020" s="144"/>
      <c r="H2020" s="144"/>
      <c r="I2020" s="197"/>
      <c r="J2020" s="197"/>
      <c r="K2020" s="197"/>
      <c r="L2020" s="257"/>
    </row>
    <row r="2021" ht="22.5" customHeight="1">
      <c r="A2021" s="250"/>
      <c r="B2021" s="272" t="str">
        <f t="shared" si="5"/>
        <v>#REF!</v>
      </c>
      <c r="C2021" s="154"/>
      <c r="D2021" s="196"/>
      <c r="E2021" s="196"/>
      <c r="F2021" s="196"/>
      <c r="G2021" s="152"/>
      <c r="H2021" s="152"/>
      <c r="I2021" s="196"/>
      <c r="J2021" s="196"/>
      <c r="K2021" s="196"/>
      <c r="L2021" s="259"/>
    </row>
    <row r="2022" ht="22.5" customHeight="1">
      <c r="A2022" s="202"/>
      <c r="B2022" s="273" t="str">
        <f t="shared" si="5"/>
        <v>#REF!</v>
      </c>
      <c r="C2022" s="146"/>
      <c r="D2022" s="197"/>
      <c r="E2022" s="197"/>
      <c r="F2022" s="197"/>
      <c r="G2022" s="144"/>
      <c r="H2022" s="144"/>
      <c r="I2022" s="197"/>
      <c r="J2022" s="197"/>
      <c r="K2022" s="197"/>
      <c r="L2022" s="257"/>
    </row>
    <row r="2023" ht="22.5" customHeight="1">
      <c r="A2023" s="250"/>
      <c r="B2023" s="272" t="str">
        <f t="shared" si="5"/>
        <v>#REF!</v>
      </c>
      <c r="C2023" s="154"/>
      <c r="D2023" s="196"/>
      <c r="E2023" s="196"/>
      <c r="F2023" s="196"/>
      <c r="G2023" s="152"/>
      <c r="H2023" s="152"/>
      <c r="I2023" s="196"/>
      <c r="J2023" s="196"/>
      <c r="K2023" s="196"/>
      <c r="L2023" s="259"/>
    </row>
    <row r="2024" ht="22.5" customHeight="1">
      <c r="A2024" s="202"/>
      <c r="B2024" s="273" t="str">
        <f t="shared" si="5"/>
        <v>#REF!</v>
      </c>
      <c r="C2024" s="146"/>
      <c r="D2024" s="197"/>
      <c r="E2024" s="197"/>
      <c r="F2024" s="197"/>
      <c r="G2024" s="144"/>
      <c r="H2024" s="144"/>
      <c r="I2024" s="197"/>
      <c r="J2024" s="197"/>
      <c r="K2024" s="197"/>
      <c r="L2024" s="257"/>
    </row>
    <row r="2025" ht="22.5" customHeight="1">
      <c r="A2025" s="250"/>
      <c r="B2025" s="272" t="str">
        <f t="shared" si="5"/>
        <v>#REF!</v>
      </c>
      <c r="C2025" s="154"/>
      <c r="D2025" s="196"/>
      <c r="E2025" s="196"/>
      <c r="F2025" s="196"/>
      <c r="G2025" s="152"/>
      <c r="H2025" s="152"/>
      <c r="I2025" s="196"/>
      <c r="J2025" s="196"/>
      <c r="K2025" s="196"/>
      <c r="L2025" s="259"/>
    </row>
    <row r="2026" ht="22.5" customHeight="1">
      <c r="A2026" s="202"/>
      <c r="B2026" s="273" t="str">
        <f t="shared" si="5"/>
        <v>#REF!</v>
      </c>
      <c r="C2026" s="146"/>
      <c r="D2026" s="197"/>
      <c r="E2026" s="197"/>
      <c r="F2026" s="197"/>
      <c r="G2026" s="144"/>
      <c r="H2026" s="144"/>
      <c r="I2026" s="197"/>
      <c r="J2026" s="197"/>
      <c r="K2026" s="197"/>
      <c r="L2026" s="257"/>
    </row>
    <row r="2027" ht="22.5" customHeight="1">
      <c r="A2027" s="250"/>
      <c r="B2027" s="272" t="str">
        <f t="shared" si="5"/>
        <v>#REF!</v>
      </c>
      <c r="C2027" s="154"/>
      <c r="D2027" s="196"/>
      <c r="E2027" s="196"/>
      <c r="F2027" s="196"/>
      <c r="G2027" s="152"/>
      <c r="H2027" s="152"/>
      <c r="I2027" s="196"/>
      <c r="J2027" s="196"/>
      <c r="K2027" s="196"/>
      <c r="L2027" s="259"/>
    </row>
    <row r="2028" ht="22.5" customHeight="1">
      <c r="A2028" s="202"/>
      <c r="B2028" s="273" t="str">
        <f t="shared" si="5"/>
        <v>#REF!</v>
      </c>
      <c r="C2028" s="146"/>
      <c r="D2028" s="197"/>
      <c r="E2028" s="197"/>
      <c r="F2028" s="197"/>
      <c r="G2028" s="144"/>
      <c r="H2028" s="144"/>
      <c r="I2028" s="197"/>
      <c r="J2028" s="197"/>
      <c r="K2028" s="197"/>
      <c r="L2028" s="257"/>
    </row>
    <row r="2029" ht="22.5" customHeight="1">
      <c r="A2029" s="250"/>
      <c r="B2029" s="272" t="str">
        <f t="shared" si="5"/>
        <v>#REF!</v>
      </c>
      <c r="C2029" s="154"/>
      <c r="D2029" s="196"/>
      <c r="E2029" s="196"/>
      <c r="F2029" s="196"/>
      <c r="G2029" s="152"/>
      <c r="H2029" s="152"/>
      <c r="I2029" s="196"/>
      <c r="J2029" s="196"/>
      <c r="K2029" s="196"/>
      <c r="L2029" s="259"/>
    </row>
    <row r="2030" ht="22.5" customHeight="1">
      <c r="A2030" s="202"/>
      <c r="B2030" s="273" t="str">
        <f t="shared" si="5"/>
        <v>#REF!</v>
      </c>
      <c r="C2030" s="146"/>
      <c r="D2030" s="197"/>
      <c r="E2030" s="197"/>
      <c r="F2030" s="197"/>
      <c r="G2030" s="144"/>
      <c r="H2030" s="144"/>
      <c r="I2030" s="197"/>
      <c r="J2030" s="197"/>
      <c r="K2030" s="197"/>
      <c r="L2030" s="257"/>
    </row>
    <row r="2031" ht="22.5" customHeight="1">
      <c r="A2031" s="250"/>
      <c r="B2031" s="272" t="str">
        <f t="shared" si="5"/>
        <v>#REF!</v>
      </c>
      <c r="C2031" s="154"/>
      <c r="D2031" s="196"/>
      <c r="E2031" s="196"/>
      <c r="F2031" s="196"/>
      <c r="G2031" s="152"/>
      <c r="H2031" s="152"/>
      <c r="I2031" s="196"/>
      <c r="J2031" s="196"/>
      <c r="K2031" s="196"/>
      <c r="L2031" s="259"/>
    </row>
    <row r="2032" ht="22.5" customHeight="1">
      <c r="A2032" s="202"/>
      <c r="B2032" s="273" t="str">
        <f t="shared" si="5"/>
        <v>#REF!</v>
      </c>
      <c r="C2032" s="146"/>
      <c r="D2032" s="197"/>
      <c r="E2032" s="197"/>
      <c r="F2032" s="197"/>
      <c r="G2032" s="144"/>
      <c r="H2032" s="144"/>
      <c r="I2032" s="197"/>
      <c r="J2032" s="197"/>
      <c r="K2032" s="197"/>
      <c r="L2032" s="257"/>
    </row>
    <row r="2033" ht="22.5" customHeight="1">
      <c r="A2033" s="250"/>
      <c r="B2033" s="272" t="str">
        <f t="shared" si="5"/>
        <v>#REF!</v>
      </c>
      <c r="C2033" s="154"/>
      <c r="D2033" s="196"/>
      <c r="E2033" s="196"/>
      <c r="F2033" s="196"/>
      <c r="G2033" s="152"/>
      <c r="H2033" s="152"/>
      <c r="I2033" s="196"/>
      <c r="J2033" s="196"/>
      <c r="K2033" s="196"/>
      <c r="L2033" s="259"/>
    </row>
    <row r="2034" ht="22.5" customHeight="1">
      <c r="A2034" s="202"/>
      <c r="B2034" s="273" t="str">
        <f t="shared" si="5"/>
        <v>#REF!</v>
      </c>
      <c r="C2034" s="146"/>
      <c r="D2034" s="197"/>
      <c r="E2034" s="197"/>
      <c r="F2034" s="197"/>
      <c r="G2034" s="144"/>
      <c r="H2034" s="144"/>
      <c r="I2034" s="197"/>
      <c r="J2034" s="197"/>
      <c r="K2034" s="197"/>
      <c r="L2034" s="257"/>
    </row>
    <row r="2035" ht="22.5" customHeight="1">
      <c r="A2035" s="250"/>
      <c r="B2035" s="272" t="str">
        <f t="shared" si="5"/>
        <v>#REF!</v>
      </c>
      <c r="C2035" s="154"/>
      <c r="D2035" s="196"/>
      <c r="E2035" s="196"/>
      <c r="F2035" s="196"/>
      <c r="G2035" s="152"/>
      <c r="H2035" s="152"/>
      <c r="I2035" s="196"/>
      <c r="J2035" s="196"/>
      <c r="K2035" s="196"/>
      <c r="L2035" s="259"/>
    </row>
    <row r="2036" ht="22.5" customHeight="1">
      <c r="A2036" s="202"/>
      <c r="B2036" s="273" t="str">
        <f t="shared" si="5"/>
        <v>#REF!</v>
      </c>
      <c r="C2036" s="146"/>
      <c r="D2036" s="197"/>
      <c r="E2036" s="197"/>
      <c r="F2036" s="197"/>
      <c r="G2036" s="144"/>
      <c r="H2036" s="144"/>
      <c r="I2036" s="197"/>
      <c r="J2036" s="197"/>
      <c r="K2036" s="197"/>
      <c r="L2036" s="257"/>
    </row>
    <row r="2037" ht="22.5" customHeight="1">
      <c r="A2037" s="250"/>
      <c r="B2037" s="272" t="str">
        <f t="shared" si="5"/>
        <v>#REF!</v>
      </c>
      <c r="C2037" s="154"/>
      <c r="D2037" s="196"/>
      <c r="E2037" s="196"/>
      <c r="F2037" s="196"/>
      <c r="G2037" s="152"/>
      <c r="H2037" s="152"/>
      <c r="I2037" s="196"/>
      <c r="J2037" s="196"/>
      <c r="K2037" s="196"/>
      <c r="L2037" s="259"/>
    </row>
    <row r="2038" ht="22.5" customHeight="1">
      <c r="A2038" s="202"/>
      <c r="B2038" s="273" t="str">
        <f t="shared" si="5"/>
        <v>#REF!</v>
      </c>
      <c r="C2038" s="146"/>
      <c r="D2038" s="197"/>
      <c r="E2038" s="197"/>
      <c r="F2038" s="197"/>
      <c r="G2038" s="144"/>
      <c r="H2038" s="144"/>
      <c r="I2038" s="197"/>
      <c r="J2038" s="197"/>
      <c r="K2038" s="197"/>
      <c r="L2038" s="257"/>
    </row>
    <row r="2039" ht="22.5" customHeight="1">
      <c r="A2039" s="250"/>
      <c r="B2039" s="272" t="str">
        <f t="shared" si="5"/>
        <v>#REF!</v>
      </c>
      <c r="C2039" s="154"/>
      <c r="D2039" s="196"/>
      <c r="E2039" s="196"/>
      <c r="F2039" s="196"/>
      <c r="G2039" s="152"/>
      <c r="H2039" s="152"/>
      <c r="I2039" s="196"/>
      <c r="J2039" s="196"/>
      <c r="K2039" s="196"/>
      <c r="L2039" s="259"/>
    </row>
    <row r="2040" ht="22.5" customHeight="1">
      <c r="A2040" s="202"/>
      <c r="B2040" s="273" t="str">
        <f t="shared" si="5"/>
        <v>#REF!</v>
      </c>
      <c r="C2040" s="146"/>
      <c r="D2040" s="197"/>
      <c r="E2040" s="197"/>
      <c r="F2040" s="197"/>
      <c r="G2040" s="144"/>
      <c r="H2040" s="144"/>
      <c r="I2040" s="197"/>
      <c r="J2040" s="197"/>
      <c r="K2040" s="197"/>
      <c r="L2040" s="257"/>
    </row>
    <row r="2041" ht="22.5" customHeight="1">
      <c r="A2041" s="250"/>
      <c r="B2041" s="272" t="str">
        <f t="shared" si="5"/>
        <v>#REF!</v>
      </c>
      <c r="C2041" s="154"/>
      <c r="D2041" s="196"/>
      <c r="E2041" s="196"/>
      <c r="F2041" s="196"/>
      <c r="G2041" s="152"/>
      <c r="H2041" s="152"/>
      <c r="I2041" s="196"/>
      <c r="J2041" s="196"/>
      <c r="K2041" s="196"/>
      <c r="L2041" s="259"/>
    </row>
    <row r="2042" ht="22.5" customHeight="1">
      <c r="A2042" s="202"/>
      <c r="B2042" s="273" t="str">
        <f t="shared" si="5"/>
        <v>#REF!</v>
      </c>
      <c r="C2042" s="146"/>
      <c r="D2042" s="197"/>
      <c r="E2042" s="197"/>
      <c r="F2042" s="197"/>
      <c r="G2042" s="144"/>
      <c r="H2042" s="144"/>
      <c r="I2042" s="197"/>
      <c r="J2042" s="197"/>
      <c r="K2042" s="197"/>
      <c r="L2042" s="257"/>
    </row>
    <row r="2043" ht="22.5" customHeight="1">
      <c r="A2043" s="250"/>
      <c r="B2043" s="272" t="str">
        <f t="shared" si="5"/>
        <v>#REF!</v>
      </c>
      <c r="C2043" s="154"/>
      <c r="D2043" s="196"/>
      <c r="E2043" s="196"/>
      <c r="F2043" s="196"/>
      <c r="G2043" s="152"/>
      <c r="H2043" s="152"/>
      <c r="I2043" s="196"/>
      <c r="J2043" s="196"/>
      <c r="K2043" s="196"/>
      <c r="L2043" s="259"/>
    </row>
    <row r="2044" ht="22.5" customHeight="1">
      <c r="A2044" s="202"/>
      <c r="B2044" s="273" t="str">
        <f t="shared" si="5"/>
        <v>#REF!</v>
      </c>
      <c r="C2044" s="146"/>
      <c r="D2044" s="197"/>
      <c r="E2044" s="197"/>
      <c r="F2044" s="197"/>
      <c r="G2044" s="144"/>
      <c r="H2044" s="144"/>
      <c r="I2044" s="197"/>
      <c r="J2044" s="197"/>
      <c r="K2044" s="197"/>
      <c r="L2044" s="257"/>
    </row>
    <row r="2045" ht="22.5" customHeight="1">
      <c r="A2045" s="250"/>
      <c r="B2045" s="272" t="str">
        <f t="shared" si="5"/>
        <v>#REF!</v>
      </c>
      <c r="C2045" s="154"/>
      <c r="D2045" s="196"/>
      <c r="E2045" s="196"/>
      <c r="F2045" s="196"/>
      <c r="G2045" s="152"/>
      <c r="H2045" s="152"/>
      <c r="I2045" s="196"/>
      <c r="J2045" s="196"/>
      <c r="K2045" s="196"/>
      <c r="L2045" s="259"/>
    </row>
    <row r="2046" ht="22.5" customHeight="1">
      <c r="A2046" s="202"/>
      <c r="B2046" s="273" t="str">
        <f t="shared" si="5"/>
        <v>#REF!</v>
      </c>
      <c r="C2046" s="146"/>
      <c r="D2046" s="197"/>
      <c r="E2046" s="197"/>
      <c r="F2046" s="197"/>
      <c r="G2046" s="144"/>
      <c r="H2046" s="144"/>
      <c r="I2046" s="197"/>
      <c r="J2046" s="197"/>
      <c r="K2046" s="197"/>
      <c r="L2046" s="257"/>
    </row>
    <row r="2047" ht="22.5" customHeight="1">
      <c r="A2047" s="250"/>
      <c r="B2047" s="272" t="str">
        <f t="shared" si="5"/>
        <v>#REF!</v>
      </c>
      <c r="C2047" s="154"/>
      <c r="D2047" s="196"/>
      <c r="E2047" s="196"/>
      <c r="F2047" s="196"/>
      <c r="G2047" s="152"/>
      <c r="H2047" s="152"/>
      <c r="I2047" s="196"/>
      <c r="J2047" s="196"/>
      <c r="K2047" s="196"/>
      <c r="L2047" s="259"/>
    </row>
    <row r="2048" ht="22.5" customHeight="1">
      <c r="A2048" s="202"/>
      <c r="B2048" s="273" t="str">
        <f t="shared" si="5"/>
        <v>#REF!</v>
      </c>
      <c r="C2048" s="146"/>
      <c r="D2048" s="197"/>
      <c r="E2048" s="197"/>
      <c r="F2048" s="197"/>
      <c r="G2048" s="144"/>
      <c r="H2048" s="144"/>
      <c r="I2048" s="197"/>
      <c r="J2048" s="197"/>
      <c r="K2048" s="197"/>
      <c r="L2048" s="257"/>
    </row>
    <row r="2049" ht="22.5" customHeight="1">
      <c r="A2049" s="250"/>
      <c r="B2049" s="272" t="str">
        <f t="shared" si="5"/>
        <v>#REF!</v>
      </c>
      <c r="C2049" s="154"/>
      <c r="D2049" s="196"/>
      <c r="E2049" s="196"/>
      <c r="F2049" s="196"/>
      <c r="G2049" s="152"/>
      <c r="H2049" s="152"/>
      <c r="I2049" s="196"/>
      <c r="J2049" s="196"/>
      <c r="K2049" s="196"/>
      <c r="L2049" s="259"/>
    </row>
    <row r="2050" ht="22.5" customHeight="1">
      <c r="A2050" s="202"/>
      <c r="B2050" s="273" t="str">
        <f t="shared" si="5"/>
        <v>#REF!</v>
      </c>
      <c r="C2050" s="146"/>
      <c r="D2050" s="197"/>
      <c r="E2050" s="197"/>
      <c r="F2050" s="197"/>
      <c r="G2050" s="144"/>
      <c r="H2050" s="144"/>
      <c r="I2050" s="197"/>
      <c r="J2050" s="197"/>
      <c r="K2050" s="197"/>
      <c r="L2050" s="257"/>
    </row>
    <row r="2051" ht="22.5" customHeight="1">
      <c r="A2051" s="250"/>
      <c r="B2051" s="272" t="str">
        <f t="shared" si="5"/>
        <v>#REF!</v>
      </c>
      <c r="C2051" s="154"/>
      <c r="D2051" s="196"/>
      <c r="E2051" s="196"/>
      <c r="F2051" s="196"/>
      <c r="G2051" s="152"/>
      <c r="H2051" s="152"/>
      <c r="I2051" s="196"/>
      <c r="J2051" s="196"/>
      <c r="K2051" s="196"/>
      <c r="L2051" s="259"/>
    </row>
    <row r="2052" ht="22.5" customHeight="1">
      <c r="A2052" s="202"/>
      <c r="B2052" s="273" t="str">
        <f t="shared" si="5"/>
        <v>#REF!</v>
      </c>
      <c r="C2052" s="146"/>
      <c r="D2052" s="197"/>
      <c r="E2052" s="197"/>
      <c r="F2052" s="197"/>
      <c r="G2052" s="144"/>
      <c r="H2052" s="144"/>
      <c r="I2052" s="197"/>
      <c r="J2052" s="197"/>
      <c r="K2052" s="197"/>
      <c r="L2052" s="257"/>
    </row>
    <row r="2053" ht="22.5" customHeight="1">
      <c r="A2053" s="250"/>
      <c r="B2053" s="272" t="str">
        <f t="shared" si="5"/>
        <v>#REF!</v>
      </c>
      <c r="C2053" s="154"/>
      <c r="D2053" s="196"/>
      <c r="E2053" s="196"/>
      <c r="F2053" s="196"/>
      <c r="G2053" s="152"/>
      <c r="H2053" s="152"/>
      <c r="I2053" s="196"/>
      <c r="J2053" s="196"/>
      <c r="K2053" s="196"/>
      <c r="L2053" s="259"/>
    </row>
    <row r="2054" ht="22.5" customHeight="1">
      <c r="A2054" s="202"/>
      <c r="B2054" s="273" t="str">
        <f t="shared" si="5"/>
        <v>#REF!</v>
      </c>
      <c r="C2054" s="146"/>
      <c r="D2054" s="197"/>
      <c r="E2054" s="197"/>
      <c r="F2054" s="197"/>
      <c r="G2054" s="144"/>
      <c r="H2054" s="144"/>
      <c r="I2054" s="197"/>
      <c r="J2054" s="197"/>
      <c r="K2054" s="197"/>
      <c r="L2054" s="257"/>
    </row>
    <row r="2055" ht="22.5" customHeight="1">
      <c r="A2055" s="250"/>
      <c r="B2055" s="272" t="str">
        <f t="shared" si="5"/>
        <v>#REF!</v>
      </c>
      <c r="C2055" s="154"/>
      <c r="D2055" s="196"/>
      <c r="E2055" s="196"/>
      <c r="F2055" s="196"/>
      <c r="G2055" s="152"/>
      <c r="H2055" s="152"/>
      <c r="I2055" s="196"/>
      <c r="J2055" s="196"/>
      <c r="K2055" s="196"/>
      <c r="L2055" s="259"/>
    </row>
    <row r="2056" ht="22.5" customHeight="1">
      <c r="A2056" s="202"/>
      <c r="B2056" s="273" t="str">
        <f t="shared" si="5"/>
        <v>#REF!</v>
      </c>
      <c r="C2056" s="146"/>
      <c r="D2056" s="197"/>
      <c r="E2056" s="197"/>
      <c r="F2056" s="197"/>
      <c r="G2056" s="144"/>
      <c r="H2056" s="144"/>
      <c r="I2056" s="197"/>
      <c r="J2056" s="197"/>
      <c r="K2056" s="197"/>
      <c r="L2056" s="257"/>
    </row>
    <row r="2057" ht="22.5" customHeight="1">
      <c r="A2057" s="250"/>
      <c r="B2057" s="272" t="str">
        <f t="shared" si="5"/>
        <v>#REF!</v>
      </c>
      <c r="C2057" s="154"/>
      <c r="D2057" s="196"/>
      <c r="E2057" s="196"/>
      <c r="F2057" s="196"/>
      <c r="G2057" s="152"/>
      <c r="H2057" s="152"/>
      <c r="I2057" s="196"/>
      <c r="J2057" s="196"/>
      <c r="K2057" s="196"/>
      <c r="L2057" s="259"/>
    </row>
    <row r="2058" ht="22.5" customHeight="1">
      <c r="A2058" s="202"/>
      <c r="B2058" s="273" t="str">
        <f t="shared" si="5"/>
        <v>#REF!</v>
      </c>
      <c r="C2058" s="146"/>
      <c r="D2058" s="197"/>
      <c r="E2058" s="197"/>
      <c r="F2058" s="197"/>
      <c r="G2058" s="144"/>
      <c r="H2058" s="144"/>
      <c r="I2058" s="197"/>
      <c r="J2058" s="197"/>
      <c r="K2058" s="197"/>
      <c r="L2058" s="257"/>
    </row>
    <row r="2059" ht="22.5" customHeight="1">
      <c r="A2059" s="250"/>
      <c r="B2059" s="272" t="str">
        <f t="shared" si="5"/>
        <v>#REF!</v>
      </c>
      <c r="C2059" s="154"/>
      <c r="D2059" s="196"/>
      <c r="E2059" s="196"/>
      <c r="F2059" s="196"/>
      <c r="G2059" s="152"/>
      <c r="H2059" s="152"/>
      <c r="I2059" s="196"/>
      <c r="J2059" s="196"/>
      <c r="K2059" s="196"/>
      <c r="L2059" s="259"/>
    </row>
    <row r="2060" ht="22.5" customHeight="1">
      <c r="A2060" s="202"/>
      <c r="B2060" s="273" t="str">
        <f t="shared" si="5"/>
        <v>#REF!</v>
      </c>
      <c r="C2060" s="146"/>
      <c r="D2060" s="197"/>
      <c r="E2060" s="197"/>
      <c r="F2060" s="197"/>
      <c r="G2060" s="144"/>
      <c r="H2060" s="144"/>
      <c r="I2060" s="197"/>
      <c r="J2060" s="197"/>
      <c r="K2060" s="197"/>
      <c r="L2060" s="257"/>
    </row>
    <row r="2061" ht="22.5" customHeight="1">
      <c r="A2061" s="250"/>
      <c r="B2061" s="272" t="str">
        <f t="shared" si="5"/>
        <v>#REF!</v>
      </c>
      <c r="C2061" s="154"/>
      <c r="D2061" s="196"/>
      <c r="E2061" s="196"/>
      <c r="F2061" s="196"/>
      <c r="G2061" s="152"/>
      <c r="H2061" s="152"/>
      <c r="I2061" s="196"/>
      <c r="J2061" s="196"/>
      <c r="K2061" s="196"/>
      <c r="L2061" s="259"/>
    </row>
    <row r="2062" ht="22.5" customHeight="1">
      <c r="A2062" s="202"/>
      <c r="B2062" s="273" t="str">
        <f t="shared" si="5"/>
        <v>#REF!</v>
      </c>
      <c r="C2062" s="146"/>
      <c r="D2062" s="197"/>
      <c r="E2062" s="197"/>
      <c r="F2062" s="197"/>
      <c r="G2062" s="144"/>
      <c r="H2062" s="144"/>
      <c r="I2062" s="197"/>
      <c r="J2062" s="197"/>
      <c r="K2062" s="197"/>
      <c r="L2062" s="257"/>
    </row>
    <row r="2063" ht="22.5" customHeight="1">
      <c r="A2063" s="250"/>
      <c r="B2063" s="272" t="str">
        <f t="shared" si="5"/>
        <v>#REF!</v>
      </c>
      <c r="C2063" s="154"/>
      <c r="D2063" s="196"/>
      <c r="E2063" s="196"/>
      <c r="F2063" s="196"/>
      <c r="G2063" s="152"/>
      <c r="H2063" s="152"/>
      <c r="I2063" s="196"/>
      <c r="J2063" s="196"/>
      <c r="K2063" s="196"/>
      <c r="L2063" s="259"/>
    </row>
    <row r="2064" ht="22.5" customHeight="1">
      <c r="A2064" s="202"/>
      <c r="B2064" s="273" t="str">
        <f t="shared" si="5"/>
        <v>#REF!</v>
      </c>
      <c r="C2064" s="146"/>
      <c r="D2064" s="197"/>
      <c r="E2064" s="197"/>
      <c r="F2064" s="197"/>
      <c r="G2064" s="144"/>
      <c r="H2064" s="144"/>
      <c r="I2064" s="197"/>
      <c r="J2064" s="197"/>
      <c r="K2064" s="197"/>
      <c r="L2064" s="257"/>
    </row>
    <row r="2065" ht="22.5" customHeight="1">
      <c r="A2065" s="250"/>
      <c r="B2065" s="272" t="str">
        <f t="shared" si="5"/>
        <v>#REF!</v>
      </c>
      <c r="C2065" s="154"/>
      <c r="D2065" s="196"/>
      <c r="E2065" s="196"/>
      <c r="F2065" s="196"/>
      <c r="G2065" s="152"/>
      <c r="H2065" s="152"/>
      <c r="I2065" s="196"/>
      <c r="J2065" s="196"/>
      <c r="K2065" s="196"/>
      <c r="L2065" s="259"/>
    </row>
    <row r="2066" ht="22.5" customHeight="1">
      <c r="A2066" s="202"/>
      <c r="B2066" s="273" t="str">
        <f t="shared" si="5"/>
        <v>#REF!</v>
      </c>
      <c r="C2066" s="146"/>
      <c r="D2066" s="197"/>
      <c r="E2066" s="197"/>
      <c r="F2066" s="197"/>
      <c r="G2066" s="144"/>
      <c r="H2066" s="144"/>
      <c r="I2066" s="197"/>
      <c r="J2066" s="197"/>
      <c r="K2066" s="197"/>
      <c r="L2066" s="257"/>
    </row>
    <row r="2067" ht="22.5" customHeight="1">
      <c r="A2067" s="250"/>
      <c r="B2067" s="272" t="str">
        <f t="shared" si="5"/>
        <v>#REF!</v>
      </c>
      <c r="C2067" s="154"/>
      <c r="D2067" s="196"/>
      <c r="E2067" s="196"/>
      <c r="F2067" s="196"/>
      <c r="G2067" s="152"/>
      <c r="H2067" s="152"/>
      <c r="I2067" s="196"/>
      <c r="J2067" s="196"/>
      <c r="K2067" s="196"/>
      <c r="L2067" s="259"/>
    </row>
    <row r="2068" ht="22.5" customHeight="1">
      <c r="A2068" s="202"/>
      <c r="B2068" s="273" t="str">
        <f t="shared" si="5"/>
        <v>#REF!</v>
      </c>
      <c r="C2068" s="146"/>
      <c r="D2068" s="197"/>
      <c r="E2068" s="197"/>
      <c r="F2068" s="197"/>
      <c r="G2068" s="144"/>
      <c r="H2068" s="144"/>
      <c r="I2068" s="197"/>
      <c r="J2068" s="197"/>
      <c r="K2068" s="197"/>
      <c r="L2068" s="257"/>
    </row>
    <row r="2069" ht="22.5" customHeight="1">
      <c r="A2069" s="250"/>
      <c r="B2069" s="272" t="str">
        <f t="shared" si="5"/>
        <v>#REF!</v>
      </c>
      <c r="C2069" s="154"/>
      <c r="D2069" s="196"/>
      <c r="E2069" s="196"/>
      <c r="F2069" s="196"/>
      <c r="G2069" s="152"/>
      <c r="H2069" s="152"/>
      <c r="I2069" s="196"/>
      <c r="J2069" s="196"/>
      <c r="K2069" s="196"/>
      <c r="L2069" s="259"/>
    </row>
    <row r="2070" ht="22.5" customHeight="1">
      <c r="A2070" s="202"/>
      <c r="B2070" s="273" t="str">
        <f t="shared" si="5"/>
        <v>#REF!</v>
      </c>
      <c r="C2070" s="146"/>
      <c r="D2070" s="197"/>
      <c r="E2070" s="197"/>
      <c r="F2070" s="197"/>
      <c r="G2070" s="144"/>
      <c r="H2070" s="144"/>
      <c r="I2070" s="197"/>
      <c r="J2070" s="197"/>
      <c r="K2070" s="197"/>
      <c r="L2070" s="257"/>
    </row>
    <row r="2071" ht="22.5" customHeight="1">
      <c r="A2071" s="250"/>
      <c r="B2071" s="272" t="str">
        <f t="shared" si="5"/>
        <v>#REF!</v>
      </c>
      <c r="C2071" s="154"/>
      <c r="D2071" s="196"/>
      <c r="E2071" s="196"/>
      <c r="F2071" s="196"/>
      <c r="G2071" s="152"/>
      <c r="H2071" s="152"/>
      <c r="I2071" s="196"/>
      <c r="J2071" s="196"/>
      <c r="K2071" s="196"/>
      <c r="L2071" s="259"/>
    </row>
    <row r="2072" ht="22.5" customHeight="1">
      <c r="A2072" s="202"/>
      <c r="B2072" s="273" t="str">
        <f t="shared" si="5"/>
        <v>#REF!</v>
      </c>
      <c r="C2072" s="146"/>
      <c r="D2072" s="197"/>
      <c r="E2072" s="197"/>
      <c r="F2072" s="197"/>
      <c r="G2072" s="144"/>
      <c r="H2072" s="144"/>
      <c r="I2072" s="197"/>
      <c r="J2072" s="197"/>
      <c r="K2072" s="197"/>
      <c r="L2072" s="257"/>
    </row>
    <row r="2073" ht="22.5" customHeight="1">
      <c r="A2073" s="250"/>
      <c r="B2073" s="272" t="str">
        <f t="shared" si="5"/>
        <v>#REF!</v>
      </c>
      <c r="C2073" s="154"/>
      <c r="D2073" s="196"/>
      <c r="E2073" s="196"/>
      <c r="F2073" s="196"/>
      <c r="G2073" s="152"/>
      <c r="H2073" s="152"/>
      <c r="I2073" s="196"/>
      <c r="J2073" s="196"/>
      <c r="K2073" s="196"/>
      <c r="L2073" s="259"/>
    </row>
    <row r="2074" ht="22.5" customHeight="1">
      <c r="A2074" s="202"/>
      <c r="B2074" s="273" t="str">
        <f t="shared" si="5"/>
        <v>#REF!</v>
      </c>
      <c r="C2074" s="146"/>
      <c r="D2074" s="197"/>
      <c r="E2074" s="197"/>
      <c r="F2074" s="197"/>
      <c r="G2074" s="144"/>
      <c r="H2074" s="144"/>
      <c r="I2074" s="197"/>
      <c r="J2074" s="197"/>
      <c r="K2074" s="197"/>
      <c r="L2074" s="257"/>
    </row>
    <row r="2075" ht="22.5" customHeight="1">
      <c r="A2075" s="250"/>
      <c r="B2075" s="272" t="str">
        <f t="shared" si="5"/>
        <v>#REF!</v>
      </c>
      <c r="C2075" s="154"/>
      <c r="D2075" s="196"/>
      <c r="E2075" s="196"/>
      <c r="F2075" s="196"/>
      <c r="G2075" s="152"/>
      <c r="H2075" s="152"/>
      <c r="I2075" s="196"/>
      <c r="J2075" s="196"/>
      <c r="K2075" s="196"/>
      <c r="L2075" s="259"/>
    </row>
    <row r="2076" ht="22.5" customHeight="1">
      <c r="A2076" s="202"/>
      <c r="B2076" s="273" t="str">
        <f t="shared" si="5"/>
        <v>#REF!</v>
      </c>
      <c r="C2076" s="146"/>
      <c r="D2076" s="197"/>
      <c r="E2076" s="197"/>
      <c r="F2076" s="197"/>
      <c r="G2076" s="144"/>
      <c r="H2076" s="144"/>
      <c r="I2076" s="197"/>
      <c r="J2076" s="197"/>
      <c r="K2076" s="197"/>
      <c r="L2076" s="257"/>
    </row>
    <row r="2077" ht="22.5" customHeight="1">
      <c r="A2077" s="250"/>
      <c r="B2077" s="272" t="str">
        <f t="shared" si="5"/>
        <v>#REF!</v>
      </c>
      <c r="C2077" s="154"/>
      <c r="D2077" s="196"/>
      <c r="E2077" s="196"/>
      <c r="F2077" s="196"/>
      <c r="G2077" s="152"/>
      <c r="H2077" s="152"/>
      <c r="I2077" s="196"/>
      <c r="J2077" s="196"/>
      <c r="K2077" s="196"/>
      <c r="L2077" s="259"/>
    </row>
    <row r="2078" ht="22.5" customHeight="1">
      <c r="A2078" s="202"/>
      <c r="B2078" s="273" t="str">
        <f t="shared" si="5"/>
        <v>#REF!</v>
      </c>
      <c r="C2078" s="146"/>
      <c r="D2078" s="197"/>
      <c r="E2078" s="197"/>
      <c r="F2078" s="197"/>
      <c r="G2078" s="144"/>
      <c r="H2078" s="144"/>
      <c r="I2078" s="197"/>
      <c r="J2078" s="197"/>
      <c r="K2078" s="197"/>
      <c r="L2078" s="257"/>
    </row>
    <row r="2079" ht="22.5" customHeight="1">
      <c r="A2079" s="250"/>
      <c r="B2079" s="272" t="str">
        <f t="shared" si="5"/>
        <v>#REF!</v>
      </c>
      <c r="C2079" s="154"/>
      <c r="D2079" s="196"/>
      <c r="E2079" s="196"/>
      <c r="F2079" s="196"/>
      <c r="G2079" s="152"/>
      <c r="H2079" s="152"/>
      <c r="I2079" s="196"/>
      <c r="J2079" s="196"/>
      <c r="K2079" s="196"/>
      <c r="L2079" s="259"/>
    </row>
    <row r="2080" ht="22.5" customHeight="1">
      <c r="A2080" s="202"/>
      <c r="B2080" s="273" t="str">
        <f t="shared" si="5"/>
        <v>#REF!</v>
      </c>
      <c r="C2080" s="146"/>
      <c r="D2080" s="197"/>
      <c r="E2080" s="197"/>
      <c r="F2080" s="197"/>
      <c r="G2080" s="144"/>
      <c r="H2080" s="144"/>
      <c r="I2080" s="197"/>
      <c r="J2080" s="197"/>
      <c r="K2080" s="197"/>
      <c r="L2080" s="257"/>
    </row>
    <row r="2081" ht="22.5" customHeight="1">
      <c r="A2081" s="250"/>
      <c r="B2081" s="272" t="str">
        <f t="shared" si="5"/>
        <v>#REF!</v>
      </c>
      <c r="C2081" s="154"/>
      <c r="D2081" s="196"/>
      <c r="E2081" s="196"/>
      <c r="F2081" s="196"/>
      <c r="G2081" s="152"/>
      <c r="H2081" s="152"/>
      <c r="I2081" s="196"/>
      <c r="J2081" s="196"/>
      <c r="K2081" s="196"/>
      <c r="L2081" s="259"/>
    </row>
    <row r="2082" ht="22.5" customHeight="1">
      <c r="A2082" s="202"/>
      <c r="B2082" s="273" t="str">
        <f t="shared" si="5"/>
        <v>#REF!</v>
      </c>
      <c r="C2082" s="146"/>
      <c r="D2082" s="197"/>
      <c r="E2082" s="197"/>
      <c r="F2082" s="197"/>
      <c r="G2082" s="144"/>
      <c r="H2082" s="144"/>
      <c r="I2082" s="197"/>
      <c r="J2082" s="197"/>
      <c r="K2082" s="197"/>
      <c r="L2082" s="257"/>
    </row>
    <row r="2083" ht="22.5" customHeight="1">
      <c r="A2083" s="250"/>
      <c r="B2083" s="272" t="str">
        <f t="shared" si="5"/>
        <v>#REF!</v>
      </c>
      <c r="C2083" s="154"/>
      <c r="D2083" s="196"/>
      <c r="E2083" s="196"/>
      <c r="F2083" s="196"/>
      <c r="G2083" s="152"/>
      <c r="H2083" s="152"/>
      <c r="I2083" s="196"/>
      <c r="J2083" s="196"/>
      <c r="K2083" s="196"/>
      <c r="L2083" s="259"/>
    </row>
    <row r="2084" ht="22.5" customHeight="1">
      <c r="A2084" s="202"/>
      <c r="B2084" s="273" t="str">
        <f t="shared" si="5"/>
        <v>#REF!</v>
      </c>
      <c r="C2084" s="146"/>
      <c r="D2084" s="197"/>
      <c r="E2084" s="197"/>
      <c r="F2084" s="197"/>
      <c r="G2084" s="144"/>
      <c r="H2084" s="144"/>
      <c r="I2084" s="197"/>
      <c r="J2084" s="197"/>
      <c r="K2084" s="197"/>
      <c r="L2084" s="257"/>
    </row>
    <row r="2085" ht="22.5" customHeight="1">
      <c r="A2085" s="250"/>
      <c r="B2085" s="272" t="str">
        <f t="shared" si="5"/>
        <v>#REF!</v>
      </c>
      <c r="C2085" s="154"/>
      <c r="D2085" s="196"/>
      <c r="E2085" s="196"/>
      <c r="F2085" s="196"/>
      <c r="G2085" s="152"/>
      <c r="H2085" s="152"/>
      <c r="I2085" s="196"/>
      <c r="J2085" s="196"/>
      <c r="K2085" s="196"/>
      <c r="L2085" s="259"/>
    </row>
    <row r="2086" ht="22.5" customHeight="1">
      <c r="A2086" s="202"/>
      <c r="B2086" s="273" t="str">
        <f t="shared" si="5"/>
        <v>#REF!</v>
      </c>
      <c r="C2086" s="146"/>
      <c r="D2086" s="197"/>
      <c r="E2086" s="197"/>
      <c r="F2086" s="197"/>
      <c r="G2086" s="144"/>
      <c r="H2086" s="144"/>
      <c r="I2086" s="197"/>
      <c r="J2086" s="197"/>
      <c r="K2086" s="197"/>
      <c r="L2086" s="257"/>
    </row>
    <row r="2087" ht="22.5" customHeight="1">
      <c r="A2087" s="250"/>
      <c r="B2087" s="272" t="str">
        <f t="shared" si="5"/>
        <v>#REF!</v>
      </c>
      <c r="C2087" s="154"/>
      <c r="D2087" s="196"/>
      <c r="E2087" s="196"/>
      <c r="F2087" s="196"/>
      <c r="G2087" s="152"/>
      <c r="H2087" s="152"/>
      <c r="I2087" s="196"/>
      <c r="J2087" s="196"/>
      <c r="K2087" s="196"/>
      <c r="L2087" s="259"/>
    </row>
    <row r="2088" ht="22.5" customHeight="1">
      <c r="A2088" s="202"/>
      <c r="B2088" s="273" t="str">
        <f t="shared" si="5"/>
        <v>#REF!</v>
      </c>
      <c r="C2088" s="146"/>
      <c r="D2088" s="197"/>
      <c r="E2088" s="197"/>
      <c r="F2088" s="197"/>
      <c r="G2088" s="144"/>
      <c r="H2088" s="144"/>
      <c r="I2088" s="197"/>
      <c r="J2088" s="197"/>
      <c r="K2088" s="197"/>
      <c r="L2088" s="257"/>
    </row>
    <row r="2089" ht="22.5" customHeight="1">
      <c r="A2089" s="250"/>
      <c r="B2089" s="272" t="str">
        <f t="shared" si="5"/>
        <v>#REF!</v>
      </c>
      <c r="C2089" s="154"/>
      <c r="D2089" s="196"/>
      <c r="E2089" s="196"/>
      <c r="F2089" s="196"/>
      <c r="G2089" s="152"/>
      <c r="H2089" s="152"/>
      <c r="I2089" s="196"/>
      <c r="J2089" s="196"/>
      <c r="K2089" s="196"/>
      <c r="L2089" s="259"/>
    </row>
    <row r="2090" ht="22.5" customHeight="1">
      <c r="A2090" s="202"/>
      <c r="B2090" s="273" t="str">
        <f t="shared" si="5"/>
        <v>#REF!</v>
      </c>
      <c r="C2090" s="146"/>
      <c r="D2090" s="197"/>
      <c r="E2090" s="197"/>
      <c r="F2090" s="197"/>
      <c r="G2090" s="144"/>
      <c r="H2090" s="144"/>
      <c r="I2090" s="197"/>
      <c r="J2090" s="197"/>
      <c r="K2090" s="197"/>
      <c r="L2090" s="257"/>
    </row>
    <row r="2091" ht="22.5" customHeight="1">
      <c r="A2091" s="250"/>
      <c r="B2091" s="272" t="str">
        <f t="shared" si="5"/>
        <v>#REF!</v>
      </c>
      <c r="C2091" s="154"/>
      <c r="D2091" s="196"/>
      <c r="E2091" s="196"/>
      <c r="F2091" s="196"/>
      <c r="G2091" s="152"/>
      <c r="H2091" s="152"/>
      <c r="I2091" s="196"/>
      <c r="J2091" s="196"/>
      <c r="K2091" s="196"/>
      <c r="L2091" s="259"/>
    </row>
    <row r="2092" ht="22.5" customHeight="1">
      <c r="A2092" s="202"/>
      <c r="B2092" s="273" t="str">
        <f t="shared" si="5"/>
        <v>#REF!</v>
      </c>
      <c r="C2092" s="146"/>
      <c r="D2092" s="197"/>
      <c r="E2092" s="197"/>
      <c r="F2092" s="197"/>
      <c r="G2092" s="144"/>
      <c r="H2092" s="144"/>
      <c r="I2092" s="197"/>
      <c r="J2092" s="197"/>
      <c r="K2092" s="197"/>
      <c r="L2092" s="257"/>
    </row>
    <row r="2093" ht="22.5" customHeight="1">
      <c r="A2093" s="250"/>
      <c r="B2093" s="272" t="str">
        <f t="shared" si="5"/>
        <v>#REF!</v>
      </c>
      <c r="C2093" s="154"/>
      <c r="D2093" s="196"/>
      <c r="E2093" s="196"/>
      <c r="F2093" s="196"/>
      <c r="G2093" s="152"/>
      <c r="H2093" s="152"/>
      <c r="I2093" s="196"/>
      <c r="J2093" s="196"/>
      <c r="K2093" s="196"/>
      <c r="L2093" s="259"/>
    </row>
    <row r="2094" ht="22.5" customHeight="1">
      <c r="A2094" s="202"/>
      <c r="B2094" s="273" t="str">
        <f t="shared" si="5"/>
        <v>#REF!</v>
      </c>
      <c r="C2094" s="146"/>
      <c r="D2094" s="197"/>
      <c r="E2094" s="197"/>
      <c r="F2094" s="197"/>
      <c r="G2094" s="144"/>
      <c r="H2094" s="144"/>
      <c r="I2094" s="197"/>
      <c r="J2094" s="197"/>
      <c r="K2094" s="197"/>
      <c r="L2094" s="257"/>
    </row>
    <row r="2095" ht="22.5" customHeight="1">
      <c r="A2095" s="250"/>
      <c r="B2095" s="272" t="str">
        <f t="shared" si="5"/>
        <v>#REF!</v>
      </c>
      <c r="C2095" s="154"/>
      <c r="D2095" s="196"/>
      <c r="E2095" s="196"/>
      <c r="F2095" s="196"/>
      <c r="G2095" s="152"/>
      <c r="H2095" s="152"/>
      <c r="I2095" s="196"/>
      <c r="J2095" s="196"/>
      <c r="K2095" s="196"/>
      <c r="L2095" s="259"/>
    </row>
    <row r="2096" ht="22.5" customHeight="1">
      <c r="A2096" s="202"/>
      <c r="B2096" s="273" t="str">
        <f t="shared" si="5"/>
        <v>#REF!</v>
      </c>
      <c r="C2096" s="146"/>
      <c r="D2096" s="197"/>
      <c r="E2096" s="197"/>
      <c r="F2096" s="197"/>
      <c r="G2096" s="144"/>
      <c r="H2096" s="144"/>
      <c r="I2096" s="197"/>
      <c r="J2096" s="197"/>
      <c r="K2096" s="197"/>
      <c r="L2096" s="257"/>
    </row>
    <row r="2097" ht="22.5" customHeight="1">
      <c r="A2097" s="250"/>
      <c r="B2097" s="272" t="str">
        <f t="shared" si="5"/>
        <v>#REF!</v>
      </c>
      <c r="C2097" s="154"/>
      <c r="D2097" s="196"/>
      <c r="E2097" s="196"/>
      <c r="F2097" s="196"/>
      <c r="G2097" s="152"/>
      <c r="H2097" s="152"/>
      <c r="I2097" s="196"/>
      <c r="J2097" s="196"/>
      <c r="K2097" s="196"/>
      <c r="L2097" s="259"/>
    </row>
    <row r="2098" ht="22.5" customHeight="1">
      <c r="A2098" s="202"/>
      <c r="B2098" s="273" t="str">
        <f t="shared" si="5"/>
        <v>#REF!</v>
      </c>
      <c r="C2098" s="146"/>
      <c r="D2098" s="197"/>
      <c r="E2098" s="197"/>
      <c r="F2098" s="197"/>
      <c r="G2098" s="144"/>
      <c r="H2098" s="144"/>
      <c r="I2098" s="197"/>
      <c r="J2098" s="197"/>
      <c r="K2098" s="197"/>
      <c r="L2098" s="257"/>
    </row>
    <row r="2099" ht="22.5" customHeight="1">
      <c r="A2099" s="250"/>
      <c r="B2099" s="272" t="str">
        <f t="shared" si="5"/>
        <v>#REF!</v>
      </c>
      <c r="C2099" s="154"/>
      <c r="D2099" s="196"/>
      <c r="E2099" s="196"/>
      <c r="F2099" s="196"/>
      <c r="G2099" s="152"/>
      <c r="H2099" s="152"/>
      <c r="I2099" s="196"/>
      <c r="J2099" s="196"/>
      <c r="K2099" s="196"/>
      <c r="L2099" s="259"/>
    </row>
    <row r="2100" ht="22.5" customHeight="1">
      <c r="A2100" s="202"/>
      <c r="B2100" s="273" t="str">
        <f t="shared" si="5"/>
        <v>#REF!</v>
      </c>
      <c r="C2100" s="146"/>
      <c r="D2100" s="197"/>
      <c r="E2100" s="197"/>
      <c r="F2100" s="197"/>
      <c r="G2100" s="144"/>
      <c r="H2100" s="144"/>
      <c r="I2100" s="197"/>
      <c r="J2100" s="197"/>
      <c r="K2100" s="197"/>
      <c r="L2100" s="257"/>
    </row>
    <row r="2101" ht="22.5" customHeight="1">
      <c r="A2101" s="250"/>
      <c r="B2101" s="272" t="str">
        <f t="shared" si="5"/>
        <v>#REF!</v>
      </c>
      <c r="C2101" s="154"/>
      <c r="D2101" s="196"/>
      <c r="E2101" s="196"/>
      <c r="F2101" s="196"/>
      <c r="G2101" s="152"/>
      <c r="H2101" s="152"/>
      <c r="I2101" s="196"/>
      <c r="J2101" s="196"/>
      <c r="K2101" s="196"/>
      <c r="L2101" s="259"/>
    </row>
    <row r="2102" ht="22.5" customHeight="1">
      <c r="A2102" s="202"/>
      <c r="B2102" s="273" t="str">
        <f t="shared" si="5"/>
        <v>#REF!</v>
      </c>
      <c r="C2102" s="146"/>
      <c r="D2102" s="197"/>
      <c r="E2102" s="197"/>
      <c r="F2102" s="197"/>
      <c r="G2102" s="144"/>
      <c r="H2102" s="144"/>
      <c r="I2102" s="197"/>
      <c r="J2102" s="197"/>
      <c r="K2102" s="197"/>
      <c r="L2102" s="257"/>
    </row>
    <row r="2103" ht="22.5" customHeight="1">
      <c r="A2103" s="250"/>
      <c r="B2103" s="272" t="str">
        <f t="shared" si="5"/>
        <v>#REF!</v>
      </c>
      <c r="C2103" s="154"/>
      <c r="D2103" s="196"/>
      <c r="E2103" s="196"/>
      <c r="F2103" s="196"/>
      <c r="G2103" s="152"/>
      <c r="H2103" s="152"/>
      <c r="I2103" s="196"/>
      <c r="J2103" s="196"/>
      <c r="K2103" s="196"/>
      <c r="L2103" s="259"/>
    </row>
    <row r="2104" ht="22.5" customHeight="1">
      <c r="A2104" s="202"/>
      <c r="B2104" s="273" t="str">
        <f t="shared" si="5"/>
        <v>#REF!</v>
      </c>
      <c r="C2104" s="146"/>
      <c r="D2104" s="197"/>
      <c r="E2104" s="197"/>
      <c r="F2104" s="197"/>
      <c r="G2104" s="144"/>
      <c r="H2104" s="144"/>
      <c r="I2104" s="197"/>
      <c r="J2104" s="197"/>
      <c r="K2104" s="197"/>
      <c r="L2104" s="257"/>
    </row>
    <row r="2105" ht="22.5" customHeight="1">
      <c r="A2105" s="250"/>
      <c r="B2105" s="272" t="str">
        <f t="shared" si="5"/>
        <v>#REF!</v>
      </c>
      <c r="C2105" s="154"/>
      <c r="D2105" s="196"/>
      <c r="E2105" s="196"/>
      <c r="F2105" s="196"/>
      <c r="G2105" s="152"/>
      <c r="H2105" s="152"/>
      <c r="I2105" s="196"/>
      <c r="J2105" s="196"/>
      <c r="K2105" s="196"/>
      <c r="L2105" s="259"/>
    </row>
    <row r="2106" ht="22.5" customHeight="1">
      <c r="A2106" s="202"/>
      <c r="B2106" s="273" t="str">
        <f t="shared" si="5"/>
        <v>#REF!</v>
      </c>
      <c r="C2106" s="146"/>
      <c r="D2106" s="197"/>
      <c r="E2106" s="197"/>
      <c r="F2106" s="197"/>
      <c r="G2106" s="144"/>
      <c r="H2106" s="144"/>
      <c r="I2106" s="197"/>
      <c r="J2106" s="197"/>
      <c r="K2106" s="197"/>
      <c r="L2106" s="257"/>
    </row>
    <row r="2107" ht="22.5" customHeight="1">
      <c r="A2107" s="250"/>
      <c r="B2107" s="272" t="str">
        <f t="shared" si="5"/>
        <v>#REF!</v>
      </c>
      <c r="C2107" s="154"/>
      <c r="D2107" s="196"/>
      <c r="E2107" s="196"/>
      <c r="F2107" s="196"/>
      <c r="G2107" s="152"/>
      <c r="H2107" s="152"/>
      <c r="I2107" s="196"/>
      <c r="J2107" s="196"/>
      <c r="K2107" s="196"/>
      <c r="L2107" s="259"/>
    </row>
    <row r="2108" ht="22.5" customHeight="1">
      <c r="A2108" s="202"/>
      <c r="B2108" s="273" t="str">
        <f t="shared" si="5"/>
        <v>#REF!</v>
      </c>
      <c r="C2108" s="146"/>
      <c r="D2108" s="197"/>
      <c r="E2108" s="197"/>
      <c r="F2108" s="197"/>
      <c r="G2108" s="144"/>
      <c r="H2108" s="144"/>
      <c r="I2108" s="197"/>
      <c r="J2108" s="197"/>
      <c r="K2108" s="197"/>
      <c r="L2108" s="257"/>
    </row>
    <row r="2109" ht="22.5" customHeight="1">
      <c r="A2109" s="250"/>
      <c r="B2109" s="272" t="str">
        <f t="shared" si="5"/>
        <v>#REF!</v>
      </c>
      <c r="C2109" s="154"/>
      <c r="D2109" s="196"/>
      <c r="E2109" s="196"/>
      <c r="F2109" s="196"/>
      <c r="G2109" s="152"/>
      <c r="H2109" s="152"/>
      <c r="I2109" s="196"/>
      <c r="J2109" s="196"/>
      <c r="K2109" s="196"/>
      <c r="L2109" s="259"/>
    </row>
    <row r="2110" ht="22.5" customHeight="1">
      <c r="A2110" s="202"/>
      <c r="B2110" s="273" t="str">
        <f t="shared" si="5"/>
        <v>#REF!</v>
      </c>
      <c r="C2110" s="146"/>
      <c r="D2110" s="197"/>
      <c r="E2110" s="197"/>
      <c r="F2110" s="197"/>
      <c r="G2110" s="144"/>
      <c r="H2110" s="144"/>
      <c r="I2110" s="197"/>
      <c r="J2110" s="197"/>
      <c r="K2110" s="197"/>
      <c r="L2110" s="257"/>
    </row>
    <row r="2111" ht="22.5" customHeight="1">
      <c r="A2111" s="250"/>
      <c r="B2111" s="272" t="str">
        <f t="shared" si="5"/>
        <v>#REF!</v>
      </c>
      <c r="C2111" s="154"/>
      <c r="D2111" s="196"/>
      <c r="E2111" s="196"/>
      <c r="F2111" s="196"/>
      <c r="G2111" s="152"/>
      <c r="H2111" s="152"/>
      <c r="I2111" s="196"/>
      <c r="J2111" s="196"/>
      <c r="K2111" s="196"/>
      <c r="L2111" s="259"/>
    </row>
    <row r="2112" ht="22.5" customHeight="1">
      <c r="A2112" s="202"/>
      <c r="B2112" s="273" t="str">
        <f t="shared" si="5"/>
        <v>#REF!</v>
      </c>
      <c r="C2112" s="146"/>
      <c r="D2112" s="197"/>
      <c r="E2112" s="197"/>
      <c r="F2112" s="197"/>
      <c r="G2112" s="144"/>
      <c r="H2112" s="144"/>
      <c r="I2112" s="197"/>
      <c r="J2112" s="197"/>
      <c r="K2112" s="197"/>
      <c r="L2112" s="257"/>
    </row>
    <row r="2113" ht="22.5" customHeight="1">
      <c r="A2113" s="250"/>
      <c r="B2113" s="272" t="str">
        <f t="shared" si="5"/>
        <v>#REF!</v>
      </c>
      <c r="C2113" s="154"/>
      <c r="D2113" s="196"/>
      <c r="E2113" s="196"/>
      <c r="F2113" s="196"/>
      <c r="G2113" s="152"/>
      <c r="H2113" s="152"/>
      <c r="I2113" s="196"/>
      <c r="J2113" s="196"/>
      <c r="K2113" s="196"/>
      <c r="L2113" s="259"/>
    </row>
    <row r="2114" ht="22.5" customHeight="1">
      <c r="A2114" s="202"/>
      <c r="B2114" s="273" t="str">
        <f t="shared" si="5"/>
        <v>#REF!</v>
      </c>
      <c r="C2114" s="146"/>
      <c r="D2114" s="197"/>
      <c r="E2114" s="197"/>
      <c r="F2114" s="197"/>
      <c r="G2114" s="144"/>
      <c r="H2114" s="144"/>
      <c r="I2114" s="197"/>
      <c r="J2114" s="197"/>
      <c r="K2114" s="197"/>
      <c r="L2114" s="257"/>
    </row>
    <row r="2115" ht="22.5" customHeight="1">
      <c r="A2115" s="250"/>
      <c r="B2115" s="272" t="str">
        <f t="shared" si="5"/>
        <v>#REF!</v>
      </c>
      <c r="C2115" s="154"/>
      <c r="D2115" s="196"/>
      <c r="E2115" s="196"/>
      <c r="F2115" s="196"/>
      <c r="G2115" s="152"/>
      <c r="H2115" s="152"/>
      <c r="I2115" s="196"/>
      <c r="J2115" s="196"/>
      <c r="K2115" s="196"/>
      <c r="L2115" s="259"/>
    </row>
    <row r="2116" ht="22.5" customHeight="1">
      <c r="A2116" s="202"/>
      <c r="B2116" s="273" t="str">
        <f t="shared" si="5"/>
        <v>#REF!</v>
      </c>
      <c r="C2116" s="146"/>
      <c r="D2116" s="197"/>
      <c r="E2116" s="197"/>
      <c r="F2116" s="197"/>
      <c r="G2116" s="144"/>
      <c r="H2116" s="144"/>
      <c r="I2116" s="197"/>
      <c r="J2116" s="197"/>
      <c r="K2116" s="197"/>
      <c r="L2116" s="257"/>
    </row>
    <row r="2117" ht="22.5" customHeight="1">
      <c r="A2117" s="250"/>
      <c r="B2117" s="272" t="str">
        <f t="shared" si="5"/>
        <v>#REF!</v>
      </c>
      <c r="C2117" s="154"/>
      <c r="D2117" s="196"/>
      <c r="E2117" s="196"/>
      <c r="F2117" s="196"/>
      <c r="G2117" s="152"/>
      <c r="H2117" s="152"/>
      <c r="I2117" s="196"/>
      <c r="J2117" s="196"/>
      <c r="K2117" s="196"/>
      <c r="L2117" s="259"/>
    </row>
    <row r="2118" ht="22.5" customHeight="1">
      <c r="A2118" s="202"/>
      <c r="B2118" s="273" t="str">
        <f t="shared" si="5"/>
        <v>#REF!</v>
      </c>
      <c r="C2118" s="146"/>
      <c r="D2118" s="197"/>
      <c r="E2118" s="197"/>
      <c r="F2118" s="197"/>
      <c r="G2118" s="144"/>
      <c r="H2118" s="144"/>
      <c r="I2118" s="197"/>
      <c r="J2118" s="197"/>
      <c r="K2118" s="197"/>
      <c r="L2118" s="257"/>
    </row>
    <row r="2119" ht="22.5" customHeight="1">
      <c r="A2119" s="250"/>
      <c r="B2119" s="272" t="str">
        <f t="shared" si="5"/>
        <v>#REF!</v>
      </c>
      <c r="C2119" s="154"/>
      <c r="D2119" s="196"/>
      <c r="E2119" s="196"/>
      <c r="F2119" s="196"/>
      <c r="G2119" s="152"/>
      <c r="H2119" s="152"/>
      <c r="I2119" s="196"/>
      <c r="J2119" s="196"/>
      <c r="K2119" s="196"/>
      <c r="L2119" s="259"/>
    </row>
    <row r="2120" ht="22.5" customHeight="1">
      <c r="A2120" s="202"/>
      <c r="B2120" s="273" t="str">
        <f t="shared" si="5"/>
        <v>#REF!</v>
      </c>
      <c r="C2120" s="146"/>
      <c r="D2120" s="197"/>
      <c r="E2120" s="197"/>
      <c r="F2120" s="197"/>
      <c r="G2120" s="144"/>
      <c r="H2120" s="144"/>
      <c r="I2120" s="197"/>
      <c r="J2120" s="197"/>
      <c r="K2120" s="197"/>
      <c r="L2120" s="257"/>
    </row>
    <row r="2121" ht="22.5" customHeight="1">
      <c r="A2121" s="250"/>
      <c r="B2121" s="272" t="str">
        <f t="shared" si="5"/>
        <v>#REF!</v>
      </c>
      <c r="C2121" s="154"/>
      <c r="D2121" s="196"/>
      <c r="E2121" s="196"/>
      <c r="F2121" s="196"/>
      <c r="G2121" s="152"/>
      <c r="H2121" s="152"/>
      <c r="I2121" s="196"/>
      <c r="J2121" s="196"/>
      <c r="K2121" s="196"/>
      <c r="L2121" s="259"/>
    </row>
    <row r="2122" ht="22.5" customHeight="1">
      <c r="A2122" s="202"/>
      <c r="B2122" s="273" t="str">
        <f t="shared" si="5"/>
        <v>#REF!</v>
      </c>
      <c r="C2122" s="146"/>
      <c r="D2122" s="197"/>
      <c r="E2122" s="197"/>
      <c r="F2122" s="197"/>
      <c r="G2122" s="144"/>
      <c r="H2122" s="144"/>
      <c r="I2122" s="197"/>
      <c r="J2122" s="197"/>
      <c r="K2122" s="197"/>
      <c r="L2122" s="257"/>
    </row>
    <row r="2123" ht="22.5" customHeight="1">
      <c r="A2123" s="250"/>
      <c r="B2123" s="272" t="str">
        <f t="shared" si="5"/>
        <v>#REF!</v>
      </c>
      <c r="C2123" s="154"/>
      <c r="D2123" s="196"/>
      <c r="E2123" s="196"/>
      <c r="F2123" s="196"/>
      <c r="G2123" s="152"/>
      <c r="H2123" s="152"/>
      <c r="I2123" s="196"/>
      <c r="J2123" s="196"/>
      <c r="K2123" s="196"/>
      <c r="L2123" s="259"/>
    </row>
    <row r="2124" ht="22.5" customHeight="1">
      <c r="A2124" s="202"/>
      <c r="B2124" s="273" t="str">
        <f t="shared" si="5"/>
        <v>#REF!</v>
      </c>
      <c r="C2124" s="146"/>
      <c r="D2124" s="197"/>
      <c r="E2124" s="197"/>
      <c r="F2124" s="197"/>
      <c r="G2124" s="144"/>
      <c r="H2124" s="144"/>
      <c r="I2124" s="197"/>
      <c r="J2124" s="197"/>
      <c r="K2124" s="197"/>
      <c r="L2124" s="257"/>
    </row>
    <row r="2125" ht="22.5" customHeight="1">
      <c r="A2125" s="250"/>
      <c r="B2125" s="272" t="str">
        <f t="shared" si="5"/>
        <v>#REF!</v>
      </c>
      <c r="C2125" s="154"/>
      <c r="D2125" s="196"/>
      <c r="E2125" s="196"/>
      <c r="F2125" s="196"/>
      <c r="G2125" s="152"/>
      <c r="H2125" s="152"/>
      <c r="I2125" s="196"/>
      <c r="J2125" s="196"/>
      <c r="K2125" s="196"/>
      <c r="L2125" s="259"/>
    </row>
    <row r="2126" ht="22.5" customHeight="1">
      <c r="A2126" s="202"/>
      <c r="B2126" s="273" t="str">
        <f t="shared" si="5"/>
        <v>#REF!</v>
      </c>
      <c r="C2126" s="146"/>
      <c r="D2126" s="197"/>
      <c r="E2126" s="197"/>
      <c r="F2126" s="197"/>
      <c r="G2126" s="144"/>
      <c r="H2126" s="144"/>
      <c r="I2126" s="197"/>
      <c r="J2126" s="197"/>
      <c r="K2126" s="197"/>
      <c r="L2126" s="257"/>
    </row>
    <row r="2127" ht="22.5" customHeight="1">
      <c r="A2127" s="250"/>
      <c r="B2127" s="272" t="str">
        <f t="shared" si="5"/>
        <v>#REF!</v>
      </c>
      <c r="C2127" s="154"/>
      <c r="D2127" s="196"/>
      <c r="E2127" s="196"/>
      <c r="F2127" s="196"/>
      <c r="G2127" s="152"/>
      <c r="H2127" s="152"/>
      <c r="I2127" s="196"/>
      <c r="J2127" s="196"/>
      <c r="K2127" s="196"/>
      <c r="L2127" s="259"/>
    </row>
    <row r="2128" ht="22.5" customHeight="1">
      <c r="A2128" s="202"/>
      <c r="B2128" s="273" t="str">
        <f t="shared" si="5"/>
        <v>#REF!</v>
      </c>
      <c r="C2128" s="146"/>
      <c r="D2128" s="197"/>
      <c r="E2128" s="197"/>
      <c r="F2128" s="197"/>
      <c r="G2128" s="144"/>
      <c r="H2128" s="144"/>
      <c r="I2128" s="197"/>
      <c r="J2128" s="197"/>
      <c r="K2128" s="197"/>
      <c r="L2128" s="257"/>
    </row>
    <row r="2129" ht="22.5" customHeight="1">
      <c r="A2129" s="250"/>
      <c r="B2129" s="272" t="str">
        <f t="shared" si="5"/>
        <v>#REF!</v>
      </c>
      <c r="C2129" s="154"/>
      <c r="D2129" s="196"/>
      <c r="E2129" s="196"/>
      <c r="F2129" s="196"/>
      <c r="G2129" s="152"/>
      <c r="H2129" s="152"/>
      <c r="I2129" s="196"/>
      <c r="J2129" s="196"/>
      <c r="K2129" s="196"/>
      <c r="L2129" s="259"/>
    </row>
    <row r="2130" ht="22.5" customHeight="1">
      <c r="A2130" s="202"/>
      <c r="B2130" s="273" t="str">
        <f t="shared" si="5"/>
        <v>#REF!</v>
      </c>
      <c r="C2130" s="146"/>
      <c r="D2130" s="197"/>
      <c r="E2130" s="197"/>
      <c r="F2130" s="197"/>
      <c r="G2130" s="144"/>
      <c r="H2130" s="144"/>
      <c r="I2130" s="197"/>
      <c r="J2130" s="197"/>
      <c r="K2130" s="197"/>
      <c r="L2130" s="257"/>
    </row>
    <row r="2131" ht="22.5" customHeight="1">
      <c r="A2131" s="250"/>
      <c r="B2131" s="272" t="str">
        <f t="shared" si="5"/>
        <v>#REF!</v>
      </c>
      <c r="C2131" s="154"/>
      <c r="D2131" s="196"/>
      <c r="E2131" s="196"/>
      <c r="F2131" s="196"/>
      <c r="G2131" s="152"/>
      <c r="H2131" s="152"/>
      <c r="I2131" s="196"/>
      <c r="J2131" s="196"/>
      <c r="K2131" s="196"/>
      <c r="L2131" s="259"/>
    </row>
    <row r="2132" ht="22.5" customHeight="1">
      <c r="A2132" s="202"/>
      <c r="B2132" s="273" t="str">
        <f t="shared" si="5"/>
        <v>#REF!</v>
      </c>
      <c r="C2132" s="146"/>
      <c r="D2132" s="197"/>
      <c r="E2132" s="197"/>
      <c r="F2132" s="197"/>
      <c r="G2132" s="144"/>
      <c r="H2132" s="144"/>
      <c r="I2132" s="197"/>
      <c r="J2132" s="197"/>
      <c r="K2132" s="197"/>
      <c r="L2132" s="257"/>
    </row>
    <row r="2133" ht="22.5" customHeight="1">
      <c r="A2133" s="250"/>
      <c r="B2133" s="272" t="str">
        <f t="shared" si="5"/>
        <v>#REF!</v>
      </c>
      <c r="C2133" s="154"/>
      <c r="D2133" s="196"/>
      <c r="E2133" s="196"/>
      <c r="F2133" s="196"/>
      <c r="G2133" s="152"/>
      <c r="H2133" s="152"/>
      <c r="I2133" s="196"/>
      <c r="J2133" s="196"/>
      <c r="K2133" s="196"/>
      <c r="L2133" s="259"/>
    </row>
    <row r="2134" ht="22.5" customHeight="1">
      <c r="A2134" s="202"/>
      <c r="B2134" s="273" t="str">
        <f t="shared" si="5"/>
        <v>#REF!</v>
      </c>
      <c r="C2134" s="146"/>
      <c r="D2134" s="197"/>
      <c r="E2134" s="197"/>
      <c r="F2134" s="197"/>
      <c r="G2134" s="144"/>
      <c r="H2134" s="144"/>
      <c r="I2134" s="197"/>
      <c r="J2134" s="197"/>
      <c r="K2134" s="197"/>
      <c r="L2134" s="257"/>
    </row>
    <row r="2135" ht="22.5" customHeight="1">
      <c r="A2135" s="250"/>
      <c r="B2135" s="272" t="str">
        <f t="shared" si="5"/>
        <v>#REF!</v>
      </c>
      <c r="C2135" s="154"/>
      <c r="D2135" s="196"/>
      <c r="E2135" s="196"/>
      <c r="F2135" s="196"/>
      <c r="G2135" s="152"/>
      <c r="H2135" s="152"/>
      <c r="I2135" s="196"/>
      <c r="J2135" s="196"/>
      <c r="K2135" s="196"/>
      <c r="L2135" s="259"/>
    </row>
    <row r="2136" ht="22.5" customHeight="1">
      <c r="A2136" s="202"/>
      <c r="B2136" s="273" t="str">
        <f t="shared" si="5"/>
        <v>#REF!</v>
      </c>
      <c r="C2136" s="146"/>
      <c r="D2136" s="197"/>
      <c r="E2136" s="197"/>
      <c r="F2136" s="197"/>
      <c r="G2136" s="144"/>
      <c r="H2136" s="144"/>
      <c r="I2136" s="197"/>
      <c r="J2136" s="197"/>
      <c r="K2136" s="197"/>
      <c r="L2136" s="257"/>
    </row>
    <row r="2137" ht="22.5" customHeight="1">
      <c r="A2137" s="250"/>
      <c r="B2137" s="272" t="str">
        <f t="shared" si="5"/>
        <v>#REF!</v>
      </c>
      <c r="C2137" s="154"/>
      <c r="D2137" s="196"/>
      <c r="E2137" s="196"/>
      <c r="F2137" s="196"/>
      <c r="G2137" s="152"/>
      <c r="H2137" s="152"/>
      <c r="I2137" s="196"/>
      <c r="J2137" s="196"/>
      <c r="K2137" s="196"/>
      <c r="L2137" s="259"/>
    </row>
    <row r="2138" ht="22.5" customHeight="1">
      <c r="A2138" s="202"/>
      <c r="B2138" s="273" t="str">
        <f t="shared" si="5"/>
        <v>#REF!</v>
      </c>
      <c r="C2138" s="146"/>
      <c r="D2138" s="197"/>
      <c r="E2138" s="197"/>
      <c r="F2138" s="197"/>
      <c r="G2138" s="144"/>
      <c r="H2138" s="144"/>
      <c r="I2138" s="197"/>
      <c r="J2138" s="197"/>
      <c r="K2138" s="197"/>
      <c r="L2138" s="257"/>
    </row>
    <row r="2139" ht="22.5" customHeight="1">
      <c r="A2139" s="250"/>
      <c r="B2139" s="272" t="str">
        <f t="shared" si="5"/>
        <v>#REF!</v>
      </c>
      <c r="C2139" s="154"/>
      <c r="D2139" s="196"/>
      <c r="E2139" s="196"/>
      <c r="F2139" s="196"/>
      <c r="G2139" s="152"/>
      <c r="H2139" s="152"/>
      <c r="I2139" s="196"/>
      <c r="J2139" s="196"/>
      <c r="K2139" s="196"/>
      <c r="L2139" s="259"/>
    </row>
    <row r="2140" ht="22.5" customHeight="1">
      <c r="A2140" s="202"/>
      <c r="B2140" s="273" t="str">
        <f t="shared" si="5"/>
        <v>#REF!</v>
      </c>
      <c r="C2140" s="146"/>
      <c r="D2140" s="197"/>
      <c r="E2140" s="197"/>
      <c r="F2140" s="197"/>
      <c r="G2140" s="144"/>
      <c r="H2140" s="144"/>
      <c r="I2140" s="197"/>
      <c r="J2140" s="197"/>
      <c r="K2140" s="197"/>
      <c r="L2140" s="257"/>
    </row>
    <row r="2141" ht="22.5" customHeight="1">
      <c r="A2141" s="250"/>
      <c r="B2141" s="272" t="str">
        <f t="shared" si="5"/>
        <v>#REF!</v>
      </c>
      <c r="C2141" s="154"/>
      <c r="D2141" s="196"/>
      <c r="E2141" s="196"/>
      <c r="F2141" s="196"/>
      <c r="G2141" s="152"/>
      <c r="H2141" s="152"/>
      <c r="I2141" s="196"/>
      <c r="J2141" s="196"/>
      <c r="K2141" s="196"/>
      <c r="L2141" s="259"/>
    </row>
    <row r="2142" ht="22.5" customHeight="1">
      <c r="A2142" s="202"/>
      <c r="B2142" s="273" t="str">
        <f t="shared" si="5"/>
        <v>#REF!</v>
      </c>
      <c r="C2142" s="146"/>
      <c r="D2142" s="197"/>
      <c r="E2142" s="197"/>
      <c r="F2142" s="197"/>
      <c r="G2142" s="144"/>
      <c r="H2142" s="144"/>
      <c r="I2142" s="197"/>
      <c r="J2142" s="197"/>
      <c r="K2142" s="197"/>
      <c r="L2142" s="257"/>
    </row>
    <row r="2143" ht="22.5" customHeight="1">
      <c r="A2143" s="250"/>
      <c r="B2143" s="272" t="str">
        <f t="shared" si="5"/>
        <v>#REF!</v>
      </c>
      <c r="C2143" s="154"/>
      <c r="D2143" s="196"/>
      <c r="E2143" s="196"/>
      <c r="F2143" s="196"/>
      <c r="G2143" s="152"/>
      <c r="H2143" s="152"/>
      <c r="I2143" s="196"/>
      <c r="J2143" s="196"/>
      <c r="K2143" s="196"/>
      <c r="L2143" s="259"/>
    </row>
    <row r="2144" ht="22.5" customHeight="1">
      <c r="A2144" s="202"/>
      <c r="B2144" s="273" t="str">
        <f t="shared" si="5"/>
        <v>#REF!</v>
      </c>
      <c r="C2144" s="146"/>
      <c r="D2144" s="197"/>
      <c r="E2144" s="197"/>
      <c r="F2144" s="197"/>
      <c r="G2144" s="144"/>
      <c r="H2144" s="144"/>
      <c r="I2144" s="197"/>
      <c r="J2144" s="197"/>
      <c r="K2144" s="197"/>
      <c r="L2144" s="257"/>
    </row>
    <row r="2145" ht="22.5" customHeight="1">
      <c r="A2145" s="250"/>
      <c r="B2145" s="272" t="str">
        <f t="shared" si="5"/>
        <v>#REF!</v>
      </c>
      <c r="C2145" s="154"/>
      <c r="D2145" s="196"/>
      <c r="E2145" s="196"/>
      <c r="F2145" s="196"/>
      <c r="G2145" s="152"/>
      <c r="H2145" s="152"/>
      <c r="I2145" s="196"/>
      <c r="J2145" s="196"/>
      <c r="K2145" s="196"/>
      <c r="L2145" s="259"/>
    </row>
    <row r="2146" ht="22.5" customHeight="1">
      <c r="A2146" s="202"/>
      <c r="B2146" s="273" t="str">
        <f t="shared" si="5"/>
        <v>#REF!</v>
      </c>
      <c r="C2146" s="146"/>
      <c r="D2146" s="197"/>
      <c r="E2146" s="197"/>
      <c r="F2146" s="197"/>
      <c r="G2146" s="144"/>
      <c r="H2146" s="144"/>
      <c r="I2146" s="197"/>
      <c r="J2146" s="197"/>
      <c r="K2146" s="197"/>
      <c r="L2146" s="257"/>
    </row>
    <row r="2147" ht="22.5" customHeight="1">
      <c r="A2147" s="250"/>
      <c r="B2147" s="272" t="str">
        <f t="shared" si="5"/>
        <v>#REF!</v>
      </c>
      <c r="C2147" s="154"/>
      <c r="D2147" s="196"/>
      <c r="E2147" s="196"/>
      <c r="F2147" s="196"/>
      <c r="G2147" s="152"/>
      <c r="H2147" s="152"/>
      <c r="I2147" s="196"/>
      <c r="J2147" s="196"/>
      <c r="K2147" s="196"/>
      <c r="L2147" s="259"/>
    </row>
    <row r="2148" ht="22.5" customHeight="1">
      <c r="A2148" s="202"/>
      <c r="B2148" s="273" t="str">
        <f t="shared" si="5"/>
        <v>#REF!</v>
      </c>
      <c r="C2148" s="146"/>
      <c r="D2148" s="197"/>
      <c r="E2148" s="197"/>
      <c r="F2148" s="197"/>
      <c r="G2148" s="144"/>
      <c r="H2148" s="144"/>
      <c r="I2148" s="197"/>
      <c r="J2148" s="197"/>
      <c r="K2148" s="197"/>
      <c r="L2148" s="257"/>
    </row>
    <row r="2149" ht="22.5" customHeight="1">
      <c r="A2149" s="250"/>
      <c r="B2149" s="272" t="str">
        <f t="shared" si="5"/>
        <v>#REF!</v>
      </c>
      <c r="C2149" s="154"/>
      <c r="D2149" s="196"/>
      <c r="E2149" s="196"/>
      <c r="F2149" s="196"/>
      <c r="G2149" s="152"/>
      <c r="H2149" s="152"/>
      <c r="I2149" s="196"/>
      <c r="J2149" s="196"/>
      <c r="K2149" s="196"/>
      <c r="L2149" s="259"/>
    </row>
    <row r="2150" ht="22.5" customHeight="1">
      <c r="A2150" s="202"/>
      <c r="B2150" s="273" t="str">
        <f t="shared" si="5"/>
        <v>#REF!</v>
      </c>
      <c r="C2150" s="146"/>
      <c r="D2150" s="197"/>
      <c r="E2150" s="197"/>
      <c r="F2150" s="197"/>
      <c r="G2150" s="144"/>
      <c r="H2150" s="144"/>
      <c r="I2150" s="197"/>
      <c r="J2150" s="197"/>
      <c r="K2150" s="197"/>
      <c r="L2150" s="257"/>
    </row>
    <row r="2151" ht="22.5" customHeight="1">
      <c r="A2151" s="250"/>
      <c r="B2151" s="272" t="str">
        <f t="shared" si="5"/>
        <v>#REF!</v>
      </c>
      <c r="C2151" s="154"/>
      <c r="D2151" s="196"/>
      <c r="E2151" s="196"/>
      <c r="F2151" s="196"/>
      <c r="G2151" s="152"/>
      <c r="H2151" s="152"/>
      <c r="I2151" s="196"/>
      <c r="J2151" s="196"/>
      <c r="K2151" s="196"/>
      <c r="L2151" s="259"/>
    </row>
    <row r="2152" ht="22.5" customHeight="1">
      <c r="A2152" s="202"/>
      <c r="B2152" s="273" t="str">
        <f t="shared" si="5"/>
        <v>#REF!</v>
      </c>
      <c r="C2152" s="146"/>
      <c r="D2152" s="197"/>
      <c r="E2152" s="197"/>
      <c r="F2152" s="197"/>
      <c r="G2152" s="144"/>
      <c r="H2152" s="144"/>
      <c r="I2152" s="197"/>
      <c r="J2152" s="197"/>
      <c r="K2152" s="197"/>
      <c r="L2152" s="257"/>
    </row>
    <row r="2153" ht="22.5" customHeight="1">
      <c r="A2153" s="250"/>
      <c r="B2153" s="272" t="str">
        <f t="shared" si="5"/>
        <v>#REF!</v>
      </c>
      <c r="C2153" s="154"/>
      <c r="D2153" s="196"/>
      <c r="E2153" s="196"/>
      <c r="F2153" s="196"/>
      <c r="G2153" s="152"/>
      <c r="H2153" s="152"/>
      <c r="I2153" s="196"/>
      <c r="J2153" s="196"/>
      <c r="K2153" s="196"/>
      <c r="L2153" s="259"/>
    </row>
    <row r="2154" ht="22.5" customHeight="1">
      <c r="A2154" s="202"/>
      <c r="B2154" s="273" t="str">
        <f t="shared" si="5"/>
        <v>#REF!</v>
      </c>
      <c r="C2154" s="146"/>
      <c r="D2154" s="197"/>
      <c r="E2154" s="197"/>
      <c r="F2154" s="197"/>
      <c r="G2154" s="144"/>
      <c r="H2154" s="144"/>
      <c r="I2154" s="197"/>
      <c r="J2154" s="197"/>
      <c r="K2154" s="197"/>
      <c r="L2154" s="257"/>
    </row>
    <row r="2155" ht="22.5" customHeight="1">
      <c r="A2155" s="250"/>
      <c r="B2155" s="272" t="str">
        <f t="shared" si="5"/>
        <v>#REF!</v>
      </c>
      <c r="C2155" s="154"/>
      <c r="D2155" s="196"/>
      <c r="E2155" s="196"/>
      <c r="F2155" s="196"/>
      <c r="G2155" s="152"/>
      <c r="H2155" s="152"/>
      <c r="I2155" s="196"/>
      <c r="J2155" s="196"/>
      <c r="K2155" s="196"/>
      <c r="L2155" s="259"/>
    </row>
    <row r="2156" ht="22.5" customHeight="1">
      <c r="A2156" s="202"/>
      <c r="B2156" s="273" t="str">
        <f t="shared" si="5"/>
        <v>#REF!</v>
      </c>
      <c r="C2156" s="146"/>
      <c r="D2156" s="197"/>
      <c r="E2156" s="197"/>
      <c r="F2156" s="197"/>
      <c r="G2156" s="144"/>
      <c r="H2156" s="144"/>
      <c r="I2156" s="197"/>
      <c r="J2156" s="197"/>
      <c r="K2156" s="197"/>
      <c r="L2156" s="257"/>
    </row>
    <row r="2157" ht="22.5" customHeight="1">
      <c r="A2157" s="250"/>
      <c r="B2157" s="272" t="str">
        <f t="shared" si="5"/>
        <v>#REF!</v>
      </c>
      <c r="C2157" s="154"/>
      <c r="D2157" s="196"/>
      <c r="E2157" s="196"/>
      <c r="F2157" s="196"/>
      <c r="G2157" s="152"/>
      <c r="H2157" s="152"/>
      <c r="I2157" s="196"/>
      <c r="J2157" s="196"/>
      <c r="K2157" s="196"/>
      <c r="L2157" s="259"/>
    </row>
    <row r="2158" ht="22.5" customHeight="1">
      <c r="A2158" s="202"/>
      <c r="B2158" s="273" t="str">
        <f t="shared" si="5"/>
        <v>#REF!</v>
      </c>
      <c r="C2158" s="146"/>
      <c r="D2158" s="197"/>
      <c r="E2158" s="197"/>
      <c r="F2158" s="197"/>
      <c r="G2158" s="144"/>
      <c r="H2158" s="144"/>
      <c r="I2158" s="197"/>
      <c r="J2158" s="197"/>
      <c r="K2158" s="197"/>
      <c r="L2158" s="257"/>
    </row>
    <row r="2159" ht="22.5" customHeight="1">
      <c r="A2159" s="250"/>
      <c r="B2159" s="272" t="str">
        <f t="shared" si="5"/>
        <v>#REF!</v>
      </c>
      <c r="C2159" s="154"/>
      <c r="D2159" s="196"/>
      <c r="E2159" s="196"/>
      <c r="F2159" s="196"/>
      <c r="G2159" s="152"/>
      <c r="H2159" s="152"/>
      <c r="I2159" s="196"/>
      <c r="J2159" s="196"/>
      <c r="K2159" s="196"/>
      <c r="L2159" s="259"/>
    </row>
    <row r="2160" ht="22.5" customHeight="1">
      <c r="A2160" s="202"/>
      <c r="B2160" s="273" t="str">
        <f t="shared" si="5"/>
        <v>#REF!</v>
      </c>
      <c r="C2160" s="146"/>
      <c r="D2160" s="197"/>
      <c r="E2160" s="197"/>
      <c r="F2160" s="197"/>
      <c r="G2160" s="144"/>
      <c r="H2160" s="144"/>
      <c r="I2160" s="197"/>
      <c r="J2160" s="197"/>
      <c r="K2160" s="197"/>
      <c r="L2160" s="257"/>
    </row>
    <row r="2161" ht="22.5" customHeight="1">
      <c r="A2161" s="250"/>
      <c r="B2161" s="272" t="str">
        <f t="shared" si="5"/>
        <v>#REF!</v>
      </c>
      <c r="C2161" s="154"/>
      <c r="D2161" s="196"/>
      <c r="E2161" s="196"/>
      <c r="F2161" s="196"/>
      <c r="G2161" s="152"/>
      <c r="H2161" s="152"/>
      <c r="I2161" s="196"/>
      <c r="J2161" s="196"/>
      <c r="K2161" s="196"/>
      <c r="L2161" s="259"/>
    </row>
    <row r="2162" ht="22.5" customHeight="1">
      <c r="A2162" s="202"/>
      <c r="B2162" s="273" t="str">
        <f t="shared" si="5"/>
        <v>#REF!</v>
      </c>
      <c r="C2162" s="146"/>
      <c r="D2162" s="197"/>
      <c r="E2162" s="197"/>
      <c r="F2162" s="197"/>
      <c r="G2162" s="144"/>
      <c r="H2162" s="144"/>
      <c r="I2162" s="197"/>
      <c r="J2162" s="197"/>
      <c r="K2162" s="197"/>
      <c r="L2162" s="257"/>
    </row>
    <row r="2163" ht="22.5" customHeight="1">
      <c r="A2163" s="250"/>
      <c r="B2163" s="272" t="str">
        <f t="shared" si="5"/>
        <v>#REF!</v>
      </c>
      <c r="C2163" s="154"/>
      <c r="D2163" s="196"/>
      <c r="E2163" s="196"/>
      <c r="F2163" s="196"/>
      <c r="G2163" s="152"/>
      <c r="H2163" s="152"/>
      <c r="I2163" s="196"/>
      <c r="J2163" s="196"/>
      <c r="K2163" s="196"/>
      <c r="L2163" s="259"/>
    </row>
    <row r="2164" ht="22.5" customHeight="1">
      <c r="A2164" s="202"/>
      <c r="B2164" s="273" t="str">
        <f t="shared" si="5"/>
        <v>#REF!</v>
      </c>
      <c r="C2164" s="146"/>
      <c r="D2164" s="197"/>
      <c r="E2164" s="197"/>
      <c r="F2164" s="197"/>
      <c r="G2164" s="144"/>
      <c r="H2164" s="144"/>
      <c r="I2164" s="197"/>
      <c r="J2164" s="197"/>
      <c r="K2164" s="197"/>
      <c r="L2164" s="257"/>
    </row>
    <row r="2165" ht="22.5" customHeight="1">
      <c r="A2165" s="250"/>
      <c r="B2165" s="272" t="str">
        <f t="shared" si="5"/>
        <v>#REF!</v>
      </c>
      <c r="C2165" s="154"/>
      <c r="D2165" s="196"/>
      <c r="E2165" s="196"/>
      <c r="F2165" s="196"/>
      <c r="G2165" s="152"/>
      <c r="H2165" s="152"/>
      <c r="I2165" s="196"/>
      <c r="J2165" s="196"/>
      <c r="K2165" s="196"/>
      <c r="L2165" s="259"/>
    </row>
    <row r="2166" ht="22.5" customHeight="1">
      <c r="A2166" s="202"/>
      <c r="B2166" s="273" t="str">
        <f t="shared" si="5"/>
        <v>#REF!</v>
      </c>
      <c r="C2166" s="146"/>
      <c r="D2166" s="197"/>
      <c r="E2166" s="197"/>
      <c r="F2166" s="197"/>
      <c r="G2166" s="144"/>
      <c r="H2166" s="144"/>
      <c r="I2166" s="197"/>
      <c r="J2166" s="197"/>
      <c r="K2166" s="197"/>
      <c r="L2166" s="257"/>
    </row>
    <row r="2167" ht="22.5" customHeight="1">
      <c r="A2167" s="250"/>
      <c r="B2167" s="272" t="str">
        <f t="shared" si="5"/>
        <v>#REF!</v>
      </c>
      <c r="C2167" s="154"/>
      <c r="D2167" s="196"/>
      <c r="E2167" s="196"/>
      <c r="F2167" s="196"/>
      <c r="G2167" s="152"/>
      <c r="H2167" s="152"/>
      <c r="I2167" s="196"/>
      <c r="J2167" s="196"/>
      <c r="K2167" s="196"/>
      <c r="L2167" s="259"/>
    </row>
    <row r="2168" ht="22.5" customHeight="1">
      <c r="A2168" s="202"/>
      <c r="B2168" s="273" t="str">
        <f t="shared" si="5"/>
        <v>#REF!</v>
      </c>
      <c r="C2168" s="146"/>
      <c r="D2168" s="197"/>
      <c r="E2168" s="197"/>
      <c r="F2168" s="197"/>
      <c r="G2168" s="144"/>
      <c r="H2168" s="144"/>
      <c r="I2168" s="197"/>
      <c r="J2168" s="197"/>
      <c r="K2168" s="197"/>
      <c r="L2168" s="257"/>
    </row>
    <row r="2169" ht="22.5" customHeight="1">
      <c r="A2169" s="250"/>
      <c r="B2169" s="272" t="str">
        <f t="shared" si="5"/>
        <v>#REF!</v>
      </c>
      <c r="C2169" s="154"/>
      <c r="D2169" s="196"/>
      <c r="E2169" s="196"/>
      <c r="F2169" s="196"/>
      <c r="G2169" s="152"/>
      <c r="H2169" s="152"/>
      <c r="I2169" s="196"/>
      <c r="J2169" s="196"/>
      <c r="K2169" s="196"/>
      <c r="L2169" s="259"/>
    </row>
    <row r="2170" ht="22.5" customHeight="1">
      <c r="A2170" s="202"/>
      <c r="B2170" s="273" t="str">
        <f t="shared" si="5"/>
        <v>#REF!</v>
      </c>
      <c r="C2170" s="146"/>
      <c r="D2170" s="197"/>
      <c r="E2170" s="197"/>
      <c r="F2170" s="197"/>
      <c r="G2170" s="144"/>
      <c r="H2170" s="144"/>
      <c r="I2170" s="197"/>
      <c r="J2170" s="197"/>
      <c r="K2170" s="197"/>
      <c r="L2170" s="257"/>
    </row>
    <row r="2171" ht="22.5" customHeight="1">
      <c r="A2171" s="250"/>
      <c r="B2171" s="272" t="str">
        <f t="shared" si="5"/>
        <v>#REF!</v>
      </c>
      <c r="C2171" s="154"/>
      <c r="D2171" s="196"/>
      <c r="E2171" s="196"/>
      <c r="F2171" s="196"/>
      <c r="G2171" s="152"/>
      <c r="H2171" s="152"/>
      <c r="I2171" s="196"/>
      <c r="J2171" s="196"/>
      <c r="K2171" s="196"/>
      <c r="L2171" s="259"/>
    </row>
    <row r="2172" ht="22.5" customHeight="1">
      <c r="A2172" s="202"/>
      <c r="B2172" s="273" t="str">
        <f t="shared" si="5"/>
        <v>#REF!</v>
      </c>
      <c r="C2172" s="146"/>
      <c r="D2172" s="197"/>
      <c r="E2172" s="197"/>
      <c r="F2172" s="197"/>
      <c r="G2172" s="144"/>
      <c r="H2172" s="144"/>
      <c r="I2172" s="197"/>
      <c r="J2172" s="197"/>
      <c r="K2172" s="197"/>
      <c r="L2172" s="257"/>
    </row>
    <row r="2173" ht="22.5" customHeight="1">
      <c r="A2173" s="250"/>
      <c r="B2173" s="272" t="str">
        <f t="shared" si="5"/>
        <v>#REF!</v>
      </c>
      <c r="C2173" s="154"/>
      <c r="D2173" s="196"/>
      <c r="E2173" s="196"/>
      <c r="F2173" s="196"/>
      <c r="G2173" s="152"/>
      <c r="H2173" s="152"/>
      <c r="I2173" s="196"/>
      <c r="J2173" s="196"/>
      <c r="K2173" s="196"/>
      <c r="L2173" s="259"/>
    </row>
    <row r="2174" ht="22.5" customHeight="1">
      <c r="A2174" s="202"/>
      <c r="B2174" s="273" t="str">
        <f t="shared" si="5"/>
        <v>#REF!</v>
      </c>
      <c r="C2174" s="146"/>
      <c r="D2174" s="197"/>
      <c r="E2174" s="197"/>
      <c r="F2174" s="197"/>
      <c r="G2174" s="144"/>
      <c r="H2174" s="144"/>
      <c r="I2174" s="197"/>
      <c r="J2174" s="197"/>
      <c r="K2174" s="197"/>
      <c r="L2174" s="257"/>
    </row>
    <row r="2175" ht="22.5" customHeight="1">
      <c r="A2175" s="250"/>
      <c r="B2175" s="272" t="str">
        <f t="shared" si="5"/>
        <v>#REF!</v>
      </c>
      <c r="C2175" s="154"/>
      <c r="D2175" s="196"/>
      <c r="E2175" s="196"/>
      <c r="F2175" s="196"/>
      <c r="G2175" s="152"/>
      <c r="H2175" s="152"/>
      <c r="I2175" s="196"/>
      <c r="J2175" s="196"/>
      <c r="K2175" s="196"/>
      <c r="L2175" s="259"/>
    </row>
    <row r="2176" ht="22.5" customHeight="1">
      <c r="A2176" s="202"/>
      <c r="B2176" s="273" t="str">
        <f t="shared" si="5"/>
        <v>#REF!</v>
      </c>
      <c r="C2176" s="146"/>
      <c r="D2176" s="197"/>
      <c r="E2176" s="197"/>
      <c r="F2176" s="197"/>
      <c r="G2176" s="144"/>
      <c r="H2176" s="144"/>
      <c r="I2176" s="197"/>
      <c r="J2176" s="197"/>
      <c r="K2176" s="197"/>
      <c r="L2176" s="257"/>
    </row>
    <row r="2177" ht="22.5" customHeight="1">
      <c r="A2177" s="250"/>
      <c r="B2177" s="272" t="str">
        <f t="shared" si="5"/>
        <v>#REF!</v>
      </c>
      <c r="C2177" s="154"/>
      <c r="D2177" s="196"/>
      <c r="E2177" s="196"/>
      <c r="F2177" s="196"/>
      <c r="G2177" s="152"/>
      <c r="H2177" s="152"/>
      <c r="I2177" s="196"/>
      <c r="J2177" s="196"/>
      <c r="K2177" s="196"/>
      <c r="L2177" s="259"/>
    </row>
    <row r="2178" ht="22.5" customHeight="1">
      <c r="A2178" s="202"/>
      <c r="B2178" s="273" t="str">
        <f t="shared" si="5"/>
        <v>#REF!</v>
      </c>
      <c r="C2178" s="146"/>
      <c r="D2178" s="197"/>
      <c r="E2178" s="197"/>
      <c r="F2178" s="197"/>
      <c r="G2178" s="144"/>
      <c r="H2178" s="144"/>
      <c r="I2178" s="197"/>
      <c r="J2178" s="197"/>
      <c r="K2178" s="197"/>
      <c r="L2178" s="257"/>
    </row>
    <row r="2179" ht="22.5" customHeight="1">
      <c r="A2179" s="250"/>
      <c r="B2179" s="272" t="str">
        <f t="shared" si="5"/>
        <v>#REF!</v>
      </c>
      <c r="C2179" s="154"/>
      <c r="D2179" s="196"/>
      <c r="E2179" s="196"/>
      <c r="F2179" s="196"/>
      <c r="G2179" s="152"/>
      <c r="H2179" s="152"/>
      <c r="I2179" s="196"/>
      <c r="J2179" s="196"/>
      <c r="K2179" s="196"/>
      <c r="L2179" s="259"/>
    </row>
    <row r="2180" ht="22.5" customHeight="1">
      <c r="A2180" s="202"/>
      <c r="B2180" s="273" t="str">
        <f t="shared" si="5"/>
        <v>#REF!</v>
      </c>
      <c r="C2180" s="146"/>
      <c r="D2180" s="197"/>
      <c r="E2180" s="197"/>
      <c r="F2180" s="197"/>
      <c r="G2180" s="144"/>
      <c r="H2180" s="144"/>
      <c r="I2180" s="197"/>
      <c r="J2180" s="197"/>
      <c r="K2180" s="197"/>
      <c r="L2180" s="257"/>
    </row>
    <row r="2181" ht="22.5" customHeight="1">
      <c r="A2181" s="250"/>
      <c r="B2181" s="272" t="str">
        <f t="shared" si="5"/>
        <v>#REF!</v>
      </c>
      <c r="C2181" s="154"/>
      <c r="D2181" s="196"/>
      <c r="E2181" s="196"/>
      <c r="F2181" s="196"/>
      <c r="G2181" s="152"/>
      <c r="H2181" s="152"/>
      <c r="I2181" s="196"/>
      <c r="J2181" s="196"/>
      <c r="K2181" s="196"/>
      <c r="L2181" s="259"/>
    </row>
    <row r="2182" ht="22.5" customHeight="1">
      <c r="A2182" s="202"/>
      <c r="B2182" s="273" t="str">
        <f t="shared" si="5"/>
        <v>#REF!</v>
      </c>
      <c r="C2182" s="146"/>
      <c r="D2182" s="197"/>
      <c r="E2182" s="197"/>
      <c r="F2182" s="197"/>
      <c r="G2182" s="144"/>
      <c r="H2182" s="144"/>
      <c r="I2182" s="197"/>
      <c r="J2182" s="197"/>
      <c r="K2182" s="197"/>
      <c r="L2182" s="257"/>
    </row>
    <row r="2183" ht="22.5" customHeight="1">
      <c r="A2183" s="250"/>
      <c r="B2183" s="272" t="str">
        <f t="shared" si="5"/>
        <v>#REF!</v>
      </c>
      <c r="C2183" s="154"/>
      <c r="D2183" s="196"/>
      <c r="E2183" s="196"/>
      <c r="F2183" s="196"/>
      <c r="G2183" s="152"/>
      <c r="H2183" s="152"/>
      <c r="I2183" s="196"/>
      <c r="J2183" s="196"/>
      <c r="K2183" s="196"/>
      <c r="L2183" s="259"/>
    </row>
    <row r="2184" ht="22.5" customHeight="1">
      <c r="A2184" s="202"/>
      <c r="B2184" s="273" t="str">
        <f t="shared" si="5"/>
        <v>#REF!</v>
      </c>
      <c r="C2184" s="146"/>
      <c r="D2184" s="197"/>
      <c r="E2184" s="197"/>
      <c r="F2184" s="197"/>
      <c r="G2184" s="144"/>
      <c r="H2184" s="144"/>
      <c r="I2184" s="197"/>
      <c r="J2184" s="197"/>
      <c r="K2184" s="197"/>
      <c r="L2184" s="257"/>
    </row>
    <row r="2185" ht="22.5" customHeight="1">
      <c r="A2185" s="250"/>
      <c r="B2185" s="272" t="str">
        <f t="shared" si="5"/>
        <v>#REF!</v>
      </c>
      <c r="C2185" s="154"/>
      <c r="D2185" s="196"/>
      <c r="E2185" s="196"/>
      <c r="F2185" s="196"/>
      <c r="G2185" s="152"/>
      <c r="H2185" s="152"/>
      <c r="I2185" s="196"/>
      <c r="J2185" s="196"/>
      <c r="K2185" s="196"/>
      <c r="L2185" s="259"/>
    </row>
    <row r="2186" ht="22.5" customHeight="1">
      <c r="A2186" s="202"/>
      <c r="B2186" s="273" t="str">
        <f t="shared" si="5"/>
        <v>#REF!</v>
      </c>
      <c r="C2186" s="146"/>
      <c r="D2186" s="197"/>
      <c r="E2186" s="197"/>
      <c r="F2186" s="197"/>
      <c r="G2186" s="144"/>
      <c r="H2186" s="144"/>
      <c r="I2186" s="197"/>
      <c r="J2186" s="197"/>
      <c r="K2186" s="197"/>
      <c r="L2186" s="257"/>
    </row>
    <row r="2187" ht="22.5" customHeight="1">
      <c r="A2187" s="250"/>
      <c r="B2187" s="272" t="str">
        <f t="shared" si="5"/>
        <v>#REF!</v>
      </c>
      <c r="C2187" s="154"/>
      <c r="D2187" s="196"/>
      <c r="E2187" s="196"/>
      <c r="F2187" s="196"/>
      <c r="G2187" s="152"/>
      <c r="H2187" s="152"/>
      <c r="I2187" s="196"/>
      <c r="J2187" s="196"/>
      <c r="K2187" s="196"/>
      <c r="L2187" s="259"/>
    </row>
    <row r="2188" ht="22.5" customHeight="1">
      <c r="A2188" s="202"/>
      <c r="B2188" s="273" t="str">
        <f t="shared" si="5"/>
        <v>#REF!</v>
      </c>
      <c r="C2188" s="146"/>
      <c r="D2188" s="197"/>
      <c r="E2188" s="197"/>
      <c r="F2188" s="197"/>
      <c r="G2188" s="144"/>
      <c r="H2188" s="144"/>
      <c r="I2188" s="197"/>
      <c r="J2188" s="197"/>
      <c r="K2188" s="197"/>
      <c r="L2188" s="257"/>
    </row>
    <row r="2189" ht="22.5" customHeight="1">
      <c r="A2189" s="250"/>
      <c r="B2189" s="272" t="str">
        <f t="shared" si="5"/>
        <v>#REF!</v>
      </c>
      <c r="C2189" s="154"/>
      <c r="D2189" s="196"/>
      <c r="E2189" s="196"/>
      <c r="F2189" s="196"/>
      <c r="G2189" s="152"/>
      <c r="H2189" s="152"/>
      <c r="I2189" s="196"/>
      <c r="J2189" s="196"/>
      <c r="K2189" s="196"/>
      <c r="L2189" s="259"/>
    </row>
    <row r="2190" ht="22.5" customHeight="1">
      <c r="A2190" s="202"/>
      <c r="B2190" s="273" t="str">
        <f t="shared" si="5"/>
        <v>#REF!</v>
      </c>
      <c r="C2190" s="146"/>
      <c r="D2190" s="197"/>
      <c r="E2190" s="197"/>
      <c r="F2190" s="197"/>
      <c r="G2190" s="144"/>
      <c r="H2190" s="144"/>
      <c r="I2190" s="197"/>
      <c r="J2190" s="197"/>
      <c r="K2190" s="197"/>
      <c r="L2190" s="257"/>
    </row>
    <row r="2191" ht="22.5" customHeight="1">
      <c r="A2191" s="250"/>
      <c r="B2191" s="272" t="str">
        <f t="shared" si="5"/>
        <v>#REF!</v>
      </c>
      <c r="C2191" s="154"/>
      <c r="D2191" s="196"/>
      <c r="E2191" s="196"/>
      <c r="F2191" s="196"/>
      <c r="G2191" s="152"/>
      <c r="H2191" s="152"/>
      <c r="I2191" s="196"/>
      <c r="J2191" s="196"/>
      <c r="K2191" s="196"/>
      <c r="L2191" s="259"/>
    </row>
    <row r="2192" ht="22.5" customHeight="1">
      <c r="A2192" s="202"/>
      <c r="B2192" s="273" t="str">
        <f t="shared" si="5"/>
        <v>#REF!</v>
      </c>
      <c r="C2192" s="146"/>
      <c r="D2192" s="197"/>
      <c r="E2192" s="197"/>
      <c r="F2192" s="197"/>
      <c r="G2192" s="144"/>
      <c r="H2192" s="144"/>
      <c r="I2192" s="197"/>
      <c r="J2192" s="197"/>
      <c r="K2192" s="197"/>
      <c r="L2192" s="257"/>
    </row>
    <row r="2193" ht="22.5" customHeight="1">
      <c r="A2193" s="250"/>
      <c r="B2193" s="272" t="str">
        <f t="shared" si="5"/>
        <v>#REF!</v>
      </c>
      <c r="C2193" s="154"/>
      <c r="D2193" s="196"/>
      <c r="E2193" s="196"/>
      <c r="F2193" s="196"/>
      <c r="G2193" s="152"/>
      <c r="H2193" s="152"/>
      <c r="I2193" s="196"/>
      <c r="J2193" s="196"/>
      <c r="K2193" s="196"/>
      <c r="L2193" s="259"/>
    </row>
    <row r="2194" ht="22.5" customHeight="1">
      <c r="A2194" s="202"/>
      <c r="B2194" s="273" t="str">
        <f t="shared" si="5"/>
        <v>#REF!</v>
      </c>
      <c r="C2194" s="146"/>
      <c r="D2194" s="197"/>
      <c r="E2194" s="197"/>
      <c r="F2194" s="197"/>
      <c r="G2194" s="144"/>
      <c r="H2194" s="144"/>
      <c r="I2194" s="197"/>
      <c r="J2194" s="197"/>
      <c r="K2194" s="197"/>
      <c r="L2194" s="257"/>
    </row>
    <row r="2195" ht="22.5" customHeight="1">
      <c r="A2195" s="250"/>
      <c r="B2195" s="272" t="str">
        <f t="shared" si="5"/>
        <v>#REF!</v>
      </c>
      <c r="C2195" s="154"/>
      <c r="D2195" s="196"/>
      <c r="E2195" s="196"/>
      <c r="F2195" s="196"/>
      <c r="G2195" s="152"/>
      <c r="H2195" s="152"/>
      <c r="I2195" s="196"/>
      <c r="J2195" s="196"/>
      <c r="K2195" s="196"/>
      <c r="L2195" s="259"/>
    </row>
    <row r="2196" ht="22.5" customHeight="1">
      <c r="A2196" s="202"/>
      <c r="B2196" s="273" t="str">
        <f t="shared" si="5"/>
        <v>#REF!</v>
      </c>
      <c r="C2196" s="146"/>
      <c r="D2196" s="197"/>
      <c r="E2196" s="197"/>
      <c r="F2196" s="197"/>
      <c r="G2196" s="144"/>
      <c r="H2196" s="144"/>
      <c r="I2196" s="197"/>
      <c r="J2196" s="197"/>
      <c r="K2196" s="197"/>
      <c r="L2196" s="257"/>
    </row>
    <row r="2197" ht="22.5" customHeight="1">
      <c r="A2197" s="250"/>
      <c r="B2197" s="272" t="str">
        <f t="shared" si="5"/>
        <v>#REF!</v>
      </c>
      <c r="C2197" s="154"/>
      <c r="D2197" s="196"/>
      <c r="E2197" s="196"/>
      <c r="F2197" s="196"/>
      <c r="G2197" s="152"/>
      <c r="H2197" s="152"/>
      <c r="I2197" s="196"/>
      <c r="J2197" s="196"/>
      <c r="K2197" s="196"/>
      <c r="L2197" s="259"/>
    </row>
    <row r="2198" ht="22.5" customHeight="1">
      <c r="A2198" s="202"/>
      <c r="B2198" s="273" t="str">
        <f t="shared" si="5"/>
        <v>#REF!</v>
      </c>
      <c r="C2198" s="146"/>
      <c r="D2198" s="197"/>
      <c r="E2198" s="197"/>
      <c r="F2198" s="197"/>
      <c r="G2198" s="144"/>
      <c r="H2198" s="144"/>
      <c r="I2198" s="197"/>
      <c r="J2198" s="197"/>
      <c r="K2198" s="197"/>
      <c r="L2198" s="257"/>
    </row>
    <row r="2199" ht="22.5" customHeight="1">
      <c r="A2199" s="250"/>
      <c r="B2199" s="272" t="str">
        <f t="shared" si="5"/>
        <v>#REF!</v>
      </c>
      <c r="C2199" s="154"/>
      <c r="D2199" s="196"/>
      <c r="E2199" s="196"/>
      <c r="F2199" s="196"/>
      <c r="G2199" s="152"/>
      <c r="H2199" s="152"/>
      <c r="I2199" s="196"/>
      <c r="J2199" s="196"/>
      <c r="K2199" s="196"/>
      <c r="L2199" s="259"/>
    </row>
    <row r="2200" ht="22.5" customHeight="1">
      <c r="A2200" s="202"/>
      <c r="B2200" s="273" t="str">
        <f t="shared" si="5"/>
        <v>#REF!</v>
      </c>
      <c r="C2200" s="146"/>
      <c r="D2200" s="197"/>
      <c r="E2200" s="197"/>
      <c r="F2200" s="197"/>
      <c r="G2200" s="144"/>
      <c r="H2200" s="144"/>
      <c r="I2200" s="197"/>
      <c r="J2200" s="197"/>
      <c r="K2200" s="197"/>
      <c r="L2200" s="257"/>
    </row>
    <row r="2201" ht="22.5" customHeight="1">
      <c r="A2201" s="250"/>
      <c r="B2201" s="272" t="str">
        <f t="shared" si="5"/>
        <v>#REF!</v>
      </c>
      <c r="C2201" s="154"/>
      <c r="D2201" s="196"/>
      <c r="E2201" s="196"/>
      <c r="F2201" s="196"/>
      <c r="G2201" s="152"/>
      <c r="H2201" s="152"/>
      <c r="I2201" s="196"/>
      <c r="J2201" s="196"/>
      <c r="K2201" s="196"/>
      <c r="L2201" s="259"/>
    </row>
    <row r="2202" ht="22.5" customHeight="1">
      <c r="A2202" s="202"/>
      <c r="B2202" s="273" t="str">
        <f t="shared" si="5"/>
        <v>#REF!</v>
      </c>
      <c r="C2202" s="146"/>
      <c r="D2202" s="197"/>
      <c r="E2202" s="197"/>
      <c r="F2202" s="197"/>
      <c r="G2202" s="144"/>
      <c r="H2202" s="144"/>
      <c r="I2202" s="197"/>
      <c r="J2202" s="197"/>
      <c r="K2202" s="197"/>
      <c r="L2202" s="257"/>
    </row>
    <row r="2203" ht="22.5" customHeight="1">
      <c r="A2203" s="250"/>
      <c r="B2203" s="272" t="str">
        <f t="shared" si="5"/>
        <v>#REF!</v>
      </c>
      <c r="C2203" s="154"/>
      <c r="D2203" s="196"/>
      <c r="E2203" s="196"/>
      <c r="F2203" s="196"/>
      <c r="G2203" s="152"/>
      <c r="H2203" s="152"/>
      <c r="I2203" s="196"/>
      <c r="J2203" s="196"/>
      <c r="K2203" s="196"/>
      <c r="L2203" s="259"/>
    </row>
    <row r="2204" ht="22.5" customHeight="1">
      <c r="A2204" s="202"/>
      <c r="B2204" s="273" t="str">
        <f t="shared" si="5"/>
        <v>#REF!</v>
      </c>
      <c r="C2204" s="146"/>
      <c r="D2204" s="197"/>
      <c r="E2204" s="197"/>
      <c r="F2204" s="197"/>
      <c r="G2204" s="144"/>
      <c r="H2204" s="144"/>
      <c r="I2204" s="197"/>
      <c r="J2204" s="197"/>
      <c r="K2204" s="197"/>
      <c r="L2204" s="257"/>
    </row>
    <row r="2205" ht="22.5" customHeight="1">
      <c r="A2205" s="250"/>
      <c r="B2205" s="272" t="str">
        <f t="shared" si="5"/>
        <v>#REF!</v>
      </c>
      <c r="C2205" s="154"/>
      <c r="D2205" s="196"/>
      <c r="E2205" s="196"/>
      <c r="F2205" s="196"/>
      <c r="G2205" s="152"/>
      <c r="H2205" s="152"/>
      <c r="I2205" s="196"/>
      <c r="J2205" s="196"/>
      <c r="K2205" s="196"/>
      <c r="L2205" s="259"/>
    </row>
    <row r="2206" ht="22.5" customHeight="1">
      <c r="A2206" s="202"/>
      <c r="B2206" s="273" t="str">
        <f t="shared" si="5"/>
        <v>#REF!</v>
      </c>
      <c r="C2206" s="146"/>
      <c r="D2206" s="197"/>
      <c r="E2206" s="197"/>
      <c r="F2206" s="197"/>
      <c r="G2206" s="144"/>
      <c r="H2206" s="144"/>
      <c r="I2206" s="197"/>
      <c r="J2206" s="197"/>
      <c r="K2206" s="197"/>
      <c r="L2206" s="257"/>
    </row>
    <row r="2207" ht="22.5" customHeight="1">
      <c r="A2207" s="250"/>
      <c r="B2207" s="272" t="str">
        <f t="shared" si="5"/>
        <v>#REF!</v>
      </c>
      <c r="C2207" s="154"/>
      <c r="D2207" s="196"/>
      <c r="E2207" s="196"/>
      <c r="F2207" s="196"/>
      <c r="G2207" s="152"/>
      <c r="H2207" s="152"/>
      <c r="I2207" s="196"/>
      <c r="J2207" s="196"/>
      <c r="K2207" s="196"/>
      <c r="L2207" s="259"/>
    </row>
    <row r="2208" ht="22.5" customHeight="1">
      <c r="A2208" s="202"/>
      <c r="B2208" s="273" t="str">
        <f t="shared" si="5"/>
        <v>#REF!</v>
      </c>
      <c r="C2208" s="146"/>
      <c r="D2208" s="197"/>
      <c r="E2208" s="197"/>
      <c r="F2208" s="197"/>
      <c r="G2208" s="144"/>
      <c r="H2208" s="144"/>
      <c r="I2208" s="197"/>
      <c r="J2208" s="197"/>
      <c r="K2208" s="197"/>
      <c r="L2208" s="257"/>
    </row>
    <row r="2209" ht="22.5" customHeight="1">
      <c r="A2209" s="250"/>
      <c r="B2209" s="272" t="str">
        <f t="shared" si="5"/>
        <v>#REF!</v>
      </c>
      <c r="C2209" s="154"/>
      <c r="D2209" s="196"/>
      <c r="E2209" s="196"/>
      <c r="F2209" s="196"/>
      <c r="G2209" s="152"/>
      <c r="H2209" s="152"/>
      <c r="I2209" s="196"/>
      <c r="J2209" s="196"/>
      <c r="K2209" s="196"/>
      <c r="L2209" s="259"/>
    </row>
    <row r="2210" ht="22.5" customHeight="1">
      <c r="A2210" s="202"/>
      <c r="B2210" s="273" t="str">
        <f t="shared" si="5"/>
        <v>#REF!</v>
      </c>
      <c r="C2210" s="146"/>
      <c r="D2210" s="197"/>
      <c r="E2210" s="197"/>
      <c r="F2210" s="197"/>
      <c r="G2210" s="144"/>
      <c r="H2210" s="144"/>
      <c r="I2210" s="197"/>
      <c r="J2210" s="197"/>
      <c r="K2210" s="197"/>
      <c r="L2210" s="257"/>
    </row>
    <row r="2211" ht="22.5" customHeight="1">
      <c r="A2211" s="250"/>
      <c r="B2211" s="272" t="str">
        <f t="shared" si="5"/>
        <v>#REF!</v>
      </c>
      <c r="C2211" s="154"/>
      <c r="D2211" s="196"/>
      <c r="E2211" s="196"/>
      <c r="F2211" s="196"/>
      <c r="G2211" s="152"/>
      <c r="H2211" s="152"/>
      <c r="I2211" s="196"/>
      <c r="J2211" s="196"/>
      <c r="K2211" s="196"/>
      <c r="L2211" s="259"/>
    </row>
    <row r="2212" ht="22.5" customHeight="1">
      <c r="A2212" s="202"/>
      <c r="B2212" s="273" t="str">
        <f t="shared" si="5"/>
        <v>#REF!</v>
      </c>
      <c r="C2212" s="146"/>
      <c r="D2212" s="197"/>
      <c r="E2212" s="197"/>
      <c r="F2212" s="197"/>
      <c r="G2212" s="144"/>
      <c r="H2212" s="144"/>
      <c r="I2212" s="197"/>
      <c r="J2212" s="197"/>
      <c r="K2212" s="197"/>
      <c r="L2212" s="257"/>
    </row>
    <row r="2213" ht="22.5" customHeight="1">
      <c r="A2213" s="250"/>
      <c r="B2213" s="272" t="str">
        <f t="shared" si="5"/>
        <v>#REF!</v>
      </c>
      <c r="C2213" s="154"/>
      <c r="D2213" s="196"/>
      <c r="E2213" s="196"/>
      <c r="F2213" s="196"/>
      <c r="G2213" s="152"/>
      <c r="H2213" s="152"/>
      <c r="I2213" s="196"/>
      <c r="J2213" s="196"/>
      <c r="K2213" s="196"/>
      <c r="L2213" s="259"/>
    </row>
    <row r="2214" ht="22.5" customHeight="1">
      <c r="A2214" s="202"/>
      <c r="B2214" s="273" t="str">
        <f t="shared" si="5"/>
        <v>#REF!</v>
      </c>
      <c r="C2214" s="146"/>
      <c r="D2214" s="197"/>
      <c r="E2214" s="197"/>
      <c r="F2214" s="197"/>
      <c r="G2214" s="144"/>
      <c r="H2214" s="144"/>
      <c r="I2214" s="197"/>
      <c r="J2214" s="197"/>
      <c r="K2214" s="197"/>
      <c r="L2214" s="257"/>
    </row>
    <row r="2215" ht="22.5" customHeight="1">
      <c r="A2215" s="250"/>
      <c r="B2215" s="272" t="str">
        <f t="shared" si="5"/>
        <v>#REF!</v>
      </c>
      <c r="C2215" s="154"/>
      <c r="D2215" s="196"/>
      <c r="E2215" s="196"/>
      <c r="F2215" s="196"/>
      <c r="G2215" s="152"/>
      <c r="H2215" s="152"/>
      <c r="I2215" s="196"/>
      <c r="J2215" s="196"/>
      <c r="K2215" s="196"/>
      <c r="L2215" s="259"/>
    </row>
    <row r="2216" ht="22.5" customHeight="1">
      <c r="A2216" s="202"/>
      <c r="B2216" s="273" t="str">
        <f t="shared" si="5"/>
        <v>#REF!</v>
      </c>
      <c r="C2216" s="146"/>
      <c r="D2216" s="197"/>
      <c r="E2216" s="197"/>
      <c r="F2216" s="197"/>
      <c r="G2216" s="144"/>
      <c r="H2216" s="144"/>
      <c r="I2216" s="197"/>
      <c r="J2216" s="197"/>
      <c r="K2216" s="197"/>
      <c r="L2216" s="257"/>
    </row>
    <row r="2217" ht="22.5" customHeight="1">
      <c r="A2217" s="250"/>
      <c r="B2217" s="272" t="str">
        <f t="shared" si="5"/>
        <v>#REF!</v>
      </c>
      <c r="C2217" s="154"/>
      <c r="D2217" s="196"/>
      <c r="E2217" s="196"/>
      <c r="F2217" s="196"/>
      <c r="G2217" s="152"/>
      <c r="H2217" s="152"/>
      <c r="I2217" s="196"/>
      <c r="J2217" s="196"/>
      <c r="K2217" s="196"/>
      <c r="L2217" s="259"/>
    </row>
    <row r="2218" ht="22.5" customHeight="1">
      <c r="A2218" s="202"/>
      <c r="B2218" s="273" t="str">
        <f t="shared" si="5"/>
        <v>#REF!</v>
      </c>
      <c r="C2218" s="146"/>
      <c r="D2218" s="197"/>
      <c r="E2218" s="197"/>
      <c r="F2218" s="197"/>
      <c r="G2218" s="144"/>
      <c r="H2218" s="144"/>
      <c r="I2218" s="197"/>
      <c r="J2218" s="197"/>
      <c r="K2218" s="197"/>
      <c r="L2218" s="257"/>
    </row>
    <row r="2219" ht="22.5" customHeight="1">
      <c r="A2219" s="250"/>
      <c r="B2219" s="272" t="str">
        <f t="shared" si="5"/>
        <v>#REF!</v>
      </c>
      <c r="C2219" s="154"/>
      <c r="D2219" s="196"/>
      <c r="E2219" s="196"/>
      <c r="F2219" s="196"/>
      <c r="G2219" s="152"/>
      <c r="H2219" s="152"/>
      <c r="I2219" s="196"/>
      <c r="J2219" s="196"/>
      <c r="K2219" s="196"/>
      <c r="L2219" s="259"/>
    </row>
    <row r="2220" ht="22.5" customHeight="1">
      <c r="A2220" s="202"/>
      <c r="B2220" s="273" t="str">
        <f t="shared" si="5"/>
        <v>#REF!</v>
      </c>
      <c r="C2220" s="146"/>
      <c r="D2220" s="197"/>
      <c r="E2220" s="197"/>
      <c r="F2220" s="197"/>
      <c r="G2220" s="144"/>
      <c r="H2220" s="144"/>
      <c r="I2220" s="197"/>
      <c r="J2220" s="197"/>
      <c r="K2220" s="197"/>
      <c r="L2220" s="257"/>
    </row>
    <row r="2221" ht="22.5" customHeight="1">
      <c r="A2221" s="250"/>
      <c r="B2221" s="272" t="str">
        <f t="shared" si="5"/>
        <v>#REF!</v>
      </c>
      <c r="C2221" s="154"/>
      <c r="D2221" s="196"/>
      <c r="E2221" s="196"/>
      <c r="F2221" s="196"/>
      <c r="G2221" s="152"/>
      <c r="H2221" s="152"/>
      <c r="I2221" s="196"/>
      <c r="J2221" s="196"/>
      <c r="K2221" s="196"/>
      <c r="L2221" s="259"/>
    </row>
    <row r="2222" ht="22.5" customHeight="1">
      <c r="A2222" s="202"/>
      <c r="B2222" s="273" t="str">
        <f t="shared" si="5"/>
        <v>#REF!</v>
      </c>
      <c r="C2222" s="146"/>
      <c r="D2222" s="197"/>
      <c r="E2222" s="197"/>
      <c r="F2222" s="197"/>
      <c r="G2222" s="144"/>
      <c r="H2222" s="144"/>
      <c r="I2222" s="197"/>
      <c r="J2222" s="197"/>
      <c r="K2222" s="197"/>
      <c r="L2222" s="257"/>
    </row>
    <row r="2223" ht="22.5" customHeight="1">
      <c r="A2223" s="250"/>
      <c r="B2223" s="272" t="str">
        <f t="shared" si="5"/>
        <v>#REF!</v>
      </c>
      <c r="C2223" s="154"/>
      <c r="D2223" s="196"/>
      <c r="E2223" s="196"/>
      <c r="F2223" s="196"/>
      <c r="G2223" s="152"/>
      <c r="H2223" s="152"/>
      <c r="I2223" s="196"/>
      <c r="J2223" s="196"/>
      <c r="K2223" s="196"/>
      <c r="L2223" s="259"/>
    </row>
    <row r="2224" ht="22.5" customHeight="1">
      <c r="A2224" s="277"/>
      <c r="B2224" s="278" t="str">
        <f t="shared" si="5"/>
        <v>#REF!</v>
      </c>
      <c r="C2224" s="279"/>
      <c r="D2224" s="280"/>
      <c r="E2224" s="280"/>
      <c r="F2224" s="280"/>
      <c r="G2224" s="281"/>
      <c r="H2224" s="281"/>
      <c r="I2224" s="280"/>
      <c r="J2224" s="280"/>
      <c r="K2224" s="280"/>
      <c r="L2224" s="282"/>
    </row>
  </sheetData>
  <dataValidations>
    <dataValidation type="list" allowBlank="1" sqref="G2:G2224">
      <formula1>"Contacted,Meeting Scheduled,Awaiting Response,Closed - Won,Closed - Lost,Form Filled,Form unfilled,Please call later,Call not Recieved,Referred to,Next Batch"</formula1>
    </dataValidation>
    <dataValidation type="list" allowBlank="1" sqref="H2:H2224">
      <formula1>"Done,Pending"</formula1>
    </dataValidation>
    <dataValidation allowBlank="1" showDropDown="1" sqref="B2:B2224 L2:L2224"/>
    <dataValidation allowBlank="1" showDropDown="1" sqref="C2:C2224"/>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0</v>
      </c>
      <c r="B1" s="138" t="s">
        <v>1</v>
      </c>
      <c r="C1" s="138" t="s">
        <v>4</v>
      </c>
      <c r="D1" s="138" t="s">
        <v>5</v>
      </c>
      <c r="E1" s="138" t="s">
        <v>5269</v>
      </c>
      <c r="F1" s="138" t="s">
        <v>7</v>
      </c>
      <c r="G1" s="138" t="s">
        <v>5270</v>
      </c>
      <c r="H1" s="138" t="s">
        <v>9</v>
      </c>
      <c r="I1" s="138" t="s">
        <v>10</v>
      </c>
      <c r="J1" s="283" t="s">
        <v>11</v>
      </c>
      <c r="K1" s="283" t="s">
        <v>12</v>
      </c>
      <c r="L1" s="283" t="s">
        <v>5271</v>
      </c>
      <c r="M1" s="283" t="s">
        <v>13</v>
      </c>
      <c r="N1" s="283" t="s">
        <v>5272</v>
      </c>
      <c r="O1" s="283" t="s">
        <v>628</v>
      </c>
      <c r="P1" s="284"/>
      <c r="Q1" s="284"/>
      <c r="R1" s="284"/>
      <c r="S1" s="284"/>
      <c r="T1" s="284"/>
      <c r="U1" s="284"/>
      <c r="V1" s="284"/>
      <c r="W1" s="284"/>
      <c r="X1" s="284"/>
      <c r="Y1" s="284"/>
      <c r="Z1" s="284"/>
    </row>
    <row r="2" ht="22.5" customHeight="1">
      <c r="A2" s="285" t="s">
        <v>637</v>
      </c>
      <c r="B2" s="286" t="s">
        <v>5273</v>
      </c>
      <c r="C2" s="212" t="s">
        <v>17</v>
      </c>
      <c r="D2" s="287" t="s">
        <v>5274</v>
      </c>
      <c r="E2" s="288" t="s">
        <v>19</v>
      </c>
      <c r="F2" s="289" t="s">
        <v>5275</v>
      </c>
      <c r="G2" s="288" t="s">
        <v>19</v>
      </c>
      <c r="H2" s="289" t="s">
        <v>21</v>
      </c>
      <c r="I2" s="288" t="s">
        <v>19</v>
      </c>
      <c r="J2" s="289" t="s">
        <v>22</v>
      </c>
      <c r="K2" s="290" t="s">
        <v>19</v>
      </c>
      <c r="L2" s="247" t="s">
        <v>5276</v>
      </c>
      <c r="M2" s="159" t="s">
        <v>5277</v>
      </c>
      <c r="N2" s="197"/>
      <c r="O2" s="147"/>
      <c r="P2" s="284"/>
      <c r="Q2" s="284"/>
      <c r="R2" s="284"/>
      <c r="S2" s="284"/>
      <c r="T2" s="284"/>
      <c r="U2" s="284"/>
      <c r="V2" s="284"/>
      <c r="W2" s="284"/>
      <c r="X2" s="284"/>
      <c r="Y2" s="284"/>
      <c r="Z2" s="284"/>
    </row>
    <row r="3" ht="22.5" customHeight="1">
      <c r="A3" s="291" t="s">
        <v>637</v>
      </c>
      <c r="B3" s="292" t="s">
        <v>5278</v>
      </c>
      <c r="C3" s="161" t="s">
        <v>49</v>
      </c>
      <c r="D3" s="293" t="s">
        <v>5274</v>
      </c>
      <c r="E3" s="207" t="s">
        <v>640</v>
      </c>
      <c r="F3" s="294" t="s">
        <v>5275</v>
      </c>
      <c r="G3" s="295">
        <v>114846.0</v>
      </c>
      <c r="H3" s="294" t="s">
        <v>21</v>
      </c>
      <c r="I3" s="207" t="s">
        <v>5279</v>
      </c>
      <c r="J3" s="294" t="s">
        <v>22</v>
      </c>
      <c r="K3" s="296" t="s">
        <v>31</v>
      </c>
      <c r="L3" s="165" t="s">
        <v>5280</v>
      </c>
      <c r="M3" s="158" t="s">
        <v>152</v>
      </c>
      <c r="N3" s="196"/>
      <c r="O3" s="155"/>
      <c r="P3" s="284"/>
      <c r="Q3" s="284"/>
      <c r="R3" s="284"/>
      <c r="S3" s="284"/>
      <c r="T3" s="284"/>
      <c r="U3" s="284"/>
      <c r="V3" s="284"/>
      <c r="W3" s="284"/>
      <c r="X3" s="284"/>
      <c r="Y3" s="284"/>
      <c r="Z3" s="284"/>
    </row>
    <row r="4" ht="22.5" customHeight="1">
      <c r="A4" s="285" t="s">
        <v>637</v>
      </c>
      <c r="B4" s="286" t="s">
        <v>5281</v>
      </c>
      <c r="C4" s="169" t="s">
        <v>49</v>
      </c>
      <c r="D4" s="287" t="s">
        <v>5274</v>
      </c>
      <c r="E4" s="297" t="s">
        <v>31</v>
      </c>
      <c r="F4" s="289" t="s">
        <v>5275</v>
      </c>
      <c r="G4" s="204" t="s">
        <v>5279</v>
      </c>
      <c r="H4" s="289" t="s">
        <v>21</v>
      </c>
      <c r="I4" s="204" t="s">
        <v>5279</v>
      </c>
      <c r="J4" s="289" t="s">
        <v>22</v>
      </c>
      <c r="K4" s="298" t="s">
        <v>5279</v>
      </c>
      <c r="L4" s="173" t="s">
        <v>5280</v>
      </c>
      <c r="M4" s="197"/>
      <c r="N4" s="197"/>
      <c r="O4" s="147"/>
      <c r="P4" s="284"/>
      <c r="Q4" s="284"/>
      <c r="R4" s="284"/>
      <c r="S4" s="284"/>
      <c r="T4" s="284"/>
      <c r="U4" s="284"/>
      <c r="V4" s="284"/>
      <c r="W4" s="284"/>
      <c r="X4" s="284"/>
      <c r="Y4" s="284"/>
      <c r="Z4" s="284"/>
    </row>
    <row r="5" ht="22.5" customHeight="1">
      <c r="A5" s="299" t="s">
        <v>5282</v>
      </c>
      <c r="B5" s="300" t="s">
        <v>5283</v>
      </c>
      <c r="C5" s="161" t="s">
        <v>49</v>
      </c>
      <c r="D5" s="293" t="s">
        <v>5274</v>
      </c>
      <c r="E5" s="301" t="s">
        <v>31</v>
      </c>
      <c r="F5" s="294" t="s">
        <v>5275</v>
      </c>
      <c r="G5" s="207" t="s">
        <v>5279</v>
      </c>
      <c r="H5" s="294" t="s">
        <v>21</v>
      </c>
      <c r="I5" s="207" t="s">
        <v>5279</v>
      </c>
      <c r="J5" s="294" t="s">
        <v>22</v>
      </c>
      <c r="K5" s="302" t="s">
        <v>5279</v>
      </c>
      <c r="L5" s="165" t="s">
        <v>5280</v>
      </c>
      <c r="M5" s="158" t="s">
        <v>5284</v>
      </c>
      <c r="N5" s="196"/>
      <c r="O5" s="155"/>
      <c r="P5" s="284"/>
      <c r="Q5" s="284"/>
      <c r="R5" s="284"/>
      <c r="S5" s="284"/>
      <c r="T5" s="284"/>
      <c r="U5" s="284"/>
      <c r="V5" s="284"/>
      <c r="W5" s="284"/>
      <c r="X5" s="284"/>
      <c r="Y5" s="284"/>
      <c r="Z5" s="284"/>
    </row>
    <row r="6" ht="22.5" customHeight="1">
      <c r="A6" s="303" t="s">
        <v>5285</v>
      </c>
      <c r="B6" s="286" t="s">
        <v>5286</v>
      </c>
      <c r="C6" s="212" t="s">
        <v>17</v>
      </c>
      <c r="D6" s="287" t="s">
        <v>5274</v>
      </c>
      <c r="E6" s="288" t="s">
        <v>19</v>
      </c>
      <c r="F6" s="289" t="s">
        <v>5275</v>
      </c>
      <c r="G6" s="288" t="s">
        <v>19</v>
      </c>
      <c r="H6" s="289" t="s">
        <v>21</v>
      </c>
      <c r="I6" s="288" t="s">
        <v>19</v>
      </c>
      <c r="J6" s="289" t="s">
        <v>22</v>
      </c>
      <c r="K6" s="290" t="s">
        <v>19</v>
      </c>
      <c r="L6" s="247" t="s">
        <v>5276</v>
      </c>
      <c r="M6" s="159" t="s">
        <v>5277</v>
      </c>
      <c r="N6" s="197"/>
      <c r="O6" s="147"/>
      <c r="P6" s="284"/>
      <c r="Q6" s="284"/>
      <c r="R6" s="284"/>
      <c r="S6" s="284"/>
      <c r="T6" s="284"/>
      <c r="U6" s="284"/>
      <c r="V6" s="284"/>
      <c r="W6" s="284"/>
      <c r="X6" s="284"/>
      <c r="Y6" s="284"/>
      <c r="Z6" s="284"/>
    </row>
    <row r="7" ht="22.5" customHeight="1">
      <c r="A7" s="291" t="s">
        <v>637</v>
      </c>
      <c r="B7" s="300" t="s">
        <v>5287</v>
      </c>
      <c r="C7" s="161" t="s">
        <v>49</v>
      </c>
      <c r="D7" s="293" t="s">
        <v>5274</v>
      </c>
      <c r="E7" s="301" t="s">
        <v>31</v>
      </c>
      <c r="F7" s="294" t="s">
        <v>5275</v>
      </c>
      <c r="G7" s="207" t="s">
        <v>5279</v>
      </c>
      <c r="H7" s="294" t="s">
        <v>21</v>
      </c>
      <c r="I7" s="207" t="s">
        <v>5279</v>
      </c>
      <c r="J7" s="294" t="s">
        <v>22</v>
      </c>
      <c r="K7" s="302" t="s">
        <v>5279</v>
      </c>
      <c r="L7" s="165" t="s">
        <v>5280</v>
      </c>
      <c r="M7" s="196"/>
      <c r="N7" s="196"/>
      <c r="O7" s="155"/>
      <c r="P7" s="284"/>
      <c r="Q7" s="284"/>
      <c r="R7" s="284"/>
      <c r="S7" s="284"/>
      <c r="T7" s="284"/>
      <c r="U7" s="284"/>
      <c r="V7" s="284"/>
      <c r="W7" s="284"/>
      <c r="X7" s="284"/>
      <c r="Y7" s="284"/>
      <c r="Z7" s="284"/>
    </row>
    <row r="8" ht="22.5" customHeight="1">
      <c r="A8" s="285" t="s">
        <v>5288</v>
      </c>
      <c r="B8" s="286" t="s">
        <v>5289</v>
      </c>
      <c r="C8" s="216" t="s">
        <v>40</v>
      </c>
      <c r="D8" s="287" t="s">
        <v>5274</v>
      </c>
      <c r="E8" s="288" t="s">
        <v>19</v>
      </c>
      <c r="F8" s="289" t="s">
        <v>5275</v>
      </c>
      <c r="G8" s="204" t="s">
        <v>5279</v>
      </c>
      <c r="H8" s="289" t="s">
        <v>21</v>
      </c>
      <c r="I8" s="204" t="s">
        <v>5279</v>
      </c>
      <c r="J8" s="289" t="s">
        <v>22</v>
      </c>
      <c r="K8" s="304" t="s">
        <v>31</v>
      </c>
      <c r="L8" s="173" t="s">
        <v>5280</v>
      </c>
      <c r="M8" s="159" t="s">
        <v>5290</v>
      </c>
      <c r="N8" s="197"/>
      <c r="O8" s="147"/>
      <c r="P8" s="284"/>
      <c r="Q8" s="284"/>
      <c r="R8" s="284"/>
      <c r="S8" s="284"/>
      <c r="T8" s="284"/>
      <c r="U8" s="284"/>
      <c r="V8" s="284"/>
      <c r="W8" s="284"/>
      <c r="X8" s="284"/>
      <c r="Y8" s="284"/>
      <c r="Z8" s="284"/>
    </row>
    <row r="9" ht="22.5" customHeight="1">
      <c r="A9" s="305" t="s">
        <v>637</v>
      </c>
      <c r="B9" s="292" t="s">
        <v>5291</v>
      </c>
      <c r="C9" s="214" t="s">
        <v>17</v>
      </c>
      <c r="D9" s="293" t="s">
        <v>5274</v>
      </c>
      <c r="E9" s="306" t="s">
        <v>19</v>
      </c>
      <c r="F9" s="294" t="s">
        <v>5275</v>
      </c>
      <c r="G9" s="306" t="s">
        <v>19</v>
      </c>
      <c r="H9" s="294" t="s">
        <v>21</v>
      </c>
      <c r="I9" s="306" t="s">
        <v>19</v>
      </c>
      <c r="J9" s="294" t="s">
        <v>22</v>
      </c>
      <c r="K9" s="307" t="s">
        <v>19</v>
      </c>
      <c r="L9" s="248" t="s">
        <v>5276</v>
      </c>
      <c r="M9" s="158" t="s">
        <v>5277</v>
      </c>
      <c r="N9" s="196"/>
      <c r="O9" s="155"/>
      <c r="P9" s="284"/>
      <c r="Q9" s="284"/>
      <c r="R9" s="284"/>
      <c r="S9" s="284"/>
      <c r="T9" s="284"/>
      <c r="U9" s="284"/>
      <c r="V9" s="284"/>
      <c r="W9" s="284"/>
      <c r="X9" s="284"/>
      <c r="Y9" s="284"/>
      <c r="Z9" s="284"/>
    </row>
    <row r="10" ht="22.5" customHeight="1">
      <c r="A10" s="303" t="s">
        <v>5292</v>
      </c>
      <c r="B10" s="308" t="s">
        <v>5293</v>
      </c>
      <c r="C10" s="216" t="s">
        <v>40</v>
      </c>
      <c r="D10" s="287" t="s">
        <v>5274</v>
      </c>
      <c r="E10" s="288" t="s">
        <v>19</v>
      </c>
      <c r="F10" s="289" t="s">
        <v>5275</v>
      </c>
      <c r="G10" s="297" t="s">
        <v>31</v>
      </c>
      <c r="H10" s="289" t="s">
        <v>21</v>
      </c>
      <c r="I10" s="215" t="s">
        <v>26</v>
      </c>
      <c r="J10" s="289" t="s">
        <v>22</v>
      </c>
      <c r="K10" s="290" t="s">
        <v>19</v>
      </c>
      <c r="L10" s="173" t="s">
        <v>5280</v>
      </c>
      <c r="M10" s="159" t="s">
        <v>5294</v>
      </c>
      <c r="N10" s="197"/>
      <c r="O10" s="147"/>
      <c r="P10" s="284"/>
      <c r="Q10" s="284"/>
      <c r="R10" s="284"/>
      <c r="S10" s="284"/>
      <c r="T10" s="284"/>
      <c r="U10" s="284"/>
      <c r="V10" s="284"/>
      <c r="W10" s="284"/>
      <c r="X10" s="284"/>
      <c r="Y10" s="284"/>
      <c r="Z10" s="284"/>
    </row>
    <row r="11" ht="22.5" customHeight="1">
      <c r="A11" s="309" t="s">
        <v>5295</v>
      </c>
      <c r="B11" s="300" t="s">
        <v>5296</v>
      </c>
      <c r="C11" s="151" t="s">
        <v>30</v>
      </c>
      <c r="D11" s="293" t="s">
        <v>5274</v>
      </c>
      <c r="E11" s="306" t="s">
        <v>19</v>
      </c>
      <c r="F11" s="294" t="s">
        <v>5275</v>
      </c>
      <c r="G11" s="207" t="s">
        <v>5279</v>
      </c>
      <c r="H11" s="294" t="s">
        <v>21</v>
      </c>
      <c r="I11" s="207" t="s">
        <v>5279</v>
      </c>
      <c r="J11" s="294" t="s">
        <v>22</v>
      </c>
      <c r="K11" s="296" t="s">
        <v>31</v>
      </c>
      <c r="L11" s="165" t="s">
        <v>5280</v>
      </c>
      <c r="M11" s="158" t="s">
        <v>5297</v>
      </c>
      <c r="N11" s="196"/>
      <c r="O11" s="155"/>
      <c r="P11" s="284"/>
      <c r="Q11" s="284"/>
      <c r="R11" s="284"/>
      <c r="S11" s="284"/>
      <c r="T11" s="284"/>
      <c r="U11" s="284"/>
      <c r="V11" s="284"/>
      <c r="W11" s="284"/>
      <c r="X11" s="284"/>
      <c r="Y11" s="284"/>
      <c r="Z11" s="284"/>
    </row>
    <row r="12" ht="22.5" customHeight="1">
      <c r="A12" s="303" t="s">
        <v>5298</v>
      </c>
      <c r="B12" s="286" t="s">
        <v>5299</v>
      </c>
      <c r="C12" s="212" t="s">
        <v>17</v>
      </c>
      <c r="D12" s="287" t="s">
        <v>5274</v>
      </c>
      <c r="E12" s="288" t="s">
        <v>19</v>
      </c>
      <c r="F12" s="289" t="s">
        <v>5275</v>
      </c>
      <c r="G12" s="288" t="s">
        <v>19</v>
      </c>
      <c r="H12" s="289" t="s">
        <v>21</v>
      </c>
      <c r="I12" s="288" t="s">
        <v>19</v>
      </c>
      <c r="J12" s="289" t="s">
        <v>22</v>
      </c>
      <c r="K12" s="290" t="s">
        <v>19</v>
      </c>
      <c r="L12" s="247" t="s">
        <v>5276</v>
      </c>
      <c r="M12" s="159" t="s">
        <v>5277</v>
      </c>
      <c r="N12" s="197"/>
      <c r="O12" s="147"/>
      <c r="P12" s="284"/>
      <c r="Q12" s="284"/>
      <c r="R12" s="284"/>
      <c r="S12" s="284"/>
      <c r="T12" s="284"/>
      <c r="U12" s="284"/>
      <c r="V12" s="284"/>
      <c r="W12" s="284"/>
      <c r="X12" s="284"/>
      <c r="Y12" s="284"/>
      <c r="Z12" s="284"/>
    </row>
    <row r="13" ht="22.5" customHeight="1">
      <c r="A13" s="299" t="s">
        <v>5300</v>
      </c>
      <c r="B13" s="310" t="s">
        <v>5301</v>
      </c>
      <c r="C13" s="161" t="s">
        <v>49</v>
      </c>
      <c r="D13" s="293" t="s">
        <v>5274</v>
      </c>
      <c r="E13" s="311" t="s">
        <v>31</v>
      </c>
      <c r="F13" s="294" t="s">
        <v>5275</v>
      </c>
      <c r="G13" s="227" t="s">
        <v>5279</v>
      </c>
      <c r="H13" s="294" t="s">
        <v>21</v>
      </c>
      <c r="I13" s="227" t="s">
        <v>5279</v>
      </c>
      <c r="J13" s="294" t="s">
        <v>22</v>
      </c>
      <c r="K13" s="312" t="s">
        <v>5279</v>
      </c>
      <c r="L13" s="180" t="s">
        <v>5280</v>
      </c>
      <c r="M13" s="313" t="s">
        <v>5302</v>
      </c>
      <c r="N13" s="196"/>
      <c r="O13" s="155"/>
      <c r="P13" s="284"/>
      <c r="Q13" s="284"/>
      <c r="R13" s="284"/>
      <c r="S13" s="284"/>
      <c r="T13" s="284"/>
      <c r="U13" s="284"/>
      <c r="V13" s="284"/>
      <c r="W13" s="284"/>
      <c r="X13" s="284"/>
      <c r="Y13" s="284"/>
      <c r="Z13" s="284"/>
    </row>
    <row r="14" ht="22.5" customHeight="1">
      <c r="A14" s="303" t="s">
        <v>637</v>
      </c>
      <c r="B14" s="286" t="s">
        <v>5303</v>
      </c>
      <c r="C14" s="216" t="s">
        <v>40</v>
      </c>
      <c r="D14" s="287" t="s">
        <v>5274</v>
      </c>
      <c r="E14" s="297" t="s">
        <v>31</v>
      </c>
      <c r="F14" s="289" t="s">
        <v>5275</v>
      </c>
      <c r="G14" s="204" t="s">
        <v>5279</v>
      </c>
      <c r="H14" s="289" t="s">
        <v>21</v>
      </c>
      <c r="I14" s="204" t="s">
        <v>5279</v>
      </c>
      <c r="J14" s="289" t="s">
        <v>22</v>
      </c>
      <c r="K14" s="298" t="s">
        <v>5279</v>
      </c>
      <c r="L14" s="173" t="s">
        <v>5280</v>
      </c>
      <c r="M14" s="197"/>
      <c r="N14" s="197"/>
      <c r="O14" s="147"/>
      <c r="P14" s="284"/>
      <c r="Q14" s="284"/>
      <c r="R14" s="284"/>
      <c r="S14" s="284"/>
      <c r="T14" s="284"/>
      <c r="U14" s="284"/>
      <c r="V14" s="284"/>
      <c r="W14" s="284"/>
      <c r="X14" s="284"/>
      <c r="Y14" s="284"/>
      <c r="Z14" s="284"/>
    </row>
    <row r="15" ht="22.5" customHeight="1">
      <c r="A15" s="305" t="s">
        <v>5304</v>
      </c>
      <c r="B15" s="300" t="s">
        <v>5305</v>
      </c>
      <c r="C15" s="214" t="s">
        <v>17</v>
      </c>
      <c r="D15" s="293" t="s">
        <v>5274</v>
      </c>
      <c r="E15" s="306" t="s">
        <v>19</v>
      </c>
      <c r="F15" s="294" t="s">
        <v>5275</v>
      </c>
      <c r="G15" s="306" t="s">
        <v>19</v>
      </c>
      <c r="H15" s="294" t="s">
        <v>21</v>
      </c>
      <c r="I15" s="306" t="s">
        <v>19</v>
      </c>
      <c r="J15" s="294" t="s">
        <v>22</v>
      </c>
      <c r="K15" s="307" t="s">
        <v>19</v>
      </c>
      <c r="L15" s="248" t="s">
        <v>5276</v>
      </c>
      <c r="M15" s="158" t="s">
        <v>5277</v>
      </c>
      <c r="N15" s="196"/>
      <c r="O15" s="155"/>
      <c r="P15" s="284"/>
      <c r="Q15" s="284"/>
      <c r="R15" s="284"/>
      <c r="S15" s="284"/>
      <c r="T15" s="284"/>
      <c r="U15" s="284"/>
      <c r="V15" s="284"/>
      <c r="W15" s="284"/>
      <c r="X15" s="284"/>
      <c r="Y15" s="284"/>
      <c r="Z15" s="284"/>
    </row>
    <row r="16" ht="22.5" customHeight="1">
      <c r="A16" s="303" t="s">
        <v>637</v>
      </c>
      <c r="B16" s="308" t="s">
        <v>5306</v>
      </c>
      <c r="C16" s="216" t="s">
        <v>40</v>
      </c>
      <c r="D16" s="287" t="s">
        <v>5274</v>
      </c>
      <c r="E16" s="288" t="s">
        <v>19</v>
      </c>
      <c r="F16" s="289" t="s">
        <v>5275</v>
      </c>
      <c r="G16" s="297" t="s">
        <v>31</v>
      </c>
      <c r="H16" s="289" t="s">
        <v>21</v>
      </c>
      <c r="I16" s="288" t="s">
        <v>19</v>
      </c>
      <c r="J16" s="289" t="s">
        <v>22</v>
      </c>
      <c r="K16" s="290" t="s">
        <v>19</v>
      </c>
      <c r="L16" s="173" t="s">
        <v>5280</v>
      </c>
      <c r="M16" s="159" t="s">
        <v>5307</v>
      </c>
      <c r="N16" s="197"/>
      <c r="O16" s="147"/>
      <c r="P16" s="284"/>
      <c r="Q16" s="284"/>
      <c r="R16" s="284"/>
      <c r="S16" s="284"/>
      <c r="T16" s="284"/>
      <c r="U16" s="284"/>
      <c r="V16" s="284"/>
      <c r="W16" s="284"/>
      <c r="X16" s="284"/>
      <c r="Y16" s="284"/>
      <c r="Z16" s="284"/>
    </row>
    <row r="17" ht="22.5" customHeight="1">
      <c r="A17" s="291" t="s">
        <v>5308</v>
      </c>
      <c r="B17" s="158" t="s">
        <v>5309</v>
      </c>
      <c r="C17" s="314" t="s">
        <v>49</v>
      </c>
      <c r="D17" s="315" t="s">
        <v>5274</v>
      </c>
      <c r="E17" s="306" t="s">
        <v>19</v>
      </c>
      <c r="F17" s="316" t="s">
        <v>5275</v>
      </c>
      <c r="G17" s="306" t="s">
        <v>19</v>
      </c>
      <c r="H17" s="294" t="s">
        <v>21</v>
      </c>
      <c r="I17" s="306" t="s">
        <v>19</v>
      </c>
      <c r="J17" s="294" t="s">
        <v>22</v>
      </c>
      <c r="K17" s="307" t="s">
        <v>19</v>
      </c>
      <c r="L17" s="248" t="s">
        <v>5276</v>
      </c>
      <c r="M17" s="158" t="s">
        <v>5277</v>
      </c>
      <c r="N17" s="196"/>
      <c r="O17" s="155"/>
      <c r="P17" s="284"/>
      <c r="Q17" s="284"/>
      <c r="R17" s="284"/>
      <c r="S17" s="284"/>
      <c r="T17" s="284"/>
      <c r="U17" s="284"/>
      <c r="V17" s="284"/>
      <c r="W17" s="284"/>
      <c r="X17" s="284"/>
      <c r="Y17" s="284"/>
      <c r="Z17" s="284"/>
    </row>
    <row r="18" ht="22.5" customHeight="1">
      <c r="A18" s="303" t="s">
        <v>637</v>
      </c>
      <c r="B18" s="159" t="s">
        <v>5310</v>
      </c>
      <c r="C18" s="169" t="s">
        <v>49</v>
      </c>
      <c r="D18" s="287" t="s">
        <v>5274</v>
      </c>
      <c r="E18" s="288" t="s">
        <v>19</v>
      </c>
      <c r="F18" s="289" t="s">
        <v>5275</v>
      </c>
      <c r="G18" s="297" t="s">
        <v>31</v>
      </c>
      <c r="H18" s="289" t="s">
        <v>21</v>
      </c>
      <c r="I18" s="204" t="s">
        <v>5279</v>
      </c>
      <c r="J18" s="289" t="s">
        <v>22</v>
      </c>
      <c r="K18" s="298" t="s">
        <v>5279</v>
      </c>
      <c r="L18" s="173" t="s">
        <v>5280</v>
      </c>
      <c r="M18" s="159" t="s">
        <v>135</v>
      </c>
      <c r="N18" s="197"/>
      <c r="O18" s="147"/>
      <c r="P18" s="284"/>
      <c r="Q18" s="284"/>
      <c r="R18" s="284"/>
      <c r="S18" s="284"/>
      <c r="T18" s="284"/>
      <c r="U18" s="284"/>
      <c r="V18" s="284"/>
      <c r="W18" s="284"/>
      <c r="X18" s="284"/>
      <c r="Y18" s="284"/>
      <c r="Z18" s="284"/>
    </row>
    <row r="19" ht="22.5" customHeight="1">
      <c r="A19" s="291" t="s">
        <v>5311</v>
      </c>
      <c r="B19" s="158" t="s">
        <v>5312</v>
      </c>
      <c r="C19" s="161" t="s">
        <v>49</v>
      </c>
      <c r="D19" s="293" t="s">
        <v>5274</v>
      </c>
      <c r="E19" s="306" t="s">
        <v>19</v>
      </c>
      <c r="F19" s="294" t="s">
        <v>5275</v>
      </c>
      <c r="G19" s="301" t="s">
        <v>31</v>
      </c>
      <c r="H19" s="294" t="s">
        <v>21</v>
      </c>
      <c r="I19" s="207" t="s">
        <v>5279</v>
      </c>
      <c r="J19" s="294" t="s">
        <v>22</v>
      </c>
      <c r="K19" s="302" t="s">
        <v>5279</v>
      </c>
      <c r="L19" s="165" t="s">
        <v>5280</v>
      </c>
      <c r="M19" s="158" t="s">
        <v>152</v>
      </c>
      <c r="N19" s="196"/>
      <c r="O19" s="155"/>
      <c r="P19" s="284"/>
      <c r="Q19" s="284"/>
      <c r="R19" s="284"/>
      <c r="S19" s="284"/>
      <c r="T19" s="284"/>
      <c r="U19" s="284"/>
      <c r="V19" s="284"/>
      <c r="W19" s="284"/>
      <c r="X19" s="284"/>
      <c r="Y19" s="284"/>
      <c r="Z19" s="284"/>
    </row>
    <row r="20" ht="22.5" customHeight="1">
      <c r="A20" s="303" t="s">
        <v>5313</v>
      </c>
      <c r="B20" s="159" t="s">
        <v>5314</v>
      </c>
      <c r="C20" s="169" t="s">
        <v>49</v>
      </c>
      <c r="D20" s="287" t="s">
        <v>5274</v>
      </c>
      <c r="E20" s="288" t="s">
        <v>19</v>
      </c>
      <c r="F20" s="289" t="s">
        <v>5275</v>
      </c>
      <c r="G20" s="297" t="s">
        <v>31</v>
      </c>
      <c r="H20" s="289" t="s">
        <v>21</v>
      </c>
      <c r="I20" s="288" t="s">
        <v>19</v>
      </c>
      <c r="J20" s="289" t="s">
        <v>22</v>
      </c>
      <c r="K20" s="290" t="s">
        <v>19</v>
      </c>
      <c r="L20" s="173" t="s">
        <v>5280</v>
      </c>
      <c r="M20" s="159" t="s">
        <v>135</v>
      </c>
      <c r="N20" s="197"/>
      <c r="O20" s="147"/>
      <c r="P20" s="284"/>
      <c r="Q20" s="284"/>
      <c r="R20" s="284"/>
      <c r="S20" s="284"/>
      <c r="T20" s="284"/>
      <c r="U20" s="284"/>
      <c r="V20" s="284"/>
      <c r="W20" s="284"/>
      <c r="X20" s="284"/>
      <c r="Y20" s="284"/>
      <c r="Z20" s="284"/>
    </row>
    <row r="21" ht="22.5" customHeight="1">
      <c r="A21" s="305" t="s">
        <v>5315</v>
      </c>
      <c r="B21" s="158" t="s">
        <v>5316</v>
      </c>
      <c r="C21" s="214" t="s">
        <v>17</v>
      </c>
      <c r="D21" s="293" t="s">
        <v>5274</v>
      </c>
      <c r="E21" s="306" t="s">
        <v>19</v>
      </c>
      <c r="F21" s="294" t="s">
        <v>5275</v>
      </c>
      <c r="G21" s="306" t="s">
        <v>19</v>
      </c>
      <c r="H21" s="294" t="s">
        <v>21</v>
      </c>
      <c r="I21" s="306" t="s">
        <v>19</v>
      </c>
      <c r="J21" s="294" t="s">
        <v>22</v>
      </c>
      <c r="K21" s="307" t="s">
        <v>19</v>
      </c>
      <c r="L21" s="248" t="s">
        <v>5276</v>
      </c>
      <c r="M21" s="158" t="s">
        <v>5277</v>
      </c>
      <c r="N21" s="196"/>
      <c r="O21" s="155"/>
      <c r="P21" s="284"/>
      <c r="Q21" s="284"/>
      <c r="R21" s="284"/>
      <c r="S21" s="284"/>
      <c r="T21" s="284"/>
      <c r="U21" s="284"/>
      <c r="V21" s="284"/>
      <c r="W21" s="284"/>
      <c r="X21" s="284"/>
      <c r="Y21" s="284"/>
      <c r="Z21" s="284"/>
    </row>
    <row r="22" ht="22.5" customHeight="1">
      <c r="A22" s="285" t="s">
        <v>637</v>
      </c>
      <c r="B22" s="159" t="s">
        <v>5317</v>
      </c>
      <c r="C22" s="317" t="s">
        <v>49</v>
      </c>
      <c r="D22" s="287" t="s">
        <v>5274</v>
      </c>
      <c r="E22" s="288" t="s">
        <v>19</v>
      </c>
      <c r="F22" s="289" t="s">
        <v>5275</v>
      </c>
      <c r="G22" s="297" t="s">
        <v>31</v>
      </c>
      <c r="H22" s="289" t="s">
        <v>21</v>
      </c>
      <c r="I22" s="204" t="s">
        <v>5279</v>
      </c>
      <c r="J22" s="289" t="s">
        <v>22</v>
      </c>
      <c r="K22" s="298" t="s">
        <v>5279</v>
      </c>
      <c r="L22" s="173" t="s">
        <v>5280</v>
      </c>
      <c r="M22" s="159" t="s">
        <v>152</v>
      </c>
      <c r="N22" s="197"/>
      <c r="O22" s="147"/>
      <c r="P22" s="284"/>
      <c r="Q22" s="284"/>
      <c r="R22" s="284"/>
      <c r="S22" s="284"/>
      <c r="T22" s="284"/>
      <c r="U22" s="284"/>
      <c r="V22" s="284"/>
      <c r="W22" s="284"/>
      <c r="X22" s="284"/>
      <c r="Y22" s="284"/>
      <c r="Z22" s="284"/>
    </row>
    <row r="23" ht="22.5" customHeight="1">
      <c r="A23" s="299" t="s">
        <v>637</v>
      </c>
      <c r="B23" s="158" t="s">
        <v>5318</v>
      </c>
      <c r="C23" s="214" t="s">
        <v>17</v>
      </c>
      <c r="D23" s="293" t="s">
        <v>5274</v>
      </c>
      <c r="E23" s="306" t="s">
        <v>19</v>
      </c>
      <c r="F23" s="294" t="s">
        <v>5275</v>
      </c>
      <c r="G23" s="306" t="s">
        <v>19</v>
      </c>
      <c r="H23" s="316" t="s">
        <v>21</v>
      </c>
      <c r="I23" s="306" t="s">
        <v>19</v>
      </c>
      <c r="J23" s="294" t="s">
        <v>22</v>
      </c>
      <c r="K23" s="307" t="s">
        <v>19</v>
      </c>
      <c r="L23" s="248" t="s">
        <v>5276</v>
      </c>
      <c r="M23" s="158" t="s">
        <v>5277</v>
      </c>
      <c r="N23" s="196"/>
      <c r="O23" s="155"/>
      <c r="P23" s="284"/>
      <c r="Q23" s="284"/>
      <c r="R23" s="284"/>
      <c r="S23" s="284"/>
      <c r="T23" s="284"/>
      <c r="U23" s="284"/>
      <c r="V23" s="284"/>
      <c r="W23" s="284"/>
      <c r="X23" s="284"/>
      <c r="Y23" s="284"/>
      <c r="Z23" s="284"/>
    </row>
    <row r="24" ht="22.5" customHeight="1">
      <c r="A24" s="285" t="s">
        <v>637</v>
      </c>
      <c r="B24" s="159" t="s">
        <v>5319</v>
      </c>
      <c r="C24" s="317" t="s">
        <v>49</v>
      </c>
      <c r="D24" s="287" t="s">
        <v>5274</v>
      </c>
      <c r="E24" s="204" t="s">
        <v>640</v>
      </c>
      <c r="F24" s="289" t="s">
        <v>5275</v>
      </c>
      <c r="G24" s="204" t="s">
        <v>5279</v>
      </c>
      <c r="H24" s="289" t="s">
        <v>21</v>
      </c>
      <c r="I24" s="297" t="s">
        <v>31</v>
      </c>
      <c r="J24" s="289" t="s">
        <v>22</v>
      </c>
      <c r="K24" s="204" t="s">
        <v>5279</v>
      </c>
      <c r="L24" s="173" t="s">
        <v>5280</v>
      </c>
      <c r="M24" s="159" t="s">
        <v>5320</v>
      </c>
      <c r="N24" s="197"/>
      <c r="O24" s="147"/>
      <c r="P24" s="284"/>
      <c r="Q24" s="284"/>
      <c r="R24" s="284"/>
      <c r="S24" s="284"/>
      <c r="T24" s="284"/>
      <c r="U24" s="284"/>
      <c r="V24" s="284"/>
      <c r="W24" s="284"/>
      <c r="X24" s="284"/>
      <c r="Y24" s="284"/>
      <c r="Z24" s="284"/>
    </row>
    <row r="25" ht="22.5" customHeight="1">
      <c r="A25" s="299" t="s">
        <v>5321</v>
      </c>
      <c r="B25" s="158" t="s">
        <v>5322</v>
      </c>
      <c r="C25" s="318" t="s">
        <v>40</v>
      </c>
      <c r="D25" s="293" t="s">
        <v>5274</v>
      </c>
      <c r="E25" s="207" t="s">
        <v>640</v>
      </c>
      <c r="F25" s="316" t="s">
        <v>5275</v>
      </c>
      <c r="G25" s="301" t="s">
        <v>31</v>
      </c>
      <c r="H25" s="316" t="s">
        <v>21</v>
      </c>
      <c r="I25" s="306" t="s">
        <v>19</v>
      </c>
      <c r="J25" s="294" t="s">
        <v>22</v>
      </c>
      <c r="K25" s="302" t="s">
        <v>5279</v>
      </c>
      <c r="L25" s="165" t="s">
        <v>5280</v>
      </c>
      <c r="M25" s="158" t="s">
        <v>5323</v>
      </c>
      <c r="N25" s="196"/>
      <c r="O25" s="155"/>
      <c r="P25" s="284"/>
      <c r="Q25" s="284"/>
      <c r="R25" s="284"/>
      <c r="S25" s="284"/>
      <c r="T25" s="284"/>
      <c r="U25" s="284"/>
      <c r="V25" s="284"/>
      <c r="W25" s="284"/>
      <c r="X25" s="284"/>
      <c r="Y25" s="284"/>
      <c r="Z25" s="284"/>
    </row>
    <row r="26" ht="22.5" customHeight="1">
      <c r="A26" s="303" t="s">
        <v>5324</v>
      </c>
      <c r="B26" s="159" t="s">
        <v>5325</v>
      </c>
      <c r="C26" s="319" t="s">
        <v>40</v>
      </c>
      <c r="D26" s="287" t="s">
        <v>5274</v>
      </c>
      <c r="E26" s="297" t="s">
        <v>31</v>
      </c>
      <c r="F26" s="289" t="s">
        <v>5275</v>
      </c>
      <c r="G26" s="204" t="s">
        <v>5279</v>
      </c>
      <c r="H26" s="289" t="s">
        <v>21</v>
      </c>
      <c r="I26" s="204" t="s">
        <v>5279</v>
      </c>
      <c r="J26" s="289" t="s">
        <v>22</v>
      </c>
      <c r="K26" s="298" t="s">
        <v>5279</v>
      </c>
      <c r="L26" s="173" t="s">
        <v>5280</v>
      </c>
      <c r="M26" s="197"/>
      <c r="N26" s="197"/>
      <c r="O26" s="147"/>
      <c r="P26" s="284"/>
      <c r="Q26" s="284"/>
      <c r="R26" s="284"/>
      <c r="S26" s="284"/>
      <c r="T26" s="284"/>
      <c r="U26" s="284"/>
      <c r="V26" s="284"/>
      <c r="W26" s="284"/>
      <c r="X26" s="284"/>
      <c r="Y26" s="284"/>
      <c r="Z26" s="284"/>
    </row>
    <row r="27" ht="22.5" customHeight="1">
      <c r="A27" s="291" t="s">
        <v>637</v>
      </c>
      <c r="B27" s="158" t="s">
        <v>5326</v>
      </c>
      <c r="C27" s="318" t="s">
        <v>40</v>
      </c>
      <c r="D27" s="293" t="s">
        <v>5274</v>
      </c>
      <c r="E27" s="207" t="s">
        <v>640</v>
      </c>
      <c r="F27" s="316" t="s">
        <v>5275</v>
      </c>
      <c r="G27" s="301" t="s">
        <v>31</v>
      </c>
      <c r="H27" s="294" t="s">
        <v>21</v>
      </c>
      <c r="I27" s="207" t="s">
        <v>5279</v>
      </c>
      <c r="J27" s="294" t="s">
        <v>22</v>
      </c>
      <c r="K27" s="302" t="s">
        <v>5279</v>
      </c>
      <c r="L27" s="165" t="s">
        <v>5280</v>
      </c>
      <c r="M27" s="196"/>
      <c r="N27" s="196"/>
      <c r="O27" s="155"/>
      <c r="P27" s="284"/>
      <c r="Q27" s="284"/>
      <c r="R27" s="284"/>
      <c r="S27" s="284"/>
      <c r="T27" s="284"/>
      <c r="U27" s="284"/>
      <c r="V27" s="284"/>
      <c r="W27" s="284"/>
      <c r="X27" s="284"/>
      <c r="Y27" s="284"/>
      <c r="Z27" s="284"/>
    </row>
    <row r="28" ht="22.5" customHeight="1">
      <c r="A28" s="285" t="s">
        <v>5327</v>
      </c>
      <c r="B28" s="159" t="s">
        <v>5328</v>
      </c>
      <c r="C28" s="319" t="s">
        <v>40</v>
      </c>
      <c r="D28" s="287" t="s">
        <v>5274</v>
      </c>
      <c r="E28" s="204" t="s">
        <v>640</v>
      </c>
      <c r="F28" s="289" t="s">
        <v>5275</v>
      </c>
      <c r="G28" s="204" t="s">
        <v>5279</v>
      </c>
      <c r="H28" s="289" t="s">
        <v>21</v>
      </c>
      <c r="I28" s="297" t="s">
        <v>31</v>
      </c>
      <c r="J28" s="289" t="s">
        <v>22</v>
      </c>
      <c r="K28" s="298" t="s">
        <v>5279</v>
      </c>
      <c r="L28" s="173" t="s">
        <v>5280</v>
      </c>
      <c r="M28" s="159" t="s">
        <v>5329</v>
      </c>
      <c r="N28" s="197"/>
      <c r="O28" s="147"/>
      <c r="P28" s="284"/>
      <c r="Q28" s="284"/>
      <c r="R28" s="284"/>
      <c r="S28" s="284"/>
      <c r="T28" s="284"/>
      <c r="U28" s="284"/>
      <c r="V28" s="284"/>
      <c r="W28" s="284"/>
      <c r="X28" s="284"/>
      <c r="Y28" s="284"/>
      <c r="Z28" s="284"/>
    </row>
    <row r="29" ht="22.5" customHeight="1">
      <c r="A29" s="291" t="s">
        <v>5330</v>
      </c>
      <c r="B29" s="158" t="s">
        <v>5331</v>
      </c>
      <c r="C29" s="314" t="s">
        <v>49</v>
      </c>
      <c r="D29" s="315" t="s">
        <v>5274</v>
      </c>
      <c r="E29" s="306" t="s">
        <v>19</v>
      </c>
      <c r="F29" s="316" t="s">
        <v>5275</v>
      </c>
      <c r="G29" s="207" t="s">
        <v>5279</v>
      </c>
      <c r="H29" s="294" t="s">
        <v>21</v>
      </c>
      <c r="I29" s="207" t="s">
        <v>5279</v>
      </c>
      <c r="J29" s="294" t="s">
        <v>22</v>
      </c>
      <c r="K29" s="302" t="s">
        <v>5279</v>
      </c>
      <c r="L29" s="320" t="s">
        <v>5271</v>
      </c>
      <c r="M29" s="196"/>
      <c r="N29" s="196"/>
      <c r="O29" s="155"/>
      <c r="P29" s="284"/>
      <c r="Q29" s="284"/>
      <c r="R29" s="284"/>
      <c r="S29" s="284"/>
      <c r="T29" s="284"/>
      <c r="U29" s="284"/>
      <c r="V29" s="284"/>
      <c r="W29" s="284"/>
      <c r="X29" s="284"/>
      <c r="Y29" s="284"/>
      <c r="Z29" s="284"/>
    </row>
    <row r="30" ht="22.5" customHeight="1">
      <c r="A30" s="285" t="s">
        <v>5330</v>
      </c>
      <c r="B30" s="159" t="s">
        <v>5332</v>
      </c>
      <c r="C30" s="319" t="s">
        <v>40</v>
      </c>
      <c r="D30" s="287" t="s">
        <v>5274</v>
      </c>
      <c r="E30" s="297" t="s">
        <v>31</v>
      </c>
      <c r="F30" s="321" t="s">
        <v>5275</v>
      </c>
      <c r="G30" s="204" t="s">
        <v>5279</v>
      </c>
      <c r="H30" s="289" t="s">
        <v>21</v>
      </c>
      <c r="I30" s="204" t="s">
        <v>5279</v>
      </c>
      <c r="J30" s="289" t="s">
        <v>22</v>
      </c>
      <c r="K30" s="298" t="s">
        <v>5279</v>
      </c>
      <c r="L30" s="173" t="s">
        <v>5280</v>
      </c>
      <c r="M30" s="159" t="s">
        <v>5333</v>
      </c>
      <c r="N30" s="197"/>
      <c r="O30" s="147"/>
      <c r="P30" s="284"/>
      <c r="Q30" s="284"/>
      <c r="R30" s="284"/>
      <c r="S30" s="284"/>
      <c r="T30" s="284"/>
      <c r="U30" s="284"/>
      <c r="V30" s="284"/>
      <c r="W30" s="284"/>
      <c r="X30" s="284"/>
      <c r="Y30" s="284"/>
      <c r="Z30" s="284"/>
    </row>
    <row r="31" ht="22.5" customHeight="1">
      <c r="A31" s="299" t="s">
        <v>637</v>
      </c>
      <c r="B31" s="158" t="s">
        <v>5334</v>
      </c>
      <c r="C31" s="318" t="s">
        <v>40</v>
      </c>
      <c r="D31" s="293" t="s">
        <v>5274</v>
      </c>
      <c r="E31" s="306" t="s">
        <v>19</v>
      </c>
      <c r="F31" s="316" t="s">
        <v>5275</v>
      </c>
      <c r="G31" s="174" t="s">
        <v>26</v>
      </c>
      <c r="H31" s="294" t="s">
        <v>21</v>
      </c>
      <c r="I31" s="301" t="s">
        <v>31</v>
      </c>
      <c r="J31" s="294" t="s">
        <v>22</v>
      </c>
      <c r="K31" s="302" t="s">
        <v>5279</v>
      </c>
      <c r="L31" s="165" t="s">
        <v>5280</v>
      </c>
      <c r="M31" s="158" t="s">
        <v>5335</v>
      </c>
      <c r="N31" s="196"/>
      <c r="O31" s="155"/>
      <c r="P31" s="284"/>
      <c r="Q31" s="284"/>
      <c r="R31" s="284"/>
      <c r="S31" s="284"/>
      <c r="T31" s="284"/>
      <c r="U31" s="284"/>
      <c r="V31" s="284"/>
      <c r="W31" s="284"/>
      <c r="X31" s="284"/>
      <c r="Y31" s="284"/>
      <c r="Z31" s="284"/>
    </row>
    <row r="32" ht="22.5" customHeight="1">
      <c r="A32" s="303" t="s">
        <v>637</v>
      </c>
      <c r="B32" s="159" t="s">
        <v>5336</v>
      </c>
      <c r="C32" s="319" t="s">
        <v>40</v>
      </c>
      <c r="D32" s="287" t="s">
        <v>5274</v>
      </c>
      <c r="E32" s="204" t="s">
        <v>640</v>
      </c>
      <c r="F32" s="321" t="s">
        <v>5275</v>
      </c>
      <c r="G32" s="297" t="s">
        <v>31</v>
      </c>
      <c r="H32" s="289" t="s">
        <v>21</v>
      </c>
      <c r="I32" s="204" t="s">
        <v>5279</v>
      </c>
      <c r="J32" s="289" t="s">
        <v>22</v>
      </c>
      <c r="K32" s="298" t="s">
        <v>5279</v>
      </c>
      <c r="L32" s="173" t="s">
        <v>5280</v>
      </c>
      <c r="M32" s="159" t="s">
        <v>5329</v>
      </c>
      <c r="N32" s="197"/>
      <c r="O32" s="147"/>
      <c r="P32" s="284"/>
      <c r="Q32" s="284"/>
      <c r="R32" s="284"/>
      <c r="S32" s="284"/>
      <c r="T32" s="284"/>
      <c r="U32" s="284"/>
      <c r="V32" s="284"/>
      <c r="W32" s="284"/>
      <c r="X32" s="284"/>
      <c r="Y32" s="284"/>
      <c r="Z32" s="284"/>
    </row>
    <row r="33" ht="22.5" customHeight="1">
      <c r="A33" s="299" t="s">
        <v>637</v>
      </c>
      <c r="B33" s="158" t="s">
        <v>5337</v>
      </c>
      <c r="C33" s="314" t="s">
        <v>49</v>
      </c>
      <c r="D33" s="293" t="s">
        <v>5274</v>
      </c>
      <c r="E33" s="306" t="s">
        <v>19</v>
      </c>
      <c r="F33" s="316" t="s">
        <v>5275</v>
      </c>
      <c r="G33" s="306" t="s">
        <v>19</v>
      </c>
      <c r="H33" s="294" t="s">
        <v>21</v>
      </c>
      <c r="I33" s="306" t="s">
        <v>19</v>
      </c>
      <c r="J33" s="294" t="s">
        <v>22</v>
      </c>
      <c r="K33" s="307" t="s">
        <v>19</v>
      </c>
      <c r="L33" s="248" t="s">
        <v>5276</v>
      </c>
      <c r="M33" s="196"/>
      <c r="N33" s="196"/>
      <c r="O33" s="155"/>
      <c r="P33" s="284"/>
      <c r="Q33" s="284"/>
      <c r="R33" s="284"/>
      <c r="S33" s="284"/>
      <c r="T33" s="284"/>
      <c r="U33" s="284"/>
      <c r="V33" s="284"/>
      <c r="W33" s="284"/>
      <c r="X33" s="284"/>
      <c r="Y33" s="284"/>
      <c r="Z33" s="284"/>
    </row>
    <row r="34" ht="22.5" customHeight="1">
      <c r="A34" s="285" t="s">
        <v>5330</v>
      </c>
      <c r="B34" s="159" t="s">
        <v>5338</v>
      </c>
      <c r="C34" s="319" t="s">
        <v>40</v>
      </c>
      <c r="D34" s="287" t="s">
        <v>5274</v>
      </c>
      <c r="E34" s="204" t="s">
        <v>640</v>
      </c>
      <c r="F34" s="321" t="s">
        <v>5275</v>
      </c>
      <c r="G34" s="297" t="s">
        <v>31</v>
      </c>
      <c r="H34" s="289" t="s">
        <v>21</v>
      </c>
      <c r="I34" s="204" t="s">
        <v>5279</v>
      </c>
      <c r="J34" s="289" t="s">
        <v>22</v>
      </c>
      <c r="K34" s="298" t="s">
        <v>5279</v>
      </c>
      <c r="L34" s="173" t="s">
        <v>5280</v>
      </c>
      <c r="M34" s="159" t="s">
        <v>5339</v>
      </c>
      <c r="N34" s="197"/>
      <c r="O34" s="147"/>
      <c r="P34" s="284"/>
      <c r="Q34" s="284"/>
      <c r="R34" s="284"/>
      <c r="S34" s="284"/>
      <c r="T34" s="284"/>
      <c r="U34" s="284"/>
      <c r="V34" s="284"/>
      <c r="W34" s="284"/>
      <c r="X34" s="284"/>
      <c r="Y34" s="284"/>
      <c r="Z34" s="284"/>
    </row>
    <row r="35" ht="22.5" customHeight="1">
      <c r="A35" s="299" t="s">
        <v>5340</v>
      </c>
      <c r="B35" s="158" t="s">
        <v>5341</v>
      </c>
      <c r="C35" s="322" t="s">
        <v>17</v>
      </c>
      <c r="D35" s="293" t="s">
        <v>5274</v>
      </c>
      <c r="E35" s="306" t="s">
        <v>19</v>
      </c>
      <c r="F35" s="316" t="s">
        <v>5275</v>
      </c>
      <c r="G35" s="306" t="s">
        <v>19</v>
      </c>
      <c r="H35" s="294" t="s">
        <v>21</v>
      </c>
      <c r="I35" s="306" t="s">
        <v>19</v>
      </c>
      <c r="J35" s="294" t="s">
        <v>22</v>
      </c>
      <c r="K35" s="307" t="s">
        <v>19</v>
      </c>
      <c r="L35" s="248" t="s">
        <v>5276</v>
      </c>
      <c r="M35" s="158" t="s">
        <v>5277</v>
      </c>
      <c r="N35" s="196"/>
      <c r="O35" s="155"/>
      <c r="P35" s="284"/>
      <c r="Q35" s="284"/>
      <c r="R35" s="284"/>
      <c r="S35" s="284"/>
      <c r="T35" s="284"/>
      <c r="U35" s="284"/>
      <c r="V35" s="284"/>
      <c r="W35" s="284"/>
      <c r="X35" s="284"/>
      <c r="Y35" s="284"/>
      <c r="Z35" s="284"/>
    </row>
    <row r="36" ht="22.5" customHeight="1">
      <c r="A36" s="303" t="s">
        <v>637</v>
      </c>
      <c r="B36" s="159" t="s">
        <v>5342</v>
      </c>
      <c r="C36" s="319" t="s">
        <v>40</v>
      </c>
      <c r="D36" s="287" t="s">
        <v>5274</v>
      </c>
      <c r="E36" s="204" t="s">
        <v>640</v>
      </c>
      <c r="F36" s="321" t="s">
        <v>5275</v>
      </c>
      <c r="G36" s="215" t="s">
        <v>26</v>
      </c>
      <c r="H36" s="289" t="s">
        <v>21</v>
      </c>
      <c r="I36" s="297" t="s">
        <v>31</v>
      </c>
      <c r="J36" s="289" t="s">
        <v>22</v>
      </c>
      <c r="K36" s="298" t="s">
        <v>5279</v>
      </c>
      <c r="L36" s="173" t="s">
        <v>5280</v>
      </c>
      <c r="M36" s="197"/>
      <c r="N36" s="197"/>
      <c r="O36" s="147"/>
      <c r="P36" s="284"/>
      <c r="Q36" s="284"/>
      <c r="R36" s="284"/>
      <c r="S36" s="284"/>
      <c r="T36" s="284"/>
      <c r="U36" s="284"/>
      <c r="V36" s="284"/>
      <c r="W36" s="284"/>
      <c r="X36" s="284"/>
      <c r="Y36" s="284"/>
      <c r="Z36" s="284"/>
    </row>
    <row r="37" ht="22.5" customHeight="1">
      <c r="A37" s="299" t="s">
        <v>811</v>
      </c>
      <c r="B37" s="158" t="s">
        <v>5343</v>
      </c>
      <c r="C37" s="322" t="s">
        <v>17</v>
      </c>
      <c r="D37" s="293" t="s">
        <v>5274</v>
      </c>
      <c r="E37" s="306" t="s">
        <v>19</v>
      </c>
      <c r="F37" s="316" t="s">
        <v>5275</v>
      </c>
      <c r="G37" s="306" t="s">
        <v>19</v>
      </c>
      <c r="H37" s="294" t="s">
        <v>21</v>
      </c>
      <c r="I37" s="306" t="s">
        <v>19</v>
      </c>
      <c r="J37" s="294" t="s">
        <v>22</v>
      </c>
      <c r="K37" s="307" t="s">
        <v>19</v>
      </c>
      <c r="L37" s="248" t="s">
        <v>5276</v>
      </c>
      <c r="M37" s="158" t="s">
        <v>5277</v>
      </c>
      <c r="N37" s="196"/>
      <c r="O37" s="155"/>
      <c r="P37" s="284"/>
      <c r="Q37" s="284"/>
      <c r="R37" s="284"/>
      <c r="S37" s="284"/>
      <c r="T37" s="284"/>
      <c r="U37" s="284"/>
      <c r="V37" s="284"/>
      <c r="W37" s="284"/>
      <c r="X37" s="284"/>
      <c r="Y37" s="284"/>
      <c r="Z37" s="284"/>
    </row>
    <row r="38" ht="22.5" customHeight="1">
      <c r="A38" s="285" t="s">
        <v>5344</v>
      </c>
      <c r="B38" s="159" t="s">
        <v>5345</v>
      </c>
      <c r="C38" s="319" t="s">
        <v>40</v>
      </c>
      <c r="D38" s="287" t="s">
        <v>5274</v>
      </c>
      <c r="E38" s="204" t="s">
        <v>640</v>
      </c>
      <c r="F38" s="321" t="s">
        <v>5275</v>
      </c>
      <c r="G38" s="297" t="s">
        <v>31</v>
      </c>
      <c r="H38" s="289" t="s">
        <v>21</v>
      </c>
      <c r="I38" s="204" t="s">
        <v>5279</v>
      </c>
      <c r="J38" s="289" t="s">
        <v>22</v>
      </c>
      <c r="K38" s="298" t="s">
        <v>5279</v>
      </c>
      <c r="L38" s="173" t="s">
        <v>5280</v>
      </c>
      <c r="M38" s="159" t="s">
        <v>5346</v>
      </c>
      <c r="N38" s="197"/>
      <c r="O38" s="147"/>
      <c r="P38" s="284"/>
      <c r="Q38" s="284"/>
      <c r="R38" s="284"/>
      <c r="S38" s="284"/>
      <c r="T38" s="284"/>
      <c r="U38" s="284"/>
      <c r="V38" s="284"/>
      <c r="W38" s="284"/>
      <c r="X38" s="284"/>
      <c r="Y38" s="284"/>
      <c r="Z38" s="284"/>
    </row>
    <row r="39" ht="22.5" customHeight="1">
      <c r="A39" s="299" t="s">
        <v>4677</v>
      </c>
      <c r="B39" s="160">
        <v>9.66553048995E11</v>
      </c>
      <c r="C39" s="322" t="s">
        <v>17</v>
      </c>
      <c r="D39" s="315" t="s">
        <v>5274</v>
      </c>
      <c r="E39" s="207" t="s">
        <v>640</v>
      </c>
      <c r="F39" s="316" t="s">
        <v>5275</v>
      </c>
      <c r="G39" s="207" t="s">
        <v>5279</v>
      </c>
      <c r="H39" s="294" t="s">
        <v>21</v>
      </c>
      <c r="I39" s="207" t="s">
        <v>5279</v>
      </c>
      <c r="J39" s="294" t="s">
        <v>22</v>
      </c>
      <c r="K39" s="302" t="s">
        <v>5279</v>
      </c>
      <c r="L39" s="248" t="s">
        <v>5276</v>
      </c>
      <c r="M39" s="158" t="s">
        <v>5347</v>
      </c>
      <c r="N39" s="196"/>
      <c r="O39" s="155"/>
      <c r="P39" s="284"/>
      <c r="Q39" s="284"/>
      <c r="R39" s="284"/>
      <c r="S39" s="284"/>
      <c r="T39" s="284"/>
      <c r="U39" s="284"/>
      <c r="V39" s="284"/>
      <c r="W39" s="284"/>
      <c r="X39" s="284"/>
      <c r="Y39" s="284"/>
      <c r="Z39" s="284"/>
    </row>
    <row r="40" ht="22.5" customHeight="1">
      <c r="A40" s="303" t="s">
        <v>637</v>
      </c>
      <c r="B40" s="159" t="s">
        <v>5348</v>
      </c>
      <c r="C40" s="323" t="s">
        <v>17</v>
      </c>
      <c r="D40" s="287" t="s">
        <v>5274</v>
      </c>
      <c r="E40" s="288" t="s">
        <v>19</v>
      </c>
      <c r="F40" s="321" t="s">
        <v>5275</v>
      </c>
      <c r="G40" s="288" t="s">
        <v>19</v>
      </c>
      <c r="H40" s="289" t="s">
        <v>21</v>
      </c>
      <c r="I40" s="288" t="s">
        <v>19</v>
      </c>
      <c r="J40" s="289" t="s">
        <v>22</v>
      </c>
      <c r="K40" s="290" t="s">
        <v>19</v>
      </c>
      <c r="L40" s="247" t="s">
        <v>5276</v>
      </c>
      <c r="M40" s="159" t="s">
        <v>5277</v>
      </c>
      <c r="N40" s="197"/>
      <c r="O40" s="147"/>
      <c r="P40" s="284"/>
      <c r="Q40" s="284"/>
      <c r="R40" s="284"/>
      <c r="S40" s="284"/>
      <c r="T40" s="284"/>
      <c r="U40" s="284"/>
      <c r="V40" s="284"/>
      <c r="W40" s="284"/>
      <c r="X40" s="284"/>
      <c r="Y40" s="284"/>
      <c r="Z40" s="284"/>
    </row>
    <row r="41" ht="22.5" customHeight="1">
      <c r="A41" s="324" t="s">
        <v>5349</v>
      </c>
      <c r="B41" s="158" t="s">
        <v>5350</v>
      </c>
      <c r="C41" s="318" t="s">
        <v>40</v>
      </c>
      <c r="D41" s="315" t="s">
        <v>5274</v>
      </c>
      <c r="E41" s="207" t="s">
        <v>640</v>
      </c>
      <c r="F41" s="316" t="s">
        <v>5275</v>
      </c>
      <c r="G41" s="301" t="s">
        <v>31</v>
      </c>
      <c r="H41" s="294" t="s">
        <v>21</v>
      </c>
      <c r="I41" s="207" t="s">
        <v>5279</v>
      </c>
      <c r="J41" s="294" t="s">
        <v>22</v>
      </c>
      <c r="K41" s="302" t="s">
        <v>5279</v>
      </c>
      <c r="L41" s="165" t="s">
        <v>5280</v>
      </c>
      <c r="M41" s="196"/>
      <c r="N41" s="196"/>
      <c r="O41" s="155"/>
      <c r="P41" s="284"/>
      <c r="Q41" s="284"/>
      <c r="R41" s="284"/>
      <c r="S41" s="284"/>
      <c r="T41" s="284"/>
      <c r="U41" s="284"/>
      <c r="V41" s="284"/>
      <c r="W41" s="284"/>
      <c r="X41" s="284"/>
      <c r="Y41" s="284"/>
      <c r="Z41" s="284"/>
    </row>
    <row r="42" ht="22.5" customHeight="1">
      <c r="A42" s="303" t="s">
        <v>637</v>
      </c>
      <c r="B42" s="159" t="s">
        <v>5351</v>
      </c>
      <c r="C42" s="323" t="s">
        <v>17</v>
      </c>
      <c r="D42" s="287" t="s">
        <v>5274</v>
      </c>
      <c r="E42" s="288" t="s">
        <v>19</v>
      </c>
      <c r="F42" s="321" t="s">
        <v>5275</v>
      </c>
      <c r="G42" s="288" t="s">
        <v>19</v>
      </c>
      <c r="H42" s="289" t="s">
        <v>21</v>
      </c>
      <c r="I42" s="288" t="s">
        <v>19</v>
      </c>
      <c r="J42" s="289" t="s">
        <v>22</v>
      </c>
      <c r="K42" s="290" t="s">
        <v>19</v>
      </c>
      <c r="L42" s="247" t="s">
        <v>5276</v>
      </c>
      <c r="M42" s="159" t="s">
        <v>5277</v>
      </c>
      <c r="N42" s="197"/>
      <c r="O42" s="147"/>
      <c r="P42" s="284"/>
      <c r="Q42" s="284"/>
      <c r="R42" s="284"/>
      <c r="S42" s="284"/>
      <c r="T42" s="284"/>
      <c r="U42" s="284"/>
      <c r="V42" s="284"/>
      <c r="W42" s="284"/>
      <c r="X42" s="284"/>
      <c r="Y42" s="284"/>
      <c r="Z42" s="284"/>
    </row>
    <row r="43" ht="22.5" customHeight="1">
      <c r="A43" s="305" t="s">
        <v>637</v>
      </c>
      <c r="B43" s="158" t="s">
        <v>5352</v>
      </c>
      <c r="C43" s="318" t="s">
        <v>40</v>
      </c>
      <c r="D43" s="315" t="s">
        <v>5274</v>
      </c>
      <c r="E43" s="306" t="s">
        <v>19</v>
      </c>
      <c r="F43" s="316" t="s">
        <v>5275</v>
      </c>
      <c r="G43" s="306" t="s">
        <v>19</v>
      </c>
      <c r="H43" s="294" t="s">
        <v>21</v>
      </c>
      <c r="I43" s="301" t="s">
        <v>31</v>
      </c>
      <c r="J43" s="294" t="s">
        <v>22</v>
      </c>
      <c r="K43" s="302" t="s">
        <v>5279</v>
      </c>
      <c r="L43" s="165" t="s">
        <v>5280</v>
      </c>
      <c r="M43" s="158" t="s">
        <v>5353</v>
      </c>
      <c r="N43" s="196"/>
      <c r="O43" s="155"/>
      <c r="P43" s="284"/>
      <c r="Q43" s="284"/>
      <c r="R43" s="284"/>
      <c r="S43" s="284"/>
      <c r="T43" s="284"/>
      <c r="U43" s="284"/>
      <c r="V43" s="284"/>
      <c r="W43" s="284"/>
      <c r="X43" s="284"/>
      <c r="Y43" s="284"/>
      <c r="Z43" s="284"/>
    </row>
    <row r="44" ht="22.5" customHeight="1">
      <c r="A44" s="303" t="s">
        <v>4711</v>
      </c>
      <c r="B44" s="159" t="s">
        <v>5346</v>
      </c>
      <c r="C44" s="317" t="s">
        <v>49</v>
      </c>
      <c r="D44" s="287" t="s">
        <v>5274</v>
      </c>
      <c r="E44" s="204" t="s">
        <v>640</v>
      </c>
      <c r="F44" s="321" t="s">
        <v>5275</v>
      </c>
      <c r="G44" s="297" t="s">
        <v>31</v>
      </c>
      <c r="H44" s="289" t="s">
        <v>21</v>
      </c>
      <c r="I44" s="204" t="s">
        <v>5279</v>
      </c>
      <c r="J44" s="289" t="s">
        <v>22</v>
      </c>
      <c r="K44" s="298" t="s">
        <v>5279</v>
      </c>
      <c r="L44" s="173" t="s">
        <v>5280</v>
      </c>
      <c r="M44" s="159" t="s">
        <v>5354</v>
      </c>
      <c r="N44" s="197"/>
      <c r="O44" s="147"/>
      <c r="P44" s="284"/>
      <c r="Q44" s="284"/>
      <c r="R44" s="284"/>
      <c r="S44" s="284"/>
      <c r="T44" s="284"/>
      <c r="U44" s="284"/>
      <c r="V44" s="284"/>
      <c r="W44" s="284"/>
      <c r="X44" s="284"/>
      <c r="Y44" s="284"/>
      <c r="Z44" s="284"/>
    </row>
    <row r="45" ht="22.5" customHeight="1">
      <c r="A45" s="305" t="s">
        <v>5355</v>
      </c>
      <c r="B45" s="158" t="s">
        <v>5356</v>
      </c>
      <c r="C45" s="314" t="s">
        <v>49</v>
      </c>
      <c r="D45" s="315" t="s">
        <v>5274</v>
      </c>
      <c r="E45" s="207" t="s">
        <v>640</v>
      </c>
      <c r="F45" s="316" t="s">
        <v>5275</v>
      </c>
      <c r="G45" s="301" t="s">
        <v>31</v>
      </c>
      <c r="H45" s="294" t="s">
        <v>21</v>
      </c>
      <c r="I45" s="207" t="s">
        <v>5279</v>
      </c>
      <c r="J45" s="294" t="s">
        <v>22</v>
      </c>
      <c r="K45" s="302" t="s">
        <v>5279</v>
      </c>
      <c r="L45" s="165" t="s">
        <v>5280</v>
      </c>
      <c r="M45" s="158" t="s">
        <v>5357</v>
      </c>
      <c r="N45" s="196"/>
      <c r="O45" s="155"/>
      <c r="P45" s="284"/>
      <c r="Q45" s="284"/>
      <c r="R45" s="284"/>
      <c r="S45" s="284"/>
      <c r="T45" s="284"/>
      <c r="U45" s="284"/>
      <c r="V45" s="284"/>
      <c r="W45" s="284"/>
      <c r="X45" s="284"/>
      <c r="Y45" s="284"/>
      <c r="Z45" s="284"/>
    </row>
    <row r="46" ht="22.5" customHeight="1">
      <c r="A46" s="285" t="s">
        <v>5330</v>
      </c>
      <c r="B46" s="159" t="s">
        <v>5358</v>
      </c>
      <c r="C46" s="323" t="s">
        <v>17</v>
      </c>
      <c r="D46" s="287" t="s">
        <v>5274</v>
      </c>
      <c r="E46" s="288" t="s">
        <v>19</v>
      </c>
      <c r="F46" s="321" t="s">
        <v>5275</v>
      </c>
      <c r="G46" s="288" t="s">
        <v>19</v>
      </c>
      <c r="H46" s="289" t="s">
        <v>21</v>
      </c>
      <c r="I46" s="288" t="s">
        <v>19</v>
      </c>
      <c r="J46" s="289" t="s">
        <v>22</v>
      </c>
      <c r="K46" s="290" t="s">
        <v>19</v>
      </c>
      <c r="L46" s="247" t="s">
        <v>5276</v>
      </c>
      <c r="M46" s="159" t="s">
        <v>5277</v>
      </c>
      <c r="N46" s="197"/>
      <c r="O46" s="147"/>
      <c r="P46" s="284"/>
      <c r="Q46" s="284"/>
      <c r="R46" s="284"/>
      <c r="S46" s="284"/>
      <c r="T46" s="284"/>
      <c r="U46" s="284"/>
      <c r="V46" s="284"/>
      <c r="W46" s="284"/>
      <c r="X46" s="284"/>
      <c r="Y46" s="284"/>
      <c r="Z46" s="284"/>
    </row>
    <row r="47" ht="22.5" customHeight="1">
      <c r="A47" s="299" t="s">
        <v>5359</v>
      </c>
      <c r="B47" s="158" t="s">
        <v>5360</v>
      </c>
      <c r="C47" s="314" t="s">
        <v>49</v>
      </c>
      <c r="D47" s="315" t="s">
        <v>5274</v>
      </c>
      <c r="E47" s="207" t="s">
        <v>640</v>
      </c>
      <c r="F47" s="316" t="s">
        <v>5275</v>
      </c>
      <c r="G47" s="301" t="s">
        <v>31</v>
      </c>
      <c r="H47" s="294" t="s">
        <v>21</v>
      </c>
      <c r="I47" s="207" t="s">
        <v>5279</v>
      </c>
      <c r="J47" s="294" t="s">
        <v>22</v>
      </c>
      <c r="K47" s="302" t="s">
        <v>5279</v>
      </c>
      <c r="L47" s="165" t="s">
        <v>5280</v>
      </c>
      <c r="M47" s="158" t="s">
        <v>5361</v>
      </c>
      <c r="N47" s="196"/>
      <c r="O47" s="155"/>
      <c r="P47" s="284"/>
      <c r="Q47" s="284"/>
      <c r="R47" s="284"/>
      <c r="S47" s="284"/>
      <c r="T47" s="284"/>
      <c r="U47" s="284"/>
      <c r="V47" s="284"/>
      <c r="W47" s="284"/>
      <c r="X47" s="284"/>
      <c r="Y47" s="284"/>
      <c r="Z47" s="284"/>
    </row>
    <row r="48" ht="22.5" customHeight="1">
      <c r="A48" s="285" t="s">
        <v>5330</v>
      </c>
      <c r="B48" s="159" t="s">
        <v>5362</v>
      </c>
      <c r="C48" s="317" t="s">
        <v>49</v>
      </c>
      <c r="D48" s="287" t="s">
        <v>5274</v>
      </c>
      <c r="E48" s="204" t="s">
        <v>640</v>
      </c>
      <c r="F48" s="321" t="s">
        <v>5275</v>
      </c>
      <c r="G48" s="297" t="s">
        <v>31</v>
      </c>
      <c r="H48" s="289" t="s">
        <v>21</v>
      </c>
      <c r="I48" s="204" t="s">
        <v>5279</v>
      </c>
      <c r="J48" s="289" t="s">
        <v>22</v>
      </c>
      <c r="K48" s="298" t="s">
        <v>5279</v>
      </c>
      <c r="L48" s="173" t="s">
        <v>5280</v>
      </c>
      <c r="M48" s="159" t="s">
        <v>135</v>
      </c>
      <c r="N48" s="197"/>
      <c r="O48" s="147"/>
      <c r="P48" s="284"/>
      <c r="Q48" s="284"/>
      <c r="R48" s="284"/>
      <c r="S48" s="284"/>
      <c r="T48" s="284"/>
      <c r="U48" s="284"/>
      <c r="V48" s="284"/>
      <c r="W48" s="284"/>
      <c r="X48" s="284"/>
      <c r="Y48" s="284"/>
      <c r="Z48" s="284"/>
    </row>
    <row r="49" ht="22.5" customHeight="1">
      <c r="A49" s="299" t="s">
        <v>5330</v>
      </c>
      <c r="B49" s="158" t="s">
        <v>5363</v>
      </c>
      <c r="C49" s="318" t="s">
        <v>40</v>
      </c>
      <c r="D49" s="315" t="s">
        <v>5274</v>
      </c>
      <c r="E49" s="301" t="s">
        <v>31</v>
      </c>
      <c r="F49" s="316" t="s">
        <v>5275</v>
      </c>
      <c r="G49" s="207" t="s">
        <v>5279</v>
      </c>
      <c r="H49" s="294" t="s">
        <v>21</v>
      </c>
      <c r="I49" s="207" t="s">
        <v>5279</v>
      </c>
      <c r="J49" s="294" t="s">
        <v>22</v>
      </c>
      <c r="K49" s="302" t="s">
        <v>5279</v>
      </c>
      <c r="L49" s="165" t="s">
        <v>5280</v>
      </c>
      <c r="M49" s="158" t="s">
        <v>5364</v>
      </c>
      <c r="N49" s="196"/>
      <c r="O49" s="155"/>
      <c r="P49" s="284"/>
      <c r="Q49" s="284"/>
      <c r="R49" s="284"/>
      <c r="S49" s="284"/>
      <c r="T49" s="284"/>
      <c r="U49" s="284"/>
      <c r="V49" s="284"/>
      <c r="W49" s="284"/>
      <c r="X49" s="284"/>
      <c r="Y49" s="284"/>
      <c r="Z49" s="284"/>
    </row>
    <row r="50" ht="22.5" customHeight="1">
      <c r="A50" s="285" t="s">
        <v>5365</v>
      </c>
      <c r="B50" s="159" t="s">
        <v>5366</v>
      </c>
      <c r="C50" s="317" t="s">
        <v>49</v>
      </c>
      <c r="D50" s="287" t="s">
        <v>5274</v>
      </c>
      <c r="E50" s="288" t="s">
        <v>19</v>
      </c>
      <c r="F50" s="321" t="s">
        <v>5275</v>
      </c>
      <c r="G50" s="288" t="s">
        <v>19</v>
      </c>
      <c r="H50" s="289" t="s">
        <v>21</v>
      </c>
      <c r="I50" s="288" t="s">
        <v>19</v>
      </c>
      <c r="J50" s="289" t="s">
        <v>22</v>
      </c>
      <c r="K50" s="304" t="s">
        <v>31</v>
      </c>
      <c r="L50" s="173" t="s">
        <v>5280</v>
      </c>
      <c r="M50" s="159" t="s">
        <v>5367</v>
      </c>
      <c r="N50" s="197"/>
      <c r="O50" s="147"/>
      <c r="P50" s="284"/>
      <c r="Q50" s="284"/>
      <c r="R50" s="284"/>
      <c r="S50" s="284"/>
      <c r="T50" s="284"/>
      <c r="U50" s="284"/>
      <c r="V50" s="284"/>
      <c r="W50" s="284"/>
      <c r="X50" s="284"/>
      <c r="Y50" s="284"/>
      <c r="Z50" s="284"/>
    </row>
    <row r="51" ht="22.5" customHeight="1">
      <c r="A51" s="299" t="s">
        <v>5368</v>
      </c>
      <c r="B51" s="158" t="s">
        <v>5369</v>
      </c>
      <c r="C51" s="314" t="s">
        <v>49</v>
      </c>
      <c r="D51" s="315" t="s">
        <v>5274</v>
      </c>
      <c r="E51" s="301" t="s">
        <v>31</v>
      </c>
      <c r="F51" s="316" t="s">
        <v>5275</v>
      </c>
      <c r="G51" s="306" t="s">
        <v>19</v>
      </c>
      <c r="H51" s="294" t="s">
        <v>21</v>
      </c>
      <c r="I51" s="207" t="s">
        <v>5279</v>
      </c>
      <c r="J51" s="294" t="s">
        <v>22</v>
      </c>
      <c r="K51" s="307" t="s">
        <v>19</v>
      </c>
      <c r="L51" s="165" t="s">
        <v>5280</v>
      </c>
      <c r="M51" s="158" t="s">
        <v>135</v>
      </c>
      <c r="N51" s="196"/>
      <c r="O51" s="155"/>
      <c r="P51" s="284"/>
      <c r="Q51" s="284"/>
      <c r="R51" s="284"/>
      <c r="S51" s="284"/>
      <c r="T51" s="284"/>
      <c r="U51" s="284"/>
      <c r="V51" s="284"/>
      <c r="W51" s="284"/>
      <c r="X51" s="284"/>
      <c r="Y51" s="284"/>
      <c r="Z51" s="284"/>
    </row>
    <row r="52" ht="22.5" customHeight="1">
      <c r="A52" s="285" t="s">
        <v>5370</v>
      </c>
      <c r="B52" s="162">
        <v>3.465320709E9</v>
      </c>
      <c r="C52" s="317" t="s">
        <v>49</v>
      </c>
      <c r="D52" s="287" t="s">
        <v>5274</v>
      </c>
      <c r="E52" s="288" t="s">
        <v>19</v>
      </c>
      <c r="F52" s="321" t="s">
        <v>5275</v>
      </c>
      <c r="G52" s="297" t="s">
        <v>31</v>
      </c>
      <c r="H52" s="289" t="s">
        <v>21</v>
      </c>
      <c r="I52" s="204" t="s">
        <v>5279</v>
      </c>
      <c r="J52" s="289" t="s">
        <v>22</v>
      </c>
      <c r="K52" s="298" t="s">
        <v>5279</v>
      </c>
      <c r="L52" s="173" t="s">
        <v>5280</v>
      </c>
      <c r="M52" s="159" t="s">
        <v>5371</v>
      </c>
      <c r="N52" s="197"/>
      <c r="O52" s="147"/>
      <c r="P52" s="284"/>
      <c r="Q52" s="284"/>
      <c r="R52" s="284"/>
      <c r="S52" s="284"/>
      <c r="T52" s="284"/>
      <c r="U52" s="284"/>
      <c r="V52" s="284"/>
      <c r="W52" s="284"/>
      <c r="X52" s="284"/>
      <c r="Y52" s="284"/>
      <c r="Z52" s="284"/>
    </row>
    <row r="53" ht="22.5" customHeight="1">
      <c r="A53" s="299" t="s">
        <v>5330</v>
      </c>
      <c r="B53" s="160">
        <v>3.347777851E9</v>
      </c>
      <c r="C53" s="322" t="s">
        <v>17</v>
      </c>
      <c r="D53" s="315" t="s">
        <v>5274</v>
      </c>
      <c r="E53" s="306" t="s">
        <v>19</v>
      </c>
      <c r="F53" s="316" t="s">
        <v>5275</v>
      </c>
      <c r="G53" s="306" t="s">
        <v>19</v>
      </c>
      <c r="H53" s="294" t="s">
        <v>21</v>
      </c>
      <c r="I53" s="306" t="s">
        <v>19</v>
      </c>
      <c r="J53" s="294" t="s">
        <v>22</v>
      </c>
      <c r="K53" s="307" t="s">
        <v>19</v>
      </c>
      <c r="L53" s="248" t="s">
        <v>5276</v>
      </c>
      <c r="M53" s="158" t="s">
        <v>5277</v>
      </c>
      <c r="N53" s="196"/>
      <c r="O53" s="155"/>
      <c r="P53" s="284"/>
      <c r="Q53" s="284"/>
      <c r="R53" s="284"/>
      <c r="S53" s="284"/>
      <c r="T53" s="284"/>
      <c r="U53" s="284"/>
      <c r="V53" s="284"/>
      <c r="W53" s="284"/>
      <c r="X53" s="284"/>
      <c r="Y53" s="284"/>
      <c r="Z53" s="284"/>
    </row>
    <row r="54" ht="22.5" customHeight="1">
      <c r="A54" s="325" t="s">
        <v>5330</v>
      </c>
      <c r="B54" s="159" t="s">
        <v>5372</v>
      </c>
      <c r="C54" s="319" t="s">
        <v>40</v>
      </c>
      <c r="D54" s="287" t="s">
        <v>5274</v>
      </c>
      <c r="E54" s="297" t="s">
        <v>31</v>
      </c>
      <c r="F54" s="321" t="s">
        <v>5275</v>
      </c>
      <c r="G54" s="204" t="s">
        <v>5279</v>
      </c>
      <c r="H54" s="289" t="s">
        <v>21</v>
      </c>
      <c r="I54" s="204" t="s">
        <v>5279</v>
      </c>
      <c r="J54" s="289" t="s">
        <v>22</v>
      </c>
      <c r="K54" s="298" t="s">
        <v>5279</v>
      </c>
      <c r="L54" s="173" t="s">
        <v>5280</v>
      </c>
      <c r="M54" s="159" t="s">
        <v>5373</v>
      </c>
      <c r="N54" s="197"/>
      <c r="O54" s="147"/>
      <c r="P54" s="284"/>
      <c r="Q54" s="284"/>
      <c r="R54" s="284"/>
      <c r="S54" s="284"/>
      <c r="T54" s="284"/>
      <c r="U54" s="284"/>
      <c r="V54" s="284"/>
      <c r="W54" s="284"/>
      <c r="X54" s="284"/>
      <c r="Y54" s="284"/>
      <c r="Z54" s="284"/>
    </row>
    <row r="55" ht="22.5" customHeight="1">
      <c r="A55" s="326" t="s">
        <v>5330</v>
      </c>
      <c r="B55" s="158" t="s">
        <v>5374</v>
      </c>
      <c r="C55" s="318" t="s">
        <v>40</v>
      </c>
      <c r="D55" s="315" t="s">
        <v>5274</v>
      </c>
      <c r="E55" s="306" t="s">
        <v>19</v>
      </c>
      <c r="F55" s="316" t="s">
        <v>5275</v>
      </c>
      <c r="G55" s="207" t="s">
        <v>5279</v>
      </c>
      <c r="H55" s="294" t="s">
        <v>21</v>
      </c>
      <c r="I55" s="301" t="s">
        <v>31</v>
      </c>
      <c r="J55" s="294" t="s">
        <v>22</v>
      </c>
      <c r="K55" s="302" t="s">
        <v>5279</v>
      </c>
      <c r="L55" s="165" t="s">
        <v>5280</v>
      </c>
      <c r="M55" s="158" t="s">
        <v>5375</v>
      </c>
      <c r="N55" s="196"/>
      <c r="O55" s="155"/>
      <c r="P55" s="284"/>
      <c r="Q55" s="284"/>
      <c r="R55" s="284"/>
      <c r="S55" s="284"/>
      <c r="T55" s="284"/>
      <c r="U55" s="284"/>
      <c r="V55" s="284"/>
      <c r="W55" s="284"/>
      <c r="X55" s="284"/>
      <c r="Y55" s="284"/>
      <c r="Z55" s="284"/>
    </row>
    <row r="56" ht="22.5" customHeight="1">
      <c r="A56" s="325" t="s">
        <v>5330</v>
      </c>
      <c r="B56" s="159" t="s">
        <v>5376</v>
      </c>
      <c r="C56" s="323" t="s">
        <v>17</v>
      </c>
      <c r="D56" s="287" t="s">
        <v>5274</v>
      </c>
      <c r="E56" s="288" t="s">
        <v>19</v>
      </c>
      <c r="F56" s="321" t="s">
        <v>5275</v>
      </c>
      <c r="G56" s="288" t="s">
        <v>19</v>
      </c>
      <c r="H56" s="289" t="s">
        <v>21</v>
      </c>
      <c r="I56" s="288" t="s">
        <v>19</v>
      </c>
      <c r="J56" s="289" t="s">
        <v>22</v>
      </c>
      <c r="K56" s="290" t="s">
        <v>19</v>
      </c>
      <c r="L56" s="247" t="s">
        <v>5276</v>
      </c>
      <c r="M56" s="159" t="s">
        <v>5277</v>
      </c>
      <c r="N56" s="197"/>
      <c r="O56" s="147"/>
      <c r="P56" s="284"/>
      <c r="Q56" s="284"/>
      <c r="R56" s="284"/>
      <c r="S56" s="284"/>
      <c r="T56" s="284"/>
      <c r="U56" s="284"/>
      <c r="V56" s="284"/>
      <c r="W56" s="284"/>
      <c r="X56" s="284"/>
      <c r="Y56" s="284"/>
      <c r="Z56" s="284"/>
    </row>
    <row r="57" ht="22.5" customHeight="1">
      <c r="A57" s="327" t="s">
        <v>5377</v>
      </c>
      <c r="B57" s="158" t="s">
        <v>5378</v>
      </c>
      <c r="C57" s="318" t="s">
        <v>40</v>
      </c>
      <c r="D57" s="315" t="s">
        <v>5274</v>
      </c>
      <c r="E57" s="207" t="s">
        <v>640</v>
      </c>
      <c r="F57" s="316" t="s">
        <v>5275</v>
      </c>
      <c r="G57" s="301" t="s">
        <v>31</v>
      </c>
      <c r="H57" s="294" t="s">
        <v>21</v>
      </c>
      <c r="I57" s="207" t="s">
        <v>5279</v>
      </c>
      <c r="J57" s="294" t="s">
        <v>22</v>
      </c>
      <c r="K57" s="302" t="s">
        <v>5279</v>
      </c>
      <c r="L57" s="165" t="s">
        <v>5280</v>
      </c>
      <c r="M57" s="158" t="s">
        <v>5379</v>
      </c>
      <c r="N57" s="196"/>
      <c r="O57" s="155"/>
      <c r="P57" s="284"/>
      <c r="Q57" s="284"/>
      <c r="R57" s="284"/>
      <c r="S57" s="284"/>
      <c r="T57" s="284"/>
      <c r="U57" s="284"/>
      <c r="V57" s="284"/>
      <c r="W57" s="284"/>
      <c r="X57" s="284"/>
      <c r="Y57" s="284"/>
      <c r="Z57" s="284"/>
    </row>
    <row r="58" ht="22.5" customHeight="1">
      <c r="A58" s="325" t="s">
        <v>5380</v>
      </c>
      <c r="B58" s="159" t="s">
        <v>5381</v>
      </c>
      <c r="C58" s="317" t="s">
        <v>49</v>
      </c>
      <c r="D58" s="287" t="s">
        <v>5274</v>
      </c>
      <c r="E58" s="204" t="s">
        <v>640</v>
      </c>
      <c r="F58" s="321" t="s">
        <v>5275</v>
      </c>
      <c r="G58" s="297" t="s">
        <v>31</v>
      </c>
      <c r="H58" s="289" t="s">
        <v>21</v>
      </c>
      <c r="I58" s="204" t="s">
        <v>5279</v>
      </c>
      <c r="J58" s="289" t="s">
        <v>22</v>
      </c>
      <c r="K58" s="298" t="s">
        <v>5279</v>
      </c>
      <c r="L58" s="173" t="s">
        <v>5280</v>
      </c>
      <c r="M58" s="159" t="s">
        <v>135</v>
      </c>
      <c r="N58" s="197"/>
      <c r="O58" s="147"/>
      <c r="P58" s="284"/>
      <c r="Q58" s="284"/>
      <c r="R58" s="284"/>
      <c r="S58" s="284"/>
      <c r="T58" s="284"/>
      <c r="U58" s="284"/>
      <c r="V58" s="284"/>
      <c r="W58" s="284"/>
      <c r="X58" s="284"/>
      <c r="Y58" s="284"/>
      <c r="Z58" s="284"/>
    </row>
    <row r="59" ht="22.5" customHeight="1">
      <c r="A59" s="326" t="s">
        <v>5330</v>
      </c>
      <c r="B59" s="158" t="s">
        <v>5382</v>
      </c>
      <c r="C59" s="322" t="s">
        <v>17</v>
      </c>
      <c r="D59" s="315" t="s">
        <v>5274</v>
      </c>
      <c r="E59" s="306" t="s">
        <v>19</v>
      </c>
      <c r="F59" s="316" t="s">
        <v>5275</v>
      </c>
      <c r="G59" s="306" t="s">
        <v>19</v>
      </c>
      <c r="H59" s="294" t="s">
        <v>21</v>
      </c>
      <c r="I59" s="306" t="s">
        <v>19</v>
      </c>
      <c r="J59" s="294" t="s">
        <v>22</v>
      </c>
      <c r="K59" s="307" t="s">
        <v>19</v>
      </c>
      <c r="L59" s="248" t="s">
        <v>5276</v>
      </c>
      <c r="M59" s="158" t="s">
        <v>5277</v>
      </c>
      <c r="N59" s="196"/>
      <c r="O59" s="155"/>
      <c r="P59" s="284"/>
      <c r="Q59" s="284"/>
      <c r="R59" s="284"/>
      <c r="S59" s="284"/>
      <c r="T59" s="284"/>
      <c r="U59" s="284"/>
      <c r="V59" s="284"/>
      <c r="W59" s="284"/>
      <c r="X59" s="284"/>
      <c r="Y59" s="284"/>
      <c r="Z59" s="284"/>
    </row>
    <row r="60" ht="22.5" customHeight="1">
      <c r="A60" s="325" t="s">
        <v>5330</v>
      </c>
      <c r="B60" s="159" t="s">
        <v>5383</v>
      </c>
      <c r="C60" s="317" t="s">
        <v>49</v>
      </c>
      <c r="D60" s="287" t="s">
        <v>5274</v>
      </c>
      <c r="E60" s="204" t="s">
        <v>640</v>
      </c>
      <c r="F60" s="321" t="s">
        <v>5275</v>
      </c>
      <c r="G60" s="288" t="s">
        <v>19</v>
      </c>
      <c r="H60" s="289" t="s">
        <v>21</v>
      </c>
      <c r="I60" s="297" t="s">
        <v>31</v>
      </c>
      <c r="J60" s="289" t="s">
        <v>22</v>
      </c>
      <c r="K60" s="298" t="s">
        <v>5279</v>
      </c>
      <c r="L60" s="173" t="s">
        <v>5280</v>
      </c>
      <c r="M60" s="159" t="s">
        <v>5384</v>
      </c>
      <c r="N60" s="197"/>
      <c r="O60" s="147"/>
      <c r="P60" s="284"/>
      <c r="Q60" s="284"/>
      <c r="R60" s="284"/>
      <c r="S60" s="284"/>
      <c r="T60" s="284"/>
      <c r="U60" s="284"/>
      <c r="V60" s="284"/>
      <c r="W60" s="284"/>
      <c r="X60" s="284"/>
      <c r="Y60" s="284"/>
      <c r="Z60" s="284"/>
    </row>
    <row r="61" ht="22.5" customHeight="1">
      <c r="A61" s="326" t="s">
        <v>5330</v>
      </c>
      <c r="B61" s="328" t="s">
        <v>5385</v>
      </c>
      <c r="C61" s="322" t="s">
        <v>17</v>
      </c>
      <c r="D61" s="315" t="s">
        <v>5274</v>
      </c>
      <c r="E61" s="306" t="s">
        <v>19</v>
      </c>
      <c r="F61" s="316" t="s">
        <v>5275</v>
      </c>
      <c r="G61" s="306" t="s">
        <v>19</v>
      </c>
      <c r="H61" s="294" t="s">
        <v>21</v>
      </c>
      <c r="I61" s="306" t="s">
        <v>19</v>
      </c>
      <c r="J61" s="294" t="s">
        <v>22</v>
      </c>
      <c r="K61" s="307" t="s">
        <v>19</v>
      </c>
      <c r="L61" s="248" t="s">
        <v>5276</v>
      </c>
      <c r="M61" s="158" t="s">
        <v>5277</v>
      </c>
      <c r="N61" s="196"/>
      <c r="O61" s="155"/>
      <c r="P61" s="284"/>
      <c r="Q61" s="284"/>
      <c r="R61" s="284"/>
      <c r="S61" s="284"/>
      <c r="T61" s="284"/>
      <c r="U61" s="284"/>
      <c r="V61" s="284"/>
      <c r="W61" s="284"/>
      <c r="X61" s="284"/>
      <c r="Y61" s="284"/>
      <c r="Z61" s="284"/>
    </row>
    <row r="62" ht="22.5" customHeight="1">
      <c r="A62" s="325" t="s">
        <v>5330</v>
      </c>
      <c r="B62" s="329" t="s">
        <v>5386</v>
      </c>
      <c r="C62" s="319" t="s">
        <v>40</v>
      </c>
      <c r="D62" s="287" t="s">
        <v>5274</v>
      </c>
      <c r="E62" s="204" t="s">
        <v>640</v>
      </c>
      <c r="F62" s="321" t="s">
        <v>5275</v>
      </c>
      <c r="G62" s="297" t="s">
        <v>31</v>
      </c>
      <c r="H62" s="289" t="s">
        <v>21</v>
      </c>
      <c r="I62" s="204" t="s">
        <v>5279</v>
      </c>
      <c r="J62" s="289" t="s">
        <v>22</v>
      </c>
      <c r="K62" s="298" t="s">
        <v>5279</v>
      </c>
      <c r="L62" s="173" t="s">
        <v>5280</v>
      </c>
      <c r="M62" s="197"/>
      <c r="N62" s="197"/>
      <c r="O62" s="147"/>
      <c r="P62" s="284"/>
      <c r="Q62" s="284"/>
      <c r="R62" s="284"/>
      <c r="S62" s="284"/>
      <c r="T62" s="284"/>
      <c r="U62" s="284"/>
      <c r="V62" s="284"/>
      <c r="W62" s="284"/>
      <c r="X62" s="284"/>
      <c r="Y62" s="284"/>
      <c r="Z62" s="284"/>
    </row>
    <row r="63" ht="22.5" customHeight="1">
      <c r="A63" s="330" t="s">
        <v>5330</v>
      </c>
      <c r="B63" s="328" t="s">
        <v>5387</v>
      </c>
      <c r="C63" s="331" t="s">
        <v>30</v>
      </c>
      <c r="D63" s="315" t="s">
        <v>5274</v>
      </c>
      <c r="E63" s="306" t="s">
        <v>19</v>
      </c>
      <c r="F63" s="316" t="s">
        <v>5275</v>
      </c>
      <c r="G63" s="306" t="s">
        <v>19</v>
      </c>
      <c r="H63" s="294" t="s">
        <v>21</v>
      </c>
      <c r="I63" s="306" t="s">
        <v>19</v>
      </c>
      <c r="J63" s="294" t="s">
        <v>22</v>
      </c>
      <c r="K63" s="296" t="s">
        <v>31</v>
      </c>
      <c r="L63" s="165" t="s">
        <v>5280</v>
      </c>
      <c r="M63" s="158" t="s">
        <v>5388</v>
      </c>
      <c r="N63" s="196"/>
      <c r="O63" s="155"/>
      <c r="P63" s="284"/>
      <c r="Q63" s="284"/>
      <c r="R63" s="284"/>
      <c r="S63" s="284"/>
      <c r="T63" s="284"/>
      <c r="U63" s="284"/>
      <c r="V63" s="284"/>
      <c r="W63" s="284"/>
      <c r="X63" s="284"/>
      <c r="Y63" s="284"/>
      <c r="Z63" s="284"/>
    </row>
    <row r="64" ht="22.5" customHeight="1">
      <c r="A64" s="325" t="s">
        <v>5330</v>
      </c>
      <c r="B64" s="329" t="s">
        <v>5389</v>
      </c>
      <c r="C64" s="319" t="s">
        <v>40</v>
      </c>
      <c r="D64" s="287" t="s">
        <v>5274</v>
      </c>
      <c r="E64" s="204" t="s">
        <v>640</v>
      </c>
      <c r="F64" s="321" t="s">
        <v>5275</v>
      </c>
      <c r="G64" s="288" t="s">
        <v>19</v>
      </c>
      <c r="H64" s="289" t="s">
        <v>21</v>
      </c>
      <c r="I64" s="297" t="s">
        <v>31</v>
      </c>
      <c r="J64" s="289" t="s">
        <v>22</v>
      </c>
      <c r="K64" s="298" t="s">
        <v>5279</v>
      </c>
      <c r="L64" s="173" t="s">
        <v>5280</v>
      </c>
      <c r="M64" s="197"/>
      <c r="N64" s="197"/>
      <c r="O64" s="147"/>
      <c r="P64" s="284"/>
      <c r="Q64" s="284"/>
      <c r="R64" s="284"/>
      <c r="S64" s="284"/>
      <c r="T64" s="284"/>
      <c r="U64" s="284"/>
      <c r="V64" s="284"/>
      <c r="W64" s="284"/>
      <c r="X64" s="284"/>
      <c r="Y64" s="284"/>
      <c r="Z64" s="284"/>
    </row>
    <row r="65" ht="22.5" customHeight="1">
      <c r="A65" s="326" t="s">
        <v>5330</v>
      </c>
      <c r="B65" s="328" t="s">
        <v>5390</v>
      </c>
      <c r="C65" s="314" t="s">
        <v>49</v>
      </c>
      <c r="D65" s="315" t="s">
        <v>5274</v>
      </c>
      <c r="E65" s="207" t="s">
        <v>640</v>
      </c>
      <c r="F65" s="316" t="s">
        <v>5275</v>
      </c>
      <c r="G65" s="306" t="s">
        <v>19</v>
      </c>
      <c r="H65" s="294" t="s">
        <v>21</v>
      </c>
      <c r="I65" s="301" t="s">
        <v>31</v>
      </c>
      <c r="J65" s="294" t="s">
        <v>22</v>
      </c>
      <c r="K65" s="302" t="s">
        <v>5279</v>
      </c>
      <c r="L65" s="165" t="s">
        <v>5280</v>
      </c>
      <c r="M65" s="158" t="s">
        <v>5391</v>
      </c>
      <c r="N65" s="196"/>
      <c r="O65" s="155"/>
      <c r="P65" s="284"/>
      <c r="Q65" s="284"/>
      <c r="R65" s="284"/>
      <c r="S65" s="284"/>
      <c r="T65" s="284"/>
      <c r="U65" s="284"/>
      <c r="V65" s="284"/>
      <c r="W65" s="284"/>
      <c r="X65" s="284"/>
      <c r="Y65" s="284"/>
      <c r="Z65" s="284"/>
    </row>
    <row r="66" ht="22.5" customHeight="1">
      <c r="A66" s="325" t="s">
        <v>5392</v>
      </c>
      <c r="B66" s="329" t="s">
        <v>5393</v>
      </c>
      <c r="C66" s="317" t="s">
        <v>49</v>
      </c>
      <c r="D66" s="287" t="s">
        <v>5274</v>
      </c>
      <c r="E66" s="204" t="s">
        <v>640</v>
      </c>
      <c r="F66" s="321" t="s">
        <v>5275</v>
      </c>
      <c r="G66" s="297" t="s">
        <v>31</v>
      </c>
      <c r="H66" s="289" t="s">
        <v>21</v>
      </c>
      <c r="I66" s="204" t="s">
        <v>5279</v>
      </c>
      <c r="J66" s="289" t="s">
        <v>22</v>
      </c>
      <c r="K66" s="298" t="s">
        <v>5279</v>
      </c>
      <c r="L66" s="173" t="s">
        <v>5280</v>
      </c>
      <c r="M66" s="159" t="s">
        <v>5391</v>
      </c>
      <c r="N66" s="197"/>
      <c r="O66" s="147"/>
      <c r="P66" s="284"/>
      <c r="Q66" s="284"/>
      <c r="R66" s="284"/>
      <c r="S66" s="284"/>
      <c r="T66" s="284"/>
      <c r="U66" s="284"/>
      <c r="V66" s="284"/>
      <c r="W66" s="284"/>
      <c r="X66" s="284"/>
      <c r="Y66" s="284"/>
      <c r="Z66" s="284"/>
    </row>
    <row r="67" ht="22.5" customHeight="1">
      <c r="A67" s="326" t="s">
        <v>5394</v>
      </c>
      <c r="B67" s="328" t="s">
        <v>5395</v>
      </c>
      <c r="C67" s="318" t="s">
        <v>40</v>
      </c>
      <c r="D67" s="315" t="s">
        <v>5274</v>
      </c>
      <c r="E67" s="207" t="s">
        <v>640</v>
      </c>
      <c r="F67" s="316" t="s">
        <v>5275</v>
      </c>
      <c r="G67" s="301" t="s">
        <v>31</v>
      </c>
      <c r="H67" s="294" t="s">
        <v>21</v>
      </c>
      <c r="I67" s="207" t="s">
        <v>5279</v>
      </c>
      <c r="J67" s="294" t="s">
        <v>22</v>
      </c>
      <c r="K67" s="302" t="s">
        <v>5279</v>
      </c>
      <c r="L67" s="165" t="s">
        <v>5280</v>
      </c>
      <c r="M67" s="158" t="s">
        <v>5396</v>
      </c>
      <c r="N67" s="196"/>
      <c r="O67" s="155"/>
      <c r="P67" s="284"/>
      <c r="Q67" s="284"/>
      <c r="R67" s="284"/>
      <c r="S67" s="284"/>
      <c r="T67" s="284"/>
      <c r="U67" s="284"/>
      <c r="V67" s="284"/>
      <c r="W67" s="284"/>
      <c r="X67" s="284"/>
      <c r="Y67" s="284"/>
      <c r="Z67" s="284"/>
    </row>
    <row r="68" ht="22.5" customHeight="1">
      <c r="A68" s="325" t="s">
        <v>5330</v>
      </c>
      <c r="B68" s="329" t="s">
        <v>5397</v>
      </c>
      <c r="C68" s="317" t="s">
        <v>49</v>
      </c>
      <c r="D68" s="287" t="s">
        <v>5274</v>
      </c>
      <c r="E68" s="288" t="s">
        <v>19</v>
      </c>
      <c r="F68" s="321" t="s">
        <v>5275</v>
      </c>
      <c r="G68" s="288" t="s">
        <v>19</v>
      </c>
      <c r="H68" s="289" t="s">
        <v>21</v>
      </c>
      <c r="I68" s="288" t="s">
        <v>19</v>
      </c>
      <c r="J68" s="289" t="s">
        <v>22</v>
      </c>
      <c r="K68" s="290" t="s">
        <v>19</v>
      </c>
      <c r="L68" s="247" t="s">
        <v>5276</v>
      </c>
      <c r="M68" s="159" t="s">
        <v>5277</v>
      </c>
      <c r="N68" s="197"/>
      <c r="O68" s="147"/>
      <c r="P68" s="284"/>
      <c r="Q68" s="284"/>
      <c r="R68" s="284"/>
      <c r="S68" s="284"/>
      <c r="T68" s="284"/>
      <c r="U68" s="284"/>
      <c r="V68" s="284"/>
      <c r="W68" s="284"/>
      <c r="X68" s="284"/>
      <c r="Y68" s="284"/>
      <c r="Z68" s="284"/>
    </row>
    <row r="69" ht="22.5" customHeight="1">
      <c r="A69" s="326" t="s">
        <v>5330</v>
      </c>
      <c r="B69" s="328" t="s">
        <v>5398</v>
      </c>
      <c r="C69" s="314" t="s">
        <v>49</v>
      </c>
      <c r="D69" s="315" t="s">
        <v>5274</v>
      </c>
      <c r="E69" s="207" t="s">
        <v>640</v>
      </c>
      <c r="F69" s="316" t="s">
        <v>5275</v>
      </c>
      <c r="G69" s="306" t="s">
        <v>19</v>
      </c>
      <c r="H69" s="294" t="s">
        <v>21</v>
      </c>
      <c r="I69" s="301" t="s">
        <v>31</v>
      </c>
      <c r="J69" s="294" t="s">
        <v>22</v>
      </c>
      <c r="K69" s="302" t="s">
        <v>5279</v>
      </c>
      <c r="L69" s="165" t="s">
        <v>5280</v>
      </c>
      <c r="M69" s="158" t="s">
        <v>5399</v>
      </c>
      <c r="N69" s="196"/>
      <c r="O69" s="155"/>
      <c r="P69" s="284"/>
      <c r="Q69" s="284"/>
      <c r="R69" s="284"/>
      <c r="S69" s="284"/>
      <c r="T69" s="284"/>
      <c r="U69" s="284"/>
      <c r="V69" s="284"/>
      <c r="W69" s="284"/>
      <c r="X69" s="284"/>
      <c r="Y69" s="284"/>
      <c r="Z69" s="284"/>
    </row>
    <row r="70" ht="22.5" customHeight="1">
      <c r="A70" s="325" t="s">
        <v>5330</v>
      </c>
      <c r="B70" s="329" t="s">
        <v>5400</v>
      </c>
      <c r="C70" s="317" t="s">
        <v>49</v>
      </c>
      <c r="D70" s="287" t="s">
        <v>5274</v>
      </c>
      <c r="E70" s="204" t="s">
        <v>640</v>
      </c>
      <c r="F70" s="321" t="s">
        <v>5275</v>
      </c>
      <c r="G70" s="297" t="s">
        <v>31</v>
      </c>
      <c r="H70" s="289" t="s">
        <v>21</v>
      </c>
      <c r="I70" s="204" t="s">
        <v>5279</v>
      </c>
      <c r="J70" s="289" t="s">
        <v>22</v>
      </c>
      <c r="K70" s="298" t="s">
        <v>5279</v>
      </c>
      <c r="L70" s="173" t="s">
        <v>5280</v>
      </c>
      <c r="M70" s="159" t="s">
        <v>5401</v>
      </c>
      <c r="N70" s="197"/>
      <c r="O70" s="147"/>
      <c r="P70" s="284"/>
      <c r="Q70" s="284"/>
      <c r="R70" s="284"/>
      <c r="S70" s="284"/>
      <c r="T70" s="284"/>
      <c r="U70" s="284"/>
      <c r="V70" s="284"/>
      <c r="W70" s="284"/>
      <c r="X70" s="284"/>
      <c r="Y70" s="284"/>
      <c r="Z70" s="284"/>
    </row>
    <row r="71" ht="22.5" customHeight="1">
      <c r="A71" s="326" t="s">
        <v>5402</v>
      </c>
      <c r="B71" s="328" t="s">
        <v>5403</v>
      </c>
      <c r="C71" s="322" t="s">
        <v>17</v>
      </c>
      <c r="D71" s="315" t="s">
        <v>5274</v>
      </c>
      <c r="E71" s="207" t="s">
        <v>640</v>
      </c>
      <c r="F71" s="316" t="s">
        <v>5275</v>
      </c>
      <c r="G71" s="207" t="s">
        <v>5279</v>
      </c>
      <c r="H71" s="294" t="s">
        <v>21</v>
      </c>
      <c r="I71" s="207" t="s">
        <v>5279</v>
      </c>
      <c r="J71" s="294" t="s">
        <v>22</v>
      </c>
      <c r="K71" s="302" t="s">
        <v>5279</v>
      </c>
      <c r="L71" s="248" t="s">
        <v>5276</v>
      </c>
      <c r="M71" s="158" t="s">
        <v>5347</v>
      </c>
      <c r="N71" s="196"/>
      <c r="O71" s="155"/>
      <c r="P71" s="284"/>
      <c r="Q71" s="284"/>
      <c r="R71" s="284"/>
      <c r="S71" s="284"/>
      <c r="T71" s="284"/>
      <c r="U71" s="284"/>
      <c r="V71" s="284"/>
      <c r="W71" s="284"/>
      <c r="X71" s="284"/>
      <c r="Y71" s="284"/>
      <c r="Z71" s="284"/>
    </row>
    <row r="72" ht="22.5" customHeight="1">
      <c r="A72" s="325" t="s">
        <v>5330</v>
      </c>
      <c r="B72" s="329" t="s">
        <v>5404</v>
      </c>
      <c r="C72" s="319" t="s">
        <v>40</v>
      </c>
      <c r="D72" s="287" t="s">
        <v>5274</v>
      </c>
      <c r="E72" s="204" t="s">
        <v>640</v>
      </c>
      <c r="F72" s="321" t="s">
        <v>5275</v>
      </c>
      <c r="G72" s="288" t="s">
        <v>19</v>
      </c>
      <c r="H72" s="289" t="s">
        <v>21</v>
      </c>
      <c r="I72" s="297" t="s">
        <v>31</v>
      </c>
      <c r="J72" s="289" t="s">
        <v>22</v>
      </c>
      <c r="K72" s="298" t="s">
        <v>5279</v>
      </c>
      <c r="L72" s="173" t="s">
        <v>5280</v>
      </c>
      <c r="M72" s="159" t="s">
        <v>5405</v>
      </c>
      <c r="N72" s="197"/>
      <c r="O72" s="147"/>
      <c r="P72" s="284"/>
      <c r="Q72" s="284"/>
      <c r="R72" s="284"/>
      <c r="S72" s="284"/>
      <c r="T72" s="284"/>
      <c r="U72" s="284"/>
      <c r="V72" s="284"/>
      <c r="W72" s="284"/>
      <c r="X72" s="284"/>
      <c r="Y72" s="284"/>
      <c r="Z72" s="284"/>
    </row>
    <row r="73" ht="22.5" customHeight="1">
      <c r="A73" s="327" t="s">
        <v>5330</v>
      </c>
      <c r="B73" s="328" t="s">
        <v>5406</v>
      </c>
      <c r="C73" s="318" t="s">
        <v>40</v>
      </c>
      <c r="D73" s="315" t="s">
        <v>5274</v>
      </c>
      <c r="E73" s="207" t="s">
        <v>640</v>
      </c>
      <c r="F73" s="316" t="s">
        <v>5275</v>
      </c>
      <c r="G73" s="301" t="s">
        <v>31</v>
      </c>
      <c r="H73" s="294" t="s">
        <v>21</v>
      </c>
      <c r="I73" s="207" t="s">
        <v>5279</v>
      </c>
      <c r="J73" s="294" t="s">
        <v>22</v>
      </c>
      <c r="K73" s="302" t="s">
        <v>5279</v>
      </c>
      <c r="L73" s="165" t="s">
        <v>5280</v>
      </c>
      <c r="M73" s="158" t="s">
        <v>5407</v>
      </c>
      <c r="N73" s="196"/>
      <c r="O73" s="155"/>
      <c r="P73" s="284"/>
      <c r="Q73" s="284"/>
      <c r="R73" s="284"/>
      <c r="S73" s="284"/>
      <c r="T73" s="284"/>
      <c r="U73" s="284"/>
      <c r="V73" s="284"/>
      <c r="W73" s="284"/>
      <c r="X73" s="284"/>
      <c r="Y73" s="284"/>
      <c r="Z73" s="284"/>
    </row>
    <row r="74" ht="22.5" customHeight="1">
      <c r="A74" s="325" t="s">
        <v>5408</v>
      </c>
      <c r="B74" s="329" t="s">
        <v>5409</v>
      </c>
      <c r="C74" s="317" t="s">
        <v>49</v>
      </c>
      <c r="D74" s="287" t="s">
        <v>5274</v>
      </c>
      <c r="E74" s="204" t="s">
        <v>640</v>
      </c>
      <c r="F74" s="321" t="s">
        <v>5275</v>
      </c>
      <c r="G74" s="297" t="s">
        <v>31</v>
      </c>
      <c r="H74" s="289" t="s">
        <v>21</v>
      </c>
      <c r="I74" s="204" t="s">
        <v>5279</v>
      </c>
      <c r="J74" s="289" t="s">
        <v>22</v>
      </c>
      <c r="K74" s="298" t="s">
        <v>5279</v>
      </c>
      <c r="L74" s="173" t="s">
        <v>5280</v>
      </c>
      <c r="M74" s="159" t="s">
        <v>5410</v>
      </c>
      <c r="N74" s="197"/>
      <c r="O74" s="147"/>
      <c r="P74" s="284"/>
      <c r="Q74" s="284"/>
      <c r="R74" s="284"/>
      <c r="S74" s="284"/>
      <c r="T74" s="284"/>
      <c r="U74" s="284"/>
      <c r="V74" s="284"/>
      <c r="W74" s="284"/>
      <c r="X74" s="284"/>
      <c r="Y74" s="284"/>
      <c r="Z74" s="284"/>
    </row>
    <row r="75" ht="22.5" customHeight="1">
      <c r="A75" s="326" t="s">
        <v>5330</v>
      </c>
      <c r="B75" s="328" t="s">
        <v>5411</v>
      </c>
      <c r="C75" s="318" t="s">
        <v>40</v>
      </c>
      <c r="D75" s="315" t="s">
        <v>5274</v>
      </c>
      <c r="E75" s="306" t="s">
        <v>19</v>
      </c>
      <c r="F75" s="316" t="s">
        <v>5275</v>
      </c>
      <c r="G75" s="306" t="s">
        <v>19</v>
      </c>
      <c r="H75" s="294" t="s">
        <v>21</v>
      </c>
      <c r="I75" s="207" t="s">
        <v>5279</v>
      </c>
      <c r="J75" s="294" t="s">
        <v>22</v>
      </c>
      <c r="K75" s="302" t="s">
        <v>5279</v>
      </c>
      <c r="L75" s="320" t="s">
        <v>5271</v>
      </c>
      <c r="M75" s="196"/>
      <c r="N75" s="196"/>
      <c r="O75" s="155"/>
      <c r="P75" s="284"/>
      <c r="Q75" s="284"/>
      <c r="R75" s="284"/>
      <c r="S75" s="284"/>
      <c r="T75" s="284"/>
      <c r="U75" s="284"/>
      <c r="V75" s="284"/>
      <c r="W75" s="284"/>
      <c r="X75" s="284"/>
      <c r="Y75" s="284"/>
      <c r="Z75" s="284"/>
    </row>
    <row r="76" ht="22.5" customHeight="1">
      <c r="A76" s="285" t="s">
        <v>5330</v>
      </c>
      <c r="B76" s="159" t="s">
        <v>5412</v>
      </c>
      <c r="C76" s="319" t="s">
        <v>40</v>
      </c>
      <c r="D76" s="287" t="s">
        <v>5274</v>
      </c>
      <c r="E76" s="204" t="s">
        <v>640</v>
      </c>
      <c r="F76" s="321" t="s">
        <v>5275</v>
      </c>
      <c r="G76" s="288" t="s">
        <v>19</v>
      </c>
      <c r="H76" s="289" t="s">
        <v>21</v>
      </c>
      <c r="I76" s="215" t="s">
        <v>26</v>
      </c>
      <c r="J76" s="289" t="s">
        <v>22</v>
      </c>
      <c r="K76" s="298" t="s">
        <v>5279</v>
      </c>
      <c r="L76" s="332" t="s">
        <v>5271</v>
      </c>
      <c r="M76" s="159" t="s">
        <v>5413</v>
      </c>
      <c r="N76" s="197"/>
      <c r="O76" s="147"/>
      <c r="P76" s="284"/>
      <c r="Q76" s="284"/>
      <c r="R76" s="284"/>
      <c r="S76" s="284"/>
      <c r="T76" s="284"/>
      <c r="U76" s="284"/>
      <c r="V76" s="284"/>
      <c r="W76" s="284"/>
      <c r="X76" s="284"/>
      <c r="Y76" s="284"/>
      <c r="Z76" s="284"/>
    </row>
    <row r="77" ht="22.5" customHeight="1">
      <c r="A77" s="333" t="s">
        <v>5414</v>
      </c>
      <c r="B77" s="334" t="s">
        <v>5415</v>
      </c>
      <c r="C77" s="335" t="s">
        <v>5416</v>
      </c>
      <c r="D77" s="315" t="s">
        <v>5274</v>
      </c>
      <c r="E77" s="336" t="s">
        <v>640</v>
      </c>
      <c r="F77" s="316" t="s">
        <v>5275</v>
      </c>
      <c r="G77" s="337" t="s">
        <v>31</v>
      </c>
      <c r="H77" s="294" t="s">
        <v>21</v>
      </c>
      <c r="I77" s="336" t="s">
        <v>5279</v>
      </c>
      <c r="J77" s="294" t="s">
        <v>22</v>
      </c>
      <c r="K77" s="338" t="s">
        <v>5279</v>
      </c>
      <c r="L77" s="339" t="s">
        <v>5280</v>
      </c>
      <c r="M77" s="334" t="s">
        <v>5417</v>
      </c>
      <c r="N77" s="196"/>
      <c r="O77" s="155"/>
      <c r="P77" s="284"/>
      <c r="Q77" s="284"/>
      <c r="R77" s="284"/>
      <c r="S77" s="284"/>
      <c r="T77" s="284"/>
      <c r="U77" s="284"/>
      <c r="V77" s="284"/>
      <c r="W77" s="284"/>
      <c r="X77" s="284"/>
      <c r="Y77" s="284"/>
      <c r="Z77" s="284"/>
    </row>
    <row r="78" ht="22.5" customHeight="1">
      <c r="A78" s="303" t="s">
        <v>5418</v>
      </c>
      <c r="B78" s="159" t="s">
        <v>5419</v>
      </c>
      <c r="C78" s="319" t="s">
        <v>40</v>
      </c>
      <c r="D78" s="287" t="s">
        <v>5274</v>
      </c>
      <c r="E78" s="204" t="s">
        <v>640</v>
      </c>
      <c r="F78" s="321" t="s">
        <v>5275</v>
      </c>
      <c r="G78" s="297" t="s">
        <v>31</v>
      </c>
      <c r="H78" s="289" t="s">
        <v>21</v>
      </c>
      <c r="I78" s="204" t="s">
        <v>5279</v>
      </c>
      <c r="J78" s="289" t="s">
        <v>22</v>
      </c>
      <c r="K78" s="298" t="s">
        <v>5279</v>
      </c>
      <c r="L78" s="173" t="s">
        <v>5280</v>
      </c>
      <c r="M78" s="159" t="s">
        <v>5420</v>
      </c>
      <c r="N78" s="197"/>
      <c r="O78" s="147"/>
      <c r="P78" s="284"/>
      <c r="Q78" s="284"/>
      <c r="R78" s="284"/>
      <c r="S78" s="284"/>
      <c r="T78" s="284"/>
      <c r="U78" s="284"/>
      <c r="V78" s="284"/>
      <c r="W78" s="284"/>
      <c r="X78" s="284"/>
      <c r="Y78" s="284"/>
      <c r="Z78" s="284"/>
    </row>
    <row r="79" ht="22.5" customHeight="1">
      <c r="A79" s="299" t="s">
        <v>5421</v>
      </c>
      <c r="B79" s="313" t="s">
        <v>5422</v>
      </c>
      <c r="C79" s="314" t="s">
        <v>49</v>
      </c>
      <c r="D79" s="315" t="s">
        <v>5274</v>
      </c>
      <c r="E79" s="301" t="s">
        <v>31</v>
      </c>
      <c r="F79" s="316" t="s">
        <v>5275</v>
      </c>
      <c r="G79" s="207" t="s">
        <v>5279</v>
      </c>
      <c r="H79" s="294" t="s">
        <v>21</v>
      </c>
      <c r="I79" s="207" t="s">
        <v>5279</v>
      </c>
      <c r="J79" s="294" t="s">
        <v>22</v>
      </c>
      <c r="K79" s="302" t="s">
        <v>5279</v>
      </c>
      <c r="L79" s="165" t="s">
        <v>5280</v>
      </c>
      <c r="M79" s="158" t="s">
        <v>152</v>
      </c>
      <c r="N79" s="196"/>
      <c r="O79" s="157" t="s">
        <v>4553</v>
      </c>
      <c r="P79" s="284"/>
      <c r="Q79" s="284"/>
      <c r="R79" s="284"/>
      <c r="S79" s="284"/>
      <c r="T79" s="284"/>
      <c r="U79" s="284"/>
      <c r="V79" s="284"/>
      <c r="W79" s="284"/>
      <c r="X79" s="284"/>
      <c r="Y79" s="284"/>
      <c r="Z79" s="284"/>
    </row>
    <row r="80" ht="22.5" customHeight="1">
      <c r="A80" s="285" t="s">
        <v>5423</v>
      </c>
      <c r="B80" s="159" t="s">
        <v>5424</v>
      </c>
      <c r="C80" s="319" t="s">
        <v>40</v>
      </c>
      <c r="D80" s="287" t="s">
        <v>5274</v>
      </c>
      <c r="E80" s="297" t="s">
        <v>31</v>
      </c>
      <c r="F80" s="321" t="s">
        <v>5275</v>
      </c>
      <c r="G80" s="204" t="s">
        <v>5279</v>
      </c>
      <c r="H80" s="289" t="s">
        <v>21</v>
      </c>
      <c r="I80" s="204" t="s">
        <v>5279</v>
      </c>
      <c r="J80" s="289" t="s">
        <v>22</v>
      </c>
      <c r="K80" s="298" t="s">
        <v>5279</v>
      </c>
      <c r="L80" s="173" t="s">
        <v>5280</v>
      </c>
      <c r="M80" s="159" t="s">
        <v>5425</v>
      </c>
      <c r="N80" s="197"/>
      <c r="O80" s="147"/>
      <c r="P80" s="284"/>
      <c r="Q80" s="284"/>
      <c r="R80" s="284"/>
      <c r="S80" s="284"/>
      <c r="T80" s="284"/>
      <c r="U80" s="284"/>
      <c r="V80" s="284"/>
      <c r="W80" s="284"/>
      <c r="X80" s="284"/>
      <c r="Y80" s="284"/>
      <c r="Z80" s="284"/>
    </row>
    <row r="81" ht="22.5" customHeight="1">
      <c r="A81" s="291" t="s">
        <v>5330</v>
      </c>
      <c r="B81" s="158" t="s">
        <v>5426</v>
      </c>
      <c r="C81" s="322" t="s">
        <v>17</v>
      </c>
      <c r="D81" s="315" t="s">
        <v>5274</v>
      </c>
      <c r="E81" s="306" t="s">
        <v>19</v>
      </c>
      <c r="F81" s="316" t="s">
        <v>5275</v>
      </c>
      <c r="G81" s="306" t="s">
        <v>19</v>
      </c>
      <c r="H81" s="294" t="s">
        <v>21</v>
      </c>
      <c r="I81" s="306" t="s">
        <v>19</v>
      </c>
      <c r="J81" s="294" t="s">
        <v>22</v>
      </c>
      <c r="K81" s="307" t="s">
        <v>19</v>
      </c>
      <c r="L81" s="248" t="s">
        <v>5276</v>
      </c>
      <c r="M81" s="158" t="s">
        <v>5277</v>
      </c>
      <c r="N81" s="196"/>
      <c r="O81" s="155"/>
      <c r="P81" s="284"/>
      <c r="Q81" s="284"/>
      <c r="R81" s="284"/>
      <c r="S81" s="284"/>
      <c r="T81" s="284"/>
      <c r="U81" s="284"/>
      <c r="V81" s="284"/>
      <c r="W81" s="284"/>
      <c r="X81" s="284"/>
      <c r="Y81" s="284"/>
      <c r="Z81" s="284"/>
    </row>
    <row r="82" ht="22.5" customHeight="1">
      <c r="A82" s="285" t="s">
        <v>5330</v>
      </c>
      <c r="B82" s="159" t="s">
        <v>5427</v>
      </c>
      <c r="C82" s="317" t="s">
        <v>49</v>
      </c>
      <c r="D82" s="287" t="s">
        <v>5274</v>
      </c>
      <c r="E82" s="297" t="s">
        <v>31</v>
      </c>
      <c r="F82" s="321" t="s">
        <v>5275</v>
      </c>
      <c r="G82" s="204" t="s">
        <v>5279</v>
      </c>
      <c r="H82" s="289" t="s">
        <v>21</v>
      </c>
      <c r="I82" s="204" t="s">
        <v>5279</v>
      </c>
      <c r="J82" s="289" t="s">
        <v>22</v>
      </c>
      <c r="K82" s="298" t="s">
        <v>5279</v>
      </c>
      <c r="L82" s="173" t="s">
        <v>5280</v>
      </c>
      <c r="M82" s="159" t="s">
        <v>5428</v>
      </c>
      <c r="N82" s="197"/>
      <c r="O82" s="147"/>
      <c r="P82" s="284"/>
      <c r="Q82" s="284"/>
      <c r="R82" s="284"/>
      <c r="S82" s="284"/>
      <c r="T82" s="284"/>
      <c r="U82" s="284"/>
      <c r="V82" s="284"/>
      <c r="W82" s="284"/>
      <c r="X82" s="284"/>
      <c r="Y82" s="284"/>
      <c r="Z82" s="284"/>
    </row>
    <row r="83" ht="22.5" customHeight="1">
      <c r="A83" s="299" t="s">
        <v>5330</v>
      </c>
      <c r="B83" s="158" t="s">
        <v>5429</v>
      </c>
      <c r="C83" s="314" t="s">
        <v>49</v>
      </c>
      <c r="D83" s="315" t="s">
        <v>5274</v>
      </c>
      <c r="E83" s="301" t="s">
        <v>31</v>
      </c>
      <c r="F83" s="316" t="s">
        <v>5275</v>
      </c>
      <c r="G83" s="207" t="s">
        <v>5279</v>
      </c>
      <c r="H83" s="294" t="s">
        <v>21</v>
      </c>
      <c r="I83" s="207" t="s">
        <v>5279</v>
      </c>
      <c r="J83" s="294" t="s">
        <v>22</v>
      </c>
      <c r="K83" s="302" t="s">
        <v>5279</v>
      </c>
      <c r="L83" s="165" t="s">
        <v>5280</v>
      </c>
      <c r="M83" s="158" t="s">
        <v>5430</v>
      </c>
      <c r="N83" s="196"/>
      <c r="O83" s="155"/>
      <c r="P83" s="284"/>
      <c r="Q83" s="284"/>
      <c r="R83" s="284"/>
      <c r="S83" s="284"/>
      <c r="T83" s="284"/>
      <c r="U83" s="284"/>
      <c r="V83" s="284"/>
      <c r="W83" s="284"/>
      <c r="X83" s="284"/>
      <c r="Y83" s="284"/>
      <c r="Z83" s="284"/>
    </row>
    <row r="84" ht="22.5" customHeight="1">
      <c r="A84" s="285" t="s">
        <v>5330</v>
      </c>
      <c r="B84" s="159" t="s">
        <v>5431</v>
      </c>
      <c r="C84" s="323" t="s">
        <v>17</v>
      </c>
      <c r="D84" s="287" t="s">
        <v>5274</v>
      </c>
      <c r="E84" s="288" t="s">
        <v>19</v>
      </c>
      <c r="F84" s="321" t="s">
        <v>5275</v>
      </c>
      <c r="G84" s="288" t="s">
        <v>19</v>
      </c>
      <c r="H84" s="289" t="s">
        <v>21</v>
      </c>
      <c r="I84" s="288" t="s">
        <v>19</v>
      </c>
      <c r="J84" s="289" t="s">
        <v>22</v>
      </c>
      <c r="K84" s="290" t="s">
        <v>19</v>
      </c>
      <c r="L84" s="247" t="s">
        <v>5276</v>
      </c>
      <c r="M84" s="159" t="s">
        <v>5277</v>
      </c>
      <c r="N84" s="197"/>
      <c r="O84" s="147"/>
      <c r="P84" s="284"/>
      <c r="Q84" s="284"/>
      <c r="R84" s="284"/>
      <c r="S84" s="284"/>
      <c r="T84" s="284"/>
      <c r="U84" s="284"/>
      <c r="V84" s="284"/>
      <c r="W84" s="284"/>
      <c r="X84" s="284"/>
      <c r="Y84" s="284"/>
      <c r="Z84" s="284"/>
    </row>
    <row r="85" ht="22.5" customHeight="1">
      <c r="A85" s="291" t="s">
        <v>5330</v>
      </c>
      <c r="B85" s="158" t="s">
        <v>5432</v>
      </c>
      <c r="C85" s="314" t="s">
        <v>49</v>
      </c>
      <c r="D85" s="315" t="s">
        <v>5274</v>
      </c>
      <c r="E85" s="306" t="s">
        <v>19</v>
      </c>
      <c r="F85" s="316" t="s">
        <v>5275</v>
      </c>
      <c r="G85" s="306" t="s">
        <v>19</v>
      </c>
      <c r="H85" s="294" t="s">
        <v>21</v>
      </c>
      <c r="I85" s="306" t="s">
        <v>19</v>
      </c>
      <c r="J85" s="294" t="s">
        <v>22</v>
      </c>
      <c r="K85" s="307" t="s">
        <v>19</v>
      </c>
      <c r="L85" s="248" t="s">
        <v>5276</v>
      </c>
      <c r="M85" s="158" t="s">
        <v>5277</v>
      </c>
      <c r="N85" s="196"/>
      <c r="O85" s="155"/>
      <c r="P85" s="284"/>
      <c r="Q85" s="284"/>
      <c r="R85" s="284"/>
      <c r="S85" s="284"/>
      <c r="T85" s="284"/>
      <c r="U85" s="284"/>
      <c r="V85" s="284"/>
      <c r="W85" s="284"/>
      <c r="X85" s="284"/>
      <c r="Y85" s="284"/>
      <c r="Z85" s="284"/>
    </row>
    <row r="86" ht="22.5" customHeight="1">
      <c r="A86" s="285" t="s">
        <v>5330</v>
      </c>
      <c r="B86" s="159" t="s">
        <v>5433</v>
      </c>
      <c r="C86" s="323" t="s">
        <v>17</v>
      </c>
      <c r="D86" s="287" t="s">
        <v>5274</v>
      </c>
      <c r="E86" s="288" t="s">
        <v>19</v>
      </c>
      <c r="F86" s="321" t="s">
        <v>5275</v>
      </c>
      <c r="G86" s="288" t="s">
        <v>19</v>
      </c>
      <c r="H86" s="289" t="s">
        <v>21</v>
      </c>
      <c r="I86" s="288" t="s">
        <v>19</v>
      </c>
      <c r="J86" s="289" t="s">
        <v>22</v>
      </c>
      <c r="K86" s="290" t="s">
        <v>19</v>
      </c>
      <c r="L86" s="247" t="s">
        <v>5276</v>
      </c>
      <c r="M86" s="159" t="s">
        <v>5277</v>
      </c>
      <c r="N86" s="197"/>
      <c r="O86" s="147"/>
      <c r="P86" s="284"/>
      <c r="Q86" s="284"/>
      <c r="R86" s="284"/>
      <c r="S86" s="284"/>
      <c r="T86" s="284"/>
      <c r="U86" s="284"/>
      <c r="V86" s="284"/>
      <c r="W86" s="284"/>
      <c r="X86" s="284"/>
      <c r="Y86" s="284"/>
      <c r="Z86" s="284"/>
    </row>
    <row r="87" ht="22.5" customHeight="1">
      <c r="A87" s="305" t="s">
        <v>5434</v>
      </c>
      <c r="B87" s="158" t="s">
        <v>5435</v>
      </c>
      <c r="C87" s="318" t="s">
        <v>40</v>
      </c>
      <c r="D87" s="315" t="s">
        <v>5274</v>
      </c>
      <c r="E87" s="301" t="s">
        <v>31</v>
      </c>
      <c r="F87" s="316" t="s">
        <v>5275</v>
      </c>
      <c r="G87" s="207" t="s">
        <v>5279</v>
      </c>
      <c r="H87" s="294" t="s">
        <v>21</v>
      </c>
      <c r="I87" s="207" t="s">
        <v>5279</v>
      </c>
      <c r="J87" s="294" t="s">
        <v>22</v>
      </c>
      <c r="K87" s="302" t="s">
        <v>5279</v>
      </c>
      <c r="L87" s="165" t="s">
        <v>5280</v>
      </c>
      <c r="M87" s="158" t="s">
        <v>5436</v>
      </c>
      <c r="N87" s="196"/>
      <c r="O87" s="155"/>
      <c r="P87" s="284"/>
      <c r="Q87" s="284"/>
      <c r="R87" s="284"/>
      <c r="S87" s="284"/>
      <c r="T87" s="284"/>
      <c r="U87" s="284"/>
      <c r="V87" s="284"/>
      <c r="W87" s="284"/>
      <c r="X87" s="284"/>
      <c r="Y87" s="284"/>
      <c r="Z87" s="284"/>
    </row>
    <row r="88" ht="22.5" customHeight="1">
      <c r="A88" s="285" t="s">
        <v>5330</v>
      </c>
      <c r="B88" s="159" t="s">
        <v>5437</v>
      </c>
      <c r="C88" s="317" t="s">
        <v>49</v>
      </c>
      <c r="D88" s="287" t="s">
        <v>5274</v>
      </c>
      <c r="E88" s="297" t="s">
        <v>31</v>
      </c>
      <c r="F88" s="321" t="s">
        <v>5275</v>
      </c>
      <c r="G88" s="204" t="s">
        <v>5279</v>
      </c>
      <c r="H88" s="289" t="s">
        <v>21</v>
      </c>
      <c r="I88" s="204" t="s">
        <v>5279</v>
      </c>
      <c r="J88" s="289" t="s">
        <v>22</v>
      </c>
      <c r="K88" s="298" t="s">
        <v>5279</v>
      </c>
      <c r="L88" s="173" t="s">
        <v>5280</v>
      </c>
      <c r="M88" s="159" t="s">
        <v>5391</v>
      </c>
      <c r="N88" s="197"/>
      <c r="O88" s="147"/>
      <c r="P88" s="284"/>
      <c r="Q88" s="284"/>
      <c r="R88" s="284"/>
      <c r="S88" s="284"/>
      <c r="T88" s="284"/>
      <c r="U88" s="284"/>
      <c r="V88" s="284"/>
      <c r="W88" s="284"/>
      <c r="X88" s="284"/>
      <c r="Y88" s="284"/>
      <c r="Z88" s="284"/>
    </row>
    <row r="89" ht="22.5" customHeight="1">
      <c r="A89" s="291" t="s">
        <v>637</v>
      </c>
      <c r="B89" s="158" t="s">
        <v>5438</v>
      </c>
      <c r="C89" s="340" t="s">
        <v>17</v>
      </c>
      <c r="D89" s="315" t="s">
        <v>5274</v>
      </c>
      <c r="E89" s="306" t="s">
        <v>19</v>
      </c>
      <c r="F89" s="245" t="s">
        <v>5275</v>
      </c>
      <c r="G89" s="306" t="s">
        <v>19</v>
      </c>
      <c r="H89" s="341" t="s">
        <v>21</v>
      </c>
      <c r="I89" s="306" t="s">
        <v>19</v>
      </c>
      <c r="J89" s="341" t="s">
        <v>22</v>
      </c>
      <c r="K89" s="306" t="s">
        <v>19</v>
      </c>
      <c r="L89" s="248" t="s">
        <v>5276</v>
      </c>
      <c r="M89" s="158" t="s">
        <v>5277</v>
      </c>
      <c r="N89" s="196"/>
      <c r="O89" s="155"/>
      <c r="P89" s="284"/>
      <c r="Q89" s="284"/>
      <c r="R89" s="284"/>
      <c r="S89" s="284"/>
      <c r="T89" s="284"/>
      <c r="U89" s="284"/>
      <c r="V89" s="284"/>
      <c r="W89" s="284"/>
      <c r="X89" s="284"/>
      <c r="Y89" s="284"/>
      <c r="Z89" s="284"/>
    </row>
    <row r="90" ht="22.5" customHeight="1">
      <c r="A90" s="285" t="s">
        <v>637</v>
      </c>
      <c r="B90" s="159" t="s">
        <v>5439</v>
      </c>
      <c r="C90" s="342" t="s">
        <v>49</v>
      </c>
      <c r="D90" s="287" t="s">
        <v>5274</v>
      </c>
      <c r="E90" s="204" t="s">
        <v>640</v>
      </c>
      <c r="F90" s="343" t="s">
        <v>5275</v>
      </c>
      <c r="G90" s="204" t="s">
        <v>5279</v>
      </c>
      <c r="H90" s="344" t="s">
        <v>21</v>
      </c>
      <c r="I90" s="297" t="s">
        <v>31</v>
      </c>
      <c r="J90" s="344" t="s">
        <v>22</v>
      </c>
      <c r="K90" s="204" t="s">
        <v>5279</v>
      </c>
      <c r="L90" s="173" t="s">
        <v>5280</v>
      </c>
      <c r="M90" s="159" t="s">
        <v>5440</v>
      </c>
      <c r="N90" s="197"/>
      <c r="O90" s="147"/>
      <c r="P90" s="284"/>
      <c r="Q90" s="284"/>
      <c r="R90" s="284"/>
      <c r="S90" s="284"/>
      <c r="T90" s="284"/>
      <c r="U90" s="284"/>
      <c r="V90" s="284"/>
      <c r="W90" s="284"/>
      <c r="X90" s="284"/>
      <c r="Y90" s="284"/>
      <c r="Z90" s="284"/>
    </row>
    <row r="91" ht="22.5" customHeight="1">
      <c r="A91" s="299" t="s">
        <v>5330</v>
      </c>
      <c r="B91" s="158" t="s">
        <v>5441</v>
      </c>
      <c r="C91" s="322" t="s">
        <v>17</v>
      </c>
      <c r="D91" s="315" t="s">
        <v>5274</v>
      </c>
      <c r="E91" s="306" t="s">
        <v>19</v>
      </c>
      <c r="F91" s="316" t="s">
        <v>5275</v>
      </c>
      <c r="G91" s="306" t="s">
        <v>19</v>
      </c>
      <c r="H91" s="294" t="s">
        <v>21</v>
      </c>
      <c r="I91" s="306" t="s">
        <v>19</v>
      </c>
      <c r="J91" s="294" t="s">
        <v>22</v>
      </c>
      <c r="K91" s="307" t="s">
        <v>19</v>
      </c>
      <c r="L91" s="248" t="s">
        <v>5276</v>
      </c>
      <c r="M91" s="158" t="s">
        <v>5277</v>
      </c>
      <c r="N91" s="196"/>
      <c r="O91" s="155"/>
      <c r="P91" s="284"/>
      <c r="Q91" s="284"/>
      <c r="R91" s="284"/>
      <c r="S91" s="284"/>
      <c r="T91" s="284"/>
      <c r="U91" s="284"/>
      <c r="V91" s="284"/>
      <c r="W91" s="284"/>
      <c r="X91" s="284"/>
      <c r="Y91" s="284"/>
      <c r="Z91" s="284"/>
    </row>
    <row r="92" ht="22.5" customHeight="1">
      <c r="A92" s="285" t="s">
        <v>637</v>
      </c>
      <c r="B92" s="159" t="s">
        <v>5442</v>
      </c>
      <c r="C92" s="345" t="s">
        <v>40</v>
      </c>
      <c r="D92" s="287" t="s">
        <v>5274</v>
      </c>
      <c r="E92" s="204" t="s">
        <v>640</v>
      </c>
      <c r="F92" s="343" t="s">
        <v>5275</v>
      </c>
      <c r="G92" s="297" t="s">
        <v>31</v>
      </c>
      <c r="H92" s="344" t="s">
        <v>21</v>
      </c>
      <c r="I92" s="204" t="s">
        <v>5279</v>
      </c>
      <c r="J92" s="344" t="s">
        <v>22</v>
      </c>
      <c r="K92" s="204" t="s">
        <v>5279</v>
      </c>
      <c r="L92" s="173" t="s">
        <v>5280</v>
      </c>
      <c r="M92" s="159" t="s">
        <v>5443</v>
      </c>
      <c r="N92" s="197"/>
      <c r="O92" s="147"/>
      <c r="P92" s="284"/>
      <c r="Q92" s="284"/>
      <c r="R92" s="284"/>
      <c r="S92" s="284"/>
      <c r="T92" s="284"/>
      <c r="U92" s="284"/>
      <c r="V92" s="284"/>
      <c r="W92" s="284"/>
      <c r="X92" s="284"/>
      <c r="Y92" s="284"/>
      <c r="Z92" s="284"/>
    </row>
    <row r="93" ht="22.5" customHeight="1">
      <c r="A93" s="291" t="s">
        <v>637</v>
      </c>
      <c r="B93" s="158" t="s">
        <v>5444</v>
      </c>
      <c r="C93" s="340" t="s">
        <v>17</v>
      </c>
      <c r="D93" s="315" t="s">
        <v>5274</v>
      </c>
      <c r="E93" s="306" t="s">
        <v>19</v>
      </c>
      <c r="F93" s="245" t="s">
        <v>5275</v>
      </c>
      <c r="G93" s="306" t="s">
        <v>19</v>
      </c>
      <c r="H93" s="341" t="s">
        <v>21</v>
      </c>
      <c r="I93" s="306" t="s">
        <v>19</v>
      </c>
      <c r="J93" s="341" t="s">
        <v>22</v>
      </c>
      <c r="K93" s="306" t="s">
        <v>19</v>
      </c>
      <c r="L93" s="248" t="s">
        <v>5276</v>
      </c>
      <c r="M93" s="158" t="s">
        <v>5277</v>
      </c>
      <c r="N93" s="196"/>
      <c r="O93" s="155"/>
      <c r="P93" s="284"/>
      <c r="Q93" s="284"/>
      <c r="R93" s="284"/>
      <c r="S93" s="284"/>
      <c r="T93" s="284"/>
      <c r="U93" s="284"/>
      <c r="V93" s="284"/>
      <c r="W93" s="284"/>
      <c r="X93" s="284"/>
      <c r="Y93" s="284"/>
      <c r="Z93" s="284"/>
    </row>
    <row r="94" ht="22.5" customHeight="1">
      <c r="A94" s="285" t="s">
        <v>637</v>
      </c>
      <c r="B94" s="159" t="s">
        <v>5445</v>
      </c>
      <c r="C94" s="346" t="s">
        <v>17</v>
      </c>
      <c r="D94" s="287" t="s">
        <v>5274</v>
      </c>
      <c r="E94" s="288" t="s">
        <v>19</v>
      </c>
      <c r="F94" s="343" t="s">
        <v>5275</v>
      </c>
      <c r="G94" s="288" t="s">
        <v>19</v>
      </c>
      <c r="H94" s="344" t="s">
        <v>21</v>
      </c>
      <c r="I94" s="288" t="s">
        <v>19</v>
      </c>
      <c r="J94" s="344" t="s">
        <v>22</v>
      </c>
      <c r="K94" s="288" t="s">
        <v>19</v>
      </c>
      <c r="L94" s="247" t="s">
        <v>5276</v>
      </c>
      <c r="M94" s="159" t="s">
        <v>5277</v>
      </c>
      <c r="N94" s="197"/>
      <c r="O94" s="147"/>
      <c r="P94" s="284"/>
      <c r="Q94" s="284"/>
      <c r="R94" s="284"/>
      <c r="S94" s="284"/>
      <c r="T94" s="284"/>
      <c r="U94" s="284"/>
      <c r="V94" s="284"/>
      <c r="W94" s="284"/>
      <c r="X94" s="284"/>
      <c r="Y94" s="284"/>
      <c r="Z94" s="284"/>
    </row>
    <row r="95" ht="22.5" customHeight="1">
      <c r="A95" s="291" t="s">
        <v>637</v>
      </c>
      <c r="B95" s="158" t="s">
        <v>5446</v>
      </c>
      <c r="C95" s="161" t="s">
        <v>49</v>
      </c>
      <c r="D95" s="315" t="s">
        <v>5274</v>
      </c>
      <c r="E95" s="207" t="s">
        <v>640</v>
      </c>
      <c r="F95" s="245" t="s">
        <v>5275</v>
      </c>
      <c r="G95" s="301" t="s">
        <v>31</v>
      </c>
      <c r="H95" s="341" t="s">
        <v>21</v>
      </c>
      <c r="I95" s="207" t="s">
        <v>5279</v>
      </c>
      <c r="J95" s="341" t="s">
        <v>22</v>
      </c>
      <c r="K95" s="207" t="s">
        <v>5279</v>
      </c>
      <c r="L95" s="165" t="s">
        <v>5280</v>
      </c>
      <c r="M95" s="158" t="s">
        <v>135</v>
      </c>
      <c r="N95" s="196"/>
      <c r="O95" s="155"/>
      <c r="P95" s="284"/>
      <c r="Q95" s="284"/>
      <c r="R95" s="284"/>
      <c r="S95" s="284"/>
      <c r="T95" s="284"/>
      <c r="U95" s="284"/>
      <c r="V95" s="284"/>
      <c r="W95" s="284"/>
      <c r="X95" s="284"/>
      <c r="Y95" s="284"/>
      <c r="Z95" s="284"/>
    </row>
    <row r="96" ht="22.5" customHeight="1">
      <c r="A96" s="285" t="s">
        <v>637</v>
      </c>
      <c r="B96" s="159" t="s">
        <v>5447</v>
      </c>
      <c r="C96" s="346" t="s">
        <v>17</v>
      </c>
      <c r="D96" s="287" t="s">
        <v>5274</v>
      </c>
      <c r="E96" s="288" t="s">
        <v>19</v>
      </c>
      <c r="F96" s="343" t="s">
        <v>5275</v>
      </c>
      <c r="G96" s="288" t="s">
        <v>19</v>
      </c>
      <c r="H96" s="344" t="s">
        <v>21</v>
      </c>
      <c r="I96" s="288" t="s">
        <v>19</v>
      </c>
      <c r="J96" s="344" t="s">
        <v>22</v>
      </c>
      <c r="K96" s="288" t="s">
        <v>19</v>
      </c>
      <c r="L96" s="247" t="s">
        <v>5276</v>
      </c>
      <c r="M96" s="159" t="s">
        <v>5277</v>
      </c>
      <c r="N96" s="197"/>
      <c r="O96" s="147"/>
      <c r="P96" s="284"/>
      <c r="Q96" s="284"/>
      <c r="R96" s="284"/>
      <c r="S96" s="284"/>
      <c r="T96" s="284"/>
      <c r="U96" s="284"/>
      <c r="V96" s="284"/>
      <c r="W96" s="284"/>
      <c r="X96" s="284"/>
      <c r="Y96" s="284"/>
      <c r="Z96" s="284"/>
    </row>
    <row r="97" ht="22.5" customHeight="1">
      <c r="A97" s="291" t="s">
        <v>637</v>
      </c>
      <c r="B97" s="158" t="s">
        <v>5448</v>
      </c>
      <c r="C97" s="347" t="s">
        <v>49</v>
      </c>
      <c r="D97" s="315" t="s">
        <v>5274</v>
      </c>
      <c r="E97" s="207" t="s">
        <v>640</v>
      </c>
      <c r="F97" s="245" t="s">
        <v>5275</v>
      </c>
      <c r="G97" s="301" t="s">
        <v>31</v>
      </c>
      <c r="H97" s="341" t="s">
        <v>21</v>
      </c>
      <c r="I97" s="207" t="s">
        <v>5279</v>
      </c>
      <c r="J97" s="341" t="s">
        <v>22</v>
      </c>
      <c r="K97" s="207" t="s">
        <v>5279</v>
      </c>
      <c r="L97" s="165" t="s">
        <v>5280</v>
      </c>
      <c r="M97" s="158" t="s">
        <v>5449</v>
      </c>
      <c r="N97" s="196"/>
      <c r="O97" s="155"/>
      <c r="P97" s="284"/>
      <c r="Q97" s="284"/>
      <c r="R97" s="284"/>
      <c r="S97" s="284"/>
      <c r="T97" s="284"/>
      <c r="U97" s="284"/>
      <c r="V97" s="284"/>
      <c r="W97" s="284"/>
      <c r="X97" s="284"/>
      <c r="Y97" s="284"/>
      <c r="Z97" s="284"/>
    </row>
    <row r="98" ht="22.5" customHeight="1">
      <c r="A98" s="285" t="s">
        <v>637</v>
      </c>
      <c r="B98" s="159" t="s">
        <v>5450</v>
      </c>
      <c r="C98" s="346" t="s">
        <v>17</v>
      </c>
      <c r="D98" s="287" t="s">
        <v>5274</v>
      </c>
      <c r="E98" s="288" t="s">
        <v>19</v>
      </c>
      <c r="F98" s="343" t="s">
        <v>5275</v>
      </c>
      <c r="G98" s="288" t="s">
        <v>19</v>
      </c>
      <c r="H98" s="344" t="s">
        <v>21</v>
      </c>
      <c r="I98" s="288" t="s">
        <v>19</v>
      </c>
      <c r="J98" s="344" t="s">
        <v>22</v>
      </c>
      <c r="K98" s="288" t="s">
        <v>19</v>
      </c>
      <c r="L98" s="247" t="s">
        <v>5276</v>
      </c>
      <c r="M98" s="159" t="s">
        <v>5277</v>
      </c>
      <c r="N98" s="197"/>
      <c r="O98" s="147"/>
      <c r="P98" s="284"/>
      <c r="Q98" s="284"/>
      <c r="R98" s="284"/>
      <c r="S98" s="284"/>
      <c r="T98" s="284"/>
      <c r="U98" s="284"/>
      <c r="V98" s="284"/>
      <c r="W98" s="284"/>
      <c r="X98" s="284"/>
      <c r="Y98" s="284"/>
      <c r="Z98" s="284"/>
    </row>
    <row r="99" ht="22.5" customHeight="1">
      <c r="A99" s="299" t="s">
        <v>637</v>
      </c>
      <c r="B99" s="158" t="s">
        <v>5451</v>
      </c>
      <c r="C99" s="348" t="s">
        <v>40</v>
      </c>
      <c r="D99" s="315" t="s">
        <v>5274</v>
      </c>
      <c r="E99" s="306" t="s">
        <v>19</v>
      </c>
      <c r="F99" s="245" t="s">
        <v>5275</v>
      </c>
      <c r="G99" s="306" t="s">
        <v>19</v>
      </c>
      <c r="H99" s="341" t="s">
        <v>21</v>
      </c>
      <c r="I99" s="306" t="s">
        <v>19</v>
      </c>
      <c r="J99" s="341" t="s">
        <v>22</v>
      </c>
      <c r="K99" s="301" t="s">
        <v>31</v>
      </c>
      <c r="L99" s="165" t="s">
        <v>5280</v>
      </c>
      <c r="M99" s="158" t="s">
        <v>5388</v>
      </c>
      <c r="N99" s="196"/>
      <c r="O99" s="155"/>
      <c r="P99" s="284"/>
      <c r="Q99" s="284"/>
      <c r="R99" s="284"/>
      <c r="S99" s="284"/>
      <c r="T99" s="284"/>
      <c r="U99" s="284"/>
      <c r="V99" s="284"/>
      <c r="W99" s="284"/>
      <c r="X99" s="284"/>
      <c r="Y99" s="284"/>
      <c r="Z99" s="284"/>
    </row>
    <row r="100" ht="22.5" customHeight="1">
      <c r="A100" s="285" t="s">
        <v>5452</v>
      </c>
      <c r="B100" s="159" t="s">
        <v>5453</v>
      </c>
      <c r="C100" s="349" t="s">
        <v>40</v>
      </c>
      <c r="D100" s="287" t="s">
        <v>5274</v>
      </c>
      <c r="E100" s="204" t="s">
        <v>640</v>
      </c>
      <c r="F100" s="343" t="s">
        <v>5275</v>
      </c>
      <c r="G100" s="204" t="s">
        <v>5279</v>
      </c>
      <c r="H100" s="344" t="s">
        <v>21</v>
      </c>
      <c r="I100" s="297" t="s">
        <v>31</v>
      </c>
      <c r="J100" s="344" t="s">
        <v>22</v>
      </c>
      <c r="K100" s="204" t="s">
        <v>5279</v>
      </c>
      <c r="L100" s="173" t="s">
        <v>5280</v>
      </c>
      <c r="M100" s="159" t="s">
        <v>5454</v>
      </c>
      <c r="N100" s="197"/>
      <c r="O100" s="147"/>
      <c r="P100" s="284"/>
      <c r="Q100" s="284"/>
      <c r="R100" s="284"/>
      <c r="S100" s="284"/>
      <c r="T100" s="284"/>
      <c r="U100" s="284"/>
      <c r="V100" s="284"/>
      <c r="W100" s="284"/>
      <c r="X100" s="284"/>
      <c r="Y100" s="284"/>
      <c r="Z100" s="284"/>
    </row>
    <row r="101" ht="22.5" customHeight="1">
      <c r="A101" s="291" t="s">
        <v>5455</v>
      </c>
      <c r="B101" s="158" t="s">
        <v>5456</v>
      </c>
      <c r="C101" s="348" t="s">
        <v>40</v>
      </c>
      <c r="D101" s="315" t="s">
        <v>5274</v>
      </c>
      <c r="E101" s="207" t="s">
        <v>640</v>
      </c>
      <c r="F101" s="245" t="s">
        <v>5275</v>
      </c>
      <c r="G101" s="306" t="s">
        <v>19</v>
      </c>
      <c r="H101" s="341" t="s">
        <v>21</v>
      </c>
      <c r="I101" s="306" t="s">
        <v>19</v>
      </c>
      <c r="J101" s="341" t="s">
        <v>22</v>
      </c>
      <c r="K101" s="207" t="s">
        <v>5279</v>
      </c>
      <c r="L101" s="320" t="s">
        <v>5271</v>
      </c>
      <c r="M101" s="196"/>
      <c r="N101" s="196"/>
      <c r="O101" s="155"/>
      <c r="P101" s="284"/>
      <c r="Q101" s="284"/>
      <c r="R101" s="284"/>
      <c r="S101" s="284"/>
      <c r="T101" s="284"/>
      <c r="U101" s="284"/>
      <c r="V101" s="284"/>
      <c r="W101" s="284"/>
      <c r="X101" s="284"/>
      <c r="Y101" s="284"/>
      <c r="Z101" s="284"/>
    </row>
    <row r="102" ht="22.5" customHeight="1">
      <c r="A102" s="285" t="s">
        <v>5457</v>
      </c>
      <c r="B102" s="159" t="s">
        <v>5458</v>
      </c>
      <c r="C102" s="345" t="s">
        <v>40</v>
      </c>
      <c r="D102" s="287" t="s">
        <v>5274</v>
      </c>
      <c r="E102" s="204" t="s">
        <v>640</v>
      </c>
      <c r="F102" s="343" t="s">
        <v>5275</v>
      </c>
      <c r="G102" s="215" t="s">
        <v>26</v>
      </c>
      <c r="H102" s="344" t="s">
        <v>21</v>
      </c>
      <c r="I102" s="215" t="s">
        <v>26</v>
      </c>
      <c r="J102" s="344" t="s">
        <v>22</v>
      </c>
      <c r="K102" s="204" t="s">
        <v>5279</v>
      </c>
      <c r="L102" s="173" t="s">
        <v>5280</v>
      </c>
      <c r="M102" s="159" t="s">
        <v>5459</v>
      </c>
      <c r="N102" s="197"/>
      <c r="O102" s="147"/>
      <c r="P102" s="284"/>
      <c r="Q102" s="284"/>
      <c r="R102" s="284"/>
      <c r="S102" s="284"/>
      <c r="T102" s="284"/>
      <c r="U102" s="284"/>
      <c r="V102" s="284"/>
      <c r="W102" s="284"/>
      <c r="X102" s="284"/>
      <c r="Y102" s="284"/>
      <c r="Z102" s="284"/>
    </row>
    <row r="103" ht="22.5" customHeight="1">
      <c r="A103" s="299" t="s">
        <v>5460</v>
      </c>
      <c r="B103" s="158" t="s">
        <v>5461</v>
      </c>
      <c r="C103" s="350" t="s">
        <v>40</v>
      </c>
      <c r="D103" s="315" t="s">
        <v>5274</v>
      </c>
      <c r="E103" s="207" t="s">
        <v>640</v>
      </c>
      <c r="F103" s="245" t="s">
        <v>5275</v>
      </c>
      <c r="G103" s="207" t="s">
        <v>5279</v>
      </c>
      <c r="H103" s="245" t="s">
        <v>21</v>
      </c>
      <c r="I103" s="301" t="s">
        <v>31</v>
      </c>
      <c r="J103" s="245" t="s">
        <v>22</v>
      </c>
      <c r="K103" s="207" t="s">
        <v>5279</v>
      </c>
      <c r="L103" s="165" t="s">
        <v>5280</v>
      </c>
      <c r="M103" s="158" t="s">
        <v>5462</v>
      </c>
      <c r="N103" s="196"/>
      <c r="O103" s="155"/>
      <c r="P103" s="284"/>
      <c r="Q103" s="284"/>
      <c r="R103" s="284"/>
      <c r="S103" s="284"/>
      <c r="T103" s="284"/>
      <c r="U103" s="284"/>
      <c r="V103" s="284"/>
      <c r="W103" s="284"/>
      <c r="X103" s="284"/>
      <c r="Y103" s="284"/>
      <c r="Z103" s="284"/>
    </row>
    <row r="104" ht="22.5" customHeight="1">
      <c r="A104" s="285" t="s">
        <v>637</v>
      </c>
      <c r="B104" s="159" t="s">
        <v>5463</v>
      </c>
      <c r="C104" s="349" t="s">
        <v>40</v>
      </c>
      <c r="D104" s="287" t="s">
        <v>5274</v>
      </c>
      <c r="E104" s="204" t="s">
        <v>640</v>
      </c>
      <c r="F104" s="344" t="s">
        <v>5275</v>
      </c>
      <c r="G104" s="215" t="s">
        <v>26</v>
      </c>
      <c r="H104" s="344" t="s">
        <v>21</v>
      </c>
      <c r="I104" s="204" t="s">
        <v>5279</v>
      </c>
      <c r="J104" s="344" t="s">
        <v>22</v>
      </c>
      <c r="K104" s="298" t="s">
        <v>5279</v>
      </c>
      <c r="L104" s="173" t="s">
        <v>5280</v>
      </c>
      <c r="M104" s="159" t="s">
        <v>5464</v>
      </c>
      <c r="N104" s="197"/>
      <c r="O104" s="147"/>
      <c r="P104" s="284"/>
      <c r="Q104" s="284"/>
      <c r="R104" s="284"/>
      <c r="S104" s="284"/>
      <c r="T104" s="284"/>
      <c r="U104" s="284"/>
      <c r="V104" s="284"/>
      <c r="W104" s="284"/>
      <c r="X104" s="284"/>
      <c r="Y104" s="284"/>
      <c r="Z104" s="284"/>
    </row>
    <row r="105" ht="22.5" customHeight="1">
      <c r="A105" s="291" t="s">
        <v>637</v>
      </c>
      <c r="B105" s="158" t="s">
        <v>5465</v>
      </c>
      <c r="C105" s="314" t="s">
        <v>49</v>
      </c>
      <c r="D105" s="315" t="s">
        <v>5274</v>
      </c>
      <c r="E105" s="207" t="s">
        <v>640</v>
      </c>
      <c r="F105" s="245" t="s">
        <v>5275</v>
      </c>
      <c r="G105" s="207" t="s">
        <v>5279</v>
      </c>
      <c r="H105" s="245" t="s">
        <v>21</v>
      </c>
      <c r="I105" s="301" t="s">
        <v>31</v>
      </c>
      <c r="J105" s="245" t="s">
        <v>22</v>
      </c>
      <c r="K105" s="302" t="s">
        <v>5279</v>
      </c>
      <c r="L105" s="165" t="s">
        <v>5280</v>
      </c>
      <c r="M105" s="158" t="s">
        <v>135</v>
      </c>
      <c r="N105" s="196"/>
      <c r="O105" s="155"/>
      <c r="P105" s="284"/>
      <c r="Q105" s="284"/>
      <c r="R105" s="284"/>
      <c r="S105" s="284"/>
      <c r="T105" s="284"/>
      <c r="U105" s="284"/>
      <c r="V105" s="284"/>
      <c r="W105" s="284"/>
      <c r="X105" s="284"/>
      <c r="Y105" s="284"/>
      <c r="Z105" s="284"/>
    </row>
    <row r="106" ht="22.5" customHeight="1">
      <c r="A106" s="285" t="s">
        <v>5330</v>
      </c>
      <c r="B106" s="159" t="s">
        <v>5466</v>
      </c>
      <c r="C106" s="319" t="s">
        <v>40</v>
      </c>
      <c r="D106" s="287" t="s">
        <v>5274</v>
      </c>
      <c r="E106" s="297" t="s">
        <v>31</v>
      </c>
      <c r="F106" s="321" t="s">
        <v>5275</v>
      </c>
      <c r="G106" s="288" t="s">
        <v>19</v>
      </c>
      <c r="H106" s="289" t="s">
        <v>21</v>
      </c>
      <c r="I106" s="204" t="s">
        <v>5279</v>
      </c>
      <c r="J106" s="289" t="s">
        <v>22</v>
      </c>
      <c r="K106" s="298" t="s">
        <v>5279</v>
      </c>
      <c r="L106" s="173" t="s">
        <v>5280</v>
      </c>
      <c r="M106" s="159" t="s">
        <v>5467</v>
      </c>
      <c r="N106" s="197"/>
      <c r="O106" s="147"/>
      <c r="P106" s="284"/>
      <c r="Q106" s="284"/>
      <c r="R106" s="284"/>
      <c r="S106" s="284"/>
      <c r="T106" s="284"/>
      <c r="U106" s="284"/>
      <c r="V106" s="284"/>
      <c r="W106" s="284"/>
      <c r="X106" s="284"/>
      <c r="Y106" s="284"/>
      <c r="Z106" s="284"/>
    </row>
    <row r="107" ht="22.5" customHeight="1">
      <c r="A107" s="291" t="s">
        <v>637</v>
      </c>
      <c r="B107" s="158" t="s">
        <v>5468</v>
      </c>
      <c r="C107" s="161" t="s">
        <v>49</v>
      </c>
      <c r="D107" s="315" t="s">
        <v>5274</v>
      </c>
      <c r="E107" s="207" t="s">
        <v>640</v>
      </c>
      <c r="F107" s="245" t="s">
        <v>5275</v>
      </c>
      <c r="G107" s="207" t="s">
        <v>5279</v>
      </c>
      <c r="H107" s="245" t="s">
        <v>21</v>
      </c>
      <c r="I107" s="301" t="s">
        <v>31</v>
      </c>
      <c r="J107" s="245" t="s">
        <v>22</v>
      </c>
      <c r="K107" s="302" t="s">
        <v>5279</v>
      </c>
      <c r="L107" s="165" t="s">
        <v>5280</v>
      </c>
      <c r="M107" s="158" t="s">
        <v>135</v>
      </c>
      <c r="N107" s="196"/>
      <c r="O107" s="155"/>
      <c r="P107" s="284"/>
      <c r="Q107" s="284"/>
      <c r="R107" s="284"/>
      <c r="S107" s="284"/>
      <c r="T107" s="284"/>
      <c r="U107" s="284"/>
      <c r="V107" s="284"/>
      <c r="W107" s="284"/>
      <c r="X107" s="284"/>
      <c r="Y107" s="284"/>
      <c r="Z107" s="284"/>
    </row>
    <row r="108" ht="22.5" customHeight="1">
      <c r="A108" s="285" t="s">
        <v>637</v>
      </c>
      <c r="B108" s="159" t="s">
        <v>5469</v>
      </c>
      <c r="C108" s="349" t="s">
        <v>40</v>
      </c>
      <c r="D108" s="287" t="s">
        <v>5274</v>
      </c>
      <c r="E108" s="204" t="s">
        <v>640</v>
      </c>
      <c r="F108" s="344" t="s">
        <v>5275</v>
      </c>
      <c r="G108" s="204" t="s">
        <v>5279</v>
      </c>
      <c r="H108" s="344" t="s">
        <v>21</v>
      </c>
      <c r="I108" s="288" t="s">
        <v>19</v>
      </c>
      <c r="J108" s="344" t="s">
        <v>22</v>
      </c>
      <c r="K108" s="298" t="s">
        <v>5279</v>
      </c>
      <c r="L108" s="332" t="s">
        <v>5271</v>
      </c>
      <c r="M108" s="197"/>
      <c r="N108" s="197"/>
      <c r="O108" s="147"/>
      <c r="P108" s="284"/>
      <c r="Q108" s="284"/>
      <c r="R108" s="284"/>
      <c r="S108" s="284"/>
      <c r="T108" s="284"/>
      <c r="U108" s="284"/>
      <c r="V108" s="284"/>
      <c r="W108" s="284"/>
      <c r="X108" s="284"/>
      <c r="Y108" s="284"/>
      <c r="Z108" s="284"/>
    </row>
    <row r="109" ht="22.5" customHeight="1">
      <c r="A109" s="299" t="s">
        <v>5470</v>
      </c>
      <c r="B109" s="158" t="s">
        <v>5471</v>
      </c>
      <c r="C109" s="348" t="s">
        <v>40</v>
      </c>
      <c r="D109" s="315" t="s">
        <v>5274</v>
      </c>
      <c r="E109" s="207" t="s">
        <v>640</v>
      </c>
      <c r="F109" s="245" t="s">
        <v>5275</v>
      </c>
      <c r="G109" s="207" t="s">
        <v>5279</v>
      </c>
      <c r="H109" s="245" t="s">
        <v>21</v>
      </c>
      <c r="I109" s="174" t="s">
        <v>26</v>
      </c>
      <c r="J109" s="245" t="s">
        <v>22</v>
      </c>
      <c r="K109" s="296" t="s">
        <v>31</v>
      </c>
      <c r="L109" s="165" t="s">
        <v>5280</v>
      </c>
      <c r="M109" s="158" t="s">
        <v>5472</v>
      </c>
      <c r="N109" s="196"/>
      <c r="O109" s="155"/>
      <c r="P109" s="284"/>
      <c r="Q109" s="284"/>
      <c r="R109" s="284"/>
      <c r="S109" s="284"/>
      <c r="T109" s="284"/>
      <c r="U109" s="284"/>
      <c r="V109" s="284"/>
      <c r="W109" s="284"/>
      <c r="X109" s="284"/>
      <c r="Y109" s="284"/>
      <c r="Z109" s="284"/>
    </row>
    <row r="110" ht="22.5" customHeight="1">
      <c r="A110" s="285" t="s">
        <v>637</v>
      </c>
      <c r="B110" s="159" t="s">
        <v>5473</v>
      </c>
      <c r="C110" s="349" t="s">
        <v>40</v>
      </c>
      <c r="D110" s="287" t="s">
        <v>5274</v>
      </c>
      <c r="E110" s="204" t="s">
        <v>640</v>
      </c>
      <c r="F110" s="344" t="s">
        <v>5275</v>
      </c>
      <c r="G110" s="204" t="s">
        <v>5279</v>
      </c>
      <c r="H110" s="344" t="s">
        <v>21</v>
      </c>
      <c r="I110" s="297" t="s">
        <v>31</v>
      </c>
      <c r="J110" s="344" t="s">
        <v>22</v>
      </c>
      <c r="K110" s="298" t="s">
        <v>5279</v>
      </c>
      <c r="L110" s="173" t="s">
        <v>5280</v>
      </c>
      <c r="M110" s="159" t="s">
        <v>5474</v>
      </c>
      <c r="N110" s="197"/>
      <c r="O110" s="147"/>
      <c r="P110" s="284"/>
      <c r="Q110" s="284"/>
      <c r="R110" s="284"/>
      <c r="S110" s="284"/>
      <c r="T110" s="284"/>
      <c r="U110" s="284"/>
      <c r="V110" s="284"/>
      <c r="W110" s="284"/>
      <c r="X110" s="284"/>
      <c r="Y110" s="284"/>
      <c r="Z110" s="284"/>
    </row>
    <row r="111" ht="22.5" customHeight="1">
      <c r="A111" s="299" t="s">
        <v>5475</v>
      </c>
      <c r="B111" s="158" t="s">
        <v>5476</v>
      </c>
      <c r="C111" s="347" t="s">
        <v>49</v>
      </c>
      <c r="D111" s="315" t="s">
        <v>5274</v>
      </c>
      <c r="E111" s="207" t="s">
        <v>640</v>
      </c>
      <c r="F111" s="245" t="s">
        <v>5275</v>
      </c>
      <c r="G111" s="207" t="s">
        <v>5279</v>
      </c>
      <c r="H111" s="245" t="s">
        <v>21</v>
      </c>
      <c r="I111" s="301" t="s">
        <v>31</v>
      </c>
      <c r="J111" s="245" t="s">
        <v>22</v>
      </c>
      <c r="K111" s="302" t="s">
        <v>5279</v>
      </c>
      <c r="L111" s="165" t="s">
        <v>5280</v>
      </c>
      <c r="M111" s="158" t="s">
        <v>5477</v>
      </c>
      <c r="N111" s="196"/>
      <c r="O111" s="155"/>
      <c r="P111" s="284"/>
      <c r="Q111" s="284"/>
      <c r="R111" s="284"/>
      <c r="S111" s="284"/>
      <c r="T111" s="284"/>
      <c r="U111" s="284"/>
      <c r="V111" s="284"/>
      <c r="W111" s="284"/>
      <c r="X111" s="284"/>
      <c r="Y111" s="284"/>
      <c r="Z111" s="284"/>
    </row>
    <row r="112" ht="22.5" customHeight="1">
      <c r="A112" s="285" t="s">
        <v>637</v>
      </c>
      <c r="B112" s="159" t="s">
        <v>5478</v>
      </c>
      <c r="C112" s="342" t="s">
        <v>49</v>
      </c>
      <c r="D112" s="287" t="s">
        <v>5274</v>
      </c>
      <c r="E112" s="204" t="s">
        <v>640</v>
      </c>
      <c r="F112" s="344" t="s">
        <v>5275</v>
      </c>
      <c r="G112" s="204" t="s">
        <v>5279</v>
      </c>
      <c r="H112" s="344" t="s">
        <v>21</v>
      </c>
      <c r="I112" s="297" t="s">
        <v>31</v>
      </c>
      <c r="J112" s="344" t="s">
        <v>22</v>
      </c>
      <c r="K112" s="298" t="s">
        <v>5279</v>
      </c>
      <c r="L112" s="173" t="s">
        <v>5280</v>
      </c>
      <c r="M112" s="159" t="s">
        <v>5479</v>
      </c>
      <c r="N112" s="197"/>
      <c r="O112" s="147"/>
      <c r="P112" s="284"/>
      <c r="Q112" s="284"/>
      <c r="R112" s="284"/>
      <c r="S112" s="284"/>
      <c r="T112" s="284"/>
      <c r="U112" s="284"/>
      <c r="V112" s="284"/>
      <c r="W112" s="284"/>
      <c r="X112" s="284"/>
      <c r="Y112" s="284"/>
      <c r="Z112" s="284"/>
    </row>
    <row r="113" ht="22.5" customHeight="1">
      <c r="A113" s="291" t="s">
        <v>637</v>
      </c>
      <c r="B113" s="158" t="s">
        <v>5480</v>
      </c>
      <c r="C113" s="350" t="s">
        <v>40</v>
      </c>
      <c r="D113" s="315" t="s">
        <v>5274</v>
      </c>
      <c r="E113" s="207" t="s">
        <v>640</v>
      </c>
      <c r="F113" s="245" t="s">
        <v>5275</v>
      </c>
      <c r="G113" s="207" t="s">
        <v>5279</v>
      </c>
      <c r="H113" s="245" t="s">
        <v>21</v>
      </c>
      <c r="I113" s="301" t="s">
        <v>31</v>
      </c>
      <c r="J113" s="245" t="s">
        <v>22</v>
      </c>
      <c r="K113" s="302" t="s">
        <v>5279</v>
      </c>
      <c r="L113" s="165" t="s">
        <v>5280</v>
      </c>
      <c r="M113" s="158" t="s">
        <v>5481</v>
      </c>
      <c r="N113" s="196"/>
      <c r="O113" s="155"/>
      <c r="P113" s="284"/>
      <c r="Q113" s="284"/>
      <c r="R113" s="284"/>
      <c r="S113" s="284"/>
      <c r="T113" s="284"/>
      <c r="U113" s="284"/>
      <c r="V113" s="284"/>
      <c r="W113" s="284"/>
      <c r="X113" s="284"/>
      <c r="Y113" s="284"/>
      <c r="Z113" s="284"/>
    </row>
    <row r="114" ht="22.5" customHeight="1">
      <c r="A114" s="285" t="s">
        <v>637</v>
      </c>
      <c r="B114" s="159" t="s">
        <v>5482</v>
      </c>
      <c r="C114" s="349" t="s">
        <v>40</v>
      </c>
      <c r="D114" s="287" t="s">
        <v>5274</v>
      </c>
      <c r="E114" s="204" t="s">
        <v>640</v>
      </c>
      <c r="F114" s="344" t="s">
        <v>5275</v>
      </c>
      <c r="G114" s="204" t="s">
        <v>5279</v>
      </c>
      <c r="H114" s="344" t="s">
        <v>21</v>
      </c>
      <c r="I114" s="288" t="s">
        <v>19</v>
      </c>
      <c r="J114" s="344" t="s">
        <v>22</v>
      </c>
      <c r="K114" s="298" t="s">
        <v>5279</v>
      </c>
      <c r="L114" s="332" t="s">
        <v>5271</v>
      </c>
      <c r="M114" s="159" t="s">
        <v>38</v>
      </c>
      <c r="N114" s="197"/>
      <c r="O114" s="147"/>
      <c r="P114" s="284"/>
      <c r="Q114" s="284"/>
      <c r="R114" s="284"/>
      <c r="S114" s="284"/>
      <c r="T114" s="284"/>
      <c r="U114" s="284"/>
      <c r="V114" s="284"/>
      <c r="W114" s="284"/>
      <c r="X114" s="284"/>
      <c r="Y114" s="284"/>
      <c r="Z114" s="284"/>
    </row>
    <row r="115" ht="22.5" customHeight="1">
      <c r="A115" s="291" t="s">
        <v>637</v>
      </c>
      <c r="B115" s="158" t="s">
        <v>5483</v>
      </c>
      <c r="C115" s="348" t="s">
        <v>40</v>
      </c>
      <c r="D115" s="315" t="s">
        <v>5274</v>
      </c>
      <c r="E115" s="207" t="s">
        <v>640</v>
      </c>
      <c r="F115" s="245" t="s">
        <v>5275</v>
      </c>
      <c r="G115" s="207" t="s">
        <v>5279</v>
      </c>
      <c r="H115" s="245" t="s">
        <v>21</v>
      </c>
      <c r="I115" s="306" t="s">
        <v>19</v>
      </c>
      <c r="J115" s="245" t="s">
        <v>22</v>
      </c>
      <c r="K115" s="302" t="s">
        <v>5279</v>
      </c>
      <c r="L115" s="320" t="s">
        <v>5271</v>
      </c>
      <c r="M115" s="196"/>
      <c r="N115" s="196"/>
      <c r="O115" s="155"/>
      <c r="P115" s="284"/>
      <c r="Q115" s="284"/>
      <c r="R115" s="284"/>
      <c r="S115" s="284"/>
      <c r="T115" s="284"/>
      <c r="U115" s="284"/>
      <c r="V115" s="284"/>
      <c r="W115" s="284"/>
      <c r="X115" s="284"/>
      <c r="Y115" s="284"/>
      <c r="Z115" s="284"/>
    </row>
    <row r="116" ht="22.5" customHeight="1">
      <c r="A116" s="285" t="s">
        <v>5484</v>
      </c>
      <c r="B116" s="159" t="s">
        <v>5485</v>
      </c>
      <c r="C116" s="349" t="s">
        <v>40</v>
      </c>
      <c r="D116" s="287" t="s">
        <v>5274</v>
      </c>
      <c r="E116" s="204" t="s">
        <v>640</v>
      </c>
      <c r="F116" s="344" t="s">
        <v>5275</v>
      </c>
      <c r="G116" s="204" t="s">
        <v>5279</v>
      </c>
      <c r="H116" s="344" t="s">
        <v>21</v>
      </c>
      <c r="I116" s="297" t="s">
        <v>31</v>
      </c>
      <c r="J116" s="344" t="s">
        <v>22</v>
      </c>
      <c r="K116" s="298" t="s">
        <v>5279</v>
      </c>
      <c r="L116" s="173" t="s">
        <v>5280</v>
      </c>
      <c r="M116" s="159" t="s">
        <v>5481</v>
      </c>
      <c r="N116" s="197"/>
      <c r="O116" s="147"/>
      <c r="P116" s="284"/>
      <c r="Q116" s="284"/>
      <c r="R116" s="284"/>
      <c r="S116" s="284"/>
      <c r="T116" s="284"/>
      <c r="U116" s="284"/>
      <c r="V116" s="284"/>
      <c r="W116" s="284"/>
      <c r="X116" s="284"/>
      <c r="Y116" s="284"/>
      <c r="Z116" s="284"/>
    </row>
    <row r="117" ht="22.5" customHeight="1">
      <c r="A117" s="291" t="s">
        <v>637</v>
      </c>
      <c r="B117" s="158" t="s">
        <v>5486</v>
      </c>
      <c r="C117" s="350" t="s">
        <v>40</v>
      </c>
      <c r="D117" s="315" t="s">
        <v>5274</v>
      </c>
      <c r="E117" s="207" t="s">
        <v>640</v>
      </c>
      <c r="F117" s="245" t="s">
        <v>5275</v>
      </c>
      <c r="G117" s="207" t="s">
        <v>5279</v>
      </c>
      <c r="H117" s="245" t="s">
        <v>21</v>
      </c>
      <c r="I117" s="306" t="s">
        <v>19</v>
      </c>
      <c r="J117" s="245" t="s">
        <v>22</v>
      </c>
      <c r="K117" s="302" t="s">
        <v>5279</v>
      </c>
      <c r="L117" s="320" t="s">
        <v>5271</v>
      </c>
      <c r="M117" s="196"/>
      <c r="N117" s="196"/>
      <c r="O117" s="155"/>
      <c r="P117" s="284"/>
      <c r="Q117" s="284"/>
      <c r="R117" s="284"/>
      <c r="S117" s="284"/>
      <c r="T117" s="284"/>
      <c r="U117" s="284"/>
      <c r="V117" s="284"/>
      <c r="W117" s="284"/>
      <c r="X117" s="284"/>
      <c r="Y117" s="284"/>
      <c r="Z117" s="284"/>
    </row>
    <row r="118" ht="22.5" customHeight="1">
      <c r="A118" s="285" t="s">
        <v>5487</v>
      </c>
      <c r="B118" s="159" t="s">
        <v>5488</v>
      </c>
      <c r="C118" s="349" t="s">
        <v>40</v>
      </c>
      <c r="D118" s="287" t="s">
        <v>5274</v>
      </c>
      <c r="E118" s="204" t="s">
        <v>640</v>
      </c>
      <c r="F118" s="344" t="s">
        <v>5275</v>
      </c>
      <c r="G118" s="204" t="s">
        <v>5279</v>
      </c>
      <c r="H118" s="344" t="s">
        <v>21</v>
      </c>
      <c r="I118" s="288" t="s">
        <v>19</v>
      </c>
      <c r="J118" s="344" t="s">
        <v>22</v>
      </c>
      <c r="K118" s="298" t="s">
        <v>5279</v>
      </c>
      <c r="L118" s="332" t="s">
        <v>5271</v>
      </c>
      <c r="M118" s="159" t="s">
        <v>38</v>
      </c>
      <c r="N118" s="197"/>
      <c r="O118" s="147"/>
      <c r="P118" s="284"/>
      <c r="Q118" s="284"/>
      <c r="R118" s="284"/>
      <c r="S118" s="284"/>
      <c r="T118" s="284"/>
      <c r="U118" s="284"/>
      <c r="V118" s="284"/>
      <c r="W118" s="284"/>
      <c r="X118" s="284"/>
      <c r="Y118" s="284"/>
      <c r="Z118" s="284"/>
    </row>
    <row r="119" ht="22.5" customHeight="1">
      <c r="A119" s="299" t="s">
        <v>637</v>
      </c>
      <c r="B119" s="158" t="s">
        <v>5489</v>
      </c>
      <c r="C119" s="348" t="s">
        <v>40</v>
      </c>
      <c r="D119" s="315" t="s">
        <v>5274</v>
      </c>
      <c r="E119" s="207" t="s">
        <v>640</v>
      </c>
      <c r="F119" s="245" t="s">
        <v>5275</v>
      </c>
      <c r="G119" s="207" t="s">
        <v>5279</v>
      </c>
      <c r="H119" s="245" t="s">
        <v>21</v>
      </c>
      <c r="I119" s="301" t="s">
        <v>31</v>
      </c>
      <c r="J119" s="245" t="s">
        <v>22</v>
      </c>
      <c r="K119" s="302" t="s">
        <v>5279</v>
      </c>
      <c r="L119" s="165" t="s">
        <v>5280</v>
      </c>
      <c r="M119" s="158" t="s">
        <v>5490</v>
      </c>
      <c r="N119" s="196"/>
      <c r="O119" s="155"/>
      <c r="P119" s="284"/>
      <c r="Q119" s="284"/>
      <c r="R119" s="284"/>
      <c r="S119" s="284"/>
      <c r="T119" s="284"/>
      <c r="U119" s="284"/>
      <c r="V119" s="284"/>
      <c r="W119" s="284"/>
      <c r="X119" s="284"/>
      <c r="Y119" s="284"/>
      <c r="Z119" s="284"/>
    </row>
    <row r="120" ht="22.5" customHeight="1">
      <c r="A120" s="285" t="s">
        <v>637</v>
      </c>
      <c r="B120" s="159" t="s">
        <v>5491</v>
      </c>
      <c r="C120" s="169" t="s">
        <v>49</v>
      </c>
      <c r="D120" s="287" t="s">
        <v>5274</v>
      </c>
      <c r="E120" s="204" t="s">
        <v>640</v>
      </c>
      <c r="F120" s="343" t="s">
        <v>5275</v>
      </c>
      <c r="G120" s="204" t="s">
        <v>5279</v>
      </c>
      <c r="H120" s="344" t="s">
        <v>21</v>
      </c>
      <c r="I120" s="297" t="s">
        <v>31</v>
      </c>
      <c r="J120" s="344" t="s">
        <v>22</v>
      </c>
      <c r="K120" s="204" t="s">
        <v>5279</v>
      </c>
      <c r="L120" s="173" t="s">
        <v>5280</v>
      </c>
      <c r="M120" s="159" t="s">
        <v>135</v>
      </c>
      <c r="N120" s="197"/>
      <c r="O120" s="351" t="s">
        <v>4553</v>
      </c>
      <c r="P120" s="284"/>
      <c r="Q120" s="284"/>
      <c r="R120" s="284"/>
      <c r="S120" s="284"/>
      <c r="T120" s="284"/>
      <c r="U120" s="284"/>
      <c r="V120" s="284"/>
      <c r="W120" s="284"/>
      <c r="X120" s="284"/>
      <c r="Y120" s="284"/>
      <c r="Z120" s="284"/>
    </row>
    <row r="121" ht="22.5" customHeight="1">
      <c r="A121" s="352" t="s">
        <v>637</v>
      </c>
      <c r="B121" s="334" t="s">
        <v>5492</v>
      </c>
      <c r="C121" s="353" t="s">
        <v>5416</v>
      </c>
      <c r="D121" s="315" t="s">
        <v>5274</v>
      </c>
      <c r="E121" s="337" t="s">
        <v>31</v>
      </c>
      <c r="F121" s="245" t="s">
        <v>5275</v>
      </c>
      <c r="G121" s="336" t="s">
        <v>5279</v>
      </c>
      <c r="H121" s="341" t="s">
        <v>21</v>
      </c>
      <c r="I121" s="336" t="s">
        <v>5279</v>
      </c>
      <c r="J121" s="341" t="s">
        <v>22</v>
      </c>
      <c r="K121" s="336" t="s">
        <v>5279</v>
      </c>
      <c r="L121" s="339" t="s">
        <v>5280</v>
      </c>
      <c r="M121" s="334" t="s">
        <v>5493</v>
      </c>
      <c r="N121" s="196"/>
      <c r="O121" s="155"/>
      <c r="P121" s="284"/>
      <c r="Q121" s="284"/>
      <c r="R121" s="284"/>
      <c r="S121" s="284"/>
      <c r="T121" s="284"/>
      <c r="U121" s="284"/>
      <c r="V121" s="284"/>
      <c r="W121" s="284"/>
      <c r="X121" s="284"/>
      <c r="Y121" s="284"/>
      <c r="Z121" s="284"/>
    </row>
    <row r="122" ht="22.5" customHeight="1">
      <c r="A122" s="354" t="s">
        <v>5494</v>
      </c>
      <c r="B122" s="159" t="s">
        <v>5495</v>
      </c>
      <c r="C122" s="323" t="s">
        <v>17</v>
      </c>
      <c r="D122" s="287" t="s">
        <v>5274</v>
      </c>
      <c r="E122" s="288" t="s">
        <v>19</v>
      </c>
      <c r="F122" s="321" t="s">
        <v>5275</v>
      </c>
      <c r="G122" s="288" t="s">
        <v>19</v>
      </c>
      <c r="H122" s="289" t="s">
        <v>21</v>
      </c>
      <c r="I122" s="288" t="s">
        <v>19</v>
      </c>
      <c r="J122" s="289" t="s">
        <v>22</v>
      </c>
      <c r="K122" s="290" t="s">
        <v>19</v>
      </c>
      <c r="L122" s="247" t="s">
        <v>5276</v>
      </c>
      <c r="M122" s="159" t="s">
        <v>5277</v>
      </c>
      <c r="N122" s="197"/>
      <c r="O122" s="147"/>
      <c r="P122" s="284"/>
      <c r="Q122" s="284"/>
      <c r="R122" s="284"/>
      <c r="S122" s="284"/>
      <c r="T122" s="284"/>
      <c r="U122" s="284"/>
      <c r="V122" s="284"/>
      <c r="W122" s="284"/>
      <c r="X122" s="284"/>
      <c r="Y122" s="284"/>
      <c r="Z122" s="284"/>
    </row>
    <row r="123" ht="22.5" customHeight="1">
      <c r="A123" s="291" t="s">
        <v>5496</v>
      </c>
      <c r="B123" s="158" t="s">
        <v>5497</v>
      </c>
      <c r="C123" s="314" t="s">
        <v>49</v>
      </c>
      <c r="D123" s="315" t="s">
        <v>5274</v>
      </c>
      <c r="E123" s="301" t="s">
        <v>31</v>
      </c>
      <c r="F123" s="316" t="s">
        <v>5275</v>
      </c>
      <c r="G123" s="207" t="s">
        <v>5279</v>
      </c>
      <c r="H123" s="294" t="s">
        <v>21</v>
      </c>
      <c r="I123" s="207" t="s">
        <v>5279</v>
      </c>
      <c r="J123" s="294" t="s">
        <v>22</v>
      </c>
      <c r="K123" s="302" t="s">
        <v>5279</v>
      </c>
      <c r="L123" s="165" t="s">
        <v>5280</v>
      </c>
      <c r="M123" s="158" t="s">
        <v>135</v>
      </c>
      <c r="N123" s="196"/>
      <c r="O123" s="155"/>
      <c r="P123" s="284"/>
      <c r="Q123" s="284"/>
      <c r="R123" s="284"/>
      <c r="S123" s="284"/>
      <c r="T123" s="284"/>
      <c r="U123" s="284"/>
      <c r="V123" s="284"/>
      <c r="W123" s="284"/>
      <c r="X123" s="284"/>
      <c r="Y123" s="284"/>
      <c r="Z123" s="284"/>
    </row>
    <row r="124" ht="22.5" customHeight="1">
      <c r="A124" s="285" t="s">
        <v>5330</v>
      </c>
      <c r="B124" s="159" t="s">
        <v>5498</v>
      </c>
      <c r="C124" s="317" t="s">
        <v>49</v>
      </c>
      <c r="D124" s="287" t="s">
        <v>5274</v>
      </c>
      <c r="E124" s="204" t="s">
        <v>640</v>
      </c>
      <c r="F124" s="321" t="s">
        <v>5275</v>
      </c>
      <c r="G124" s="297" t="s">
        <v>31</v>
      </c>
      <c r="H124" s="289" t="s">
        <v>21</v>
      </c>
      <c r="I124" s="204" t="s">
        <v>5279</v>
      </c>
      <c r="J124" s="289" t="s">
        <v>22</v>
      </c>
      <c r="K124" s="298" t="s">
        <v>5279</v>
      </c>
      <c r="L124" s="173" t="s">
        <v>5280</v>
      </c>
      <c r="M124" s="159" t="s">
        <v>135</v>
      </c>
      <c r="N124" s="197"/>
      <c r="O124" s="147"/>
      <c r="P124" s="284"/>
      <c r="Q124" s="284"/>
      <c r="R124" s="284"/>
      <c r="S124" s="284"/>
      <c r="T124" s="284"/>
      <c r="U124" s="284"/>
      <c r="V124" s="284"/>
      <c r="W124" s="284"/>
      <c r="X124" s="284"/>
      <c r="Y124" s="284"/>
      <c r="Z124" s="284"/>
    </row>
    <row r="125" ht="22.5" customHeight="1">
      <c r="A125" s="299" t="s">
        <v>5330</v>
      </c>
      <c r="B125" s="158" t="s">
        <v>5499</v>
      </c>
      <c r="C125" s="318" t="s">
        <v>40</v>
      </c>
      <c r="D125" s="315" t="s">
        <v>5274</v>
      </c>
      <c r="E125" s="207" t="s">
        <v>640</v>
      </c>
      <c r="F125" s="316" t="s">
        <v>5275</v>
      </c>
      <c r="G125" s="301" t="s">
        <v>31</v>
      </c>
      <c r="H125" s="294" t="s">
        <v>21</v>
      </c>
      <c r="I125" s="207" t="s">
        <v>5279</v>
      </c>
      <c r="J125" s="294" t="s">
        <v>22</v>
      </c>
      <c r="K125" s="302" t="s">
        <v>5279</v>
      </c>
      <c r="L125" s="165" t="s">
        <v>5280</v>
      </c>
      <c r="M125" s="196"/>
      <c r="N125" s="196"/>
      <c r="O125" s="155"/>
      <c r="P125" s="284"/>
      <c r="Q125" s="284"/>
      <c r="R125" s="284"/>
      <c r="S125" s="284"/>
      <c r="T125" s="284"/>
      <c r="U125" s="284"/>
      <c r="V125" s="284"/>
      <c r="W125" s="284"/>
      <c r="X125" s="284"/>
      <c r="Y125" s="284"/>
      <c r="Z125" s="284"/>
    </row>
    <row r="126" ht="22.5" customHeight="1">
      <c r="A126" s="285" t="s">
        <v>5330</v>
      </c>
      <c r="B126" s="159" t="s">
        <v>5500</v>
      </c>
      <c r="C126" s="323" t="s">
        <v>17</v>
      </c>
      <c r="D126" s="287" t="s">
        <v>5274</v>
      </c>
      <c r="E126" s="288" t="s">
        <v>19</v>
      </c>
      <c r="F126" s="321" t="s">
        <v>5275</v>
      </c>
      <c r="G126" s="288" t="s">
        <v>19</v>
      </c>
      <c r="H126" s="289" t="s">
        <v>21</v>
      </c>
      <c r="I126" s="288" t="s">
        <v>19</v>
      </c>
      <c r="J126" s="289" t="s">
        <v>22</v>
      </c>
      <c r="K126" s="290" t="s">
        <v>19</v>
      </c>
      <c r="L126" s="247" t="s">
        <v>5276</v>
      </c>
      <c r="M126" s="159" t="s">
        <v>5277</v>
      </c>
      <c r="N126" s="197"/>
      <c r="O126" s="147"/>
      <c r="P126" s="284"/>
      <c r="Q126" s="284"/>
      <c r="R126" s="284"/>
      <c r="S126" s="284"/>
      <c r="T126" s="284"/>
      <c r="U126" s="284"/>
      <c r="V126" s="284"/>
      <c r="W126" s="284"/>
      <c r="X126" s="284"/>
      <c r="Y126" s="284"/>
      <c r="Z126" s="284"/>
    </row>
    <row r="127" ht="22.5" customHeight="1">
      <c r="A127" s="305" t="s">
        <v>5501</v>
      </c>
      <c r="B127" s="158" t="s">
        <v>5502</v>
      </c>
      <c r="C127" s="322" t="s">
        <v>17</v>
      </c>
      <c r="D127" s="315" t="s">
        <v>5274</v>
      </c>
      <c r="E127" s="306" t="s">
        <v>19</v>
      </c>
      <c r="F127" s="316" t="s">
        <v>5275</v>
      </c>
      <c r="G127" s="306" t="s">
        <v>19</v>
      </c>
      <c r="H127" s="294" t="s">
        <v>21</v>
      </c>
      <c r="I127" s="306" t="s">
        <v>19</v>
      </c>
      <c r="J127" s="294" t="s">
        <v>22</v>
      </c>
      <c r="K127" s="302" t="s">
        <v>5279</v>
      </c>
      <c r="L127" s="248" t="s">
        <v>5276</v>
      </c>
      <c r="M127" s="158" t="s">
        <v>5277</v>
      </c>
      <c r="N127" s="196"/>
      <c r="O127" s="155"/>
      <c r="P127" s="284"/>
      <c r="Q127" s="284"/>
      <c r="R127" s="284"/>
      <c r="S127" s="284"/>
      <c r="T127" s="284"/>
      <c r="U127" s="284"/>
      <c r="V127" s="284"/>
      <c r="W127" s="284"/>
      <c r="X127" s="284"/>
      <c r="Y127" s="284"/>
      <c r="Z127" s="284"/>
    </row>
    <row r="128" ht="22.5" customHeight="1">
      <c r="A128" s="285" t="s">
        <v>5503</v>
      </c>
      <c r="B128" s="159" t="s">
        <v>5504</v>
      </c>
      <c r="C128" s="319" t="s">
        <v>40</v>
      </c>
      <c r="D128" s="287" t="s">
        <v>5274</v>
      </c>
      <c r="E128" s="204" t="s">
        <v>640</v>
      </c>
      <c r="F128" s="321" t="s">
        <v>5275</v>
      </c>
      <c r="G128" s="204" t="s">
        <v>5279</v>
      </c>
      <c r="H128" s="289" t="s">
        <v>21</v>
      </c>
      <c r="I128" s="297" t="s">
        <v>31</v>
      </c>
      <c r="J128" s="289" t="s">
        <v>22</v>
      </c>
      <c r="K128" s="298" t="s">
        <v>5279</v>
      </c>
      <c r="L128" s="173" t="s">
        <v>5280</v>
      </c>
      <c r="M128" s="159" t="s">
        <v>5505</v>
      </c>
      <c r="N128" s="197"/>
      <c r="O128" s="147"/>
      <c r="P128" s="284"/>
      <c r="Q128" s="284"/>
      <c r="R128" s="284"/>
      <c r="S128" s="284"/>
      <c r="T128" s="284"/>
      <c r="U128" s="284"/>
      <c r="V128" s="284"/>
      <c r="W128" s="284"/>
      <c r="X128" s="284"/>
      <c r="Y128" s="284"/>
      <c r="Z128" s="284"/>
    </row>
    <row r="129" ht="22.5" customHeight="1">
      <c r="A129" s="291" t="s">
        <v>5506</v>
      </c>
      <c r="B129" s="158" t="s">
        <v>5507</v>
      </c>
      <c r="C129" s="314" t="s">
        <v>49</v>
      </c>
      <c r="D129" s="315" t="s">
        <v>5274</v>
      </c>
      <c r="E129" s="207" t="s">
        <v>640</v>
      </c>
      <c r="F129" s="316" t="s">
        <v>5275</v>
      </c>
      <c r="G129" s="207" t="s">
        <v>5279</v>
      </c>
      <c r="H129" s="294" t="s">
        <v>21</v>
      </c>
      <c r="I129" s="301" t="s">
        <v>31</v>
      </c>
      <c r="J129" s="294" t="s">
        <v>22</v>
      </c>
      <c r="K129" s="302" t="s">
        <v>5279</v>
      </c>
      <c r="L129" s="165" t="s">
        <v>5280</v>
      </c>
      <c r="M129" s="158" t="s">
        <v>5477</v>
      </c>
      <c r="N129" s="196"/>
      <c r="O129" s="155"/>
      <c r="P129" s="284"/>
      <c r="Q129" s="284"/>
      <c r="R129" s="284"/>
      <c r="S129" s="284"/>
      <c r="T129" s="284"/>
      <c r="U129" s="284"/>
      <c r="V129" s="284"/>
      <c r="W129" s="284"/>
      <c r="X129" s="284"/>
      <c r="Y129" s="284"/>
      <c r="Z129" s="284"/>
    </row>
    <row r="130" ht="22.5" customHeight="1">
      <c r="A130" s="285" t="s">
        <v>5508</v>
      </c>
      <c r="B130" s="159" t="s">
        <v>5509</v>
      </c>
      <c r="C130" s="317" t="s">
        <v>49</v>
      </c>
      <c r="D130" s="287" t="s">
        <v>5274</v>
      </c>
      <c r="E130" s="288" t="s">
        <v>19</v>
      </c>
      <c r="F130" s="321" t="s">
        <v>5275</v>
      </c>
      <c r="G130" s="288" t="s">
        <v>19</v>
      </c>
      <c r="H130" s="289" t="s">
        <v>21</v>
      </c>
      <c r="I130" s="288" t="s">
        <v>19</v>
      </c>
      <c r="J130" s="289" t="s">
        <v>22</v>
      </c>
      <c r="K130" s="304" t="s">
        <v>31</v>
      </c>
      <c r="L130" s="173" t="s">
        <v>5280</v>
      </c>
      <c r="M130" s="159" t="s">
        <v>5401</v>
      </c>
      <c r="N130" s="197"/>
      <c r="O130" s="147"/>
      <c r="P130" s="284"/>
      <c r="Q130" s="284"/>
      <c r="R130" s="284"/>
      <c r="S130" s="284"/>
      <c r="T130" s="284"/>
      <c r="U130" s="284"/>
      <c r="V130" s="284"/>
      <c r="W130" s="284"/>
      <c r="X130" s="284"/>
      <c r="Y130" s="284"/>
      <c r="Z130" s="284"/>
    </row>
    <row r="131" ht="22.5" customHeight="1">
      <c r="A131" s="305" t="s">
        <v>4132</v>
      </c>
      <c r="B131" s="158" t="s">
        <v>5510</v>
      </c>
      <c r="C131" s="318" t="s">
        <v>40</v>
      </c>
      <c r="D131" s="315" t="s">
        <v>5274</v>
      </c>
      <c r="E131" s="301" t="s">
        <v>31</v>
      </c>
      <c r="F131" s="316" t="s">
        <v>5275</v>
      </c>
      <c r="G131" s="207" t="s">
        <v>5279</v>
      </c>
      <c r="H131" s="294" t="s">
        <v>21</v>
      </c>
      <c r="I131" s="306" t="s">
        <v>19</v>
      </c>
      <c r="J131" s="294" t="s">
        <v>22</v>
      </c>
      <c r="K131" s="302" t="s">
        <v>5279</v>
      </c>
      <c r="L131" s="165" t="s">
        <v>5280</v>
      </c>
      <c r="M131" s="158" t="s">
        <v>5511</v>
      </c>
      <c r="N131" s="196"/>
      <c r="O131" s="155"/>
      <c r="P131" s="284"/>
      <c r="Q131" s="284"/>
      <c r="R131" s="284"/>
      <c r="S131" s="284"/>
      <c r="T131" s="284"/>
      <c r="U131" s="284"/>
      <c r="V131" s="284"/>
      <c r="W131" s="284"/>
      <c r="X131" s="284"/>
      <c r="Y131" s="284"/>
      <c r="Z131" s="284"/>
    </row>
    <row r="132" ht="22.5" customHeight="1">
      <c r="A132" s="303" t="s">
        <v>5512</v>
      </c>
      <c r="B132" s="159" t="s">
        <v>5513</v>
      </c>
      <c r="C132" s="319" t="s">
        <v>40</v>
      </c>
      <c r="D132" s="287" t="s">
        <v>5274</v>
      </c>
      <c r="E132" s="204" t="s">
        <v>640</v>
      </c>
      <c r="F132" s="321" t="s">
        <v>5275</v>
      </c>
      <c r="G132" s="204" t="s">
        <v>5279</v>
      </c>
      <c r="H132" s="289" t="s">
        <v>21</v>
      </c>
      <c r="I132" s="297" t="s">
        <v>31</v>
      </c>
      <c r="J132" s="289" t="s">
        <v>22</v>
      </c>
      <c r="K132" s="298" t="s">
        <v>5279</v>
      </c>
      <c r="L132" s="173" t="s">
        <v>5280</v>
      </c>
      <c r="M132" s="197"/>
      <c r="N132" s="197"/>
      <c r="O132" s="147"/>
      <c r="P132" s="284"/>
      <c r="Q132" s="284"/>
      <c r="R132" s="284"/>
      <c r="S132" s="284"/>
      <c r="T132" s="284"/>
      <c r="U132" s="284"/>
      <c r="V132" s="284"/>
      <c r="W132" s="284"/>
      <c r="X132" s="284"/>
      <c r="Y132" s="284"/>
      <c r="Z132" s="284"/>
    </row>
    <row r="133" ht="22.5" customHeight="1">
      <c r="A133" s="291" t="s">
        <v>5514</v>
      </c>
      <c r="B133" s="158" t="s">
        <v>5515</v>
      </c>
      <c r="C133" s="314" t="s">
        <v>49</v>
      </c>
      <c r="D133" s="315" t="s">
        <v>5274</v>
      </c>
      <c r="E133" s="306" t="s">
        <v>19</v>
      </c>
      <c r="F133" s="316" t="s">
        <v>5275</v>
      </c>
      <c r="G133" s="301" t="s">
        <v>31</v>
      </c>
      <c r="H133" s="294" t="s">
        <v>21</v>
      </c>
      <c r="I133" s="306" t="s">
        <v>19</v>
      </c>
      <c r="J133" s="294" t="s">
        <v>22</v>
      </c>
      <c r="K133" s="302" t="s">
        <v>5279</v>
      </c>
      <c r="L133" s="165" t="s">
        <v>5280</v>
      </c>
      <c r="M133" s="158" t="s">
        <v>5401</v>
      </c>
      <c r="N133" s="196"/>
      <c r="O133" s="155"/>
      <c r="P133" s="284"/>
      <c r="Q133" s="284"/>
      <c r="R133" s="284"/>
      <c r="S133" s="284"/>
      <c r="T133" s="284"/>
      <c r="U133" s="284"/>
      <c r="V133" s="284"/>
      <c r="W133" s="284"/>
      <c r="X133" s="284"/>
      <c r="Y133" s="284"/>
      <c r="Z133" s="284"/>
    </row>
    <row r="134" ht="22.5" customHeight="1">
      <c r="A134" s="285" t="s">
        <v>5330</v>
      </c>
      <c r="B134" s="159" t="s">
        <v>5516</v>
      </c>
      <c r="C134" s="319" t="s">
        <v>40</v>
      </c>
      <c r="D134" s="287" t="s">
        <v>5274</v>
      </c>
      <c r="E134" s="297" t="s">
        <v>31</v>
      </c>
      <c r="F134" s="321" t="s">
        <v>5275</v>
      </c>
      <c r="G134" s="204" t="s">
        <v>5279</v>
      </c>
      <c r="H134" s="289" t="s">
        <v>21</v>
      </c>
      <c r="I134" s="204" t="s">
        <v>5279</v>
      </c>
      <c r="J134" s="289" t="s">
        <v>22</v>
      </c>
      <c r="K134" s="290" t="s">
        <v>19</v>
      </c>
      <c r="L134" s="173" t="s">
        <v>5280</v>
      </c>
      <c r="M134" s="197"/>
      <c r="N134" s="197"/>
      <c r="O134" s="147"/>
      <c r="P134" s="284"/>
      <c r="Q134" s="284"/>
      <c r="R134" s="284"/>
      <c r="S134" s="284"/>
      <c r="T134" s="284"/>
      <c r="U134" s="284"/>
      <c r="V134" s="284"/>
      <c r="W134" s="284"/>
      <c r="X134" s="284"/>
      <c r="Y134" s="284"/>
      <c r="Z134" s="284"/>
    </row>
    <row r="135" ht="22.5" customHeight="1">
      <c r="A135" s="299" t="s">
        <v>5330</v>
      </c>
      <c r="B135" s="313" t="s">
        <v>5517</v>
      </c>
      <c r="C135" s="318" t="s">
        <v>40</v>
      </c>
      <c r="D135" s="315" t="s">
        <v>5274</v>
      </c>
      <c r="E135" s="207" t="s">
        <v>640</v>
      </c>
      <c r="F135" s="316" t="s">
        <v>5275</v>
      </c>
      <c r="G135" s="207" t="s">
        <v>5279</v>
      </c>
      <c r="H135" s="294" t="s">
        <v>21</v>
      </c>
      <c r="I135" s="207" t="s">
        <v>5279</v>
      </c>
      <c r="J135" s="294" t="s">
        <v>22</v>
      </c>
      <c r="K135" s="296" t="s">
        <v>31</v>
      </c>
      <c r="L135" s="165" t="s">
        <v>5280</v>
      </c>
      <c r="M135" s="158" t="s">
        <v>5518</v>
      </c>
      <c r="N135" s="196"/>
      <c r="O135" s="155"/>
      <c r="P135" s="284"/>
      <c r="Q135" s="284"/>
      <c r="R135" s="284"/>
      <c r="S135" s="284"/>
      <c r="T135" s="284"/>
      <c r="U135" s="284"/>
      <c r="V135" s="284"/>
      <c r="W135" s="284"/>
      <c r="X135" s="284"/>
      <c r="Y135" s="284"/>
      <c r="Z135" s="284"/>
    </row>
    <row r="136" ht="22.5" customHeight="1">
      <c r="A136" s="285" t="s">
        <v>5519</v>
      </c>
      <c r="B136" s="159" t="s">
        <v>5520</v>
      </c>
      <c r="C136" s="319" t="s">
        <v>40</v>
      </c>
      <c r="D136" s="287" t="s">
        <v>5274</v>
      </c>
      <c r="E136" s="204" t="s">
        <v>640</v>
      </c>
      <c r="F136" s="321" t="s">
        <v>5275</v>
      </c>
      <c r="G136" s="204" t="s">
        <v>5279</v>
      </c>
      <c r="H136" s="289" t="s">
        <v>21</v>
      </c>
      <c r="I136" s="204" t="s">
        <v>5279</v>
      </c>
      <c r="J136" s="289" t="s">
        <v>22</v>
      </c>
      <c r="K136" s="304" t="s">
        <v>31</v>
      </c>
      <c r="L136" s="173" t="s">
        <v>5280</v>
      </c>
      <c r="M136" s="159" t="s">
        <v>5521</v>
      </c>
      <c r="N136" s="197"/>
      <c r="O136" s="147"/>
      <c r="P136" s="284"/>
      <c r="Q136" s="284"/>
      <c r="R136" s="284"/>
      <c r="S136" s="284"/>
      <c r="T136" s="284"/>
      <c r="U136" s="284"/>
      <c r="V136" s="284"/>
      <c r="W136" s="284"/>
      <c r="X136" s="284"/>
      <c r="Y136" s="284"/>
      <c r="Z136" s="284"/>
    </row>
    <row r="137" ht="22.5" customHeight="1">
      <c r="A137" s="291" t="s">
        <v>5522</v>
      </c>
      <c r="B137" s="158" t="s">
        <v>5523</v>
      </c>
      <c r="C137" s="314" t="s">
        <v>49</v>
      </c>
      <c r="D137" s="315" t="s">
        <v>5274</v>
      </c>
      <c r="E137" s="306" t="s">
        <v>19</v>
      </c>
      <c r="F137" s="316" t="s">
        <v>5275</v>
      </c>
      <c r="G137" s="306" t="s">
        <v>19</v>
      </c>
      <c r="H137" s="294" t="s">
        <v>21</v>
      </c>
      <c r="I137" s="306" t="s">
        <v>19</v>
      </c>
      <c r="J137" s="294" t="s">
        <v>22</v>
      </c>
      <c r="K137" s="307" t="s">
        <v>19</v>
      </c>
      <c r="L137" s="248" t="s">
        <v>5276</v>
      </c>
      <c r="M137" s="158" t="s">
        <v>5277</v>
      </c>
      <c r="N137" s="196"/>
      <c r="O137" s="155"/>
      <c r="P137" s="284"/>
      <c r="Q137" s="284"/>
      <c r="R137" s="284"/>
      <c r="S137" s="284"/>
      <c r="T137" s="284"/>
      <c r="U137" s="284"/>
      <c r="V137" s="284"/>
      <c r="W137" s="284"/>
      <c r="X137" s="284"/>
      <c r="Y137" s="284"/>
      <c r="Z137" s="284"/>
    </row>
    <row r="138" ht="22.5" customHeight="1">
      <c r="A138" s="285" t="s">
        <v>5330</v>
      </c>
      <c r="B138" s="159" t="s">
        <v>5524</v>
      </c>
      <c r="C138" s="317" t="s">
        <v>49</v>
      </c>
      <c r="D138" s="287" t="s">
        <v>5274</v>
      </c>
      <c r="E138" s="204" t="s">
        <v>640</v>
      </c>
      <c r="F138" s="321" t="s">
        <v>5275</v>
      </c>
      <c r="G138" s="204" t="s">
        <v>5279</v>
      </c>
      <c r="H138" s="289" t="s">
        <v>21</v>
      </c>
      <c r="I138" s="204" t="s">
        <v>5279</v>
      </c>
      <c r="J138" s="289" t="s">
        <v>22</v>
      </c>
      <c r="K138" s="304" t="s">
        <v>31</v>
      </c>
      <c r="L138" s="173" t="s">
        <v>5280</v>
      </c>
      <c r="M138" s="159" t="s">
        <v>5525</v>
      </c>
      <c r="N138" s="197"/>
      <c r="O138" s="147"/>
      <c r="P138" s="284"/>
      <c r="Q138" s="284"/>
      <c r="R138" s="284"/>
      <c r="S138" s="284"/>
      <c r="T138" s="284"/>
      <c r="U138" s="284"/>
      <c r="V138" s="284"/>
      <c r="W138" s="284"/>
      <c r="X138" s="284"/>
      <c r="Y138" s="284"/>
      <c r="Z138" s="284"/>
    </row>
    <row r="139" ht="22.5" customHeight="1">
      <c r="A139" s="291" t="s">
        <v>5330</v>
      </c>
      <c r="B139" s="158" t="s">
        <v>5526</v>
      </c>
      <c r="C139" s="314" t="s">
        <v>49</v>
      </c>
      <c r="D139" s="315" t="s">
        <v>5274</v>
      </c>
      <c r="E139" s="207" t="s">
        <v>640</v>
      </c>
      <c r="F139" s="316" t="s">
        <v>5275</v>
      </c>
      <c r="G139" s="207" t="s">
        <v>5279</v>
      </c>
      <c r="H139" s="294" t="s">
        <v>21</v>
      </c>
      <c r="I139" s="207" t="s">
        <v>5279</v>
      </c>
      <c r="J139" s="294" t="s">
        <v>22</v>
      </c>
      <c r="K139" s="296" t="s">
        <v>31</v>
      </c>
      <c r="L139" s="165" t="s">
        <v>5280</v>
      </c>
      <c r="M139" s="158" t="s">
        <v>5479</v>
      </c>
      <c r="N139" s="196"/>
      <c r="O139" s="155"/>
      <c r="P139" s="284"/>
      <c r="Q139" s="284"/>
      <c r="R139" s="284"/>
      <c r="S139" s="284"/>
      <c r="T139" s="284"/>
      <c r="U139" s="284"/>
      <c r="V139" s="284"/>
      <c r="W139" s="284"/>
      <c r="X139" s="284"/>
      <c r="Y139" s="284"/>
      <c r="Z139" s="284"/>
    </row>
    <row r="140" ht="22.5" customHeight="1">
      <c r="A140" s="285" t="s">
        <v>3388</v>
      </c>
      <c r="B140" s="159" t="s">
        <v>5527</v>
      </c>
      <c r="C140" s="319" t="s">
        <v>40</v>
      </c>
      <c r="D140" s="287" t="s">
        <v>5274</v>
      </c>
      <c r="E140" s="204" t="s">
        <v>640</v>
      </c>
      <c r="F140" s="321" t="s">
        <v>5275</v>
      </c>
      <c r="G140" s="204" t="s">
        <v>5279</v>
      </c>
      <c r="H140" s="289" t="s">
        <v>21</v>
      </c>
      <c r="I140" s="204" t="s">
        <v>5279</v>
      </c>
      <c r="J140" s="289" t="s">
        <v>22</v>
      </c>
      <c r="K140" s="304" t="s">
        <v>31</v>
      </c>
      <c r="L140" s="173" t="s">
        <v>5280</v>
      </c>
      <c r="M140" s="159" t="s">
        <v>5528</v>
      </c>
      <c r="N140" s="197"/>
      <c r="O140" s="147"/>
      <c r="P140" s="284"/>
      <c r="Q140" s="284"/>
      <c r="R140" s="284"/>
      <c r="S140" s="284"/>
      <c r="T140" s="284"/>
      <c r="U140" s="284"/>
      <c r="V140" s="284"/>
      <c r="W140" s="284"/>
      <c r="X140" s="284"/>
      <c r="Y140" s="284"/>
      <c r="Z140" s="284"/>
    </row>
    <row r="141" ht="22.5" customHeight="1">
      <c r="A141" s="291" t="s">
        <v>5330</v>
      </c>
      <c r="B141" s="158" t="s">
        <v>5529</v>
      </c>
      <c r="C141" s="314" t="s">
        <v>49</v>
      </c>
      <c r="D141" s="315" t="s">
        <v>5274</v>
      </c>
      <c r="E141" s="207" t="s">
        <v>640</v>
      </c>
      <c r="F141" s="316" t="s">
        <v>5275</v>
      </c>
      <c r="G141" s="207" t="s">
        <v>5279</v>
      </c>
      <c r="H141" s="294" t="s">
        <v>21</v>
      </c>
      <c r="I141" s="207" t="s">
        <v>5279</v>
      </c>
      <c r="J141" s="294" t="s">
        <v>22</v>
      </c>
      <c r="K141" s="296" t="s">
        <v>31</v>
      </c>
      <c r="L141" s="165" t="s">
        <v>5280</v>
      </c>
      <c r="M141" s="158" t="s">
        <v>5479</v>
      </c>
      <c r="N141" s="196"/>
      <c r="O141" s="155"/>
      <c r="P141" s="284"/>
      <c r="Q141" s="284"/>
      <c r="R141" s="284"/>
      <c r="S141" s="284"/>
      <c r="T141" s="284"/>
      <c r="U141" s="284"/>
      <c r="V141" s="284"/>
      <c r="W141" s="284"/>
      <c r="X141" s="284"/>
      <c r="Y141" s="284"/>
      <c r="Z141" s="284"/>
    </row>
    <row r="142" ht="22.5" customHeight="1">
      <c r="A142" s="285" t="s">
        <v>5330</v>
      </c>
      <c r="B142" s="159" t="s">
        <v>5530</v>
      </c>
      <c r="C142" s="317" t="s">
        <v>49</v>
      </c>
      <c r="D142" s="287" t="s">
        <v>5274</v>
      </c>
      <c r="E142" s="288" t="s">
        <v>19</v>
      </c>
      <c r="F142" s="321" t="s">
        <v>5275</v>
      </c>
      <c r="G142" s="204" t="s">
        <v>5279</v>
      </c>
      <c r="H142" s="289" t="s">
        <v>21</v>
      </c>
      <c r="I142" s="297" t="s">
        <v>31</v>
      </c>
      <c r="J142" s="289" t="s">
        <v>22</v>
      </c>
      <c r="K142" s="290" t="s">
        <v>19</v>
      </c>
      <c r="L142" s="173" t="s">
        <v>5280</v>
      </c>
      <c r="M142" s="159" t="s">
        <v>5531</v>
      </c>
      <c r="N142" s="197"/>
      <c r="O142" s="147"/>
      <c r="P142" s="284"/>
      <c r="Q142" s="284"/>
      <c r="R142" s="284"/>
      <c r="S142" s="284"/>
      <c r="T142" s="284"/>
      <c r="U142" s="284"/>
      <c r="V142" s="284"/>
      <c r="W142" s="284"/>
      <c r="X142" s="284"/>
      <c r="Y142" s="284"/>
      <c r="Z142" s="284"/>
    </row>
    <row r="143" ht="22.5" customHeight="1">
      <c r="A143" s="324" t="s">
        <v>5330</v>
      </c>
      <c r="B143" s="158" t="s">
        <v>5532</v>
      </c>
      <c r="C143" s="322" t="s">
        <v>17</v>
      </c>
      <c r="D143" s="315" t="s">
        <v>5274</v>
      </c>
      <c r="E143" s="306" t="s">
        <v>19</v>
      </c>
      <c r="F143" s="316" t="s">
        <v>5275</v>
      </c>
      <c r="G143" s="306" t="s">
        <v>19</v>
      </c>
      <c r="H143" s="294" t="s">
        <v>21</v>
      </c>
      <c r="I143" s="306" t="s">
        <v>19</v>
      </c>
      <c r="J143" s="294" t="s">
        <v>22</v>
      </c>
      <c r="K143" s="307" t="s">
        <v>19</v>
      </c>
      <c r="L143" s="248" t="s">
        <v>5276</v>
      </c>
      <c r="M143" s="158" t="s">
        <v>5277</v>
      </c>
      <c r="N143" s="196"/>
      <c r="O143" s="155"/>
      <c r="P143" s="284"/>
      <c r="Q143" s="284"/>
      <c r="R143" s="284"/>
      <c r="S143" s="284"/>
      <c r="T143" s="284"/>
      <c r="U143" s="284"/>
      <c r="V143" s="284"/>
      <c r="W143" s="284"/>
      <c r="X143" s="284"/>
      <c r="Y143" s="284"/>
      <c r="Z143" s="284"/>
    </row>
    <row r="144" ht="22.5" customHeight="1">
      <c r="A144" s="303" t="s">
        <v>5533</v>
      </c>
      <c r="B144" s="162">
        <v>3.350482167E9</v>
      </c>
      <c r="C144" s="355" t="s">
        <v>5416</v>
      </c>
      <c r="D144" s="287" t="s">
        <v>5274</v>
      </c>
      <c r="E144" s="204" t="s">
        <v>640</v>
      </c>
      <c r="F144" s="321" t="s">
        <v>5275</v>
      </c>
      <c r="G144" s="204" t="s">
        <v>5279</v>
      </c>
      <c r="H144" s="289" t="s">
        <v>21</v>
      </c>
      <c r="I144" s="204" t="s">
        <v>5279</v>
      </c>
      <c r="J144" s="289" t="s">
        <v>22</v>
      </c>
      <c r="K144" s="304" t="s">
        <v>31</v>
      </c>
      <c r="L144" s="173" t="s">
        <v>5280</v>
      </c>
      <c r="M144" s="159" t="s">
        <v>5534</v>
      </c>
      <c r="N144" s="197"/>
      <c r="O144" s="147"/>
      <c r="P144" s="284"/>
      <c r="Q144" s="284"/>
      <c r="R144" s="284"/>
      <c r="S144" s="284"/>
      <c r="T144" s="284"/>
      <c r="U144" s="284"/>
      <c r="V144" s="284"/>
      <c r="W144" s="284"/>
      <c r="X144" s="284"/>
      <c r="Y144" s="284"/>
      <c r="Z144" s="284"/>
    </row>
    <row r="145" ht="22.5" customHeight="1">
      <c r="A145" s="309" t="s">
        <v>5535</v>
      </c>
      <c r="B145" s="158" t="s">
        <v>5536</v>
      </c>
      <c r="C145" s="356" t="s">
        <v>30</v>
      </c>
      <c r="D145" s="196"/>
      <c r="E145" s="301" t="s">
        <v>31</v>
      </c>
      <c r="F145" s="196"/>
      <c r="G145" s="207" t="s">
        <v>5279</v>
      </c>
      <c r="H145" s="158" t="s">
        <v>5537</v>
      </c>
      <c r="I145" s="207" t="s">
        <v>5279</v>
      </c>
      <c r="J145" s="158" t="s">
        <v>5538</v>
      </c>
      <c r="K145" s="207" t="s">
        <v>5279</v>
      </c>
      <c r="L145" s="165" t="s">
        <v>5280</v>
      </c>
      <c r="M145" s="158" t="s">
        <v>5539</v>
      </c>
      <c r="N145" s="196"/>
      <c r="O145" s="155"/>
      <c r="P145" s="284"/>
      <c r="Q145" s="284"/>
      <c r="R145" s="284"/>
      <c r="S145" s="284"/>
      <c r="T145" s="284"/>
      <c r="U145" s="284"/>
      <c r="V145" s="284"/>
      <c r="W145" s="284"/>
      <c r="X145" s="284"/>
      <c r="Y145" s="284"/>
      <c r="Z145" s="284"/>
    </row>
    <row r="146" ht="22.5" customHeight="1">
      <c r="A146" s="285" t="s">
        <v>5330</v>
      </c>
      <c r="B146" s="159" t="s">
        <v>5540</v>
      </c>
      <c r="C146" s="349" t="s">
        <v>40</v>
      </c>
      <c r="D146" s="197"/>
      <c r="E146" s="204" t="s">
        <v>640</v>
      </c>
      <c r="F146" s="197"/>
      <c r="G146" s="204" t="s">
        <v>5279</v>
      </c>
      <c r="H146" s="159" t="s">
        <v>5537</v>
      </c>
      <c r="I146" s="204" t="s">
        <v>5279</v>
      </c>
      <c r="J146" s="159" t="s">
        <v>5541</v>
      </c>
      <c r="K146" s="204" t="s">
        <v>5279</v>
      </c>
      <c r="L146" s="144"/>
      <c r="M146" s="197"/>
      <c r="N146" s="197"/>
      <c r="O146" s="147"/>
      <c r="P146" s="284"/>
      <c r="Q146" s="284"/>
      <c r="R146" s="284"/>
      <c r="S146" s="284"/>
      <c r="T146" s="284"/>
      <c r="U146" s="284"/>
      <c r="V146" s="284"/>
      <c r="W146" s="284"/>
      <c r="X146" s="284"/>
      <c r="Y146" s="284"/>
      <c r="Z146" s="284"/>
    </row>
    <row r="147" ht="22.5" customHeight="1">
      <c r="A147" s="291" t="s">
        <v>637</v>
      </c>
      <c r="B147" s="158" t="s">
        <v>5542</v>
      </c>
      <c r="C147" s="357" t="s">
        <v>17</v>
      </c>
      <c r="D147" s="315" t="s">
        <v>5274</v>
      </c>
      <c r="E147" s="306" t="s">
        <v>19</v>
      </c>
      <c r="F147" s="245" t="s">
        <v>5275</v>
      </c>
      <c r="G147" s="306" t="s">
        <v>19</v>
      </c>
      <c r="H147" s="341" t="s">
        <v>21</v>
      </c>
      <c r="I147" s="306" t="s">
        <v>19</v>
      </c>
      <c r="J147" s="341" t="s">
        <v>22</v>
      </c>
      <c r="K147" s="306" t="s">
        <v>19</v>
      </c>
      <c r="L147" s="248" t="s">
        <v>5276</v>
      </c>
      <c r="M147" s="158" t="s">
        <v>5277</v>
      </c>
      <c r="N147" s="196"/>
      <c r="O147" s="155"/>
      <c r="P147" s="284"/>
      <c r="Q147" s="284"/>
      <c r="R147" s="284"/>
      <c r="S147" s="284"/>
      <c r="T147" s="284"/>
      <c r="U147" s="284"/>
      <c r="V147" s="284"/>
      <c r="W147" s="284"/>
      <c r="X147" s="284"/>
      <c r="Y147" s="284"/>
      <c r="Z147" s="284"/>
    </row>
    <row r="148" ht="22.5" customHeight="1">
      <c r="A148" s="285" t="s">
        <v>637</v>
      </c>
      <c r="B148" s="286" t="s">
        <v>5543</v>
      </c>
      <c r="C148" s="216" t="s">
        <v>40</v>
      </c>
      <c r="D148" s="287" t="s">
        <v>5274</v>
      </c>
      <c r="E148" s="204" t="s">
        <v>640</v>
      </c>
      <c r="F148" s="289" t="s">
        <v>5275</v>
      </c>
      <c r="G148" s="204" t="s">
        <v>5279</v>
      </c>
      <c r="H148" s="289" t="s">
        <v>21</v>
      </c>
      <c r="I148" s="204" t="s">
        <v>5279</v>
      </c>
      <c r="J148" s="289" t="s">
        <v>22</v>
      </c>
      <c r="K148" s="304" t="s">
        <v>31</v>
      </c>
      <c r="L148" s="173" t="s">
        <v>5280</v>
      </c>
      <c r="M148" s="351" t="s">
        <v>5544</v>
      </c>
      <c r="N148" s="197"/>
      <c r="O148" s="147"/>
      <c r="P148" s="284"/>
      <c r="Q148" s="284"/>
      <c r="R148" s="284"/>
      <c r="S148" s="284"/>
      <c r="T148" s="284"/>
      <c r="U148" s="284"/>
      <c r="V148" s="284"/>
      <c r="W148" s="284"/>
      <c r="X148" s="284"/>
      <c r="Y148" s="284"/>
      <c r="Z148" s="284"/>
    </row>
    <row r="149" ht="22.5" customHeight="1">
      <c r="A149" s="291" t="s">
        <v>637</v>
      </c>
      <c r="B149" s="292" t="s">
        <v>5545</v>
      </c>
      <c r="C149" s="161" t="s">
        <v>49</v>
      </c>
      <c r="D149" s="315" t="s">
        <v>5274</v>
      </c>
      <c r="E149" s="207" t="s">
        <v>640</v>
      </c>
      <c r="F149" s="294" t="s">
        <v>5275</v>
      </c>
      <c r="G149" s="207" t="s">
        <v>5279</v>
      </c>
      <c r="H149" s="294" t="s">
        <v>21</v>
      </c>
      <c r="I149" s="207" t="s">
        <v>5279</v>
      </c>
      <c r="J149" s="294" t="s">
        <v>22</v>
      </c>
      <c r="K149" s="296" t="s">
        <v>31</v>
      </c>
      <c r="L149" s="165" t="s">
        <v>5280</v>
      </c>
      <c r="M149" s="157" t="s">
        <v>152</v>
      </c>
      <c r="N149" s="196"/>
      <c r="O149" s="155"/>
      <c r="P149" s="284"/>
      <c r="Q149" s="284"/>
      <c r="R149" s="284"/>
      <c r="S149" s="284"/>
      <c r="T149" s="284"/>
      <c r="U149" s="284"/>
      <c r="V149" s="284"/>
      <c r="W149" s="284"/>
      <c r="X149" s="284"/>
      <c r="Y149" s="284"/>
      <c r="Z149" s="284"/>
    </row>
    <row r="150" ht="22.5" customHeight="1">
      <c r="A150" s="285" t="s">
        <v>637</v>
      </c>
      <c r="B150" s="286" t="s">
        <v>5546</v>
      </c>
      <c r="C150" s="216" t="s">
        <v>40</v>
      </c>
      <c r="D150" s="287" t="s">
        <v>5274</v>
      </c>
      <c r="E150" s="204" t="s">
        <v>640</v>
      </c>
      <c r="F150" s="289" t="s">
        <v>5275</v>
      </c>
      <c r="G150" s="204" t="s">
        <v>5279</v>
      </c>
      <c r="H150" s="289" t="s">
        <v>21</v>
      </c>
      <c r="I150" s="204" t="s">
        <v>5279</v>
      </c>
      <c r="J150" s="289" t="s">
        <v>22</v>
      </c>
      <c r="K150" s="298" t="s">
        <v>5279</v>
      </c>
      <c r="L150" s="332" t="s">
        <v>5271</v>
      </c>
      <c r="M150" s="351" t="s">
        <v>5547</v>
      </c>
      <c r="N150" s="197"/>
      <c r="O150" s="147"/>
      <c r="P150" s="284"/>
      <c r="Q150" s="284"/>
      <c r="R150" s="284"/>
      <c r="S150" s="284"/>
      <c r="T150" s="284"/>
      <c r="U150" s="284"/>
      <c r="V150" s="284"/>
      <c r="W150" s="284"/>
      <c r="X150" s="284"/>
      <c r="Y150" s="284"/>
      <c r="Z150" s="284"/>
    </row>
    <row r="151" ht="22.5" customHeight="1">
      <c r="A151" s="291" t="s">
        <v>637</v>
      </c>
      <c r="B151" s="300" t="s">
        <v>5548</v>
      </c>
      <c r="C151" s="213" t="s">
        <v>40</v>
      </c>
      <c r="D151" s="315" t="s">
        <v>5274</v>
      </c>
      <c r="E151" s="207" t="s">
        <v>640</v>
      </c>
      <c r="F151" s="294" t="s">
        <v>5275</v>
      </c>
      <c r="G151" s="207" t="s">
        <v>5279</v>
      </c>
      <c r="H151" s="294" t="s">
        <v>21</v>
      </c>
      <c r="I151" s="207" t="s">
        <v>5279</v>
      </c>
      <c r="J151" s="294" t="s">
        <v>22</v>
      </c>
      <c r="K151" s="296" t="s">
        <v>31</v>
      </c>
      <c r="L151" s="165" t="s">
        <v>5280</v>
      </c>
      <c r="M151" s="157" t="s">
        <v>5549</v>
      </c>
      <c r="N151" s="196"/>
      <c r="O151" s="155"/>
      <c r="P151" s="284"/>
      <c r="Q151" s="284"/>
      <c r="R151" s="284"/>
      <c r="S151" s="284"/>
      <c r="T151" s="284"/>
      <c r="U151" s="284"/>
      <c r="V151" s="284"/>
      <c r="W151" s="284"/>
      <c r="X151" s="284"/>
      <c r="Y151" s="284"/>
      <c r="Z151" s="284"/>
    </row>
    <row r="152" ht="22.5" customHeight="1">
      <c r="A152" s="285" t="s">
        <v>637</v>
      </c>
      <c r="B152" s="286" t="s">
        <v>5550</v>
      </c>
      <c r="C152" s="216" t="s">
        <v>40</v>
      </c>
      <c r="D152" s="287" t="s">
        <v>5274</v>
      </c>
      <c r="E152" s="204" t="s">
        <v>640</v>
      </c>
      <c r="F152" s="289" t="s">
        <v>5275</v>
      </c>
      <c r="G152" s="204" t="s">
        <v>5279</v>
      </c>
      <c r="H152" s="289" t="s">
        <v>21</v>
      </c>
      <c r="I152" s="204" t="s">
        <v>5279</v>
      </c>
      <c r="J152" s="289" t="s">
        <v>22</v>
      </c>
      <c r="K152" s="304" t="s">
        <v>31</v>
      </c>
      <c r="L152" s="173" t="s">
        <v>5280</v>
      </c>
      <c r="M152" s="351" t="s">
        <v>5479</v>
      </c>
      <c r="N152" s="197"/>
      <c r="O152" s="147"/>
      <c r="P152" s="284"/>
      <c r="Q152" s="284"/>
      <c r="R152" s="284"/>
      <c r="S152" s="284"/>
      <c r="T152" s="284"/>
      <c r="U152" s="284"/>
      <c r="V152" s="284"/>
      <c r="W152" s="284"/>
      <c r="X152" s="284"/>
      <c r="Y152" s="284"/>
      <c r="Z152" s="284"/>
    </row>
    <row r="153" ht="22.5" customHeight="1">
      <c r="A153" s="291" t="s">
        <v>637</v>
      </c>
      <c r="B153" s="300" t="s">
        <v>5551</v>
      </c>
      <c r="C153" s="161" t="s">
        <v>49</v>
      </c>
      <c r="D153" s="315" t="s">
        <v>5274</v>
      </c>
      <c r="E153" s="306" t="s">
        <v>19</v>
      </c>
      <c r="F153" s="294" t="s">
        <v>5275</v>
      </c>
      <c r="G153" s="301" t="s">
        <v>31</v>
      </c>
      <c r="H153" s="294" t="s">
        <v>21</v>
      </c>
      <c r="I153" s="306" t="s">
        <v>19</v>
      </c>
      <c r="J153" s="294" t="s">
        <v>22</v>
      </c>
      <c r="K153" s="307" t="s">
        <v>19</v>
      </c>
      <c r="L153" s="320" t="s">
        <v>5271</v>
      </c>
      <c r="M153" s="157" t="s">
        <v>5552</v>
      </c>
      <c r="N153" s="196"/>
      <c r="O153" s="155"/>
      <c r="P153" s="284"/>
      <c r="Q153" s="284"/>
      <c r="R153" s="284"/>
      <c r="S153" s="284"/>
      <c r="T153" s="284"/>
      <c r="U153" s="284"/>
      <c r="V153" s="284"/>
      <c r="W153" s="284"/>
      <c r="X153" s="284"/>
      <c r="Y153" s="284"/>
      <c r="Z153" s="284"/>
    </row>
    <row r="154" ht="22.5" customHeight="1">
      <c r="A154" s="285" t="s">
        <v>637</v>
      </c>
      <c r="B154" s="286" t="s">
        <v>5553</v>
      </c>
      <c r="C154" s="212" t="s">
        <v>17</v>
      </c>
      <c r="D154" s="287" t="s">
        <v>5274</v>
      </c>
      <c r="E154" s="288" t="s">
        <v>19</v>
      </c>
      <c r="F154" s="289" t="s">
        <v>5275</v>
      </c>
      <c r="G154" s="288" t="s">
        <v>19</v>
      </c>
      <c r="H154" s="289" t="s">
        <v>21</v>
      </c>
      <c r="I154" s="288" t="s">
        <v>19</v>
      </c>
      <c r="J154" s="289" t="s">
        <v>22</v>
      </c>
      <c r="K154" s="290" t="s">
        <v>19</v>
      </c>
      <c r="L154" s="332" t="s">
        <v>5271</v>
      </c>
      <c r="M154" s="351" t="s">
        <v>5554</v>
      </c>
      <c r="N154" s="197"/>
      <c r="O154" s="147"/>
      <c r="P154" s="284"/>
      <c r="Q154" s="284"/>
      <c r="R154" s="284"/>
      <c r="S154" s="284"/>
      <c r="T154" s="284"/>
      <c r="U154" s="284"/>
      <c r="V154" s="284"/>
      <c r="W154" s="284"/>
      <c r="X154" s="284"/>
      <c r="Y154" s="284"/>
      <c r="Z154" s="284"/>
    </row>
    <row r="155" ht="22.5" customHeight="1">
      <c r="A155" s="291" t="s">
        <v>637</v>
      </c>
      <c r="B155" s="292" t="s">
        <v>5555</v>
      </c>
      <c r="C155" s="161" t="s">
        <v>49</v>
      </c>
      <c r="D155" s="315" t="s">
        <v>5274</v>
      </c>
      <c r="E155" s="207" t="s">
        <v>640</v>
      </c>
      <c r="F155" s="294" t="s">
        <v>5275</v>
      </c>
      <c r="G155" s="207" t="s">
        <v>5279</v>
      </c>
      <c r="H155" s="294" t="s">
        <v>21</v>
      </c>
      <c r="I155" s="207" t="s">
        <v>5279</v>
      </c>
      <c r="J155" s="294" t="s">
        <v>22</v>
      </c>
      <c r="K155" s="302" t="s">
        <v>5279</v>
      </c>
      <c r="L155" s="320" t="s">
        <v>5271</v>
      </c>
      <c r="M155" s="155"/>
      <c r="N155" s="196"/>
      <c r="O155" s="155"/>
      <c r="P155" s="284"/>
      <c r="Q155" s="284"/>
      <c r="R155" s="284"/>
      <c r="S155" s="284"/>
      <c r="T155" s="284"/>
      <c r="U155" s="284"/>
      <c r="V155" s="284"/>
      <c r="W155" s="284"/>
      <c r="X155" s="284"/>
      <c r="Y155" s="284"/>
      <c r="Z155" s="284"/>
    </row>
    <row r="156" ht="22.5" customHeight="1">
      <c r="A156" s="285" t="s">
        <v>637</v>
      </c>
      <c r="B156" s="159" t="s">
        <v>5556</v>
      </c>
      <c r="C156" s="319" t="s">
        <v>40</v>
      </c>
      <c r="D156" s="358" t="s">
        <v>5274</v>
      </c>
      <c r="E156" s="204" t="s">
        <v>640</v>
      </c>
      <c r="F156" s="344" t="s">
        <v>5275</v>
      </c>
      <c r="G156" s="204" t="s">
        <v>5279</v>
      </c>
      <c r="H156" s="289" t="s">
        <v>21</v>
      </c>
      <c r="I156" s="204" t="s">
        <v>5279</v>
      </c>
      <c r="J156" s="289" t="s">
        <v>22</v>
      </c>
      <c r="K156" s="304" t="s">
        <v>31</v>
      </c>
      <c r="L156" s="173" t="s">
        <v>5280</v>
      </c>
      <c r="M156" s="147"/>
      <c r="N156" s="197"/>
      <c r="O156" s="147"/>
      <c r="P156" s="284"/>
      <c r="Q156" s="284"/>
      <c r="R156" s="284"/>
      <c r="S156" s="284"/>
      <c r="T156" s="284"/>
      <c r="U156" s="284"/>
      <c r="V156" s="284"/>
      <c r="W156" s="284"/>
      <c r="X156" s="284"/>
      <c r="Y156" s="284"/>
      <c r="Z156" s="284"/>
    </row>
    <row r="157" ht="22.5" customHeight="1">
      <c r="A157" s="291" t="s">
        <v>637</v>
      </c>
      <c r="B157" s="328" t="s">
        <v>5557</v>
      </c>
      <c r="C157" s="331" t="s">
        <v>30</v>
      </c>
      <c r="D157" s="293" t="s">
        <v>5274</v>
      </c>
      <c r="E157" s="207" t="s">
        <v>640</v>
      </c>
      <c r="F157" s="341" t="s">
        <v>5275</v>
      </c>
      <c r="G157" s="207" t="s">
        <v>5279</v>
      </c>
      <c r="H157" s="294" t="s">
        <v>21</v>
      </c>
      <c r="I157" s="301" t="s">
        <v>31</v>
      </c>
      <c r="J157" s="294" t="s">
        <v>22</v>
      </c>
      <c r="K157" s="302" t="s">
        <v>5279</v>
      </c>
      <c r="L157" s="165" t="s">
        <v>5280</v>
      </c>
      <c r="M157" s="157" t="s">
        <v>5558</v>
      </c>
      <c r="N157" s="196"/>
      <c r="O157" s="155"/>
      <c r="P157" s="284"/>
      <c r="Q157" s="284"/>
      <c r="R157" s="284"/>
      <c r="S157" s="284"/>
      <c r="T157" s="284"/>
      <c r="U157" s="284"/>
      <c r="V157" s="284"/>
      <c r="W157" s="284"/>
      <c r="X157" s="284"/>
      <c r="Y157" s="284"/>
      <c r="Z157" s="284"/>
    </row>
    <row r="158" ht="22.5" customHeight="1">
      <c r="A158" s="303" t="s">
        <v>5559</v>
      </c>
      <c r="B158" s="286" t="s">
        <v>5560</v>
      </c>
      <c r="C158" s="216" t="s">
        <v>40</v>
      </c>
      <c r="D158" s="287" t="s">
        <v>5274</v>
      </c>
      <c r="E158" s="288" t="s">
        <v>19</v>
      </c>
      <c r="F158" s="289" t="s">
        <v>5275</v>
      </c>
      <c r="G158" s="297" t="s">
        <v>31</v>
      </c>
      <c r="H158" s="289" t="s">
        <v>21</v>
      </c>
      <c r="I158" s="204" t="s">
        <v>5279</v>
      </c>
      <c r="J158" s="289" t="s">
        <v>22</v>
      </c>
      <c r="K158" s="298" t="s">
        <v>5279</v>
      </c>
      <c r="L158" s="173" t="s">
        <v>5280</v>
      </c>
      <c r="M158" s="351" t="s">
        <v>5561</v>
      </c>
      <c r="N158" s="197"/>
      <c r="O158" s="147"/>
      <c r="P158" s="284"/>
      <c r="Q158" s="284"/>
      <c r="R158" s="284"/>
      <c r="S158" s="284"/>
      <c r="T158" s="284"/>
      <c r="U158" s="284"/>
      <c r="V158" s="284"/>
      <c r="W158" s="284"/>
      <c r="X158" s="284"/>
      <c r="Y158" s="284"/>
      <c r="Z158" s="284"/>
    </row>
    <row r="159" ht="22.5" customHeight="1">
      <c r="A159" s="291" t="s">
        <v>637</v>
      </c>
      <c r="B159" s="300" t="s">
        <v>5562</v>
      </c>
      <c r="C159" s="161" t="s">
        <v>49</v>
      </c>
      <c r="D159" s="315" t="s">
        <v>5274</v>
      </c>
      <c r="E159" s="207" t="s">
        <v>640</v>
      </c>
      <c r="F159" s="294" t="s">
        <v>5275</v>
      </c>
      <c r="G159" s="207" t="s">
        <v>5279</v>
      </c>
      <c r="H159" s="294" t="s">
        <v>21</v>
      </c>
      <c r="I159" s="207" t="s">
        <v>5279</v>
      </c>
      <c r="J159" s="294" t="s">
        <v>22</v>
      </c>
      <c r="K159" s="302" t="s">
        <v>5279</v>
      </c>
      <c r="L159" s="320" t="s">
        <v>5271</v>
      </c>
      <c r="M159" s="155"/>
      <c r="N159" s="196"/>
      <c r="O159" s="155"/>
      <c r="P159" s="284"/>
      <c r="Q159" s="284"/>
      <c r="R159" s="284"/>
      <c r="S159" s="284"/>
      <c r="T159" s="284"/>
      <c r="U159" s="284"/>
      <c r="V159" s="284"/>
      <c r="W159" s="284"/>
      <c r="X159" s="284"/>
      <c r="Y159" s="284"/>
      <c r="Z159" s="284"/>
    </row>
    <row r="160" ht="22.5" customHeight="1">
      <c r="A160" s="303" t="s">
        <v>5563</v>
      </c>
      <c r="B160" s="286" t="s">
        <v>5564</v>
      </c>
      <c r="C160" s="216" t="s">
        <v>40</v>
      </c>
      <c r="D160" s="287" t="s">
        <v>5274</v>
      </c>
      <c r="E160" s="204" t="s">
        <v>640</v>
      </c>
      <c r="F160" s="289" t="s">
        <v>5275</v>
      </c>
      <c r="G160" s="297" t="s">
        <v>31</v>
      </c>
      <c r="H160" s="289" t="s">
        <v>21</v>
      </c>
      <c r="I160" s="204" t="s">
        <v>5279</v>
      </c>
      <c r="J160" s="289" t="s">
        <v>22</v>
      </c>
      <c r="K160" s="298" t="s">
        <v>5279</v>
      </c>
      <c r="L160" s="173" t="s">
        <v>5280</v>
      </c>
      <c r="M160" s="351" t="s">
        <v>5565</v>
      </c>
      <c r="N160" s="197"/>
      <c r="O160" s="147"/>
      <c r="P160" s="284"/>
      <c r="Q160" s="284"/>
      <c r="R160" s="284"/>
      <c r="S160" s="284"/>
      <c r="T160" s="284"/>
      <c r="U160" s="284"/>
      <c r="V160" s="284"/>
      <c r="W160" s="284"/>
      <c r="X160" s="284"/>
      <c r="Y160" s="284"/>
      <c r="Z160" s="284"/>
    </row>
    <row r="161" ht="22.5" customHeight="1">
      <c r="A161" s="291" t="s">
        <v>637</v>
      </c>
      <c r="B161" s="300" t="s">
        <v>5566</v>
      </c>
      <c r="C161" s="161" t="s">
        <v>49</v>
      </c>
      <c r="D161" s="315" t="s">
        <v>5274</v>
      </c>
      <c r="E161" s="207" t="s">
        <v>640</v>
      </c>
      <c r="F161" s="294" t="s">
        <v>5275</v>
      </c>
      <c r="G161" s="207" t="s">
        <v>5279</v>
      </c>
      <c r="H161" s="294" t="s">
        <v>21</v>
      </c>
      <c r="I161" s="207" t="s">
        <v>5279</v>
      </c>
      <c r="J161" s="294" t="s">
        <v>22</v>
      </c>
      <c r="K161" s="302" t="s">
        <v>5279</v>
      </c>
      <c r="L161" s="320" t="s">
        <v>5271</v>
      </c>
      <c r="M161" s="157" t="s">
        <v>5567</v>
      </c>
      <c r="N161" s="196"/>
      <c r="O161" s="155"/>
      <c r="P161" s="284"/>
      <c r="Q161" s="284"/>
      <c r="R161" s="284"/>
      <c r="S161" s="284"/>
      <c r="T161" s="284"/>
      <c r="U161" s="284"/>
      <c r="V161" s="284"/>
      <c r="W161" s="284"/>
      <c r="X161" s="284"/>
      <c r="Y161" s="284"/>
      <c r="Z161" s="284"/>
    </row>
    <row r="162" ht="22.5" customHeight="1">
      <c r="A162" s="285" t="s">
        <v>637</v>
      </c>
      <c r="B162" s="308" t="s">
        <v>5568</v>
      </c>
      <c r="C162" s="212" t="s">
        <v>17</v>
      </c>
      <c r="D162" s="287" t="s">
        <v>5274</v>
      </c>
      <c r="E162" s="288" t="s">
        <v>19</v>
      </c>
      <c r="F162" s="289" t="s">
        <v>5275</v>
      </c>
      <c r="G162" s="288" t="s">
        <v>19</v>
      </c>
      <c r="H162" s="289" t="s">
        <v>21</v>
      </c>
      <c r="I162" s="288" t="s">
        <v>19</v>
      </c>
      <c r="J162" s="289" t="s">
        <v>22</v>
      </c>
      <c r="K162" s="290" t="s">
        <v>19</v>
      </c>
      <c r="L162" s="332" t="s">
        <v>5271</v>
      </c>
      <c r="M162" s="351" t="s">
        <v>5569</v>
      </c>
      <c r="N162" s="197"/>
      <c r="O162" s="147"/>
      <c r="P162" s="284"/>
      <c r="Q162" s="284"/>
      <c r="R162" s="284"/>
      <c r="S162" s="284"/>
      <c r="T162" s="284"/>
      <c r="U162" s="284"/>
      <c r="V162" s="284"/>
      <c r="W162" s="284"/>
      <c r="X162" s="284"/>
      <c r="Y162" s="284"/>
      <c r="Z162" s="284"/>
    </row>
    <row r="163" ht="22.5" customHeight="1">
      <c r="A163" s="291" t="s">
        <v>637</v>
      </c>
      <c r="B163" s="300" t="s">
        <v>5570</v>
      </c>
      <c r="C163" s="161" t="s">
        <v>49</v>
      </c>
      <c r="D163" s="293" t="s">
        <v>5274</v>
      </c>
      <c r="E163" s="207" t="s">
        <v>640</v>
      </c>
      <c r="F163" s="316" t="s">
        <v>5275</v>
      </c>
      <c r="G163" s="301" t="s">
        <v>31</v>
      </c>
      <c r="H163" s="316" t="s">
        <v>21</v>
      </c>
      <c r="I163" s="207" t="s">
        <v>5279</v>
      </c>
      <c r="J163" s="294" t="s">
        <v>22</v>
      </c>
      <c r="K163" s="302" t="s">
        <v>5279</v>
      </c>
      <c r="L163" s="165" t="s">
        <v>5280</v>
      </c>
      <c r="M163" s="157" t="s">
        <v>5571</v>
      </c>
      <c r="N163" s="196"/>
      <c r="O163" s="155"/>
      <c r="P163" s="284"/>
      <c r="Q163" s="284"/>
      <c r="R163" s="284"/>
      <c r="S163" s="284"/>
      <c r="T163" s="284"/>
      <c r="U163" s="284"/>
      <c r="V163" s="284"/>
      <c r="W163" s="284"/>
      <c r="X163" s="284"/>
      <c r="Y163" s="284"/>
      <c r="Z163" s="284"/>
    </row>
    <row r="164" ht="22.5" customHeight="1">
      <c r="A164" s="285" t="s">
        <v>637</v>
      </c>
      <c r="B164" s="159" t="s">
        <v>5572</v>
      </c>
      <c r="C164" s="216" t="s">
        <v>40</v>
      </c>
      <c r="D164" s="287" t="s">
        <v>5274</v>
      </c>
      <c r="E164" s="204" t="s">
        <v>640</v>
      </c>
      <c r="F164" s="289" t="s">
        <v>5275</v>
      </c>
      <c r="G164" s="204" t="s">
        <v>5279</v>
      </c>
      <c r="H164" s="289" t="s">
        <v>21</v>
      </c>
      <c r="I164" s="204" t="s">
        <v>5279</v>
      </c>
      <c r="J164" s="289" t="s">
        <v>22</v>
      </c>
      <c r="K164" s="298" t="s">
        <v>5279</v>
      </c>
      <c r="L164" s="332" t="s">
        <v>5271</v>
      </c>
      <c r="M164" s="351" t="s">
        <v>5573</v>
      </c>
      <c r="N164" s="197"/>
      <c r="O164" s="147"/>
      <c r="P164" s="284"/>
      <c r="Q164" s="284"/>
      <c r="R164" s="284"/>
      <c r="S164" s="284"/>
      <c r="T164" s="284"/>
      <c r="U164" s="284"/>
      <c r="V164" s="284"/>
      <c r="W164" s="284"/>
      <c r="X164" s="284"/>
      <c r="Y164" s="284"/>
      <c r="Z164" s="284"/>
    </row>
    <row r="165" ht="22.5" customHeight="1">
      <c r="A165" s="291" t="s">
        <v>637</v>
      </c>
      <c r="B165" s="158" t="s">
        <v>5574</v>
      </c>
      <c r="C165" s="214" t="s">
        <v>17</v>
      </c>
      <c r="D165" s="293" t="s">
        <v>5274</v>
      </c>
      <c r="E165" s="306" t="s">
        <v>19</v>
      </c>
      <c r="F165" s="316" t="s">
        <v>5275</v>
      </c>
      <c r="G165" s="306" t="s">
        <v>19</v>
      </c>
      <c r="H165" s="316" t="s">
        <v>21</v>
      </c>
      <c r="I165" s="306" t="s">
        <v>19</v>
      </c>
      <c r="J165" s="294" t="s">
        <v>22</v>
      </c>
      <c r="K165" s="307" t="s">
        <v>19</v>
      </c>
      <c r="L165" s="320" t="s">
        <v>5271</v>
      </c>
      <c r="M165" s="157" t="s">
        <v>5575</v>
      </c>
      <c r="N165" s="196"/>
      <c r="O165" s="155"/>
      <c r="P165" s="284"/>
      <c r="Q165" s="284"/>
      <c r="R165" s="284"/>
      <c r="S165" s="284"/>
      <c r="T165" s="284"/>
      <c r="U165" s="284"/>
      <c r="V165" s="284"/>
      <c r="W165" s="284"/>
      <c r="X165" s="284"/>
      <c r="Y165" s="284"/>
      <c r="Z165" s="284"/>
    </row>
    <row r="166" ht="22.5" customHeight="1">
      <c r="A166" s="285" t="s">
        <v>637</v>
      </c>
      <c r="B166" s="159" t="s">
        <v>5576</v>
      </c>
      <c r="C166" s="216" t="s">
        <v>40</v>
      </c>
      <c r="D166" s="287" t="s">
        <v>5274</v>
      </c>
      <c r="E166" s="204" t="s">
        <v>640</v>
      </c>
      <c r="F166" s="289" t="s">
        <v>5275</v>
      </c>
      <c r="G166" s="297" t="s">
        <v>31</v>
      </c>
      <c r="H166" s="289" t="s">
        <v>21</v>
      </c>
      <c r="I166" s="204" t="s">
        <v>5279</v>
      </c>
      <c r="J166" s="289" t="s">
        <v>22</v>
      </c>
      <c r="K166" s="298" t="s">
        <v>5279</v>
      </c>
      <c r="L166" s="173" t="s">
        <v>5280</v>
      </c>
      <c r="M166" s="351" t="s">
        <v>5577</v>
      </c>
      <c r="N166" s="197"/>
      <c r="O166" s="147"/>
      <c r="P166" s="284"/>
      <c r="Q166" s="284"/>
      <c r="R166" s="284"/>
      <c r="S166" s="284"/>
      <c r="T166" s="284"/>
      <c r="U166" s="284"/>
      <c r="V166" s="284"/>
      <c r="W166" s="284"/>
      <c r="X166" s="284"/>
      <c r="Y166" s="284"/>
      <c r="Z166" s="284"/>
    </row>
    <row r="167" ht="22.5" customHeight="1">
      <c r="A167" s="324" t="s">
        <v>5578</v>
      </c>
      <c r="B167" s="158" t="s">
        <v>5579</v>
      </c>
      <c r="C167" s="151" t="s">
        <v>30</v>
      </c>
      <c r="D167" s="293" t="s">
        <v>5274</v>
      </c>
      <c r="E167" s="207" t="s">
        <v>640</v>
      </c>
      <c r="F167" s="316" t="s">
        <v>5275</v>
      </c>
      <c r="G167" s="301" t="s">
        <v>31</v>
      </c>
      <c r="H167" s="316" t="s">
        <v>21</v>
      </c>
      <c r="I167" s="207" t="s">
        <v>5279</v>
      </c>
      <c r="J167" s="294" t="s">
        <v>22</v>
      </c>
      <c r="K167" s="302" t="s">
        <v>5279</v>
      </c>
      <c r="L167" s="165" t="s">
        <v>5280</v>
      </c>
      <c r="M167" s="157" t="s">
        <v>917</v>
      </c>
      <c r="N167" s="196"/>
      <c r="O167" s="155"/>
      <c r="P167" s="284"/>
      <c r="Q167" s="284"/>
      <c r="R167" s="284"/>
      <c r="S167" s="284"/>
      <c r="T167" s="284"/>
      <c r="U167" s="284"/>
      <c r="V167" s="284"/>
      <c r="W167" s="284"/>
      <c r="X167" s="284"/>
      <c r="Y167" s="284"/>
      <c r="Z167" s="284"/>
    </row>
    <row r="168" ht="22.5" customHeight="1">
      <c r="A168" s="285" t="s">
        <v>637</v>
      </c>
      <c r="B168" s="162">
        <v>3.361841235E9</v>
      </c>
      <c r="C168" s="317" t="s">
        <v>49</v>
      </c>
      <c r="D168" s="287" t="s">
        <v>5274</v>
      </c>
      <c r="E168" s="204" t="s">
        <v>640</v>
      </c>
      <c r="F168" s="289" t="s">
        <v>5275</v>
      </c>
      <c r="G168" s="297" t="s">
        <v>31</v>
      </c>
      <c r="H168" s="289" t="s">
        <v>21</v>
      </c>
      <c r="I168" s="204" t="s">
        <v>5279</v>
      </c>
      <c r="J168" s="289" t="s">
        <v>22</v>
      </c>
      <c r="K168" s="298" t="s">
        <v>5279</v>
      </c>
      <c r="L168" s="173" t="s">
        <v>5280</v>
      </c>
      <c r="M168" s="351" t="s">
        <v>5580</v>
      </c>
      <c r="N168" s="197"/>
      <c r="O168" s="147"/>
      <c r="P168" s="284"/>
      <c r="Q168" s="284"/>
      <c r="R168" s="284"/>
      <c r="S168" s="284"/>
      <c r="T168" s="284"/>
      <c r="U168" s="284"/>
      <c r="V168" s="284"/>
      <c r="W168" s="284"/>
      <c r="X168" s="284"/>
      <c r="Y168" s="284"/>
      <c r="Z168" s="284"/>
    </row>
    <row r="169" ht="22.5" customHeight="1">
      <c r="A169" s="291" t="s">
        <v>637</v>
      </c>
      <c r="B169" s="158" t="s">
        <v>5581</v>
      </c>
      <c r="C169" s="213" t="s">
        <v>40</v>
      </c>
      <c r="D169" s="293" t="s">
        <v>5274</v>
      </c>
      <c r="E169" s="306" t="s">
        <v>19</v>
      </c>
      <c r="F169" s="316" t="s">
        <v>5275</v>
      </c>
      <c r="G169" s="301" t="s">
        <v>31</v>
      </c>
      <c r="H169" s="316" t="s">
        <v>21</v>
      </c>
      <c r="I169" s="207" t="s">
        <v>5279</v>
      </c>
      <c r="J169" s="294" t="s">
        <v>22</v>
      </c>
      <c r="K169" s="307" t="s">
        <v>19</v>
      </c>
      <c r="L169" s="320" t="s">
        <v>5271</v>
      </c>
      <c r="M169" s="157" t="s">
        <v>5582</v>
      </c>
      <c r="N169" s="196"/>
      <c r="O169" s="155"/>
      <c r="P169" s="284"/>
      <c r="Q169" s="284"/>
      <c r="R169" s="284"/>
      <c r="S169" s="284"/>
      <c r="T169" s="284"/>
      <c r="U169" s="284"/>
      <c r="V169" s="284"/>
      <c r="W169" s="284"/>
      <c r="X169" s="284"/>
      <c r="Y169" s="284"/>
      <c r="Z169" s="284"/>
    </row>
    <row r="170" ht="22.5" customHeight="1">
      <c r="A170" s="285" t="s">
        <v>637</v>
      </c>
      <c r="B170" s="159" t="s">
        <v>5583</v>
      </c>
      <c r="C170" s="323" t="s">
        <v>17</v>
      </c>
      <c r="D170" s="287" t="s">
        <v>5274</v>
      </c>
      <c r="E170" s="288" t="s">
        <v>19</v>
      </c>
      <c r="F170" s="289" t="s">
        <v>5275</v>
      </c>
      <c r="G170" s="288" t="s">
        <v>19</v>
      </c>
      <c r="H170" s="289" t="s">
        <v>21</v>
      </c>
      <c r="I170" s="204" t="s">
        <v>5279</v>
      </c>
      <c r="J170" s="289" t="s">
        <v>22</v>
      </c>
      <c r="K170" s="298" t="s">
        <v>5279</v>
      </c>
      <c r="L170" s="332" t="s">
        <v>5271</v>
      </c>
      <c r="M170" s="351" t="s">
        <v>5584</v>
      </c>
      <c r="N170" s="197"/>
      <c r="O170" s="147"/>
      <c r="P170" s="284"/>
      <c r="Q170" s="284"/>
      <c r="R170" s="284"/>
      <c r="S170" s="284"/>
      <c r="T170" s="284"/>
      <c r="U170" s="284"/>
      <c r="V170" s="284"/>
      <c r="W170" s="284"/>
      <c r="X170" s="284"/>
      <c r="Y170" s="284"/>
      <c r="Z170" s="284"/>
    </row>
    <row r="171" ht="22.5" customHeight="1">
      <c r="A171" s="291" t="s">
        <v>637</v>
      </c>
      <c r="B171" s="158" t="s">
        <v>5585</v>
      </c>
      <c r="C171" s="322" t="s">
        <v>17</v>
      </c>
      <c r="D171" s="293" t="s">
        <v>5274</v>
      </c>
      <c r="E171" s="207" t="s">
        <v>640</v>
      </c>
      <c r="F171" s="316" t="s">
        <v>5275</v>
      </c>
      <c r="G171" s="306" t="s">
        <v>19</v>
      </c>
      <c r="H171" s="316" t="s">
        <v>21</v>
      </c>
      <c r="I171" s="207" t="s">
        <v>5279</v>
      </c>
      <c r="J171" s="294" t="s">
        <v>22</v>
      </c>
      <c r="K171" s="302" t="s">
        <v>5279</v>
      </c>
      <c r="L171" s="165" t="s">
        <v>5280</v>
      </c>
      <c r="M171" s="157" t="s">
        <v>5586</v>
      </c>
      <c r="N171" s="196"/>
      <c r="O171" s="155"/>
      <c r="P171" s="284"/>
      <c r="Q171" s="284"/>
      <c r="R171" s="284"/>
      <c r="S171" s="284"/>
      <c r="T171" s="284"/>
      <c r="U171" s="284"/>
      <c r="V171" s="284"/>
      <c r="W171" s="284"/>
      <c r="X171" s="284"/>
      <c r="Y171" s="284"/>
      <c r="Z171" s="284"/>
    </row>
    <row r="172" ht="22.5" customHeight="1">
      <c r="A172" s="303" t="s">
        <v>5587</v>
      </c>
      <c r="B172" s="159" t="s">
        <v>5588</v>
      </c>
      <c r="C172" s="359" t="s">
        <v>35</v>
      </c>
      <c r="D172" s="287" t="s">
        <v>5274</v>
      </c>
      <c r="E172" s="204" t="s">
        <v>640</v>
      </c>
      <c r="F172" s="289" t="s">
        <v>5275</v>
      </c>
      <c r="G172" s="297" t="s">
        <v>31</v>
      </c>
      <c r="H172" s="289" t="s">
        <v>21</v>
      </c>
      <c r="I172" s="204" t="s">
        <v>5279</v>
      </c>
      <c r="J172" s="289" t="s">
        <v>22</v>
      </c>
      <c r="K172" s="298" t="s">
        <v>5279</v>
      </c>
      <c r="L172" s="173" t="s">
        <v>5280</v>
      </c>
      <c r="M172" s="351" t="s">
        <v>5589</v>
      </c>
      <c r="N172" s="197"/>
      <c r="O172" s="147"/>
      <c r="P172" s="284"/>
      <c r="Q172" s="284"/>
      <c r="R172" s="284"/>
      <c r="S172" s="284"/>
      <c r="T172" s="284"/>
      <c r="U172" s="284"/>
      <c r="V172" s="284"/>
      <c r="W172" s="284"/>
      <c r="X172" s="284"/>
      <c r="Y172" s="284"/>
      <c r="Z172" s="284"/>
    </row>
    <row r="173" ht="22.5" customHeight="1">
      <c r="A173" s="291" t="s">
        <v>637</v>
      </c>
      <c r="B173" s="158" t="s">
        <v>5590</v>
      </c>
      <c r="C173" s="318" t="s">
        <v>40</v>
      </c>
      <c r="D173" s="293" t="s">
        <v>5274</v>
      </c>
      <c r="E173" s="207" t="s">
        <v>640</v>
      </c>
      <c r="F173" s="316" t="s">
        <v>5275</v>
      </c>
      <c r="G173" s="301" t="s">
        <v>31</v>
      </c>
      <c r="H173" s="316" t="s">
        <v>21</v>
      </c>
      <c r="I173" s="207" t="s">
        <v>5279</v>
      </c>
      <c r="J173" s="294" t="s">
        <v>22</v>
      </c>
      <c r="K173" s="302" t="s">
        <v>5279</v>
      </c>
      <c r="L173" s="165" t="s">
        <v>5280</v>
      </c>
      <c r="M173" s="157" t="s">
        <v>5591</v>
      </c>
      <c r="N173" s="196"/>
      <c r="O173" s="155"/>
      <c r="P173" s="284"/>
      <c r="Q173" s="284"/>
      <c r="R173" s="284"/>
      <c r="S173" s="284"/>
      <c r="T173" s="284"/>
      <c r="U173" s="284"/>
      <c r="V173" s="284"/>
      <c r="W173" s="284"/>
      <c r="X173" s="284"/>
      <c r="Y173" s="284"/>
      <c r="Z173" s="284"/>
    </row>
    <row r="174" ht="22.5" customHeight="1">
      <c r="A174" s="285" t="s">
        <v>5592</v>
      </c>
      <c r="B174" s="159" t="s">
        <v>5593</v>
      </c>
      <c r="C174" s="317" t="s">
        <v>49</v>
      </c>
      <c r="D174" s="287" t="s">
        <v>5274</v>
      </c>
      <c r="E174" s="204" t="s">
        <v>640</v>
      </c>
      <c r="F174" s="289" t="s">
        <v>5275</v>
      </c>
      <c r="G174" s="297" t="s">
        <v>31</v>
      </c>
      <c r="H174" s="289" t="s">
        <v>21</v>
      </c>
      <c r="I174" s="204" t="s">
        <v>5279</v>
      </c>
      <c r="J174" s="289" t="s">
        <v>22</v>
      </c>
      <c r="K174" s="298" t="s">
        <v>5279</v>
      </c>
      <c r="L174" s="173" t="s">
        <v>5280</v>
      </c>
      <c r="M174" s="351" t="s">
        <v>1713</v>
      </c>
      <c r="N174" s="197"/>
      <c r="O174" s="147"/>
      <c r="P174" s="284"/>
      <c r="Q174" s="284"/>
      <c r="R174" s="284"/>
      <c r="S174" s="284"/>
      <c r="T174" s="284"/>
      <c r="U174" s="284"/>
      <c r="V174" s="284"/>
      <c r="W174" s="284"/>
      <c r="X174" s="284"/>
      <c r="Y174" s="284"/>
      <c r="Z174" s="284"/>
    </row>
    <row r="175" ht="22.5" customHeight="1">
      <c r="A175" s="291" t="s">
        <v>637</v>
      </c>
      <c r="B175" s="158" t="s">
        <v>5594</v>
      </c>
      <c r="C175" s="322" t="s">
        <v>17</v>
      </c>
      <c r="D175" s="293" t="s">
        <v>5274</v>
      </c>
      <c r="E175" s="306" t="s">
        <v>19</v>
      </c>
      <c r="F175" s="316" t="s">
        <v>5275</v>
      </c>
      <c r="G175" s="306" t="s">
        <v>19</v>
      </c>
      <c r="H175" s="316" t="s">
        <v>21</v>
      </c>
      <c r="I175" s="207" t="s">
        <v>5279</v>
      </c>
      <c r="J175" s="294" t="s">
        <v>22</v>
      </c>
      <c r="K175" s="302" t="s">
        <v>5279</v>
      </c>
      <c r="L175" s="320" t="s">
        <v>5271</v>
      </c>
      <c r="M175" s="157" t="s">
        <v>5595</v>
      </c>
      <c r="N175" s="196"/>
      <c r="O175" s="155"/>
      <c r="P175" s="284"/>
      <c r="Q175" s="284"/>
      <c r="R175" s="284"/>
      <c r="S175" s="284"/>
      <c r="T175" s="284"/>
      <c r="U175" s="284"/>
      <c r="V175" s="284"/>
      <c r="W175" s="284"/>
      <c r="X175" s="284"/>
      <c r="Y175" s="284"/>
      <c r="Z175" s="284"/>
    </row>
    <row r="176" ht="22.5" customHeight="1">
      <c r="A176" s="285" t="s">
        <v>637</v>
      </c>
      <c r="B176" s="159" t="s">
        <v>5548</v>
      </c>
      <c r="C176" s="317" t="s">
        <v>49</v>
      </c>
      <c r="D176" s="287" t="s">
        <v>5274</v>
      </c>
      <c r="E176" s="204" t="s">
        <v>640</v>
      </c>
      <c r="F176" s="289" t="s">
        <v>5275</v>
      </c>
      <c r="G176" s="204" t="s">
        <v>5279</v>
      </c>
      <c r="H176" s="289" t="s">
        <v>21</v>
      </c>
      <c r="I176" s="297" t="s">
        <v>31</v>
      </c>
      <c r="J176" s="289" t="s">
        <v>22</v>
      </c>
      <c r="K176" s="298" t="s">
        <v>5279</v>
      </c>
      <c r="L176" s="173" t="s">
        <v>5280</v>
      </c>
      <c r="M176" s="351" t="s">
        <v>1713</v>
      </c>
      <c r="N176" s="197"/>
      <c r="O176" s="147"/>
      <c r="P176" s="284"/>
      <c r="Q176" s="284"/>
      <c r="R176" s="284"/>
      <c r="S176" s="284"/>
      <c r="T176" s="284"/>
      <c r="U176" s="284"/>
      <c r="V176" s="284"/>
      <c r="W176" s="284"/>
      <c r="X176" s="284"/>
      <c r="Y176" s="284"/>
      <c r="Z176" s="284"/>
    </row>
    <row r="177" ht="22.5" customHeight="1">
      <c r="A177" s="291" t="s">
        <v>5596</v>
      </c>
      <c r="B177" s="158" t="s">
        <v>5597</v>
      </c>
      <c r="C177" s="161" t="s">
        <v>49</v>
      </c>
      <c r="D177" s="293" t="s">
        <v>5274</v>
      </c>
      <c r="E177" s="207" t="s">
        <v>640</v>
      </c>
      <c r="F177" s="316" t="s">
        <v>5275</v>
      </c>
      <c r="G177" s="207" t="s">
        <v>5279</v>
      </c>
      <c r="H177" s="294" t="s">
        <v>21</v>
      </c>
      <c r="I177" s="301" t="s">
        <v>31</v>
      </c>
      <c r="J177" s="316" t="s">
        <v>22</v>
      </c>
      <c r="K177" s="302" t="s">
        <v>5279</v>
      </c>
      <c r="L177" s="165" t="s">
        <v>5280</v>
      </c>
      <c r="M177" s="157" t="s">
        <v>5598</v>
      </c>
      <c r="N177" s="196"/>
      <c r="O177" s="155"/>
      <c r="P177" s="284"/>
      <c r="Q177" s="284"/>
      <c r="R177" s="284"/>
      <c r="S177" s="284"/>
      <c r="T177" s="284"/>
      <c r="U177" s="284"/>
      <c r="V177" s="284"/>
      <c r="W177" s="284"/>
      <c r="X177" s="284"/>
      <c r="Y177" s="284"/>
      <c r="Z177" s="284"/>
    </row>
    <row r="178" ht="22.5" customHeight="1">
      <c r="A178" s="285" t="s">
        <v>637</v>
      </c>
      <c r="B178" s="159" t="s">
        <v>5599</v>
      </c>
      <c r="C178" s="360" t="s">
        <v>30</v>
      </c>
      <c r="D178" s="287" t="s">
        <v>5274</v>
      </c>
      <c r="E178" s="204" t="s">
        <v>640</v>
      </c>
      <c r="F178" s="289" t="s">
        <v>5275</v>
      </c>
      <c r="G178" s="204" t="s">
        <v>5279</v>
      </c>
      <c r="H178" s="289" t="s">
        <v>21</v>
      </c>
      <c r="I178" s="297" t="s">
        <v>31</v>
      </c>
      <c r="J178" s="289" t="s">
        <v>22</v>
      </c>
      <c r="K178" s="298" t="s">
        <v>5279</v>
      </c>
      <c r="L178" s="173" t="s">
        <v>5280</v>
      </c>
      <c r="M178" s="351" t="s">
        <v>5600</v>
      </c>
      <c r="N178" s="197"/>
      <c r="O178" s="147"/>
      <c r="P178" s="284"/>
      <c r="Q178" s="284"/>
      <c r="R178" s="284"/>
      <c r="S178" s="284"/>
      <c r="T178" s="284"/>
      <c r="U178" s="284"/>
      <c r="V178" s="284"/>
      <c r="W178" s="284"/>
      <c r="X178" s="284"/>
      <c r="Y178" s="284"/>
      <c r="Z178" s="284"/>
    </row>
    <row r="179" ht="22.5" customHeight="1">
      <c r="A179" s="291" t="s">
        <v>5601</v>
      </c>
      <c r="B179" s="158" t="s">
        <v>5602</v>
      </c>
      <c r="C179" s="314" t="s">
        <v>49</v>
      </c>
      <c r="D179" s="293" t="s">
        <v>5274</v>
      </c>
      <c r="E179" s="207" t="s">
        <v>640</v>
      </c>
      <c r="F179" s="316" t="s">
        <v>5275</v>
      </c>
      <c r="G179" s="207" t="s">
        <v>5279</v>
      </c>
      <c r="H179" s="294" t="s">
        <v>21</v>
      </c>
      <c r="I179" s="301" t="s">
        <v>31</v>
      </c>
      <c r="J179" s="316" t="s">
        <v>22</v>
      </c>
      <c r="K179" s="302" t="s">
        <v>5279</v>
      </c>
      <c r="L179" s="165" t="s">
        <v>5280</v>
      </c>
      <c r="M179" s="157" t="s">
        <v>1713</v>
      </c>
      <c r="N179" s="196"/>
      <c r="O179" s="155"/>
      <c r="P179" s="284"/>
      <c r="Q179" s="284"/>
      <c r="R179" s="284"/>
      <c r="S179" s="284"/>
      <c r="T179" s="284"/>
      <c r="U179" s="284"/>
      <c r="V179" s="284"/>
      <c r="W179" s="284"/>
      <c r="X179" s="284"/>
      <c r="Y179" s="284"/>
      <c r="Z179" s="284"/>
    </row>
    <row r="180" ht="22.5" customHeight="1">
      <c r="A180" s="303" t="s">
        <v>5603</v>
      </c>
      <c r="B180" s="159" t="s">
        <v>5604</v>
      </c>
      <c r="C180" s="323" t="s">
        <v>17</v>
      </c>
      <c r="D180" s="287" t="s">
        <v>5274</v>
      </c>
      <c r="E180" s="204" t="s">
        <v>640</v>
      </c>
      <c r="F180" s="289" t="s">
        <v>5275</v>
      </c>
      <c r="G180" s="288" t="s">
        <v>19</v>
      </c>
      <c r="H180" s="289" t="s">
        <v>21</v>
      </c>
      <c r="I180" s="288" t="s">
        <v>19</v>
      </c>
      <c r="J180" s="321" t="s">
        <v>22</v>
      </c>
      <c r="K180" s="298" t="s">
        <v>5279</v>
      </c>
      <c r="L180" s="332" t="s">
        <v>5271</v>
      </c>
      <c r="M180" s="351" t="s">
        <v>5605</v>
      </c>
      <c r="N180" s="197"/>
      <c r="O180" s="147"/>
      <c r="P180" s="284"/>
      <c r="Q180" s="284"/>
      <c r="R180" s="284"/>
      <c r="S180" s="284"/>
      <c r="T180" s="284"/>
      <c r="U180" s="284"/>
      <c r="V180" s="284"/>
      <c r="W180" s="284"/>
      <c r="X180" s="284"/>
      <c r="Y180" s="284"/>
      <c r="Z180" s="284"/>
    </row>
    <row r="181" ht="22.5" customHeight="1">
      <c r="A181" s="291" t="s">
        <v>5606</v>
      </c>
      <c r="B181" s="158" t="s">
        <v>5607</v>
      </c>
      <c r="C181" s="318" t="s">
        <v>40</v>
      </c>
      <c r="D181" s="293" t="s">
        <v>5274</v>
      </c>
      <c r="E181" s="207" t="s">
        <v>640</v>
      </c>
      <c r="F181" s="316" t="s">
        <v>5275</v>
      </c>
      <c r="G181" s="207" t="s">
        <v>5279</v>
      </c>
      <c r="H181" s="294" t="s">
        <v>21</v>
      </c>
      <c r="I181" s="301" t="s">
        <v>31</v>
      </c>
      <c r="J181" s="294" t="s">
        <v>22</v>
      </c>
      <c r="K181" s="302" t="s">
        <v>5279</v>
      </c>
      <c r="L181" s="165" t="s">
        <v>5280</v>
      </c>
      <c r="M181" s="157" t="s">
        <v>5600</v>
      </c>
      <c r="N181" s="196"/>
      <c r="O181" s="155"/>
      <c r="P181" s="284"/>
      <c r="Q181" s="284"/>
      <c r="R181" s="284"/>
      <c r="S181" s="284"/>
      <c r="T181" s="284"/>
      <c r="U181" s="284"/>
      <c r="V181" s="284"/>
      <c r="W181" s="284"/>
      <c r="X181" s="284"/>
      <c r="Y181" s="284"/>
      <c r="Z181" s="284"/>
    </row>
    <row r="182" ht="22.5" customHeight="1">
      <c r="A182" s="303" t="s">
        <v>5608</v>
      </c>
      <c r="B182" s="159" t="s">
        <v>5609</v>
      </c>
      <c r="C182" s="319" t="s">
        <v>40</v>
      </c>
      <c r="D182" s="287" t="s">
        <v>5274</v>
      </c>
      <c r="E182" s="204" t="s">
        <v>640</v>
      </c>
      <c r="F182" s="289" t="s">
        <v>5275</v>
      </c>
      <c r="G182" s="204" t="s">
        <v>5279</v>
      </c>
      <c r="H182" s="289" t="s">
        <v>21</v>
      </c>
      <c r="I182" s="297" t="s">
        <v>31</v>
      </c>
      <c r="J182" s="321" t="s">
        <v>22</v>
      </c>
      <c r="K182" s="298" t="s">
        <v>5279</v>
      </c>
      <c r="L182" s="173" t="s">
        <v>5280</v>
      </c>
      <c r="M182" s="351" t="s">
        <v>5600</v>
      </c>
      <c r="N182" s="197"/>
      <c r="O182" s="147"/>
      <c r="P182" s="284"/>
      <c r="Q182" s="284"/>
      <c r="R182" s="284"/>
      <c r="S182" s="284"/>
      <c r="T182" s="284"/>
      <c r="U182" s="284"/>
      <c r="V182" s="284"/>
      <c r="W182" s="284"/>
      <c r="X182" s="284"/>
      <c r="Y182" s="284"/>
      <c r="Z182" s="284"/>
    </row>
    <row r="183" ht="22.5" customHeight="1">
      <c r="A183" s="291" t="s">
        <v>5610</v>
      </c>
      <c r="B183" s="158" t="s">
        <v>5611</v>
      </c>
      <c r="C183" s="318" t="s">
        <v>40</v>
      </c>
      <c r="D183" s="293" t="s">
        <v>5274</v>
      </c>
      <c r="E183" s="207" t="s">
        <v>640</v>
      </c>
      <c r="F183" s="316" t="s">
        <v>5275</v>
      </c>
      <c r="G183" s="207" t="s">
        <v>5279</v>
      </c>
      <c r="H183" s="294" t="s">
        <v>21</v>
      </c>
      <c r="I183" s="301" t="s">
        <v>31</v>
      </c>
      <c r="J183" s="294" t="s">
        <v>22</v>
      </c>
      <c r="K183" s="302" t="s">
        <v>5279</v>
      </c>
      <c r="L183" s="165" t="s">
        <v>5280</v>
      </c>
      <c r="M183" s="157" t="s">
        <v>5612</v>
      </c>
      <c r="N183" s="196"/>
      <c r="O183" s="155"/>
      <c r="P183" s="284"/>
      <c r="Q183" s="284"/>
      <c r="R183" s="284"/>
      <c r="S183" s="284"/>
      <c r="T183" s="284"/>
      <c r="U183" s="284"/>
      <c r="V183" s="284"/>
      <c r="W183" s="284"/>
      <c r="X183" s="284"/>
      <c r="Y183" s="284"/>
      <c r="Z183" s="284"/>
    </row>
    <row r="184" ht="22.5" customHeight="1">
      <c r="A184" s="285" t="s">
        <v>5613</v>
      </c>
      <c r="B184" s="159" t="s">
        <v>5614</v>
      </c>
      <c r="C184" s="323" t="s">
        <v>17</v>
      </c>
      <c r="D184" s="287" t="s">
        <v>5274</v>
      </c>
      <c r="E184" s="204" t="s">
        <v>640</v>
      </c>
      <c r="F184" s="289" t="s">
        <v>5275</v>
      </c>
      <c r="G184" s="204" t="s">
        <v>5279</v>
      </c>
      <c r="H184" s="289" t="s">
        <v>21</v>
      </c>
      <c r="I184" s="288" t="s">
        <v>19</v>
      </c>
      <c r="J184" s="321" t="s">
        <v>22</v>
      </c>
      <c r="K184" s="298" t="s">
        <v>5279</v>
      </c>
      <c r="L184" s="332" t="s">
        <v>5271</v>
      </c>
      <c r="M184" s="351" t="s">
        <v>5615</v>
      </c>
      <c r="N184" s="197"/>
      <c r="O184" s="147"/>
      <c r="P184" s="284"/>
      <c r="Q184" s="284"/>
      <c r="R184" s="284"/>
      <c r="S184" s="284"/>
      <c r="T184" s="284"/>
      <c r="U184" s="284"/>
      <c r="V184" s="284"/>
      <c r="W184" s="284"/>
      <c r="X184" s="284"/>
      <c r="Y184" s="284"/>
      <c r="Z184" s="284"/>
    </row>
    <row r="185" ht="22.5" customHeight="1">
      <c r="A185" s="291" t="s">
        <v>5616</v>
      </c>
      <c r="B185" s="158" t="s">
        <v>5617</v>
      </c>
      <c r="C185" s="318" t="s">
        <v>40</v>
      </c>
      <c r="D185" s="293" t="s">
        <v>5274</v>
      </c>
      <c r="E185" s="207" t="s">
        <v>640</v>
      </c>
      <c r="F185" s="316" t="s">
        <v>5275</v>
      </c>
      <c r="G185" s="207" t="s">
        <v>5279</v>
      </c>
      <c r="H185" s="294" t="s">
        <v>21</v>
      </c>
      <c r="I185" s="301" t="s">
        <v>31</v>
      </c>
      <c r="J185" s="294" t="s">
        <v>22</v>
      </c>
      <c r="K185" s="302" t="s">
        <v>5279</v>
      </c>
      <c r="L185" s="165" t="s">
        <v>5280</v>
      </c>
      <c r="M185" s="157" t="s">
        <v>5618</v>
      </c>
      <c r="N185" s="196"/>
      <c r="O185" s="155"/>
      <c r="P185" s="284"/>
      <c r="Q185" s="284"/>
      <c r="R185" s="284"/>
      <c r="S185" s="284"/>
      <c r="T185" s="284"/>
      <c r="U185" s="284"/>
      <c r="V185" s="284"/>
      <c r="W185" s="284"/>
      <c r="X185" s="284"/>
      <c r="Y185" s="284"/>
      <c r="Z185" s="284"/>
    </row>
    <row r="186" ht="22.5" customHeight="1">
      <c r="A186" s="285" t="s">
        <v>637</v>
      </c>
      <c r="B186" s="159" t="s">
        <v>5619</v>
      </c>
      <c r="C186" s="319" t="s">
        <v>40</v>
      </c>
      <c r="D186" s="287" t="s">
        <v>5274</v>
      </c>
      <c r="E186" s="204" t="s">
        <v>640</v>
      </c>
      <c r="F186" s="289" t="s">
        <v>5275</v>
      </c>
      <c r="G186" s="297" t="s">
        <v>31</v>
      </c>
      <c r="H186" s="289" t="s">
        <v>21</v>
      </c>
      <c r="I186" s="288" t="s">
        <v>19</v>
      </c>
      <c r="J186" s="321" t="s">
        <v>22</v>
      </c>
      <c r="K186" s="298" t="s">
        <v>5279</v>
      </c>
      <c r="L186" s="173" t="s">
        <v>5280</v>
      </c>
      <c r="M186" s="351" t="s">
        <v>5620</v>
      </c>
      <c r="N186" s="197"/>
      <c r="O186" s="147"/>
      <c r="P186" s="284"/>
      <c r="Q186" s="284"/>
      <c r="R186" s="284"/>
      <c r="S186" s="284"/>
      <c r="T186" s="284"/>
      <c r="U186" s="284"/>
      <c r="V186" s="284"/>
      <c r="W186" s="284"/>
      <c r="X186" s="284"/>
      <c r="Y186" s="284"/>
      <c r="Z186" s="284"/>
    </row>
    <row r="187" ht="22.5" customHeight="1">
      <c r="A187" s="291" t="s">
        <v>637</v>
      </c>
      <c r="B187" s="158" t="s">
        <v>5621</v>
      </c>
      <c r="C187" s="318" t="s">
        <v>40</v>
      </c>
      <c r="D187" s="293" t="s">
        <v>5274</v>
      </c>
      <c r="E187" s="207" t="s">
        <v>640</v>
      </c>
      <c r="F187" s="316" t="s">
        <v>5275</v>
      </c>
      <c r="G187" s="301" t="s">
        <v>31</v>
      </c>
      <c r="H187" s="294" t="s">
        <v>21</v>
      </c>
      <c r="I187" s="306" t="s">
        <v>19</v>
      </c>
      <c r="J187" s="294" t="s">
        <v>22</v>
      </c>
      <c r="K187" s="302" t="s">
        <v>5279</v>
      </c>
      <c r="L187" s="320" t="s">
        <v>5271</v>
      </c>
      <c r="M187" s="157" t="s">
        <v>5622</v>
      </c>
      <c r="N187" s="196"/>
      <c r="O187" s="155"/>
      <c r="P187" s="284"/>
      <c r="Q187" s="284"/>
      <c r="R187" s="284"/>
      <c r="S187" s="284"/>
      <c r="T187" s="284"/>
      <c r="U187" s="284"/>
      <c r="V187" s="284"/>
      <c r="W187" s="284"/>
      <c r="X187" s="284"/>
      <c r="Y187" s="284"/>
      <c r="Z187" s="284"/>
    </row>
    <row r="188" ht="22.5" customHeight="1">
      <c r="A188" s="285" t="s">
        <v>637</v>
      </c>
      <c r="B188" s="159" t="s">
        <v>5623</v>
      </c>
      <c r="C188" s="319" t="s">
        <v>40</v>
      </c>
      <c r="D188" s="287" t="s">
        <v>5274</v>
      </c>
      <c r="E188" s="204" t="s">
        <v>640</v>
      </c>
      <c r="F188" s="289" t="s">
        <v>5275</v>
      </c>
      <c r="G188" s="204" t="s">
        <v>5279</v>
      </c>
      <c r="H188" s="289" t="s">
        <v>21</v>
      </c>
      <c r="I188" s="297" t="s">
        <v>31</v>
      </c>
      <c r="J188" s="321" t="s">
        <v>22</v>
      </c>
      <c r="K188" s="298" t="s">
        <v>5279</v>
      </c>
      <c r="L188" s="173" t="s">
        <v>5280</v>
      </c>
      <c r="M188" s="351" t="s">
        <v>5624</v>
      </c>
      <c r="N188" s="197"/>
      <c r="O188" s="147"/>
      <c r="P188" s="284"/>
      <c r="Q188" s="284"/>
      <c r="R188" s="284"/>
      <c r="S188" s="284"/>
      <c r="T188" s="284"/>
      <c r="U188" s="284"/>
      <c r="V188" s="284"/>
      <c r="W188" s="284"/>
      <c r="X188" s="284"/>
      <c r="Y188" s="284"/>
      <c r="Z188" s="284"/>
    </row>
    <row r="189" ht="22.5" customHeight="1">
      <c r="A189" s="291" t="s">
        <v>637</v>
      </c>
      <c r="B189" s="158" t="s">
        <v>5625</v>
      </c>
      <c r="C189" s="318" t="s">
        <v>40</v>
      </c>
      <c r="D189" s="293" t="s">
        <v>5274</v>
      </c>
      <c r="E189" s="207" t="s">
        <v>640</v>
      </c>
      <c r="F189" s="316" t="s">
        <v>5275</v>
      </c>
      <c r="G189" s="301" t="s">
        <v>31</v>
      </c>
      <c r="H189" s="294" t="s">
        <v>21</v>
      </c>
      <c r="I189" s="306" t="s">
        <v>19</v>
      </c>
      <c r="J189" s="294" t="s">
        <v>22</v>
      </c>
      <c r="K189" s="302" t="s">
        <v>5279</v>
      </c>
      <c r="L189" s="165" t="s">
        <v>5280</v>
      </c>
      <c r="M189" s="157" t="s">
        <v>5626</v>
      </c>
      <c r="N189" s="196"/>
      <c r="O189" s="155"/>
      <c r="P189" s="284"/>
      <c r="Q189" s="284"/>
      <c r="R189" s="284"/>
      <c r="S189" s="284"/>
      <c r="T189" s="284"/>
      <c r="U189" s="284"/>
      <c r="V189" s="284"/>
      <c r="W189" s="284"/>
      <c r="X189" s="284"/>
      <c r="Y189" s="284"/>
      <c r="Z189" s="284"/>
    </row>
    <row r="190" ht="22.5" customHeight="1">
      <c r="A190" s="285" t="s">
        <v>637</v>
      </c>
      <c r="B190" s="159" t="s">
        <v>5627</v>
      </c>
      <c r="C190" s="319" t="s">
        <v>40</v>
      </c>
      <c r="D190" s="287" t="s">
        <v>5274</v>
      </c>
      <c r="E190" s="204" t="s">
        <v>640</v>
      </c>
      <c r="F190" s="289" t="s">
        <v>5275</v>
      </c>
      <c r="G190" s="204" t="s">
        <v>5279</v>
      </c>
      <c r="H190" s="289" t="s">
        <v>21</v>
      </c>
      <c r="I190" s="297" t="s">
        <v>31</v>
      </c>
      <c r="J190" s="321" t="s">
        <v>22</v>
      </c>
      <c r="K190" s="298" t="s">
        <v>5279</v>
      </c>
      <c r="L190" s="173" t="s">
        <v>5280</v>
      </c>
      <c r="M190" s="351" t="s">
        <v>5628</v>
      </c>
      <c r="N190" s="197"/>
      <c r="O190" s="147"/>
      <c r="P190" s="284"/>
      <c r="Q190" s="284"/>
      <c r="R190" s="284"/>
      <c r="S190" s="284"/>
      <c r="T190" s="284"/>
      <c r="U190" s="284"/>
      <c r="V190" s="284"/>
      <c r="W190" s="284"/>
      <c r="X190" s="284"/>
      <c r="Y190" s="284"/>
      <c r="Z190" s="284"/>
    </row>
    <row r="191" ht="22.5" customHeight="1">
      <c r="A191" s="324" t="s">
        <v>5629</v>
      </c>
      <c r="B191" s="158" t="s">
        <v>5630</v>
      </c>
      <c r="C191" s="322" t="s">
        <v>17</v>
      </c>
      <c r="D191" s="293" t="s">
        <v>5274</v>
      </c>
      <c r="E191" s="207" t="s">
        <v>640</v>
      </c>
      <c r="F191" s="316" t="s">
        <v>5275</v>
      </c>
      <c r="G191" s="306" t="s">
        <v>19</v>
      </c>
      <c r="H191" s="294" t="s">
        <v>21</v>
      </c>
      <c r="I191" s="306" t="s">
        <v>19</v>
      </c>
      <c r="J191" s="294" t="s">
        <v>22</v>
      </c>
      <c r="K191" s="302" t="s">
        <v>5279</v>
      </c>
      <c r="L191" s="320" t="s">
        <v>5271</v>
      </c>
      <c r="M191" s="157" t="s">
        <v>5631</v>
      </c>
      <c r="N191" s="196"/>
      <c r="O191" s="155"/>
      <c r="P191" s="284"/>
      <c r="Q191" s="284"/>
      <c r="R191" s="284"/>
      <c r="S191" s="284"/>
      <c r="T191" s="284"/>
      <c r="U191" s="284"/>
      <c r="V191" s="284"/>
      <c r="W191" s="284"/>
      <c r="X191" s="284"/>
      <c r="Y191" s="284"/>
      <c r="Z191" s="284"/>
    </row>
    <row r="192" ht="22.5" customHeight="1">
      <c r="A192" s="285" t="s">
        <v>5632</v>
      </c>
      <c r="B192" s="159" t="s">
        <v>5633</v>
      </c>
      <c r="C192" s="319" t="s">
        <v>40</v>
      </c>
      <c r="D192" s="287" t="s">
        <v>5274</v>
      </c>
      <c r="E192" s="204" t="s">
        <v>640</v>
      </c>
      <c r="F192" s="289" t="s">
        <v>5275</v>
      </c>
      <c r="G192" s="204" t="s">
        <v>5279</v>
      </c>
      <c r="H192" s="289" t="s">
        <v>21</v>
      </c>
      <c r="I192" s="297" t="s">
        <v>31</v>
      </c>
      <c r="J192" s="321" t="s">
        <v>22</v>
      </c>
      <c r="K192" s="298" t="s">
        <v>5279</v>
      </c>
      <c r="L192" s="173" t="s">
        <v>5280</v>
      </c>
      <c r="M192" s="351" t="s">
        <v>5634</v>
      </c>
      <c r="N192" s="197"/>
      <c r="O192" s="147"/>
      <c r="P192" s="284"/>
      <c r="Q192" s="284"/>
      <c r="R192" s="284"/>
      <c r="S192" s="284"/>
      <c r="T192" s="284"/>
      <c r="U192" s="284"/>
      <c r="V192" s="284"/>
      <c r="W192" s="284"/>
      <c r="X192" s="284"/>
      <c r="Y192" s="284"/>
      <c r="Z192" s="284"/>
    </row>
    <row r="193" ht="22.5" customHeight="1">
      <c r="A193" s="291" t="s">
        <v>637</v>
      </c>
      <c r="B193" s="158" t="s">
        <v>5635</v>
      </c>
      <c r="C193" s="322" t="s">
        <v>17</v>
      </c>
      <c r="D193" s="293" t="s">
        <v>5274</v>
      </c>
      <c r="E193" s="207" t="s">
        <v>640</v>
      </c>
      <c r="F193" s="316" t="s">
        <v>5275</v>
      </c>
      <c r="G193" s="207" t="s">
        <v>5279</v>
      </c>
      <c r="H193" s="294" t="s">
        <v>21</v>
      </c>
      <c r="I193" s="207" t="s">
        <v>5279</v>
      </c>
      <c r="J193" s="294" t="s">
        <v>22</v>
      </c>
      <c r="K193" s="307" t="s">
        <v>19</v>
      </c>
      <c r="L193" s="320" t="s">
        <v>5271</v>
      </c>
      <c r="M193" s="157" t="s">
        <v>5636</v>
      </c>
      <c r="N193" s="196"/>
      <c r="O193" s="155"/>
      <c r="P193" s="284"/>
      <c r="Q193" s="284"/>
      <c r="R193" s="284"/>
      <c r="S193" s="284"/>
      <c r="T193" s="284"/>
      <c r="U193" s="284"/>
      <c r="V193" s="284"/>
      <c r="W193" s="284"/>
      <c r="X193" s="284"/>
      <c r="Y193" s="284"/>
      <c r="Z193" s="284"/>
    </row>
    <row r="194" ht="22.5" customHeight="1">
      <c r="A194" s="285" t="s">
        <v>637</v>
      </c>
      <c r="B194" s="159" t="s">
        <v>5637</v>
      </c>
      <c r="C194" s="319" t="s">
        <v>40</v>
      </c>
      <c r="D194" s="287" t="s">
        <v>5274</v>
      </c>
      <c r="E194" s="204" t="s">
        <v>640</v>
      </c>
      <c r="F194" s="289" t="s">
        <v>5275</v>
      </c>
      <c r="G194" s="204" t="s">
        <v>5279</v>
      </c>
      <c r="H194" s="289" t="s">
        <v>21</v>
      </c>
      <c r="I194" s="204" t="s">
        <v>5279</v>
      </c>
      <c r="J194" s="321" t="s">
        <v>22</v>
      </c>
      <c r="K194" s="297" t="s">
        <v>31</v>
      </c>
      <c r="L194" s="173" t="s">
        <v>5280</v>
      </c>
      <c r="M194" s="351" t="s">
        <v>5638</v>
      </c>
      <c r="N194" s="197"/>
      <c r="O194" s="147"/>
      <c r="P194" s="284"/>
      <c r="Q194" s="284"/>
      <c r="R194" s="284"/>
      <c r="S194" s="284"/>
      <c r="T194" s="284"/>
      <c r="U194" s="284"/>
      <c r="V194" s="284"/>
      <c r="W194" s="284"/>
      <c r="X194" s="284"/>
      <c r="Y194" s="284"/>
      <c r="Z194" s="284"/>
    </row>
    <row r="195" ht="22.5" customHeight="1">
      <c r="A195" s="291" t="s">
        <v>5639</v>
      </c>
      <c r="B195" s="158" t="s">
        <v>5640</v>
      </c>
      <c r="C195" s="314" t="s">
        <v>49</v>
      </c>
      <c r="D195" s="293" t="s">
        <v>5274</v>
      </c>
      <c r="E195" s="207" t="s">
        <v>640</v>
      </c>
      <c r="F195" s="316" t="s">
        <v>5275</v>
      </c>
      <c r="G195" s="207" t="s">
        <v>5279</v>
      </c>
      <c r="H195" s="294" t="s">
        <v>21</v>
      </c>
      <c r="I195" s="207" t="s">
        <v>5279</v>
      </c>
      <c r="J195" s="294" t="s">
        <v>22</v>
      </c>
      <c r="K195" s="301" t="s">
        <v>31</v>
      </c>
      <c r="L195" s="165" t="s">
        <v>5280</v>
      </c>
      <c r="M195" s="157" t="s">
        <v>152</v>
      </c>
      <c r="N195" s="196"/>
      <c r="O195" s="155"/>
      <c r="P195" s="284"/>
      <c r="Q195" s="284"/>
      <c r="R195" s="284"/>
      <c r="S195" s="284"/>
      <c r="T195" s="284"/>
      <c r="U195" s="284"/>
      <c r="V195" s="284"/>
      <c r="W195" s="284"/>
      <c r="X195" s="284"/>
      <c r="Y195" s="284"/>
      <c r="Z195" s="284"/>
    </row>
    <row r="196" ht="22.5" customHeight="1">
      <c r="A196" s="285" t="s">
        <v>637</v>
      </c>
      <c r="B196" s="159" t="s">
        <v>5641</v>
      </c>
      <c r="C196" s="319" t="s">
        <v>40</v>
      </c>
      <c r="D196" s="287" t="s">
        <v>5274</v>
      </c>
      <c r="E196" s="204" t="s">
        <v>640</v>
      </c>
      <c r="F196" s="289" t="s">
        <v>5275</v>
      </c>
      <c r="G196" s="288" t="s">
        <v>19</v>
      </c>
      <c r="H196" s="289" t="s">
        <v>21</v>
      </c>
      <c r="I196" s="297" t="s">
        <v>31</v>
      </c>
      <c r="J196" s="321" t="s">
        <v>22</v>
      </c>
      <c r="K196" s="288" t="s">
        <v>19</v>
      </c>
      <c r="L196" s="332" t="s">
        <v>5271</v>
      </c>
      <c r="M196" s="351" t="s">
        <v>5642</v>
      </c>
      <c r="N196" s="197"/>
      <c r="O196" s="147"/>
      <c r="P196" s="284"/>
      <c r="Q196" s="284"/>
      <c r="R196" s="284"/>
      <c r="S196" s="284"/>
      <c r="T196" s="284"/>
      <c r="U196" s="284"/>
      <c r="V196" s="284"/>
      <c r="W196" s="284"/>
      <c r="X196" s="284"/>
      <c r="Y196" s="284"/>
      <c r="Z196" s="284"/>
    </row>
    <row r="197" ht="22.5" customHeight="1">
      <c r="A197" s="291" t="s">
        <v>5643</v>
      </c>
      <c r="B197" s="158" t="s">
        <v>5644</v>
      </c>
      <c r="C197" s="318" t="s">
        <v>40</v>
      </c>
      <c r="D197" s="293" t="s">
        <v>5274</v>
      </c>
      <c r="E197" s="207" t="s">
        <v>640</v>
      </c>
      <c r="F197" s="316" t="s">
        <v>5275</v>
      </c>
      <c r="G197" s="207" t="s">
        <v>5279</v>
      </c>
      <c r="H197" s="294" t="s">
        <v>21</v>
      </c>
      <c r="I197" s="207" t="s">
        <v>5279</v>
      </c>
      <c r="J197" s="316" t="s">
        <v>22</v>
      </c>
      <c r="K197" s="301" t="s">
        <v>31</v>
      </c>
      <c r="L197" s="165" t="s">
        <v>5280</v>
      </c>
      <c r="M197" s="157" t="s">
        <v>5645</v>
      </c>
      <c r="N197" s="196"/>
      <c r="O197" s="155"/>
      <c r="P197" s="284"/>
      <c r="Q197" s="284"/>
      <c r="R197" s="284"/>
      <c r="S197" s="284"/>
      <c r="T197" s="284"/>
      <c r="U197" s="284"/>
      <c r="V197" s="284"/>
      <c r="W197" s="284"/>
      <c r="X197" s="284"/>
      <c r="Y197" s="284"/>
      <c r="Z197" s="284"/>
    </row>
    <row r="198" ht="22.5" customHeight="1">
      <c r="A198" s="285" t="s">
        <v>637</v>
      </c>
      <c r="B198" s="159" t="s">
        <v>5585</v>
      </c>
      <c r="C198" s="317" t="s">
        <v>49</v>
      </c>
      <c r="D198" s="287" t="s">
        <v>5274</v>
      </c>
      <c r="E198" s="204" t="s">
        <v>640</v>
      </c>
      <c r="F198" s="361" t="s">
        <v>5275</v>
      </c>
      <c r="G198" s="204" t="s">
        <v>5279</v>
      </c>
      <c r="H198" s="289" t="s">
        <v>21</v>
      </c>
      <c r="I198" s="204" t="s">
        <v>5279</v>
      </c>
      <c r="J198" s="289" t="s">
        <v>22</v>
      </c>
      <c r="K198" s="298" t="s">
        <v>5279</v>
      </c>
      <c r="L198" s="332" t="s">
        <v>5271</v>
      </c>
      <c r="M198" s="147"/>
      <c r="N198" s="197"/>
      <c r="O198" s="147"/>
      <c r="P198" s="284"/>
      <c r="Q198" s="284"/>
      <c r="R198" s="284"/>
      <c r="S198" s="284"/>
      <c r="T198" s="284"/>
      <c r="U198" s="284"/>
      <c r="V198" s="284"/>
      <c r="W198" s="284"/>
      <c r="X198" s="284"/>
      <c r="Y198" s="284"/>
      <c r="Z198" s="284"/>
    </row>
    <row r="199" ht="22.5" customHeight="1">
      <c r="A199" s="291" t="s">
        <v>637</v>
      </c>
      <c r="B199" s="158" t="s">
        <v>5646</v>
      </c>
      <c r="C199" s="322" t="s">
        <v>17</v>
      </c>
      <c r="D199" s="293" t="s">
        <v>5274</v>
      </c>
      <c r="E199" s="207" t="s">
        <v>640</v>
      </c>
      <c r="F199" s="362" t="s">
        <v>5275</v>
      </c>
      <c r="G199" s="306" t="s">
        <v>19</v>
      </c>
      <c r="H199" s="294" t="s">
        <v>21</v>
      </c>
      <c r="I199" s="207" t="s">
        <v>5279</v>
      </c>
      <c r="J199" s="316" t="s">
        <v>22</v>
      </c>
      <c r="K199" s="306" t="s">
        <v>19</v>
      </c>
      <c r="L199" s="320" t="s">
        <v>5271</v>
      </c>
      <c r="M199" s="157" t="s">
        <v>5647</v>
      </c>
      <c r="N199" s="196"/>
      <c r="O199" s="155"/>
      <c r="P199" s="284"/>
      <c r="Q199" s="284"/>
      <c r="R199" s="284"/>
      <c r="S199" s="284"/>
      <c r="T199" s="284"/>
      <c r="U199" s="284"/>
      <c r="V199" s="284"/>
      <c r="W199" s="284"/>
      <c r="X199" s="284"/>
      <c r="Y199" s="284"/>
      <c r="Z199" s="284"/>
    </row>
    <row r="200" ht="22.5" customHeight="1">
      <c r="A200" s="303" t="s">
        <v>5648</v>
      </c>
      <c r="B200" s="159" t="s">
        <v>5649</v>
      </c>
      <c r="C200" s="319" t="s">
        <v>40</v>
      </c>
      <c r="D200" s="287" t="s">
        <v>5274</v>
      </c>
      <c r="E200" s="204" t="s">
        <v>640</v>
      </c>
      <c r="F200" s="361" t="s">
        <v>5275</v>
      </c>
      <c r="G200" s="204" t="s">
        <v>5279</v>
      </c>
      <c r="H200" s="289" t="s">
        <v>21</v>
      </c>
      <c r="I200" s="204" t="s">
        <v>5279</v>
      </c>
      <c r="J200" s="289" t="s">
        <v>22</v>
      </c>
      <c r="K200" s="297" t="s">
        <v>31</v>
      </c>
      <c r="L200" s="173" t="s">
        <v>5280</v>
      </c>
      <c r="M200" s="351" t="s">
        <v>5645</v>
      </c>
      <c r="N200" s="197"/>
      <c r="O200" s="147"/>
      <c r="P200" s="284"/>
      <c r="Q200" s="284"/>
      <c r="R200" s="284"/>
      <c r="S200" s="284"/>
      <c r="T200" s="284"/>
      <c r="U200" s="284"/>
      <c r="V200" s="284"/>
      <c r="W200" s="284"/>
      <c r="X200" s="284"/>
      <c r="Y200" s="284"/>
      <c r="Z200" s="284"/>
    </row>
    <row r="201" ht="22.5" customHeight="1">
      <c r="A201" s="291" t="s">
        <v>5650</v>
      </c>
      <c r="B201" s="158" t="s">
        <v>5651</v>
      </c>
      <c r="C201" s="314" t="s">
        <v>49</v>
      </c>
      <c r="D201" s="293" t="s">
        <v>5274</v>
      </c>
      <c r="E201" s="207" t="s">
        <v>640</v>
      </c>
      <c r="F201" s="362" t="s">
        <v>5275</v>
      </c>
      <c r="G201" s="207" t="s">
        <v>5279</v>
      </c>
      <c r="H201" s="294" t="s">
        <v>21</v>
      </c>
      <c r="I201" s="207" t="s">
        <v>5279</v>
      </c>
      <c r="J201" s="316" t="s">
        <v>22</v>
      </c>
      <c r="K201" s="302" t="s">
        <v>5279</v>
      </c>
      <c r="L201" s="320" t="s">
        <v>5271</v>
      </c>
      <c r="M201" s="155"/>
      <c r="N201" s="196"/>
      <c r="O201" s="155"/>
      <c r="P201" s="284"/>
      <c r="Q201" s="284"/>
      <c r="R201" s="284"/>
      <c r="S201" s="284"/>
      <c r="T201" s="284"/>
      <c r="U201" s="284"/>
      <c r="V201" s="284"/>
      <c r="W201" s="284"/>
      <c r="X201" s="284"/>
      <c r="Y201" s="284"/>
      <c r="Z201" s="284"/>
    </row>
    <row r="202" ht="22.5" customHeight="1">
      <c r="A202" s="285" t="s">
        <v>637</v>
      </c>
      <c r="B202" s="159" t="s">
        <v>5652</v>
      </c>
      <c r="C202" s="317" t="s">
        <v>49</v>
      </c>
      <c r="D202" s="287" t="s">
        <v>5274</v>
      </c>
      <c r="E202" s="204" t="s">
        <v>640</v>
      </c>
      <c r="F202" s="344" t="s">
        <v>5275</v>
      </c>
      <c r="G202" s="204" t="s">
        <v>5279</v>
      </c>
      <c r="H202" s="289" t="s">
        <v>21</v>
      </c>
      <c r="I202" s="204" t="s">
        <v>5279</v>
      </c>
      <c r="J202" s="289" t="s">
        <v>22</v>
      </c>
      <c r="K202" s="298" t="s">
        <v>5279</v>
      </c>
      <c r="L202" s="332" t="s">
        <v>5271</v>
      </c>
      <c r="M202" s="147"/>
      <c r="N202" s="197"/>
      <c r="O202" s="147"/>
      <c r="P202" s="284"/>
      <c r="Q202" s="284"/>
      <c r="R202" s="284"/>
      <c r="S202" s="284"/>
      <c r="T202" s="284"/>
      <c r="U202" s="284"/>
      <c r="V202" s="284"/>
      <c r="W202" s="284"/>
      <c r="X202" s="284"/>
      <c r="Y202" s="284"/>
      <c r="Z202" s="284"/>
    </row>
    <row r="203" ht="22.5" customHeight="1">
      <c r="A203" s="299" t="s">
        <v>637</v>
      </c>
      <c r="B203" s="313" t="s">
        <v>5291</v>
      </c>
      <c r="C203" s="318" t="s">
        <v>40</v>
      </c>
      <c r="D203" s="293" t="s">
        <v>5274</v>
      </c>
      <c r="E203" s="227" t="s">
        <v>640</v>
      </c>
      <c r="F203" s="341" t="s">
        <v>5275</v>
      </c>
      <c r="G203" s="227" t="s">
        <v>5279</v>
      </c>
      <c r="H203" s="294" t="s">
        <v>21</v>
      </c>
      <c r="I203" s="311" t="s">
        <v>31</v>
      </c>
      <c r="J203" s="316" t="s">
        <v>22</v>
      </c>
      <c r="K203" s="363" t="s">
        <v>19</v>
      </c>
      <c r="L203" s="180" t="s">
        <v>5280</v>
      </c>
      <c r="M203" s="364" t="s">
        <v>5620</v>
      </c>
      <c r="N203" s="196"/>
      <c r="O203" s="155"/>
      <c r="P203" s="284"/>
      <c r="Q203" s="284"/>
      <c r="R203" s="284"/>
      <c r="S203" s="284"/>
      <c r="T203" s="284"/>
      <c r="U203" s="284"/>
      <c r="V203" s="284"/>
      <c r="W203" s="284"/>
      <c r="X203" s="284"/>
      <c r="Y203" s="284"/>
      <c r="Z203" s="284"/>
    </row>
    <row r="204" ht="22.5" customHeight="1">
      <c r="A204" s="285" t="s">
        <v>637</v>
      </c>
      <c r="B204" s="159" t="s">
        <v>5653</v>
      </c>
      <c r="C204" s="319" t="s">
        <v>40</v>
      </c>
      <c r="D204" s="287" t="s">
        <v>5274</v>
      </c>
      <c r="E204" s="204" t="s">
        <v>640</v>
      </c>
      <c r="F204" s="344" t="s">
        <v>5275</v>
      </c>
      <c r="G204" s="204" t="s">
        <v>5279</v>
      </c>
      <c r="H204" s="289" t="s">
        <v>21</v>
      </c>
      <c r="I204" s="297" t="s">
        <v>31</v>
      </c>
      <c r="J204" s="289" t="s">
        <v>22</v>
      </c>
      <c r="K204" s="288" t="s">
        <v>19</v>
      </c>
      <c r="L204" s="173" t="s">
        <v>5280</v>
      </c>
      <c r="M204" s="351" t="s">
        <v>5654</v>
      </c>
      <c r="N204" s="197"/>
      <c r="O204" s="147"/>
      <c r="P204" s="284"/>
      <c r="Q204" s="284"/>
      <c r="R204" s="284"/>
      <c r="S204" s="284"/>
      <c r="T204" s="284"/>
      <c r="U204" s="284"/>
      <c r="V204" s="284"/>
      <c r="W204" s="284"/>
      <c r="X204" s="284"/>
      <c r="Y204" s="284"/>
      <c r="Z204" s="284"/>
    </row>
    <row r="205" ht="22.5" customHeight="1">
      <c r="A205" s="291" t="s">
        <v>637</v>
      </c>
      <c r="B205" s="158" t="s">
        <v>5655</v>
      </c>
      <c r="C205" s="318" t="s">
        <v>40</v>
      </c>
      <c r="D205" s="293" t="s">
        <v>5274</v>
      </c>
      <c r="E205" s="306" t="s">
        <v>19</v>
      </c>
      <c r="F205" s="341" t="s">
        <v>5275</v>
      </c>
      <c r="G205" s="207" t="s">
        <v>5279</v>
      </c>
      <c r="H205" s="294" t="s">
        <v>21</v>
      </c>
      <c r="I205" s="207" t="s">
        <v>5279</v>
      </c>
      <c r="J205" s="294" t="s">
        <v>22</v>
      </c>
      <c r="K205" s="302" t="s">
        <v>5279</v>
      </c>
      <c r="L205" s="320" t="s">
        <v>5271</v>
      </c>
      <c r="M205" s="157" t="s">
        <v>5595</v>
      </c>
      <c r="N205" s="196"/>
      <c r="O205" s="155"/>
      <c r="P205" s="284"/>
      <c r="Q205" s="284"/>
      <c r="R205" s="284"/>
      <c r="S205" s="284"/>
      <c r="T205" s="284"/>
      <c r="U205" s="284"/>
      <c r="V205" s="284"/>
      <c r="W205" s="284"/>
      <c r="X205" s="284"/>
      <c r="Y205" s="284"/>
      <c r="Z205" s="284"/>
    </row>
    <row r="206" ht="22.5" customHeight="1">
      <c r="A206" s="285" t="s">
        <v>5656</v>
      </c>
      <c r="B206" s="159" t="s">
        <v>5657</v>
      </c>
      <c r="C206" s="317" t="s">
        <v>49</v>
      </c>
      <c r="D206" s="287" t="s">
        <v>5274</v>
      </c>
      <c r="E206" s="297" t="s">
        <v>31</v>
      </c>
      <c r="F206" s="344" t="s">
        <v>5275</v>
      </c>
      <c r="G206" s="204" t="s">
        <v>5279</v>
      </c>
      <c r="H206" s="289" t="s">
        <v>21</v>
      </c>
      <c r="I206" s="204" t="s">
        <v>5279</v>
      </c>
      <c r="J206" s="289" t="s">
        <v>22</v>
      </c>
      <c r="K206" s="298" t="s">
        <v>5279</v>
      </c>
      <c r="L206" s="173" t="s">
        <v>5280</v>
      </c>
      <c r="M206" s="351" t="s">
        <v>152</v>
      </c>
      <c r="N206" s="197"/>
      <c r="O206" s="147"/>
      <c r="P206" s="284"/>
      <c r="Q206" s="284"/>
      <c r="R206" s="284"/>
      <c r="S206" s="284"/>
      <c r="T206" s="284"/>
      <c r="U206" s="284"/>
      <c r="V206" s="284"/>
      <c r="W206" s="284"/>
      <c r="X206" s="284"/>
      <c r="Y206" s="284"/>
      <c r="Z206" s="284"/>
    </row>
    <row r="207" ht="22.5" customHeight="1">
      <c r="A207" s="291" t="s">
        <v>637</v>
      </c>
      <c r="B207" s="158" t="s">
        <v>5658</v>
      </c>
      <c r="C207" s="322" t="s">
        <v>17</v>
      </c>
      <c r="D207" s="293" t="s">
        <v>5274</v>
      </c>
      <c r="E207" s="306" t="s">
        <v>19</v>
      </c>
      <c r="F207" s="341" t="s">
        <v>5275</v>
      </c>
      <c r="G207" s="207" t="s">
        <v>5279</v>
      </c>
      <c r="H207" s="294" t="s">
        <v>21</v>
      </c>
      <c r="I207" s="306" t="s">
        <v>19</v>
      </c>
      <c r="J207" s="294" t="s">
        <v>22</v>
      </c>
      <c r="K207" s="302" t="s">
        <v>5279</v>
      </c>
      <c r="L207" s="320" t="s">
        <v>5271</v>
      </c>
      <c r="M207" s="157" t="s">
        <v>5595</v>
      </c>
      <c r="N207" s="196"/>
      <c r="O207" s="155"/>
      <c r="P207" s="284"/>
      <c r="Q207" s="284"/>
      <c r="R207" s="284"/>
      <c r="S207" s="284"/>
      <c r="T207" s="284"/>
      <c r="U207" s="284"/>
      <c r="V207" s="284"/>
      <c r="W207" s="284"/>
      <c r="X207" s="284"/>
      <c r="Y207" s="284"/>
      <c r="Z207" s="284"/>
    </row>
    <row r="208" ht="22.5" customHeight="1">
      <c r="A208" s="285" t="s">
        <v>5659</v>
      </c>
      <c r="B208" s="159" t="s">
        <v>5660</v>
      </c>
      <c r="C208" s="319" t="s">
        <v>40</v>
      </c>
      <c r="D208" s="287" t="s">
        <v>5274</v>
      </c>
      <c r="E208" s="297" t="s">
        <v>31</v>
      </c>
      <c r="F208" s="344" t="s">
        <v>5275</v>
      </c>
      <c r="G208" s="204" t="s">
        <v>5279</v>
      </c>
      <c r="H208" s="289" t="s">
        <v>21</v>
      </c>
      <c r="I208" s="204" t="s">
        <v>5279</v>
      </c>
      <c r="J208" s="289" t="s">
        <v>22</v>
      </c>
      <c r="K208" s="298" t="s">
        <v>5279</v>
      </c>
      <c r="L208" s="173" t="s">
        <v>5280</v>
      </c>
      <c r="M208" s="351" t="s">
        <v>5661</v>
      </c>
      <c r="N208" s="197"/>
      <c r="O208" s="147"/>
      <c r="P208" s="284"/>
      <c r="Q208" s="284"/>
      <c r="R208" s="284"/>
      <c r="S208" s="284"/>
      <c r="T208" s="284"/>
      <c r="U208" s="284"/>
      <c r="V208" s="284"/>
      <c r="W208" s="284"/>
      <c r="X208" s="284"/>
      <c r="Y208" s="284"/>
      <c r="Z208" s="284"/>
    </row>
    <row r="209" ht="22.5" customHeight="1">
      <c r="A209" s="291" t="s">
        <v>5662</v>
      </c>
      <c r="B209" s="158" t="s">
        <v>5663</v>
      </c>
      <c r="C209" s="318" t="s">
        <v>40</v>
      </c>
      <c r="D209" s="293" t="s">
        <v>5274</v>
      </c>
      <c r="E209" s="301" t="s">
        <v>31</v>
      </c>
      <c r="F209" s="341" t="s">
        <v>5275</v>
      </c>
      <c r="G209" s="207" t="s">
        <v>5279</v>
      </c>
      <c r="H209" s="294" t="s">
        <v>21</v>
      </c>
      <c r="I209" s="207" t="s">
        <v>5279</v>
      </c>
      <c r="J209" s="294" t="s">
        <v>22</v>
      </c>
      <c r="K209" s="302" t="s">
        <v>5279</v>
      </c>
      <c r="L209" s="165" t="s">
        <v>5280</v>
      </c>
      <c r="M209" s="157" t="s">
        <v>5664</v>
      </c>
      <c r="N209" s="196"/>
      <c r="O209" s="155"/>
      <c r="P209" s="284"/>
      <c r="Q209" s="284"/>
      <c r="R209" s="284"/>
      <c r="S209" s="284"/>
      <c r="T209" s="284"/>
      <c r="U209" s="284"/>
      <c r="V209" s="284"/>
      <c r="W209" s="284"/>
      <c r="X209" s="284"/>
      <c r="Y209" s="284"/>
      <c r="Z209" s="284"/>
    </row>
    <row r="210" ht="22.5" customHeight="1">
      <c r="A210" s="285" t="s">
        <v>5665</v>
      </c>
      <c r="B210" s="159" t="s">
        <v>5666</v>
      </c>
      <c r="C210" s="319" t="s">
        <v>40</v>
      </c>
      <c r="D210" s="287" t="s">
        <v>5274</v>
      </c>
      <c r="E210" s="297" t="s">
        <v>31</v>
      </c>
      <c r="F210" s="344" t="s">
        <v>5275</v>
      </c>
      <c r="G210" s="204" t="s">
        <v>5279</v>
      </c>
      <c r="H210" s="289" t="s">
        <v>21</v>
      </c>
      <c r="I210" s="204" t="s">
        <v>5279</v>
      </c>
      <c r="J210" s="289" t="s">
        <v>22</v>
      </c>
      <c r="K210" s="298" t="s">
        <v>5279</v>
      </c>
      <c r="L210" s="173" t="s">
        <v>5280</v>
      </c>
      <c r="M210" s="351" t="s">
        <v>5661</v>
      </c>
      <c r="N210" s="197"/>
      <c r="O210" s="147"/>
      <c r="P210" s="284"/>
      <c r="Q210" s="284"/>
      <c r="R210" s="284"/>
      <c r="S210" s="284"/>
      <c r="T210" s="284"/>
      <c r="U210" s="284"/>
      <c r="V210" s="284"/>
      <c r="W210" s="284"/>
      <c r="X210" s="284"/>
      <c r="Y210" s="284"/>
      <c r="Z210" s="284"/>
    </row>
    <row r="211" ht="22.5" customHeight="1">
      <c r="A211" s="291" t="s">
        <v>5667</v>
      </c>
      <c r="B211" s="158" t="s">
        <v>5668</v>
      </c>
      <c r="C211" s="318" t="s">
        <v>40</v>
      </c>
      <c r="D211" s="293" t="s">
        <v>5274</v>
      </c>
      <c r="E211" s="306" t="s">
        <v>19</v>
      </c>
      <c r="F211" s="341" t="s">
        <v>5275</v>
      </c>
      <c r="G211" s="207" t="s">
        <v>5279</v>
      </c>
      <c r="H211" s="294" t="s">
        <v>21</v>
      </c>
      <c r="I211" s="301" t="s">
        <v>31</v>
      </c>
      <c r="J211" s="294" t="s">
        <v>22</v>
      </c>
      <c r="K211" s="302" t="s">
        <v>5279</v>
      </c>
      <c r="L211" s="165" t="s">
        <v>5280</v>
      </c>
      <c r="M211" s="157" t="s">
        <v>5669</v>
      </c>
      <c r="N211" s="196"/>
      <c r="O211" s="155"/>
      <c r="P211" s="284"/>
      <c r="Q211" s="284"/>
      <c r="R211" s="284"/>
      <c r="S211" s="284"/>
      <c r="T211" s="284"/>
      <c r="U211" s="284"/>
      <c r="V211" s="284"/>
      <c r="W211" s="284"/>
      <c r="X211" s="284"/>
      <c r="Y211" s="284"/>
      <c r="Z211" s="284"/>
    </row>
    <row r="212" ht="22.5" customHeight="1">
      <c r="A212" s="285" t="s">
        <v>5670</v>
      </c>
      <c r="B212" s="159" t="s">
        <v>5671</v>
      </c>
      <c r="C212" s="317" t="s">
        <v>49</v>
      </c>
      <c r="D212" s="358" t="s">
        <v>5274</v>
      </c>
      <c r="E212" s="297" t="s">
        <v>31</v>
      </c>
      <c r="F212" s="344" t="s">
        <v>5275</v>
      </c>
      <c r="G212" s="204" t="s">
        <v>5279</v>
      </c>
      <c r="H212" s="289" t="s">
        <v>21</v>
      </c>
      <c r="I212" s="297" t="s">
        <v>31</v>
      </c>
      <c r="J212" s="289" t="s">
        <v>22</v>
      </c>
      <c r="K212" s="298" t="s">
        <v>5279</v>
      </c>
      <c r="L212" s="173" t="s">
        <v>5280</v>
      </c>
      <c r="M212" s="351" t="s">
        <v>152</v>
      </c>
      <c r="N212" s="197"/>
      <c r="O212" s="147"/>
      <c r="P212" s="284"/>
      <c r="Q212" s="284"/>
      <c r="R212" s="284"/>
      <c r="S212" s="284"/>
      <c r="T212" s="284"/>
      <c r="U212" s="284"/>
      <c r="V212" s="284"/>
      <c r="W212" s="284"/>
      <c r="X212" s="284"/>
      <c r="Y212" s="284"/>
      <c r="Z212" s="284"/>
    </row>
    <row r="213" ht="22.5" customHeight="1">
      <c r="A213" s="291" t="s">
        <v>637</v>
      </c>
      <c r="B213" s="158" t="s">
        <v>5672</v>
      </c>
      <c r="C213" s="322" t="s">
        <v>17</v>
      </c>
      <c r="D213" s="293" t="s">
        <v>5274</v>
      </c>
      <c r="E213" s="306" t="s">
        <v>19</v>
      </c>
      <c r="F213" s="341" t="s">
        <v>5275</v>
      </c>
      <c r="G213" s="207" t="s">
        <v>5279</v>
      </c>
      <c r="H213" s="294" t="s">
        <v>21</v>
      </c>
      <c r="I213" s="306" t="s">
        <v>19</v>
      </c>
      <c r="J213" s="294" t="s">
        <v>22</v>
      </c>
      <c r="K213" s="302" t="s">
        <v>5279</v>
      </c>
      <c r="L213" s="320" t="s">
        <v>5271</v>
      </c>
      <c r="M213" s="157" t="s">
        <v>5673</v>
      </c>
      <c r="N213" s="196"/>
      <c r="O213" s="155"/>
      <c r="P213" s="284"/>
      <c r="Q213" s="284"/>
      <c r="R213" s="284"/>
      <c r="S213" s="284"/>
      <c r="T213" s="284"/>
      <c r="U213" s="284"/>
      <c r="V213" s="284"/>
      <c r="W213" s="284"/>
      <c r="X213" s="284"/>
      <c r="Y213" s="284"/>
      <c r="Z213" s="284"/>
    </row>
    <row r="214" ht="22.5" customHeight="1">
      <c r="A214" s="285" t="s">
        <v>637</v>
      </c>
      <c r="B214" s="159" t="s">
        <v>5674</v>
      </c>
      <c r="C214" s="317" t="s">
        <v>49</v>
      </c>
      <c r="D214" s="358" t="s">
        <v>5274</v>
      </c>
      <c r="E214" s="204" t="s">
        <v>640</v>
      </c>
      <c r="F214" s="344" t="s">
        <v>5275</v>
      </c>
      <c r="G214" s="204" t="s">
        <v>5279</v>
      </c>
      <c r="H214" s="289" t="s">
        <v>21</v>
      </c>
      <c r="I214" s="297" t="s">
        <v>31</v>
      </c>
      <c r="J214" s="289" t="s">
        <v>22</v>
      </c>
      <c r="K214" s="298" t="s">
        <v>5279</v>
      </c>
      <c r="L214" s="173" t="s">
        <v>5280</v>
      </c>
      <c r="M214" s="351" t="s">
        <v>1713</v>
      </c>
      <c r="N214" s="197"/>
      <c r="O214" s="147"/>
      <c r="P214" s="284"/>
      <c r="Q214" s="284"/>
      <c r="R214" s="284"/>
      <c r="S214" s="284"/>
      <c r="T214" s="284"/>
      <c r="U214" s="284"/>
      <c r="V214" s="284"/>
      <c r="W214" s="284"/>
      <c r="X214" s="284"/>
      <c r="Y214" s="284"/>
      <c r="Z214" s="284"/>
    </row>
    <row r="215" ht="22.5" customHeight="1">
      <c r="A215" s="291" t="s">
        <v>637</v>
      </c>
      <c r="B215" s="158" t="s">
        <v>5675</v>
      </c>
      <c r="C215" s="322" t="s">
        <v>17</v>
      </c>
      <c r="D215" s="293" t="s">
        <v>5274</v>
      </c>
      <c r="E215" s="207" t="s">
        <v>640</v>
      </c>
      <c r="F215" s="341" t="s">
        <v>5275</v>
      </c>
      <c r="G215" s="306" t="s">
        <v>19</v>
      </c>
      <c r="H215" s="294" t="s">
        <v>21</v>
      </c>
      <c r="I215" s="306" t="s">
        <v>19</v>
      </c>
      <c r="J215" s="294" t="s">
        <v>22</v>
      </c>
      <c r="K215" s="302" t="s">
        <v>5279</v>
      </c>
      <c r="L215" s="320" t="s">
        <v>5271</v>
      </c>
      <c r="M215" s="157" t="s">
        <v>5676</v>
      </c>
      <c r="N215" s="196"/>
      <c r="O215" s="155"/>
      <c r="P215" s="284"/>
      <c r="Q215" s="284"/>
      <c r="R215" s="284"/>
      <c r="S215" s="284"/>
      <c r="T215" s="284"/>
      <c r="U215" s="284"/>
      <c r="V215" s="284"/>
      <c r="W215" s="284"/>
      <c r="X215" s="284"/>
      <c r="Y215" s="284"/>
      <c r="Z215" s="284"/>
    </row>
    <row r="216" ht="22.5" customHeight="1">
      <c r="A216" s="285" t="s">
        <v>637</v>
      </c>
      <c r="B216" s="159" t="s">
        <v>5677</v>
      </c>
      <c r="C216" s="319" t="s">
        <v>40</v>
      </c>
      <c r="D216" s="358" t="s">
        <v>5274</v>
      </c>
      <c r="E216" s="204" t="s">
        <v>640</v>
      </c>
      <c r="F216" s="344" t="s">
        <v>5275</v>
      </c>
      <c r="G216" s="204" t="s">
        <v>5279</v>
      </c>
      <c r="H216" s="289" t="s">
        <v>21</v>
      </c>
      <c r="I216" s="297" t="s">
        <v>31</v>
      </c>
      <c r="J216" s="289" t="s">
        <v>22</v>
      </c>
      <c r="K216" s="298" t="s">
        <v>5279</v>
      </c>
      <c r="L216" s="173" t="s">
        <v>5280</v>
      </c>
      <c r="M216" s="351" t="s">
        <v>5678</v>
      </c>
      <c r="N216" s="197"/>
      <c r="O216" s="147"/>
      <c r="P216" s="284"/>
      <c r="Q216" s="284"/>
      <c r="R216" s="284"/>
      <c r="S216" s="284"/>
      <c r="T216" s="284"/>
      <c r="U216" s="284"/>
      <c r="V216" s="284"/>
      <c r="W216" s="284"/>
      <c r="X216" s="284"/>
      <c r="Y216" s="284"/>
      <c r="Z216" s="284"/>
    </row>
    <row r="217" ht="22.5" customHeight="1">
      <c r="A217" s="291" t="s">
        <v>637</v>
      </c>
      <c r="B217" s="158" t="s">
        <v>5679</v>
      </c>
      <c r="C217" s="314" t="s">
        <v>49</v>
      </c>
      <c r="D217" s="293" t="s">
        <v>5274</v>
      </c>
      <c r="E217" s="207" t="s">
        <v>640</v>
      </c>
      <c r="F217" s="341" t="s">
        <v>5275</v>
      </c>
      <c r="G217" s="207" t="s">
        <v>5279</v>
      </c>
      <c r="H217" s="294" t="s">
        <v>21</v>
      </c>
      <c r="I217" s="306" t="s">
        <v>19</v>
      </c>
      <c r="J217" s="294" t="s">
        <v>22</v>
      </c>
      <c r="K217" s="302" t="s">
        <v>5279</v>
      </c>
      <c r="L217" s="320" t="s">
        <v>5271</v>
      </c>
      <c r="M217" s="157" t="s">
        <v>5680</v>
      </c>
      <c r="N217" s="196"/>
      <c r="O217" s="155"/>
      <c r="P217" s="284"/>
      <c r="Q217" s="284"/>
      <c r="R217" s="284"/>
      <c r="S217" s="284"/>
      <c r="T217" s="284"/>
      <c r="U217" s="284"/>
      <c r="V217" s="284"/>
      <c r="W217" s="284"/>
      <c r="X217" s="284"/>
      <c r="Y217" s="284"/>
      <c r="Z217" s="284"/>
    </row>
    <row r="218" ht="22.5" customHeight="1">
      <c r="A218" s="285" t="s">
        <v>637</v>
      </c>
      <c r="B218" s="159" t="s">
        <v>5681</v>
      </c>
      <c r="C218" s="317" t="s">
        <v>49</v>
      </c>
      <c r="D218" s="358" t="s">
        <v>5274</v>
      </c>
      <c r="E218" s="204" t="s">
        <v>640</v>
      </c>
      <c r="F218" s="344" t="s">
        <v>5275</v>
      </c>
      <c r="G218" s="204" t="s">
        <v>5279</v>
      </c>
      <c r="H218" s="289" t="s">
        <v>21</v>
      </c>
      <c r="I218" s="297" t="s">
        <v>31</v>
      </c>
      <c r="J218" s="289" t="s">
        <v>22</v>
      </c>
      <c r="K218" s="298" t="s">
        <v>5279</v>
      </c>
      <c r="L218" s="173" t="s">
        <v>5280</v>
      </c>
      <c r="M218" s="351" t="s">
        <v>1212</v>
      </c>
      <c r="N218" s="197"/>
      <c r="O218" s="147"/>
      <c r="P218" s="284"/>
      <c r="Q218" s="284"/>
      <c r="R218" s="284"/>
      <c r="S218" s="284"/>
      <c r="T218" s="284"/>
      <c r="U218" s="284"/>
      <c r="V218" s="284"/>
      <c r="W218" s="284"/>
      <c r="X218" s="284"/>
      <c r="Y218" s="284"/>
      <c r="Z218" s="284"/>
    </row>
    <row r="219" ht="22.5" customHeight="1">
      <c r="A219" s="291" t="s">
        <v>5682</v>
      </c>
      <c r="B219" s="158" t="s">
        <v>5683</v>
      </c>
      <c r="C219" s="318" t="s">
        <v>40</v>
      </c>
      <c r="D219" s="293" t="s">
        <v>5274</v>
      </c>
      <c r="E219" s="207" t="s">
        <v>640</v>
      </c>
      <c r="F219" s="341" t="s">
        <v>5275</v>
      </c>
      <c r="G219" s="207" t="s">
        <v>5279</v>
      </c>
      <c r="H219" s="294" t="s">
        <v>21</v>
      </c>
      <c r="I219" s="301" t="s">
        <v>31</v>
      </c>
      <c r="J219" s="294" t="s">
        <v>22</v>
      </c>
      <c r="K219" s="302" t="s">
        <v>5279</v>
      </c>
      <c r="L219" s="165" t="s">
        <v>5280</v>
      </c>
      <c r="M219" s="157" t="s">
        <v>1418</v>
      </c>
      <c r="N219" s="196"/>
      <c r="O219" s="155"/>
      <c r="P219" s="284"/>
      <c r="Q219" s="284"/>
      <c r="R219" s="284"/>
      <c r="S219" s="284"/>
      <c r="T219" s="284"/>
      <c r="U219" s="284"/>
      <c r="V219" s="284"/>
      <c r="W219" s="284"/>
      <c r="X219" s="284"/>
      <c r="Y219" s="284"/>
      <c r="Z219" s="284"/>
    </row>
    <row r="220" ht="22.5" customHeight="1">
      <c r="A220" s="285" t="s">
        <v>5684</v>
      </c>
      <c r="B220" s="159" t="s">
        <v>5685</v>
      </c>
      <c r="C220" s="317" t="s">
        <v>49</v>
      </c>
      <c r="D220" s="358" t="s">
        <v>5274</v>
      </c>
      <c r="E220" s="204" t="s">
        <v>640</v>
      </c>
      <c r="F220" s="344" t="s">
        <v>5275</v>
      </c>
      <c r="G220" s="204" t="s">
        <v>5279</v>
      </c>
      <c r="H220" s="289" t="s">
        <v>21</v>
      </c>
      <c r="I220" s="297" t="s">
        <v>31</v>
      </c>
      <c r="J220" s="289" t="s">
        <v>22</v>
      </c>
      <c r="K220" s="298" t="s">
        <v>5279</v>
      </c>
      <c r="L220" s="173" t="s">
        <v>5280</v>
      </c>
      <c r="M220" s="351" t="s">
        <v>1713</v>
      </c>
      <c r="N220" s="197"/>
      <c r="O220" s="147"/>
      <c r="P220" s="284"/>
      <c r="Q220" s="284"/>
      <c r="R220" s="284"/>
      <c r="S220" s="284"/>
      <c r="T220" s="284"/>
      <c r="U220" s="284"/>
      <c r="V220" s="284"/>
      <c r="W220" s="284"/>
      <c r="X220" s="284"/>
      <c r="Y220" s="284"/>
      <c r="Z220" s="284"/>
    </row>
    <row r="221" ht="22.5" customHeight="1">
      <c r="A221" s="291" t="s">
        <v>637</v>
      </c>
      <c r="B221" s="158" t="s">
        <v>5686</v>
      </c>
      <c r="C221" s="322" t="s">
        <v>17</v>
      </c>
      <c r="D221" s="293" t="s">
        <v>5274</v>
      </c>
      <c r="E221" s="207" t="s">
        <v>640</v>
      </c>
      <c r="F221" s="341" t="s">
        <v>5275</v>
      </c>
      <c r="G221" s="207" t="s">
        <v>5279</v>
      </c>
      <c r="H221" s="294" t="s">
        <v>21</v>
      </c>
      <c r="I221" s="306" t="s">
        <v>19</v>
      </c>
      <c r="J221" s="294" t="s">
        <v>22</v>
      </c>
      <c r="K221" s="307" t="s">
        <v>19</v>
      </c>
      <c r="L221" s="320" t="s">
        <v>5271</v>
      </c>
      <c r="M221" s="157" t="s">
        <v>5605</v>
      </c>
      <c r="N221" s="196"/>
      <c r="O221" s="155"/>
      <c r="P221" s="284"/>
      <c r="Q221" s="284"/>
      <c r="R221" s="284"/>
      <c r="S221" s="284"/>
      <c r="T221" s="284"/>
      <c r="U221" s="284"/>
      <c r="V221" s="284"/>
      <c r="W221" s="284"/>
      <c r="X221" s="284"/>
      <c r="Y221" s="284"/>
      <c r="Z221" s="284"/>
    </row>
    <row r="222" ht="22.5" customHeight="1">
      <c r="A222" s="285" t="s">
        <v>637</v>
      </c>
      <c r="B222" s="159" t="s">
        <v>5687</v>
      </c>
      <c r="C222" s="317" t="s">
        <v>49</v>
      </c>
      <c r="D222" s="358" t="s">
        <v>5274</v>
      </c>
      <c r="E222" s="204" t="s">
        <v>640</v>
      </c>
      <c r="F222" s="344" t="s">
        <v>5275</v>
      </c>
      <c r="G222" s="204" t="s">
        <v>5279</v>
      </c>
      <c r="H222" s="289" t="s">
        <v>21</v>
      </c>
      <c r="I222" s="204" t="s">
        <v>5279</v>
      </c>
      <c r="J222" s="289" t="s">
        <v>22</v>
      </c>
      <c r="K222" s="298" t="s">
        <v>5279</v>
      </c>
      <c r="L222" s="332" t="s">
        <v>5271</v>
      </c>
      <c r="M222" s="147"/>
      <c r="N222" s="197"/>
      <c r="O222" s="147"/>
      <c r="P222" s="284"/>
      <c r="Q222" s="284"/>
      <c r="R222" s="284"/>
      <c r="S222" s="284"/>
      <c r="T222" s="284"/>
      <c r="U222" s="284"/>
      <c r="V222" s="284"/>
      <c r="W222" s="284"/>
      <c r="X222" s="284"/>
      <c r="Y222" s="284"/>
      <c r="Z222" s="284"/>
    </row>
    <row r="223" ht="22.5" customHeight="1">
      <c r="A223" s="291" t="s">
        <v>637</v>
      </c>
      <c r="B223" s="158" t="s">
        <v>5688</v>
      </c>
      <c r="C223" s="322" t="s">
        <v>17</v>
      </c>
      <c r="D223" s="293" t="s">
        <v>5274</v>
      </c>
      <c r="E223" s="207" t="s">
        <v>640</v>
      </c>
      <c r="F223" s="341" t="s">
        <v>5275</v>
      </c>
      <c r="G223" s="207" t="s">
        <v>5279</v>
      </c>
      <c r="H223" s="294" t="s">
        <v>21</v>
      </c>
      <c r="I223" s="306" t="s">
        <v>19</v>
      </c>
      <c r="J223" s="294" t="s">
        <v>22</v>
      </c>
      <c r="K223" s="307" t="s">
        <v>19</v>
      </c>
      <c r="L223" s="320" t="s">
        <v>5271</v>
      </c>
      <c r="M223" s="157" t="s">
        <v>5689</v>
      </c>
      <c r="N223" s="196"/>
      <c r="O223" s="155"/>
      <c r="P223" s="284"/>
      <c r="Q223" s="284"/>
      <c r="R223" s="284"/>
      <c r="S223" s="284"/>
      <c r="T223" s="284"/>
      <c r="U223" s="284"/>
      <c r="V223" s="284"/>
      <c r="W223" s="284"/>
      <c r="X223" s="284"/>
      <c r="Y223" s="284"/>
      <c r="Z223" s="284"/>
    </row>
    <row r="224" ht="22.5" customHeight="1">
      <c r="A224" s="285" t="s">
        <v>637</v>
      </c>
      <c r="B224" s="159" t="s">
        <v>5690</v>
      </c>
      <c r="C224" s="323" t="s">
        <v>17</v>
      </c>
      <c r="D224" s="358" t="s">
        <v>5274</v>
      </c>
      <c r="E224" s="204" t="s">
        <v>640</v>
      </c>
      <c r="F224" s="344" t="s">
        <v>5275</v>
      </c>
      <c r="G224" s="204" t="s">
        <v>5279</v>
      </c>
      <c r="H224" s="289" t="s">
        <v>21</v>
      </c>
      <c r="I224" s="288" t="s">
        <v>19</v>
      </c>
      <c r="J224" s="289" t="s">
        <v>22</v>
      </c>
      <c r="K224" s="290" t="s">
        <v>19</v>
      </c>
      <c r="L224" s="332" t="s">
        <v>5271</v>
      </c>
      <c r="M224" s="351" t="s">
        <v>5691</v>
      </c>
      <c r="N224" s="197"/>
      <c r="O224" s="147"/>
      <c r="P224" s="284"/>
      <c r="Q224" s="284"/>
      <c r="R224" s="284"/>
      <c r="S224" s="284"/>
      <c r="T224" s="284"/>
      <c r="U224" s="284"/>
      <c r="V224" s="284"/>
      <c r="W224" s="284"/>
      <c r="X224" s="284"/>
      <c r="Y224" s="284"/>
      <c r="Z224" s="284"/>
    </row>
    <row r="225" ht="22.5" customHeight="1">
      <c r="A225" s="291" t="s">
        <v>637</v>
      </c>
      <c r="B225" s="158" t="s">
        <v>5692</v>
      </c>
      <c r="C225" s="322" t="s">
        <v>17</v>
      </c>
      <c r="D225" s="293" t="s">
        <v>5274</v>
      </c>
      <c r="E225" s="207" t="s">
        <v>640</v>
      </c>
      <c r="F225" s="341" t="s">
        <v>5275</v>
      </c>
      <c r="G225" s="207" t="s">
        <v>5279</v>
      </c>
      <c r="H225" s="294" t="s">
        <v>21</v>
      </c>
      <c r="I225" s="306" t="s">
        <v>19</v>
      </c>
      <c r="J225" s="294" t="s">
        <v>22</v>
      </c>
      <c r="K225" s="307" t="s">
        <v>19</v>
      </c>
      <c r="L225" s="320" t="s">
        <v>5271</v>
      </c>
      <c r="M225" s="157" t="s">
        <v>5693</v>
      </c>
      <c r="N225" s="196"/>
      <c r="O225" s="155"/>
      <c r="P225" s="284"/>
      <c r="Q225" s="284"/>
      <c r="R225" s="284"/>
      <c r="S225" s="284"/>
      <c r="T225" s="284"/>
      <c r="U225" s="284"/>
      <c r="V225" s="284"/>
      <c r="W225" s="284"/>
      <c r="X225" s="284"/>
      <c r="Y225" s="284"/>
      <c r="Z225" s="284"/>
    </row>
    <row r="226" ht="22.5" customHeight="1">
      <c r="A226" s="285" t="s">
        <v>637</v>
      </c>
      <c r="B226" s="159" t="s">
        <v>5694</v>
      </c>
      <c r="C226" s="323" t="s">
        <v>17</v>
      </c>
      <c r="D226" s="358" t="s">
        <v>5274</v>
      </c>
      <c r="E226" s="204" t="s">
        <v>640</v>
      </c>
      <c r="F226" s="344" t="s">
        <v>5275</v>
      </c>
      <c r="G226" s="204" t="s">
        <v>5279</v>
      </c>
      <c r="H226" s="289" t="s">
        <v>21</v>
      </c>
      <c r="I226" s="288" t="s">
        <v>19</v>
      </c>
      <c r="J226" s="289" t="s">
        <v>22</v>
      </c>
      <c r="K226" s="290" t="s">
        <v>19</v>
      </c>
      <c r="L226" s="332" t="s">
        <v>5271</v>
      </c>
      <c r="M226" s="351" t="s">
        <v>5693</v>
      </c>
      <c r="N226" s="197"/>
      <c r="O226" s="147"/>
      <c r="P226" s="284"/>
      <c r="Q226" s="284"/>
      <c r="R226" s="284"/>
      <c r="S226" s="284"/>
      <c r="T226" s="284"/>
      <c r="U226" s="284"/>
      <c r="V226" s="284"/>
      <c r="W226" s="284"/>
      <c r="X226" s="284"/>
      <c r="Y226" s="284"/>
      <c r="Z226" s="284"/>
    </row>
    <row r="227" ht="22.5" customHeight="1">
      <c r="A227" s="291" t="s">
        <v>637</v>
      </c>
      <c r="B227" s="158" t="s">
        <v>5695</v>
      </c>
      <c r="C227" s="331" t="s">
        <v>30</v>
      </c>
      <c r="D227" s="293" t="s">
        <v>5274</v>
      </c>
      <c r="E227" s="207" t="s">
        <v>640</v>
      </c>
      <c r="F227" s="341" t="s">
        <v>5275</v>
      </c>
      <c r="G227" s="207" t="s">
        <v>5279</v>
      </c>
      <c r="H227" s="294" t="s">
        <v>21</v>
      </c>
      <c r="I227" s="207" t="s">
        <v>5279</v>
      </c>
      <c r="J227" s="294" t="s">
        <v>22</v>
      </c>
      <c r="K227" s="307" t="s">
        <v>19</v>
      </c>
      <c r="L227" s="320" t="s">
        <v>5271</v>
      </c>
      <c r="M227" s="157" t="s">
        <v>5696</v>
      </c>
      <c r="N227" s="196"/>
      <c r="O227" s="155"/>
      <c r="P227" s="284"/>
      <c r="Q227" s="284"/>
      <c r="R227" s="284"/>
      <c r="S227" s="284"/>
      <c r="T227" s="284"/>
      <c r="U227" s="284"/>
      <c r="V227" s="284"/>
      <c r="W227" s="284"/>
      <c r="X227" s="284"/>
      <c r="Y227" s="284"/>
      <c r="Z227" s="284"/>
    </row>
    <row r="228" ht="22.5" customHeight="1">
      <c r="A228" s="285" t="s">
        <v>637</v>
      </c>
      <c r="B228" s="159" t="s">
        <v>5697</v>
      </c>
      <c r="C228" s="319" t="s">
        <v>40</v>
      </c>
      <c r="D228" s="358" t="s">
        <v>5274</v>
      </c>
      <c r="E228" s="204" t="s">
        <v>640</v>
      </c>
      <c r="F228" s="344" t="s">
        <v>5275</v>
      </c>
      <c r="G228" s="204" t="s">
        <v>5279</v>
      </c>
      <c r="H228" s="289" t="s">
        <v>21</v>
      </c>
      <c r="I228" s="204" t="s">
        <v>5279</v>
      </c>
      <c r="J228" s="289" t="s">
        <v>22</v>
      </c>
      <c r="K228" s="304" t="s">
        <v>31</v>
      </c>
      <c r="L228" s="173" t="s">
        <v>5280</v>
      </c>
      <c r="M228" s="351" t="s">
        <v>5698</v>
      </c>
      <c r="N228" s="197"/>
      <c r="O228" s="147"/>
      <c r="P228" s="284"/>
      <c r="Q228" s="284"/>
      <c r="R228" s="284"/>
      <c r="S228" s="284"/>
      <c r="T228" s="284"/>
      <c r="U228" s="284"/>
      <c r="V228" s="284"/>
      <c r="W228" s="284"/>
      <c r="X228" s="284"/>
      <c r="Y228" s="284"/>
      <c r="Z228" s="284"/>
    </row>
    <row r="229" ht="22.5" customHeight="1">
      <c r="A229" s="326" t="s">
        <v>5699</v>
      </c>
      <c r="B229" s="328" t="s">
        <v>5700</v>
      </c>
      <c r="C229" s="318" t="s">
        <v>40</v>
      </c>
      <c r="D229" s="293" t="s">
        <v>5274</v>
      </c>
      <c r="E229" s="207" t="s">
        <v>640</v>
      </c>
      <c r="F229" s="341" t="s">
        <v>5275</v>
      </c>
      <c r="G229" s="207" t="s">
        <v>5279</v>
      </c>
      <c r="H229" s="294" t="s">
        <v>21</v>
      </c>
      <c r="I229" s="301" t="s">
        <v>31</v>
      </c>
      <c r="J229" s="294" t="s">
        <v>22</v>
      </c>
      <c r="K229" s="302" t="s">
        <v>5279</v>
      </c>
      <c r="L229" s="165" t="s">
        <v>5280</v>
      </c>
      <c r="M229" s="157" t="s">
        <v>5701</v>
      </c>
      <c r="N229" s="196"/>
      <c r="O229" s="155"/>
      <c r="P229" s="284"/>
      <c r="Q229" s="284"/>
      <c r="R229" s="284"/>
      <c r="S229" s="284"/>
      <c r="T229" s="284"/>
      <c r="U229" s="284"/>
      <c r="V229" s="284"/>
      <c r="W229" s="284"/>
      <c r="X229" s="284"/>
      <c r="Y229" s="284"/>
      <c r="Z229" s="284"/>
    </row>
    <row r="230" ht="22.5" customHeight="1">
      <c r="A230" s="325" t="s">
        <v>5702</v>
      </c>
      <c r="B230" s="329" t="s">
        <v>5703</v>
      </c>
      <c r="C230" s="319" t="s">
        <v>40</v>
      </c>
      <c r="D230" s="358" t="s">
        <v>5274</v>
      </c>
      <c r="E230" s="204" t="s">
        <v>640</v>
      </c>
      <c r="F230" s="344" t="s">
        <v>5275</v>
      </c>
      <c r="G230" s="204" t="s">
        <v>5279</v>
      </c>
      <c r="H230" s="289" t="s">
        <v>21</v>
      </c>
      <c r="I230" s="297" t="s">
        <v>31</v>
      </c>
      <c r="J230" s="289" t="s">
        <v>22</v>
      </c>
      <c r="K230" s="298" t="s">
        <v>5279</v>
      </c>
      <c r="L230" s="173" t="s">
        <v>5280</v>
      </c>
      <c r="M230" s="351" t="s">
        <v>5704</v>
      </c>
      <c r="N230" s="197"/>
      <c r="O230" s="147"/>
      <c r="P230" s="284"/>
      <c r="Q230" s="284"/>
      <c r="R230" s="284"/>
      <c r="S230" s="284"/>
      <c r="T230" s="284"/>
      <c r="U230" s="284"/>
      <c r="V230" s="284"/>
      <c r="W230" s="284"/>
      <c r="X230" s="284"/>
      <c r="Y230" s="284"/>
      <c r="Z230" s="284"/>
    </row>
    <row r="231" ht="22.5" customHeight="1">
      <c r="A231" s="326" t="s">
        <v>5705</v>
      </c>
      <c r="B231" s="328" t="s">
        <v>5706</v>
      </c>
      <c r="C231" s="331" t="s">
        <v>30</v>
      </c>
      <c r="D231" s="293" t="s">
        <v>5274</v>
      </c>
      <c r="E231" s="207" t="s">
        <v>640</v>
      </c>
      <c r="F231" s="341" t="s">
        <v>5275</v>
      </c>
      <c r="G231" s="207" t="s">
        <v>5279</v>
      </c>
      <c r="H231" s="294" t="s">
        <v>21</v>
      </c>
      <c r="I231" s="207" t="s">
        <v>5279</v>
      </c>
      <c r="J231" s="294" t="s">
        <v>22</v>
      </c>
      <c r="K231" s="302" t="s">
        <v>5279</v>
      </c>
      <c r="L231" s="320" t="s">
        <v>5271</v>
      </c>
      <c r="M231" s="157" t="s">
        <v>5707</v>
      </c>
      <c r="N231" s="196"/>
      <c r="O231" s="155"/>
      <c r="P231" s="284"/>
      <c r="Q231" s="284"/>
      <c r="R231" s="284"/>
      <c r="S231" s="284"/>
      <c r="T231" s="284"/>
      <c r="U231" s="284"/>
      <c r="V231" s="284"/>
      <c r="W231" s="284"/>
      <c r="X231" s="284"/>
      <c r="Y231" s="284"/>
      <c r="Z231" s="284"/>
    </row>
    <row r="232" ht="22.5" customHeight="1">
      <c r="A232" s="325" t="s">
        <v>5708</v>
      </c>
      <c r="B232" s="329" t="s">
        <v>5709</v>
      </c>
      <c r="C232" s="319" t="s">
        <v>40</v>
      </c>
      <c r="D232" s="358" t="s">
        <v>5274</v>
      </c>
      <c r="E232" s="204" t="s">
        <v>640</v>
      </c>
      <c r="F232" s="344" t="s">
        <v>5275</v>
      </c>
      <c r="G232" s="204" t="s">
        <v>5279</v>
      </c>
      <c r="H232" s="289" t="s">
        <v>21</v>
      </c>
      <c r="I232" s="297" t="s">
        <v>31</v>
      </c>
      <c r="J232" s="289" t="s">
        <v>22</v>
      </c>
      <c r="K232" s="298" t="s">
        <v>5279</v>
      </c>
      <c r="L232" s="173" t="s">
        <v>5280</v>
      </c>
      <c r="M232" s="351" t="s">
        <v>5710</v>
      </c>
      <c r="N232" s="197"/>
      <c r="O232" s="147"/>
      <c r="P232" s="284"/>
      <c r="Q232" s="284"/>
      <c r="R232" s="284"/>
      <c r="S232" s="284"/>
      <c r="T232" s="284"/>
      <c r="U232" s="284"/>
      <c r="V232" s="284"/>
      <c r="W232" s="284"/>
      <c r="X232" s="284"/>
      <c r="Y232" s="284"/>
      <c r="Z232" s="284"/>
    </row>
    <row r="233" ht="22.5" customHeight="1">
      <c r="A233" s="326" t="s">
        <v>5711</v>
      </c>
      <c r="B233" s="328" t="s">
        <v>5712</v>
      </c>
      <c r="C233" s="322" t="s">
        <v>17</v>
      </c>
      <c r="D233" s="293" t="s">
        <v>5274</v>
      </c>
      <c r="E233" s="207" t="s">
        <v>640</v>
      </c>
      <c r="F233" s="341" t="s">
        <v>5275</v>
      </c>
      <c r="G233" s="207" t="s">
        <v>5279</v>
      </c>
      <c r="H233" s="294" t="s">
        <v>21</v>
      </c>
      <c r="I233" s="306" t="s">
        <v>19</v>
      </c>
      <c r="J233" s="294" t="s">
        <v>22</v>
      </c>
      <c r="K233" s="307" t="s">
        <v>19</v>
      </c>
      <c r="L233" s="320" t="s">
        <v>5271</v>
      </c>
      <c r="M233" s="157" t="s">
        <v>5595</v>
      </c>
      <c r="N233" s="196"/>
      <c r="O233" s="155"/>
      <c r="P233" s="284"/>
      <c r="Q233" s="284"/>
      <c r="R233" s="284"/>
      <c r="S233" s="284"/>
      <c r="T233" s="284"/>
      <c r="U233" s="284"/>
      <c r="V233" s="284"/>
      <c r="W233" s="284"/>
      <c r="X233" s="284"/>
      <c r="Y233" s="284"/>
      <c r="Z233" s="284"/>
    </row>
    <row r="234" ht="22.5" customHeight="1">
      <c r="A234" s="325" t="s">
        <v>5713</v>
      </c>
      <c r="B234" s="329" t="s">
        <v>5714</v>
      </c>
      <c r="C234" s="319" t="s">
        <v>40</v>
      </c>
      <c r="D234" s="358" t="s">
        <v>5274</v>
      </c>
      <c r="E234" s="204" t="s">
        <v>640</v>
      </c>
      <c r="F234" s="344" t="s">
        <v>5275</v>
      </c>
      <c r="G234" s="204" t="s">
        <v>5279</v>
      </c>
      <c r="H234" s="289" t="s">
        <v>21</v>
      </c>
      <c r="I234" s="297" t="s">
        <v>31</v>
      </c>
      <c r="J234" s="289" t="s">
        <v>22</v>
      </c>
      <c r="K234" s="298" t="s">
        <v>5279</v>
      </c>
      <c r="L234" s="173" t="s">
        <v>5280</v>
      </c>
      <c r="M234" s="351" t="s">
        <v>5715</v>
      </c>
      <c r="N234" s="197"/>
      <c r="O234" s="147"/>
      <c r="P234" s="284"/>
      <c r="Q234" s="284"/>
      <c r="R234" s="284"/>
      <c r="S234" s="284"/>
      <c r="T234" s="284"/>
      <c r="U234" s="284"/>
      <c r="V234" s="284"/>
      <c r="W234" s="284"/>
      <c r="X234" s="284"/>
      <c r="Y234" s="284"/>
      <c r="Z234" s="284"/>
    </row>
    <row r="235" ht="22.5" customHeight="1">
      <c r="A235" s="326" t="s">
        <v>5711</v>
      </c>
      <c r="B235" s="328" t="s">
        <v>5716</v>
      </c>
      <c r="C235" s="318" t="s">
        <v>40</v>
      </c>
      <c r="D235" s="293" t="s">
        <v>5274</v>
      </c>
      <c r="E235" s="207" t="s">
        <v>640</v>
      </c>
      <c r="F235" s="341" t="s">
        <v>5275</v>
      </c>
      <c r="G235" s="207" t="s">
        <v>5279</v>
      </c>
      <c r="H235" s="294" t="s">
        <v>21</v>
      </c>
      <c r="I235" s="306" t="s">
        <v>19</v>
      </c>
      <c r="J235" s="294" t="s">
        <v>22</v>
      </c>
      <c r="K235" s="302" t="s">
        <v>5279</v>
      </c>
      <c r="L235" s="165" t="s">
        <v>5280</v>
      </c>
      <c r="M235" s="157" t="s">
        <v>5717</v>
      </c>
      <c r="N235" s="196"/>
      <c r="O235" s="155"/>
      <c r="P235" s="284"/>
      <c r="Q235" s="284"/>
      <c r="R235" s="284"/>
      <c r="S235" s="284"/>
      <c r="T235" s="284"/>
      <c r="U235" s="284"/>
      <c r="V235" s="284"/>
      <c r="W235" s="284"/>
      <c r="X235" s="284"/>
      <c r="Y235" s="284"/>
      <c r="Z235" s="284"/>
    </row>
    <row r="236" ht="22.5" customHeight="1">
      <c r="A236" s="325" t="s">
        <v>5711</v>
      </c>
      <c r="B236" s="329" t="s">
        <v>5718</v>
      </c>
      <c r="C236" s="323" t="s">
        <v>17</v>
      </c>
      <c r="D236" s="358" t="s">
        <v>5274</v>
      </c>
      <c r="E236" s="204" t="s">
        <v>640</v>
      </c>
      <c r="F236" s="344" t="s">
        <v>5275</v>
      </c>
      <c r="G236" s="204" t="s">
        <v>5279</v>
      </c>
      <c r="H236" s="289" t="s">
        <v>21</v>
      </c>
      <c r="I236" s="288" t="s">
        <v>19</v>
      </c>
      <c r="J236" s="289" t="s">
        <v>22</v>
      </c>
      <c r="K236" s="290" t="s">
        <v>19</v>
      </c>
      <c r="L236" s="332" t="s">
        <v>5271</v>
      </c>
      <c r="M236" s="351" t="s">
        <v>5673</v>
      </c>
      <c r="N236" s="197"/>
      <c r="O236" s="147"/>
      <c r="P236" s="284"/>
      <c r="Q236" s="284"/>
      <c r="R236" s="284"/>
      <c r="S236" s="284"/>
      <c r="T236" s="284"/>
      <c r="U236" s="284"/>
      <c r="V236" s="284"/>
      <c r="W236" s="284"/>
      <c r="X236" s="284"/>
      <c r="Y236" s="284"/>
      <c r="Z236" s="284"/>
    </row>
    <row r="237" ht="22.5" customHeight="1">
      <c r="A237" s="326" t="s">
        <v>5711</v>
      </c>
      <c r="B237" s="328" t="s">
        <v>5719</v>
      </c>
      <c r="C237" s="318" t="s">
        <v>40</v>
      </c>
      <c r="D237" s="293" t="s">
        <v>5274</v>
      </c>
      <c r="E237" s="207" t="s">
        <v>640</v>
      </c>
      <c r="F237" s="341" t="s">
        <v>5275</v>
      </c>
      <c r="G237" s="207" t="s">
        <v>5279</v>
      </c>
      <c r="H237" s="294" t="s">
        <v>21</v>
      </c>
      <c r="I237" s="301" t="s">
        <v>31</v>
      </c>
      <c r="J237" s="294" t="s">
        <v>22</v>
      </c>
      <c r="K237" s="302" t="s">
        <v>5279</v>
      </c>
      <c r="L237" s="165" t="s">
        <v>5280</v>
      </c>
      <c r="M237" s="157" t="s">
        <v>5720</v>
      </c>
      <c r="N237" s="196"/>
      <c r="O237" s="155"/>
      <c r="P237" s="284"/>
      <c r="Q237" s="284"/>
      <c r="R237" s="284"/>
      <c r="S237" s="284"/>
      <c r="T237" s="284"/>
      <c r="U237" s="284"/>
      <c r="V237" s="284"/>
      <c r="W237" s="284"/>
      <c r="X237" s="284"/>
      <c r="Y237" s="284"/>
      <c r="Z237" s="284"/>
    </row>
    <row r="238" ht="22.5" customHeight="1">
      <c r="A238" s="325" t="s">
        <v>5721</v>
      </c>
      <c r="B238" s="329" t="s">
        <v>5722</v>
      </c>
      <c r="C238" s="360" t="s">
        <v>30</v>
      </c>
      <c r="D238" s="358" t="s">
        <v>5274</v>
      </c>
      <c r="E238" s="204" t="s">
        <v>640</v>
      </c>
      <c r="F238" s="344" t="s">
        <v>5275</v>
      </c>
      <c r="G238" s="204" t="s">
        <v>5279</v>
      </c>
      <c r="H238" s="289" t="s">
        <v>21</v>
      </c>
      <c r="I238" s="288" t="s">
        <v>19</v>
      </c>
      <c r="J238" s="289" t="s">
        <v>22</v>
      </c>
      <c r="K238" s="298" t="s">
        <v>5279</v>
      </c>
      <c r="L238" s="332" t="s">
        <v>5271</v>
      </c>
      <c r="M238" s="351" t="s">
        <v>5717</v>
      </c>
      <c r="N238" s="197"/>
      <c r="O238" s="147"/>
      <c r="P238" s="284"/>
      <c r="Q238" s="284"/>
      <c r="R238" s="284"/>
      <c r="S238" s="284"/>
      <c r="T238" s="284"/>
      <c r="U238" s="284"/>
      <c r="V238" s="284"/>
      <c r="W238" s="284"/>
      <c r="X238" s="284"/>
      <c r="Y238" s="284"/>
      <c r="Z238" s="284"/>
    </row>
    <row r="239" ht="22.5" customHeight="1">
      <c r="A239" s="326" t="s">
        <v>5711</v>
      </c>
      <c r="B239" s="328" t="s">
        <v>5723</v>
      </c>
      <c r="C239" s="331" t="s">
        <v>30</v>
      </c>
      <c r="D239" s="293" t="s">
        <v>5274</v>
      </c>
      <c r="E239" s="207" t="s">
        <v>640</v>
      </c>
      <c r="F239" s="341" t="s">
        <v>5275</v>
      </c>
      <c r="G239" s="207" t="s">
        <v>5279</v>
      </c>
      <c r="H239" s="294" t="s">
        <v>21</v>
      </c>
      <c r="I239" s="306" t="s">
        <v>19</v>
      </c>
      <c r="J239" s="294" t="s">
        <v>22</v>
      </c>
      <c r="K239" s="302" t="s">
        <v>5279</v>
      </c>
      <c r="L239" s="320" t="s">
        <v>5271</v>
      </c>
      <c r="M239" s="157" t="s">
        <v>5636</v>
      </c>
      <c r="N239" s="196"/>
      <c r="O239" s="155"/>
      <c r="P239" s="284"/>
      <c r="Q239" s="284"/>
      <c r="R239" s="284"/>
      <c r="S239" s="284"/>
      <c r="T239" s="284"/>
      <c r="U239" s="284"/>
      <c r="V239" s="284"/>
      <c r="W239" s="284"/>
      <c r="X239" s="284"/>
      <c r="Y239" s="284"/>
      <c r="Z239" s="284"/>
    </row>
    <row r="240" ht="22.5" customHeight="1">
      <c r="A240" s="325" t="s">
        <v>5711</v>
      </c>
      <c r="B240" s="329" t="s">
        <v>5724</v>
      </c>
      <c r="C240" s="319" t="s">
        <v>40</v>
      </c>
      <c r="D240" s="358" t="s">
        <v>5274</v>
      </c>
      <c r="E240" s="204" t="s">
        <v>640</v>
      </c>
      <c r="F240" s="344" t="s">
        <v>5275</v>
      </c>
      <c r="G240" s="204" t="s">
        <v>5279</v>
      </c>
      <c r="H240" s="289" t="s">
        <v>21</v>
      </c>
      <c r="I240" s="297" t="s">
        <v>31</v>
      </c>
      <c r="J240" s="289" t="s">
        <v>22</v>
      </c>
      <c r="K240" s="298" t="s">
        <v>5279</v>
      </c>
      <c r="L240" s="173" t="s">
        <v>5280</v>
      </c>
      <c r="M240" s="351" t="s">
        <v>5544</v>
      </c>
      <c r="N240" s="197"/>
      <c r="O240" s="147"/>
      <c r="P240" s="284"/>
      <c r="Q240" s="284"/>
      <c r="R240" s="284"/>
      <c r="S240" s="284"/>
      <c r="T240" s="284"/>
      <c r="U240" s="284"/>
      <c r="V240" s="284"/>
      <c r="W240" s="284"/>
      <c r="X240" s="284"/>
      <c r="Y240" s="284"/>
      <c r="Z240" s="284"/>
    </row>
    <row r="241" ht="22.5" customHeight="1">
      <c r="A241" s="326" t="s">
        <v>5455</v>
      </c>
      <c r="B241" s="328" t="s">
        <v>5725</v>
      </c>
      <c r="C241" s="318" t="s">
        <v>40</v>
      </c>
      <c r="D241" s="293" t="s">
        <v>5274</v>
      </c>
      <c r="E241" s="207" t="s">
        <v>640</v>
      </c>
      <c r="F241" s="341" t="s">
        <v>5275</v>
      </c>
      <c r="G241" s="207" t="s">
        <v>5279</v>
      </c>
      <c r="H241" s="294" t="s">
        <v>21</v>
      </c>
      <c r="I241" s="174" t="s">
        <v>26</v>
      </c>
      <c r="J241" s="294" t="s">
        <v>22</v>
      </c>
      <c r="K241" s="302" t="s">
        <v>5279</v>
      </c>
      <c r="L241" s="320" t="s">
        <v>5271</v>
      </c>
      <c r="M241" s="157" t="s">
        <v>5726</v>
      </c>
      <c r="N241" s="196"/>
      <c r="O241" s="155"/>
      <c r="P241" s="284"/>
      <c r="Q241" s="284"/>
      <c r="R241" s="284"/>
      <c r="S241" s="284"/>
      <c r="T241" s="284"/>
      <c r="U241" s="284"/>
      <c r="V241" s="284"/>
      <c r="W241" s="284"/>
      <c r="X241" s="284"/>
      <c r="Y241" s="284"/>
      <c r="Z241" s="284"/>
    </row>
    <row r="242" ht="22.5" customHeight="1">
      <c r="A242" s="325" t="s">
        <v>5727</v>
      </c>
      <c r="B242" s="329" t="s">
        <v>5728</v>
      </c>
      <c r="C242" s="319" t="s">
        <v>40</v>
      </c>
      <c r="D242" s="358" t="s">
        <v>5274</v>
      </c>
      <c r="E242" s="204" t="s">
        <v>640</v>
      </c>
      <c r="F242" s="344" t="s">
        <v>5275</v>
      </c>
      <c r="G242" s="204" t="s">
        <v>5279</v>
      </c>
      <c r="H242" s="289" t="s">
        <v>21</v>
      </c>
      <c r="I242" s="297" t="s">
        <v>31</v>
      </c>
      <c r="J242" s="289" t="s">
        <v>22</v>
      </c>
      <c r="K242" s="298" t="s">
        <v>5279</v>
      </c>
      <c r="L242" s="173" t="s">
        <v>5280</v>
      </c>
      <c r="M242" s="351" t="s">
        <v>1713</v>
      </c>
      <c r="N242" s="197"/>
      <c r="O242" s="147"/>
      <c r="P242" s="284"/>
      <c r="Q242" s="284"/>
      <c r="R242" s="284"/>
      <c r="S242" s="284"/>
      <c r="T242" s="284"/>
      <c r="U242" s="284"/>
      <c r="V242" s="284"/>
      <c r="W242" s="284"/>
      <c r="X242" s="284"/>
      <c r="Y242" s="284"/>
      <c r="Z242" s="284"/>
    </row>
    <row r="243" ht="22.5" customHeight="1">
      <c r="A243" s="291" t="s">
        <v>5729</v>
      </c>
      <c r="B243" s="158" t="s">
        <v>5536</v>
      </c>
      <c r="C243" s="331" t="s">
        <v>30</v>
      </c>
      <c r="D243" s="293" t="s">
        <v>5274</v>
      </c>
      <c r="E243" s="207" t="s">
        <v>640</v>
      </c>
      <c r="F243" s="341" t="s">
        <v>5275</v>
      </c>
      <c r="G243" s="207" t="s">
        <v>5279</v>
      </c>
      <c r="H243" s="294" t="s">
        <v>21</v>
      </c>
      <c r="I243" s="207" t="s">
        <v>5279</v>
      </c>
      <c r="J243" s="294" t="s">
        <v>22</v>
      </c>
      <c r="K243" s="302" t="s">
        <v>5279</v>
      </c>
      <c r="L243" s="320" t="s">
        <v>5271</v>
      </c>
      <c r="M243" s="157" t="s">
        <v>5726</v>
      </c>
      <c r="N243" s="196"/>
      <c r="O243" s="155"/>
      <c r="P243" s="284"/>
      <c r="Q243" s="284"/>
      <c r="R243" s="284"/>
      <c r="S243" s="284"/>
      <c r="T243" s="284"/>
      <c r="U243" s="284"/>
      <c r="V243" s="284"/>
      <c r="W243" s="284"/>
      <c r="X243" s="284"/>
      <c r="Y243" s="284"/>
      <c r="Z243" s="284"/>
    </row>
    <row r="244" ht="22.5" customHeight="1">
      <c r="A244" s="325" t="s">
        <v>5730</v>
      </c>
      <c r="B244" s="159" t="s">
        <v>5731</v>
      </c>
      <c r="C244" s="317" t="s">
        <v>49</v>
      </c>
      <c r="D244" s="358" t="s">
        <v>5274</v>
      </c>
      <c r="E244" s="204" t="s">
        <v>640</v>
      </c>
      <c r="F244" s="344" t="s">
        <v>5275</v>
      </c>
      <c r="G244" s="204" t="s">
        <v>5279</v>
      </c>
      <c r="H244" s="289" t="s">
        <v>21</v>
      </c>
      <c r="I244" s="297" t="s">
        <v>31</v>
      </c>
      <c r="J244" s="289" t="s">
        <v>22</v>
      </c>
      <c r="K244" s="298" t="s">
        <v>5279</v>
      </c>
      <c r="L244" s="173" t="s">
        <v>5280</v>
      </c>
      <c r="M244" s="351" t="s">
        <v>1713</v>
      </c>
      <c r="N244" s="197"/>
      <c r="O244" s="147"/>
      <c r="P244" s="284"/>
      <c r="Q244" s="284"/>
      <c r="R244" s="284"/>
      <c r="S244" s="284"/>
      <c r="T244" s="284"/>
      <c r="U244" s="284"/>
      <c r="V244" s="284"/>
      <c r="W244" s="284"/>
      <c r="X244" s="284"/>
      <c r="Y244" s="284"/>
      <c r="Z244" s="284"/>
    </row>
    <row r="245" ht="22.5" customHeight="1">
      <c r="A245" s="326" t="s">
        <v>5711</v>
      </c>
      <c r="B245" s="158" t="s">
        <v>5732</v>
      </c>
      <c r="C245" s="318" t="s">
        <v>40</v>
      </c>
      <c r="D245" s="293" t="s">
        <v>5274</v>
      </c>
      <c r="E245" s="207" t="s">
        <v>640</v>
      </c>
      <c r="F245" s="341" t="s">
        <v>5275</v>
      </c>
      <c r="G245" s="207" t="s">
        <v>5279</v>
      </c>
      <c r="H245" s="294" t="s">
        <v>21</v>
      </c>
      <c r="I245" s="207" t="s">
        <v>5279</v>
      </c>
      <c r="J245" s="294" t="s">
        <v>22</v>
      </c>
      <c r="K245" s="302" t="s">
        <v>5279</v>
      </c>
      <c r="L245" s="320" t="s">
        <v>5271</v>
      </c>
      <c r="M245" s="157" t="s">
        <v>5733</v>
      </c>
      <c r="N245" s="196"/>
      <c r="O245" s="155"/>
      <c r="P245" s="284"/>
      <c r="Q245" s="284"/>
      <c r="R245" s="284"/>
      <c r="S245" s="284"/>
      <c r="T245" s="284"/>
      <c r="U245" s="284"/>
      <c r="V245" s="284"/>
      <c r="W245" s="284"/>
      <c r="X245" s="284"/>
      <c r="Y245" s="284"/>
      <c r="Z245" s="284"/>
    </row>
    <row r="246" ht="22.5" customHeight="1">
      <c r="A246" s="285" t="s">
        <v>5734</v>
      </c>
      <c r="B246" s="159" t="s">
        <v>5735</v>
      </c>
      <c r="C246" s="319" t="s">
        <v>40</v>
      </c>
      <c r="D246" s="358" t="s">
        <v>5274</v>
      </c>
      <c r="E246" s="204" t="s">
        <v>640</v>
      </c>
      <c r="F246" s="344" t="s">
        <v>5275</v>
      </c>
      <c r="G246" s="204" t="s">
        <v>5279</v>
      </c>
      <c r="H246" s="289" t="s">
        <v>21</v>
      </c>
      <c r="I246" s="297" t="s">
        <v>31</v>
      </c>
      <c r="J246" s="289" t="s">
        <v>22</v>
      </c>
      <c r="K246" s="298" t="s">
        <v>5279</v>
      </c>
      <c r="L246" s="173" t="s">
        <v>5280</v>
      </c>
      <c r="M246" s="351" t="s">
        <v>5715</v>
      </c>
      <c r="N246" s="197"/>
      <c r="O246" s="147"/>
      <c r="P246" s="284"/>
      <c r="Q246" s="284"/>
      <c r="R246" s="284"/>
      <c r="S246" s="284"/>
      <c r="T246" s="284"/>
      <c r="U246" s="284"/>
      <c r="V246" s="284"/>
      <c r="W246" s="284"/>
      <c r="X246" s="284"/>
      <c r="Y246" s="284"/>
      <c r="Z246" s="284"/>
    </row>
    <row r="247" ht="22.5" customHeight="1">
      <c r="A247" s="365">
        <v>45870.0</v>
      </c>
      <c r="B247" s="158" t="s">
        <v>5736</v>
      </c>
      <c r="C247" s="265" t="s">
        <v>40</v>
      </c>
      <c r="D247" s="293" t="s">
        <v>5274</v>
      </c>
      <c r="E247" s="207" t="s">
        <v>640</v>
      </c>
      <c r="F247" s="341" t="s">
        <v>5275</v>
      </c>
      <c r="G247" s="207" t="s">
        <v>5279</v>
      </c>
      <c r="H247" s="294" t="s">
        <v>21</v>
      </c>
      <c r="I247" s="301" t="s">
        <v>31</v>
      </c>
      <c r="J247" s="294" t="s">
        <v>5737</v>
      </c>
      <c r="K247" s="302" t="s">
        <v>5279</v>
      </c>
      <c r="L247" s="165" t="s">
        <v>5280</v>
      </c>
      <c r="M247" s="157" t="s">
        <v>5715</v>
      </c>
      <c r="N247" s="196"/>
      <c r="O247" s="155"/>
      <c r="P247" s="284"/>
      <c r="Q247" s="284"/>
      <c r="R247" s="284"/>
      <c r="S247" s="284"/>
      <c r="T247" s="284"/>
      <c r="U247" s="284"/>
      <c r="V247" s="284"/>
      <c r="W247" s="284"/>
      <c r="X247" s="284"/>
      <c r="Y247" s="284"/>
      <c r="Z247" s="284"/>
    </row>
    <row r="248" ht="22.5" customHeight="1">
      <c r="A248" s="285" t="s">
        <v>5738</v>
      </c>
      <c r="B248" s="159" t="s">
        <v>5739</v>
      </c>
      <c r="C248" s="216" t="s">
        <v>40</v>
      </c>
      <c r="D248" s="358" t="s">
        <v>5274</v>
      </c>
      <c r="E248" s="204" t="s">
        <v>640</v>
      </c>
      <c r="F248" s="344" t="s">
        <v>5275</v>
      </c>
      <c r="G248" s="204" t="s">
        <v>5279</v>
      </c>
      <c r="H248" s="289" t="s">
        <v>21</v>
      </c>
      <c r="I248" s="297" t="s">
        <v>31</v>
      </c>
      <c r="J248" s="289" t="s">
        <v>5740</v>
      </c>
      <c r="K248" s="298" t="s">
        <v>5279</v>
      </c>
      <c r="L248" s="173" t="s">
        <v>5280</v>
      </c>
      <c r="M248" s="351" t="s">
        <v>5544</v>
      </c>
      <c r="N248" s="197"/>
      <c r="O248" s="147"/>
      <c r="P248" s="284"/>
      <c r="Q248" s="284"/>
      <c r="R248" s="284"/>
      <c r="S248" s="284"/>
      <c r="T248" s="284"/>
      <c r="U248" s="284"/>
      <c r="V248" s="284"/>
      <c r="W248" s="284"/>
      <c r="X248" s="284"/>
      <c r="Y248" s="284"/>
      <c r="Z248" s="284"/>
    </row>
    <row r="249" ht="22.5" customHeight="1">
      <c r="A249" s="291" t="s">
        <v>5741</v>
      </c>
      <c r="B249" s="158" t="s">
        <v>5742</v>
      </c>
      <c r="C249" s="192" t="s">
        <v>49</v>
      </c>
      <c r="D249" s="293" t="s">
        <v>5274</v>
      </c>
      <c r="E249" s="227" t="s">
        <v>640</v>
      </c>
      <c r="F249" s="341" t="s">
        <v>5275</v>
      </c>
      <c r="G249" s="227" t="s">
        <v>5279</v>
      </c>
      <c r="H249" s="294" t="s">
        <v>21</v>
      </c>
      <c r="I249" s="301" t="s">
        <v>31</v>
      </c>
      <c r="J249" s="294" t="s">
        <v>5743</v>
      </c>
      <c r="K249" s="302" t="s">
        <v>5279</v>
      </c>
      <c r="L249" s="165" t="s">
        <v>5280</v>
      </c>
      <c r="M249" s="157" t="s">
        <v>1713</v>
      </c>
      <c r="N249" s="196"/>
      <c r="O249" s="155"/>
      <c r="P249" s="284"/>
      <c r="Q249" s="284"/>
      <c r="R249" s="284"/>
      <c r="S249" s="284"/>
      <c r="T249" s="284"/>
      <c r="U249" s="284"/>
      <c r="V249" s="284"/>
      <c r="W249" s="284"/>
      <c r="X249" s="284"/>
      <c r="Y249" s="284"/>
      <c r="Z249" s="284"/>
    </row>
    <row r="250" ht="22.5" customHeight="1">
      <c r="A250" s="285" t="s">
        <v>5744</v>
      </c>
      <c r="B250" s="159" t="s">
        <v>5745</v>
      </c>
      <c r="C250" s="317" t="s">
        <v>49</v>
      </c>
      <c r="D250" s="358" t="s">
        <v>5274</v>
      </c>
      <c r="E250" s="204" t="s">
        <v>640</v>
      </c>
      <c r="F250" s="344" t="s">
        <v>5275</v>
      </c>
      <c r="G250" s="204" t="s">
        <v>5279</v>
      </c>
      <c r="H250" s="289" t="s">
        <v>21</v>
      </c>
      <c r="I250" s="204" t="s">
        <v>5279</v>
      </c>
      <c r="J250" s="289" t="s">
        <v>5746</v>
      </c>
      <c r="K250" s="288" t="s">
        <v>19</v>
      </c>
      <c r="L250" s="332" t="s">
        <v>5271</v>
      </c>
      <c r="M250" s="147"/>
      <c r="N250" s="197"/>
      <c r="O250" s="147"/>
      <c r="P250" s="284"/>
      <c r="Q250" s="284"/>
      <c r="R250" s="284"/>
      <c r="S250" s="284"/>
      <c r="T250" s="284"/>
      <c r="U250" s="284"/>
      <c r="V250" s="284"/>
      <c r="W250" s="284"/>
      <c r="X250" s="284"/>
      <c r="Y250" s="284"/>
      <c r="Z250" s="284"/>
    </row>
    <row r="251" ht="22.5" customHeight="1">
      <c r="A251" s="291" t="s">
        <v>5708</v>
      </c>
      <c r="B251" s="158" t="s">
        <v>5747</v>
      </c>
      <c r="C251" s="366" t="s">
        <v>40</v>
      </c>
      <c r="D251" s="293" t="s">
        <v>5274</v>
      </c>
      <c r="E251" s="227" t="s">
        <v>640</v>
      </c>
      <c r="F251" s="341" t="s">
        <v>5275</v>
      </c>
      <c r="G251" s="227" t="s">
        <v>5279</v>
      </c>
      <c r="H251" s="294" t="s">
        <v>21</v>
      </c>
      <c r="I251" s="207" t="s">
        <v>5279</v>
      </c>
      <c r="J251" s="294" t="s">
        <v>5748</v>
      </c>
      <c r="K251" s="301" t="s">
        <v>31</v>
      </c>
      <c r="L251" s="165" t="s">
        <v>5280</v>
      </c>
      <c r="M251" s="157" t="s">
        <v>5749</v>
      </c>
      <c r="N251" s="196"/>
      <c r="O251" s="155"/>
      <c r="P251" s="284"/>
      <c r="Q251" s="284"/>
      <c r="R251" s="284"/>
      <c r="S251" s="284"/>
      <c r="T251" s="284"/>
      <c r="U251" s="284"/>
      <c r="V251" s="284"/>
      <c r="W251" s="284"/>
      <c r="X251" s="284"/>
      <c r="Y251" s="284"/>
      <c r="Z251" s="284"/>
    </row>
    <row r="252" ht="22.5" customHeight="1">
      <c r="A252" s="285" t="s">
        <v>5750</v>
      </c>
      <c r="B252" s="159" t="s">
        <v>5751</v>
      </c>
      <c r="C252" s="216" t="s">
        <v>40</v>
      </c>
      <c r="D252" s="358" t="s">
        <v>5274</v>
      </c>
      <c r="E252" s="204" t="s">
        <v>640</v>
      </c>
      <c r="F252" s="344" t="s">
        <v>5275</v>
      </c>
      <c r="G252" s="204" t="s">
        <v>5279</v>
      </c>
      <c r="H252" s="289" t="s">
        <v>21</v>
      </c>
      <c r="I252" s="297" t="s">
        <v>31</v>
      </c>
      <c r="J252" s="289" t="s">
        <v>5752</v>
      </c>
      <c r="K252" s="288" t="s">
        <v>19</v>
      </c>
      <c r="L252" s="332" t="s">
        <v>5271</v>
      </c>
      <c r="M252" s="351" t="s">
        <v>5753</v>
      </c>
      <c r="N252" s="197"/>
      <c r="O252" s="147"/>
      <c r="P252" s="284"/>
      <c r="Q252" s="284"/>
      <c r="R252" s="284"/>
      <c r="S252" s="284"/>
      <c r="T252" s="284"/>
      <c r="U252" s="284"/>
      <c r="V252" s="284"/>
      <c r="W252" s="284"/>
      <c r="X252" s="284"/>
      <c r="Y252" s="284"/>
      <c r="Z252" s="284"/>
    </row>
    <row r="253" ht="22.5" customHeight="1">
      <c r="A253" s="270"/>
      <c r="B253" s="158" t="s">
        <v>5754</v>
      </c>
      <c r="C253" s="318" t="s">
        <v>40</v>
      </c>
      <c r="D253" s="293" t="s">
        <v>5274</v>
      </c>
      <c r="E253" s="227" t="s">
        <v>640</v>
      </c>
      <c r="F253" s="341" t="s">
        <v>5275</v>
      </c>
      <c r="G253" s="227" t="s">
        <v>5279</v>
      </c>
      <c r="H253" s="294" t="s">
        <v>21</v>
      </c>
      <c r="I253" s="301" t="s">
        <v>31</v>
      </c>
      <c r="J253" s="294" t="s">
        <v>5755</v>
      </c>
      <c r="K253" s="306" t="s">
        <v>19</v>
      </c>
      <c r="L253" s="320" t="s">
        <v>5271</v>
      </c>
      <c r="M253" s="157" t="s">
        <v>5756</v>
      </c>
      <c r="N253" s="196"/>
      <c r="O253" s="155"/>
      <c r="P253" s="284"/>
      <c r="Q253" s="284"/>
      <c r="R253" s="284"/>
      <c r="S253" s="284"/>
      <c r="T253" s="284"/>
      <c r="U253" s="284"/>
      <c r="V253" s="284"/>
      <c r="W253" s="284"/>
      <c r="X253" s="284"/>
      <c r="Y253" s="284"/>
      <c r="Z253" s="284"/>
    </row>
    <row r="254" ht="22.5" customHeight="1">
      <c r="A254" s="202"/>
      <c r="B254" s="159" t="s">
        <v>5757</v>
      </c>
      <c r="C254" s="367" t="s">
        <v>40</v>
      </c>
      <c r="D254" s="358" t="s">
        <v>5274</v>
      </c>
      <c r="E254" s="204" t="s">
        <v>640</v>
      </c>
      <c r="F254" s="344" t="s">
        <v>5275</v>
      </c>
      <c r="G254" s="204" t="s">
        <v>5279</v>
      </c>
      <c r="H254" s="289" t="s">
        <v>21</v>
      </c>
      <c r="I254" s="204" t="s">
        <v>5279</v>
      </c>
      <c r="J254" s="289" t="s">
        <v>5758</v>
      </c>
      <c r="K254" s="297" t="s">
        <v>31</v>
      </c>
      <c r="L254" s="173" t="s">
        <v>5280</v>
      </c>
      <c r="M254" s="351" t="s">
        <v>5759</v>
      </c>
      <c r="N254" s="197"/>
      <c r="O254" s="147"/>
      <c r="P254" s="284"/>
      <c r="Q254" s="284"/>
      <c r="R254" s="284"/>
      <c r="S254" s="284"/>
      <c r="T254" s="284"/>
      <c r="U254" s="284"/>
      <c r="V254" s="284"/>
      <c r="W254" s="284"/>
      <c r="X254" s="284"/>
      <c r="Y254" s="284"/>
      <c r="Z254" s="284"/>
    </row>
    <row r="255" ht="22.5" customHeight="1">
      <c r="A255" s="291" t="s">
        <v>3471</v>
      </c>
      <c r="B255" s="158" t="s">
        <v>5760</v>
      </c>
      <c r="C255" s="214" t="s">
        <v>17</v>
      </c>
      <c r="D255" s="293" t="s">
        <v>5274</v>
      </c>
      <c r="E255" s="227" t="s">
        <v>640</v>
      </c>
      <c r="F255" s="341" t="s">
        <v>5275</v>
      </c>
      <c r="G255" s="227" t="s">
        <v>5279</v>
      </c>
      <c r="H255" s="294" t="s">
        <v>21</v>
      </c>
      <c r="I255" s="301" t="s">
        <v>31</v>
      </c>
      <c r="J255" s="294" t="s">
        <v>5761</v>
      </c>
      <c r="K255" s="306" t="s">
        <v>19</v>
      </c>
      <c r="L255" s="320" t="s">
        <v>5271</v>
      </c>
      <c r="M255" s="157" t="s">
        <v>5673</v>
      </c>
      <c r="N255" s="196"/>
      <c r="O255" s="155"/>
      <c r="P255" s="284"/>
      <c r="Q255" s="284"/>
      <c r="R255" s="284"/>
      <c r="S255" s="284"/>
      <c r="T255" s="284"/>
      <c r="U255" s="284"/>
      <c r="V255" s="284"/>
      <c r="W255" s="284"/>
      <c r="X255" s="284"/>
      <c r="Y255" s="284"/>
      <c r="Z255" s="284"/>
    </row>
    <row r="256" ht="22.5" customHeight="1">
      <c r="A256" s="285" t="s">
        <v>5762</v>
      </c>
      <c r="B256" s="159" t="s">
        <v>5763</v>
      </c>
      <c r="C256" s="216" t="s">
        <v>40</v>
      </c>
      <c r="D256" s="358" t="s">
        <v>5274</v>
      </c>
      <c r="E256" s="204" t="s">
        <v>640</v>
      </c>
      <c r="F256" s="344" t="s">
        <v>5275</v>
      </c>
      <c r="G256" s="204" t="s">
        <v>5279</v>
      </c>
      <c r="H256" s="289" t="s">
        <v>21</v>
      </c>
      <c r="I256" s="297" t="s">
        <v>31</v>
      </c>
      <c r="J256" s="289" t="s">
        <v>5764</v>
      </c>
      <c r="K256" s="288" t="s">
        <v>19</v>
      </c>
      <c r="L256" s="332" t="s">
        <v>5271</v>
      </c>
      <c r="M256" s="351" t="s">
        <v>5765</v>
      </c>
      <c r="N256" s="197"/>
      <c r="O256" s="147"/>
      <c r="P256" s="284"/>
      <c r="Q256" s="284"/>
      <c r="R256" s="284"/>
      <c r="S256" s="284"/>
      <c r="T256" s="284"/>
      <c r="U256" s="284"/>
      <c r="V256" s="284"/>
      <c r="W256" s="284"/>
      <c r="X256" s="284"/>
      <c r="Y256" s="284"/>
      <c r="Z256" s="284"/>
    </row>
    <row r="257" ht="22.5" customHeight="1">
      <c r="A257" s="291" t="s">
        <v>5766</v>
      </c>
      <c r="B257" s="158" t="s">
        <v>5767</v>
      </c>
      <c r="C257" s="314" t="s">
        <v>49</v>
      </c>
      <c r="D257" s="293" t="s">
        <v>5274</v>
      </c>
      <c r="E257" s="227" t="s">
        <v>640</v>
      </c>
      <c r="F257" s="341" t="s">
        <v>5275</v>
      </c>
      <c r="G257" s="227" t="s">
        <v>5279</v>
      </c>
      <c r="H257" s="294" t="s">
        <v>21</v>
      </c>
      <c r="I257" s="207" t="s">
        <v>5279</v>
      </c>
      <c r="J257" s="294" t="s">
        <v>5768</v>
      </c>
      <c r="K257" s="306" t="s">
        <v>19</v>
      </c>
      <c r="L257" s="320" t="s">
        <v>5271</v>
      </c>
      <c r="M257" s="157" t="s">
        <v>5615</v>
      </c>
      <c r="N257" s="196"/>
      <c r="O257" s="155"/>
      <c r="P257" s="284"/>
      <c r="Q257" s="284"/>
      <c r="R257" s="284"/>
      <c r="S257" s="284"/>
      <c r="T257" s="284"/>
      <c r="U257" s="284"/>
      <c r="V257" s="284"/>
      <c r="W257" s="284"/>
      <c r="X257" s="284"/>
      <c r="Y257" s="284"/>
      <c r="Z257" s="284"/>
    </row>
    <row r="258" ht="22.5" customHeight="1">
      <c r="A258" s="285" t="s">
        <v>5769</v>
      </c>
      <c r="B258" s="159" t="s">
        <v>5770</v>
      </c>
      <c r="C258" s="216" t="s">
        <v>40</v>
      </c>
      <c r="D258" s="358" t="s">
        <v>5274</v>
      </c>
      <c r="E258" s="204" t="s">
        <v>640</v>
      </c>
      <c r="F258" s="344" t="s">
        <v>5275</v>
      </c>
      <c r="G258" s="204" t="s">
        <v>5279</v>
      </c>
      <c r="H258" s="289" t="s">
        <v>21</v>
      </c>
      <c r="I258" s="297" t="s">
        <v>31</v>
      </c>
      <c r="J258" s="289" t="s">
        <v>5771</v>
      </c>
      <c r="K258" s="288" t="s">
        <v>19</v>
      </c>
      <c r="L258" s="173" t="s">
        <v>5280</v>
      </c>
      <c r="M258" s="351" t="s">
        <v>5772</v>
      </c>
      <c r="N258" s="197"/>
      <c r="O258" s="147"/>
      <c r="P258" s="284"/>
      <c r="Q258" s="284"/>
      <c r="R258" s="284"/>
      <c r="S258" s="284"/>
      <c r="T258" s="284"/>
      <c r="U258" s="284"/>
      <c r="V258" s="284"/>
      <c r="W258" s="284"/>
      <c r="X258" s="284"/>
      <c r="Y258" s="284"/>
      <c r="Z258" s="284"/>
    </row>
    <row r="259" ht="22.5" customHeight="1">
      <c r="A259" s="291" t="s">
        <v>5773</v>
      </c>
      <c r="B259" s="158" t="s">
        <v>5774</v>
      </c>
      <c r="C259" s="213" t="s">
        <v>40</v>
      </c>
      <c r="D259" s="293" t="s">
        <v>5274</v>
      </c>
      <c r="E259" s="306" t="s">
        <v>19</v>
      </c>
      <c r="F259" s="341" t="s">
        <v>5275</v>
      </c>
      <c r="G259" s="227" t="s">
        <v>5279</v>
      </c>
      <c r="H259" s="294" t="s">
        <v>21</v>
      </c>
      <c r="I259" s="301" t="s">
        <v>31</v>
      </c>
      <c r="J259" s="294" t="s">
        <v>5771</v>
      </c>
      <c r="K259" s="306" t="s">
        <v>19</v>
      </c>
      <c r="L259" s="165" t="s">
        <v>5280</v>
      </c>
      <c r="M259" s="157" t="s">
        <v>5772</v>
      </c>
      <c r="N259" s="196"/>
      <c r="O259" s="155"/>
      <c r="P259" s="284"/>
      <c r="Q259" s="284"/>
      <c r="R259" s="284"/>
      <c r="S259" s="284"/>
      <c r="T259" s="284"/>
      <c r="U259" s="284"/>
      <c r="V259" s="284"/>
      <c r="W259" s="284"/>
      <c r="X259" s="284"/>
      <c r="Y259" s="284"/>
      <c r="Z259" s="284"/>
    </row>
    <row r="260" ht="22.5" customHeight="1">
      <c r="A260" s="285" t="s">
        <v>5775</v>
      </c>
      <c r="B260" s="159" t="s">
        <v>5776</v>
      </c>
      <c r="C260" s="216" t="s">
        <v>40</v>
      </c>
      <c r="D260" s="358" t="s">
        <v>5274</v>
      </c>
      <c r="E260" s="288" t="s">
        <v>19</v>
      </c>
      <c r="F260" s="344" t="s">
        <v>5275</v>
      </c>
      <c r="G260" s="204" t="s">
        <v>5279</v>
      </c>
      <c r="H260" s="289" t="s">
        <v>21</v>
      </c>
      <c r="I260" s="297" t="s">
        <v>31</v>
      </c>
      <c r="J260" s="289" t="s">
        <v>5771</v>
      </c>
      <c r="K260" s="204" t="s">
        <v>5279</v>
      </c>
      <c r="L260" s="173" t="s">
        <v>5280</v>
      </c>
      <c r="M260" s="351" t="s">
        <v>5772</v>
      </c>
      <c r="N260" s="197"/>
      <c r="O260" s="147"/>
      <c r="P260" s="284"/>
      <c r="Q260" s="284"/>
      <c r="R260" s="284"/>
      <c r="S260" s="284"/>
      <c r="T260" s="284"/>
      <c r="U260" s="284"/>
      <c r="V260" s="284"/>
      <c r="W260" s="284"/>
      <c r="X260" s="284"/>
      <c r="Y260" s="284"/>
      <c r="Z260" s="284"/>
    </row>
    <row r="261" ht="22.5" customHeight="1">
      <c r="A261" s="270"/>
      <c r="B261" s="158" t="s">
        <v>5777</v>
      </c>
      <c r="C261" s="213" t="s">
        <v>40</v>
      </c>
      <c r="D261" s="293" t="s">
        <v>5274</v>
      </c>
      <c r="E261" s="301" t="s">
        <v>31</v>
      </c>
      <c r="F261" s="341" t="s">
        <v>5275</v>
      </c>
      <c r="G261" s="227" t="s">
        <v>5279</v>
      </c>
      <c r="H261" s="294" t="s">
        <v>21</v>
      </c>
      <c r="I261" s="207" t="s">
        <v>5279</v>
      </c>
      <c r="J261" s="294" t="s">
        <v>5771</v>
      </c>
      <c r="K261" s="207" t="s">
        <v>5279</v>
      </c>
      <c r="L261" s="165" t="s">
        <v>5280</v>
      </c>
      <c r="M261" s="157" t="s">
        <v>703</v>
      </c>
      <c r="N261" s="196"/>
      <c r="O261" s="155"/>
      <c r="P261" s="284"/>
      <c r="Q261" s="284"/>
      <c r="R261" s="284"/>
      <c r="S261" s="284"/>
      <c r="T261" s="284"/>
      <c r="U261" s="284"/>
      <c r="V261" s="284"/>
      <c r="W261" s="284"/>
      <c r="X261" s="284"/>
      <c r="Y261" s="284"/>
      <c r="Z261" s="284"/>
    </row>
    <row r="262" ht="22.5" customHeight="1">
      <c r="A262" s="368"/>
      <c r="B262" s="159" t="s">
        <v>5778</v>
      </c>
      <c r="C262" s="216" t="s">
        <v>40</v>
      </c>
      <c r="D262" s="358" t="s">
        <v>5274</v>
      </c>
      <c r="E262" s="288" t="s">
        <v>19</v>
      </c>
      <c r="F262" s="344" t="s">
        <v>5275</v>
      </c>
      <c r="G262" s="204" t="s">
        <v>5279</v>
      </c>
      <c r="H262" s="289" t="s">
        <v>21</v>
      </c>
      <c r="I262" s="204" t="s">
        <v>5279</v>
      </c>
      <c r="J262" s="289" t="s">
        <v>5771</v>
      </c>
      <c r="K262" s="204" t="s">
        <v>5279</v>
      </c>
      <c r="L262" s="173" t="s">
        <v>5280</v>
      </c>
      <c r="M262" s="351" t="s">
        <v>5779</v>
      </c>
      <c r="N262" s="197"/>
      <c r="O262" s="147"/>
      <c r="P262" s="284"/>
      <c r="Q262" s="284"/>
      <c r="R262" s="284"/>
      <c r="S262" s="284"/>
      <c r="T262" s="284"/>
      <c r="U262" s="284"/>
      <c r="V262" s="284"/>
      <c r="W262" s="284"/>
      <c r="X262" s="284"/>
      <c r="Y262" s="284"/>
      <c r="Z262" s="284"/>
    </row>
    <row r="263" ht="22.5" customHeight="1">
      <c r="A263" s="270"/>
      <c r="B263" s="158" t="s">
        <v>5780</v>
      </c>
      <c r="C263" s="213" t="s">
        <v>40</v>
      </c>
      <c r="D263" s="293" t="s">
        <v>5274</v>
      </c>
      <c r="E263" s="301" t="s">
        <v>31</v>
      </c>
      <c r="F263" s="341" t="s">
        <v>5275</v>
      </c>
      <c r="G263" s="227" t="s">
        <v>5279</v>
      </c>
      <c r="H263" s="294" t="s">
        <v>21</v>
      </c>
      <c r="I263" s="207" t="s">
        <v>5279</v>
      </c>
      <c r="J263" s="294" t="s">
        <v>5771</v>
      </c>
      <c r="K263" s="301" t="s">
        <v>31</v>
      </c>
      <c r="L263" s="165" t="s">
        <v>5280</v>
      </c>
      <c r="M263" s="157" t="s">
        <v>5678</v>
      </c>
      <c r="N263" s="196"/>
      <c r="O263" s="155"/>
      <c r="P263" s="284"/>
      <c r="Q263" s="284"/>
      <c r="R263" s="284"/>
      <c r="S263" s="284"/>
      <c r="T263" s="284"/>
      <c r="U263" s="284"/>
      <c r="V263" s="284"/>
      <c r="W263" s="284"/>
      <c r="X263" s="284"/>
      <c r="Y263" s="284"/>
      <c r="Z263" s="284"/>
    </row>
    <row r="264" ht="22.5" customHeight="1">
      <c r="A264" s="368"/>
      <c r="B264" s="159" t="s">
        <v>5781</v>
      </c>
      <c r="C264" s="169" t="s">
        <v>49</v>
      </c>
      <c r="D264" s="358" t="s">
        <v>5274</v>
      </c>
      <c r="E264" s="204" t="s">
        <v>640</v>
      </c>
      <c r="F264" s="344" t="s">
        <v>5275</v>
      </c>
      <c r="G264" s="204" t="s">
        <v>5279</v>
      </c>
      <c r="H264" s="289" t="s">
        <v>21</v>
      </c>
      <c r="I264" s="204" t="s">
        <v>5279</v>
      </c>
      <c r="J264" s="289" t="s">
        <v>5771</v>
      </c>
      <c r="K264" s="204" t="s">
        <v>5279</v>
      </c>
      <c r="L264" s="332" t="s">
        <v>5271</v>
      </c>
      <c r="M264" s="147"/>
      <c r="N264" s="197"/>
      <c r="O264" s="147"/>
      <c r="P264" s="284"/>
      <c r="Q264" s="284"/>
      <c r="R264" s="284"/>
      <c r="S264" s="284"/>
      <c r="T264" s="284"/>
      <c r="U264" s="284"/>
      <c r="V264" s="284"/>
      <c r="W264" s="284"/>
      <c r="X264" s="284"/>
      <c r="Y264" s="284"/>
      <c r="Z264" s="284"/>
    </row>
    <row r="265" ht="22.5" customHeight="1">
      <c r="A265" s="324" t="s">
        <v>5782</v>
      </c>
      <c r="B265" s="158" t="s">
        <v>5783</v>
      </c>
      <c r="C265" s="213" t="s">
        <v>40</v>
      </c>
      <c r="D265" s="293" t="s">
        <v>5274</v>
      </c>
      <c r="E265" s="301" t="s">
        <v>31</v>
      </c>
      <c r="F265" s="341" t="s">
        <v>5275</v>
      </c>
      <c r="G265" s="227" t="s">
        <v>5279</v>
      </c>
      <c r="H265" s="294" t="s">
        <v>21</v>
      </c>
      <c r="I265" s="207" t="s">
        <v>5279</v>
      </c>
      <c r="J265" s="294" t="s">
        <v>5771</v>
      </c>
      <c r="K265" s="301" t="s">
        <v>31</v>
      </c>
      <c r="L265" s="165" t="s">
        <v>5280</v>
      </c>
      <c r="M265" s="157" t="s">
        <v>152</v>
      </c>
      <c r="N265" s="196"/>
      <c r="O265" s="155"/>
      <c r="P265" s="284"/>
      <c r="Q265" s="284"/>
      <c r="R265" s="284"/>
      <c r="S265" s="284"/>
      <c r="T265" s="284"/>
      <c r="U265" s="284"/>
      <c r="V265" s="284"/>
      <c r="W265" s="284"/>
      <c r="X265" s="284"/>
      <c r="Y265" s="284"/>
      <c r="Z265" s="284"/>
    </row>
    <row r="266" ht="22.5" customHeight="1">
      <c r="A266" s="303" t="s">
        <v>5455</v>
      </c>
      <c r="B266" s="159" t="s">
        <v>5725</v>
      </c>
      <c r="C266" s="216" t="s">
        <v>40</v>
      </c>
      <c r="D266" s="358" t="s">
        <v>5274</v>
      </c>
      <c r="E266" s="297" t="s">
        <v>31</v>
      </c>
      <c r="F266" s="344" t="s">
        <v>5275</v>
      </c>
      <c r="G266" s="204" t="s">
        <v>5279</v>
      </c>
      <c r="H266" s="289" t="s">
        <v>21</v>
      </c>
      <c r="I266" s="204" t="s">
        <v>5279</v>
      </c>
      <c r="J266" s="289" t="s">
        <v>5771</v>
      </c>
      <c r="K266" s="297" t="s">
        <v>31</v>
      </c>
      <c r="L266" s="173" t="s">
        <v>5280</v>
      </c>
      <c r="M266" s="351" t="s">
        <v>5784</v>
      </c>
      <c r="N266" s="197"/>
      <c r="O266" s="147"/>
      <c r="P266" s="284"/>
      <c r="Q266" s="284"/>
      <c r="R266" s="284"/>
      <c r="S266" s="284"/>
      <c r="T266" s="284"/>
      <c r="U266" s="284"/>
      <c r="V266" s="284"/>
      <c r="W266" s="284"/>
      <c r="X266" s="284"/>
      <c r="Y266" s="284"/>
      <c r="Z266" s="284"/>
    </row>
    <row r="267" ht="22.5" customHeight="1">
      <c r="A267" s="291" t="s">
        <v>5785</v>
      </c>
      <c r="B267" s="158" t="s">
        <v>5786</v>
      </c>
      <c r="C267" s="214" t="s">
        <v>17</v>
      </c>
      <c r="D267" s="293" t="s">
        <v>5274</v>
      </c>
      <c r="E267" s="306" t="s">
        <v>19</v>
      </c>
      <c r="F267" s="341" t="s">
        <v>5275</v>
      </c>
      <c r="G267" s="227" t="s">
        <v>5279</v>
      </c>
      <c r="H267" s="294" t="s">
        <v>21</v>
      </c>
      <c r="I267" s="301" t="s">
        <v>31</v>
      </c>
      <c r="J267" s="294" t="s">
        <v>5771</v>
      </c>
      <c r="K267" s="207" t="s">
        <v>5279</v>
      </c>
      <c r="L267" s="320" t="s">
        <v>5271</v>
      </c>
      <c r="M267" s="157" t="s">
        <v>5787</v>
      </c>
      <c r="N267" s="196"/>
      <c r="O267" s="155"/>
      <c r="P267" s="284"/>
      <c r="Q267" s="284"/>
      <c r="R267" s="284"/>
      <c r="S267" s="284"/>
      <c r="T267" s="284"/>
      <c r="U267" s="284"/>
      <c r="V267" s="284"/>
      <c r="W267" s="284"/>
      <c r="X267" s="284"/>
      <c r="Y267" s="284"/>
      <c r="Z267" s="284"/>
    </row>
    <row r="268" ht="22.5" customHeight="1">
      <c r="A268" s="368"/>
      <c r="B268" s="159" t="s">
        <v>5788</v>
      </c>
      <c r="C268" s="212" t="s">
        <v>17</v>
      </c>
      <c r="D268" s="358" t="s">
        <v>5274</v>
      </c>
      <c r="E268" s="288" t="s">
        <v>19</v>
      </c>
      <c r="F268" s="344" t="s">
        <v>5275</v>
      </c>
      <c r="G268" s="204" t="s">
        <v>5279</v>
      </c>
      <c r="H268" s="289" t="s">
        <v>21</v>
      </c>
      <c r="I268" s="288" t="s">
        <v>19</v>
      </c>
      <c r="J268" s="289" t="s">
        <v>5771</v>
      </c>
      <c r="K268" s="204" t="s">
        <v>5279</v>
      </c>
      <c r="L268" s="332" t="s">
        <v>5271</v>
      </c>
      <c r="M268" s="351" t="s">
        <v>5789</v>
      </c>
      <c r="N268" s="197"/>
      <c r="O268" s="147"/>
      <c r="P268" s="284"/>
      <c r="Q268" s="284"/>
      <c r="R268" s="284"/>
      <c r="S268" s="284"/>
      <c r="T268" s="284"/>
      <c r="U268" s="284"/>
      <c r="V268" s="284"/>
      <c r="W268" s="284"/>
      <c r="X268" s="284"/>
      <c r="Y268" s="284"/>
      <c r="Z268" s="284"/>
    </row>
    <row r="269" ht="22.5" customHeight="1">
      <c r="A269" s="291" t="s">
        <v>5790</v>
      </c>
      <c r="B269" s="158" t="s">
        <v>5791</v>
      </c>
      <c r="C269" s="318" t="s">
        <v>40</v>
      </c>
      <c r="D269" s="293" t="s">
        <v>5274</v>
      </c>
      <c r="E269" s="301" t="s">
        <v>31</v>
      </c>
      <c r="F269" s="341" t="s">
        <v>5275</v>
      </c>
      <c r="G269" s="227" t="s">
        <v>5279</v>
      </c>
      <c r="H269" s="294" t="s">
        <v>21</v>
      </c>
      <c r="I269" s="207" t="s">
        <v>5279</v>
      </c>
      <c r="J269" s="294" t="s">
        <v>5771</v>
      </c>
      <c r="K269" s="207" t="s">
        <v>5279</v>
      </c>
      <c r="L269" s="165" t="s">
        <v>5280</v>
      </c>
      <c r="M269" s="369">
        <v>0.5416666666666666</v>
      </c>
      <c r="N269" s="196"/>
      <c r="O269" s="155"/>
      <c r="P269" s="284"/>
      <c r="Q269" s="284"/>
      <c r="R269" s="284"/>
      <c r="S269" s="284"/>
      <c r="T269" s="284"/>
      <c r="U269" s="284"/>
      <c r="V269" s="284"/>
      <c r="W269" s="284"/>
      <c r="X269" s="284"/>
      <c r="Y269" s="284"/>
      <c r="Z269" s="284"/>
    </row>
    <row r="270" ht="22.5" customHeight="1">
      <c r="A270" s="368"/>
      <c r="B270" s="159" t="s">
        <v>5792</v>
      </c>
      <c r="C270" s="216" t="s">
        <v>40</v>
      </c>
      <c r="D270" s="358" t="s">
        <v>5274</v>
      </c>
      <c r="E270" s="297" t="s">
        <v>31</v>
      </c>
      <c r="F270" s="344" t="s">
        <v>5275</v>
      </c>
      <c r="G270" s="204" t="s">
        <v>5279</v>
      </c>
      <c r="H270" s="289" t="s">
        <v>21</v>
      </c>
      <c r="I270" s="204" t="s">
        <v>5279</v>
      </c>
      <c r="J270" s="289" t="s">
        <v>5771</v>
      </c>
      <c r="K270" s="204" t="s">
        <v>5279</v>
      </c>
      <c r="L270" s="173" t="s">
        <v>5280</v>
      </c>
      <c r="M270" s="351" t="s">
        <v>5793</v>
      </c>
      <c r="N270" s="197"/>
      <c r="O270" s="147"/>
      <c r="P270" s="284"/>
      <c r="Q270" s="284"/>
      <c r="R270" s="284"/>
      <c r="S270" s="284"/>
      <c r="T270" s="284"/>
      <c r="U270" s="284"/>
      <c r="V270" s="284"/>
      <c r="W270" s="284"/>
      <c r="X270" s="284"/>
      <c r="Y270" s="284"/>
      <c r="Z270" s="284"/>
    </row>
    <row r="271" ht="22.5" customHeight="1">
      <c r="A271" s="270"/>
      <c r="B271" s="158" t="s">
        <v>5794</v>
      </c>
      <c r="C271" s="213" t="s">
        <v>40</v>
      </c>
      <c r="D271" s="293" t="s">
        <v>5274</v>
      </c>
      <c r="E271" s="301" t="s">
        <v>31</v>
      </c>
      <c r="F271" s="341" t="s">
        <v>5275</v>
      </c>
      <c r="G271" s="227" t="s">
        <v>5279</v>
      </c>
      <c r="H271" s="294" t="s">
        <v>21</v>
      </c>
      <c r="I271" s="207" t="s">
        <v>5279</v>
      </c>
      <c r="J271" s="294" t="s">
        <v>5771</v>
      </c>
      <c r="K271" s="301" t="s">
        <v>31</v>
      </c>
      <c r="L271" s="165" t="s">
        <v>5280</v>
      </c>
      <c r="M271" s="157" t="s">
        <v>5795</v>
      </c>
      <c r="N271" s="196"/>
      <c r="O271" s="155"/>
      <c r="P271" s="284"/>
      <c r="Q271" s="284"/>
      <c r="R271" s="284"/>
      <c r="S271" s="284"/>
      <c r="T271" s="284"/>
      <c r="U271" s="284"/>
      <c r="V271" s="284"/>
      <c r="W271" s="284"/>
      <c r="X271" s="284"/>
      <c r="Y271" s="284"/>
      <c r="Z271" s="284"/>
    </row>
    <row r="272" ht="22.5" customHeight="1">
      <c r="A272" s="285" t="s">
        <v>5796</v>
      </c>
      <c r="B272" s="159" t="s">
        <v>5797</v>
      </c>
      <c r="C272" s="216" t="s">
        <v>40</v>
      </c>
      <c r="D272" s="358" t="s">
        <v>5274</v>
      </c>
      <c r="E272" s="297" t="s">
        <v>31</v>
      </c>
      <c r="F272" s="344" t="s">
        <v>5275</v>
      </c>
      <c r="G272" s="204" t="s">
        <v>5279</v>
      </c>
      <c r="H272" s="289" t="s">
        <v>21</v>
      </c>
      <c r="I272" s="204" t="s">
        <v>5279</v>
      </c>
      <c r="J272" s="289" t="s">
        <v>5771</v>
      </c>
      <c r="K272" s="204" t="s">
        <v>5279</v>
      </c>
      <c r="L272" s="173" t="s">
        <v>5280</v>
      </c>
      <c r="M272" s="351" t="s">
        <v>5678</v>
      </c>
      <c r="N272" s="197"/>
      <c r="O272" s="147"/>
      <c r="P272" s="284"/>
      <c r="Q272" s="284"/>
      <c r="R272" s="284"/>
      <c r="S272" s="284"/>
      <c r="T272" s="284"/>
      <c r="U272" s="284"/>
      <c r="V272" s="284"/>
      <c r="W272" s="284"/>
      <c r="X272" s="284"/>
      <c r="Y272" s="284"/>
      <c r="Z272" s="284"/>
    </row>
    <row r="273" ht="22.5" customHeight="1">
      <c r="A273" s="270"/>
      <c r="B273" s="158" t="s">
        <v>5798</v>
      </c>
      <c r="C273" s="213" t="s">
        <v>40</v>
      </c>
      <c r="D273" s="293" t="s">
        <v>5274</v>
      </c>
      <c r="E273" s="301" t="s">
        <v>31</v>
      </c>
      <c r="F273" s="341" t="s">
        <v>5275</v>
      </c>
      <c r="G273" s="227" t="s">
        <v>5279</v>
      </c>
      <c r="H273" s="294" t="s">
        <v>21</v>
      </c>
      <c r="I273" s="207" t="s">
        <v>5279</v>
      </c>
      <c r="J273" s="294" t="s">
        <v>5771</v>
      </c>
      <c r="K273" s="207" t="s">
        <v>5279</v>
      </c>
      <c r="L273" s="165" t="s">
        <v>5280</v>
      </c>
      <c r="M273" s="157" t="s">
        <v>5799</v>
      </c>
      <c r="N273" s="196"/>
      <c r="O273" s="155"/>
      <c r="P273" s="284"/>
      <c r="Q273" s="284"/>
      <c r="R273" s="284"/>
      <c r="S273" s="284"/>
      <c r="T273" s="284"/>
      <c r="U273" s="284"/>
      <c r="V273" s="284"/>
      <c r="W273" s="284"/>
      <c r="X273" s="284"/>
      <c r="Y273" s="284"/>
      <c r="Z273" s="284"/>
    </row>
    <row r="274" ht="22.5" customHeight="1">
      <c r="A274" s="285" t="s">
        <v>5800</v>
      </c>
      <c r="B274" s="159" t="s">
        <v>5801</v>
      </c>
      <c r="C274" s="216" t="s">
        <v>40</v>
      </c>
      <c r="D274" s="358" t="s">
        <v>5274</v>
      </c>
      <c r="E274" s="297" t="s">
        <v>31</v>
      </c>
      <c r="F274" s="344" t="s">
        <v>5275</v>
      </c>
      <c r="G274" s="204" t="s">
        <v>5279</v>
      </c>
      <c r="H274" s="289" t="s">
        <v>21</v>
      </c>
      <c r="I274" s="204" t="s">
        <v>5279</v>
      </c>
      <c r="J274" s="289" t="s">
        <v>5771</v>
      </c>
      <c r="K274" s="204" t="s">
        <v>5279</v>
      </c>
      <c r="L274" s="173" t="s">
        <v>5280</v>
      </c>
      <c r="M274" s="351" t="s">
        <v>5802</v>
      </c>
      <c r="N274" s="197"/>
      <c r="O274" s="147"/>
      <c r="P274" s="284"/>
      <c r="Q274" s="284"/>
      <c r="R274" s="284"/>
      <c r="S274" s="284"/>
      <c r="T274" s="284"/>
      <c r="U274" s="284"/>
      <c r="V274" s="284"/>
      <c r="W274" s="284"/>
      <c r="X274" s="284"/>
      <c r="Y274" s="284"/>
      <c r="Z274" s="284"/>
    </row>
    <row r="275" ht="22.5" customHeight="1">
      <c r="A275" s="270"/>
      <c r="B275" s="158" t="s">
        <v>5803</v>
      </c>
      <c r="C275" s="213" t="s">
        <v>40</v>
      </c>
      <c r="D275" s="293" t="s">
        <v>5274</v>
      </c>
      <c r="E275" s="301" t="s">
        <v>31</v>
      </c>
      <c r="F275" s="341" t="s">
        <v>5275</v>
      </c>
      <c r="G275" s="227" t="s">
        <v>5279</v>
      </c>
      <c r="H275" s="294" t="s">
        <v>21</v>
      </c>
      <c r="I275" s="207" t="s">
        <v>5279</v>
      </c>
      <c r="J275" s="294" t="s">
        <v>5771</v>
      </c>
      <c r="K275" s="207" t="s">
        <v>5279</v>
      </c>
      <c r="L275" s="165" t="s">
        <v>5280</v>
      </c>
      <c r="M275" s="157" t="s">
        <v>5678</v>
      </c>
      <c r="N275" s="196"/>
      <c r="O275" s="155"/>
      <c r="P275" s="284"/>
      <c r="Q275" s="284"/>
      <c r="R275" s="284"/>
      <c r="S275" s="284"/>
      <c r="T275" s="284"/>
      <c r="U275" s="284"/>
      <c r="V275" s="284"/>
      <c r="W275" s="284"/>
      <c r="X275" s="284"/>
      <c r="Y275" s="284"/>
      <c r="Z275" s="284"/>
    </row>
    <row r="276" ht="22.5" customHeight="1">
      <c r="A276" s="202"/>
      <c r="B276" s="159" t="s">
        <v>5804</v>
      </c>
      <c r="C276" s="319" t="s">
        <v>40</v>
      </c>
      <c r="D276" s="358" t="s">
        <v>5274</v>
      </c>
      <c r="E276" s="204" t="s">
        <v>640</v>
      </c>
      <c r="F276" s="344" t="s">
        <v>5275</v>
      </c>
      <c r="G276" s="204" t="s">
        <v>5279</v>
      </c>
      <c r="H276" s="289" t="s">
        <v>21</v>
      </c>
      <c r="I276" s="204" t="s">
        <v>5279</v>
      </c>
      <c r="J276" s="289" t="s">
        <v>5771</v>
      </c>
      <c r="K276" s="204" t="s">
        <v>5279</v>
      </c>
      <c r="L276" s="332" t="s">
        <v>5271</v>
      </c>
      <c r="M276" s="351" t="s">
        <v>5805</v>
      </c>
      <c r="N276" s="197"/>
      <c r="O276" s="147"/>
      <c r="P276" s="284"/>
      <c r="Q276" s="284"/>
      <c r="R276" s="284"/>
      <c r="S276" s="284"/>
      <c r="T276" s="284"/>
      <c r="U276" s="284"/>
      <c r="V276" s="284"/>
      <c r="W276" s="284"/>
      <c r="X276" s="284"/>
      <c r="Y276" s="284"/>
      <c r="Z276" s="284"/>
    </row>
    <row r="277" ht="22.5" customHeight="1">
      <c r="A277" s="291" t="s">
        <v>5806</v>
      </c>
      <c r="B277" s="158" t="s">
        <v>5807</v>
      </c>
      <c r="C277" s="214" t="s">
        <v>17</v>
      </c>
      <c r="D277" s="293" t="s">
        <v>5274</v>
      </c>
      <c r="E277" s="306" t="s">
        <v>19</v>
      </c>
      <c r="F277" s="341" t="s">
        <v>5275</v>
      </c>
      <c r="G277" s="227" t="s">
        <v>5279</v>
      </c>
      <c r="H277" s="294" t="s">
        <v>21</v>
      </c>
      <c r="I277" s="207" t="s">
        <v>5279</v>
      </c>
      <c r="J277" s="294" t="s">
        <v>5771</v>
      </c>
      <c r="K277" s="207" t="s">
        <v>5279</v>
      </c>
      <c r="L277" s="320" t="s">
        <v>5271</v>
      </c>
      <c r="M277" s="157" t="s">
        <v>5808</v>
      </c>
      <c r="N277" s="196"/>
      <c r="O277" s="155"/>
      <c r="P277" s="284"/>
      <c r="Q277" s="284"/>
      <c r="R277" s="284"/>
      <c r="S277" s="284"/>
      <c r="T277" s="284"/>
      <c r="U277" s="284"/>
      <c r="V277" s="284"/>
      <c r="W277" s="284"/>
      <c r="X277" s="284"/>
      <c r="Y277" s="284"/>
      <c r="Z277" s="284"/>
    </row>
    <row r="278" ht="22.5" customHeight="1">
      <c r="A278" s="368"/>
      <c r="B278" s="159" t="s">
        <v>5809</v>
      </c>
      <c r="C278" s="216" t="s">
        <v>40</v>
      </c>
      <c r="D278" s="358" t="s">
        <v>5274</v>
      </c>
      <c r="E278" s="297" t="s">
        <v>31</v>
      </c>
      <c r="F278" s="344" t="s">
        <v>5275</v>
      </c>
      <c r="G278" s="204" t="s">
        <v>5279</v>
      </c>
      <c r="H278" s="289" t="s">
        <v>21</v>
      </c>
      <c r="I278" s="204" t="s">
        <v>5279</v>
      </c>
      <c r="J278" s="289" t="s">
        <v>5771</v>
      </c>
      <c r="K278" s="204" t="s">
        <v>5279</v>
      </c>
      <c r="L278" s="173" t="s">
        <v>5280</v>
      </c>
      <c r="M278" s="351" t="s">
        <v>5544</v>
      </c>
      <c r="N278" s="197"/>
      <c r="O278" s="147"/>
      <c r="P278" s="284"/>
      <c r="Q278" s="284"/>
      <c r="R278" s="284"/>
      <c r="S278" s="284"/>
      <c r="T278" s="284"/>
      <c r="U278" s="284"/>
      <c r="V278" s="284"/>
      <c r="W278" s="284"/>
      <c r="X278" s="284"/>
      <c r="Y278" s="284"/>
      <c r="Z278" s="284"/>
    </row>
    <row r="279" ht="22.5" customHeight="1">
      <c r="A279" s="324" t="s">
        <v>5810</v>
      </c>
      <c r="B279" s="158" t="s">
        <v>5811</v>
      </c>
      <c r="C279" s="161" t="s">
        <v>49</v>
      </c>
      <c r="D279" s="293" t="s">
        <v>5274</v>
      </c>
      <c r="E279" s="227" t="s">
        <v>640</v>
      </c>
      <c r="F279" s="341" t="s">
        <v>5275</v>
      </c>
      <c r="G279" s="363" t="s">
        <v>19</v>
      </c>
      <c r="H279" s="294" t="s">
        <v>21</v>
      </c>
      <c r="I279" s="207" t="s">
        <v>5279</v>
      </c>
      <c r="J279" s="294" t="s">
        <v>5771</v>
      </c>
      <c r="K279" s="207" t="s">
        <v>5279</v>
      </c>
      <c r="L279" s="320" t="s">
        <v>5271</v>
      </c>
      <c r="M279" s="157" t="s">
        <v>5717</v>
      </c>
      <c r="N279" s="196"/>
      <c r="O279" s="155"/>
      <c r="P279" s="284"/>
      <c r="Q279" s="284"/>
      <c r="R279" s="284"/>
      <c r="S279" s="284"/>
      <c r="T279" s="284"/>
      <c r="U279" s="284"/>
      <c r="V279" s="284"/>
      <c r="W279" s="284"/>
      <c r="X279" s="284"/>
      <c r="Y279" s="284"/>
      <c r="Z279" s="284"/>
    </row>
    <row r="280" ht="22.5" customHeight="1">
      <c r="A280" s="285" t="s">
        <v>5812</v>
      </c>
      <c r="B280" s="159" t="s">
        <v>5813</v>
      </c>
      <c r="C280" s="370" t="s">
        <v>40</v>
      </c>
      <c r="D280" s="358" t="s">
        <v>5274</v>
      </c>
      <c r="E280" s="204" t="s">
        <v>640</v>
      </c>
      <c r="F280" s="344" t="s">
        <v>5275</v>
      </c>
      <c r="G280" s="297" t="s">
        <v>31</v>
      </c>
      <c r="H280" s="289" t="s">
        <v>21</v>
      </c>
      <c r="I280" s="204" t="s">
        <v>5279</v>
      </c>
      <c r="J280" s="289" t="s">
        <v>5771</v>
      </c>
      <c r="K280" s="204" t="s">
        <v>5279</v>
      </c>
      <c r="L280" s="173" t="s">
        <v>5280</v>
      </c>
      <c r="M280" s="351" t="s">
        <v>1520</v>
      </c>
      <c r="N280" s="197"/>
      <c r="O280" s="147"/>
      <c r="P280" s="284"/>
      <c r="Q280" s="284"/>
      <c r="R280" s="284"/>
      <c r="S280" s="284"/>
      <c r="T280" s="284"/>
      <c r="U280" s="284"/>
      <c r="V280" s="284"/>
      <c r="W280" s="284"/>
      <c r="X280" s="284"/>
      <c r="Y280" s="284"/>
      <c r="Z280" s="284"/>
    </row>
    <row r="281" ht="22.5" customHeight="1">
      <c r="A281" s="291" t="s">
        <v>5814</v>
      </c>
      <c r="B281" s="158" t="s">
        <v>5745</v>
      </c>
      <c r="C281" s="213" t="s">
        <v>40</v>
      </c>
      <c r="D281" s="293" t="s">
        <v>5274</v>
      </c>
      <c r="E281" s="227" t="s">
        <v>640</v>
      </c>
      <c r="F281" s="341" t="s">
        <v>5275</v>
      </c>
      <c r="G281" s="311" t="s">
        <v>31</v>
      </c>
      <c r="H281" s="294" t="s">
        <v>21</v>
      </c>
      <c r="I281" s="207" t="s">
        <v>5279</v>
      </c>
      <c r="J281" s="294" t="s">
        <v>5771</v>
      </c>
      <c r="K281" s="207" t="s">
        <v>5279</v>
      </c>
      <c r="L281" s="165" t="s">
        <v>5280</v>
      </c>
      <c r="M281" s="157" t="s">
        <v>5815</v>
      </c>
      <c r="N281" s="196"/>
      <c r="O281" s="155"/>
      <c r="P281" s="284"/>
      <c r="Q281" s="284"/>
      <c r="R281" s="284"/>
      <c r="S281" s="284"/>
      <c r="T281" s="284"/>
      <c r="U281" s="284"/>
      <c r="V281" s="284"/>
      <c r="W281" s="284"/>
      <c r="X281" s="284"/>
      <c r="Y281" s="284"/>
      <c r="Z281" s="284"/>
    </row>
    <row r="282" ht="22.5" customHeight="1">
      <c r="A282" s="303" t="s">
        <v>5816</v>
      </c>
      <c r="B282" s="159" t="s">
        <v>5817</v>
      </c>
      <c r="C282" s="370" t="s">
        <v>40</v>
      </c>
      <c r="D282" s="358" t="s">
        <v>5274</v>
      </c>
      <c r="E282" s="204" t="s">
        <v>640</v>
      </c>
      <c r="F282" s="344" t="s">
        <v>5275</v>
      </c>
      <c r="G282" s="204" t="s">
        <v>5279</v>
      </c>
      <c r="H282" s="289" t="s">
        <v>21</v>
      </c>
      <c r="I282" s="297" t="s">
        <v>31</v>
      </c>
      <c r="J282" s="289" t="s">
        <v>5771</v>
      </c>
      <c r="K282" s="204" t="s">
        <v>5279</v>
      </c>
      <c r="L282" s="173" t="s">
        <v>5280</v>
      </c>
      <c r="M282" s="351" t="s">
        <v>5544</v>
      </c>
      <c r="N282" s="197"/>
      <c r="O282" s="147"/>
      <c r="P282" s="284"/>
      <c r="Q282" s="284"/>
      <c r="R282" s="284"/>
      <c r="S282" s="284"/>
      <c r="T282" s="284"/>
      <c r="U282" s="284"/>
      <c r="V282" s="284"/>
      <c r="W282" s="284"/>
      <c r="X282" s="284"/>
      <c r="Y282" s="284"/>
      <c r="Z282" s="284"/>
    </row>
    <row r="283" ht="22.5" customHeight="1">
      <c r="A283" s="291" t="s">
        <v>5818</v>
      </c>
      <c r="B283" s="158" t="s">
        <v>5819</v>
      </c>
      <c r="C283" s="213" t="s">
        <v>40</v>
      </c>
      <c r="D283" s="293" t="s">
        <v>5274</v>
      </c>
      <c r="E283" s="227" t="s">
        <v>640</v>
      </c>
      <c r="F283" s="341" t="s">
        <v>5275</v>
      </c>
      <c r="G283" s="227" t="s">
        <v>5279</v>
      </c>
      <c r="H283" s="294" t="s">
        <v>21</v>
      </c>
      <c r="I283" s="207" t="s">
        <v>5279</v>
      </c>
      <c r="J283" s="294" t="s">
        <v>5771</v>
      </c>
      <c r="K283" s="207" t="s">
        <v>5279</v>
      </c>
      <c r="L283" s="320" t="s">
        <v>5271</v>
      </c>
      <c r="M283" s="157" t="s">
        <v>5820</v>
      </c>
      <c r="N283" s="196"/>
      <c r="O283" s="155"/>
      <c r="P283" s="284"/>
      <c r="Q283" s="284"/>
      <c r="R283" s="284"/>
      <c r="S283" s="284"/>
      <c r="T283" s="284"/>
      <c r="U283" s="284"/>
      <c r="V283" s="284"/>
      <c r="W283" s="284"/>
      <c r="X283" s="284"/>
      <c r="Y283" s="284"/>
      <c r="Z283" s="284"/>
    </row>
    <row r="284" ht="22.5" customHeight="1">
      <c r="A284" s="285" t="s">
        <v>5762</v>
      </c>
      <c r="B284" s="159" t="s">
        <v>5821</v>
      </c>
      <c r="C284" s="370" t="s">
        <v>40</v>
      </c>
      <c r="D284" s="358" t="s">
        <v>5274</v>
      </c>
      <c r="E284" s="204" t="s">
        <v>640</v>
      </c>
      <c r="F284" s="344" t="s">
        <v>5275</v>
      </c>
      <c r="G284" s="204" t="s">
        <v>5279</v>
      </c>
      <c r="H284" s="289" t="s">
        <v>21</v>
      </c>
      <c r="I284" s="297" t="s">
        <v>31</v>
      </c>
      <c r="J284" s="289" t="s">
        <v>5771</v>
      </c>
      <c r="K284" s="204" t="s">
        <v>5279</v>
      </c>
      <c r="L284" s="173" t="s">
        <v>5280</v>
      </c>
      <c r="M284" s="351" t="s">
        <v>152</v>
      </c>
      <c r="N284" s="197"/>
      <c r="O284" s="147"/>
      <c r="P284" s="284"/>
      <c r="Q284" s="284"/>
      <c r="R284" s="284"/>
      <c r="S284" s="284"/>
      <c r="T284" s="284"/>
      <c r="U284" s="284"/>
      <c r="V284" s="284"/>
      <c r="W284" s="284"/>
      <c r="X284" s="284"/>
      <c r="Y284" s="284"/>
      <c r="Z284" s="284"/>
    </row>
    <row r="285" ht="22.5" customHeight="1">
      <c r="A285" s="270"/>
      <c r="B285" s="158" t="s">
        <v>5822</v>
      </c>
      <c r="C285" s="161" t="s">
        <v>49</v>
      </c>
      <c r="D285" s="293" t="s">
        <v>5274</v>
      </c>
      <c r="E285" s="227" t="s">
        <v>640</v>
      </c>
      <c r="F285" s="341" t="s">
        <v>5275</v>
      </c>
      <c r="G285" s="227" t="s">
        <v>5279</v>
      </c>
      <c r="H285" s="294" t="s">
        <v>21</v>
      </c>
      <c r="I285" s="207" t="s">
        <v>5279</v>
      </c>
      <c r="J285" s="294" t="s">
        <v>5771</v>
      </c>
      <c r="K285" s="207" t="s">
        <v>5279</v>
      </c>
      <c r="L285" s="320" t="s">
        <v>5271</v>
      </c>
      <c r="M285" s="155"/>
      <c r="N285" s="196"/>
      <c r="O285" s="155"/>
      <c r="P285" s="284"/>
      <c r="Q285" s="284"/>
      <c r="R285" s="284"/>
      <c r="S285" s="284"/>
      <c r="T285" s="284"/>
      <c r="U285" s="284"/>
      <c r="V285" s="284"/>
      <c r="W285" s="284"/>
      <c r="X285" s="284"/>
      <c r="Y285" s="284"/>
      <c r="Z285" s="284"/>
    </row>
    <row r="286" ht="22.5" customHeight="1">
      <c r="A286" s="368"/>
      <c r="B286" s="159" t="s">
        <v>5823</v>
      </c>
      <c r="C286" s="371" t="s">
        <v>17</v>
      </c>
      <c r="D286" s="358" t="s">
        <v>5274</v>
      </c>
      <c r="E286" s="204" t="s">
        <v>640</v>
      </c>
      <c r="F286" s="344" t="s">
        <v>5275</v>
      </c>
      <c r="G286" s="204" t="s">
        <v>5279</v>
      </c>
      <c r="H286" s="289" t="s">
        <v>21</v>
      </c>
      <c r="I286" s="288" t="s">
        <v>19</v>
      </c>
      <c r="J286" s="289" t="s">
        <v>5771</v>
      </c>
      <c r="K286" s="204" t="s">
        <v>5279</v>
      </c>
      <c r="L286" s="332" t="s">
        <v>5271</v>
      </c>
      <c r="M286" s="351" t="s">
        <v>5824</v>
      </c>
      <c r="N286" s="197"/>
      <c r="O286" s="147"/>
      <c r="P286" s="284"/>
      <c r="Q286" s="284"/>
      <c r="R286" s="284"/>
      <c r="S286" s="284"/>
      <c r="T286" s="284"/>
      <c r="U286" s="284"/>
      <c r="V286" s="284"/>
      <c r="W286" s="284"/>
      <c r="X286" s="284"/>
      <c r="Y286" s="284"/>
      <c r="Z286" s="284"/>
    </row>
    <row r="287" ht="22.5" customHeight="1">
      <c r="A287" s="291" t="s">
        <v>5825</v>
      </c>
      <c r="B287" s="158" t="s">
        <v>5826</v>
      </c>
      <c r="C287" s="214" t="s">
        <v>17</v>
      </c>
      <c r="D287" s="293" t="s">
        <v>5274</v>
      </c>
      <c r="E287" s="227" t="s">
        <v>640</v>
      </c>
      <c r="F287" s="341" t="s">
        <v>5275</v>
      </c>
      <c r="G287" s="227" t="s">
        <v>5279</v>
      </c>
      <c r="H287" s="294" t="s">
        <v>21</v>
      </c>
      <c r="I287" s="306" t="s">
        <v>19</v>
      </c>
      <c r="J287" s="294" t="s">
        <v>5771</v>
      </c>
      <c r="K287" s="306" t="s">
        <v>19</v>
      </c>
      <c r="L287" s="320" t="s">
        <v>5271</v>
      </c>
      <c r="M287" s="157" t="s">
        <v>5827</v>
      </c>
      <c r="N287" s="196"/>
      <c r="O287" s="155"/>
      <c r="P287" s="284"/>
      <c r="Q287" s="284"/>
      <c r="R287" s="284"/>
      <c r="S287" s="284"/>
      <c r="T287" s="284"/>
      <c r="U287" s="284"/>
      <c r="V287" s="284"/>
      <c r="W287" s="284"/>
      <c r="X287" s="284"/>
      <c r="Y287" s="284"/>
      <c r="Z287" s="284"/>
    </row>
    <row r="288" ht="22.5" customHeight="1">
      <c r="A288" s="285" t="s">
        <v>5828</v>
      </c>
      <c r="B288" s="159" t="s">
        <v>5829</v>
      </c>
      <c r="C288" s="370" t="s">
        <v>40</v>
      </c>
      <c r="D288" s="358" t="s">
        <v>5274</v>
      </c>
      <c r="E288" s="204" t="s">
        <v>640</v>
      </c>
      <c r="F288" s="344" t="s">
        <v>5275</v>
      </c>
      <c r="G288" s="204" t="s">
        <v>5279</v>
      </c>
      <c r="H288" s="289" t="s">
        <v>21</v>
      </c>
      <c r="I288" s="288" t="s">
        <v>19</v>
      </c>
      <c r="J288" s="289" t="s">
        <v>5771</v>
      </c>
      <c r="K288" s="297" t="s">
        <v>31</v>
      </c>
      <c r="L288" s="173" t="s">
        <v>5280</v>
      </c>
      <c r="M288" s="351" t="s">
        <v>5830</v>
      </c>
      <c r="N288" s="197"/>
      <c r="O288" s="147"/>
      <c r="P288" s="284"/>
      <c r="Q288" s="284"/>
      <c r="R288" s="284"/>
      <c r="S288" s="284"/>
      <c r="T288" s="284"/>
      <c r="U288" s="284"/>
      <c r="V288" s="284"/>
      <c r="W288" s="284"/>
      <c r="X288" s="284"/>
      <c r="Y288" s="284"/>
      <c r="Z288" s="284"/>
    </row>
    <row r="289" ht="22.5" customHeight="1">
      <c r="A289" s="291" t="s">
        <v>5831</v>
      </c>
      <c r="B289" s="158" t="s">
        <v>5832</v>
      </c>
      <c r="C289" s="213" t="s">
        <v>40</v>
      </c>
      <c r="D289" s="293" t="s">
        <v>5274</v>
      </c>
      <c r="E289" s="227" t="s">
        <v>640</v>
      </c>
      <c r="F289" s="341" t="s">
        <v>5275</v>
      </c>
      <c r="G289" s="227" t="s">
        <v>5279</v>
      </c>
      <c r="H289" s="294" t="s">
        <v>21</v>
      </c>
      <c r="I289" s="301" t="s">
        <v>31</v>
      </c>
      <c r="J289" s="294" t="s">
        <v>5771</v>
      </c>
      <c r="K289" s="207" t="s">
        <v>5279</v>
      </c>
      <c r="L289" s="165" t="s">
        <v>5280</v>
      </c>
      <c r="M289" s="157" t="s">
        <v>5833</v>
      </c>
      <c r="N289" s="196"/>
      <c r="O289" s="155"/>
      <c r="P289" s="284"/>
      <c r="Q289" s="284"/>
      <c r="R289" s="284"/>
      <c r="S289" s="284"/>
      <c r="T289" s="284"/>
      <c r="U289" s="284"/>
      <c r="V289" s="284"/>
      <c r="W289" s="284"/>
      <c r="X289" s="284"/>
      <c r="Y289" s="284"/>
      <c r="Z289" s="284"/>
    </row>
    <row r="290" ht="22.5" customHeight="1">
      <c r="A290" s="285" t="s">
        <v>5708</v>
      </c>
      <c r="B290" s="159" t="s">
        <v>5834</v>
      </c>
      <c r="C290" s="371" t="s">
        <v>17</v>
      </c>
      <c r="D290" s="358" t="s">
        <v>5274</v>
      </c>
      <c r="E290" s="204" t="s">
        <v>640</v>
      </c>
      <c r="F290" s="344" t="s">
        <v>5275</v>
      </c>
      <c r="G290" s="204" t="s">
        <v>5279</v>
      </c>
      <c r="H290" s="289" t="s">
        <v>21</v>
      </c>
      <c r="I290" s="288" t="s">
        <v>19</v>
      </c>
      <c r="J290" s="289" t="s">
        <v>5771</v>
      </c>
      <c r="K290" s="204" t="s">
        <v>5279</v>
      </c>
      <c r="L290" s="332" t="s">
        <v>5271</v>
      </c>
      <c r="M290" s="351" t="s">
        <v>5615</v>
      </c>
      <c r="N290" s="197"/>
      <c r="O290" s="147"/>
      <c r="P290" s="284"/>
      <c r="Q290" s="284"/>
      <c r="R290" s="284"/>
      <c r="S290" s="284"/>
      <c r="T290" s="284"/>
      <c r="U290" s="284"/>
      <c r="V290" s="284"/>
      <c r="W290" s="284"/>
      <c r="X290" s="284"/>
      <c r="Y290" s="284"/>
      <c r="Z290" s="284"/>
    </row>
    <row r="291" ht="22.5" customHeight="1">
      <c r="A291" s="291" t="s">
        <v>5835</v>
      </c>
      <c r="B291" s="158" t="s">
        <v>5836</v>
      </c>
      <c r="C291" s="213" t="s">
        <v>40</v>
      </c>
      <c r="D291" s="293" t="s">
        <v>5274</v>
      </c>
      <c r="E291" s="227" t="s">
        <v>640</v>
      </c>
      <c r="F291" s="341" t="s">
        <v>5275</v>
      </c>
      <c r="G291" s="227" t="s">
        <v>5279</v>
      </c>
      <c r="H291" s="294" t="s">
        <v>21</v>
      </c>
      <c r="I291" s="301" t="s">
        <v>31</v>
      </c>
      <c r="J291" s="294" t="s">
        <v>5771</v>
      </c>
      <c r="K291" s="207" t="s">
        <v>5279</v>
      </c>
      <c r="L291" s="165" t="s">
        <v>5280</v>
      </c>
      <c r="M291" s="157" t="s">
        <v>5837</v>
      </c>
      <c r="N291" s="196"/>
      <c r="O291" s="155"/>
      <c r="P291" s="284"/>
      <c r="Q291" s="284"/>
      <c r="R291" s="284"/>
      <c r="S291" s="284"/>
      <c r="T291" s="284"/>
      <c r="U291" s="284"/>
      <c r="V291" s="284"/>
      <c r="W291" s="284"/>
      <c r="X291" s="284"/>
      <c r="Y291" s="284"/>
      <c r="Z291" s="284"/>
    </row>
    <row r="292" ht="22.5" customHeight="1">
      <c r="A292" s="285" t="s">
        <v>5838</v>
      </c>
      <c r="B292" s="159" t="s">
        <v>5839</v>
      </c>
      <c r="C292" s="372" t="s">
        <v>49</v>
      </c>
      <c r="D292" s="358" t="s">
        <v>5274</v>
      </c>
      <c r="E292" s="204" t="s">
        <v>640</v>
      </c>
      <c r="F292" s="344" t="s">
        <v>5275</v>
      </c>
      <c r="G292" s="204" t="s">
        <v>5279</v>
      </c>
      <c r="H292" s="289" t="s">
        <v>21</v>
      </c>
      <c r="I292" s="204" t="s">
        <v>5279</v>
      </c>
      <c r="J292" s="289" t="s">
        <v>5771</v>
      </c>
      <c r="K292" s="297" t="s">
        <v>31</v>
      </c>
      <c r="L292" s="173" t="s">
        <v>5280</v>
      </c>
      <c r="M292" s="351" t="s">
        <v>1713</v>
      </c>
      <c r="N292" s="197"/>
      <c r="O292" s="147"/>
      <c r="P292" s="284"/>
      <c r="Q292" s="284"/>
      <c r="R292" s="284"/>
      <c r="S292" s="284"/>
      <c r="T292" s="284"/>
      <c r="U292" s="284"/>
      <c r="V292" s="284"/>
      <c r="W292" s="284"/>
      <c r="X292" s="284"/>
      <c r="Y292" s="284"/>
      <c r="Z292" s="284"/>
    </row>
    <row r="293" ht="22.5" customHeight="1">
      <c r="A293" s="270"/>
      <c r="B293" s="158" t="s">
        <v>5840</v>
      </c>
      <c r="C293" s="161" t="s">
        <v>49</v>
      </c>
      <c r="D293" s="293" t="s">
        <v>5274</v>
      </c>
      <c r="E293" s="227" t="s">
        <v>640</v>
      </c>
      <c r="F293" s="341" t="s">
        <v>5275</v>
      </c>
      <c r="G293" s="227" t="s">
        <v>5279</v>
      </c>
      <c r="H293" s="294" t="s">
        <v>21</v>
      </c>
      <c r="I293" s="301" t="s">
        <v>31</v>
      </c>
      <c r="J293" s="294" t="s">
        <v>5771</v>
      </c>
      <c r="K293" s="207" t="s">
        <v>5279</v>
      </c>
      <c r="L293" s="165" t="s">
        <v>5280</v>
      </c>
      <c r="M293" s="157" t="s">
        <v>5479</v>
      </c>
      <c r="N293" s="196"/>
      <c r="O293" s="155"/>
      <c r="P293" s="284"/>
      <c r="Q293" s="284"/>
      <c r="R293" s="284"/>
      <c r="S293" s="284"/>
      <c r="T293" s="284"/>
      <c r="U293" s="284"/>
      <c r="V293" s="284"/>
      <c r="W293" s="284"/>
      <c r="X293" s="284"/>
      <c r="Y293" s="284"/>
      <c r="Z293" s="284"/>
    </row>
    <row r="294" ht="22.5" customHeight="1">
      <c r="A294" s="368"/>
      <c r="B294" s="159" t="s">
        <v>5841</v>
      </c>
      <c r="C294" s="371" t="s">
        <v>17</v>
      </c>
      <c r="D294" s="358" t="s">
        <v>5274</v>
      </c>
      <c r="E294" s="204" t="s">
        <v>640</v>
      </c>
      <c r="F294" s="344" t="s">
        <v>5275</v>
      </c>
      <c r="G294" s="204" t="s">
        <v>5279</v>
      </c>
      <c r="H294" s="289" t="s">
        <v>21</v>
      </c>
      <c r="I294" s="204" t="s">
        <v>5279</v>
      </c>
      <c r="J294" s="289" t="s">
        <v>5771</v>
      </c>
      <c r="K294" s="297" t="s">
        <v>31</v>
      </c>
      <c r="L294" s="332" t="s">
        <v>5271</v>
      </c>
      <c r="M294" s="351" t="s">
        <v>5615</v>
      </c>
      <c r="N294" s="197"/>
      <c r="O294" s="147"/>
      <c r="P294" s="284"/>
      <c r="Q294" s="284"/>
      <c r="R294" s="284"/>
      <c r="S294" s="284"/>
      <c r="T294" s="284"/>
      <c r="U294" s="284"/>
      <c r="V294" s="284"/>
      <c r="W294" s="284"/>
      <c r="X294" s="284"/>
      <c r="Y294" s="284"/>
      <c r="Z294" s="284"/>
    </row>
    <row r="295" ht="22.5" customHeight="1">
      <c r="A295" s="270"/>
      <c r="B295" s="158" t="s">
        <v>5842</v>
      </c>
      <c r="C295" s="213" t="s">
        <v>40</v>
      </c>
      <c r="D295" s="293" t="s">
        <v>5274</v>
      </c>
      <c r="E295" s="227" t="s">
        <v>640</v>
      </c>
      <c r="F295" s="341" t="s">
        <v>5275</v>
      </c>
      <c r="G295" s="227" t="s">
        <v>5279</v>
      </c>
      <c r="H295" s="294" t="s">
        <v>21</v>
      </c>
      <c r="I295" s="207" t="s">
        <v>5279</v>
      </c>
      <c r="J295" s="294" t="s">
        <v>5771</v>
      </c>
      <c r="K295" s="306" t="s">
        <v>19</v>
      </c>
      <c r="L295" s="320" t="s">
        <v>5271</v>
      </c>
      <c r="M295" s="155"/>
      <c r="N295" s="196"/>
      <c r="O295" s="155"/>
      <c r="P295" s="284"/>
      <c r="Q295" s="284"/>
      <c r="R295" s="284"/>
      <c r="S295" s="284"/>
      <c r="T295" s="284"/>
      <c r="U295" s="284"/>
      <c r="V295" s="284"/>
      <c r="W295" s="284"/>
      <c r="X295" s="284"/>
      <c r="Y295" s="284"/>
      <c r="Z295" s="284"/>
    </row>
    <row r="296" ht="22.5" customHeight="1">
      <c r="A296" s="285" t="s">
        <v>5843</v>
      </c>
      <c r="B296" s="159" t="s">
        <v>5844</v>
      </c>
      <c r="C296" s="370" t="s">
        <v>40</v>
      </c>
      <c r="D296" s="358" t="s">
        <v>5274</v>
      </c>
      <c r="E296" s="204" t="s">
        <v>640</v>
      </c>
      <c r="F296" s="344" t="s">
        <v>5275</v>
      </c>
      <c r="G296" s="204" t="s">
        <v>5279</v>
      </c>
      <c r="H296" s="289" t="s">
        <v>21</v>
      </c>
      <c r="I296" s="204" t="s">
        <v>5279</v>
      </c>
      <c r="J296" s="289" t="s">
        <v>5771</v>
      </c>
      <c r="K296" s="297" t="s">
        <v>31</v>
      </c>
      <c r="L296" s="173" t="s">
        <v>5280</v>
      </c>
      <c r="M296" s="351" t="s">
        <v>5845</v>
      </c>
      <c r="N296" s="197"/>
      <c r="O296" s="147"/>
      <c r="P296" s="284"/>
      <c r="Q296" s="284"/>
      <c r="R296" s="284"/>
      <c r="S296" s="284"/>
      <c r="T296" s="284"/>
      <c r="U296" s="284"/>
      <c r="V296" s="284"/>
      <c r="W296" s="284"/>
      <c r="X296" s="284"/>
      <c r="Y296" s="284"/>
      <c r="Z296" s="284"/>
    </row>
    <row r="297" ht="22.5" customHeight="1">
      <c r="A297" s="270"/>
      <c r="B297" s="158" t="s">
        <v>5846</v>
      </c>
      <c r="C297" s="161" t="s">
        <v>49</v>
      </c>
      <c r="D297" s="293" t="s">
        <v>5274</v>
      </c>
      <c r="E297" s="227" t="s">
        <v>640</v>
      </c>
      <c r="F297" s="341" t="s">
        <v>5275</v>
      </c>
      <c r="G297" s="227" t="s">
        <v>5279</v>
      </c>
      <c r="H297" s="294" t="s">
        <v>21</v>
      </c>
      <c r="I297" s="207" t="s">
        <v>5279</v>
      </c>
      <c r="J297" s="294" t="s">
        <v>5771</v>
      </c>
      <c r="K297" s="207" t="s">
        <v>5279</v>
      </c>
      <c r="L297" s="320" t="s">
        <v>5271</v>
      </c>
      <c r="M297" s="155"/>
      <c r="N297" s="196"/>
      <c r="O297" s="155"/>
      <c r="P297" s="284"/>
      <c r="Q297" s="284"/>
      <c r="R297" s="284"/>
      <c r="S297" s="284"/>
      <c r="T297" s="284"/>
      <c r="U297" s="284"/>
      <c r="V297" s="284"/>
      <c r="W297" s="284"/>
      <c r="X297" s="284"/>
      <c r="Y297" s="284"/>
      <c r="Z297" s="284"/>
    </row>
    <row r="298" ht="22.5" customHeight="1">
      <c r="A298" s="368"/>
      <c r="B298" s="159" t="s">
        <v>5847</v>
      </c>
      <c r="C298" s="370" t="s">
        <v>40</v>
      </c>
      <c r="D298" s="358" t="s">
        <v>5274</v>
      </c>
      <c r="E298" s="204" t="s">
        <v>640</v>
      </c>
      <c r="F298" s="344" t="s">
        <v>5275</v>
      </c>
      <c r="G298" s="204" t="s">
        <v>5279</v>
      </c>
      <c r="H298" s="289" t="s">
        <v>21</v>
      </c>
      <c r="I298" s="204" t="s">
        <v>5279</v>
      </c>
      <c r="J298" s="289" t="s">
        <v>5771</v>
      </c>
      <c r="K298" s="297" t="s">
        <v>31</v>
      </c>
      <c r="L298" s="173" t="s">
        <v>5280</v>
      </c>
      <c r="M298" s="351" t="s">
        <v>5544</v>
      </c>
      <c r="N298" s="197"/>
      <c r="O298" s="147"/>
      <c r="P298" s="284"/>
      <c r="Q298" s="284"/>
      <c r="R298" s="284"/>
      <c r="S298" s="284"/>
      <c r="T298" s="284"/>
      <c r="U298" s="284"/>
      <c r="V298" s="284"/>
      <c r="W298" s="284"/>
      <c r="X298" s="284"/>
      <c r="Y298" s="284"/>
      <c r="Z298" s="284"/>
    </row>
    <row r="299" ht="22.5" customHeight="1">
      <c r="A299" s="270"/>
      <c r="B299" s="158" t="s">
        <v>5848</v>
      </c>
      <c r="C299" s="161" t="s">
        <v>49</v>
      </c>
      <c r="D299" s="293" t="s">
        <v>5274</v>
      </c>
      <c r="E299" s="227" t="s">
        <v>640</v>
      </c>
      <c r="F299" s="341" t="s">
        <v>5275</v>
      </c>
      <c r="G299" s="227" t="s">
        <v>5279</v>
      </c>
      <c r="H299" s="294" t="s">
        <v>21</v>
      </c>
      <c r="I299" s="207" t="s">
        <v>5279</v>
      </c>
      <c r="J299" s="294" t="s">
        <v>5771</v>
      </c>
      <c r="K299" s="301" t="s">
        <v>31</v>
      </c>
      <c r="L299" s="165" t="s">
        <v>5280</v>
      </c>
      <c r="M299" s="157" t="s">
        <v>5849</v>
      </c>
      <c r="N299" s="196"/>
      <c r="O299" s="155"/>
      <c r="P299" s="284"/>
      <c r="Q299" s="284"/>
      <c r="R299" s="284"/>
      <c r="S299" s="284"/>
      <c r="T299" s="284"/>
      <c r="U299" s="284"/>
      <c r="V299" s="284"/>
      <c r="W299" s="284"/>
      <c r="X299" s="284"/>
      <c r="Y299" s="284"/>
      <c r="Z299" s="284"/>
    </row>
    <row r="300" ht="22.5" customHeight="1">
      <c r="A300" s="368"/>
      <c r="B300" s="159" t="s">
        <v>5850</v>
      </c>
      <c r="C300" s="370" t="s">
        <v>40</v>
      </c>
      <c r="D300" s="358" t="s">
        <v>5274</v>
      </c>
      <c r="E300" s="204" t="s">
        <v>640</v>
      </c>
      <c r="F300" s="344" t="s">
        <v>5275</v>
      </c>
      <c r="G300" s="204" t="s">
        <v>5279</v>
      </c>
      <c r="H300" s="289" t="s">
        <v>21</v>
      </c>
      <c r="I300" s="204" t="s">
        <v>5279</v>
      </c>
      <c r="J300" s="289" t="s">
        <v>5771</v>
      </c>
      <c r="K300" s="297" t="s">
        <v>31</v>
      </c>
      <c r="L300" s="173" t="s">
        <v>5280</v>
      </c>
      <c r="M300" s="351" t="s">
        <v>1520</v>
      </c>
      <c r="N300" s="197"/>
      <c r="O300" s="147"/>
      <c r="P300" s="284"/>
      <c r="Q300" s="284"/>
      <c r="R300" s="284"/>
      <c r="S300" s="284"/>
      <c r="T300" s="284"/>
      <c r="U300" s="284"/>
      <c r="V300" s="284"/>
      <c r="W300" s="284"/>
      <c r="X300" s="284"/>
      <c r="Y300" s="284"/>
      <c r="Z300" s="284"/>
    </row>
    <row r="301" ht="22.5" customHeight="1">
      <c r="A301" s="270"/>
      <c r="B301" s="158" t="s">
        <v>5851</v>
      </c>
      <c r="C301" s="214" t="s">
        <v>17</v>
      </c>
      <c r="D301" s="293" t="s">
        <v>5274</v>
      </c>
      <c r="E301" s="227" t="s">
        <v>640</v>
      </c>
      <c r="F301" s="341" t="s">
        <v>5275</v>
      </c>
      <c r="G301" s="227" t="s">
        <v>5279</v>
      </c>
      <c r="H301" s="294" t="s">
        <v>21</v>
      </c>
      <c r="I301" s="207" t="s">
        <v>5279</v>
      </c>
      <c r="J301" s="294" t="s">
        <v>5771</v>
      </c>
      <c r="K301" s="306" t="s">
        <v>19</v>
      </c>
      <c r="L301" s="320" t="s">
        <v>5271</v>
      </c>
      <c r="M301" s="157" t="s">
        <v>5680</v>
      </c>
      <c r="N301" s="196"/>
      <c r="O301" s="155"/>
      <c r="P301" s="284"/>
      <c r="Q301" s="284"/>
      <c r="R301" s="284"/>
      <c r="S301" s="284"/>
      <c r="T301" s="284"/>
      <c r="U301" s="284"/>
      <c r="V301" s="284"/>
      <c r="W301" s="284"/>
      <c r="X301" s="284"/>
      <c r="Y301" s="284"/>
      <c r="Z301" s="284"/>
    </row>
    <row r="302" ht="22.5" customHeight="1">
      <c r="A302" s="368"/>
      <c r="B302" s="159" t="s">
        <v>5852</v>
      </c>
      <c r="C302" s="370" t="s">
        <v>40</v>
      </c>
      <c r="D302" s="358" t="s">
        <v>5274</v>
      </c>
      <c r="E302" s="204" t="s">
        <v>640</v>
      </c>
      <c r="F302" s="344" t="s">
        <v>5275</v>
      </c>
      <c r="G302" s="204" t="s">
        <v>5279</v>
      </c>
      <c r="H302" s="289" t="s">
        <v>21</v>
      </c>
      <c r="I302" s="204" t="s">
        <v>5279</v>
      </c>
      <c r="J302" s="289" t="s">
        <v>5771</v>
      </c>
      <c r="K302" s="297" t="s">
        <v>31</v>
      </c>
      <c r="L302" s="173" t="s">
        <v>5280</v>
      </c>
      <c r="M302" s="351" t="s">
        <v>5853</v>
      </c>
      <c r="N302" s="197"/>
      <c r="O302" s="147"/>
      <c r="P302" s="284"/>
      <c r="Q302" s="284"/>
      <c r="R302" s="284"/>
      <c r="S302" s="284"/>
      <c r="T302" s="284"/>
      <c r="U302" s="284"/>
      <c r="V302" s="284"/>
      <c r="W302" s="284"/>
      <c r="X302" s="284"/>
      <c r="Y302" s="284"/>
      <c r="Z302" s="284"/>
    </row>
    <row r="303" ht="22.5" customHeight="1">
      <c r="A303" s="270"/>
      <c r="B303" s="158" t="s">
        <v>5854</v>
      </c>
      <c r="C303" s="214" t="s">
        <v>17</v>
      </c>
      <c r="D303" s="293" t="s">
        <v>5274</v>
      </c>
      <c r="E303" s="227" t="s">
        <v>640</v>
      </c>
      <c r="F303" s="341" t="s">
        <v>5275</v>
      </c>
      <c r="G303" s="227" t="s">
        <v>5279</v>
      </c>
      <c r="H303" s="294" t="s">
        <v>21</v>
      </c>
      <c r="I303" s="207" t="s">
        <v>5279</v>
      </c>
      <c r="J303" s="294" t="s">
        <v>5771</v>
      </c>
      <c r="K303" s="306" t="s">
        <v>19</v>
      </c>
      <c r="L303" s="320" t="s">
        <v>5271</v>
      </c>
      <c r="M303" s="157" t="s">
        <v>5717</v>
      </c>
      <c r="N303" s="196"/>
      <c r="O303" s="155"/>
      <c r="P303" s="284"/>
      <c r="Q303" s="284"/>
      <c r="R303" s="284"/>
      <c r="S303" s="284"/>
      <c r="T303" s="284"/>
      <c r="U303" s="284"/>
      <c r="V303" s="284"/>
      <c r="W303" s="284"/>
      <c r="X303" s="284"/>
      <c r="Y303" s="284"/>
      <c r="Z303" s="284"/>
    </row>
    <row r="304" ht="22.5" customHeight="1">
      <c r="A304" s="368"/>
      <c r="B304" s="159" t="s">
        <v>5855</v>
      </c>
      <c r="C304" s="372" t="s">
        <v>49</v>
      </c>
      <c r="D304" s="358" t="s">
        <v>5274</v>
      </c>
      <c r="E304" s="204" t="s">
        <v>640</v>
      </c>
      <c r="F304" s="344" t="s">
        <v>5275</v>
      </c>
      <c r="G304" s="204" t="s">
        <v>5279</v>
      </c>
      <c r="H304" s="289" t="s">
        <v>21</v>
      </c>
      <c r="I304" s="204" t="s">
        <v>5279</v>
      </c>
      <c r="J304" s="289" t="s">
        <v>5771</v>
      </c>
      <c r="K304" s="288" t="s">
        <v>19</v>
      </c>
      <c r="L304" s="332" t="s">
        <v>5271</v>
      </c>
      <c r="M304" s="147"/>
      <c r="N304" s="197"/>
      <c r="O304" s="147"/>
      <c r="P304" s="284"/>
      <c r="Q304" s="284"/>
      <c r="R304" s="284"/>
      <c r="S304" s="284"/>
      <c r="T304" s="284"/>
      <c r="U304" s="284"/>
      <c r="V304" s="284"/>
      <c r="W304" s="284"/>
      <c r="X304" s="284"/>
      <c r="Y304" s="284"/>
      <c r="Z304" s="284"/>
    </row>
    <row r="305" ht="22.5" customHeight="1">
      <c r="A305" s="270"/>
      <c r="B305" s="158" t="s">
        <v>5856</v>
      </c>
      <c r="C305" s="161" t="s">
        <v>49</v>
      </c>
      <c r="D305" s="293" t="s">
        <v>5274</v>
      </c>
      <c r="E305" s="227" t="s">
        <v>640</v>
      </c>
      <c r="F305" s="341" t="s">
        <v>5275</v>
      </c>
      <c r="G305" s="227" t="s">
        <v>5279</v>
      </c>
      <c r="H305" s="294" t="s">
        <v>21</v>
      </c>
      <c r="I305" s="207" t="s">
        <v>5279</v>
      </c>
      <c r="J305" s="294" t="s">
        <v>5771</v>
      </c>
      <c r="K305" s="207" t="s">
        <v>5279</v>
      </c>
      <c r="L305" s="320" t="s">
        <v>5271</v>
      </c>
      <c r="M305" s="155"/>
      <c r="N305" s="196"/>
      <c r="O305" s="155"/>
      <c r="P305" s="284"/>
      <c r="Q305" s="284"/>
      <c r="R305" s="284"/>
      <c r="S305" s="284"/>
      <c r="T305" s="284"/>
      <c r="U305" s="284"/>
      <c r="V305" s="284"/>
      <c r="W305" s="284"/>
      <c r="X305" s="284"/>
      <c r="Y305" s="284"/>
      <c r="Z305" s="284"/>
    </row>
    <row r="306" ht="22.5" customHeight="1">
      <c r="A306" s="368"/>
      <c r="B306" s="159" t="s">
        <v>5857</v>
      </c>
      <c r="C306" s="371" t="s">
        <v>17</v>
      </c>
      <c r="D306" s="358" t="s">
        <v>5274</v>
      </c>
      <c r="E306" s="288" t="s">
        <v>19</v>
      </c>
      <c r="F306" s="344" t="s">
        <v>5275</v>
      </c>
      <c r="G306" s="204" t="s">
        <v>5279</v>
      </c>
      <c r="H306" s="289" t="s">
        <v>21</v>
      </c>
      <c r="I306" s="204" t="s">
        <v>5279</v>
      </c>
      <c r="J306" s="289" t="s">
        <v>5771</v>
      </c>
      <c r="K306" s="297" t="s">
        <v>31</v>
      </c>
      <c r="L306" s="332" t="s">
        <v>5271</v>
      </c>
      <c r="M306" s="351" t="s">
        <v>5717</v>
      </c>
      <c r="N306" s="197"/>
      <c r="O306" s="147"/>
      <c r="P306" s="284"/>
      <c r="Q306" s="284"/>
      <c r="R306" s="284"/>
      <c r="S306" s="284"/>
      <c r="T306" s="284"/>
      <c r="U306" s="284"/>
      <c r="V306" s="284"/>
      <c r="W306" s="284"/>
      <c r="X306" s="284"/>
      <c r="Y306" s="284"/>
      <c r="Z306" s="284"/>
    </row>
    <row r="307" ht="22.5" customHeight="1">
      <c r="A307" s="291" t="s">
        <v>5858</v>
      </c>
      <c r="B307" s="158" t="s">
        <v>5859</v>
      </c>
      <c r="C307" s="161" t="s">
        <v>49</v>
      </c>
      <c r="D307" s="293" t="s">
        <v>5274</v>
      </c>
      <c r="E307" s="227" t="s">
        <v>640</v>
      </c>
      <c r="F307" s="341" t="s">
        <v>5275</v>
      </c>
      <c r="G307" s="227" t="s">
        <v>5279</v>
      </c>
      <c r="H307" s="294" t="s">
        <v>21</v>
      </c>
      <c r="I307" s="207" t="s">
        <v>5279</v>
      </c>
      <c r="J307" s="294" t="s">
        <v>5771</v>
      </c>
      <c r="K307" s="301" t="s">
        <v>31</v>
      </c>
      <c r="L307" s="165" t="s">
        <v>5280</v>
      </c>
      <c r="M307" s="157" t="s">
        <v>1713</v>
      </c>
      <c r="N307" s="196"/>
      <c r="O307" s="155"/>
      <c r="P307" s="284"/>
      <c r="Q307" s="284"/>
      <c r="R307" s="284"/>
      <c r="S307" s="284"/>
      <c r="T307" s="284"/>
      <c r="U307" s="284"/>
      <c r="V307" s="284"/>
      <c r="W307" s="284"/>
      <c r="X307" s="284"/>
      <c r="Y307" s="284"/>
      <c r="Z307" s="284"/>
    </row>
    <row r="308" ht="22.5" customHeight="1">
      <c r="A308" s="368"/>
      <c r="B308" s="159" t="s">
        <v>5860</v>
      </c>
      <c r="C308" s="371" t="s">
        <v>17</v>
      </c>
      <c r="D308" s="358" t="s">
        <v>5274</v>
      </c>
      <c r="E308" s="288" t="s">
        <v>19</v>
      </c>
      <c r="F308" s="344" t="s">
        <v>5275</v>
      </c>
      <c r="G308" s="204" t="s">
        <v>5279</v>
      </c>
      <c r="H308" s="289" t="s">
        <v>21</v>
      </c>
      <c r="I308" s="204" t="s">
        <v>5279</v>
      </c>
      <c r="J308" s="289" t="s">
        <v>5771</v>
      </c>
      <c r="K308" s="288" t="s">
        <v>19</v>
      </c>
      <c r="L308" s="332" t="s">
        <v>5271</v>
      </c>
      <c r="M308" s="351" t="s">
        <v>5717</v>
      </c>
      <c r="N308" s="197"/>
      <c r="O308" s="147"/>
      <c r="P308" s="284"/>
      <c r="Q308" s="284"/>
      <c r="R308" s="284"/>
      <c r="S308" s="284"/>
      <c r="T308" s="284"/>
      <c r="U308" s="284"/>
      <c r="V308" s="284"/>
      <c r="W308" s="284"/>
      <c r="X308" s="284"/>
      <c r="Y308" s="284"/>
      <c r="Z308" s="284"/>
    </row>
    <row r="309" ht="22.5" customHeight="1">
      <c r="A309" s="270"/>
      <c r="B309" s="158" t="s">
        <v>5861</v>
      </c>
      <c r="C309" s="213" t="s">
        <v>40</v>
      </c>
      <c r="D309" s="293" t="s">
        <v>5274</v>
      </c>
      <c r="E309" s="227" t="s">
        <v>640</v>
      </c>
      <c r="F309" s="341" t="s">
        <v>5275</v>
      </c>
      <c r="G309" s="227" t="s">
        <v>5279</v>
      </c>
      <c r="H309" s="294" t="s">
        <v>21</v>
      </c>
      <c r="I309" s="207" t="s">
        <v>5279</v>
      </c>
      <c r="J309" s="294" t="s">
        <v>5771</v>
      </c>
      <c r="K309" s="301" t="s">
        <v>31</v>
      </c>
      <c r="L309" s="165" t="s">
        <v>5280</v>
      </c>
      <c r="M309" s="157" t="s">
        <v>5862</v>
      </c>
      <c r="N309" s="196"/>
      <c r="O309" s="155"/>
      <c r="P309" s="284"/>
      <c r="Q309" s="284"/>
      <c r="R309" s="284"/>
      <c r="S309" s="284"/>
      <c r="T309" s="284"/>
      <c r="U309" s="284"/>
      <c r="V309" s="284"/>
      <c r="W309" s="284"/>
      <c r="X309" s="284"/>
      <c r="Y309" s="284"/>
      <c r="Z309" s="284"/>
    </row>
    <row r="310" ht="22.5" customHeight="1">
      <c r="A310" s="368"/>
      <c r="B310" s="159" t="s">
        <v>5863</v>
      </c>
      <c r="C310" s="371" t="s">
        <v>17</v>
      </c>
      <c r="D310" s="358" t="s">
        <v>5274</v>
      </c>
      <c r="E310" s="288" t="s">
        <v>19</v>
      </c>
      <c r="F310" s="344" t="s">
        <v>5275</v>
      </c>
      <c r="G310" s="204" t="s">
        <v>5279</v>
      </c>
      <c r="H310" s="289" t="s">
        <v>21</v>
      </c>
      <c r="I310" s="204" t="s">
        <v>5279</v>
      </c>
      <c r="J310" s="289" t="s">
        <v>5771</v>
      </c>
      <c r="K310" s="288" t="s">
        <v>19</v>
      </c>
      <c r="L310" s="332" t="s">
        <v>5271</v>
      </c>
      <c r="M310" s="351" t="s">
        <v>5717</v>
      </c>
      <c r="N310" s="197"/>
      <c r="O310" s="147"/>
      <c r="P310" s="284"/>
      <c r="Q310" s="284"/>
      <c r="R310" s="284"/>
      <c r="S310" s="284"/>
      <c r="T310" s="284"/>
      <c r="U310" s="284"/>
      <c r="V310" s="284"/>
      <c r="W310" s="284"/>
      <c r="X310" s="284"/>
      <c r="Y310" s="284"/>
      <c r="Z310" s="284"/>
    </row>
    <row r="311" ht="22.5" customHeight="1">
      <c r="A311" s="270"/>
      <c r="B311" s="158" t="s">
        <v>5864</v>
      </c>
      <c r="C311" s="214" t="s">
        <v>17</v>
      </c>
      <c r="D311" s="293" t="s">
        <v>5274</v>
      </c>
      <c r="E311" s="363" t="s">
        <v>19</v>
      </c>
      <c r="F311" s="341" t="s">
        <v>5275</v>
      </c>
      <c r="G311" s="363" t="s">
        <v>19</v>
      </c>
      <c r="H311" s="294" t="s">
        <v>21</v>
      </c>
      <c r="I311" s="207" t="s">
        <v>5279</v>
      </c>
      <c r="J311" s="294" t="s">
        <v>5771</v>
      </c>
      <c r="K311" s="306" t="s">
        <v>19</v>
      </c>
      <c r="L311" s="320" t="s">
        <v>5271</v>
      </c>
      <c r="M311" s="157" t="s">
        <v>5717</v>
      </c>
      <c r="N311" s="196"/>
      <c r="O311" s="155"/>
      <c r="P311" s="284"/>
      <c r="Q311" s="284"/>
      <c r="R311" s="284"/>
      <c r="S311" s="284"/>
      <c r="T311" s="284"/>
      <c r="U311" s="284"/>
      <c r="V311" s="284"/>
      <c r="W311" s="284"/>
      <c r="X311" s="284"/>
      <c r="Y311" s="284"/>
      <c r="Z311" s="284"/>
    </row>
    <row r="312" ht="22.5" customHeight="1">
      <c r="A312" s="373"/>
      <c r="B312" s="374" t="s">
        <v>5865</v>
      </c>
      <c r="C312" s="372" t="s">
        <v>49</v>
      </c>
      <c r="D312" s="358" t="s">
        <v>5274</v>
      </c>
      <c r="E312" s="204" t="s">
        <v>640</v>
      </c>
      <c r="F312" s="344" t="s">
        <v>5275</v>
      </c>
      <c r="G312" s="204" t="s">
        <v>5279</v>
      </c>
      <c r="H312" s="289" t="s">
        <v>21</v>
      </c>
      <c r="I312" s="375" t="s">
        <v>5279</v>
      </c>
      <c r="J312" s="289" t="s">
        <v>5771</v>
      </c>
      <c r="K312" s="375" t="s">
        <v>5279</v>
      </c>
      <c r="L312" s="281"/>
      <c r="M312" s="376"/>
      <c r="N312" s="197"/>
      <c r="O312" s="147"/>
      <c r="P312" s="284"/>
      <c r="Q312" s="284"/>
      <c r="R312" s="284"/>
      <c r="S312" s="284"/>
      <c r="T312" s="284"/>
      <c r="U312" s="284"/>
      <c r="V312" s="284"/>
      <c r="W312" s="284"/>
      <c r="X312" s="284"/>
      <c r="Y312" s="284"/>
      <c r="Z312" s="284"/>
    </row>
    <row r="313" ht="22.5" customHeight="1">
      <c r="A313" s="299" t="s">
        <v>5866</v>
      </c>
      <c r="B313" s="377">
        <v>3.211110492E9</v>
      </c>
      <c r="C313" s="314" t="s">
        <v>49</v>
      </c>
      <c r="D313" s="293" t="s">
        <v>5274</v>
      </c>
      <c r="E313" s="311" t="s">
        <v>31</v>
      </c>
      <c r="F313" s="341" t="s">
        <v>5275</v>
      </c>
      <c r="G313" s="363" t="s">
        <v>19</v>
      </c>
      <c r="H313" s="316" t="s">
        <v>21</v>
      </c>
      <c r="I313" s="363" t="s">
        <v>19</v>
      </c>
      <c r="J313" s="294" t="s">
        <v>22</v>
      </c>
      <c r="K313" s="312" t="s">
        <v>5279</v>
      </c>
      <c r="L313" s="181"/>
      <c r="M313" s="378"/>
      <c r="N313" s="196"/>
      <c r="O313" s="155"/>
      <c r="P313" s="284"/>
      <c r="Q313" s="284"/>
      <c r="R313" s="284"/>
      <c r="S313" s="284"/>
      <c r="T313" s="284"/>
      <c r="U313" s="284"/>
      <c r="V313" s="284"/>
      <c r="W313" s="284"/>
      <c r="X313" s="284"/>
      <c r="Y313" s="284"/>
      <c r="Z313" s="284"/>
    </row>
    <row r="314" ht="22.5" customHeight="1">
      <c r="A314" s="379" t="s">
        <v>5867</v>
      </c>
      <c r="B314" s="380">
        <v>3.09767378E9</v>
      </c>
      <c r="C314" s="381" t="s">
        <v>2192</v>
      </c>
      <c r="D314" s="358" t="s">
        <v>5274</v>
      </c>
      <c r="E314" s="382" t="s">
        <v>31</v>
      </c>
      <c r="F314" s="321" t="s">
        <v>5275</v>
      </c>
      <c r="G314" s="383" t="s">
        <v>19</v>
      </c>
      <c r="H314" s="321" t="s">
        <v>21</v>
      </c>
      <c r="I314" s="384" t="s">
        <v>5279</v>
      </c>
      <c r="J314" s="321" t="s">
        <v>22</v>
      </c>
      <c r="K314" s="384" t="s">
        <v>5279</v>
      </c>
      <c r="L314" s="385" t="s">
        <v>5271</v>
      </c>
      <c r="M314" s="386"/>
      <c r="N314" s="197"/>
      <c r="O314" s="147"/>
      <c r="P314" s="284"/>
      <c r="Q314" s="284"/>
      <c r="R314" s="284"/>
      <c r="S314" s="284"/>
      <c r="T314" s="284"/>
      <c r="U314" s="284"/>
      <c r="V314" s="284"/>
      <c r="W314" s="284"/>
      <c r="X314" s="284"/>
      <c r="Y314" s="284"/>
      <c r="Z314" s="284"/>
    </row>
    <row r="315" ht="22.5" customHeight="1">
      <c r="A315" s="299" t="s">
        <v>5868</v>
      </c>
      <c r="B315" s="387">
        <v>3.21822166E9</v>
      </c>
      <c r="C315" s="192" t="s">
        <v>49</v>
      </c>
      <c r="D315" s="315" t="s">
        <v>5274</v>
      </c>
      <c r="E315" s="311" t="s">
        <v>31</v>
      </c>
      <c r="F315" s="294" t="s">
        <v>5275</v>
      </c>
      <c r="G315" s="311" t="s">
        <v>31</v>
      </c>
      <c r="H315" s="294" t="s">
        <v>21</v>
      </c>
      <c r="I315" s="227" t="s">
        <v>5279</v>
      </c>
      <c r="J315" s="316" t="s">
        <v>22</v>
      </c>
      <c r="K315" s="227" t="s">
        <v>5279</v>
      </c>
      <c r="L315" s="180" t="s">
        <v>5280</v>
      </c>
      <c r="M315" s="378"/>
      <c r="N315" s="196"/>
      <c r="O315" s="155"/>
      <c r="P315" s="284"/>
      <c r="Q315" s="284"/>
      <c r="R315" s="284"/>
      <c r="S315" s="284"/>
      <c r="T315" s="284"/>
      <c r="U315" s="284"/>
      <c r="V315" s="284"/>
      <c r="W315" s="284"/>
      <c r="X315" s="284"/>
      <c r="Y315" s="284"/>
      <c r="Z315" s="284"/>
    </row>
    <row r="316" ht="22.5" customHeight="1">
      <c r="A316" s="379" t="s">
        <v>5869</v>
      </c>
      <c r="B316" s="388" t="s">
        <v>5870</v>
      </c>
      <c r="C316" s="372" t="s">
        <v>49</v>
      </c>
      <c r="D316" s="358" t="s">
        <v>5274</v>
      </c>
      <c r="E316" s="383" t="s">
        <v>19</v>
      </c>
      <c r="F316" s="321" t="s">
        <v>5275</v>
      </c>
      <c r="G316" s="383" t="s">
        <v>19</v>
      </c>
      <c r="H316" s="321" t="s">
        <v>21</v>
      </c>
      <c r="I316" s="384" t="s">
        <v>5279</v>
      </c>
      <c r="J316" s="321" t="s">
        <v>22</v>
      </c>
      <c r="K316" s="384" t="s">
        <v>5279</v>
      </c>
      <c r="L316" s="385" t="s">
        <v>5271</v>
      </c>
      <c r="M316" s="386"/>
      <c r="N316" s="197"/>
      <c r="O316" s="147"/>
      <c r="P316" s="284"/>
      <c r="Q316" s="284"/>
      <c r="R316" s="284"/>
      <c r="S316" s="284"/>
      <c r="T316" s="284"/>
      <c r="U316" s="284"/>
      <c r="V316" s="284"/>
      <c r="W316" s="284"/>
      <c r="X316" s="284"/>
      <c r="Y316" s="284"/>
      <c r="Z316" s="284"/>
    </row>
    <row r="317" ht="22.5" customHeight="1">
      <c r="A317" s="299" t="s">
        <v>5871</v>
      </c>
      <c r="B317" s="387">
        <v>3.477304575E9</v>
      </c>
      <c r="C317" s="192" t="s">
        <v>49</v>
      </c>
      <c r="D317" s="315" t="s">
        <v>5274</v>
      </c>
      <c r="E317" s="311" t="s">
        <v>31</v>
      </c>
      <c r="F317" s="294" t="s">
        <v>5275</v>
      </c>
      <c r="G317" s="311" t="s">
        <v>31</v>
      </c>
      <c r="H317" s="294" t="s">
        <v>21</v>
      </c>
      <c r="I317" s="227" t="s">
        <v>5279</v>
      </c>
      <c r="J317" s="316" t="s">
        <v>22</v>
      </c>
      <c r="K317" s="227" t="s">
        <v>5279</v>
      </c>
      <c r="L317" s="180" t="s">
        <v>5280</v>
      </c>
      <c r="M317" s="378"/>
      <c r="N317" s="196"/>
      <c r="O317" s="155"/>
      <c r="P317" s="284"/>
      <c r="Q317" s="284"/>
      <c r="R317" s="284"/>
      <c r="S317" s="284"/>
      <c r="T317" s="284"/>
      <c r="U317" s="284"/>
      <c r="V317" s="284"/>
      <c r="W317" s="284"/>
      <c r="X317" s="284"/>
      <c r="Y317" s="284"/>
      <c r="Z317" s="284"/>
    </row>
    <row r="318" ht="22.5" customHeight="1">
      <c r="A318" s="379" t="s">
        <v>5872</v>
      </c>
      <c r="B318" s="388" t="s">
        <v>5873</v>
      </c>
      <c r="C318" s="370" t="s">
        <v>40</v>
      </c>
      <c r="D318" s="358" t="s">
        <v>5274</v>
      </c>
      <c r="E318" s="382" t="s">
        <v>31</v>
      </c>
      <c r="F318" s="321" t="s">
        <v>5275</v>
      </c>
      <c r="G318" s="383" t="s">
        <v>19</v>
      </c>
      <c r="H318" s="321" t="s">
        <v>21</v>
      </c>
      <c r="I318" s="383" t="s">
        <v>19</v>
      </c>
      <c r="J318" s="321" t="s">
        <v>22</v>
      </c>
      <c r="K318" s="383" t="s">
        <v>19</v>
      </c>
      <c r="L318" s="389" t="s">
        <v>5280</v>
      </c>
      <c r="M318" s="386"/>
      <c r="N318" s="197"/>
      <c r="O318" s="147"/>
      <c r="P318" s="284"/>
      <c r="Q318" s="284"/>
      <c r="R318" s="284"/>
      <c r="S318" s="284"/>
      <c r="T318" s="284"/>
      <c r="U318" s="284"/>
      <c r="V318" s="284"/>
      <c r="W318" s="284"/>
      <c r="X318" s="284"/>
      <c r="Y318" s="284"/>
      <c r="Z318" s="284"/>
    </row>
    <row r="319" ht="22.5" customHeight="1">
      <c r="A319" s="299" t="s">
        <v>5874</v>
      </c>
      <c r="B319" s="387">
        <v>3.437915992E9</v>
      </c>
      <c r="C319" s="192" t="s">
        <v>49</v>
      </c>
      <c r="D319" s="315" t="s">
        <v>5274</v>
      </c>
      <c r="E319" s="363" t="s">
        <v>19</v>
      </c>
      <c r="F319" s="294" t="s">
        <v>5275</v>
      </c>
      <c r="G319" s="311" t="s">
        <v>31</v>
      </c>
      <c r="H319" s="294" t="s">
        <v>21</v>
      </c>
      <c r="I319" s="311" t="s">
        <v>31</v>
      </c>
      <c r="J319" s="294" t="s">
        <v>22</v>
      </c>
      <c r="K319" s="227" t="s">
        <v>5279</v>
      </c>
      <c r="L319" s="180" t="s">
        <v>5280</v>
      </c>
      <c r="M319" s="378"/>
      <c r="N319" s="196"/>
      <c r="O319" s="155"/>
      <c r="P319" s="284"/>
      <c r="Q319" s="284"/>
      <c r="R319" s="284"/>
      <c r="S319" s="284"/>
      <c r="T319" s="284"/>
      <c r="U319" s="284"/>
      <c r="V319" s="284"/>
      <c r="W319" s="284"/>
      <c r="X319" s="284"/>
      <c r="Y319" s="284"/>
      <c r="Z319" s="284"/>
    </row>
    <row r="320" ht="22.5" customHeight="1">
      <c r="A320" s="379" t="s">
        <v>5875</v>
      </c>
      <c r="B320" s="380">
        <v>3.22416712E9</v>
      </c>
      <c r="C320" s="390" t="s">
        <v>3955</v>
      </c>
      <c r="D320" s="358" t="s">
        <v>5274</v>
      </c>
      <c r="E320" s="384" t="s">
        <v>640</v>
      </c>
      <c r="F320" s="321" t="s">
        <v>5275</v>
      </c>
      <c r="G320" s="383" t="s">
        <v>19</v>
      </c>
      <c r="H320" s="321" t="s">
        <v>21</v>
      </c>
      <c r="I320" s="383" t="s">
        <v>19</v>
      </c>
      <c r="J320" s="321" t="s">
        <v>22</v>
      </c>
      <c r="K320" s="384" t="s">
        <v>5279</v>
      </c>
      <c r="L320" s="385" t="s">
        <v>5271</v>
      </c>
      <c r="M320" s="386"/>
      <c r="N320" s="197"/>
      <c r="O320" s="147"/>
      <c r="P320" s="284"/>
      <c r="Q320" s="284"/>
      <c r="R320" s="284"/>
      <c r="S320" s="284"/>
      <c r="T320" s="284"/>
      <c r="U320" s="284"/>
      <c r="V320" s="284"/>
      <c r="W320" s="284"/>
      <c r="X320" s="284"/>
      <c r="Y320" s="284"/>
      <c r="Z320" s="284"/>
    </row>
    <row r="321" ht="22.5" customHeight="1">
      <c r="A321" s="299" t="s">
        <v>5876</v>
      </c>
      <c r="B321" s="391" t="s">
        <v>5877</v>
      </c>
      <c r="C321" s="192" t="s">
        <v>49</v>
      </c>
      <c r="D321" s="315" t="s">
        <v>5274</v>
      </c>
      <c r="E321" s="227" t="s">
        <v>640</v>
      </c>
      <c r="F321" s="294" t="s">
        <v>5275</v>
      </c>
      <c r="G321" s="227" t="s">
        <v>5279</v>
      </c>
      <c r="H321" s="294" t="s">
        <v>21</v>
      </c>
      <c r="I321" s="311" t="s">
        <v>31</v>
      </c>
      <c r="J321" s="294" t="s">
        <v>22</v>
      </c>
      <c r="K321" s="227" t="s">
        <v>5279</v>
      </c>
      <c r="L321" s="180" t="s">
        <v>5280</v>
      </c>
      <c r="M321" s="378"/>
      <c r="N321" s="196"/>
      <c r="O321" s="155"/>
      <c r="P321" s="284"/>
      <c r="Q321" s="284"/>
      <c r="R321" s="284"/>
      <c r="S321" s="284"/>
      <c r="T321" s="284"/>
      <c r="U321" s="284"/>
      <c r="V321" s="284"/>
      <c r="W321" s="284"/>
      <c r="X321" s="284"/>
      <c r="Y321" s="284"/>
      <c r="Z321" s="284"/>
    </row>
    <row r="322" ht="22.5" customHeight="1">
      <c r="A322" s="379" t="s">
        <v>5878</v>
      </c>
      <c r="B322" s="388" t="s">
        <v>5879</v>
      </c>
      <c r="C322" s="372" t="s">
        <v>49</v>
      </c>
      <c r="D322" s="358" t="s">
        <v>5274</v>
      </c>
      <c r="E322" s="383" t="s">
        <v>19</v>
      </c>
      <c r="F322" s="321" t="s">
        <v>5275</v>
      </c>
      <c r="G322" s="382" t="s">
        <v>31</v>
      </c>
      <c r="H322" s="321" t="s">
        <v>21</v>
      </c>
      <c r="I322" s="383" t="s">
        <v>19</v>
      </c>
      <c r="J322" s="321" t="s">
        <v>22</v>
      </c>
      <c r="K322" s="383" t="s">
        <v>19</v>
      </c>
      <c r="L322" s="389" t="s">
        <v>5280</v>
      </c>
      <c r="M322" s="386"/>
      <c r="N322" s="197"/>
      <c r="O322" s="147"/>
      <c r="P322" s="284"/>
      <c r="Q322" s="284"/>
      <c r="R322" s="284"/>
      <c r="S322" s="284"/>
      <c r="T322" s="284"/>
      <c r="U322" s="284"/>
      <c r="V322" s="284"/>
      <c r="W322" s="284"/>
      <c r="X322" s="284"/>
      <c r="Y322" s="284"/>
      <c r="Z322" s="284"/>
    </row>
    <row r="323" ht="22.5" customHeight="1">
      <c r="A323" s="299" t="s">
        <v>5880</v>
      </c>
      <c r="B323" s="387">
        <v>3.269430292E9</v>
      </c>
      <c r="C323" s="192" t="s">
        <v>49</v>
      </c>
      <c r="D323" s="315" t="s">
        <v>5274</v>
      </c>
      <c r="E323" s="363" t="s">
        <v>19</v>
      </c>
      <c r="F323" s="294" t="s">
        <v>5275</v>
      </c>
      <c r="G323" s="363" t="s">
        <v>19</v>
      </c>
      <c r="H323" s="294" t="s">
        <v>21</v>
      </c>
      <c r="I323" s="363" t="s">
        <v>19</v>
      </c>
      <c r="J323" s="294" t="s">
        <v>22</v>
      </c>
      <c r="K323" s="363" t="s">
        <v>19</v>
      </c>
      <c r="L323" s="392" t="s">
        <v>5271</v>
      </c>
      <c r="M323" s="378"/>
      <c r="N323" s="196"/>
      <c r="O323" s="155"/>
      <c r="P323" s="284"/>
      <c r="Q323" s="284"/>
      <c r="R323" s="284"/>
      <c r="S323" s="284"/>
      <c r="T323" s="284"/>
      <c r="U323" s="284"/>
      <c r="V323" s="284"/>
      <c r="W323" s="284"/>
      <c r="X323" s="284"/>
      <c r="Y323" s="284"/>
      <c r="Z323" s="284"/>
    </row>
    <row r="324" ht="22.5" customHeight="1">
      <c r="A324" s="379" t="s">
        <v>5881</v>
      </c>
      <c r="B324" s="388" t="s">
        <v>5882</v>
      </c>
      <c r="C324" s="372" t="s">
        <v>49</v>
      </c>
      <c r="D324" s="358" t="s">
        <v>5274</v>
      </c>
      <c r="E324" s="382" t="s">
        <v>31</v>
      </c>
      <c r="F324" s="321" t="s">
        <v>5275</v>
      </c>
      <c r="G324" s="383" t="s">
        <v>19</v>
      </c>
      <c r="H324" s="321" t="s">
        <v>21</v>
      </c>
      <c r="I324" s="383" t="s">
        <v>19</v>
      </c>
      <c r="J324" s="321" t="s">
        <v>22</v>
      </c>
      <c r="K324" s="393" t="s">
        <v>31</v>
      </c>
      <c r="L324" s="389" t="s">
        <v>5280</v>
      </c>
      <c r="M324" s="386"/>
      <c r="N324" s="197"/>
      <c r="O324" s="147"/>
      <c r="P324" s="284"/>
      <c r="Q324" s="284"/>
      <c r="R324" s="284"/>
      <c r="S324" s="284"/>
      <c r="T324" s="284"/>
      <c r="U324" s="284"/>
      <c r="V324" s="284"/>
      <c r="W324" s="284"/>
      <c r="X324" s="284"/>
      <c r="Y324" s="284"/>
      <c r="Z324" s="284"/>
    </row>
    <row r="325" ht="22.5" customHeight="1">
      <c r="A325" s="299" t="s">
        <v>5883</v>
      </c>
      <c r="B325" s="387" t="s">
        <v>5884</v>
      </c>
      <c r="C325" s="394" t="s">
        <v>5416</v>
      </c>
      <c r="D325" s="315" t="s">
        <v>5274</v>
      </c>
      <c r="E325" s="227" t="s">
        <v>640</v>
      </c>
      <c r="F325" s="294" t="s">
        <v>5275</v>
      </c>
      <c r="G325" s="227" t="s">
        <v>5279</v>
      </c>
      <c r="H325" s="294" t="s">
        <v>21</v>
      </c>
      <c r="I325" s="363" t="s">
        <v>19</v>
      </c>
      <c r="J325" s="316" t="s">
        <v>22</v>
      </c>
      <c r="K325" s="227" t="s">
        <v>5279</v>
      </c>
      <c r="L325" s="392" t="s">
        <v>5271</v>
      </c>
      <c r="M325" s="378"/>
      <c r="N325" s="196"/>
      <c r="O325" s="155"/>
      <c r="P325" s="284"/>
      <c r="Q325" s="284"/>
      <c r="R325" s="284"/>
      <c r="S325" s="284"/>
      <c r="T325" s="284"/>
      <c r="U325" s="284"/>
      <c r="V325" s="284"/>
      <c r="W325" s="284"/>
      <c r="X325" s="284"/>
      <c r="Y325" s="284"/>
      <c r="Z325" s="284"/>
    </row>
    <row r="326" ht="22.5" customHeight="1">
      <c r="A326" s="379" t="s">
        <v>5885</v>
      </c>
      <c r="B326" s="388" t="s">
        <v>5886</v>
      </c>
      <c r="C326" s="381" t="s">
        <v>2192</v>
      </c>
      <c r="D326" s="358" t="s">
        <v>5274</v>
      </c>
      <c r="E326" s="383" t="s">
        <v>19</v>
      </c>
      <c r="F326" s="321" t="s">
        <v>5275</v>
      </c>
      <c r="G326" s="383" t="s">
        <v>19</v>
      </c>
      <c r="H326" s="321" t="s">
        <v>21</v>
      </c>
      <c r="I326" s="384" t="s">
        <v>5279</v>
      </c>
      <c r="J326" s="321" t="s">
        <v>22</v>
      </c>
      <c r="K326" s="395" t="s">
        <v>19</v>
      </c>
      <c r="L326" s="385" t="s">
        <v>5271</v>
      </c>
      <c r="M326" s="386"/>
      <c r="N326" s="197"/>
      <c r="O326" s="147"/>
      <c r="P326" s="284"/>
      <c r="Q326" s="284"/>
      <c r="R326" s="284"/>
      <c r="S326" s="284"/>
      <c r="T326" s="284"/>
      <c r="U326" s="284"/>
      <c r="V326" s="284"/>
      <c r="W326" s="284"/>
      <c r="X326" s="284"/>
      <c r="Y326" s="284"/>
      <c r="Z326" s="284"/>
    </row>
    <row r="327" ht="22.5" customHeight="1">
      <c r="A327" s="299" t="s">
        <v>5887</v>
      </c>
      <c r="B327" s="391" t="s">
        <v>5888</v>
      </c>
      <c r="C327" s="192" t="s">
        <v>49</v>
      </c>
      <c r="D327" s="315" t="s">
        <v>5274</v>
      </c>
      <c r="E327" s="311" t="s">
        <v>31</v>
      </c>
      <c r="F327" s="294" t="s">
        <v>5275</v>
      </c>
      <c r="G327" s="311" t="s">
        <v>31</v>
      </c>
      <c r="H327" s="294" t="s">
        <v>21</v>
      </c>
      <c r="I327" s="363" t="s">
        <v>19</v>
      </c>
      <c r="J327" s="316" t="s">
        <v>22</v>
      </c>
      <c r="K327" s="396" t="s">
        <v>19</v>
      </c>
      <c r="L327" s="180" t="s">
        <v>5280</v>
      </c>
      <c r="M327" s="378"/>
      <c r="N327" s="196"/>
      <c r="O327" s="155"/>
      <c r="P327" s="284"/>
      <c r="Q327" s="284"/>
      <c r="R327" s="284"/>
      <c r="S327" s="284"/>
      <c r="T327" s="284"/>
      <c r="U327" s="284"/>
      <c r="V327" s="284"/>
      <c r="W327" s="284"/>
      <c r="X327" s="284"/>
      <c r="Y327" s="284"/>
      <c r="Z327" s="284"/>
    </row>
    <row r="328" ht="22.5" customHeight="1">
      <c r="A328" s="379" t="s">
        <v>5889</v>
      </c>
      <c r="B328" s="388" t="s">
        <v>5890</v>
      </c>
      <c r="C328" s="397" t="s">
        <v>5891</v>
      </c>
      <c r="D328" s="358" t="s">
        <v>5274</v>
      </c>
      <c r="E328" s="384" t="s">
        <v>640</v>
      </c>
      <c r="F328" s="321" t="s">
        <v>5275</v>
      </c>
      <c r="G328" s="382" t="s">
        <v>31</v>
      </c>
      <c r="H328" s="321" t="s">
        <v>21</v>
      </c>
      <c r="I328" s="382" t="s">
        <v>31</v>
      </c>
      <c r="J328" s="321" t="s">
        <v>22</v>
      </c>
      <c r="K328" s="395" t="s">
        <v>19</v>
      </c>
      <c r="L328" s="389" t="s">
        <v>5280</v>
      </c>
      <c r="M328" s="386"/>
      <c r="N328" s="197"/>
      <c r="O328" s="147"/>
      <c r="P328" s="284"/>
      <c r="Q328" s="284"/>
      <c r="R328" s="284"/>
      <c r="S328" s="284"/>
      <c r="T328" s="284"/>
      <c r="U328" s="284"/>
      <c r="V328" s="284"/>
      <c r="W328" s="284"/>
      <c r="X328" s="284"/>
      <c r="Y328" s="284"/>
      <c r="Z328" s="284"/>
    </row>
    <row r="329" ht="22.5" customHeight="1">
      <c r="A329" s="299" t="s">
        <v>5892</v>
      </c>
      <c r="B329" s="377">
        <v>3.168053403E9</v>
      </c>
      <c r="C329" s="314" t="s">
        <v>49</v>
      </c>
      <c r="D329" s="293" t="s">
        <v>5274</v>
      </c>
      <c r="E329" s="311" t="s">
        <v>31</v>
      </c>
      <c r="F329" s="341" t="s">
        <v>5275</v>
      </c>
      <c r="G329" s="311" t="s">
        <v>31</v>
      </c>
      <c r="H329" s="316" t="s">
        <v>21</v>
      </c>
      <c r="I329" s="363" t="s">
        <v>19</v>
      </c>
      <c r="J329" s="294" t="s">
        <v>22</v>
      </c>
      <c r="K329" s="312" t="s">
        <v>5279</v>
      </c>
      <c r="L329" s="181"/>
      <c r="M329" s="196"/>
      <c r="N329" s="196"/>
      <c r="O329" s="155"/>
      <c r="P329" s="284"/>
      <c r="Q329" s="284"/>
      <c r="R329" s="284"/>
      <c r="S329" s="284"/>
      <c r="T329" s="284"/>
      <c r="U329" s="284"/>
      <c r="V329" s="284"/>
      <c r="W329" s="284"/>
      <c r="X329" s="284"/>
      <c r="Y329" s="284"/>
      <c r="Z329" s="284"/>
    </row>
    <row r="330" ht="22.5" customHeight="1">
      <c r="A330" s="379" t="s">
        <v>5893</v>
      </c>
      <c r="B330" s="398">
        <v>3.08232323E9</v>
      </c>
      <c r="C330" s="372" t="s">
        <v>49</v>
      </c>
      <c r="D330" s="358" t="s">
        <v>5274</v>
      </c>
      <c r="E330" s="382" t="s">
        <v>31</v>
      </c>
      <c r="F330" s="321" t="s">
        <v>5275</v>
      </c>
      <c r="G330" s="382" t="s">
        <v>31</v>
      </c>
      <c r="H330" s="321" t="s">
        <v>21</v>
      </c>
      <c r="I330" s="382" t="s">
        <v>31</v>
      </c>
      <c r="J330" s="321" t="s">
        <v>22</v>
      </c>
      <c r="K330" s="384" t="s">
        <v>5279</v>
      </c>
      <c r="L330" s="389" t="s">
        <v>5280</v>
      </c>
      <c r="M330" s="197"/>
      <c r="N330" s="197"/>
      <c r="O330" s="147"/>
      <c r="P330" s="284"/>
      <c r="Q330" s="284"/>
      <c r="R330" s="284"/>
      <c r="S330" s="284"/>
      <c r="T330" s="284"/>
      <c r="U330" s="284"/>
      <c r="V330" s="284"/>
      <c r="W330" s="284"/>
      <c r="X330" s="284"/>
      <c r="Y330" s="284"/>
      <c r="Z330" s="284"/>
    </row>
    <row r="331" ht="22.5" customHeight="1">
      <c r="A331" s="299" t="s">
        <v>5894</v>
      </c>
      <c r="B331" s="399">
        <v>3.334515268E9</v>
      </c>
      <c r="C331" s="400" t="s">
        <v>5891</v>
      </c>
      <c r="D331" s="315" t="s">
        <v>5274</v>
      </c>
      <c r="E331" s="311" t="s">
        <v>31</v>
      </c>
      <c r="F331" s="294" t="s">
        <v>5275</v>
      </c>
      <c r="G331" s="363" t="s">
        <v>19</v>
      </c>
      <c r="H331" s="294" t="s">
        <v>21</v>
      </c>
      <c r="I331" s="227" t="s">
        <v>5279</v>
      </c>
      <c r="J331" s="316" t="s">
        <v>22</v>
      </c>
      <c r="K331" s="396" t="s">
        <v>19</v>
      </c>
      <c r="L331" s="392" t="s">
        <v>5271</v>
      </c>
      <c r="M331" s="196"/>
      <c r="N331" s="196"/>
      <c r="O331" s="155"/>
      <c r="P331" s="284"/>
      <c r="Q331" s="284"/>
      <c r="R331" s="284"/>
      <c r="S331" s="284"/>
      <c r="T331" s="284"/>
      <c r="U331" s="284"/>
      <c r="V331" s="284"/>
      <c r="W331" s="284"/>
      <c r="X331" s="284"/>
      <c r="Y331" s="284"/>
      <c r="Z331" s="284"/>
    </row>
    <row r="332" ht="22.5" customHeight="1">
      <c r="A332" s="379" t="s">
        <v>5895</v>
      </c>
      <c r="B332" s="343">
        <v>3.432376554E9</v>
      </c>
      <c r="C332" s="372" t="s">
        <v>49</v>
      </c>
      <c r="D332" s="358" t="s">
        <v>5274</v>
      </c>
      <c r="E332" s="384" t="s">
        <v>640</v>
      </c>
      <c r="F332" s="321" t="s">
        <v>5275</v>
      </c>
      <c r="G332" s="382" t="s">
        <v>31</v>
      </c>
      <c r="H332" s="321" t="s">
        <v>21</v>
      </c>
      <c r="I332" s="384" t="s">
        <v>5279</v>
      </c>
      <c r="J332" s="321" t="s">
        <v>22</v>
      </c>
      <c r="K332" s="384" t="s">
        <v>5279</v>
      </c>
      <c r="L332" s="389" t="s">
        <v>5280</v>
      </c>
      <c r="M332" s="197"/>
      <c r="N332" s="197"/>
      <c r="O332" s="147"/>
      <c r="P332" s="284"/>
      <c r="Q332" s="284"/>
      <c r="R332" s="284"/>
      <c r="S332" s="284"/>
      <c r="T332" s="284"/>
      <c r="U332" s="284"/>
      <c r="V332" s="284"/>
      <c r="W332" s="284"/>
      <c r="X332" s="284"/>
      <c r="Y332" s="284"/>
      <c r="Z332" s="284"/>
    </row>
    <row r="333" ht="22.5" customHeight="1">
      <c r="A333" s="299" t="s">
        <v>5896</v>
      </c>
      <c r="B333" s="341">
        <v>3.326099099E9</v>
      </c>
      <c r="C333" s="314" t="s">
        <v>49</v>
      </c>
      <c r="D333" s="315" t="s">
        <v>5274</v>
      </c>
      <c r="E333" s="363" t="s">
        <v>19</v>
      </c>
      <c r="F333" s="294" t="s">
        <v>5275</v>
      </c>
      <c r="G333" s="311" t="s">
        <v>31</v>
      </c>
      <c r="H333" s="294" t="s">
        <v>21</v>
      </c>
      <c r="I333" s="227" t="s">
        <v>5279</v>
      </c>
      <c r="J333" s="294" t="s">
        <v>22</v>
      </c>
      <c r="K333" s="227" t="s">
        <v>5279</v>
      </c>
      <c r="L333" s="180" t="s">
        <v>5280</v>
      </c>
      <c r="M333" s="196"/>
      <c r="N333" s="196"/>
      <c r="O333" s="155"/>
      <c r="P333" s="284"/>
      <c r="Q333" s="284"/>
      <c r="R333" s="284"/>
      <c r="S333" s="284"/>
      <c r="T333" s="284"/>
      <c r="U333" s="284"/>
      <c r="V333" s="284"/>
      <c r="W333" s="284"/>
      <c r="X333" s="284"/>
      <c r="Y333" s="284"/>
      <c r="Z333" s="284"/>
    </row>
    <row r="334" ht="22.5" customHeight="1">
      <c r="A334" s="379" t="s">
        <v>5897</v>
      </c>
      <c r="B334" s="343">
        <v>3.151704583E9</v>
      </c>
      <c r="C334" s="372" t="s">
        <v>49</v>
      </c>
      <c r="D334" s="358" t="s">
        <v>5274</v>
      </c>
      <c r="E334" s="384" t="s">
        <v>640</v>
      </c>
      <c r="F334" s="321" t="s">
        <v>5275</v>
      </c>
      <c r="G334" s="382" t="s">
        <v>31</v>
      </c>
      <c r="H334" s="321" t="s">
        <v>21</v>
      </c>
      <c r="I334" s="384" t="s">
        <v>5279</v>
      </c>
      <c r="J334" s="321" t="s">
        <v>22</v>
      </c>
      <c r="K334" s="393" t="s">
        <v>31</v>
      </c>
      <c r="L334" s="389" t="s">
        <v>5280</v>
      </c>
      <c r="M334" s="197"/>
      <c r="N334" s="197"/>
      <c r="O334" s="147"/>
      <c r="P334" s="284"/>
      <c r="Q334" s="284"/>
      <c r="R334" s="284"/>
      <c r="S334" s="284"/>
      <c r="T334" s="284"/>
      <c r="U334" s="284"/>
      <c r="V334" s="284"/>
      <c r="W334" s="284"/>
      <c r="X334" s="284"/>
      <c r="Y334" s="284"/>
      <c r="Z334" s="284"/>
    </row>
    <row r="335" ht="22.5" customHeight="1">
      <c r="A335" s="299" t="s">
        <v>5898</v>
      </c>
      <c r="B335" s="341">
        <v>3.073072672E9</v>
      </c>
      <c r="C335" s="314" t="s">
        <v>49</v>
      </c>
      <c r="D335" s="315" t="s">
        <v>5274</v>
      </c>
      <c r="E335" s="311" t="s">
        <v>31</v>
      </c>
      <c r="F335" s="294" t="s">
        <v>5275</v>
      </c>
      <c r="G335" s="363" t="s">
        <v>19</v>
      </c>
      <c r="H335" s="294" t="s">
        <v>21</v>
      </c>
      <c r="I335" s="227" t="s">
        <v>5279</v>
      </c>
      <c r="J335" s="294" t="s">
        <v>22</v>
      </c>
      <c r="K335" s="396" t="s">
        <v>19</v>
      </c>
      <c r="L335" s="180" t="s">
        <v>5280</v>
      </c>
      <c r="M335" s="196"/>
      <c r="N335" s="196"/>
      <c r="O335" s="155"/>
      <c r="P335" s="284"/>
      <c r="Q335" s="284"/>
      <c r="R335" s="284"/>
      <c r="S335" s="284"/>
      <c r="T335" s="284"/>
      <c r="U335" s="284"/>
      <c r="V335" s="284"/>
      <c r="W335" s="284"/>
      <c r="X335" s="284"/>
      <c r="Y335" s="284"/>
      <c r="Z335" s="284"/>
    </row>
    <row r="336" ht="22.5" customHeight="1">
      <c r="A336" s="379" t="s">
        <v>5899</v>
      </c>
      <c r="B336" s="398">
        <v>3.085859299E9</v>
      </c>
      <c r="C336" s="317" t="s">
        <v>49</v>
      </c>
      <c r="D336" s="358" t="s">
        <v>5274</v>
      </c>
      <c r="E336" s="383" t="s">
        <v>19</v>
      </c>
      <c r="F336" s="344" t="s">
        <v>5275</v>
      </c>
      <c r="G336" s="383" t="s">
        <v>19</v>
      </c>
      <c r="H336" s="321" t="s">
        <v>21</v>
      </c>
      <c r="I336" s="384" t="s">
        <v>5279</v>
      </c>
      <c r="J336" s="321" t="s">
        <v>22</v>
      </c>
      <c r="K336" s="401" t="s">
        <v>5279</v>
      </c>
      <c r="L336" s="402"/>
      <c r="M336" s="197"/>
      <c r="N336" s="197"/>
      <c r="O336" s="147"/>
      <c r="P336" s="284"/>
      <c r="Q336" s="284"/>
      <c r="R336" s="284"/>
      <c r="S336" s="284"/>
      <c r="T336" s="284"/>
      <c r="U336" s="284"/>
      <c r="V336" s="284"/>
      <c r="W336" s="284"/>
      <c r="X336" s="284"/>
      <c r="Y336" s="284"/>
      <c r="Z336" s="284"/>
    </row>
    <row r="337" ht="22.5" customHeight="1">
      <c r="A337" s="299" t="s">
        <v>5900</v>
      </c>
      <c r="B337" s="341">
        <v>3.214476819E9</v>
      </c>
      <c r="C337" s="314" t="s">
        <v>49</v>
      </c>
      <c r="D337" s="315" t="s">
        <v>5274</v>
      </c>
      <c r="E337" s="311" t="s">
        <v>31</v>
      </c>
      <c r="F337" s="294" t="s">
        <v>5275</v>
      </c>
      <c r="G337" s="311" t="s">
        <v>31</v>
      </c>
      <c r="H337" s="294" t="s">
        <v>21</v>
      </c>
      <c r="I337" s="227" t="s">
        <v>5279</v>
      </c>
      <c r="J337" s="294" t="s">
        <v>22</v>
      </c>
      <c r="K337" s="396" t="s">
        <v>19</v>
      </c>
      <c r="L337" s="180" t="s">
        <v>5280</v>
      </c>
      <c r="M337" s="196"/>
      <c r="N337" s="196"/>
      <c r="O337" s="155"/>
      <c r="P337" s="284"/>
      <c r="Q337" s="284"/>
      <c r="R337" s="284"/>
      <c r="S337" s="284"/>
      <c r="T337" s="284"/>
      <c r="U337" s="284"/>
      <c r="V337" s="284"/>
      <c r="W337" s="284"/>
      <c r="X337" s="284"/>
      <c r="Y337" s="284"/>
      <c r="Z337" s="284"/>
    </row>
    <row r="338" ht="22.5" customHeight="1">
      <c r="A338" s="379" t="s">
        <v>5901</v>
      </c>
      <c r="B338" s="343">
        <v>3.332667391E9</v>
      </c>
      <c r="C338" s="317" t="s">
        <v>49</v>
      </c>
      <c r="D338" s="358" t="s">
        <v>5274</v>
      </c>
      <c r="E338" s="384" t="s">
        <v>640</v>
      </c>
      <c r="F338" s="321" t="s">
        <v>5275</v>
      </c>
      <c r="G338" s="382" t="s">
        <v>31</v>
      </c>
      <c r="H338" s="321" t="s">
        <v>21</v>
      </c>
      <c r="I338" s="384" t="s">
        <v>5279</v>
      </c>
      <c r="J338" s="321" t="s">
        <v>22</v>
      </c>
      <c r="K338" s="393" t="s">
        <v>31</v>
      </c>
      <c r="L338" s="389" t="s">
        <v>5280</v>
      </c>
      <c r="M338" s="197"/>
      <c r="N338" s="197"/>
      <c r="O338" s="147"/>
      <c r="P338" s="284"/>
      <c r="Q338" s="284"/>
      <c r="R338" s="284"/>
      <c r="S338" s="284"/>
      <c r="T338" s="284"/>
      <c r="U338" s="284"/>
      <c r="V338" s="284"/>
      <c r="W338" s="284"/>
      <c r="X338" s="284"/>
      <c r="Y338" s="284"/>
      <c r="Z338" s="284"/>
    </row>
    <row r="339" ht="22.5" customHeight="1">
      <c r="A339" s="299" t="s">
        <v>5902</v>
      </c>
      <c r="B339" s="341">
        <v>3.33268051E9</v>
      </c>
      <c r="C339" s="314" t="s">
        <v>49</v>
      </c>
      <c r="D339" s="315" t="s">
        <v>5274</v>
      </c>
      <c r="E339" s="311" t="s">
        <v>31</v>
      </c>
      <c r="F339" s="294" t="s">
        <v>5275</v>
      </c>
      <c r="G339" s="311" t="s">
        <v>31</v>
      </c>
      <c r="H339" s="294" t="s">
        <v>21</v>
      </c>
      <c r="I339" s="227" t="s">
        <v>5279</v>
      </c>
      <c r="J339" s="294" t="s">
        <v>22</v>
      </c>
      <c r="K339" s="403" t="s">
        <v>31</v>
      </c>
      <c r="L339" s="180" t="s">
        <v>5280</v>
      </c>
      <c r="M339" s="196"/>
      <c r="N339" s="196"/>
      <c r="O339" s="155"/>
      <c r="P339" s="284"/>
      <c r="Q339" s="284"/>
      <c r="R339" s="284"/>
      <c r="S339" s="284"/>
      <c r="T339" s="284"/>
      <c r="U339" s="284"/>
      <c r="V339" s="284"/>
      <c r="W339" s="284"/>
      <c r="X339" s="284"/>
      <c r="Y339" s="284"/>
      <c r="Z339" s="284"/>
    </row>
    <row r="340" ht="22.5" customHeight="1">
      <c r="A340" s="379" t="s">
        <v>5903</v>
      </c>
      <c r="B340" s="343">
        <v>3.066761023E9</v>
      </c>
      <c r="C340" s="317" t="s">
        <v>49</v>
      </c>
      <c r="D340" s="358" t="s">
        <v>5274</v>
      </c>
      <c r="E340" s="384" t="s">
        <v>640</v>
      </c>
      <c r="F340" s="321" t="s">
        <v>5275</v>
      </c>
      <c r="G340" s="382" t="s">
        <v>31</v>
      </c>
      <c r="H340" s="321" t="s">
        <v>21</v>
      </c>
      <c r="I340" s="384" t="s">
        <v>5279</v>
      </c>
      <c r="J340" s="321" t="s">
        <v>22</v>
      </c>
      <c r="K340" s="393" t="s">
        <v>31</v>
      </c>
      <c r="L340" s="389" t="s">
        <v>5280</v>
      </c>
      <c r="M340" s="197"/>
      <c r="N340" s="197"/>
      <c r="O340" s="147"/>
      <c r="P340" s="284"/>
      <c r="Q340" s="284"/>
      <c r="R340" s="284"/>
      <c r="S340" s="284"/>
      <c r="T340" s="284"/>
      <c r="U340" s="284"/>
      <c r="V340" s="284"/>
      <c r="W340" s="284"/>
      <c r="X340" s="284"/>
      <c r="Y340" s="284"/>
      <c r="Z340" s="284"/>
    </row>
    <row r="341" ht="22.5" customHeight="1">
      <c r="A341" s="299" t="s">
        <v>5904</v>
      </c>
      <c r="B341" s="341">
        <v>3.349817003E9</v>
      </c>
      <c r="C341" s="314" t="s">
        <v>49</v>
      </c>
      <c r="D341" s="315" t="s">
        <v>5274</v>
      </c>
      <c r="E341" s="227" t="s">
        <v>640</v>
      </c>
      <c r="F341" s="294" t="s">
        <v>5275</v>
      </c>
      <c r="G341" s="363" t="s">
        <v>19</v>
      </c>
      <c r="H341" s="294" t="s">
        <v>21</v>
      </c>
      <c r="I341" s="227" t="s">
        <v>5279</v>
      </c>
      <c r="J341" s="294" t="s">
        <v>22</v>
      </c>
      <c r="K341" s="403" t="s">
        <v>31</v>
      </c>
      <c r="L341" s="180" t="s">
        <v>5280</v>
      </c>
      <c r="M341" s="196"/>
      <c r="N341" s="196"/>
      <c r="O341" s="155"/>
      <c r="P341" s="284"/>
      <c r="Q341" s="284"/>
      <c r="R341" s="284"/>
      <c r="S341" s="284"/>
      <c r="T341" s="284"/>
      <c r="U341" s="284"/>
      <c r="V341" s="284"/>
      <c r="W341" s="284"/>
      <c r="X341" s="284"/>
      <c r="Y341" s="284"/>
      <c r="Z341" s="284"/>
    </row>
    <row r="342" ht="22.5" customHeight="1">
      <c r="A342" s="379" t="s">
        <v>5905</v>
      </c>
      <c r="B342" s="343">
        <v>3.00870726E9</v>
      </c>
      <c r="C342" s="371" t="s">
        <v>17</v>
      </c>
      <c r="D342" s="358" t="s">
        <v>5274</v>
      </c>
      <c r="E342" s="383" t="s">
        <v>19</v>
      </c>
      <c r="F342" s="321" t="s">
        <v>5275</v>
      </c>
      <c r="G342" s="383" t="s">
        <v>19</v>
      </c>
      <c r="H342" s="321" t="s">
        <v>21</v>
      </c>
      <c r="I342" s="383" t="s">
        <v>19</v>
      </c>
      <c r="J342" s="321" t="s">
        <v>22</v>
      </c>
      <c r="K342" s="395" t="s">
        <v>19</v>
      </c>
      <c r="L342" s="385" t="s">
        <v>5271</v>
      </c>
      <c r="M342" s="197"/>
      <c r="N342" s="197"/>
      <c r="O342" s="147"/>
      <c r="P342" s="284"/>
      <c r="Q342" s="284"/>
      <c r="R342" s="284"/>
      <c r="S342" s="284"/>
      <c r="T342" s="284"/>
      <c r="U342" s="284"/>
      <c r="V342" s="284"/>
      <c r="W342" s="284"/>
      <c r="X342" s="284"/>
      <c r="Y342" s="284"/>
      <c r="Z342" s="284"/>
    </row>
    <row r="343" ht="22.5" customHeight="1">
      <c r="A343" s="299" t="s">
        <v>5906</v>
      </c>
      <c r="B343" s="377">
        <v>3.43694827E9</v>
      </c>
      <c r="C343" s="314" t="s">
        <v>49</v>
      </c>
      <c r="D343" s="315" t="s">
        <v>5274</v>
      </c>
      <c r="E343" s="311" t="s">
        <v>31</v>
      </c>
      <c r="F343" s="294" t="s">
        <v>5275</v>
      </c>
      <c r="G343" s="311" t="s">
        <v>31</v>
      </c>
      <c r="H343" s="294" t="s">
        <v>21</v>
      </c>
      <c r="I343" s="227" t="s">
        <v>5279</v>
      </c>
      <c r="J343" s="294" t="s">
        <v>22</v>
      </c>
      <c r="K343" s="396" t="s">
        <v>19</v>
      </c>
      <c r="L343" s="180" t="s">
        <v>5280</v>
      </c>
      <c r="M343" s="196"/>
      <c r="N343" s="196"/>
      <c r="O343" s="155"/>
      <c r="P343" s="284"/>
      <c r="Q343" s="284"/>
      <c r="R343" s="284"/>
      <c r="S343" s="284"/>
      <c r="T343" s="284"/>
      <c r="U343" s="284"/>
      <c r="V343" s="284"/>
      <c r="W343" s="284"/>
      <c r="X343" s="284"/>
      <c r="Y343" s="284"/>
      <c r="Z343" s="284"/>
    </row>
    <row r="344" ht="22.5" customHeight="1">
      <c r="A344" s="379" t="s">
        <v>5907</v>
      </c>
      <c r="B344" s="398">
        <v>3.376057676E9</v>
      </c>
      <c r="C344" s="323" t="s">
        <v>17</v>
      </c>
      <c r="D344" s="358" t="s">
        <v>5274</v>
      </c>
      <c r="E344" s="383" t="s">
        <v>19</v>
      </c>
      <c r="F344" s="321" t="s">
        <v>5275</v>
      </c>
      <c r="G344" s="383" t="s">
        <v>19</v>
      </c>
      <c r="H344" s="321" t="s">
        <v>21</v>
      </c>
      <c r="I344" s="383" t="s">
        <v>19</v>
      </c>
      <c r="J344" s="321" t="s">
        <v>22</v>
      </c>
      <c r="K344" s="395" t="s">
        <v>19</v>
      </c>
      <c r="L344" s="385" t="s">
        <v>5271</v>
      </c>
      <c r="M344" s="197"/>
      <c r="N344" s="197"/>
      <c r="O344" s="147"/>
      <c r="P344" s="284"/>
      <c r="Q344" s="284"/>
      <c r="R344" s="284"/>
      <c r="S344" s="284"/>
      <c r="T344" s="284"/>
      <c r="U344" s="284"/>
      <c r="V344" s="284"/>
      <c r="W344" s="284"/>
      <c r="X344" s="284"/>
      <c r="Y344" s="284"/>
      <c r="Z344" s="284"/>
    </row>
    <row r="345" ht="22.5" customHeight="1">
      <c r="A345" s="299" t="s">
        <v>5908</v>
      </c>
      <c r="B345" s="377">
        <v>3.333021595E9</v>
      </c>
      <c r="C345" s="314" t="s">
        <v>49</v>
      </c>
      <c r="D345" s="315" t="s">
        <v>5274</v>
      </c>
      <c r="E345" s="363" t="s">
        <v>19</v>
      </c>
      <c r="F345" s="294" t="s">
        <v>5275</v>
      </c>
      <c r="G345" s="363" t="s">
        <v>19</v>
      </c>
      <c r="H345" s="294" t="s">
        <v>21</v>
      </c>
      <c r="I345" s="363" t="s">
        <v>19</v>
      </c>
      <c r="J345" s="316" t="s">
        <v>22</v>
      </c>
      <c r="K345" s="396" t="s">
        <v>19</v>
      </c>
      <c r="L345" s="180" t="s">
        <v>5280</v>
      </c>
      <c r="M345" s="196"/>
      <c r="N345" s="196"/>
      <c r="O345" s="155"/>
      <c r="P345" s="284"/>
      <c r="Q345" s="284"/>
      <c r="R345" s="284"/>
      <c r="S345" s="284"/>
      <c r="T345" s="284"/>
      <c r="U345" s="284"/>
      <c r="V345" s="284"/>
      <c r="W345" s="284"/>
      <c r="X345" s="284"/>
      <c r="Y345" s="284"/>
      <c r="Z345" s="284"/>
    </row>
    <row r="346" ht="22.5" customHeight="1">
      <c r="A346" s="379" t="s">
        <v>5909</v>
      </c>
      <c r="B346" s="398">
        <v>3.498671055E9</v>
      </c>
      <c r="C346" s="317" t="s">
        <v>49</v>
      </c>
      <c r="D346" s="358" t="s">
        <v>5274</v>
      </c>
      <c r="E346" s="384" t="s">
        <v>640</v>
      </c>
      <c r="F346" s="321" t="s">
        <v>5275</v>
      </c>
      <c r="G346" s="382" t="s">
        <v>31</v>
      </c>
      <c r="H346" s="321" t="s">
        <v>21</v>
      </c>
      <c r="I346" s="384" t="s">
        <v>5279</v>
      </c>
      <c r="J346" s="289" t="s">
        <v>22</v>
      </c>
      <c r="K346" s="384" t="s">
        <v>5279</v>
      </c>
      <c r="L346" s="389" t="s">
        <v>5280</v>
      </c>
      <c r="M346" s="197"/>
      <c r="N346" s="197"/>
      <c r="O346" s="147"/>
      <c r="P346" s="284"/>
      <c r="Q346" s="284"/>
      <c r="R346" s="284"/>
      <c r="S346" s="284"/>
      <c r="T346" s="284"/>
      <c r="U346" s="284"/>
      <c r="V346" s="284"/>
      <c r="W346" s="284"/>
      <c r="X346" s="284"/>
      <c r="Y346" s="284"/>
      <c r="Z346" s="284"/>
    </row>
    <row r="347" ht="22.5" customHeight="1">
      <c r="A347" s="299" t="s">
        <v>5910</v>
      </c>
      <c r="B347" s="377">
        <v>3.340527666E9</v>
      </c>
      <c r="C347" s="318" t="s">
        <v>40</v>
      </c>
      <c r="D347" s="315" t="s">
        <v>5274</v>
      </c>
      <c r="E347" s="311" t="s">
        <v>31</v>
      </c>
      <c r="F347" s="294" t="s">
        <v>5275</v>
      </c>
      <c r="G347" s="311" t="s">
        <v>31</v>
      </c>
      <c r="H347" s="294" t="s">
        <v>21</v>
      </c>
      <c r="I347" s="311" t="s">
        <v>31</v>
      </c>
      <c r="J347" s="316" t="s">
        <v>22</v>
      </c>
      <c r="K347" s="396" t="s">
        <v>19</v>
      </c>
      <c r="L347" s="180" t="s">
        <v>5280</v>
      </c>
      <c r="M347" s="196"/>
      <c r="N347" s="196"/>
      <c r="O347" s="155"/>
      <c r="P347" s="284"/>
      <c r="Q347" s="284"/>
      <c r="R347" s="284"/>
      <c r="S347" s="284"/>
      <c r="T347" s="284"/>
      <c r="U347" s="284"/>
      <c r="V347" s="284"/>
      <c r="W347" s="284"/>
      <c r="X347" s="284"/>
      <c r="Y347" s="284"/>
      <c r="Z347" s="284"/>
    </row>
    <row r="348" ht="22.5" customHeight="1">
      <c r="A348" s="379" t="s">
        <v>5911</v>
      </c>
      <c r="B348" s="398">
        <v>3.333026676E9</v>
      </c>
      <c r="C348" s="317" t="s">
        <v>49</v>
      </c>
      <c r="D348" s="358" t="s">
        <v>5274</v>
      </c>
      <c r="E348" s="382" t="s">
        <v>31</v>
      </c>
      <c r="F348" s="321" t="s">
        <v>5275</v>
      </c>
      <c r="G348" s="382" t="s">
        <v>31</v>
      </c>
      <c r="H348" s="321" t="s">
        <v>21</v>
      </c>
      <c r="I348" s="384" t="s">
        <v>5279</v>
      </c>
      <c r="J348" s="289" t="s">
        <v>22</v>
      </c>
      <c r="K348" s="393" t="s">
        <v>31</v>
      </c>
      <c r="L348" s="389" t="s">
        <v>5280</v>
      </c>
      <c r="M348" s="197"/>
      <c r="N348" s="197"/>
      <c r="O348" s="147"/>
      <c r="P348" s="284"/>
      <c r="Q348" s="284"/>
      <c r="R348" s="284"/>
      <c r="S348" s="284"/>
      <c r="T348" s="284"/>
      <c r="U348" s="284"/>
      <c r="V348" s="284"/>
      <c r="W348" s="284"/>
      <c r="X348" s="284"/>
      <c r="Y348" s="284"/>
      <c r="Z348" s="284"/>
    </row>
    <row r="349" ht="22.5" customHeight="1">
      <c r="A349" s="299" t="s">
        <v>5912</v>
      </c>
      <c r="B349" s="377">
        <v>3.212120655E9</v>
      </c>
      <c r="C349" s="314" t="s">
        <v>49</v>
      </c>
      <c r="D349" s="315" t="s">
        <v>5274</v>
      </c>
      <c r="E349" s="363" t="s">
        <v>19</v>
      </c>
      <c r="F349" s="294" t="s">
        <v>5275</v>
      </c>
      <c r="G349" s="227" t="s">
        <v>5279</v>
      </c>
      <c r="H349" s="294" t="s">
        <v>21</v>
      </c>
      <c r="I349" s="363" t="s">
        <v>19</v>
      </c>
      <c r="J349" s="316" t="s">
        <v>22</v>
      </c>
      <c r="K349" s="403" t="s">
        <v>31</v>
      </c>
      <c r="L349" s="180" t="s">
        <v>5280</v>
      </c>
      <c r="M349" s="196"/>
      <c r="N349" s="196"/>
      <c r="O349" s="155"/>
      <c r="P349" s="284"/>
      <c r="Q349" s="284"/>
      <c r="R349" s="284"/>
      <c r="S349" s="284"/>
      <c r="T349" s="284"/>
      <c r="U349" s="284"/>
      <c r="V349" s="284"/>
      <c r="W349" s="284"/>
      <c r="X349" s="284"/>
      <c r="Y349" s="284"/>
      <c r="Z349" s="284"/>
    </row>
    <row r="350" ht="22.5" customHeight="1">
      <c r="A350" s="379" t="s">
        <v>5913</v>
      </c>
      <c r="B350" s="398">
        <v>3.132645273E9</v>
      </c>
      <c r="C350" s="317" t="s">
        <v>49</v>
      </c>
      <c r="D350" s="358" t="s">
        <v>5274</v>
      </c>
      <c r="E350" s="384" t="s">
        <v>640</v>
      </c>
      <c r="F350" s="321" t="s">
        <v>5275</v>
      </c>
      <c r="G350" s="382" t="s">
        <v>31</v>
      </c>
      <c r="H350" s="321" t="s">
        <v>21</v>
      </c>
      <c r="I350" s="384" t="s">
        <v>5279</v>
      </c>
      <c r="J350" s="289" t="s">
        <v>22</v>
      </c>
      <c r="K350" s="393" t="s">
        <v>31</v>
      </c>
      <c r="L350" s="389" t="s">
        <v>5280</v>
      </c>
      <c r="M350" s="197"/>
      <c r="N350" s="197"/>
      <c r="O350" s="147"/>
      <c r="P350" s="284"/>
      <c r="Q350" s="284"/>
      <c r="R350" s="284"/>
      <c r="S350" s="284"/>
      <c r="T350" s="284"/>
      <c r="U350" s="284"/>
      <c r="V350" s="284"/>
      <c r="W350" s="284"/>
      <c r="X350" s="284"/>
      <c r="Y350" s="284"/>
      <c r="Z350" s="284"/>
    </row>
    <row r="351" ht="22.5" customHeight="1">
      <c r="A351" s="299" t="s">
        <v>5914</v>
      </c>
      <c r="B351" s="377">
        <v>3.132645273E9</v>
      </c>
      <c r="C351" s="314" t="s">
        <v>49</v>
      </c>
      <c r="D351" s="315" t="s">
        <v>5274</v>
      </c>
      <c r="E351" s="227" t="s">
        <v>640</v>
      </c>
      <c r="F351" s="294" t="s">
        <v>5275</v>
      </c>
      <c r="G351" s="227" t="s">
        <v>5279</v>
      </c>
      <c r="H351" s="294" t="s">
        <v>21</v>
      </c>
      <c r="I351" s="311" t="s">
        <v>31</v>
      </c>
      <c r="J351" s="316" t="s">
        <v>22</v>
      </c>
      <c r="K351" s="403" t="s">
        <v>31</v>
      </c>
      <c r="L351" s="180" t="s">
        <v>5280</v>
      </c>
      <c r="M351" s="196"/>
      <c r="N351" s="196"/>
      <c r="O351" s="155"/>
      <c r="P351" s="284"/>
      <c r="Q351" s="284"/>
      <c r="R351" s="284"/>
      <c r="S351" s="284"/>
      <c r="T351" s="284"/>
      <c r="U351" s="284"/>
      <c r="V351" s="284"/>
      <c r="W351" s="284"/>
      <c r="X351" s="284"/>
      <c r="Y351" s="284"/>
      <c r="Z351" s="284"/>
    </row>
    <row r="352" ht="22.5" customHeight="1">
      <c r="A352" s="379" t="s">
        <v>5915</v>
      </c>
      <c r="B352" s="398">
        <v>3.172873855E9</v>
      </c>
      <c r="C352" s="319" t="s">
        <v>40</v>
      </c>
      <c r="D352" s="358" t="s">
        <v>5274</v>
      </c>
      <c r="E352" s="382" t="s">
        <v>31</v>
      </c>
      <c r="F352" s="321" t="s">
        <v>5275</v>
      </c>
      <c r="G352" s="382" t="s">
        <v>31</v>
      </c>
      <c r="H352" s="321" t="s">
        <v>21</v>
      </c>
      <c r="I352" s="382" t="s">
        <v>31</v>
      </c>
      <c r="J352" s="289" t="s">
        <v>22</v>
      </c>
      <c r="K352" s="393" t="s">
        <v>31</v>
      </c>
      <c r="L352" s="389" t="s">
        <v>5280</v>
      </c>
      <c r="M352" s="197"/>
      <c r="N352" s="197"/>
      <c r="O352" s="147"/>
      <c r="P352" s="284"/>
      <c r="Q352" s="284"/>
      <c r="R352" s="284"/>
      <c r="S352" s="284"/>
      <c r="T352" s="284"/>
      <c r="U352" s="284"/>
      <c r="V352" s="284"/>
      <c r="W352" s="284"/>
      <c r="X352" s="284"/>
      <c r="Y352" s="284"/>
      <c r="Z352" s="284"/>
    </row>
    <row r="353" ht="22.5" customHeight="1">
      <c r="A353" s="299" t="s">
        <v>5916</v>
      </c>
      <c r="B353" s="377">
        <v>3.338749479E9</v>
      </c>
      <c r="C353" s="314" t="s">
        <v>49</v>
      </c>
      <c r="D353" s="315" t="s">
        <v>5274</v>
      </c>
      <c r="E353" s="227" t="s">
        <v>640</v>
      </c>
      <c r="F353" s="294" t="s">
        <v>5275</v>
      </c>
      <c r="G353" s="227" t="s">
        <v>5279</v>
      </c>
      <c r="H353" s="316" t="s">
        <v>21</v>
      </c>
      <c r="I353" s="199" t="s">
        <v>26</v>
      </c>
      <c r="J353" s="316" t="s">
        <v>22</v>
      </c>
      <c r="K353" s="403" t="s">
        <v>31</v>
      </c>
      <c r="L353" s="180" t="s">
        <v>5280</v>
      </c>
      <c r="M353" s="196"/>
      <c r="N353" s="196"/>
      <c r="O353" s="155"/>
      <c r="P353" s="284"/>
      <c r="Q353" s="284"/>
      <c r="R353" s="284"/>
      <c r="S353" s="284"/>
      <c r="T353" s="284"/>
      <c r="U353" s="284"/>
      <c r="V353" s="284"/>
      <c r="W353" s="284"/>
      <c r="X353" s="284"/>
      <c r="Y353" s="284"/>
      <c r="Z353" s="284"/>
    </row>
    <row r="354" ht="22.5" customHeight="1">
      <c r="A354" s="379" t="s">
        <v>5917</v>
      </c>
      <c r="B354" s="398">
        <v>3.045304961E9</v>
      </c>
      <c r="C354" s="317" t="s">
        <v>49</v>
      </c>
      <c r="D354" s="358" t="s">
        <v>5274</v>
      </c>
      <c r="E354" s="382" t="s">
        <v>31</v>
      </c>
      <c r="F354" s="321" t="s">
        <v>5275</v>
      </c>
      <c r="G354" s="382" t="s">
        <v>31</v>
      </c>
      <c r="H354" s="289" t="s">
        <v>21</v>
      </c>
      <c r="I354" s="383" t="s">
        <v>19</v>
      </c>
      <c r="J354" s="289" t="s">
        <v>22</v>
      </c>
      <c r="K354" s="395" t="s">
        <v>19</v>
      </c>
      <c r="L354" s="389" t="s">
        <v>5280</v>
      </c>
      <c r="M354" s="197"/>
      <c r="N354" s="197"/>
      <c r="O354" s="147"/>
      <c r="P354" s="284"/>
      <c r="Q354" s="284"/>
      <c r="R354" s="284"/>
      <c r="S354" s="284"/>
      <c r="T354" s="284"/>
      <c r="U354" s="284"/>
      <c r="V354" s="284"/>
      <c r="W354" s="284"/>
      <c r="X354" s="284"/>
      <c r="Y354" s="284"/>
      <c r="Z354" s="284"/>
    </row>
    <row r="355" ht="22.5" customHeight="1">
      <c r="A355" s="299" t="s">
        <v>5918</v>
      </c>
      <c r="B355" s="377">
        <v>3.065928973E9</v>
      </c>
      <c r="C355" s="314" t="s">
        <v>49</v>
      </c>
      <c r="D355" s="315" t="s">
        <v>5274</v>
      </c>
      <c r="E355" s="311" t="s">
        <v>31</v>
      </c>
      <c r="F355" s="294" t="s">
        <v>5275</v>
      </c>
      <c r="G355" s="363" t="s">
        <v>19</v>
      </c>
      <c r="H355" s="316" t="s">
        <v>21</v>
      </c>
      <c r="I355" s="227" t="s">
        <v>5279</v>
      </c>
      <c r="J355" s="316" t="s">
        <v>22</v>
      </c>
      <c r="K355" s="312" t="s">
        <v>5279</v>
      </c>
      <c r="L355" s="392" t="s">
        <v>5271</v>
      </c>
      <c r="M355" s="196"/>
      <c r="N355" s="196"/>
      <c r="O355" s="155"/>
      <c r="P355" s="284"/>
      <c r="Q355" s="284"/>
      <c r="R355" s="284"/>
      <c r="S355" s="284"/>
      <c r="T355" s="284"/>
      <c r="U355" s="284"/>
      <c r="V355" s="284"/>
      <c r="W355" s="284"/>
      <c r="X355" s="284"/>
      <c r="Y355" s="284"/>
      <c r="Z355" s="284"/>
    </row>
    <row r="356" ht="22.5" customHeight="1">
      <c r="A356" s="379" t="s">
        <v>5919</v>
      </c>
      <c r="B356" s="398">
        <v>3.236398382E9</v>
      </c>
      <c r="C356" s="317" t="s">
        <v>49</v>
      </c>
      <c r="D356" s="358" t="s">
        <v>5274</v>
      </c>
      <c r="E356" s="383" t="s">
        <v>19</v>
      </c>
      <c r="F356" s="321" t="s">
        <v>5275</v>
      </c>
      <c r="G356" s="383" t="s">
        <v>19</v>
      </c>
      <c r="H356" s="289" t="s">
        <v>21</v>
      </c>
      <c r="I356" s="384" t="s">
        <v>5279</v>
      </c>
      <c r="J356" s="289" t="s">
        <v>22</v>
      </c>
      <c r="K356" s="395" t="s">
        <v>19</v>
      </c>
      <c r="L356" s="385" t="s">
        <v>5271</v>
      </c>
      <c r="M356" s="197"/>
      <c r="N356" s="197"/>
      <c r="O356" s="147"/>
      <c r="P356" s="284"/>
      <c r="Q356" s="284"/>
      <c r="R356" s="284"/>
      <c r="S356" s="284"/>
      <c r="T356" s="284"/>
      <c r="U356" s="284"/>
      <c r="V356" s="284"/>
      <c r="W356" s="284"/>
      <c r="X356" s="284"/>
      <c r="Y356" s="284"/>
      <c r="Z356" s="284"/>
    </row>
    <row r="357" ht="22.5" customHeight="1">
      <c r="A357" s="299" t="s">
        <v>5920</v>
      </c>
      <c r="B357" s="377">
        <v>3.209474113E9</v>
      </c>
      <c r="C357" s="314" t="s">
        <v>49</v>
      </c>
      <c r="D357" s="315" t="s">
        <v>5274</v>
      </c>
      <c r="E357" s="311" t="s">
        <v>31</v>
      </c>
      <c r="F357" s="294" t="s">
        <v>5275</v>
      </c>
      <c r="G357" s="311" t="s">
        <v>31</v>
      </c>
      <c r="H357" s="316" t="s">
        <v>21</v>
      </c>
      <c r="I357" s="363" t="s">
        <v>19</v>
      </c>
      <c r="J357" s="316" t="s">
        <v>22</v>
      </c>
      <c r="K357" s="396" t="s">
        <v>19</v>
      </c>
      <c r="L357" s="180" t="s">
        <v>5280</v>
      </c>
      <c r="M357" s="196"/>
      <c r="N357" s="196"/>
      <c r="O357" s="155"/>
      <c r="P357" s="284"/>
      <c r="Q357" s="284"/>
      <c r="R357" s="284"/>
      <c r="S357" s="284"/>
      <c r="T357" s="284"/>
      <c r="U357" s="284"/>
      <c r="V357" s="284"/>
      <c r="W357" s="284"/>
      <c r="X357" s="284"/>
      <c r="Y357" s="284"/>
      <c r="Z357" s="284"/>
    </row>
    <row r="358" ht="22.5" customHeight="1">
      <c r="A358" s="379" t="s">
        <v>5921</v>
      </c>
      <c r="B358" s="398">
        <v>3.28183216E9</v>
      </c>
      <c r="C358" s="372" t="s">
        <v>49</v>
      </c>
      <c r="D358" s="358" t="s">
        <v>5274</v>
      </c>
      <c r="E358" s="384" t="s">
        <v>640</v>
      </c>
      <c r="F358" s="321" t="s">
        <v>5275</v>
      </c>
      <c r="G358" s="384" t="s">
        <v>5279</v>
      </c>
      <c r="H358" s="289" t="s">
        <v>21</v>
      </c>
      <c r="I358" s="384" t="s">
        <v>5279</v>
      </c>
      <c r="J358" s="289" t="s">
        <v>22</v>
      </c>
      <c r="K358" s="395" t="s">
        <v>19</v>
      </c>
      <c r="L358" s="385" t="s">
        <v>5271</v>
      </c>
      <c r="M358" s="197"/>
      <c r="N358" s="197"/>
      <c r="O358" s="147"/>
      <c r="P358" s="284"/>
      <c r="Q358" s="284"/>
      <c r="R358" s="284"/>
      <c r="S358" s="284"/>
      <c r="T358" s="284"/>
      <c r="U358" s="284"/>
      <c r="V358" s="284"/>
      <c r="W358" s="284"/>
      <c r="X358" s="284"/>
      <c r="Y358" s="284"/>
      <c r="Z358" s="284"/>
    </row>
    <row r="359" ht="22.5" customHeight="1">
      <c r="A359" s="299" t="s">
        <v>5922</v>
      </c>
      <c r="B359" s="377">
        <v>3.197956973E9</v>
      </c>
      <c r="C359" s="322" t="s">
        <v>17</v>
      </c>
      <c r="D359" s="315" t="s">
        <v>5274</v>
      </c>
      <c r="E359" s="363" t="s">
        <v>19</v>
      </c>
      <c r="F359" s="294" t="s">
        <v>5275</v>
      </c>
      <c r="G359" s="363" t="s">
        <v>19</v>
      </c>
      <c r="H359" s="316" t="s">
        <v>21</v>
      </c>
      <c r="I359" s="363" t="s">
        <v>19</v>
      </c>
      <c r="J359" s="316" t="s">
        <v>22</v>
      </c>
      <c r="K359" s="396" t="s">
        <v>19</v>
      </c>
      <c r="L359" s="392" t="s">
        <v>5271</v>
      </c>
      <c r="M359" s="196"/>
      <c r="N359" s="196"/>
      <c r="O359" s="155"/>
      <c r="P359" s="284"/>
      <c r="Q359" s="284"/>
      <c r="R359" s="284"/>
      <c r="S359" s="284"/>
      <c r="T359" s="284"/>
      <c r="U359" s="284"/>
      <c r="V359" s="284"/>
      <c r="W359" s="284"/>
      <c r="X359" s="284"/>
      <c r="Y359" s="284"/>
      <c r="Z359" s="284"/>
    </row>
    <row r="360" ht="22.5" customHeight="1">
      <c r="A360" s="379" t="s">
        <v>5923</v>
      </c>
      <c r="B360" s="398">
        <v>3.462423755E9</v>
      </c>
      <c r="C360" s="404" t="s">
        <v>5891</v>
      </c>
      <c r="D360" s="358" t="s">
        <v>5274</v>
      </c>
      <c r="E360" s="383" t="s">
        <v>19</v>
      </c>
      <c r="F360" s="321" t="s">
        <v>5275</v>
      </c>
      <c r="G360" s="383" t="s">
        <v>19</v>
      </c>
      <c r="H360" s="289" t="s">
        <v>21</v>
      </c>
      <c r="I360" s="383" t="s">
        <v>19</v>
      </c>
      <c r="J360" s="289" t="s">
        <v>22</v>
      </c>
      <c r="K360" s="393" t="s">
        <v>31</v>
      </c>
      <c r="L360" s="389" t="s">
        <v>5280</v>
      </c>
      <c r="M360" s="197"/>
      <c r="N360" s="197"/>
      <c r="O360" s="147"/>
      <c r="P360" s="284"/>
      <c r="Q360" s="284"/>
      <c r="R360" s="284"/>
      <c r="S360" s="284"/>
      <c r="T360" s="284"/>
      <c r="U360" s="284"/>
      <c r="V360" s="284"/>
      <c r="W360" s="284"/>
      <c r="X360" s="284"/>
      <c r="Y360" s="284"/>
      <c r="Z360" s="284"/>
    </row>
    <row r="361" ht="22.5" customHeight="1">
      <c r="A361" s="299" t="s">
        <v>5924</v>
      </c>
      <c r="B361" s="377">
        <v>3.488429468E9</v>
      </c>
      <c r="C361" s="322" t="s">
        <v>17</v>
      </c>
      <c r="D361" s="315" t="s">
        <v>5274</v>
      </c>
      <c r="E361" s="363" t="s">
        <v>19</v>
      </c>
      <c r="F361" s="294" t="s">
        <v>5275</v>
      </c>
      <c r="G361" s="363" t="s">
        <v>19</v>
      </c>
      <c r="H361" s="316" t="s">
        <v>21</v>
      </c>
      <c r="I361" s="363" t="s">
        <v>19</v>
      </c>
      <c r="J361" s="316" t="s">
        <v>22</v>
      </c>
      <c r="K361" s="396" t="s">
        <v>19</v>
      </c>
      <c r="L361" s="392" t="s">
        <v>5271</v>
      </c>
      <c r="M361" s="196"/>
      <c r="N361" s="196"/>
      <c r="O361" s="155"/>
      <c r="P361" s="284"/>
      <c r="Q361" s="284"/>
      <c r="R361" s="284"/>
      <c r="S361" s="284"/>
      <c r="T361" s="284"/>
      <c r="U361" s="284"/>
      <c r="V361" s="284"/>
      <c r="W361" s="284"/>
      <c r="X361" s="284"/>
      <c r="Y361" s="284"/>
      <c r="Z361" s="284"/>
    </row>
    <row r="362" ht="22.5" customHeight="1">
      <c r="A362" s="379" t="s">
        <v>5925</v>
      </c>
      <c r="B362" s="398">
        <v>3.021502648E9</v>
      </c>
      <c r="C362" s="317" t="s">
        <v>49</v>
      </c>
      <c r="D362" s="358" t="s">
        <v>5274</v>
      </c>
      <c r="E362" s="384" t="s">
        <v>640</v>
      </c>
      <c r="F362" s="321" t="s">
        <v>5275</v>
      </c>
      <c r="G362" s="384" t="s">
        <v>5279</v>
      </c>
      <c r="H362" s="289" t="s">
        <v>21</v>
      </c>
      <c r="I362" s="383" t="s">
        <v>19</v>
      </c>
      <c r="J362" s="321" t="s">
        <v>22</v>
      </c>
      <c r="K362" s="393" t="s">
        <v>31</v>
      </c>
      <c r="L362" s="389" t="s">
        <v>5280</v>
      </c>
      <c r="M362" s="197"/>
      <c r="N362" s="197"/>
      <c r="O362" s="147"/>
      <c r="P362" s="284"/>
      <c r="Q362" s="284"/>
      <c r="R362" s="284"/>
      <c r="S362" s="284"/>
      <c r="T362" s="284"/>
      <c r="U362" s="284"/>
      <c r="V362" s="284"/>
      <c r="W362" s="284"/>
      <c r="X362" s="284"/>
      <c r="Y362" s="284"/>
      <c r="Z362" s="284"/>
    </row>
    <row r="363" ht="22.5" customHeight="1">
      <c r="A363" s="299" t="s">
        <v>5926</v>
      </c>
      <c r="B363" s="377">
        <v>3.138844312E9</v>
      </c>
      <c r="C363" s="314" t="s">
        <v>49</v>
      </c>
      <c r="D363" s="315" t="s">
        <v>5274</v>
      </c>
      <c r="E363" s="227" t="s">
        <v>640</v>
      </c>
      <c r="F363" s="405" t="s">
        <v>5275</v>
      </c>
      <c r="G363" s="227" t="s">
        <v>5279</v>
      </c>
      <c r="H363" s="316" t="s">
        <v>21</v>
      </c>
      <c r="I363" s="311" t="s">
        <v>31</v>
      </c>
      <c r="J363" s="294" t="s">
        <v>22</v>
      </c>
      <c r="K363" s="403" t="s">
        <v>31</v>
      </c>
      <c r="L363" s="180" t="s">
        <v>5280</v>
      </c>
      <c r="M363" s="196"/>
      <c r="N363" s="196"/>
      <c r="O363" s="155"/>
      <c r="P363" s="284"/>
      <c r="Q363" s="284"/>
      <c r="R363" s="284"/>
      <c r="S363" s="284"/>
      <c r="T363" s="284"/>
      <c r="U363" s="284"/>
      <c r="V363" s="284"/>
      <c r="W363" s="284"/>
      <c r="X363" s="284"/>
      <c r="Y363" s="284"/>
      <c r="Z363" s="284"/>
    </row>
    <row r="364" ht="22.5" customHeight="1">
      <c r="A364" s="379" t="s">
        <v>5927</v>
      </c>
      <c r="B364" s="398">
        <v>3.415516327E9</v>
      </c>
      <c r="C364" s="319" t="s">
        <v>40</v>
      </c>
      <c r="D364" s="358" t="s">
        <v>5274</v>
      </c>
      <c r="E364" s="384" t="s">
        <v>640</v>
      </c>
      <c r="F364" s="406" t="s">
        <v>5275</v>
      </c>
      <c r="G364" s="382" t="s">
        <v>31</v>
      </c>
      <c r="H364" s="289" t="s">
        <v>21</v>
      </c>
      <c r="I364" s="383" t="s">
        <v>19</v>
      </c>
      <c r="J364" s="321" t="s">
        <v>22</v>
      </c>
      <c r="K364" s="393" t="s">
        <v>31</v>
      </c>
      <c r="L364" s="389" t="s">
        <v>5280</v>
      </c>
      <c r="M364" s="197"/>
      <c r="N364" s="197"/>
      <c r="O364" s="147"/>
      <c r="P364" s="284"/>
      <c r="Q364" s="284"/>
      <c r="R364" s="284"/>
      <c r="S364" s="284"/>
      <c r="T364" s="284"/>
      <c r="U364" s="284"/>
      <c r="V364" s="284"/>
      <c r="W364" s="284"/>
      <c r="X364" s="284"/>
      <c r="Y364" s="284"/>
      <c r="Z364" s="284"/>
    </row>
    <row r="365" ht="22.5" customHeight="1">
      <c r="A365" s="299" t="s">
        <v>5928</v>
      </c>
      <c r="B365" s="377">
        <v>3.492272669E9</v>
      </c>
      <c r="C365" s="192" t="s">
        <v>49</v>
      </c>
      <c r="D365" s="315" t="s">
        <v>5274</v>
      </c>
      <c r="E365" s="227" t="s">
        <v>640</v>
      </c>
      <c r="F365" s="405" t="s">
        <v>5275</v>
      </c>
      <c r="G365" s="227" t="s">
        <v>5279</v>
      </c>
      <c r="H365" s="316" t="s">
        <v>21</v>
      </c>
      <c r="I365" s="363" t="s">
        <v>19</v>
      </c>
      <c r="J365" s="294" t="s">
        <v>22</v>
      </c>
      <c r="K365" s="396" t="s">
        <v>19</v>
      </c>
      <c r="L365" s="392" t="s">
        <v>5271</v>
      </c>
      <c r="M365" s="196"/>
      <c r="N365" s="196"/>
      <c r="O365" s="155"/>
      <c r="P365" s="284"/>
      <c r="Q365" s="284"/>
      <c r="R365" s="284"/>
      <c r="S365" s="284"/>
      <c r="T365" s="284"/>
      <c r="U365" s="284"/>
      <c r="V365" s="284"/>
      <c r="W365" s="284"/>
      <c r="X365" s="284"/>
      <c r="Y365" s="284"/>
      <c r="Z365" s="284"/>
    </row>
    <row r="366" ht="22.5" customHeight="1">
      <c r="A366" s="379" t="s">
        <v>5929</v>
      </c>
      <c r="B366" s="398">
        <v>3.218888859E9</v>
      </c>
      <c r="C366" s="317" t="s">
        <v>49</v>
      </c>
      <c r="D366" s="358" t="s">
        <v>5274</v>
      </c>
      <c r="E366" s="384" t="s">
        <v>640</v>
      </c>
      <c r="F366" s="406" t="s">
        <v>5275</v>
      </c>
      <c r="G366" s="384" t="s">
        <v>5279</v>
      </c>
      <c r="H366" s="289" t="s">
        <v>21</v>
      </c>
      <c r="I366" s="382" t="s">
        <v>31</v>
      </c>
      <c r="J366" s="321" t="s">
        <v>22</v>
      </c>
      <c r="K366" s="395" t="s">
        <v>19</v>
      </c>
      <c r="L366" s="389" t="s">
        <v>5280</v>
      </c>
      <c r="M366" s="197"/>
      <c r="N366" s="197"/>
      <c r="O366" s="147"/>
      <c r="P366" s="284"/>
      <c r="Q366" s="284"/>
      <c r="R366" s="284"/>
      <c r="S366" s="284"/>
      <c r="T366" s="284"/>
      <c r="U366" s="284"/>
      <c r="V366" s="284"/>
      <c r="W366" s="284"/>
      <c r="X366" s="284"/>
      <c r="Y366" s="284"/>
      <c r="Z366" s="284"/>
    </row>
    <row r="367" ht="22.5" customHeight="1">
      <c r="A367" s="299" t="s">
        <v>5930</v>
      </c>
      <c r="B367" s="377">
        <v>3.111287811E9</v>
      </c>
      <c r="C367" s="407" t="s">
        <v>3955</v>
      </c>
      <c r="D367" s="315" t="s">
        <v>5274</v>
      </c>
      <c r="E367" s="227" t="s">
        <v>640</v>
      </c>
      <c r="F367" s="405" t="s">
        <v>5275</v>
      </c>
      <c r="G367" s="227" t="s">
        <v>5279</v>
      </c>
      <c r="H367" s="316" t="s">
        <v>21</v>
      </c>
      <c r="I367" s="311" t="s">
        <v>31</v>
      </c>
      <c r="J367" s="294" t="s">
        <v>22</v>
      </c>
      <c r="K367" s="403" t="s">
        <v>31</v>
      </c>
      <c r="L367" s="180" t="s">
        <v>5280</v>
      </c>
      <c r="M367" s="196"/>
      <c r="N367" s="196"/>
      <c r="O367" s="155"/>
      <c r="P367" s="284"/>
      <c r="Q367" s="284"/>
      <c r="R367" s="284"/>
      <c r="S367" s="284"/>
      <c r="T367" s="284"/>
      <c r="U367" s="284"/>
      <c r="V367" s="284"/>
      <c r="W367" s="284"/>
      <c r="X367" s="284"/>
      <c r="Y367" s="284"/>
      <c r="Z367" s="284"/>
    </row>
    <row r="368" ht="22.5" customHeight="1">
      <c r="A368" s="379" t="s">
        <v>5931</v>
      </c>
      <c r="B368" s="398">
        <v>3.174738875E9</v>
      </c>
      <c r="C368" s="408" t="s">
        <v>3955</v>
      </c>
      <c r="D368" s="358" t="s">
        <v>5274</v>
      </c>
      <c r="E368" s="384" t="s">
        <v>640</v>
      </c>
      <c r="F368" s="406" t="s">
        <v>5275</v>
      </c>
      <c r="G368" s="384" t="s">
        <v>5279</v>
      </c>
      <c r="H368" s="289" t="s">
        <v>21</v>
      </c>
      <c r="I368" s="382" t="s">
        <v>31</v>
      </c>
      <c r="J368" s="321" t="s">
        <v>22</v>
      </c>
      <c r="K368" s="393" t="s">
        <v>31</v>
      </c>
      <c r="L368" s="389" t="s">
        <v>5280</v>
      </c>
      <c r="M368" s="197"/>
      <c r="N368" s="197"/>
      <c r="O368" s="147"/>
      <c r="P368" s="284"/>
      <c r="Q368" s="284"/>
      <c r="R368" s="284"/>
      <c r="S368" s="284"/>
      <c r="T368" s="284"/>
      <c r="U368" s="284"/>
      <c r="V368" s="284"/>
      <c r="W368" s="284"/>
      <c r="X368" s="284"/>
      <c r="Y368" s="284"/>
      <c r="Z368" s="284"/>
    </row>
    <row r="369" ht="22.5" customHeight="1">
      <c r="A369" s="299" t="s">
        <v>5932</v>
      </c>
      <c r="B369" s="377">
        <v>3.191690809E9</v>
      </c>
      <c r="C369" s="318" t="s">
        <v>40</v>
      </c>
      <c r="D369" s="315" t="s">
        <v>5274</v>
      </c>
      <c r="E369" s="363" t="s">
        <v>19</v>
      </c>
      <c r="F369" s="405" t="s">
        <v>5275</v>
      </c>
      <c r="G369" s="363" t="s">
        <v>19</v>
      </c>
      <c r="H369" s="316" t="s">
        <v>21</v>
      </c>
      <c r="I369" s="311" t="s">
        <v>31</v>
      </c>
      <c r="J369" s="294" t="s">
        <v>22</v>
      </c>
      <c r="K369" s="396" t="s">
        <v>19</v>
      </c>
      <c r="L369" s="180" t="s">
        <v>5280</v>
      </c>
      <c r="M369" s="196"/>
      <c r="N369" s="196"/>
      <c r="O369" s="155"/>
      <c r="P369" s="284"/>
      <c r="Q369" s="284"/>
      <c r="R369" s="284"/>
      <c r="S369" s="284"/>
      <c r="T369" s="284"/>
      <c r="U369" s="284"/>
      <c r="V369" s="284"/>
      <c r="W369" s="284"/>
      <c r="X369" s="284"/>
      <c r="Y369" s="284"/>
      <c r="Z369" s="284"/>
    </row>
    <row r="370" ht="22.5" customHeight="1">
      <c r="A370" s="379" t="s">
        <v>5933</v>
      </c>
      <c r="B370" s="398">
        <v>3.033355519E9</v>
      </c>
      <c r="C370" s="317" t="s">
        <v>49</v>
      </c>
      <c r="D370" s="358" t="s">
        <v>5274</v>
      </c>
      <c r="E370" s="382" t="s">
        <v>31</v>
      </c>
      <c r="F370" s="406" t="s">
        <v>5275</v>
      </c>
      <c r="G370" s="383" t="s">
        <v>19</v>
      </c>
      <c r="H370" s="289" t="s">
        <v>21</v>
      </c>
      <c r="I370" s="382" t="s">
        <v>31</v>
      </c>
      <c r="J370" s="321" t="s">
        <v>22</v>
      </c>
      <c r="K370" s="393" t="s">
        <v>31</v>
      </c>
      <c r="L370" s="389" t="s">
        <v>5280</v>
      </c>
      <c r="M370" s="197"/>
      <c r="N370" s="197"/>
      <c r="O370" s="147"/>
      <c r="P370" s="284"/>
      <c r="Q370" s="284"/>
      <c r="R370" s="284"/>
      <c r="S370" s="284"/>
      <c r="T370" s="284"/>
      <c r="U370" s="284"/>
      <c r="V370" s="284"/>
      <c r="W370" s="284"/>
      <c r="X370" s="284"/>
      <c r="Y370" s="284"/>
      <c r="Z370" s="284"/>
    </row>
    <row r="371" ht="22.5" customHeight="1">
      <c r="A371" s="299" t="s">
        <v>5934</v>
      </c>
      <c r="B371" s="377">
        <v>3.220225516E9</v>
      </c>
      <c r="C371" s="314" t="s">
        <v>49</v>
      </c>
      <c r="D371" s="315" t="s">
        <v>5274</v>
      </c>
      <c r="E371" s="227" t="s">
        <v>640</v>
      </c>
      <c r="F371" s="405" t="s">
        <v>5275</v>
      </c>
      <c r="G371" s="227" t="s">
        <v>5279</v>
      </c>
      <c r="H371" s="316" t="s">
        <v>21</v>
      </c>
      <c r="I371" s="311" t="s">
        <v>31</v>
      </c>
      <c r="J371" s="294" t="s">
        <v>22</v>
      </c>
      <c r="K371" s="403" t="s">
        <v>31</v>
      </c>
      <c r="L371" s="180" t="s">
        <v>5280</v>
      </c>
      <c r="M371" s="196"/>
      <c r="N371" s="196"/>
      <c r="O371" s="155"/>
      <c r="P371" s="284"/>
      <c r="Q371" s="284"/>
      <c r="R371" s="284"/>
      <c r="S371" s="284"/>
      <c r="T371" s="284"/>
      <c r="U371" s="284"/>
      <c r="V371" s="284"/>
      <c r="W371" s="284"/>
      <c r="X371" s="284"/>
      <c r="Y371" s="284"/>
      <c r="Z371" s="284"/>
    </row>
    <row r="372" ht="22.5" customHeight="1">
      <c r="A372" s="379" t="s">
        <v>5935</v>
      </c>
      <c r="B372" s="398">
        <v>3.125710157E9</v>
      </c>
      <c r="C372" s="317" t="s">
        <v>49</v>
      </c>
      <c r="D372" s="358" t="s">
        <v>5274</v>
      </c>
      <c r="E372" s="384" t="s">
        <v>640</v>
      </c>
      <c r="F372" s="406" t="s">
        <v>5275</v>
      </c>
      <c r="G372" s="384" t="s">
        <v>5279</v>
      </c>
      <c r="H372" s="289" t="s">
        <v>21</v>
      </c>
      <c r="I372" s="383" t="s">
        <v>19</v>
      </c>
      <c r="J372" s="321" t="s">
        <v>22</v>
      </c>
      <c r="K372" s="393" t="s">
        <v>31</v>
      </c>
      <c r="L372" s="389" t="s">
        <v>5280</v>
      </c>
      <c r="M372" s="197"/>
      <c r="N372" s="197"/>
      <c r="O372" s="147"/>
      <c r="P372" s="284"/>
      <c r="Q372" s="284"/>
      <c r="R372" s="284"/>
      <c r="S372" s="284"/>
      <c r="T372" s="284"/>
      <c r="U372" s="284"/>
      <c r="V372" s="284"/>
      <c r="W372" s="284"/>
      <c r="X372" s="284"/>
      <c r="Y372" s="284"/>
      <c r="Z372" s="284"/>
    </row>
    <row r="373" ht="22.5" customHeight="1">
      <c r="A373" s="299" t="s">
        <v>5936</v>
      </c>
      <c r="B373" s="377">
        <v>3.209650047E9</v>
      </c>
      <c r="C373" s="322" t="s">
        <v>17</v>
      </c>
      <c r="D373" s="315" t="s">
        <v>5274</v>
      </c>
      <c r="E373" s="363" t="s">
        <v>19</v>
      </c>
      <c r="F373" s="405" t="s">
        <v>5275</v>
      </c>
      <c r="G373" s="363" t="s">
        <v>19</v>
      </c>
      <c r="H373" s="316" t="s">
        <v>21</v>
      </c>
      <c r="I373" s="363" t="s">
        <v>19</v>
      </c>
      <c r="J373" s="294" t="s">
        <v>22</v>
      </c>
      <c r="K373" s="312" t="s">
        <v>5279</v>
      </c>
      <c r="L373" s="392" t="s">
        <v>5271</v>
      </c>
      <c r="M373" s="196"/>
      <c r="N373" s="196"/>
      <c r="O373" s="155"/>
      <c r="P373" s="284"/>
      <c r="Q373" s="284"/>
      <c r="R373" s="284"/>
      <c r="S373" s="284"/>
      <c r="T373" s="284"/>
      <c r="U373" s="284"/>
      <c r="V373" s="284"/>
      <c r="W373" s="284"/>
      <c r="X373" s="284"/>
      <c r="Y373" s="284"/>
      <c r="Z373" s="284"/>
    </row>
    <row r="374" ht="22.5" customHeight="1">
      <c r="A374" s="379" t="s">
        <v>5937</v>
      </c>
      <c r="B374" s="398">
        <v>3.125181488E9</v>
      </c>
      <c r="C374" s="317" t="s">
        <v>49</v>
      </c>
      <c r="D374" s="358" t="s">
        <v>5274</v>
      </c>
      <c r="E374" s="383" t="s">
        <v>19</v>
      </c>
      <c r="F374" s="343" t="s">
        <v>5275</v>
      </c>
      <c r="G374" s="384" t="s">
        <v>5279</v>
      </c>
      <c r="H374" s="289" t="s">
        <v>21</v>
      </c>
      <c r="I374" s="382" t="s">
        <v>31</v>
      </c>
      <c r="J374" s="321" t="s">
        <v>22</v>
      </c>
      <c r="K374" s="401" t="s">
        <v>5279</v>
      </c>
      <c r="L374" s="389" t="s">
        <v>5280</v>
      </c>
      <c r="M374" s="197"/>
      <c r="N374" s="197"/>
      <c r="O374" s="147"/>
      <c r="P374" s="284"/>
      <c r="Q374" s="284"/>
      <c r="R374" s="284"/>
      <c r="S374" s="284"/>
      <c r="T374" s="284"/>
      <c r="U374" s="284"/>
      <c r="V374" s="284"/>
      <c r="W374" s="284"/>
      <c r="X374" s="284"/>
      <c r="Y374" s="284"/>
      <c r="Z374" s="284"/>
    </row>
    <row r="375" ht="22.5" customHeight="1">
      <c r="A375" s="299" t="s">
        <v>5938</v>
      </c>
      <c r="B375" s="377">
        <v>3.174738875E9</v>
      </c>
      <c r="C375" s="322" t="s">
        <v>17</v>
      </c>
      <c r="D375" s="315" t="s">
        <v>5274</v>
      </c>
      <c r="E375" s="363" t="s">
        <v>19</v>
      </c>
      <c r="F375" s="341" t="s">
        <v>5275</v>
      </c>
      <c r="G375" s="363" t="s">
        <v>19</v>
      </c>
      <c r="H375" s="316" t="s">
        <v>21</v>
      </c>
      <c r="I375" s="363" t="s">
        <v>19</v>
      </c>
      <c r="J375" s="294" t="s">
        <v>22</v>
      </c>
      <c r="K375" s="312" t="s">
        <v>5279</v>
      </c>
      <c r="L375" s="392" t="s">
        <v>5271</v>
      </c>
      <c r="M375" s="196"/>
      <c r="N375" s="196"/>
      <c r="O375" s="155"/>
      <c r="P375" s="284"/>
      <c r="Q375" s="284"/>
      <c r="R375" s="284"/>
      <c r="S375" s="284"/>
      <c r="T375" s="284"/>
      <c r="U375" s="284"/>
      <c r="V375" s="284"/>
      <c r="W375" s="284"/>
      <c r="X375" s="284"/>
      <c r="Y375" s="284"/>
      <c r="Z375" s="284"/>
    </row>
    <row r="376" ht="22.5" customHeight="1">
      <c r="A376" s="379" t="s">
        <v>5939</v>
      </c>
      <c r="B376" s="398">
        <v>3.174738875E9</v>
      </c>
      <c r="C376" s="323" t="s">
        <v>17</v>
      </c>
      <c r="D376" s="358" t="s">
        <v>5274</v>
      </c>
      <c r="E376" s="383" t="s">
        <v>19</v>
      </c>
      <c r="F376" s="343" t="s">
        <v>5275</v>
      </c>
      <c r="G376" s="383" t="s">
        <v>19</v>
      </c>
      <c r="H376" s="289" t="s">
        <v>21</v>
      </c>
      <c r="I376" s="383" t="s">
        <v>19</v>
      </c>
      <c r="J376" s="321" t="s">
        <v>22</v>
      </c>
      <c r="K376" s="401" t="s">
        <v>5279</v>
      </c>
      <c r="L376" s="385" t="s">
        <v>5271</v>
      </c>
      <c r="M376" s="197"/>
      <c r="N376" s="197"/>
      <c r="O376" s="147"/>
      <c r="P376" s="284"/>
      <c r="Q376" s="284"/>
      <c r="R376" s="284"/>
      <c r="S376" s="284"/>
      <c r="T376" s="284"/>
      <c r="U376" s="284"/>
      <c r="V376" s="284"/>
      <c r="W376" s="284"/>
      <c r="X376" s="284"/>
      <c r="Y376" s="284"/>
      <c r="Z376" s="284"/>
    </row>
    <row r="377" ht="22.5" customHeight="1">
      <c r="A377" s="299" t="s">
        <v>5940</v>
      </c>
      <c r="B377" s="377">
        <v>3.343401978E9</v>
      </c>
      <c r="C377" s="322" t="s">
        <v>17</v>
      </c>
      <c r="D377" s="293" t="s">
        <v>5274</v>
      </c>
      <c r="E377" s="363" t="s">
        <v>19</v>
      </c>
      <c r="F377" s="341" t="s">
        <v>5275</v>
      </c>
      <c r="G377" s="363" t="s">
        <v>19</v>
      </c>
      <c r="H377" s="316" t="s">
        <v>21</v>
      </c>
      <c r="I377" s="363" t="s">
        <v>19</v>
      </c>
      <c r="J377" s="294" t="s">
        <v>22</v>
      </c>
      <c r="K377" s="312" t="s">
        <v>5279</v>
      </c>
      <c r="L377" s="392" t="s">
        <v>5271</v>
      </c>
      <c r="M377" s="196"/>
      <c r="N377" s="196"/>
      <c r="O377" s="155"/>
      <c r="P377" s="284"/>
      <c r="Q377" s="284"/>
      <c r="R377" s="284"/>
      <c r="S377" s="284"/>
      <c r="T377" s="284"/>
      <c r="U377" s="284"/>
      <c r="V377" s="284"/>
      <c r="W377" s="284"/>
      <c r="X377" s="284"/>
      <c r="Y377" s="284"/>
      <c r="Z377" s="284"/>
    </row>
    <row r="378" ht="22.5" customHeight="1">
      <c r="A378" s="379" t="s">
        <v>5941</v>
      </c>
      <c r="B378" s="398">
        <v>3.20746391E9</v>
      </c>
      <c r="C378" s="317" t="s">
        <v>49</v>
      </c>
      <c r="D378" s="358" t="s">
        <v>5274</v>
      </c>
      <c r="E378" s="383" t="s">
        <v>19</v>
      </c>
      <c r="F378" s="343" t="s">
        <v>5275</v>
      </c>
      <c r="G378" s="384" t="s">
        <v>5279</v>
      </c>
      <c r="H378" s="289" t="s">
        <v>21</v>
      </c>
      <c r="I378" s="382" t="s">
        <v>31</v>
      </c>
      <c r="J378" s="321" t="s">
        <v>22</v>
      </c>
      <c r="K378" s="401" t="s">
        <v>5279</v>
      </c>
      <c r="L378" s="389" t="s">
        <v>5280</v>
      </c>
      <c r="M378" s="197"/>
      <c r="N378" s="197"/>
      <c r="O378" s="147"/>
      <c r="P378" s="284"/>
      <c r="Q378" s="284"/>
      <c r="R378" s="284"/>
      <c r="S378" s="284"/>
      <c r="T378" s="284"/>
      <c r="U378" s="284"/>
      <c r="V378" s="284"/>
      <c r="W378" s="284"/>
      <c r="X378" s="284"/>
      <c r="Y378" s="284"/>
      <c r="Z378" s="284"/>
    </row>
    <row r="379" ht="22.5" customHeight="1">
      <c r="A379" s="299" t="s">
        <v>5942</v>
      </c>
      <c r="B379" s="377">
        <v>3.033351948E9</v>
      </c>
      <c r="C379" s="322" t="s">
        <v>17</v>
      </c>
      <c r="D379" s="293" t="s">
        <v>5274</v>
      </c>
      <c r="E379" s="363" t="s">
        <v>19</v>
      </c>
      <c r="F379" s="341" t="s">
        <v>5275</v>
      </c>
      <c r="G379" s="363" t="s">
        <v>19</v>
      </c>
      <c r="H379" s="316" t="s">
        <v>21</v>
      </c>
      <c r="I379" s="363" t="s">
        <v>19</v>
      </c>
      <c r="J379" s="316" t="s">
        <v>22</v>
      </c>
      <c r="K379" s="312" t="s">
        <v>5279</v>
      </c>
      <c r="L379" s="392" t="s">
        <v>5271</v>
      </c>
      <c r="M379" s="196"/>
      <c r="N379" s="196"/>
      <c r="O379" s="155"/>
      <c r="P379" s="284"/>
      <c r="Q379" s="284"/>
      <c r="R379" s="284"/>
      <c r="S379" s="284"/>
      <c r="T379" s="284"/>
      <c r="U379" s="284"/>
      <c r="V379" s="284"/>
      <c r="W379" s="284"/>
      <c r="X379" s="284"/>
      <c r="Y379" s="284"/>
      <c r="Z379" s="284"/>
    </row>
    <row r="380" ht="22.5" customHeight="1">
      <c r="A380" s="379" t="s">
        <v>5943</v>
      </c>
      <c r="B380" s="398">
        <v>3.100035107E9</v>
      </c>
      <c r="C380" s="409" t="s">
        <v>2076</v>
      </c>
      <c r="D380" s="358" t="s">
        <v>5274</v>
      </c>
      <c r="E380" s="381" t="s">
        <v>26</v>
      </c>
      <c r="F380" s="344" t="s">
        <v>5275</v>
      </c>
      <c r="G380" s="384" t="s">
        <v>5279</v>
      </c>
      <c r="H380" s="321" t="s">
        <v>21</v>
      </c>
      <c r="I380" s="383" t="s">
        <v>19</v>
      </c>
      <c r="J380" s="321" t="s">
        <v>22</v>
      </c>
      <c r="K380" s="401" t="s">
        <v>5279</v>
      </c>
      <c r="L380" s="389" t="s">
        <v>5280</v>
      </c>
      <c r="M380" s="197"/>
      <c r="N380" s="197"/>
      <c r="O380" s="147"/>
      <c r="P380" s="284"/>
      <c r="Q380" s="284"/>
      <c r="R380" s="284"/>
      <c r="S380" s="284"/>
      <c r="T380" s="284"/>
      <c r="U380" s="284"/>
      <c r="V380" s="284"/>
      <c r="W380" s="284"/>
      <c r="X380" s="284"/>
      <c r="Y380" s="284"/>
      <c r="Z380" s="284"/>
    </row>
    <row r="381" ht="22.5" customHeight="1">
      <c r="A381" s="299" t="s">
        <v>5944</v>
      </c>
      <c r="B381" s="377">
        <v>3.219108196E9</v>
      </c>
      <c r="C381" s="314" t="s">
        <v>49</v>
      </c>
      <c r="D381" s="293" t="s">
        <v>5274</v>
      </c>
      <c r="E381" s="311" t="s">
        <v>31</v>
      </c>
      <c r="F381" s="341" t="s">
        <v>5275</v>
      </c>
      <c r="G381" s="227" t="s">
        <v>5279</v>
      </c>
      <c r="H381" s="316" t="s">
        <v>21</v>
      </c>
      <c r="I381" s="311" t="s">
        <v>31</v>
      </c>
      <c r="J381" s="316" t="s">
        <v>22</v>
      </c>
      <c r="K381" s="396" t="s">
        <v>19</v>
      </c>
      <c r="L381" s="180" t="s">
        <v>5280</v>
      </c>
      <c r="M381" s="196"/>
      <c r="N381" s="196"/>
      <c r="O381" s="155"/>
      <c r="P381" s="284"/>
      <c r="Q381" s="284"/>
      <c r="R381" s="284"/>
      <c r="S381" s="284"/>
      <c r="T381" s="284"/>
      <c r="U381" s="284"/>
      <c r="V381" s="284"/>
      <c r="W381" s="284"/>
      <c r="X381" s="284"/>
      <c r="Y381" s="284"/>
      <c r="Z381" s="284"/>
    </row>
    <row r="382" ht="22.5" customHeight="1">
      <c r="A382" s="379" t="s">
        <v>5945</v>
      </c>
      <c r="B382" s="398">
        <v>3.08944775E9</v>
      </c>
      <c r="C382" s="317" t="s">
        <v>49</v>
      </c>
      <c r="D382" s="358" t="s">
        <v>5274</v>
      </c>
      <c r="E382" s="382" t="s">
        <v>31</v>
      </c>
      <c r="F382" s="344" t="s">
        <v>5275</v>
      </c>
      <c r="G382" s="384" t="s">
        <v>5279</v>
      </c>
      <c r="H382" s="321" t="s">
        <v>21</v>
      </c>
      <c r="I382" s="382" t="s">
        <v>31</v>
      </c>
      <c r="J382" s="321" t="s">
        <v>22</v>
      </c>
      <c r="K382" s="401" t="s">
        <v>5279</v>
      </c>
      <c r="L382" s="389" t="s">
        <v>5280</v>
      </c>
      <c r="M382" s="197"/>
      <c r="N382" s="197"/>
      <c r="O382" s="147"/>
      <c r="P382" s="284"/>
      <c r="Q382" s="284"/>
      <c r="R382" s="284"/>
      <c r="S382" s="284"/>
      <c r="T382" s="284"/>
      <c r="U382" s="284"/>
      <c r="V382" s="284"/>
      <c r="W382" s="284"/>
      <c r="X382" s="284"/>
      <c r="Y382" s="284"/>
      <c r="Z382" s="284"/>
    </row>
    <row r="383" ht="22.5" customHeight="1">
      <c r="A383" s="299" t="s">
        <v>5946</v>
      </c>
      <c r="B383" s="377">
        <v>3.219497009E9</v>
      </c>
      <c r="C383" s="314" t="s">
        <v>49</v>
      </c>
      <c r="D383" s="293" t="s">
        <v>5274</v>
      </c>
      <c r="E383" s="363" t="s">
        <v>19</v>
      </c>
      <c r="F383" s="341" t="s">
        <v>5275</v>
      </c>
      <c r="G383" s="227" t="s">
        <v>5279</v>
      </c>
      <c r="H383" s="316" t="s">
        <v>21</v>
      </c>
      <c r="I383" s="363" t="s">
        <v>19</v>
      </c>
      <c r="J383" s="316" t="s">
        <v>22</v>
      </c>
      <c r="K383" s="312" t="s">
        <v>5279</v>
      </c>
      <c r="L383" s="392" t="s">
        <v>5271</v>
      </c>
      <c r="M383" s="196"/>
      <c r="N383" s="196"/>
      <c r="O383" s="155"/>
      <c r="P383" s="284"/>
      <c r="Q383" s="284"/>
      <c r="R383" s="284"/>
      <c r="S383" s="284"/>
      <c r="T383" s="284"/>
      <c r="U383" s="284"/>
      <c r="V383" s="284"/>
      <c r="W383" s="284"/>
      <c r="X383" s="284"/>
      <c r="Y383" s="284"/>
      <c r="Z383" s="284"/>
    </row>
    <row r="384" ht="22.5" customHeight="1">
      <c r="A384" s="379" t="s">
        <v>5947</v>
      </c>
      <c r="B384" s="398">
        <v>3.018224872E9</v>
      </c>
      <c r="C384" s="323" t="s">
        <v>17</v>
      </c>
      <c r="D384" s="358" t="s">
        <v>5274</v>
      </c>
      <c r="E384" s="383" t="s">
        <v>19</v>
      </c>
      <c r="F384" s="344" t="s">
        <v>5275</v>
      </c>
      <c r="G384" s="383" t="s">
        <v>19</v>
      </c>
      <c r="H384" s="321" t="s">
        <v>21</v>
      </c>
      <c r="I384" s="383" t="s">
        <v>19</v>
      </c>
      <c r="J384" s="321" t="s">
        <v>22</v>
      </c>
      <c r="K384" s="401" t="s">
        <v>5279</v>
      </c>
      <c r="L384" s="385" t="s">
        <v>5271</v>
      </c>
      <c r="M384" s="197"/>
      <c r="N384" s="197"/>
      <c r="O384" s="147"/>
      <c r="P384" s="284"/>
      <c r="Q384" s="284"/>
      <c r="R384" s="284"/>
      <c r="S384" s="284"/>
      <c r="T384" s="284"/>
      <c r="U384" s="284"/>
      <c r="V384" s="284"/>
      <c r="W384" s="284"/>
      <c r="X384" s="284"/>
      <c r="Y384" s="284"/>
      <c r="Z384" s="284"/>
    </row>
    <row r="385" ht="22.5" customHeight="1">
      <c r="A385" s="299" t="s">
        <v>5948</v>
      </c>
      <c r="B385" s="377">
        <v>3.312110985E9</v>
      </c>
      <c r="C385" s="314" t="s">
        <v>49</v>
      </c>
      <c r="D385" s="293" t="s">
        <v>5274</v>
      </c>
      <c r="E385" s="227" t="s">
        <v>640</v>
      </c>
      <c r="F385" s="341" t="s">
        <v>5275</v>
      </c>
      <c r="G385" s="311" t="s">
        <v>31</v>
      </c>
      <c r="H385" s="316" t="s">
        <v>21</v>
      </c>
      <c r="I385" s="311" t="s">
        <v>31</v>
      </c>
      <c r="J385" s="316" t="s">
        <v>22</v>
      </c>
      <c r="K385" s="312" t="s">
        <v>5279</v>
      </c>
      <c r="L385" s="180" t="s">
        <v>5280</v>
      </c>
      <c r="M385" s="196"/>
      <c r="N385" s="196"/>
      <c r="O385" s="155"/>
      <c r="P385" s="284"/>
      <c r="Q385" s="284"/>
      <c r="R385" s="284"/>
      <c r="S385" s="284"/>
      <c r="T385" s="284"/>
      <c r="U385" s="284"/>
      <c r="V385" s="284"/>
      <c r="W385" s="284"/>
      <c r="X385" s="284"/>
      <c r="Y385" s="284"/>
      <c r="Z385" s="284"/>
    </row>
    <row r="386" ht="22.5" customHeight="1">
      <c r="A386" s="379" t="s">
        <v>5949</v>
      </c>
      <c r="B386" s="398">
        <v>3.19921148E9</v>
      </c>
      <c r="C386" s="317" t="s">
        <v>49</v>
      </c>
      <c r="D386" s="358" t="s">
        <v>5274</v>
      </c>
      <c r="E386" s="383" t="s">
        <v>19</v>
      </c>
      <c r="F386" s="344" t="s">
        <v>5275</v>
      </c>
      <c r="G386" s="383" t="s">
        <v>19</v>
      </c>
      <c r="H386" s="321" t="s">
        <v>21</v>
      </c>
      <c r="I386" s="383" t="s">
        <v>19</v>
      </c>
      <c r="J386" s="321" t="s">
        <v>22</v>
      </c>
      <c r="K386" s="401" t="s">
        <v>5279</v>
      </c>
      <c r="L386" s="385" t="s">
        <v>5271</v>
      </c>
      <c r="M386" s="197"/>
      <c r="N386" s="197"/>
      <c r="O386" s="147"/>
      <c r="P386" s="284"/>
      <c r="Q386" s="284"/>
      <c r="R386" s="284"/>
      <c r="S386" s="284"/>
      <c r="T386" s="284"/>
      <c r="U386" s="284"/>
      <c r="V386" s="284"/>
      <c r="W386" s="284"/>
      <c r="X386" s="284"/>
      <c r="Y386" s="284"/>
      <c r="Z386" s="284"/>
    </row>
    <row r="387" ht="22.5" customHeight="1">
      <c r="A387" s="299" t="s">
        <v>5950</v>
      </c>
      <c r="B387" s="377">
        <v>3.006038082E9</v>
      </c>
      <c r="C387" s="331" t="s">
        <v>30</v>
      </c>
      <c r="D387" s="293" t="s">
        <v>5274</v>
      </c>
      <c r="E387" s="311" t="s">
        <v>31</v>
      </c>
      <c r="F387" s="341" t="s">
        <v>5275</v>
      </c>
      <c r="G387" s="363" t="s">
        <v>19</v>
      </c>
      <c r="H387" s="316" t="s">
        <v>21</v>
      </c>
      <c r="I387" s="227" t="s">
        <v>5279</v>
      </c>
      <c r="J387" s="294" t="s">
        <v>22</v>
      </c>
      <c r="K387" s="312" t="s">
        <v>5279</v>
      </c>
      <c r="L387" s="181"/>
      <c r="M387" s="196"/>
      <c r="N387" s="196"/>
      <c r="O387" s="155"/>
      <c r="P387" s="284"/>
      <c r="Q387" s="284"/>
      <c r="R387" s="284"/>
      <c r="S387" s="284"/>
      <c r="T387" s="284"/>
      <c r="U387" s="284"/>
      <c r="V387" s="284"/>
      <c r="W387" s="284"/>
      <c r="X387" s="284"/>
      <c r="Y387" s="284"/>
      <c r="Z387" s="284"/>
    </row>
    <row r="388" ht="22.5" customHeight="1">
      <c r="A388" s="379" t="s">
        <v>5951</v>
      </c>
      <c r="B388" s="398">
        <v>3.125181488E9</v>
      </c>
      <c r="C388" s="317" t="s">
        <v>49</v>
      </c>
      <c r="D388" s="358" t="s">
        <v>5274</v>
      </c>
      <c r="E388" s="382" t="s">
        <v>31</v>
      </c>
      <c r="F388" s="344" t="s">
        <v>5275</v>
      </c>
      <c r="G388" s="383" t="s">
        <v>19</v>
      </c>
      <c r="H388" s="321" t="s">
        <v>21</v>
      </c>
      <c r="I388" s="384" t="s">
        <v>5279</v>
      </c>
      <c r="J388" s="321" t="s">
        <v>22</v>
      </c>
      <c r="K388" s="401" t="s">
        <v>5279</v>
      </c>
      <c r="L388" s="389" t="s">
        <v>5280</v>
      </c>
      <c r="M388" s="197"/>
      <c r="N388" s="197"/>
      <c r="O388" s="147"/>
      <c r="P388" s="284"/>
      <c r="Q388" s="284"/>
      <c r="R388" s="284"/>
      <c r="S388" s="284"/>
      <c r="T388" s="284"/>
      <c r="U388" s="284"/>
      <c r="V388" s="284"/>
      <c r="W388" s="284"/>
      <c r="X388" s="284"/>
      <c r="Y388" s="284"/>
      <c r="Z388" s="284"/>
    </row>
    <row r="389" ht="22.5" customHeight="1">
      <c r="A389" s="299" t="s">
        <v>5952</v>
      </c>
      <c r="B389" s="377">
        <v>3.352311762E9</v>
      </c>
      <c r="C389" s="314" t="s">
        <v>49</v>
      </c>
      <c r="D389" s="293" t="s">
        <v>5274</v>
      </c>
      <c r="E389" s="227" t="s">
        <v>640</v>
      </c>
      <c r="F389" s="341" t="s">
        <v>5275</v>
      </c>
      <c r="G389" s="311" t="s">
        <v>31</v>
      </c>
      <c r="H389" s="316" t="s">
        <v>21</v>
      </c>
      <c r="I389" s="227" t="s">
        <v>5279</v>
      </c>
      <c r="J389" s="316" t="s">
        <v>22</v>
      </c>
      <c r="K389" s="312" t="s">
        <v>5279</v>
      </c>
      <c r="L389" s="180" t="s">
        <v>5280</v>
      </c>
      <c r="M389" s="196"/>
      <c r="N389" s="196"/>
      <c r="O389" s="155"/>
      <c r="P389" s="284"/>
      <c r="Q389" s="284"/>
      <c r="R389" s="284"/>
      <c r="S389" s="284"/>
      <c r="T389" s="284"/>
      <c r="U389" s="284"/>
      <c r="V389" s="284"/>
      <c r="W389" s="284"/>
      <c r="X389" s="284"/>
      <c r="Y389" s="284"/>
      <c r="Z389" s="284"/>
    </row>
    <row r="390" ht="22.5" customHeight="1">
      <c r="A390" s="379" t="s">
        <v>5953</v>
      </c>
      <c r="B390" s="398">
        <v>3.063360213E9</v>
      </c>
      <c r="C390" s="317" t="s">
        <v>49</v>
      </c>
      <c r="D390" s="358" t="s">
        <v>5274</v>
      </c>
      <c r="E390" s="384" t="s">
        <v>640</v>
      </c>
      <c r="F390" s="344" t="s">
        <v>5275</v>
      </c>
      <c r="G390" s="382" t="s">
        <v>31</v>
      </c>
      <c r="H390" s="321" t="s">
        <v>21</v>
      </c>
      <c r="I390" s="382" t="s">
        <v>31</v>
      </c>
      <c r="J390" s="321" t="s">
        <v>22</v>
      </c>
      <c r="K390" s="401" t="s">
        <v>5279</v>
      </c>
      <c r="L390" s="389" t="s">
        <v>5280</v>
      </c>
      <c r="M390" s="197"/>
      <c r="N390" s="197"/>
      <c r="O390" s="147"/>
      <c r="P390" s="284"/>
      <c r="Q390" s="284"/>
      <c r="R390" s="284"/>
      <c r="S390" s="284"/>
      <c r="T390" s="284"/>
      <c r="U390" s="284"/>
      <c r="V390" s="284"/>
      <c r="W390" s="284"/>
      <c r="X390" s="284"/>
      <c r="Y390" s="284"/>
      <c r="Z390" s="284"/>
    </row>
    <row r="391" ht="22.5" customHeight="1">
      <c r="A391" s="299" t="s">
        <v>5954</v>
      </c>
      <c r="B391" s="377">
        <v>3.088568484E9</v>
      </c>
      <c r="C391" s="314" t="s">
        <v>49</v>
      </c>
      <c r="D391" s="293" t="s">
        <v>5274</v>
      </c>
      <c r="E391" s="227" t="s">
        <v>640</v>
      </c>
      <c r="F391" s="341" t="s">
        <v>5275</v>
      </c>
      <c r="G391" s="363" t="s">
        <v>19</v>
      </c>
      <c r="H391" s="316" t="s">
        <v>21</v>
      </c>
      <c r="I391" s="311" t="s">
        <v>31</v>
      </c>
      <c r="J391" s="316" t="s">
        <v>22</v>
      </c>
      <c r="K391" s="312" t="s">
        <v>5279</v>
      </c>
      <c r="L391" s="180" t="s">
        <v>5280</v>
      </c>
      <c r="M391" s="196"/>
      <c r="N391" s="196"/>
      <c r="O391" s="155"/>
      <c r="P391" s="284"/>
      <c r="Q391" s="284"/>
      <c r="R391" s="284"/>
      <c r="S391" s="284"/>
      <c r="T391" s="284"/>
      <c r="U391" s="284"/>
      <c r="V391" s="284"/>
      <c r="W391" s="284"/>
      <c r="X391" s="284"/>
      <c r="Y391" s="284"/>
      <c r="Z391" s="284"/>
    </row>
    <row r="392" ht="22.5" customHeight="1">
      <c r="A392" s="379" t="s">
        <v>5955</v>
      </c>
      <c r="B392" s="398">
        <v>3.024880354E9</v>
      </c>
      <c r="C392" s="317" t="s">
        <v>49</v>
      </c>
      <c r="D392" s="358" t="s">
        <v>5274</v>
      </c>
      <c r="E392" s="383" t="s">
        <v>19</v>
      </c>
      <c r="F392" s="344" t="s">
        <v>5275</v>
      </c>
      <c r="G392" s="382" t="s">
        <v>31</v>
      </c>
      <c r="H392" s="321" t="s">
        <v>21</v>
      </c>
      <c r="I392" s="383" t="s">
        <v>19</v>
      </c>
      <c r="J392" s="321" t="s">
        <v>22</v>
      </c>
      <c r="K392" s="393" t="s">
        <v>31</v>
      </c>
      <c r="L392" s="389" t="s">
        <v>5280</v>
      </c>
      <c r="M392" s="197"/>
      <c r="N392" s="197"/>
      <c r="O392" s="147"/>
      <c r="P392" s="284"/>
      <c r="Q392" s="284"/>
      <c r="R392" s="284"/>
      <c r="S392" s="284"/>
      <c r="T392" s="284"/>
      <c r="U392" s="284"/>
      <c r="V392" s="284"/>
      <c r="W392" s="284"/>
      <c r="X392" s="284"/>
      <c r="Y392" s="284"/>
      <c r="Z392" s="284"/>
    </row>
    <row r="393" ht="22.5" customHeight="1">
      <c r="A393" s="299" t="s">
        <v>5956</v>
      </c>
      <c r="B393" s="377">
        <v>3.125643985E9</v>
      </c>
      <c r="C393" s="314" t="s">
        <v>49</v>
      </c>
      <c r="D393" s="293" t="s">
        <v>5274</v>
      </c>
      <c r="E393" s="227" t="s">
        <v>640</v>
      </c>
      <c r="F393" s="341" t="s">
        <v>5275</v>
      </c>
      <c r="G393" s="227" t="s">
        <v>5279</v>
      </c>
      <c r="H393" s="316" t="s">
        <v>21</v>
      </c>
      <c r="I393" s="227" t="s">
        <v>5279</v>
      </c>
      <c r="J393" s="316" t="s">
        <v>22</v>
      </c>
      <c r="K393" s="312" t="s">
        <v>5279</v>
      </c>
      <c r="L393" s="392" t="s">
        <v>5271</v>
      </c>
      <c r="M393" s="196"/>
      <c r="N393" s="196"/>
      <c r="O393" s="155"/>
      <c r="P393" s="284"/>
      <c r="Q393" s="284"/>
      <c r="R393" s="284"/>
      <c r="S393" s="284"/>
      <c r="T393" s="284"/>
      <c r="U393" s="284"/>
      <c r="V393" s="284"/>
      <c r="W393" s="284"/>
      <c r="X393" s="284"/>
      <c r="Y393" s="284"/>
      <c r="Z393" s="284"/>
    </row>
    <row r="394" ht="22.5" customHeight="1">
      <c r="A394" s="379" t="s">
        <v>5957</v>
      </c>
      <c r="B394" s="398">
        <v>3.352311762E9</v>
      </c>
      <c r="C394" s="317" t="s">
        <v>49</v>
      </c>
      <c r="D394" s="358" t="s">
        <v>5274</v>
      </c>
      <c r="E394" s="384" t="s">
        <v>640</v>
      </c>
      <c r="F394" s="344" t="s">
        <v>5275</v>
      </c>
      <c r="G394" s="383" t="s">
        <v>19</v>
      </c>
      <c r="H394" s="321" t="s">
        <v>21</v>
      </c>
      <c r="I394" s="383" t="s">
        <v>19</v>
      </c>
      <c r="J394" s="321" t="s">
        <v>22</v>
      </c>
      <c r="K394" s="401" t="s">
        <v>5279</v>
      </c>
      <c r="L394" s="385" t="s">
        <v>5271</v>
      </c>
      <c r="M394" s="197"/>
      <c r="N394" s="197"/>
      <c r="O394" s="147"/>
      <c r="P394" s="284"/>
      <c r="Q394" s="284"/>
      <c r="R394" s="284"/>
      <c r="S394" s="284"/>
      <c r="T394" s="284"/>
      <c r="U394" s="284"/>
      <c r="V394" s="284"/>
      <c r="W394" s="284"/>
      <c r="X394" s="284"/>
      <c r="Y394" s="284"/>
      <c r="Z394" s="284"/>
    </row>
    <row r="395" ht="22.5" customHeight="1">
      <c r="A395" s="299" t="s">
        <v>5958</v>
      </c>
      <c r="B395" s="410">
        <v>3.299421635E9</v>
      </c>
      <c r="C395" s="322" t="s">
        <v>17</v>
      </c>
      <c r="D395" s="293" t="s">
        <v>5274</v>
      </c>
      <c r="E395" s="363" t="s">
        <v>19</v>
      </c>
      <c r="F395" s="341" t="s">
        <v>5275</v>
      </c>
      <c r="G395" s="363" t="s">
        <v>19</v>
      </c>
      <c r="H395" s="316" t="s">
        <v>21</v>
      </c>
      <c r="I395" s="363" t="s">
        <v>19</v>
      </c>
      <c r="J395" s="316" t="s">
        <v>22</v>
      </c>
      <c r="K395" s="312" t="s">
        <v>5279</v>
      </c>
      <c r="L395" s="392" t="s">
        <v>5271</v>
      </c>
      <c r="M395" s="196"/>
      <c r="N395" s="196"/>
      <c r="O395" s="155"/>
      <c r="P395" s="284"/>
      <c r="Q395" s="284"/>
      <c r="R395" s="284"/>
      <c r="S395" s="284"/>
      <c r="T395" s="284"/>
      <c r="U395" s="284"/>
      <c r="V395" s="284"/>
      <c r="W395" s="284"/>
      <c r="X395" s="284"/>
      <c r="Y395" s="284"/>
      <c r="Z395" s="284"/>
    </row>
    <row r="396" ht="22.5" customHeight="1">
      <c r="A396" s="379" t="s">
        <v>5959</v>
      </c>
      <c r="B396" s="411">
        <v>3.160784019E9</v>
      </c>
      <c r="C396" s="317" t="s">
        <v>49</v>
      </c>
      <c r="D396" s="358" t="s">
        <v>5274</v>
      </c>
      <c r="E396" s="382" t="s">
        <v>31</v>
      </c>
      <c r="F396" s="344" t="s">
        <v>5275</v>
      </c>
      <c r="G396" s="382" t="s">
        <v>31</v>
      </c>
      <c r="H396" s="321" t="s">
        <v>21</v>
      </c>
      <c r="I396" s="384" t="s">
        <v>5279</v>
      </c>
      <c r="J396" s="321" t="s">
        <v>22</v>
      </c>
      <c r="K396" s="393" t="s">
        <v>31</v>
      </c>
      <c r="L396" s="389" t="s">
        <v>5280</v>
      </c>
      <c r="M396" s="197"/>
      <c r="N396" s="197"/>
      <c r="O396" s="147"/>
      <c r="P396" s="284"/>
      <c r="Q396" s="284"/>
      <c r="R396" s="284"/>
      <c r="S396" s="284"/>
      <c r="T396" s="284"/>
      <c r="U396" s="284"/>
      <c r="V396" s="284"/>
      <c r="W396" s="284"/>
      <c r="X396" s="284"/>
      <c r="Y396" s="284"/>
      <c r="Z396" s="284"/>
    </row>
    <row r="397" ht="22.5" customHeight="1">
      <c r="A397" s="299" t="s">
        <v>5960</v>
      </c>
      <c r="B397" s="410">
        <v>3.003924389E9</v>
      </c>
      <c r="C397" s="322" t="s">
        <v>17</v>
      </c>
      <c r="D397" s="293" t="s">
        <v>5274</v>
      </c>
      <c r="E397" s="363" t="s">
        <v>19</v>
      </c>
      <c r="F397" s="341" t="s">
        <v>5275</v>
      </c>
      <c r="G397" s="363" t="s">
        <v>19</v>
      </c>
      <c r="H397" s="316" t="s">
        <v>21</v>
      </c>
      <c r="I397" s="363" t="s">
        <v>19</v>
      </c>
      <c r="J397" s="316" t="s">
        <v>22</v>
      </c>
      <c r="K397" s="312" t="s">
        <v>5279</v>
      </c>
      <c r="L397" s="392" t="s">
        <v>5271</v>
      </c>
      <c r="M397" s="196"/>
      <c r="N397" s="196"/>
      <c r="O397" s="155"/>
      <c r="P397" s="284"/>
      <c r="Q397" s="284"/>
      <c r="R397" s="284"/>
      <c r="S397" s="284"/>
      <c r="T397" s="284"/>
      <c r="U397" s="284"/>
      <c r="V397" s="284"/>
      <c r="W397" s="284"/>
      <c r="X397" s="284"/>
      <c r="Y397" s="284"/>
      <c r="Z397" s="284"/>
    </row>
    <row r="398" ht="22.5" customHeight="1">
      <c r="A398" s="379" t="s">
        <v>5961</v>
      </c>
      <c r="B398" s="411">
        <v>3.344766805E9</v>
      </c>
      <c r="C398" s="317" t="s">
        <v>49</v>
      </c>
      <c r="D398" s="358" t="s">
        <v>5274</v>
      </c>
      <c r="E398" s="384" t="s">
        <v>640</v>
      </c>
      <c r="F398" s="344" t="s">
        <v>5275</v>
      </c>
      <c r="G398" s="382" t="s">
        <v>31</v>
      </c>
      <c r="H398" s="321" t="s">
        <v>21</v>
      </c>
      <c r="I398" s="384" t="s">
        <v>5279</v>
      </c>
      <c r="J398" s="321" t="s">
        <v>22</v>
      </c>
      <c r="K398" s="401" t="s">
        <v>5279</v>
      </c>
      <c r="L398" s="389" t="s">
        <v>5280</v>
      </c>
      <c r="M398" s="197"/>
      <c r="N398" s="197"/>
      <c r="O398" s="147"/>
      <c r="P398" s="284"/>
      <c r="Q398" s="284"/>
      <c r="R398" s="284"/>
      <c r="S398" s="284"/>
      <c r="T398" s="284"/>
      <c r="U398" s="284"/>
      <c r="V398" s="284"/>
      <c r="W398" s="284"/>
      <c r="X398" s="284"/>
      <c r="Y398" s="284"/>
      <c r="Z398" s="284"/>
    </row>
    <row r="399" ht="22.5" customHeight="1">
      <c r="A399" s="299" t="s">
        <v>5962</v>
      </c>
      <c r="B399" s="410">
        <v>3.318224242E9</v>
      </c>
      <c r="C399" s="322" t="s">
        <v>17</v>
      </c>
      <c r="D399" s="293" t="s">
        <v>5274</v>
      </c>
      <c r="E399" s="363" t="s">
        <v>19</v>
      </c>
      <c r="F399" s="341" t="s">
        <v>5275</v>
      </c>
      <c r="G399" s="363" t="s">
        <v>19</v>
      </c>
      <c r="H399" s="316" t="s">
        <v>21</v>
      </c>
      <c r="I399" s="363" t="s">
        <v>19</v>
      </c>
      <c r="J399" s="316" t="s">
        <v>22</v>
      </c>
      <c r="K399" s="312" t="s">
        <v>5279</v>
      </c>
      <c r="L399" s="392" t="s">
        <v>5271</v>
      </c>
      <c r="M399" s="196"/>
      <c r="N399" s="196"/>
      <c r="O399" s="155"/>
      <c r="P399" s="284"/>
      <c r="Q399" s="284"/>
      <c r="R399" s="284"/>
      <c r="S399" s="284"/>
      <c r="T399" s="284"/>
      <c r="U399" s="284"/>
      <c r="V399" s="284"/>
      <c r="W399" s="284"/>
      <c r="X399" s="284"/>
      <c r="Y399" s="284"/>
      <c r="Z399" s="284"/>
    </row>
    <row r="400" ht="22.5" customHeight="1">
      <c r="A400" s="379" t="s">
        <v>5963</v>
      </c>
      <c r="B400" s="411">
        <v>3.018224872E9</v>
      </c>
      <c r="C400" s="319" t="s">
        <v>40</v>
      </c>
      <c r="D400" s="358" t="s">
        <v>5274</v>
      </c>
      <c r="E400" s="382" t="s">
        <v>31</v>
      </c>
      <c r="F400" s="344" t="s">
        <v>5275</v>
      </c>
      <c r="G400" s="382" t="s">
        <v>31</v>
      </c>
      <c r="H400" s="321" t="s">
        <v>21</v>
      </c>
      <c r="I400" s="382" t="s">
        <v>31</v>
      </c>
      <c r="J400" s="321" t="s">
        <v>22</v>
      </c>
      <c r="K400" s="401" t="s">
        <v>5279</v>
      </c>
      <c r="L400" s="389" t="s">
        <v>5280</v>
      </c>
      <c r="M400" s="197"/>
      <c r="N400" s="197"/>
      <c r="O400" s="147"/>
      <c r="P400" s="284"/>
      <c r="Q400" s="284"/>
      <c r="R400" s="284"/>
      <c r="S400" s="284"/>
      <c r="T400" s="284"/>
      <c r="U400" s="284"/>
      <c r="V400" s="284"/>
      <c r="W400" s="284"/>
      <c r="X400" s="284"/>
      <c r="Y400" s="284"/>
      <c r="Z400" s="284"/>
    </row>
    <row r="401" ht="22.5" customHeight="1">
      <c r="A401" s="299" t="s">
        <v>5964</v>
      </c>
      <c r="B401" s="377">
        <v>3.004210032E9</v>
      </c>
      <c r="C401" s="314" t="s">
        <v>49</v>
      </c>
      <c r="D401" s="293" t="s">
        <v>5274</v>
      </c>
      <c r="E401" s="311" t="s">
        <v>31</v>
      </c>
      <c r="F401" s="341" t="s">
        <v>5275</v>
      </c>
      <c r="G401" s="363" t="s">
        <v>19</v>
      </c>
      <c r="H401" s="316" t="s">
        <v>21</v>
      </c>
      <c r="I401" s="227" t="s">
        <v>5279</v>
      </c>
      <c r="J401" s="294" t="s">
        <v>22</v>
      </c>
      <c r="K401" s="312" t="s">
        <v>5279</v>
      </c>
      <c r="L401" s="181"/>
      <c r="M401" s="196"/>
      <c r="N401" s="196"/>
      <c r="O401" s="155"/>
      <c r="P401" s="284"/>
      <c r="Q401" s="284"/>
      <c r="R401" s="284"/>
      <c r="S401" s="284"/>
      <c r="T401" s="284"/>
      <c r="U401" s="284"/>
      <c r="V401" s="284"/>
      <c r="W401" s="284"/>
      <c r="X401" s="284"/>
      <c r="Y401" s="284"/>
      <c r="Z401" s="284"/>
    </row>
    <row r="402" ht="22.5" customHeight="1">
      <c r="A402" s="379" t="s">
        <v>5965</v>
      </c>
      <c r="B402" s="412">
        <v>3.052497259E9</v>
      </c>
      <c r="C402" s="317" t="s">
        <v>49</v>
      </c>
      <c r="D402" s="358" t="s">
        <v>5274</v>
      </c>
      <c r="E402" s="382" t="s">
        <v>31</v>
      </c>
      <c r="F402" s="344" t="s">
        <v>5275</v>
      </c>
      <c r="G402" s="383" t="s">
        <v>19</v>
      </c>
      <c r="H402" s="321" t="s">
        <v>21</v>
      </c>
      <c r="I402" s="383" t="s">
        <v>19</v>
      </c>
      <c r="J402" s="321" t="s">
        <v>22</v>
      </c>
      <c r="K402" s="401" t="s">
        <v>5279</v>
      </c>
      <c r="L402" s="385" t="s">
        <v>5271</v>
      </c>
      <c r="M402" s="197"/>
      <c r="N402" s="197"/>
      <c r="O402" s="147"/>
      <c r="P402" s="284"/>
      <c r="Q402" s="284"/>
      <c r="R402" s="284"/>
      <c r="S402" s="284"/>
      <c r="T402" s="284"/>
      <c r="U402" s="284"/>
      <c r="V402" s="284"/>
      <c r="W402" s="284"/>
      <c r="X402" s="284"/>
      <c r="Y402" s="284"/>
      <c r="Z402" s="284"/>
    </row>
    <row r="403" ht="22.5" customHeight="1">
      <c r="A403" s="299" t="s">
        <v>5966</v>
      </c>
      <c r="B403" s="410">
        <v>3.422343446E9</v>
      </c>
      <c r="C403" s="318" t="s">
        <v>40</v>
      </c>
      <c r="D403" s="293" t="s">
        <v>5274</v>
      </c>
      <c r="E403" s="311" t="s">
        <v>31</v>
      </c>
      <c r="F403" s="341" t="s">
        <v>5275</v>
      </c>
      <c r="G403" s="311" t="s">
        <v>31</v>
      </c>
      <c r="H403" s="316" t="s">
        <v>21</v>
      </c>
      <c r="I403" s="363" t="s">
        <v>19</v>
      </c>
      <c r="J403" s="316" t="s">
        <v>22</v>
      </c>
      <c r="K403" s="396" t="s">
        <v>19</v>
      </c>
      <c r="L403" s="180" t="s">
        <v>5280</v>
      </c>
      <c r="M403" s="196"/>
      <c r="N403" s="196"/>
      <c r="O403" s="155"/>
      <c r="P403" s="284"/>
      <c r="Q403" s="284"/>
      <c r="R403" s="284"/>
      <c r="S403" s="284"/>
      <c r="T403" s="284"/>
      <c r="U403" s="284"/>
      <c r="V403" s="284"/>
      <c r="W403" s="284"/>
      <c r="X403" s="284"/>
      <c r="Y403" s="284"/>
      <c r="Z403" s="284"/>
    </row>
    <row r="404" ht="22.5" customHeight="1">
      <c r="A404" s="379" t="s">
        <v>5967</v>
      </c>
      <c r="B404" s="411">
        <v>3.27359524E9</v>
      </c>
      <c r="C404" s="317" t="s">
        <v>49</v>
      </c>
      <c r="D404" s="358" t="s">
        <v>5274</v>
      </c>
      <c r="E404" s="383" t="s">
        <v>19</v>
      </c>
      <c r="F404" s="344" t="s">
        <v>5275</v>
      </c>
      <c r="G404" s="382" t="s">
        <v>31</v>
      </c>
      <c r="H404" s="321" t="s">
        <v>21</v>
      </c>
      <c r="I404" s="384" t="s">
        <v>5279</v>
      </c>
      <c r="J404" s="321" t="s">
        <v>22</v>
      </c>
      <c r="K404" s="401" t="s">
        <v>5279</v>
      </c>
      <c r="L404" s="389" t="s">
        <v>5280</v>
      </c>
      <c r="M404" s="197"/>
      <c r="N404" s="197"/>
      <c r="O404" s="147"/>
      <c r="P404" s="284"/>
      <c r="Q404" s="284"/>
      <c r="R404" s="284"/>
      <c r="S404" s="284"/>
      <c r="T404" s="284"/>
      <c r="U404" s="284"/>
      <c r="V404" s="284"/>
      <c r="W404" s="284"/>
      <c r="X404" s="284"/>
      <c r="Y404" s="284"/>
      <c r="Z404" s="284"/>
    </row>
    <row r="405" ht="22.5" customHeight="1">
      <c r="A405" s="299" t="s">
        <v>5968</v>
      </c>
      <c r="B405" s="377">
        <v>3.363470715E9</v>
      </c>
      <c r="C405" s="318" t="s">
        <v>40</v>
      </c>
      <c r="D405" s="293" t="s">
        <v>5274</v>
      </c>
      <c r="E405" s="227" t="s">
        <v>640</v>
      </c>
      <c r="F405" s="341" t="s">
        <v>5275</v>
      </c>
      <c r="G405" s="311" t="s">
        <v>31</v>
      </c>
      <c r="H405" s="316" t="s">
        <v>21</v>
      </c>
      <c r="I405" s="227" t="s">
        <v>5279</v>
      </c>
      <c r="J405" s="294" t="s">
        <v>22</v>
      </c>
      <c r="K405" s="312" t="s">
        <v>5279</v>
      </c>
      <c r="L405" s="180" t="s">
        <v>5280</v>
      </c>
      <c r="M405" s="196"/>
      <c r="N405" s="196"/>
      <c r="O405" s="155"/>
      <c r="P405" s="284"/>
      <c r="Q405" s="284"/>
      <c r="R405" s="284"/>
      <c r="S405" s="284"/>
      <c r="T405" s="284"/>
      <c r="U405" s="284"/>
      <c r="V405" s="284"/>
      <c r="W405" s="284"/>
      <c r="X405" s="284"/>
      <c r="Y405" s="284"/>
      <c r="Z405" s="284"/>
    </row>
    <row r="406" ht="22.5" customHeight="1">
      <c r="A406" s="379" t="s">
        <v>5969</v>
      </c>
      <c r="B406" s="411">
        <v>3.205993281E9</v>
      </c>
      <c r="C406" s="319" t="s">
        <v>40</v>
      </c>
      <c r="D406" s="358" t="s">
        <v>5274</v>
      </c>
      <c r="E406" s="382" t="s">
        <v>31</v>
      </c>
      <c r="F406" s="344" t="s">
        <v>5275</v>
      </c>
      <c r="G406" s="383" t="s">
        <v>19</v>
      </c>
      <c r="H406" s="321" t="s">
        <v>21</v>
      </c>
      <c r="I406" s="383" t="s">
        <v>19</v>
      </c>
      <c r="J406" s="321" t="s">
        <v>22</v>
      </c>
      <c r="K406" s="393" t="s">
        <v>31</v>
      </c>
      <c r="L406" s="389" t="s">
        <v>5280</v>
      </c>
      <c r="M406" s="197"/>
      <c r="N406" s="197"/>
      <c r="O406" s="147"/>
      <c r="P406" s="284"/>
      <c r="Q406" s="284"/>
      <c r="R406" s="284"/>
      <c r="S406" s="284"/>
      <c r="T406" s="284"/>
      <c r="U406" s="284"/>
      <c r="V406" s="284"/>
      <c r="W406" s="284"/>
      <c r="X406" s="284"/>
      <c r="Y406" s="284"/>
      <c r="Z406" s="284"/>
    </row>
    <row r="407" ht="22.5" customHeight="1">
      <c r="A407" s="299" t="s">
        <v>5970</v>
      </c>
      <c r="B407" s="410">
        <v>3.414595191E9</v>
      </c>
      <c r="C407" s="318" t="s">
        <v>40</v>
      </c>
      <c r="D407" s="293" t="s">
        <v>5274</v>
      </c>
      <c r="E407" s="311" t="s">
        <v>31</v>
      </c>
      <c r="F407" s="341" t="s">
        <v>5275</v>
      </c>
      <c r="G407" s="363" t="s">
        <v>19</v>
      </c>
      <c r="H407" s="316" t="s">
        <v>21</v>
      </c>
      <c r="I407" s="311" t="s">
        <v>31</v>
      </c>
      <c r="J407" s="316" t="s">
        <v>22</v>
      </c>
      <c r="K407" s="312" t="s">
        <v>5279</v>
      </c>
      <c r="L407" s="180" t="s">
        <v>5280</v>
      </c>
      <c r="M407" s="196"/>
      <c r="N407" s="196"/>
      <c r="O407" s="155"/>
      <c r="P407" s="284"/>
      <c r="Q407" s="284"/>
      <c r="R407" s="284"/>
      <c r="S407" s="284"/>
      <c r="T407" s="284"/>
      <c r="U407" s="284"/>
      <c r="V407" s="284"/>
      <c r="W407" s="284"/>
      <c r="X407" s="284"/>
      <c r="Y407" s="284"/>
      <c r="Z407" s="284"/>
    </row>
    <row r="408" ht="22.5" customHeight="1">
      <c r="A408" s="379" t="s">
        <v>5971</v>
      </c>
      <c r="B408" s="411">
        <v>3.337965066E9</v>
      </c>
      <c r="C408" s="317" t="s">
        <v>49</v>
      </c>
      <c r="D408" s="358" t="s">
        <v>5274</v>
      </c>
      <c r="E408" s="383" t="s">
        <v>19</v>
      </c>
      <c r="F408" s="344" t="s">
        <v>5275</v>
      </c>
      <c r="G408" s="383" t="s">
        <v>19</v>
      </c>
      <c r="H408" s="321" t="s">
        <v>21</v>
      </c>
      <c r="I408" s="384" t="s">
        <v>5279</v>
      </c>
      <c r="J408" s="321" t="s">
        <v>22</v>
      </c>
      <c r="K408" s="401" t="s">
        <v>5279</v>
      </c>
      <c r="L408" s="385" t="s">
        <v>5271</v>
      </c>
      <c r="M408" s="197"/>
      <c r="N408" s="197"/>
      <c r="O408" s="147"/>
      <c r="P408" s="284"/>
      <c r="Q408" s="284"/>
      <c r="R408" s="284"/>
      <c r="S408" s="284"/>
      <c r="T408" s="284"/>
      <c r="U408" s="284"/>
      <c r="V408" s="284"/>
      <c r="W408" s="284"/>
      <c r="X408" s="284"/>
      <c r="Y408" s="284"/>
      <c r="Z408" s="284"/>
    </row>
    <row r="409" ht="22.5" customHeight="1">
      <c r="A409" s="299" t="s">
        <v>5972</v>
      </c>
      <c r="B409" s="410">
        <v>3.005458181E9</v>
      </c>
      <c r="C409" s="413" t="s">
        <v>2192</v>
      </c>
      <c r="D409" s="293" t="s">
        <v>5274</v>
      </c>
      <c r="E409" s="363" t="s">
        <v>19</v>
      </c>
      <c r="F409" s="341" t="s">
        <v>5275</v>
      </c>
      <c r="G409" s="199" t="s">
        <v>26</v>
      </c>
      <c r="H409" s="316" t="s">
        <v>21</v>
      </c>
      <c r="I409" s="227" t="s">
        <v>5279</v>
      </c>
      <c r="J409" s="316" t="s">
        <v>22</v>
      </c>
      <c r="K409" s="312" t="s">
        <v>5279</v>
      </c>
      <c r="L409" s="392" t="s">
        <v>5271</v>
      </c>
      <c r="M409" s="196"/>
      <c r="N409" s="196"/>
      <c r="O409" s="155"/>
      <c r="P409" s="284"/>
      <c r="Q409" s="284"/>
      <c r="R409" s="284"/>
      <c r="S409" s="284"/>
      <c r="T409" s="284"/>
      <c r="U409" s="284"/>
      <c r="V409" s="284"/>
      <c r="W409" s="284"/>
      <c r="X409" s="284"/>
      <c r="Y409" s="284"/>
      <c r="Z409" s="284"/>
    </row>
    <row r="410" ht="22.5" customHeight="1">
      <c r="A410" s="379" t="s">
        <v>5973</v>
      </c>
      <c r="B410" s="398">
        <v>3.23377055E9</v>
      </c>
      <c r="C410" s="317" t="s">
        <v>49</v>
      </c>
      <c r="D410" s="358" t="s">
        <v>5274</v>
      </c>
      <c r="E410" s="384" t="s">
        <v>640</v>
      </c>
      <c r="F410" s="344" t="s">
        <v>5275</v>
      </c>
      <c r="G410" s="384" t="s">
        <v>5279</v>
      </c>
      <c r="H410" s="321" t="s">
        <v>21</v>
      </c>
      <c r="I410" s="382" t="s">
        <v>31</v>
      </c>
      <c r="J410" s="321" t="s">
        <v>22</v>
      </c>
      <c r="K410" s="401" t="s">
        <v>5279</v>
      </c>
      <c r="L410" s="389" t="s">
        <v>5280</v>
      </c>
      <c r="M410" s="197"/>
      <c r="N410" s="197"/>
      <c r="O410" s="147"/>
      <c r="P410" s="284"/>
      <c r="Q410" s="284"/>
      <c r="R410" s="284"/>
      <c r="S410" s="284"/>
      <c r="T410" s="284"/>
      <c r="U410" s="284"/>
      <c r="V410" s="284"/>
      <c r="W410" s="284"/>
      <c r="X410" s="284"/>
      <c r="Y410" s="284"/>
      <c r="Z410" s="284"/>
    </row>
    <row r="411" ht="22.5" customHeight="1">
      <c r="A411" s="299" t="s">
        <v>5974</v>
      </c>
      <c r="B411" s="377">
        <v>3.10762253E9</v>
      </c>
      <c r="C411" s="314" t="s">
        <v>49</v>
      </c>
      <c r="D411" s="293" t="s">
        <v>5274</v>
      </c>
      <c r="E411" s="227" t="s">
        <v>640</v>
      </c>
      <c r="F411" s="341" t="s">
        <v>5275</v>
      </c>
      <c r="G411" s="311" t="s">
        <v>31</v>
      </c>
      <c r="H411" s="316" t="s">
        <v>21</v>
      </c>
      <c r="I411" s="414"/>
      <c r="J411" s="415"/>
      <c r="K411" s="416"/>
      <c r="L411" s="181"/>
      <c r="M411" s="196"/>
      <c r="N411" s="196"/>
      <c r="O411" s="155"/>
      <c r="P411" s="284"/>
      <c r="Q411" s="284"/>
      <c r="R411" s="284"/>
      <c r="S411" s="284"/>
      <c r="T411" s="284"/>
      <c r="U411" s="284"/>
      <c r="V411" s="284"/>
      <c r="W411" s="284"/>
      <c r="X411" s="284"/>
      <c r="Y411" s="284"/>
      <c r="Z411" s="284"/>
    </row>
    <row r="412" ht="22.5" customHeight="1">
      <c r="A412" s="379" t="s">
        <v>5975</v>
      </c>
      <c r="B412" s="398">
        <v>3.121390782E9</v>
      </c>
      <c r="C412" s="409" t="s">
        <v>2076</v>
      </c>
      <c r="D412" s="358" t="s">
        <v>5274</v>
      </c>
      <c r="E412" s="384" t="s">
        <v>640</v>
      </c>
      <c r="F412" s="344" t="s">
        <v>5275</v>
      </c>
      <c r="G412" s="384" t="s">
        <v>5279</v>
      </c>
      <c r="H412" s="321" t="s">
        <v>21</v>
      </c>
      <c r="I412" s="382" t="s">
        <v>31</v>
      </c>
      <c r="J412" s="321" t="s">
        <v>22</v>
      </c>
      <c r="K412" s="401" t="s">
        <v>5279</v>
      </c>
      <c r="L412" s="389" t="s">
        <v>5280</v>
      </c>
      <c r="M412" s="197"/>
      <c r="N412" s="197"/>
      <c r="O412" s="147"/>
      <c r="P412" s="284"/>
      <c r="Q412" s="284"/>
      <c r="R412" s="284"/>
      <c r="S412" s="284"/>
      <c r="T412" s="284"/>
      <c r="U412" s="284"/>
      <c r="V412" s="284"/>
      <c r="W412" s="284"/>
      <c r="X412" s="284"/>
      <c r="Y412" s="284"/>
      <c r="Z412" s="284"/>
    </row>
    <row r="413" ht="22.5" customHeight="1">
      <c r="A413" s="299" t="s">
        <v>5976</v>
      </c>
      <c r="B413" s="377">
        <v>3.214517639E9</v>
      </c>
      <c r="C413" s="314" t="s">
        <v>49</v>
      </c>
      <c r="D413" s="293" t="s">
        <v>5274</v>
      </c>
      <c r="E413" s="227" t="s">
        <v>640</v>
      </c>
      <c r="F413" s="341" t="s">
        <v>5275</v>
      </c>
      <c r="G413" s="311" t="s">
        <v>31</v>
      </c>
      <c r="H413" s="316" t="s">
        <v>21</v>
      </c>
      <c r="I413" s="311" t="s">
        <v>31</v>
      </c>
      <c r="J413" s="316" t="s">
        <v>22</v>
      </c>
      <c r="K413" s="312" t="s">
        <v>5279</v>
      </c>
      <c r="L413" s="180" t="s">
        <v>5280</v>
      </c>
      <c r="M413" s="196"/>
      <c r="N413" s="196"/>
      <c r="O413" s="155"/>
      <c r="P413" s="284"/>
      <c r="Q413" s="284"/>
      <c r="R413" s="284"/>
      <c r="S413" s="284"/>
      <c r="T413" s="284"/>
      <c r="U413" s="284"/>
      <c r="V413" s="284"/>
      <c r="W413" s="284"/>
      <c r="X413" s="284"/>
      <c r="Y413" s="284"/>
      <c r="Z413" s="284"/>
    </row>
    <row r="414" ht="22.5" customHeight="1">
      <c r="A414" s="379" t="s">
        <v>5977</v>
      </c>
      <c r="B414" s="398">
        <v>3.094564094E9</v>
      </c>
      <c r="C414" s="319" t="s">
        <v>40</v>
      </c>
      <c r="D414" s="358" t="s">
        <v>5274</v>
      </c>
      <c r="E414" s="382" t="s">
        <v>31</v>
      </c>
      <c r="F414" s="344" t="s">
        <v>5275</v>
      </c>
      <c r="G414" s="383" t="s">
        <v>19</v>
      </c>
      <c r="H414" s="321" t="s">
        <v>21</v>
      </c>
      <c r="I414" s="382" t="s">
        <v>31</v>
      </c>
      <c r="J414" s="321" t="s">
        <v>22</v>
      </c>
      <c r="K414" s="401" t="s">
        <v>5279</v>
      </c>
      <c r="L414" s="389" t="s">
        <v>5280</v>
      </c>
      <c r="M414" s="197"/>
      <c r="N414" s="197"/>
      <c r="O414" s="147"/>
      <c r="P414" s="284"/>
      <c r="Q414" s="284"/>
      <c r="R414" s="284"/>
      <c r="S414" s="284"/>
      <c r="T414" s="284"/>
      <c r="U414" s="284"/>
      <c r="V414" s="284"/>
      <c r="W414" s="284"/>
      <c r="X414" s="284"/>
      <c r="Y414" s="284"/>
      <c r="Z414" s="284"/>
    </row>
    <row r="415" ht="22.5" customHeight="1">
      <c r="A415" s="299" t="s">
        <v>5978</v>
      </c>
      <c r="B415" s="377">
        <v>3.0423575E9</v>
      </c>
      <c r="C415" s="314" t="s">
        <v>49</v>
      </c>
      <c r="D415" s="293" t="s">
        <v>5274</v>
      </c>
      <c r="E415" s="363" t="s">
        <v>19</v>
      </c>
      <c r="F415" s="341" t="s">
        <v>5275</v>
      </c>
      <c r="G415" s="363" t="s">
        <v>19</v>
      </c>
      <c r="H415" s="316" t="s">
        <v>21</v>
      </c>
      <c r="I415" s="311" t="s">
        <v>31</v>
      </c>
      <c r="J415" s="316" t="s">
        <v>22</v>
      </c>
      <c r="K415" s="403" t="s">
        <v>31</v>
      </c>
      <c r="L415" s="180" t="s">
        <v>5280</v>
      </c>
      <c r="M415" s="196"/>
      <c r="N415" s="196"/>
      <c r="O415" s="155"/>
      <c r="P415" s="284"/>
      <c r="Q415" s="284"/>
      <c r="R415" s="284"/>
      <c r="S415" s="284"/>
      <c r="T415" s="284"/>
      <c r="U415" s="284"/>
      <c r="V415" s="284"/>
      <c r="W415" s="284"/>
      <c r="X415" s="284"/>
      <c r="Y415" s="284"/>
      <c r="Z415" s="284"/>
    </row>
    <row r="416" ht="22.5" customHeight="1">
      <c r="A416" s="379" t="s">
        <v>5979</v>
      </c>
      <c r="B416" s="398">
        <v>3.348516306E9</v>
      </c>
      <c r="C416" s="317" t="s">
        <v>49</v>
      </c>
      <c r="D416" s="358" t="s">
        <v>5274</v>
      </c>
      <c r="E416" s="382" t="s">
        <v>31</v>
      </c>
      <c r="F416" s="344" t="s">
        <v>5275</v>
      </c>
      <c r="G416" s="383" t="s">
        <v>19</v>
      </c>
      <c r="H416" s="321" t="s">
        <v>21</v>
      </c>
      <c r="I416" s="383" t="s">
        <v>19</v>
      </c>
      <c r="J416" s="321" t="s">
        <v>22</v>
      </c>
      <c r="K416" s="401" t="s">
        <v>5279</v>
      </c>
      <c r="L416" s="389" t="s">
        <v>5280</v>
      </c>
      <c r="M416" s="197"/>
      <c r="N416" s="197"/>
      <c r="O416" s="147"/>
      <c r="P416" s="284"/>
      <c r="Q416" s="284"/>
      <c r="R416" s="284"/>
      <c r="S416" s="284"/>
      <c r="T416" s="284"/>
      <c r="U416" s="284"/>
      <c r="V416" s="284"/>
      <c r="W416" s="284"/>
      <c r="X416" s="284"/>
      <c r="Y416" s="284"/>
      <c r="Z416" s="284"/>
    </row>
    <row r="417" ht="22.5" customHeight="1">
      <c r="A417" s="299" t="s">
        <v>5980</v>
      </c>
      <c r="B417" s="313" t="s">
        <v>5981</v>
      </c>
      <c r="C417" s="335" t="s">
        <v>5416</v>
      </c>
      <c r="D417" s="293" t="s">
        <v>5274</v>
      </c>
      <c r="E417" s="227" t="s">
        <v>640</v>
      </c>
      <c r="F417" s="341" t="s">
        <v>5275</v>
      </c>
      <c r="G417" s="227" t="s">
        <v>5279</v>
      </c>
      <c r="H417" s="316" t="s">
        <v>21</v>
      </c>
      <c r="I417" s="227" t="s">
        <v>5279</v>
      </c>
      <c r="J417" s="316" t="s">
        <v>22</v>
      </c>
      <c r="K417" s="312" t="s">
        <v>5279</v>
      </c>
      <c r="L417" s="392" t="s">
        <v>5271</v>
      </c>
      <c r="M417" s="196"/>
      <c r="N417" s="196"/>
      <c r="O417" s="155"/>
      <c r="P417" s="284"/>
      <c r="Q417" s="284"/>
      <c r="R417" s="284"/>
      <c r="S417" s="284"/>
      <c r="T417" s="284"/>
      <c r="U417" s="284"/>
      <c r="V417" s="284"/>
      <c r="W417" s="284"/>
      <c r="X417" s="284"/>
      <c r="Y417" s="284"/>
      <c r="Z417" s="284"/>
    </row>
    <row r="418" ht="22.5" customHeight="1">
      <c r="A418" s="379" t="s">
        <v>5982</v>
      </c>
      <c r="B418" s="398">
        <v>3.128810294E9</v>
      </c>
      <c r="C418" s="323" t="s">
        <v>17</v>
      </c>
      <c r="D418" s="358" t="s">
        <v>5274</v>
      </c>
      <c r="E418" s="383" t="s">
        <v>19</v>
      </c>
      <c r="F418" s="344" t="s">
        <v>5275</v>
      </c>
      <c r="G418" s="383" t="s">
        <v>19</v>
      </c>
      <c r="H418" s="321" t="s">
        <v>21</v>
      </c>
      <c r="I418" s="383" t="s">
        <v>19</v>
      </c>
      <c r="J418" s="321" t="s">
        <v>22</v>
      </c>
      <c r="K418" s="401" t="s">
        <v>5279</v>
      </c>
      <c r="L418" s="385" t="s">
        <v>5271</v>
      </c>
      <c r="M418" s="197"/>
      <c r="N418" s="197"/>
      <c r="O418" s="147"/>
      <c r="P418" s="284"/>
      <c r="Q418" s="284"/>
      <c r="R418" s="284"/>
      <c r="S418" s="284"/>
      <c r="T418" s="284"/>
      <c r="U418" s="284"/>
      <c r="V418" s="284"/>
      <c r="W418" s="284"/>
      <c r="X418" s="284"/>
      <c r="Y418" s="284"/>
      <c r="Z418" s="284"/>
    </row>
    <row r="419" ht="22.5" customHeight="1">
      <c r="A419" s="299" t="s">
        <v>5983</v>
      </c>
      <c r="B419" s="377">
        <v>3.135428857E9</v>
      </c>
      <c r="C419" s="314" t="s">
        <v>49</v>
      </c>
      <c r="D419" s="293" t="s">
        <v>5274</v>
      </c>
      <c r="E419" s="227" t="s">
        <v>640</v>
      </c>
      <c r="F419" s="341" t="s">
        <v>5275</v>
      </c>
      <c r="G419" s="363" t="s">
        <v>19</v>
      </c>
      <c r="H419" s="316" t="s">
        <v>21</v>
      </c>
      <c r="I419" s="227" t="s">
        <v>5279</v>
      </c>
      <c r="J419" s="316" t="s">
        <v>22</v>
      </c>
      <c r="K419" s="312" t="s">
        <v>5279</v>
      </c>
      <c r="L419" s="392" t="s">
        <v>5271</v>
      </c>
      <c r="M419" s="196"/>
      <c r="N419" s="196"/>
      <c r="O419" s="155"/>
      <c r="P419" s="284"/>
      <c r="Q419" s="284"/>
      <c r="R419" s="284"/>
      <c r="S419" s="284"/>
      <c r="T419" s="284"/>
      <c r="U419" s="284"/>
      <c r="V419" s="284"/>
      <c r="W419" s="284"/>
      <c r="X419" s="284"/>
      <c r="Y419" s="284"/>
      <c r="Z419" s="284"/>
    </row>
    <row r="420" ht="22.5" customHeight="1">
      <c r="A420" s="379" t="s">
        <v>5984</v>
      </c>
      <c r="B420" s="398">
        <v>3.244032252E9</v>
      </c>
      <c r="C420" s="319" t="s">
        <v>40</v>
      </c>
      <c r="D420" s="358" t="s">
        <v>5274</v>
      </c>
      <c r="E420" s="384" t="s">
        <v>640</v>
      </c>
      <c r="F420" s="344" t="s">
        <v>5275</v>
      </c>
      <c r="G420" s="382" t="s">
        <v>31</v>
      </c>
      <c r="H420" s="321" t="s">
        <v>21</v>
      </c>
      <c r="I420" s="384" t="s">
        <v>5279</v>
      </c>
      <c r="J420" s="321" t="s">
        <v>22</v>
      </c>
      <c r="K420" s="401" t="s">
        <v>5279</v>
      </c>
      <c r="L420" s="389" t="s">
        <v>5280</v>
      </c>
      <c r="M420" s="197"/>
      <c r="N420" s="197"/>
      <c r="O420" s="147"/>
      <c r="P420" s="284"/>
      <c r="Q420" s="284"/>
      <c r="R420" s="284"/>
      <c r="S420" s="284"/>
      <c r="T420" s="284"/>
      <c r="U420" s="284"/>
      <c r="V420" s="284"/>
      <c r="W420" s="284"/>
      <c r="X420" s="284"/>
      <c r="Y420" s="284"/>
      <c r="Z420" s="284"/>
    </row>
    <row r="421" ht="22.5" customHeight="1">
      <c r="A421" s="299" t="s">
        <v>5985</v>
      </c>
      <c r="B421" s="377">
        <v>3.166459048E9</v>
      </c>
      <c r="C421" s="318" t="s">
        <v>40</v>
      </c>
      <c r="D421" s="293" t="s">
        <v>5274</v>
      </c>
      <c r="E421" s="227" t="s">
        <v>640</v>
      </c>
      <c r="F421" s="341" t="s">
        <v>5275</v>
      </c>
      <c r="G421" s="311" t="s">
        <v>31</v>
      </c>
      <c r="H421" s="316" t="s">
        <v>21</v>
      </c>
      <c r="I421" s="227" t="s">
        <v>5279</v>
      </c>
      <c r="J421" s="294" t="s">
        <v>22</v>
      </c>
      <c r="K421" s="312" t="s">
        <v>5279</v>
      </c>
      <c r="L421" s="180" t="s">
        <v>5280</v>
      </c>
      <c r="M421" s="196"/>
      <c r="N421" s="196"/>
      <c r="O421" s="155"/>
      <c r="P421" s="284"/>
      <c r="Q421" s="284"/>
      <c r="R421" s="284"/>
      <c r="S421" s="284"/>
      <c r="T421" s="284"/>
      <c r="U421" s="284"/>
      <c r="V421" s="284"/>
      <c r="W421" s="284"/>
      <c r="X421" s="284"/>
      <c r="Y421" s="284"/>
      <c r="Z421" s="284"/>
    </row>
    <row r="422" ht="22.5" customHeight="1">
      <c r="A422" s="379" t="s">
        <v>5986</v>
      </c>
      <c r="B422" s="398">
        <v>3.421552549E9</v>
      </c>
      <c r="C422" s="317" t="s">
        <v>49</v>
      </c>
      <c r="D422" s="358" t="s">
        <v>5274</v>
      </c>
      <c r="E422" s="384" t="s">
        <v>640</v>
      </c>
      <c r="F422" s="344" t="s">
        <v>5275</v>
      </c>
      <c r="G422" s="382" t="s">
        <v>31</v>
      </c>
      <c r="H422" s="321" t="s">
        <v>21</v>
      </c>
      <c r="I422" s="417"/>
      <c r="J422" s="418"/>
      <c r="K422" s="419"/>
      <c r="L422" s="402"/>
      <c r="M422" s="197"/>
      <c r="N422" s="197"/>
      <c r="O422" s="147"/>
      <c r="P422" s="284"/>
      <c r="Q422" s="284"/>
      <c r="R422" s="284"/>
      <c r="S422" s="284"/>
      <c r="T422" s="284"/>
      <c r="U422" s="284"/>
      <c r="V422" s="284"/>
      <c r="W422" s="284"/>
      <c r="X422" s="284"/>
      <c r="Y422" s="284"/>
      <c r="Z422" s="284"/>
    </row>
    <row r="423" ht="22.5" customHeight="1">
      <c r="A423" s="299" t="s">
        <v>5987</v>
      </c>
      <c r="B423" s="377">
        <v>3.343523991E9</v>
      </c>
      <c r="C423" s="314" t="s">
        <v>49</v>
      </c>
      <c r="D423" s="293" t="s">
        <v>5274</v>
      </c>
      <c r="E423" s="311" t="s">
        <v>31</v>
      </c>
      <c r="F423" s="341" t="s">
        <v>5275</v>
      </c>
      <c r="G423" s="227" t="s">
        <v>5279</v>
      </c>
      <c r="H423" s="316" t="s">
        <v>21</v>
      </c>
      <c r="I423" s="311" t="s">
        <v>31</v>
      </c>
      <c r="J423" s="316" t="s">
        <v>22</v>
      </c>
      <c r="K423" s="312" t="s">
        <v>5279</v>
      </c>
      <c r="L423" s="180" t="s">
        <v>5280</v>
      </c>
      <c r="M423" s="196"/>
      <c r="N423" s="196"/>
      <c r="O423" s="155"/>
      <c r="P423" s="284"/>
      <c r="Q423" s="284"/>
      <c r="R423" s="284"/>
      <c r="S423" s="284"/>
      <c r="T423" s="284"/>
      <c r="U423" s="284"/>
      <c r="V423" s="284"/>
      <c r="W423" s="284"/>
      <c r="X423" s="284"/>
      <c r="Y423" s="284"/>
      <c r="Z423" s="284"/>
    </row>
    <row r="424" ht="22.5" customHeight="1">
      <c r="A424" s="379" t="s">
        <v>5988</v>
      </c>
      <c r="B424" s="398">
        <v>3.214504271E9</v>
      </c>
      <c r="C424" s="317" t="s">
        <v>49</v>
      </c>
      <c r="D424" s="358" t="s">
        <v>5274</v>
      </c>
      <c r="E424" s="384" t="s">
        <v>640</v>
      </c>
      <c r="F424" s="344" t="s">
        <v>5275</v>
      </c>
      <c r="G424" s="384" t="s">
        <v>5279</v>
      </c>
      <c r="H424" s="321" t="s">
        <v>21</v>
      </c>
      <c r="I424" s="382" t="s">
        <v>31</v>
      </c>
      <c r="J424" s="321" t="s">
        <v>22</v>
      </c>
      <c r="K424" s="401" t="s">
        <v>5279</v>
      </c>
      <c r="L424" s="389" t="s">
        <v>5280</v>
      </c>
      <c r="M424" s="197"/>
      <c r="N424" s="197"/>
      <c r="O424" s="147"/>
      <c r="P424" s="284"/>
      <c r="Q424" s="284"/>
      <c r="R424" s="284"/>
      <c r="S424" s="284"/>
      <c r="T424" s="284"/>
      <c r="U424" s="284"/>
      <c r="V424" s="284"/>
      <c r="W424" s="284"/>
      <c r="X424" s="284"/>
      <c r="Y424" s="284"/>
      <c r="Z424" s="284"/>
    </row>
    <row r="425" ht="22.5" customHeight="1">
      <c r="A425" s="299" t="s">
        <v>5989</v>
      </c>
      <c r="B425" s="377">
        <v>3.212013233E9</v>
      </c>
      <c r="C425" s="318" t="s">
        <v>40</v>
      </c>
      <c r="D425" s="293" t="s">
        <v>5274</v>
      </c>
      <c r="E425" s="311" t="s">
        <v>31</v>
      </c>
      <c r="F425" s="341" t="s">
        <v>5275</v>
      </c>
      <c r="G425" s="363" t="s">
        <v>19</v>
      </c>
      <c r="H425" s="316" t="s">
        <v>21</v>
      </c>
      <c r="I425" s="311" t="s">
        <v>31</v>
      </c>
      <c r="J425" s="316" t="s">
        <v>22</v>
      </c>
      <c r="K425" s="312" t="s">
        <v>5279</v>
      </c>
      <c r="L425" s="180" t="s">
        <v>5280</v>
      </c>
      <c r="M425" s="196"/>
      <c r="N425" s="196"/>
      <c r="O425" s="155"/>
      <c r="P425" s="284"/>
      <c r="Q425" s="284"/>
      <c r="R425" s="284"/>
      <c r="S425" s="284"/>
      <c r="T425" s="284"/>
      <c r="U425" s="284"/>
      <c r="V425" s="284"/>
      <c r="W425" s="284"/>
      <c r="X425" s="284"/>
      <c r="Y425" s="284"/>
      <c r="Z425" s="284"/>
    </row>
    <row r="426" ht="22.5" customHeight="1">
      <c r="A426" s="379" t="s">
        <v>5990</v>
      </c>
      <c r="B426" s="420" t="s">
        <v>5991</v>
      </c>
      <c r="C426" s="355" t="s">
        <v>5416</v>
      </c>
      <c r="D426" s="358" t="s">
        <v>5274</v>
      </c>
      <c r="E426" s="384" t="s">
        <v>640</v>
      </c>
      <c r="F426" s="344" t="s">
        <v>5275</v>
      </c>
      <c r="G426" s="384" t="s">
        <v>5279</v>
      </c>
      <c r="H426" s="321" t="s">
        <v>21</v>
      </c>
      <c r="I426" s="384" t="s">
        <v>5279</v>
      </c>
      <c r="J426" s="321" t="s">
        <v>22</v>
      </c>
      <c r="K426" s="401" t="s">
        <v>5279</v>
      </c>
      <c r="L426" s="385" t="s">
        <v>5271</v>
      </c>
      <c r="M426" s="197"/>
      <c r="N426" s="197"/>
      <c r="O426" s="147"/>
      <c r="P426" s="284"/>
      <c r="Q426" s="284"/>
      <c r="R426" s="284"/>
      <c r="S426" s="284"/>
      <c r="T426" s="284"/>
      <c r="U426" s="284"/>
      <c r="V426" s="284"/>
      <c r="W426" s="284"/>
      <c r="X426" s="284"/>
      <c r="Y426" s="284"/>
      <c r="Z426" s="284"/>
    </row>
    <row r="427" ht="22.5" customHeight="1">
      <c r="A427" s="299" t="s">
        <v>5992</v>
      </c>
      <c r="B427" s="377">
        <v>3.494954475E9</v>
      </c>
      <c r="C427" s="314" t="s">
        <v>49</v>
      </c>
      <c r="D427" s="293" t="s">
        <v>5274</v>
      </c>
      <c r="E427" s="363" t="s">
        <v>19</v>
      </c>
      <c r="F427" s="341" t="s">
        <v>5275</v>
      </c>
      <c r="G427" s="363" t="s">
        <v>19</v>
      </c>
      <c r="H427" s="316" t="s">
        <v>21</v>
      </c>
      <c r="I427" s="363" t="s">
        <v>19</v>
      </c>
      <c r="J427" s="316" t="s">
        <v>22</v>
      </c>
      <c r="K427" s="312" t="s">
        <v>5279</v>
      </c>
      <c r="L427" s="392" t="s">
        <v>5271</v>
      </c>
      <c r="M427" s="196"/>
      <c r="N427" s="196"/>
      <c r="O427" s="155"/>
      <c r="P427" s="284"/>
      <c r="Q427" s="284"/>
      <c r="R427" s="284"/>
      <c r="S427" s="284"/>
      <c r="T427" s="284"/>
      <c r="U427" s="284"/>
      <c r="V427" s="284"/>
      <c r="W427" s="284"/>
      <c r="X427" s="284"/>
      <c r="Y427" s="284"/>
      <c r="Z427" s="284"/>
    </row>
    <row r="428" ht="22.5" customHeight="1">
      <c r="A428" s="379" t="s">
        <v>5993</v>
      </c>
      <c r="B428" s="398">
        <v>3.15457163E9</v>
      </c>
      <c r="C428" s="319" t="s">
        <v>40</v>
      </c>
      <c r="D428" s="358" t="s">
        <v>5274</v>
      </c>
      <c r="E428" s="383" t="s">
        <v>19</v>
      </c>
      <c r="F428" s="344" t="s">
        <v>5275</v>
      </c>
      <c r="G428" s="382" t="s">
        <v>31</v>
      </c>
      <c r="H428" s="321" t="s">
        <v>21</v>
      </c>
      <c r="I428" s="383" t="s">
        <v>19</v>
      </c>
      <c r="J428" s="321" t="s">
        <v>22</v>
      </c>
      <c r="K428" s="395" t="s">
        <v>19</v>
      </c>
      <c r="L428" s="385" t="s">
        <v>5271</v>
      </c>
      <c r="M428" s="197"/>
      <c r="N428" s="197"/>
      <c r="O428" s="147"/>
      <c r="P428" s="284"/>
      <c r="Q428" s="284"/>
      <c r="R428" s="284"/>
      <c r="S428" s="284"/>
      <c r="T428" s="284"/>
      <c r="U428" s="284"/>
      <c r="V428" s="284"/>
      <c r="W428" s="284"/>
      <c r="X428" s="284"/>
      <c r="Y428" s="284"/>
      <c r="Z428" s="284"/>
    </row>
    <row r="429" ht="22.5" customHeight="1">
      <c r="A429" s="299" t="s">
        <v>5994</v>
      </c>
      <c r="B429" s="377">
        <v>3.043856646E9</v>
      </c>
      <c r="C429" s="322" t="s">
        <v>17</v>
      </c>
      <c r="D429" s="293" t="s">
        <v>5274</v>
      </c>
      <c r="E429" s="363" t="s">
        <v>19</v>
      </c>
      <c r="F429" s="341" t="s">
        <v>5275</v>
      </c>
      <c r="G429" s="363" t="s">
        <v>19</v>
      </c>
      <c r="H429" s="316" t="s">
        <v>21</v>
      </c>
      <c r="I429" s="363" t="s">
        <v>19</v>
      </c>
      <c r="J429" s="316" t="s">
        <v>22</v>
      </c>
      <c r="K429" s="312" t="s">
        <v>5279</v>
      </c>
      <c r="L429" s="392" t="s">
        <v>5271</v>
      </c>
      <c r="M429" s="196"/>
      <c r="N429" s="196"/>
      <c r="O429" s="155"/>
      <c r="P429" s="284"/>
      <c r="Q429" s="284"/>
      <c r="R429" s="284"/>
      <c r="S429" s="284"/>
      <c r="T429" s="284"/>
      <c r="U429" s="284"/>
      <c r="V429" s="284"/>
      <c r="W429" s="284"/>
      <c r="X429" s="284"/>
      <c r="Y429" s="284"/>
      <c r="Z429" s="284"/>
    </row>
    <row r="430" ht="22.5" customHeight="1">
      <c r="A430" s="379" t="s">
        <v>5995</v>
      </c>
      <c r="B430" s="398">
        <v>3.284049706E9</v>
      </c>
      <c r="C430" s="319" t="s">
        <v>40</v>
      </c>
      <c r="D430" s="358" t="s">
        <v>5274</v>
      </c>
      <c r="E430" s="382" t="s">
        <v>31</v>
      </c>
      <c r="F430" s="344" t="s">
        <v>5275</v>
      </c>
      <c r="G430" s="384" t="s">
        <v>5279</v>
      </c>
      <c r="H430" s="321" t="s">
        <v>21</v>
      </c>
      <c r="I430" s="382" t="s">
        <v>31</v>
      </c>
      <c r="J430" s="321" t="s">
        <v>22</v>
      </c>
      <c r="K430" s="395" t="s">
        <v>19</v>
      </c>
      <c r="L430" s="389" t="s">
        <v>5280</v>
      </c>
      <c r="M430" s="197"/>
      <c r="N430" s="197"/>
      <c r="O430" s="147"/>
      <c r="P430" s="284"/>
      <c r="Q430" s="284"/>
      <c r="R430" s="284"/>
      <c r="S430" s="284"/>
      <c r="T430" s="284"/>
      <c r="U430" s="284"/>
      <c r="V430" s="284"/>
      <c r="W430" s="284"/>
      <c r="X430" s="284"/>
      <c r="Y430" s="284"/>
      <c r="Z430" s="284"/>
    </row>
    <row r="431" ht="22.5" customHeight="1">
      <c r="A431" s="299" t="s">
        <v>5996</v>
      </c>
      <c r="B431" s="377">
        <v>3.418011E9</v>
      </c>
      <c r="C431" s="314" t="s">
        <v>49</v>
      </c>
      <c r="D431" s="293" t="s">
        <v>5274</v>
      </c>
      <c r="E431" s="227" t="s">
        <v>640</v>
      </c>
      <c r="F431" s="341" t="s">
        <v>5275</v>
      </c>
      <c r="G431" s="227" t="s">
        <v>5279</v>
      </c>
      <c r="H431" s="316" t="s">
        <v>21</v>
      </c>
      <c r="I431" s="311" t="s">
        <v>31</v>
      </c>
      <c r="J431" s="316" t="s">
        <v>22</v>
      </c>
      <c r="K431" s="312" t="s">
        <v>5279</v>
      </c>
      <c r="L431" s="180" t="s">
        <v>5280</v>
      </c>
      <c r="M431" s="196"/>
      <c r="N431" s="196"/>
      <c r="O431" s="155"/>
      <c r="P431" s="284"/>
      <c r="Q431" s="284"/>
      <c r="R431" s="284"/>
      <c r="S431" s="284"/>
      <c r="T431" s="284"/>
      <c r="U431" s="284"/>
      <c r="V431" s="284"/>
      <c r="W431" s="284"/>
      <c r="X431" s="284"/>
      <c r="Y431" s="284"/>
      <c r="Z431" s="284"/>
    </row>
    <row r="432" ht="22.5" customHeight="1">
      <c r="A432" s="379" t="s">
        <v>5997</v>
      </c>
      <c r="B432" s="398">
        <v>3.163343077E9</v>
      </c>
      <c r="C432" s="323" t="s">
        <v>17</v>
      </c>
      <c r="D432" s="358" t="s">
        <v>5274</v>
      </c>
      <c r="E432" s="383" t="s">
        <v>19</v>
      </c>
      <c r="F432" s="344" t="s">
        <v>5275</v>
      </c>
      <c r="G432" s="383" t="s">
        <v>19</v>
      </c>
      <c r="H432" s="321" t="s">
        <v>21</v>
      </c>
      <c r="I432" s="383" t="s">
        <v>19</v>
      </c>
      <c r="J432" s="321" t="s">
        <v>22</v>
      </c>
      <c r="K432" s="395" t="s">
        <v>19</v>
      </c>
      <c r="L432" s="385" t="s">
        <v>5271</v>
      </c>
      <c r="M432" s="197"/>
      <c r="N432" s="197"/>
      <c r="O432" s="147"/>
      <c r="P432" s="284"/>
      <c r="Q432" s="284"/>
      <c r="R432" s="284"/>
      <c r="S432" s="284"/>
      <c r="T432" s="284"/>
      <c r="U432" s="284"/>
      <c r="V432" s="284"/>
      <c r="W432" s="284"/>
      <c r="X432" s="284"/>
      <c r="Y432" s="284"/>
      <c r="Z432" s="284"/>
    </row>
    <row r="433" ht="22.5" customHeight="1">
      <c r="A433" s="299" t="s">
        <v>5998</v>
      </c>
      <c r="B433" s="377">
        <v>3.362406703E9</v>
      </c>
      <c r="C433" s="314" t="s">
        <v>49</v>
      </c>
      <c r="D433" s="293" t="s">
        <v>5274</v>
      </c>
      <c r="E433" s="227" t="s">
        <v>640</v>
      </c>
      <c r="F433" s="341" t="s">
        <v>5275</v>
      </c>
      <c r="G433" s="311" t="s">
        <v>31</v>
      </c>
      <c r="H433" s="316" t="s">
        <v>21</v>
      </c>
      <c r="I433" s="227" t="s">
        <v>5279</v>
      </c>
      <c r="J433" s="316" t="s">
        <v>22</v>
      </c>
      <c r="K433" s="312" t="s">
        <v>5279</v>
      </c>
      <c r="L433" s="180" t="s">
        <v>5280</v>
      </c>
      <c r="M433" s="196"/>
      <c r="N433" s="196"/>
      <c r="O433" s="155"/>
      <c r="P433" s="284"/>
      <c r="Q433" s="284"/>
      <c r="R433" s="284"/>
      <c r="S433" s="284"/>
      <c r="T433" s="284"/>
      <c r="U433" s="284"/>
      <c r="V433" s="284"/>
      <c r="W433" s="284"/>
      <c r="X433" s="284"/>
      <c r="Y433" s="284"/>
      <c r="Z433" s="284"/>
    </row>
    <row r="434" ht="22.5" customHeight="1">
      <c r="A434" s="379" t="s">
        <v>5999</v>
      </c>
      <c r="B434" s="398">
        <v>3.34293177E9</v>
      </c>
      <c r="C434" s="319" t="s">
        <v>40</v>
      </c>
      <c r="D434" s="358" t="s">
        <v>5274</v>
      </c>
      <c r="E434" s="383" t="s">
        <v>19</v>
      </c>
      <c r="F434" s="344" t="s">
        <v>5275</v>
      </c>
      <c r="G434" s="382" t="s">
        <v>31</v>
      </c>
      <c r="H434" s="321" t="s">
        <v>21</v>
      </c>
      <c r="I434" s="383" t="s">
        <v>19</v>
      </c>
      <c r="J434" s="321" t="s">
        <v>22</v>
      </c>
      <c r="K434" s="393" t="s">
        <v>31</v>
      </c>
      <c r="L434" s="389" t="s">
        <v>5280</v>
      </c>
      <c r="M434" s="197"/>
      <c r="N434" s="197"/>
      <c r="O434" s="147"/>
      <c r="P434" s="284"/>
      <c r="Q434" s="284"/>
      <c r="R434" s="284"/>
      <c r="S434" s="284"/>
      <c r="T434" s="284"/>
      <c r="U434" s="284"/>
      <c r="V434" s="284"/>
      <c r="W434" s="284"/>
      <c r="X434" s="284"/>
      <c r="Y434" s="284"/>
      <c r="Z434" s="284"/>
    </row>
    <row r="435" ht="22.5" customHeight="1">
      <c r="A435" s="299" t="s">
        <v>6000</v>
      </c>
      <c r="B435" s="377">
        <v>3.333443155E9</v>
      </c>
      <c r="C435" s="314" t="s">
        <v>49</v>
      </c>
      <c r="D435" s="293" t="s">
        <v>5274</v>
      </c>
      <c r="E435" s="311" t="s">
        <v>31</v>
      </c>
      <c r="F435" s="341" t="s">
        <v>5275</v>
      </c>
      <c r="G435" s="363" t="s">
        <v>19</v>
      </c>
      <c r="H435" s="316" t="s">
        <v>21</v>
      </c>
      <c r="I435" s="363" t="s">
        <v>19</v>
      </c>
      <c r="J435" s="316" t="s">
        <v>22</v>
      </c>
      <c r="K435" s="312" t="s">
        <v>5279</v>
      </c>
      <c r="L435" s="392" t="s">
        <v>5271</v>
      </c>
      <c r="M435" s="196"/>
      <c r="N435" s="196"/>
      <c r="O435" s="155"/>
      <c r="P435" s="284"/>
      <c r="Q435" s="284"/>
      <c r="R435" s="284"/>
      <c r="S435" s="284"/>
      <c r="T435" s="284"/>
      <c r="U435" s="284"/>
      <c r="V435" s="284"/>
      <c r="W435" s="284"/>
      <c r="X435" s="284"/>
      <c r="Y435" s="284"/>
      <c r="Z435" s="284"/>
    </row>
    <row r="436" ht="22.5" customHeight="1">
      <c r="A436" s="379" t="s">
        <v>6001</v>
      </c>
      <c r="B436" s="398">
        <v>3.426441204E9</v>
      </c>
      <c r="C436" s="317" t="s">
        <v>49</v>
      </c>
      <c r="D436" s="358" t="s">
        <v>5274</v>
      </c>
      <c r="E436" s="383" t="s">
        <v>19</v>
      </c>
      <c r="F436" s="344" t="s">
        <v>5275</v>
      </c>
      <c r="G436" s="383" t="s">
        <v>19</v>
      </c>
      <c r="H436" s="321" t="s">
        <v>21</v>
      </c>
      <c r="I436" s="382" t="s">
        <v>31</v>
      </c>
      <c r="J436" s="321" t="s">
        <v>22</v>
      </c>
      <c r="K436" s="401" t="s">
        <v>5279</v>
      </c>
      <c r="L436" s="385" t="s">
        <v>5271</v>
      </c>
      <c r="M436" s="197"/>
      <c r="N436" s="197"/>
      <c r="O436" s="147"/>
      <c r="P436" s="284"/>
      <c r="Q436" s="284"/>
      <c r="R436" s="284"/>
      <c r="S436" s="284"/>
      <c r="T436" s="284"/>
      <c r="U436" s="284"/>
      <c r="V436" s="284"/>
      <c r="W436" s="284"/>
      <c r="X436" s="284"/>
      <c r="Y436" s="284"/>
      <c r="Z436" s="284"/>
    </row>
    <row r="437" ht="22.5" customHeight="1">
      <c r="A437" s="299" t="s">
        <v>6002</v>
      </c>
      <c r="B437" s="377">
        <v>3.215574402E9</v>
      </c>
      <c r="C437" s="318" t="s">
        <v>40</v>
      </c>
      <c r="D437" s="293" t="s">
        <v>5274</v>
      </c>
      <c r="E437" s="227" t="s">
        <v>640</v>
      </c>
      <c r="F437" s="341" t="s">
        <v>5275</v>
      </c>
      <c r="G437" s="311" t="s">
        <v>31</v>
      </c>
      <c r="H437" s="316" t="s">
        <v>21</v>
      </c>
      <c r="I437" s="363" t="s">
        <v>19</v>
      </c>
      <c r="J437" s="316" t="s">
        <v>22</v>
      </c>
      <c r="K437" s="403" t="s">
        <v>31</v>
      </c>
      <c r="L437" s="180" t="s">
        <v>5280</v>
      </c>
      <c r="M437" s="196"/>
      <c r="N437" s="196"/>
      <c r="O437" s="155"/>
      <c r="P437" s="284"/>
      <c r="Q437" s="284"/>
      <c r="R437" s="284"/>
      <c r="S437" s="284"/>
      <c r="T437" s="284"/>
      <c r="U437" s="284"/>
      <c r="V437" s="284"/>
      <c r="W437" s="284"/>
      <c r="X437" s="284"/>
      <c r="Y437" s="284"/>
      <c r="Z437" s="284"/>
    </row>
    <row r="438" ht="22.5" customHeight="1">
      <c r="A438" s="379" t="s">
        <v>6003</v>
      </c>
      <c r="B438" s="398">
        <v>3.227004811E9</v>
      </c>
      <c r="C438" s="317" t="s">
        <v>49</v>
      </c>
      <c r="D438" s="358" t="s">
        <v>5274</v>
      </c>
      <c r="E438" s="383" t="s">
        <v>19</v>
      </c>
      <c r="F438" s="344" t="s">
        <v>5275</v>
      </c>
      <c r="G438" s="383" t="s">
        <v>19</v>
      </c>
      <c r="H438" s="321" t="s">
        <v>21</v>
      </c>
      <c r="I438" s="383" t="s">
        <v>19</v>
      </c>
      <c r="J438" s="321" t="s">
        <v>22</v>
      </c>
      <c r="K438" s="401" t="s">
        <v>5279</v>
      </c>
      <c r="L438" s="385" t="s">
        <v>5271</v>
      </c>
      <c r="M438" s="197"/>
      <c r="N438" s="197"/>
      <c r="O438" s="147"/>
      <c r="P438" s="284"/>
      <c r="Q438" s="284"/>
      <c r="R438" s="284"/>
      <c r="S438" s="284"/>
      <c r="T438" s="284"/>
      <c r="U438" s="284"/>
      <c r="V438" s="284"/>
      <c r="W438" s="284"/>
      <c r="X438" s="284"/>
      <c r="Y438" s="284"/>
      <c r="Z438" s="284"/>
    </row>
    <row r="439" ht="22.5" customHeight="1">
      <c r="A439" s="299" t="s">
        <v>6004</v>
      </c>
      <c r="B439" s="377">
        <v>3.282931337E9</v>
      </c>
      <c r="C439" s="322" t="s">
        <v>17</v>
      </c>
      <c r="D439" s="293" t="s">
        <v>5274</v>
      </c>
      <c r="E439" s="363" t="s">
        <v>19</v>
      </c>
      <c r="F439" s="341" t="s">
        <v>5275</v>
      </c>
      <c r="G439" s="363" t="s">
        <v>19</v>
      </c>
      <c r="H439" s="316" t="s">
        <v>21</v>
      </c>
      <c r="I439" s="363" t="s">
        <v>19</v>
      </c>
      <c r="J439" s="316" t="s">
        <v>22</v>
      </c>
      <c r="K439" s="312" t="s">
        <v>5279</v>
      </c>
      <c r="L439" s="392" t="s">
        <v>5271</v>
      </c>
      <c r="M439" s="196"/>
      <c r="N439" s="196"/>
      <c r="O439" s="155"/>
      <c r="P439" s="284"/>
      <c r="Q439" s="284"/>
      <c r="R439" s="284"/>
      <c r="S439" s="284"/>
      <c r="T439" s="284"/>
      <c r="U439" s="284"/>
      <c r="V439" s="284"/>
      <c r="W439" s="284"/>
      <c r="X439" s="284"/>
      <c r="Y439" s="284"/>
      <c r="Z439" s="284"/>
    </row>
    <row r="440" ht="22.5" customHeight="1">
      <c r="A440" s="379" t="s">
        <v>6005</v>
      </c>
      <c r="B440" s="398">
        <v>3.452679158E9</v>
      </c>
      <c r="C440" s="317" t="s">
        <v>49</v>
      </c>
      <c r="D440" s="358" t="s">
        <v>5274</v>
      </c>
      <c r="E440" s="384" t="s">
        <v>640</v>
      </c>
      <c r="F440" s="344" t="s">
        <v>5275</v>
      </c>
      <c r="G440" s="384" t="s">
        <v>5279</v>
      </c>
      <c r="H440" s="321" t="s">
        <v>21</v>
      </c>
      <c r="I440" s="384" t="s">
        <v>5279</v>
      </c>
      <c r="J440" s="321" t="s">
        <v>22</v>
      </c>
      <c r="K440" s="401" t="s">
        <v>5279</v>
      </c>
      <c r="L440" s="389" t="s">
        <v>5280</v>
      </c>
      <c r="M440" s="197"/>
      <c r="N440" s="197"/>
      <c r="O440" s="147"/>
      <c r="P440" s="284"/>
      <c r="Q440" s="284"/>
      <c r="R440" s="284"/>
      <c r="S440" s="284"/>
      <c r="T440" s="284"/>
      <c r="U440" s="284"/>
      <c r="V440" s="284"/>
      <c r="W440" s="284"/>
      <c r="X440" s="284"/>
      <c r="Y440" s="284"/>
      <c r="Z440" s="284"/>
    </row>
    <row r="441" ht="22.5" customHeight="1">
      <c r="A441" s="299" t="s">
        <v>6006</v>
      </c>
      <c r="B441" s="377">
        <v>3.405635824E9</v>
      </c>
      <c r="C441" s="314" t="s">
        <v>49</v>
      </c>
      <c r="D441" s="293" t="s">
        <v>5274</v>
      </c>
      <c r="E441" s="227" t="s">
        <v>640</v>
      </c>
      <c r="F441" s="341" t="s">
        <v>5275</v>
      </c>
      <c r="G441" s="311" t="s">
        <v>31</v>
      </c>
      <c r="H441" s="316" t="s">
        <v>21</v>
      </c>
      <c r="I441" s="227" t="s">
        <v>5279</v>
      </c>
      <c r="J441" s="316" t="s">
        <v>22</v>
      </c>
      <c r="K441" s="312" t="s">
        <v>5279</v>
      </c>
      <c r="L441" s="180" t="s">
        <v>5280</v>
      </c>
      <c r="M441" s="196"/>
      <c r="N441" s="196"/>
      <c r="O441" s="155"/>
      <c r="P441" s="284"/>
      <c r="Q441" s="284"/>
      <c r="R441" s="284"/>
      <c r="S441" s="284"/>
      <c r="T441" s="284"/>
      <c r="U441" s="284"/>
      <c r="V441" s="284"/>
      <c r="W441" s="284"/>
      <c r="X441" s="284"/>
      <c r="Y441" s="284"/>
      <c r="Z441" s="284"/>
    </row>
    <row r="442" ht="22.5" customHeight="1">
      <c r="A442" s="379" t="s">
        <v>6007</v>
      </c>
      <c r="B442" s="398">
        <v>3.365257179E9</v>
      </c>
      <c r="C442" s="323" t="s">
        <v>17</v>
      </c>
      <c r="D442" s="358" t="s">
        <v>5274</v>
      </c>
      <c r="E442" s="383" t="s">
        <v>19</v>
      </c>
      <c r="F442" s="344" t="s">
        <v>5275</v>
      </c>
      <c r="G442" s="383" t="s">
        <v>19</v>
      </c>
      <c r="H442" s="321" t="s">
        <v>21</v>
      </c>
      <c r="I442" s="383" t="s">
        <v>19</v>
      </c>
      <c r="J442" s="321" t="s">
        <v>22</v>
      </c>
      <c r="K442" s="401" t="s">
        <v>5279</v>
      </c>
      <c r="L442" s="385" t="s">
        <v>5271</v>
      </c>
      <c r="M442" s="197"/>
      <c r="N442" s="197"/>
      <c r="O442" s="147"/>
      <c r="P442" s="284"/>
      <c r="Q442" s="284"/>
      <c r="R442" s="284"/>
      <c r="S442" s="284"/>
      <c r="T442" s="284"/>
      <c r="U442" s="284"/>
      <c r="V442" s="284"/>
      <c r="W442" s="284"/>
      <c r="X442" s="284"/>
      <c r="Y442" s="284"/>
      <c r="Z442" s="284"/>
    </row>
    <row r="443" ht="22.5" customHeight="1">
      <c r="A443" s="299" t="s">
        <v>6008</v>
      </c>
      <c r="B443" s="377">
        <v>3.018284381E9</v>
      </c>
      <c r="C443" s="314" t="s">
        <v>49</v>
      </c>
      <c r="D443" s="293" t="s">
        <v>5274</v>
      </c>
      <c r="E443" s="311" t="s">
        <v>31</v>
      </c>
      <c r="F443" s="341" t="s">
        <v>5275</v>
      </c>
      <c r="G443" s="363" t="s">
        <v>19</v>
      </c>
      <c r="H443" s="316" t="s">
        <v>21</v>
      </c>
      <c r="I443" s="363" t="s">
        <v>19</v>
      </c>
      <c r="J443" s="316" t="s">
        <v>22</v>
      </c>
      <c r="K443" s="312" t="s">
        <v>5279</v>
      </c>
      <c r="L443" s="392" t="s">
        <v>5271</v>
      </c>
      <c r="M443" s="196"/>
      <c r="N443" s="196"/>
      <c r="O443" s="155"/>
      <c r="P443" s="284"/>
      <c r="Q443" s="284"/>
      <c r="R443" s="284"/>
      <c r="S443" s="284"/>
      <c r="T443" s="284"/>
      <c r="U443" s="284"/>
      <c r="V443" s="284"/>
      <c r="W443" s="284"/>
      <c r="X443" s="284"/>
      <c r="Y443" s="284"/>
      <c r="Z443" s="284"/>
    </row>
    <row r="444" ht="22.5" customHeight="1">
      <c r="A444" s="379" t="s">
        <v>6009</v>
      </c>
      <c r="B444" s="398">
        <v>3.429717999E9</v>
      </c>
      <c r="C444" s="319" t="s">
        <v>40</v>
      </c>
      <c r="D444" s="358" t="s">
        <v>5274</v>
      </c>
      <c r="E444" s="383" t="s">
        <v>19</v>
      </c>
      <c r="F444" s="344" t="s">
        <v>5275</v>
      </c>
      <c r="G444" s="382" t="s">
        <v>31</v>
      </c>
      <c r="H444" s="321" t="s">
        <v>21</v>
      </c>
      <c r="I444" s="382" t="s">
        <v>31</v>
      </c>
      <c r="J444" s="321" t="s">
        <v>22</v>
      </c>
      <c r="K444" s="393" t="s">
        <v>31</v>
      </c>
      <c r="L444" s="389" t="s">
        <v>5280</v>
      </c>
      <c r="M444" s="197"/>
      <c r="N444" s="197"/>
      <c r="O444" s="147"/>
      <c r="P444" s="284"/>
      <c r="Q444" s="284"/>
      <c r="R444" s="284"/>
      <c r="S444" s="284"/>
      <c r="T444" s="284"/>
      <c r="U444" s="284"/>
      <c r="V444" s="284"/>
      <c r="W444" s="284"/>
      <c r="X444" s="284"/>
      <c r="Y444" s="284"/>
      <c r="Z444" s="284"/>
    </row>
    <row r="445" ht="22.5" customHeight="1">
      <c r="A445" s="299" t="s">
        <v>6010</v>
      </c>
      <c r="B445" s="377">
        <v>3.30300371E9</v>
      </c>
      <c r="C445" s="318" t="s">
        <v>40</v>
      </c>
      <c r="D445" s="293" t="s">
        <v>5274</v>
      </c>
      <c r="E445" s="363" t="s">
        <v>19</v>
      </c>
      <c r="F445" s="341" t="s">
        <v>5275</v>
      </c>
      <c r="G445" s="311" t="s">
        <v>31</v>
      </c>
      <c r="H445" s="316" t="s">
        <v>21</v>
      </c>
      <c r="I445" s="311" t="s">
        <v>31</v>
      </c>
      <c r="J445" s="316" t="s">
        <v>22</v>
      </c>
      <c r="K445" s="396" t="s">
        <v>19</v>
      </c>
      <c r="L445" s="180" t="s">
        <v>5280</v>
      </c>
      <c r="M445" s="196"/>
      <c r="N445" s="196"/>
      <c r="O445" s="155"/>
      <c r="P445" s="284"/>
      <c r="Q445" s="284"/>
      <c r="R445" s="284"/>
      <c r="S445" s="284"/>
      <c r="T445" s="284"/>
      <c r="U445" s="284"/>
      <c r="V445" s="284"/>
      <c r="W445" s="284"/>
      <c r="X445" s="284"/>
      <c r="Y445" s="284"/>
      <c r="Z445" s="284"/>
    </row>
    <row r="446" ht="22.5" customHeight="1">
      <c r="A446" s="379" t="s">
        <v>6011</v>
      </c>
      <c r="B446" s="398">
        <v>3.155039102E9</v>
      </c>
      <c r="C446" s="360" t="s">
        <v>30</v>
      </c>
      <c r="D446" s="358" t="s">
        <v>5274</v>
      </c>
      <c r="E446" s="383" t="s">
        <v>19</v>
      </c>
      <c r="F446" s="344" t="s">
        <v>5275</v>
      </c>
      <c r="G446" s="383" t="s">
        <v>19</v>
      </c>
      <c r="H446" s="321" t="s">
        <v>21</v>
      </c>
      <c r="I446" s="382" t="s">
        <v>31</v>
      </c>
      <c r="J446" s="321" t="s">
        <v>22</v>
      </c>
      <c r="K446" s="401" t="s">
        <v>5279</v>
      </c>
      <c r="L446" s="385" t="s">
        <v>5271</v>
      </c>
      <c r="M446" s="197"/>
      <c r="N446" s="197"/>
      <c r="O446" s="147"/>
      <c r="P446" s="284"/>
      <c r="Q446" s="284"/>
      <c r="R446" s="284"/>
      <c r="S446" s="284"/>
      <c r="T446" s="284"/>
      <c r="U446" s="284"/>
      <c r="V446" s="284"/>
      <c r="W446" s="284"/>
      <c r="X446" s="284"/>
      <c r="Y446" s="284"/>
      <c r="Z446" s="284"/>
    </row>
    <row r="447" ht="22.5" customHeight="1">
      <c r="A447" s="299" t="s">
        <v>6012</v>
      </c>
      <c r="B447" s="377">
        <v>3.323058047E9</v>
      </c>
      <c r="C447" s="331" t="s">
        <v>30</v>
      </c>
      <c r="D447" s="293" t="s">
        <v>5274</v>
      </c>
      <c r="E447" s="311" t="s">
        <v>31</v>
      </c>
      <c r="F447" s="341" t="s">
        <v>5275</v>
      </c>
      <c r="G447" s="311" t="s">
        <v>31</v>
      </c>
      <c r="H447" s="316" t="s">
        <v>21</v>
      </c>
      <c r="I447" s="311" t="s">
        <v>31</v>
      </c>
      <c r="J447" s="316" t="s">
        <v>22</v>
      </c>
      <c r="K447" s="312" t="s">
        <v>5279</v>
      </c>
      <c r="L447" s="392" t="s">
        <v>5271</v>
      </c>
      <c r="M447" s="196"/>
      <c r="N447" s="196"/>
      <c r="O447" s="155"/>
      <c r="P447" s="284"/>
      <c r="Q447" s="284"/>
      <c r="R447" s="284"/>
      <c r="S447" s="284"/>
      <c r="T447" s="284"/>
      <c r="U447" s="284"/>
      <c r="V447" s="284"/>
      <c r="W447" s="284"/>
      <c r="X447" s="284"/>
      <c r="Y447" s="284"/>
      <c r="Z447" s="284"/>
    </row>
    <row r="448" ht="22.5" customHeight="1">
      <c r="A448" s="379" t="s">
        <v>6013</v>
      </c>
      <c r="B448" s="398">
        <v>3.014644423E9</v>
      </c>
      <c r="C448" s="319" t="s">
        <v>40</v>
      </c>
      <c r="D448" s="358" t="s">
        <v>5274</v>
      </c>
      <c r="E448" s="384" t="s">
        <v>640</v>
      </c>
      <c r="F448" s="344" t="s">
        <v>5275</v>
      </c>
      <c r="G448" s="382" t="s">
        <v>31</v>
      </c>
      <c r="H448" s="321" t="s">
        <v>21</v>
      </c>
      <c r="I448" s="384" t="s">
        <v>5279</v>
      </c>
      <c r="J448" s="321" t="s">
        <v>22</v>
      </c>
      <c r="K448" s="401" t="s">
        <v>5279</v>
      </c>
      <c r="L448" s="389" t="s">
        <v>5280</v>
      </c>
      <c r="M448" s="197"/>
      <c r="N448" s="197"/>
      <c r="O448" s="147"/>
      <c r="P448" s="284"/>
      <c r="Q448" s="284"/>
      <c r="R448" s="284"/>
      <c r="S448" s="284"/>
      <c r="T448" s="284"/>
      <c r="U448" s="284"/>
      <c r="V448" s="284"/>
      <c r="W448" s="284"/>
      <c r="X448" s="284"/>
      <c r="Y448" s="284"/>
      <c r="Z448" s="284"/>
    </row>
    <row r="449" ht="22.5" customHeight="1">
      <c r="A449" s="299" t="s">
        <v>6014</v>
      </c>
      <c r="B449" s="377">
        <v>3.329065185E9</v>
      </c>
      <c r="C449" s="314" t="s">
        <v>49</v>
      </c>
      <c r="D449" s="293" t="s">
        <v>5274</v>
      </c>
      <c r="E449" s="227" t="s">
        <v>640</v>
      </c>
      <c r="F449" s="341" t="s">
        <v>5275</v>
      </c>
      <c r="G449" s="311" t="s">
        <v>31</v>
      </c>
      <c r="H449" s="316" t="s">
        <v>21</v>
      </c>
      <c r="I449" s="227" t="s">
        <v>5279</v>
      </c>
      <c r="J449" s="316" t="s">
        <v>22</v>
      </c>
      <c r="K449" s="312" t="s">
        <v>5279</v>
      </c>
      <c r="L449" s="180" t="s">
        <v>5280</v>
      </c>
      <c r="M449" s="196"/>
      <c r="N449" s="196"/>
      <c r="O449" s="155"/>
      <c r="P449" s="284"/>
      <c r="Q449" s="284"/>
      <c r="R449" s="284"/>
      <c r="S449" s="284"/>
      <c r="T449" s="284"/>
      <c r="U449" s="284"/>
      <c r="V449" s="284"/>
      <c r="W449" s="284"/>
      <c r="X449" s="284"/>
      <c r="Y449" s="284"/>
      <c r="Z449" s="284"/>
    </row>
    <row r="450" ht="22.5" customHeight="1">
      <c r="A450" s="379" t="s">
        <v>6015</v>
      </c>
      <c r="B450" s="398">
        <v>3.316039539E9</v>
      </c>
      <c r="C450" s="317" t="s">
        <v>49</v>
      </c>
      <c r="D450" s="358" t="s">
        <v>5274</v>
      </c>
      <c r="E450" s="384" t="s">
        <v>640</v>
      </c>
      <c r="F450" s="344" t="s">
        <v>5275</v>
      </c>
      <c r="G450" s="382" t="s">
        <v>31</v>
      </c>
      <c r="H450" s="321" t="s">
        <v>21</v>
      </c>
      <c r="I450" s="384" t="s">
        <v>5279</v>
      </c>
      <c r="J450" s="321" t="s">
        <v>22</v>
      </c>
      <c r="K450" s="401" t="s">
        <v>5279</v>
      </c>
      <c r="L450" s="389" t="s">
        <v>5280</v>
      </c>
      <c r="M450" s="197"/>
      <c r="N450" s="197"/>
      <c r="O450" s="147"/>
      <c r="P450" s="284"/>
      <c r="Q450" s="284"/>
      <c r="R450" s="284"/>
      <c r="S450" s="284"/>
      <c r="T450" s="284"/>
      <c r="U450" s="284"/>
      <c r="V450" s="284"/>
      <c r="W450" s="284"/>
      <c r="X450" s="284"/>
      <c r="Y450" s="284"/>
      <c r="Z450" s="284"/>
    </row>
    <row r="451" ht="22.5" customHeight="1">
      <c r="A451" s="299" t="s">
        <v>6016</v>
      </c>
      <c r="B451" s="377">
        <v>3.249559171E9</v>
      </c>
      <c r="C451" s="407" t="s">
        <v>3955</v>
      </c>
      <c r="D451" s="293" t="s">
        <v>5274</v>
      </c>
      <c r="E451" s="311" t="s">
        <v>31</v>
      </c>
      <c r="F451" s="341" t="s">
        <v>5275</v>
      </c>
      <c r="G451" s="363" t="s">
        <v>19</v>
      </c>
      <c r="H451" s="316" t="s">
        <v>21</v>
      </c>
      <c r="I451" s="227" t="s">
        <v>5279</v>
      </c>
      <c r="J451" s="316" t="s">
        <v>22</v>
      </c>
      <c r="K451" s="312" t="s">
        <v>5279</v>
      </c>
      <c r="L451" s="392" t="s">
        <v>5271</v>
      </c>
      <c r="M451" s="196"/>
      <c r="N451" s="196"/>
      <c r="O451" s="155"/>
      <c r="P451" s="284"/>
      <c r="Q451" s="284"/>
      <c r="R451" s="284"/>
      <c r="S451" s="284"/>
      <c r="T451" s="284"/>
      <c r="U451" s="284"/>
      <c r="V451" s="284"/>
      <c r="W451" s="284"/>
      <c r="X451" s="284"/>
      <c r="Y451" s="284"/>
      <c r="Z451" s="284"/>
    </row>
    <row r="452" ht="22.5" customHeight="1">
      <c r="A452" s="379" t="s">
        <v>6017</v>
      </c>
      <c r="B452" s="398">
        <v>3.094800863E9</v>
      </c>
      <c r="C452" s="317" t="s">
        <v>49</v>
      </c>
      <c r="D452" s="358" t="s">
        <v>5274</v>
      </c>
      <c r="E452" s="383" t="s">
        <v>19</v>
      </c>
      <c r="F452" s="344" t="s">
        <v>5275</v>
      </c>
      <c r="G452" s="383" t="s">
        <v>19</v>
      </c>
      <c r="H452" s="321" t="s">
        <v>21</v>
      </c>
      <c r="I452" s="383" t="s">
        <v>19</v>
      </c>
      <c r="J452" s="321" t="s">
        <v>22</v>
      </c>
      <c r="K452" s="401" t="s">
        <v>5279</v>
      </c>
      <c r="L452" s="385" t="s">
        <v>5271</v>
      </c>
      <c r="M452" s="197"/>
      <c r="N452" s="197"/>
      <c r="O452" s="147"/>
      <c r="P452" s="284"/>
      <c r="Q452" s="284"/>
      <c r="R452" s="284"/>
      <c r="S452" s="284"/>
      <c r="T452" s="284"/>
      <c r="U452" s="284"/>
      <c r="V452" s="284"/>
      <c r="W452" s="284"/>
      <c r="X452" s="284"/>
      <c r="Y452" s="284"/>
      <c r="Z452" s="284"/>
    </row>
    <row r="453" ht="22.5" customHeight="1">
      <c r="A453" s="299" t="s">
        <v>6018</v>
      </c>
      <c r="B453" s="377">
        <v>3.177669225E9</v>
      </c>
      <c r="C453" s="314" t="s">
        <v>49</v>
      </c>
      <c r="D453" s="293" t="s">
        <v>5274</v>
      </c>
      <c r="E453" s="311" t="s">
        <v>31</v>
      </c>
      <c r="F453" s="341" t="s">
        <v>5275</v>
      </c>
      <c r="G453" s="363" t="s">
        <v>19</v>
      </c>
      <c r="H453" s="316" t="s">
        <v>21</v>
      </c>
      <c r="I453" s="363" t="s">
        <v>19</v>
      </c>
      <c r="J453" s="316" t="s">
        <v>22</v>
      </c>
      <c r="K453" s="312" t="s">
        <v>5279</v>
      </c>
      <c r="L453" s="392" t="s">
        <v>5271</v>
      </c>
      <c r="M453" s="196"/>
      <c r="N453" s="196"/>
      <c r="O453" s="155"/>
      <c r="P453" s="284"/>
      <c r="Q453" s="284"/>
      <c r="R453" s="284"/>
      <c r="S453" s="284"/>
      <c r="T453" s="284"/>
      <c r="U453" s="284"/>
      <c r="V453" s="284"/>
      <c r="W453" s="284"/>
      <c r="X453" s="284"/>
      <c r="Y453" s="284"/>
      <c r="Z453" s="284"/>
    </row>
    <row r="454" ht="22.5" customHeight="1">
      <c r="A454" s="379" t="s">
        <v>6019</v>
      </c>
      <c r="B454" s="398">
        <v>3.119327792E9</v>
      </c>
      <c r="C454" s="317" t="s">
        <v>49</v>
      </c>
      <c r="D454" s="358" t="s">
        <v>5274</v>
      </c>
      <c r="E454" s="383" t="s">
        <v>19</v>
      </c>
      <c r="F454" s="344" t="s">
        <v>5275</v>
      </c>
      <c r="G454" s="383" t="s">
        <v>19</v>
      </c>
      <c r="H454" s="321" t="s">
        <v>21</v>
      </c>
      <c r="I454" s="383" t="s">
        <v>19</v>
      </c>
      <c r="J454" s="321" t="s">
        <v>22</v>
      </c>
      <c r="K454" s="401" t="s">
        <v>5279</v>
      </c>
      <c r="L454" s="385" t="s">
        <v>5271</v>
      </c>
      <c r="M454" s="197"/>
      <c r="N454" s="197"/>
      <c r="O454" s="147"/>
      <c r="P454" s="284"/>
      <c r="Q454" s="284"/>
      <c r="R454" s="284"/>
      <c r="S454" s="284"/>
      <c r="T454" s="284"/>
      <c r="U454" s="284"/>
      <c r="V454" s="284"/>
      <c r="W454" s="284"/>
      <c r="X454" s="284"/>
      <c r="Y454" s="284"/>
      <c r="Z454" s="284"/>
    </row>
    <row r="455" ht="22.5" customHeight="1">
      <c r="A455" s="299" t="s">
        <v>6020</v>
      </c>
      <c r="B455" s="377">
        <v>3.092156824E9</v>
      </c>
      <c r="C455" s="318" t="s">
        <v>40</v>
      </c>
      <c r="D455" s="293" t="s">
        <v>5274</v>
      </c>
      <c r="E455" s="363" t="s">
        <v>19</v>
      </c>
      <c r="F455" s="341" t="s">
        <v>5275</v>
      </c>
      <c r="G455" s="311" t="s">
        <v>31</v>
      </c>
      <c r="H455" s="316" t="s">
        <v>21</v>
      </c>
      <c r="I455" s="311" t="s">
        <v>31</v>
      </c>
      <c r="J455" s="316" t="s">
        <v>22</v>
      </c>
      <c r="K455" s="312" t="s">
        <v>5279</v>
      </c>
      <c r="L455" s="392" t="s">
        <v>5271</v>
      </c>
      <c r="M455" s="196"/>
      <c r="N455" s="196"/>
      <c r="O455" s="155"/>
      <c r="P455" s="284"/>
      <c r="Q455" s="284"/>
      <c r="R455" s="284"/>
      <c r="S455" s="284"/>
      <c r="T455" s="284"/>
      <c r="U455" s="284"/>
      <c r="V455" s="284"/>
      <c r="W455" s="284"/>
      <c r="X455" s="284"/>
      <c r="Y455" s="284"/>
      <c r="Z455" s="284"/>
    </row>
    <row r="456" ht="22.5" customHeight="1">
      <c r="A456" s="379" t="s">
        <v>6021</v>
      </c>
      <c r="B456" s="398">
        <v>3.006789112E9</v>
      </c>
      <c r="C456" s="360" t="s">
        <v>30</v>
      </c>
      <c r="D456" s="358" t="s">
        <v>5274</v>
      </c>
      <c r="E456" s="383" t="s">
        <v>19</v>
      </c>
      <c r="F456" s="344" t="s">
        <v>5275</v>
      </c>
      <c r="G456" s="382" t="s">
        <v>31</v>
      </c>
      <c r="H456" s="321" t="s">
        <v>21</v>
      </c>
      <c r="I456" s="383" t="s">
        <v>19</v>
      </c>
      <c r="J456" s="321" t="s">
        <v>22</v>
      </c>
      <c r="K456" s="401" t="s">
        <v>5279</v>
      </c>
      <c r="L456" s="389" t="s">
        <v>5280</v>
      </c>
      <c r="M456" s="197"/>
      <c r="N456" s="197"/>
      <c r="O456" s="147"/>
      <c r="P456" s="284"/>
      <c r="Q456" s="284"/>
      <c r="R456" s="284"/>
      <c r="S456" s="284"/>
      <c r="T456" s="284"/>
      <c r="U456" s="284"/>
      <c r="V456" s="284"/>
      <c r="W456" s="284"/>
      <c r="X456" s="284"/>
      <c r="Y456" s="284"/>
      <c r="Z456" s="284"/>
    </row>
    <row r="457" ht="22.5" customHeight="1">
      <c r="A457" s="299" t="s">
        <v>6022</v>
      </c>
      <c r="B457" s="377">
        <v>3.195984305E9</v>
      </c>
      <c r="C457" s="314" t="s">
        <v>49</v>
      </c>
      <c r="D457" s="293" t="s">
        <v>5274</v>
      </c>
      <c r="E457" s="311" t="s">
        <v>31</v>
      </c>
      <c r="F457" s="341" t="s">
        <v>5275</v>
      </c>
      <c r="G457" s="311" t="s">
        <v>31</v>
      </c>
      <c r="H457" s="316" t="s">
        <v>21</v>
      </c>
      <c r="I457" s="363" t="s">
        <v>19</v>
      </c>
      <c r="J457" s="316" t="s">
        <v>22</v>
      </c>
      <c r="K457" s="312" t="s">
        <v>5279</v>
      </c>
      <c r="L457" s="392" t="s">
        <v>5271</v>
      </c>
      <c r="M457" s="196"/>
      <c r="N457" s="196"/>
      <c r="O457" s="155"/>
      <c r="P457" s="284"/>
      <c r="Q457" s="284"/>
      <c r="R457" s="284"/>
      <c r="S457" s="284"/>
      <c r="T457" s="284"/>
      <c r="U457" s="284"/>
      <c r="V457" s="284"/>
      <c r="W457" s="284"/>
      <c r="X457" s="284"/>
      <c r="Y457" s="284"/>
      <c r="Z457" s="284"/>
    </row>
    <row r="458" ht="22.5" customHeight="1">
      <c r="A458" s="379" t="s">
        <v>6023</v>
      </c>
      <c r="B458" s="398">
        <v>3.435088807E9</v>
      </c>
      <c r="C458" s="317" t="s">
        <v>49</v>
      </c>
      <c r="D458" s="358" t="s">
        <v>5274</v>
      </c>
      <c r="E458" s="382" t="s">
        <v>31</v>
      </c>
      <c r="F458" s="344" t="s">
        <v>5275</v>
      </c>
      <c r="G458" s="382" t="s">
        <v>31</v>
      </c>
      <c r="H458" s="321" t="s">
        <v>21</v>
      </c>
      <c r="I458" s="382" t="s">
        <v>31</v>
      </c>
      <c r="J458" s="321" t="s">
        <v>22</v>
      </c>
      <c r="K458" s="401" t="s">
        <v>5279</v>
      </c>
      <c r="L458" s="389" t="s">
        <v>5280</v>
      </c>
      <c r="M458" s="197"/>
      <c r="N458" s="197"/>
      <c r="O458" s="147"/>
      <c r="P458" s="284"/>
      <c r="Q458" s="284"/>
      <c r="R458" s="284"/>
      <c r="S458" s="284"/>
      <c r="T458" s="284"/>
      <c r="U458" s="284"/>
      <c r="V458" s="284"/>
      <c r="W458" s="284"/>
      <c r="X458" s="284"/>
      <c r="Y458" s="284"/>
      <c r="Z458" s="284"/>
    </row>
    <row r="459" ht="22.5" customHeight="1">
      <c r="A459" s="299" t="s">
        <v>6024</v>
      </c>
      <c r="B459" s="377">
        <v>3.152204882E9</v>
      </c>
      <c r="C459" s="314" t="s">
        <v>49</v>
      </c>
      <c r="D459" s="293" t="s">
        <v>5274</v>
      </c>
      <c r="E459" s="311" t="s">
        <v>31</v>
      </c>
      <c r="F459" s="341" t="s">
        <v>5275</v>
      </c>
      <c r="G459" s="227" t="s">
        <v>5279</v>
      </c>
      <c r="H459" s="316" t="s">
        <v>21</v>
      </c>
      <c r="I459" s="227" t="s">
        <v>5279</v>
      </c>
      <c r="J459" s="316" t="s">
        <v>22</v>
      </c>
      <c r="K459" s="312" t="s">
        <v>5279</v>
      </c>
      <c r="L459" s="180" t="s">
        <v>5280</v>
      </c>
      <c r="M459" s="196"/>
      <c r="N459" s="196"/>
      <c r="O459" s="155"/>
      <c r="P459" s="284"/>
      <c r="Q459" s="284"/>
      <c r="R459" s="284"/>
      <c r="S459" s="284"/>
      <c r="T459" s="284"/>
      <c r="U459" s="284"/>
      <c r="V459" s="284"/>
      <c r="W459" s="284"/>
      <c r="X459" s="284"/>
      <c r="Y459" s="284"/>
      <c r="Z459" s="284"/>
    </row>
    <row r="460" ht="22.5" customHeight="1">
      <c r="A460" s="379" t="s">
        <v>6025</v>
      </c>
      <c r="B460" s="398">
        <v>3.213862497E9</v>
      </c>
      <c r="C460" s="408" t="s">
        <v>3955</v>
      </c>
      <c r="D460" s="358" t="s">
        <v>5274</v>
      </c>
      <c r="E460" s="384" t="s">
        <v>640</v>
      </c>
      <c r="F460" s="344" t="s">
        <v>5275</v>
      </c>
      <c r="G460" s="382" t="s">
        <v>31</v>
      </c>
      <c r="H460" s="321" t="s">
        <v>21</v>
      </c>
      <c r="I460" s="417"/>
      <c r="J460" s="418"/>
      <c r="K460" s="419"/>
      <c r="L460" s="402"/>
      <c r="M460" s="197"/>
      <c r="N460" s="197"/>
      <c r="O460" s="147"/>
      <c r="P460" s="284"/>
      <c r="Q460" s="284"/>
      <c r="R460" s="284"/>
      <c r="S460" s="284"/>
      <c r="T460" s="284"/>
      <c r="U460" s="284"/>
      <c r="V460" s="284"/>
      <c r="W460" s="284"/>
      <c r="X460" s="284"/>
      <c r="Y460" s="284"/>
      <c r="Z460" s="284"/>
    </row>
    <row r="461" ht="22.5" customHeight="1">
      <c r="A461" s="299" t="s">
        <v>6026</v>
      </c>
      <c r="B461" s="377">
        <v>3.352077707E9</v>
      </c>
      <c r="C461" s="314" t="s">
        <v>49</v>
      </c>
      <c r="D461" s="293" t="s">
        <v>5274</v>
      </c>
      <c r="E461" s="311" t="s">
        <v>31</v>
      </c>
      <c r="F461" s="341" t="s">
        <v>5275</v>
      </c>
      <c r="G461" s="363" t="s">
        <v>19</v>
      </c>
      <c r="H461" s="316" t="s">
        <v>21</v>
      </c>
      <c r="I461" s="363" t="s">
        <v>19</v>
      </c>
      <c r="J461" s="316" t="s">
        <v>22</v>
      </c>
      <c r="K461" s="312" t="s">
        <v>5279</v>
      </c>
      <c r="L461" s="392" t="s">
        <v>5271</v>
      </c>
      <c r="M461" s="196"/>
      <c r="N461" s="196"/>
      <c r="O461" s="155"/>
      <c r="P461" s="284"/>
      <c r="Q461" s="284"/>
      <c r="R461" s="284"/>
      <c r="S461" s="284"/>
      <c r="T461" s="284"/>
      <c r="U461" s="284"/>
      <c r="V461" s="284"/>
      <c r="W461" s="284"/>
      <c r="X461" s="284"/>
      <c r="Y461" s="284"/>
      <c r="Z461" s="284"/>
    </row>
    <row r="462" ht="22.5" customHeight="1">
      <c r="A462" s="379" t="s">
        <v>6027</v>
      </c>
      <c r="B462" s="398">
        <v>3.335317756E9</v>
      </c>
      <c r="C462" s="360" t="s">
        <v>30</v>
      </c>
      <c r="D462" s="358" t="s">
        <v>5274</v>
      </c>
      <c r="E462" s="383" t="s">
        <v>19</v>
      </c>
      <c r="F462" s="344" t="s">
        <v>5275</v>
      </c>
      <c r="G462" s="383" t="s">
        <v>19</v>
      </c>
      <c r="H462" s="321" t="s">
        <v>21</v>
      </c>
      <c r="I462" s="382" t="s">
        <v>31</v>
      </c>
      <c r="J462" s="321" t="s">
        <v>22</v>
      </c>
      <c r="K462" s="401" t="s">
        <v>5279</v>
      </c>
      <c r="L462" s="385" t="s">
        <v>5271</v>
      </c>
      <c r="M462" s="197"/>
      <c r="N462" s="197"/>
      <c r="O462" s="147"/>
      <c r="P462" s="284"/>
      <c r="Q462" s="284"/>
      <c r="R462" s="284"/>
      <c r="S462" s="284"/>
      <c r="T462" s="284"/>
      <c r="U462" s="284"/>
      <c r="V462" s="284"/>
      <c r="W462" s="284"/>
      <c r="X462" s="284"/>
      <c r="Y462" s="284"/>
      <c r="Z462" s="284"/>
    </row>
    <row r="463" ht="22.5" customHeight="1">
      <c r="A463" s="299" t="s">
        <v>6028</v>
      </c>
      <c r="B463" s="377">
        <v>3.192784002E9</v>
      </c>
      <c r="C463" s="322" t="s">
        <v>17</v>
      </c>
      <c r="D463" s="293" t="s">
        <v>5274</v>
      </c>
      <c r="E463" s="363" t="s">
        <v>19</v>
      </c>
      <c r="F463" s="341" t="s">
        <v>5275</v>
      </c>
      <c r="G463" s="363" t="s">
        <v>19</v>
      </c>
      <c r="H463" s="316" t="s">
        <v>21</v>
      </c>
      <c r="I463" s="363" t="s">
        <v>19</v>
      </c>
      <c r="J463" s="316" t="s">
        <v>22</v>
      </c>
      <c r="K463" s="312" t="s">
        <v>5279</v>
      </c>
      <c r="L463" s="392" t="s">
        <v>5271</v>
      </c>
      <c r="M463" s="196"/>
      <c r="N463" s="196"/>
      <c r="O463" s="155"/>
      <c r="P463" s="284"/>
      <c r="Q463" s="284"/>
      <c r="R463" s="284"/>
      <c r="S463" s="284"/>
      <c r="T463" s="284"/>
      <c r="U463" s="284"/>
      <c r="V463" s="284"/>
      <c r="W463" s="284"/>
      <c r="X463" s="284"/>
      <c r="Y463" s="284"/>
      <c r="Z463" s="284"/>
    </row>
    <row r="464" ht="22.5" customHeight="1">
      <c r="A464" s="379" t="s">
        <v>6029</v>
      </c>
      <c r="B464" s="398">
        <v>3.322345706E9</v>
      </c>
      <c r="C464" s="359" t="s">
        <v>35</v>
      </c>
      <c r="D464" s="358" t="s">
        <v>5274</v>
      </c>
      <c r="E464" s="382" t="s">
        <v>31</v>
      </c>
      <c r="F464" s="344" t="s">
        <v>5275</v>
      </c>
      <c r="G464" s="383" t="s">
        <v>19</v>
      </c>
      <c r="H464" s="321" t="s">
        <v>21</v>
      </c>
      <c r="I464" s="383" t="s">
        <v>19</v>
      </c>
      <c r="J464" s="321" t="s">
        <v>22</v>
      </c>
      <c r="K464" s="401" t="s">
        <v>5279</v>
      </c>
      <c r="L464" s="385" t="s">
        <v>5271</v>
      </c>
      <c r="M464" s="197"/>
      <c r="N464" s="197"/>
      <c r="O464" s="147"/>
      <c r="P464" s="284"/>
      <c r="Q464" s="284"/>
      <c r="R464" s="284"/>
      <c r="S464" s="284"/>
      <c r="T464" s="284"/>
      <c r="U464" s="284"/>
      <c r="V464" s="284"/>
      <c r="W464" s="284"/>
      <c r="X464" s="284"/>
      <c r="Y464" s="284"/>
      <c r="Z464" s="284"/>
    </row>
    <row r="465" ht="22.5" customHeight="1">
      <c r="A465" s="299" t="s">
        <v>6030</v>
      </c>
      <c r="B465" s="377">
        <v>3.318877797E9</v>
      </c>
      <c r="C465" s="314" t="s">
        <v>49</v>
      </c>
      <c r="D465" s="293" t="s">
        <v>5274</v>
      </c>
      <c r="E465" s="311" t="s">
        <v>31</v>
      </c>
      <c r="F465" s="341" t="s">
        <v>5275</v>
      </c>
      <c r="G465" s="363" t="s">
        <v>19</v>
      </c>
      <c r="H465" s="316" t="s">
        <v>21</v>
      </c>
      <c r="I465" s="363" t="s">
        <v>19</v>
      </c>
      <c r="J465" s="316" t="s">
        <v>22</v>
      </c>
      <c r="K465" s="312" t="s">
        <v>5279</v>
      </c>
      <c r="L465" s="392" t="s">
        <v>5271</v>
      </c>
      <c r="M465" s="196"/>
      <c r="N465" s="196"/>
      <c r="O465" s="155"/>
      <c r="P465" s="284"/>
      <c r="Q465" s="284"/>
      <c r="R465" s="284"/>
      <c r="S465" s="284"/>
      <c r="T465" s="284"/>
      <c r="U465" s="284"/>
      <c r="V465" s="284"/>
      <c r="W465" s="284"/>
      <c r="X465" s="284"/>
      <c r="Y465" s="284"/>
      <c r="Z465" s="284"/>
    </row>
    <row r="466" ht="22.5" customHeight="1">
      <c r="A466" s="285" t="s">
        <v>6031</v>
      </c>
      <c r="B466" s="398">
        <v>3.339083748E9</v>
      </c>
      <c r="C466" s="323" t="s">
        <v>17</v>
      </c>
      <c r="D466" s="358" t="s">
        <v>5274</v>
      </c>
      <c r="E466" s="383" t="s">
        <v>19</v>
      </c>
      <c r="F466" s="344" t="s">
        <v>5275</v>
      </c>
      <c r="G466" s="383" t="s">
        <v>19</v>
      </c>
      <c r="H466" s="321" t="s">
        <v>21</v>
      </c>
      <c r="I466" s="383" t="s">
        <v>19</v>
      </c>
      <c r="J466" s="321" t="s">
        <v>22</v>
      </c>
      <c r="K466" s="401" t="s">
        <v>5279</v>
      </c>
      <c r="L466" s="385" t="s">
        <v>5271</v>
      </c>
      <c r="M466" s="197"/>
      <c r="N466" s="197"/>
      <c r="O466" s="147"/>
      <c r="P466" s="284"/>
      <c r="Q466" s="284"/>
      <c r="R466" s="284"/>
      <c r="S466" s="284"/>
      <c r="T466" s="284"/>
      <c r="U466" s="284"/>
      <c r="V466" s="284"/>
      <c r="W466" s="284"/>
      <c r="X466" s="284"/>
      <c r="Y466" s="284"/>
      <c r="Z466" s="284"/>
    </row>
    <row r="467" ht="22.5" customHeight="1">
      <c r="A467" s="299" t="s">
        <v>6032</v>
      </c>
      <c r="B467" s="377">
        <v>3.334588774E9</v>
      </c>
      <c r="C467" s="314" t="s">
        <v>49</v>
      </c>
      <c r="D467" s="293" t="s">
        <v>5274</v>
      </c>
      <c r="E467" s="363" t="s">
        <v>19</v>
      </c>
      <c r="F467" s="341" t="s">
        <v>5275</v>
      </c>
      <c r="G467" s="227" t="s">
        <v>5279</v>
      </c>
      <c r="H467" s="316" t="s">
        <v>21</v>
      </c>
      <c r="I467" s="227" t="s">
        <v>5279</v>
      </c>
      <c r="J467" s="316" t="s">
        <v>22</v>
      </c>
      <c r="K467" s="312" t="s">
        <v>5279</v>
      </c>
      <c r="L467" s="392" t="s">
        <v>5271</v>
      </c>
      <c r="M467" s="196"/>
      <c r="N467" s="196"/>
      <c r="O467" s="155"/>
      <c r="P467" s="284"/>
      <c r="Q467" s="284"/>
      <c r="R467" s="284"/>
      <c r="S467" s="284"/>
      <c r="T467" s="284"/>
      <c r="U467" s="284"/>
      <c r="V467" s="284"/>
      <c r="W467" s="284"/>
      <c r="X467" s="284"/>
      <c r="Y467" s="284"/>
      <c r="Z467" s="284"/>
    </row>
    <row r="468" ht="22.5" customHeight="1">
      <c r="A468" s="379" t="s">
        <v>6033</v>
      </c>
      <c r="B468" s="398">
        <v>3.093175854E9</v>
      </c>
      <c r="C468" s="323" t="s">
        <v>17</v>
      </c>
      <c r="D468" s="358" t="s">
        <v>5274</v>
      </c>
      <c r="E468" s="382" t="s">
        <v>31</v>
      </c>
      <c r="F468" s="344" t="s">
        <v>5275</v>
      </c>
      <c r="G468" s="383" t="s">
        <v>19</v>
      </c>
      <c r="H468" s="321" t="s">
        <v>21</v>
      </c>
      <c r="I468" s="383" t="s">
        <v>19</v>
      </c>
      <c r="J468" s="321" t="s">
        <v>22</v>
      </c>
      <c r="K468" s="401" t="s">
        <v>5279</v>
      </c>
      <c r="L468" s="385" t="s">
        <v>5271</v>
      </c>
      <c r="M468" s="197"/>
      <c r="N468" s="197"/>
      <c r="O468" s="147"/>
      <c r="P468" s="284"/>
      <c r="Q468" s="284"/>
      <c r="R468" s="284"/>
      <c r="S468" s="284"/>
      <c r="T468" s="284"/>
      <c r="U468" s="284"/>
      <c r="V468" s="284"/>
      <c r="W468" s="284"/>
      <c r="X468" s="284"/>
      <c r="Y468" s="284"/>
      <c r="Z468" s="284"/>
    </row>
    <row r="469" ht="22.5" customHeight="1">
      <c r="A469" s="299" t="s">
        <v>6034</v>
      </c>
      <c r="B469" s="377">
        <v>3.122256021E9</v>
      </c>
      <c r="C469" s="314" t="s">
        <v>49</v>
      </c>
      <c r="D469" s="293" t="s">
        <v>5274</v>
      </c>
      <c r="E469" s="311" t="s">
        <v>31</v>
      </c>
      <c r="F469" s="341" t="s">
        <v>5275</v>
      </c>
      <c r="G469" s="363" t="s">
        <v>19</v>
      </c>
      <c r="H469" s="316" t="s">
        <v>21</v>
      </c>
      <c r="I469" s="363" t="s">
        <v>19</v>
      </c>
      <c r="J469" s="316" t="s">
        <v>22</v>
      </c>
      <c r="K469" s="312" t="s">
        <v>5279</v>
      </c>
      <c r="L469" s="180" t="s">
        <v>5280</v>
      </c>
      <c r="M469" s="196"/>
      <c r="N469" s="196"/>
      <c r="O469" s="155"/>
      <c r="P469" s="284"/>
      <c r="Q469" s="284"/>
      <c r="R469" s="284"/>
      <c r="S469" s="284"/>
      <c r="T469" s="284"/>
      <c r="U469" s="284"/>
      <c r="V469" s="284"/>
      <c r="W469" s="284"/>
      <c r="X469" s="284"/>
      <c r="Y469" s="284"/>
      <c r="Z469" s="284"/>
    </row>
    <row r="470" ht="22.5" customHeight="1">
      <c r="A470" s="379" t="s">
        <v>6035</v>
      </c>
      <c r="B470" s="398">
        <v>3.157878623E9</v>
      </c>
      <c r="C470" s="323" t="s">
        <v>17</v>
      </c>
      <c r="D470" s="358" t="s">
        <v>5274</v>
      </c>
      <c r="E470" s="383" t="s">
        <v>19</v>
      </c>
      <c r="F470" s="344" t="s">
        <v>5275</v>
      </c>
      <c r="G470" s="383" t="s">
        <v>19</v>
      </c>
      <c r="H470" s="321" t="s">
        <v>21</v>
      </c>
      <c r="I470" s="383" t="s">
        <v>19</v>
      </c>
      <c r="J470" s="321" t="s">
        <v>22</v>
      </c>
      <c r="K470" s="401" t="s">
        <v>5279</v>
      </c>
      <c r="L470" s="385" t="s">
        <v>5271</v>
      </c>
      <c r="M470" s="197"/>
      <c r="N470" s="197"/>
      <c r="O470" s="147"/>
      <c r="P470" s="284"/>
      <c r="Q470" s="284"/>
      <c r="R470" s="284"/>
      <c r="S470" s="284"/>
      <c r="T470" s="284"/>
      <c r="U470" s="284"/>
      <c r="V470" s="284"/>
      <c r="W470" s="284"/>
      <c r="X470" s="284"/>
      <c r="Y470" s="284"/>
      <c r="Z470" s="284"/>
    </row>
    <row r="471" ht="22.5" customHeight="1">
      <c r="A471" s="299" t="s">
        <v>6036</v>
      </c>
      <c r="B471" s="377">
        <v>3.123649268E9</v>
      </c>
      <c r="C471" s="421" t="s">
        <v>35</v>
      </c>
      <c r="D471" s="293" t="s">
        <v>5274</v>
      </c>
      <c r="E471" s="311" t="s">
        <v>31</v>
      </c>
      <c r="F471" s="341" t="s">
        <v>5275</v>
      </c>
      <c r="G471" s="363" t="s">
        <v>19</v>
      </c>
      <c r="H471" s="316" t="s">
        <v>21</v>
      </c>
      <c r="I471" s="311" t="s">
        <v>31</v>
      </c>
      <c r="J471" s="316" t="s">
        <v>22</v>
      </c>
      <c r="K471" s="312" t="s">
        <v>5279</v>
      </c>
      <c r="L471" s="180" t="s">
        <v>5280</v>
      </c>
      <c r="M471" s="196"/>
      <c r="N471" s="196"/>
      <c r="O471" s="155"/>
      <c r="P471" s="284"/>
      <c r="Q471" s="284"/>
      <c r="R471" s="284"/>
      <c r="S471" s="284"/>
      <c r="T471" s="284"/>
      <c r="U471" s="284"/>
      <c r="V471" s="284"/>
      <c r="W471" s="284"/>
      <c r="X471" s="284"/>
      <c r="Y471" s="284"/>
      <c r="Z471" s="284"/>
    </row>
    <row r="472" ht="22.5" customHeight="1">
      <c r="A472" s="379" t="s">
        <v>6037</v>
      </c>
      <c r="B472" s="398">
        <v>3.219458628E9</v>
      </c>
      <c r="C472" s="323" t="s">
        <v>17</v>
      </c>
      <c r="D472" s="358" t="s">
        <v>5274</v>
      </c>
      <c r="E472" s="383" t="s">
        <v>19</v>
      </c>
      <c r="F472" s="344" t="s">
        <v>5275</v>
      </c>
      <c r="G472" s="383" t="s">
        <v>19</v>
      </c>
      <c r="H472" s="321" t="s">
        <v>21</v>
      </c>
      <c r="I472" s="383" t="s">
        <v>19</v>
      </c>
      <c r="J472" s="321" t="s">
        <v>22</v>
      </c>
      <c r="K472" s="401" t="s">
        <v>5279</v>
      </c>
      <c r="L472" s="385" t="s">
        <v>5271</v>
      </c>
      <c r="M472" s="197"/>
      <c r="N472" s="197"/>
      <c r="O472" s="147"/>
      <c r="P472" s="284"/>
      <c r="Q472" s="284"/>
      <c r="R472" s="284"/>
      <c r="S472" s="284"/>
      <c r="T472" s="284"/>
      <c r="U472" s="284"/>
      <c r="V472" s="284"/>
      <c r="W472" s="284"/>
      <c r="X472" s="284"/>
      <c r="Y472" s="284"/>
      <c r="Z472" s="284"/>
    </row>
    <row r="473" ht="22.5" customHeight="1">
      <c r="A473" s="299" t="s">
        <v>6038</v>
      </c>
      <c r="B473" s="377">
        <v>3.187788524E9</v>
      </c>
      <c r="C473" s="314" t="s">
        <v>49</v>
      </c>
      <c r="D473" s="293" t="s">
        <v>5274</v>
      </c>
      <c r="E473" s="363" t="s">
        <v>19</v>
      </c>
      <c r="F473" s="341" t="s">
        <v>5275</v>
      </c>
      <c r="G473" s="363" t="s">
        <v>19</v>
      </c>
      <c r="H473" s="316" t="s">
        <v>21</v>
      </c>
      <c r="I473" s="227" t="s">
        <v>5279</v>
      </c>
      <c r="J473" s="316" t="s">
        <v>22</v>
      </c>
      <c r="K473" s="312" t="s">
        <v>5279</v>
      </c>
      <c r="L473" s="392" t="s">
        <v>5271</v>
      </c>
      <c r="M473" s="196"/>
      <c r="N473" s="196"/>
      <c r="O473" s="155"/>
      <c r="P473" s="284"/>
      <c r="Q473" s="284"/>
      <c r="R473" s="284"/>
      <c r="S473" s="284"/>
      <c r="T473" s="284"/>
      <c r="U473" s="284"/>
      <c r="V473" s="284"/>
      <c r="W473" s="284"/>
      <c r="X473" s="284"/>
      <c r="Y473" s="284"/>
      <c r="Z473" s="284"/>
    </row>
    <row r="474" ht="22.5" customHeight="1">
      <c r="A474" s="422" t="s">
        <v>6039</v>
      </c>
      <c r="B474" s="398">
        <v>3.42763783E9</v>
      </c>
      <c r="C474" s="323" t="s">
        <v>17</v>
      </c>
      <c r="D474" s="358" t="s">
        <v>5274</v>
      </c>
      <c r="E474" s="383" t="s">
        <v>19</v>
      </c>
      <c r="F474" s="344" t="s">
        <v>5275</v>
      </c>
      <c r="G474" s="383" t="s">
        <v>19</v>
      </c>
      <c r="H474" s="321" t="s">
        <v>21</v>
      </c>
      <c r="I474" s="383" t="s">
        <v>19</v>
      </c>
      <c r="J474" s="321" t="s">
        <v>22</v>
      </c>
      <c r="K474" s="401" t="s">
        <v>5279</v>
      </c>
      <c r="L474" s="385" t="s">
        <v>5271</v>
      </c>
      <c r="M474" s="197"/>
      <c r="N474" s="197"/>
      <c r="O474" s="147"/>
      <c r="P474" s="284"/>
      <c r="Q474" s="284"/>
      <c r="R474" s="284"/>
      <c r="S474" s="284"/>
      <c r="T474" s="284"/>
      <c r="U474" s="284"/>
      <c r="V474" s="284"/>
      <c r="W474" s="284"/>
      <c r="X474" s="284"/>
      <c r="Y474" s="284"/>
      <c r="Z474" s="284"/>
    </row>
    <row r="475" ht="22.5" customHeight="1">
      <c r="A475" s="299" t="s">
        <v>6040</v>
      </c>
      <c r="B475" s="377">
        <v>3.040751927E9</v>
      </c>
      <c r="C475" s="314" t="s">
        <v>49</v>
      </c>
      <c r="D475" s="293" t="s">
        <v>5274</v>
      </c>
      <c r="E475" s="363" t="s">
        <v>19</v>
      </c>
      <c r="F475" s="341" t="s">
        <v>5275</v>
      </c>
      <c r="G475" s="363" t="s">
        <v>19</v>
      </c>
      <c r="H475" s="316" t="s">
        <v>21</v>
      </c>
      <c r="I475" s="363" t="s">
        <v>19</v>
      </c>
      <c r="J475" s="316" t="s">
        <v>22</v>
      </c>
      <c r="K475" s="312" t="s">
        <v>5279</v>
      </c>
      <c r="L475" s="392" t="s">
        <v>5271</v>
      </c>
      <c r="M475" s="196"/>
      <c r="N475" s="196"/>
      <c r="O475" s="155"/>
      <c r="P475" s="284"/>
      <c r="Q475" s="284"/>
      <c r="R475" s="284"/>
      <c r="S475" s="284"/>
      <c r="T475" s="284"/>
      <c r="U475" s="284"/>
      <c r="V475" s="284"/>
      <c r="W475" s="284"/>
      <c r="X475" s="284"/>
      <c r="Y475" s="284"/>
      <c r="Z475" s="284"/>
    </row>
    <row r="476" ht="22.5" customHeight="1">
      <c r="A476" s="379" t="s">
        <v>6041</v>
      </c>
      <c r="B476" s="398">
        <v>3.319597866E9</v>
      </c>
      <c r="C476" s="317" t="s">
        <v>49</v>
      </c>
      <c r="D476" s="358" t="s">
        <v>5274</v>
      </c>
      <c r="E476" s="383" t="s">
        <v>19</v>
      </c>
      <c r="F476" s="344" t="s">
        <v>5275</v>
      </c>
      <c r="G476" s="383" t="s">
        <v>19</v>
      </c>
      <c r="H476" s="321" t="s">
        <v>21</v>
      </c>
      <c r="I476" s="382" t="s">
        <v>31</v>
      </c>
      <c r="J476" s="321" t="s">
        <v>22</v>
      </c>
      <c r="K476" s="401" t="s">
        <v>5279</v>
      </c>
      <c r="L476" s="385" t="s">
        <v>5271</v>
      </c>
      <c r="M476" s="197"/>
      <c r="N476" s="197"/>
      <c r="O476" s="147"/>
      <c r="P476" s="284"/>
      <c r="Q476" s="284"/>
      <c r="R476" s="284"/>
      <c r="S476" s="284"/>
      <c r="T476" s="284"/>
      <c r="U476" s="284"/>
      <c r="V476" s="284"/>
      <c r="W476" s="284"/>
      <c r="X476" s="284"/>
      <c r="Y476" s="284"/>
      <c r="Z476" s="284"/>
    </row>
    <row r="477" ht="22.5" customHeight="1">
      <c r="A477" s="299" t="s">
        <v>6042</v>
      </c>
      <c r="B477" s="377">
        <v>3.106089203E9</v>
      </c>
      <c r="C477" s="314" t="s">
        <v>49</v>
      </c>
      <c r="D477" s="293" t="s">
        <v>5274</v>
      </c>
      <c r="E477" s="311" t="s">
        <v>31</v>
      </c>
      <c r="F477" s="341" t="s">
        <v>5275</v>
      </c>
      <c r="G477" s="227" t="s">
        <v>5279</v>
      </c>
      <c r="H477" s="316" t="s">
        <v>21</v>
      </c>
      <c r="I477" s="227" t="s">
        <v>5279</v>
      </c>
      <c r="J477" s="316" t="s">
        <v>22</v>
      </c>
      <c r="K477" s="312" t="s">
        <v>5279</v>
      </c>
      <c r="L477" s="392" t="s">
        <v>5271</v>
      </c>
      <c r="M477" s="196"/>
      <c r="N477" s="196"/>
      <c r="O477" s="155"/>
      <c r="P477" s="284"/>
      <c r="Q477" s="284"/>
      <c r="R477" s="284"/>
      <c r="S477" s="284"/>
      <c r="T477" s="284"/>
      <c r="U477" s="284"/>
      <c r="V477" s="284"/>
      <c r="W477" s="284"/>
      <c r="X477" s="284"/>
      <c r="Y477" s="284"/>
      <c r="Z477" s="284"/>
    </row>
    <row r="478" ht="22.5" customHeight="1">
      <c r="A478" s="379" t="s">
        <v>6043</v>
      </c>
      <c r="B478" s="398">
        <v>3.129090175E9</v>
      </c>
      <c r="C478" s="317" t="s">
        <v>49</v>
      </c>
      <c r="D478" s="358" t="s">
        <v>5274</v>
      </c>
      <c r="E478" s="382" t="s">
        <v>31</v>
      </c>
      <c r="F478" s="344" t="s">
        <v>5275</v>
      </c>
      <c r="G478" s="383" t="s">
        <v>19</v>
      </c>
      <c r="H478" s="321" t="s">
        <v>21</v>
      </c>
      <c r="I478" s="384" t="s">
        <v>5279</v>
      </c>
      <c r="J478" s="321" t="s">
        <v>22</v>
      </c>
      <c r="K478" s="401" t="s">
        <v>5279</v>
      </c>
      <c r="L478" s="385" t="s">
        <v>5271</v>
      </c>
      <c r="M478" s="197"/>
      <c r="N478" s="197"/>
      <c r="O478" s="147"/>
      <c r="P478" s="284"/>
      <c r="Q478" s="284"/>
      <c r="R478" s="284"/>
      <c r="S478" s="284"/>
      <c r="T478" s="284"/>
      <c r="U478" s="284"/>
      <c r="V478" s="284"/>
      <c r="W478" s="284"/>
      <c r="X478" s="284"/>
      <c r="Y478" s="284"/>
      <c r="Z478" s="284"/>
    </row>
    <row r="479" ht="22.5" customHeight="1">
      <c r="A479" s="299" t="s">
        <v>6044</v>
      </c>
      <c r="B479" s="377">
        <v>3.419582353E9</v>
      </c>
      <c r="C479" s="314" t="s">
        <v>49</v>
      </c>
      <c r="D479" s="293" t="s">
        <v>5274</v>
      </c>
      <c r="E479" s="311" t="s">
        <v>31</v>
      </c>
      <c r="F479" s="341" t="s">
        <v>5275</v>
      </c>
      <c r="G479" s="227" t="s">
        <v>5279</v>
      </c>
      <c r="H479" s="316" t="s">
        <v>21</v>
      </c>
      <c r="I479" s="227" t="s">
        <v>5279</v>
      </c>
      <c r="J479" s="316" t="s">
        <v>22</v>
      </c>
      <c r="K479" s="312" t="s">
        <v>5279</v>
      </c>
      <c r="L479" s="392" t="s">
        <v>5271</v>
      </c>
      <c r="M479" s="196"/>
      <c r="N479" s="196"/>
      <c r="O479" s="155"/>
      <c r="P479" s="284"/>
      <c r="Q479" s="284"/>
      <c r="R479" s="284"/>
      <c r="S479" s="284"/>
      <c r="T479" s="284"/>
      <c r="U479" s="284"/>
      <c r="V479" s="284"/>
      <c r="W479" s="284"/>
      <c r="X479" s="284"/>
      <c r="Y479" s="284"/>
      <c r="Z479" s="284"/>
    </row>
    <row r="480" ht="22.5" customHeight="1">
      <c r="A480" s="379" t="s">
        <v>6045</v>
      </c>
      <c r="B480" s="398">
        <v>3.313680368E9</v>
      </c>
      <c r="C480" s="319" t="s">
        <v>40</v>
      </c>
      <c r="D480" s="358" t="s">
        <v>5274</v>
      </c>
      <c r="E480" s="382" t="s">
        <v>31</v>
      </c>
      <c r="F480" s="344" t="s">
        <v>5275</v>
      </c>
      <c r="G480" s="381" t="s">
        <v>26</v>
      </c>
      <c r="H480" s="321" t="s">
        <v>21</v>
      </c>
      <c r="I480" s="382" t="s">
        <v>31</v>
      </c>
      <c r="J480" s="321" t="s">
        <v>22</v>
      </c>
      <c r="K480" s="401" t="s">
        <v>5279</v>
      </c>
      <c r="L480" s="389" t="s">
        <v>5280</v>
      </c>
      <c r="M480" s="197"/>
      <c r="N480" s="197"/>
      <c r="O480" s="147"/>
      <c r="P480" s="284"/>
      <c r="Q480" s="284"/>
      <c r="R480" s="284"/>
      <c r="S480" s="284"/>
      <c r="T480" s="284"/>
      <c r="U480" s="284"/>
      <c r="V480" s="284"/>
      <c r="W480" s="284"/>
      <c r="X480" s="284"/>
      <c r="Y480" s="284"/>
      <c r="Z480" s="284"/>
    </row>
    <row r="481" ht="22.5" customHeight="1">
      <c r="A481" s="299" t="s">
        <v>6046</v>
      </c>
      <c r="B481" s="377">
        <v>3.31334457E9</v>
      </c>
      <c r="C481" s="322" t="s">
        <v>17</v>
      </c>
      <c r="D481" s="293" t="s">
        <v>5274</v>
      </c>
      <c r="E481" s="363" t="s">
        <v>19</v>
      </c>
      <c r="F481" s="341" t="s">
        <v>5275</v>
      </c>
      <c r="G481" s="363" t="s">
        <v>19</v>
      </c>
      <c r="H481" s="316" t="s">
        <v>21</v>
      </c>
      <c r="I481" s="363" t="s">
        <v>19</v>
      </c>
      <c r="J481" s="316" t="s">
        <v>22</v>
      </c>
      <c r="K481" s="312" t="s">
        <v>5279</v>
      </c>
      <c r="L481" s="392" t="s">
        <v>5271</v>
      </c>
      <c r="M481" s="196"/>
      <c r="N481" s="196"/>
      <c r="O481" s="155"/>
      <c r="P481" s="284"/>
      <c r="Q481" s="284"/>
      <c r="R481" s="284"/>
      <c r="S481" s="284"/>
      <c r="T481" s="284"/>
      <c r="U481" s="284"/>
      <c r="V481" s="284"/>
      <c r="W481" s="284"/>
      <c r="X481" s="284"/>
      <c r="Y481" s="284"/>
      <c r="Z481" s="284"/>
    </row>
    <row r="482" ht="22.5" customHeight="1">
      <c r="A482" s="379" t="s">
        <v>6047</v>
      </c>
      <c r="B482" s="398">
        <v>3.702144062E9</v>
      </c>
      <c r="C482" s="323" t="s">
        <v>17</v>
      </c>
      <c r="D482" s="358" t="s">
        <v>5274</v>
      </c>
      <c r="E482" s="383" t="s">
        <v>19</v>
      </c>
      <c r="F482" s="344" t="s">
        <v>5275</v>
      </c>
      <c r="G482" s="383" t="s">
        <v>19</v>
      </c>
      <c r="H482" s="321" t="s">
        <v>21</v>
      </c>
      <c r="I482" s="383" t="s">
        <v>19</v>
      </c>
      <c r="J482" s="321" t="s">
        <v>22</v>
      </c>
      <c r="K482" s="401" t="s">
        <v>5279</v>
      </c>
      <c r="L482" s="385" t="s">
        <v>5271</v>
      </c>
      <c r="M482" s="197"/>
      <c r="N482" s="197"/>
      <c r="O482" s="147"/>
      <c r="P482" s="284"/>
      <c r="Q482" s="284"/>
      <c r="R482" s="284"/>
      <c r="S482" s="284"/>
      <c r="T482" s="284"/>
      <c r="U482" s="284"/>
      <c r="V482" s="284"/>
      <c r="W482" s="284"/>
      <c r="X482" s="284"/>
      <c r="Y482" s="284"/>
      <c r="Z482" s="284"/>
    </row>
    <row r="483" ht="22.5" customHeight="1">
      <c r="A483" s="299" t="s">
        <v>6048</v>
      </c>
      <c r="B483" s="377">
        <v>3.70348439E9</v>
      </c>
      <c r="C483" s="314" t="s">
        <v>49</v>
      </c>
      <c r="D483" s="293" t="s">
        <v>5274</v>
      </c>
      <c r="E483" s="311" t="s">
        <v>31</v>
      </c>
      <c r="F483" s="341" t="s">
        <v>5275</v>
      </c>
      <c r="G483" s="227" t="s">
        <v>5279</v>
      </c>
      <c r="H483" s="316" t="s">
        <v>21</v>
      </c>
      <c r="I483" s="227" t="s">
        <v>5279</v>
      </c>
      <c r="J483" s="316" t="s">
        <v>22</v>
      </c>
      <c r="K483" s="312" t="s">
        <v>5279</v>
      </c>
      <c r="L483" s="180" t="s">
        <v>5280</v>
      </c>
      <c r="M483" s="196"/>
      <c r="N483" s="196"/>
      <c r="O483" s="155"/>
      <c r="P483" s="284"/>
      <c r="Q483" s="284"/>
      <c r="R483" s="284"/>
      <c r="S483" s="284"/>
      <c r="T483" s="284"/>
      <c r="U483" s="284"/>
      <c r="V483" s="284"/>
      <c r="W483" s="284"/>
      <c r="X483" s="284"/>
      <c r="Y483" s="284"/>
      <c r="Z483" s="284"/>
    </row>
    <row r="484" ht="22.5" customHeight="1">
      <c r="A484" s="379" t="s">
        <v>6049</v>
      </c>
      <c r="B484" s="398">
        <v>3.44182089E9</v>
      </c>
      <c r="C484" s="323" t="s">
        <v>17</v>
      </c>
      <c r="D484" s="358" t="s">
        <v>5274</v>
      </c>
      <c r="E484" s="383" t="s">
        <v>19</v>
      </c>
      <c r="F484" s="344" t="s">
        <v>5275</v>
      </c>
      <c r="G484" s="383" t="s">
        <v>19</v>
      </c>
      <c r="H484" s="321" t="s">
        <v>21</v>
      </c>
      <c r="I484" s="383" t="s">
        <v>19</v>
      </c>
      <c r="J484" s="321" t="s">
        <v>22</v>
      </c>
      <c r="K484" s="401" t="s">
        <v>5279</v>
      </c>
      <c r="L484" s="385" t="s">
        <v>5271</v>
      </c>
      <c r="M484" s="197"/>
      <c r="N484" s="197"/>
      <c r="O484" s="147"/>
      <c r="P484" s="284"/>
      <c r="Q484" s="284"/>
      <c r="R484" s="284"/>
      <c r="S484" s="284"/>
      <c r="T484" s="284"/>
      <c r="U484" s="284"/>
      <c r="V484" s="284"/>
      <c r="W484" s="284"/>
      <c r="X484" s="284"/>
      <c r="Y484" s="284"/>
      <c r="Z484" s="284"/>
    </row>
    <row r="485" ht="22.5" customHeight="1">
      <c r="A485" s="299" t="s">
        <v>6050</v>
      </c>
      <c r="B485" s="377">
        <v>3.21110038E9</v>
      </c>
      <c r="C485" s="322" t="s">
        <v>17</v>
      </c>
      <c r="D485" s="293" t="s">
        <v>5274</v>
      </c>
      <c r="E485" s="363" t="s">
        <v>19</v>
      </c>
      <c r="F485" s="341" t="s">
        <v>5275</v>
      </c>
      <c r="G485" s="363" t="s">
        <v>19</v>
      </c>
      <c r="H485" s="316" t="s">
        <v>21</v>
      </c>
      <c r="I485" s="363" t="s">
        <v>19</v>
      </c>
      <c r="J485" s="316" t="s">
        <v>22</v>
      </c>
      <c r="K485" s="312" t="s">
        <v>5279</v>
      </c>
      <c r="L485" s="392" t="s">
        <v>5271</v>
      </c>
      <c r="M485" s="196"/>
      <c r="N485" s="196"/>
      <c r="O485" s="155"/>
      <c r="P485" s="284"/>
      <c r="Q485" s="284"/>
      <c r="R485" s="284"/>
      <c r="S485" s="284"/>
      <c r="T485" s="284"/>
      <c r="U485" s="284"/>
      <c r="V485" s="284"/>
      <c r="W485" s="284"/>
      <c r="X485" s="284"/>
      <c r="Y485" s="284"/>
      <c r="Z485" s="284"/>
    </row>
    <row r="486" ht="22.5" customHeight="1">
      <c r="A486" s="379" t="s">
        <v>6051</v>
      </c>
      <c r="B486" s="398">
        <v>3.04354461E9</v>
      </c>
      <c r="C486" s="323" t="s">
        <v>17</v>
      </c>
      <c r="D486" s="358" t="s">
        <v>5274</v>
      </c>
      <c r="E486" s="383" t="s">
        <v>19</v>
      </c>
      <c r="F486" s="344" t="s">
        <v>5275</v>
      </c>
      <c r="G486" s="383" t="s">
        <v>19</v>
      </c>
      <c r="H486" s="321" t="s">
        <v>21</v>
      </c>
      <c r="I486" s="383" t="s">
        <v>19</v>
      </c>
      <c r="J486" s="321" t="s">
        <v>22</v>
      </c>
      <c r="K486" s="401" t="s">
        <v>5279</v>
      </c>
      <c r="L486" s="385" t="s">
        <v>5271</v>
      </c>
      <c r="M486" s="197"/>
      <c r="N486" s="197"/>
      <c r="O486" s="147"/>
      <c r="P486" s="284"/>
      <c r="Q486" s="284"/>
      <c r="R486" s="284"/>
      <c r="S486" s="284"/>
      <c r="T486" s="284"/>
      <c r="U486" s="284"/>
      <c r="V486" s="284"/>
      <c r="W486" s="284"/>
      <c r="X486" s="284"/>
      <c r="Y486" s="284"/>
      <c r="Z486" s="284"/>
    </row>
    <row r="487" ht="22.5" customHeight="1">
      <c r="A487" s="299" t="s">
        <v>6052</v>
      </c>
      <c r="B487" s="377">
        <v>3.361218598E9</v>
      </c>
      <c r="C487" s="318" t="s">
        <v>40</v>
      </c>
      <c r="D487" s="293" t="s">
        <v>5274</v>
      </c>
      <c r="E487" s="311" t="s">
        <v>31</v>
      </c>
      <c r="F487" s="341" t="s">
        <v>5275</v>
      </c>
      <c r="G487" s="227" t="s">
        <v>5279</v>
      </c>
      <c r="H487" s="316" t="s">
        <v>21</v>
      </c>
      <c r="I487" s="227" t="s">
        <v>5279</v>
      </c>
      <c r="J487" s="316" t="s">
        <v>22</v>
      </c>
      <c r="K487" s="312" t="s">
        <v>5279</v>
      </c>
      <c r="L487" s="180" t="s">
        <v>5280</v>
      </c>
      <c r="M487" s="196"/>
      <c r="N487" s="196"/>
      <c r="O487" s="155"/>
      <c r="P487" s="284"/>
      <c r="Q487" s="284"/>
      <c r="R487" s="284"/>
      <c r="S487" s="284"/>
      <c r="T487" s="284"/>
      <c r="U487" s="284"/>
      <c r="V487" s="284"/>
      <c r="W487" s="284"/>
      <c r="X487" s="284"/>
      <c r="Y487" s="284"/>
      <c r="Z487" s="284"/>
    </row>
    <row r="488" ht="22.5" customHeight="1">
      <c r="A488" s="379" t="s">
        <v>6053</v>
      </c>
      <c r="B488" s="398">
        <v>3.161129015E9</v>
      </c>
      <c r="C488" s="319" t="s">
        <v>40</v>
      </c>
      <c r="D488" s="358" t="s">
        <v>5274</v>
      </c>
      <c r="E488" s="382" t="s">
        <v>31</v>
      </c>
      <c r="F488" s="344" t="s">
        <v>5275</v>
      </c>
      <c r="G488" s="384" t="s">
        <v>5279</v>
      </c>
      <c r="H488" s="321" t="s">
        <v>21</v>
      </c>
      <c r="I488" s="384" t="s">
        <v>5279</v>
      </c>
      <c r="J488" s="321" t="s">
        <v>22</v>
      </c>
      <c r="K488" s="401" t="s">
        <v>5279</v>
      </c>
      <c r="L488" s="389" t="s">
        <v>5280</v>
      </c>
      <c r="M488" s="197"/>
      <c r="N488" s="197"/>
      <c r="O488" s="147"/>
      <c r="P488" s="284"/>
      <c r="Q488" s="284"/>
      <c r="R488" s="284"/>
      <c r="S488" s="284"/>
      <c r="T488" s="284"/>
      <c r="U488" s="284"/>
      <c r="V488" s="284"/>
      <c r="W488" s="284"/>
      <c r="X488" s="284"/>
      <c r="Y488" s="284"/>
      <c r="Z488" s="284"/>
    </row>
    <row r="489" ht="22.5" customHeight="1">
      <c r="A489" s="299" t="s">
        <v>6054</v>
      </c>
      <c r="B489" s="377">
        <v>3.27201415E9</v>
      </c>
      <c r="C489" s="322" t="s">
        <v>17</v>
      </c>
      <c r="D489" s="293" t="s">
        <v>5274</v>
      </c>
      <c r="E489" s="363" t="s">
        <v>19</v>
      </c>
      <c r="F489" s="341" t="s">
        <v>5275</v>
      </c>
      <c r="G489" s="363" t="s">
        <v>19</v>
      </c>
      <c r="H489" s="316" t="s">
        <v>21</v>
      </c>
      <c r="I489" s="363" t="s">
        <v>19</v>
      </c>
      <c r="J489" s="316" t="s">
        <v>22</v>
      </c>
      <c r="K489" s="312" t="s">
        <v>5279</v>
      </c>
      <c r="L489" s="392" t="s">
        <v>5271</v>
      </c>
      <c r="M489" s="196"/>
      <c r="N489" s="196"/>
      <c r="O489" s="155"/>
      <c r="P489" s="284"/>
      <c r="Q489" s="284"/>
      <c r="R489" s="284"/>
      <c r="S489" s="284"/>
      <c r="T489" s="284"/>
      <c r="U489" s="284"/>
      <c r="V489" s="284"/>
      <c r="W489" s="284"/>
      <c r="X489" s="284"/>
      <c r="Y489" s="284"/>
      <c r="Z489" s="284"/>
    </row>
    <row r="490" ht="22.5" customHeight="1">
      <c r="A490" s="379" t="s">
        <v>6055</v>
      </c>
      <c r="B490" s="398">
        <v>3.002113911E9</v>
      </c>
      <c r="C490" s="319" t="s">
        <v>40</v>
      </c>
      <c r="D490" s="358" t="s">
        <v>5274</v>
      </c>
      <c r="E490" s="382" t="s">
        <v>31</v>
      </c>
      <c r="F490" s="344" t="s">
        <v>5275</v>
      </c>
      <c r="G490" s="384" t="s">
        <v>5279</v>
      </c>
      <c r="H490" s="321" t="s">
        <v>21</v>
      </c>
      <c r="I490" s="384" t="s">
        <v>5279</v>
      </c>
      <c r="J490" s="321" t="s">
        <v>22</v>
      </c>
      <c r="K490" s="401" t="s">
        <v>5279</v>
      </c>
      <c r="L490" s="389" t="s">
        <v>5280</v>
      </c>
      <c r="M490" s="197"/>
      <c r="N490" s="197"/>
      <c r="O490" s="147"/>
      <c r="P490" s="284"/>
      <c r="Q490" s="284"/>
      <c r="R490" s="284"/>
      <c r="S490" s="284"/>
      <c r="T490" s="284"/>
      <c r="U490" s="284"/>
      <c r="V490" s="284"/>
      <c r="W490" s="284"/>
      <c r="X490" s="284"/>
      <c r="Y490" s="284"/>
      <c r="Z490" s="284"/>
    </row>
    <row r="491" ht="22.5" customHeight="1">
      <c r="A491" s="299" t="s">
        <v>6056</v>
      </c>
      <c r="B491" s="377">
        <v>3.346275667E9</v>
      </c>
      <c r="C491" s="322" t="s">
        <v>17</v>
      </c>
      <c r="D491" s="293" t="s">
        <v>5274</v>
      </c>
      <c r="E491" s="363" t="s">
        <v>19</v>
      </c>
      <c r="F491" s="341" t="s">
        <v>5275</v>
      </c>
      <c r="G491" s="363" t="s">
        <v>19</v>
      </c>
      <c r="H491" s="316" t="s">
        <v>21</v>
      </c>
      <c r="I491" s="363" t="s">
        <v>19</v>
      </c>
      <c r="J491" s="316" t="s">
        <v>22</v>
      </c>
      <c r="K491" s="312" t="s">
        <v>5279</v>
      </c>
      <c r="L491" s="392" t="s">
        <v>5271</v>
      </c>
      <c r="M491" s="196"/>
      <c r="N491" s="196"/>
      <c r="O491" s="155"/>
      <c r="P491" s="284"/>
      <c r="Q491" s="284"/>
      <c r="R491" s="284"/>
      <c r="S491" s="284"/>
      <c r="T491" s="284"/>
      <c r="U491" s="284"/>
      <c r="V491" s="284"/>
      <c r="W491" s="284"/>
      <c r="X491" s="284"/>
      <c r="Y491" s="284"/>
      <c r="Z491" s="284"/>
    </row>
    <row r="492" ht="22.5" customHeight="1">
      <c r="A492" s="379" t="s">
        <v>6057</v>
      </c>
      <c r="B492" s="398">
        <v>3.320940678E9</v>
      </c>
      <c r="C492" s="323" t="s">
        <v>17</v>
      </c>
      <c r="D492" s="358" t="s">
        <v>5274</v>
      </c>
      <c r="E492" s="383" t="s">
        <v>19</v>
      </c>
      <c r="F492" s="344" t="s">
        <v>5275</v>
      </c>
      <c r="G492" s="383" t="s">
        <v>19</v>
      </c>
      <c r="H492" s="321" t="s">
        <v>21</v>
      </c>
      <c r="I492" s="383" t="s">
        <v>19</v>
      </c>
      <c r="J492" s="321" t="s">
        <v>22</v>
      </c>
      <c r="K492" s="401" t="s">
        <v>5279</v>
      </c>
      <c r="L492" s="402"/>
      <c r="M492" s="197"/>
      <c r="N492" s="197"/>
      <c r="O492" s="147"/>
      <c r="P492" s="284"/>
      <c r="Q492" s="284"/>
      <c r="R492" s="284"/>
      <c r="S492" s="284"/>
      <c r="T492" s="284"/>
      <c r="U492" s="284"/>
      <c r="V492" s="284"/>
      <c r="W492" s="284"/>
      <c r="X492" s="284"/>
      <c r="Y492" s="284"/>
      <c r="Z492" s="284"/>
    </row>
    <row r="493" ht="22.5" customHeight="1">
      <c r="A493" s="299" t="s">
        <v>6058</v>
      </c>
      <c r="B493" s="377">
        <v>3.431368625E9</v>
      </c>
      <c r="C493" s="314" t="s">
        <v>49</v>
      </c>
      <c r="D493" s="293" t="s">
        <v>5274</v>
      </c>
      <c r="E493" s="311" t="s">
        <v>31</v>
      </c>
      <c r="F493" s="341" t="s">
        <v>5275</v>
      </c>
      <c r="G493" s="227" t="s">
        <v>5279</v>
      </c>
      <c r="H493" s="316" t="s">
        <v>21</v>
      </c>
      <c r="I493" s="414"/>
      <c r="J493" s="415"/>
      <c r="K493" s="416"/>
      <c r="L493" s="181"/>
      <c r="M493" s="196"/>
      <c r="N493" s="196"/>
      <c r="O493" s="155"/>
      <c r="P493" s="284"/>
      <c r="Q493" s="284"/>
      <c r="R493" s="284"/>
      <c r="S493" s="284"/>
      <c r="T493" s="284"/>
      <c r="U493" s="284"/>
      <c r="V493" s="284"/>
      <c r="W493" s="284"/>
      <c r="X493" s="284"/>
      <c r="Y493" s="284"/>
      <c r="Z493" s="284"/>
    </row>
    <row r="494" ht="22.5" customHeight="1">
      <c r="A494" s="379" t="s">
        <v>6059</v>
      </c>
      <c r="B494" s="398">
        <v>3.122774471E9</v>
      </c>
      <c r="C494" s="323" t="s">
        <v>17</v>
      </c>
      <c r="D494" s="358" t="s">
        <v>5274</v>
      </c>
      <c r="E494" s="383" t="s">
        <v>19</v>
      </c>
      <c r="F494" s="344" t="s">
        <v>5275</v>
      </c>
      <c r="G494" s="383" t="s">
        <v>19</v>
      </c>
      <c r="H494" s="321" t="s">
        <v>21</v>
      </c>
      <c r="I494" s="383" t="s">
        <v>19</v>
      </c>
      <c r="J494" s="321" t="s">
        <v>22</v>
      </c>
      <c r="K494" s="401" t="s">
        <v>5279</v>
      </c>
      <c r="L494" s="402"/>
      <c r="M494" s="197"/>
      <c r="N494" s="197"/>
      <c r="O494" s="147"/>
      <c r="P494" s="284"/>
      <c r="Q494" s="284"/>
      <c r="R494" s="284"/>
      <c r="S494" s="284"/>
      <c r="T494" s="284"/>
      <c r="U494" s="284"/>
      <c r="V494" s="284"/>
      <c r="W494" s="284"/>
      <c r="X494" s="284"/>
      <c r="Y494" s="284"/>
      <c r="Z494" s="284"/>
    </row>
    <row r="495" ht="22.5" customHeight="1">
      <c r="A495" s="299" t="s">
        <v>6060</v>
      </c>
      <c r="B495" s="377">
        <v>3.368224748E9</v>
      </c>
      <c r="C495" s="318" t="s">
        <v>40</v>
      </c>
      <c r="D495" s="293" t="s">
        <v>5274</v>
      </c>
      <c r="E495" s="227" t="s">
        <v>640</v>
      </c>
      <c r="F495" s="341" t="s">
        <v>5275</v>
      </c>
      <c r="G495" s="311" t="s">
        <v>31</v>
      </c>
      <c r="H495" s="316" t="s">
        <v>21</v>
      </c>
      <c r="I495" s="227" t="s">
        <v>5279</v>
      </c>
      <c r="J495" s="294" t="s">
        <v>22</v>
      </c>
      <c r="K495" s="312" t="s">
        <v>5279</v>
      </c>
      <c r="L495" s="180" t="s">
        <v>5280</v>
      </c>
      <c r="M495" s="196"/>
      <c r="N495" s="196"/>
      <c r="O495" s="155"/>
      <c r="P495" s="284"/>
      <c r="Q495" s="284"/>
      <c r="R495" s="284"/>
      <c r="S495" s="284"/>
      <c r="T495" s="284"/>
      <c r="U495" s="284"/>
      <c r="V495" s="284"/>
      <c r="W495" s="284"/>
      <c r="X495" s="284"/>
      <c r="Y495" s="284"/>
      <c r="Z495" s="284"/>
    </row>
    <row r="496" ht="22.5" customHeight="1">
      <c r="A496" s="379" t="s">
        <v>6061</v>
      </c>
      <c r="B496" s="420" t="s">
        <v>6062</v>
      </c>
      <c r="C496" s="355" t="s">
        <v>5416</v>
      </c>
      <c r="D496" s="358" t="s">
        <v>5274</v>
      </c>
      <c r="E496" s="384" t="s">
        <v>640</v>
      </c>
      <c r="F496" s="344" t="s">
        <v>5275</v>
      </c>
      <c r="G496" s="384" t="s">
        <v>5279</v>
      </c>
      <c r="H496" s="321" t="s">
        <v>21</v>
      </c>
      <c r="I496" s="384" t="s">
        <v>5279</v>
      </c>
      <c r="J496" s="321" t="s">
        <v>22</v>
      </c>
      <c r="K496" s="401" t="s">
        <v>5279</v>
      </c>
      <c r="L496" s="385" t="s">
        <v>5271</v>
      </c>
      <c r="M496" s="197"/>
      <c r="N496" s="197"/>
      <c r="O496" s="147"/>
      <c r="P496" s="284"/>
      <c r="Q496" s="284"/>
      <c r="R496" s="284"/>
      <c r="S496" s="284"/>
      <c r="T496" s="284"/>
      <c r="U496" s="284"/>
      <c r="V496" s="284"/>
      <c r="W496" s="284"/>
      <c r="X496" s="284"/>
      <c r="Y496" s="284"/>
      <c r="Z496" s="284"/>
    </row>
    <row r="497" ht="22.5" customHeight="1">
      <c r="A497" s="299" t="s">
        <v>6063</v>
      </c>
      <c r="B497" s="377">
        <v>3.284202031E9</v>
      </c>
      <c r="C497" s="322" t="s">
        <v>17</v>
      </c>
      <c r="D497" s="293" t="s">
        <v>5274</v>
      </c>
      <c r="E497" s="363" t="s">
        <v>19</v>
      </c>
      <c r="F497" s="341" t="s">
        <v>5275</v>
      </c>
      <c r="G497" s="363" t="s">
        <v>19</v>
      </c>
      <c r="H497" s="316" t="s">
        <v>21</v>
      </c>
      <c r="I497" s="363" t="s">
        <v>19</v>
      </c>
      <c r="J497" s="294" t="s">
        <v>22</v>
      </c>
      <c r="K497" s="312" t="s">
        <v>5279</v>
      </c>
      <c r="L497" s="181"/>
      <c r="M497" s="196"/>
      <c r="N497" s="196"/>
      <c r="O497" s="155"/>
      <c r="P497" s="284"/>
      <c r="Q497" s="284"/>
      <c r="R497" s="284"/>
      <c r="S497" s="284"/>
      <c r="T497" s="284"/>
      <c r="U497" s="284"/>
      <c r="V497" s="284"/>
      <c r="W497" s="284"/>
      <c r="X497" s="284"/>
      <c r="Y497" s="284"/>
      <c r="Z497" s="284"/>
    </row>
    <row r="498" ht="22.5" customHeight="1">
      <c r="A498" s="379" t="s">
        <v>6064</v>
      </c>
      <c r="B498" s="398">
        <v>3.059091095E9</v>
      </c>
      <c r="C498" s="319" t="s">
        <v>40</v>
      </c>
      <c r="D498" s="358" t="s">
        <v>5274</v>
      </c>
      <c r="E498" s="384" t="s">
        <v>640</v>
      </c>
      <c r="F498" s="344" t="s">
        <v>5275</v>
      </c>
      <c r="G498" s="382" t="s">
        <v>31</v>
      </c>
      <c r="H498" s="321" t="s">
        <v>21</v>
      </c>
      <c r="I498" s="384" t="s">
        <v>5279</v>
      </c>
      <c r="J498" s="321" t="s">
        <v>22</v>
      </c>
      <c r="K498" s="401" t="s">
        <v>5279</v>
      </c>
      <c r="L498" s="389" t="s">
        <v>5280</v>
      </c>
      <c r="M498" s="197"/>
      <c r="N498" s="197"/>
      <c r="O498" s="147"/>
      <c r="P498" s="284"/>
      <c r="Q498" s="284"/>
      <c r="R498" s="284"/>
      <c r="S498" s="284"/>
      <c r="T498" s="284"/>
      <c r="U498" s="284"/>
      <c r="V498" s="284"/>
      <c r="W498" s="284"/>
      <c r="X498" s="284"/>
      <c r="Y498" s="284"/>
      <c r="Z498" s="284"/>
    </row>
    <row r="499" ht="22.5" customHeight="1">
      <c r="A499" s="299" t="s">
        <v>6065</v>
      </c>
      <c r="B499" s="377">
        <v>3.087333433E9</v>
      </c>
      <c r="C499" s="322" t="s">
        <v>17</v>
      </c>
      <c r="D499" s="293" t="s">
        <v>5274</v>
      </c>
      <c r="E499" s="363" t="s">
        <v>19</v>
      </c>
      <c r="F499" s="341" t="s">
        <v>5275</v>
      </c>
      <c r="G499" s="363" t="s">
        <v>19</v>
      </c>
      <c r="H499" s="316" t="s">
        <v>21</v>
      </c>
      <c r="I499" s="363" t="s">
        <v>19</v>
      </c>
      <c r="J499" s="294" t="s">
        <v>22</v>
      </c>
      <c r="K499" s="312" t="s">
        <v>5279</v>
      </c>
      <c r="L499" s="181"/>
      <c r="M499" s="196"/>
      <c r="N499" s="196"/>
      <c r="O499" s="155"/>
      <c r="P499" s="284"/>
      <c r="Q499" s="284"/>
      <c r="R499" s="284"/>
      <c r="S499" s="284"/>
      <c r="T499" s="284"/>
      <c r="U499" s="284"/>
      <c r="V499" s="284"/>
      <c r="W499" s="284"/>
      <c r="X499" s="284"/>
      <c r="Y499" s="284"/>
      <c r="Z499" s="284"/>
    </row>
    <row r="500" ht="22.5" customHeight="1">
      <c r="A500" s="379" t="s">
        <v>6066</v>
      </c>
      <c r="B500" s="398">
        <v>3.474633071E9</v>
      </c>
      <c r="C500" s="319" t="s">
        <v>40</v>
      </c>
      <c r="D500" s="358" t="s">
        <v>5274</v>
      </c>
      <c r="E500" s="384" t="s">
        <v>640</v>
      </c>
      <c r="F500" s="344" t="s">
        <v>5275</v>
      </c>
      <c r="G500" s="382" t="s">
        <v>31</v>
      </c>
      <c r="H500" s="321" t="s">
        <v>21</v>
      </c>
      <c r="I500" s="384" t="s">
        <v>5279</v>
      </c>
      <c r="J500" s="321" t="s">
        <v>22</v>
      </c>
      <c r="K500" s="401" t="s">
        <v>5279</v>
      </c>
      <c r="L500" s="389" t="s">
        <v>5280</v>
      </c>
      <c r="M500" s="197"/>
      <c r="N500" s="197"/>
      <c r="O500" s="147"/>
      <c r="P500" s="284"/>
      <c r="Q500" s="284"/>
      <c r="R500" s="284"/>
      <c r="S500" s="284"/>
      <c r="T500" s="284"/>
      <c r="U500" s="284"/>
      <c r="V500" s="284"/>
      <c r="W500" s="284"/>
      <c r="X500" s="284"/>
      <c r="Y500" s="284"/>
      <c r="Z500" s="284"/>
    </row>
    <row r="501" ht="22.5" customHeight="1">
      <c r="A501" s="299" t="s">
        <v>6067</v>
      </c>
      <c r="B501" s="377">
        <v>3.29260704E9</v>
      </c>
      <c r="C501" s="314" t="s">
        <v>49</v>
      </c>
      <c r="D501" s="293" t="s">
        <v>5274</v>
      </c>
      <c r="E501" s="311" t="s">
        <v>31</v>
      </c>
      <c r="F501" s="341" t="s">
        <v>5275</v>
      </c>
      <c r="G501" s="363" t="s">
        <v>19</v>
      </c>
      <c r="H501" s="316" t="s">
        <v>21</v>
      </c>
      <c r="I501" s="227" t="s">
        <v>5279</v>
      </c>
      <c r="J501" s="294" t="s">
        <v>22</v>
      </c>
      <c r="K501" s="312" t="s">
        <v>5279</v>
      </c>
      <c r="L501" s="181"/>
      <c r="M501" s="196"/>
      <c r="N501" s="196"/>
      <c r="O501" s="155"/>
      <c r="P501" s="284"/>
      <c r="Q501" s="284"/>
      <c r="R501" s="284"/>
      <c r="S501" s="284"/>
      <c r="T501" s="284"/>
      <c r="U501" s="284"/>
      <c r="V501" s="284"/>
      <c r="W501" s="284"/>
      <c r="X501" s="284"/>
      <c r="Y501" s="284"/>
      <c r="Z501" s="284"/>
    </row>
    <row r="502" ht="22.5" customHeight="1">
      <c r="A502" s="379" t="s">
        <v>6068</v>
      </c>
      <c r="B502" s="398">
        <v>3.33334794E9</v>
      </c>
      <c r="C502" s="317" t="s">
        <v>49</v>
      </c>
      <c r="D502" s="358" t="s">
        <v>5274</v>
      </c>
      <c r="E502" s="384" t="s">
        <v>640</v>
      </c>
      <c r="F502" s="344" t="s">
        <v>5275</v>
      </c>
      <c r="G502" s="382" t="s">
        <v>31</v>
      </c>
      <c r="H502" s="321" t="s">
        <v>21</v>
      </c>
      <c r="I502" s="417"/>
      <c r="J502" s="418"/>
      <c r="K502" s="419"/>
      <c r="L502" s="402"/>
      <c r="M502" s="197"/>
      <c r="N502" s="197"/>
      <c r="O502" s="147"/>
      <c r="P502" s="284"/>
      <c r="Q502" s="284"/>
      <c r="R502" s="284"/>
      <c r="S502" s="284"/>
      <c r="T502" s="284"/>
      <c r="U502" s="284"/>
      <c r="V502" s="284"/>
      <c r="W502" s="284"/>
      <c r="X502" s="284"/>
      <c r="Y502" s="284"/>
      <c r="Z502" s="284"/>
    </row>
    <row r="503" ht="22.5" customHeight="1">
      <c r="A503" s="299" t="s">
        <v>6069</v>
      </c>
      <c r="B503" s="377">
        <v>3.206501861E9</v>
      </c>
      <c r="C503" s="318" t="s">
        <v>40</v>
      </c>
      <c r="D503" s="293" t="s">
        <v>5274</v>
      </c>
      <c r="E503" s="227" t="s">
        <v>640</v>
      </c>
      <c r="F503" s="341" t="s">
        <v>5275</v>
      </c>
      <c r="G503" s="311" t="s">
        <v>31</v>
      </c>
      <c r="H503" s="316" t="s">
        <v>21</v>
      </c>
      <c r="I503" s="227" t="s">
        <v>5279</v>
      </c>
      <c r="J503" s="294" t="s">
        <v>22</v>
      </c>
      <c r="K503" s="312" t="s">
        <v>5279</v>
      </c>
      <c r="L503" s="180" t="s">
        <v>5280</v>
      </c>
      <c r="M503" s="196"/>
      <c r="N503" s="196"/>
      <c r="O503" s="155"/>
      <c r="P503" s="284"/>
      <c r="Q503" s="284"/>
      <c r="R503" s="284"/>
      <c r="S503" s="284"/>
      <c r="T503" s="284"/>
      <c r="U503" s="284"/>
      <c r="V503" s="284"/>
      <c r="W503" s="284"/>
      <c r="X503" s="284"/>
      <c r="Y503" s="284"/>
      <c r="Z503" s="284"/>
    </row>
    <row r="504" ht="22.5" customHeight="1">
      <c r="A504" s="379" t="s">
        <v>6070</v>
      </c>
      <c r="B504" s="398">
        <v>3.114593753E9</v>
      </c>
      <c r="C504" s="355" t="s">
        <v>5416</v>
      </c>
      <c r="D504" s="358" t="s">
        <v>5274</v>
      </c>
      <c r="E504" s="384" t="s">
        <v>640</v>
      </c>
      <c r="F504" s="344" t="s">
        <v>5275</v>
      </c>
      <c r="G504" s="384" t="s">
        <v>5279</v>
      </c>
      <c r="H504" s="321" t="s">
        <v>21</v>
      </c>
      <c r="I504" s="384" t="s">
        <v>5279</v>
      </c>
      <c r="J504" s="321" t="s">
        <v>22</v>
      </c>
      <c r="K504" s="401" t="s">
        <v>5279</v>
      </c>
      <c r="L504" s="385" t="s">
        <v>5271</v>
      </c>
      <c r="M504" s="197"/>
      <c r="N504" s="197"/>
      <c r="O504" s="147"/>
      <c r="P504" s="284"/>
      <c r="Q504" s="284"/>
      <c r="R504" s="284"/>
      <c r="S504" s="284"/>
      <c r="T504" s="284"/>
      <c r="U504" s="284"/>
      <c r="V504" s="284"/>
      <c r="W504" s="284"/>
      <c r="X504" s="284"/>
      <c r="Y504" s="284"/>
      <c r="Z504" s="284"/>
    </row>
    <row r="505" ht="22.5" customHeight="1">
      <c r="A505" s="299" t="s">
        <v>6071</v>
      </c>
      <c r="B505" s="377">
        <v>3.025077924E9</v>
      </c>
      <c r="C505" s="322" t="s">
        <v>17</v>
      </c>
      <c r="D505" s="293" t="s">
        <v>5274</v>
      </c>
      <c r="E505" s="363" t="s">
        <v>19</v>
      </c>
      <c r="F505" s="341" t="s">
        <v>5275</v>
      </c>
      <c r="G505" s="363" t="s">
        <v>19</v>
      </c>
      <c r="H505" s="316" t="s">
        <v>21</v>
      </c>
      <c r="I505" s="363" t="s">
        <v>19</v>
      </c>
      <c r="J505" s="294" t="s">
        <v>22</v>
      </c>
      <c r="K505" s="312" t="s">
        <v>5279</v>
      </c>
      <c r="L505" s="181"/>
      <c r="M505" s="196"/>
      <c r="N505" s="196"/>
      <c r="O505" s="155"/>
      <c r="P505" s="284"/>
      <c r="Q505" s="284"/>
      <c r="R505" s="284"/>
      <c r="S505" s="284"/>
      <c r="T505" s="284"/>
      <c r="U505" s="284"/>
      <c r="V505" s="284"/>
      <c r="W505" s="284"/>
      <c r="X505" s="284"/>
      <c r="Y505" s="284"/>
      <c r="Z505" s="284"/>
    </row>
    <row r="506" ht="22.5" customHeight="1">
      <c r="A506" s="379" t="s">
        <v>6072</v>
      </c>
      <c r="B506" s="398">
        <v>3.188159066E9</v>
      </c>
      <c r="C506" s="317" t="s">
        <v>49</v>
      </c>
      <c r="D506" s="358" t="s">
        <v>5274</v>
      </c>
      <c r="E506" s="384" t="s">
        <v>640</v>
      </c>
      <c r="F506" s="344" t="s">
        <v>5275</v>
      </c>
      <c r="G506" s="382" t="s">
        <v>31</v>
      </c>
      <c r="H506" s="321" t="s">
        <v>21</v>
      </c>
      <c r="I506" s="417"/>
      <c r="J506" s="418"/>
      <c r="K506" s="419"/>
      <c r="L506" s="402"/>
      <c r="M506" s="197"/>
      <c r="N506" s="197"/>
      <c r="O506" s="147"/>
      <c r="P506" s="284"/>
      <c r="Q506" s="284"/>
      <c r="R506" s="284"/>
      <c r="S506" s="284"/>
      <c r="T506" s="284"/>
      <c r="U506" s="284"/>
      <c r="V506" s="284"/>
      <c r="W506" s="284"/>
      <c r="X506" s="284"/>
      <c r="Y506" s="284"/>
      <c r="Z506" s="284"/>
    </row>
    <row r="507" ht="22.5" customHeight="1">
      <c r="A507" s="299" t="s">
        <v>6073</v>
      </c>
      <c r="B507" s="377">
        <v>3.048721047E9</v>
      </c>
      <c r="C507" s="407" t="s">
        <v>3955</v>
      </c>
      <c r="D507" s="293" t="s">
        <v>5274</v>
      </c>
      <c r="E507" s="227" t="s">
        <v>640</v>
      </c>
      <c r="F507" s="341" t="s">
        <v>5275</v>
      </c>
      <c r="G507" s="311" t="s">
        <v>31</v>
      </c>
      <c r="H507" s="316" t="s">
        <v>21</v>
      </c>
      <c r="I507" s="227" t="s">
        <v>5279</v>
      </c>
      <c r="J507" s="294" t="s">
        <v>22</v>
      </c>
      <c r="K507" s="312" t="s">
        <v>5279</v>
      </c>
      <c r="L507" s="180" t="s">
        <v>5280</v>
      </c>
      <c r="M507" s="196"/>
      <c r="N507" s="196"/>
      <c r="O507" s="155"/>
      <c r="P507" s="284"/>
      <c r="Q507" s="284"/>
      <c r="R507" s="284"/>
      <c r="S507" s="284"/>
      <c r="T507" s="284"/>
      <c r="U507" s="284"/>
      <c r="V507" s="284"/>
      <c r="W507" s="284"/>
      <c r="X507" s="284"/>
      <c r="Y507" s="284"/>
      <c r="Z507" s="284"/>
    </row>
    <row r="508" ht="22.5" customHeight="1">
      <c r="A508" s="379" t="s">
        <v>6074</v>
      </c>
      <c r="B508" s="398">
        <v>3.234922914E9</v>
      </c>
      <c r="C508" s="360" t="s">
        <v>30</v>
      </c>
      <c r="D508" s="358" t="s">
        <v>5274</v>
      </c>
      <c r="E508" s="383" t="s">
        <v>19</v>
      </c>
      <c r="F508" s="344" t="s">
        <v>5275</v>
      </c>
      <c r="G508" s="383" t="s">
        <v>19</v>
      </c>
      <c r="H508" s="321" t="s">
        <v>21</v>
      </c>
      <c r="I508" s="384" t="s">
        <v>5279</v>
      </c>
      <c r="J508" s="321" t="s">
        <v>22</v>
      </c>
      <c r="K508" s="401" t="s">
        <v>5279</v>
      </c>
      <c r="L508" s="402"/>
      <c r="M508" s="197"/>
      <c r="N508" s="197"/>
      <c r="O508" s="147"/>
      <c r="P508" s="284"/>
      <c r="Q508" s="284"/>
      <c r="R508" s="284"/>
      <c r="S508" s="284"/>
      <c r="T508" s="284"/>
      <c r="U508" s="284"/>
      <c r="V508" s="284"/>
      <c r="W508" s="284"/>
      <c r="X508" s="284"/>
      <c r="Y508" s="284"/>
      <c r="Z508" s="284"/>
    </row>
    <row r="509" ht="22.5" customHeight="1">
      <c r="A509" s="299" t="s">
        <v>6075</v>
      </c>
      <c r="B509" s="377">
        <v>3.708195829E9</v>
      </c>
      <c r="C509" s="322" t="s">
        <v>17</v>
      </c>
      <c r="D509" s="293" t="s">
        <v>5274</v>
      </c>
      <c r="E509" s="363" t="s">
        <v>19</v>
      </c>
      <c r="F509" s="341" t="s">
        <v>5275</v>
      </c>
      <c r="G509" s="363" t="s">
        <v>19</v>
      </c>
      <c r="H509" s="316" t="s">
        <v>21</v>
      </c>
      <c r="I509" s="363" t="s">
        <v>19</v>
      </c>
      <c r="J509" s="294" t="s">
        <v>22</v>
      </c>
      <c r="K509" s="312" t="s">
        <v>5279</v>
      </c>
      <c r="L509" s="181"/>
      <c r="M509" s="196"/>
      <c r="N509" s="196"/>
      <c r="O509" s="155"/>
      <c r="P509" s="284"/>
      <c r="Q509" s="284"/>
      <c r="R509" s="284"/>
      <c r="S509" s="284"/>
      <c r="T509" s="284"/>
      <c r="U509" s="284"/>
      <c r="V509" s="284"/>
      <c r="W509" s="284"/>
      <c r="X509" s="284"/>
      <c r="Y509" s="284"/>
      <c r="Z509" s="284"/>
    </row>
    <row r="510" ht="22.5" customHeight="1">
      <c r="A510" s="379" t="s">
        <v>6076</v>
      </c>
      <c r="B510" s="398">
        <v>3.366003473E9</v>
      </c>
      <c r="C510" s="323" t="s">
        <v>17</v>
      </c>
      <c r="D510" s="358" t="s">
        <v>5274</v>
      </c>
      <c r="E510" s="383" t="s">
        <v>19</v>
      </c>
      <c r="F510" s="344" t="s">
        <v>5275</v>
      </c>
      <c r="G510" s="383" t="s">
        <v>19</v>
      </c>
      <c r="H510" s="321" t="s">
        <v>21</v>
      </c>
      <c r="I510" s="383" t="s">
        <v>19</v>
      </c>
      <c r="J510" s="321" t="s">
        <v>22</v>
      </c>
      <c r="K510" s="401" t="s">
        <v>5279</v>
      </c>
      <c r="L510" s="402"/>
      <c r="M510" s="197"/>
      <c r="N510" s="197"/>
      <c r="O510" s="147"/>
      <c r="P510" s="284"/>
      <c r="Q510" s="284"/>
      <c r="R510" s="284"/>
      <c r="S510" s="284"/>
      <c r="T510" s="284"/>
      <c r="U510" s="284"/>
      <c r="V510" s="284"/>
      <c r="W510" s="284"/>
      <c r="X510" s="284"/>
      <c r="Y510" s="284"/>
      <c r="Z510" s="284"/>
    </row>
    <row r="511" ht="22.5" customHeight="1">
      <c r="A511" s="299" t="s">
        <v>6077</v>
      </c>
      <c r="B511" s="377">
        <v>3.479450638E9</v>
      </c>
      <c r="C511" s="314" t="s">
        <v>49</v>
      </c>
      <c r="D511" s="293" t="s">
        <v>5274</v>
      </c>
      <c r="E511" s="227" t="s">
        <v>640</v>
      </c>
      <c r="F511" s="341" t="s">
        <v>5275</v>
      </c>
      <c r="G511" s="227" t="s">
        <v>5279</v>
      </c>
      <c r="H511" s="316" t="s">
        <v>21</v>
      </c>
      <c r="I511" s="311" t="s">
        <v>31</v>
      </c>
      <c r="J511" s="415"/>
      <c r="K511" s="416"/>
      <c r="L511" s="181"/>
      <c r="M511" s="196"/>
      <c r="N511" s="196"/>
      <c r="O511" s="155"/>
      <c r="P511" s="284"/>
      <c r="Q511" s="284"/>
      <c r="R511" s="284"/>
      <c r="S511" s="284"/>
      <c r="T511" s="284"/>
      <c r="U511" s="284"/>
      <c r="V511" s="284"/>
      <c r="W511" s="284"/>
      <c r="X511" s="284"/>
      <c r="Y511" s="284"/>
      <c r="Z511" s="284"/>
    </row>
    <row r="512" ht="22.5" customHeight="1">
      <c r="A512" s="379" t="s">
        <v>6078</v>
      </c>
      <c r="B512" s="398">
        <v>3.333002656E9</v>
      </c>
      <c r="C512" s="317" t="s">
        <v>49</v>
      </c>
      <c r="D512" s="358" t="s">
        <v>5274</v>
      </c>
      <c r="E512" s="383" t="s">
        <v>19</v>
      </c>
      <c r="F512" s="344" t="s">
        <v>5275</v>
      </c>
      <c r="G512" s="384" t="s">
        <v>5279</v>
      </c>
      <c r="H512" s="321" t="s">
        <v>21</v>
      </c>
      <c r="I512" s="383" t="s">
        <v>19</v>
      </c>
      <c r="J512" s="321" t="s">
        <v>22</v>
      </c>
      <c r="K512" s="401" t="s">
        <v>5279</v>
      </c>
      <c r="L512" s="402"/>
      <c r="M512" s="197"/>
      <c r="N512" s="197"/>
      <c r="O512" s="147"/>
      <c r="P512" s="284"/>
      <c r="Q512" s="284"/>
      <c r="R512" s="284"/>
      <c r="S512" s="284"/>
      <c r="T512" s="284"/>
      <c r="U512" s="284"/>
      <c r="V512" s="284"/>
      <c r="W512" s="284"/>
      <c r="X512" s="284"/>
      <c r="Y512" s="284"/>
      <c r="Z512" s="284"/>
    </row>
    <row r="513" ht="22.5" customHeight="1">
      <c r="A513" s="299" t="s">
        <v>6079</v>
      </c>
      <c r="B513" s="377">
        <v>3.187379578E9</v>
      </c>
      <c r="C513" s="331" t="s">
        <v>30</v>
      </c>
      <c r="D513" s="293" t="s">
        <v>5274</v>
      </c>
      <c r="E513" s="311" t="s">
        <v>31</v>
      </c>
      <c r="F513" s="341" t="s">
        <v>5275</v>
      </c>
      <c r="G513" s="363" t="s">
        <v>19</v>
      </c>
      <c r="H513" s="316" t="s">
        <v>21</v>
      </c>
      <c r="I513" s="311" t="s">
        <v>31</v>
      </c>
      <c r="J513" s="294" t="s">
        <v>22</v>
      </c>
      <c r="K513" s="312" t="s">
        <v>5279</v>
      </c>
      <c r="L513" s="181"/>
      <c r="M513" s="196"/>
      <c r="N513" s="196"/>
      <c r="O513" s="155"/>
      <c r="P513" s="284"/>
      <c r="Q513" s="284"/>
      <c r="R513" s="284"/>
      <c r="S513" s="284"/>
      <c r="T513" s="284"/>
      <c r="U513" s="284"/>
      <c r="V513" s="284"/>
      <c r="W513" s="284"/>
      <c r="X513" s="284"/>
      <c r="Y513" s="284"/>
      <c r="Z513" s="284"/>
    </row>
    <row r="514" ht="22.5" customHeight="1">
      <c r="A514" s="379" t="s">
        <v>6080</v>
      </c>
      <c r="B514" s="398">
        <v>3.296596857E9</v>
      </c>
      <c r="C514" s="317" t="s">
        <v>49</v>
      </c>
      <c r="D514" s="358" t="s">
        <v>5274</v>
      </c>
      <c r="E514" s="383" t="s">
        <v>19</v>
      </c>
      <c r="F514" s="344" t="s">
        <v>5275</v>
      </c>
      <c r="G514" s="383" t="s">
        <v>19</v>
      </c>
      <c r="H514" s="321" t="s">
        <v>21</v>
      </c>
      <c r="I514" s="383" t="s">
        <v>19</v>
      </c>
      <c r="J514" s="321" t="s">
        <v>22</v>
      </c>
      <c r="K514" s="401" t="s">
        <v>5279</v>
      </c>
      <c r="L514" s="402"/>
      <c r="M514" s="197"/>
      <c r="N514" s="197"/>
      <c r="O514" s="147"/>
      <c r="P514" s="284"/>
      <c r="Q514" s="284"/>
      <c r="R514" s="284"/>
      <c r="S514" s="284"/>
      <c r="T514" s="284"/>
      <c r="U514" s="284"/>
      <c r="V514" s="284"/>
      <c r="W514" s="284"/>
      <c r="X514" s="284"/>
      <c r="Y514" s="284"/>
      <c r="Z514" s="284"/>
    </row>
    <row r="515" ht="22.5" customHeight="1">
      <c r="A515" s="299" t="s">
        <v>6081</v>
      </c>
      <c r="B515" s="377">
        <v>3.422097933E9</v>
      </c>
      <c r="C515" s="421" t="s">
        <v>35</v>
      </c>
      <c r="D515" s="293" t="s">
        <v>5274</v>
      </c>
      <c r="E515" s="363" t="s">
        <v>19</v>
      </c>
      <c r="F515" s="341" t="s">
        <v>5275</v>
      </c>
      <c r="G515" s="363" t="s">
        <v>19</v>
      </c>
      <c r="H515" s="316" t="s">
        <v>21</v>
      </c>
      <c r="I515" s="363" t="s">
        <v>19</v>
      </c>
      <c r="J515" s="294" t="s">
        <v>22</v>
      </c>
      <c r="K515" s="312" t="s">
        <v>5279</v>
      </c>
      <c r="L515" s="181"/>
      <c r="M515" s="196"/>
      <c r="N515" s="196"/>
      <c r="O515" s="155"/>
      <c r="P515" s="284"/>
      <c r="Q515" s="284"/>
      <c r="R515" s="284"/>
      <c r="S515" s="284"/>
      <c r="T515" s="284"/>
      <c r="U515" s="284"/>
      <c r="V515" s="284"/>
      <c r="W515" s="284"/>
      <c r="X515" s="284"/>
      <c r="Y515" s="284"/>
      <c r="Z515" s="284"/>
    </row>
    <row r="516" ht="22.5" customHeight="1">
      <c r="A516" s="379" t="s">
        <v>6082</v>
      </c>
      <c r="B516" s="398">
        <v>3.21437537E9</v>
      </c>
      <c r="C516" s="317" t="s">
        <v>49</v>
      </c>
      <c r="D516" s="358" t="s">
        <v>5274</v>
      </c>
      <c r="E516" s="384" t="s">
        <v>640</v>
      </c>
      <c r="F516" s="344" t="s">
        <v>5275</v>
      </c>
      <c r="G516" s="384" t="s">
        <v>5279</v>
      </c>
      <c r="H516" s="321" t="s">
        <v>21</v>
      </c>
      <c r="I516" s="382" t="s">
        <v>31</v>
      </c>
      <c r="J516" s="418"/>
      <c r="K516" s="419"/>
      <c r="L516" s="402"/>
      <c r="M516" s="197"/>
      <c r="N516" s="197"/>
      <c r="O516" s="147"/>
      <c r="P516" s="284"/>
      <c r="Q516" s="284"/>
      <c r="R516" s="284"/>
      <c r="S516" s="284"/>
      <c r="T516" s="284"/>
      <c r="U516" s="284"/>
      <c r="V516" s="284"/>
      <c r="W516" s="284"/>
      <c r="X516" s="284"/>
      <c r="Y516" s="284"/>
      <c r="Z516" s="284"/>
    </row>
    <row r="517" ht="22.5" customHeight="1">
      <c r="A517" s="299" t="s">
        <v>6083</v>
      </c>
      <c r="B517" s="377">
        <v>3.07166509E9</v>
      </c>
      <c r="C517" s="318" t="s">
        <v>40</v>
      </c>
      <c r="D517" s="293" t="s">
        <v>5274</v>
      </c>
      <c r="E517" s="311" t="s">
        <v>31</v>
      </c>
      <c r="F517" s="341" t="s">
        <v>5275</v>
      </c>
      <c r="G517" s="363" t="s">
        <v>19</v>
      </c>
      <c r="H517" s="316" t="s">
        <v>21</v>
      </c>
      <c r="I517" s="363" t="s">
        <v>19</v>
      </c>
      <c r="J517" s="415"/>
      <c r="K517" s="416"/>
      <c r="L517" s="181"/>
      <c r="M517" s="196"/>
      <c r="N517" s="196"/>
      <c r="O517" s="155"/>
      <c r="P517" s="284"/>
      <c r="Q517" s="284"/>
      <c r="R517" s="284"/>
      <c r="S517" s="284"/>
      <c r="T517" s="284"/>
      <c r="U517" s="284"/>
      <c r="V517" s="284"/>
      <c r="W517" s="284"/>
      <c r="X517" s="284"/>
      <c r="Y517" s="284"/>
      <c r="Z517" s="284"/>
    </row>
    <row r="518" ht="22.5" customHeight="1">
      <c r="A518" s="379" t="s">
        <v>6084</v>
      </c>
      <c r="B518" s="398">
        <v>3.283483787E9</v>
      </c>
      <c r="C518" s="319" t="s">
        <v>40</v>
      </c>
      <c r="D518" s="358" t="s">
        <v>5274</v>
      </c>
      <c r="E518" s="383" t="s">
        <v>19</v>
      </c>
      <c r="F518" s="344" t="s">
        <v>5275</v>
      </c>
      <c r="G518" s="382" t="s">
        <v>31</v>
      </c>
      <c r="H518" s="321" t="s">
        <v>21</v>
      </c>
      <c r="I518" s="384" t="s">
        <v>5279</v>
      </c>
      <c r="J518" s="321" t="s">
        <v>22</v>
      </c>
      <c r="K518" s="401" t="s">
        <v>5279</v>
      </c>
      <c r="L518" s="389" t="s">
        <v>5280</v>
      </c>
      <c r="M518" s="197"/>
      <c r="N518" s="197"/>
      <c r="O518" s="147"/>
      <c r="P518" s="284"/>
      <c r="Q518" s="284"/>
      <c r="R518" s="284"/>
      <c r="S518" s="284"/>
      <c r="T518" s="284"/>
      <c r="U518" s="284"/>
      <c r="V518" s="284"/>
      <c r="W518" s="284"/>
      <c r="X518" s="284"/>
      <c r="Y518" s="284"/>
      <c r="Z518" s="284"/>
    </row>
    <row r="519" ht="22.5" customHeight="1">
      <c r="A519" s="299" t="s">
        <v>6085</v>
      </c>
      <c r="B519" s="377">
        <v>3.069016098E9</v>
      </c>
      <c r="C519" s="318" t="s">
        <v>40</v>
      </c>
      <c r="D519" s="293" t="s">
        <v>5274</v>
      </c>
      <c r="E519" s="311" t="s">
        <v>31</v>
      </c>
      <c r="F519" s="341" t="s">
        <v>5275</v>
      </c>
      <c r="G519" s="363" t="s">
        <v>19</v>
      </c>
      <c r="H519" s="316" t="s">
        <v>21</v>
      </c>
      <c r="I519" s="227" t="s">
        <v>5279</v>
      </c>
      <c r="J519" s="294" t="s">
        <v>22</v>
      </c>
      <c r="K519" s="312" t="s">
        <v>5279</v>
      </c>
      <c r="L519" s="180" t="s">
        <v>5280</v>
      </c>
      <c r="M519" s="196"/>
      <c r="N519" s="196"/>
      <c r="O519" s="155"/>
      <c r="P519" s="284"/>
      <c r="Q519" s="284"/>
      <c r="R519" s="284"/>
      <c r="S519" s="284"/>
      <c r="T519" s="284"/>
      <c r="U519" s="284"/>
      <c r="V519" s="284"/>
      <c r="W519" s="284"/>
      <c r="X519" s="284"/>
      <c r="Y519" s="284"/>
      <c r="Z519" s="284"/>
    </row>
    <row r="520" ht="22.5" customHeight="1">
      <c r="A520" s="379" t="s">
        <v>6086</v>
      </c>
      <c r="B520" s="398">
        <v>3.19782982E9</v>
      </c>
      <c r="C520" s="317" t="s">
        <v>49</v>
      </c>
      <c r="D520" s="358" t="s">
        <v>5274</v>
      </c>
      <c r="E520" s="382" t="s">
        <v>31</v>
      </c>
      <c r="F520" s="344" t="s">
        <v>5275</v>
      </c>
      <c r="G520" s="383" t="s">
        <v>19</v>
      </c>
      <c r="H520" s="321" t="s">
        <v>21</v>
      </c>
      <c r="I520" s="383" t="s">
        <v>19</v>
      </c>
      <c r="J520" s="321" t="s">
        <v>22</v>
      </c>
      <c r="K520" s="401" t="s">
        <v>5279</v>
      </c>
      <c r="L520" s="402"/>
      <c r="M520" s="197"/>
      <c r="N520" s="197"/>
      <c r="O520" s="147"/>
      <c r="P520" s="284"/>
      <c r="Q520" s="284"/>
      <c r="R520" s="284"/>
      <c r="S520" s="284"/>
      <c r="T520" s="284"/>
      <c r="U520" s="284"/>
      <c r="V520" s="284"/>
      <c r="W520" s="284"/>
      <c r="X520" s="284"/>
      <c r="Y520" s="284"/>
      <c r="Z520" s="284"/>
    </row>
    <row r="521" ht="22.5" customHeight="1">
      <c r="A521" s="299" t="s">
        <v>6087</v>
      </c>
      <c r="B521" s="377">
        <v>3.702289345E9</v>
      </c>
      <c r="C521" s="314" t="s">
        <v>49</v>
      </c>
      <c r="D521" s="293" t="s">
        <v>5274</v>
      </c>
      <c r="E521" s="311" t="s">
        <v>31</v>
      </c>
      <c r="F521" s="341" t="s">
        <v>5275</v>
      </c>
      <c r="G521" s="311" t="s">
        <v>31</v>
      </c>
      <c r="H521" s="316" t="s">
        <v>21</v>
      </c>
      <c r="I521" s="414"/>
      <c r="J521" s="415"/>
      <c r="K521" s="416"/>
      <c r="L521" s="181"/>
      <c r="M521" s="196"/>
      <c r="N521" s="196"/>
      <c r="O521" s="155"/>
      <c r="P521" s="284"/>
      <c r="Q521" s="284"/>
      <c r="R521" s="284"/>
      <c r="S521" s="284"/>
      <c r="T521" s="284"/>
      <c r="U521" s="284"/>
      <c r="V521" s="284"/>
      <c r="W521" s="284"/>
      <c r="X521" s="284"/>
      <c r="Y521" s="284"/>
      <c r="Z521" s="284"/>
    </row>
    <row r="522" ht="22.5" customHeight="1">
      <c r="A522" s="379" t="s">
        <v>6088</v>
      </c>
      <c r="B522" s="398">
        <v>3.357285156E9</v>
      </c>
      <c r="C522" s="317" t="s">
        <v>49</v>
      </c>
      <c r="D522" s="358" t="s">
        <v>5274</v>
      </c>
      <c r="E522" s="382" t="s">
        <v>31</v>
      </c>
      <c r="F522" s="344" t="s">
        <v>5275</v>
      </c>
      <c r="G522" s="382" t="s">
        <v>31</v>
      </c>
      <c r="H522" s="321" t="s">
        <v>21</v>
      </c>
      <c r="I522" s="417"/>
      <c r="J522" s="418"/>
      <c r="K522" s="419"/>
      <c r="L522" s="402"/>
      <c r="M522" s="197"/>
      <c r="N522" s="197"/>
      <c r="O522" s="147"/>
      <c r="P522" s="284"/>
      <c r="Q522" s="284"/>
      <c r="R522" s="284"/>
      <c r="S522" s="284"/>
      <c r="T522" s="284"/>
      <c r="U522" s="284"/>
      <c r="V522" s="284"/>
      <c r="W522" s="284"/>
      <c r="X522" s="284"/>
      <c r="Y522" s="284"/>
      <c r="Z522" s="284"/>
    </row>
    <row r="523" ht="22.5" customHeight="1">
      <c r="A523" s="299" t="s">
        <v>6089</v>
      </c>
      <c r="B523" s="377">
        <v>3.193839956E9</v>
      </c>
      <c r="C523" s="318" t="s">
        <v>40</v>
      </c>
      <c r="D523" s="293" t="s">
        <v>5274</v>
      </c>
      <c r="E523" s="311" t="s">
        <v>31</v>
      </c>
      <c r="F523" s="341" t="s">
        <v>5275</v>
      </c>
      <c r="G523" s="363" t="s">
        <v>19</v>
      </c>
      <c r="H523" s="316" t="s">
        <v>21</v>
      </c>
      <c r="I523" s="227" t="s">
        <v>5279</v>
      </c>
      <c r="J523" s="294" t="s">
        <v>22</v>
      </c>
      <c r="K523" s="312" t="s">
        <v>5279</v>
      </c>
      <c r="L523" s="180" t="s">
        <v>5280</v>
      </c>
      <c r="M523" s="196"/>
      <c r="N523" s="196"/>
      <c r="O523" s="155"/>
      <c r="P523" s="284"/>
      <c r="Q523" s="284"/>
      <c r="R523" s="284"/>
      <c r="S523" s="284"/>
      <c r="T523" s="284"/>
      <c r="U523" s="284"/>
      <c r="V523" s="284"/>
      <c r="W523" s="284"/>
      <c r="X523" s="284"/>
      <c r="Y523" s="284"/>
      <c r="Z523" s="284"/>
    </row>
    <row r="524" ht="22.5" customHeight="1">
      <c r="A524" s="379" t="s">
        <v>6090</v>
      </c>
      <c r="B524" s="398">
        <v>3.228060112E9</v>
      </c>
      <c r="C524" s="317" t="s">
        <v>49</v>
      </c>
      <c r="D524" s="358" t="s">
        <v>5274</v>
      </c>
      <c r="E524" s="382" t="s">
        <v>31</v>
      </c>
      <c r="F524" s="344" t="s">
        <v>5275</v>
      </c>
      <c r="G524" s="383" t="s">
        <v>19</v>
      </c>
      <c r="H524" s="321" t="s">
        <v>21</v>
      </c>
      <c r="I524" s="384" t="s">
        <v>5279</v>
      </c>
      <c r="J524" s="321" t="s">
        <v>22</v>
      </c>
      <c r="K524" s="401" t="s">
        <v>5279</v>
      </c>
      <c r="L524" s="402"/>
      <c r="M524" s="197"/>
      <c r="N524" s="197"/>
      <c r="O524" s="147"/>
      <c r="P524" s="284"/>
      <c r="Q524" s="284"/>
      <c r="R524" s="284"/>
      <c r="S524" s="284"/>
      <c r="T524" s="284"/>
      <c r="U524" s="284"/>
      <c r="V524" s="284"/>
      <c r="W524" s="284"/>
      <c r="X524" s="284"/>
      <c r="Y524" s="284"/>
      <c r="Z524" s="284"/>
    </row>
    <row r="525" ht="22.5" customHeight="1">
      <c r="A525" s="299" t="s">
        <v>6091</v>
      </c>
      <c r="B525" s="377">
        <v>3.701186231E9</v>
      </c>
      <c r="C525" s="331" t="s">
        <v>30</v>
      </c>
      <c r="D525" s="293" t="s">
        <v>5274</v>
      </c>
      <c r="E525" s="227" t="s">
        <v>640</v>
      </c>
      <c r="F525" s="341" t="s">
        <v>5275</v>
      </c>
      <c r="G525" s="363" t="s">
        <v>19</v>
      </c>
      <c r="H525" s="316" t="s">
        <v>21</v>
      </c>
      <c r="I525" s="227" t="s">
        <v>5279</v>
      </c>
      <c r="J525" s="294" t="s">
        <v>22</v>
      </c>
      <c r="K525" s="312" t="s">
        <v>5279</v>
      </c>
      <c r="L525" s="181"/>
      <c r="M525" s="196"/>
      <c r="N525" s="196"/>
      <c r="O525" s="155"/>
      <c r="P525" s="284"/>
      <c r="Q525" s="284"/>
      <c r="R525" s="284"/>
      <c r="S525" s="284"/>
      <c r="T525" s="284"/>
      <c r="U525" s="284"/>
      <c r="V525" s="284"/>
      <c r="W525" s="284"/>
      <c r="X525" s="284"/>
      <c r="Y525" s="284"/>
      <c r="Z525" s="284"/>
    </row>
    <row r="526" ht="22.5" customHeight="1">
      <c r="A526" s="379" t="s">
        <v>6092</v>
      </c>
      <c r="B526" s="398">
        <v>3.091518073E9</v>
      </c>
      <c r="C526" s="317" t="s">
        <v>49</v>
      </c>
      <c r="D526" s="358" t="s">
        <v>5274</v>
      </c>
      <c r="E526" s="383" t="s">
        <v>19</v>
      </c>
      <c r="F526" s="344" t="s">
        <v>5275</v>
      </c>
      <c r="G526" s="383" t="s">
        <v>19</v>
      </c>
      <c r="H526" s="321" t="s">
        <v>21</v>
      </c>
      <c r="I526" s="384" t="s">
        <v>5279</v>
      </c>
      <c r="J526" s="321" t="s">
        <v>22</v>
      </c>
      <c r="K526" s="401" t="s">
        <v>5279</v>
      </c>
      <c r="L526" s="402"/>
      <c r="M526" s="197"/>
      <c r="N526" s="197"/>
      <c r="O526" s="147"/>
      <c r="P526" s="284"/>
      <c r="Q526" s="284"/>
      <c r="R526" s="284"/>
      <c r="S526" s="284"/>
      <c r="T526" s="284"/>
      <c r="U526" s="284"/>
      <c r="V526" s="284"/>
      <c r="W526" s="284"/>
      <c r="X526" s="284"/>
      <c r="Y526" s="284"/>
      <c r="Z526" s="284"/>
    </row>
    <row r="527" ht="22.5" customHeight="1">
      <c r="A527" s="299" t="s">
        <v>6093</v>
      </c>
      <c r="B527" s="377">
        <v>3.287271287E9</v>
      </c>
      <c r="C527" s="318" t="s">
        <v>40</v>
      </c>
      <c r="D527" s="293" t="s">
        <v>5274</v>
      </c>
      <c r="E527" s="311" t="s">
        <v>31</v>
      </c>
      <c r="F527" s="341" t="s">
        <v>5275</v>
      </c>
      <c r="G527" s="363" t="s">
        <v>19</v>
      </c>
      <c r="H527" s="316" t="s">
        <v>21</v>
      </c>
      <c r="I527" s="311" t="s">
        <v>31</v>
      </c>
      <c r="J527" s="415"/>
      <c r="K527" s="416"/>
      <c r="L527" s="181"/>
      <c r="M527" s="196"/>
      <c r="N527" s="196"/>
      <c r="O527" s="155"/>
      <c r="P527" s="284"/>
      <c r="Q527" s="284"/>
      <c r="R527" s="284"/>
      <c r="S527" s="284"/>
      <c r="T527" s="284"/>
      <c r="U527" s="284"/>
      <c r="V527" s="284"/>
      <c r="W527" s="284"/>
      <c r="X527" s="284"/>
      <c r="Y527" s="284"/>
      <c r="Z527" s="284"/>
    </row>
    <row r="528" ht="22.5" customHeight="1">
      <c r="A528" s="379" t="s">
        <v>6094</v>
      </c>
      <c r="B528" s="398">
        <v>3.198300796E9</v>
      </c>
      <c r="C528" s="317" t="s">
        <v>49</v>
      </c>
      <c r="D528" s="358" t="s">
        <v>5274</v>
      </c>
      <c r="E528" s="382" t="s">
        <v>31</v>
      </c>
      <c r="F528" s="344" t="s">
        <v>5275</v>
      </c>
      <c r="G528" s="384" t="s">
        <v>5279</v>
      </c>
      <c r="H528" s="321" t="s">
        <v>21</v>
      </c>
      <c r="I528" s="382" t="s">
        <v>31</v>
      </c>
      <c r="J528" s="418"/>
      <c r="K528" s="419"/>
      <c r="L528" s="402"/>
      <c r="M528" s="197"/>
      <c r="N528" s="197"/>
      <c r="O528" s="147"/>
      <c r="P528" s="284"/>
      <c r="Q528" s="284"/>
      <c r="R528" s="284"/>
      <c r="S528" s="284"/>
      <c r="T528" s="284"/>
      <c r="U528" s="284"/>
      <c r="V528" s="284"/>
      <c r="W528" s="284"/>
      <c r="X528" s="284"/>
      <c r="Y528" s="284"/>
      <c r="Z528" s="284"/>
    </row>
    <row r="529" ht="22.5" customHeight="1">
      <c r="A529" s="299" t="s">
        <v>6095</v>
      </c>
      <c r="B529" s="377">
        <v>3.035982927E9</v>
      </c>
      <c r="C529" s="314" t="s">
        <v>49</v>
      </c>
      <c r="D529" s="293" t="s">
        <v>5274</v>
      </c>
      <c r="E529" s="199" t="s">
        <v>26</v>
      </c>
      <c r="F529" s="341" t="s">
        <v>5275</v>
      </c>
      <c r="G529" s="311" t="s">
        <v>31</v>
      </c>
      <c r="H529" s="316" t="s">
        <v>21</v>
      </c>
      <c r="I529" s="414"/>
      <c r="J529" s="415"/>
      <c r="K529" s="416"/>
      <c r="L529" s="181"/>
      <c r="M529" s="196"/>
      <c r="N529" s="196"/>
      <c r="O529" s="155"/>
      <c r="P529" s="284"/>
      <c r="Q529" s="284"/>
      <c r="R529" s="284"/>
      <c r="S529" s="284"/>
      <c r="T529" s="284"/>
      <c r="U529" s="284"/>
      <c r="V529" s="284"/>
      <c r="W529" s="284"/>
      <c r="X529" s="284"/>
      <c r="Y529" s="284"/>
      <c r="Z529" s="284"/>
    </row>
    <row r="530" ht="22.5" customHeight="1">
      <c r="A530" s="379" t="s">
        <v>6096</v>
      </c>
      <c r="B530" s="398">
        <v>3.088055324E9</v>
      </c>
      <c r="C530" s="319" t="s">
        <v>40</v>
      </c>
      <c r="D530" s="358" t="s">
        <v>5274</v>
      </c>
      <c r="E530" s="381" t="s">
        <v>26</v>
      </c>
      <c r="F530" s="344" t="s">
        <v>5275</v>
      </c>
      <c r="G530" s="383" t="s">
        <v>19</v>
      </c>
      <c r="H530" s="321" t="s">
        <v>21</v>
      </c>
      <c r="I530" s="423" t="s">
        <v>5279</v>
      </c>
      <c r="J530" s="289" t="s">
        <v>22</v>
      </c>
      <c r="K530" s="298" t="s">
        <v>5279</v>
      </c>
      <c r="L530" s="173" t="s">
        <v>5280</v>
      </c>
      <c r="M530" s="197"/>
      <c r="N530" s="197"/>
      <c r="O530" s="147"/>
      <c r="P530" s="284"/>
      <c r="Q530" s="284"/>
      <c r="R530" s="284"/>
      <c r="S530" s="284"/>
      <c r="T530" s="284"/>
      <c r="U530" s="284"/>
      <c r="V530" s="284"/>
      <c r="W530" s="284"/>
      <c r="X530" s="284"/>
      <c r="Y530" s="284"/>
      <c r="Z530" s="284"/>
    </row>
    <row r="531" ht="22.5" customHeight="1">
      <c r="A531" s="299" t="s">
        <v>6097</v>
      </c>
      <c r="B531" s="424">
        <v>3.025250333E9</v>
      </c>
      <c r="C531" s="314" t="s">
        <v>49</v>
      </c>
      <c r="D531" s="293" t="s">
        <v>5274</v>
      </c>
      <c r="E531" s="311" t="s">
        <v>31</v>
      </c>
      <c r="F531" s="341" t="s">
        <v>5275</v>
      </c>
      <c r="G531" s="311" t="s">
        <v>31</v>
      </c>
      <c r="H531" s="316" t="s">
        <v>21</v>
      </c>
      <c r="I531" s="414"/>
      <c r="J531" s="415"/>
      <c r="K531" s="416"/>
      <c r="L531" s="181"/>
      <c r="M531" s="196"/>
      <c r="N531" s="196"/>
      <c r="O531" s="155"/>
      <c r="P531" s="284"/>
      <c r="Q531" s="284"/>
      <c r="R531" s="284"/>
      <c r="S531" s="284"/>
      <c r="T531" s="284"/>
      <c r="U531" s="284"/>
      <c r="V531" s="284"/>
      <c r="W531" s="284"/>
      <c r="X531" s="284"/>
      <c r="Y531" s="284"/>
      <c r="Z531" s="284"/>
    </row>
    <row r="532" ht="22.5" customHeight="1">
      <c r="A532" s="379" t="s">
        <v>6098</v>
      </c>
      <c r="B532" s="398">
        <v>3.222154703E9</v>
      </c>
      <c r="C532" s="360" t="s">
        <v>30</v>
      </c>
      <c r="D532" s="358" t="s">
        <v>5274</v>
      </c>
      <c r="E532" s="382" t="s">
        <v>31</v>
      </c>
      <c r="F532" s="344" t="s">
        <v>5275</v>
      </c>
      <c r="G532" s="383" t="s">
        <v>19</v>
      </c>
      <c r="H532" s="321" t="s">
        <v>21</v>
      </c>
      <c r="I532" s="383" t="s">
        <v>19</v>
      </c>
      <c r="J532" s="321" t="s">
        <v>22</v>
      </c>
      <c r="K532" s="401" t="s">
        <v>5279</v>
      </c>
      <c r="L532" s="402"/>
      <c r="M532" s="197"/>
      <c r="N532" s="197"/>
      <c r="O532" s="147"/>
      <c r="P532" s="284"/>
      <c r="Q532" s="284"/>
      <c r="R532" s="284"/>
      <c r="S532" s="284"/>
      <c r="T532" s="284"/>
      <c r="U532" s="284"/>
      <c r="V532" s="284"/>
      <c r="W532" s="284"/>
      <c r="X532" s="284"/>
      <c r="Y532" s="284"/>
      <c r="Z532" s="284"/>
    </row>
    <row r="533" ht="22.5" customHeight="1">
      <c r="A533" s="299" t="s">
        <v>6099</v>
      </c>
      <c r="B533" s="377">
        <v>3.410225998E9</v>
      </c>
      <c r="C533" s="331" t="s">
        <v>30</v>
      </c>
      <c r="D533" s="293" t="s">
        <v>5274</v>
      </c>
      <c r="E533" s="311" t="s">
        <v>31</v>
      </c>
      <c r="F533" s="341" t="s">
        <v>5275</v>
      </c>
      <c r="G533" s="363" t="s">
        <v>19</v>
      </c>
      <c r="H533" s="316" t="s">
        <v>21</v>
      </c>
      <c r="I533" s="311" t="s">
        <v>31</v>
      </c>
      <c r="J533" s="294" t="s">
        <v>22</v>
      </c>
      <c r="K533" s="312" t="s">
        <v>5279</v>
      </c>
      <c r="L533" s="181"/>
      <c r="M533" s="196"/>
      <c r="N533" s="196"/>
      <c r="O533" s="155"/>
      <c r="P533" s="284"/>
      <c r="Q533" s="284"/>
      <c r="R533" s="284"/>
      <c r="S533" s="284"/>
      <c r="T533" s="284"/>
      <c r="U533" s="284"/>
      <c r="V533" s="284"/>
      <c r="W533" s="284"/>
      <c r="X533" s="284"/>
      <c r="Y533" s="284"/>
      <c r="Z533" s="284"/>
    </row>
    <row r="534" ht="22.5" customHeight="1">
      <c r="A534" s="379" t="s">
        <v>6100</v>
      </c>
      <c r="B534" s="398">
        <v>3.214260777E9</v>
      </c>
      <c r="C534" s="317" t="s">
        <v>49</v>
      </c>
      <c r="D534" s="358" t="s">
        <v>5274</v>
      </c>
      <c r="E534" s="382" t="s">
        <v>31</v>
      </c>
      <c r="F534" s="344" t="s">
        <v>5275</v>
      </c>
      <c r="G534" s="384" t="s">
        <v>5279</v>
      </c>
      <c r="H534" s="321" t="s">
        <v>21</v>
      </c>
      <c r="I534" s="417"/>
      <c r="J534" s="418"/>
      <c r="K534" s="419"/>
      <c r="L534" s="402"/>
      <c r="M534" s="197"/>
      <c r="N534" s="197"/>
      <c r="O534" s="147"/>
      <c r="P534" s="284"/>
      <c r="Q534" s="284"/>
      <c r="R534" s="284"/>
      <c r="S534" s="284"/>
      <c r="T534" s="284"/>
      <c r="U534" s="284"/>
      <c r="V534" s="284"/>
      <c r="W534" s="284"/>
      <c r="X534" s="284"/>
      <c r="Y534" s="284"/>
      <c r="Z534" s="284"/>
    </row>
    <row r="535" ht="22.5" customHeight="1">
      <c r="A535" s="299" t="s">
        <v>6101</v>
      </c>
      <c r="B535" s="377">
        <v>3.338898907E9</v>
      </c>
      <c r="C535" s="318" t="s">
        <v>40</v>
      </c>
      <c r="D535" s="293" t="s">
        <v>5274</v>
      </c>
      <c r="E535" s="227" t="s">
        <v>640</v>
      </c>
      <c r="F535" s="341" t="s">
        <v>5275</v>
      </c>
      <c r="G535" s="311" t="s">
        <v>31</v>
      </c>
      <c r="H535" s="316" t="s">
        <v>21</v>
      </c>
      <c r="I535" s="227" t="s">
        <v>5279</v>
      </c>
      <c r="J535" s="294" t="s">
        <v>22</v>
      </c>
      <c r="K535" s="312" t="s">
        <v>5279</v>
      </c>
      <c r="L535" s="180" t="s">
        <v>5280</v>
      </c>
      <c r="M535" s="196"/>
      <c r="N535" s="196"/>
      <c r="O535" s="155"/>
      <c r="P535" s="284"/>
      <c r="Q535" s="284"/>
      <c r="R535" s="284"/>
      <c r="S535" s="284"/>
      <c r="T535" s="284"/>
      <c r="U535" s="284"/>
      <c r="V535" s="284"/>
      <c r="W535" s="284"/>
      <c r="X535" s="284"/>
      <c r="Y535" s="284"/>
      <c r="Z535" s="284"/>
    </row>
    <row r="536" ht="22.5" customHeight="1">
      <c r="A536" s="379" t="s">
        <v>6102</v>
      </c>
      <c r="B536" s="398">
        <v>3.181592855E9</v>
      </c>
      <c r="C536" s="323" t="s">
        <v>17</v>
      </c>
      <c r="D536" s="358" t="s">
        <v>5274</v>
      </c>
      <c r="E536" s="383" t="s">
        <v>19</v>
      </c>
      <c r="F536" s="344" t="s">
        <v>5275</v>
      </c>
      <c r="G536" s="383" t="s">
        <v>19</v>
      </c>
      <c r="H536" s="321" t="s">
        <v>21</v>
      </c>
      <c r="I536" s="383" t="s">
        <v>19</v>
      </c>
      <c r="J536" s="321" t="s">
        <v>22</v>
      </c>
      <c r="K536" s="401" t="s">
        <v>5279</v>
      </c>
      <c r="L536" s="402"/>
      <c r="M536" s="197"/>
      <c r="N536" s="197"/>
      <c r="O536" s="147"/>
      <c r="P536" s="284"/>
      <c r="Q536" s="284"/>
      <c r="R536" s="284"/>
      <c r="S536" s="284"/>
      <c r="T536" s="284"/>
      <c r="U536" s="284"/>
      <c r="V536" s="284"/>
      <c r="W536" s="284"/>
      <c r="X536" s="284"/>
      <c r="Y536" s="284"/>
      <c r="Z536" s="284"/>
    </row>
    <row r="537" ht="22.5" customHeight="1">
      <c r="A537" s="299" t="s">
        <v>6103</v>
      </c>
      <c r="B537" s="377">
        <v>9.66567667056E11</v>
      </c>
      <c r="C537" s="335" t="s">
        <v>5416</v>
      </c>
      <c r="D537" s="293" t="s">
        <v>5274</v>
      </c>
      <c r="E537" s="227" t="s">
        <v>640</v>
      </c>
      <c r="F537" s="341" t="s">
        <v>5275</v>
      </c>
      <c r="G537" s="227" t="s">
        <v>5279</v>
      </c>
      <c r="H537" s="316" t="s">
        <v>21</v>
      </c>
      <c r="I537" s="227" t="s">
        <v>5279</v>
      </c>
      <c r="J537" s="294" t="s">
        <v>22</v>
      </c>
      <c r="K537" s="312" t="s">
        <v>5279</v>
      </c>
      <c r="L537" s="392" t="s">
        <v>5271</v>
      </c>
      <c r="M537" s="196"/>
      <c r="N537" s="196"/>
      <c r="O537" s="155"/>
      <c r="P537" s="284"/>
      <c r="Q537" s="284"/>
      <c r="R537" s="284"/>
      <c r="S537" s="284"/>
      <c r="T537" s="284"/>
      <c r="U537" s="284"/>
      <c r="V537" s="284"/>
      <c r="W537" s="284"/>
      <c r="X537" s="284"/>
      <c r="Y537" s="284"/>
      <c r="Z537" s="284"/>
    </row>
    <row r="538" ht="22.5" customHeight="1">
      <c r="A538" s="379" t="s">
        <v>6104</v>
      </c>
      <c r="B538" s="398">
        <v>3.183296441E9</v>
      </c>
      <c r="C538" s="319" t="s">
        <v>40</v>
      </c>
      <c r="D538" s="358" t="s">
        <v>5274</v>
      </c>
      <c r="E538" s="382" t="s">
        <v>31</v>
      </c>
      <c r="F538" s="344" t="s">
        <v>5275</v>
      </c>
      <c r="G538" s="383" t="s">
        <v>19</v>
      </c>
      <c r="H538" s="321" t="s">
        <v>21</v>
      </c>
      <c r="I538" s="425" t="s">
        <v>5279</v>
      </c>
      <c r="J538" s="321" t="s">
        <v>22</v>
      </c>
      <c r="K538" s="401" t="s">
        <v>5279</v>
      </c>
      <c r="L538" s="389" t="s">
        <v>5280</v>
      </c>
      <c r="M538" s="197"/>
      <c r="N538" s="197"/>
      <c r="O538" s="147"/>
      <c r="P538" s="284"/>
      <c r="Q538" s="284"/>
      <c r="R538" s="284"/>
      <c r="S538" s="284"/>
      <c r="T538" s="284"/>
      <c r="U538" s="284"/>
      <c r="V538" s="284"/>
      <c r="W538" s="284"/>
      <c r="X538" s="284"/>
      <c r="Y538" s="284"/>
      <c r="Z538" s="284"/>
    </row>
    <row r="539" ht="22.5" customHeight="1">
      <c r="A539" s="299" t="s">
        <v>6105</v>
      </c>
      <c r="B539" s="377">
        <v>3.366698575E9</v>
      </c>
      <c r="C539" s="318" t="s">
        <v>40</v>
      </c>
      <c r="D539" s="293" t="s">
        <v>5274</v>
      </c>
      <c r="E539" s="311" t="s">
        <v>31</v>
      </c>
      <c r="F539" s="341" t="s">
        <v>5275</v>
      </c>
      <c r="G539" s="311" t="s">
        <v>31</v>
      </c>
      <c r="H539" s="316" t="s">
        <v>21</v>
      </c>
      <c r="I539" s="426" t="s">
        <v>5279</v>
      </c>
      <c r="J539" s="294" t="s">
        <v>22</v>
      </c>
      <c r="K539" s="312" t="s">
        <v>5279</v>
      </c>
      <c r="L539" s="180" t="s">
        <v>5280</v>
      </c>
      <c r="M539" s="196"/>
      <c r="N539" s="196"/>
      <c r="O539" s="155"/>
      <c r="P539" s="284"/>
      <c r="Q539" s="284"/>
      <c r="R539" s="284"/>
      <c r="S539" s="284"/>
      <c r="T539" s="284"/>
      <c r="U539" s="284"/>
      <c r="V539" s="284"/>
      <c r="W539" s="284"/>
      <c r="X539" s="284"/>
      <c r="Y539" s="284"/>
      <c r="Z539" s="284"/>
    </row>
    <row r="540" ht="22.5" customHeight="1">
      <c r="A540" s="379" t="s">
        <v>6106</v>
      </c>
      <c r="B540" s="398">
        <v>3.29073649E9</v>
      </c>
      <c r="C540" s="317" t="s">
        <v>49</v>
      </c>
      <c r="D540" s="358" t="s">
        <v>5274</v>
      </c>
      <c r="E540" s="383" t="s">
        <v>19</v>
      </c>
      <c r="F540" s="344" t="s">
        <v>5275</v>
      </c>
      <c r="G540" s="383" t="s">
        <v>19</v>
      </c>
      <c r="H540" s="321" t="s">
        <v>21</v>
      </c>
      <c r="I540" s="384" t="s">
        <v>5279</v>
      </c>
      <c r="J540" s="321" t="s">
        <v>22</v>
      </c>
      <c r="K540" s="401" t="s">
        <v>5279</v>
      </c>
      <c r="L540" s="402"/>
      <c r="M540" s="197"/>
      <c r="N540" s="197"/>
      <c r="O540" s="147"/>
      <c r="P540" s="284"/>
      <c r="Q540" s="284"/>
      <c r="R540" s="284"/>
      <c r="S540" s="284"/>
      <c r="T540" s="284"/>
      <c r="U540" s="284"/>
      <c r="V540" s="284"/>
      <c r="W540" s="284"/>
      <c r="X540" s="284"/>
      <c r="Y540" s="284"/>
      <c r="Z540" s="284"/>
    </row>
    <row r="541" ht="22.5" customHeight="1">
      <c r="A541" s="299" t="s">
        <v>6107</v>
      </c>
      <c r="B541" s="377">
        <v>3.137864657E9</v>
      </c>
      <c r="C541" s="331" t="s">
        <v>30</v>
      </c>
      <c r="D541" s="293" t="s">
        <v>5274</v>
      </c>
      <c r="E541" s="363" t="s">
        <v>19</v>
      </c>
      <c r="F541" s="341" t="s">
        <v>5275</v>
      </c>
      <c r="G541" s="311" t="s">
        <v>31</v>
      </c>
      <c r="H541" s="316" t="s">
        <v>21</v>
      </c>
      <c r="I541" s="363" t="s">
        <v>19</v>
      </c>
      <c r="J541" s="294" t="s">
        <v>22</v>
      </c>
      <c r="K541" s="312" t="s">
        <v>5279</v>
      </c>
      <c r="L541" s="181"/>
      <c r="M541" s="196"/>
      <c r="N541" s="196"/>
      <c r="O541" s="155"/>
      <c r="P541" s="284"/>
      <c r="Q541" s="284"/>
      <c r="R541" s="284"/>
      <c r="S541" s="284"/>
      <c r="T541" s="284"/>
      <c r="U541" s="284"/>
      <c r="V541" s="284"/>
      <c r="W541" s="284"/>
      <c r="X541" s="284"/>
      <c r="Y541" s="284"/>
      <c r="Z541" s="284"/>
    </row>
    <row r="542" ht="22.5" customHeight="1">
      <c r="A542" s="379" t="s">
        <v>6108</v>
      </c>
      <c r="B542" s="398">
        <v>3.012077803E9</v>
      </c>
      <c r="C542" s="317" t="s">
        <v>49</v>
      </c>
      <c r="D542" s="358" t="s">
        <v>5274</v>
      </c>
      <c r="E542" s="383" t="s">
        <v>19</v>
      </c>
      <c r="F542" s="344" t="s">
        <v>5275</v>
      </c>
      <c r="G542" s="383" t="s">
        <v>19</v>
      </c>
      <c r="H542" s="321" t="s">
        <v>21</v>
      </c>
      <c r="I542" s="384" t="s">
        <v>5279</v>
      </c>
      <c r="J542" s="321" t="s">
        <v>22</v>
      </c>
      <c r="K542" s="401" t="s">
        <v>5279</v>
      </c>
      <c r="L542" s="402"/>
      <c r="M542" s="197"/>
      <c r="N542" s="197"/>
      <c r="O542" s="147"/>
      <c r="P542" s="284"/>
      <c r="Q542" s="284"/>
      <c r="R542" s="284"/>
      <c r="S542" s="284"/>
      <c r="T542" s="284"/>
      <c r="U542" s="284"/>
      <c r="V542" s="284"/>
      <c r="W542" s="284"/>
      <c r="X542" s="284"/>
      <c r="Y542" s="284"/>
      <c r="Z542" s="284"/>
    </row>
    <row r="543" ht="22.5" customHeight="1">
      <c r="A543" s="299" t="s">
        <v>6109</v>
      </c>
      <c r="B543" s="377">
        <v>3.408615044E9</v>
      </c>
      <c r="C543" s="318" t="s">
        <v>40</v>
      </c>
      <c r="D543" s="293" t="s">
        <v>5274</v>
      </c>
      <c r="E543" s="311" t="s">
        <v>31</v>
      </c>
      <c r="F543" s="341" t="s">
        <v>5275</v>
      </c>
      <c r="G543" s="311" t="s">
        <v>31</v>
      </c>
      <c r="H543" s="316" t="s">
        <v>21</v>
      </c>
      <c r="I543" s="426" t="s">
        <v>5279</v>
      </c>
      <c r="J543" s="294" t="s">
        <v>22</v>
      </c>
      <c r="K543" s="312" t="s">
        <v>5279</v>
      </c>
      <c r="L543" s="180" t="s">
        <v>5280</v>
      </c>
      <c r="M543" s="196"/>
      <c r="N543" s="196"/>
      <c r="O543" s="155"/>
      <c r="P543" s="284"/>
      <c r="Q543" s="284"/>
      <c r="R543" s="284"/>
      <c r="S543" s="284"/>
      <c r="T543" s="284"/>
      <c r="U543" s="284"/>
      <c r="V543" s="284"/>
      <c r="W543" s="284"/>
      <c r="X543" s="284"/>
      <c r="Y543" s="284"/>
      <c r="Z543" s="284"/>
    </row>
    <row r="544" ht="22.5" customHeight="1">
      <c r="A544" s="379" t="s">
        <v>6110</v>
      </c>
      <c r="B544" s="398">
        <v>3.112816497E9</v>
      </c>
      <c r="C544" s="317" t="s">
        <v>49</v>
      </c>
      <c r="D544" s="358" t="s">
        <v>5274</v>
      </c>
      <c r="E544" s="382" t="s">
        <v>31</v>
      </c>
      <c r="F544" s="344" t="s">
        <v>5275</v>
      </c>
      <c r="G544" s="384" t="s">
        <v>5279</v>
      </c>
      <c r="H544" s="321" t="s">
        <v>21</v>
      </c>
      <c r="I544" s="417"/>
      <c r="J544" s="418"/>
      <c r="K544" s="419"/>
      <c r="L544" s="402"/>
      <c r="M544" s="197"/>
      <c r="N544" s="197"/>
      <c r="O544" s="147"/>
      <c r="P544" s="284"/>
      <c r="Q544" s="284"/>
      <c r="R544" s="284"/>
      <c r="S544" s="284"/>
      <c r="T544" s="284"/>
      <c r="U544" s="284"/>
      <c r="V544" s="284"/>
      <c r="W544" s="284"/>
      <c r="X544" s="284"/>
      <c r="Y544" s="284"/>
      <c r="Z544" s="284"/>
    </row>
    <row r="545" ht="22.5" customHeight="1">
      <c r="A545" s="299" t="s">
        <v>6111</v>
      </c>
      <c r="B545" s="377">
        <v>3.22468277E9</v>
      </c>
      <c r="C545" s="314" t="s">
        <v>49</v>
      </c>
      <c r="D545" s="293" t="s">
        <v>5274</v>
      </c>
      <c r="E545" s="311" t="s">
        <v>31</v>
      </c>
      <c r="F545" s="341" t="s">
        <v>5275</v>
      </c>
      <c r="G545" s="227" t="s">
        <v>5279</v>
      </c>
      <c r="H545" s="415"/>
      <c r="I545" s="414"/>
      <c r="J545" s="415"/>
      <c r="K545" s="416"/>
      <c r="L545" s="181"/>
      <c r="M545" s="196"/>
      <c r="N545" s="196"/>
      <c r="O545" s="155"/>
      <c r="P545" s="284"/>
      <c r="Q545" s="284"/>
      <c r="R545" s="284"/>
      <c r="S545" s="284"/>
      <c r="T545" s="284"/>
      <c r="U545" s="284"/>
      <c r="V545" s="284"/>
      <c r="W545" s="284"/>
      <c r="X545" s="284"/>
      <c r="Y545" s="284"/>
      <c r="Z545" s="284"/>
    </row>
    <row r="546" ht="22.5" customHeight="1">
      <c r="A546" s="379" t="s">
        <v>6112</v>
      </c>
      <c r="B546" s="398">
        <v>3.334431946E9</v>
      </c>
      <c r="C546" s="317" t="s">
        <v>49</v>
      </c>
      <c r="D546" s="358" t="s">
        <v>5274</v>
      </c>
      <c r="E546" s="384" t="s">
        <v>640</v>
      </c>
      <c r="F546" s="344" t="s">
        <v>5275</v>
      </c>
      <c r="G546" s="384" t="s">
        <v>5279</v>
      </c>
      <c r="H546" s="418"/>
      <c r="I546" s="417"/>
      <c r="J546" s="418"/>
      <c r="K546" s="419"/>
      <c r="L546" s="402"/>
      <c r="M546" s="197"/>
      <c r="N546" s="197"/>
      <c r="O546" s="147"/>
      <c r="P546" s="284"/>
      <c r="Q546" s="284"/>
      <c r="R546" s="284"/>
      <c r="S546" s="284"/>
      <c r="T546" s="284"/>
      <c r="U546" s="284"/>
      <c r="V546" s="284"/>
      <c r="W546" s="284"/>
      <c r="X546" s="284"/>
      <c r="Y546" s="284"/>
      <c r="Z546" s="284"/>
    </row>
    <row r="547" ht="22.5" customHeight="1">
      <c r="A547" s="299" t="s">
        <v>6113</v>
      </c>
      <c r="B547" s="377">
        <v>3.022660609E9</v>
      </c>
      <c r="C547" s="318" t="s">
        <v>40</v>
      </c>
      <c r="D547" s="293" t="s">
        <v>5274</v>
      </c>
      <c r="E547" s="311" t="s">
        <v>31</v>
      </c>
      <c r="F547" s="341" t="s">
        <v>5275</v>
      </c>
      <c r="G547" s="363" t="s">
        <v>19</v>
      </c>
      <c r="H547" s="415"/>
      <c r="I547" s="426" t="s">
        <v>5279</v>
      </c>
      <c r="J547" s="294" t="s">
        <v>22</v>
      </c>
      <c r="K547" s="312" t="s">
        <v>5279</v>
      </c>
      <c r="L547" s="180" t="s">
        <v>5280</v>
      </c>
      <c r="M547" s="196"/>
      <c r="N547" s="196"/>
      <c r="O547" s="155"/>
      <c r="P547" s="284"/>
      <c r="Q547" s="284"/>
      <c r="R547" s="284"/>
      <c r="S547" s="284"/>
      <c r="T547" s="284"/>
      <c r="U547" s="284"/>
      <c r="V547" s="284"/>
      <c r="W547" s="284"/>
      <c r="X547" s="284"/>
      <c r="Y547" s="284"/>
      <c r="Z547" s="284"/>
    </row>
    <row r="548" ht="22.5" customHeight="1">
      <c r="A548" s="379" t="s">
        <v>6114</v>
      </c>
      <c r="B548" s="398">
        <v>3.362374759E9</v>
      </c>
      <c r="C548" s="427" t="s">
        <v>2192</v>
      </c>
      <c r="D548" s="358" t="s">
        <v>5274</v>
      </c>
      <c r="E548" s="381" t="s">
        <v>26</v>
      </c>
      <c r="F548" s="344" t="s">
        <v>5275</v>
      </c>
      <c r="G548" s="383" t="s">
        <v>19</v>
      </c>
      <c r="H548" s="418"/>
      <c r="I548" s="417"/>
      <c r="J548" s="418"/>
      <c r="K548" s="419"/>
      <c r="L548" s="402"/>
      <c r="M548" s="197"/>
      <c r="N548" s="197"/>
      <c r="O548" s="147"/>
      <c r="P548" s="284"/>
      <c r="Q548" s="284"/>
      <c r="R548" s="284"/>
      <c r="S548" s="284"/>
      <c r="T548" s="284"/>
      <c r="U548" s="284"/>
      <c r="V548" s="284"/>
      <c r="W548" s="284"/>
      <c r="X548" s="284"/>
      <c r="Y548" s="284"/>
      <c r="Z548" s="284"/>
    </row>
    <row r="549" ht="22.5" customHeight="1">
      <c r="A549" s="299" t="s">
        <v>6115</v>
      </c>
      <c r="B549" s="377">
        <v>3.318300371E9</v>
      </c>
      <c r="C549" s="314" t="s">
        <v>49</v>
      </c>
      <c r="D549" s="293" t="s">
        <v>5274</v>
      </c>
      <c r="E549" s="363" t="s">
        <v>19</v>
      </c>
      <c r="F549" s="341" t="s">
        <v>5275</v>
      </c>
      <c r="G549" s="363" t="s">
        <v>19</v>
      </c>
      <c r="H549" s="415"/>
      <c r="I549" s="227" t="s">
        <v>5279</v>
      </c>
      <c r="J549" s="294" t="s">
        <v>22</v>
      </c>
      <c r="K549" s="312" t="s">
        <v>5279</v>
      </c>
      <c r="L549" s="181"/>
      <c r="M549" s="196"/>
      <c r="N549" s="196"/>
      <c r="O549" s="155"/>
      <c r="P549" s="284"/>
      <c r="Q549" s="284"/>
      <c r="R549" s="284"/>
      <c r="S549" s="284"/>
      <c r="T549" s="284"/>
      <c r="U549" s="284"/>
      <c r="V549" s="284"/>
      <c r="W549" s="284"/>
      <c r="X549" s="284"/>
      <c r="Y549" s="284"/>
      <c r="Z549" s="284"/>
    </row>
    <row r="550" ht="22.5" customHeight="1">
      <c r="A550" s="379" t="s">
        <v>6116</v>
      </c>
      <c r="B550" s="398">
        <v>3.216908093E9</v>
      </c>
      <c r="C550" s="360" t="s">
        <v>30</v>
      </c>
      <c r="D550" s="358" t="s">
        <v>5274</v>
      </c>
      <c r="E550" s="382" t="s">
        <v>31</v>
      </c>
      <c r="F550" s="344" t="s">
        <v>5275</v>
      </c>
      <c r="G550" s="383" t="s">
        <v>19</v>
      </c>
      <c r="H550" s="418"/>
      <c r="I550" s="382" t="s">
        <v>31</v>
      </c>
      <c r="J550" s="321" t="s">
        <v>22</v>
      </c>
      <c r="K550" s="401" t="s">
        <v>5279</v>
      </c>
      <c r="L550" s="402"/>
      <c r="M550" s="197"/>
      <c r="N550" s="197"/>
      <c r="O550" s="147"/>
      <c r="P550" s="284"/>
      <c r="Q550" s="284"/>
      <c r="R550" s="284"/>
      <c r="S550" s="284"/>
      <c r="T550" s="284"/>
      <c r="U550" s="284"/>
      <c r="V550" s="284"/>
      <c r="W550" s="284"/>
      <c r="X550" s="284"/>
      <c r="Y550" s="284"/>
      <c r="Z550" s="284"/>
    </row>
    <row r="551" ht="22.5" customHeight="1">
      <c r="A551" s="299" t="s">
        <v>6117</v>
      </c>
      <c r="B551" s="313" t="s">
        <v>6118</v>
      </c>
      <c r="C551" s="335" t="s">
        <v>5416</v>
      </c>
      <c r="D551" s="293" t="s">
        <v>5274</v>
      </c>
      <c r="E551" s="227" t="s">
        <v>640</v>
      </c>
      <c r="F551" s="341" t="s">
        <v>5275</v>
      </c>
      <c r="G551" s="227" t="s">
        <v>5279</v>
      </c>
      <c r="H551" s="294" t="s">
        <v>21</v>
      </c>
      <c r="I551" s="227" t="s">
        <v>5279</v>
      </c>
      <c r="J551" s="294" t="s">
        <v>22</v>
      </c>
      <c r="K551" s="312" t="s">
        <v>5279</v>
      </c>
      <c r="L551" s="392" t="s">
        <v>5271</v>
      </c>
      <c r="M551" s="196"/>
      <c r="N551" s="196"/>
      <c r="O551" s="155"/>
      <c r="P551" s="284"/>
      <c r="Q551" s="284"/>
      <c r="R551" s="284"/>
      <c r="S551" s="284"/>
      <c r="T551" s="284"/>
      <c r="U551" s="284"/>
      <c r="V551" s="284"/>
      <c r="W551" s="284"/>
      <c r="X551" s="284"/>
      <c r="Y551" s="284"/>
      <c r="Z551" s="284"/>
    </row>
    <row r="552" ht="22.5" customHeight="1">
      <c r="A552" s="379" t="s">
        <v>6119</v>
      </c>
      <c r="B552" s="398">
        <v>3.427815225E9</v>
      </c>
      <c r="C552" s="319" t="s">
        <v>40</v>
      </c>
      <c r="D552" s="358" t="s">
        <v>5274</v>
      </c>
      <c r="E552" s="383" t="s">
        <v>19</v>
      </c>
      <c r="F552" s="344" t="s">
        <v>5275</v>
      </c>
      <c r="G552" s="382" t="s">
        <v>31</v>
      </c>
      <c r="H552" s="418"/>
      <c r="I552" s="425" t="s">
        <v>5279</v>
      </c>
      <c r="J552" s="321" t="s">
        <v>22</v>
      </c>
      <c r="K552" s="401" t="s">
        <v>5279</v>
      </c>
      <c r="L552" s="389" t="s">
        <v>5280</v>
      </c>
      <c r="M552" s="197"/>
      <c r="N552" s="197"/>
      <c r="O552" s="147"/>
      <c r="P552" s="284"/>
      <c r="Q552" s="284"/>
      <c r="R552" s="284"/>
      <c r="S552" s="284"/>
      <c r="T552" s="284"/>
      <c r="U552" s="284"/>
      <c r="V552" s="284"/>
      <c r="W552" s="284"/>
      <c r="X552" s="284"/>
      <c r="Y552" s="284"/>
      <c r="Z552" s="284"/>
    </row>
    <row r="553" ht="22.5" customHeight="1">
      <c r="A553" s="299" t="s">
        <v>6120</v>
      </c>
      <c r="B553" s="377">
        <v>3.290255323E9</v>
      </c>
      <c r="C553" s="314" t="s">
        <v>49</v>
      </c>
      <c r="D553" s="293" t="s">
        <v>5274</v>
      </c>
      <c r="E553" s="227" t="s">
        <v>640</v>
      </c>
      <c r="F553" s="341" t="s">
        <v>5275</v>
      </c>
      <c r="G553" s="227" t="s">
        <v>5279</v>
      </c>
      <c r="H553" s="415"/>
      <c r="I553" s="414"/>
      <c r="J553" s="415"/>
      <c r="K553" s="416"/>
      <c r="L553" s="181"/>
      <c r="M553" s="196"/>
      <c r="N553" s="196"/>
      <c r="O553" s="155"/>
      <c r="P553" s="284"/>
      <c r="Q553" s="284"/>
      <c r="R553" s="284"/>
      <c r="S553" s="284"/>
      <c r="T553" s="284"/>
      <c r="U553" s="284"/>
      <c r="V553" s="284"/>
      <c r="W553" s="284"/>
      <c r="X553" s="284"/>
      <c r="Y553" s="284"/>
      <c r="Z553" s="284"/>
    </row>
    <row r="554" ht="22.5" customHeight="1">
      <c r="A554" s="379" t="s">
        <v>6121</v>
      </c>
      <c r="B554" s="398">
        <v>3.22248315E9</v>
      </c>
      <c r="C554" s="428" t="s">
        <v>49</v>
      </c>
      <c r="D554" s="418"/>
      <c r="E554" s="384" t="s">
        <v>640</v>
      </c>
      <c r="F554" s="344" t="s">
        <v>5275</v>
      </c>
      <c r="G554" s="384" t="s">
        <v>5279</v>
      </c>
      <c r="H554" s="418"/>
      <c r="I554" s="384" t="s">
        <v>5279</v>
      </c>
      <c r="J554" s="321" t="s">
        <v>22</v>
      </c>
      <c r="K554" s="401" t="s">
        <v>5279</v>
      </c>
      <c r="L554" s="402"/>
      <c r="M554" s="197"/>
      <c r="N554" s="197"/>
      <c r="O554" s="147"/>
      <c r="P554" s="284"/>
      <c r="Q554" s="284"/>
      <c r="R554" s="284"/>
      <c r="S554" s="284"/>
      <c r="T554" s="284"/>
      <c r="U554" s="284"/>
      <c r="V554" s="284"/>
      <c r="W554" s="284"/>
      <c r="X554" s="284"/>
      <c r="Y554" s="284"/>
      <c r="Z554" s="284"/>
    </row>
    <row r="555" ht="22.5" customHeight="1">
      <c r="A555" s="299" t="s">
        <v>637</v>
      </c>
      <c r="B555" s="313" t="s">
        <v>6122</v>
      </c>
      <c r="C555" s="192" t="s">
        <v>49</v>
      </c>
      <c r="D555" s="315" t="s">
        <v>5274</v>
      </c>
      <c r="E555" s="311" t="s">
        <v>31</v>
      </c>
      <c r="F555" s="294" t="s">
        <v>5275</v>
      </c>
      <c r="G555" s="311" t="s">
        <v>31</v>
      </c>
      <c r="H555" s="294" t="s">
        <v>21</v>
      </c>
      <c r="I555" s="429" t="s">
        <v>19</v>
      </c>
      <c r="J555" s="294" t="s">
        <v>22</v>
      </c>
      <c r="K555" s="312" t="s">
        <v>5279</v>
      </c>
      <c r="L555" s="181"/>
      <c r="M555" s="196"/>
      <c r="N555" s="196"/>
      <c r="O555" s="155"/>
      <c r="P555" s="284"/>
      <c r="Q555" s="284"/>
      <c r="R555" s="284"/>
      <c r="S555" s="284"/>
      <c r="T555" s="284"/>
      <c r="U555" s="284"/>
      <c r="V555" s="284"/>
      <c r="W555" s="284"/>
      <c r="X555" s="284"/>
      <c r="Y555" s="284"/>
      <c r="Z555" s="284"/>
    </row>
    <row r="556" ht="22.5" customHeight="1">
      <c r="A556" s="430"/>
      <c r="B556" s="420" t="s">
        <v>6123</v>
      </c>
      <c r="C556" s="431" t="s">
        <v>2192</v>
      </c>
      <c r="D556" s="287" t="s">
        <v>5274</v>
      </c>
      <c r="E556" s="382" t="s">
        <v>31</v>
      </c>
      <c r="F556" s="289" t="s">
        <v>5275</v>
      </c>
      <c r="G556" s="384" t="s">
        <v>5279</v>
      </c>
      <c r="H556" s="289" t="s">
        <v>21</v>
      </c>
      <c r="I556" s="384" t="s">
        <v>5279</v>
      </c>
      <c r="J556" s="289" t="s">
        <v>22</v>
      </c>
      <c r="K556" s="384" t="s">
        <v>5279</v>
      </c>
      <c r="L556" s="402"/>
      <c r="M556" s="197"/>
      <c r="N556" s="197"/>
      <c r="O556" s="147"/>
      <c r="P556" s="284"/>
      <c r="Q556" s="284"/>
      <c r="R556" s="284"/>
      <c r="S556" s="284"/>
      <c r="T556" s="284"/>
      <c r="U556" s="284"/>
      <c r="V556" s="284"/>
      <c r="W556" s="284"/>
      <c r="X556" s="284"/>
      <c r="Y556" s="284"/>
      <c r="Z556" s="284"/>
    </row>
    <row r="557" ht="22.5" customHeight="1">
      <c r="A557" s="327" t="s">
        <v>6124</v>
      </c>
      <c r="B557" s="313" t="s">
        <v>6125</v>
      </c>
      <c r="C557" s="213" t="s">
        <v>40</v>
      </c>
      <c r="D557" s="293" t="s">
        <v>5274</v>
      </c>
      <c r="E557" s="311" t="s">
        <v>31</v>
      </c>
      <c r="F557" s="294" t="s">
        <v>5275</v>
      </c>
      <c r="G557" s="311" t="s">
        <v>31</v>
      </c>
      <c r="H557" s="294" t="s">
        <v>21</v>
      </c>
      <c r="I557" s="363" t="s">
        <v>19</v>
      </c>
      <c r="J557" s="294" t="s">
        <v>22</v>
      </c>
      <c r="K557" s="403" t="s">
        <v>31</v>
      </c>
      <c r="L557" s="181"/>
      <c r="M557" s="196"/>
      <c r="N557" s="196"/>
      <c r="O557" s="155"/>
      <c r="P557" s="284"/>
      <c r="Q557" s="284"/>
      <c r="R557" s="284"/>
      <c r="S557" s="284"/>
      <c r="T557" s="284"/>
      <c r="U557" s="284"/>
      <c r="V557" s="284"/>
      <c r="W557" s="284"/>
      <c r="X557" s="284"/>
      <c r="Y557" s="284"/>
      <c r="Z557" s="284"/>
    </row>
    <row r="558" ht="22.5" customHeight="1">
      <c r="A558" s="379" t="s">
        <v>6126</v>
      </c>
      <c r="B558" s="420" t="s">
        <v>6127</v>
      </c>
      <c r="C558" s="243" t="s">
        <v>5416</v>
      </c>
      <c r="D558" s="287" t="s">
        <v>5274</v>
      </c>
      <c r="E558" s="384" t="s">
        <v>640</v>
      </c>
      <c r="F558" s="289" t="s">
        <v>5275</v>
      </c>
      <c r="G558" s="384" t="s">
        <v>5279</v>
      </c>
      <c r="H558" s="289" t="s">
        <v>21</v>
      </c>
      <c r="I558" s="384" t="s">
        <v>5279</v>
      </c>
      <c r="J558" s="289" t="s">
        <v>22</v>
      </c>
      <c r="K558" s="401" t="s">
        <v>5279</v>
      </c>
      <c r="L558" s="402"/>
      <c r="M558" s="197"/>
      <c r="N558" s="197"/>
      <c r="O558" s="147"/>
      <c r="P558" s="284"/>
      <c r="Q558" s="284"/>
      <c r="R558" s="284"/>
      <c r="S558" s="284"/>
      <c r="T558" s="284"/>
      <c r="U558" s="284"/>
      <c r="V558" s="284"/>
      <c r="W558" s="284"/>
      <c r="X558" s="284"/>
      <c r="Y558" s="284"/>
      <c r="Z558" s="284"/>
    </row>
    <row r="559" ht="22.5" customHeight="1">
      <c r="A559" s="299" t="s">
        <v>6128</v>
      </c>
      <c r="B559" s="313" t="s">
        <v>6129</v>
      </c>
      <c r="C559" s="432" t="s">
        <v>49</v>
      </c>
      <c r="D559" s="293" t="s">
        <v>5274</v>
      </c>
      <c r="E559" s="227" t="s">
        <v>640</v>
      </c>
      <c r="F559" s="294" t="s">
        <v>5275</v>
      </c>
      <c r="G559" s="311" t="s">
        <v>31</v>
      </c>
      <c r="H559" s="294" t="s">
        <v>21</v>
      </c>
      <c r="I559" s="227" t="s">
        <v>5279</v>
      </c>
      <c r="J559" s="294" t="s">
        <v>22</v>
      </c>
      <c r="K559" s="311" t="s">
        <v>31</v>
      </c>
      <c r="L559" s="181"/>
      <c r="M559" s="196"/>
      <c r="N559" s="196"/>
      <c r="O559" s="155"/>
      <c r="P559" s="284"/>
      <c r="Q559" s="284"/>
      <c r="R559" s="284"/>
      <c r="S559" s="284"/>
      <c r="T559" s="284"/>
      <c r="U559" s="284"/>
      <c r="V559" s="284"/>
      <c r="W559" s="284"/>
      <c r="X559" s="284"/>
      <c r="Y559" s="284"/>
      <c r="Z559" s="284"/>
    </row>
    <row r="560" ht="22.5" customHeight="1">
      <c r="A560" s="285" t="s">
        <v>637</v>
      </c>
      <c r="B560" s="159" t="s">
        <v>6130</v>
      </c>
      <c r="C560" s="372" t="s">
        <v>49</v>
      </c>
      <c r="D560" s="358" t="s">
        <v>5274</v>
      </c>
      <c r="E560" s="204" t="s">
        <v>640</v>
      </c>
      <c r="F560" s="289" t="s">
        <v>5275</v>
      </c>
      <c r="G560" s="297" t="s">
        <v>31</v>
      </c>
      <c r="H560" s="289" t="s">
        <v>21</v>
      </c>
      <c r="I560" s="297" t="s">
        <v>31</v>
      </c>
      <c r="J560" s="289" t="s">
        <v>22</v>
      </c>
      <c r="K560" s="401" t="s">
        <v>5279</v>
      </c>
      <c r="L560" s="402"/>
      <c r="M560" s="197"/>
      <c r="N560" s="197"/>
      <c r="O560" s="147"/>
      <c r="P560" s="284"/>
      <c r="Q560" s="284"/>
      <c r="R560" s="284"/>
      <c r="S560" s="284"/>
      <c r="T560" s="284"/>
      <c r="U560" s="284"/>
      <c r="V560" s="284"/>
      <c r="W560" s="284"/>
      <c r="X560" s="284"/>
      <c r="Y560" s="284"/>
      <c r="Z560" s="284"/>
    </row>
    <row r="561" ht="22.5" customHeight="1">
      <c r="A561" s="299" t="s">
        <v>637</v>
      </c>
      <c r="B561" s="313" t="s">
        <v>6131</v>
      </c>
      <c r="C561" s="433" t="s">
        <v>6132</v>
      </c>
      <c r="D561" s="315" t="s">
        <v>5274</v>
      </c>
      <c r="E561" s="363" t="s">
        <v>19</v>
      </c>
      <c r="F561" s="294" t="s">
        <v>5275</v>
      </c>
      <c r="G561" s="363" t="s">
        <v>19</v>
      </c>
      <c r="H561" s="294" t="s">
        <v>21</v>
      </c>
      <c r="I561" s="363" t="s">
        <v>19</v>
      </c>
      <c r="J561" s="294" t="s">
        <v>22</v>
      </c>
      <c r="K561" s="396" t="s">
        <v>19</v>
      </c>
      <c r="L561" s="181"/>
      <c r="M561" s="196"/>
      <c r="N561" s="196"/>
      <c r="O561" s="155"/>
      <c r="P561" s="284"/>
      <c r="Q561" s="284"/>
      <c r="R561" s="284"/>
      <c r="S561" s="284"/>
      <c r="T561" s="284"/>
      <c r="U561" s="284"/>
      <c r="V561" s="284"/>
      <c r="W561" s="284"/>
      <c r="X561" s="284"/>
      <c r="Y561" s="284"/>
      <c r="Z561" s="284"/>
    </row>
    <row r="562" ht="22.5" customHeight="1">
      <c r="A562" s="285" t="s">
        <v>637</v>
      </c>
      <c r="B562" s="159" t="s">
        <v>6133</v>
      </c>
      <c r="C562" s="169" t="s">
        <v>49</v>
      </c>
      <c r="D562" s="287" t="s">
        <v>5274</v>
      </c>
      <c r="E562" s="297" t="s">
        <v>31</v>
      </c>
      <c r="F562" s="289" t="s">
        <v>5275</v>
      </c>
      <c r="G562" s="288" t="s">
        <v>19</v>
      </c>
      <c r="H562" s="289" t="s">
        <v>21</v>
      </c>
      <c r="I562" s="297" t="s">
        <v>31</v>
      </c>
      <c r="J562" s="289" t="s">
        <v>22</v>
      </c>
      <c r="K562" s="401" t="s">
        <v>5279</v>
      </c>
      <c r="L562" s="402"/>
      <c r="M562" s="197"/>
      <c r="N562" s="197"/>
      <c r="O562" s="147"/>
      <c r="P562" s="284"/>
      <c r="Q562" s="284"/>
      <c r="R562" s="284"/>
      <c r="S562" s="284"/>
      <c r="T562" s="284"/>
      <c r="U562" s="284"/>
      <c r="V562" s="284"/>
      <c r="W562" s="284"/>
      <c r="X562" s="284"/>
      <c r="Y562" s="284"/>
      <c r="Z562" s="284"/>
    </row>
    <row r="563" ht="22.5" customHeight="1">
      <c r="A563" s="299" t="s">
        <v>637</v>
      </c>
      <c r="B563" s="313" t="s">
        <v>6134</v>
      </c>
      <c r="C563" s="413" t="s">
        <v>2192</v>
      </c>
      <c r="D563" s="315" t="s">
        <v>5274</v>
      </c>
      <c r="E563" s="311" t="s">
        <v>31</v>
      </c>
      <c r="F563" s="294" t="s">
        <v>5275</v>
      </c>
      <c r="G563" s="311" t="s">
        <v>31</v>
      </c>
      <c r="H563" s="294" t="s">
        <v>21</v>
      </c>
      <c r="I563" s="311" t="s">
        <v>31</v>
      </c>
      <c r="J563" s="294" t="s">
        <v>22</v>
      </c>
      <c r="K563" s="403" t="s">
        <v>31</v>
      </c>
      <c r="L563" s="181"/>
      <c r="M563" s="196"/>
      <c r="N563" s="196"/>
      <c r="O563" s="155"/>
      <c r="P563" s="284"/>
      <c r="Q563" s="284"/>
      <c r="R563" s="284"/>
      <c r="S563" s="284"/>
      <c r="T563" s="284"/>
      <c r="U563" s="284"/>
      <c r="V563" s="284"/>
      <c r="W563" s="284"/>
      <c r="X563" s="284"/>
      <c r="Y563" s="284"/>
      <c r="Z563" s="284"/>
    </row>
    <row r="564" ht="22.5" customHeight="1">
      <c r="A564" s="285" t="s">
        <v>637</v>
      </c>
      <c r="B564" s="329" t="s">
        <v>6135</v>
      </c>
      <c r="C564" s="169" t="s">
        <v>49</v>
      </c>
      <c r="D564" s="358" t="s">
        <v>5274</v>
      </c>
      <c r="E564" s="297" t="s">
        <v>31</v>
      </c>
      <c r="F564" s="289" t="s">
        <v>5275</v>
      </c>
      <c r="G564" s="297" t="s">
        <v>31</v>
      </c>
      <c r="H564" s="289" t="s">
        <v>21</v>
      </c>
      <c r="I564" s="297" t="s">
        <v>31</v>
      </c>
      <c r="J564" s="289" t="s">
        <v>22</v>
      </c>
      <c r="K564" s="393" t="s">
        <v>31</v>
      </c>
      <c r="L564" s="402"/>
      <c r="M564" s="197"/>
      <c r="N564" s="197"/>
      <c r="O564" s="147"/>
      <c r="P564" s="284"/>
      <c r="Q564" s="284"/>
      <c r="R564" s="284"/>
      <c r="S564" s="284"/>
      <c r="T564" s="284"/>
      <c r="U564" s="284"/>
      <c r="V564" s="284"/>
      <c r="W564" s="284"/>
      <c r="X564" s="284"/>
      <c r="Y564" s="284"/>
      <c r="Z564" s="284"/>
    </row>
    <row r="565" ht="22.5" customHeight="1">
      <c r="A565" s="299" t="s">
        <v>6136</v>
      </c>
      <c r="B565" s="313" t="s">
        <v>6137</v>
      </c>
      <c r="C565" s="335" t="s">
        <v>5416</v>
      </c>
      <c r="D565" s="315" t="s">
        <v>5274</v>
      </c>
      <c r="E565" s="227" t="s">
        <v>640</v>
      </c>
      <c r="F565" s="294" t="s">
        <v>5275</v>
      </c>
      <c r="G565" s="227" t="s">
        <v>5279</v>
      </c>
      <c r="H565" s="294" t="s">
        <v>21</v>
      </c>
      <c r="I565" s="227" t="s">
        <v>5279</v>
      </c>
      <c r="J565" s="294" t="s">
        <v>22</v>
      </c>
      <c r="K565" s="312" t="s">
        <v>5279</v>
      </c>
      <c r="L565" s="181"/>
      <c r="M565" s="196"/>
      <c r="N565" s="196"/>
      <c r="O565" s="155"/>
      <c r="P565" s="284"/>
      <c r="Q565" s="284"/>
      <c r="R565" s="284"/>
      <c r="S565" s="284"/>
      <c r="T565" s="284"/>
      <c r="U565" s="284"/>
      <c r="V565" s="284"/>
      <c r="W565" s="284"/>
      <c r="X565" s="284"/>
      <c r="Y565" s="284"/>
      <c r="Z565" s="284"/>
    </row>
    <row r="566" ht="22.5" customHeight="1">
      <c r="A566" s="285" t="s">
        <v>6138</v>
      </c>
      <c r="B566" s="159" t="s">
        <v>6139</v>
      </c>
      <c r="C566" s="319" t="s">
        <v>40</v>
      </c>
      <c r="D566" s="287" t="s">
        <v>5274</v>
      </c>
      <c r="E566" s="204" t="s">
        <v>640</v>
      </c>
      <c r="F566" s="289" t="s">
        <v>5275</v>
      </c>
      <c r="G566" s="204" t="s">
        <v>5279</v>
      </c>
      <c r="H566" s="289" t="s">
        <v>21</v>
      </c>
      <c r="I566" s="297" t="s">
        <v>31</v>
      </c>
      <c r="J566" s="289" t="s">
        <v>22</v>
      </c>
      <c r="K566" s="298" t="s">
        <v>5279</v>
      </c>
      <c r="L566" s="402"/>
      <c r="M566" s="197"/>
      <c r="N566" s="197"/>
      <c r="O566" s="147"/>
      <c r="P566" s="284"/>
      <c r="Q566" s="284"/>
      <c r="R566" s="284"/>
      <c r="S566" s="284"/>
      <c r="T566" s="284"/>
      <c r="U566" s="284"/>
      <c r="V566" s="284"/>
      <c r="W566" s="284"/>
      <c r="X566" s="284"/>
      <c r="Y566" s="284"/>
      <c r="Z566" s="284"/>
    </row>
    <row r="567" ht="22.5" customHeight="1">
      <c r="A567" s="305" t="s">
        <v>2078</v>
      </c>
      <c r="B567" s="313" t="s">
        <v>6140</v>
      </c>
      <c r="C567" s="314" t="s">
        <v>49</v>
      </c>
      <c r="D567" s="293" t="s">
        <v>5274</v>
      </c>
      <c r="E567" s="227" t="s">
        <v>640</v>
      </c>
      <c r="F567" s="294" t="s">
        <v>5275</v>
      </c>
      <c r="G567" s="311" t="s">
        <v>31</v>
      </c>
      <c r="H567" s="294" t="s">
        <v>21</v>
      </c>
      <c r="I567" s="311" t="s">
        <v>31</v>
      </c>
      <c r="J567" s="294" t="s">
        <v>22</v>
      </c>
      <c r="K567" s="403" t="s">
        <v>31</v>
      </c>
      <c r="L567" s="181"/>
      <c r="M567" s="196"/>
      <c r="N567" s="196"/>
      <c r="O567" s="155"/>
      <c r="P567" s="284"/>
      <c r="Q567" s="284"/>
      <c r="R567" s="284"/>
      <c r="S567" s="284"/>
      <c r="T567" s="284"/>
      <c r="U567" s="284"/>
      <c r="V567" s="284"/>
      <c r="W567" s="284"/>
      <c r="X567" s="284"/>
      <c r="Y567" s="284"/>
      <c r="Z567" s="284"/>
    </row>
    <row r="568" ht="22.5" customHeight="1">
      <c r="A568" s="285" t="s">
        <v>637</v>
      </c>
      <c r="B568" s="159" t="s">
        <v>6141</v>
      </c>
      <c r="C568" s="317" t="s">
        <v>49</v>
      </c>
      <c r="D568" s="287" t="s">
        <v>5274</v>
      </c>
      <c r="E568" s="297" t="s">
        <v>31</v>
      </c>
      <c r="F568" s="289" t="s">
        <v>5275</v>
      </c>
      <c r="G568" s="297" t="s">
        <v>31</v>
      </c>
      <c r="H568" s="289" t="s">
        <v>21</v>
      </c>
      <c r="I568" s="288" t="s">
        <v>19</v>
      </c>
      <c r="J568" s="289" t="s">
        <v>22</v>
      </c>
      <c r="K568" s="298" t="s">
        <v>5279</v>
      </c>
      <c r="L568" s="402"/>
      <c r="M568" s="197"/>
      <c r="N568" s="197"/>
      <c r="O568" s="147"/>
      <c r="P568" s="284"/>
      <c r="Q568" s="284"/>
      <c r="R568" s="284"/>
      <c r="S568" s="284"/>
      <c r="T568" s="284"/>
      <c r="U568" s="284"/>
      <c r="V568" s="284"/>
      <c r="W568" s="284"/>
      <c r="X568" s="284"/>
      <c r="Y568" s="284"/>
      <c r="Z568" s="284"/>
    </row>
    <row r="569" ht="22.5" customHeight="1">
      <c r="A569" s="299" t="s">
        <v>637</v>
      </c>
      <c r="B569" s="313" t="s">
        <v>6142</v>
      </c>
      <c r="C569" s="318" t="s">
        <v>40</v>
      </c>
      <c r="D569" s="315" t="s">
        <v>5274</v>
      </c>
      <c r="E569" s="311" t="s">
        <v>31</v>
      </c>
      <c r="F569" s="294" t="s">
        <v>5275</v>
      </c>
      <c r="G569" s="311" t="s">
        <v>31</v>
      </c>
      <c r="H569" s="294" t="s">
        <v>21</v>
      </c>
      <c r="I569" s="311" t="s">
        <v>31</v>
      </c>
      <c r="J569" s="294" t="s">
        <v>22</v>
      </c>
      <c r="K569" s="312" t="s">
        <v>5279</v>
      </c>
      <c r="L569" s="181"/>
      <c r="M569" s="196"/>
      <c r="N569" s="196"/>
      <c r="O569" s="155"/>
      <c r="P569" s="284"/>
      <c r="Q569" s="284"/>
      <c r="R569" s="284"/>
      <c r="S569" s="284"/>
      <c r="T569" s="284"/>
      <c r="U569" s="284"/>
      <c r="V569" s="284"/>
      <c r="W569" s="284"/>
      <c r="X569" s="284"/>
      <c r="Y569" s="284"/>
      <c r="Z569" s="284"/>
    </row>
    <row r="570" ht="22.5" customHeight="1">
      <c r="A570" s="303" t="s">
        <v>6143</v>
      </c>
      <c r="B570" s="159" t="s">
        <v>6144</v>
      </c>
      <c r="C570" s="317" t="s">
        <v>49</v>
      </c>
      <c r="D570" s="287" t="s">
        <v>5274</v>
      </c>
      <c r="E570" s="288" t="s">
        <v>19</v>
      </c>
      <c r="F570" s="289" t="s">
        <v>5275</v>
      </c>
      <c r="G570" s="288" t="s">
        <v>19</v>
      </c>
      <c r="H570" s="289" t="s">
        <v>21</v>
      </c>
      <c r="I570" s="288" t="s">
        <v>19</v>
      </c>
      <c r="J570" s="289" t="s">
        <v>22</v>
      </c>
      <c r="K570" s="290" t="s">
        <v>19</v>
      </c>
      <c r="L570" s="402"/>
      <c r="M570" s="197"/>
      <c r="N570" s="197"/>
      <c r="O570" s="147"/>
      <c r="P570" s="284"/>
      <c r="Q570" s="284"/>
      <c r="R570" s="284"/>
      <c r="S570" s="284"/>
      <c r="T570" s="284"/>
      <c r="U570" s="284"/>
      <c r="V570" s="284"/>
      <c r="W570" s="284"/>
      <c r="X570" s="284"/>
      <c r="Y570" s="284"/>
      <c r="Z570" s="284"/>
    </row>
    <row r="571" ht="22.5" customHeight="1">
      <c r="A571" s="299" t="s">
        <v>637</v>
      </c>
      <c r="B571" s="313" t="s">
        <v>6145</v>
      </c>
      <c r="C571" s="413" t="s">
        <v>2192</v>
      </c>
      <c r="D571" s="293" t="s">
        <v>5274</v>
      </c>
      <c r="E571" s="227" t="s">
        <v>640</v>
      </c>
      <c r="F571" s="294" t="s">
        <v>5275</v>
      </c>
      <c r="G571" s="363" t="s">
        <v>19</v>
      </c>
      <c r="H571" s="294" t="s">
        <v>21</v>
      </c>
      <c r="I571" s="363" t="s">
        <v>19</v>
      </c>
      <c r="J571" s="294" t="s">
        <v>22</v>
      </c>
      <c r="K571" s="403" t="s">
        <v>31</v>
      </c>
      <c r="L571" s="181"/>
      <c r="M571" s="196"/>
      <c r="N571" s="196"/>
      <c r="O571" s="155"/>
      <c r="P571" s="284"/>
      <c r="Q571" s="284"/>
      <c r="R571" s="284"/>
      <c r="S571" s="284"/>
      <c r="T571" s="284"/>
      <c r="U571" s="284"/>
      <c r="V571" s="284"/>
      <c r="W571" s="284"/>
      <c r="X571" s="284"/>
      <c r="Y571" s="284"/>
      <c r="Z571" s="284"/>
    </row>
    <row r="572" ht="22.5" customHeight="1">
      <c r="A572" s="285" t="s">
        <v>637</v>
      </c>
      <c r="B572" s="159" t="s">
        <v>6146</v>
      </c>
      <c r="C572" s="319" t="s">
        <v>40</v>
      </c>
      <c r="D572" s="287" t="s">
        <v>5274</v>
      </c>
      <c r="E572" s="297" t="s">
        <v>31</v>
      </c>
      <c r="F572" s="289" t="s">
        <v>5275</v>
      </c>
      <c r="G572" s="288" t="s">
        <v>19</v>
      </c>
      <c r="H572" s="289" t="s">
        <v>21</v>
      </c>
      <c r="I572" s="297" t="s">
        <v>31</v>
      </c>
      <c r="J572" s="289" t="s">
        <v>22</v>
      </c>
      <c r="K572" s="298" t="s">
        <v>5279</v>
      </c>
      <c r="L572" s="402"/>
      <c r="M572" s="197"/>
      <c r="N572" s="197"/>
      <c r="O572" s="147"/>
      <c r="P572" s="284"/>
      <c r="Q572" s="284"/>
      <c r="R572" s="284"/>
      <c r="S572" s="284"/>
      <c r="T572" s="284"/>
      <c r="U572" s="284"/>
      <c r="V572" s="284"/>
      <c r="W572" s="284"/>
      <c r="X572" s="284"/>
      <c r="Y572" s="284"/>
      <c r="Z572" s="284"/>
    </row>
    <row r="573" ht="22.5" customHeight="1">
      <c r="A573" s="305" t="s">
        <v>6147</v>
      </c>
      <c r="B573" s="313" t="s">
        <v>6148</v>
      </c>
      <c r="C573" s="314" t="s">
        <v>49</v>
      </c>
      <c r="D573" s="315" t="s">
        <v>5274</v>
      </c>
      <c r="E573" s="311" t="s">
        <v>31</v>
      </c>
      <c r="F573" s="294" t="s">
        <v>5275</v>
      </c>
      <c r="G573" s="227" t="s">
        <v>5279</v>
      </c>
      <c r="H573" s="294" t="s">
        <v>21</v>
      </c>
      <c r="I573" s="311" t="s">
        <v>31</v>
      </c>
      <c r="J573" s="294" t="s">
        <v>22</v>
      </c>
      <c r="K573" s="403" t="s">
        <v>31</v>
      </c>
      <c r="L573" s="181"/>
      <c r="M573" s="196"/>
      <c r="N573" s="196"/>
      <c r="O573" s="155"/>
      <c r="P573" s="284"/>
      <c r="Q573" s="284"/>
      <c r="R573" s="284"/>
      <c r="S573" s="284"/>
      <c r="T573" s="284"/>
      <c r="U573" s="284"/>
      <c r="V573" s="284"/>
      <c r="W573" s="284"/>
      <c r="X573" s="284"/>
      <c r="Y573" s="284"/>
      <c r="Z573" s="284"/>
    </row>
    <row r="574" ht="22.5" customHeight="1">
      <c r="A574" s="285" t="s">
        <v>6149</v>
      </c>
      <c r="B574" s="159" t="s">
        <v>6150</v>
      </c>
      <c r="C574" s="317" t="s">
        <v>49</v>
      </c>
      <c r="D574" s="358" t="s">
        <v>5274</v>
      </c>
      <c r="E574" s="288" t="s">
        <v>19</v>
      </c>
      <c r="F574" s="289" t="s">
        <v>5275</v>
      </c>
      <c r="G574" s="204" t="s">
        <v>5279</v>
      </c>
      <c r="H574" s="289" t="s">
        <v>21</v>
      </c>
      <c r="I574" s="297" t="s">
        <v>31</v>
      </c>
      <c r="J574" s="289" t="s">
        <v>22</v>
      </c>
      <c r="K574" s="434" t="s">
        <v>26</v>
      </c>
      <c r="L574" s="402"/>
      <c r="M574" s="197"/>
      <c r="N574" s="197"/>
      <c r="O574" s="147"/>
      <c r="P574" s="284"/>
      <c r="Q574" s="284"/>
      <c r="R574" s="284"/>
      <c r="S574" s="284"/>
      <c r="T574" s="284"/>
      <c r="U574" s="284"/>
      <c r="V574" s="284"/>
      <c r="W574" s="284"/>
      <c r="X574" s="284"/>
      <c r="Y574" s="284"/>
      <c r="Z574" s="284"/>
    </row>
    <row r="575" ht="22.5" customHeight="1">
      <c r="A575" s="299" t="s">
        <v>637</v>
      </c>
      <c r="B575" s="310" t="s">
        <v>6151</v>
      </c>
      <c r="C575" s="265" t="s">
        <v>40</v>
      </c>
      <c r="D575" s="315" t="s">
        <v>5274</v>
      </c>
      <c r="E575" s="311" t="s">
        <v>31</v>
      </c>
      <c r="F575" s="294" t="s">
        <v>5275</v>
      </c>
      <c r="G575" s="363" t="s">
        <v>19</v>
      </c>
      <c r="H575" s="294" t="s">
        <v>21</v>
      </c>
      <c r="I575" s="363" t="s">
        <v>19</v>
      </c>
      <c r="J575" s="294" t="s">
        <v>22</v>
      </c>
      <c r="K575" s="403" t="s">
        <v>31</v>
      </c>
      <c r="L575" s="181"/>
      <c r="M575" s="196"/>
      <c r="N575" s="196"/>
      <c r="O575" s="155"/>
      <c r="P575" s="284"/>
      <c r="Q575" s="284"/>
      <c r="R575" s="284"/>
      <c r="S575" s="284"/>
      <c r="T575" s="284"/>
      <c r="U575" s="284"/>
      <c r="V575" s="284"/>
      <c r="W575" s="284"/>
      <c r="X575" s="284"/>
      <c r="Y575" s="284"/>
      <c r="Z575" s="284"/>
    </row>
    <row r="576" ht="22.5" customHeight="1">
      <c r="A576" s="285" t="s">
        <v>811</v>
      </c>
      <c r="B576" s="159" t="s">
        <v>6152</v>
      </c>
      <c r="C576" s="319" t="s">
        <v>40</v>
      </c>
      <c r="D576" s="358" t="s">
        <v>5274</v>
      </c>
      <c r="E576" s="297" t="s">
        <v>31</v>
      </c>
      <c r="F576" s="289" t="s">
        <v>5275</v>
      </c>
      <c r="G576" s="288" t="s">
        <v>19</v>
      </c>
      <c r="H576" s="289" t="s">
        <v>21</v>
      </c>
      <c r="I576" s="288" t="s">
        <v>19</v>
      </c>
      <c r="J576" s="289" t="s">
        <v>22</v>
      </c>
      <c r="K576" s="298" t="s">
        <v>5279</v>
      </c>
      <c r="L576" s="402"/>
      <c r="M576" s="197"/>
      <c r="N576" s="197"/>
      <c r="O576" s="147"/>
      <c r="P576" s="284"/>
      <c r="Q576" s="284"/>
      <c r="R576" s="284"/>
      <c r="S576" s="284"/>
      <c r="T576" s="284"/>
      <c r="U576" s="284"/>
      <c r="V576" s="284"/>
      <c r="W576" s="284"/>
      <c r="X576" s="284"/>
      <c r="Y576" s="284"/>
      <c r="Z576" s="284"/>
    </row>
    <row r="577" ht="22.5" customHeight="1">
      <c r="A577" s="299" t="s">
        <v>637</v>
      </c>
      <c r="B577" s="313" t="s">
        <v>6153</v>
      </c>
      <c r="C577" s="318" t="s">
        <v>40</v>
      </c>
      <c r="D577" s="315" t="s">
        <v>5274</v>
      </c>
      <c r="E577" s="363" t="s">
        <v>19</v>
      </c>
      <c r="F577" s="294" t="s">
        <v>5275</v>
      </c>
      <c r="G577" s="363" t="s">
        <v>19</v>
      </c>
      <c r="H577" s="294" t="s">
        <v>21</v>
      </c>
      <c r="I577" s="311" t="s">
        <v>31</v>
      </c>
      <c r="J577" s="294" t="s">
        <v>22</v>
      </c>
      <c r="K577" s="312" t="s">
        <v>5279</v>
      </c>
      <c r="L577" s="181"/>
      <c r="M577" s="196"/>
      <c r="N577" s="196"/>
      <c r="O577" s="155"/>
      <c r="P577" s="284"/>
      <c r="Q577" s="284"/>
      <c r="R577" s="284"/>
      <c r="S577" s="284"/>
      <c r="T577" s="284"/>
      <c r="U577" s="284"/>
      <c r="V577" s="284"/>
      <c r="W577" s="284"/>
      <c r="X577" s="284"/>
      <c r="Y577" s="284"/>
      <c r="Z577" s="284"/>
    </row>
    <row r="578" ht="22.5" customHeight="1">
      <c r="A578" s="303" t="s">
        <v>6154</v>
      </c>
      <c r="B578" s="159" t="s">
        <v>6155</v>
      </c>
      <c r="C578" s="319" t="s">
        <v>40</v>
      </c>
      <c r="D578" s="358" t="s">
        <v>5274</v>
      </c>
      <c r="E578" s="288" t="s">
        <v>19</v>
      </c>
      <c r="F578" s="289" t="s">
        <v>5275</v>
      </c>
      <c r="G578" s="288" t="s">
        <v>19</v>
      </c>
      <c r="H578" s="289" t="s">
        <v>21</v>
      </c>
      <c r="I578" s="297" t="s">
        <v>31</v>
      </c>
      <c r="J578" s="289" t="s">
        <v>22</v>
      </c>
      <c r="K578" s="304" t="s">
        <v>31</v>
      </c>
      <c r="L578" s="402"/>
      <c r="M578" s="197"/>
      <c r="N578" s="197"/>
      <c r="O578" s="147"/>
      <c r="P578" s="284"/>
      <c r="Q578" s="284"/>
      <c r="R578" s="284"/>
      <c r="S578" s="284"/>
      <c r="T578" s="284"/>
      <c r="U578" s="284"/>
      <c r="V578" s="284"/>
      <c r="W578" s="284"/>
      <c r="X578" s="284"/>
      <c r="Y578" s="284"/>
      <c r="Z578" s="284"/>
    </row>
    <row r="579" ht="22.5" customHeight="1">
      <c r="A579" s="435" t="s">
        <v>6156</v>
      </c>
      <c r="B579" s="436" t="s">
        <v>6157</v>
      </c>
      <c r="C579" s="421" t="s">
        <v>35</v>
      </c>
      <c r="D579" s="315" t="s">
        <v>5274</v>
      </c>
      <c r="E579" s="437" t="s">
        <v>31</v>
      </c>
      <c r="F579" s="294" t="s">
        <v>5275</v>
      </c>
      <c r="G579" s="437" t="s">
        <v>31</v>
      </c>
      <c r="H579" s="294" t="s">
        <v>21</v>
      </c>
      <c r="I579" s="438" t="s">
        <v>19</v>
      </c>
      <c r="J579" s="294" t="s">
        <v>22</v>
      </c>
      <c r="K579" s="439" t="s">
        <v>31</v>
      </c>
      <c r="L579" s="181"/>
      <c r="M579" s="196"/>
      <c r="N579" s="196"/>
      <c r="O579" s="155"/>
      <c r="P579" s="284"/>
      <c r="Q579" s="284"/>
      <c r="R579" s="284"/>
      <c r="S579" s="284"/>
      <c r="T579" s="284"/>
      <c r="U579" s="284"/>
      <c r="V579" s="284"/>
      <c r="W579" s="284"/>
      <c r="X579" s="284"/>
      <c r="Y579" s="284"/>
      <c r="Z579" s="284"/>
    </row>
    <row r="580" ht="22.5" customHeight="1">
      <c r="A580" s="379" t="s">
        <v>637</v>
      </c>
      <c r="B580" s="420" t="s">
        <v>6158</v>
      </c>
      <c r="C580" s="440" t="s">
        <v>6132</v>
      </c>
      <c r="D580" s="358" t="s">
        <v>5274</v>
      </c>
      <c r="E580" s="383" t="s">
        <v>19</v>
      </c>
      <c r="F580" s="289" t="s">
        <v>5275</v>
      </c>
      <c r="G580" s="383" t="s">
        <v>19</v>
      </c>
      <c r="H580" s="289" t="s">
        <v>21</v>
      </c>
      <c r="I580" s="383" t="s">
        <v>19</v>
      </c>
      <c r="J580" s="289" t="s">
        <v>22</v>
      </c>
      <c r="K580" s="395" t="s">
        <v>19</v>
      </c>
      <c r="L580" s="144"/>
      <c r="M580" s="197"/>
      <c r="N580" s="197"/>
      <c r="O580" s="147"/>
      <c r="P580" s="284"/>
      <c r="Q580" s="284"/>
      <c r="R580" s="284"/>
      <c r="S580" s="284"/>
      <c r="T580" s="284"/>
      <c r="U580" s="284"/>
      <c r="V580" s="284"/>
      <c r="W580" s="284"/>
      <c r="X580" s="284"/>
      <c r="Y580" s="284"/>
      <c r="Z580" s="284"/>
    </row>
    <row r="581" ht="22.5" customHeight="1">
      <c r="A581" s="299" t="s">
        <v>637</v>
      </c>
      <c r="B581" s="313" t="s">
        <v>6159</v>
      </c>
      <c r="C581" s="314" t="s">
        <v>49</v>
      </c>
      <c r="D581" s="293" t="s">
        <v>5274</v>
      </c>
      <c r="E581" s="227" t="s">
        <v>640</v>
      </c>
      <c r="F581" s="294" t="s">
        <v>5275</v>
      </c>
      <c r="G581" s="311" t="s">
        <v>31</v>
      </c>
      <c r="H581" s="294" t="s">
        <v>21</v>
      </c>
      <c r="I581" s="227" t="s">
        <v>5279</v>
      </c>
      <c r="J581" s="294" t="s">
        <v>22</v>
      </c>
      <c r="K581" s="396" t="s">
        <v>19</v>
      </c>
      <c r="L581" s="152"/>
      <c r="M581" s="196"/>
      <c r="N581" s="196"/>
      <c r="O581" s="155"/>
      <c r="P581" s="284"/>
      <c r="Q581" s="284"/>
      <c r="R581" s="284"/>
      <c r="S581" s="284"/>
      <c r="T581" s="284"/>
      <c r="U581" s="284"/>
      <c r="V581" s="284"/>
      <c r="W581" s="284"/>
      <c r="X581" s="284"/>
      <c r="Y581" s="284"/>
      <c r="Z581" s="284"/>
    </row>
    <row r="582" ht="22.5" customHeight="1">
      <c r="A582" s="379" t="s">
        <v>4769</v>
      </c>
      <c r="B582" s="420" t="s">
        <v>6160</v>
      </c>
      <c r="C582" s="440" t="s">
        <v>6132</v>
      </c>
      <c r="D582" s="287" t="s">
        <v>5274</v>
      </c>
      <c r="E582" s="383" t="s">
        <v>19</v>
      </c>
      <c r="F582" s="289" t="s">
        <v>5275</v>
      </c>
      <c r="G582" s="383" t="s">
        <v>19</v>
      </c>
      <c r="H582" s="289" t="s">
        <v>21</v>
      </c>
      <c r="I582" s="383" t="s">
        <v>19</v>
      </c>
      <c r="J582" s="289" t="s">
        <v>22</v>
      </c>
      <c r="K582" s="395" t="s">
        <v>19</v>
      </c>
      <c r="L582" s="144"/>
      <c r="M582" s="197"/>
      <c r="N582" s="197"/>
      <c r="O582" s="147"/>
      <c r="P582" s="284"/>
      <c r="Q582" s="284"/>
      <c r="R582" s="284"/>
      <c r="S582" s="284"/>
      <c r="T582" s="284"/>
      <c r="U582" s="284"/>
      <c r="V582" s="284"/>
      <c r="W582" s="284"/>
      <c r="X582" s="284"/>
      <c r="Y582" s="284"/>
      <c r="Z582" s="284"/>
    </row>
    <row r="583" ht="22.5" customHeight="1">
      <c r="A583" s="299" t="s">
        <v>6161</v>
      </c>
      <c r="B583" s="313" t="s">
        <v>6162</v>
      </c>
      <c r="C583" s="318" t="s">
        <v>40</v>
      </c>
      <c r="D583" s="315" t="s">
        <v>5274</v>
      </c>
      <c r="E583" s="363" t="s">
        <v>19</v>
      </c>
      <c r="F583" s="294" t="s">
        <v>5275</v>
      </c>
      <c r="G583" s="363" t="s">
        <v>19</v>
      </c>
      <c r="H583" s="294" t="s">
        <v>21</v>
      </c>
      <c r="I583" s="227" t="s">
        <v>5279</v>
      </c>
      <c r="J583" s="294" t="s">
        <v>22</v>
      </c>
      <c r="K583" s="396" t="s">
        <v>19</v>
      </c>
      <c r="L583" s="152"/>
      <c r="M583" s="196"/>
      <c r="N583" s="196"/>
      <c r="O583" s="155"/>
      <c r="P583" s="284"/>
      <c r="Q583" s="284"/>
      <c r="R583" s="284"/>
      <c r="S583" s="284"/>
      <c r="T583" s="284"/>
      <c r="U583" s="284"/>
      <c r="V583" s="284"/>
      <c r="W583" s="284"/>
      <c r="X583" s="284"/>
      <c r="Y583" s="284"/>
      <c r="Z583" s="284"/>
    </row>
    <row r="584" ht="22.5" customHeight="1">
      <c r="A584" s="285" t="s">
        <v>637</v>
      </c>
      <c r="B584" s="159" t="s">
        <v>6163</v>
      </c>
      <c r="C584" s="319" t="s">
        <v>40</v>
      </c>
      <c r="D584" s="358" t="s">
        <v>5274</v>
      </c>
      <c r="E584" s="288" t="s">
        <v>19</v>
      </c>
      <c r="F584" s="289" t="s">
        <v>5275</v>
      </c>
      <c r="G584" s="297" t="s">
        <v>31</v>
      </c>
      <c r="H584" s="289" t="s">
        <v>21</v>
      </c>
      <c r="I584" s="288" t="s">
        <v>19</v>
      </c>
      <c r="J584" s="289" t="s">
        <v>22</v>
      </c>
      <c r="K584" s="290" t="s">
        <v>19</v>
      </c>
      <c r="L584" s="144"/>
      <c r="M584" s="197"/>
      <c r="N584" s="197"/>
      <c r="O584" s="147"/>
      <c r="P584" s="284"/>
      <c r="Q584" s="284"/>
      <c r="R584" s="284"/>
      <c r="S584" s="284"/>
      <c r="T584" s="284"/>
      <c r="U584" s="284"/>
      <c r="V584" s="284"/>
      <c r="W584" s="284"/>
      <c r="X584" s="284"/>
      <c r="Y584" s="284"/>
      <c r="Z584" s="284"/>
    </row>
    <row r="585" ht="22.5" customHeight="1">
      <c r="A585" s="299" t="s">
        <v>637</v>
      </c>
      <c r="B585" s="313" t="s">
        <v>6164</v>
      </c>
      <c r="C585" s="441" t="s">
        <v>6132</v>
      </c>
      <c r="D585" s="315" t="s">
        <v>5274</v>
      </c>
      <c r="E585" s="363" t="s">
        <v>19</v>
      </c>
      <c r="F585" s="294" t="s">
        <v>5275</v>
      </c>
      <c r="G585" s="363" t="s">
        <v>19</v>
      </c>
      <c r="H585" s="294" t="s">
        <v>21</v>
      </c>
      <c r="I585" s="363" t="s">
        <v>19</v>
      </c>
      <c r="J585" s="294" t="s">
        <v>22</v>
      </c>
      <c r="K585" s="363" t="s">
        <v>19</v>
      </c>
      <c r="L585" s="152"/>
      <c r="M585" s="196"/>
      <c r="N585" s="196"/>
      <c r="O585" s="155"/>
      <c r="P585" s="284"/>
      <c r="Q585" s="284"/>
      <c r="R585" s="284"/>
      <c r="S585" s="284"/>
      <c r="T585" s="284"/>
      <c r="U585" s="284"/>
      <c r="V585" s="284"/>
      <c r="W585" s="284"/>
      <c r="X585" s="284"/>
      <c r="Y585" s="284"/>
      <c r="Z585" s="284"/>
    </row>
    <row r="586" ht="22.5" customHeight="1">
      <c r="A586" s="285" t="s">
        <v>6165</v>
      </c>
      <c r="B586" s="159" t="s">
        <v>6166</v>
      </c>
      <c r="C586" s="442" t="s">
        <v>49</v>
      </c>
      <c r="D586" s="358" t="s">
        <v>5274</v>
      </c>
      <c r="E586" s="297" t="s">
        <v>31</v>
      </c>
      <c r="F586" s="289" t="s">
        <v>5275</v>
      </c>
      <c r="G586" s="297" t="s">
        <v>31</v>
      </c>
      <c r="H586" s="289" t="s">
        <v>21</v>
      </c>
      <c r="I586" s="297" t="s">
        <v>31</v>
      </c>
      <c r="J586" s="289" t="s">
        <v>22</v>
      </c>
      <c r="K586" s="204" t="s">
        <v>5279</v>
      </c>
      <c r="L586" s="144"/>
      <c r="M586" s="197"/>
      <c r="N586" s="197"/>
      <c r="O586" s="147"/>
      <c r="P586" s="284"/>
      <c r="Q586" s="284"/>
      <c r="R586" s="284"/>
      <c r="S586" s="284"/>
      <c r="T586" s="284"/>
      <c r="U586" s="284"/>
      <c r="V586" s="284"/>
      <c r="W586" s="284"/>
      <c r="X586" s="284"/>
      <c r="Y586" s="284"/>
      <c r="Z586" s="284"/>
    </row>
    <row r="587" ht="22.5" customHeight="1">
      <c r="A587" s="299" t="s">
        <v>6167</v>
      </c>
      <c r="B587" s="313" t="s">
        <v>6168</v>
      </c>
      <c r="C587" s="443" t="s">
        <v>49</v>
      </c>
      <c r="D587" s="315" t="s">
        <v>5274</v>
      </c>
      <c r="E587" s="363" t="s">
        <v>19</v>
      </c>
      <c r="F587" s="294" t="s">
        <v>5275</v>
      </c>
      <c r="G587" s="363" t="s">
        <v>19</v>
      </c>
      <c r="H587" s="294" t="s">
        <v>21</v>
      </c>
      <c r="I587" s="363" t="s">
        <v>19</v>
      </c>
      <c r="J587" s="294" t="s">
        <v>22</v>
      </c>
      <c r="K587" s="363" t="s">
        <v>19</v>
      </c>
      <c r="L587" s="152"/>
      <c r="M587" s="196"/>
      <c r="N587" s="196"/>
      <c r="O587" s="155"/>
      <c r="P587" s="284"/>
      <c r="Q587" s="284"/>
      <c r="R587" s="284"/>
      <c r="S587" s="284"/>
      <c r="T587" s="284"/>
      <c r="U587" s="284"/>
      <c r="V587" s="284"/>
      <c r="W587" s="284"/>
      <c r="X587" s="284"/>
      <c r="Y587" s="284"/>
      <c r="Z587" s="284"/>
    </row>
    <row r="588" ht="22.5" customHeight="1">
      <c r="A588" s="379" t="s">
        <v>6169</v>
      </c>
      <c r="B588" s="444" t="s">
        <v>6170</v>
      </c>
      <c r="C588" s="359" t="s">
        <v>35</v>
      </c>
      <c r="D588" s="358" t="s">
        <v>5274</v>
      </c>
      <c r="E588" s="445" t="s">
        <v>19</v>
      </c>
      <c r="F588" s="289" t="s">
        <v>5275</v>
      </c>
      <c r="G588" s="445" t="s">
        <v>19</v>
      </c>
      <c r="H588" s="289" t="s">
        <v>21</v>
      </c>
      <c r="I588" s="446" t="s">
        <v>5279</v>
      </c>
      <c r="J588" s="289" t="s">
        <v>22</v>
      </c>
      <c r="K588" s="447" t="s">
        <v>31</v>
      </c>
      <c r="L588" s="144"/>
      <c r="M588" s="197"/>
      <c r="N588" s="197"/>
      <c r="O588" s="147"/>
      <c r="P588" s="284"/>
      <c r="Q588" s="284"/>
      <c r="R588" s="284"/>
      <c r="S588" s="284"/>
      <c r="T588" s="284"/>
      <c r="U588" s="284"/>
      <c r="V588" s="284"/>
      <c r="W588" s="284"/>
      <c r="X588" s="284"/>
      <c r="Y588" s="284"/>
      <c r="Z588" s="284"/>
    </row>
    <row r="589" ht="22.5" customHeight="1">
      <c r="A589" s="299" t="s">
        <v>6171</v>
      </c>
      <c r="B589" s="313" t="s">
        <v>6172</v>
      </c>
      <c r="C589" s="432" t="s">
        <v>49</v>
      </c>
      <c r="D589" s="315" t="s">
        <v>5274</v>
      </c>
      <c r="E589" s="227" t="s">
        <v>640</v>
      </c>
      <c r="F589" s="294" t="s">
        <v>5275</v>
      </c>
      <c r="G589" s="311" t="s">
        <v>31</v>
      </c>
      <c r="H589" s="294" t="s">
        <v>21</v>
      </c>
      <c r="I589" s="227" t="s">
        <v>5279</v>
      </c>
      <c r="J589" s="294" t="s">
        <v>22</v>
      </c>
      <c r="K589" s="227" t="s">
        <v>5279</v>
      </c>
      <c r="L589" s="152"/>
      <c r="M589" s="196"/>
      <c r="N589" s="196"/>
      <c r="O589" s="155"/>
      <c r="P589" s="284"/>
      <c r="Q589" s="284"/>
      <c r="R589" s="284"/>
      <c r="S589" s="284"/>
      <c r="T589" s="284"/>
      <c r="U589" s="284"/>
      <c r="V589" s="284"/>
      <c r="W589" s="284"/>
      <c r="X589" s="284"/>
      <c r="Y589" s="284"/>
      <c r="Z589" s="284"/>
    </row>
    <row r="590" ht="22.5" customHeight="1">
      <c r="A590" s="285" t="s">
        <v>637</v>
      </c>
      <c r="B590" s="159" t="s">
        <v>6173</v>
      </c>
      <c r="C590" s="317" t="s">
        <v>49</v>
      </c>
      <c r="D590" s="358" t="s">
        <v>5274</v>
      </c>
      <c r="E590" s="288" t="s">
        <v>19</v>
      </c>
      <c r="F590" s="289" t="s">
        <v>5275</v>
      </c>
      <c r="G590" s="288" t="s">
        <v>19</v>
      </c>
      <c r="H590" s="289" t="s">
        <v>21</v>
      </c>
      <c r="I590" s="204" t="s">
        <v>5279</v>
      </c>
      <c r="J590" s="289" t="s">
        <v>22</v>
      </c>
      <c r="K590" s="304" t="s">
        <v>31</v>
      </c>
      <c r="L590" s="144"/>
      <c r="M590" s="197"/>
      <c r="N590" s="197"/>
      <c r="O590" s="147"/>
      <c r="P590" s="284"/>
      <c r="Q590" s="284"/>
      <c r="R590" s="284"/>
      <c r="S590" s="284"/>
      <c r="T590" s="284"/>
      <c r="U590" s="284"/>
      <c r="V590" s="284"/>
      <c r="W590" s="284"/>
      <c r="X590" s="284"/>
      <c r="Y590" s="284"/>
      <c r="Z590" s="284"/>
    </row>
    <row r="591" ht="22.5" customHeight="1">
      <c r="A591" s="448"/>
      <c r="B591" s="313" t="s">
        <v>6174</v>
      </c>
      <c r="C591" s="449" t="s">
        <v>2192</v>
      </c>
      <c r="D591" s="315" t="s">
        <v>5274</v>
      </c>
      <c r="E591" s="311" t="s">
        <v>31</v>
      </c>
      <c r="F591" s="294" t="s">
        <v>5275</v>
      </c>
      <c r="G591" s="227" t="s">
        <v>5279</v>
      </c>
      <c r="H591" s="294" t="s">
        <v>21</v>
      </c>
      <c r="I591" s="363" t="s">
        <v>19</v>
      </c>
      <c r="J591" s="294" t="s">
        <v>22</v>
      </c>
      <c r="K591" s="227" t="s">
        <v>5279</v>
      </c>
      <c r="L591" s="152"/>
      <c r="M591" s="196"/>
      <c r="N591" s="196"/>
      <c r="O591" s="155"/>
      <c r="P591" s="284"/>
      <c r="Q591" s="284"/>
      <c r="R591" s="284"/>
      <c r="S591" s="284"/>
      <c r="T591" s="284"/>
      <c r="U591" s="284"/>
      <c r="V591" s="284"/>
      <c r="W591" s="284"/>
      <c r="X591" s="284"/>
      <c r="Y591" s="284"/>
      <c r="Z591" s="284"/>
    </row>
    <row r="592" ht="22.5" customHeight="1">
      <c r="A592" s="285" t="s">
        <v>6175</v>
      </c>
      <c r="B592" s="159" t="s">
        <v>6176</v>
      </c>
      <c r="C592" s="345" t="s">
        <v>40</v>
      </c>
      <c r="D592" s="358" t="s">
        <v>5274</v>
      </c>
      <c r="E592" s="288" t="s">
        <v>19</v>
      </c>
      <c r="F592" s="289" t="s">
        <v>5275</v>
      </c>
      <c r="G592" s="297" t="s">
        <v>31</v>
      </c>
      <c r="H592" s="289" t="s">
        <v>21</v>
      </c>
      <c r="I592" s="297" t="s">
        <v>31</v>
      </c>
      <c r="J592" s="289" t="s">
        <v>22</v>
      </c>
      <c r="K592" s="204" t="s">
        <v>5279</v>
      </c>
      <c r="L592" s="144"/>
      <c r="M592" s="197"/>
      <c r="N592" s="197"/>
      <c r="O592" s="147"/>
      <c r="P592" s="284"/>
      <c r="Q592" s="284"/>
      <c r="R592" s="284"/>
      <c r="S592" s="284"/>
      <c r="T592" s="284"/>
      <c r="U592" s="284"/>
      <c r="V592" s="284"/>
      <c r="W592" s="284"/>
      <c r="X592" s="284"/>
      <c r="Y592" s="284"/>
      <c r="Z592" s="284"/>
    </row>
    <row r="593" ht="22.5" customHeight="1">
      <c r="A593" s="305" t="s">
        <v>6177</v>
      </c>
      <c r="B593" s="313" t="s">
        <v>6178</v>
      </c>
      <c r="C593" s="413" t="s">
        <v>2192</v>
      </c>
      <c r="D593" s="293" t="s">
        <v>5274</v>
      </c>
      <c r="E593" s="311" t="s">
        <v>31</v>
      </c>
      <c r="F593" s="294" t="s">
        <v>5275</v>
      </c>
      <c r="G593" s="363" t="s">
        <v>19</v>
      </c>
      <c r="H593" s="294" t="s">
        <v>21</v>
      </c>
      <c r="I593" s="311" t="s">
        <v>31</v>
      </c>
      <c r="J593" s="294" t="s">
        <v>22</v>
      </c>
      <c r="K593" s="312" t="s">
        <v>5279</v>
      </c>
      <c r="L593" s="152"/>
      <c r="M593" s="196"/>
      <c r="N593" s="196"/>
      <c r="O593" s="155"/>
      <c r="P593" s="284"/>
      <c r="Q593" s="284"/>
      <c r="R593" s="284"/>
      <c r="S593" s="284"/>
      <c r="T593" s="284"/>
      <c r="U593" s="284"/>
      <c r="V593" s="284"/>
      <c r="W593" s="284"/>
      <c r="X593" s="284"/>
      <c r="Y593" s="284"/>
      <c r="Z593" s="284"/>
    </row>
    <row r="594" ht="22.5" customHeight="1">
      <c r="A594" s="368"/>
      <c r="B594" s="159" t="s">
        <v>6179</v>
      </c>
      <c r="C594" s="345" t="s">
        <v>40</v>
      </c>
      <c r="D594" s="287" t="s">
        <v>5274</v>
      </c>
      <c r="E594" s="297" t="s">
        <v>31</v>
      </c>
      <c r="F594" s="289" t="s">
        <v>5275</v>
      </c>
      <c r="G594" s="204" t="s">
        <v>5279</v>
      </c>
      <c r="H594" s="289" t="s">
        <v>21</v>
      </c>
      <c r="I594" s="288" t="s">
        <v>19</v>
      </c>
      <c r="J594" s="289" t="s">
        <v>22</v>
      </c>
      <c r="K594" s="204" t="s">
        <v>5279</v>
      </c>
      <c r="L594" s="144"/>
      <c r="M594" s="197"/>
      <c r="N594" s="197"/>
      <c r="O594" s="147"/>
      <c r="P594" s="284"/>
      <c r="Q594" s="284"/>
      <c r="R594" s="284"/>
      <c r="S594" s="284"/>
      <c r="T594" s="284"/>
      <c r="U594" s="284"/>
      <c r="V594" s="284"/>
      <c r="W594" s="284"/>
      <c r="X594" s="284"/>
      <c r="Y594" s="284"/>
      <c r="Z594" s="284"/>
    </row>
    <row r="595" ht="22.5" customHeight="1">
      <c r="A595" s="448"/>
      <c r="B595" s="313" t="s">
        <v>6180</v>
      </c>
      <c r="C595" s="450" t="s">
        <v>40</v>
      </c>
      <c r="D595" s="293" t="s">
        <v>5274</v>
      </c>
      <c r="E595" s="363" t="s">
        <v>19</v>
      </c>
      <c r="F595" s="294" t="s">
        <v>5275</v>
      </c>
      <c r="G595" s="227" t="s">
        <v>5279</v>
      </c>
      <c r="H595" s="294" t="s">
        <v>21</v>
      </c>
      <c r="I595" s="311" t="s">
        <v>31</v>
      </c>
      <c r="J595" s="294" t="s">
        <v>22</v>
      </c>
      <c r="K595" s="227" t="s">
        <v>5279</v>
      </c>
      <c r="L595" s="152"/>
      <c r="M595" s="196"/>
      <c r="N595" s="196"/>
      <c r="O595" s="155"/>
      <c r="P595" s="284"/>
      <c r="Q595" s="284"/>
      <c r="R595" s="284"/>
      <c r="S595" s="284"/>
      <c r="T595" s="284"/>
      <c r="U595" s="284"/>
      <c r="V595" s="284"/>
      <c r="W595" s="284"/>
      <c r="X595" s="284"/>
      <c r="Y595" s="284"/>
      <c r="Z595" s="284"/>
    </row>
    <row r="596" ht="22.5" customHeight="1">
      <c r="A596" s="379" t="s">
        <v>6181</v>
      </c>
      <c r="B596" s="420" t="s">
        <v>6182</v>
      </c>
      <c r="C596" s="451" t="s">
        <v>35</v>
      </c>
      <c r="D596" s="358" t="s">
        <v>5274</v>
      </c>
      <c r="E596" s="384" t="s">
        <v>640</v>
      </c>
      <c r="F596" s="289" t="s">
        <v>5275</v>
      </c>
      <c r="G596" s="382" t="s">
        <v>31</v>
      </c>
      <c r="H596" s="289" t="s">
        <v>21</v>
      </c>
      <c r="I596" s="384" t="s">
        <v>5279</v>
      </c>
      <c r="J596" s="289" t="s">
        <v>22</v>
      </c>
      <c r="K596" s="382" t="s">
        <v>31</v>
      </c>
      <c r="L596" s="144"/>
      <c r="M596" s="197"/>
      <c r="N596" s="197"/>
      <c r="O596" s="147"/>
      <c r="P596" s="284"/>
      <c r="Q596" s="284"/>
      <c r="R596" s="284"/>
      <c r="S596" s="284"/>
      <c r="T596" s="284"/>
      <c r="U596" s="284"/>
      <c r="V596" s="284"/>
      <c r="W596" s="284"/>
      <c r="X596" s="284"/>
      <c r="Y596" s="284"/>
      <c r="Z596" s="284"/>
    </row>
    <row r="597" ht="22.5" customHeight="1">
      <c r="A597" s="448"/>
      <c r="B597" s="313" t="s">
        <v>6183</v>
      </c>
      <c r="C597" s="432" t="s">
        <v>49</v>
      </c>
      <c r="D597" s="293" t="s">
        <v>5274</v>
      </c>
      <c r="E597" s="311" t="s">
        <v>31</v>
      </c>
      <c r="F597" s="294" t="s">
        <v>5275</v>
      </c>
      <c r="G597" s="363" t="s">
        <v>19</v>
      </c>
      <c r="H597" s="294" t="s">
        <v>21</v>
      </c>
      <c r="I597" s="227" t="s">
        <v>5279</v>
      </c>
      <c r="J597" s="294" t="s">
        <v>22</v>
      </c>
      <c r="K597" s="227" t="s">
        <v>5279</v>
      </c>
      <c r="L597" s="152"/>
      <c r="M597" s="196"/>
      <c r="N597" s="196"/>
      <c r="O597" s="155"/>
      <c r="P597" s="284"/>
      <c r="Q597" s="284"/>
      <c r="R597" s="284"/>
      <c r="S597" s="284"/>
      <c r="T597" s="284"/>
      <c r="U597" s="284"/>
      <c r="V597" s="284"/>
      <c r="W597" s="284"/>
      <c r="X597" s="284"/>
      <c r="Y597" s="284"/>
      <c r="Z597" s="284"/>
    </row>
    <row r="598" ht="22.5" customHeight="1">
      <c r="A598" s="379" t="s">
        <v>637</v>
      </c>
      <c r="B598" s="452" t="s">
        <v>6184</v>
      </c>
      <c r="C598" s="453" t="s">
        <v>6132</v>
      </c>
      <c r="D598" s="358" t="s">
        <v>5274</v>
      </c>
      <c r="E598" s="383" t="s">
        <v>19</v>
      </c>
      <c r="F598" s="289" t="s">
        <v>5275</v>
      </c>
      <c r="G598" s="382" t="s">
        <v>31</v>
      </c>
      <c r="H598" s="289" t="s">
        <v>21</v>
      </c>
      <c r="I598" s="383" t="s">
        <v>19</v>
      </c>
      <c r="J598" s="289" t="s">
        <v>22</v>
      </c>
      <c r="K598" s="393" t="s">
        <v>31</v>
      </c>
      <c r="L598" s="144"/>
      <c r="M598" s="197"/>
      <c r="N598" s="197"/>
      <c r="O598" s="147"/>
      <c r="P598" s="284"/>
      <c r="Q598" s="284"/>
      <c r="R598" s="284"/>
      <c r="S598" s="284"/>
      <c r="T598" s="284"/>
      <c r="U598" s="284"/>
      <c r="V598" s="284"/>
      <c r="W598" s="284"/>
      <c r="X598" s="284"/>
      <c r="Y598" s="284"/>
      <c r="Z598" s="284"/>
    </row>
    <row r="599" ht="22.5" customHeight="1">
      <c r="A599" s="448"/>
      <c r="B599" s="313" t="s">
        <v>6185</v>
      </c>
      <c r="C599" s="432" t="s">
        <v>49</v>
      </c>
      <c r="D599" s="293" t="s">
        <v>5274</v>
      </c>
      <c r="E599" s="363" t="s">
        <v>19</v>
      </c>
      <c r="F599" s="294" t="s">
        <v>5275</v>
      </c>
      <c r="G599" s="311" t="s">
        <v>31</v>
      </c>
      <c r="H599" s="294" t="s">
        <v>21</v>
      </c>
      <c r="I599" s="363" t="s">
        <v>19</v>
      </c>
      <c r="J599" s="294" t="s">
        <v>22</v>
      </c>
      <c r="K599" s="227" t="s">
        <v>5279</v>
      </c>
      <c r="L599" s="152"/>
      <c r="M599" s="196"/>
      <c r="N599" s="196"/>
      <c r="O599" s="155"/>
      <c r="P599" s="284"/>
      <c r="Q599" s="284"/>
      <c r="R599" s="284"/>
      <c r="S599" s="284"/>
      <c r="T599" s="284"/>
      <c r="U599" s="284"/>
      <c r="V599" s="284"/>
      <c r="W599" s="284"/>
      <c r="X599" s="284"/>
      <c r="Y599" s="284"/>
      <c r="Z599" s="284"/>
    </row>
    <row r="600" ht="22.5" customHeight="1">
      <c r="A600" s="368"/>
      <c r="B600" s="159" t="s">
        <v>6186</v>
      </c>
      <c r="C600" s="349" t="s">
        <v>40</v>
      </c>
      <c r="D600" s="358" t="s">
        <v>5274</v>
      </c>
      <c r="E600" s="297" t="s">
        <v>31</v>
      </c>
      <c r="F600" s="289" t="s">
        <v>5275</v>
      </c>
      <c r="G600" s="204" t="s">
        <v>5279</v>
      </c>
      <c r="H600" s="289" t="s">
        <v>21</v>
      </c>
      <c r="I600" s="288" t="s">
        <v>19</v>
      </c>
      <c r="J600" s="289" t="s">
        <v>22</v>
      </c>
      <c r="K600" s="204" t="s">
        <v>5279</v>
      </c>
      <c r="L600" s="144"/>
      <c r="M600" s="197"/>
      <c r="N600" s="197"/>
      <c r="O600" s="147"/>
      <c r="P600" s="284"/>
      <c r="Q600" s="284"/>
      <c r="R600" s="284"/>
      <c r="S600" s="284"/>
      <c r="T600" s="284"/>
      <c r="U600" s="284"/>
      <c r="V600" s="284"/>
      <c r="W600" s="284"/>
      <c r="X600" s="284"/>
      <c r="Y600" s="284"/>
      <c r="Z600" s="284"/>
    </row>
    <row r="601" ht="22.5" customHeight="1">
      <c r="A601" s="448"/>
      <c r="B601" s="313" t="s">
        <v>6187</v>
      </c>
      <c r="C601" s="432" t="s">
        <v>49</v>
      </c>
      <c r="D601" s="293" t="s">
        <v>5274</v>
      </c>
      <c r="E601" s="311" t="s">
        <v>31</v>
      </c>
      <c r="F601" s="294" t="s">
        <v>5275</v>
      </c>
      <c r="G601" s="311" t="s">
        <v>31</v>
      </c>
      <c r="H601" s="294" t="s">
        <v>21</v>
      </c>
      <c r="I601" s="227" t="s">
        <v>5279</v>
      </c>
      <c r="J601" s="294" t="s">
        <v>22</v>
      </c>
      <c r="K601" s="227" t="s">
        <v>5279</v>
      </c>
      <c r="L601" s="152"/>
      <c r="M601" s="196"/>
      <c r="N601" s="196"/>
      <c r="O601" s="155"/>
      <c r="P601" s="284"/>
      <c r="Q601" s="284"/>
      <c r="R601" s="284"/>
      <c r="S601" s="284"/>
      <c r="T601" s="284"/>
      <c r="U601" s="284"/>
      <c r="V601" s="284"/>
      <c r="W601" s="284"/>
      <c r="X601" s="284"/>
      <c r="Y601" s="284"/>
      <c r="Z601" s="284"/>
    </row>
    <row r="602" ht="22.5" customHeight="1">
      <c r="A602" s="285" t="s">
        <v>5563</v>
      </c>
      <c r="B602" s="159" t="s">
        <v>6188</v>
      </c>
      <c r="C602" s="342" t="s">
        <v>49</v>
      </c>
      <c r="D602" s="358" t="s">
        <v>5274</v>
      </c>
      <c r="E602" s="297" t="s">
        <v>31</v>
      </c>
      <c r="F602" s="289" t="s">
        <v>5275</v>
      </c>
      <c r="G602" s="288" t="s">
        <v>19</v>
      </c>
      <c r="H602" s="289" t="s">
        <v>21</v>
      </c>
      <c r="I602" s="297" t="s">
        <v>31</v>
      </c>
      <c r="J602" s="289" t="s">
        <v>22</v>
      </c>
      <c r="K602" s="204" t="s">
        <v>5279</v>
      </c>
      <c r="L602" s="144"/>
      <c r="M602" s="197"/>
      <c r="N602" s="197"/>
      <c r="O602" s="147"/>
      <c r="P602" s="284"/>
      <c r="Q602" s="284"/>
      <c r="R602" s="284"/>
      <c r="S602" s="284"/>
      <c r="T602" s="284"/>
      <c r="U602" s="284"/>
      <c r="V602" s="284"/>
      <c r="W602" s="284"/>
      <c r="X602" s="284"/>
      <c r="Y602" s="284"/>
      <c r="Z602" s="284"/>
    </row>
    <row r="603" ht="22.5" customHeight="1">
      <c r="A603" s="448"/>
      <c r="B603" s="415"/>
      <c r="C603" s="432"/>
      <c r="D603" s="196"/>
      <c r="E603" s="181"/>
      <c r="F603" s="415"/>
      <c r="G603" s="181"/>
      <c r="H603" s="415"/>
      <c r="I603" s="181"/>
      <c r="J603" s="415"/>
      <c r="K603" s="181"/>
      <c r="L603" s="152"/>
      <c r="M603" s="196"/>
      <c r="N603" s="196"/>
      <c r="O603" s="155"/>
      <c r="P603" s="284"/>
      <c r="Q603" s="284"/>
      <c r="R603" s="284"/>
      <c r="S603" s="284"/>
      <c r="T603" s="284"/>
      <c r="U603" s="284"/>
      <c r="V603" s="284"/>
      <c r="W603" s="284"/>
      <c r="X603" s="284"/>
      <c r="Y603" s="284"/>
      <c r="Z603" s="284"/>
    </row>
    <row r="604" ht="22.5" customHeight="1">
      <c r="A604" s="285" t="s">
        <v>6189</v>
      </c>
      <c r="B604" s="159" t="s">
        <v>6190</v>
      </c>
      <c r="C604" s="454" t="s">
        <v>30</v>
      </c>
      <c r="D604" s="358" t="s">
        <v>5274</v>
      </c>
      <c r="E604" s="297" t="s">
        <v>31</v>
      </c>
      <c r="F604" s="289" t="s">
        <v>5275</v>
      </c>
      <c r="G604" s="297" t="s">
        <v>31</v>
      </c>
      <c r="H604" s="289" t="s">
        <v>21</v>
      </c>
      <c r="I604" s="204" t="s">
        <v>5279</v>
      </c>
      <c r="J604" s="289" t="s">
        <v>22</v>
      </c>
      <c r="K604" s="204" t="s">
        <v>5279</v>
      </c>
      <c r="L604" s="144"/>
      <c r="M604" s="197"/>
      <c r="N604" s="197"/>
      <c r="O604" s="147"/>
      <c r="P604" s="284"/>
      <c r="Q604" s="284"/>
      <c r="R604" s="284"/>
      <c r="S604" s="284"/>
      <c r="T604" s="284"/>
      <c r="U604" s="284"/>
      <c r="V604" s="284"/>
      <c r="W604" s="284"/>
      <c r="X604" s="284"/>
      <c r="Y604" s="284"/>
      <c r="Z604" s="284"/>
    </row>
    <row r="605" ht="22.5" customHeight="1">
      <c r="A605" s="448"/>
      <c r="B605" s="313" t="s">
        <v>6191</v>
      </c>
      <c r="C605" s="450" t="s">
        <v>40</v>
      </c>
      <c r="D605" s="293" t="s">
        <v>5274</v>
      </c>
      <c r="E605" s="311" t="s">
        <v>31</v>
      </c>
      <c r="F605" s="294" t="s">
        <v>5275</v>
      </c>
      <c r="G605" s="227" t="s">
        <v>5279</v>
      </c>
      <c r="H605" s="294" t="s">
        <v>21</v>
      </c>
      <c r="I605" s="311" t="s">
        <v>31</v>
      </c>
      <c r="J605" s="294" t="s">
        <v>22</v>
      </c>
      <c r="K605" s="227" t="s">
        <v>5279</v>
      </c>
      <c r="L605" s="152"/>
      <c r="M605" s="196"/>
      <c r="N605" s="196"/>
      <c r="O605" s="155"/>
      <c r="P605" s="284"/>
      <c r="Q605" s="284"/>
      <c r="R605" s="284"/>
      <c r="S605" s="284"/>
      <c r="T605" s="284"/>
      <c r="U605" s="284"/>
      <c r="V605" s="284"/>
      <c r="W605" s="284"/>
      <c r="X605" s="284"/>
      <c r="Y605" s="284"/>
      <c r="Z605" s="284"/>
    </row>
    <row r="606" ht="22.5" customHeight="1">
      <c r="A606" s="285" t="s">
        <v>6192</v>
      </c>
      <c r="B606" s="159" t="s">
        <v>6193</v>
      </c>
      <c r="C606" s="349" t="s">
        <v>40</v>
      </c>
      <c r="D606" s="358" t="s">
        <v>5274</v>
      </c>
      <c r="E606" s="204" t="s">
        <v>640</v>
      </c>
      <c r="F606" s="289" t="s">
        <v>5275</v>
      </c>
      <c r="G606" s="288" t="s">
        <v>19</v>
      </c>
      <c r="H606" s="289" t="s">
        <v>21</v>
      </c>
      <c r="I606" s="297" t="s">
        <v>31</v>
      </c>
      <c r="J606" s="289" t="s">
        <v>22</v>
      </c>
      <c r="K606" s="204" t="s">
        <v>5279</v>
      </c>
      <c r="L606" s="144"/>
      <c r="M606" s="197"/>
      <c r="N606" s="197"/>
      <c r="O606" s="147"/>
      <c r="P606" s="284"/>
      <c r="Q606" s="284"/>
      <c r="R606" s="284"/>
      <c r="S606" s="284"/>
      <c r="T606" s="284"/>
      <c r="U606" s="284"/>
      <c r="V606" s="284"/>
      <c r="W606" s="284"/>
      <c r="X606" s="284"/>
      <c r="Y606" s="284"/>
      <c r="Z606" s="284"/>
    </row>
    <row r="607" ht="22.5" customHeight="1">
      <c r="A607" s="448"/>
      <c r="B607" s="313" t="s">
        <v>6194</v>
      </c>
      <c r="C607" s="450" t="s">
        <v>40</v>
      </c>
      <c r="D607" s="293" t="s">
        <v>5274</v>
      </c>
      <c r="E607" s="227" t="s">
        <v>640</v>
      </c>
      <c r="F607" s="294" t="s">
        <v>5275</v>
      </c>
      <c r="G607" s="363" t="s">
        <v>19</v>
      </c>
      <c r="H607" s="294" t="s">
        <v>21</v>
      </c>
      <c r="I607" s="227" t="s">
        <v>5279</v>
      </c>
      <c r="J607" s="294" t="s">
        <v>22</v>
      </c>
      <c r="K607" s="311" t="s">
        <v>31</v>
      </c>
      <c r="L607" s="152"/>
      <c r="M607" s="196"/>
      <c r="N607" s="196"/>
      <c r="O607" s="155"/>
      <c r="P607" s="284"/>
      <c r="Q607" s="284"/>
      <c r="R607" s="284"/>
      <c r="S607" s="284"/>
      <c r="T607" s="284"/>
      <c r="U607" s="284"/>
      <c r="V607" s="284"/>
      <c r="W607" s="284"/>
      <c r="X607" s="284"/>
      <c r="Y607" s="284"/>
      <c r="Z607" s="284"/>
    </row>
    <row r="608" ht="22.5" customHeight="1">
      <c r="A608" s="430"/>
      <c r="B608" s="420" t="s">
        <v>6195</v>
      </c>
      <c r="C608" s="455" t="s">
        <v>30</v>
      </c>
      <c r="D608" s="358" t="s">
        <v>5274</v>
      </c>
      <c r="E608" s="383" t="s">
        <v>19</v>
      </c>
      <c r="F608" s="289" t="s">
        <v>5275</v>
      </c>
      <c r="G608" s="384" t="s">
        <v>5279</v>
      </c>
      <c r="H608" s="289" t="s">
        <v>21</v>
      </c>
      <c r="I608" s="383" t="s">
        <v>19</v>
      </c>
      <c r="J608" s="289" t="s">
        <v>22</v>
      </c>
      <c r="K608" s="384" t="s">
        <v>5279</v>
      </c>
      <c r="L608" s="144"/>
      <c r="M608" s="197"/>
      <c r="N608" s="197"/>
      <c r="O608" s="147"/>
      <c r="P608" s="284"/>
      <c r="Q608" s="284"/>
      <c r="R608" s="284"/>
      <c r="S608" s="284"/>
      <c r="T608" s="284"/>
      <c r="U608" s="284"/>
      <c r="V608" s="284"/>
      <c r="W608" s="284"/>
      <c r="X608" s="284"/>
      <c r="Y608" s="284"/>
      <c r="Z608" s="284"/>
    </row>
    <row r="609" ht="22.5" customHeight="1">
      <c r="A609" s="448"/>
      <c r="B609" s="313" t="s">
        <v>6196</v>
      </c>
      <c r="C609" s="441" t="s">
        <v>6132</v>
      </c>
      <c r="D609" s="293" t="s">
        <v>5274</v>
      </c>
      <c r="E609" s="363" t="s">
        <v>19</v>
      </c>
      <c r="F609" s="294" t="s">
        <v>5275</v>
      </c>
      <c r="G609" s="363" t="s">
        <v>19</v>
      </c>
      <c r="H609" s="294" t="s">
        <v>21</v>
      </c>
      <c r="I609" s="363" t="s">
        <v>19</v>
      </c>
      <c r="J609" s="294" t="s">
        <v>22</v>
      </c>
      <c r="K609" s="363" t="s">
        <v>19</v>
      </c>
      <c r="L609" s="152"/>
      <c r="M609" s="196"/>
      <c r="N609" s="196"/>
      <c r="O609" s="155"/>
      <c r="P609" s="284"/>
      <c r="Q609" s="284"/>
      <c r="R609" s="284"/>
      <c r="S609" s="284"/>
      <c r="T609" s="284"/>
      <c r="U609" s="284"/>
      <c r="V609" s="284"/>
      <c r="W609" s="284"/>
      <c r="X609" s="284"/>
      <c r="Y609" s="284"/>
      <c r="Z609" s="284"/>
    </row>
    <row r="610" ht="22.5" customHeight="1">
      <c r="A610" s="368"/>
      <c r="B610" s="159" t="s">
        <v>6197</v>
      </c>
      <c r="C610" s="456" t="s">
        <v>6132</v>
      </c>
      <c r="D610" s="358" t="s">
        <v>5274</v>
      </c>
      <c r="E610" s="288" t="s">
        <v>19</v>
      </c>
      <c r="F610" s="289" t="s">
        <v>5275</v>
      </c>
      <c r="G610" s="288" t="s">
        <v>19</v>
      </c>
      <c r="H610" s="289" t="s">
        <v>21</v>
      </c>
      <c r="I610" s="204" t="s">
        <v>5279</v>
      </c>
      <c r="J610" s="289" t="s">
        <v>22</v>
      </c>
      <c r="K610" s="288" t="s">
        <v>19</v>
      </c>
      <c r="L610" s="144"/>
      <c r="M610" s="197"/>
      <c r="N610" s="197"/>
      <c r="O610" s="147"/>
      <c r="P610" s="284"/>
      <c r="Q610" s="284"/>
      <c r="R610" s="284"/>
      <c r="S610" s="284"/>
      <c r="T610" s="284"/>
      <c r="U610" s="284"/>
      <c r="V610" s="284"/>
      <c r="W610" s="284"/>
      <c r="X610" s="284"/>
      <c r="Y610" s="284"/>
      <c r="Z610" s="284"/>
    </row>
    <row r="611" ht="22.5" customHeight="1">
      <c r="A611" s="448"/>
      <c r="B611" s="313" t="s">
        <v>6198</v>
      </c>
      <c r="C611" s="432" t="s">
        <v>49</v>
      </c>
      <c r="D611" s="293" t="s">
        <v>5274</v>
      </c>
      <c r="E611" s="363" t="s">
        <v>19</v>
      </c>
      <c r="F611" s="294" t="s">
        <v>5275</v>
      </c>
      <c r="G611" s="363" t="s">
        <v>19</v>
      </c>
      <c r="H611" s="294" t="s">
        <v>21</v>
      </c>
      <c r="I611" s="311" t="s">
        <v>31</v>
      </c>
      <c r="J611" s="294" t="s">
        <v>22</v>
      </c>
      <c r="K611" s="363" t="s">
        <v>19</v>
      </c>
      <c r="L611" s="152"/>
      <c r="M611" s="196"/>
      <c r="N611" s="196"/>
      <c r="O611" s="155"/>
      <c r="P611" s="284"/>
      <c r="Q611" s="284"/>
      <c r="R611" s="284"/>
      <c r="S611" s="284"/>
      <c r="T611" s="284"/>
      <c r="U611" s="284"/>
      <c r="V611" s="284"/>
      <c r="W611" s="284"/>
      <c r="X611" s="284"/>
      <c r="Y611" s="284"/>
      <c r="Z611" s="284"/>
    </row>
    <row r="612" ht="22.5" customHeight="1">
      <c r="A612" s="430"/>
      <c r="B612" s="420" t="s">
        <v>6199</v>
      </c>
      <c r="C612" s="455" t="s">
        <v>30</v>
      </c>
      <c r="D612" s="358" t="s">
        <v>5274</v>
      </c>
      <c r="E612" s="383" t="s">
        <v>19</v>
      </c>
      <c r="F612" s="289" t="s">
        <v>5275</v>
      </c>
      <c r="G612" s="383" t="s">
        <v>19</v>
      </c>
      <c r="H612" s="289" t="s">
        <v>21</v>
      </c>
      <c r="I612" s="383" t="s">
        <v>19</v>
      </c>
      <c r="J612" s="289" t="s">
        <v>22</v>
      </c>
      <c r="K612" s="383" t="s">
        <v>19</v>
      </c>
      <c r="L612" s="144"/>
      <c r="M612" s="197"/>
      <c r="N612" s="197"/>
      <c r="O612" s="147"/>
      <c r="P612" s="284"/>
      <c r="Q612" s="284"/>
      <c r="R612" s="284"/>
      <c r="S612" s="284"/>
      <c r="T612" s="284"/>
      <c r="U612" s="284"/>
      <c r="V612" s="284"/>
      <c r="W612" s="284"/>
      <c r="X612" s="284"/>
      <c r="Y612" s="284"/>
      <c r="Z612" s="284"/>
    </row>
    <row r="613" ht="22.5" customHeight="1">
      <c r="A613" s="448"/>
      <c r="B613" s="313" t="s">
        <v>6200</v>
      </c>
      <c r="C613" s="457" t="s">
        <v>30</v>
      </c>
      <c r="D613" s="293" t="s">
        <v>5274</v>
      </c>
      <c r="E613" s="311" t="s">
        <v>31</v>
      </c>
      <c r="F613" s="294" t="s">
        <v>5275</v>
      </c>
      <c r="G613" s="363" t="s">
        <v>19</v>
      </c>
      <c r="H613" s="294" t="s">
        <v>21</v>
      </c>
      <c r="I613" s="311" t="s">
        <v>31</v>
      </c>
      <c r="J613" s="294" t="s">
        <v>22</v>
      </c>
      <c r="K613" s="363" t="s">
        <v>19</v>
      </c>
      <c r="L613" s="152"/>
      <c r="M613" s="196"/>
      <c r="N613" s="196"/>
      <c r="O613" s="155"/>
      <c r="P613" s="284"/>
      <c r="Q613" s="284"/>
      <c r="R613" s="284"/>
      <c r="S613" s="284"/>
      <c r="T613" s="284"/>
      <c r="U613" s="284"/>
      <c r="V613" s="284"/>
      <c r="W613" s="284"/>
      <c r="X613" s="284"/>
      <c r="Y613" s="284"/>
      <c r="Z613" s="284"/>
    </row>
    <row r="614" ht="22.5" customHeight="1">
      <c r="A614" s="285" t="s">
        <v>6201</v>
      </c>
      <c r="B614" s="159" t="s">
        <v>6202</v>
      </c>
      <c r="C614" s="456" t="s">
        <v>6132</v>
      </c>
      <c r="D614" s="358" t="s">
        <v>5274</v>
      </c>
      <c r="E614" s="288" t="s">
        <v>19</v>
      </c>
      <c r="F614" s="289" t="s">
        <v>5275</v>
      </c>
      <c r="G614" s="288" t="s">
        <v>19</v>
      </c>
      <c r="H614" s="289" t="s">
        <v>21</v>
      </c>
      <c r="I614" s="288" t="s">
        <v>19</v>
      </c>
      <c r="J614" s="289" t="s">
        <v>22</v>
      </c>
      <c r="K614" s="288" t="s">
        <v>19</v>
      </c>
      <c r="L614" s="144"/>
      <c r="M614" s="197"/>
      <c r="N614" s="197"/>
      <c r="O614" s="147"/>
      <c r="P614" s="284"/>
      <c r="Q614" s="284"/>
      <c r="R614" s="284"/>
      <c r="S614" s="284"/>
      <c r="T614" s="284"/>
      <c r="U614" s="284"/>
      <c r="V614" s="284"/>
      <c r="W614" s="284"/>
      <c r="X614" s="284"/>
      <c r="Y614" s="284"/>
      <c r="Z614" s="284"/>
    </row>
    <row r="615" ht="22.5" customHeight="1">
      <c r="A615" s="448"/>
      <c r="B615" s="313" t="s">
        <v>6203</v>
      </c>
      <c r="C615" s="450" t="s">
        <v>40</v>
      </c>
      <c r="D615" s="293" t="s">
        <v>5274</v>
      </c>
      <c r="E615" s="227" t="s">
        <v>640</v>
      </c>
      <c r="F615" s="294" t="s">
        <v>5275</v>
      </c>
      <c r="G615" s="363" t="s">
        <v>19</v>
      </c>
      <c r="H615" s="294" t="s">
        <v>21</v>
      </c>
      <c r="I615" s="227" t="s">
        <v>5279</v>
      </c>
      <c r="J615" s="294" t="s">
        <v>22</v>
      </c>
      <c r="K615" s="311" t="s">
        <v>31</v>
      </c>
      <c r="L615" s="152"/>
      <c r="M615" s="196"/>
      <c r="N615" s="196"/>
      <c r="O615" s="155"/>
      <c r="P615" s="284"/>
      <c r="Q615" s="284"/>
      <c r="R615" s="284"/>
      <c r="S615" s="284"/>
      <c r="T615" s="284"/>
      <c r="U615" s="284"/>
      <c r="V615" s="284"/>
      <c r="W615" s="284"/>
      <c r="X615" s="284"/>
      <c r="Y615" s="284"/>
      <c r="Z615" s="284"/>
    </row>
    <row r="616" ht="22.5" customHeight="1">
      <c r="A616" s="285" t="s">
        <v>6204</v>
      </c>
      <c r="B616" s="159" t="s">
        <v>6205</v>
      </c>
      <c r="C616" s="456" t="s">
        <v>6132</v>
      </c>
      <c r="D616" s="358" t="s">
        <v>5274</v>
      </c>
      <c r="E616" s="204" t="s">
        <v>640</v>
      </c>
      <c r="F616" s="289" t="s">
        <v>5275</v>
      </c>
      <c r="G616" s="288" t="s">
        <v>19</v>
      </c>
      <c r="H616" s="289" t="s">
        <v>21</v>
      </c>
      <c r="I616" s="288" t="s">
        <v>19</v>
      </c>
      <c r="J616" s="289" t="s">
        <v>22</v>
      </c>
      <c r="K616" s="288" t="s">
        <v>19</v>
      </c>
      <c r="L616" s="144"/>
      <c r="M616" s="197"/>
      <c r="N616" s="197"/>
      <c r="O616" s="147"/>
      <c r="P616" s="284"/>
      <c r="Q616" s="284"/>
      <c r="R616" s="284"/>
      <c r="S616" s="284"/>
      <c r="T616" s="284"/>
      <c r="U616" s="284"/>
      <c r="V616" s="284"/>
      <c r="W616" s="284"/>
      <c r="X616" s="284"/>
      <c r="Y616" s="284"/>
      <c r="Z616" s="284"/>
    </row>
    <row r="617" ht="22.5" customHeight="1">
      <c r="A617" s="299" t="s">
        <v>637</v>
      </c>
      <c r="B617" s="313" t="s">
        <v>6206</v>
      </c>
      <c r="C617" s="457" t="s">
        <v>30</v>
      </c>
      <c r="D617" s="293" t="s">
        <v>5274</v>
      </c>
      <c r="E617" s="311" t="s">
        <v>31</v>
      </c>
      <c r="F617" s="294" t="s">
        <v>5275</v>
      </c>
      <c r="G617" s="363" t="s">
        <v>19</v>
      </c>
      <c r="H617" s="294" t="s">
        <v>21</v>
      </c>
      <c r="I617" s="311" t="s">
        <v>31</v>
      </c>
      <c r="J617" s="294" t="s">
        <v>22</v>
      </c>
      <c r="K617" s="227" t="s">
        <v>5279</v>
      </c>
      <c r="L617" s="152"/>
      <c r="M617" s="196"/>
      <c r="N617" s="196"/>
      <c r="O617" s="155"/>
      <c r="P617" s="284"/>
      <c r="Q617" s="284"/>
      <c r="R617" s="284"/>
      <c r="S617" s="284"/>
      <c r="T617" s="284"/>
      <c r="U617" s="284"/>
      <c r="V617" s="284"/>
      <c r="W617" s="284"/>
      <c r="X617" s="284"/>
      <c r="Y617" s="284"/>
      <c r="Z617" s="284"/>
    </row>
    <row r="618" ht="22.5" customHeight="1">
      <c r="A618" s="285" t="s">
        <v>6207</v>
      </c>
      <c r="B618" s="159" t="s">
        <v>6208</v>
      </c>
      <c r="C618" s="349" t="s">
        <v>40</v>
      </c>
      <c r="D618" s="358" t="s">
        <v>5274</v>
      </c>
      <c r="E618" s="204" t="s">
        <v>640</v>
      </c>
      <c r="F618" s="289" t="s">
        <v>5275</v>
      </c>
      <c r="G618" s="288" t="s">
        <v>19</v>
      </c>
      <c r="H618" s="289" t="s">
        <v>21</v>
      </c>
      <c r="I618" s="204" t="s">
        <v>5279</v>
      </c>
      <c r="J618" s="289" t="s">
        <v>22</v>
      </c>
      <c r="K618" s="297" t="s">
        <v>31</v>
      </c>
      <c r="L618" s="144"/>
      <c r="M618" s="197"/>
      <c r="N618" s="197"/>
      <c r="O618" s="147"/>
      <c r="P618" s="284"/>
      <c r="Q618" s="284"/>
      <c r="R618" s="284"/>
      <c r="S618" s="284"/>
      <c r="T618" s="284"/>
      <c r="U618" s="284"/>
      <c r="V618" s="284"/>
      <c r="W618" s="284"/>
      <c r="X618" s="284"/>
      <c r="Y618" s="284"/>
      <c r="Z618" s="284"/>
    </row>
    <row r="619" ht="22.5" customHeight="1">
      <c r="A619" s="448"/>
      <c r="B619" s="313" t="s">
        <v>6209</v>
      </c>
      <c r="C619" s="450" t="s">
        <v>40</v>
      </c>
      <c r="D619" s="293" t="s">
        <v>5274</v>
      </c>
      <c r="E619" s="227" t="s">
        <v>640</v>
      </c>
      <c r="F619" s="294" t="s">
        <v>5275</v>
      </c>
      <c r="G619" s="363" t="s">
        <v>19</v>
      </c>
      <c r="H619" s="294" t="s">
        <v>21</v>
      </c>
      <c r="I619" s="227" t="s">
        <v>5279</v>
      </c>
      <c r="J619" s="294" t="s">
        <v>22</v>
      </c>
      <c r="K619" s="311" t="s">
        <v>31</v>
      </c>
      <c r="L619" s="152"/>
      <c r="M619" s="196"/>
      <c r="N619" s="196"/>
      <c r="O619" s="155"/>
      <c r="P619" s="284"/>
      <c r="Q619" s="284"/>
      <c r="R619" s="284"/>
      <c r="S619" s="284"/>
      <c r="T619" s="284"/>
      <c r="U619" s="284"/>
      <c r="V619" s="284"/>
      <c r="W619" s="284"/>
      <c r="X619" s="284"/>
      <c r="Y619" s="284"/>
      <c r="Z619" s="284"/>
    </row>
    <row r="620" ht="22.5" customHeight="1">
      <c r="A620" s="368"/>
      <c r="B620" s="159" t="s">
        <v>6210</v>
      </c>
      <c r="C620" s="456" t="s">
        <v>6132</v>
      </c>
      <c r="D620" s="358" t="s">
        <v>5274</v>
      </c>
      <c r="E620" s="288" t="s">
        <v>19</v>
      </c>
      <c r="F620" s="289" t="s">
        <v>5275</v>
      </c>
      <c r="G620" s="288" t="s">
        <v>19</v>
      </c>
      <c r="H620" s="289" t="s">
        <v>21</v>
      </c>
      <c r="I620" s="288" t="s">
        <v>19</v>
      </c>
      <c r="J620" s="289" t="s">
        <v>22</v>
      </c>
      <c r="K620" s="288" t="s">
        <v>19</v>
      </c>
      <c r="L620" s="144"/>
      <c r="M620" s="197"/>
      <c r="N620" s="197"/>
      <c r="O620" s="147"/>
      <c r="P620" s="284"/>
      <c r="Q620" s="284"/>
      <c r="R620" s="284"/>
      <c r="S620" s="284"/>
      <c r="T620" s="284"/>
      <c r="U620" s="284"/>
      <c r="V620" s="284"/>
      <c r="W620" s="284"/>
      <c r="X620" s="284"/>
      <c r="Y620" s="284"/>
      <c r="Z620" s="284"/>
    </row>
    <row r="621" ht="22.5" customHeight="1">
      <c r="A621" s="448"/>
      <c r="B621" s="313" t="s">
        <v>6211</v>
      </c>
      <c r="C621" s="450" t="s">
        <v>40</v>
      </c>
      <c r="D621" s="293" t="s">
        <v>5274</v>
      </c>
      <c r="E621" s="311" t="s">
        <v>31</v>
      </c>
      <c r="F621" s="294" t="s">
        <v>5275</v>
      </c>
      <c r="G621" s="363" t="s">
        <v>19</v>
      </c>
      <c r="H621" s="294" t="s">
        <v>21</v>
      </c>
      <c r="I621" s="227" t="s">
        <v>5279</v>
      </c>
      <c r="J621" s="294" t="s">
        <v>22</v>
      </c>
      <c r="K621" s="227" t="s">
        <v>5279</v>
      </c>
      <c r="L621" s="152"/>
      <c r="M621" s="196"/>
      <c r="N621" s="196"/>
      <c r="O621" s="155"/>
      <c r="P621" s="284"/>
      <c r="Q621" s="284"/>
      <c r="R621" s="284"/>
      <c r="S621" s="284"/>
      <c r="T621" s="284"/>
      <c r="U621" s="284"/>
      <c r="V621" s="284"/>
      <c r="W621" s="284"/>
      <c r="X621" s="284"/>
      <c r="Y621" s="284"/>
      <c r="Z621" s="284"/>
    </row>
    <row r="622" ht="22.5" customHeight="1">
      <c r="A622" s="285" t="s">
        <v>6212</v>
      </c>
      <c r="B622" s="159" t="s">
        <v>6213</v>
      </c>
      <c r="C622" s="456" t="s">
        <v>6132</v>
      </c>
      <c r="D622" s="358" t="s">
        <v>5274</v>
      </c>
      <c r="E622" s="288" t="s">
        <v>19</v>
      </c>
      <c r="F622" s="289" t="s">
        <v>5275</v>
      </c>
      <c r="G622" s="288" t="s">
        <v>19</v>
      </c>
      <c r="H622" s="289" t="s">
        <v>21</v>
      </c>
      <c r="I622" s="288" t="s">
        <v>19</v>
      </c>
      <c r="J622" s="289" t="s">
        <v>22</v>
      </c>
      <c r="K622" s="288" t="s">
        <v>19</v>
      </c>
      <c r="L622" s="144"/>
      <c r="M622" s="197"/>
      <c r="N622" s="197"/>
      <c r="O622" s="147"/>
      <c r="P622" s="284"/>
      <c r="Q622" s="284"/>
      <c r="R622" s="284"/>
      <c r="S622" s="284"/>
      <c r="T622" s="284"/>
      <c r="U622" s="284"/>
      <c r="V622" s="284"/>
      <c r="W622" s="284"/>
      <c r="X622" s="284"/>
      <c r="Y622" s="284"/>
      <c r="Z622" s="284"/>
    </row>
    <row r="623" ht="22.5" customHeight="1">
      <c r="A623" s="448"/>
      <c r="B623" s="313" t="s">
        <v>6214</v>
      </c>
      <c r="C623" s="441" t="s">
        <v>6132</v>
      </c>
      <c r="D623" s="293" t="s">
        <v>5274</v>
      </c>
      <c r="E623" s="363" t="s">
        <v>19</v>
      </c>
      <c r="F623" s="294" t="s">
        <v>5275</v>
      </c>
      <c r="G623" s="363" t="s">
        <v>19</v>
      </c>
      <c r="H623" s="294" t="s">
        <v>21</v>
      </c>
      <c r="I623" s="363" t="s">
        <v>19</v>
      </c>
      <c r="J623" s="294" t="s">
        <v>22</v>
      </c>
      <c r="K623" s="363" t="s">
        <v>19</v>
      </c>
      <c r="L623" s="152"/>
      <c r="M623" s="196"/>
      <c r="N623" s="196"/>
      <c r="O623" s="155"/>
      <c r="P623" s="284"/>
      <c r="Q623" s="284"/>
      <c r="R623" s="284"/>
      <c r="S623" s="284"/>
      <c r="T623" s="284"/>
      <c r="U623" s="284"/>
      <c r="V623" s="284"/>
      <c r="W623" s="284"/>
      <c r="X623" s="284"/>
      <c r="Y623" s="284"/>
      <c r="Z623" s="284"/>
    </row>
    <row r="624" ht="22.5" customHeight="1">
      <c r="A624" s="368"/>
      <c r="B624" s="159" t="s">
        <v>6215</v>
      </c>
      <c r="C624" s="342" t="s">
        <v>49</v>
      </c>
      <c r="D624" s="358" t="s">
        <v>5274</v>
      </c>
      <c r="E624" s="297" t="s">
        <v>31</v>
      </c>
      <c r="F624" s="289" t="s">
        <v>5275</v>
      </c>
      <c r="G624" s="297" t="s">
        <v>31</v>
      </c>
      <c r="H624" s="289" t="s">
        <v>21</v>
      </c>
      <c r="I624" s="204" t="s">
        <v>5279</v>
      </c>
      <c r="J624" s="289" t="s">
        <v>22</v>
      </c>
      <c r="K624" s="204" t="s">
        <v>5279</v>
      </c>
      <c r="L624" s="144"/>
      <c r="M624" s="197"/>
      <c r="N624" s="197"/>
      <c r="O624" s="147"/>
      <c r="P624" s="284"/>
      <c r="Q624" s="284"/>
      <c r="R624" s="284"/>
      <c r="S624" s="284"/>
      <c r="T624" s="284"/>
      <c r="U624" s="284"/>
      <c r="V624" s="284"/>
      <c r="W624" s="284"/>
      <c r="X624" s="284"/>
      <c r="Y624" s="284"/>
      <c r="Z624" s="284"/>
    </row>
    <row r="625" ht="22.5" customHeight="1">
      <c r="A625" s="448"/>
      <c r="B625" s="313" t="s">
        <v>6216</v>
      </c>
      <c r="C625" s="450" t="s">
        <v>40</v>
      </c>
      <c r="D625" s="293" t="s">
        <v>5274</v>
      </c>
      <c r="E625" s="227" t="s">
        <v>640</v>
      </c>
      <c r="F625" s="294" t="s">
        <v>5275</v>
      </c>
      <c r="G625" s="311" t="s">
        <v>31</v>
      </c>
      <c r="H625" s="294" t="s">
        <v>21</v>
      </c>
      <c r="I625" s="311" t="s">
        <v>31</v>
      </c>
      <c r="J625" s="294" t="s">
        <v>22</v>
      </c>
      <c r="K625" s="227" t="s">
        <v>5279</v>
      </c>
      <c r="L625" s="152"/>
      <c r="M625" s="196"/>
      <c r="N625" s="196"/>
      <c r="O625" s="155"/>
      <c r="P625" s="284"/>
      <c r="Q625" s="284"/>
      <c r="R625" s="284"/>
      <c r="S625" s="284"/>
      <c r="T625" s="284"/>
      <c r="U625" s="284"/>
      <c r="V625" s="284"/>
      <c r="W625" s="284"/>
      <c r="X625" s="284"/>
      <c r="Y625" s="284"/>
      <c r="Z625" s="284"/>
    </row>
    <row r="626" ht="22.5" customHeight="1">
      <c r="A626" s="368"/>
      <c r="B626" s="159" t="s">
        <v>6217</v>
      </c>
      <c r="C626" s="456" t="s">
        <v>6132</v>
      </c>
      <c r="D626" s="358" t="s">
        <v>5274</v>
      </c>
      <c r="E626" s="288" t="s">
        <v>19</v>
      </c>
      <c r="F626" s="289" t="s">
        <v>5275</v>
      </c>
      <c r="G626" s="288" t="s">
        <v>19</v>
      </c>
      <c r="H626" s="289" t="s">
        <v>21</v>
      </c>
      <c r="I626" s="288" t="s">
        <v>19</v>
      </c>
      <c r="J626" s="289" t="s">
        <v>22</v>
      </c>
      <c r="K626" s="288" t="s">
        <v>19</v>
      </c>
      <c r="L626" s="144"/>
      <c r="M626" s="197"/>
      <c r="N626" s="197"/>
      <c r="O626" s="147"/>
      <c r="P626" s="284"/>
      <c r="Q626" s="284"/>
      <c r="R626" s="284"/>
      <c r="S626" s="284"/>
      <c r="T626" s="284"/>
      <c r="U626" s="284"/>
      <c r="V626" s="284"/>
      <c r="W626" s="284"/>
      <c r="X626" s="284"/>
      <c r="Y626" s="284"/>
      <c r="Z626" s="284"/>
    </row>
    <row r="627" ht="22.5" customHeight="1">
      <c r="A627" s="299" t="s">
        <v>6218</v>
      </c>
      <c r="B627" s="313" t="s">
        <v>6219</v>
      </c>
      <c r="C627" s="432" t="s">
        <v>49</v>
      </c>
      <c r="D627" s="293" t="s">
        <v>5274</v>
      </c>
      <c r="E627" s="311" t="s">
        <v>31</v>
      </c>
      <c r="F627" s="294" t="s">
        <v>5275</v>
      </c>
      <c r="G627" s="227" t="s">
        <v>5279</v>
      </c>
      <c r="H627" s="294" t="s">
        <v>21</v>
      </c>
      <c r="I627" s="227" t="s">
        <v>5279</v>
      </c>
      <c r="J627" s="294" t="s">
        <v>22</v>
      </c>
      <c r="K627" s="227" t="s">
        <v>5279</v>
      </c>
      <c r="L627" s="152"/>
      <c r="M627" s="196"/>
      <c r="N627" s="196"/>
      <c r="O627" s="155"/>
      <c r="P627" s="284"/>
      <c r="Q627" s="284"/>
      <c r="R627" s="284"/>
      <c r="S627" s="284"/>
      <c r="T627" s="284"/>
      <c r="U627" s="284"/>
      <c r="V627" s="284"/>
      <c r="W627" s="284"/>
      <c r="X627" s="284"/>
      <c r="Y627" s="284"/>
      <c r="Z627" s="284"/>
    </row>
    <row r="628" ht="22.5" customHeight="1">
      <c r="A628" s="368"/>
      <c r="B628" s="159" t="s">
        <v>6220</v>
      </c>
      <c r="C628" s="456" t="s">
        <v>6132</v>
      </c>
      <c r="D628" s="358" t="s">
        <v>5274</v>
      </c>
      <c r="E628" s="288" t="s">
        <v>19</v>
      </c>
      <c r="F628" s="289" t="s">
        <v>5275</v>
      </c>
      <c r="G628" s="288" t="s">
        <v>19</v>
      </c>
      <c r="H628" s="289" t="s">
        <v>21</v>
      </c>
      <c r="I628" s="288" t="s">
        <v>19</v>
      </c>
      <c r="J628" s="289" t="s">
        <v>22</v>
      </c>
      <c r="K628" s="288" t="s">
        <v>19</v>
      </c>
      <c r="L628" s="144"/>
      <c r="M628" s="197"/>
      <c r="N628" s="197"/>
      <c r="O628" s="147"/>
      <c r="P628" s="284"/>
      <c r="Q628" s="284"/>
      <c r="R628" s="284"/>
      <c r="S628" s="284"/>
      <c r="T628" s="284"/>
      <c r="U628" s="284"/>
      <c r="V628" s="284"/>
      <c r="W628" s="284"/>
      <c r="X628" s="284"/>
      <c r="Y628" s="284"/>
      <c r="Z628" s="284"/>
    </row>
    <row r="629" ht="22.5" customHeight="1">
      <c r="A629" s="299" t="s">
        <v>4665</v>
      </c>
      <c r="B629" s="313" t="s">
        <v>6221</v>
      </c>
      <c r="C629" s="432" t="s">
        <v>49</v>
      </c>
      <c r="D629" s="293" t="s">
        <v>5274</v>
      </c>
      <c r="E629" s="311" t="s">
        <v>31</v>
      </c>
      <c r="F629" s="294" t="s">
        <v>5275</v>
      </c>
      <c r="G629" s="363" t="s">
        <v>19</v>
      </c>
      <c r="H629" s="294" t="s">
        <v>21</v>
      </c>
      <c r="I629" s="227" t="s">
        <v>5279</v>
      </c>
      <c r="J629" s="294" t="s">
        <v>22</v>
      </c>
      <c r="K629" s="227" t="s">
        <v>5279</v>
      </c>
      <c r="L629" s="152"/>
      <c r="M629" s="196"/>
      <c r="N629" s="196"/>
      <c r="O629" s="155"/>
      <c r="P629" s="284"/>
      <c r="Q629" s="284"/>
      <c r="R629" s="284"/>
      <c r="S629" s="284"/>
      <c r="T629" s="284"/>
      <c r="U629" s="284"/>
      <c r="V629" s="284"/>
      <c r="W629" s="284"/>
      <c r="X629" s="284"/>
      <c r="Y629" s="284"/>
      <c r="Z629" s="284"/>
    </row>
    <row r="630" ht="22.5" customHeight="1">
      <c r="A630" s="379" t="s">
        <v>6222</v>
      </c>
      <c r="B630" s="420" t="s">
        <v>6223</v>
      </c>
      <c r="C630" s="458" t="s">
        <v>6132</v>
      </c>
      <c r="D630" s="358" t="s">
        <v>5274</v>
      </c>
      <c r="E630" s="383" t="s">
        <v>19</v>
      </c>
      <c r="F630" s="289" t="s">
        <v>5275</v>
      </c>
      <c r="G630" s="383" t="s">
        <v>19</v>
      </c>
      <c r="H630" s="289" t="s">
        <v>21</v>
      </c>
      <c r="I630" s="383" t="s">
        <v>19</v>
      </c>
      <c r="J630" s="289" t="s">
        <v>22</v>
      </c>
      <c r="K630" s="383" t="s">
        <v>19</v>
      </c>
      <c r="L630" s="144"/>
      <c r="M630" s="197"/>
      <c r="N630" s="197"/>
      <c r="O630" s="147"/>
      <c r="P630" s="284"/>
      <c r="Q630" s="284"/>
      <c r="R630" s="284"/>
      <c r="S630" s="284"/>
      <c r="T630" s="284"/>
      <c r="U630" s="284"/>
      <c r="V630" s="284"/>
      <c r="W630" s="284"/>
      <c r="X630" s="284"/>
      <c r="Y630" s="284"/>
      <c r="Z630" s="284"/>
    </row>
    <row r="631" ht="22.5" customHeight="1">
      <c r="A631" s="448"/>
      <c r="B631" s="313" t="s">
        <v>6224</v>
      </c>
      <c r="C631" s="432" t="s">
        <v>49</v>
      </c>
      <c r="D631" s="293" t="s">
        <v>5274</v>
      </c>
      <c r="E631" s="311" t="s">
        <v>31</v>
      </c>
      <c r="F631" s="294" t="s">
        <v>5275</v>
      </c>
      <c r="G631" s="311" t="s">
        <v>31</v>
      </c>
      <c r="H631" s="294" t="s">
        <v>21</v>
      </c>
      <c r="I631" s="227" t="s">
        <v>5279</v>
      </c>
      <c r="J631" s="294" t="s">
        <v>22</v>
      </c>
      <c r="K631" s="227" t="s">
        <v>5279</v>
      </c>
      <c r="L631" s="152"/>
      <c r="M631" s="196"/>
      <c r="N631" s="196"/>
      <c r="O631" s="155"/>
      <c r="P631" s="284"/>
      <c r="Q631" s="284"/>
      <c r="R631" s="284"/>
      <c r="S631" s="284"/>
      <c r="T631" s="284"/>
      <c r="U631" s="284"/>
      <c r="V631" s="284"/>
      <c r="W631" s="284"/>
      <c r="X631" s="284"/>
      <c r="Y631" s="284"/>
      <c r="Z631" s="284"/>
    </row>
    <row r="632" ht="22.5" customHeight="1">
      <c r="A632" s="379" t="s">
        <v>6225</v>
      </c>
      <c r="B632" s="420" t="s">
        <v>6226</v>
      </c>
      <c r="C632" s="458" t="s">
        <v>6132</v>
      </c>
      <c r="D632" s="358" t="s">
        <v>5274</v>
      </c>
      <c r="E632" s="383" t="s">
        <v>19</v>
      </c>
      <c r="F632" s="289" t="s">
        <v>5275</v>
      </c>
      <c r="G632" s="383" t="s">
        <v>19</v>
      </c>
      <c r="H632" s="289" t="s">
        <v>21</v>
      </c>
      <c r="I632" s="383" t="s">
        <v>19</v>
      </c>
      <c r="J632" s="289" t="s">
        <v>22</v>
      </c>
      <c r="K632" s="383" t="s">
        <v>19</v>
      </c>
      <c r="L632" s="144"/>
      <c r="M632" s="197"/>
      <c r="N632" s="197"/>
      <c r="O632" s="147"/>
      <c r="P632" s="284"/>
      <c r="Q632" s="284"/>
      <c r="R632" s="284"/>
      <c r="S632" s="284"/>
      <c r="T632" s="284"/>
      <c r="U632" s="284"/>
      <c r="V632" s="284"/>
      <c r="W632" s="284"/>
      <c r="X632" s="284"/>
      <c r="Y632" s="284"/>
      <c r="Z632" s="284"/>
    </row>
    <row r="633" ht="22.5" customHeight="1">
      <c r="A633" s="448"/>
      <c r="B633" s="313" t="s">
        <v>6227</v>
      </c>
      <c r="C633" s="441" t="s">
        <v>6132</v>
      </c>
      <c r="D633" s="293" t="s">
        <v>5274</v>
      </c>
      <c r="E633" s="363" t="s">
        <v>19</v>
      </c>
      <c r="F633" s="294" t="s">
        <v>5275</v>
      </c>
      <c r="G633" s="363" t="s">
        <v>19</v>
      </c>
      <c r="H633" s="294" t="s">
        <v>21</v>
      </c>
      <c r="I633" s="363" t="s">
        <v>19</v>
      </c>
      <c r="J633" s="294" t="s">
        <v>22</v>
      </c>
      <c r="K633" s="363" t="s">
        <v>19</v>
      </c>
      <c r="L633" s="152"/>
      <c r="M633" s="196"/>
      <c r="N633" s="196"/>
      <c r="O633" s="155"/>
      <c r="P633" s="284"/>
      <c r="Q633" s="284"/>
      <c r="R633" s="284"/>
      <c r="S633" s="284"/>
      <c r="T633" s="284"/>
      <c r="U633" s="284"/>
      <c r="V633" s="284"/>
      <c r="W633" s="284"/>
      <c r="X633" s="284"/>
      <c r="Y633" s="284"/>
      <c r="Z633" s="284"/>
    </row>
    <row r="634" ht="22.5" customHeight="1">
      <c r="A634" s="430"/>
      <c r="B634" s="420" t="s">
        <v>6228</v>
      </c>
      <c r="C634" s="458" t="s">
        <v>6132</v>
      </c>
      <c r="D634" s="358" t="s">
        <v>5274</v>
      </c>
      <c r="E634" s="383" t="s">
        <v>19</v>
      </c>
      <c r="F634" s="289" t="s">
        <v>5275</v>
      </c>
      <c r="G634" s="383" t="s">
        <v>19</v>
      </c>
      <c r="H634" s="289" t="s">
        <v>21</v>
      </c>
      <c r="I634" s="383" t="s">
        <v>19</v>
      </c>
      <c r="J634" s="289" t="s">
        <v>22</v>
      </c>
      <c r="K634" s="383" t="s">
        <v>19</v>
      </c>
      <c r="L634" s="144"/>
      <c r="M634" s="197"/>
      <c r="N634" s="197"/>
      <c r="O634" s="147"/>
      <c r="P634" s="284"/>
      <c r="Q634" s="284"/>
      <c r="R634" s="284"/>
      <c r="S634" s="284"/>
      <c r="T634" s="284"/>
      <c r="U634" s="284"/>
      <c r="V634" s="284"/>
      <c r="W634" s="284"/>
      <c r="X634" s="284"/>
      <c r="Y634" s="284"/>
      <c r="Z634" s="284"/>
    </row>
    <row r="635" ht="22.5" customHeight="1">
      <c r="A635" s="299" t="s">
        <v>6229</v>
      </c>
      <c r="B635" s="313" t="s">
        <v>6230</v>
      </c>
      <c r="C635" s="441" t="s">
        <v>6132</v>
      </c>
      <c r="D635" s="293" t="s">
        <v>5274</v>
      </c>
      <c r="E635" s="363" t="s">
        <v>19</v>
      </c>
      <c r="F635" s="294" t="s">
        <v>5275</v>
      </c>
      <c r="G635" s="363" t="s">
        <v>19</v>
      </c>
      <c r="H635" s="294" t="s">
        <v>21</v>
      </c>
      <c r="I635" s="363" t="s">
        <v>19</v>
      </c>
      <c r="J635" s="294" t="s">
        <v>22</v>
      </c>
      <c r="K635" s="363" t="s">
        <v>19</v>
      </c>
      <c r="L635" s="152"/>
      <c r="M635" s="196"/>
      <c r="N635" s="196"/>
      <c r="O635" s="155"/>
      <c r="P635" s="284"/>
      <c r="Q635" s="284"/>
      <c r="R635" s="284"/>
      <c r="S635" s="284"/>
      <c r="T635" s="284"/>
      <c r="U635" s="284"/>
      <c r="V635" s="284"/>
      <c r="W635" s="284"/>
      <c r="X635" s="284"/>
      <c r="Y635" s="284"/>
      <c r="Z635" s="284"/>
    </row>
    <row r="636" ht="22.5" customHeight="1">
      <c r="A636" s="430"/>
      <c r="B636" s="420" t="s">
        <v>6231</v>
      </c>
      <c r="C636" s="458" t="s">
        <v>6132</v>
      </c>
      <c r="D636" s="358" t="s">
        <v>5274</v>
      </c>
      <c r="E636" s="384" t="s">
        <v>640</v>
      </c>
      <c r="F636" s="289" t="s">
        <v>5275</v>
      </c>
      <c r="G636" s="383" t="s">
        <v>19</v>
      </c>
      <c r="H636" s="289" t="s">
        <v>21</v>
      </c>
      <c r="I636" s="384" t="s">
        <v>5279</v>
      </c>
      <c r="J636" s="289" t="s">
        <v>22</v>
      </c>
      <c r="K636" s="384" t="s">
        <v>5279</v>
      </c>
      <c r="L636" s="144"/>
      <c r="M636" s="197"/>
      <c r="N636" s="197"/>
      <c r="O636" s="147"/>
      <c r="P636" s="284"/>
      <c r="Q636" s="284"/>
      <c r="R636" s="284"/>
      <c r="S636" s="284"/>
      <c r="T636" s="284"/>
      <c r="U636" s="284"/>
      <c r="V636" s="284"/>
      <c r="W636" s="284"/>
      <c r="X636" s="284"/>
      <c r="Y636" s="284"/>
      <c r="Z636" s="284"/>
    </row>
    <row r="637" ht="22.5" customHeight="1">
      <c r="A637" s="448"/>
      <c r="B637" s="313" t="s">
        <v>6232</v>
      </c>
      <c r="C637" s="441" t="s">
        <v>6132</v>
      </c>
      <c r="D637" s="293" t="s">
        <v>5274</v>
      </c>
      <c r="E637" s="363" t="s">
        <v>19</v>
      </c>
      <c r="F637" s="294" t="s">
        <v>5275</v>
      </c>
      <c r="G637" s="363" t="s">
        <v>19</v>
      </c>
      <c r="H637" s="294" t="s">
        <v>21</v>
      </c>
      <c r="I637" s="363" t="s">
        <v>19</v>
      </c>
      <c r="J637" s="294" t="s">
        <v>22</v>
      </c>
      <c r="K637" s="363" t="s">
        <v>19</v>
      </c>
      <c r="L637" s="152"/>
      <c r="M637" s="196"/>
      <c r="N637" s="196"/>
      <c r="O637" s="155"/>
      <c r="P637" s="284"/>
      <c r="Q637" s="284"/>
      <c r="R637" s="284"/>
      <c r="S637" s="284"/>
      <c r="T637" s="284"/>
      <c r="U637" s="284"/>
      <c r="V637" s="284"/>
      <c r="W637" s="284"/>
      <c r="X637" s="284"/>
      <c r="Y637" s="284"/>
      <c r="Z637" s="284"/>
    </row>
    <row r="638" ht="22.5" customHeight="1">
      <c r="A638" s="430"/>
      <c r="B638" s="420" t="s">
        <v>6233</v>
      </c>
      <c r="C638" s="458" t="s">
        <v>6132</v>
      </c>
      <c r="D638" s="358" t="s">
        <v>5274</v>
      </c>
      <c r="E638" s="383" t="s">
        <v>19</v>
      </c>
      <c r="F638" s="289" t="s">
        <v>5275</v>
      </c>
      <c r="G638" s="383" t="s">
        <v>19</v>
      </c>
      <c r="H638" s="289" t="s">
        <v>21</v>
      </c>
      <c r="I638" s="383" t="s">
        <v>19</v>
      </c>
      <c r="J638" s="289" t="s">
        <v>22</v>
      </c>
      <c r="K638" s="384" t="s">
        <v>5279</v>
      </c>
      <c r="L638" s="144"/>
      <c r="M638" s="197"/>
      <c r="N638" s="197"/>
      <c r="O638" s="147"/>
      <c r="P638" s="284"/>
      <c r="Q638" s="284"/>
      <c r="R638" s="284"/>
      <c r="S638" s="284"/>
      <c r="T638" s="284"/>
      <c r="U638" s="284"/>
      <c r="V638" s="284"/>
      <c r="W638" s="284"/>
      <c r="X638" s="284"/>
      <c r="Y638" s="284"/>
      <c r="Z638" s="284"/>
    </row>
    <row r="639" ht="22.5" customHeight="1">
      <c r="A639" s="448"/>
      <c r="B639" s="313" t="s">
        <v>6234</v>
      </c>
      <c r="C639" s="432" t="s">
        <v>49</v>
      </c>
      <c r="D639" s="293" t="s">
        <v>5274</v>
      </c>
      <c r="E639" s="311" t="s">
        <v>31</v>
      </c>
      <c r="F639" s="294" t="s">
        <v>5275</v>
      </c>
      <c r="G639" s="311" t="s">
        <v>31</v>
      </c>
      <c r="H639" s="294" t="s">
        <v>21</v>
      </c>
      <c r="I639" s="227" t="s">
        <v>5279</v>
      </c>
      <c r="J639" s="294" t="s">
        <v>22</v>
      </c>
      <c r="K639" s="227" t="s">
        <v>5279</v>
      </c>
      <c r="L639" s="152"/>
      <c r="M639" s="196"/>
      <c r="N639" s="196"/>
      <c r="O639" s="155"/>
      <c r="P639" s="284"/>
      <c r="Q639" s="284"/>
      <c r="R639" s="284"/>
      <c r="S639" s="284"/>
      <c r="T639" s="284"/>
      <c r="U639" s="284"/>
      <c r="V639" s="284"/>
      <c r="W639" s="284"/>
      <c r="X639" s="284"/>
      <c r="Y639" s="284"/>
      <c r="Z639" s="284"/>
    </row>
    <row r="640" ht="22.5" customHeight="1">
      <c r="A640" s="430"/>
      <c r="B640" s="420" t="s">
        <v>6235</v>
      </c>
      <c r="C640" s="458" t="s">
        <v>6132</v>
      </c>
      <c r="D640" s="358" t="s">
        <v>5274</v>
      </c>
      <c r="E640" s="383" t="s">
        <v>19</v>
      </c>
      <c r="F640" s="289" t="s">
        <v>5275</v>
      </c>
      <c r="G640" s="383" t="s">
        <v>19</v>
      </c>
      <c r="H640" s="289" t="s">
        <v>21</v>
      </c>
      <c r="I640" s="383" t="s">
        <v>19</v>
      </c>
      <c r="J640" s="289" t="s">
        <v>22</v>
      </c>
      <c r="K640" s="384" t="s">
        <v>5279</v>
      </c>
      <c r="L640" s="144"/>
      <c r="M640" s="197"/>
      <c r="N640" s="197"/>
      <c r="O640" s="147"/>
      <c r="P640" s="284"/>
      <c r="Q640" s="284"/>
      <c r="R640" s="284"/>
      <c r="S640" s="284"/>
      <c r="T640" s="284"/>
      <c r="U640" s="284"/>
      <c r="V640" s="284"/>
      <c r="W640" s="284"/>
      <c r="X640" s="284"/>
      <c r="Y640" s="284"/>
      <c r="Z640" s="284"/>
    </row>
    <row r="641" ht="22.5" customHeight="1">
      <c r="A641" s="299" t="s">
        <v>6236</v>
      </c>
      <c r="B641" s="313" t="s">
        <v>6237</v>
      </c>
      <c r="C641" s="450" t="s">
        <v>40</v>
      </c>
      <c r="D641" s="293" t="s">
        <v>5274</v>
      </c>
      <c r="E641" s="227" t="s">
        <v>640</v>
      </c>
      <c r="F641" s="294" t="s">
        <v>5275</v>
      </c>
      <c r="G641" s="363" t="s">
        <v>19</v>
      </c>
      <c r="H641" s="294" t="s">
        <v>21</v>
      </c>
      <c r="I641" s="363" t="s">
        <v>19</v>
      </c>
      <c r="J641" s="294" t="s">
        <v>22</v>
      </c>
      <c r="K641" s="311" t="s">
        <v>31</v>
      </c>
      <c r="L641" s="152"/>
      <c r="M641" s="196"/>
      <c r="N641" s="196"/>
      <c r="O641" s="155"/>
      <c r="P641" s="284"/>
      <c r="Q641" s="284"/>
      <c r="R641" s="284"/>
      <c r="S641" s="284"/>
      <c r="T641" s="284"/>
      <c r="U641" s="284"/>
      <c r="V641" s="284"/>
      <c r="W641" s="284"/>
      <c r="X641" s="284"/>
      <c r="Y641" s="284"/>
      <c r="Z641" s="284"/>
    </row>
    <row r="642" ht="22.5" customHeight="1">
      <c r="A642" s="430"/>
      <c r="B642" s="420" t="s">
        <v>6238</v>
      </c>
      <c r="C642" s="458" t="s">
        <v>6132</v>
      </c>
      <c r="D642" s="358" t="s">
        <v>5274</v>
      </c>
      <c r="E642" s="384" t="s">
        <v>640</v>
      </c>
      <c r="F642" s="289" t="s">
        <v>5275</v>
      </c>
      <c r="G642" s="383" t="s">
        <v>19</v>
      </c>
      <c r="H642" s="289" t="s">
        <v>21</v>
      </c>
      <c r="I642" s="384" t="s">
        <v>5279</v>
      </c>
      <c r="J642" s="289" t="s">
        <v>22</v>
      </c>
      <c r="K642" s="384" t="s">
        <v>5279</v>
      </c>
      <c r="L642" s="144"/>
      <c r="M642" s="197"/>
      <c r="N642" s="197"/>
      <c r="O642" s="147"/>
      <c r="P642" s="284"/>
      <c r="Q642" s="284"/>
      <c r="R642" s="284"/>
      <c r="S642" s="284"/>
      <c r="T642" s="284"/>
      <c r="U642" s="284"/>
      <c r="V642" s="284"/>
      <c r="W642" s="284"/>
      <c r="X642" s="284"/>
      <c r="Y642" s="284"/>
      <c r="Z642" s="284"/>
    </row>
    <row r="643" ht="22.5" customHeight="1">
      <c r="A643" s="299" t="s">
        <v>6239</v>
      </c>
      <c r="B643" s="313" t="s">
        <v>6240</v>
      </c>
      <c r="C643" s="432" t="s">
        <v>49</v>
      </c>
      <c r="D643" s="293" t="s">
        <v>5274</v>
      </c>
      <c r="E643" s="227" t="s">
        <v>640</v>
      </c>
      <c r="F643" s="294" t="s">
        <v>5275</v>
      </c>
      <c r="G643" s="311" t="s">
        <v>31</v>
      </c>
      <c r="H643" s="294" t="s">
        <v>21</v>
      </c>
      <c r="I643" s="227" t="s">
        <v>5279</v>
      </c>
      <c r="J643" s="294" t="s">
        <v>22</v>
      </c>
      <c r="K643" s="227" t="s">
        <v>5279</v>
      </c>
      <c r="L643" s="152"/>
      <c r="M643" s="196"/>
      <c r="N643" s="196"/>
      <c r="O643" s="155"/>
      <c r="P643" s="284"/>
      <c r="Q643" s="284"/>
      <c r="R643" s="284"/>
      <c r="S643" s="284"/>
      <c r="T643" s="284"/>
      <c r="U643" s="284"/>
      <c r="V643" s="284"/>
      <c r="W643" s="284"/>
      <c r="X643" s="284"/>
      <c r="Y643" s="284"/>
      <c r="Z643" s="284"/>
    </row>
    <row r="644" ht="22.5" customHeight="1">
      <c r="A644" s="430"/>
      <c r="B644" s="420" t="s">
        <v>6241</v>
      </c>
      <c r="C644" s="458" t="s">
        <v>6132</v>
      </c>
      <c r="D644" s="358" t="s">
        <v>5274</v>
      </c>
      <c r="E644" s="384" t="s">
        <v>640</v>
      </c>
      <c r="F644" s="289" t="s">
        <v>5275</v>
      </c>
      <c r="G644" s="383" t="s">
        <v>19</v>
      </c>
      <c r="H644" s="289" t="s">
        <v>21</v>
      </c>
      <c r="I644" s="384" t="s">
        <v>5279</v>
      </c>
      <c r="J644" s="289" t="s">
        <v>22</v>
      </c>
      <c r="K644" s="384" t="s">
        <v>5279</v>
      </c>
      <c r="L644" s="144"/>
      <c r="M644" s="197"/>
      <c r="N644" s="197"/>
      <c r="O644" s="147"/>
      <c r="P644" s="284"/>
      <c r="Q644" s="284"/>
      <c r="R644" s="284"/>
      <c r="S644" s="284"/>
      <c r="T644" s="284"/>
      <c r="U644" s="284"/>
      <c r="V644" s="284"/>
      <c r="W644" s="284"/>
      <c r="X644" s="284"/>
      <c r="Y644" s="284"/>
      <c r="Z644" s="284"/>
    </row>
    <row r="645" ht="22.5" customHeight="1">
      <c r="A645" s="305" t="s">
        <v>6242</v>
      </c>
      <c r="B645" s="313" t="s">
        <v>6243</v>
      </c>
      <c r="C645" s="192" t="s">
        <v>49</v>
      </c>
      <c r="D645" s="293" t="s">
        <v>5274</v>
      </c>
      <c r="E645" s="227" t="s">
        <v>640</v>
      </c>
      <c r="F645" s="294" t="s">
        <v>5275</v>
      </c>
      <c r="G645" s="311" t="s">
        <v>31</v>
      </c>
      <c r="H645" s="294" t="s">
        <v>21</v>
      </c>
      <c r="I645" s="311" t="s">
        <v>31</v>
      </c>
      <c r="J645" s="294" t="s">
        <v>22</v>
      </c>
      <c r="K645" s="396" t="s">
        <v>19</v>
      </c>
      <c r="L645" s="152"/>
      <c r="M645" s="196"/>
      <c r="N645" s="196"/>
      <c r="O645" s="155"/>
      <c r="P645" s="284"/>
      <c r="Q645" s="284"/>
      <c r="R645" s="284"/>
      <c r="S645" s="284"/>
      <c r="T645" s="284"/>
      <c r="U645" s="284"/>
      <c r="V645" s="284"/>
      <c r="W645" s="284"/>
      <c r="X645" s="284"/>
      <c r="Y645" s="284"/>
      <c r="Z645" s="284"/>
    </row>
    <row r="646" ht="22.5" customHeight="1">
      <c r="A646" s="325" t="s">
        <v>6244</v>
      </c>
      <c r="B646" s="159" t="s">
        <v>6245</v>
      </c>
      <c r="C646" s="342" t="s">
        <v>49</v>
      </c>
      <c r="D646" s="358" t="s">
        <v>5274</v>
      </c>
      <c r="E646" s="204" t="s">
        <v>640</v>
      </c>
      <c r="F646" s="289" t="s">
        <v>5275</v>
      </c>
      <c r="G646" s="297" t="s">
        <v>31</v>
      </c>
      <c r="H646" s="289" t="s">
        <v>21</v>
      </c>
      <c r="I646" s="297" t="s">
        <v>31</v>
      </c>
      <c r="J646" s="289" t="s">
        <v>22</v>
      </c>
      <c r="K646" s="204" t="s">
        <v>5279</v>
      </c>
      <c r="L646" s="144"/>
      <c r="M646" s="197"/>
      <c r="N646" s="197"/>
      <c r="O646" s="147"/>
      <c r="P646" s="284"/>
      <c r="Q646" s="284"/>
      <c r="R646" s="284"/>
      <c r="S646" s="284"/>
      <c r="T646" s="284"/>
      <c r="U646" s="284"/>
      <c r="V646" s="284"/>
      <c r="W646" s="284"/>
      <c r="X646" s="284"/>
      <c r="Y646" s="284"/>
      <c r="Z646" s="284"/>
    </row>
    <row r="647" ht="22.5" customHeight="1">
      <c r="A647" s="448"/>
      <c r="B647" s="313" t="s">
        <v>6246</v>
      </c>
      <c r="C647" s="441" t="s">
        <v>6132</v>
      </c>
      <c r="D647" s="293" t="s">
        <v>5274</v>
      </c>
      <c r="E647" s="227" t="s">
        <v>640</v>
      </c>
      <c r="F647" s="294" t="s">
        <v>5275</v>
      </c>
      <c r="G647" s="363" t="s">
        <v>19</v>
      </c>
      <c r="H647" s="294" t="s">
        <v>21</v>
      </c>
      <c r="I647" s="227" t="s">
        <v>5279</v>
      </c>
      <c r="J647" s="294" t="s">
        <v>22</v>
      </c>
      <c r="K647" s="227" t="s">
        <v>5279</v>
      </c>
      <c r="L647" s="152"/>
      <c r="M647" s="196"/>
      <c r="N647" s="196"/>
      <c r="O647" s="155"/>
      <c r="P647" s="284"/>
      <c r="Q647" s="284"/>
      <c r="R647" s="284"/>
      <c r="S647" s="284"/>
      <c r="T647" s="284"/>
      <c r="U647" s="284"/>
      <c r="V647" s="284"/>
      <c r="W647" s="284"/>
      <c r="X647" s="284"/>
      <c r="Y647" s="284"/>
      <c r="Z647" s="284"/>
    </row>
    <row r="648" ht="22.5" customHeight="1">
      <c r="A648" s="285" t="s">
        <v>637</v>
      </c>
      <c r="B648" s="159" t="s">
        <v>6247</v>
      </c>
      <c r="C648" s="169" t="s">
        <v>49</v>
      </c>
      <c r="D648" s="358" t="s">
        <v>5274</v>
      </c>
      <c r="E648" s="332" t="s">
        <v>50</v>
      </c>
      <c r="F648" s="289" t="s">
        <v>5275</v>
      </c>
      <c r="G648" s="297" t="s">
        <v>31</v>
      </c>
      <c r="H648" s="289" t="s">
        <v>21</v>
      </c>
      <c r="I648" s="288" t="s">
        <v>19</v>
      </c>
      <c r="J648" s="289" t="s">
        <v>22</v>
      </c>
      <c r="K648" s="298" t="s">
        <v>5279</v>
      </c>
      <c r="L648" s="144"/>
      <c r="M648" s="197"/>
      <c r="N648" s="197"/>
      <c r="O648" s="147"/>
      <c r="P648" s="284"/>
      <c r="Q648" s="284"/>
      <c r="R648" s="284"/>
      <c r="S648" s="284"/>
      <c r="T648" s="284"/>
      <c r="U648" s="284"/>
      <c r="V648" s="284"/>
      <c r="W648" s="284"/>
      <c r="X648" s="284"/>
      <c r="Y648" s="284"/>
      <c r="Z648" s="284"/>
    </row>
    <row r="649" ht="22.5" customHeight="1">
      <c r="A649" s="327" t="s">
        <v>6248</v>
      </c>
      <c r="B649" s="313" t="s">
        <v>6249</v>
      </c>
      <c r="C649" s="432" t="s">
        <v>49</v>
      </c>
      <c r="D649" s="293" t="s">
        <v>5274</v>
      </c>
      <c r="E649" s="227" t="s">
        <v>640</v>
      </c>
      <c r="F649" s="294" t="s">
        <v>5275</v>
      </c>
      <c r="G649" s="363" t="s">
        <v>19</v>
      </c>
      <c r="H649" s="294" t="s">
        <v>21</v>
      </c>
      <c r="I649" s="363" t="s">
        <v>19</v>
      </c>
      <c r="J649" s="294" t="s">
        <v>22</v>
      </c>
      <c r="K649" s="311" t="s">
        <v>31</v>
      </c>
      <c r="L649" s="152"/>
      <c r="M649" s="196"/>
      <c r="N649" s="196"/>
      <c r="O649" s="155"/>
      <c r="P649" s="284"/>
      <c r="Q649" s="284"/>
      <c r="R649" s="284"/>
      <c r="S649" s="284"/>
      <c r="T649" s="284"/>
      <c r="U649" s="284"/>
      <c r="V649" s="284"/>
      <c r="W649" s="284"/>
      <c r="X649" s="284"/>
      <c r="Y649" s="284"/>
      <c r="Z649" s="284"/>
    </row>
    <row r="650" ht="22.5" customHeight="1">
      <c r="A650" s="430"/>
      <c r="B650" s="420" t="s">
        <v>6250</v>
      </c>
      <c r="C650" s="458" t="s">
        <v>6132</v>
      </c>
      <c r="D650" s="358" t="s">
        <v>5274</v>
      </c>
      <c r="E650" s="384" t="s">
        <v>640</v>
      </c>
      <c r="F650" s="289" t="s">
        <v>5275</v>
      </c>
      <c r="G650" s="383" t="s">
        <v>19</v>
      </c>
      <c r="H650" s="289" t="s">
        <v>21</v>
      </c>
      <c r="I650" s="384" t="s">
        <v>5279</v>
      </c>
      <c r="J650" s="289" t="s">
        <v>22</v>
      </c>
      <c r="K650" s="384" t="s">
        <v>5279</v>
      </c>
      <c r="L650" s="144"/>
      <c r="M650" s="197"/>
      <c r="N650" s="197"/>
      <c r="O650" s="147"/>
      <c r="P650" s="284"/>
      <c r="Q650" s="284"/>
      <c r="R650" s="284"/>
      <c r="S650" s="284"/>
      <c r="T650" s="284"/>
      <c r="U650" s="284"/>
      <c r="V650" s="284"/>
      <c r="W650" s="284"/>
      <c r="X650" s="284"/>
      <c r="Y650" s="284"/>
      <c r="Z650" s="284"/>
    </row>
    <row r="651" ht="22.5" customHeight="1">
      <c r="A651" s="448"/>
      <c r="B651" s="313" t="s">
        <v>6251</v>
      </c>
      <c r="C651" s="441" t="s">
        <v>6132</v>
      </c>
      <c r="D651" s="293" t="s">
        <v>5274</v>
      </c>
      <c r="E651" s="227" t="s">
        <v>640</v>
      </c>
      <c r="F651" s="294" t="s">
        <v>5275</v>
      </c>
      <c r="G651" s="363" t="s">
        <v>19</v>
      </c>
      <c r="H651" s="294" t="s">
        <v>21</v>
      </c>
      <c r="I651" s="227" t="s">
        <v>5279</v>
      </c>
      <c r="J651" s="294" t="s">
        <v>22</v>
      </c>
      <c r="K651" s="227" t="s">
        <v>5279</v>
      </c>
      <c r="L651" s="152"/>
      <c r="M651" s="196"/>
      <c r="N651" s="196"/>
      <c r="O651" s="155"/>
      <c r="P651" s="284"/>
      <c r="Q651" s="284"/>
      <c r="R651" s="284"/>
      <c r="S651" s="284"/>
      <c r="T651" s="284"/>
      <c r="U651" s="284"/>
      <c r="V651" s="284"/>
      <c r="W651" s="284"/>
      <c r="X651" s="284"/>
      <c r="Y651" s="284"/>
      <c r="Z651" s="284"/>
    </row>
    <row r="652" ht="22.5" customHeight="1">
      <c r="A652" s="430"/>
      <c r="B652" s="452" t="s">
        <v>6252</v>
      </c>
      <c r="C652" s="458" t="s">
        <v>6132</v>
      </c>
      <c r="D652" s="358" t="s">
        <v>5274</v>
      </c>
      <c r="E652" s="384" t="s">
        <v>640</v>
      </c>
      <c r="F652" s="289" t="s">
        <v>5275</v>
      </c>
      <c r="G652" s="384" t="s">
        <v>5279</v>
      </c>
      <c r="H652" s="289" t="s">
        <v>21</v>
      </c>
      <c r="I652" s="384" t="s">
        <v>5279</v>
      </c>
      <c r="J652" s="289" t="s">
        <v>22</v>
      </c>
      <c r="K652" s="383" t="s">
        <v>19</v>
      </c>
      <c r="L652" s="144"/>
      <c r="M652" s="197"/>
      <c r="N652" s="197"/>
      <c r="O652" s="147"/>
      <c r="P652" s="284"/>
      <c r="Q652" s="284"/>
      <c r="R652" s="284"/>
      <c r="S652" s="284"/>
      <c r="T652" s="284"/>
      <c r="U652" s="284"/>
      <c r="V652" s="284"/>
      <c r="W652" s="284"/>
      <c r="X652" s="284"/>
      <c r="Y652" s="284"/>
      <c r="Z652" s="284"/>
    </row>
    <row r="653" ht="22.5" customHeight="1">
      <c r="A653" s="299" t="s">
        <v>637</v>
      </c>
      <c r="B653" s="313" t="s">
        <v>6253</v>
      </c>
      <c r="C653" s="432" t="s">
        <v>49</v>
      </c>
      <c r="D653" s="293" t="s">
        <v>5274</v>
      </c>
      <c r="E653" s="311" t="s">
        <v>31</v>
      </c>
      <c r="F653" s="294" t="s">
        <v>5275</v>
      </c>
      <c r="G653" s="363" t="s">
        <v>19</v>
      </c>
      <c r="H653" s="294" t="s">
        <v>21</v>
      </c>
      <c r="I653" s="227" t="s">
        <v>5279</v>
      </c>
      <c r="J653" s="294" t="s">
        <v>22</v>
      </c>
      <c r="K653" s="227" t="s">
        <v>5279</v>
      </c>
      <c r="L653" s="152"/>
      <c r="M653" s="196"/>
      <c r="N653" s="196"/>
      <c r="O653" s="155"/>
      <c r="P653" s="284"/>
      <c r="Q653" s="284"/>
      <c r="R653" s="284"/>
      <c r="S653" s="284"/>
      <c r="T653" s="284"/>
      <c r="U653" s="284"/>
      <c r="V653" s="284"/>
      <c r="W653" s="284"/>
      <c r="X653" s="284"/>
      <c r="Y653" s="284"/>
      <c r="Z653" s="284"/>
    </row>
    <row r="654" ht="22.5" customHeight="1">
      <c r="A654" s="368"/>
      <c r="B654" s="159" t="s">
        <v>6254</v>
      </c>
      <c r="C654" s="349" t="s">
        <v>40</v>
      </c>
      <c r="D654" s="358" t="s">
        <v>5274</v>
      </c>
      <c r="E654" s="204" t="s">
        <v>640</v>
      </c>
      <c r="F654" s="289" t="s">
        <v>5275</v>
      </c>
      <c r="G654" s="204" t="s">
        <v>5279</v>
      </c>
      <c r="H654" s="289" t="s">
        <v>21</v>
      </c>
      <c r="I654" s="204" t="s">
        <v>5279</v>
      </c>
      <c r="J654" s="289" t="s">
        <v>22</v>
      </c>
      <c r="K654" s="288" t="s">
        <v>19</v>
      </c>
      <c r="L654" s="144"/>
      <c r="M654" s="197"/>
      <c r="N654" s="197"/>
      <c r="O654" s="147"/>
      <c r="P654" s="284"/>
      <c r="Q654" s="284"/>
      <c r="R654" s="284"/>
      <c r="S654" s="284"/>
      <c r="T654" s="284"/>
      <c r="U654" s="284"/>
      <c r="V654" s="284"/>
      <c r="W654" s="284"/>
      <c r="X654" s="284"/>
      <c r="Y654" s="284"/>
      <c r="Z654" s="284"/>
    </row>
    <row r="655" ht="22.5" customHeight="1">
      <c r="A655" s="299" t="s">
        <v>637</v>
      </c>
      <c r="B655" s="313" t="s">
        <v>6255</v>
      </c>
      <c r="C655" s="433" t="s">
        <v>6132</v>
      </c>
      <c r="D655" s="293" t="s">
        <v>5274</v>
      </c>
      <c r="E655" s="363" t="s">
        <v>19</v>
      </c>
      <c r="F655" s="294" t="s">
        <v>5275</v>
      </c>
      <c r="G655" s="227" t="s">
        <v>5279</v>
      </c>
      <c r="H655" s="294" t="s">
        <v>21</v>
      </c>
      <c r="I655" s="363" t="s">
        <v>19</v>
      </c>
      <c r="J655" s="294" t="s">
        <v>22</v>
      </c>
      <c r="K655" s="396" t="s">
        <v>19</v>
      </c>
      <c r="L655" s="152"/>
      <c r="M655" s="196"/>
      <c r="N655" s="196"/>
      <c r="O655" s="155"/>
      <c r="P655" s="284"/>
      <c r="Q655" s="284"/>
      <c r="R655" s="284"/>
      <c r="S655" s="284"/>
      <c r="T655" s="284"/>
      <c r="U655" s="284"/>
      <c r="V655" s="284"/>
      <c r="W655" s="284"/>
      <c r="X655" s="284"/>
      <c r="Y655" s="284"/>
      <c r="Z655" s="284"/>
    </row>
    <row r="656" ht="22.5" customHeight="1">
      <c r="A656" s="285" t="s">
        <v>637</v>
      </c>
      <c r="B656" s="159" t="s">
        <v>6256</v>
      </c>
      <c r="C656" s="342" t="s">
        <v>49</v>
      </c>
      <c r="D656" s="358" t="s">
        <v>5274</v>
      </c>
      <c r="E656" s="297" t="s">
        <v>31</v>
      </c>
      <c r="F656" s="289" t="s">
        <v>5275</v>
      </c>
      <c r="G656" s="204" t="s">
        <v>5279</v>
      </c>
      <c r="H656" s="289" t="s">
        <v>21</v>
      </c>
      <c r="I656" s="204" t="s">
        <v>5279</v>
      </c>
      <c r="J656" s="289" t="s">
        <v>22</v>
      </c>
      <c r="K656" s="204" t="s">
        <v>5279</v>
      </c>
      <c r="L656" s="144"/>
      <c r="M656" s="197"/>
      <c r="N656" s="197"/>
      <c r="O656" s="147"/>
      <c r="P656" s="284"/>
      <c r="Q656" s="284"/>
      <c r="R656" s="284"/>
      <c r="S656" s="284"/>
      <c r="T656" s="284"/>
      <c r="U656" s="284"/>
      <c r="V656" s="284"/>
      <c r="W656" s="284"/>
      <c r="X656" s="284"/>
      <c r="Y656" s="284"/>
      <c r="Z656" s="284"/>
    </row>
    <row r="657" ht="22.5" customHeight="1">
      <c r="A657" s="299" t="s">
        <v>637</v>
      </c>
      <c r="B657" s="313" t="s">
        <v>6257</v>
      </c>
      <c r="C657" s="265" t="s">
        <v>40</v>
      </c>
      <c r="D657" s="293" t="s">
        <v>5274</v>
      </c>
      <c r="E657" s="363" t="s">
        <v>19</v>
      </c>
      <c r="F657" s="294" t="s">
        <v>5275</v>
      </c>
      <c r="G657" s="363" t="s">
        <v>19</v>
      </c>
      <c r="H657" s="294" t="s">
        <v>21</v>
      </c>
      <c r="I657" s="311" t="s">
        <v>31</v>
      </c>
      <c r="J657" s="294" t="s">
        <v>22</v>
      </c>
      <c r="K657" s="396" t="s">
        <v>19</v>
      </c>
      <c r="L657" s="152"/>
      <c r="M657" s="196"/>
      <c r="N657" s="196"/>
      <c r="O657" s="155"/>
      <c r="P657" s="284"/>
      <c r="Q657" s="284"/>
      <c r="R657" s="284"/>
      <c r="S657" s="284"/>
      <c r="T657" s="284"/>
      <c r="U657" s="284"/>
      <c r="V657" s="284"/>
      <c r="W657" s="284"/>
      <c r="X657" s="284"/>
      <c r="Y657" s="284"/>
      <c r="Z657" s="284"/>
    </row>
    <row r="658" ht="22.5" customHeight="1">
      <c r="A658" s="285" t="s">
        <v>3565</v>
      </c>
      <c r="B658" s="286" t="s">
        <v>6258</v>
      </c>
      <c r="C658" s="342" t="s">
        <v>49</v>
      </c>
      <c r="D658" s="358" t="s">
        <v>5274</v>
      </c>
      <c r="E658" s="204" t="s">
        <v>640</v>
      </c>
      <c r="F658" s="289" t="s">
        <v>5275</v>
      </c>
      <c r="G658" s="204" t="s">
        <v>5279</v>
      </c>
      <c r="H658" s="289" t="s">
        <v>21</v>
      </c>
      <c r="I658" s="297" t="s">
        <v>31</v>
      </c>
      <c r="J658" s="289" t="s">
        <v>22</v>
      </c>
      <c r="K658" s="204" t="s">
        <v>5279</v>
      </c>
      <c r="L658" s="144"/>
      <c r="M658" s="197"/>
      <c r="N658" s="197"/>
      <c r="O658" s="147"/>
      <c r="P658" s="284"/>
      <c r="Q658" s="284"/>
      <c r="R658" s="284"/>
      <c r="S658" s="284"/>
      <c r="T658" s="284"/>
      <c r="U658" s="284"/>
      <c r="V658" s="284"/>
      <c r="W658" s="284"/>
      <c r="X658" s="284"/>
      <c r="Y658" s="284"/>
      <c r="Z658" s="284"/>
    </row>
    <row r="659" ht="22.5" customHeight="1">
      <c r="A659" s="299" t="s">
        <v>6259</v>
      </c>
      <c r="B659" s="313" t="s">
        <v>6260</v>
      </c>
      <c r="C659" s="433" t="s">
        <v>6132</v>
      </c>
      <c r="D659" s="293" t="s">
        <v>5274</v>
      </c>
      <c r="E659" s="363" t="s">
        <v>19</v>
      </c>
      <c r="F659" s="294" t="s">
        <v>5275</v>
      </c>
      <c r="G659" s="227" t="s">
        <v>5279</v>
      </c>
      <c r="H659" s="294" t="s">
        <v>21</v>
      </c>
      <c r="I659" s="363" t="s">
        <v>19</v>
      </c>
      <c r="J659" s="294" t="s">
        <v>22</v>
      </c>
      <c r="K659" s="396" t="s">
        <v>19</v>
      </c>
      <c r="L659" s="152"/>
      <c r="M659" s="196"/>
      <c r="N659" s="196"/>
      <c r="O659" s="155"/>
      <c r="P659" s="284"/>
      <c r="Q659" s="284"/>
      <c r="R659" s="284"/>
      <c r="S659" s="284"/>
      <c r="T659" s="284"/>
      <c r="U659" s="284"/>
      <c r="V659" s="284"/>
      <c r="W659" s="284"/>
      <c r="X659" s="284"/>
      <c r="Y659" s="284"/>
      <c r="Z659" s="284"/>
    </row>
    <row r="660" ht="22.5" customHeight="1">
      <c r="A660" s="379" t="s">
        <v>6261</v>
      </c>
      <c r="B660" s="420" t="s">
        <v>6262</v>
      </c>
      <c r="C660" s="458" t="s">
        <v>6132</v>
      </c>
      <c r="D660" s="358" t="s">
        <v>5274</v>
      </c>
      <c r="E660" s="383" t="s">
        <v>19</v>
      </c>
      <c r="F660" s="289" t="s">
        <v>5275</v>
      </c>
      <c r="G660" s="384" t="s">
        <v>5279</v>
      </c>
      <c r="H660" s="289" t="s">
        <v>21</v>
      </c>
      <c r="I660" s="384" t="s">
        <v>5279</v>
      </c>
      <c r="J660" s="289" t="s">
        <v>22</v>
      </c>
      <c r="K660" s="384" t="s">
        <v>5279</v>
      </c>
      <c r="L660" s="144"/>
      <c r="M660" s="197"/>
      <c r="N660" s="197"/>
      <c r="O660" s="147"/>
      <c r="P660" s="284"/>
      <c r="Q660" s="284"/>
      <c r="R660" s="284"/>
      <c r="S660" s="284"/>
      <c r="T660" s="284"/>
      <c r="U660" s="284"/>
      <c r="V660" s="284"/>
      <c r="W660" s="284"/>
      <c r="X660" s="284"/>
      <c r="Y660" s="284"/>
      <c r="Z660" s="284"/>
    </row>
    <row r="661" ht="22.5" customHeight="1">
      <c r="A661" s="299" t="s">
        <v>637</v>
      </c>
      <c r="B661" s="313" t="s">
        <v>6263</v>
      </c>
      <c r="C661" s="450" t="s">
        <v>40</v>
      </c>
      <c r="D661" s="293" t="s">
        <v>5274</v>
      </c>
      <c r="E661" s="311" t="s">
        <v>31</v>
      </c>
      <c r="F661" s="294" t="s">
        <v>5275</v>
      </c>
      <c r="G661" s="227" t="s">
        <v>5279</v>
      </c>
      <c r="H661" s="294" t="s">
        <v>21</v>
      </c>
      <c r="I661" s="227" t="s">
        <v>5279</v>
      </c>
      <c r="J661" s="294" t="s">
        <v>22</v>
      </c>
      <c r="K661" s="227" t="s">
        <v>5279</v>
      </c>
      <c r="L661" s="152"/>
      <c r="M661" s="196"/>
      <c r="N661" s="196"/>
      <c r="O661" s="155"/>
      <c r="P661" s="284"/>
      <c r="Q661" s="284"/>
      <c r="R661" s="284"/>
      <c r="S661" s="284"/>
      <c r="T661" s="284"/>
      <c r="U661" s="284"/>
      <c r="V661" s="284"/>
      <c r="W661" s="284"/>
      <c r="X661" s="284"/>
      <c r="Y661" s="284"/>
      <c r="Z661" s="284"/>
    </row>
    <row r="662" ht="22.5" customHeight="1">
      <c r="A662" s="325" t="s">
        <v>6264</v>
      </c>
      <c r="B662" s="159" t="s">
        <v>6265</v>
      </c>
      <c r="C662" s="459" t="s">
        <v>6266</v>
      </c>
      <c r="D662" s="358" t="s">
        <v>5274</v>
      </c>
      <c r="E662" s="288" t="s">
        <v>19</v>
      </c>
      <c r="F662" s="289" t="s">
        <v>5275</v>
      </c>
      <c r="G662" s="288" t="s">
        <v>19</v>
      </c>
      <c r="H662" s="289" t="s">
        <v>21</v>
      </c>
      <c r="I662" s="297" t="s">
        <v>31</v>
      </c>
      <c r="J662" s="289" t="s">
        <v>22</v>
      </c>
      <c r="K662" s="204" t="s">
        <v>5279</v>
      </c>
      <c r="L662" s="144"/>
      <c r="M662" s="197"/>
      <c r="N662" s="197"/>
      <c r="O662" s="147"/>
      <c r="P662" s="284"/>
      <c r="Q662" s="284"/>
      <c r="R662" s="284"/>
      <c r="S662" s="284"/>
      <c r="T662" s="284"/>
      <c r="U662" s="284"/>
      <c r="V662" s="284"/>
      <c r="W662" s="284"/>
      <c r="X662" s="284"/>
      <c r="Y662" s="284"/>
      <c r="Z662" s="284"/>
    </row>
    <row r="663" ht="22.5" customHeight="1">
      <c r="A663" s="299" t="s">
        <v>6267</v>
      </c>
      <c r="B663" s="313" t="s">
        <v>6268</v>
      </c>
      <c r="C663" s="450" t="s">
        <v>40</v>
      </c>
      <c r="D663" s="293" t="s">
        <v>5274</v>
      </c>
      <c r="E663" s="311" t="s">
        <v>31</v>
      </c>
      <c r="F663" s="294" t="s">
        <v>5275</v>
      </c>
      <c r="G663" s="227" t="s">
        <v>5279</v>
      </c>
      <c r="H663" s="294" t="s">
        <v>21</v>
      </c>
      <c r="I663" s="227" t="s">
        <v>5279</v>
      </c>
      <c r="J663" s="294" t="s">
        <v>22</v>
      </c>
      <c r="K663" s="227" t="s">
        <v>5279</v>
      </c>
      <c r="L663" s="152"/>
      <c r="M663" s="196"/>
      <c r="N663" s="196"/>
      <c r="O663" s="155"/>
      <c r="P663" s="284"/>
      <c r="Q663" s="284"/>
      <c r="R663" s="284"/>
      <c r="S663" s="284"/>
      <c r="T663" s="284"/>
      <c r="U663" s="284"/>
      <c r="V663" s="284"/>
      <c r="W663" s="284"/>
      <c r="X663" s="284"/>
      <c r="Y663" s="284"/>
      <c r="Z663" s="284"/>
    </row>
    <row r="664" ht="22.5" customHeight="1">
      <c r="A664" s="285" t="s">
        <v>637</v>
      </c>
      <c r="B664" s="159" t="s">
        <v>6269</v>
      </c>
      <c r="C664" s="342" t="s">
        <v>49</v>
      </c>
      <c r="D664" s="358" t="s">
        <v>5274</v>
      </c>
      <c r="E664" s="297" t="s">
        <v>31</v>
      </c>
      <c r="F664" s="289" t="s">
        <v>5275</v>
      </c>
      <c r="G664" s="204" t="s">
        <v>5279</v>
      </c>
      <c r="H664" s="289" t="s">
        <v>21</v>
      </c>
      <c r="I664" s="204" t="s">
        <v>5279</v>
      </c>
      <c r="J664" s="289" t="s">
        <v>22</v>
      </c>
      <c r="K664" s="204" t="s">
        <v>5279</v>
      </c>
      <c r="L664" s="144"/>
      <c r="M664" s="197"/>
      <c r="N664" s="197"/>
      <c r="O664" s="147"/>
      <c r="P664" s="284"/>
      <c r="Q664" s="284"/>
      <c r="R664" s="284"/>
      <c r="S664" s="284"/>
      <c r="T664" s="284"/>
      <c r="U664" s="284"/>
      <c r="V664" s="284"/>
      <c r="W664" s="284"/>
      <c r="X664" s="284"/>
      <c r="Y664" s="284"/>
      <c r="Z664" s="284"/>
    </row>
    <row r="665" ht="22.5" customHeight="1">
      <c r="A665" s="299" t="s">
        <v>6270</v>
      </c>
      <c r="B665" s="313" t="s">
        <v>6271</v>
      </c>
      <c r="C665" s="450" t="s">
        <v>40</v>
      </c>
      <c r="D665" s="293" t="s">
        <v>5274</v>
      </c>
      <c r="E665" s="311" t="s">
        <v>31</v>
      </c>
      <c r="F665" s="294" t="s">
        <v>5275</v>
      </c>
      <c r="G665" s="227" t="s">
        <v>5279</v>
      </c>
      <c r="H665" s="294" t="s">
        <v>21</v>
      </c>
      <c r="I665" s="227" t="s">
        <v>5279</v>
      </c>
      <c r="J665" s="294" t="s">
        <v>22</v>
      </c>
      <c r="K665" s="227" t="s">
        <v>5279</v>
      </c>
      <c r="L665" s="152"/>
      <c r="M665" s="196"/>
      <c r="N665" s="196"/>
      <c r="O665" s="155"/>
      <c r="P665" s="284"/>
      <c r="Q665" s="284"/>
      <c r="R665" s="284"/>
      <c r="S665" s="284"/>
      <c r="T665" s="284"/>
      <c r="U665" s="284"/>
      <c r="V665" s="284"/>
      <c r="W665" s="284"/>
      <c r="X665" s="284"/>
      <c r="Y665" s="284"/>
      <c r="Z665" s="284"/>
    </row>
    <row r="666" ht="22.5" customHeight="1">
      <c r="A666" s="285" t="s">
        <v>637</v>
      </c>
      <c r="B666" s="159" t="s">
        <v>6272</v>
      </c>
      <c r="C666" s="342" t="s">
        <v>49</v>
      </c>
      <c r="D666" s="358" t="s">
        <v>5274</v>
      </c>
      <c r="E666" s="297" t="s">
        <v>31</v>
      </c>
      <c r="F666" s="289" t="s">
        <v>5275</v>
      </c>
      <c r="G666" s="204" t="s">
        <v>5279</v>
      </c>
      <c r="H666" s="289" t="s">
        <v>21</v>
      </c>
      <c r="I666" s="204" t="s">
        <v>5279</v>
      </c>
      <c r="J666" s="289" t="s">
        <v>22</v>
      </c>
      <c r="K666" s="204" t="s">
        <v>5279</v>
      </c>
      <c r="L666" s="144"/>
      <c r="M666" s="197"/>
      <c r="N666" s="197"/>
      <c r="O666" s="147"/>
      <c r="P666" s="284"/>
      <c r="Q666" s="284"/>
      <c r="R666" s="284"/>
      <c r="S666" s="284"/>
      <c r="T666" s="284"/>
      <c r="U666" s="284"/>
      <c r="V666" s="284"/>
      <c r="W666" s="284"/>
      <c r="X666" s="284"/>
      <c r="Y666" s="284"/>
      <c r="Z666" s="284"/>
    </row>
    <row r="667" ht="22.5" customHeight="1">
      <c r="A667" s="435" t="s">
        <v>637</v>
      </c>
      <c r="B667" s="436" t="s">
        <v>6273</v>
      </c>
      <c r="C667" s="460" t="s">
        <v>40</v>
      </c>
      <c r="D667" s="293" t="s">
        <v>5274</v>
      </c>
      <c r="E667" s="437" t="s">
        <v>31</v>
      </c>
      <c r="F667" s="294" t="s">
        <v>5275</v>
      </c>
      <c r="G667" s="461" t="s">
        <v>5279</v>
      </c>
      <c r="H667" s="294" t="s">
        <v>21</v>
      </c>
      <c r="I667" s="461" t="s">
        <v>5279</v>
      </c>
      <c r="J667" s="294" t="s">
        <v>22</v>
      </c>
      <c r="K667" s="461" t="s">
        <v>5279</v>
      </c>
      <c r="L667" s="152"/>
      <c r="M667" s="196"/>
      <c r="N667" s="196"/>
      <c r="O667" s="155"/>
      <c r="P667" s="284"/>
      <c r="Q667" s="284"/>
      <c r="R667" s="284"/>
      <c r="S667" s="284"/>
      <c r="T667" s="284"/>
      <c r="U667" s="284"/>
      <c r="V667" s="284"/>
      <c r="W667" s="284"/>
      <c r="X667" s="284"/>
      <c r="Y667" s="284"/>
      <c r="Z667" s="284"/>
    </row>
    <row r="668" ht="22.5" customHeight="1">
      <c r="A668" s="285" t="s">
        <v>6274</v>
      </c>
      <c r="B668" s="159" t="s">
        <v>6275</v>
      </c>
      <c r="C668" s="169" t="s">
        <v>49</v>
      </c>
      <c r="D668" s="358" t="s">
        <v>5274</v>
      </c>
      <c r="E668" s="297" t="s">
        <v>31</v>
      </c>
      <c r="F668" s="289" t="s">
        <v>5275</v>
      </c>
      <c r="G668" s="204" t="s">
        <v>5279</v>
      </c>
      <c r="H668" s="289" t="s">
        <v>21</v>
      </c>
      <c r="I668" s="288" t="s">
        <v>19</v>
      </c>
      <c r="J668" s="289" t="s">
        <v>22</v>
      </c>
      <c r="K668" s="290" t="s">
        <v>19</v>
      </c>
      <c r="L668" s="144"/>
      <c r="M668" s="197"/>
      <c r="N668" s="197"/>
      <c r="O668" s="147"/>
      <c r="P668" s="284"/>
      <c r="Q668" s="284"/>
      <c r="R668" s="284"/>
      <c r="S668" s="284"/>
      <c r="T668" s="284"/>
      <c r="U668" s="284"/>
      <c r="V668" s="284"/>
      <c r="W668" s="284"/>
      <c r="X668" s="284"/>
      <c r="Y668" s="284"/>
      <c r="Z668" s="284"/>
    </row>
    <row r="669" ht="22.5" customHeight="1">
      <c r="A669" s="299" t="s">
        <v>6276</v>
      </c>
      <c r="B669" s="313" t="s">
        <v>6277</v>
      </c>
      <c r="C669" s="450" t="s">
        <v>40</v>
      </c>
      <c r="D669" s="293" t="s">
        <v>5274</v>
      </c>
      <c r="E669" s="311" t="s">
        <v>31</v>
      </c>
      <c r="F669" s="294" t="s">
        <v>5275</v>
      </c>
      <c r="G669" s="227" t="s">
        <v>5279</v>
      </c>
      <c r="H669" s="294" t="s">
        <v>21</v>
      </c>
      <c r="I669" s="227" t="s">
        <v>5279</v>
      </c>
      <c r="J669" s="294" t="s">
        <v>22</v>
      </c>
      <c r="K669" s="227" t="s">
        <v>5279</v>
      </c>
      <c r="L669" s="152"/>
      <c r="M669" s="196"/>
      <c r="N669" s="196"/>
      <c r="O669" s="155"/>
      <c r="P669" s="284"/>
      <c r="Q669" s="284"/>
      <c r="R669" s="284"/>
      <c r="S669" s="284"/>
      <c r="T669" s="284"/>
      <c r="U669" s="284"/>
      <c r="V669" s="284"/>
      <c r="W669" s="284"/>
      <c r="X669" s="284"/>
      <c r="Y669" s="284"/>
      <c r="Z669" s="284"/>
    </row>
    <row r="670" ht="22.5" customHeight="1">
      <c r="A670" s="285" t="s">
        <v>6278</v>
      </c>
      <c r="B670" s="159" t="s">
        <v>6279</v>
      </c>
      <c r="C670" s="349" t="s">
        <v>40</v>
      </c>
      <c r="D670" s="358" t="s">
        <v>5274</v>
      </c>
      <c r="E670" s="297" t="s">
        <v>31</v>
      </c>
      <c r="F670" s="289" t="s">
        <v>5275</v>
      </c>
      <c r="G670" s="288" t="s">
        <v>19</v>
      </c>
      <c r="H670" s="289" t="s">
        <v>21</v>
      </c>
      <c r="I670" s="204" t="s">
        <v>5279</v>
      </c>
      <c r="J670" s="289" t="s">
        <v>22</v>
      </c>
      <c r="K670" s="204" t="s">
        <v>5279</v>
      </c>
      <c r="L670" s="144"/>
      <c r="M670" s="197"/>
      <c r="N670" s="197"/>
      <c r="O670" s="147"/>
      <c r="P670" s="284"/>
      <c r="Q670" s="284"/>
      <c r="R670" s="284"/>
      <c r="S670" s="284"/>
      <c r="T670" s="284"/>
      <c r="U670" s="284"/>
      <c r="V670" s="284"/>
      <c r="W670" s="284"/>
      <c r="X670" s="284"/>
      <c r="Y670" s="284"/>
      <c r="Z670" s="284"/>
    </row>
    <row r="671" ht="22.5" customHeight="1">
      <c r="A671" s="299" t="s">
        <v>6280</v>
      </c>
      <c r="B671" s="313" t="s">
        <v>6281</v>
      </c>
      <c r="C671" s="450" t="s">
        <v>40</v>
      </c>
      <c r="D671" s="293" t="s">
        <v>5274</v>
      </c>
      <c r="E671" s="311" t="s">
        <v>31</v>
      </c>
      <c r="F671" s="294" t="s">
        <v>5275</v>
      </c>
      <c r="G671" s="227" t="s">
        <v>5279</v>
      </c>
      <c r="H671" s="294" t="s">
        <v>21</v>
      </c>
      <c r="I671" s="227" t="s">
        <v>5279</v>
      </c>
      <c r="J671" s="294" t="s">
        <v>22</v>
      </c>
      <c r="K671" s="227" t="s">
        <v>5279</v>
      </c>
      <c r="L671" s="152"/>
      <c r="M671" s="196"/>
      <c r="N671" s="196"/>
      <c r="O671" s="155"/>
      <c r="P671" s="284"/>
      <c r="Q671" s="284"/>
      <c r="R671" s="284"/>
      <c r="S671" s="284"/>
      <c r="T671" s="284"/>
      <c r="U671" s="284"/>
      <c r="V671" s="284"/>
      <c r="W671" s="284"/>
      <c r="X671" s="284"/>
      <c r="Y671" s="284"/>
      <c r="Z671" s="284"/>
    </row>
    <row r="672" ht="22.5" customHeight="1">
      <c r="A672" s="379" t="s">
        <v>637</v>
      </c>
      <c r="B672" s="420" t="s">
        <v>6282</v>
      </c>
      <c r="C672" s="458" t="s">
        <v>6132</v>
      </c>
      <c r="D672" s="358" t="s">
        <v>5274</v>
      </c>
      <c r="E672" s="383" t="s">
        <v>19</v>
      </c>
      <c r="F672" s="289" t="s">
        <v>5275</v>
      </c>
      <c r="G672" s="384" t="s">
        <v>5279</v>
      </c>
      <c r="H672" s="289" t="s">
        <v>21</v>
      </c>
      <c r="I672" s="384" t="s">
        <v>5279</v>
      </c>
      <c r="J672" s="289" t="s">
        <v>22</v>
      </c>
      <c r="K672" s="384" t="s">
        <v>5279</v>
      </c>
      <c r="L672" s="144"/>
      <c r="M672" s="197"/>
      <c r="N672" s="197"/>
      <c r="O672" s="147"/>
      <c r="P672" s="284"/>
      <c r="Q672" s="284"/>
      <c r="R672" s="284"/>
      <c r="S672" s="284"/>
      <c r="T672" s="284"/>
      <c r="U672" s="284"/>
      <c r="V672" s="284"/>
      <c r="W672" s="284"/>
      <c r="X672" s="284"/>
      <c r="Y672" s="284"/>
      <c r="Z672" s="284"/>
    </row>
    <row r="673" ht="22.5" customHeight="1">
      <c r="A673" s="299" t="s">
        <v>6283</v>
      </c>
      <c r="B673" s="313" t="s">
        <v>6284</v>
      </c>
      <c r="C673" s="450" t="s">
        <v>40</v>
      </c>
      <c r="D673" s="293" t="s">
        <v>5274</v>
      </c>
      <c r="E673" s="311" t="s">
        <v>31</v>
      </c>
      <c r="F673" s="294" t="s">
        <v>5275</v>
      </c>
      <c r="G673" s="227" t="s">
        <v>5279</v>
      </c>
      <c r="H673" s="294" t="s">
        <v>21</v>
      </c>
      <c r="I673" s="227" t="s">
        <v>5279</v>
      </c>
      <c r="J673" s="294" t="s">
        <v>22</v>
      </c>
      <c r="K673" s="227" t="s">
        <v>5279</v>
      </c>
      <c r="L673" s="152"/>
      <c r="M673" s="196"/>
      <c r="N673" s="196"/>
      <c r="O673" s="155"/>
      <c r="P673" s="284"/>
      <c r="Q673" s="284"/>
      <c r="R673" s="284"/>
      <c r="S673" s="284"/>
      <c r="T673" s="284"/>
      <c r="U673" s="284"/>
      <c r="V673" s="284"/>
      <c r="W673" s="284"/>
      <c r="X673" s="284"/>
      <c r="Y673" s="284"/>
      <c r="Z673" s="284"/>
    </row>
    <row r="674" ht="22.5" customHeight="1">
      <c r="A674" s="285" t="s">
        <v>6285</v>
      </c>
      <c r="B674" s="159" t="s">
        <v>6286</v>
      </c>
      <c r="C674" s="216" t="s">
        <v>40</v>
      </c>
      <c r="D674" s="358" t="s">
        <v>5274</v>
      </c>
      <c r="E674" s="297" t="s">
        <v>31</v>
      </c>
      <c r="F674" s="289" t="s">
        <v>5275</v>
      </c>
      <c r="G674" s="288" t="s">
        <v>19</v>
      </c>
      <c r="H674" s="289" t="s">
        <v>21</v>
      </c>
      <c r="I674" s="288" t="s">
        <v>19</v>
      </c>
      <c r="J674" s="289" t="s">
        <v>22</v>
      </c>
      <c r="K674" s="290" t="s">
        <v>19</v>
      </c>
      <c r="L674" s="144"/>
      <c r="M674" s="197"/>
      <c r="N674" s="197"/>
      <c r="O674" s="147"/>
      <c r="P674" s="284"/>
      <c r="Q674" s="284"/>
      <c r="R674" s="284"/>
      <c r="S674" s="284"/>
      <c r="T674" s="284"/>
      <c r="U674" s="284"/>
      <c r="V674" s="284"/>
      <c r="W674" s="284"/>
      <c r="X674" s="284"/>
      <c r="Y674" s="284"/>
      <c r="Z674" s="284"/>
    </row>
    <row r="675" ht="22.5" customHeight="1">
      <c r="A675" s="299" t="s">
        <v>637</v>
      </c>
      <c r="B675" s="313" t="s">
        <v>6287</v>
      </c>
      <c r="C675" s="441" t="s">
        <v>6132</v>
      </c>
      <c r="D675" s="293" t="s">
        <v>5274</v>
      </c>
      <c r="E675" s="363" t="s">
        <v>19</v>
      </c>
      <c r="F675" s="294" t="s">
        <v>5275</v>
      </c>
      <c r="G675" s="227" t="s">
        <v>5279</v>
      </c>
      <c r="H675" s="294" t="s">
        <v>21</v>
      </c>
      <c r="I675" s="227" t="s">
        <v>5279</v>
      </c>
      <c r="J675" s="294" t="s">
        <v>22</v>
      </c>
      <c r="K675" s="227" t="s">
        <v>5279</v>
      </c>
      <c r="L675" s="152"/>
      <c r="M675" s="196"/>
      <c r="N675" s="196"/>
      <c r="O675" s="155"/>
      <c r="P675" s="284"/>
      <c r="Q675" s="284"/>
      <c r="R675" s="284"/>
      <c r="S675" s="284"/>
      <c r="T675" s="284"/>
      <c r="U675" s="284"/>
      <c r="V675" s="284"/>
      <c r="W675" s="284"/>
      <c r="X675" s="284"/>
      <c r="Y675" s="284"/>
      <c r="Z675" s="284"/>
    </row>
    <row r="676" ht="22.5" customHeight="1">
      <c r="A676" s="379" t="s">
        <v>637</v>
      </c>
      <c r="B676" s="420" t="s">
        <v>6288</v>
      </c>
      <c r="C676" s="458" t="s">
        <v>6132</v>
      </c>
      <c r="D676" s="358" t="s">
        <v>5274</v>
      </c>
      <c r="E676" s="383" t="s">
        <v>19</v>
      </c>
      <c r="F676" s="289" t="s">
        <v>5275</v>
      </c>
      <c r="G676" s="384" t="s">
        <v>5279</v>
      </c>
      <c r="H676" s="289" t="s">
        <v>21</v>
      </c>
      <c r="I676" s="384" t="s">
        <v>5279</v>
      </c>
      <c r="J676" s="289" t="s">
        <v>22</v>
      </c>
      <c r="K676" s="384" t="s">
        <v>5279</v>
      </c>
      <c r="L676" s="144"/>
      <c r="M676" s="197"/>
      <c r="N676" s="197"/>
      <c r="O676" s="147"/>
      <c r="P676" s="284"/>
      <c r="Q676" s="284"/>
      <c r="R676" s="284"/>
      <c r="S676" s="284"/>
      <c r="T676" s="284"/>
      <c r="U676" s="284"/>
      <c r="V676" s="284"/>
      <c r="W676" s="284"/>
      <c r="X676" s="284"/>
      <c r="Y676" s="284"/>
      <c r="Z676" s="284"/>
    </row>
    <row r="677" ht="22.5" customHeight="1">
      <c r="A677" s="299" t="s">
        <v>6289</v>
      </c>
      <c r="B677" s="313" t="s">
        <v>6290</v>
      </c>
      <c r="C677" s="462" t="s">
        <v>6132</v>
      </c>
      <c r="D677" s="293" t="s">
        <v>5274</v>
      </c>
      <c r="E677" s="363" t="s">
        <v>19</v>
      </c>
      <c r="F677" s="294" t="s">
        <v>5275</v>
      </c>
      <c r="G677" s="227" t="s">
        <v>5279</v>
      </c>
      <c r="H677" s="294" t="s">
        <v>21</v>
      </c>
      <c r="I677" s="363" t="s">
        <v>19</v>
      </c>
      <c r="J677" s="294" t="s">
        <v>22</v>
      </c>
      <c r="K677" s="396" t="s">
        <v>19</v>
      </c>
      <c r="L677" s="152"/>
      <c r="M677" s="196"/>
      <c r="N677" s="196"/>
      <c r="O677" s="155"/>
      <c r="P677" s="284"/>
      <c r="Q677" s="284"/>
      <c r="R677" s="284"/>
      <c r="S677" s="284"/>
      <c r="T677" s="284"/>
      <c r="U677" s="284"/>
      <c r="V677" s="284"/>
      <c r="W677" s="284"/>
      <c r="X677" s="284"/>
      <c r="Y677" s="284"/>
      <c r="Z677" s="284"/>
    </row>
    <row r="678" ht="22.5" customHeight="1">
      <c r="A678" s="379" t="s">
        <v>6291</v>
      </c>
      <c r="B678" s="420" t="s">
        <v>6292</v>
      </c>
      <c r="C678" s="428" t="s">
        <v>49</v>
      </c>
      <c r="D678" s="358" t="s">
        <v>5274</v>
      </c>
      <c r="E678" s="382" t="s">
        <v>31</v>
      </c>
      <c r="F678" s="289" t="s">
        <v>5275</v>
      </c>
      <c r="G678" s="383" t="s">
        <v>19</v>
      </c>
      <c r="H678" s="289" t="s">
        <v>21</v>
      </c>
      <c r="I678" s="382" t="s">
        <v>31</v>
      </c>
      <c r="J678" s="289" t="s">
        <v>22</v>
      </c>
      <c r="K678" s="384" t="s">
        <v>5279</v>
      </c>
      <c r="L678" s="144"/>
      <c r="M678" s="197"/>
      <c r="N678" s="197"/>
      <c r="O678" s="147"/>
      <c r="P678" s="284"/>
      <c r="Q678" s="284"/>
      <c r="R678" s="284"/>
      <c r="S678" s="284"/>
      <c r="T678" s="284"/>
      <c r="U678" s="284"/>
      <c r="V678" s="284"/>
      <c r="W678" s="284"/>
      <c r="X678" s="284"/>
      <c r="Y678" s="284"/>
      <c r="Z678" s="284"/>
    </row>
    <row r="679" ht="22.5" customHeight="1">
      <c r="A679" s="299" t="s">
        <v>637</v>
      </c>
      <c r="B679" s="313" t="s">
        <v>6293</v>
      </c>
      <c r="C679" s="335" t="s">
        <v>5416</v>
      </c>
      <c r="D679" s="293" t="s">
        <v>5274</v>
      </c>
      <c r="E679" s="227" t="s">
        <v>640</v>
      </c>
      <c r="F679" s="294" t="s">
        <v>5275</v>
      </c>
      <c r="G679" s="227" t="s">
        <v>5279</v>
      </c>
      <c r="H679" s="294" t="s">
        <v>21</v>
      </c>
      <c r="I679" s="227" t="s">
        <v>5279</v>
      </c>
      <c r="J679" s="294" t="s">
        <v>22</v>
      </c>
      <c r="K679" s="312" t="s">
        <v>5279</v>
      </c>
      <c r="L679" s="152"/>
      <c r="M679" s="196"/>
      <c r="N679" s="196"/>
      <c r="O679" s="155"/>
      <c r="P679" s="284"/>
      <c r="Q679" s="284"/>
      <c r="R679" s="284"/>
      <c r="S679" s="284"/>
      <c r="T679" s="284"/>
      <c r="U679" s="284"/>
      <c r="V679" s="284"/>
      <c r="W679" s="284"/>
      <c r="X679" s="284"/>
      <c r="Y679" s="284"/>
      <c r="Z679" s="284"/>
    </row>
    <row r="680" ht="22.5" customHeight="1">
      <c r="A680" s="285" t="s">
        <v>6294</v>
      </c>
      <c r="B680" s="159" t="s">
        <v>6295</v>
      </c>
      <c r="C680" s="319" t="s">
        <v>40</v>
      </c>
      <c r="D680" s="287" t="s">
        <v>5274</v>
      </c>
      <c r="E680" s="297" t="s">
        <v>31</v>
      </c>
      <c r="F680" s="289" t="s">
        <v>5275</v>
      </c>
      <c r="G680" s="204" t="s">
        <v>5279</v>
      </c>
      <c r="H680" s="289" t="s">
        <v>21</v>
      </c>
      <c r="I680" s="288" t="s">
        <v>19</v>
      </c>
      <c r="J680" s="289" t="s">
        <v>22</v>
      </c>
      <c r="K680" s="298" t="s">
        <v>5279</v>
      </c>
      <c r="L680" s="144"/>
      <c r="M680" s="197"/>
      <c r="N680" s="197"/>
      <c r="O680" s="147"/>
      <c r="P680" s="284"/>
      <c r="Q680" s="284"/>
      <c r="R680" s="284"/>
      <c r="S680" s="284"/>
      <c r="T680" s="284"/>
      <c r="U680" s="284"/>
      <c r="V680" s="284"/>
      <c r="W680" s="284"/>
      <c r="X680" s="284"/>
      <c r="Y680" s="284"/>
      <c r="Z680" s="284"/>
    </row>
    <row r="681" ht="22.5" customHeight="1">
      <c r="A681" s="299" t="s">
        <v>637</v>
      </c>
      <c r="B681" s="313" t="s">
        <v>6296</v>
      </c>
      <c r="C681" s="462" t="s">
        <v>6132</v>
      </c>
      <c r="D681" s="293" t="s">
        <v>5274</v>
      </c>
      <c r="E681" s="363" t="s">
        <v>19</v>
      </c>
      <c r="F681" s="294" t="s">
        <v>5275</v>
      </c>
      <c r="G681" s="227" t="s">
        <v>5279</v>
      </c>
      <c r="H681" s="294" t="s">
        <v>21</v>
      </c>
      <c r="I681" s="363" t="s">
        <v>19</v>
      </c>
      <c r="J681" s="294" t="s">
        <v>22</v>
      </c>
      <c r="K681" s="396" t="s">
        <v>19</v>
      </c>
      <c r="L681" s="152"/>
      <c r="M681" s="196"/>
      <c r="N681" s="196"/>
      <c r="O681" s="155"/>
      <c r="P681" s="284"/>
      <c r="Q681" s="284"/>
      <c r="R681" s="284"/>
      <c r="S681" s="284"/>
      <c r="T681" s="284"/>
      <c r="U681" s="284"/>
      <c r="V681" s="284"/>
      <c r="W681" s="284"/>
      <c r="X681" s="284"/>
      <c r="Y681" s="284"/>
      <c r="Z681" s="284"/>
    </row>
    <row r="682" ht="22.5" customHeight="1">
      <c r="A682" s="285" t="s">
        <v>637</v>
      </c>
      <c r="B682" s="159" t="s">
        <v>6297</v>
      </c>
      <c r="C682" s="440" t="s">
        <v>6132</v>
      </c>
      <c r="D682" s="358" t="s">
        <v>5274</v>
      </c>
      <c r="E682" s="288" t="s">
        <v>19</v>
      </c>
      <c r="F682" s="289" t="s">
        <v>5275</v>
      </c>
      <c r="G682" s="204" t="s">
        <v>5279</v>
      </c>
      <c r="H682" s="289" t="s">
        <v>21</v>
      </c>
      <c r="I682" s="204" t="s">
        <v>5279</v>
      </c>
      <c r="J682" s="289" t="s">
        <v>22</v>
      </c>
      <c r="K682" s="290" t="s">
        <v>19</v>
      </c>
      <c r="L682" s="144"/>
      <c r="M682" s="197"/>
      <c r="N682" s="197"/>
      <c r="O682" s="147"/>
      <c r="P682" s="284"/>
      <c r="Q682" s="284"/>
      <c r="R682" s="284"/>
      <c r="S682" s="284"/>
      <c r="T682" s="284"/>
      <c r="U682" s="284"/>
      <c r="V682" s="284"/>
      <c r="W682" s="284"/>
      <c r="X682" s="284"/>
      <c r="Y682" s="284"/>
      <c r="Z682" s="284"/>
    </row>
    <row r="683" ht="22.5" customHeight="1">
      <c r="A683" s="299" t="s">
        <v>637</v>
      </c>
      <c r="B683" s="313" t="s">
        <v>6298</v>
      </c>
      <c r="C683" s="314" t="s">
        <v>49</v>
      </c>
      <c r="D683" s="293" t="s">
        <v>5274</v>
      </c>
      <c r="E683" s="227" t="s">
        <v>640</v>
      </c>
      <c r="F683" s="294" t="s">
        <v>5275</v>
      </c>
      <c r="G683" s="311" t="s">
        <v>31</v>
      </c>
      <c r="H683" s="294" t="s">
        <v>21</v>
      </c>
      <c r="I683" s="311" t="s">
        <v>31</v>
      </c>
      <c r="J683" s="294" t="s">
        <v>22</v>
      </c>
      <c r="K683" s="396" t="s">
        <v>19</v>
      </c>
      <c r="L683" s="152"/>
      <c r="M683" s="196"/>
      <c r="N683" s="196"/>
      <c r="O683" s="155"/>
      <c r="P683" s="284"/>
      <c r="Q683" s="284"/>
      <c r="R683" s="284"/>
      <c r="S683" s="284"/>
      <c r="T683" s="284"/>
      <c r="U683" s="284"/>
      <c r="V683" s="284"/>
      <c r="W683" s="284"/>
      <c r="X683" s="284"/>
      <c r="Y683" s="284"/>
      <c r="Z683" s="284"/>
    </row>
    <row r="684" ht="22.5" customHeight="1">
      <c r="A684" s="379" t="s">
        <v>637</v>
      </c>
      <c r="B684" s="420" t="s">
        <v>6299</v>
      </c>
      <c r="C684" s="440" t="s">
        <v>6132</v>
      </c>
      <c r="D684" s="358" t="s">
        <v>5274</v>
      </c>
      <c r="E684" s="383" t="s">
        <v>19</v>
      </c>
      <c r="F684" s="289" t="s">
        <v>5275</v>
      </c>
      <c r="G684" s="384" t="s">
        <v>5279</v>
      </c>
      <c r="H684" s="289" t="s">
        <v>21</v>
      </c>
      <c r="I684" s="384" t="s">
        <v>5279</v>
      </c>
      <c r="J684" s="289" t="s">
        <v>22</v>
      </c>
      <c r="K684" s="395" t="s">
        <v>19</v>
      </c>
      <c r="L684" s="144"/>
      <c r="M684" s="197"/>
      <c r="N684" s="197"/>
      <c r="O684" s="147"/>
      <c r="P684" s="284"/>
      <c r="Q684" s="284"/>
      <c r="R684" s="284"/>
      <c r="S684" s="284"/>
      <c r="T684" s="284"/>
      <c r="U684" s="284"/>
      <c r="V684" s="284"/>
      <c r="W684" s="284"/>
      <c r="X684" s="284"/>
      <c r="Y684" s="284"/>
      <c r="Z684" s="284"/>
    </row>
    <row r="685" ht="22.5" customHeight="1">
      <c r="A685" s="299" t="s">
        <v>6300</v>
      </c>
      <c r="B685" s="313" t="s">
        <v>6301</v>
      </c>
      <c r="C685" s="314" t="s">
        <v>49</v>
      </c>
      <c r="D685" s="293" t="s">
        <v>5274</v>
      </c>
      <c r="E685" s="363" t="s">
        <v>19</v>
      </c>
      <c r="F685" s="294" t="s">
        <v>5275</v>
      </c>
      <c r="G685" s="363" t="s">
        <v>19</v>
      </c>
      <c r="H685" s="294" t="s">
        <v>21</v>
      </c>
      <c r="I685" s="311" t="s">
        <v>31</v>
      </c>
      <c r="J685" s="294" t="s">
        <v>22</v>
      </c>
      <c r="K685" s="396" t="s">
        <v>19</v>
      </c>
      <c r="L685" s="152"/>
      <c r="M685" s="196"/>
      <c r="N685" s="196"/>
      <c r="O685" s="155"/>
      <c r="P685" s="284"/>
      <c r="Q685" s="284"/>
      <c r="R685" s="284"/>
      <c r="S685" s="284"/>
      <c r="T685" s="284"/>
      <c r="U685" s="284"/>
      <c r="V685" s="284"/>
      <c r="W685" s="284"/>
      <c r="X685" s="284"/>
      <c r="Y685" s="284"/>
      <c r="Z685" s="284"/>
    </row>
    <row r="686" ht="22.5" customHeight="1">
      <c r="A686" s="463" t="s">
        <v>6302</v>
      </c>
      <c r="B686" s="420" t="s">
        <v>6303</v>
      </c>
      <c r="C686" s="440" t="s">
        <v>6132</v>
      </c>
      <c r="D686" s="358" t="s">
        <v>5274</v>
      </c>
      <c r="E686" s="383" t="s">
        <v>19</v>
      </c>
      <c r="F686" s="289" t="s">
        <v>5275</v>
      </c>
      <c r="G686" s="384" t="s">
        <v>5279</v>
      </c>
      <c r="H686" s="289" t="s">
        <v>21</v>
      </c>
      <c r="I686" s="384" t="s">
        <v>5279</v>
      </c>
      <c r="J686" s="289" t="s">
        <v>22</v>
      </c>
      <c r="K686" s="395" t="s">
        <v>19</v>
      </c>
      <c r="L686" s="144"/>
      <c r="M686" s="197"/>
      <c r="N686" s="197"/>
      <c r="O686" s="147"/>
      <c r="P686" s="284"/>
      <c r="Q686" s="284"/>
      <c r="R686" s="284"/>
      <c r="S686" s="284"/>
      <c r="T686" s="284"/>
      <c r="U686" s="284"/>
      <c r="V686" s="284"/>
      <c r="W686" s="284"/>
      <c r="X686" s="284"/>
      <c r="Y686" s="284"/>
      <c r="Z686" s="284"/>
    </row>
    <row r="687" ht="22.5" customHeight="1">
      <c r="A687" s="299" t="s">
        <v>637</v>
      </c>
      <c r="B687" s="313" t="s">
        <v>6304</v>
      </c>
      <c r="C687" s="462" t="s">
        <v>6132</v>
      </c>
      <c r="D687" s="293" t="s">
        <v>5274</v>
      </c>
      <c r="E687" s="363" t="s">
        <v>19</v>
      </c>
      <c r="F687" s="294" t="s">
        <v>5275</v>
      </c>
      <c r="G687" s="363" t="s">
        <v>19</v>
      </c>
      <c r="H687" s="294" t="s">
        <v>21</v>
      </c>
      <c r="I687" s="227" t="s">
        <v>5279</v>
      </c>
      <c r="J687" s="294" t="s">
        <v>22</v>
      </c>
      <c r="K687" s="396" t="s">
        <v>19</v>
      </c>
      <c r="L687" s="152"/>
      <c r="M687" s="196"/>
      <c r="N687" s="196"/>
      <c r="O687" s="155"/>
      <c r="P687" s="284"/>
      <c r="Q687" s="284"/>
      <c r="R687" s="284"/>
      <c r="S687" s="284"/>
      <c r="T687" s="284"/>
      <c r="U687" s="284"/>
      <c r="V687" s="284"/>
      <c r="W687" s="284"/>
      <c r="X687" s="284"/>
      <c r="Y687" s="284"/>
      <c r="Z687" s="284"/>
    </row>
    <row r="688" ht="22.5" customHeight="1">
      <c r="A688" s="285" t="s">
        <v>637</v>
      </c>
      <c r="B688" s="159" t="s">
        <v>6305</v>
      </c>
      <c r="C688" s="317" t="s">
        <v>49</v>
      </c>
      <c r="D688" s="358" t="s">
        <v>5274</v>
      </c>
      <c r="E688" s="288" t="s">
        <v>19</v>
      </c>
      <c r="F688" s="289" t="s">
        <v>5275</v>
      </c>
      <c r="G688" s="297" t="s">
        <v>31</v>
      </c>
      <c r="H688" s="289" t="s">
        <v>21</v>
      </c>
      <c r="I688" s="297" t="s">
        <v>31</v>
      </c>
      <c r="J688" s="289" t="s">
        <v>22</v>
      </c>
      <c r="K688" s="290" t="s">
        <v>19</v>
      </c>
      <c r="L688" s="144"/>
      <c r="M688" s="197"/>
      <c r="N688" s="197"/>
      <c r="O688" s="147"/>
      <c r="P688" s="284"/>
      <c r="Q688" s="284"/>
      <c r="R688" s="284"/>
      <c r="S688" s="284"/>
      <c r="T688" s="284"/>
      <c r="U688" s="284"/>
      <c r="V688" s="284"/>
      <c r="W688" s="284"/>
      <c r="X688" s="284"/>
      <c r="Y688" s="284"/>
      <c r="Z688" s="284"/>
    </row>
    <row r="689" ht="22.5" customHeight="1">
      <c r="A689" s="299" t="s">
        <v>637</v>
      </c>
      <c r="B689" s="313" t="s">
        <v>6306</v>
      </c>
      <c r="C689" s="462" t="s">
        <v>6132</v>
      </c>
      <c r="D689" s="293" t="s">
        <v>5274</v>
      </c>
      <c r="E689" s="363" t="s">
        <v>19</v>
      </c>
      <c r="F689" s="294" t="s">
        <v>5275</v>
      </c>
      <c r="G689" s="363" t="s">
        <v>19</v>
      </c>
      <c r="H689" s="294" t="s">
        <v>21</v>
      </c>
      <c r="I689" s="227" t="s">
        <v>5279</v>
      </c>
      <c r="J689" s="294" t="s">
        <v>22</v>
      </c>
      <c r="K689" s="312" t="s">
        <v>5279</v>
      </c>
      <c r="L689" s="152"/>
      <c r="M689" s="196"/>
      <c r="N689" s="196"/>
      <c r="O689" s="155"/>
      <c r="P689" s="284"/>
      <c r="Q689" s="284"/>
      <c r="R689" s="284"/>
      <c r="S689" s="284"/>
      <c r="T689" s="284"/>
      <c r="U689" s="284"/>
      <c r="V689" s="284"/>
      <c r="W689" s="284"/>
      <c r="X689" s="284"/>
      <c r="Y689" s="284"/>
      <c r="Z689" s="284"/>
    </row>
    <row r="690" ht="22.5" customHeight="1">
      <c r="A690" s="285" t="s">
        <v>637</v>
      </c>
      <c r="B690" s="159" t="s">
        <v>6307</v>
      </c>
      <c r="C690" s="319" t="s">
        <v>40</v>
      </c>
      <c r="D690" s="358" t="s">
        <v>5274</v>
      </c>
      <c r="E690" s="288" t="s">
        <v>19</v>
      </c>
      <c r="F690" s="289" t="s">
        <v>5275</v>
      </c>
      <c r="G690" s="297" t="s">
        <v>31</v>
      </c>
      <c r="H690" s="289" t="s">
        <v>21</v>
      </c>
      <c r="I690" s="288" t="s">
        <v>19</v>
      </c>
      <c r="J690" s="289" t="s">
        <v>22</v>
      </c>
      <c r="K690" s="297" t="s">
        <v>31</v>
      </c>
      <c r="L690" s="144"/>
      <c r="M690" s="197"/>
      <c r="N690" s="197"/>
      <c r="O690" s="147"/>
      <c r="P690" s="284"/>
      <c r="Q690" s="284"/>
      <c r="R690" s="284"/>
      <c r="S690" s="284"/>
      <c r="T690" s="284"/>
      <c r="U690" s="284"/>
      <c r="V690" s="284"/>
      <c r="W690" s="284"/>
      <c r="X690" s="284"/>
      <c r="Y690" s="284"/>
      <c r="Z690" s="284"/>
    </row>
    <row r="691" ht="22.5" customHeight="1">
      <c r="A691" s="299" t="s">
        <v>637</v>
      </c>
      <c r="B691" s="313" t="s">
        <v>6308</v>
      </c>
      <c r="C691" s="314" t="s">
        <v>49</v>
      </c>
      <c r="D691" s="293" t="s">
        <v>5274</v>
      </c>
      <c r="E691" s="227" t="s">
        <v>640</v>
      </c>
      <c r="F691" s="294" t="s">
        <v>5275</v>
      </c>
      <c r="G691" s="311" t="s">
        <v>31</v>
      </c>
      <c r="H691" s="294" t="s">
        <v>21</v>
      </c>
      <c r="I691" s="363" t="s">
        <v>19</v>
      </c>
      <c r="J691" s="294" t="s">
        <v>22</v>
      </c>
      <c r="K691" s="403" t="s">
        <v>31</v>
      </c>
      <c r="L691" s="152"/>
      <c r="M691" s="196"/>
      <c r="N691" s="196"/>
      <c r="O691" s="155"/>
      <c r="P691" s="284"/>
      <c r="Q691" s="284"/>
      <c r="R691" s="284"/>
      <c r="S691" s="284"/>
      <c r="T691" s="284"/>
      <c r="U691" s="284"/>
      <c r="V691" s="284"/>
      <c r="W691" s="284"/>
      <c r="X691" s="284"/>
      <c r="Y691" s="284"/>
      <c r="Z691" s="284"/>
    </row>
    <row r="692" ht="22.5" customHeight="1">
      <c r="A692" s="285" t="s">
        <v>6309</v>
      </c>
      <c r="B692" s="159" t="s">
        <v>6310</v>
      </c>
      <c r="C692" s="349" t="s">
        <v>40</v>
      </c>
      <c r="D692" s="358" t="s">
        <v>5274</v>
      </c>
      <c r="E692" s="297" t="s">
        <v>31</v>
      </c>
      <c r="F692" s="289" t="s">
        <v>5275</v>
      </c>
      <c r="G692" s="288" t="s">
        <v>19</v>
      </c>
      <c r="H692" s="289" t="s">
        <v>21</v>
      </c>
      <c r="I692" s="204" t="s">
        <v>5279</v>
      </c>
      <c r="J692" s="289" t="s">
        <v>22</v>
      </c>
      <c r="K692" s="204" t="s">
        <v>5279</v>
      </c>
      <c r="L692" s="144"/>
      <c r="M692" s="197"/>
      <c r="N692" s="197"/>
      <c r="O692" s="147"/>
      <c r="P692" s="284"/>
      <c r="Q692" s="284"/>
      <c r="R692" s="284"/>
      <c r="S692" s="284"/>
      <c r="T692" s="284"/>
      <c r="U692" s="284"/>
      <c r="V692" s="284"/>
      <c r="W692" s="284"/>
      <c r="X692" s="284"/>
      <c r="Y692" s="284"/>
      <c r="Z692" s="284"/>
    </row>
    <row r="693" ht="22.5" customHeight="1">
      <c r="A693" s="299" t="s">
        <v>637</v>
      </c>
      <c r="B693" s="313" t="s">
        <v>6311</v>
      </c>
      <c r="C693" s="462" t="s">
        <v>6132</v>
      </c>
      <c r="D693" s="293" t="s">
        <v>5274</v>
      </c>
      <c r="E693" s="363" t="s">
        <v>19</v>
      </c>
      <c r="F693" s="294" t="s">
        <v>5275</v>
      </c>
      <c r="G693" s="363" t="s">
        <v>19</v>
      </c>
      <c r="H693" s="294" t="s">
        <v>21</v>
      </c>
      <c r="I693" s="363" t="s">
        <v>19</v>
      </c>
      <c r="J693" s="294" t="s">
        <v>22</v>
      </c>
      <c r="K693" s="403" t="s">
        <v>31</v>
      </c>
      <c r="L693" s="152"/>
      <c r="M693" s="196"/>
      <c r="N693" s="196"/>
      <c r="O693" s="155"/>
      <c r="P693" s="284"/>
      <c r="Q693" s="284"/>
      <c r="R693" s="284"/>
      <c r="S693" s="284"/>
      <c r="T693" s="284"/>
      <c r="U693" s="284"/>
      <c r="V693" s="284"/>
      <c r="W693" s="284"/>
      <c r="X693" s="284"/>
      <c r="Y693" s="284"/>
      <c r="Z693" s="284"/>
    </row>
    <row r="694" ht="22.5" customHeight="1">
      <c r="A694" s="285" t="s">
        <v>637</v>
      </c>
      <c r="B694" s="159" t="s">
        <v>6312</v>
      </c>
      <c r="C694" s="319" t="s">
        <v>40</v>
      </c>
      <c r="D694" s="358" t="s">
        <v>5274</v>
      </c>
      <c r="E694" s="297" t="s">
        <v>31</v>
      </c>
      <c r="F694" s="289" t="s">
        <v>5275</v>
      </c>
      <c r="G694" s="288" t="s">
        <v>19</v>
      </c>
      <c r="H694" s="289" t="s">
        <v>21</v>
      </c>
      <c r="I694" s="297" t="s">
        <v>31</v>
      </c>
      <c r="J694" s="289" t="s">
        <v>22</v>
      </c>
      <c r="K694" s="290" t="s">
        <v>19</v>
      </c>
      <c r="L694" s="144"/>
      <c r="M694" s="197"/>
      <c r="N694" s="197"/>
      <c r="O694" s="147"/>
      <c r="P694" s="284"/>
      <c r="Q694" s="284"/>
      <c r="R694" s="284"/>
      <c r="S694" s="284"/>
      <c r="T694" s="284"/>
      <c r="U694" s="284"/>
      <c r="V694" s="284"/>
      <c r="W694" s="284"/>
      <c r="X694" s="284"/>
      <c r="Y694" s="284"/>
      <c r="Z694" s="284"/>
    </row>
    <row r="695" ht="22.5" customHeight="1">
      <c r="A695" s="299" t="s">
        <v>6313</v>
      </c>
      <c r="B695" s="313" t="s">
        <v>6314</v>
      </c>
      <c r="C695" s="450" t="s">
        <v>40</v>
      </c>
      <c r="D695" s="293" t="s">
        <v>5274</v>
      </c>
      <c r="E695" s="227" t="s">
        <v>640</v>
      </c>
      <c r="F695" s="294" t="s">
        <v>5275</v>
      </c>
      <c r="G695" s="311" t="s">
        <v>31</v>
      </c>
      <c r="H695" s="294" t="s">
        <v>21</v>
      </c>
      <c r="I695" s="227" t="s">
        <v>5279</v>
      </c>
      <c r="J695" s="294" t="s">
        <v>22</v>
      </c>
      <c r="K695" s="227" t="s">
        <v>5279</v>
      </c>
      <c r="L695" s="152"/>
      <c r="M695" s="196"/>
      <c r="N695" s="196"/>
      <c r="O695" s="155"/>
      <c r="P695" s="284"/>
      <c r="Q695" s="284"/>
      <c r="R695" s="284"/>
      <c r="S695" s="284"/>
      <c r="T695" s="284"/>
      <c r="U695" s="284"/>
      <c r="V695" s="284"/>
      <c r="W695" s="284"/>
      <c r="X695" s="284"/>
      <c r="Y695" s="284"/>
      <c r="Z695" s="284"/>
    </row>
    <row r="696" ht="22.5" customHeight="1">
      <c r="A696" s="285" t="s">
        <v>637</v>
      </c>
      <c r="B696" s="329" t="s">
        <v>6315</v>
      </c>
      <c r="C696" s="464" t="s">
        <v>5416</v>
      </c>
      <c r="D696" s="358" t="s">
        <v>5274</v>
      </c>
      <c r="E696" s="204" t="s">
        <v>640</v>
      </c>
      <c r="F696" s="289" t="s">
        <v>5275</v>
      </c>
      <c r="G696" s="288" t="s">
        <v>19</v>
      </c>
      <c r="H696" s="289" t="s">
        <v>21</v>
      </c>
      <c r="I696" s="297" t="s">
        <v>31</v>
      </c>
      <c r="J696" s="289" t="s">
        <v>22</v>
      </c>
      <c r="K696" s="304" t="s">
        <v>31</v>
      </c>
      <c r="L696" s="144"/>
      <c r="M696" s="197"/>
      <c r="N696" s="197"/>
      <c r="O696" s="147"/>
      <c r="P696" s="284"/>
      <c r="Q696" s="284"/>
      <c r="R696" s="284"/>
      <c r="S696" s="284"/>
      <c r="T696" s="284"/>
      <c r="U696" s="284"/>
      <c r="V696" s="284"/>
      <c r="W696" s="284"/>
      <c r="X696" s="284"/>
      <c r="Y696" s="284"/>
      <c r="Z696" s="284"/>
    </row>
    <row r="697" ht="22.5" customHeight="1">
      <c r="A697" s="327" t="s">
        <v>6316</v>
      </c>
      <c r="B697" s="328" t="s">
        <v>6317</v>
      </c>
      <c r="C697" s="192" t="s">
        <v>49</v>
      </c>
      <c r="D697" s="293" t="s">
        <v>5274</v>
      </c>
      <c r="E697" s="227" t="s">
        <v>640</v>
      </c>
      <c r="F697" s="294" t="s">
        <v>5275</v>
      </c>
      <c r="G697" s="311" t="s">
        <v>31</v>
      </c>
      <c r="H697" s="294" t="s">
        <v>21</v>
      </c>
      <c r="I697" s="311" t="s">
        <v>31</v>
      </c>
      <c r="J697" s="294" t="s">
        <v>22</v>
      </c>
      <c r="K697" s="396" t="s">
        <v>19</v>
      </c>
      <c r="L697" s="152"/>
      <c r="M697" s="196"/>
      <c r="N697" s="196"/>
      <c r="O697" s="155"/>
      <c r="P697" s="284"/>
      <c r="Q697" s="284"/>
      <c r="R697" s="284"/>
      <c r="S697" s="284"/>
      <c r="T697" s="284"/>
      <c r="U697" s="284"/>
      <c r="V697" s="284"/>
      <c r="W697" s="284"/>
      <c r="X697" s="284"/>
      <c r="Y697" s="284"/>
      <c r="Z697" s="284"/>
    </row>
    <row r="698" ht="22.5" customHeight="1">
      <c r="A698" s="430"/>
      <c r="B698" s="465"/>
      <c r="C698" s="342"/>
      <c r="D698" s="418"/>
      <c r="E698" s="402"/>
      <c r="F698" s="197"/>
      <c r="G698" s="402"/>
      <c r="H698" s="197"/>
      <c r="I698" s="402"/>
      <c r="J698" s="197"/>
      <c r="K698" s="402"/>
      <c r="L698" s="144"/>
      <c r="M698" s="197"/>
      <c r="N698" s="197"/>
      <c r="O698" s="147"/>
      <c r="P698" s="284"/>
      <c r="Q698" s="284"/>
      <c r="R698" s="284"/>
      <c r="S698" s="284"/>
      <c r="T698" s="284"/>
      <c r="U698" s="284"/>
      <c r="V698" s="284"/>
      <c r="W698" s="284"/>
      <c r="X698" s="284"/>
      <c r="Y698" s="284"/>
      <c r="Z698" s="284"/>
    </row>
    <row r="699" ht="22.5" customHeight="1">
      <c r="A699" s="327" t="s">
        <v>6318</v>
      </c>
      <c r="B699" s="328" t="s">
        <v>6305</v>
      </c>
      <c r="C699" s="161" t="s">
        <v>49</v>
      </c>
      <c r="D699" s="293" t="s">
        <v>5274</v>
      </c>
      <c r="E699" s="227" t="s">
        <v>640</v>
      </c>
      <c r="F699" s="294" t="s">
        <v>5275</v>
      </c>
      <c r="G699" s="311" t="s">
        <v>31</v>
      </c>
      <c r="H699" s="294" t="s">
        <v>21</v>
      </c>
      <c r="I699" s="311" t="s">
        <v>31</v>
      </c>
      <c r="J699" s="294" t="s">
        <v>22</v>
      </c>
      <c r="K699" s="396" t="s">
        <v>19</v>
      </c>
      <c r="L699" s="152"/>
      <c r="M699" s="196"/>
      <c r="N699" s="196"/>
      <c r="O699" s="155"/>
      <c r="P699" s="284"/>
      <c r="Q699" s="284"/>
      <c r="R699" s="284"/>
      <c r="S699" s="284"/>
      <c r="T699" s="284"/>
      <c r="U699" s="284"/>
      <c r="V699" s="284"/>
      <c r="W699" s="284"/>
      <c r="X699" s="284"/>
      <c r="Y699" s="284"/>
      <c r="Z699" s="284"/>
    </row>
    <row r="700" ht="22.5" customHeight="1">
      <c r="A700" s="325" t="s">
        <v>6319</v>
      </c>
      <c r="B700" s="329" t="s">
        <v>6320</v>
      </c>
      <c r="C700" s="372" t="s">
        <v>49</v>
      </c>
      <c r="D700" s="358" t="s">
        <v>5274</v>
      </c>
      <c r="E700" s="288" t="s">
        <v>19</v>
      </c>
      <c r="F700" s="289" t="s">
        <v>5275</v>
      </c>
      <c r="G700" s="288" t="s">
        <v>19</v>
      </c>
      <c r="H700" s="289" t="s">
        <v>21</v>
      </c>
      <c r="I700" s="204" t="s">
        <v>5279</v>
      </c>
      <c r="J700" s="289" t="s">
        <v>22</v>
      </c>
      <c r="K700" s="304" t="s">
        <v>31</v>
      </c>
      <c r="L700" s="144"/>
      <c r="M700" s="197"/>
      <c r="N700" s="197"/>
      <c r="O700" s="147"/>
      <c r="P700" s="284"/>
      <c r="Q700" s="284"/>
      <c r="R700" s="284"/>
      <c r="S700" s="284"/>
      <c r="T700" s="284"/>
      <c r="U700" s="284"/>
      <c r="V700" s="284"/>
      <c r="W700" s="284"/>
      <c r="X700" s="284"/>
      <c r="Y700" s="284"/>
      <c r="Z700" s="284"/>
    </row>
    <row r="701" ht="22.5" customHeight="1">
      <c r="A701" s="305" t="s">
        <v>6321</v>
      </c>
      <c r="B701" s="328" t="s">
        <v>6322</v>
      </c>
      <c r="C701" s="213" t="s">
        <v>40</v>
      </c>
      <c r="D701" s="293" t="s">
        <v>5274</v>
      </c>
      <c r="E701" s="363" t="s">
        <v>19</v>
      </c>
      <c r="F701" s="294" t="s">
        <v>5275</v>
      </c>
      <c r="G701" s="311" t="s">
        <v>31</v>
      </c>
      <c r="H701" s="294" t="s">
        <v>21</v>
      </c>
      <c r="I701" s="311" t="s">
        <v>31</v>
      </c>
      <c r="J701" s="294" t="s">
        <v>22</v>
      </c>
      <c r="K701" s="403" t="s">
        <v>31</v>
      </c>
      <c r="L701" s="152"/>
      <c r="M701" s="196"/>
      <c r="N701" s="196"/>
      <c r="O701" s="155"/>
      <c r="P701" s="284"/>
      <c r="Q701" s="284"/>
      <c r="R701" s="284"/>
      <c r="S701" s="284"/>
      <c r="T701" s="284"/>
      <c r="U701" s="284"/>
      <c r="V701" s="284"/>
      <c r="W701" s="284"/>
      <c r="X701" s="284"/>
      <c r="Y701" s="284"/>
      <c r="Z701" s="284"/>
    </row>
    <row r="702" ht="22.5" customHeight="1">
      <c r="A702" s="466" t="s">
        <v>6323</v>
      </c>
      <c r="B702" s="329" t="s">
        <v>6324</v>
      </c>
      <c r="C702" s="467" t="s">
        <v>6132</v>
      </c>
      <c r="D702" s="358" t="s">
        <v>5274</v>
      </c>
      <c r="E702" s="383" t="s">
        <v>19</v>
      </c>
      <c r="F702" s="289" t="s">
        <v>5275</v>
      </c>
      <c r="G702" s="383" t="s">
        <v>19</v>
      </c>
      <c r="H702" s="289" t="s">
        <v>21</v>
      </c>
      <c r="I702" s="384" t="s">
        <v>5279</v>
      </c>
      <c r="J702" s="289" t="s">
        <v>22</v>
      </c>
      <c r="K702" s="401" t="s">
        <v>5279</v>
      </c>
      <c r="L702" s="144"/>
      <c r="M702" s="197"/>
      <c r="N702" s="197"/>
      <c r="O702" s="147"/>
      <c r="P702" s="284"/>
      <c r="Q702" s="284"/>
      <c r="R702" s="284"/>
      <c r="S702" s="284"/>
      <c r="T702" s="284"/>
      <c r="U702" s="284"/>
      <c r="V702" s="284"/>
      <c r="W702" s="284"/>
      <c r="X702" s="284"/>
      <c r="Y702" s="284"/>
      <c r="Z702" s="284"/>
    </row>
    <row r="703" ht="22.5" customHeight="1">
      <c r="A703" s="299" t="s">
        <v>637</v>
      </c>
      <c r="B703" s="328" t="s">
        <v>6325</v>
      </c>
      <c r="C703" s="462" t="s">
        <v>6132</v>
      </c>
      <c r="D703" s="293" t="s">
        <v>5274</v>
      </c>
      <c r="E703" s="363" t="s">
        <v>19</v>
      </c>
      <c r="F703" s="294" t="s">
        <v>5275</v>
      </c>
      <c r="G703" s="363" t="s">
        <v>19</v>
      </c>
      <c r="H703" s="294" t="s">
        <v>21</v>
      </c>
      <c r="I703" s="227" t="s">
        <v>5279</v>
      </c>
      <c r="J703" s="294" t="s">
        <v>22</v>
      </c>
      <c r="K703" s="312" t="s">
        <v>5279</v>
      </c>
      <c r="L703" s="152"/>
      <c r="M703" s="196"/>
      <c r="N703" s="196"/>
      <c r="O703" s="155"/>
      <c r="P703" s="284"/>
      <c r="Q703" s="284"/>
      <c r="R703" s="284"/>
      <c r="S703" s="284"/>
      <c r="T703" s="284"/>
      <c r="U703" s="284"/>
      <c r="V703" s="284"/>
      <c r="W703" s="284"/>
      <c r="X703" s="284"/>
      <c r="Y703" s="284"/>
      <c r="Z703" s="284"/>
    </row>
    <row r="704" ht="22.5" customHeight="1">
      <c r="A704" s="285" t="s">
        <v>6326</v>
      </c>
      <c r="B704" s="329" t="s">
        <v>6327</v>
      </c>
      <c r="C704" s="370" t="s">
        <v>40</v>
      </c>
      <c r="D704" s="358" t="s">
        <v>5274</v>
      </c>
      <c r="E704" s="288" t="s">
        <v>19</v>
      </c>
      <c r="F704" s="289" t="s">
        <v>5275</v>
      </c>
      <c r="G704" s="288" t="s">
        <v>19</v>
      </c>
      <c r="H704" s="289" t="s">
        <v>21</v>
      </c>
      <c r="I704" s="288" t="s">
        <v>19</v>
      </c>
      <c r="J704" s="289" t="s">
        <v>22</v>
      </c>
      <c r="K704" s="304" t="s">
        <v>31</v>
      </c>
      <c r="L704" s="144"/>
      <c r="M704" s="197"/>
      <c r="N704" s="197"/>
      <c r="O704" s="147"/>
      <c r="P704" s="284"/>
      <c r="Q704" s="284"/>
      <c r="R704" s="284"/>
      <c r="S704" s="284"/>
      <c r="T704" s="284"/>
      <c r="U704" s="284"/>
      <c r="V704" s="284"/>
      <c r="W704" s="284"/>
      <c r="X704" s="284"/>
      <c r="Y704" s="284"/>
      <c r="Z704" s="284"/>
    </row>
    <row r="705" ht="22.5" customHeight="1">
      <c r="A705" s="299" t="s">
        <v>637</v>
      </c>
      <c r="B705" s="328" t="s">
        <v>6328</v>
      </c>
      <c r="C705" s="433" t="s">
        <v>6132</v>
      </c>
      <c r="D705" s="293" t="s">
        <v>5274</v>
      </c>
      <c r="E705" s="363" t="s">
        <v>19</v>
      </c>
      <c r="F705" s="294" t="s">
        <v>5275</v>
      </c>
      <c r="G705" s="363" t="s">
        <v>19</v>
      </c>
      <c r="H705" s="294" t="s">
        <v>21</v>
      </c>
      <c r="I705" s="227" t="s">
        <v>5279</v>
      </c>
      <c r="J705" s="294" t="s">
        <v>22</v>
      </c>
      <c r="K705" s="312" t="s">
        <v>5279</v>
      </c>
      <c r="L705" s="152"/>
      <c r="M705" s="196"/>
      <c r="N705" s="196"/>
      <c r="O705" s="155"/>
      <c r="P705" s="284"/>
      <c r="Q705" s="284"/>
      <c r="R705" s="284"/>
      <c r="S705" s="284"/>
      <c r="T705" s="284"/>
      <c r="U705" s="284"/>
      <c r="V705" s="284"/>
      <c r="W705" s="284"/>
      <c r="X705" s="284"/>
      <c r="Y705" s="284"/>
      <c r="Z705" s="284"/>
    </row>
    <row r="706" ht="22.5" customHeight="1">
      <c r="A706" s="285" t="s">
        <v>637</v>
      </c>
      <c r="B706" s="159" t="s">
        <v>6329</v>
      </c>
      <c r="C706" s="372" t="s">
        <v>49</v>
      </c>
      <c r="D706" s="358" t="s">
        <v>5274</v>
      </c>
      <c r="E706" s="204" t="s">
        <v>640</v>
      </c>
      <c r="F706" s="289" t="s">
        <v>5275</v>
      </c>
      <c r="G706" s="288" t="s">
        <v>19</v>
      </c>
      <c r="H706" s="289" t="s">
        <v>21</v>
      </c>
      <c r="I706" s="297" t="s">
        <v>31</v>
      </c>
      <c r="J706" s="289" t="s">
        <v>22</v>
      </c>
      <c r="K706" s="304" t="s">
        <v>31</v>
      </c>
      <c r="L706" s="144"/>
      <c r="M706" s="197"/>
      <c r="N706" s="197"/>
      <c r="O706" s="147"/>
      <c r="P706" s="284"/>
      <c r="Q706" s="284"/>
      <c r="R706" s="284"/>
      <c r="S706" s="284"/>
      <c r="T706" s="284"/>
      <c r="U706" s="284"/>
      <c r="V706" s="284"/>
      <c r="W706" s="284"/>
      <c r="X706" s="284"/>
      <c r="Y706" s="284"/>
      <c r="Z706" s="284"/>
    </row>
    <row r="707" ht="22.5" customHeight="1">
      <c r="A707" s="299" t="s">
        <v>637</v>
      </c>
      <c r="B707" s="328" t="s">
        <v>6330</v>
      </c>
      <c r="C707" s="192" t="s">
        <v>49</v>
      </c>
      <c r="D707" s="293" t="s">
        <v>5274</v>
      </c>
      <c r="E707" s="311" t="s">
        <v>31</v>
      </c>
      <c r="F707" s="294" t="s">
        <v>5275</v>
      </c>
      <c r="G707" s="227" t="s">
        <v>5279</v>
      </c>
      <c r="H707" s="294" t="s">
        <v>21</v>
      </c>
      <c r="I707" s="363" t="s">
        <v>19</v>
      </c>
      <c r="J707" s="294" t="s">
        <v>22</v>
      </c>
      <c r="K707" s="403" t="s">
        <v>31</v>
      </c>
      <c r="L707" s="152"/>
      <c r="M707" s="196"/>
      <c r="N707" s="196"/>
      <c r="O707" s="155"/>
      <c r="P707" s="284"/>
      <c r="Q707" s="284"/>
      <c r="R707" s="284"/>
      <c r="S707" s="284"/>
      <c r="T707" s="284"/>
      <c r="U707" s="284"/>
      <c r="V707" s="284"/>
      <c r="W707" s="284"/>
      <c r="X707" s="284"/>
      <c r="Y707" s="284"/>
      <c r="Z707" s="284"/>
    </row>
    <row r="708" ht="22.5" customHeight="1">
      <c r="A708" s="430"/>
      <c r="B708" s="420" t="s">
        <v>6331</v>
      </c>
      <c r="C708" s="458" t="s">
        <v>6132</v>
      </c>
      <c r="D708" s="358" t="s">
        <v>5274</v>
      </c>
      <c r="E708" s="384" t="s">
        <v>640</v>
      </c>
      <c r="F708" s="289" t="s">
        <v>5275</v>
      </c>
      <c r="G708" s="383" t="s">
        <v>19</v>
      </c>
      <c r="H708" s="289" t="s">
        <v>21</v>
      </c>
      <c r="I708" s="384" t="s">
        <v>5279</v>
      </c>
      <c r="J708" s="289" t="s">
        <v>22</v>
      </c>
      <c r="K708" s="384" t="s">
        <v>5279</v>
      </c>
      <c r="L708" s="144"/>
      <c r="M708" s="197"/>
      <c r="N708" s="197"/>
      <c r="O708" s="147"/>
      <c r="P708" s="284"/>
      <c r="Q708" s="284"/>
      <c r="R708" s="284"/>
      <c r="S708" s="284"/>
      <c r="T708" s="284"/>
      <c r="U708" s="284"/>
      <c r="V708" s="284"/>
      <c r="W708" s="284"/>
      <c r="X708" s="284"/>
      <c r="Y708" s="284"/>
      <c r="Z708" s="284"/>
    </row>
    <row r="709" ht="22.5" customHeight="1">
      <c r="A709" s="299" t="s">
        <v>637</v>
      </c>
      <c r="B709" s="310" t="s">
        <v>6332</v>
      </c>
      <c r="C709" s="265" t="s">
        <v>40</v>
      </c>
      <c r="D709" s="293" t="s">
        <v>5274</v>
      </c>
      <c r="E709" s="311" t="s">
        <v>31</v>
      </c>
      <c r="F709" s="294" t="s">
        <v>5275</v>
      </c>
      <c r="G709" s="363" t="s">
        <v>19</v>
      </c>
      <c r="H709" s="294" t="s">
        <v>21</v>
      </c>
      <c r="I709" s="311" t="s">
        <v>31</v>
      </c>
      <c r="J709" s="294" t="s">
        <v>22</v>
      </c>
      <c r="K709" s="396" t="s">
        <v>19</v>
      </c>
      <c r="L709" s="152"/>
      <c r="M709" s="196"/>
      <c r="N709" s="196"/>
      <c r="O709" s="155"/>
      <c r="P709" s="284"/>
      <c r="Q709" s="284"/>
      <c r="R709" s="284"/>
      <c r="S709" s="284"/>
      <c r="T709" s="284"/>
      <c r="U709" s="284"/>
      <c r="V709" s="284"/>
      <c r="W709" s="284"/>
      <c r="X709" s="284"/>
      <c r="Y709" s="284"/>
      <c r="Z709" s="284"/>
    </row>
    <row r="710" ht="22.5" customHeight="1">
      <c r="A710" s="285" t="s">
        <v>6333</v>
      </c>
      <c r="B710" s="159" t="s">
        <v>6334</v>
      </c>
      <c r="C710" s="169" t="s">
        <v>49</v>
      </c>
      <c r="D710" s="358" t="s">
        <v>5274</v>
      </c>
      <c r="E710" s="297" t="s">
        <v>31</v>
      </c>
      <c r="F710" s="289" t="s">
        <v>5275</v>
      </c>
      <c r="G710" s="204" t="s">
        <v>5279</v>
      </c>
      <c r="H710" s="289" t="s">
        <v>21</v>
      </c>
      <c r="I710" s="204" t="s">
        <v>5279</v>
      </c>
      <c r="J710" s="289" t="s">
        <v>22</v>
      </c>
      <c r="K710" s="304" t="s">
        <v>31</v>
      </c>
      <c r="L710" s="144"/>
      <c r="M710" s="197"/>
      <c r="N710" s="197"/>
      <c r="O710" s="147"/>
      <c r="P710" s="284"/>
      <c r="Q710" s="284"/>
      <c r="R710" s="284"/>
      <c r="S710" s="284"/>
      <c r="T710" s="284"/>
      <c r="U710" s="284"/>
      <c r="V710" s="284"/>
      <c r="W710" s="284"/>
      <c r="X710" s="284"/>
      <c r="Y710" s="284"/>
      <c r="Z710" s="284"/>
    </row>
    <row r="711" ht="22.5" customHeight="1">
      <c r="A711" s="299" t="s">
        <v>637</v>
      </c>
      <c r="B711" s="313" t="s">
        <v>6335</v>
      </c>
      <c r="C711" s="181" t="s">
        <v>49</v>
      </c>
      <c r="D711" s="293" t="s">
        <v>5274</v>
      </c>
      <c r="E711" s="311" t="s">
        <v>31</v>
      </c>
      <c r="F711" s="294" t="s">
        <v>5275</v>
      </c>
      <c r="G711" s="311" t="s">
        <v>31</v>
      </c>
      <c r="H711" s="294" t="s">
        <v>21</v>
      </c>
      <c r="I711" s="227" t="s">
        <v>5279</v>
      </c>
      <c r="J711" s="294" t="s">
        <v>22</v>
      </c>
      <c r="K711" s="312" t="s">
        <v>5279</v>
      </c>
      <c r="L711" s="152"/>
      <c r="M711" s="196"/>
      <c r="N711" s="196"/>
      <c r="O711" s="155"/>
      <c r="P711" s="284"/>
      <c r="Q711" s="284"/>
      <c r="R711" s="284"/>
      <c r="S711" s="284"/>
      <c r="T711" s="284"/>
      <c r="U711" s="284"/>
      <c r="V711" s="284"/>
      <c r="W711" s="284"/>
      <c r="X711" s="284"/>
      <c r="Y711" s="284"/>
      <c r="Z711" s="284"/>
    </row>
    <row r="712" ht="22.5" customHeight="1">
      <c r="A712" s="285" t="s">
        <v>637</v>
      </c>
      <c r="B712" s="159" t="s">
        <v>6336</v>
      </c>
      <c r="C712" s="243" t="s">
        <v>5416</v>
      </c>
      <c r="D712" s="358" t="s">
        <v>5274</v>
      </c>
      <c r="E712" s="288" t="s">
        <v>19</v>
      </c>
      <c r="F712" s="289" t="s">
        <v>5275</v>
      </c>
      <c r="G712" s="297" t="s">
        <v>31</v>
      </c>
      <c r="H712" s="289" t="s">
        <v>21</v>
      </c>
      <c r="I712" s="297" t="s">
        <v>31</v>
      </c>
      <c r="J712" s="289" t="s">
        <v>22</v>
      </c>
      <c r="K712" s="298" t="s">
        <v>5279</v>
      </c>
      <c r="L712" s="144"/>
      <c r="M712" s="197"/>
      <c r="N712" s="197"/>
      <c r="O712" s="147"/>
      <c r="P712" s="284"/>
      <c r="Q712" s="284"/>
      <c r="R712" s="284"/>
      <c r="S712" s="284"/>
      <c r="T712" s="284"/>
      <c r="U712" s="284"/>
      <c r="V712" s="284"/>
      <c r="W712" s="284"/>
      <c r="X712" s="284"/>
      <c r="Y712" s="284"/>
      <c r="Z712" s="284"/>
    </row>
    <row r="713" ht="22.5" customHeight="1">
      <c r="A713" s="299" t="s">
        <v>637</v>
      </c>
      <c r="B713" s="313" t="s">
        <v>6337</v>
      </c>
      <c r="C713" s="314" t="s">
        <v>49</v>
      </c>
      <c r="D713" s="293" t="s">
        <v>5274</v>
      </c>
      <c r="E713" s="363" t="s">
        <v>19</v>
      </c>
      <c r="F713" s="294" t="s">
        <v>5275</v>
      </c>
      <c r="G713" s="311" t="s">
        <v>31</v>
      </c>
      <c r="H713" s="294" t="s">
        <v>21</v>
      </c>
      <c r="I713" s="363" t="s">
        <v>19</v>
      </c>
      <c r="J713" s="294" t="s">
        <v>22</v>
      </c>
      <c r="K713" s="312" t="s">
        <v>5279</v>
      </c>
      <c r="L713" s="152"/>
      <c r="M713" s="196"/>
      <c r="N713" s="196"/>
      <c r="O713" s="155"/>
      <c r="P713" s="284"/>
      <c r="Q713" s="284"/>
      <c r="R713" s="284"/>
      <c r="S713" s="284"/>
      <c r="T713" s="284"/>
      <c r="U713" s="284"/>
      <c r="V713" s="284"/>
      <c r="W713" s="284"/>
      <c r="X713" s="284"/>
      <c r="Y713" s="284"/>
      <c r="Z713" s="284"/>
    </row>
    <row r="714" ht="22.5" customHeight="1">
      <c r="A714" s="285" t="s">
        <v>637</v>
      </c>
      <c r="B714" s="159" t="s">
        <v>6338</v>
      </c>
      <c r="C714" s="372" t="s">
        <v>49</v>
      </c>
      <c r="D714" s="358" t="s">
        <v>5274</v>
      </c>
      <c r="E714" s="288" t="s">
        <v>19</v>
      </c>
      <c r="F714" s="289" t="s">
        <v>5275</v>
      </c>
      <c r="G714" s="297" t="s">
        <v>31</v>
      </c>
      <c r="H714" s="289" t="s">
        <v>21</v>
      </c>
      <c r="I714" s="204" t="s">
        <v>5279</v>
      </c>
      <c r="J714" s="289" t="s">
        <v>22</v>
      </c>
      <c r="K714" s="298" t="s">
        <v>5279</v>
      </c>
      <c r="L714" s="144"/>
      <c r="M714" s="197"/>
      <c r="N714" s="197"/>
      <c r="O714" s="147"/>
      <c r="P714" s="284"/>
      <c r="Q714" s="284"/>
      <c r="R714" s="284"/>
      <c r="S714" s="284"/>
      <c r="T714" s="284"/>
      <c r="U714" s="284"/>
      <c r="V714" s="284"/>
      <c r="W714" s="284"/>
      <c r="X714" s="284"/>
      <c r="Y714" s="284"/>
      <c r="Z714" s="284"/>
    </row>
    <row r="715" ht="22.5" customHeight="1">
      <c r="A715" s="299" t="s">
        <v>637</v>
      </c>
      <c r="B715" s="313" t="s">
        <v>6339</v>
      </c>
      <c r="C715" s="181" t="s">
        <v>49</v>
      </c>
      <c r="D715" s="293" t="s">
        <v>5274</v>
      </c>
      <c r="E715" s="363" t="s">
        <v>19</v>
      </c>
      <c r="F715" s="294" t="s">
        <v>5275</v>
      </c>
      <c r="G715" s="311" t="s">
        <v>31</v>
      </c>
      <c r="H715" s="294" t="s">
        <v>21</v>
      </c>
      <c r="I715" s="311" t="s">
        <v>31</v>
      </c>
      <c r="J715" s="294" t="s">
        <v>22</v>
      </c>
      <c r="K715" s="312" t="s">
        <v>5279</v>
      </c>
      <c r="L715" s="152"/>
      <c r="M715" s="196"/>
      <c r="N715" s="196"/>
      <c r="O715" s="155"/>
      <c r="P715" s="284"/>
      <c r="Q715" s="284"/>
      <c r="R715" s="284"/>
      <c r="S715" s="284"/>
      <c r="T715" s="284"/>
      <c r="U715" s="284"/>
      <c r="V715" s="284"/>
      <c r="W715" s="284"/>
      <c r="X715" s="284"/>
      <c r="Y715" s="284"/>
      <c r="Z715" s="284"/>
    </row>
    <row r="716" ht="22.5" customHeight="1">
      <c r="A716" s="285" t="s">
        <v>637</v>
      </c>
      <c r="B716" s="159" t="s">
        <v>6340</v>
      </c>
      <c r="C716" s="317" t="s">
        <v>49</v>
      </c>
      <c r="D716" s="358" t="s">
        <v>5274</v>
      </c>
      <c r="E716" s="297" t="s">
        <v>31</v>
      </c>
      <c r="F716" s="289" t="s">
        <v>5275</v>
      </c>
      <c r="G716" s="297" t="s">
        <v>31</v>
      </c>
      <c r="H716" s="289" t="s">
        <v>21</v>
      </c>
      <c r="I716" s="297" t="s">
        <v>31</v>
      </c>
      <c r="J716" s="289" t="s">
        <v>22</v>
      </c>
      <c r="K716" s="298" t="s">
        <v>5279</v>
      </c>
      <c r="L716" s="144"/>
      <c r="M716" s="197"/>
      <c r="N716" s="197"/>
      <c r="O716" s="147"/>
      <c r="P716" s="284"/>
      <c r="Q716" s="284"/>
      <c r="R716" s="284"/>
      <c r="S716" s="284"/>
      <c r="T716" s="284"/>
      <c r="U716" s="284"/>
      <c r="V716" s="284"/>
      <c r="W716" s="284"/>
      <c r="X716" s="284"/>
      <c r="Y716" s="284"/>
      <c r="Z716" s="284"/>
    </row>
    <row r="717" ht="22.5" customHeight="1">
      <c r="A717" s="299" t="s">
        <v>637</v>
      </c>
      <c r="B717" s="313" t="s">
        <v>6341</v>
      </c>
      <c r="C717" s="265" t="s">
        <v>40</v>
      </c>
      <c r="D717" s="293" t="s">
        <v>5274</v>
      </c>
      <c r="E717" s="363" t="s">
        <v>19</v>
      </c>
      <c r="F717" s="294" t="s">
        <v>5275</v>
      </c>
      <c r="G717" s="363" t="s">
        <v>19</v>
      </c>
      <c r="H717" s="294" t="s">
        <v>21</v>
      </c>
      <c r="I717" s="311" t="s">
        <v>31</v>
      </c>
      <c r="J717" s="294" t="s">
        <v>22</v>
      </c>
      <c r="K717" s="312" t="s">
        <v>5279</v>
      </c>
      <c r="L717" s="152"/>
      <c r="M717" s="196"/>
      <c r="N717" s="196"/>
      <c r="O717" s="155"/>
      <c r="P717" s="284"/>
      <c r="Q717" s="284"/>
      <c r="R717" s="284"/>
      <c r="S717" s="284"/>
      <c r="T717" s="284"/>
      <c r="U717" s="284"/>
      <c r="V717" s="284"/>
      <c r="W717" s="284"/>
      <c r="X717" s="284"/>
      <c r="Y717" s="284"/>
      <c r="Z717" s="284"/>
    </row>
    <row r="718" ht="22.5" customHeight="1">
      <c r="A718" s="285" t="s">
        <v>6342</v>
      </c>
      <c r="B718" s="159" t="s">
        <v>6343</v>
      </c>
      <c r="C718" s="370" t="s">
        <v>40</v>
      </c>
      <c r="D718" s="358" t="s">
        <v>5274</v>
      </c>
      <c r="E718" s="297" t="s">
        <v>31</v>
      </c>
      <c r="F718" s="289" t="s">
        <v>5275</v>
      </c>
      <c r="G718" s="288" t="s">
        <v>19</v>
      </c>
      <c r="H718" s="289" t="s">
        <v>21</v>
      </c>
      <c r="I718" s="297" t="s">
        <v>31</v>
      </c>
      <c r="J718" s="289" t="s">
        <v>22</v>
      </c>
      <c r="K718" s="298" t="s">
        <v>5279</v>
      </c>
      <c r="L718" s="144"/>
      <c r="M718" s="197"/>
      <c r="N718" s="197"/>
      <c r="O718" s="147"/>
      <c r="P718" s="284"/>
      <c r="Q718" s="284"/>
      <c r="R718" s="284"/>
      <c r="S718" s="284"/>
      <c r="T718" s="284"/>
      <c r="U718" s="284"/>
      <c r="V718" s="284"/>
      <c r="W718" s="284"/>
      <c r="X718" s="284"/>
      <c r="Y718" s="284"/>
      <c r="Z718" s="284"/>
    </row>
    <row r="719" ht="22.5" customHeight="1">
      <c r="A719" s="299" t="s">
        <v>637</v>
      </c>
      <c r="B719" s="313" t="s">
        <v>6344</v>
      </c>
      <c r="C719" s="433" t="s">
        <v>6132</v>
      </c>
      <c r="D719" s="293" t="s">
        <v>5274</v>
      </c>
      <c r="E719" s="363" t="s">
        <v>19</v>
      </c>
      <c r="F719" s="294" t="s">
        <v>5275</v>
      </c>
      <c r="G719" s="363" t="s">
        <v>19</v>
      </c>
      <c r="H719" s="294" t="s">
        <v>21</v>
      </c>
      <c r="I719" s="227" t="s">
        <v>5279</v>
      </c>
      <c r="J719" s="294" t="s">
        <v>22</v>
      </c>
      <c r="K719" s="312" t="s">
        <v>5279</v>
      </c>
      <c r="L719" s="152"/>
      <c r="M719" s="196"/>
      <c r="N719" s="196"/>
      <c r="O719" s="155"/>
      <c r="P719" s="284"/>
      <c r="Q719" s="284"/>
      <c r="R719" s="284"/>
      <c r="S719" s="284"/>
      <c r="T719" s="284"/>
      <c r="U719" s="284"/>
      <c r="V719" s="284"/>
      <c r="W719" s="284"/>
      <c r="X719" s="284"/>
      <c r="Y719" s="284"/>
      <c r="Z719" s="284"/>
    </row>
    <row r="720" ht="22.5" customHeight="1">
      <c r="A720" s="285" t="s">
        <v>637</v>
      </c>
      <c r="B720" s="159" t="s">
        <v>6345</v>
      </c>
      <c r="C720" s="319" t="s">
        <v>40</v>
      </c>
      <c r="D720" s="358" t="s">
        <v>5274</v>
      </c>
      <c r="E720" s="297" t="s">
        <v>31</v>
      </c>
      <c r="F720" s="289" t="s">
        <v>5275</v>
      </c>
      <c r="G720" s="288" t="s">
        <v>19</v>
      </c>
      <c r="H720" s="289" t="s">
        <v>21</v>
      </c>
      <c r="I720" s="297" t="s">
        <v>31</v>
      </c>
      <c r="J720" s="289" t="s">
        <v>22</v>
      </c>
      <c r="K720" s="298" t="s">
        <v>5279</v>
      </c>
      <c r="L720" s="144"/>
      <c r="M720" s="197"/>
      <c r="N720" s="197"/>
      <c r="O720" s="147"/>
      <c r="P720" s="284"/>
      <c r="Q720" s="284"/>
      <c r="R720" s="284"/>
      <c r="S720" s="284"/>
      <c r="T720" s="284"/>
      <c r="U720" s="284"/>
      <c r="V720" s="284"/>
      <c r="W720" s="284"/>
      <c r="X720" s="284"/>
      <c r="Y720" s="284"/>
      <c r="Z720" s="284"/>
    </row>
    <row r="721" ht="22.5" customHeight="1">
      <c r="A721" s="299" t="s">
        <v>1135</v>
      </c>
      <c r="B721" s="313" t="s">
        <v>6346</v>
      </c>
      <c r="C721" s="192" t="s">
        <v>49</v>
      </c>
      <c r="D721" s="293" t="s">
        <v>5274</v>
      </c>
      <c r="E721" s="363" t="s">
        <v>19</v>
      </c>
      <c r="F721" s="294" t="s">
        <v>5275</v>
      </c>
      <c r="G721" s="363" t="s">
        <v>19</v>
      </c>
      <c r="H721" s="294" t="s">
        <v>21</v>
      </c>
      <c r="I721" s="363" t="s">
        <v>19</v>
      </c>
      <c r="J721" s="294" t="s">
        <v>22</v>
      </c>
      <c r="K721" s="311" t="s">
        <v>31</v>
      </c>
      <c r="L721" s="152"/>
      <c r="M721" s="196"/>
      <c r="N721" s="196"/>
      <c r="O721" s="155"/>
      <c r="P721" s="284"/>
      <c r="Q721" s="284"/>
      <c r="R721" s="284"/>
      <c r="S721" s="284"/>
      <c r="T721" s="284"/>
      <c r="U721" s="284"/>
      <c r="V721" s="284"/>
      <c r="W721" s="284"/>
      <c r="X721" s="284"/>
      <c r="Y721" s="284"/>
      <c r="Z721" s="284"/>
    </row>
    <row r="722" ht="22.5" customHeight="1">
      <c r="A722" s="285" t="s">
        <v>6347</v>
      </c>
      <c r="B722" s="159" t="s">
        <v>6348</v>
      </c>
      <c r="C722" s="216" t="s">
        <v>40</v>
      </c>
      <c r="D722" s="358" t="s">
        <v>5274</v>
      </c>
      <c r="E722" s="297" t="s">
        <v>31</v>
      </c>
      <c r="F722" s="289" t="s">
        <v>5275</v>
      </c>
      <c r="G722" s="288" t="s">
        <v>19</v>
      </c>
      <c r="H722" s="289" t="s">
        <v>21</v>
      </c>
      <c r="I722" s="288" t="s">
        <v>19</v>
      </c>
      <c r="J722" s="289" t="s">
        <v>22</v>
      </c>
      <c r="K722" s="298" t="s">
        <v>5279</v>
      </c>
      <c r="L722" s="144"/>
      <c r="M722" s="197"/>
      <c r="N722" s="197"/>
      <c r="O722" s="147"/>
      <c r="P722" s="284"/>
      <c r="Q722" s="284"/>
      <c r="R722" s="284"/>
      <c r="S722" s="284"/>
      <c r="T722" s="284"/>
      <c r="U722" s="284"/>
      <c r="V722" s="284"/>
      <c r="W722" s="284"/>
      <c r="X722" s="284"/>
      <c r="Y722" s="284"/>
      <c r="Z722" s="284"/>
    </row>
    <row r="723" ht="22.5" customHeight="1">
      <c r="A723" s="299" t="s">
        <v>6349</v>
      </c>
      <c r="B723" s="313" t="s">
        <v>6350</v>
      </c>
      <c r="C723" s="392" t="s">
        <v>35</v>
      </c>
      <c r="D723" s="293" t="s">
        <v>5274</v>
      </c>
      <c r="E723" s="311" t="s">
        <v>31</v>
      </c>
      <c r="F723" s="294" t="s">
        <v>5275</v>
      </c>
      <c r="G723" s="363" t="s">
        <v>19</v>
      </c>
      <c r="H723" s="294" t="s">
        <v>21</v>
      </c>
      <c r="I723" s="311" t="s">
        <v>31</v>
      </c>
      <c r="J723" s="294" t="s">
        <v>22</v>
      </c>
      <c r="K723" s="312" t="s">
        <v>5279</v>
      </c>
      <c r="L723" s="152"/>
      <c r="M723" s="196"/>
      <c r="N723" s="196"/>
      <c r="O723" s="155"/>
      <c r="P723" s="284"/>
      <c r="Q723" s="284"/>
      <c r="R723" s="284"/>
      <c r="S723" s="284"/>
      <c r="T723" s="284"/>
      <c r="U723" s="284"/>
      <c r="V723" s="284"/>
      <c r="W723" s="284"/>
      <c r="X723" s="284"/>
      <c r="Y723" s="284"/>
      <c r="Z723" s="284"/>
    </row>
    <row r="724" ht="22.5" customHeight="1">
      <c r="A724" s="379" t="s">
        <v>5452</v>
      </c>
      <c r="B724" s="420" t="s">
        <v>6351</v>
      </c>
      <c r="C724" s="451" t="s">
        <v>35</v>
      </c>
      <c r="D724" s="358" t="s">
        <v>5274</v>
      </c>
      <c r="E724" s="382" t="s">
        <v>31</v>
      </c>
      <c r="F724" s="289" t="s">
        <v>5275</v>
      </c>
      <c r="G724" s="384" t="s">
        <v>5279</v>
      </c>
      <c r="H724" s="289" t="s">
        <v>21</v>
      </c>
      <c r="I724" s="384" t="s">
        <v>5279</v>
      </c>
      <c r="J724" s="289" t="s">
        <v>22</v>
      </c>
      <c r="K724" s="384" t="s">
        <v>5279</v>
      </c>
      <c r="L724" s="144"/>
      <c r="M724" s="197"/>
      <c r="N724" s="197"/>
      <c r="O724" s="147"/>
      <c r="P724" s="284"/>
      <c r="Q724" s="284"/>
      <c r="R724" s="284"/>
      <c r="S724" s="284"/>
      <c r="T724" s="284"/>
      <c r="U724" s="284"/>
      <c r="V724" s="284"/>
      <c r="W724" s="284"/>
      <c r="X724" s="284"/>
      <c r="Y724" s="284"/>
      <c r="Z724" s="284"/>
    </row>
    <row r="725" ht="22.5" customHeight="1">
      <c r="A725" s="299" t="s">
        <v>637</v>
      </c>
      <c r="B725" s="313" t="s">
        <v>6352</v>
      </c>
      <c r="C725" s="199" t="s">
        <v>2192</v>
      </c>
      <c r="D725" s="293" t="s">
        <v>5274</v>
      </c>
      <c r="E725" s="311" t="s">
        <v>31</v>
      </c>
      <c r="F725" s="294" t="s">
        <v>5275</v>
      </c>
      <c r="G725" s="311" t="s">
        <v>31</v>
      </c>
      <c r="H725" s="294" t="s">
        <v>21</v>
      </c>
      <c r="I725" s="311" t="s">
        <v>31</v>
      </c>
      <c r="J725" s="294" t="s">
        <v>22</v>
      </c>
      <c r="K725" s="312" t="s">
        <v>5279</v>
      </c>
      <c r="L725" s="152"/>
      <c r="M725" s="196"/>
      <c r="N725" s="196"/>
      <c r="O725" s="155"/>
      <c r="P725" s="284"/>
      <c r="Q725" s="284"/>
      <c r="R725" s="284"/>
      <c r="S725" s="284"/>
      <c r="T725" s="284"/>
      <c r="U725" s="284"/>
      <c r="V725" s="284"/>
      <c r="W725" s="284"/>
      <c r="X725" s="284"/>
      <c r="Y725" s="284"/>
      <c r="Z725" s="284"/>
    </row>
    <row r="726" ht="22.5" customHeight="1">
      <c r="A726" s="285" t="s">
        <v>637</v>
      </c>
      <c r="B726" s="159" t="s">
        <v>6353</v>
      </c>
      <c r="C726" s="169" t="s">
        <v>49</v>
      </c>
      <c r="D726" s="358" t="s">
        <v>5274</v>
      </c>
      <c r="E726" s="297" t="s">
        <v>31</v>
      </c>
      <c r="F726" s="289" t="s">
        <v>5275</v>
      </c>
      <c r="G726" s="297" t="s">
        <v>31</v>
      </c>
      <c r="H726" s="289" t="s">
        <v>21</v>
      </c>
      <c r="I726" s="204" t="s">
        <v>5279</v>
      </c>
      <c r="J726" s="289" t="s">
        <v>22</v>
      </c>
      <c r="K726" s="298" t="s">
        <v>5279</v>
      </c>
      <c r="L726" s="144"/>
      <c r="M726" s="197"/>
      <c r="N726" s="197"/>
      <c r="O726" s="147"/>
      <c r="P726" s="284"/>
      <c r="Q726" s="284"/>
      <c r="R726" s="284"/>
      <c r="S726" s="284"/>
      <c r="T726" s="284"/>
      <c r="U726" s="284"/>
      <c r="V726" s="284"/>
      <c r="W726" s="284"/>
      <c r="X726" s="284"/>
      <c r="Y726" s="284"/>
      <c r="Z726" s="284"/>
    </row>
    <row r="727" ht="22.5" customHeight="1">
      <c r="A727" s="299" t="s">
        <v>6354</v>
      </c>
      <c r="B727" s="313" t="s">
        <v>6355</v>
      </c>
      <c r="C727" s="265" t="s">
        <v>40</v>
      </c>
      <c r="D727" s="293" t="s">
        <v>5274</v>
      </c>
      <c r="E727" s="311" t="s">
        <v>31</v>
      </c>
      <c r="F727" s="294" t="s">
        <v>5275</v>
      </c>
      <c r="G727" s="363" t="s">
        <v>19</v>
      </c>
      <c r="H727" s="294" t="s">
        <v>21</v>
      </c>
      <c r="I727" s="363" t="s">
        <v>19</v>
      </c>
      <c r="J727" s="294" t="s">
        <v>22</v>
      </c>
      <c r="K727" s="312" t="s">
        <v>5279</v>
      </c>
      <c r="L727" s="152"/>
      <c r="M727" s="196"/>
      <c r="N727" s="196"/>
      <c r="O727" s="155"/>
      <c r="P727" s="284"/>
      <c r="Q727" s="284"/>
      <c r="R727" s="284"/>
      <c r="S727" s="284"/>
      <c r="T727" s="284"/>
      <c r="U727" s="284"/>
      <c r="V727" s="284"/>
      <c r="W727" s="284"/>
      <c r="X727" s="284"/>
      <c r="Y727" s="284"/>
      <c r="Z727" s="284"/>
    </row>
    <row r="728" ht="22.5" customHeight="1">
      <c r="A728" s="379" t="s">
        <v>637</v>
      </c>
      <c r="B728" s="420" t="s">
        <v>6356</v>
      </c>
      <c r="C728" s="467" t="s">
        <v>6132</v>
      </c>
      <c r="D728" s="358" t="s">
        <v>5274</v>
      </c>
      <c r="E728" s="383" t="s">
        <v>19</v>
      </c>
      <c r="F728" s="289" t="s">
        <v>5275</v>
      </c>
      <c r="G728" s="383" t="s">
        <v>19</v>
      </c>
      <c r="H728" s="289" t="s">
        <v>21</v>
      </c>
      <c r="I728" s="384" t="s">
        <v>5279</v>
      </c>
      <c r="J728" s="289" t="s">
        <v>22</v>
      </c>
      <c r="K728" s="401" t="s">
        <v>5279</v>
      </c>
      <c r="L728" s="144"/>
      <c r="M728" s="197"/>
      <c r="N728" s="197"/>
      <c r="O728" s="147"/>
      <c r="P728" s="284"/>
      <c r="Q728" s="284"/>
      <c r="R728" s="284"/>
      <c r="S728" s="284"/>
      <c r="T728" s="284"/>
      <c r="U728" s="284"/>
      <c r="V728" s="284"/>
      <c r="W728" s="284"/>
      <c r="X728" s="284"/>
      <c r="Y728" s="284"/>
      <c r="Z728" s="284"/>
    </row>
    <row r="729" ht="22.5" customHeight="1">
      <c r="A729" s="299" t="s">
        <v>6357</v>
      </c>
      <c r="B729" s="313" t="s">
        <v>6358</v>
      </c>
      <c r="C729" s="192" t="s">
        <v>49</v>
      </c>
      <c r="D729" s="293" t="s">
        <v>5274</v>
      </c>
      <c r="E729" s="311" t="s">
        <v>31</v>
      </c>
      <c r="F729" s="294" t="s">
        <v>5275</v>
      </c>
      <c r="G729" s="363" t="s">
        <v>19</v>
      </c>
      <c r="H729" s="294" t="s">
        <v>21</v>
      </c>
      <c r="I729" s="363" t="s">
        <v>19</v>
      </c>
      <c r="J729" s="294" t="s">
        <v>22</v>
      </c>
      <c r="K729" s="312" t="s">
        <v>5279</v>
      </c>
      <c r="L729" s="152"/>
      <c r="M729" s="196"/>
      <c r="N729" s="196"/>
      <c r="O729" s="155"/>
      <c r="P729" s="284"/>
      <c r="Q729" s="284"/>
      <c r="R729" s="284"/>
      <c r="S729" s="284"/>
      <c r="T729" s="284"/>
      <c r="U729" s="284"/>
      <c r="V729" s="284"/>
      <c r="W729" s="284"/>
      <c r="X729" s="284"/>
      <c r="Y729" s="284"/>
      <c r="Z729" s="284"/>
    </row>
    <row r="730" ht="22.5" customHeight="1">
      <c r="A730" s="466" t="s">
        <v>6359</v>
      </c>
      <c r="B730" s="420" t="s">
        <v>6360</v>
      </c>
      <c r="C730" s="467" t="s">
        <v>6132</v>
      </c>
      <c r="D730" s="358" t="s">
        <v>5274</v>
      </c>
      <c r="E730" s="384" t="s">
        <v>640</v>
      </c>
      <c r="F730" s="289" t="s">
        <v>5275</v>
      </c>
      <c r="G730" s="383" t="s">
        <v>19</v>
      </c>
      <c r="H730" s="289" t="s">
        <v>21</v>
      </c>
      <c r="I730" s="384" t="s">
        <v>5279</v>
      </c>
      <c r="J730" s="289" t="s">
        <v>22</v>
      </c>
      <c r="K730" s="401" t="s">
        <v>5279</v>
      </c>
      <c r="L730" s="144"/>
      <c r="M730" s="197"/>
      <c r="N730" s="197"/>
      <c r="O730" s="147"/>
      <c r="P730" s="284"/>
      <c r="Q730" s="284"/>
      <c r="R730" s="284"/>
      <c r="S730" s="284"/>
      <c r="T730" s="284"/>
      <c r="U730" s="284"/>
      <c r="V730" s="284"/>
      <c r="W730" s="284"/>
      <c r="X730" s="284"/>
      <c r="Y730" s="284"/>
      <c r="Z730" s="284"/>
    </row>
    <row r="731" ht="22.5" customHeight="1">
      <c r="A731" s="299" t="s">
        <v>637</v>
      </c>
      <c r="B731" s="313" t="s">
        <v>6361</v>
      </c>
      <c r="C731" s="265" t="s">
        <v>40</v>
      </c>
      <c r="D731" s="293" t="s">
        <v>5274</v>
      </c>
      <c r="E731" s="363" t="s">
        <v>19</v>
      </c>
      <c r="F731" s="294" t="s">
        <v>5275</v>
      </c>
      <c r="G731" s="311" t="s">
        <v>31</v>
      </c>
      <c r="H731" s="294" t="s">
        <v>21</v>
      </c>
      <c r="I731" s="363" t="s">
        <v>19</v>
      </c>
      <c r="J731" s="294" t="s">
        <v>22</v>
      </c>
      <c r="K731" s="312" t="s">
        <v>5279</v>
      </c>
      <c r="L731" s="152"/>
      <c r="M731" s="196"/>
      <c r="N731" s="196"/>
      <c r="O731" s="155"/>
      <c r="P731" s="284"/>
      <c r="Q731" s="284"/>
      <c r="R731" s="284"/>
      <c r="S731" s="284"/>
      <c r="T731" s="284"/>
      <c r="U731" s="284"/>
      <c r="V731" s="284"/>
      <c r="W731" s="284"/>
      <c r="X731" s="284"/>
      <c r="Y731" s="284"/>
      <c r="Z731" s="284"/>
    </row>
    <row r="732" ht="22.5" customHeight="1">
      <c r="A732" s="285" t="s">
        <v>637</v>
      </c>
      <c r="B732" s="159" t="s">
        <v>6362</v>
      </c>
      <c r="C732" s="169" t="s">
        <v>49</v>
      </c>
      <c r="D732" s="358" t="s">
        <v>5274</v>
      </c>
      <c r="E732" s="297" t="s">
        <v>31</v>
      </c>
      <c r="F732" s="289" t="s">
        <v>5275</v>
      </c>
      <c r="G732" s="297" t="s">
        <v>31</v>
      </c>
      <c r="H732" s="289" t="s">
        <v>21</v>
      </c>
      <c r="I732" s="204" t="s">
        <v>5279</v>
      </c>
      <c r="J732" s="289" t="s">
        <v>22</v>
      </c>
      <c r="K732" s="298" t="s">
        <v>5279</v>
      </c>
      <c r="L732" s="144"/>
      <c r="M732" s="197"/>
      <c r="N732" s="197"/>
      <c r="O732" s="147"/>
      <c r="P732" s="284"/>
      <c r="Q732" s="284"/>
      <c r="R732" s="284"/>
      <c r="S732" s="284"/>
      <c r="T732" s="284"/>
      <c r="U732" s="284"/>
      <c r="V732" s="284"/>
      <c r="W732" s="284"/>
      <c r="X732" s="284"/>
      <c r="Y732" s="284"/>
      <c r="Z732" s="284"/>
    </row>
    <row r="733" ht="22.5" customHeight="1">
      <c r="A733" s="299" t="s">
        <v>637</v>
      </c>
      <c r="B733" s="313" t="s">
        <v>6363</v>
      </c>
      <c r="C733" s="335" t="s">
        <v>5416</v>
      </c>
      <c r="D733" s="293" t="s">
        <v>5274</v>
      </c>
      <c r="E733" s="311" t="s">
        <v>31</v>
      </c>
      <c r="F733" s="294" t="s">
        <v>5275</v>
      </c>
      <c r="G733" s="363" t="s">
        <v>19</v>
      </c>
      <c r="H733" s="294" t="s">
        <v>21</v>
      </c>
      <c r="I733" s="363" t="s">
        <v>19</v>
      </c>
      <c r="J733" s="294" t="s">
        <v>22</v>
      </c>
      <c r="K733" s="403" t="s">
        <v>31</v>
      </c>
      <c r="L733" s="152"/>
      <c r="M733" s="196"/>
      <c r="N733" s="196"/>
      <c r="O733" s="155"/>
      <c r="P733" s="284"/>
      <c r="Q733" s="284"/>
      <c r="R733" s="284"/>
      <c r="S733" s="284"/>
      <c r="T733" s="284"/>
      <c r="U733" s="284"/>
      <c r="V733" s="284"/>
      <c r="W733" s="284"/>
      <c r="X733" s="284"/>
      <c r="Y733" s="284"/>
      <c r="Z733" s="284"/>
    </row>
    <row r="734" ht="22.5" customHeight="1">
      <c r="A734" s="379" t="s">
        <v>637</v>
      </c>
      <c r="B734" s="420" t="s">
        <v>6364</v>
      </c>
      <c r="C734" s="467" t="s">
        <v>6132</v>
      </c>
      <c r="D734" s="358" t="s">
        <v>5274</v>
      </c>
      <c r="E734" s="383" t="s">
        <v>19</v>
      </c>
      <c r="F734" s="289" t="s">
        <v>5275</v>
      </c>
      <c r="G734" s="383" t="s">
        <v>19</v>
      </c>
      <c r="H734" s="289" t="s">
        <v>21</v>
      </c>
      <c r="I734" s="384" t="s">
        <v>5279</v>
      </c>
      <c r="J734" s="289" t="s">
        <v>22</v>
      </c>
      <c r="K734" s="401" t="s">
        <v>5279</v>
      </c>
      <c r="L734" s="144"/>
      <c r="M734" s="197"/>
      <c r="N734" s="197"/>
      <c r="O734" s="147"/>
      <c r="P734" s="284"/>
      <c r="Q734" s="284"/>
      <c r="R734" s="284"/>
      <c r="S734" s="284"/>
      <c r="T734" s="284"/>
      <c r="U734" s="284"/>
      <c r="V734" s="284"/>
      <c r="W734" s="284"/>
      <c r="X734" s="284"/>
      <c r="Y734" s="284"/>
      <c r="Z734" s="284"/>
    </row>
    <row r="735" ht="22.5" customHeight="1">
      <c r="A735" s="299" t="s">
        <v>637</v>
      </c>
      <c r="B735" s="313" t="s">
        <v>6365</v>
      </c>
      <c r="C735" s="433" t="s">
        <v>6132</v>
      </c>
      <c r="D735" s="293" t="s">
        <v>5274</v>
      </c>
      <c r="E735" s="363" t="s">
        <v>19</v>
      </c>
      <c r="F735" s="294" t="s">
        <v>5275</v>
      </c>
      <c r="G735" s="363" t="s">
        <v>19</v>
      </c>
      <c r="H735" s="294" t="s">
        <v>21</v>
      </c>
      <c r="I735" s="227" t="s">
        <v>5279</v>
      </c>
      <c r="J735" s="294" t="s">
        <v>22</v>
      </c>
      <c r="K735" s="312" t="s">
        <v>5279</v>
      </c>
      <c r="L735" s="152"/>
      <c r="M735" s="196"/>
      <c r="N735" s="196"/>
      <c r="O735" s="155"/>
      <c r="P735" s="284"/>
      <c r="Q735" s="284"/>
      <c r="R735" s="284"/>
      <c r="S735" s="284"/>
      <c r="T735" s="284"/>
      <c r="U735" s="284"/>
      <c r="V735" s="284"/>
      <c r="W735" s="284"/>
      <c r="X735" s="284"/>
      <c r="Y735" s="284"/>
      <c r="Z735" s="284"/>
    </row>
    <row r="736" ht="22.5" customHeight="1">
      <c r="A736" s="285" t="s">
        <v>6366</v>
      </c>
      <c r="B736" s="159" t="s">
        <v>6367</v>
      </c>
      <c r="C736" s="216" t="s">
        <v>40</v>
      </c>
      <c r="D736" s="358" t="s">
        <v>5274</v>
      </c>
      <c r="E736" s="297" t="s">
        <v>31</v>
      </c>
      <c r="F736" s="289" t="s">
        <v>5275</v>
      </c>
      <c r="G736" s="297" t="s">
        <v>31</v>
      </c>
      <c r="H736" s="289" t="s">
        <v>21</v>
      </c>
      <c r="I736" s="288" t="s">
        <v>19</v>
      </c>
      <c r="J736" s="289" t="s">
        <v>22</v>
      </c>
      <c r="K736" s="288" t="s">
        <v>19</v>
      </c>
      <c r="L736" s="144"/>
      <c r="M736" s="197"/>
      <c r="N736" s="197"/>
      <c r="O736" s="147"/>
      <c r="P736" s="284"/>
      <c r="Q736" s="284"/>
      <c r="R736" s="284"/>
      <c r="S736" s="284"/>
      <c r="T736" s="284"/>
      <c r="U736" s="284"/>
      <c r="V736" s="284"/>
      <c r="W736" s="284"/>
      <c r="X736" s="284"/>
      <c r="Y736" s="284"/>
      <c r="Z736" s="284"/>
    </row>
    <row r="737" ht="22.5" customHeight="1">
      <c r="A737" s="299" t="s">
        <v>637</v>
      </c>
      <c r="B737" s="313" t="s">
        <v>6368</v>
      </c>
      <c r="C737" s="192" t="s">
        <v>49</v>
      </c>
      <c r="D737" s="293" t="s">
        <v>5274</v>
      </c>
      <c r="E737" s="311" t="s">
        <v>31</v>
      </c>
      <c r="F737" s="294" t="s">
        <v>5275</v>
      </c>
      <c r="G737" s="363" t="s">
        <v>19</v>
      </c>
      <c r="H737" s="294" t="s">
        <v>21</v>
      </c>
      <c r="I737" s="311" t="s">
        <v>31</v>
      </c>
      <c r="J737" s="294" t="s">
        <v>22</v>
      </c>
      <c r="K737" s="312" t="s">
        <v>5279</v>
      </c>
      <c r="L737" s="152"/>
      <c r="M737" s="196"/>
      <c r="N737" s="196"/>
      <c r="O737" s="155"/>
      <c r="P737" s="284"/>
      <c r="Q737" s="284"/>
      <c r="R737" s="284"/>
      <c r="S737" s="284"/>
      <c r="T737" s="284"/>
      <c r="U737" s="284"/>
      <c r="V737" s="284"/>
      <c r="W737" s="284"/>
      <c r="X737" s="284"/>
      <c r="Y737" s="284"/>
      <c r="Z737" s="284"/>
    </row>
    <row r="738" ht="22.5" customHeight="1">
      <c r="A738" s="285" t="s">
        <v>6369</v>
      </c>
      <c r="B738" s="159" t="s">
        <v>6370</v>
      </c>
      <c r="C738" s="169" t="s">
        <v>49</v>
      </c>
      <c r="D738" s="358" t="s">
        <v>5274</v>
      </c>
      <c r="E738" s="297" t="s">
        <v>31</v>
      </c>
      <c r="F738" s="289" t="s">
        <v>5275</v>
      </c>
      <c r="G738" s="297" t="s">
        <v>31</v>
      </c>
      <c r="H738" s="289" t="s">
        <v>21</v>
      </c>
      <c r="I738" s="204" t="s">
        <v>5279</v>
      </c>
      <c r="J738" s="289" t="s">
        <v>22</v>
      </c>
      <c r="K738" s="298" t="s">
        <v>5279</v>
      </c>
      <c r="L738" s="144"/>
      <c r="M738" s="197"/>
      <c r="N738" s="197"/>
      <c r="O738" s="147"/>
      <c r="P738" s="284"/>
      <c r="Q738" s="284"/>
      <c r="R738" s="284"/>
      <c r="S738" s="284"/>
      <c r="T738" s="284"/>
      <c r="U738" s="284"/>
      <c r="V738" s="284"/>
      <c r="W738" s="284"/>
      <c r="X738" s="284"/>
      <c r="Y738" s="284"/>
      <c r="Z738" s="284"/>
    </row>
    <row r="739" ht="22.5" customHeight="1">
      <c r="A739" s="468" t="s">
        <v>637</v>
      </c>
      <c r="B739" s="469" t="s">
        <v>6371</v>
      </c>
      <c r="C739" s="265" t="s">
        <v>40</v>
      </c>
      <c r="D739" s="293" t="s">
        <v>5274</v>
      </c>
      <c r="E739" s="470" t="s">
        <v>31</v>
      </c>
      <c r="F739" s="294" t="s">
        <v>5275</v>
      </c>
      <c r="G739" s="471" t="s">
        <v>19</v>
      </c>
      <c r="H739" s="294" t="s">
        <v>21</v>
      </c>
      <c r="I739" s="471" t="s">
        <v>19</v>
      </c>
      <c r="J739" s="294" t="s">
        <v>22</v>
      </c>
      <c r="K739" s="470" t="s">
        <v>31</v>
      </c>
      <c r="L739" s="152"/>
      <c r="M739" s="196"/>
      <c r="N739" s="196"/>
      <c r="O739" s="155"/>
      <c r="P739" s="284"/>
      <c r="Q739" s="284"/>
      <c r="R739" s="284"/>
      <c r="S739" s="284"/>
      <c r="T739" s="284"/>
      <c r="U739" s="284"/>
      <c r="V739" s="284"/>
      <c r="W739" s="284"/>
      <c r="X739" s="284"/>
      <c r="Y739" s="284"/>
      <c r="Z739" s="284"/>
    </row>
    <row r="740" ht="22.5" customHeight="1">
      <c r="A740" s="285" t="s">
        <v>4985</v>
      </c>
      <c r="B740" s="159" t="s">
        <v>6372</v>
      </c>
      <c r="C740" s="169" t="s">
        <v>49</v>
      </c>
      <c r="D740" s="358" t="s">
        <v>5274</v>
      </c>
      <c r="E740" s="297" t="s">
        <v>31</v>
      </c>
      <c r="F740" s="289" t="s">
        <v>5275</v>
      </c>
      <c r="G740" s="288" t="s">
        <v>19</v>
      </c>
      <c r="H740" s="289" t="s">
        <v>21</v>
      </c>
      <c r="I740" s="297" t="s">
        <v>31</v>
      </c>
      <c r="J740" s="289" t="s">
        <v>22</v>
      </c>
      <c r="K740" s="298" t="s">
        <v>5279</v>
      </c>
      <c r="L740" s="144"/>
      <c r="M740" s="197"/>
      <c r="N740" s="197"/>
      <c r="O740" s="147"/>
      <c r="P740" s="284"/>
      <c r="Q740" s="284"/>
      <c r="R740" s="284"/>
      <c r="S740" s="284"/>
      <c r="T740" s="284"/>
      <c r="U740" s="284"/>
      <c r="V740" s="284"/>
      <c r="W740" s="284"/>
      <c r="X740" s="284"/>
      <c r="Y740" s="284"/>
      <c r="Z740" s="284"/>
    </row>
    <row r="741" ht="22.5" customHeight="1">
      <c r="A741" s="299" t="s">
        <v>6373</v>
      </c>
      <c r="B741" s="313" t="s">
        <v>6374</v>
      </c>
      <c r="C741" s="433" t="s">
        <v>6132</v>
      </c>
      <c r="D741" s="293" t="s">
        <v>5274</v>
      </c>
      <c r="E741" s="227" t="s">
        <v>640</v>
      </c>
      <c r="F741" s="294" t="s">
        <v>5275</v>
      </c>
      <c r="G741" s="363" t="s">
        <v>19</v>
      </c>
      <c r="H741" s="294" t="s">
        <v>21</v>
      </c>
      <c r="I741" s="363" t="s">
        <v>19</v>
      </c>
      <c r="J741" s="294" t="s">
        <v>22</v>
      </c>
      <c r="K741" s="312" t="s">
        <v>5279</v>
      </c>
      <c r="L741" s="152"/>
      <c r="M741" s="196"/>
      <c r="N741" s="196"/>
      <c r="O741" s="155"/>
      <c r="P741" s="284"/>
      <c r="Q741" s="284"/>
      <c r="R741" s="284"/>
      <c r="S741" s="284"/>
      <c r="T741" s="284"/>
      <c r="U741" s="284"/>
      <c r="V741" s="284"/>
      <c r="W741" s="284"/>
      <c r="X741" s="284"/>
      <c r="Y741" s="284"/>
      <c r="Z741" s="284"/>
    </row>
    <row r="742" ht="22.5" customHeight="1">
      <c r="A742" s="379" t="s">
        <v>267</v>
      </c>
      <c r="B742" s="420" t="s">
        <v>6375</v>
      </c>
      <c r="C742" s="467" t="s">
        <v>6132</v>
      </c>
      <c r="D742" s="358" t="s">
        <v>5274</v>
      </c>
      <c r="E742" s="384" t="s">
        <v>640</v>
      </c>
      <c r="F742" s="289" t="s">
        <v>5275</v>
      </c>
      <c r="G742" s="383" t="s">
        <v>19</v>
      </c>
      <c r="H742" s="289" t="s">
        <v>21</v>
      </c>
      <c r="I742" s="383" t="s">
        <v>19</v>
      </c>
      <c r="J742" s="289" t="s">
        <v>22</v>
      </c>
      <c r="K742" s="401" t="s">
        <v>5279</v>
      </c>
      <c r="L742" s="144"/>
      <c r="M742" s="197"/>
      <c r="N742" s="197"/>
      <c r="O742" s="147"/>
      <c r="P742" s="284"/>
      <c r="Q742" s="284"/>
      <c r="R742" s="284"/>
      <c r="S742" s="284"/>
      <c r="T742" s="284"/>
      <c r="U742" s="284"/>
      <c r="V742" s="284"/>
      <c r="W742" s="284"/>
      <c r="X742" s="284"/>
      <c r="Y742" s="284"/>
      <c r="Z742" s="284"/>
    </row>
    <row r="743" ht="22.5" customHeight="1">
      <c r="A743" s="299" t="s">
        <v>6376</v>
      </c>
      <c r="B743" s="313" t="s">
        <v>6377</v>
      </c>
      <c r="C743" s="192" t="s">
        <v>49</v>
      </c>
      <c r="D743" s="293" t="s">
        <v>5274</v>
      </c>
      <c r="E743" s="311" t="s">
        <v>31</v>
      </c>
      <c r="F743" s="294" t="s">
        <v>5275</v>
      </c>
      <c r="G743" s="363" t="s">
        <v>19</v>
      </c>
      <c r="H743" s="294" t="s">
        <v>21</v>
      </c>
      <c r="I743" s="363" t="s">
        <v>19</v>
      </c>
      <c r="J743" s="294" t="s">
        <v>22</v>
      </c>
      <c r="K743" s="312" t="s">
        <v>5279</v>
      </c>
      <c r="L743" s="152"/>
      <c r="M743" s="196"/>
      <c r="N743" s="196"/>
      <c r="O743" s="155"/>
      <c r="P743" s="284"/>
      <c r="Q743" s="284"/>
      <c r="R743" s="284"/>
      <c r="S743" s="284"/>
      <c r="T743" s="284"/>
      <c r="U743" s="284"/>
      <c r="V743" s="284"/>
      <c r="W743" s="284"/>
      <c r="X743" s="284"/>
      <c r="Y743" s="284"/>
      <c r="Z743" s="284"/>
    </row>
    <row r="744" ht="22.5" customHeight="1">
      <c r="A744" s="472" t="s">
        <v>6378</v>
      </c>
      <c r="B744" s="473" t="s">
        <v>6379</v>
      </c>
      <c r="C744" s="467" t="s">
        <v>6132</v>
      </c>
      <c r="D744" s="358" t="s">
        <v>5274</v>
      </c>
      <c r="E744" s="474" t="s">
        <v>640</v>
      </c>
      <c r="F744" s="289" t="s">
        <v>5275</v>
      </c>
      <c r="G744" s="475" t="s">
        <v>19</v>
      </c>
      <c r="H744" s="289" t="s">
        <v>21</v>
      </c>
      <c r="I744" s="474" t="s">
        <v>5279</v>
      </c>
      <c r="J744" s="289" t="s">
        <v>22</v>
      </c>
      <c r="K744" s="475" t="s">
        <v>19</v>
      </c>
      <c r="L744" s="144"/>
      <c r="M744" s="197"/>
      <c r="N744" s="197"/>
      <c r="O744" s="147"/>
      <c r="P744" s="284"/>
      <c r="Q744" s="284"/>
      <c r="R744" s="284"/>
      <c r="S744" s="284"/>
      <c r="T744" s="284"/>
      <c r="U744" s="284"/>
      <c r="V744" s="284"/>
      <c r="W744" s="284"/>
      <c r="X744" s="284"/>
      <c r="Y744" s="284"/>
      <c r="Z744" s="284"/>
    </row>
    <row r="745" ht="22.5" customHeight="1">
      <c r="A745" s="299" t="s">
        <v>637</v>
      </c>
      <c r="B745" s="476" t="s">
        <v>6380</v>
      </c>
      <c r="C745" s="394" t="s">
        <v>5416</v>
      </c>
      <c r="D745" s="293" t="s">
        <v>5274</v>
      </c>
      <c r="E745" s="227" t="s">
        <v>640</v>
      </c>
      <c r="F745" s="294" t="s">
        <v>5275</v>
      </c>
      <c r="G745" s="227" t="s">
        <v>5279</v>
      </c>
      <c r="H745" s="294" t="s">
        <v>21</v>
      </c>
      <c r="I745" s="227" t="s">
        <v>5279</v>
      </c>
      <c r="J745" s="294" t="s">
        <v>22</v>
      </c>
      <c r="K745" s="312" t="s">
        <v>5279</v>
      </c>
      <c r="L745" s="152"/>
      <c r="M745" s="196"/>
      <c r="N745" s="196"/>
      <c r="O745" s="155"/>
      <c r="P745" s="284"/>
      <c r="Q745" s="284"/>
      <c r="R745" s="284"/>
      <c r="S745" s="284"/>
      <c r="T745" s="284"/>
      <c r="U745" s="284"/>
      <c r="V745" s="284"/>
      <c r="W745" s="284"/>
      <c r="X745" s="284"/>
      <c r="Y745" s="284"/>
      <c r="Z745" s="284"/>
    </row>
    <row r="746" ht="22.5" customHeight="1">
      <c r="A746" s="285" t="s">
        <v>6381</v>
      </c>
      <c r="B746" s="159" t="s">
        <v>6382</v>
      </c>
      <c r="C746" s="169" t="s">
        <v>49</v>
      </c>
      <c r="D746" s="358" t="s">
        <v>5274</v>
      </c>
      <c r="E746" s="297" t="s">
        <v>31</v>
      </c>
      <c r="F746" s="289" t="s">
        <v>5275</v>
      </c>
      <c r="G746" s="204" t="s">
        <v>5279</v>
      </c>
      <c r="H746" s="289" t="s">
        <v>21</v>
      </c>
      <c r="I746" s="204" t="s">
        <v>5279</v>
      </c>
      <c r="J746" s="289" t="s">
        <v>22</v>
      </c>
      <c r="K746" s="298" t="s">
        <v>5279</v>
      </c>
      <c r="L746" s="144"/>
      <c r="M746" s="197"/>
      <c r="N746" s="197"/>
      <c r="O746" s="147"/>
      <c r="P746" s="284"/>
      <c r="Q746" s="284"/>
      <c r="R746" s="284"/>
      <c r="S746" s="284"/>
      <c r="T746" s="284"/>
      <c r="U746" s="284"/>
      <c r="V746" s="284"/>
      <c r="W746" s="284"/>
      <c r="X746" s="284"/>
      <c r="Y746" s="284"/>
      <c r="Z746" s="284"/>
    </row>
    <row r="747" ht="22.5" customHeight="1">
      <c r="A747" s="299" t="s">
        <v>4328</v>
      </c>
      <c r="B747" s="313" t="s">
        <v>6383</v>
      </c>
      <c r="C747" s="433" t="s">
        <v>6132</v>
      </c>
      <c r="D747" s="293" t="s">
        <v>5274</v>
      </c>
      <c r="E747" s="227" t="s">
        <v>640</v>
      </c>
      <c r="F747" s="294" t="s">
        <v>5275</v>
      </c>
      <c r="G747" s="363" t="s">
        <v>19</v>
      </c>
      <c r="H747" s="294" t="s">
        <v>21</v>
      </c>
      <c r="I747" s="227" t="s">
        <v>5279</v>
      </c>
      <c r="J747" s="294" t="s">
        <v>22</v>
      </c>
      <c r="K747" s="363" t="s">
        <v>19</v>
      </c>
      <c r="L747" s="152"/>
      <c r="M747" s="196"/>
      <c r="N747" s="196"/>
      <c r="O747" s="155"/>
      <c r="P747" s="284"/>
      <c r="Q747" s="284"/>
      <c r="R747" s="284"/>
      <c r="S747" s="284"/>
      <c r="T747" s="284"/>
      <c r="U747" s="284"/>
      <c r="V747" s="284"/>
      <c r="W747" s="284"/>
      <c r="X747" s="284"/>
      <c r="Y747" s="284"/>
      <c r="Z747" s="284"/>
    </row>
    <row r="748" ht="22.5" customHeight="1">
      <c r="A748" s="379" t="s">
        <v>637</v>
      </c>
      <c r="B748" s="420" t="s">
        <v>6384</v>
      </c>
      <c r="C748" s="453" t="s">
        <v>6132</v>
      </c>
      <c r="D748" s="358" t="s">
        <v>5274</v>
      </c>
      <c r="E748" s="384" t="s">
        <v>640</v>
      </c>
      <c r="F748" s="289" t="s">
        <v>5275</v>
      </c>
      <c r="G748" s="383" t="s">
        <v>19</v>
      </c>
      <c r="H748" s="289" t="s">
        <v>21</v>
      </c>
      <c r="I748" s="384" t="s">
        <v>5279</v>
      </c>
      <c r="J748" s="289" t="s">
        <v>22</v>
      </c>
      <c r="K748" s="383" t="s">
        <v>19</v>
      </c>
      <c r="L748" s="144"/>
      <c r="M748" s="197"/>
      <c r="N748" s="197"/>
      <c r="O748" s="147"/>
      <c r="P748" s="284"/>
      <c r="Q748" s="284"/>
      <c r="R748" s="284"/>
      <c r="S748" s="284"/>
      <c r="T748" s="284"/>
      <c r="U748" s="284"/>
      <c r="V748" s="284"/>
      <c r="W748" s="284"/>
      <c r="X748" s="284"/>
      <c r="Y748" s="284"/>
      <c r="Z748" s="284"/>
    </row>
    <row r="749" ht="22.5" customHeight="1">
      <c r="A749" s="299" t="s">
        <v>6385</v>
      </c>
      <c r="B749" s="313" t="s">
        <v>6386</v>
      </c>
      <c r="C749" s="192" t="s">
        <v>49</v>
      </c>
      <c r="D749" s="293" t="s">
        <v>5274</v>
      </c>
      <c r="E749" s="227" t="s">
        <v>640</v>
      </c>
      <c r="F749" s="294" t="s">
        <v>5275</v>
      </c>
      <c r="G749" s="311" t="s">
        <v>31</v>
      </c>
      <c r="H749" s="294" t="s">
        <v>21</v>
      </c>
      <c r="I749" s="227" t="s">
        <v>5279</v>
      </c>
      <c r="J749" s="294" t="s">
        <v>22</v>
      </c>
      <c r="K749" s="363" t="s">
        <v>19</v>
      </c>
      <c r="L749" s="152"/>
      <c r="M749" s="196"/>
      <c r="N749" s="196"/>
      <c r="O749" s="155"/>
      <c r="P749" s="284"/>
      <c r="Q749" s="284"/>
      <c r="R749" s="284"/>
      <c r="S749" s="284"/>
      <c r="T749" s="284"/>
      <c r="U749" s="284"/>
      <c r="V749" s="284"/>
      <c r="W749" s="284"/>
      <c r="X749" s="284"/>
      <c r="Y749" s="284"/>
      <c r="Z749" s="284"/>
    </row>
    <row r="750" ht="22.5" customHeight="1">
      <c r="A750" s="285" t="s">
        <v>6387</v>
      </c>
      <c r="B750" s="159" t="s">
        <v>6388</v>
      </c>
      <c r="C750" s="370" t="s">
        <v>40</v>
      </c>
      <c r="D750" s="358" t="s">
        <v>5274</v>
      </c>
      <c r="E750" s="297" t="s">
        <v>31</v>
      </c>
      <c r="F750" s="289" t="s">
        <v>5275</v>
      </c>
      <c r="G750" s="204" t="s">
        <v>5279</v>
      </c>
      <c r="H750" s="289" t="s">
        <v>21</v>
      </c>
      <c r="I750" s="297" t="s">
        <v>31</v>
      </c>
      <c r="J750" s="289" t="s">
        <v>22</v>
      </c>
      <c r="K750" s="297" t="s">
        <v>31</v>
      </c>
      <c r="L750" s="144"/>
      <c r="M750" s="197"/>
      <c r="N750" s="197"/>
      <c r="O750" s="147"/>
      <c r="P750" s="284"/>
      <c r="Q750" s="284"/>
      <c r="R750" s="284"/>
      <c r="S750" s="284"/>
      <c r="T750" s="284"/>
      <c r="U750" s="284"/>
      <c r="V750" s="284"/>
      <c r="W750" s="284"/>
      <c r="X750" s="284"/>
      <c r="Y750" s="284"/>
      <c r="Z750" s="284"/>
    </row>
    <row r="751" ht="22.5" customHeight="1">
      <c r="A751" s="299" t="s">
        <v>637</v>
      </c>
      <c r="B751" s="313" t="s">
        <v>6389</v>
      </c>
      <c r="C751" s="432" t="s">
        <v>49</v>
      </c>
      <c r="D751" s="293" t="s">
        <v>5274</v>
      </c>
      <c r="E751" s="363" t="s">
        <v>19</v>
      </c>
      <c r="F751" s="294" t="s">
        <v>5275</v>
      </c>
      <c r="G751" s="311" t="s">
        <v>31</v>
      </c>
      <c r="H751" s="294" t="s">
        <v>21</v>
      </c>
      <c r="I751" s="363" t="s">
        <v>19</v>
      </c>
      <c r="J751" s="294" t="s">
        <v>22</v>
      </c>
      <c r="K751" s="227" t="s">
        <v>5279</v>
      </c>
      <c r="L751" s="152"/>
      <c r="M751" s="196"/>
      <c r="N751" s="196"/>
      <c r="O751" s="155"/>
      <c r="P751" s="284"/>
      <c r="Q751" s="284"/>
      <c r="R751" s="284"/>
      <c r="S751" s="284"/>
      <c r="T751" s="284"/>
      <c r="U751" s="284"/>
      <c r="V751" s="284"/>
      <c r="W751" s="284"/>
      <c r="X751" s="284"/>
      <c r="Y751" s="284"/>
      <c r="Z751" s="284"/>
    </row>
    <row r="752" ht="22.5" customHeight="1">
      <c r="A752" s="379" t="s">
        <v>637</v>
      </c>
      <c r="B752" s="420" t="s">
        <v>6390</v>
      </c>
      <c r="C752" s="453" t="s">
        <v>6132</v>
      </c>
      <c r="D752" s="358" t="s">
        <v>5274</v>
      </c>
      <c r="E752" s="384" t="s">
        <v>640</v>
      </c>
      <c r="F752" s="289" t="s">
        <v>5275</v>
      </c>
      <c r="G752" s="383" t="s">
        <v>19</v>
      </c>
      <c r="H752" s="289" t="s">
        <v>21</v>
      </c>
      <c r="I752" s="384" t="s">
        <v>5279</v>
      </c>
      <c r="J752" s="289" t="s">
        <v>22</v>
      </c>
      <c r="K752" s="383" t="s">
        <v>19</v>
      </c>
      <c r="L752" s="144"/>
      <c r="M752" s="197"/>
      <c r="N752" s="197"/>
      <c r="O752" s="147"/>
      <c r="P752" s="284"/>
      <c r="Q752" s="284"/>
      <c r="R752" s="284"/>
      <c r="S752" s="284"/>
      <c r="T752" s="284"/>
      <c r="U752" s="284"/>
      <c r="V752" s="284"/>
      <c r="W752" s="284"/>
      <c r="X752" s="284"/>
      <c r="Y752" s="284"/>
      <c r="Z752" s="284"/>
    </row>
    <row r="753" ht="22.5" customHeight="1">
      <c r="A753" s="299" t="s">
        <v>637</v>
      </c>
      <c r="B753" s="313" t="s">
        <v>6391</v>
      </c>
      <c r="C753" s="432" t="s">
        <v>49</v>
      </c>
      <c r="D753" s="293" t="s">
        <v>5274</v>
      </c>
      <c r="E753" s="311" t="s">
        <v>31</v>
      </c>
      <c r="F753" s="294" t="s">
        <v>5275</v>
      </c>
      <c r="G753" s="311" t="s">
        <v>31</v>
      </c>
      <c r="H753" s="294" t="s">
        <v>21</v>
      </c>
      <c r="I753" s="227" t="s">
        <v>5279</v>
      </c>
      <c r="J753" s="294" t="s">
        <v>22</v>
      </c>
      <c r="K753" s="227" t="s">
        <v>5279</v>
      </c>
      <c r="L753" s="152"/>
      <c r="M753" s="196"/>
      <c r="N753" s="196"/>
      <c r="O753" s="155"/>
      <c r="P753" s="284"/>
      <c r="Q753" s="284"/>
      <c r="R753" s="284"/>
      <c r="S753" s="284"/>
      <c r="T753" s="284"/>
      <c r="U753" s="284"/>
      <c r="V753" s="284"/>
      <c r="W753" s="284"/>
      <c r="X753" s="284"/>
      <c r="Y753" s="284"/>
      <c r="Z753" s="284"/>
    </row>
    <row r="754" ht="22.5" customHeight="1">
      <c r="A754" s="285" t="s">
        <v>637</v>
      </c>
      <c r="B754" s="159" t="s">
        <v>6392</v>
      </c>
      <c r="C754" s="372" t="s">
        <v>49</v>
      </c>
      <c r="D754" s="358" t="s">
        <v>5274</v>
      </c>
      <c r="E754" s="288" t="s">
        <v>19</v>
      </c>
      <c r="F754" s="289" t="s">
        <v>5275</v>
      </c>
      <c r="G754" s="288" t="s">
        <v>19</v>
      </c>
      <c r="H754" s="289" t="s">
        <v>21</v>
      </c>
      <c r="I754" s="204" t="s">
        <v>5279</v>
      </c>
      <c r="J754" s="289" t="s">
        <v>22</v>
      </c>
      <c r="K754" s="204" t="s">
        <v>5279</v>
      </c>
      <c r="L754" s="144"/>
      <c r="M754" s="197"/>
      <c r="N754" s="197"/>
      <c r="O754" s="147"/>
      <c r="P754" s="284"/>
      <c r="Q754" s="284"/>
      <c r="R754" s="284"/>
      <c r="S754" s="284"/>
      <c r="T754" s="284"/>
      <c r="U754" s="284"/>
      <c r="V754" s="284"/>
      <c r="W754" s="284"/>
      <c r="X754" s="284"/>
      <c r="Y754" s="284"/>
      <c r="Z754" s="284"/>
    </row>
    <row r="755" ht="22.5" customHeight="1">
      <c r="A755" s="299" t="s">
        <v>6393</v>
      </c>
      <c r="B755" s="313" t="s">
        <v>6394</v>
      </c>
      <c r="C755" s="265" t="s">
        <v>40</v>
      </c>
      <c r="D755" s="293" t="s">
        <v>5274</v>
      </c>
      <c r="E755" s="227" t="s">
        <v>640</v>
      </c>
      <c r="F755" s="294" t="s">
        <v>5275</v>
      </c>
      <c r="G755" s="311" t="s">
        <v>31</v>
      </c>
      <c r="H755" s="294" t="s">
        <v>21</v>
      </c>
      <c r="I755" s="363" t="s">
        <v>19</v>
      </c>
      <c r="J755" s="294" t="s">
        <v>22</v>
      </c>
      <c r="K755" s="311" t="s">
        <v>31</v>
      </c>
      <c r="L755" s="152"/>
      <c r="M755" s="196"/>
      <c r="N755" s="196"/>
      <c r="O755" s="155"/>
      <c r="P755" s="284"/>
      <c r="Q755" s="284"/>
      <c r="R755" s="284"/>
      <c r="S755" s="284"/>
      <c r="T755" s="284"/>
      <c r="U755" s="284"/>
      <c r="V755" s="284"/>
      <c r="W755" s="284"/>
      <c r="X755" s="284"/>
      <c r="Y755" s="284"/>
      <c r="Z755" s="284"/>
    </row>
    <row r="756" ht="22.5" customHeight="1">
      <c r="A756" s="379" t="s">
        <v>637</v>
      </c>
      <c r="B756" s="420" t="s">
        <v>6395</v>
      </c>
      <c r="C756" s="453" t="s">
        <v>6132</v>
      </c>
      <c r="D756" s="358" t="s">
        <v>5274</v>
      </c>
      <c r="E756" s="383" t="s">
        <v>19</v>
      </c>
      <c r="F756" s="289" t="s">
        <v>5275</v>
      </c>
      <c r="G756" s="383" t="s">
        <v>19</v>
      </c>
      <c r="H756" s="289" t="s">
        <v>21</v>
      </c>
      <c r="I756" s="384" t="s">
        <v>5279</v>
      </c>
      <c r="J756" s="289" t="s">
        <v>22</v>
      </c>
      <c r="K756" s="384" t="s">
        <v>5279</v>
      </c>
      <c r="L756" s="144"/>
      <c r="M756" s="197"/>
      <c r="N756" s="197"/>
      <c r="O756" s="147"/>
      <c r="P756" s="284"/>
      <c r="Q756" s="284"/>
      <c r="R756" s="284"/>
      <c r="S756" s="284"/>
      <c r="T756" s="284"/>
      <c r="U756" s="284"/>
      <c r="V756" s="284"/>
      <c r="W756" s="284"/>
      <c r="X756" s="284"/>
      <c r="Y756" s="284"/>
      <c r="Z756" s="284"/>
    </row>
    <row r="757" ht="22.5" customHeight="1">
      <c r="A757" s="299" t="s">
        <v>6396</v>
      </c>
      <c r="B757" s="313" t="s">
        <v>6397</v>
      </c>
      <c r="C757" s="477" t="s">
        <v>6266</v>
      </c>
      <c r="D757" s="293" t="s">
        <v>5274</v>
      </c>
      <c r="E757" s="363" t="s">
        <v>19</v>
      </c>
      <c r="F757" s="294" t="s">
        <v>5275</v>
      </c>
      <c r="G757" s="227" t="s">
        <v>5279</v>
      </c>
      <c r="H757" s="294" t="s">
        <v>21</v>
      </c>
      <c r="I757" s="227" t="s">
        <v>5279</v>
      </c>
      <c r="J757" s="294" t="s">
        <v>22</v>
      </c>
      <c r="K757" s="363" t="s">
        <v>19</v>
      </c>
      <c r="L757" s="152"/>
      <c r="M757" s="196"/>
      <c r="N757" s="196"/>
      <c r="O757" s="155"/>
      <c r="P757" s="284"/>
      <c r="Q757" s="284"/>
      <c r="R757" s="284"/>
      <c r="S757" s="284"/>
      <c r="T757" s="284"/>
      <c r="U757" s="284"/>
      <c r="V757" s="284"/>
      <c r="W757" s="284"/>
      <c r="X757" s="284"/>
      <c r="Y757" s="284"/>
      <c r="Z757" s="284"/>
    </row>
    <row r="758" ht="22.5" customHeight="1">
      <c r="A758" s="285" t="s">
        <v>637</v>
      </c>
      <c r="B758" s="159" t="s">
        <v>6398</v>
      </c>
      <c r="C758" s="216" t="s">
        <v>40</v>
      </c>
      <c r="D758" s="358" t="s">
        <v>5274</v>
      </c>
      <c r="E758" s="204" t="s">
        <v>640</v>
      </c>
      <c r="F758" s="289" t="s">
        <v>5275</v>
      </c>
      <c r="G758" s="288" t="s">
        <v>19</v>
      </c>
      <c r="H758" s="289" t="s">
        <v>21</v>
      </c>
      <c r="I758" s="297" t="s">
        <v>31</v>
      </c>
      <c r="J758" s="289" t="s">
        <v>22</v>
      </c>
      <c r="K758" s="297" t="s">
        <v>31</v>
      </c>
      <c r="L758" s="144"/>
      <c r="M758" s="197"/>
      <c r="N758" s="197"/>
      <c r="O758" s="147"/>
      <c r="P758" s="284"/>
      <c r="Q758" s="284"/>
      <c r="R758" s="284"/>
      <c r="S758" s="284"/>
      <c r="T758" s="284"/>
      <c r="U758" s="284"/>
      <c r="V758" s="284"/>
      <c r="W758" s="284"/>
      <c r="X758" s="284"/>
      <c r="Y758" s="284"/>
      <c r="Z758" s="284"/>
    </row>
    <row r="759" ht="22.5" customHeight="1">
      <c r="A759" s="299" t="s">
        <v>637</v>
      </c>
      <c r="B759" s="313" t="s">
        <v>6399</v>
      </c>
      <c r="C759" s="478" t="s">
        <v>5416</v>
      </c>
      <c r="D759" s="293" t="s">
        <v>5274</v>
      </c>
      <c r="E759" s="181"/>
      <c r="F759" s="294" t="s">
        <v>5275</v>
      </c>
      <c r="G759" s="227" t="s">
        <v>5279</v>
      </c>
      <c r="H759" s="294" t="s">
        <v>21</v>
      </c>
      <c r="I759" s="227" t="s">
        <v>5279</v>
      </c>
      <c r="J759" s="294" t="s">
        <v>22</v>
      </c>
      <c r="K759" s="227" t="s">
        <v>5279</v>
      </c>
      <c r="L759" s="152"/>
      <c r="M759" s="196"/>
      <c r="N759" s="196"/>
      <c r="O759" s="155"/>
      <c r="P759" s="284"/>
      <c r="Q759" s="284"/>
      <c r="R759" s="284"/>
      <c r="S759" s="284"/>
      <c r="T759" s="284"/>
      <c r="U759" s="284"/>
      <c r="V759" s="284"/>
      <c r="W759" s="284"/>
      <c r="X759" s="284"/>
      <c r="Y759" s="284"/>
      <c r="Z759" s="284"/>
    </row>
    <row r="760" ht="22.5" customHeight="1">
      <c r="A760" s="379" t="s">
        <v>637</v>
      </c>
      <c r="B760" s="420" t="s">
        <v>6400</v>
      </c>
      <c r="C760" s="467" t="s">
        <v>6132</v>
      </c>
      <c r="D760" s="358" t="s">
        <v>5274</v>
      </c>
      <c r="E760" s="383" t="s">
        <v>19</v>
      </c>
      <c r="F760" s="289" t="s">
        <v>5275</v>
      </c>
      <c r="G760" s="383" t="s">
        <v>19</v>
      </c>
      <c r="H760" s="289" t="s">
        <v>21</v>
      </c>
      <c r="I760" s="384" t="s">
        <v>5279</v>
      </c>
      <c r="J760" s="289" t="s">
        <v>22</v>
      </c>
      <c r="K760" s="384" t="s">
        <v>5279</v>
      </c>
      <c r="L760" s="144"/>
      <c r="M760" s="197"/>
      <c r="N760" s="197"/>
      <c r="O760" s="147"/>
      <c r="P760" s="284"/>
      <c r="Q760" s="284"/>
      <c r="R760" s="284"/>
      <c r="S760" s="284"/>
      <c r="T760" s="284"/>
      <c r="U760" s="284"/>
      <c r="V760" s="284"/>
      <c r="W760" s="284"/>
      <c r="X760" s="284"/>
      <c r="Y760" s="284"/>
      <c r="Z760" s="284"/>
    </row>
    <row r="761" ht="22.5" customHeight="1">
      <c r="A761" s="299" t="s">
        <v>637</v>
      </c>
      <c r="B761" s="313" t="s">
        <v>6401</v>
      </c>
      <c r="C761" s="265" t="s">
        <v>40</v>
      </c>
      <c r="D761" s="293" t="s">
        <v>5274</v>
      </c>
      <c r="E761" s="199" t="s">
        <v>26</v>
      </c>
      <c r="F761" s="294" t="s">
        <v>5275</v>
      </c>
      <c r="G761" s="311" t="s">
        <v>31</v>
      </c>
      <c r="H761" s="294" t="s">
        <v>21</v>
      </c>
      <c r="I761" s="363" t="s">
        <v>19</v>
      </c>
      <c r="J761" s="294" t="s">
        <v>22</v>
      </c>
      <c r="K761" s="363" t="s">
        <v>19</v>
      </c>
      <c r="L761" s="152"/>
      <c r="M761" s="196"/>
      <c r="N761" s="196"/>
      <c r="O761" s="155"/>
      <c r="P761" s="284"/>
      <c r="Q761" s="284"/>
      <c r="R761" s="284"/>
      <c r="S761" s="284"/>
      <c r="T761" s="284"/>
      <c r="U761" s="284"/>
      <c r="V761" s="284"/>
      <c r="W761" s="284"/>
      <c r="X761" s="284"/>
      <c r="Y761" s="284"/>
      <c r="Z761" s="284"/>
    </row>
    <row r="762" ht="22.5" customHeight="1">
      <c r="A762" s="379" t="s">
        <v>637</v>
      </c>
      <c r="B762" s="420" t="s">
        <v>6402</v>
      </c>
      <c r="C762" s="467" t="s">
        <v>6132</v>
      </c>
      <c r="D762" s="358" t="s">
        <v>5274</v>
      </c>
      <c r="E762" s="383" t="s">
        <v>19</v>
      </c>
      <c r="F762" s="289" t="s">
        <v>5275</v>
      </c>
      <c r="G762" s="383" t="s">
        <v>19</v>
      </c>
      <c r="H762" s="289" t="s">
        <v>21</v>
      </c>
      <c r="I762" s="384" t="s">
        <v>5279</v>
      </c>
      <c r="J762" s="289" t="s">
        <v>22</v>
      </c>
      <c r="K762" s="384" t="s">
        <v>5279</v>
      </c>
      <c r="L762" s="144"/>
      <c r="M762" s="197"/>
      <c r="N762" s="197"/>
      <c r="O762" s="147"/>
      <c r="P762" s="284"/>
      <c r="Q762" s="284"/>
      <c r="R762" s="284"/>
      <c r="S762" s="284"/>
      <c r="T762" s="284"/>
      <c r="U762" s="284"/>
      <c r="V762" s="284"/>
      <c r="W762" s="284"/>
      <c r="X762" s="284"/>
      <c r="Y762" s="284"/>
      <c r="Z762" s="284"/>
    </row>
    <row r="763" ht="22.5" customHeight="1">
      <c r="A763" s="299" t="s">
        <v>637</v>
      </c>
      <c r="B763" s="313" t="s">
        <v>6403</v>
      </c>
      <c r="C763" s="432" t="s">
        <v>49</v>
      </c>
      <c r="D763" s="293" t="s">
        <v>5274</v>
      </c>
      <c r="E763" s="311" t="s">
        <v>31</v>
      </c>
      <c r="F763" s="294" t="s">
        <v>5275</v>
      </c>
      <c r="G763" s="311" t="s">
        <v>31</v>
      </c>
      <c r="H763" s="294" t="s">
        <v>21</v>
      </c>
      <c r="I763" s="227" t="s">
        <v>5279</v>
      </c>
      <c r="J763" s="294" t="s">
        <v>22</v>
      </c>
      <c r="K763" s="311" t="s">
        <v>31</v>
      </c>
      <c r="L763" s="152"/>
      <c r="M763" s="196"/>
      <c r="N763" s="196"/>
      <c r="O763" s="155"/>
      <c r="P763" s="284"/>
      <c r="Q763" s="284"/>
      <c r="R763" s="284"/>
      <c r="S763" s="284"/>
      <c r="T763" s="284"/>
      <c r="U763" s="284"/>
      <c r="V763" s="284"/>
      <c r="W763" s="284"/>
      <c r="X763" s="284"/>
      <c r="Y763" s="284"/>
      <c r="Z763" s="284"/>
    </row>
    <row r="764" ht="22.5" customHeight="1">
      <c r="A764" s="379" t="s">
        <v>637</v>
      </c>
      <c r="B764" s="420" t="s">
        <v>6404</v>
      </c>
      <c r="C764" s="456" t="s">
        <v>6132</v>
      </c>
      <c r="D764" s="358" t="s">
        <v>5274</v>
      </c>
      <c r="E764" s="383" t="s">
        <v>19</v>
      </c>
      <c r="F764" s="289" t="s">
        <v>5275</v>
      </c>
      <c r="G764" s="383" t="s">
        <v>19</v>
      </c>
      <c r="H764" s="289" t="s">
        <v>21</v>
      </c>
      <c r="I764" s="384" t="s">
        <v>5279</v>
      </c>
      <c r="J764" s="289" t="s">
        <v>22</v>
      </c>
      <c r="K764" s="384" t="s">
        <v>5279</v>
      </c>
      <c r="L764" s="144"/>
      <c r="M764" s="197"/>
      <c r="N764" s="197"/>
      <c r="O764" s="147"/>
      <c r="P764" s="284"/>
      <c r="Q764" s="284"/>
      <c r="R764" s="284"/>
      <c r="S764" s="284"/>
      <c r="T764" s="284"/>
      <c r="U764" s="284"/>
      <c r="V764" s="284"/>
      <c r="W764" s="284"/>
      <c r="X764" s="284"/>
      <c r="Y764" s="284"/>
      <c r="Z764" s="284"/>
    </row>
    <row r="765" ht="22.5" customHeight="1">
      <c r="A765" s="299" t="s">
        <v>637</v>
      </c>
      <c r="B765" s="313" t="s">
        <v>6405</v>
      </c>
      <c r="C765" s="450" t="s">
        <v>40</v>
      </c>
      <c r="D765" s="293" t="s">
        <v>5274</v>
      </c>
      <c r="E765" s="311" t="s">
        <v>31</v>
      </c>
      <c r="F765" s="294" t="s">
        <v>5275</v>
      </c>
      <c r="G765" s="363" t="s">
        <v>19</v>
      </c>
      <c r="H765" s="294" t="s">
        <v>21</v>
      </c>
      <c r="I765" s="227" t="s">
        <v>5279</v>
      </c>
      <c r="J765" s="294" t="s">
        <v>22</v>
      </c>
      <c r="K765" s="363" t="s">
        <v>19</v>
      </c>
      <c r="L765" s="152"/>
      <c r="M765" s="196"/>
      <c r="N765" s="196"/>
      <c r="O765" s="155"/>
      <c r="P765" s="284"/>
      <c r="Q765" s="284"/>
      <c r="R765" s="284"/>
      <c r="S765" s="284"/>
      <c r="T765" s="284"/>
      <c r="U765" s="284"/>
      <c r="V765" s="284"/>
      <c r="W765" s="284"/>
      <c r="X765" s="284"/>
      <c r="Y765" s="284"/>
      <c r="Z765" s="284"/>
    </row>
    <row r="766" ht="22.5" customHeight="1">
      <c r="A766" s="285" t="s">
        <v>637</v>
      </c>
      <c r="B766" s="159" t="s">
        <v>6406</v>
      </c>
      <c r="C766" s="349" t="s">
        <v>40</v>
      </c>
      <c r="D766" s="358" t="s">
        <v>5274</v>
      </c>
      <c r="E766" s="288" t="s">
        <v>19</v>
      </c>
      <c r="F766" s="289" t="s">
        <v>5275</v>
      </c>
      <c r="G766" s="288" t="s">
        <v>19</v>
      </c>
      <c r="H766" s="289" t="s">
        <v>21</v>
      </c>
      <c r="I766" s="297" t="s">
        <v>31</v>
      </c>
      <c r="J766" s="289" t="s">
        <v>22</v>
      </c>
      <c r="K766" s="288" t="s">
        <v>19</v>
      </c>
      <c r="L766" s="144"/>
      <c r="M766" s="197"/>
      <c r="N766" s="197"/>
      <c r="O766" s="147"/>
      <c r="P766" s="284"/>
      <c r="Q766" s="284"/>
      <c r="R766" s="284"/>
      <c r="S766" s="284"/>
      <c r="T766" s="284"/>
      <c r="U766" s="284"/>
      <c r="V766" s="284"/>
      <c r="W766" s="284"/>
      <c r="X766" s="284"/>
      <c r="Y766" s="284"/>
      <c r="Z766" s="284"/>
    </row>
    <row r="767" ht="22.5" customHeight="1">
      <c r="A767" s="299" t="s">
        <v>637</v>
      </c>
      <c r="B767" s="313" t="s">
        <v>6407</v>
      </c>
      <c r="C767" s="441" t="s">
        <v>6132</v>
      </c>
      <c r="D767" s="293" t="s">
        <v>5274</v>
      </c>
      <c r="E767" s="363" t="s">
        <v>19</v>
      </c>
      <c r="F767" s="294" t="s">
        <v>5275</v>
      </c>
      <c r="G767" s="363" t="s">
        <v>19</v>
      </c>
      <c r="H767" s="294" t="s">
        <v>21</v>
      </c>
      <c r="I767" s="227" t="s">
        <v>5279</v>
      </c>
      <c r="J767" s="294" t="s">
        <v>22</v>
      </c>
      <c r="K767" s="227" t="s">
        <v>5279</v>
      </c>
      <c r="L767" s="152"/>
      <c r="M767" s="196"/>
      <c r="N767" s="196"/>
      <c r="O767" s="155"/>
      <c r="P767" s="284"/>
      <c r="Q767" s="284"/>
      <c r="R767" s="284"/>
      <c r="S767" s="284"/>
      <c r="T767" s="284"/>
      <c r="U767" s="284"/>
      <c r="V767" s="284"/>
      <c r="W767" s="284"/>
      <c r="X767" s="284"/>
      <c r="Y767" s="284"/>
      <c r="Z767" s="284"/>
    </row>
    <row r="768" ht="22.5" customHeight="1">
      <c r="A768" s="379" t="s">
        <v>637</v>
      </c>
      <c r="B768" s="420" t="s">
        <v>6408</v>
      </c>
      <c r="C768" s="456" t="s">
        <v>6132</v>
      </c>
      <c r="D768" s="358" t="s">
        <v>5274</v>
      </c>
      <c r="E768" s="383" t="s">
        <v>19</v>
      </c>
      <c r="F768" s="289" t="s">
        <v>5275</v>
      </c>
      <c r="G768" s="383" t="s">
        <v>19</v>
      </c>
      <c r="H768" s="289" t="s">
        <v>21</v>
      </c>
      <c r="I768" s="384" t="s">
        <v>5279</v>
      </c>
      <c r="J768" s="289" t="s">
        <v>22</v>
      </c>
      <c r="K768" s="384" t="s">
        <v>5279</v>
      </c>
      <c r="L768" s="144"/>
      <c r="M768" s="197"/>
      <c r="N768" s="197"/>
      <c r="O768" s="147"/>
      <c r="P768" s="284"/>
      <c r="Q768" s="284"/>
      <c r="R768" s="284"/>
      <c r="S768" s="284"/>
      <c r="T768" s="284"/>
      <c r="U768" s="284"/>
      <c r="V768" s="284"/>
      <c r="W768" s="284"/>
      <c r="X768" s="284"/>
      <c r="Y768" s="284"/>
      <c r="Z768" s="284"/>
    </row>
    <row r="769" ht="22.5" customHeight="1">
      <c r="A769" s="299" t="s">
        <v>637</v>
      </c>
      <c r="B769" s="313" t="s">
        <v>6409</v>
      </c>
      <c r="C769" s="441" t="s">
        <v>6132</v>
      </c>
      <c r="D769" s="293" t="s">
        <v>5274</v>
      </c>
      <c r="E769" s="363" t="s">
        <v>19</v>
      </c>
      <c r="F769" s="294" t="s">
        <v>5275</v>
      </c>
      <c r="G769" s="363" t="s">
        <v>19</v>
      </c>
      <c r="H769" s="294" t="s">
        <v>21</v>
      </c>
      <c r="I769" s="227" t="s">
        <v>5279</v>
      </c>
      <c r="J769" s="294" t="s">
        <v>22</v>
      </c>
      <c r="K769" s="227" t="s">
        <v>5279</v>
      </c>
      <c r="L769" s="152"/>
      <c r="M769" s="196"/>
      <c r="N769" s="196"/>
      <c r="O769" s="155"/>
      <c r="P769" s="284"/>
      <c r="Q769" s="284"/>
      <c r="R769" s="284"/>
      <c r="S769" s="284"/>
      <c r="T769" s="284"/>
      <c r="U769" s="284"/>
      <c r="V769" s="284"/>
      <c r="W769" s="284"/>
      <c r="X769" s="284"/>
      <c r="Y769" s="284"/>
      <c r="Z769" s="284"/>
    </row>
    <row r="770" ht="22.5" customHeight="1">
      <c r="A770" s="285" t="s">
        <v>637</v>
      </c>
      <c r="B770" s="159" t="s">
        <v>6410</v>
      </c>
      <c r="C770" s="349" t="s">
        <v>40</v>
      </c>
      <c r="D770" s="358" t="s">
        <v>5274</v>
      </c>
      <c r="E770" s="288" t="s">
        <v>19</v>
      </c>
      <c r="F770" s="289" t="s">
        <v>5275</v>
      </c>
      <c r="G770" s="297" t="s">
        <v>31</v>
      </c>
      <c r="H770" s="289" t="s">
        <v>21</v>
      </c>
      <c r="I770" s="204" t="s">
        <v>5279</v>
      </c>
      <c r="J770" s="289" t="s">
        <v>22</v>
      </c>
      <c r="K770" s="297" t="s">
        <v>31</v>
      </c>
      <c r="L770" s="144"/>
      <c r="M770" s="197"/>
      <c r="N770" s="197"/>
      <c r="O770" s="147"/>
      <c r="P770" s="284"/>
      <c r="Q770" s="284"/>
      <c r="R770" s="284"/>
      <c r="S770" s="284"/>
      <c r="T770" s="284"/>
      <c r="U770" s="284"/>
      <c r="V770" s="284"/>
      <c r="W770" s="284"/>
      <c r="X770" s="284"/>
      <c r="Y770" s="284"/>
      <c r="Z770" s="284"/>
    </row>
    <row r="771" ht="22.5" customHeight="1">
      <c r="A771" s="299" t="s">
        <v>637</v>
      </c>
      <c r="B771" s="313" t="s">
        <v>6411</v>
      </c>
      <c r="C771" s="433" t="s">
        <v>6132</v>
      </c>
      <c r="D771" s="293" t="s">
        <v>5274</v>
      </c>
      <c r="E771" s="363" t="s">
        <v>19</v>
      </c>
      <c r="F771" s="294" t="s">
        <v>5275</v>
      </c>
      <c r="G771" s="363" t="s">
        <v>19</v>
      </c>
      <c r="H771" s="294" t="s">
        <v>21</v>
      </c>
      <c r="I771" s="363" t="s">
        <v>19</v>
      </c>
      <c r="J771" s="294" t="s">
        <v>22</v>
      </c>
      <c r="K771" s="312" t="s">
        <v>5279</v>
      </c>
      <c r="L771" s="152"/>
      <c r="M771" s="196"/>
      <c r="N771" s="196"/>
      <c r="O771" s="155"/>
      <c r="P771" s="284"/>
      <c r="Q771" s="284"/>
      <c r="R771" s="284"/>
      <c r="S771" s="284"/>
      <c r="T771" s="284"/>
      <c r="U771" s="284"/>
      <c r="V771" s="284"/>
      <c r="W771" s="284"/>
      <c r="X771" s="284"/>
      <c r="Y771" s="284"/>
      <c r="Z771" s="284"/>
    </row>
    <row r="772" ht="22.5" customHeight="1">
      <c r="A772" s="285" t="s">
        <v>637</v>
      </c>
      <c r="B772" s="159" t="s">
        <v>6412</v>
      </c>
      <c r="C772" s="342" t="s">
        <v>49</v>
      </c>
      <c r="D772" s="358" t="s">
        <v>5274</v>
      </c>
      <c r="E772" s="204" t="s">
        <v>640</v>
      </c>
      <c r="F772" s="289" t="s">
        <v>5275</v>
      </c>
      <c r="G772" s="297" t="s">
        <v>31</v>
      </c>
      <c r="H772" s="289" t="s">
        <v>21</v>
      </c>
      <c r="I772" s="297" t="s">
        <v>31</v>
      </c>
      <c r="J772" s="289" t="s">
        <v>22</v>
      </c>
      <c r="K772" s="204" t="s">
        <v>5279</v>
      </c>
      <c r="L772" s="144"/>
      <c r="M772" s="197"/>
      <c r="N772" s="197"/>
      <c r="O772" s="147"/>
      <c r="P772" s="284"/>
      <c r="Q772" s="284"/>
      <c r="R772" s="284"/>
      <c r="S772" s="284"/>
      <c r="T772" s="284"/>
      <c r="U772" s="284"/>
      <c r="V772" s="284"/>
      <c r="W772" s="284"/>
      <c r="X772" s="284"/>
      <c r="Y772" s="284"/>
      <c r="Z772" s="284"/>
    </row>
    <row r="773" ht="22.5" customHeight="1">
      <c r="A773" s="299" t="s">
        <v>637</v>
      </c>
      <c r="B773" s="313" t="s">
        <v>6413</v>
      </c>
      <c r="C773" s="441" t="s">
        <v>6132</v>
      </c>
      <c r="D773" s="293" t="s">
        <v>5274</v>
      </c>
      <c r="E773" s="363" t="s">
        <v>19</v>
      </c>
      <c r="F773" s="294" t="s">
        <v>5275</v>
      </c>
      <c r="G773" s="363" t="s">
        <v>19</v>
      </c>
      <c r="H773" s="294" t="s">
        <v>21</v>
      </c>
      <c r="I773" s="227" t="s">
        <v>5279</v>
      </c>
      <c r="J773" s="294" t="s">
        <v>22</v>
      </c>
      <c r="K773" s="227" t="s">
        <v>5279</v>
      </c>
      <c r="L773" s="152"/>
      <c r="M773" s="196"/>
      <c r="N773" s="196"/>
      <c r="O773" s="155"/>
      <c r="P773" s="284"/>
      <c r="Q773" s="284"/>
      <c r="R773" s="284"/>
      <c r="S773" s="284"/>
      <c r="T773" s="284"/>
      <c r="U773" s="284"/>
      <c r="V773" s="284"/>
      <c r="W773" s="284"/>
      <c r="X773" s="284"/>
      <c r="Y773" s="284"/>
      <c r="Z773" s="284"/>
    </row>
    <row r="774" ht="22.5" customHeight="1">
      <c r="A774" s="379" t="s">
        <v>637</v>
      </c>
      <c r="B774" s="420" t="s">
        <v>6414</v>
      </c>
      <c r="C774" s="458" t="s">
        <v>6132</v>
      </c>
      <c r="D774" s="358" t="s">
        <v>5274</v>
      </c>
      <c r="E774" s="383" t="s">
        <v>19</v>
      </c>
      <c r="F774" s="289" t="s">
        <v>5275</v>
      </c>
      <c r="G774" s="383" t="s">
        <v>19</v>
      </c>
      <c r="H774" s="289" t="s">
        <v>21</v>
      </c>
      <c r="I774" s="384" t="s">
        <v>5279</v>
      </c>
      <c r="J774" s="289" t="s">
        <v>22</v>
      </c>
      <c r="K774" s="384" t="s">
        <v>5279</v>
      </c>
      <c r="L774" s="144"/>
      <c r="M774" s="197"/>
      <c r="N774" s="197"/>
      <c r="O774" s="147"/>
      <c r="P774" s="284"/>
      <c r="Q774" s="284"/>
      <c r="R774" s="284"/>
      <c r="S774" s="284"/>
      <c r="T774" s="284"/>
      <c r="U774" s="284"/>
      <c r="V774" s="284"/>
      <c r="W774" s="284"/>
      <c r="X774" s="284"/>
      <c r="Y774" s="284"/>
      <c r="Z774" s="284"/>
    </row>
    <row r="775" ht="22.5" customHeight="1">
      <c r="A775" s="299" t="s">
        <v>6415</v>
      </c>
      <c r="B775" s="313" t="s">
        <v>6416</v>
      </c>
      <c r="C775" s="450" t="s">
        <v>40</v>
      </c>
      <c r="D775" s="293" t="s">
        <v>5274</v>
      </c>
      <c r="E775" s="311" t="s">
        <v>31</v>
      </c>
      <c r="F775" s="294" t="s">
        <v>5275</v>
      </c>
      <c r="G775" s="363" t="s">
        <v>19</v>
      </c>
      <c r="H775" s="294" t="s">
        <v>21</v>
      </c>
      <c r="I775" s="311" t="s">
        <v>31</v>
      </c>
      <c r="J775" s="294" t="s">
        <v>22</v>
      </c>
      <c r="K775" s="227" t="s">
        <v>5279</v>
      </c>
      <c r="L775" s="152"/>
      <c r="M775" s="196"/>
      <c r="N775" s="196"/>
      <c r="O775" s="155"/>
      <c r="P775" s="284"/>
      <c r="Q775" s="284"/>
      <c r="R775" s="284"/>
      <c r="S775" s="284"/>
      <c r="T775" s="284"/>
      <c r="U775" s="284"/>
      <c r="V775" s="284"/>
      <c r="W775" s="284"/>
      <c r="X775" s="284"/>
      <c r="Y775" s="284"/>
      <c r="Z775" s="284"/>
    </row>
    <row r="776" ht="22.5" customHeight="1">
      <c r="A776" s="379" t="s">
        <v>637</v>
      </c>
      <c r="B776" s="420" t="s">
        <v>6417</v>
      </c>
      <c r="C776" s="453" t="s">
        <v>6132</v>
      </c>
      <c r="D776" s="358" t="s">
        <v>5274</v>
      </c>
      <c r="E776" s="383" t="s">
        <v>19</v>
      </c>
      <c r="F776" s="289" t="s">
        <v>5275</v>
      </c>
      <c r="G776" s="384" t="s">
        <v>5279</v>
      </c>
      <c r="H776" s="289" t="s">
        <v>21</v>
      </c>
      <c r="I776" s="384" t="s">
        <v>5279</v>
      </c>
      <c r="J776" s="289" t="s">
        <v>22</v>
      </c>
      <c r="K776" s="393" t="s">
        <v>31</v>
      </c>
      <c r="L776" s="144"/>
      <c r="M776" s="197"/>
      <c r="N776" s="197"/>
      <c r="O776" s="147"/>
      <c r="P776" s="284"/>
      <c r="Q776" s="284"/>
      <c r="R776" s="284"/>
      <c r="S776" s="284"/>
      <c r="T776" s="284"/>
      <c r="U776" s="284"/>
      <c r="V776" s="284"/>
      <c r="W776" s="284"/>
      <c r="X776" s="284"/>
      <c r="Y776" s="284"/>
      <c r="Z776" s="284"/>
    </row>
    <row r="777" ht="22.5" customHeight="1">
      <c r="A777" s="299" t="s">
        <v>637</v>
      </c>
      <c r="B777" s="313" t="s">
        <v>6418</v>
      </c>
      <c r="C777" s="450" t="s">
        <v>40</v>
      </c>
      <c r="D777" s="293" t="s">
        <v>5274</v>
      </c>
      <c r="E777" s="227" t="s">
        <v>640</v>
      </c>
      <c r="F777" s="294" t="s">
        <v>5275</v>
      </c>
      <c r="G777" s="311" t="s">
        <v>31</v>
      </c>
      <c r="H777" s="294" t="s">
        <v>21</v>
      </c>
      <c r="I777" s="363" t="s">
        <v>19</v>
      </c>
      <c r="J777" s="294" t="s">
        <v>22</v>
      </c>
      <c r="K777" s="227" t="s">
        <v>5279</v>
      </c>
      <c r="L777" s="152"/>
      <c r="M777" s="196"/>
      <c r="N777" s="196"/>
      <c r="O777" s="155"/>
      <c r="P777" s="284"/>
      <c r="Q777" s="284"/>
      <c r="R777" s="284"/>
      <c r="S777" s="284"/>
      <c r="T777" s="284"/>
      <c r="U777" s="284"/>
      <c r="V777" s="284"/>
      <c r="W777" s="284"/>
      <c r="X777" s="284"/>
      <c r="Y777" s="284"/>
      <c r="Z777" s="284"/>
    </row>
    <row r="778" ht="22.5" customHeight="1">
      <c r="A778" s="379" t="s">
        <v>637</v>
      </c>
      <c r="B778" s="420" t="s">
        <v>6419</v>
      </c>
      <c r="C778" s="458" t="s">
        <v>6132</v>
      </c>
      <c r="D778" s="358" t="s">
        <v>5274</v>
      </c>
      <c r="E778" s="383" t="s">
        <v>19</v>
      </c>
      <c r="F778" s="289" t="s">
        <v>5275</v>
      </c>
      <c r="G778" s="383" t="s">
        <v>19</v>
      </c>
      <c r="H778" s="289" t="s">
        <v>21</v>
      </c>
      <c r="I778" s="384" t="s">
        <v>5279</v>
      </c>
      <c r="J778" s="289" t="s">
        <v>22</v>
      </c>
      <c r="K778" s="384" t="s">
        <v>5279</v>
      </c>
      <c r="L778" s="144"/>
      <c r="M778" s="197"/>
      <c r="N778" s="197"/>
      <c r="O778" s="147"/>
      <c r="P778" s="284"/>
      <c r="Q778" s="284"/>
      <c r="R778" s="284"/>
      <c r="S778" s="284"/>
      <c r="T778" s="284"/>
      <c r="U778" s="284"/>
      <c r="V778" s="284"/>
      <c r="W778" s="284"/>
      <c r="X778" s="284"/>
      <c r="Y778" s="284"/>
      <c r="Z778" s="284"/>
    </row>
    <row r="779" ht="22.5" customHeight="1">
      <c r="A779" s="299" t="s">
        <v>6420</v>
      </c>
      <c r="B779" s="313" t="s">
        <v>6421</v>
      </c>
      <c r="C779" s="432" t="s">
        <v>49</v>
      </c>
      <c r="D779" s="293" t="s">
        <v>5274</v>
      </c>
      <c r="E779" s="363" t="s">
        <v>19</v>
      </c>
      <c r="F779" s="294" t="s">
        <v>5275</v>
      </c>
      <c r="G779" s="311" t="s">
        <v>31</v>
      </c>
      <c r="H779" s="294" t="s">
        <v>21</v>
      </c>
      <c r="I779" s="311" t="s">
        <v>31</v>
      </c>
      <c r="J779" s="294" t="s">
        <v>22</v>
      </c>
      <c r="K779" s="311" t="s">
        <v>31</v>
      </c>
      <c r="L779" s="152"/>
      <c r="M779" s="196"/>
      <c r="N779" s="196"/>
      <c r="O779" s="155"/>
      <c r="P779" s="284"/>
      <c r="Q779" s="284"/>
      <c r="R779" s="284"/>
      <c r="S779" s="284"/>
      <c r="T779" s="284"/>
      <c r="U779" s="284"/>
      <c r="V779" s="284"/>
      <c r="W779" s="284"/>
      <c r="X779" s="284"/>
      <c r="Y779" s="284"/>
      <c r="Z779" s="284"/>
    </row>
    <row r="780" ht="22.5" customHeight="1">
      <c r="A780" s="368"/>
      <c r="B780" s="159" t="s">
        <v>6422</v>
      </c>
      <c r="C780" s="349" t="s">
        <v>40</v>
      </c>
      <c r="D780" s="358" t="s">
        <v>5274</v>
      </c>
      <c r="E780" s="204" t="s">
        <v>640</v>
      </c>
      <c r="F780" s="289" t="s">
        <v>5275</v>
      </c>
      <c r="G780" s="297" t="s">
        <v>31</v>
      </c>
      <c r="H780" s="289" t="s">
        <v>21</v>
      </c>
      <c r="I780" s="288" t="s">
        <v>19</v>
      </c>
      <c r="J780" s="289" t="s">
        <v>22</v>
      </c>
      <c r="K780" s="204" t="s">
        <v>5279</v>
      </c>
      <c r="L780" s="144"/>
      <c r="M780" s="197"/>
      <c r="N780" s="197"/>
      <c r="O780" s="147"/>
      <c r="P780" s="284"/>
      <c r="Q780" s="284"/>
      <c r="R780" s="284"/>
      <c r="S780" s="284"/>
      <c r="T780" s="284"/>
      <c r="U780" s="284"/>
      <c r="V780" s="284"/>
      <c r="W780" s="284"/>
      <c r="X780" s="284"/>
      <c r="Y780" s="284"/>
      <c r="Z780" s="284"/>
    </row>
    <row r="781" ht="22.5" customHeight="1">
      <c r="A781" s="299" t="s">
        <v>637</v>
      </c>
      <c r="B781" s="313" t="s">
        <v>6423</v>
      </c>
      <c r="C781" s="441" t="s">
        <v>6132</v>
      </c>
      <c r="D781" s="293" t="s">
        <v>5274</v>
      </c>
      <c r="E781" s="363" t="s">
        <v>19</v>
      </c>
      <c r="F781" s="294" t="s">
        <v>5275</v>
      </c>
      <c r="G781" s="363" t="s">
        <v>19</v>
      </c>
      <c r="H781" s="294" t="s">
        <v>21</v>
      </c>
      <c r="I781" s="227" t="s">
        <v>5279</v>
      </c>
      <c r="J781" s="294" t="s">
        <v>22</v>
      </c>
      <c r="K781" s="227" t="s">
        <v>5279</v>
      </c>
      <c r="L781" s="152"/>
      <c r="M781" s="196"/>
      <c r="N781" s="196"/>
      <c r="O781" s="155"/>
      <c r="P781" s="284"/>
      <c r="Q781" s="284"/>
      <c r="R781" s="284"/>
      <c r="S781" s="284"/>
      <c r="T781" s="284"/>
      <c r="U781" s="284"/>
      <c r="V781" s="284"/>
      <c r="W781" s="284"/>
      <c r="X781" s="284"/>
      <c r="Y781" s="284"/>
      <c r="Z781" s="284"/>
    </row>
    <row r="782" ht="22.5" customHeight="1">
      <c r="A782" s="379" t="s">
        <v>637</v>
      </c>
      <c r="B782" s="420" t="s">
        <v>6424</v>
      </c>
      <c r="C782" s="458" t="s">
        <v>6132</v>
      </c>
      <c r="D782" s="358" t="s">
        <v>5274</v>
      </c>
      <c r="E782" s="383" t="s">
        <v>19</v>
      </c>
      <c r="F782" s="289" t="s">
        <v>5275</v>
      </c>
      <c r="G782" s="383" t="s">
        <v>19</v>
      </c>
      <c r="H782" s="289" t="s">
        <v>21</v>
      </c>
      <c r="I782" s="384" t="s">
        <v>5279</v>
      </c>
      <c r="J782" s="289" t="s">
        <v>22</v>
      </c>
      <c r="K782" s="384" t="s">
        <v>5279</v>
      </c>
      <c r="L782" s="144"/>
      <c r="M782" s="197"/>
      <c r="N782" s="197"/>
      <c r="O782" s="147"/>
      <c r="P782" s="284"/>
      <c r="Q782" s="284"/>
      <c r="R782" s="284"/>
      <c r="S782" s="284"/>
      <c r="T782" s="284"/>
      <c r="U782" s="284"/>
      <c r="V782" s="284"/>
      <c r="W782" s="284"/>
      <c r="X782" s="284"/>
      <c r="Y782" s="284"/>
      <c r="Z782" s="284"/>
    </row>
    <row r="783" ht="22.5" customHeight="1">
      <c r="A783" s="299" t="s">
        <v>267</v>
      </c>
      <c r="B783" s="313" t="s">
        <v>6425</v>
      </c>
      <c r="C783" s="479" t="s">
        <v>635</v>
      </c>
      <c r="D783" s="293" t="s">
        <v>5274</v>
      </c>
      <c r="E783" s="363" t="s">
        <v>19</v>
      </c>
      <c r="F783" s="294" t="s">
        <v>5275</v>
      </c>
      <c r="G783" s="363" t="s">
        <v>19</v>
      </c>
      <c r="H783" s="294" t="s">
        <v>21</v>
      </c>
      <c r="I783" s="363" t="s">
        <v>19</v>
      </c>
      <c r="J783" s="294" t="s">
        <v>22</v>
      </c>
      <c r="K783" s="227" t="s">
        <v>5279</v>
      </c>
      <c r="L783" s="152"/>
      <c r="M783" s="196"/>
      <c r="N783" s="196"/>
      <c r="O783" s="155"/>
      <c r="P783" s="284"/>
      <c r="Q783" s="284"/>
      <c r="R783" s="284"/>
      <c r="S783" s="284"/>
      <c r="T783" s="284"/>
      <c r="U783" s="284"/>
      <c r="V783" s="284"/>
      <c r="W783" s="284"/>
      <c r="X783" s="284"/>
      <c r="Y783" s="284"/>
      <c r="Z783" s="284"/>
    </row>
    <row r="784" ht="22.5" customHeight="1">
      <c r="A784" s="379" t="s">
        <v>637</v>
      </c>
      <c r="B784" s="420" t="s">
        <v>6426</v>
      </c>
      <c r="C784" s="458" t="s">
        <v>6132</v>
      </c>
      <c r="D784" s="358" t="s">
        <v>5274</v>
      </c>
      <c r="E784" s="383" t="s">
        <v>19</v>
      </c>
      <c r="F784" s="289" t="s">
        <v>5275</v>
      </c>
      <c r="G784" s="383" t="s">
        <v>19</v>
      </c>
      <c r="H784" s="289" t="s">
        <v>21</v>
      </c>
      <c r="I784" s="383" t="s">
        <v>19</v>
      </c>
      <c r="J784" s="289" t="s">
        <v>22</v>
      </c>
      <c r="K784" s="384" t="s">
        <v>5279</v>
      </c>
      <c r="L784" s="144"/>
      <c r="M784" s="197"/>
      <c r="N784" s="197"/>
      <c r="O784" s="147"/>
      <c r="P784" s="284"/>
      <c r="Q784" s="284"/>
      <c r="R784" s="284"/>
      <c r="S784" s="284"/>
      <c r="T784" s="284"/>
      <c r="U784" s="284"/>
      <c r="V784" s="284"/>
      <c r="W784" s="284"/>
      <c r="X784" s="284"/>
      <c r="Y784" s="284"/>
      <c r="Z784" s="284"/>
    </row>
    <row r="785" ht="22.5" customHeight="1">
      <c r="A785" s="299" t="s">
        <v>4563</v>
      </c>
      <c r="B785" s="313" t="s">
        <v>6427</v>
      </c>
      <c r="C785" s="441" t="s">
        <v>6132</v>
      </c>
      <c r="D785" s="293" t="s">
        <v>5274</v>
      </c>
      <c r="E785" s="227" t="s">
        <v>640</v>
      </c>
      <c r="F785" s="294" t="s">
        <v>5275</v>
      </c>
      <c r="G785" s="363" t="s">
        <v>19</v>
      </c>
      <c r="H785" s="294" t="s">
        <v>21</v>
      </c>
      <c r="I785" s="363" t="s">
        <v>19</v>
      </c>
      <c r="J785" s="294" t="s">
        <v>22</v>
      </c>
      <c r="K785" s="227" t="s">
        <v>5279</v>
      </c>
      <c r="L785" s="152"/>
      <c r="M785" s="196"/>
      <c r="N785" s="196"/>
      <c r="O785" s="155"/>
      <c r="P785" s="284"/>
      <c r="Q785" s="284"/>
      <c r="R785" s="284"/>
      <c r="S785" s="284"/>
      <c r="T785" s="284"/>
      <c r="U785" s="284"/>
      <c r="V785" s="284"/>
      <c r="W785" s="284"/>
      <c r="X785" s="284"/>
      <c r="Y785" s="284"/>
      <c r="Z785" s="284"/>
    </row>
    <row r="786" ht="22.5" customHeight="1">
      <c r="A786" s="379" t="s">
        <v>637</v>
      </c>
      <c r="B786" s="420" t="s">
        <v>6428</v>
      </c>
      <c r="C786" s="458" t="s">
        <v>6132</v>
      </c>
      <c r="D786" s="358" t="s">
        <v>5274</v>
      </c>
      <c r="E786" s="384" t="s">
        <v>640</v>
      </c>
      <c r="F786" s="289" t="s">
        <v>5275</v>
      </c>
      <c r="G786" s="383" t="s">
        <v>19</v>
      </c>
      <c r="H786" s="289" t="s">
        <v>21</v>
      </c>
      <c r="I786" s="383" t="s">
        <v>19</v>
      </c>
      <c r="J786" s="289" t="s">
        <v>22</v>
      </c>
      <c r="K786" s="384" t="s">
        <v>5279</v>
      </c>
      <c r="L786" s="144"/>
      <c r="M786" s="197"/>
      <c r="N786" s="197"/>
      <c r="O786" s="147"/>
      <c r="P786" s="284"/>
      <c r="Q786" s="284"/>
      <c r="R786" s="284"/>
      <c r="S786" s="284"/>
      <c r="T786" s="284"/>
      <c r="U786" s="284"/>
      <c r="V786" s="284"/>
      <c r="W786" s="284"/>
      <c r="X786" s="284"/>
      <c r="Y786" s="284"/>
      <c r="Z786" s="284"/>
    </row>
    <row r="787" ht="22.5" customHeight="1">
      <c r="A787" s="299" t="s">
        <v>637</v>
      </c>
      <c r="B787" s="313" t="s">
        <v>6429</v>
      </c>
      <c r="C787" s="432" t="s">
        <v>49</v>
      </c>
      <c r="D787" s="293" t="s">
        <v>5274</v>
      </c>
      <c r="E787" s="227" t="s">
        <v>640</v>
      </c>
      <c r="F787" s="294" t="s">
        <v>5275</v>
      </c>
      <c r="G787" s="363" t="s">
        <v>19</v>
      </c>
      <c r="H787" s="294" t="s">
        <v>21</v>
      </c>
      <c r="I787" s="311" t="s">
        <v>31</v>
      </c>
      <c r="J787" s="294" t="s">
        <v>22</v>
      </c>
      <c r="K787" s="227" t="s">
        <v>5279</v>
      </c>
      <c r="L787" s="152"/>
      <c r="M787" s="196"/>
      <c r="N787" s="196"/>
      <c r="O787" s="155"/>
      <c r="P787" s="284"/>
      <c r="Q787" s="284"/>
      <c r="R787" s="284"/>
      <c r="S787" s="284"/>
      <c r="T787" s="284"/>
      <c r="U787" s="284"/>
      <c r="V787" s="284"/>
      <c r="W787" s="284"/>
      <c r="X787" s="284"/>
      <c r="Y787" s="284"/>
      <c r="Z787" s="284"/>
    </row>
    <row r="788" ht="22.5" customHeight="1">
      <c r="A788" s="379" t="s">
        <v>637</v>
      </c>
      <c r="B788" s="420" t="s">
        <v>6430</v>
      </c>
      <c r="C788" s="458" t="s">
        <v>6132</v>
      </c>
      <c r="D788" s="358" t="s">
        <v>5274</v>
      </c>
      <c r="E788" s="384" t="s">
        <v>640</v>
      </c>
      <c r="F788" s="289" t="s">
        <v>5275</v>
      </c>
      <c r="G788" s="383" t="s">
        <v>19</v>
      </c>
      <c r="H788" s="289" t="s">
        <v>21</v>
      </c>
      <c r="I788" s="383" t="s">
        <v>19</v>
      </c>
      <c r="J788" s="289" t="s">
        <v>22</v>
      </c>
      <c r="K788" s="384" t="s">
        <v>5279</v>
      </c>
      <c r="L788" s="144"/>
      <c r="M788" s="197"/>
      <c r="N788" s="197"/>
      <c r="O788" s="147"/>
      <c r="P788" s="284"/>
      <c r="Q788" s="284"/>
      <c r="R788" s="284"/>
      <c r="S788" s="284"/>
      <c r="T788" s="284"/>
      <c r="U788" s="284"/>
      <c r="V788" s="284"/>
      <c r="W788" s="284"/>
      <c r="X788" s="284"/>
      <c r="Y788" s="284"/>
      <c r="Z788" s="284"/>
    </row>
    <row r="789" ht="22.5" customHeight="1">
      <c r="A789" s="299" t="s">
        <v>4769</v>
      </c>
      <c r="B789" s="313" t="s">
        <v>6160</v>
      </c>
      <c r="C789" s="441" t="s">
        <v>6132</v>
      </c>
      <c r="D789" s="293" t="s">
        <v>5274</v>
      </c>
      <c r="E789" s="227" t="s">
        <v>640</v>
      </c>
      <c r="F789" s="294" t="s">
        <v>5275</v>
      </c>
      <c r="G789" s="363" t="s">
        <v>19</v>
      </c>
      <c r="H789" s="294" t="s">
        <v>21</v>
      </c>
      <c r="I789" s="227" t="s">
        <v>5279</v>
      </c>
      <c r="J789" s="294" t="s">
        <v>22</v>
      </c>
      <c r="K789" s="227" t="s">
        <v>5279</v>
      </c>
      <c r="L789" s="152"/>
      <c r="M789" s="196"/>
      <c r="N789" s="196"/>
      <c r="O789" s="155"/>
      <c r="P789" s="284"/>
      <c r="Q789" s="284"/>
      <c r="R789" s="284"/>
      <c r="S789" s="284"/>
      <c r="T789" s="284"/>
      <c r="U789" s="284"/>
      <c r="V789" s="284"/>
      <c r="W789" s="284"/>
      <c r="X789" s="284"/>
      <c r="Y789" s="284"/>
      <c r="Z789" s="284"/>
    </row>
    <row r="790" ht="22.5" customHeight="1">
      <c r="A790" s="430"/>
      <c r="B790" s="420" t="s">
        <v>6431</v>
      </c>
      <c r="C790" s="458" t="s">
        <v>6132</v>
      </c>
      <c r="D790" s="358" t="s">
        <v>5274</v>
      </c>
      <c r="E790" s="384" t="s">
        <v>640</v>
      </c>
      <c r="F790" s="289" t="s">
        <v>5275</v>
      </c>
      <c r="G790" s="383" t="s">
        <v>19</v>
      </c>
      <c r="H790" s="289" t="s">
        <v>21</v>
      </c>
      <c r="I790" s="384" t="s">
        <v>5279</v>
      </c>
      <c r="J790" s="289" t="s">
        <v>22</v>
      </c>
      <c r="K790" s="384" t="s">
        <v>5279</v>
      </c>
      <c r="L790" s="144"/>
      <c r="M790" s="197"/>
      <c r="N790" s="197"/>
      <c r="O790" s="147"/>
      <c r="P790" s="284"/>
      <c r="Q790" s="284"/>
      <c r="R790" s="284"/>
      <c r="S790" s="284"/>
      <c r="T790" s="284"/>
      <c r="U790" s="284"/>
      <c r="V790" s="284"/>
      <c r="W790" s="284"/>
      <c r="X790" s="284"/>
      <c r="Y790" s="284"/>
      <c r="Z790" s="284"/>
    </row>
    <row r="791" ht="22.5" customHeight="1">
      <c r="A791" s="299" t="s">
        <v>6432</v>
      </c>
      <c r="B791" s="313" t="s">
        <v>6433</v>
      </c>
      <c r="C791" s="194" t="s">
        <v>635</v>
      </c>
      <c r="D791" s="293" t="s">
        <v>5274</v>
      </c>
      <c r="E791" s="363" t="s">
        <v>19</v>
      </c>
      <c r="F791" s="294" t="s">
        <v>5275</v>
      </c>
      <c r="G791" s="311" t="s">
        <v>31</v>
      </c>
      <c r="H791" s="294" t="s">
        <v>21</v>
      </c>
      <c r="I791" s="227" t="s">
        <v>5279</v>
      </c>
      <c r="J791" s="294" t="s">
        <v>22</v>
      </c>
      <c r="K791" s="363" t="s">
        <v>19</v>
      </c>
      <c r="L791" s="165" t="s">
        <v>5280</v>
      </c>
      <c r="M791" s="158" t="s">
        <v>6434</v>
      </c>
      <c r="N791" s="196"/>
      <c r="O791" s="155"/>
      <c r="P791" s="284"/>
      <c r="Q791" s="284"/>
      <c r="R791" s="284"/>
      <c r="S791" s="284"/>
      <c r="T791" s="284"/>
      <c r="U791" s="284"/>
      <c r="V791" s="284"/>
      <c r="W791" s="284"/>
      <c r="X791" s="284"/>
      <c r="Y791" s="284"/>
      <c r="Z791" s="284"/>
    </row>
    <row r="792" ht="22.5" customHeight="1">
      <c r="A792" s="379" t="s">
        <v>637</v>
      </c>
      <c r="B792" s="452" t="s">
        <v>6435</v>
      </c>
      <c r="C792" s="453" t="s">
        <v>6132</v>
      </c>
      <c r="D792" s="358" t="s">
        <v>5274</v>
      </c>
      <c r="E792" s="383" t="s">
        <v>19</v>
      </c>
      <c r="F792" s="289" t="s">
        <v>5275</v>
      </c>
      <c r="G792" s="383" t="s">
        <v>19</v>
      </c>
      <c r="H792" s="289" t="s">
        <v>21</v>
      </c>
      <c r="I792" s="383" t="s">
        <v>19</v>
      </c>
      <c r="J792" s="289" t="s">
        <v>22</v>
      </c>
      <c r="K792" s="395" t="s">
        <v>19</v>
      </c>
      <c r="L792" s="173" t="s">
        <v>5280</v>
      </c>
      <c r="M792" s="159" t="s">
        <v>6436</v>
      </c>
      <c r="N792" s="197"/>
      <c r="O792" s="147"/>
      <c r="P792" s="284"/>
      <c r="Q792" s="284"/>
      <c r="R792" s="284"/>
      <c r="S792" s="284"/>
      <c r="T792" s="284"/>
      <c r="U792" s="284"/>
      <c r="V792" s="284"/>
      <c r="W792" s="284"/>
      <c r="X792" s="284"/>
      <c r="Y792" s="284"/>
      <c r="Z792" s="284"/>
    </row>
    <row r="793" ht="22.5" customHeight="1">
      <c r="A793" s="305" t="s">
        <v>6437</v>
      </c>
      <c r="B793" s="476" t="s">
        <v>6438</v>
      </c>
      <c r="C793" s="265" t="s">
        <v>40</v>
      </c>
      <c r="D793" s="293" t="s">
        <v>5274</v>
      </c>
      <c r="E793" s="311" t="s">
        <v>31</v>
      </c>
      <c r="F793" s="294" t="s">
        <v>5275</v>
      </c>
      <c r="G793" s="363" t="s">
        <v>19</v>
      </c>
      <c r="H793" s="294" t="s">
        <v>21</v>
      </c>
      <c r="I793" s="311" t="s">
        <v>31</v>
      </c>
      <c r="J793" s="294" t="s">
        <v>22</v>
      </c>
      <c r="K793" s="403" t="s">
        <v>31</v>
      </c>
      <c r="L793" s="248" t="s">
        <v>5276</v>
      </c>
      <c r="M793" s="196"/>
      <c r="N793" s="196"/>
      <c r="O793" s="155"/>
      <c r="P793" s="284"/>
      <c r="Q793" s="284"/>
      <c r="R793" s="284"/>
      <c r="S793" s="284"/>
      <c r="T793" s="284"/>
      <c r="U793" s="284"/>
      <c r="V793" s="284"/>
      <c r="W793" s="284"/>
      <c r="X793" s="284"/>
      <c r="Y793" s="284"/>
      <c r="Z793" s="284"/>
    </row>
    <row r="794" ht="22.5" customHeight="1">
      <c r="A794" s="379" t="s">
        <v>637</v>
      </c>
      <c r="B794" s="452" t="s">
        <v>6439</v>
      </c>
      <c r="C794" s="381" t="s">
        <v>2192</v>
      </c>
      <c r="D794" s="358" t="s">
        <v>5274</v>
      </c>
      <c r="E794" s="382" t="s">
        <v>31</v>
      </c>
      <c r="F794" s="289" t="s">
        <v>5275</v>
      </c>
      <c r="G794" s="384" t="s">
        <v>5279</v>
      </c>
      <c r="H794" s="289" t="s">
        <v>21</v>
      </c>
      <c r="I794" s="384" t="s">
        <v>5279</v>
      </c>
      <c r="J794" s="289" t="s">
        <v>22</v>
      </c>
      <c r="K794" s="395" t="s">
        <v>19</v>
      </c>
      <c r="L794" s="247" t="s">
        <v>5276</v>
      </c>
      <c r="M794" s="197"/>
      <c r="N794" s="197"/>
      <c r="O794" s="147"/>
      <c r="P794" s="284"/>
      <c r="Q794" s="284"/>
      <c r="R794" s="284"/>
      <c r="S794" s="284"/>
      <c r="T794" s="284"/>
      <c r="U794" s="284"/>
      <c r="V794" s="284"/>
      <c r="W794" s="284"/>
      <c r="X794" s="284"/>
      <c r="Y794" s="284"/>
      <c r="Z794" s="284"/>
    </row>
    <row r="795" ht="22.5" customHeight="1">
      <c r="A795" s="327" t="s">
        <v>6440</v>
      </c>
      <c r="B795" s="313" t="s">
        <v>6441</v>
      </c>
      <c r="C795" s="394" t="s">
        <v>5416</v>
      </c>
      <c r="D795" s="293" t="s">
        <v>5274</v>
      </c>
      <c r="E795" s="227" t="s">
        <v>640</v>
      </c>
      <c r="F795" s="294" t="s">
        <v>5275</v>
      </c>
      <c r="G795" s="227" t="s">
        <v>5279</v>
      </c>
      <c r="H795" s="294" t="s">
        <v>21</v>
      </c>
      <c r="I795" s="227" t="s">
        <v>5279</v>
      </c>
      <c r="J795" s="294" t="s">
        <v>22</v>
      </c>
      <c r="K795" s="312" t="s">
        <v>5279</v>
      </c>
      <c r="L795" s="165" t="s">
        <v>5280</v>
      </c>
      <c r="M795" s="158" t="s">
        <v>5440</v>
      </c>
      <c r="N795" s="196"/>
      <c r="O795" s="155"/>
      <c r="P795" s="284"/>
      <c r="Q795" s="284"/>
      <c r="R795" s="284"/>
      <c r="S795" s="284"/>
      <c r="T795" s="284"/>
      <c r="U795" s="284"/>
      <c r="V795" s="284"/>
      <c r="W795" s="284"/>
      <c r="X795" s="284"/>
      <c r="Y795" s="284"/>
      <c r="Z795" s="284"/>
    </row>
    <row r="796" ht="22.5" customHeight="1">
      <c r="A796" s="379" t="s">
        <v>637</v>
      </c>
      <c r="B796" s="420" t="s">
        <v>6442</v>
      </c>
      <c r="C796" s="381" t="s">
        <v>2192</v>
      </c>
      <c r="D796" s="358" t="s">
        <v>5274</v>
      </c>
      <c r="E796" s="381" t="s">
        <v>26</v>
      </c>
      <c r="F796" s="289" t="s">
        <v>5275</v>
      </c>
      <c r="G796" s="384" t="s">
        <v>5279</v>
      </c>
      <c r="H796" s="289" t="s">
        <v>21</v>
      </c>
      <c r="I796" s="384" t="s">
        <v>5279</v>
      </c>
      <c r="J796" s="289" t="s">
        <v>22</v>
      </c>
      <c r="K796" s="383" t="s">
        <v>19</v>
      </c>
      <c r="L796" s="173" t="s">
        <v>5280</v>
      </c>
      <c r="M796" s="159" t="s">
        <v>6443</v>
      </c>
      <c r="N796" s="197"/>
      <c r="O796" s="147"/>
      <c r="P796" s="284"/>
      <c r="Q796" s="284"/>
      <c r="R796" s="284"/>
      <c r="S796" s="284"/>
      <c r="T796" s="284"/>
      <c r="U796" s="284"/>
      <c r="V796" s="284"/>
      <c r="W796" s="284"/>
      <c r="X796" s="284"/>
      <c r="Y796" s="284"/>
      <c r="Z796" s="284"/>
    </row>
    <row r="797" ht="22.5" customHeight="1">
      <c r="A797" s="299" t="s">
        <v>637</v>
      </c>
      <c r="B797" s="310" t="s">
        <v>6444</v>
      </c>
      <c r="C797" s="192" t="s">
        <v>49</v>
      </c>
      <c r="D797" s="315" t="s">
        <v>5274</v>
      </c>
      <c r="E797" s="311" t="s">
        <v>31</v>
      </c>
      <c r="F797" s="294" t="s">
        <v>5275</v>
      </c>
      <c r="G797" s="363" t="s">
        <v>19</v>
      </c>
      <c r="H797" s="294" t="s">
        <v>21</v>
      </c>
      <c r="I797" s="227" t="s">
        <v>5279</v>
      </c>
      <c r="J797" s="294" t="s">
        <v>22</v>
      </c>
      <c r="K797" s="403" t="s">
        <v>31</v>
      </c>
      <c r="L797" s="165" t="s">
        <v>5280</v>
      </c>
      <c r="M797" s="158" t="s">
        <v>5443</v>
      </c>
      <c r="N797" s="196"/>
      <c r="O797" s="155"/>
      <c r="P797" s="284"/>
      <c r="Q797" s="284"/>
      <c r="R797" s="284"/>
      <c r="S797" s="284"/>
      <c r="T797" s="284"/>
      <c r="U797" s="284"/>
      <c r="V797" s="284"/>
      <c r="W797" s="284"/>
      <c r="X797" s="284"/>
      <c r="Y797" s="284"/>
      <c r="Z797" s="284"/>
    </row>
    <row r="798" ht="22.5" customHeight="1">
      <c r="A798" s="379" t="s">
        <v>637</v>
      </c>
      <c r="B798" s="420" t="s">
        <v>6445</v>
      </c>
      <c r="C798" s="453" t="s">
        <v>6132</v>
      </c>
      <c r="D798" s="358" t="s">
        <v>5274</v>
      </c>
      <c r="E798" s="383" t="s">
        <v>19</v>
      </c>
      <c r="F798" s="321" t="s">
        <v>5275</v>
      </c>
      <c r="G798" s="383" t="s">
        <v>19</v>
      </c>
      <c r="H798" s="321" t="s">
        <v>21</v>
      </c>
      <c r="I798" s="384" t="s">
        <v>5279</v>
      </c>
      <c r="J798" s="321" t="s">
        <v>22</v>
      </c>
      <c r="K798" s="395" t="s">
        <v>19</v>
      </c>
      <c r="L798" s="247" t="s">
        <v>5276</v>
      </c>
      <c r="M798" s="197"/>
      <c r="N798" s="197"/>
      <c r="O798" s="147"/>
      <c r="P798" s="284"/>
      <c r="Q798" s="284"/>
      <c r="R798" s="284"/>
      <c r="S798" s="284"/>
      <c r="T798" s="284"/>
      <c r="U798" s="284"/>
      <c r="V798" s="284"/>
      <c r="W798" s="284"/>
      <c r="X798" s="284"/>
      <c r="Y798" s="284"/>
      <c r="Z798" s="284"/>
    </row>
    <row r="799" ht="22.5" customHeight="1">
      <c r="A799" s="299" t="s">
        <v>637</v>
      </c>
      <c r="B799" s="313" t="s">
        <v>6446</v>
      </c>
      <c r="C799" s="480" t="s">
        <v>3955</v>
      </c>
      <c r="D799" s="315" t="s">
        <v>5274</v>
      </c>
      <c r="E799" s="227" t="s">
        <v>640</v>
      </c>
      <c r="F799" s="294" t="s">
        <v>5275</v>
      </c>
      <c r="G799" s="311" t="s">
        <v>31</v>
      </c>
      <c r="H799" s="294" t="s">
        <v>21</v>
      </c>
      <c r="I799" s="311" t="s">
        <v>31</v>
      </c>
      <c r="J799" s="294" t="s">
        <v>22</v>
      </c>
      <c r="K799" s="396" t="s">
        <v>19</v>
      </c>
      <c r="L799" s="248" t="s">
        <v>5276</v>
      </c>
      <c r="M799" s="196"/>
      <c r="N799" s="196"/>
      <c r="O799" s="155"/>
      <c r="P799" s="284"/>
      <c r="Q799" s="284"/>
      <c r="R799" s="284"/>
      <c r="S799" s="284"/>
      <c r="T799" s="284"/>
      <c r="U799" s="284"/>
      <c r="V799" s="284"/>
      <c r="W799" s="284"/>
      <c r="X799" s="284"/>
      <c r="Y799" s="284"/>
      <c r="Z799" s="284"/>
    </row>
    <row r="800" ht="22.5" customHeight="1">
      <c r="A800" s="430"/>
      <c r="B800" s="418"/>
      <c r="C800" s="428"/>
      <c r="D800" s="418"/>
      <c r="E800" s="402"/>
      <c r="F800" s="418"/>
      <c r="G800" s="402"/>
      <c r="H800" s="418"/>
      <c r="I800" s="402"/>
      <c r="J800" s="418"/>
      <c r="K800" s="402"/>
      <c r="L800" s="173" t="s">
        <v>5280</v>
      </c>
      <c r="M800" s="159" t="s">
        <v>135</v>
      </c>
      <c r="N800" s="197"/>
      <c r="O800" s="147"/>
      <c r="P800" s="284"/>
      <c r="Q800" s="284"/>
      <c r="R800" s="284"/>
      <c r="S800" s="284"/>
      <c r="T800" s="284"/>
      <c r="U800" s="284"/>
      <c r="V800" s="284"/>
      <c r="W800" s="284"/>
      <c r="X800" s="284"/>
      <c r="Y800" s="284"/>
      <c r="Z800" s="284"/>
    </row>
    <row r="801" ht="22.5" customHeight="1">
      <c r="A801" s="448"/>
      <c r="B801" s="415"/>
      <c r="C801" s="432"/>
      <c r="D801" s="415"/>
      <c r="E801" s="181"/>
      <c r="F801" s="415"/>
      <c r="G801" s="181"/>
      <c r="H801" s="415"/>
      <c r="I801" s="181"/>
      <c r="J801" s="415"/>
      <c r="K801" s="181"/>
      <c r="L801" s="248" t="s">
        <v>5276</v>
      </c>
      <c r="M801" s="196"/>
      <c r="N801" s="196"/>
      <c r="O801" s="155"/>
      <c r="P801" s="284"/>
      <c r="Q801" s="284"/>
      <c r="R801" s="284"/>
      <c r="S801" s="284"/>
      <c r="T801" s="284"/>
      <c r="U801" s="284"/>
      <c r="V801" s="284"/>
      <c r="W801" s="284"/>
      <c r="X801" s="284"/>
      <c r="Y801" s="284"/>
      <c r="Z801" s="284"/>
    </row>
    <row r="802" ht="22.5" customHeight="1">
      <c r="A802" s="430"/>
      <c r="B802" s="418"/>
      <c r="C802" s="428"/>
      <c r="D802" s="418"/>
      <c r="E802" s="402"/>
      <c r="F802" s="418"/>
      <c r="G802" s="402"/>
      <c r="H802" s="418"/>
      <c r="I802" s="402"/>
      <c r="J802" s="418"/>
      <c r="K802" s="402"/>
      <c r="L802" s="173" t="s">
        <v>5280</v>
      </c>
      <c r="M802" s="159" t="s">
        <v>5449</v>
      </c>
      <c r="N802" s="197"/>
      <c r="O802" s="147"/>
      <c r="P802" s="284"/>
      <c r="Q802" s="284"/>
      <c r="R802" s="284"/>
      <c r="S802" s="284"/>
      <c r="T802" s="284"/>
      <c r="U802" s="284"/>
      <c r="V802" s="284"/>
      <c r="W802" s="284"/>
      <c r="X802" s="284"/>
      <c r="Y802" s="284"/>
      <c r="Z802" s="284"/>
    </row>
    <row r="803" ht="22.5" customHeight="1">
      <c r="A803" s="448"/>
      <c r="B803" s="415"/>
      <c r="C803" s="432"/>
      <c r="D803" s="415"/>
      <c r="E803" s="181"/>
      <c r="F803" s="415"/>
      <c r="G803" s="181"/>
      <c r="H803" s="415"/>
      <c r="I803" s="181"/>
      <c r="J803" s="415"/>
      <c r="K803" s="181"/>
      <c r="L803" s="248" t="s">
        <v>5276</v>
      </c>
      <c r="M803" s="158" t="s">
        <v>6447</v>
      </c>
      <c r="N803" s="196"/>
      <c r="O803" s="155"/>
      <c r="P803" s="284"/>
      <c r="Q803" s="284"/>
      <c r="R803" s="284"/>
      <c r="S803" s="284"/>
      <c r="T803" s="284"/>
      <c r="U803" s="284"/>
      <c r="V803" s="284"/>
      <c r="W803" s="284"/>
      <c r="X803" s="284"/>
      <c r="Y803" s="284"/>
      <c r="Z803" s="284"/>
    </row>
    <row r="804" ht="22.5" customHeight="1">
      <c r="A804" s="430"/>
      <c r="B804" s="418"/>
      <c r="C804" s="428"/>
      <c r="D804" s="418"/>
      <c r="E804" s="402"/>
      <c r="F804" s="418"/>
      <c r="G804" s="402"/>
      <c r="H804" s="418"/>
      <c r="I804" s="402"/>
      <c r="J804" s="418"/>
      <c r="K804" s="402"/>
      <c r="L804" s="247" t="s">
        <v>5276</v>
      </c>
      <c r="M804" s="159" t="s">
        <v>6447</v>
      </c>
      <c r="N804" s="197"/>
      <c r="O804" s="147"/>
      <c r="P804" s="284"/>
      <c r="Q804" s="284"/>
      <c r="R804" s="284"/>
      <c r="S804" s="284"/>
      <c r="T804" s="284"/>
      <c r="U804" s="284"/>
      <c r="V804" s="284"/>
      <c r="W804" s="284"/>
      <c r="X804" s="284"/>
      <c r="Y804" s="284"/>
      <c r="Z804" s="284"/>
    </row>
    <row r="805" ht="22.5" customHeight="1">
      <c r="A805" s="448"/>
      <c r="B805" s="415"/>
      <c r="C805" s="432"/>
      <c r="D805" s="415"/>
      <c r="E805" s="181"/>
      <c r="F805" s="415"/>
      <c r="G805" s="181"/>
      <c r="H805" s="415"/>
      <c r="I805" s="181"/>
      <c r="J805" s="415"/>
      <c r="K805" s="181"/>
      <c r="L805" s="165" t="s">
        <v>5280</v>
      </c>
      <c r="M805" s="158" t="s">
        <v>5454</v>
      </c>
      <c r="N805" s="196"/>
      <c r="O805" s="155"/>
      <c r="P805" s="284"/>
      <c r="Q805" s="284"/>
      <c r="R805" s="284"/>
      <c r="S805" s="284"/>
      <c r="T805" s="284"/>
      <c r="U805" s="284"/>
      <c r="V805" s="284"/>
      <c r="W805" s="284"/>
      <c r="X805" s="284"/>
      <c r="Y805" s="284"/>
      <c r="Z805" s="284"/>
    </row>
    <row r="806" ht="22.5" customHeight="1">
      <c r="A806" s="430"/>
      <c r="B806" s="418"/>
      <c r="C806" s="428"/>
      <c r="D806" s="418"/>
      <c r="E806" s="402"/>
      <c r="F806" s="418"/>
      <c r="G806" s="402"/>
      <c r="H806" s="418"/>
      <c r="I806" s="402"/>
      <c r="J806" s="418"/>
      <c r="K806" s="402"/>
      <c r="L806" s="332" t="s">
        <v>5271</v>
      </c>
      <c r="M806" s="197"/>
      <c r="N806" s="197"/>
      <c r="O806" s="147"/>
      <c r="P806" s="284"/>
      <c r="Q806" s="284"/>
      <c r="R806" s="284"/>
      <c r="S806" s="284"/>
      <c r="T806" s="284"/>
      <c r="U806" s="284"/>
      <c r="V806" s="284"/>
      <c r="W806" s="284"/>
      <c r="X806" s="284"/>
      <c r="Y806" s="284"/>
      <c r="Z806" s="284"/>
    </row>
    <row r="807" ht="22.5" customHeight="1">
      <c r="A807" s="448"/>
      <c r="B807" s="415"/>
      <c r="C807" s="432"/>
      <c r="D807" s="415"/>
      <c r="E807" s="181"/>
      <c r="F807" s="415"/>
      <c r="G807" s="181"/>
      <c r="H807" s="415"/>
      <c r="I807" s="181"/>
      <c r="J807" s="415"/>
      <c r="K807" s="181"/>
      <c r="L807" s="165" t="s">
        <v>5280</v>
      </c>
      <c r="M807" s="158" t="s">
        <v>6448</v>
      </c>
      <c r="N807" s="196"/>
      <c r="O807" s="155"/>
      <c r="P807" s="284"/>
      <c r="Q807" s="284"/>
      <c r="R807" s="284"/>
      <c r="S807" s="284"/>
      <c r="T807" s="284"/>
      <c r="U807" s="284"/>
      <c r="V807" s="284"/>
      <c r="W807" s="284"/>
      <c r="X807" s="284"/>
      <c r="Y807" s="284"/>
      <c r="Z807" s="284"/>
    </row>
    <row r="808" ht="22.5" customHeight="1">
      <c r="A808" s="430"/>
      <c r="B808" s="418"/>
      <c r="C808" s="428"/>
      <c r="D808" s="418"/>
      <c r="E808" s="402"/>
      <c r="F808" s="418"/>
      <c r="G808" s="402"/>
      <c r="H808" s="418"/>
      <c r="I808" s="402"/>
      <c r="J808" s="418"/>
      <c r="K808" s="402"/>
      <c r="L808" s="144"/>
      <c r="M808" s="197"/>
      <c r="N808" s="197"/>
      <c r="O808" s="147"/>
      <c r="P808" s="284"/>
      <c r="Q808" s="284"/>
      <c r="R808" s="284"/>
      <c r="S808" s="284"/>
      <c r="T808" s="284"/>
      <c r="U808" s="284"/>
      <c r="V808" s="284"/>
      <c r="W808" s="284"/>
      <c r="X808" s="284"/>
      <c r="Y808" s="284"/>
      <c r="Z808" s="284"/>
    </row>
    <row r="809" ht="22.5" customHeight="1">
      <c r="A809" s="448"/>
      <c r="B809" s="415"/>
      <c r="C809" s="432"/>
      <c r="D809" s="415"/>
      <c r="E809" s="181"/>
      <c r="F809" s="415"/>
      <c r="G809" s="181"/>
      <c r="H809" s="415"/>
      <c r="I809" s="181"/>
      <c r="J809" s="415"/>
      <c r="K809" s="181"/>
      <c r="L809" s="152"/>
      <c r="M809" s="196"/>
      <c r="N809" s="196"/>
      <c r="O809" s="155"/>
      <c r="P809" s="284"/>
      <c r="Q809" s="284"/>
      <c r="R809" s="284"/>
      <c r="S809" s="284"/>
      <c r="T809" s="284"/>
      <c r="U809" s="284"/>
      <c r="V809" s="284"/>
      <c r="W809" s="284"/>
      <c r="X809" s="284"/>
      <c r="Y809" s="284"/>
      <c r="Z809" s="284"/>
    </row>
    <row r="810" ht="22.5" customHeight="1">
      <c r="A810" s="430"/>
      <c r="B810" s="418"/>
      <c r="C810" s="428"/>
      <c r="D810" s="418"/>
      <c r="E810" s="402"/>
      <c r="F810" s="418"/>
      <c r="G810" s="402"/>
      <c r="H810" s="418"/>
      <c r="I810" s="402"/>
      <c r="J810" s="418"/>
      <c r="K810" s="402"/>
      <c r="L810" s="144"/>
      <c r="M810" s="197"/>
      <c r="N810" s="197"/>
      <c r="O810" s="147"/>
      <c r="P810" s="284"/>
      <c r="Q810" s="284"/>
      <c r="R810" s="284"/>
      <c r="S810" s="284"/>
      <c r="T810" s="284"/>
      <c r="U810" s="284"/>
      <c r="V810" s="284"/>
      <c r="W810" s="284"/>
      <c r="X810" s="284"/>
      <c r="Y810" s="284"/>
      <c r="Z810" s="284"/>
    </row>
    <row r="811" ht="22.5" customHeight="1">
      <c r="A811" s="448"/>
      <c r="B811" s="415"/>
      <c r="C811" s="432"/>
      <c r="D811" s="415"/>
      <c r="E811" s="181"/>
      <c r="F811" s="415"/>
      <c r="G811" s="181"/>
      <c r="H811" s="415"/>
      <c r="I811" s="181"/>
      <c r="J811" s="415"/>
      <c r="K811" s="181"/>
      <c r="L811" s="152"/>
      <c r="M811" s="196"/>
      <c r="N811" s="196"/>
      <c r="O811" s="155"/>
      <c r="P811" s="284"/>
      <c r="Q811" s="284"/>
      <c r="R811" s="284"/>
      <c r="S811" s="284"/>
      <c r="T811" s="284"/>
      <c r="U811" s="284"/>
      <c r="V811" s="284"/>
      <c r="W811" s="284"/>
      <c r="X811" s="284"/>
      <c r="Y811" s="284"/>
      <c r="Z811" s="284"/>
    </row>
    <row r="812" ht="22.5" customHeight="1">
      <c r="A812" s="430"/>
      <c r="B812" s="418"/>
      <c r="C812" s="428"/>
      <c r="D812" s="418"/>
      <c r="E812" s="402"/>
      <c r="F812" s="418"/>
      <c r="G812" s="402"/>
      <c r="H812" s="418"/>
      <c r="I812" s="402"/>
      <c r="J812" s="418"/>
      <c r="K812" s="402"/>
      <c r="L812" s="144"/>
      <c r="M812" s="197"/>
      <c r="N812" s="197"/>
      <c r="O812" s="147"/>
      <c r="P812" s="284"/>
      <c r="Q812" s="284"/>
      <c r="R812" s="284"/>
      <c r="S812" s="284"/>
      <c r="T812" s="284"/>
      <c r="U812" s="284"/>
      <c r="V812" s="284"/>
      <c r="W812" s="284"/>
      <c r="X812" s="284"/>
      <c r="Y812" s="284"/>
      <c r="Z812" s="284"/>
    </row>
    <row r="813" ht="22.5" customHeight="1">
      <c r="A813" s="448"/>
      <c r="B813" s="415"/>
      <c r="C813" s="432"/>
      <c r="D813" s="415"/>
      <c r="E813" s="181"/>
      <c r="F813" s="415"/>
      <c r="G813" s="181"/>
      <c r="H813" s="415"/>
      <c r="I813" s="181"/>
      <c r="J813" s="415"/>
      <c r="K813" s="181"/>
      <c r="L813" s="152"/>
      <c r="M813" s="196"/>
      <c r="N813" s="196"/>
      <c r="O813" s="155"/>
      <c r="P813" s="284"/>
      <c r="Q813" s="284"/>
      <c r="R813" s="284"/>
      <c r="S813" s="284"/>
      <c r="T813" s="284"/>
      <c r="U813" s="284"/>
      <c r="V813" s="284"/>
      <c r="W813" s="284"/>
      <c r="X813" s="284"/>
      <c r="Y813" s="284"/>
      <c r="Z813" s="284"/>
    </row>
    <row r="814" ht="22.5" customHeight="1">
      <c r="A814" s="430"/>
      <c r="B814" s="418"/>
      <c r="C814" s="428"/>
      <c r="D814" s="418"/>
      <c r="E814" s="402"/>
      <c r="F814" s="418"/>
      <c r="G814" s="402"/>
      <c r="H814" s="418"/>
      <c r="I814" s="402"/>
      <c r="J814" s="418"/>
      <c r="K814" s="402"/>
      <c r="L814" s="144"/>
      <c r="M814" s="197"/>
      <c r="N814" s="197"/>
      <c r="O814" s="147"/>
      <c r="P814" s="284"/>
      <c r="Q814" s="284"/>
      <c r="R814" s="284"/>
      <c r="S814" s="284"/>
      <c r="T814" s="284"/>
      <c r="U814" s="284"/>
      <c r="V814" s="284"/>
      <c r="W814" s="284"/>
      <c r="X814" s="284"/>
      <c r="Y814" s="284"/>
      <c r="Z814" s="284"/>
    </row>
    <row r="815" ht="22.5" customHeight="1">
      <c r="A815" s="448"/>
      <c r="B815" s="415"/>
      <c r="C815" s="432"/>
      <c r="D815" s="415"/>
      <c r="E815" s="181"/>
      <c r="F815" s="415"/>
      <c r="G815" s="181"/>
      <c r="H815" s="415"/>
      <c r="I815" s="181"/>
      <c r="J815" s="415"/>
      <c r="K815" s="181"/>
      <c r="L815" s="152"/>
      <c r="M815" s="196"/>
      <c r="N815" s="196"/>
      <c r="O815" s="155"/>
      <c r="P815" s="284"/>
      <c r="Q815" s="284"/>
      <c r="R815" s="284"/>
      <c r="S815" s="284"/>
      <c r="T815" s="284"/>
      <c r="U815" s="284"/>
      <c r="V815" s="284"/>
      <c r="W815" s="284"/>
      <c r="X815" s="284"/>
      <c r="Y815" s="284"/>
      <c r="Z815" s="284"/>
    </row>
    <row r="816" ht="22.5" customHeight="1">
      <c r="A816" s="430"/>
      <c r="B816" s="418"/>
      <c r="C816" s="428"/>
      <c r="D816" s="418"/>
      <c r="E816" s="402"/>
      <c r="F816" s="418"/>
      <c r="G816" s="402"/>
      <c r="H816" s="418"/>
      <c r="I816" s="402"/>
      <c r="J816" s="418"/>
      <c r="K816" s="402"/>
      <c r="L816" s="144"/>
      <c r="M816" s="197"/>
      <c r="N816" s="197"/>
      <c r="O816" s="147"/>
      <c r="P816" s="284"/>
      <c r="Q816" s="284"/>
      <c r="R816" s="284"/>
      <c r="S816" s="284"/>
      <c r="T816" s="284"/>
      <c r="U816" s="284"/>
      <c r="V816" s="284"/>
      <c r="W816" s="284"/>
      <c r="X816" s="284"/>
      <c r="Y816" s="284"/>
      <c r="Z816" s="284"/>
    </row>
    <row r="817" ht="22.5" customHeight="1">
      <c r="A817" s="448"/>
      <c r="B817" s="415"/>
      <c r="C817" s="432"/>
      <c r="D817" s="415"/>
      <c r="E817" s="181"/>
      <c r="F817" s="415"/>
      <c r="G817" s="181"/>
      <c r="H817" s="415"/>
      <c r="I817" s="181"/>
      <c r="J817" s="415"/>
      <c r="K817" s="181"/>
      <c r="L817" s="152"/>
      <c r="M817" s="196"/>
      <c r="N817" s="196"/>
      <c r="O817" s="155"/>
      <c r="P817" s="284"/>
      <c r="Q817" s="284"/>
      <c r="R817" s="284"/>
      <c r="S817" s="284"/>
      <c r="T817" s="284"/>
      <c r="U817" s="284"/>
      <c r="V817" s="284"/>
      <c r="W817" s="284"/>
      <c r="X817" s="284"/>
      <c r="Y817" s="284"/>
      <c r="Z817" s="284"/>
    </row>
    <row r="818" ht="22.5" customHeight="1">
      <c r="A818" s="430"/>
      <c r="B818" s="418"/>
      <c r="C818" s="428"/>
      <c r="D818" s="418"/>
      <c r="E818" s="402"/>
      <c r="F818" s="418"/>
      <c r="G818" s="402"/>
      <c r="H818" s="418"/>
      <c r="I818" s="402"/>
      <c r="J818" s="418"/>
      <c r="K818" s="402"/>
      <c r="L818" s="144"/>
      <c r="M818" s="197"/>
      <c r="N818" s="197"/>
      <c r="O818" s="147"/>
      <c r="P818" s="284"/>
      <c r="Q818" s="284"/>
      <c r="R818" s="284"/>
      <c r="S818" s="284"/>
      <c r="T818" s="284"/>
      <c r="U818" s="284"/>
      <c r="V818" s="284"/>
      <c r="W818" s="284"/>
      <c r="X818" s="284"/>
      <c r="Y818" s="284"/>
      <c r="Z818" s="284"/>
    </row>
    <row r="819" ht="22.5" customHeight="1">
      <c r="A819" s="448"/>
      <c r="B819" s="415"/>
      <c r="C819" s="432"/>
      <c r="D819" s="415"/>
      <c r="E819" s="181"/>
      <c r="F819" s="415"/>
      <c r="G819" s="181"/>
      <c r="H819" s="415"/>
      <c r="I819" s="181"/>
      <c r="J819" s="415"/>
      <c r="K819" s="181"/>
      <c r="L819" s="152"/>
      <c r="M819" s="196"/>
      <c r="N819" s="196"/>
      <c r="O819" s="155"/>
      <c r="P819" s="284"/>
      <c r="Q819" s="284"/>
      <c r="R819" s="284"/>
      <c r="S819" s="284"/>
      <c r="T819" s="284"/>
      <c r="U819" s="284"/>
      <c r="V819" s="284"/>
      <c r="W819" s="284"/>
      <c r="X819" s="284"/>
      <c r="Y819" s="284"/>
      <c r="Z819" s="284"/>
    </row>
    <row r="820" ht="22.5" customHeight="1">
      <c r="A820" s="430"/>
      <c r="B820" s="418"/>
      <c r="C820" s="428"/>
      <c r="D820" s="418"/>
      <c r="E820" s="402"/>
      <c r="F820" s="418"/>
      <c r="G820" s="402"/>
      <c r="H820" s="418"/>
      <c r="I820" s="402"/>
      <c r="J820" s="418"/>
      <c r="K820" s="402"/>
      <c r="L820" s="144"/>
      <c r="M820" s="197"/>
      <c r="N820" s="197"/>
      <c r="O820" s="147"/>
      <c r="P820" s="284"/>
      <c r="Q820" s="284"/>
      <c r="R820" s="284"/>
      <c r="S820" s="284"/>
      <c r="T820" s="284"/>
      <c r="U820" s="284"/>
      <c r="V820" s="284"/>
      <c r="W820" s="284"/>
      <c r="X820" s="284"/>
      <c r="Y820" s="284"/>
      <c r="Z820" s="284"/>
    </row>
    <row r="821" ht="22.5" customHeight="1">
      <c r="A821" s="448"/>
      <c r="B821" s="415"/>
      <c r="C821" s="432"/>
      <c r="D821" s="415"/>
      <c r="E821" s="181"/>
      <c r="F821" s="415"/>
      <c r="G821" s="181"/>
      <c r="H821" s="415"/>
      <c r="I821" s="181"/>
      <c r="J821" s="415"/>
      <c r="K821" s="181"/>
      <c r="L821" s="152"/>
      <c r="M821" s="196"/>
      <c r="N821" s="196"/>
      <c r="O821" s="155"/>
      <c r="P821" s="284"/>
      <c r="Q821" s="284"/>
      <c r="R821" s="284"/>
      <c r="S821" s="284"/>
      <c r="T821" s="284"/>
      <c r="U821" s="284"/>
      <c r="V821" s="284"/>
      <c r="W821" s="284"/>
      <c r="X821" s="284"/>
      <c r="Y821" s="284"/>
      <c r="Z821" s="284"/>
    </row>
    <row r="822" ht="22.5" customHeight="1">
      <c r="A822" s="430"/>
      <c r="B822" s="418"/>
      <c r="C822" s="428"/>
      <c r="D822" s="418"/>
      <c r="E822" s="402"/>
      <c r="F822" s="418"/>
      <c r="G822" s="402"/>
      <c r="H822" s="418"/>
      <c r="I822" s="402"/>
      <c r="J822" s="418"/>
      <c r="K822" s="402"/>
      <c r="L822" s="144"/>
      <c r="M822" s="197"/>
      <c r="N822" s="197"/>
      <c r="O822" s="147"/>
      <c r="P822" s="284"/>
      <c r="Q822" s="284"/>
      <c r="R822" s="284"/>
      <c r="S822" s="284"/>
      <c r="T822" s="284"/>
      <c r="U822" s="284"/>
      <c r="V822" s="284"/>
      <c r="W822" s="284"/>
      <c r="X822" s="284"/>
      <c r="Y822" s="284"/>
      <c r="Z822" s="284"/>
    </row>
    <row r="823" ht="22.5" customHeight="1">
      <c r="A823" s="270"/>
      <c r="B823" s="196"/>
      <c r="C823" s="152"/>
      <c r="D823" s="196"/>
      <c r="E823" s="152"/>
      <c r="F823" s="196"/>
      <c r="G823" s="152"/>
      <c r="H823" s="196"/>
      <c r="I823" s="152"/>
      <c r="J823" s="196"/>
      <c r="K823" s="152"/>
      <c r="L823" s="152"/>
      <c r="M823" s="196"/>
      <c r="N823" s="196"/>
      <c r="O823" s="155"/>
      <c r="P823" s="284"/>
      <c r="Q823" s="284"/>
      <c r="R823" s="284"/>
      <c r="S823" s="284"/>
      <c r="T823" s="284"/>
      <c r="U823" s="284"/>
      <c r="V823" s="284"/>
      <c r="W823" s="284"/>
      <c r="X823" s="284"/>
      <c r="Y823" s="284"/>
      <c r="Z823" s="284"/>
    </row>
    <row r="824" ht="22.5" customHeight="1">
      <c r="A824" s="373"/>
      <c r="B824" s="280"/>
      <c r="C824" s="281"/>
      <c r="D824" s="280"/>
      <c r="E824" s="281"/>
      <c r="F824" s="280"/>
      <c r="G824" s="281"/>
      <c r="H824" s="280"/>
      <c r="I824" s="281"/>
      <c r="J824" s="280"/>
      <c r="K824" s="281"/>
      <c r="L824" s="281"/>
      <c r="M824" s="280"/>
      <c r="N824" s="280"/>
      <c r="O824" s="376"/>
      <c r="P824" s="284"/>
      <c r="Q824" s="284"/>
      <c r="R824" s="284"/>
      <c r="S824" s="284"/>
      <c r="T824" s="284"/>
      <c r="U824" s="284"/>
      <c r="V824" s="284"/>
      <c r="W824" s="284"/>
      <c r="X824" s="284"/>
      <c r="Y824" s="284"/>
      <c r="Z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dataValidations>
    <dataValidation type="list" allowBlank="1" sqref="C2:C824">
      <formula1>"Contacted,Awaiting Response,Closed - Won,Closed - Lost,Form Filled,Call not Recieved,Referred to,Awaiting payment,Demo ,Call Pending"</formula1>
    </dataValidation>
    <dataValidation type="list" allowBlank="1" sqref="G2:G824 I2:I824 K2:K824">
      <formula1>"Call Recieved,Not Recieved,Please Call later,Not attempt,Client lost"</formula1>
    </dataValidation>
    <dataValidation type="list" allowBlank="1" sqref="L2:L824">
      <formula1>"Not talked,Talked,Not reachable"</formula1>
    </dataValidation>
    <dataValidation type="list" allowBlank="1" sqref="E2:E824">
      <formula1>"Call Recieved,Not Recieved,Please Call later,Not attempted,Client lost"</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0</v>
      </c>
      <c r="B1" s="138" t="s">
        <v>1</v>
      </c>
      <c r="C1" s="138" t="s">
        <v>3</v>
      </c>
      <c r="D1" s="138" t="s">
        <v>4</v>
      </c>
      <c r="E1" s="138" t="s">
        <v>5</v>
      </c>
      <c r="F1" s="138" t="s">
        <v>6</v>
      </c>
      <c r="G1" s="138" t="s">
        <v>7</v>
      </c>
      <c r="H1" s="138" t="s">
        <v>8</v>
      </c>
      <c r="I1" s="138" t="s">
        <v>9</v>
      </c>
      <c r="J1" s="138" t="s">
        <v>10</v>
      </c>
      <c r="K1" s="283" t="s">
        <v>11</v>
      </c>
      <c r="L1" s="283" t="s">
        <v>12</v>
      </c>
      <c r="M1" s="283" t="s">
        <v>13</v>
      </c>
      <c r="N1" s="283" t="s">
        <v>14</v>
      </c>
    </row>
    <row r="2" ht="22.5" customHeight="1">
      <c r="A2" s="368"/>
      <c r="B2" s="308" t="s">
        <v>6449</v>
      </c>
      <c r="C2" s="297" t="s">
        <v>34</v>
      </c>
      <c r="D2" s="169" t="s">
        <v>49</v>
      </c>
      <c r="E2" s="159" t="s">
        <v>18</v>
      </c>
      <c r="F2" s="297" t="s">
        <v>31</v>
      </c>
      <c r="G2" s="159" t="s">
        <v>20</v>
      </c>
      <c r="H2" s="297" t="s">
        <v>31</v>
      </c>
      <c r="I2" s="287" t="s">
        <v>21</v>
      </c>
      <c r="J2" s="332" t="s">
        <v>50</v>
      </c>
      <c r="K2" s="287" t="s">
        <v>22</v>
      </c>
      <c r="L2" s="481" t="s">
        <v>50</v>
      </c>
      <c r="M2" s="159" t="s">
        <v>6450</v>
      </c>
      <c r="N2" s="147"/>
    </row>
    <row r="3" ht="22.5" customHeight="1">
      <c r="A3" s="270"/>
      <c r="B3" s="300" t="s">
        <v>6451</v>
      </c>
      <c r="C3" s="301" t="s">
        <v>34</v>
      </c>
      <c r="D3" s="161" t="s">
        <v>49</v>
      </c>
      <c r="E3" s="158" t="s">
        <v>18</v>
      </c>
      <c r="F3" s="306" t="s">
        <v>19</v>
      </c>
      <c r="G3" s="158" t="s">
        <v>20</v>
      </c>
      <c r="H3" s="301" t="s">
        <v>31</v>
      </c>
      <c r="I3" s="293" t="s">
        <v>21</v>
      </c>
      <c r="J3" s="152"/>
      <c r="K3" s="293" t="s">
        <v>22</v>
      </c>
      <c r="L3" s="482"/>
      <c r="M3" s="158" t="s">
        <v>51</v>
      </c>
      <c r="N3" s="155"/>
    </row>
    <row r="4" ht="22.5" customHeight="1">
      <c r="A4" s="368"/>
      <c r="B4" s="286" t="s">
        <v>6452</v>
      </c>
      <c r="C4" s="297" t="s">
        <v>34</v>
      </c>
      <c r="D4" s="216" t="s">
        <v>40</v>
      </c>
      <c r="E4" s="159" t="s">
        <v>18</v>
      </c>
      <c r="F4" s="288" t="s">
        <v>19</v>
      </c>
      <c r="G4" s="159" t="s">
        <v>20</v>
      </c>
      <c r="H4" s="297" t="s">
        <v>31</v>
      </c>
      <c r="I4" s="287" t="s">
        <v>21</v>
      </c>
      <c r="J4" s="288" t="s">
        <v>19</v>
      </c>
      <c r="K4" s="287" t="s">
        <v>22</v>
      </c>
      <c r="L4" s="483"/>
      <c r="M4" s="159" t="s">
        <v>696</v>
      </c>
      <c r="N4" s="147"/>
    </row>
    <row r="5" ht="22.5" customHeight="1">
      <c r="A5" s="270"/>
      <c r="B5" s="300" t="s">
        <v>6453</v>
      </c>
      <c r="C5" s="306" t="s">
        <v>16</v>
      </c>
      <c r="D5" s="214" t="s">
        <v>17</v>
      </c>
      <c r="E5" s="158" t="s">
        <v>18</v>
      </c>
      <c r="F5" s="306" t="s">
        <v>19</v>
      </c>
      <c r="G5" s="158" t="s">
        <v>20</v>
      </c>
      <c r="H5" s="306" t="s">
        <v>19</v>
      </c>
      <c r="I5" s="293" t="s">
        <v>21</v>
      </c>
      <c r="J5" s="306" t="s">
        <v>19</v>
      </c>
      <c r="K5" s="293" t="s">
        <v>22</v>
      </c>
      <c r="L5" s="482"/>
      <c r="M5" s="158" t="s">
        <v>376</v>
      </c>
      <c r="N5" s="155"/>
    </row>
    <row r="6" ht="22.5" customHeight="1">
      <c r="A6" s="285" t="s">
        <v>4287</v>
      </c>
      <c r="B6" s="159" t="s">
        <v>6454</v>
      </c>
      <c r="C6" s="297" t="s">
        <v>34</v>
      </c>
      <c r="D6" s="143" t="s">
        <v>30</v>
      </c>
      <c r="E6" s="159" t="s">
        <v>18</v>
      </c>
      <c r="F6" s="297" t="s">
        <v>31</v>
      </c>
      <c r="G6" s="159" t="s">
        <v>20</v>
      </c>
      <c r="H6" s="288" t="s">
        <v>19</v>
      </c>
      <c r="I6" s="287" t="s">
        <v>21</v>
      </c>
      <c r="J6" s="297" t="s">
        <v>31</v>
      </c>
      <c r="K6" s="287" t="s">
        <v>22</v>
      </c>
      <c r="L6" s="483"/>
      <c r="M6" s="159" t="s">
        <v>6455</v>
      </c>
      <c r="N6" s="147"/>
    </row>
    <row r="7" ht="22.5" customHeight="1">
      <c r="A7" s="270"/>
      <c r="B7" s="158" t="s">
        <v>6456</v>
      </c>
      <c r="C7" s="306" t="s">
        <v>16</v>
      </c>
      <c r="D7" s="214" t="s">
        <v>17</v>
      </c>
      <c r="E7" s="158" t="s">
        <v>18</v>
      </c>
      <c r="F7" s="306" t="s">
        <v>19</v>
      </c>
      <c r="G7" s="158" t="s">
        <v>20</v>
      </c>
      <c r="H7" s="306" t="s">
        <v>19</v>
      </c>
      <c r="I7" s="293" t="s">
        <v>21</v>
      </c>
      <c r="J7" s="306" t="s">
        <v>19</v>
      </c>
      <c r="K7" s="293" t="s">
        <v>22</v>
      </c>
      <c r="L7" s="482"/>
      <c r="M7" s="158" t="s">
        <v>376</v>
      </c>
      <c r="N7" s="155"/>
    </row>
    <row r="8" ht="22.5" customHeight="1">
      <c r="A8" s="285" t="s">
        <v>6457</v>
      </c>
      <c r="B8" s="159" t="s">
        <v>6458</v>
      </c>
      <c r="C8" s="297" t="s">
        <v>34</v>
      </c>
      <c r="D8" s="332" t="s">
        <v>35</v>
      </c>
      <c r="E8" s="159" t="s">
        <v>18</v>
      </c>
      <c r="F8" s="288" t="s">
        <v>19</v>
      </c>
      <c r="G8" s="159" t="s">
        <v>20</v>
      </c>
      <c r="H8" s="297" t="s">
        <v>31</v>
      </c>
      <c r="I8" s="287" t="s">
        <v>21</v>
      </c>
      <c r="J8" s="297" t="s">
        <v>31</v>
      </c>
      <c r="K8" s="287" t="s">
        <v>22</v>
      </c>
      <c r="L8" s="483"/>
      <c r="M8" s="159" t="s">
        <v>6459</v>
      </c>
      <c r="N8" s="351" t="s">
        <v>6460</v>
      </c>
    </row>
    <row r="9" ht="22.5" customHeight="1">
      <c r="A9" s="250"/>
      <c r="B9" s="158" t="s">
        <v>6461</v>
      </c>
      <c r="C9" s="306" t="s">
        <v>16</v>
      </c>
      <c r="D9" s="214" t="s">
        <v>17</v>
      </c>
      <c r="E9" s="158" t="s">
        <v>18</v>
      </c>
      <c r="F9" s="306" t="s">
        <v>19</v>
      </c>
      <c r="G9" s="158" t="s">
        <v>20</v>
      </c>
      <c r="H9" s="306" t="s">
        <v>19</v>
      </c>
      <c r="I9" s="293" t="s">
        <v>21</v>
      </c>
      <c r="J9" s="306" t="s">
        <v>19</v>
      </c>
      <c r="K9" s="293" t="s">
        <v>22</v>
      </c>
      <c r="L9" s="482"/>
      <c r="M9" s="158" t="s">
        <v>376</v>
      </c>
      <c r="N9" s="155"/>
    </row>
    <row r="10" ht="22.5" customHeight="1">
      <c r="A10" s="368"/>
      <c r="B10" s="159" t="s">
        <v>6462</v>
      </c>
      <c r="C10" s="288" t="s">
        <v>16</v>
      </c>
      <c r="D10" s="212" t="s">
        <v>17</v>
      </c>
      <c r="E10" s="159" t="s">
        <v>18</v>
      </c>
      <c r="F10" s="288" t="s">
        <v>19</v>
      </c>
      <c r="G10" s="159" t="s">
        <v>20</v>
      </c>
      <c r="H10" s="288" t="s">
        <v>19</v>
      </c>
      <c r="I10" s="287" t="s">
        <v>21</v>
      </c>
      <c r="J10" s="288" t="s">
        <v>19</v>
      </c>
      <c r="K10" s="287" t="s">
        <v>22</v>
      </c>
      <c r="L10" s="483"/>
      <c r="M10" s="159" t="s">
        <v>376</v>
      </c>
      <c r="N10" s="147"/>
    </row>
    <row r="11" ht="22.5" customHeight="1">
      <c r="A11" s="270"/>
      <c r="B11" s="300" t="s">
        <v>6463</v>
      </c>
      <c r="C11" s="306" t="s">
        <v>16</v>
      </c>
      <c r="D11" s="214" t="s">
        <v>17</v>
      </c>
      <c r="E11" s="158" t="s">
        <v>18</v>
      </c>
      <c r="F11" s="306" t="s">
        <v>19</v>
      </c>
      <c r="G11" s="158" t="s">
        <v>20</v>
      </c>
      <c r="H11" s="306" t="s">
        <v>19</v>
      </c>
      <c r="I11" s="293" t="s">
        <v>21</v>
      </c>
      <c r="J11" s="306" t="s">
        <v>19</v>
      </c>
      <c r="K11" s="293" t="s">
        <v>22</v>
      </c>
      <c r="L11" s="482"/>
      <c r="M11" s="158" t="s">
        <v>376</v>
      </c>
      <c r="N11" s="155"/>
    </row>
    <row r="12" ht="22.5" customHeight="1">
      <c r="A12" s="368"/>
      <c r="B12" s="159" t="s">
        <v>638</v>
      </c>
      <c r="C12" s="297" t="s">
        <v>34</v>
      </c>
      <c r="D12" s="169" t="s">
        <v>49</v>
      </c>
      <c r="E12" s="159" t="s">
        <v>18</v>
      </c>
      <c r="F12" s="332" t="s">
        <v>50</v>
      </c>
      <c r="G12" s="159" t="s">
        <v>20</v>
      </c>
      <c r="H12" s="297" t="s">
        <v>31</v>
      </c>
      <c r="I12" s="287" t="s">
        <v>21</v>
      </c>
      <c r="J12" s="332" t="s">
        <v>50</v>
      </c>
      <c r="K12" s="287" t="s">
        <v>22</v>
      </c>
      <c r="L12" s="481" t="s">
        <v>50</v>
      </c>
      <c r="M12" s="159" t="s">
        <v>51</v>
      </c>
      <c r="N12" s="147"/>
    </row>
    <row r="13" ht="22.5" customHeight="1">
      <c r="A13" s="270"/>
      <c r="B13" s="158" t="s">
        <v>6464</v>
      </c>
      <c r="C13" s="301" t="s">
        <v>34</v>
      </c>
      <c r="D13" s="213" t="s">
        <v>40</v>
      </c>
      <c r="E13" s="158" t="s">
        <v>18</v>
      </c>
      <c r="F13" s="301" t="s">
        <v>31</v>
      </c>
      <c r="G13" s="158" t="s">
        <v>20</v>
      </c>
      <c r="H13" s="306" t="s">
        <v>19</v>
      </c>
      <c r="I13" s="293" t="s">
        <v>21</v>
      </c>
      <c r="J13" s="306" t="s">
        <v>19</v>
      </c>
      <c r="K13" s="293" t="s">
        <v>22</v>
      </c>
      <c r="L13" s="482"/>
      <c r="M13" s="158" t="s">
        <v>6465</v>
      </c>
      <c r="N13" s="155"/>
    </row>
    <row r="14" ht="22.5" customHeight="1">
      <c r="A14" s="285" t="s">
        <v>6466</v>
      </c>
      <c r="B14" s="159" t="s">
        <v>6467</v>
      </c>
      <c r="C14" s="297" t="s">
        <v>34</v>
      </c>
      <c r="D14" s="156" t="s">
        <v>635</v>
      </c>
      <c r="E14" s="159" t="s">
        <v>18</v>
      </c>
      <c r="F14" s="288" t="s">
        <v>19</v>
      </c>
      <c r="G14" s="159" t="s">
        <v>20</v>
      </c>
      <c r="H14" s="288" t="s">
        <v>19</v>
      </c>
      <c r="I14" s="287" t="s">
        <v>21</v>
      </c>
      <c r="J14" s="144"/>
      <c r="K14" s="287" t="s">
        <v>22</v>
      </c>
      <c r="L14" s="483"/>
      <c r="M14" s="159" t="s">
        <v>6468</v>
      </c>
      <c r="N14" s="351" t="s">
        <v>6469</v>
      </c>
    </row>
    <row r="15" ht="22.5" customHeight="1">
      <c r="A15" s="270"/>
      <c r="B15" s="158" t="s">
        <v>6470</v>
      </c>
      <c r="C15" s="301" t="s">
        <v>34</v>
      </c>
      <c r="D15" s="213" t="s">
        <v>40</v>
      </c>
      <c r="E15" s="158" t="s">
        <v>18</v>
      </c>
      <c r="F15" s="301" t="s">
        <v>31</v>
      </c>
      <c r="G15" s="158" t="s">
        <v>20</v>
      </c>
      <c r="H15" s="306" t="s">
        <v>19</v>
      </c>
      <c r="I15" s="293" t="s">
        <v>21</v>
      </c>
      <c r="J15" s="306" t="s">
        <v>19</v>
      </c>
      <c r="K15" s="293" t="s">
        <v>22</v>
      </c>
      <c r="L15" s="482"/>
      <c r="M15" s="158" t="s">
        <v>6471</v>
      </c>
      <c r="N15" s="155"/>
    </row>
    <row r="16" ht="22.5" customHeight="1">
      <c r="A16" s="368"/>
      <c r="B16" s="159" t="s">
        <v>6472</v>
      </c>
      <c r="C16" s="297" t="s">
        <v>34</v>
      </c>
      <c r="D16" s="216" t="s">
        <v>40</v>
      </c>
      <c r="E16" s="159" t="s">
        <v>18</v>
      </c>
      <c r="F16" s="288" t="s">
        <v>19</v>
      </c>
      <c r="G16" s="159" t="s">
        <v>20</v>
      </c>
      <c r="H16" s="297" t="s">
        <v>31</v>
      </c>
      <c r="I16" s="287" t="s">
        <v>21</v>
      </c>
      <c r="J16" s="288" t="s">
        <v>19</v>
      </c>
      <c r="K16" s="287" t="s">
        <v>22</v>
      </c>
      <c r="L16" s="483"/>
      <c r="M16" s="159" t="s">
        <v>696</v>
      </c>
      <c r="N16" s="147"/>
    </row>
    <row r="17" ht="22.5" customHeight="1">
      <c r="A17" s="270"/>
      <c r="B17" s="158" t="s">
        <v>643</v>
      </c>
      <c r="C17" s="301" t="s">
        <v>34</v>
      </c>
      <c r="D17" s="161" t="s">
        <v>49</v>
      </c>
      <c r="E17" s="158" t="s">
        <v>18</v>
      </c>
      <c r="F17" s="320" t="s">
        <v>50</v>
      </c>
      <c r="G17" s="158" t="s">
        <v>20</v>
      </c>
      <c r="H17" s="301" t="s">
        <v>31</v>
      </c>
      <c r="I17" s="293" t="s">
        <v>21</v>
      </c>
      <c r="J17" s="320" t="s">
        <v>50</v>
      </c>
      <c r="K17" s="293" t="s">
        <v>22</v>
      </c>
      <c r="L17" s="484" t="s">
        <v>50</v>
      </c>
      <c r="M17" s="158" t="s">
        <v>372</v>
      </c>
      <c r="N17" s="155"/>
    </row>
    <row r="18" ht="22.5" customHeight="1">
      <c r="A18" s="368"/>
      <c r="B18" s="159" t="s">
        <v>835</v>
      </c>
      <c r="C18" s="297" t="s">
        <v>34</v>
      </c>
      <c r="D18" s="216" t="s">
        <v>40</v>
      </c>
      <c r="E18" s="159" t="s">
        <v>18</v>
      </c>
      <c r="F18" s="288" t="s">
        <v>19</v>
      </c>
      <c r="G18" s="159" t="s">
        <v>20</v>
      </c>
      <c r="H18" s="297" t="s">
        <v>31</v>
      </c>
      <c r="I18" s="287" t="s">
        <v>21</v>
      </c>
      <c r="J18" s="288" t="s">
        <v>19</v>
      </c>
      <c r="K18" s="287" t="s">
        <v>22</v>
      </c>
      <c r="L18" s="483"/>
      <c r="M18" s="159" t="s">
        <v>696</v>
      </c>
      <c r="N18" s="147"/>
    </row>
    <row r="19" ht="22.5" customHeight="1">
      <c r="A19" s="270"/>
      <c r="B19" s="158" t="s">
        <v>6473</v>
      </c>
      <c r="C19" s="301" t="s">
        <v>34</v>
      </c>
      <c r="D19" s="151" t="s">
        <v>30</v>
      </c>
      <c r="E19" s="158" t="s">
        <v>18</v>
      </c>
      <c r="F19" s="306" t="s">
        <v>19</v>
      </c>
      <c r="G19" s="158" t="s">
        <v>20</v>
      </c>
      <c r="H19" s="301" t="s">
        <v>31</v>
      </c>
      <c r="I19" s="293" t="s">
        <v>21</v>
      </c>
      <c r="J19" s="152"/>
      <c r="K19" s="293" t="s">
        <v>22</v>
      </c>
      <c r="L19" s="482"/>
      <c r="M19" s="158" t="s">
        <v>6474</v>
      </c>
      <c r="N19" s="155"/>
    </row>
    <row r="20" ht="22.5" customHeight="1">
      <c r="A20" s="368"/>
      <c r="B20" s="159" t="s">
        <v>6475</v>
      </c>
      <c r="C20" s="297" t="s">
        <v>34</v>
      </c>
      <c r="D20" s="169" t="s">
        <v>49</v>
      </c>
      <c r="E20" s="159" t="s">
        <v>18</v>
      </c>
      <c r="F20" s="297" t="s">
        <v>31</v>
      </c>
      <c r="G20" s="159" t="s">
        <v>20</v>
      </c>
      <c r="H20" s="297" t="s">
        <v>31</v>
      </c>
      <c r="I20" s="287" t="s">
        <v>21</v>
      </c>
      <c r="J20" s="144"/>
      <c r="K20" s="287" t="s">
        <v>22</v>
      </c>
      <c r="L20" s="483"/>
      <c r="M20" s="159" t="s">
        <v>6476</v>
      </c>
      <c r="N20" s="147"/>
    </row>
    <row r="21" ht="22.5" customHeight="1">
      <c r="A21" s="270"/>
      <c r="B21" s="158" t="s">
        <v>6477</v>
      </c>
      <c r="C21" s="301" t="s">
        <v>34</v>
      </c>
      <c r="D21" s="485" t="s">
        <v>25</v>
      </c>
      <c r="E21" s="158" t="s">
        <v>18</v>
      </c>
      <c r="F21" s="306" t="s">
        <v>19</v>
      </c>
      <c r="G21" s="158" t="s">
        <v>20</v>
      </c>
      <c r="H21" s="306" t="s">
        <v>19</v>
      </c>
      <c r="I21" s="293" t="s">
        <v>21</v>
      </c>
      <c r="J21" s="301" t="s">
        <v>31</v>
      </c>
      <c r="K21" s="293" t="s">
        <v>22</v>
      </c>
      <c r="L21" s="482"/>
      <c r="M21" s="158" t="s">
        <v>6478</v>
      </c>
      <c r="N21" s="155"/>
    </row>
    <row r="22" ht="22.5" customHeight="1">
      <c r="A22" s="368"/>
      <c r="B22" s="159" t="s">
        <v>6479</v>
      </c>
      <c r="C22" s="297" t="s">
        <v>34</v>
      </c>
      <c r="D22" s="216" t="s">
        <v>40</v>
      </c>
      <c r="E22" s="159" t="s">
        <v>18</v>
      </c>
      <c r="F22" s="288" t="s">
        <v>19</v>
      </c>
      <c r="G22" s="159" t="s">
        <v>20</v>
      </c>
      <c r="H22" s="288" t="s">
        <v>19</v>
      </c>
      <c r="I22" s="287" t="s">
        <v>21</v>
      </c>
      <c r="J22" s="297" t="s">
        <v>31</v>
      </c>
      <c r="K22" s="287" t="s">
        <v>22</v>
      </c>
      <c r="L22" s="483"/>
      <c r="M22" s="159" t="s">
        <v>696</v>
      </c>
      <c r="N22" s="147"/>
    </row>
    <row r="23" ht="22.5" customHeight="1">
      <c r="A23" s="270"/>
      <c r="B23" s="158" t="s">
        <v>647</v>
      </c>
      <c r="C23" s="301" t="s">
        <v>34</v>
      </c>
      <c r="D23" s="320" t="s">
        <v>35</v>
      </c>
      <c r="E23" s="158" t="s">
        <v>18</v>
      </c>
      <c r="F23" s="301" t="s">
        <v>31</v>
      </c>
      <c r="G23" s="158" t="s">
        <v>20</v>
      </c>
      <c r="H23" s="306" t="s">
        <v>19</v>
      </c>
      <c r="I23" s="293" t="s">
        <v>21</v>
      </c>
      <c r="J23" s="152"/>
      <c r="K23" s="293" t="s">
        <v>22</v>
      </c>
      <c r="L23" s="482"/>
      <c r="M23" s="158" t="s">
        <v>6480</v>
      </c>
      <c r="N23" s="155"/>
    </row>
    <row r="24" ht="22.5" customHeight="1">
      <c r="A24" s="368"/>
      <c r="B24" s="159" t="s">
        <v>649</v>
      </c>
      <c r="C24" s="297" t="s">
        <v>34</v>
      </c>
      <c r="D24" s="143" t="s">
        <v>30</v>
      </c>
      <c r="E24" s="159" t="s">
        <v>18</v>
      </c>
      <c r="F24" s="144"/>
      <c r="G24" s="159" t="s">
        <v>20</v>
      </c>
      <c r="H24" s="297" t="s">
        <v>31</v>
      </c>
      <c r="I24" s="287" t="s">
        <v>21</v>
      </c>
      <c r="J24" s="297" t="s">
        <v>31</v>
      </c>
      <c r="K24" s="287" t="s">
        <v>22</v>
      </c>
      <c r="L24" s="483"/>
      <c r="M24" s="159" t="s">
        <v>6481</v>
      </c>
      <c r="N24" s="147"/>
    </row>
    <row r="25" ht="22.5" customHeight="1">
      <c r="A25" s="270"/>
      <c r="B25" s="158" t="s">
        <v>650</v>
      </c>
      <c r="C25" s="306" t="s">
        <v>16</v>
      </c>
      <c r="D25" s="214" t="s">
        <v>17</v>
      </c>
      <c r="E25" s="158" t="s">
        <v>18</v>
      </c>
      <c r="F25" s="152"/>
      <c r="G25" s="158" t="s">
        <v>20</v>
      </c>
      <c r="H25" s="306" t="s">
        <v>19</v>
      </c>
      <c r="I25" s="293" t="s">
        <v>21</v>
      </c>
      <c r="J25" s="306" t="s">
        <v>19</v>
      </c>
      <c r="K25" s="293" t="s">
        <v>22</v>
      </c>
      <c r="L25" s="482"/>
      <c r="M25" s="196"/>
      <c r="N25" s="155"/>
    </row>
    <row r="26" ht="22.5" customHeight="1">
      <c r="A26" s="368"/>
      <c r="B26" s="159" t="s">
        <v>651</v>
      </c>
      <c r="C26" s="297" t="s">
        <v>34</v>
      </c>
      <c r="D26" s="216" t="s">
        <v>40</v>
      </c>
      <c r="E26" s="159" t="s">
        <v>18</v>
      </c>
      <c r="F26" s="288" t="s">
        <v>19</v>
      </c>
      <c r="G26" s="159" t="s">
        <v>20</v>
      </c>
      <c r="H26" s="297" t="s">
        <v>31</v>
      </c>
      <c r="I26" s="287" t="s">
        <v>21</v>
      </c>
      <c r="J26" s="288" t="s">
        <v>19</v>
      </c>
      <c r="K26" s="287" t="s">
        <v>22</v>
      </c>
      <c r="L26" s="483"/>
      <c r="M26" s="159" t="s">
        <v>6482</v>
      </c>
      <c r="N26" s="147"/>
    </row>
    <row r="27" ht="22.5" customHeight="1">
      <c r="A27" s="270"/>
      <c r="B27" s="158" t="s">
        <v>6483</v>
      </c>
      <c r="C27" s="306" t="s">
        <v>16</v>
      </c>
      <c r="D27" s="214" t="s">
        <v>17</v>
      </c>
      <c r="E27" s="158" t="s">
        <v>18</v>
      </c>
      <c r="F27" s="152"/>
      <c r="G27" s="158" t="s">
        <v>20</v>
      </c>
      <c r="H27" s="306" t="s">
        <v>19</v>
      </c>
      <c r="I27" s="293" t="s">
        <v>21</v>
      </c>
      <c r="J27" s="306" t="s">
        <v>19</v>
      </c>
      <c r="K27" s="293" t="s">
        <v>22</v>
      </c>
      <c r="L27" s="482"/>
      <c r="M27" s="196"/>
      <c r="N27" s="155"/>
    </row>
    <row r="28" ht="22.5" customHeight="1">
      <c r="A28" s="285" t="s">
        <v>653</v>
      </c>
      <c r="B28" s="159" t="s">
        <v>654</v>
      </c>
      <c r="C28" s="297" t="s">
        <v>34</v>
      </c>
      <c r="D28" s="156" t="s">
        <v>635</v>
      </c>
      <c r="E28" s="159" t="s">
        <v>18</v>
      </c>
      <c r="F28" s="297" t="s">
        <v>31</v>
      </c>
      <c r="G28" s="159" t="s">
        <v>20</v>
      </c>
      <c r="H28" s="297" t="s">
        <v>31</v>
      </c>
      <c r="I28" s="287" t="s">
        <v>21</v>
      </c>
      <c r="J28" s="297" t="s">
        <v>31</v>
      </c>
      <c r="K28" s="287" t="s">
        <v>22</v>
      </c>
      <c r="L28" s="304" t="s">
        <v>31</v>
      </c>
      <c r="M28" s="159" t="s">
        <v>636</v>
      </c>
      <c r="N28" s="147"/>
    </row>
    <row r="29" ht="22.5" customHeight="1">
      <c r="A29" s="270"/>
      <c r="B29" s="158" t="s">
        <v>6484</v>
      </c>
      <c r="C29" s="301" t="s">
        <v>34</v>
      </c>
      <c r="D29" s="213" t="s">
        <v>40</v>
      </c>
      <c r="E29" s="158" t="s">
        <v>18</v>
      </c>
      <c r="F29" s="306" t="s">
        <v>19</v>
      </c>
      <c r="G29" s="158" t="s">
        <v>20</v>
      </c>
      <c r="H29" s="301" t="s">
        <v>31</v>
      </c>
      <c r="I29" s="293" t="s">
        <v>21</v>
      </c>
      <c r="J29" s="152"/>
      <c r="K29" s="293" t="s">
        <v>22</v>
      </c>
      <c r="L29" s="482"/>
      <c r="M29" s="158" t="s">
        <v>1308</v>
      </c>
      <c r="N29" s="155"/>
    </row>
    <row r="30" ht="22.5" customHeight="1">
      <c r="A30" s="368"/>
      <c r="B30" s="159" t="s">
        <v>655</v>
      </c>
      <c r="C30" s="297" t="s">
        <v>34</v>
      </c>
      <c r="D30" s="216" t="s">
        <v>40</v>
      </c>
      <c r="E30" s="159" t="s">
        <v>18</v>
      </c>
      <c r="F30" s="144"/>
      <c r="G30" s="159" t="s">
        <v>20</v>
      </c>
      <c r="H30" s="215" t="s">
        <v>26</v>
      </c>
      <c r="I30" s="287" t="s">
        <v>21</v>
      </c>
      <c r="J30" s="288" t="s">
        <v>19</v>
      </c>
      <c r="K30" s="287" t="s">
        <v>22</v>
      </c>
      <c r="L30" s="483"/>
      <c r="M30" s="159" t="s">
        <v>696</v>
      </c>
      <c r="N30" s="147"/>
    </row>
    <row r="31" ht="22.5" customHeight="1">
      <c r="A31" s="291" t="s">
        <v>641</v>
      </c>
      <c r="B31" s="158" t="s">
        <v>642</v>
      </c>
      <c r="C31" s="301" t="s">
        <v>34</v>
      </c>
      <c r="D31" s="213" t="s">
        <v>40</v>
      </c>
      <c r="E31" s="158" t="s">
        <v>18</v>
      </c>
      <c r="F31" s="301" t="s">
        <v>31</v>
      </c>
      <c r="G31" s="158" t="s">
        <v>20</v>
      </c>
      <c r="H31" s="301" t="s">
        <v>31</v>
      </c>
      <c r="I31" s="293" t="s">
        <v>21</v>
      </c>
      <c r="J31" s="152"/>
      <c r="K31" s="293" t="s">
        <v>22</v>
      </c>
      <c r="L31" s="482"/>
      <c r="M31" s="158" t="s">
        <v>6485</v>
      </c>
      <c r="N31" s="157" t="s">
        <v>6486</v>
      </c>
    </row>
    <row r="32" ht="22.5" customHeight="1">
      <c r="A32" s="285" t="s">
        <v>6487</v>
      </c>
      <c r="B32" s="159" t="s">
        <v>6488</v>
      </c>
      <c r="C32" s="297" t="s">
        <v>34</v>
      </c>
      <c r="D32" s="332" t="s">
        <v>35</v>
      </c>
      <c r="E32" s="159" t="s">
        <v>18</v>
      </c>
      <c r="F32" s="144"/>
      <c r="G32" s="159" t="s">
        <v>20</v>
      </c>
      <c r="H32" s="297" t="s">
        <v>31</v>
      </c>
      <c r="I32" s="287" t="s">
        <v>21</v>
      </c>
      <c r="J32" s="144"/>
      <c r="K32" s="287" t="s">
        <v>22</v>
      </c>
      <c r="L32" s="483"/>
      <c r="M32" s="159" t="s">
        <v>6489</v>
      </c>
      <c r="N32" s="147"/>
    </row>
    <row r="33" ht="22.5" customHeight="1">
      <c r="A33" s="270"/>
      <c r="B33" s="158" t="s">
        <v>658</v>
      </c>
      <c r="C33" s="301" t="s">
        <v>34</v>
      </c>
      <c r="D33" s="151" t="s">
        <v>30</v>
      </c>
      <c r="E33" s="158" t="s">
        <v>18</v>
      </c>
      <c r="F33" s="301" t="s">
        <v>31</v>
      </c>
      <c r="G33" s="158" t="s">
        <v>20</v>
      </c>
      <c r="H33" s="301" t="s">
        <v>31</v>
      </c>
      <c r="I33" s="293" t="s">
        <v>21</v>
      </c>
      <c r="J33" s="152"/>
      <c r="K33" s="293" t="s">
        <v>22</v>
      </c>
      <c r="L33" s="482"/>
      <c r="M33" s="158" t="s">
        <v>696</v>
      </c>
      <c r="N33" s="157" t="s">
        <v>6490</v>
      </c>
    </row>
    <row r="34" ht="22.5" customHeight="1">
      <c r="A34" s="368"/>
      <c r="B34" s="159" t="s">
        <v>6491</v>
      </c>
      <c r="C34" s="288" t="s">
        <v>16</v>
      </c>
      <c r="D34" s="212" t="s">
        <v>17</v>
      </c>
      <c r="E34" s="159" t="s">
        <v>18</v>
      </c>
      <c r="F34" s="144"/>
      <c r="G34" s="159" t="s">
        <v>20</v>
      </c>
      <c r="H34" s="288" t="s">
        <v>19</v>
      </c>
      <c r="I34" s="287" t="s">
        <v>21</v>
      </c>
      <c r="J34" s="288" t="s">
        <v>19</v>
      </c>
      <c r="K34" s="287" t="s">
        <v>22</v>
      </c>
      <c r="L34" s="483"/>
      <c r="M34" s="159" t="s">
        <v>376</v>
      </c>
      <c r="N34" s="147"/>
    </row>
    <row r="35" ht="22.5" customHeight="1">
      <c r="A35" s="270"/>
      <c r="B35" s="158" t="s">
        <v>6492</v>
      </c>
      <c r="C35" s="306" t="s">
        <v>16</v>
      </c>
      <c r="D35" s="214" t="s">
        <v>17</v>
      </c>
      <c r="E35" s="158" t="s">
        <v>18</v>
      </c>
      <c r="F35" s="152"/>
      <c r="G35" s="158" t="s">
        <v>20</v>
      </c>
      <c r="H35" s="306" t="s">
        <v>19</v>
      </c>
      <c r="I35" s="293" t="s">
        <v>21</v>
      </c>
      <c r="J35" s="306" t="s">
        <v>19</v>
      </c>
      <c r="K35" s="293" t="s">
        <v>22</v>
      </c>
      <c r="L35" s="482"/>
      <c r="M35" s="158" t="s">
        <v>376</v>
      </c>
      <c r="N35" s="157" t="s">
        <v>703</v>
      </c>
    </row>
    <row r="36" ht="22.5" customHeight="1">
      <c r="A36" s="368"/>
      <c r="B36" s="159" t="s">
        <v>652</v>
      </c>
      <c r="C36" s="297" t="s">
        <v>34</v>
      </c>
      <c r="D36" s="216" t="s">
        <v>40</v>
      </c>
      <c r="E36" s="159" t="s">
        <v>18</v>
      </c>
      <c r="F36" s="297" t="s">
        <v>31</v>
      </c>
      <c r="G36" s="159" t="s">
        <v>20</v>
      </c>
      <c r="H36" s="297" t="s">
        <v>31</v>
      </c>
      <c r="I36" s="287" t="s">
        <v>21</v>
      </c>
      <c r="J36" s="204" t="s">
        <v>5279</v>
      </c>
      <c r="K36" s="287" t="s">
        <v>22</v>
      </c>
      <c r="L36" s="298" t="s">
        <v>5279</v>
      </c>
      <c r="M36" s="159" t="s">
        <v>1791</v>
      </c>
      <c r="N36" s="147"/>
    </row>
    <row r="37" ht="22.5" customHeight="1">
      <c r="A37" s="270"/>
      <c r="B37" s="158" t="s">
        <v>6493</v>
      </c>
      <c r="C37" s="301" t="s">
        <v>34</v>
      </c>
      <c r="D37" s="213" t="s">
        <v>40</v>
      </c>
      <c r="E37" s="158" t="s">
        <v>18</v>
      </c>
      <c r="F37" s="174" t="s">
        <v>26</v>
      </c>
      <c r="G37" s="158" t="s">
        <v>20</v>
      </c>
      <c r="H37" s="301" t="s">
        <v>31</v>
      </c>
      <c r="I37" s="293" t="s">
        <v>21</v>
      </c>
      <c r="J37" s="152"/>
      <c r="K37" s="293" t="s">
        <v>22</v>
      </c>
      <c r="L37" s="482"/>
      <c r="M37" s="158" t="s">
        <v>696</v>
      </c>
      <c r="N37" s="155"/>
    </row>
    <row r="38" ht="22.5" customHeight="1">
      <c r="A38" s="368"/>
      <c r="B38" s="159" t="s">
        <v>661</v>
      </c>
      <c r="C38" s="297" t="s">
        <v>34</v>
      </c>
      <c r="D38" s="216" t="s">
        <v>40</v>
      </c>
      <c r="E38" s="159" t="s">
        <v>18</v>
      </c>
      <c r="F38" s="144"/>
      <c r="G38" s="159" t="s">
        <v>20</v>
      </c>
      <c r="H38" s="297" t="s">
        <v>31</v>
      </c>
      <c r="I38" s="287" t="s">
        <v>21</v>
      </c>
      <c r="J38" s="288" t="s">
        <v>19</v>
      </c>
      <c r="K38" s="287" t="s">
        <v>22</v>
      </c>
      <c r="L38" s="483"/>
      <c r="M38" s="159" t="s">
        <v>696</v>
      </c>
      <c r="N38" s="147"/>
    </row>
    <row r="39" ht="22.5" customHeight="1">
      <c r="A39" s="270"/>
      <c r="B39" s="158" t="s">
        <v>662</v>
      </c>
      <c r="C39" s="301" t="s">
        <v>34</v>
      </c>
      <c r="D39" s="213" t="s">
        <v>40</v>
      </c>
      <c r="E39" s="158" t="s">
        <v>18</v>
      </c>
      <c r="F39" s="152"/>
      <c r="G39" s="158" t="s">
        <v>20</v>
      </c>
      <c r="H39" s="306" t="s">
        <v>19</v>
      </c>
      <c r="I39" s="293" t="s">
        <v>21</v>
      </c>
      <c r="J39" s="301" t="s">
        <v>31</v>
      </c>
      <c r="K39" s="293" t="s">
        <v>22</v>
      </c>
      <c r="L39" s="482"/>
      <c r="M39" s="158" t="s">
        <v>6494</v>
      </c>
      <c r="N39" s="155"/>
    </row>
    <row r="40" ht="22.5" customHeight="1">
      <c r="A40" s="368"/>
      <c r="B40" s="159" t="s">
        <v>663</v>
      </c>
      <c r="C40" s="297" t="s">
        <v>34</v>
      </c>
      <c r="D40" s="216" t="s">
        <v>40</v>
      </c>
      <c r="E40" s="159" t="s">
        <v>18</v>
      </c>
      <c r="F40" s="144"/>
      <c r="G40" s="159" t="s">
        <v>20</v>
      </c>
      <c r="H40" s="288" t="s">
        <v>19</v>
      </c>
      <c r="I40" s="287" t="s">
        <v>21</v>
      </c>
      <c r="J40" s="215" t="s">
        <v>26</v>
      </c>
      <c r="K40" s="287" t="s">
        <v>22</v>
      </c>
      <c r="L40" s="483"/>
      <c r="M40" s="159" t="s">
        <v>6495</v>
      </c>
      <c r="N40" s="147"/>
    </row>
    <row r="41" ht="22.5" customHeight="1">
      <c r="A41" s="270"/>
      <c r="B41" s="158" t="s">
        <v>664</v>
      </c>
      <c r="C41" s="301" t="s">
        <v>34</v>
      </c>
      <c r="D41" s="161" t="s">
        <v>49</v>
      </c>
      <c r="E41" s="158" t="s">
        <v>18</v>
      </c>
      <c r="F41" s="320" t="s">
        <v>50</v>
      </c>
      <c r="G41" s="158" t="s">
        <v>20</v>
      </c>
      <c r="H41" s="301" t="s">
        <v>31</v>
      </c>
      <c r="I41" s="293" t="s">
        <v>21</v>
      </c>
      <c r="J41" s="320" t="s">
        <v>50</v>
      </c>
      <c r="K41" s="293" t="s">
        <v>22</v>
      </c>
      <c r="L41" s="484" t="s">
        <v>50</v>
      </c>
      <c r="M41" s="158" t="s">
        <v>372</v>
      </c>
      <c r="N41" s="155"/>
    </row>
    <row r="42" ht="22.5" customHeight="1">
      <c r="A42" s="368"/>
      <c r="B42" s="159" t="s">
        <v>6496</v>
      </c>
      <c r="C42" s="288" t="s">
        <v>16</v>
      </c>
      <c r="D42" s="212" t="s">
        <v>17</v>
      </c>
      <c r="E42" s="159" t="s">
        <v>18</v>
      </c>
      <c r="F42" s="144"/>
      <c r="G42" s="159" t="s">
        <v>20</v>
      </c>
      <c r="H42" s="288" t="s">
        <v>19</v>
      </c>
      <c r="I42" s="287" t="s">
        <v>21</v>
      </c>
      <c r="J42" s="288" t="s">
        <v>19</v>
      </c>
      <c r="K42" s="287" t="s">
        <v>22</v>
      </c>
      <c r="L42" s="483"/>
      <c r="M42" s="197"/>
      <c r="N42" s="147"/>
    </row>
    <row r="43" ht="22.5" customHeight="1">
      <c r="A43" s="270"/>
      <c r="B43" s="158" t="s">
        <v>630</v>
      </c>
      <c r="C43" s="306" t="s">
        <v>16</v>
      </c>
      <c r="D43" s="214" t="s">
        <v>17</v>
      </c>
      <c r="E43" s="158" t="s">
        <v>18</v>
      </c>
      <c r="F43" s="306" t="s">
        <v>19</v>
      </c>
      <c r="G43" s="158" t="s">
        <v>20</v>
      </c>
      <c r="H43" s="152"/>
      <c r="I43" s="293" t="s">
        <v>21</v>
      </c>
      <c r="J43" s="152"/>
      <c r="K43" s="293" t="s">
        <v>22</v>
      </c>
      <c r="L43" s="482"/>
      <c r="M43" s="196"/>
      <c r="N43" s="155"/>
    </row>
    <row r="44" ht="22.5" customHeight="1">
      <c r="A44" s="368"/>
      <c r="B44" s="159" t="s">
        <v>734</v>
      </c>
      <c r="C44" s="297" t="s">
        <v>34</v>
      </c>
      <c r="D44" s="216" t="s">
        <v>40</v>
      </c>
      <c r="E44" s="159" t="s">
        <v>18</v>
      </c>
      <c r="F44" s="297" t="s">
        <v>31</v>
      </c>
      <c r="G44" s="159" t="s">
        <v>20</v>
      </c>
      <c r="H44" s="144"/>
      <c r="I44" s="287" t="s">
        <v>21</v>
      </c>
      <c r="J44" s="144"/>
      <c r="K44" s="287" t="s">
        <v>22</v>
      </c>
      <c r="L44" s="483"/>
      <c r="M44" s="159" t="s">
        <v>696</v>
      </c>
      <c r="N44" s="147"/>
    </row>
    <row r="45" ht="22.5" customHeight="1">
      <c r="A45" s="270"/>
      <c r="B45" s="158" t="s">
        <v>6497</v>
      </c>
      <c r="C45" s="306" t="s">
        <v>16</v>
      </c>
      <c r="D45" s="214" t="s">
        <v>17</v>
      </c>
      <c r="E45" s="158" t="s">
        <v>18</v>
      </c>
      <c r="F45" s="306" t="s">
        <v>19</v>
      </c>
      <c r="G45" s="158" t="s">
        <v>20</v>
      </c>
      <c r="H45" s="152"/>
      <c r="I45" s="293" t="s">
        <v>21</v>
      </c>
      <c r="J45" s="152"/>
      <c r="K45" s="293" t="s">
        <v>22</v>
      </c>
      <c r="L45" s="482"/>
      <c r="M45" s="196"/>
      <c r="N45" s="155"/>
    </row>
    <row r="46" ht="22.5" customHeight="1">
      <c r="A46" s="285" t="s">
        <v>757</v>
      </c>
      <c r="B46" s="159" t="s">
        <v>534</v>
      </c>
      <c r="C46" s="297" t="s">
        <v>34</v>
      </c>
      <c r="D46" s="143" t="s">
        <v>30</v>
      </c>
      <c r="E46" s="159" t="s">
        <v>18</v>
      </c>
      <c r="F46" s="297" t="s">
        <v>31</v>
      </c>
      <c r="G46" s="159" t="s">
        <v>20</v>
      </c>
      <c r="H46" s="144"/>
      <c r="I46" s="287" t="s">
        <v>21</v>
      </c>
      <c r="J46" s="144"/>
      <c r="K46" s="287" t="s">
        <v>22</v>
      </c>
      <c r="L46" s="483"/>
      <c r="M46" s="159" t="s">
        <v>6498</v>
      </c>
      <c r="N46" s="147"/>
    </row>
    <row r="47" ht="22.5" customHeight="1">
      <c r="A47" s="291" t="s">
        <v>631</v>
      </c>
      <c r="B47" s="158" t="s">
        <v>632</v>
      </c>
      <c r="C47" s="301" t="s">
        <v>34</v>
      </c>
      <c r="D47" s="213" t="s">
        <v>40</v>
      </c>
      <c r="E47" s="158" t="s">
        <v>18</v>
      </c>
      <c r="F47" s="301" t="s">
        <v>31</v>
      </c>
      <c r="G47" s="158" t="s">
        <v>20</v>
      </c>
      <c r="H47" s="152"/>
      <c r="I47" s="293" t="s">
        <v>21</v>
      </c>
      <c r="J47" s="152"/>
      <c r="K47" s="293" t="s">
        <v>22</v>
      </c>
      <c r="L47" s="482"/>
      <c r="M47" s="158" t="s">
        <v>696</v>
      </c>
      <c r="N47" s="155"/>
    </row>
    <row r="48" ht="22.5" customHeight="1">
      <c r="A48" s="368"/>
      <c r="B48" s="159" t="s">
        <v>6499</v>
      </c>
      <c r="C48" s="297" t="s">
        <v>34</v>
      </c>
      <c r="D48" s="332" t="s">
        <v>35</v>
      </c>
      <c r="E48" s="159" t="s">
        <v>18</v>
      </c>
      <c r="F48" s="297" t="s">
        <v>31</v>
      </c>
      <c r="G48" s="159" t="s">
        <v>20</v>
      </c>
      <c r="H48" s="297" t="s">
        <v>31</v>
      </c>
      <c r="I48" s="287" t="s">
        <v>21</v>
      </c>
      <c r="J48" s="144"/>
      <c r="K48" s="287" t="s">
        <v>22</v>
      </c>
      <c r="L48" s="483"/>
      <c r="M48" s="159" t="s">
        <v>6500</v>
      </c>
      <c r="N48" s="147"/>
    </row>
    <row r="49" ht="22.5" customHeight="1">
      <c r="A49" s="270"/>
      <c r="B49" s="158" t="s">
        <v>6501</v>
      </c>
      <c r="C49" s="306" t="s">
        <v>16</v>
      </c>
      <c r="D49" s="214" t="s">
        <v>17</v>
      </c>
      <c r="E49" s="158" t="s">
        <v>18</v>
      </c>
      <c r="F49" s="306" t="s">
        <v>19</v>
      </c>
      <c r="G49" s="158" t="s">
        <v>20</v>
      </c>
      <c r="H49" s="152"/>
      <c r="I49" s="293" t="s">
        <v>21</v>
      </c>
      <c r="J49" s="152"/>
      <c r="K49" s="293" t="s">
        <v>22</v>
      </c>
      <c r="L49" s="482"/>
      <c r="M49" s="196"/>
      <c r="N49" s="155"/>
    </row>
    <row r="50" ht="22.5" customHeight="1">
      <c r="A50" s="368"/>
      <c r="B50" s="159" t="s">
        <v>534</v>
      </c>
      <c r="C50" s="288" t="s">
        <v>16</v>
      </c>
      <c r="D50" s="212" t="s">
        <v>17</v>
      </c>
      <c r="E50" s="159" t="s">
        <v>18</v>
      </c>
      <c r="F50" s="288" t="s">
        <v>19</v>
      </c>
      <c r="G50" s="159" t="s">
        <v>20</v>
      </c>
      <c r="H50" s="144"/>
      <c r="I50" s="287" t="s">
        <v>21</v>
      </c>
      <c r="J50" s="144"/>
      <c r="K50" s="287" t="s">
        <v>22</v>
      </c>
      <c r="L50" s="483"/>
      <c r="M50" s="197"/>
      <c r="N50" s="147"/>
    </row>
    <row r="51" ht="22.5" customHeight="1">
      <c r="A51" s="291" t="s">
        <v>645</v>
      </c>
      <c r="B51" s="158" t="s">
        <v>646</v>
      </c>
      <c r="C51" s="301" t="s">
        <v>34</v>
      </c>
      <c r="D51" s="151" t="s">
        <v>30</v>
      </c>
      <c r="E51" s="158" t="s">
        <v>18</v>
      </c>
      <c r="F51" s="306" t="s">
        <v>19</v>
      </c>
      <c r="G51" s="158" t="s">
        <v>20</v>
      </c>
      <c r="H51" s="301" t="s">
        <v>31</v>
      </c>
      <c r="I51" s="293" t="s">
        <v>21</v>
      </c>
      <c r="J51" s="152"/>
      <c r="K51" s="293" t="s">
        <v>22</v>
      </c>
      <c r="L51" s="482"/>
      <c r="M51" s="158" t="s">
        <v>6502</v>
      </c>
      <c r="N51" s="155"/>
    </row>
    <row r="52" ht="22.5" customHeight="1">
      <c r="A52" s="368"/>
      <c r="B52" s="159" t="s">
        <v>639</v>
      </c>
      <c r="C52" s="297" t="s">
        <v>34</v>
      </c>
      <c r="D52" s="216" t="s">
        <v>40</v>
      </c>
      <c r="E52" s="159" t="s">
        <v>18</v>
      </c>
      <c r="F52" s="297" t="s">
        <v>31</v>
      </c>
      <c r="G52" s="159" t="s">
        <v>20</v>
      </c>
      <c r="H52" s="144"/>
      <c r="I52" s="287" t="s">
        <v>21</v>
      </c>
      <c r="J52" s="144"/>
      <c r="K52" s="287" t="s">
        <v>22</v>
      </c>
      <c r="L52" s="483"/>
      <c r="M52" s="159" t="s">
        <v>696</v>
      </c>
      <c r="N52" s="147"/>
    </row>
    <row r="53" ht="22.5" customHeight="1">
      <c r="A53" s="270"/>
      <c r="B53" s="158" t="s">
        <v>666</v>
      </c>
      <c r="C53" s="306" t="s">
        <v>16</v>
      </c>
      <c r="D53" s="214" t="s">
        <v>17</v>
      </c>
      <c r="E53" s="158" t="s">
        <v>18</v>
      </c>
      <c r="F53" s="306" t="s">
        <v>19</v>
      </c>
      <c r="G53" s="158" t="s">
        <v>20</v>
      </c>
      <c r="H53" s="152"/>
      <c r="I53" s="293" t="s">
        <v>21</v>
      </c>
      <c r="J53" s="152"/>
      <c r="K53" s="293" t="s">
        <v>22</v>
      </c>
      <c r="L53" s="482"/>
      <c r="M53" s="196"/>
      <c r="N53" s="155"/>
    </row>
    <row r="54" ht="22.5" customHeight="1">
      <c r="A54" s="368"/>
      <c r="B54" s="159" t="s">
        <v>6503</v>
      </c>
      <c r="C54" s="288" t="s">
        <v>16</v>
      </c>
      <c r="D54" s="212" t="s">
        <v>17</v>
      </c>
      <c r="E54" s="159" t="s">
        <v>18</v>
      </c>
      <c r="F54" s="288" t="s">
        <v>19</v>
      </c>
      <c r="G54" s="159" t="s">
        <v>20</v>
      </c>
      <c r="H54" s="144"/>
      <c r="I54" s="287" t="s">
        <v>21</v>
      </c>
      <c r="J54" s="144"/>
      <c r="K54" s="287" t="s">
        <v>22</v>
      </c>
      <c r="L54" s="144"/>
      <c r="M54" s="159" t="s">
        <v>6504</v>
      </c>
      <c r="N54" s="351" t="s">
        <v>6505</v>
      </c>
    </row>
    <row r="55" ht="22.5" customHeight="1">
      <c r="A55" s="270"/>
      <c r="B55" s="158" t="s">
        <v>6506</v>
      </c>
      <c r="C55" s="306" t="s">
        <v>16</v>
      </c>
      <c r="D55" s="214" t="s">
        <v>17</v>
      </c>
      <c r="E55" s="158" t="s">
        <v>18</v>
      </c>
      <c r="F55" s="306" t="s">
        <v>19</v>
      </c>
      <c r="G55" s="158" t="s">
        <v>20</v>
      </c>
      <c r="H55" s="152"/>
      <c r="I55" s="293" t="s">
        <v>21</v>
      </c>
      <c r="J55" s="152"/>
      <c r="K55" s="293" t="s">
        <v>22</v>
      </c>
      <c r="L55" s="482"/>
      <c r="M55" s="196"/>
      <c r="N55" s="155"/>
    </row>
    <row r="56" ht="22.5" customHeight="1">
      <c r="A56" s="368"/>
      <c r="B56" s="159" t="s">
        <v>634</v>
      </c>
      <c r="C56" s="297" t="s">
        <v>34</v>
      </c>
      <c r="D56" s="143" t="s">
        <v>30</v>
      </c>
      <c r="E56" s="159" t="s">
        <v>18</v>
      </c>
      <c r="F56" s="297" t="s">
        <v>31</v>
      </c>
      <c r="G56" s="159" t="s">
        <v>20</v>
      </c>
      <c r="H56" s="297" t="s">
        <v>31</v>
      </c>
      <c r="I56" s="287" t="s">
        <v>21</v>
      </c>
      <c r="J56" s="144"/>
      <c r="K56" s="287" t="s">
        <v>22</v>
      </c>
      <c r="L56" s="483"/>
      <c r="M56" s="159" t="s">
        <v>6507</v>
      </c>
      <c r="N56" s="351" t="s">
        <v>6508</v>
      </c>
    </row>
    <row r="57" ht="22.5" customHeight="1">
      <c r="A57" s="291" t="s">
        <v>6509</v>
      </c>
      <c r="B57" s="158" t="s">
        <v>6510</v>
      </c>
      <c r="C57" s="301" t="s">
        <v>34</v>
      </c>
      <c r="D57" s="213" t="s">
        <v>40</v>
      </c>
      <c r="E57" s="158" t="s">
        <v>18</v>
      </c>
      <c r="F57" s="301" t="s">
        <v>31</v>
      </c>
      <c r="G57" s="158" t="s">
        <v>20</v>
      </c>
      <c r="H57" s="152"/>
      <c r="I57" s="293" t="s">
        <v>21</v>
      </c>
      <c r="J57" s="152"/>
      <c r="K57" s="293" t="s">
        <v>22</v>
      </c>
      <c r="L57" s="482"/>
      <c r="M57" s="158" t="s">
        <v>685</v>
      </c>
      <c r="N57" s="155"/>
    </row>
    <row r="58" ht="22.5" customHeight="1">
      <c r="A58" s="368"/>
      <c r="B58" s="159" t="s">
        <v>6511</v>
      </c>
      <c r="C58" s="297" t="s">
        <v>34</v>
      </c>
      <c r="D58" s="216" t="s">
        <v>40</v>
      </c>
      <c r="E58" s="159" t="s">
        <v>18</v>
      </c>
      <c r="F58" s="297" t="s">
        <v>31</v>
      </c>
      <c r="G58" s="159" t="s">
        <v>20</v>
      </c>
      <c r="H58" s="144"/>
      <c r="I58" s="287" t="s">
        <v>21</v>
      </c>
      <c r="J58" s="144"/>
      <c r="K58" s="287" t="s">
        <v>22</v>
      </c>
      <c r="L58" s="483"/>
      <c r="M58" s="159" t="s">
        <v>6512</v>
      </c>
      <c r="N58" s="147"/>
    </row>
    <row r="59" ht="22.5" customHeight="1">
      <c r="A59" s="270"/>
      <c r="B59" s="158" t="s">
        <v>6513</v>
      </c>
      <c r="C59" s="306" t="s">
        <v>16</v>
      </c>
      <c r="D59" s="214" t="s">
        <v>17</v>
      </c>
      <c r="E59" s="158" t="s">
        <v>18</v>
      </c>
      <c r="F59" s="306" t="s">
        <v>19</v>
      </c>
      <c r="G59" s="158" t="s">
        <v>20</v>
      </c>
      <c r="H59" s="152"/>
      <c r="I59" s="293" t="s">
        <v>21</v>
      </c>
      <c r="J59" s="152"/>
      <c r="K59" s="293" t="s">
        <v>22</v>
      </c>
      <c r="L59" s="482"/>
      <c r="M59" s="158" t="s">
        <v>376</v>
      </c>
      <c r="N59" s="155"/>
    </row>
    <row r="60" ht="22.5" customHeight="1">
      <c r="A60" s="368"/>
      <c r="B60" s="159" t="s">
        <v>630</v>
      </c>
      <c r="C60" s="288" t="s">
        <v>16</v>
      </c>
      <c r="D60" s="212" t="s">
        <v>17</v>
      </c>
      <c r="E60" s="159" t="s">
        <v>18</v>
      </c>
      <c r="F60" s="288" t="s">
        <v>19</v>
      </c>
      <c r="G60" s="159" t="s">
        <v>20</v>
      </c>
      <c r="H60" s="144"/>
      <c r="I60" s="287" t="s">
        <v>21</v>
      </c>
      <c r="J60" s="144"/>
      <c r="K60" s="287" t="s">
        <v>22</v>
      </c>
      <c r="L60" s="483"/>
      <c r="M60" s="159" t="s">
        <v>376</v>
      </c>
      <c r="N60" s="147"/>
    </row>
    <row r="61" ht="22.5" customHeight="1">
      <c r="A61" s="270"/>
      <c r="B61" s="158" t="s">
        <v>660</v>
      </c>
      <c r="C61" s="301" t="s">
        <v>34</v>
      </c>
      <c r="D61" s="213" t="s">
        <v>40</v>
      </c>
      <c r="E61" s="158" t="s">
        <v>18</v>
      </c>
      <c r="F61" s="301" t="s">
        <v>31</v>
      </c>
      <c r="G61" s="158" t="s">
        <v>20</v>
      </c>
      <c r="H61" s="207" t="s">
        <v>5279</v>
      </c>
      <c r="I61" s="293" t="s">
        <v>21</v>
      </c>
      <c r="J61" s="207" t="s">
        <v>5279</v>
      </c>
      <c r="K61" s="293" t="s">
        <v>22</v>
      </c>
      <c r="L61" s="302" t="s">
        <v>5279</v>
      </c>
      <c r="M61" s="158" t="s">
        <v>6514</v>
      </c>
      <c r="N61" s="155"/>
    </row>
    <row r="62" ht="22.5" customHeight="1">
      <c r="A62" s="368"/>
      <c r="B62" s="159" t="s">
        <v>754</v>
      </c>
      <c r="C62" s="297" t="s">
        <v>34</v>
      </c>
      <c r="D62" s="216" t="s">
        <v>40</v>
      </c>
      <c r="E62" s="159" t="s">
        <v>18</v>
      </c>
      <c r="F62" s="215" t="s">
        <v>26</v>
      </c>
      <c r="G62" s="159" t="s">
        <v>20</v>
      </c>
      <c r="H62" s="144"/>
      <c r="I62" s="287" t="s">
        <v>21</v>
      </c>
      <c r="J62" s="144"/>
      <c r="K62" s="287" t="s">
        <v>22</v>
      </c>
      <c r="L62" s="483"/>
      <c r="M62" s="159" t="s">
        <v>927</v>
      </c>
      <c r="N62" s="147"/>
    </row>
    <row r="63" ht="22.5" customHeight="1">
      <c r="A63" s="291" t="s">
        <v>667</v>
      </c>
      <c r="B63" s="158" t="s">
        <v>668</v>
      </c>
      <c r="C63" s="301" t="s">
        <v>34</v>
      </c>
      <c r="D63" s="213" t="s">
        <v>40</v>
      </c>
      <c r="E63" s="158" t="s">
        <v>18</v>
      </c>
      <c r="F63" s="301" t="s">
        <v>31</v>
      </c>
      <c r="G63" s="158" t="s">
        <v>20</v>
      </c>
      <c r="H63" s="152"/>
      <c r="I63" s="293" t="s">
        <v>21</v>
      </c>
      <c r="J63" s="152"/>
      <c r="K63" s="293" t="s">
        <v>22</v>
      </c>
      <c r="L63" s="482"/>
      <c r="M63" s="158" t="s">
        <v>696</v>
      </c>
      <c r="N63" s="155"/>
    </row>
    <row r="64" ht="22.5" customHeight="1">
      <c r="A64" s="285" t="s">
        <v>6515</v>
      </c>
      <c r="B64" s="159" t="s">
        <v>6516</v>
      </c>
      <c r="C64" s="297" t="s">
        <v>34</v>
      </c>
      <c r="D64" s="332" t="s">
        <v>35</v>
      </c>
      <c r="E64" s="159" t="s">
        <v>18</v>
      </c>
      <c r="F64" s="144"/>
      <c r="G64" s="159" t="s">
        <v>20</v>
      </c>
      <c r="H64" s="144"/>
      <c r="I64" s="287" t="s">
        <v>21</v>
      </c>
      <c r="J64" s="297" t="s">
        <v>31</v>
      </c>
      <c r="K64" s="287" t="s">
        <v>22</v>
      </c>
      <c r="L64" s="483"/>
      <c r="M64" s="159" t="s">
        <v>6517</v>
      </c>
      <c r="N64" s="147"/>
    </row>
    <row r="65" ht="22.5" customHeight="1">
      <c r="A65" s="291" t="s">
        <v>6518</v>
      </c>
      <c r="B65" s="158" t="s">
        <v>6519</v>
      </c>
      <c r="C65" s="301" t="s">
        <v>34</v>
      </c>
      <c r="D65" s="151" t="s">
        <v>30</v>
      </c>
      <c r="E65" s="158" t="s">
        <v>18</v>
      </c>
      <c r="F65" s="152"/>
      <c r="G65" s="158" t="s">
        <v>20</v>
      </c>
      <c r="H65" s="152"/>
      <c r="I65" s="293" t="s">
        <v>21</v>
      </c>
      <c r="J65" s="301" t="s">
        <v>31</v>
      </c>
      <c r="K65" s="293" t="s">
        <v>22</v>
      </c>
      <c r="L65" s="482"/>
      <c r="M65" s="158" t="s">
        <v>6520</v>
      </c>
      <c r="N65" s="155"/>
    </row>
    <row r="66" ht="22.5" customHeight="1">
      <c r="A66" s="368"/>
      <c r="B66" s="159" t="s">
        <v>6521</v>
      </c>
      <c r="C66" s="297" t="s">
        <v>34</v>
      </c>
      <c r="D66" s="216" t="s">
        <v>40</v>
      </c>
      <c r="E66" s="159" t="s">
        <v>18</v>
      </c>
      <c r="F66" s="144"/>
      <c r="G66" s="159" t="s">
        <v>20</v>
      </c>
      <c r="H66" s="144"/>
      <c r="I66" s="287" t="s">
        <v>21</v>
      </c>
      <c r="J66" s="297" t="s">
        <v>31</v>
      </c>
      <c r="K66" s="287" t="s">
        <v>22</v>
      </c>
      <c r="L66" s="483"/>
      <c r="M66" s="159" t="s">
        <v>696</v>
      </c>
      <c r="N66" s="147"/>
    </row>
    <row r="67" ht="22.5" customHeight="1">
      <c r="A67" s="270"/>
      <c r="B67" s="158" t="s">
        <v>6522</v>
      </c>
      <c r="C67" s="301" t="s">
        <v>34</v>
      </c>
      <c r="D67" s="213" t="s">
        <v>40</v>
      </c>
      <c r="E67" s="158" t="s">
        <v>18</v>
      </c>
      <c r="F67" s="152"/>
      <c r="G67" s="158" t="s">
        <v>20</v>
      </c>
      <c r="H67" s="152"/>
      <c r="I67" s="293" t="s">
        <v>21</v>
      </c>
      <c r="J67" s="301" t="s">
        <v>31</v>
      </c>
      <c r="K67" s="293" t="s">
        <v>22</v>
      </c>
      <c r="L67" s="482"/>
      <c r="M67" s="158" t="s">
        <v>696</v>
      </c>
      <c r="N67" s="155"/>
    </row>
    <row r="68" ht="22.5" customHeight="1">
      <c r="A68" s="368"/>
      <c r="B68" s="159" t="s">
        <v>6523</v>
      </c>
      <c r="C68" s="288" t="s">
        <v>16</v>
      </c>
      <c r="D68" s="212" t="s">
        <v>17</v>
      </c>
      <c r="E68" s="159" t="s">
        <v>18</v>
      </c>
      <c r="F68" s="144"/>
      <c r="G68" s="159" t="s">
        <v>20</v>
      </c>
      <c r="H68" s="144"/>
      <c r="I68" s="287" t="s">
        <v>21</v>
      </c>
      <c r="J68" s="288" t="s">
        <v>19</v>
      </c>
      <c r="K68" s="287" t="s">
        <v>22</v>
      </c>
      <c r="L68" s="483"/>
      <c r="M68" s="159" t="s">
        <v>376</v>
      </c>
      <c r="N68" s="147"/>
    </row>
    <row r="69" ht="22.5" customHeight="1">
      <c r="A69" s="270"/>
      <c r="B69" s="158" t="s">
        <v>6524</v>
      </c>
      <c r="C69" s="301" t="s">
        <v>34</v>
      </c>
      <c r="D69" s="213" t="s">
        <v>40</v>
      </c>
      <c r="E69" s="158" t="s">
        <v>18</v>
      </c>
      <c r="F69" s="152"/>
      <c r="G69" s="158" t="s">
        <v>20</v>
      </c>
      <c r="H69" s="152"/>
      <c r="I69" s="293" t="s">
        <v>21</v>
      </c>
      <c r="J69" s="301" t="s">
        <v>31</v>
      </c>
      <c r="K69" s="293" t="s">
        <v>22</v>
      </c>
      <c r="L69" s="482"/>
      <c r="M69" s="158" t="s">
        <v>964</v>
      </c>
      <c r="N69" s="155"/>
    </row>
    <row r="70" ht="22.5" customHeight="1">
      <c r="A70" s="368"/>
      <c r="B70" s="159" t="s">
        <v>6525</v>
      </c>
      <c r="C70" s="288" t="s">
        <v>16</v>
      </c>
      <c r="D70" s="212" t="s">
        <v>17</v>
      </c>
      <c r="E70" s="159" t="s">
        <v>18</v>
      </c>
      <c r="F70" s="144"/>
      <c r="G70" s="159" t="s">
        <v>20</v>
      </c>
      <c r="H70" s="144"/>
      <c r="I70" s="287" t="s">
        <v>21</v>
      </c>
      <c r="J70" s="288" t="s">
        <v>19</v>
      </c>
      <c r="K70" s="287" t="s">
        <v>22</v>
      </c>
      <c r="L70" s="483"/>
      <c r="M70" s="159" t="s">
        <v>376</v>
      </c>
      <c r="N70" s="147"/>
    </row>
    <row r="71" ht="22.5" customHeight="1">
      <c r="A71" s="270"/>
      <c r="B71" s="158" t="s">
        <v>675</v>
      </c>
      <c r="C71" s="301" t="s">
        <v>34</v>
      </c>
      <c r="D71" s="151" t="s">
        <v>30</v>
      </c>
      <c r="E71" s="158" t="s">
        <v>18</v>
      </c>
      <c r="F71" s="152"/>
      <c r="G71" s="158" t="s">
        <v>20</v>
      </c>
      <c r="H71" s="152"/>
      <c r="I71" s="293" t="s">
        <v>21</v>
      </c>
      <c r="J71" s="301" t="s">
        <v>31</v>
      </c>
      <c r="K71" s="293" t="s">
        <v>22</v>
      </c>
      <c r="L71" s="482"/>
      <c r="M71" s="158" t="s">
        <v>696</v>
      </c>
      <c r="N71" s="155"/>
    </row>
    <row r="72" ht="22.5" customHeight="1">
      <c r="A72" s="368"/>
      <c r="B72" s="159" t="s">
        <v>678</v>
      </c>
      <c r="C72" s="297" t="s">
        <v>34</v>
      </c>
      <c r="D72" s="156" t="s">
        <v>635</v>
      </c>
      <c r="E72" s="159" t="s">
        <v>18</v>
      </c>
      <c r="F72" s="144"/>
      <c r="G72" s="159" t="s">
        <v>20</v>
      </c>
      <c r="H72" s="144"/>
      <c r="I72" s="287" t="s">
        <v>21</v>
      </c>
      <c r="J72" s="144"/>
      <c r="K72" s="287" t="s">
        <v>22</v>
      </c>
      <c r="L72" s="483"/>
      <c r="M72" s="159" t="s">
        <v>636</v>
      </c>
      <c r="N72" s="147"/>
    </row>
    <row r="73" ht="22.5" customHeight="1">
      <c r="A73" s="270"/>
      <c r="B73" s="158" t="s">
        <v>681</v>
      </c>
      <c r="C73" s="301" t="s">
        <v>34</v>
      </c>
      <c r="D73" s="213" t="s">
        <v>40</v>
      </c>
      <c r="E73" s="158" t="s">
        <v>18</v>
      </c>
      <c r="F73" s="152"/>
      <c r="G73" s="158" t="s">
        <v>20</v>
      </c>
      <c r="H73" s="152"/>
      <c r="I73" s="293" t="s">
        <v>21</v>
      </c>
      <c r="J73" s="152"/>
      <c r="K73" s="293" t="s">
        <v>22</v>
      </c>
      <c r="L73" s="482"/>
      <c r="M73" s="196"/>
      <c r="N73" s="155"/>
    </row>
    <row r="74" ht="22.5" customHeight="1">
      <c r="A74" s="368"/>
      <c r="B74" s="159" t="s">
        <v>693</v>
      </c>
      <c r="C74" s="288" t="s">
        <v>16</v>
      </c>
      <c r="D74" s="212" t="s">
        <v>17</v>
      </c>
      <c r="E74" s="159" t="s">
        <v>18</v>
      </c>
      <c r="F74" s="288" t="s">
        <v>19</v>
      </c>
      <c r="G74" s="159" t="s">
        <v>20</v>
      </c>
      <c r="H74" s="144"/>
      <c r="I74" s="287" t="s">
        <v>21</v>
      </c>
      <c r="J74" s="144"/>
      <c r="K74" s="287" t="s">
        <v>22</v>
      </c>
      <c r="L74" s="483"/>
      <c r="M74" s="197"/>
      <c r="N74" s="147"/>
    </row>
    <row r="75" ht="22.5" customHeight="1">
      <c r="A75" s="270"/>
      <c r="B75" s="158" t="s">
        <v>6526</v>
      </c>
      <c r="C75" s="306" t="s">
        <v>16</v>
      </c>
      <c r="D75" s="214" t="s">
        <v>17</v>
      </c>
      <c r="E75" s="158" t="s">
        <v>18</v>
      </c>
      <c r="F75" s="306" t="s">
        <v>19</v>
      </c>
      <c r="G75" s="158" t="s">
        <v>20</v>
      </c>
      <c r="H75" s="152"/>
      <c r="I75" s="293" t="s">
        <v>21</v>
      </c>
      <c r="J75" s="152"/>
      <c r="K75" s="293" t="s">
        <v>22</v>
      </c>
      <c r="L75" s="482"/>
      <c r="M75" s="196"/>
      <c r="N75" s="155"/>
    </row>
    <row r="76" ht="22.5" customHeight="1">
      <c r="A76" s="368"/>
      <c r="B76" s="159" t="s">
        <v>699</v>
      </c>
      <c r="C76" s="297" t="s">
        <v>34</v>
      </c>
      <c r="D76" s="169" t="s">
        <v>49</v>
      </c>
      <c r="E76" s="159" t="s">
        <v>18</v>
      </c>
      <c r="F76" s="297" t="s">
        <v>31</v>
      </c>
      <c r="G76" s="159" t="s">
        <v>20</v>
      </c>
      <c r="H76" s="332" t="s">
        <v>50</v>
      </c>
      <c r="I76" s="287" t="s">
        <v>21</v>
      </c>
      <c r="J76" s="332" t="s">
        <v>50</v>
      </c>
      <c r="K76" s="287" t="s">
        <v>22</v>
      </c>
      <c r="L76" s="481" t="s">
        <v>50</v>
      </c>
      <c r="M76" s="159" t="s">
        <v>372</v>
      </c>
      <c r="N76" s="147"/>
    </row>
    <row r="77" ht="22.5" customHeight="1">
      <c r="A77" s="270"/>
      <c r="B77" s="292" t="s">
        <v>704</v>
      </c>
      <c r="C77" s="301" t="s">
        <v>34</v>
      </c>
      <c r="D77" s="213" t="s">
        <v>40</v>
      </c>
      <c r="E77" s="158" t="s">
        <v>18</v>
      </c>
      <c r="F77" s="301" t="s">
        <v>31</v>
      </c>
      <c r="G77" s="158" t="s">
        <v>20</v>
      </c>
      <c r="H77" s="207" t="s">
        <v>5279</v>
      </c>
      <c r="I77" s="293" t="s">
        <v>21</v>
      </c>
      <c r="J77" s="207" t="s">
        <v>5279</v>
      </c>
      <c r="K77" s="293" t="s">
        <v>22</v>
      </c>
      <c r="L77" s="302" t="s">
        <v>5279</v>
      </c>
      <c r="M77" s="158" t="s">
        <v>6527</v>
      </c>
      <c r="N77" s="157" t="s">
        <v>6528</v>
      </c>
    </row>
    <row r="78" ht="22.5" customHeight="1">
      <c r="A78" s="368"/>
      <c r="B78" s="159" t="s">
        <v>535</v>
      </c>
      <c r="C78" s="288" t="s">
        <v>16</v>
      </c>
      <c r="D78" s="212" t="s">
        <v>17</v>
      </c>
      <c r="E78" s="159" t="s">
        <v>18</v>
      </c>
      <c r="F78" s="288" t="s">
        <v>19</v>
      </c>
      <c r="G78" s="159" t="s">
        <v>20</v>
      </c>
      <c r="H78" s="144"/>
      <c r="I78" s="287" t="s">
        <v>21</v>
      </c>
      <c r="J78" s="144"/>
      <c r="K78" s="287" t="s">
        <v>22</v>
      </c>
      <c r="L78" s="483"/>
      <c r="M78" s="197"/>
      <c r="N78" s="147"/>
    </row>
    <row r="79" ht="22.5" customHeight="1">
      <c r="A79" s="270"/>
      <c r="B79" s="158" t="s">
        <v>539</v>
      </c>
      <c r="C79" s="306" t="s">
        <v>16</v>
      </c>
      <c r="D79" s="214" t="s">
        <v>17</v>
      </c>
      <c r="E79" s="158" t="s">
        <v>18</v>
      </c>
      <c r="F79" s="306" t="s">
        <v>19</v>
      </c>
      <c r="G79" s="158" t="s">
        <v>20</v>
      </c>
      <c r="H79" s="152"/>
      <c r="I79" s="293" t="s">
        <v>21</v>
      </c>
      <c r="J79" s="152"/>
      <c r="K79" s="293" t="s">
        <v>22</v>
      </c>
      <c r="L79" s="482"/>
      <c r="M79" s="196"/>
      <c r="N79" s="155"/>
    </row>
    <row r="80" ht="22.5" customHeight="1">
      <c r="A80" s="368"/>
      <c r="B80" s="159" t="s">
        <v>665</v>
      </c>
      <c r="C80" s="297" t="s">
        <v>34</v>
      </c>
      <c r="D80" s="216" t="s">
        <v>40</v>
      </c>
      <c r="E80" s="159" t="s">
        <v>18</v>
      </c>
      <c r="F80" s="297" t="s">
        <v>31</v>
      </c>
      <c r="G80" s="159" t="s">
        <v>20</v>
      </c>
      <c r="H80" s="144"/>
      <c r="I80" s="287" t="s">
        <v>21</v>
      </c>
      <c r="J80" s="144"/>
      <c r="K80" s="287" t="s">
        <v>22</v>
      </c>
      <c r="L80" s="483"/>
      <c r="M80" s="197"/>
      <c r="N80" s="147"/>
    </row>
    <row r="81" ht="22.5" customHeight="1">
      <c r="A81" s="270"/>
      <c r="B81" s="158" t="s">
        <v>6529</v>
      </c>
      <c r="C81" s="306" t="s">
        <v>16</v>
      </c>
      <c r="D81" s="214" t="s">
        <v>17</v>
      </c>
      <c r="E81" s="158" t="s">
        <v>18</v>
      </c>
      <c r="F81" s="306" t="s">
        <v>19</v>
      </c>
      <c r="G81" s="158" t="s">
        <v>20</v>
      </c>
      <c r="H81" s="152"/>
      <c r="I81" s="293" t="s">
        <v>21</v>
      </c>
      <c r="J81" s="152"/>
      <c r="K81" s="293" t="s">
        <v>22</v>
      </c>
      <c r="L81" s="482"/>
      <c r="M81" s="196"/>
      <c r="N81" s="155"/>
    </row>
    <row r="82" ht="22.5" customHeight="1">
      <c r="A82" s="368"/>
      <c r="B82" s="286" t="s">
        <v>6530</v>
      </c>
      <c r="C82" s="288" t="s">
        <v>16</v>
      </c>
      <c r="D82" s="212" t="s">
        <v>17</v>
      </c>
      <c r="E82" s="159" t="s">
        <v>18</v>
      </c>
      <c r="F82" s="288" t="s">
        <v>19</v>
      </c>
      <c r="G82" s="159" t="s">
        <v>20</v>
      </c>
      <c r="H82" s="144"/>
      <c r="I82" s="287" t="s">
        <v>21</v>
      </c>
      <c r="J82" s="144"/>
      <c r="K82" s="287" t="s">
        <v>22</v>
      </c>
      <c r="L82" s="483"/>
      <c r="M82" s="197"/>
      <c r="N82" s="147"/>
    </row>
    <row r="83" ht="22.5" customHeight="1">
      <c r="A83" s="270"/>
      <c r="B83" s="158" t="s">
        <v>669</v>
      </c>
      <c r="C83" s="306" t="s">
        <v>16</v>
      </c>
      <c r="D83" s="161" t="s">
        <v>49</v>
      </c>
      <c r="E83" s="158" t="s">
        <v>18</v>
      </c>
      <c r="F83" s="306" t="s">
        <v>19</v>
      </c>
      <c r="G83" s="158" t="s">
        <v>20</v>
      </c>
      <c r="H83" s="320" t="s">
        <v>50</v>
      </c>
      <c r="I83" s="293" t="s">
        <v>21</v>
      </c>
      <c r="J83" s="320" t="s">
        <v>50</v>
      </c>
      <c r="K83" s="293" t="s">
        <v>22</v>
      </c>
      <c r="L83" s="484" t="s">
        <v>50</v>
      </c>
      <c r="M83" s="158" t="s">
        <v>372</v>
      </c>
      <c r="N83" s="155"/>
    </row>
    <row r="84" ht="22.5" customHeight="1">
      <c r="A84" s="368"/>
      <c r="B84" s="159" t="s">
        <v>670</v>
      </c>
      <c r="C84" s="288" t="s">
        <v>16</v>
      </c>
      <c r="D84" s="212" t="s">
        <v>17</v>
      </c>
      <c r="E84" s="159" t="s">
        <v>18</v>
      </c>
      <c r="F84" s="288" t="s">
        <v>19</v>
      </c>
      <c r="G84" s="159" t="s">
        <v>20</v>
      </c>
      <c r="H84" s="144"/>
      <c r="I84" s="287" t="s">
        <v>21</v>
      </c>
      <c r="J84" s="144"/>
      <c r="K84" s="287" t="s">
        <v>22</v>
      </c>
      <c r="L84" s="483"/>
      <c r="M84" s="197"/>
      <c r="N84" s="147"/>
    </row>
    <row r="85" ht="22.5" customHeight="1">
      <c r="A85" s="270"/>
      <c r="B85" s="158" t="s">
        <v>583</v>
      </c>
      <c r="C85" s="301" t="s">
        <v>34</v>
      </c>
      <c r="D85" s="161" t="s">
        <v>49</v>
      </c>
      <c r="E85" s="158" t="s">
        <v>18</v>
      </c>
      <c r="F85" s="320" t="s">
        <v>50</v>
      </c>
      <c r="G85" s="158" t="s">
        <v>20</v>
      </c>
      <c r="H85" s="320" t="s">
        <v>50</v>
      </c>
      <c r="I85" s="293" t="s">
        <v>21</v>
      </c>
      <c r="J85" s="320" t="s">
        <v>50</v>
      </c>
      <c r="K85" s="293" t="s">
        <v>22</v>
      </c>
      <c r="L85" s="484" t="s">
        <v>50</v>
      </c>
      <c r="M85" s="158" t="s">
        <v>372</v>
      </c>
      <c r="N85" s="155"/>
    </row>
    <row r="86" ht="22.5" customHeight="1">
      <c r="A86" s="368"/>
      <c r="B86" s="159" t="s">
        <v>732</v>
      </c>
      <c r="C86" s="288" t="s">
        <v>16</v>
      </c>
      <c r="D86" s="212" t="s">
        <v>17</v>
      </c>
      <c r="E86" s="159" t="s">
        <v>18</v>
      </c>
      <c r="F86" s="288" t="s">
        <v>19</v>
      </c>
      <c r="G86" s="159" t="s">
        <v>20</v>
      </c>
      <c r="H86" s="144"/>
      <c r="I86" s="287" t="s">
        <v>21</v>
      </c>
      <c r="J86" s="144"/>
      <c r="K86" s="287" t="s">
        <v>22</v>
      </c>
      <c r="L86" s="483"/>
      <c r="M86" s="197"/>
      <c r="N86" s="147"/>
    </row>
    <row r="87" ht="22.5" customHeight="1">
      <c r="A87" s="270"/>
      <c r="B87" s="158" t="s">
        <v>733</v>
      </c>
      <c r="C87" s="301" t="s">
        <v>34</v>
      </c>
      <c r="D87" s="161" t="s">
        <v>49</v>
      </c>
      <c r="E87" s="158" t="s">
        <v>18</v>
      </c>
      <c r="F87" s="320" t="s">
        <v>50</v>
      </c>
      <c r="G87" s="158" t="s">
        <v>20</v>
      </c>
      <c r="H87" s="320" t="s">
        <v>50</v>
      </c>
      <c r="I87" s="293" t="s">
        <v>21</v>
      </c>
      <c r="J87" s="320" t="s">
        <v>50</v>
      </c>
      <c r="K87" s="293" t="s">
        <v>22</v>
      </c>
      <c r="L87" s="484" t="s">
        <v>50</v>
      </c>
      <c r="M87" s="158" t="s">
        <v>372</v>
      </c>
      <c r="N87" s="155"/>
    </row>
    <row r="88" ht="22.5" customHeight="1">
      <c r="A88" s="368"/>
      <c r="B88" s="159" t="s">
        <v>6531</v>
      </c>
      <c r="C88" s="288" t="s">
        <v>16</v>
      </c>
      <c r="D88" s="212" t="s">
        <v>17</v>
      </c>
      <c r="E88" s="159" t="s">
        <v>18</v>
      </c>
      <c r="F88" s="288" t="s">
        <v>19</v>
      </c>
      <c r="G88" s="159" t="s">
        <v>20</v>
      </c>
      <c r="H88" s="144"/>
      <c r="I88" s="287" t="s">
        <v>21</v>
      </c>
      <c r="J88" s="144"/>
      <c r="K88" s="287" t="s">
        <v>22</v>
      </c>
      <c r="L88" s="483"/>
      <c r="M88" s="197"/>
      <c r="N88" s="147"/>
    </row>
    <row r="89" ht="22.5" customHeight="1">
      <c r="A89" s="270"/>
      <c r="B89" s="158" t="s">
        <v>748</v>
      </c>
      <c r="C89" s="306" t="s">
        <v>16</v>
      </c>
      <c r="D89" s="214" t="s">
        <v>17</v>
      </c>
      <c r="E89" s="158" t="s">
        <v>18</v>
      </c>
      <c r="F89" s="306" t="s">
        <v>19</v>
      </c>
      <c r="G89" s="158" t="s">
        <v>20</v>
      </c>
      <c r="H89" s="152"/>
      <c r="I89" s="293" t="s">
        <v>21</v>
      </c>
      <c r="J89" s="152"/>
      <c r="K89" s="293" t="s">
        <v>22</v>
      </c>
      <c r="L89" s="482"/>
      <c r="M89" s="196"/>
      <c r="N89" s="155"/>
    </row>
    <row r="90" ht="22.5" customHeight="1">
      <c r="A90" s="368"/>
      <c r="B90" s="159" t="s">
        <v>6532</v>
      </c>
      <c r="C90" s="288" t="s">
        <v>16</v>
      </c>
      <c r="D90" s="212" t="s">
        <v>17</v>
      </c>
      <c r="E90" s="159" t="s">
        <v>18</v>
      </c>
      <c r="F90" s="288" t="s">
        <v>19</v>
      </c>
      <c r="G90" s="159" t="s">
        <v>20</v>
      </c>
      <c r="H90" s="144"/>
      <c r="I90" s="287" t="s">
        <v>21</v>
      </c>
      <c r="J90" s="144"/>
      <c r="K90" s="287" t="s">
        <v>22</v>
      </c>
      <c r="L90" s="483"/>
      <c r="M90" s="197"/>
      <c r="N90" s="147"/>
    </row>
    <row r="91" ht="22.5" customHeight="1">
      <c r="A91" s="270"/>
      <c r="B91" s="158" t="s">
        <v>6533</v>
      </c>
      <c r="C91" s="301" t="s">
        <v>34</v>
      </c>
      <c r="D91" s="213" t="s">
        <v>40</v>
      </c>
      <c r="E91" s="158" t="s">
        <v>18</v>
      </c>
      <c r="F91" s="152"/>
      <c r="G91" s="158" t="s">
        <v>20</v>
      </c>
      <c r="H91" s="301" t="s">
        <v>31</v>
      </c>
      <c r="I91" s="293" t="s">
        <v>21</v>
      </c>
      <c r="J91" s="152"/>
      <c r="K91" s="293" t="s">
        <v>22</v>
      </c>
      <c r="L91" s="482"/>
      <c r="M91" s="158" t="s">
        <v>696</v>
      </c>
      <c r="N91" s="155"/>
    </row>
    <row r="92" ht="22.5" customHeight="1">
      <c r="A92" s="368"/>
      <c r="B92" s="159" t="s">
        <v>6534</v>
      </c>
      <c r="C92" s="288" t="s">
        <v>16</v>
      </c>
      <c r="D92" s="212" t="s">
        <v>17</v>
      </c>
      <c r="E92" s="159" t="s">
        <v>18</v>
      </c>
      <c r="F92" s="144"/>
      <c r="G92" s="159" t="s">
        <v>20</v>
      </c>
      <c r="H92" s="288" t="s">
        <v>19</v>
      </c>
      <c r="I92" s="287" t="s">
        <v>21</v>
      </c>
      <c r="J92" s="144"/>
      <c r="K92" s="287" t="s">
        <v>22</v>
      </c>
      <c r="L92" s="483"/>
      <c r="M92" s="197"/>
      <c r="N92" s="147"/>
    </row>
    <row r="93" ht="22.5" customHeight="1">
      <c r="A93" s="270"/>
      <c r="B93" s="292" t="s">
        <v>671</v>
      </c>
      <c r="C93" s="301" t="s">
        <v>34</v>
      </c>
      <c r="D93" s="213" t="s">
        <v>40</v>
      </c>
      <c r="E93" s="158" t="s">
        <v>18</v>
      </c>
      <c r="F93" s="152"/>
      <c r="G93" s="158" t="s">
        <v>20</v>
      </c>
      <c r="H93" s="301" t="s">
        <v>31</v>
      </c>
      <c r="I93" s="293" t="s">
        <v>21</v>
      </c>
      <c r="J93" s="152"/>
      <c r="K93" s="293" t="s">
        <v>22</v>
      </c>
      <c r="L93" s="482"/>
      <c r="M93" s="158" t="s">
        <v>696</v>
      </c>
      <c r="N93" s="155"/>
    </row>
    <row r="94" ht="22.5" customHeight="1">
      <c r="A94" s="368"/>
      <c r="B94" s="159" t="s">
        <v>673</v>
      </c>
      <c r="C94" s="288" t="s">
        <v>16</v>
      </c>
      <c r="D94" s="212" t="s">
        <v>17</v>
      </c>
      <c r="E94" s="159" t="s">
        <v>18</v>
      </c>
      <c r="F94" s="144"/>
      <c r="G94" s="159" t="s">
        <v>20</v>
      </c>
      <c r="H94" s="288" t="s">
        <v>19</v>
      </c>
      <c r="I94" s="287" t="s">
        <v>21</v>
      </c>
      <c r="J94" s="144"/>
      <c r="K94" s="287" t="s">
        <v>22</v>
      </c>
      <c r="L94" s="483"/>
      <c r="M94" s="159" t="s">
        <v>376</v>
      </c>
      <c r="N94" s="147"/>
    </row>
    <row r="95" ht="22.5" customHeight="1">
      <c r="A95" s="270"/>
      <c r="B95" s="158" t="s">
        <v>6535</v>
      </c>
      <c r="C95" s="301" t="s">
        <v>34</v>
      </c>
      <c r="D95" s="485" t="s">
        <v>25</v>
      </c>
      <c r="E95" s="158" t="s">
        <v>18</v>
      </c>
      <c r="F95" s="152"/>
      <c r="G95" s="158" t="s">
        <v>20</v>
      </c>
      <c r="H95" s="301" t="s">
        <v>31</v>
      </c>
      <c r="I95" s="293" t="s">
        <v>21</v>
      </c>
      <c r="J95" s="152"/>
      <c r="K95" s="293" t="s">
        <v>22</v>
      </c>
      <c r="L95" s="152"/>
      <c r="M95" s="158" t="s">
        <v>6536</v>
      </c>
      <c r="N95" s="155"/>
    </row>
    <row r="96" ht="22.5" customHeight="1">
      <c r="A96" s="368"/>
      <c r="B96" s="159" t="s">
        <v>677</v>
      </c>
      <c r="C96" s="288" t="s">
        <v>16</v>
      </c>
      <c r="D96" s="212" t="s">
        <v>17</v>
      </c>
      <c r="E96" s="159" t="s">
        <v>18</v>
      </c>
      <c r="F96" s="144"/>
      <c r="G96" s="159" t="s">
        <v>20</v>
      </c>
      <c r="H96" s="288" t="s">
        <v>19</v>
      </c>
      <c r="I96" s="287" t="s">
        <v>21</v>
      </c>
      <c r="J96" s="144"/>
      <c r="K96" s="287" t="s">
        <v>22</v>
      </c>
      <c r="L96" s="483"/>
      <c r="M96" s="197"/>
      <c r="N96" s="147"/>
    </row>
    <row r="97" ht="22.5" customHeight="1">
      <c r="A97" s="270"/>
      <c r="B97" s="158" t="s">
        <v>6537</v>
      </c>
      <c r="C97" s="306" t="s">
        <v>16</v>
      </c>
      <c r="D97" s="214" t="s">
        <v>17</v>
      </c>
      <c r="E97" s="158" t="s">
        <v>18</v>
      </c>
      <c r="F97" s="152"/>
      <c r="G97" s="158" t="s">
        <v>20</v>
      </c>
      <c r="H97" s="306" t="s">
        <v>19</v>
      </c>
      <c r="I97" s="293" t="s">
        <v>21</v>
      </c>
      <c r="J97" s="152"/>
      <c r="K97" s="293" t="s">
        <v>22</v>
      </c>
      <c r="L97" s="482"/>
      <c r="M97" s="196"/>
      <c r="N97" s="155"/>
    </row>
    <row r="98" ht="22.5" customHeight="1">
      <c r="A98" s="368"/>
      <c r="B98" s="159" t="s">
        <v>679</v>
      </c>
      <c r="C98" s="288" t="s">
        <v>16</v>
      </c>
      <c r="D98" s="212" t="s">
        <v>17</v>
      </c>
      <c r="E98" s="159" t="s">
        <v>18</v>
      </c>
      <c r="F98" s="144"/>
      <c r="G98" s="159" t="s">
        <v>20</v>
      </c>
      <c r="H98" s="288" t="s">
        <v>19</v>
      </c>
      <c r="I98" s="287" t="s">
        <v>21</v>
      </c>
      <c r="J98" s="144"/>
      <c r="K98" s="287" t="s">
        <v>22</v>
      </c>
      <c r="L98" s="483"/>
      <c r="M98" s="197"/>
      <c r="N98" s="147"/>
    </row>
    <row r="99" ht="22.5" customHeight="1">
      <c r="A99" s="270"/>
      <c r="B99" s="158" t="s">
        <v>680</v>
      </c>
      <c r="C99" s="301" t="s">
        <v>34</v>
      </c>
      <c r="D99" s="161" t="s">
        <v>49</v>
      </c>
      <c r="E99" s="158" t="s">
        <v>18</v>
      </c>
      <c r="F99" s="320" t="s">
        <v>50</v>
      </c>
      <c r="G99" s="158" t="s">
        <v>20</v>
      </c>
      <c r="H99" s="320" t="s">
        <v>50</v>
      </c>
      <c r="I99" s="293" t="s">
        <v>21</v>
      </c>
      <c r="J99" s="320" t="s">
        <v>50</v>
      </c>
      <c r="K99" s="293" t="s">
        <v>22</v>
      </c>
      <c r="L99" s="484" t="s">
        <v>50</v>
      </c>
      <c r="M99" s="158" t="s">
        <v>372</v>
      </c>
      <c r="N99" s="155"/>
    </row>
    <row r="100" ht="22.5" customHeight="1">
      <c r="A100" s="368"/>
      <c r="B100" s="159" t="s">
        <v>6538</v>
      </c>
      <c r="C100" s="288" t="s">
        <v>16</v>
      </c>
      <c r="D100" s="212" t="s">
        <v>17</v>
      </c>
      <c r="E100" s="159" t="s">
        <v>18</v>
      </c>
      <c r="F100" s="144"/>
      <c r="G100" s="159" t="s">
        <v>20</v>
      </c>
      <c r="H100" s="288" t="s">
        <v>19</v>
      </c>
      <c r="I100" s="287" t="s">
        <v>21</v>
      </c>
      <c r="J100" s="144"/>
      <c r="K100" s="287" t="s">
        <v>22</v>
      </c>
      <c r="L100" s="483"/>
      <c r="M100" s="197"/>
      <c r="N100" s="147"/>
    </row>
    <row r="101" ht="22.5" customHeight="1">
      <c r="A101" s="270"/>
      <c r="B101" s="158" t="s">
        <v>683</v>
      </c>
      <c r="C101" s="306" t="s">
        <v>16</v>
      </c>
      <c r="D101" s="214" t="s">
        <v>17</v>
      </c>
      <c r="E101" s="158" t="s">
        <v>18</v>
      </c>
      <c r="F101" s="152"/>
      <c r="G101" s="158" t="s">
        <v>20</v>
      </c>
      <c r="H101" s="306" t="s">
        <v>19</v>
      </c>
      <c r="I101" s="293" t="s">
        <v>21</v>
      </c>
      <c r="J101" s="152"/>
      <c r="K101" s="293" t="s">
        <v>22</v>
      </c>
      <c r="L101" s="482"/>
      <c r="M101" s="196"/>
      <c r="N101" s="155"/>
    </row>
    <row r="102" ht="22.5" customHeight="1">
      <c r="A102" s="368"/>
      <c r="B102" s="286" t="s">
        <v>686</v>
      </c>
      <c r="C102" s="288" t="s">
        <v>16</v>
      </c>
      <c r="D102" s="169" t="s">
        <v>49</v>
      </c>
      <c r="E102" s="159" t="s">
        <v>18</v>
      </c>
      <c r="F102" s="332" t="s">
        <v>50</v>
      </c>
      <c r="G102" s="159" t="s">
        <v>20</v>
      </c>
      <c r="H102" s="332" t="s">
        <v>50</v>
      </c>
      <c r="I102" s="287" t="s">
        <v>21</v>
      </c>
      <c r="J102" s="332" t="s">
        <v>50</v>
      </c>
      <c r="K102" s="287" t="s">
        <v>22</v>
      </c>
      <c r="L102" s="481" t="s">
        <v>50</v>
      </c>
      <c r="M102" s="159" t="s">
        <v>372</v>
      </c>
      <c r="N102" s="147"/>
    </row>
    <row r="103" ht="22.5" customHeight="1">
      <c r="A103" s="270"/>
      <c r="B103" s="158" t="s">
        <v>687</v>
      </c>
      <c r="C103" s="301" t="s">
        <v>34</v>
      </c>
      <c r="D103" s="213" t="s">
        <v>40</v>
      </c>
      <c r="E103" s="158" t="s">
        <v>18</v>
      </c>
      <c r="F103" s="152"/>
      <c r="G103" s="158" t="s">
        <v>20</v>
      </c>
      <c r="H103" s="301" t="s">
        <v>31</v>
      </c>
      <c r="I103" s="293" t="s">
        <v>21</v>
      </c>
      <c r="J103" s="152"/>
      <c r="K103" s="293" t="s">
        <v>22</v>
      </c>
      <c r="L103" s="482"/>
      <c r="M103" s="158" t="s">
        <v>204</v>
      </c>
      <c r="N103" s="155"/>
    </row>
    <row r="104" ht="22.5" customHeight="1">
      <c r="A104" s="368"/>
      <c r="B104" s="159" t="s">
        <v>688</v>
      </c>
      <c r="C104" s="288" t="s">
        <v>16</v>
      </c>
      <c r="D104" s="212" t="s">
        <v>17</v>
      </c>
      <c r="E104" s="159" t="s">
        <v>18</v>
      </c>
      <c r="F104" s="144"/>
      <c r="G104" s="159" t="s">
        <v>20</v>
      </c>
      <c r="H104" s="288" t="s">
        <v>19</v>
      </c>
      <c r="I104" s="287" t="s">
        <v>21</v>
      </c>
      <c r="J104" s="144"/>
      <c r="K104" s="287" t="s">
        <v>22</v>
      </c>
      <c r="L104" s="483"/>
      <c r="M104" s="197"/>
      <c r="N104" s="147"/>
    </row>
    <row r="105" ht="22.5" customHeight="1">
      <c r="A105" s="270"/>
      <c r="B105" s="158" t="s">
        <v>6539</v>
      </c>
      <c r="C105" s="301" t="s">
        <v>34</v>
      </c>
      <c r="D105" s="213" t="s">
        <v>40</v>
      </c>
      <c r="E105" s="158" t="s">
        <v>18</v>
      </c>
      <c r="F105" s="152"/>
      <c r="G105" s="158" t="s">
        <v>20</v>
      </c>
      <c r="H105" s="301" t="s">
        <v>31</v>
      </c>
      <c r="I105" s="293" t="s">
        <v>21</v>
      </c>
      <c r="J105" s="152"/>
      <c r="K105" s="293" t="s">
        <v>22</v>
      </c>
      <c r="L105" s="482"/>
      <c r="M105" s="158" t="s">
        <v>696</v>
      </c>
      <c r="N105" s="155"/>
    </row>
    <row r="106" ht="22.5" customHeight="1">
      <c r="A106" s="368"/>
      <c r="B106" s="159" t="s">
        <v>6540</v>
      </c>
      <c r="C106" s="288" t="s">
        <v>16</v>
      </c>
      <c r="D106" s="212" t="s">
        <v>17</v>
      </c>
      <c r="E106" s="159" t="s">
        <v>18</v>
      </c>
      <c r="F106" s="144"/>
      <c r="G106" s="159" t="s">
        <v>20</v>
      </c>
      <c r="H106" s="288" t="s">
        <v>19</v>
      </c>
      <c r="I106" s="287" t="s">
        <v>21</v>
      </c>
      <c r="J106" s="144"/>
      <c r="K106" s="287" t="s">
        <v>22</v>
      </c>
      <c r="L106" s="483"/>
      <c r="M106" s="197"/>
      <c r="N106" s="147"/>
    </row>
    <row r="107" ht="22.5" customHeight="1">
      <c r="A107" s="270"/>
      <c r="B107" s="158" t="s">
        <v>689</v>
      </c>
      <c r="C107" s="301" t="s">
        <v>34</v>
      </c>
      <c r="D107" s="213" t="s">
        <v>40</v>
      </c>
      <c r="E107" s="158" t="s">
        <v>18</v>
      </c>
      <c r="F107" s="152"/>
      <c r="G107" s="158" t="s">
        <v>20</v>
      </c>
      <c r="H107" s="301" t="s">
        <v>31</v>
      </c>
      <c r="I107" s="293" t="s">
        <v>21</v>
      </c>
      <c r="J107" s="152"/>
      <c r="K107" s="293" t="s">
        <v>22</v>
      </c>
      <c r="L107" s="482"/>
      <c r="M107" s="196"/>
      <c r="N107" s="155"/>
    </row>
    <row r="108" ht="22.5" customHeight="1">
      <c r="A108" s="368"/>
      <c r="B108" s="159" t="s">
        <v>690</v>
      </c>
      <c r="C108" s="288" t="s">
        <v>16</v>
      </c>
      <c r="D108" s="212" t="s">
        <v>17</v>
      </c>
      <c r="E108" s="159" t="s">
        <v>18</v>
      </c>
      <c r="F108" s="144"/>
      <c r="G108" s="159" t="s">
        <v>20</v>
      </c>
      <c r="H108" s="288" t="s">
        <v>19</v>
      </c>
      <c r="I108" s="287" t="s">
        <v>21</v>
      </c>
      <c r="J108" s="144"/>
      <c r="K108" s="287" t="s">
        <v>22</v>
      </c>
      <c r="L108" s="483"/>
      <c r="M108" s="197"/>
      <c r="N108" s="147"/>
    </row>
    <row r="109" ht="22.5" customHeight="1">
      <c r="A109" s="326" t="s">
        <v>691</v>
      </c>
      <c r="B109" s="158" t="s">
        <v>692</v>
      </c>
      <c r="C109" s="301" t="s">
        <v>34</v>
      </c>
      <c r="D109" s="213" t="s">
        <v>40</v>
      </c>
      <c r="E109" s="158" t="s">
        <v>18</v>
      </c>
      <c r="F109" s="152"/>
      <c r="G109" s="158" t="s">
        <v>20</v>
      </c>
      <c r="H109" s="301" t="s">
        <v>31</v>
      </c>
      <c r="I109" s="293" t="s">
        <v>21</v>
      </c>
      <c r="J109" s="152"/>
      <c r="K109" s="293" t="s">
        <v>22</v>
      </c>
      <c r="L109" s="482"/>
      <c r="M109" s="158" t="s">
        <v>685</v>
      </c>
      <c r="N109" s="155"/>
    </row>
    <row r="110" ht="22.5" customHeight="1">
      <c r="A110" s="368"/>
      <c r="B110" s="159" t="s">
        <v>6541</v>
      </c>
      <c r="C110" s="288" t="s">
        <v>16</v>
      </c>
      <c r="D110" s="212" t="s">
        <v>17</v>
      </c>
      <c r="E110" s="159" t="s">
        <v>18</v>
      </c>
      <c r="F110" s="144"/>
      <c r="G110" s="159" t="s">
        <v>20</v>
      </c>
      <c r="H110" s="288" t="s">
        <v>19</v>
      </c>
      <c r="I110" s="287" t="s">
        <v>21</v>
      </c>
      <c r="J110" s="144"/>
      <c r="K110" s="287" t="s">
        <v>22</v>
      </c>
      <c r="L110" s="483"/>
      <c r="M110" s="197"/>
      <c r="N110" s="147"/>
    </row>
    <row r="111" ht="22.5" customHeight="1">
      <c r="A111" s="299" t="s">
        <v>6542</v>
      </c>
      <c r="B111" s="310" t="s">
        <v>6543</v>
      </c>
      <c r="C111" s="311" t="s">
        <v>34</v>
      </c>
      <c r="D111" s="192" t="s">
        <v>49</v>
      </c>
      <c r="E111" s="158" t="s">
        <v>18</v>
      </c>
      <c r="F111" s="311" t="s">
        <v>31</v>
      </c>
      <c r="G111" s="341" t="s">
        <v>20</v>
      </c>
      <c r="H111" s="363" t="s">
        <v>19</v>
      </c>
      <c r="I111" s="294" t="s">
        <v>21</v>
      </c>
      <c r="J111" s="363" t="s">
        <v>19</v>
      </c>
      <c r="K111" s="294" t="s">
        <v>22</v>
      </c>
      <c r="L111" s="403" t="s">
        <v>31</v>
      </c>
      <c r="M111" s="486" t="s">
        <v>31</v>
      </c>
      <c r="N111" s="155"/>
    </row>
    <row r="112" ht="22.5" customHeight="1">
      <c r="A112" s="379" t="s">
        <v>637</v>
      </c>
      <c r="B112" s="420" t="s">
        <v>6544</v>
      </c>
      <c r="C112" s="383" t="s">
        <v>16</v>
      </c>
      <c r="D112" s="371" t="s">
        <v>17</v>
      </c>
      <c r="E112" s="420" t="s">
        <v>18</v>
      </c>
      <c r="F112" s="383" t="s">
        <v>19</v>
      </c>
      <c r="G112" s="344" t="s">
        <v>20</v>
      </c>
      <c r="H112" s="383" t="s">
        <v>19</v>
      </c>
      <c r="I112" s="321" t="s">
        <v>21</v>
      </c>
      <c r="J112" s="288" t="s">
        <v>19</v>
      </c>
      <c r="K112" s="321" t="s">
        <v>22</v>
      </c>
      <c r="L112" s="290" t="s">
        <v>19</v>
      </c>
      <c r="M112" s="487" t="s">
        <v>19</v>
      </c>
      <c r="N112" s="147"/>
    </row>
    <row r="113" ht="22.5" customHeight="1">
      <c r="A113" s="299" t="s">
        <v>637</v>
      </c>
      <c r="B113" s="476" t="s">
        <v>6545</v>
      </c>
      <c r="C113" s="311" t="s">
        <v>34</v>
      </c>
      <c r="D113" s="192" t="s">
        <v>49</v>
      </c>
      <c r="E113" s="158" t="s">
        <v>18</v>
      </c>
      <c r="F113" s="392" t="s">
        <v>50</v>
      </c>
      <c r="G113" s="341" t="s">
        <v>20</v>
      </c>
      <c r="H113" s="311" t="s">
        <v>31</v>
      </c>
      <c r="I113" s="294" t="s">
        <v>21</v>
      </c>
      <c r="J113" s="311" t="s">
        <v>31</v>
      </c>
      <c r="K113" s="294" t="s">
        <v>22</v>
      </c>
      <c r="L113" s="396" t="s">
        <v>19</v>
      </c>
      <c r="M113" s="488" t="s">
        <v>50</v>
      </c>
      <c r="N113" s="155"/>
    </row>
    <row r="114" ht="22.5" customHeight="1">
      <c r="A114" s="489" t="s">
        <v>637</v>
      </c>
      <c r="B114" s="490" t="s">
        <v>6546</v>
      </c>
      <c r="C114" s="382" t="s">
        <v>34</v>
      </c>
      <c r="D114" s="385" t="s">
        <v>35</v>
      </c>
      <c r="E114" s="420" t="s">
        <v>18</v>
      </c>
      <c r="F114" s="297" t="s">
        <v>31</v>
      </c>
      <c r="G114" s="344" t="s">
        <v>20</v>
      </c>
      <c r="H114" s="382" t="s">
        <v>31</v>
      </c>
      <c r="I114" s="289" t="s">
        <v>21</v>
      </c>
      <c r="J114" s="288" t="s">
        <v>19</v>
      </c>
      <c r="K114" s="289" t="s">
        <v>22</v>
      </c>
      <c r="L114" s="290" t="s">
        <v>19</v>
      </c>
      <c r="M114" s="491" t="s">
        <v>31</v>
      </c>
      <c r="N114" s="147"/>
    </row>
    <row r="115" ht="22.5" customHeight="1">
      <c r="A115" s="299" t="s">
        <v>637</v>
      </c>
      <c r="B115" s="310" t="s">
        <v>6547</v>
      </c>
      <c r="C115" s="311" t="s">
        <v>34</v>
      </c>
      <c r="D115" s="265" t="s">
        <v>40</v>
      </c>
      <c r="E115" s="158" t="s">
        <v>18</v>
      </c>
      <c r="F115" s="311" t="s">
        <v>31</v>
      </c>
      <c r="G115" s="341" t="s">
        <v>20</v>
      </c>
      <c r="H115" s="363" t="s">
        <v>19</v>
      </c>
      <c r="I115" s="294" t="s">
        <v>21</v>
      </c>
      <c r="J115" s="311" t="s">
        <v>31</v>
      </c>
      <c r="K115" s="294" t="s">
        <v>22</v>
      </c>
      <c r="L115" s="396" t="s">
        <v>19</v>
      </c>
      <c r="M115" s="492" t="s">
        <v>19</v>
      </c>
      <c r="N115" s="155"/>
    </row>
    <row r="116" ht="22.5" customHeight="1">
      <c r="A116" s="379" t="s">
        <v>637</v>
      </c>
      <c r="B116" s="420" t="s">
        <v>6548</v>
      </c>
      <c r="C116" s="382" t="s">
        <v>34</v>
      </c>
      <c r="D116" s="370" t="s">
        <v>40</v>
      </c>
      <c r="E116" s="420" t="s">
        <v>18</v>
      </c>
      <c r="F116" s="382" t="s">
        <v>31</v>
      </c>
      <c r="G116" s="344" t="s">
        <v>20</v>
      </c>
      <c r="H116" s="382" t="s">
        <v>31</v>
      </c>
      <c r="I116" s="321" t="s">
        <v>21</v>
      </c>
      <c r="J116" s="383" t="s">
        <v>19</v>
      </c>
      <c r="K116" s="321" t="s">
        <v>22</v>
      </c>
      <c r="L116" s="395" t="s">
        <v>19</v>
      </c>
      <c r="M116" s="487" t="s">
        <v>19</v>
      </c>
      <c r="N116" s="147"/>
    </row>
    <row r="117" ht="22.5" customHeight="1">
      <c r="A117" s="299" t="s">
        <v>637</v>
      </c>
      <c r="B117" s="313" t="s">
        <v>6549</v>
      </c>
      <c r="C117" s="311" t="s">
        <v>34</v>
      </c>
      <c r="D117" s="265" t="s">
        <v>40</v>
      </c>
      <c r="E117" s="158" t="s">
        <v>18</v>
      </c>
      <c r="F117" s="311" t="s">
        <v>31</v>
      </c>
      <c r="G117" s="341" t="s">
        <v>20</v>
      </c>
      <c r="H117" s="306" t="s">
        <v>19</v>
      </c>
      <c r="I117" s="294" t="s">
        <v>21</v>
      </c>
      <c r="J117" s="311" t="s">
        <v>31</v>
      </c>
      <c r="K117" s="294" t="s">
        <v>22</v>
      </c>
      <c r="L117" s="396" t="s">
        <v>19</v>
      </c>
      <c r="M117" s="492" t="s">
        <v>19</v>
      </c>
      <c r="N117" s="155"/>
    </row>
    <row r="118" ht="22.5" customHeight="1">
      <c r="A118" s="379" t="s">
        <v>637</v>
      </c>
      <c r="B118" s="159" t="s">
        <v>6550</v>
      </c>
      <c r="C118" s="382" t="s">
        <v>34</v>
      </c>
      <c r="D118" s="372" t="s">
        <v>49</v>
      </c>
      <c r="E118" s="420" t="s">
        <v>18</v>
      </c>
      <c r="F118" s="288" t="s">
        <v>19</v>
      </c>
      <c r="G118" s="344" t="s">
        <v>20</v>
      </c>
      <c r="H118" s="383" t="s">
        <v>19</v>
      </c>
      <c r="I118" s="289" t="s">
        <v>21</v>
      </c>
      <c r="J118" s="288" t="s">
        <v>19</v>
      </c>
      <c r="K118" s="289" t="s">
        <v>22</v>
      </c>
      <c r="L118" s="290" t="s">
        <v>19</v>
      </c>
      <c r="M118" s="491" t="s">
        <v>31</v>
      </c>
      <c r="N118" s="147"/>
    </row>
    <row r="119" ht="22.5" customHeight="1">
      <c r="A119" s="305" t="s">
        <v>6551</v>
      </c>
      <c r="B119" s="313" t="s">
        <v>6552</v>
      </c>
      <c r="C119" s="311" t="s">
        <v>34</v>
      </c>
      <c r="D119" s="192" t="s">
        <v>49</v>
      </c>
      <c r="E119" s="158" t="s">
        <v>18</v>
      </c>
      <c r="F119" s="392" t="s">
        <v>50</v>
      </c>
      <c r="G119" s="341" t="s">
        <v>20</v>
      </c>
      <c r="H119" s="363" t="s">
        <v>19</v>
      </c>
      <c r="I119" s="294" t="s">
        <v>21</v>
      </c>
      <c r="J119" s="311" t="s">
        <v>31</v>
      </c>
      <c r="K119" s="294" t="s">
        <v>22</v>
      </c>
      <c r="L119" s="312" t="s">
        <v>5279</v>
      </c>
      <c r="M119" s="486" t="s">
        <v>31</v>
      </c>
      <c r="N119" s="155"/>
    </row>
    <row r="120" ht="22.5" customHeight="1">
      <c r="A120" s="379" t="s">
        <v>637</v>
      </c>
      <c r="B120" s="420" t="s">
        <v>6553</v>
      </c>
      <c r="C120" s="382" t="s">
        <v>34</v>
      </c>
      <c r="D120" s="372" t="s">
        <v>49</v>
      </c>
      <c r="E120" s="420" t="s">
        <v>18</v>
      </c>
      <c r="F120" s="385" t="s">
        <v>50</v>
      </c>
      <c r="G120" s="344" t="s">
        <v>20</v>
      </c>
      <c r="H120" s="384" t="s">
        <v>5279</v>
      </c>
      <c r="I120" s="321" t="s">
        <v>21</v>
      </c>
      <c r="J120" s="384" t="s">
        <v>5279</v>
      </c>
      <c r="K120" s="321" t="s">
        <v>22</v>
      </c>
      <c r="L120" s="401" t="s">
        <v>5279</v>
      </c>
      <c r="M120" s="493" t="s">
        <v>5279</v>
      </c>
      <c r="N120" s="147"/>
    </row>
    <row r="121" ht="22.5" customHeight="1">
      <c r="A121" s="305" t="s">
        <v>4785</v>
      </c>
      <c r="B121" s="310" t="s">
        <v>6554</v>
      </c>
      <c r="C121" s="311" t="s">
        <v>34</v>
      </c>
      <c r="D121" s="192" t="s">
        <v>49</v>
      </c>
      <c r="E121" s="158" t="s">
        <v>18</v>
      </c>
      <c r="F121" s="363" t="s">
        <v>19</v>
      </c>
      <c r="G121" s="341" t="s">
        <v>20</v>
      </c>
      <c r="H121" s="392" t="s">
        <v>50</v>
      </c>
      <c r="I121" s="294" t="s">
        <v>21</v>
      </c>
      <c r="J121" s="311" t="s">
        <v>31</v>
      </c>
      <c r="K121" s="294" t="s">
        <v>22</v>
      </c>
      <c r="L121" s="396" t="s">
        <v>19</v>
      </c>
      <c r="M121" s="492" t="s">
        <v>19</v>
      </c>
      <c r="N121" s="155"/>
    </row>
    <row r="122" ht="22.5" customHeight="1">
      <c r="A122" s="466" t="s">
        <v>6555</v>
      </c>
      <c r="B122" s="420" t="s">
        <v>6556</v>
      </c>
      <c r="C122" s="382" t="s">
        <v>34</v>
      </c>
      <c r="D122" s="372" t="s">
        <v>49</v>
      </c>
      <c r="E122" s="420" t="s">
        <v>18</v>
      </c>
      <c r="F122" s="288" t="s">
        <v>19</v>
      </c>
      <c r="G122" s="344" t="s">
        <v>20</v>
      </c>
      <c r="H122" s="332" t="s">
        <v>50</v>
      </c>
      <c r="I122" s="289" t="s">
        <v>21</v>
      </c>
      <c r="J122" s="332" t="s">
        <v>50</v>
      </c>
      <c r="K122" s="289" t="s">
        <v>22</v>
      </c>
      <c r="L122" s="298" t="s">
        <v>5279</v>
      </c>
      <c r="M122" s="494" t="s">
        <v>50</v>
      </c>
      <c r="N122" s="147"/>
    </row>
    <row r="123" ht="22.5" customHeight="1">
      <c r="A123" s="299" t="s">
        <v>6557</v>
      </c>
      <c r="B123" s="313" t="s">
        <v>6558</v>
      </c>
      <c r="C123" s="311" t="s">
        <v>34</v>
      </c>
      <c r="D123" s="192" t="s">
        <v>49</v>
      </c>
      <c r="E123" s="158" t="s">
        <v>18</v>
      </c>
      <c r="F123" s="392" t="s">
        <v>50</v>
      </c>
      <c r="G123" s="341" t="s">
        <v>20</v>
      </c>
      <c r="H123" s="311" t="s">
        <v>31</v>
      </c>
      <c r="I123" s="294" t="s">
        <v>21</v>
      </c>
      <c r="J123" s="392" t="s">
        <v>50</v>
      </c>
      <c r="K123" s="294" t="s">
        <v>22</v>
      </c>
      <c r="L123" s="403" t="s">
        <v>31</v>
      </c>
      <c r="M123" s="488" t="s">
        <v>50</v>
      </c>
      <c r="N123" s="155"/>
    </row>
    <row r="124" ht="22.5" customHeight="1">
      <c r="A124" s="379" t="s">
        <v>637</v>
      </c>
      <c r="B124" s="420" t="s">
        <v>6559</v>
      </c>
      <c r="C124" s="383" t="s">
        <v>16</v>
      </c>
      <c r="D124" s="371" t="s">
        <v>17</v>
      </c>
      <c r="E124" s="420" t="s">
        <v>18</v>
      </c>
      <c r="F124" s="395" t="s">
        <v>19</v>
      </c>
      <c r="G124" s="344" t="s">
        <v>20</v>
      </c>
      <c r="H124" s="288" t="s">
        <v>19</v>
      </c>
      <c r="I124" s="289" t="s">
        <v>21</v>
      </c>
      <c r="J124" s="288" t="s">
        <v>19</v>
      </c>
      <c r="K124" s="289" t="s">
        <v>22</v>
      </c>
      <c r="L124" s="290" t="s">
        <v>19</v>
      </c>
      <c r="M124" s="487" t="s">
        <v>19</v>
      </c>
      <c r="N124" s="147"/>
    </row>
    <row r="125" ht="22.5" customHeight="1">
      <c r="A125" s="299" t="s">
        <v>637</v>
      </c>
      <c r="B125" s="313" t="s">
        <v>6560</v>
      </c>
      <c r="C125" s="311" t="s">
        <v>34</v>
      </c>
      <c r="D125" s="192" t="s">
        <v>49</v>
      </c>
      <c r="E125" s="158" t="s">
        <v>18</v>
      </c>
      <c r="F125" s="311" t="s">
        <v>31</v>
      </c>
      <c r="G125" s="341" t="s">
        <v>20</v>
      </c>
      <c r="H125" s="363" t="s">
        <v>19</v>
      </c>
      <c r="I125" s="294" t="s">
        <v>21</v>
      </c>
      <c r="J125" s="363" t="s">
        <v>19</v>
      </c>
      <c r="K125" s="294" t="s">
        <v>22</v>
      </c>
      <c r="L125" s="312" t="s">
        <v>5279</v>
      </c>
      <c r="M125" s="488" t="s">
        <v>50</v>
      </c>
      <c r="N125" s="155"/>
    </row>
    <row r="126" ht="22.5" customHeight="1">
      <c r="A126" s="285" t="s">
        <v>6561</v>
      </c>
      <c r="B126" s="159" t="s">
        <v>6562</v>
      </c>
      <c r="C126" s="297" t="s">
        <v>34</v>
      </c>
      <c r="D126" s="169" t="s">
        <v>49</v>
      </c>
      <c r="E126" s="420" t="s">
        <v>18</v>
      </c>
      <c r="F126" s="382" t="s">
        <v>31</v>
      </c>
      <c r="G126" s="344" t="s">
        <v>20</v>
      </c>
      <c r="H126" s="382" t="s">
        <v>31</v>
      </c>
      <c r="I126" s="289" t="s">
        <v>21</v>
      </c>
      <c r="J126" s="297" t="s">
        <v>31</v>
      </c>
      <c r="K126" s="289" t="s">
        <v>22</v>
      </c>
      <c r="L126" s="290" t="s">
        <v>19</v>
      </c>
      <c r="M126" s="491" t="s">
        <v>31</v>
      </c>
      <c r="N126" s="147"/>
    </row>
    <row r="127" ht="22.5" customHeight="1">
      <c r="A127" s="299" t="s">
        <v>6563</v>
      </c>
      <c r="B127" s="313" t="s">
        <v>6564</v>
      </c>
      <c r="C127" s="311" t="s">
        <v>34</v>
      </c>
      <c r="D127" s="192" t="s">
        <v>49</v>
      </c>
      <c r="E127" s="158" t="s">
        <v>18</v>
      </c>
      <c r="F127" s="301" t="s">
        <v>31</v>
      </c>
      <c r="G127" s="341" t="s">
        <v>20</v>
      </c>
      <c r="H127" s="392" t="s">
        <v>50</v>
      </c>
      <c r="I127" s="294" t="s">
        <v>21</v>
      </c>
      <c r="J127" s="207" t="s">
        <v>5279</v>
      </c>
      <c r="K127" s="294" t="s">
        <v>22</v>
      </c>
      <c r="L127" s="495" t="s">
        <v>50</v>
      </c>
      <c r="M127" s="488" t="s">
        <v>50</v>
      </c>
      <c r="N127" s="155"/>
    </row>
    <row r="128" ht="22.5" customHeight="1">
      <c r="A128" s="379" t="s">
        <v>637</v>
      </c>
      <c r="B128" s="420" t="s">
        <v>6565</v>
      </c>
      <c r="C128" s="382" t="s">
        <v>34</v>
      </c>
      <c r="D128" s="370" t="s">
        <v>40</v>
      </c>
      <c r="E128" s="420" t="s">
        <v>18</v>
      </c>
      <c r="F128" s="383" t="s">
        <v>19</v>
      </c>
      <c r="G128" s="344" t="s">
        <v>20</v>
      </c>
      <c r="H128" s="297" t="s">
        <v>31</v>
      </c>
      <c r="I128" s="289" t="s">
        <v>21</v>
      </c>
      <c r="J128" s="475" t="s">
        <v>19</v>
      </c>
      <c r="K128" s="289" t="s">
        <v>22</v>
      </c>
      <c r="L128" s="290" t="s">
        <v>19</v>
      </c>
      <c r="M128" s="491" t="s">
        <v>31</v>
      </c>
      <c r="N128" s="147"/>
    </row>
    <row r="129" ht="22.5" customHeight="1">
      <c r="A129" s="299" t="s">
        <v>637</v>
      </c>
      <c r="B129" s="313" t="s">
        <v>6566</v>
      </c>
      <c r="C129" s="311" t="s">
        <v>34</v>
      </c>
      <c r="D129" s="192" t="s">
        <v>49</v>
      </c>
      <c r="E129" s="158" t="s">
        <v>18</v>
      </c>
      <c r="F129" s="301" t="s">
        <v>31</v>
      </c>
      <c r="G129" s="341" t="s">
        <v>20</v>
      </c>
      <c r="H129" s="227" t="s">
        <v>5279</v>
      </c>
      <c r="I129" s="294" t="s">
        <v>21</v>
      </c>
      <c r="J129" s="320" t="s">
        <v>50</v>
      </c>
      <c r="K129" s="294" t="s">
        <v>22</v>
      </c>
      <c r="L129" s="403" t="s">
        <v>31</v>
      </c>
      <c r="M129" s="488" t="s">
        <v>50</v>
      </c>
      <c r="N129" s="155"/>
    </row>
    <row r="130" ht="22.5" customHeight="1">
      <c r="A130" s="379" t="s">
        <v>637</v>
      </c>
      <c r="B130" s="420" t="s">
        <v>6567</v>
      </c>
      <c r="C130" s="382" t="s">
        <v>34</v>
      </c>
      <c r="D130" s="372" t="s">
        <v>49</v>
      </c>
      <c r="E130" s="420" t="s">
        <v>18</v>
      </c>
      <c r="F130" s="382" t="s">
        <v>31</v>
      </c>
      <c r="G130" s="344" t="s">
        <v>20</v>
      </c>
      <c r="H130" s="297" t="s">
        <v>31</v>
      </c>
      <c r="I130" s="289" t="s">
        <v>21</v>
      </c>
      <c r="J130" s="496" t="s">
        <v>5279</v>
      </c>
      <c r="K130" s="289" t="s">
        <v>22</v>
      </c>
      <c r="L130" s="481" t="s">
        <v>50</v>
      </c>
      <c r="M130" s="494" t="s">
        <v>50</v>
      </c>
      <c r="N130" s="147"/>
    </row>
    <row r="131" ht="22.5" customHeight="1">
      <c r="A131" s="299" t="s">
        <v>637</v>
      </c>
      <c r="B131" s="313" t="s">
        <v>6568</v>
      </c>
      <c r="C131" s="363" t="s">
        <v>16</v>
      </c>
      <c r="D131" s="267" t="s">
        <v>17</v>
      </c>
      <c r="E131" s="158" t="s">
        <v>18</v>
      </c>
      <c r="F131" s="363" t="s">
        <v>19</v>
      </c>
      <c r="G131" s="341" t="s">
        <v>20</v>
      </c>
      <c r="H131" s="363" t="s">
        <v>19</v>
      </c>
      <c r="I131" s="294" t="s">
        <v>21</v>
      </c>
      <c r="J131" s="363" t="s">
        <v>19</v>
      </c>
      <c r="K131" s="294" t="s">
        <v>22</v>
      </c>
      <c r="L131" s="396" t="s">
        <v>19</v>
      </c>
      <c r="M131" s="492" t="s">
        <v>19</v>
      </c>
      <c r="N131" s="155"/>
    </row>
    <row r="132" ht="22.5" customHeight="1">
      <c r="A132" s="379" t="s">
        <v>637</v>
      </c>
      <c r="B132" s="420" t="s">
        <v>6569</v>
      </c>
      <c r="C132" s="382" t="s">
        <v>34</v>
      </c>
      <c r="D132" s="372" t="s">
        <v>49</v>
      </c>
      <c r="E132" s="420" t="s">
        <v>18</v>
      </c>
      <c r="F132" s="385" t="s">
        <v>50</v>
      </c>
      <c r="G132" s="344" t="s">
        <v>20</v>
      </c>
      <c r="H132" s="385" t="s">
        <v>50</v>
      </c>
      <c r="I132" s="289" t="s">
        <v>21</v>
      </c>
      <c r="J132" s="204" t="s">
        <v>5279</v>
      </c>
      <c r="K132" s="289" t="s">
        <v>22</v>
      </c>
      <c r="L132" s="481" t="s">
        <v>50</v>
      </c>
      <c r="M132" s="494" t="s">
        <v>50</v>
      </c>
      <c r="N132" s="147"/>
    </row>
    <row r="133" ht="22.5" customHeight="1">
      <c r="A133" s="299" t="s">
        <v>637</v>
      </c>
      <c r="B133" s="313" t="s">
        <v>6570</v>
      </c>
      <c r="C133" s="311" t="s">
        <v>34</v>
      </c>
      <c r="D133" s="192" t="s">
        <v>49</v>
      </c>
      <c r="E133" s="158" t="s">
        <v>18</v>
      </c>
      <c r="F133" s="306" t="s">
        <v>19</v>
      </c>
      <c r="G133" s="341" t="s">
        <v>20</v>
      </c>
      <c r="H133" s="363" t="s">
        <v>19</v>
      </c>
      <c r="I133" s="294" t="s">
        <v>21</v>
      </c>
      <c r="J133" s="363" t="s">
        <v>19</v>
      </c>
      <c r="K133" s="294" t="s">
        <v>22</v>
      </c>
      <c r="L133" s="396" t="s">
        <v>19</v>
      </c>
      <c r="M133" s="486" t="s">
        <v>31</v>
      </c>
      <c r="N133" s="155"/>
    </row>
    <row r="134" ht="22.5" customHeight="1">
      <c r="A134" s="379" t="s">
        <v>637</v>
      </c>
      <c r="B134" s="420" t="s">
        <v>6571</v>
      </c>
      <c r="C134" s="382" t="s">
        <v>34</v>
      </c>
      <c r="D134" s="372" t="s">
        <v>49</v>
      </c>
      <c r="E134" s="420" t="s">
        <v>18</v>
      </c>
      <c r="F134" s="393" t="s">
        <v>31</v>
      </c>
      <c r="G134" s="344" t="s">
        <v>20</v>
      </c>
      <c r="H134" s="445" t="s">
        <v>19</v>
      </c>
      <c r="I134" s="289" t="s">
        <v>21</v>
      </c>
      <c r="J134" s="445" t="s">
        <v>19</v>
      </c>
      <c r="K134" s="289" t="s">
        <v>22</v>
      </c>
      <c r="L134" s="290" t="s">
        <v>19</v>
      </c>
      <c r="M134" s="491" t="s">
        <v>31</v>
      </c>
      <c r="N134" s="147"/>
    </row>
    <row r="135" ht="22.5" customHeight="1">
      <c r="A135" s="299" t="s">
        <v>637</v>
      </c>
      <c r="B135" s="313" t="s">
        <v>6572</v>
      </c>
      <c r="C135" s="311" t="s">
        <v>34</v>
      </c>
      <c r="D135" s="192" t="s">
        <v>49</v>
      </c>
      <c r="E135" s="158" t="s">
        <v>18</v>
      </c>
      <c r="F135" s="320" t="s">
        <v>50</v>
      </c>
      <c r="G135" s="341" t="s">
        <v>20</v>
      </c>
      <c r="H135" s="497" t="s">
        <v>5279</v>
      </c>
      <c r="I135" s="294" t="s">
        <v>21</v>
      </c>
      <c r="J135" s="227" t="s">
        <v>5279</v>
      </c>
      <c r="K135" s="294" t="s">
        <v>22</v>
      </c>
      <c r="L135" s="495" t="s">
        <v>50</v>
      </c>
      <c r="M135" s="488" t="s">
        <v>50</v>
      </c>
      <c r="N135" s="155"/>
    </row>
    <row r="136" ht="22.5" customHeight="1">
      <c r="A136" s="379" t="s">
        <v>637</v>
      </c>
      <c r="B136" s="420" t="s">
        <v>6573</v>
      </c>
      <c r="C136" s="382" t="s">
        <v>34</v>
      </c>
      <c r="D136" s="372" t="s">
        <v>49</v>
      </c>
      <c r="E136" s="420" t="s">
        <v>18</v>
      </c>
      <c r="F136" s="382" t="s">
        <v>31</v>
      </c>
      <c r="G136" s="344" t="s">
        <v>20</v>
      </c>
      <c r="H136" s="445" t="s">
        <v>19</v>
      </c>
      <c r="I136" s="289" t="s">
        <v>21</v>
      </c>
      <c r="J136" s="382" t="s">
        <v>31</v>
      </c>
      <c r="K136" s="289" t="s">
        <v>22</v>
      </c>
      <c r="L136" s="304" t="s">
        <v>31</v>
      </c>
      <c r="M136" s="494" t="s">
        <v>50</v>
      </c>
      <c r="N136" s="147"/>
    </row>
    <row r="137" ht="22.5" customHeight="1">
      <c r="A137" s="299" t="s">
        <v>637</v>
      </c>
      <c r="B137" s="313" t="s">
        <v>6574</v>
      </c>
      <c r="C137" s="311" t="s">
        <v>34</v>
      </c>
      <c r="D137" s="192" t="s">
        <v>49</v>
      </c>
      <c r="E137" s="158" t="s">
        <v>18</v>
      </c>
      <c r="F137" s="306" t="s">
        <v>19</v>
      </c>
      <c r="G137" s="341" t="s">
        <v>20</v>
      </c>
      <c r="H137" s="498" t="s">
        <v>31</v>
      </c>
      <c r="I137" s="294" t="s">
        <v>21</v>
      </c>
      <c r="J137" s="363" t="s">
        <v>19</v>
      </c>
      <c r="K137" s="294" t="s">
        <v>22</v>
      </c>
      <c r="L137" s="396" t="s">
        <v>19</v>
      </c>
      <c r="M137" s="492" t="s">
        <v>19</v>
      </c>
      <c r="N137" s="155"/>
    </row>
    <row r="138" ht="22.5" customHeight="1">
      <c r="A138" s="499"/>
      <c r="B138" s="420" t="s">
        <v>6575</v>
      </c>
      <c r="C138" s="382" t="s">
        <v>34</v>
      </c>
      <c r="D138" s="500" t="s">
        <v>25</v>
      </c>
      <c r="E138" s="420" t="s">
        <v>18</v>
      </c>
      <c r="F138" s="382" t="s">
        <v>31</v>
      </c>
      <c r="G138" s="344" t="s">
        <v>20</v>
      </c>
      <c r="H138" s="501" t="s">
        <v>31</v>
      </c>
      <c r="I138" s="289" t="s">
        <v>21</v>
      </c>
      <c r="J138" s="502" t="s">
        <v>26</v>
      </c>
      <c r="K138" s="289" t="s">
        <v>22</v>
      </c>
      <c r="L138" s="395" t="s">
        <v>19</v>
      </c>
      <c r="M138" s="487" t="s">
        <v>19</v>
      </c>
      <c r="N138" s="147"/>
    </row>
    <row r="139" ht="22.5" customHeight="1">
      <c r="A139" s="299" t="s">
        <v>637</v>
      </c>
      <c r="B139" s="313" t="s">
        <v>6576</v>
      </c>
      <c r="C139" s="363" t="s">
        <v>16</v>
      </c>
      <c r="D139" s="192" t="s">
        <v>49</v>
      </c>
      <c r="E139" s="158" t="s">
        <v>18</v>
      </c>
      <c r="F139" s="484" t="s">
        <v>50</v>
      </c>
      <c r="G139" s="341" t="s">
        <v>20</v>
      </c>
      <c r="H139" s="503" t="s">
        <v>50</v>
      </c>
      <c r="I139" s="294" t="s">
        <v>21</v>
      </c>
      <c r="J139" s="392" t="s">
        <v>50</v>
      </c>
      <c r="K139" s="294" t="s">
        <v>22</v>
      </c>
      <c r="L139" s="495" t="s">
        <v>50</v>
      </c>
      <c r="M139" s="488" t="s">
        <v>50</v>
      </c>
      <c r="N139" s="155"/>
    </row>
    <row r="140" ht="22.5" customHeight="1">
      <c r="A140" s="504" t="s">
        <v>637</v>
      </c>
      <c r="B140" s="505" t="s">
        <v>6577</v>
      </c>
      <c r="C140" s="506" t="s">
        <v>34</v>
      </c>
      <c r="D140" s="507" t="s">
        <v>40</v>
      </c>
      <c r="E140" s="420" t="s">
        <v>18</v>
      </c>
      <c r="F140" s="393" t="s">
        <v>31</v>
      </c>
      <c r="G140" s="344" t="s">
        <v>20</v>
      </c>
      <c r="H140" s="501" t="s">
        <v>31</v>
      </c>
      <c r="I140" s="289" t="s">
        <v>21</v>
      </c>
      <c r="J140" s="383" t="s">
        <v>19</v>
      </c>
      <c r="K140" s="289" t="s">
        <v>22</v>
      </c>
      <c r="L140" s="290" t="s">
        <v>19</v>
      </c>
      <c r="M140" s="487" t="s">
        <v>19</v>
      </c>
      <c r="N140" s="147"/>
    </row>
    <row r="141" ht="22.5" customHeight="1">
      <c r="A141" s="299" t="s">
        <v>637</v>
      </c>
      <c r="B141" s="313" t="s">
        <v>6578</v>
      </c>
      <c r="C141" s="311" t="s">
        <v>34</v>
      </c>
      <c r="D141" s="192" t="s">
        <v>49</v>
      </c>
      <c r="E141" s="158" t="s">
        <v>18</v>
      </c>
      <c r="F141" s="301" t="s">
        <v>31</v>
      </c>
      <c r="G141" s="341" t="s">
        <v>20</v>
      </c>
      <c r="H141" s="497" t="s">
        <v>5279</v>
      </c>
      <c r="I141" s="294" t="s">
        <v>21</v>
      </c>
      <c r="J141" s="311" t="s">
        <v>31</v>
      </c>
      <c r="K141" s="294" t="s">
        <v>22</v>
      </c>
      <c r="L141" s="396" t="s">
        <v>19</v>
      </c>
      <c r="M141" s="492" t="s">
        <v>19</v>
      </c>
      <c r="N141" s="155"/>
    </row>
    <row r="142" ht="22.5" customHeight="1">
      <c r="A142" s="285" t="s">
        <v>637</v>
      </c>
      <c r="B142" s="159" t="s">
        <v>6579</v>
      </c>
      <c r="C142" s="383" t="s">
        <v>16</v>
      </c>
      <c r="D142" s="371" t="s">
        <v>17</v>
      </c>
      <c r="E142" s="420" t="s">
        <v>18</v>
      </c>
      <c r="F142" s="395" t="s">
        <v>19</v>
      </c>
      <c r="G142" s="344" t="s">
        <v>20</v>
      </c>
      <c r="H142" s="445" t="s">
        <v>19</v>
      </c>
      <c r="I142" s="289" t="s">
        <v>21</v>
      </c>
      <c r="J142" s="383" t="s">
        <v>19</v>
      </c>
      <c r="K142" s="289" t="s">
        <v>22</v>
      </c>
      <c r="L142" s="290" t="s">
        <v>19</v>
      </c>
      <c r="M142" s="487" t="s">
        <v>19</v>
      </c>
      <c r="N142" s="147"/>
    </row>
    <row r="143" ht="22.5" customHeight="1">
      <c r="A143" s="299" t="s">
        <v>637</v>
      </c>
      <c r="B143" s="313" t="s">
        <v>6580</v>
      </c>
      <c r="C143" s="363" t="s">
        <v>16</v>
      </c>
      <c r="D143" s="267" t="s">
        <v>17</v>
      </c>
      <c r="E143" s="158" t="s">
        <v>18</v>
      </c>
      <c r="F143" s="363" t="s">
        <v>19</v>
      </c>
      <c r="G143" s="341" t="s">
        <v>20</v>
      </c>
      <c r="H143" s="363" t="s">
        <v>19</v>
      </c>
      <c r="I143" s="294" t="s">
        <v>21</v>
      </c>
      <c r="J143" s="363" t="s">
        <v>19</v>
      </c>
      <c r="K143" s="294" t="s">
        <v>22</v>
      </c>
      <c r="L143" s="396" t="s">
        <v>19</v>
      </c>
      <c r="M143" s="492" t="s">
        <v>19</v>
      </c>
      <c r="N143" s="155"/>
    </row>
    <row r="144" ht="22.5" customHeight="1">
      <c r="A144" s="379" t="s">
        <v>637</v>
      </c>
      <c r="B144" s="420" t="s">
        <v>6581</v>
      </c>
      <c r="C144" s="383" t="s">
        <v>16</v>
      </c>
      <c r="D144" s="371" t="s">
        <v>17</v>
      </c>
      <c r="E144" s="420" t="s">
        <v>18</v>
      </c>
      <c r="F144" s="383" t="s">
        <v>19</v>
      </c>
      <c r="G144" s="344" t="s">
        <v>20</v>
      </c>
      <c r="H144" s="383" t="s">
        <v>19</v>
      </c>
      <c r="I144" s="321" t="s">
        <v>21</v>
      </c>
      <c r="J144" s="383" t="s">
        <v>19</v>
      </c>
      <c r="K144" s="321" t="s">
        <v>22</v>
      </c>
      <c r="L144" s="290" t="s">
        <v>19</v>
      </c>
      <c r="M144" s="487" t="s">
        <v>19</v>
      </c>
      <c r="N144" s="147"/>
    </row>
    <row r="145" ht="22.5" customHeight="1">
      <c r="A145" s="299" t="s">
        <v>6582</v>
      </c>
      <c r="B145" s="313" t="s">
        <v>6583</v>
      </c>
      <c r="C145" s="311" t="s">
        <v>34</v>
      </c>
      <c r="D145" s="265" t="s">
        <v>40</v>
      </c>
      <c r="E145" s="158" t="s">
        <v>18</v>
      </c>
      <c r="F145" s="306" t="s">
        <v>19</v>
      </c>
      <c r="G145" s="341" t="s">
        <v>20</v>
      </c>
      <c r="H145" s="508" t="s">
        <v>26</v>
      </c>
      <c r="I145" s="294" t="s">
        <v>21</v>
      </c>
      <c r="J145" s="306" t="s">
        <v>19</v>
      </c>
      <c r="K145" s="294" t="s">
        <v>22</v>
      </c>
      <c r="L145" s="396" t="s">
        <v>19</v>
      </c>
      <c r="M145" s="492" t="s">
        <v>19</v>
      </c>
      <c r="N145" s="155"/>
    </row>
    <row r="146" ht="22.5" customHeight="1">
      <c r="A146" s="379" t="s">
        <v>637</v>
      </c>
      <c r="B146" s="420" t="s">
        <v>6584</v>
      </c>
      <c r="C146" s="382" t="s">
        <v>34</v>
      </c>
      <c r="D146" s="372" t="s">
        <v>49</v>
      </c>
      <c r="E146" s="420" t="s">
        <v>18</v>
      </c>
      <c r="F146" s="385" t="s">
        <v>50</v>
      </c>
      <c r="G146" s="344" t="s">
        <v>20</v>
      </c>
      <c r="H146" s="501" t="s">
        <v>31</v>
      </c>
      <c r="I146" s="289" t="s">
        <v>21</v>
      </c>
      <c r="J146" s="509" t="s">
        <v>31</v>
      </c>
      <c r="K146" s="289" t="s">
        <v>22</v>
      </c>
      <c r="L146" s="481" t="s">
        <v>50</v>
      </c>
      <c r="M146" s="494" t="s">
        <v>50</v>
      </c>
      <c r="N146" s="147"/>
    </row>
    <row r="147" ht="22.5" customHeight="1">
      <c r="A147" s="299" t="s">
        <v>637</v>
      </c>
      <c r="B147" s="313" t="s">
        <v>6585</v>
      </c>
      <c r="C147" s="363" t="s">
        <v>16</v>
      </c>
      <c r="D147" s="267" t="s">
        <v>17</v>
      </c>
      <c r="E147" s="158" t="s">
        <v>18</v>
      </c>
      <c r="F147" s="307" t="s">
        <v>19</v>
      </c>
      <c r="G147" s="341" t="s">
        <v>20</v>
      </c>
      <c r="H147" s="510" t="s">
        <v>19</v>
      </c>
      <c r="I147" s="294" t="s">
        <v>21</v>
      </c>
      <c r="J147" s="511" t="s">
        <v>19</v>
      </c>
      <c r="K147" s="294" t="s">
        <v>22</v>
      </c>
      <c r="L147" s="396" t="s">
        <v>19</v>
      </c>
      <c r="M147" s="492" t="s">
        <v>19</v>
      </c>
      <c r="N147" s="155"/>
    </row>
    <row r="148" ht="22.5" customHeight="1">
      <c r="A148" s="379" t="s">
        <v>637</v>
      </c>
      <c r="B148" s="420" t="s">
        <v>6586</v>
      </c>
      <c r="C148" s="382" t="s">
        <v>34</v>
      </c>
      <c r="D148" s="372" t="s">
        <v>49</v>
      </c>
      <c r="E148" s="420" t="s">
        <v>18</v>
      </c>
      <c r="F148" s="383" t="s">
        <v>19</v>
      </c>
      <c r="G148" s="344" t="s">
        <v>20</v>
      </c>
      <c r="H148" s="501" t="s">
        <v>31</v>
      </c>
      <c r="I148" s="289" t="s">
        <v>21</v>
      </c>
      <c r="J148" s="383" t="s">
        <v>19</v>
      </c>
      <c r="K148" s="289" t="s">
        <v>22</v>
      </c>
      <c r="L148" s="290" t="s">
        <v>19</v>
      </c>
      <c r="M148" s="487" t="s">
        <v>19</v>
      </c>
      <c r="N148" s="147"/>
    </row>
    <row r="149" ht="22.5" customHeight="1">
      <c r="A149" s="299" t="s">
        <v>637</v>
      </c>
      <c r="B149" s="313" t="s">
        <v>6587</v>
      </c>
      <c r="C149" s="363" t="s">
        <v>16</v>
      </c>
      <c r="D149" s="267" t="s">
        <v>17</v>
      </c>
      <c r="E149" s="158" t="s">
        <v>18</v>
      </c>
      <c r="F149" s="307" t="s">
        <v>19</v>
      </c>
      <c r="G149" s="341" t="s">
        <v>20</v>
      </c>
      <c r="H149" s="510" t="s">
        <v>19</v>
      </c>
      <c r="I149" s="294" t="s">
        <v>21</v>
      </c>
      <c r="J149" s="363" t="s">
        <v>19</v>
      </c>
      <c r="K149" s="294" t="s">
        <v>22</v>
      </c>
      <c r="L149" s="396" t="s">
        <v>19</v>
      </c>
      <c r="M149" s="492" t="s">
        <v>19</v>
      </c>
      <c r="N149" s="155"/>
    </row>
    <row r="150" ht="22.5" customHeight="1">
      <c r="A150" s="379" t="s">
        <v>6588</v>
      </c>
      <c r="B150" s="420" t="s">
        <v>6589</v>
      </c>
      <c r="C150" s="382" t="s">
        <v>34</v>
      </c>
      <c r="D150" s="372" t="s">
        <v>49</v>
      </c>
      <c r="E150" s="420" t="s">
        <v>18</v>
      </c>
      <c r="F150" s="512" t="s">
        <v>50</v>
      </c>
      <c r="G150" s="344" t="s">
        <v>20</v>
      </c>
      <c r="H150" s="445" t="s">
        <v>19</v>
      </c>
      <c r="I150" s="289" t="s">
        <v>21</v>
      </c>
      <c r="J150" s="383" t="s">
        <v>19</v>
      </c>
      <c r="K150" s="289" t="s">
        <v>22</v>
      </c>
      <c r="L150" s="304" t="s">
        <v>31</v>
      </c>
      <c r="M150" s="491" t="s">
        <v>31</v>
      </c>
      <c r="N150" s="147"/>
    </row>
    <row r="151" ht="22.5" customHeight="1">
      <c r="A151" s="299" t="s">
        <v>637</v>
      </c>
      <c r="B151" s="313" t="s">
        <v>6590</v>
      </c>
      <c r="C151" s="363" t="s">
        <v>16</v>
      </c>
      <c r="D151" s="267" t="s">
        <v>17</v>
      </c>
      <c r="E151" s="158" t="s">
        <v>18</v>
      </c>
      <c r="F151" s="307" t="s">
        <v>19</v>
      </c>
      <c r="G151" s="341" t="s">
        <v>20</v>
      </c>
      <c r="H151" s="510" t="s">
        <v>19</v>
      </c>
      <c r="I151" s="294" t="s">
        <v>21</v>
      </c>
      <c r="J151" s="363" t="s">
        <v>19</v>
      </c>
      <c r="K151" s="294" t="s">
        <v>22</v>
      </c>
      <c r="L151" s="396" t="s">
        <v>19</v>
      </c>
      <c r="M151" s="492" t="s">
        <v>19</v>
      </c>
      <c r="N151" s="155"/>
    </row>
    <row r="152" ht="22.5" customHeight="1">
      <c r="A152" s="379" t="s">
        <v>637</v>
      </c>
      <c r="B152" s="420" t="s">
        <v>6591</v>
      </c>
      <c r="C152" s="383" t="s">
        <v>16</v>
      </c>
      <c r="D152" s="385" t="s">
        <v>35</v>
      </c>
      <c r="E152" s="420" t="s">
        <v>18</v>
      </c>
      <c r="F152" s="393" t="s">
        <v>31</v>
      </c>
      <c r="G152" s="344" t="s">
        <v>20</v>
      </c>
      <c r="H152" s="501" t="s">
        <v>31</v>
      </c>
      <c r="I152" s="289" t="s">
        <v>21</v>
      </c>
      <c r="J152" s="288" t="s">
        <v>19</v>
      </c>
      <c r="K152" s="289" t="s">
        <v>22</v>
      </c>
      <c r="L152" s="395" t="s">
        <v>19</v>
      </c>
      <c r="M152" s="487" t="s">
        <v>19</v>
      </c>
      <c r="N152" s="147"/>
    </row>
    <row r="153" ht="22.5" customHeight="1">
      <c r="A153" s="299" t="s">
        <v>637</v>
      </c>
      <c r="B153" s="313" t="s">
        <v>6592</v>
      </c>
      <c r="C153" s="311" t="s">
        <v>34</v>
      </c>
      <c r="D153" s="392" t="s">
        <v>35</v>
      </c>
      <c r="E153" s="158" t="s">
        <v>18</v>
      </c>
      <c r="F153" s="296" t="s">
        <v>31</v>
      </c>
      <c r="G153" s="341" t="s">
        <v>20</v>
      </c>
      <c r="H153" s="301" t="s">
        <v>31</v>
      </c>
      <c r="I153" s="294" t="s">
        <v>21</v>
      </c>
      <c r="J153" s="363" t="s">
        <v>19</v>
      </c>
      <c r="K153" s="294" t="s">
        <v>22</v>
      </c>
      <c r="L153" s="396" t="s">
        <v>19</v>
      </c>
      <c r="M153" s="486" t="s">
        <v>31</v>
      </c>
      <c r="N153" s="155"/>
    </row>
    <row r="154" ht="22.5" customHeight="1">
      <c r="A154" s="379" t="s">
        <v>637</v>
      </c>
      <c r="B154" s="420" t="s">
        <v>6593</v>
      </c>
      <c r="C154" s="383" t="s">
        <v>16</v>
      </c>
      <c r="D154" s="371" t="s">
        <v>17</v>
      </c>
      <c r="E154" s="420" t="s">
        <v>18</v>
      </c>
      <c r="F154" s="395" t="s">
        <v>19</v>
      </c>
      <c r="G154" s="344" t="s">
        <v>20</v>
      </c>
      <c r="H154" s="288" t="s">
        <v>19</v>
      </c>
      <c r="I154" s="289" t="s">
        <v>21</v>
      </c>
      <c r="J154" s="290" t="s">
        <v>19</v>
      </c>
      <c r="K154" s="289" t="s">
        <v>22</v>
      </c>
      <c r="L154" s="395" t="s">
        <v>19</v>
      </c>
      <c r="M154" s="487" t="s">
        <v>19</v>
      </c>
      <c r="N154" s="147"/>
    </row>
    <row r="155" ht="22.5" customHeight="1">
      <c r="A155" s="299" t="s">
        <v>637</v>
      </c>
      <c r="B155" s="313" t="s">
        <v>6594</v>
      </c>
      <c r="C155" s="363" t="s">
        <v>16</v>
      </c>
      <c r="D155" s="267" t="s">
        <v>17</v>
      </c>
      <c r="E155" s="158" t="s">
        <v>18</v>
      </c>
      <c r="F155" s="307" t="s">
        <v>19</v>
      </c>
      <c r="G155" s="341" t="s">
        <v>20</v>
      </c>
      <c r="H155" s="306" t="s">
        <v>19</v>
      </c>
      <c r="I155" s="294" t="s">
        <v>21</v>
      </c>
      <c r="J155" s="396" t="s">
        <v>19</v>
      </c>
      <c r="K155" s="294" t="s">
        <v>22</v>
      </c>
      <c r="L155" s="396" t="s">
        <v>19</v>
      </c>
      <c r="M155" s="492" t="s">
        <v>19</v>
      </c>
      <c r="N155" s="155"/>
    </row>
    <row r="156" ht="22.5" customHeight="1">
      <c r="A156" s="379" t="s">
        <v>637</v>
      </c>
      <c r="B156" s="420" t="s">
        <v>6595</v>
      </c>
      <c r="C156" s="382" t="s">
        <v>34</v>
      </c>
      <c r="D156" s="372" t="s">
        <v>49</v>
      </c>
      <c r="E156" s="420" t="s">
        <v>18</v>
      </c>
      <c r="F156" s="512" t="s">
        <v>50</v>
      </c>
      <c r="G156" s="344" t="s">
        <v>20</v>
      </c>
      <c r="H156" s="385" t="s">
        <v>50</v>
      </c>
      <c r="I156" s="289" t="s">
        <v>21</v>
      </c>
      <c r="J156" s="304" t="s">
        <v>31</v>
      </c>
      <c r="K156" s="289" t="s">
        <v>22</v>
      </c>
      <c r="L156" s="395" t="s">
        <v>19</v>
      </c>
      <c r="M156" s="493" t="s">
        <v>5279</v>
      </c>
      <c r="N156" s="147"/>
    </row>
    <row r="157" ht="22.5" customHeight="1">
      <c r="A157" s="305" t="s">
        <v>6596</v>
      </c>
      <c r="B157" s="313" t="s">
        <v>6597</v>
      </c>
      <c r="C157" s="363" t="s">
        <v>16</v>
      </c>
      <c r="D157" s="267" t="s">
        <v>17</v>
      </c>
      <c r="E157" s="158" t="s">
        <v>18</v>
      </c>
      <c r="F157" s="306" t="s">
        <v>19</v>
      </c>
      <c r="G157" s="341" t="s">
        <v>20</v>
      </c>
      <c r="H157" s="363" t="s">
        <v>19</v>
      </c>
      <c r="I157" s="294" t="s">
        <v>21</v>
      </c>
      <c r="J157" s="363" t="s">
        <v>19</v>
      </c>
      <c r="K157" s="294" t="s">
        <v>22</v>
      </c>
      <c r="L157" s="396" t="s">
        <v>19</v>
      </c>
      <c r="M157" s="492" t="s">
        <v>19</v>
      </c>
      <c r="N157" s="155"/>
    </row>
    <row r="158" ht="22.5" customHeight="1">
      <c r="A158" s="379" t="s">
        <v>637</v>
      </c>
      <c r="B158" s="420" t="s">
        <v>6598</v>
      </c>
      <c r="C158" s="383" t="s">
        <v>16</v>
      </c>
      <c r="D158" s="371" t="s">
        <v>17</v>
      </c>
      <c r="E158" s="420" t="s">
        <v>18</v>
      </c>
      <c r="F158" s="395" t="s">
        <v>19</v>
      </c>
      <c r="G158" s="344" t="s">
        <v>20</v>
      </c>
      <c r="H158" s="383" t="s">
        <v>19</v>
      </c>
      <c r="I158" s="289" t="s">
        <v>21</v>
      </c>
      <c r="J158" s="288" t="s">
        <v>19</v>
      </c>
      <c r="K158" s="289" t="s">
        <v>22</v>
      </c>
      <c r="L158" s="395" t="s">
        <v>19</v>
      </c>
      <c r="M158" s="487" t="s">
        <v>19</v>
      </c>
      <c r="N158" s="147"/>
    </row>
    <row r="159" ht="22.5" customHeight="1">
      <c r="A159" s="299" t="s">
        <v>637</v>
      </c>
      <c r="B159" s="313" t="s">
        <v>6599</v>
      </c>
      <c r="C159" s="363" t="s">
        <v>16</v>
      </c>
      <c r="D159" s="267" t="s">
        <v>17</v>
      </c>
      <c r="E159" s="158" t="s">
        <v>18</v>
      </c>
      <c r="F159" s="307" t="s">
        <v>19</v>
      </c>
      <c r="G159" s="341" t="s">
        <v>20</v>
      </c>
      <c r="H159" s="511" t="s">
        <v>19</v>
      </c>
      <c r="I159" s="294" t="s">
        <v>21</v>
      </c>
      <c r="J159" s="363" t="s">
        <v>19</v>
      </c>
      <c r="K159" s="294" t="s">
        <v>22</v>
      </c>
      <c r="L159" s="396" t="s">
        <v>19</v>
      </c>
      <c r="M159" s="492" t="s">
        <v>19</v>
      </c>
      <c r="N159" s="155"/>
    </row>
    <row r="160" ht="22.5" customHeight="1">
      <c r="A160" s="379" t="s">
        <v>637</v>
      </c>
      <c r="B160" s="420" t="s">
        <v>6600</v>
      </c>
      <c r="C160" s="382" t="s">
        <v>34</v>
      </c>
      <c r="D160" s="370" t="s">
        <v>40</v>
      </c>
      <c r="E160" s="420" t="s">
        <v>18</v>
      </c>
      <c r="F160" s="383" t="s">
        <v>19</v>
      </c>
      <c r="G160" s="344" t="s">
        <v>20</v>
      </c>
      <c r="H160" s="383" t="s">
        <v>19</v>
      </c>
      <c r="I160" s="289" t="s">
        <v>21</v>
      </c>
      <c r="J160" s="297" t="s">
        <v>31</v>
      </c>
      <c r="K160" s="289" t="s">
        <v>22</v>
      </c>
      <c r="L160" s="395" t="s">
        <v>19</v>
      </c>
      <c r="M160" s="491" t="s">
        <v>31</v>
      </c>
      <c r="N160" s="147"/>
    </row>
    <row r="161" ht="22.5" customHeight="1">
      <c r="A161" s="513" t="s">
        <v>6601</v>
      </c>
      <c r="B161" s="514" t="s">
        <v>6602</v>
      </c>
      <c r="C161" s="515" t="s">
        <v>34</v>
      </c>
      <c r="D161" s="516" t="s">
        <v>40</v>
      </c>
      <c r="E161" s="158" t="s">
        <v>18</v>
      </c>
      <c r="F161" s="517" t="s">
        <v>19</v>
      </c>
      <c r="G161" s="341" t="s">
        <v>20</v>
      </c>
      <c r="H161" s="311" t="s">
        <v>31</v>
      </c>
      <c r="I161" s="294" t="s">
        <v>21</v>
      </c>
      <c r="J161" s="363" t="s">
        <v>19</v>
      </c>
      <c r="K161" s="294" t="s">
        <v>22</v>
      </c>
      <c r="L161" s="517" t="s">
        <v>19</v>
      </c>
      <c r="M161" s="492" t="s">
        <v>19</v>
      </c>
      <c r="N161" s="155"/>
    </row>
    <row r="162" ht="22.5" customHeight="1">
      <c r="A162" s="379" t="s">
        <v>6603</v>
      </c>
      <c r="B162" s="420" t="s">
        <v>6604</v>
      </c>
      <c r="C162" s="382" t="s">
        <v>34</v>
      </c>
      <c r="D162" s="370" t="s">
        <v>40</v>
      </c>
      <c r="E162" s="420" t="s">
        <v>18</v>
      </c>
      <c r="F162" s="383" t="s">
        <v>19</v>
      </c>
      <c r="G162" s="344" t="s">
        <v>20</v>
      </c>
      <c r="H162" s="383" t="s">
        <v>19</v>
      </c>
      <c r="I162" s="289" t="s">
        <v>21</v>
      </c>
      <c r="J162" s="297" t="s">
        <v>31</v>
      </c>
      <c r="K162" s="289" t="s">
        <v>22</v>
      </c>
      <c r="L162" s="395" t="s">
        <v>19</v>
      </c>
      <c r="M162" s="487" t="s">
        <v>19</v>
      </c>
      <c r="N162" s="147"/>
    </row>
    <row r="163" ht="22.5" customHeight="1">
      <c r="A163" s="299" t="s">
        <v>6605</v>
      </c>
      <c r="B163" s="313" t="s">
        <v>6606</v>
      </c>
      <c r="C163" s="311" t="s">
        <v>34</v>
      </c>
      <c r="D163" s="267" t="s">
        <v>17</v>
      </c>
      <c r="E163" s="158" t="s">
        <v>18</v>
      </c>
      <c r="F163" s="396" t="s">
        <v>19</v>
      </c>
      <c r="G163" s="341" t="s">
        <v>20</v>
      </c>
      <c r="H163" s="306" t="s">
        <v>19</v>
      </c>
      <c r="I163" s="294" t="s">
        <v>21</v>
      </c>
      <c r="J163" s="363" t="s">
        <v>19</v>
      </c>
      <c r="K163" s="294" t="s">
        <v>22</v>
      </c>
      <c r="L163" s="396" t="s">
        <v>19</v>
      </c>
      <c r="M163" s="486" t="s">
        <v>31</v>
      </c>
      <c r="N163" s="155"/>
    </row>
    <row r="164" ht="22.5" customHeight="1">
      <c r="A164" s="379" t="s">
        <v>637</v>
      </c>
      <c r="B164" s="518" t="s">
        <v>6607</v>
      </c>
      <c r="C164" s="382" t="s">
        <v>34</v>
      </c>
      <c r="D164" s="372" t="s">
        <v>49</v>
      </c>
      <c r="E164" s="420" t="s">
        <v>18</v>
      </c>
      <c r="F164" s="395" t="s">
        <v>19</v>
      </c>
      <c r="G164" s="344" t="s">
        <v>20</v>
      </c>
      <c r="H164" s="382" t="s">
        <v>31</v>
      </c>
      <c r="I164" s="289" t="s">
        <v>21</v>
      </c>
      <c r="J164" s="297" t="s">
        <v>31</v>
      </c>
      <c r="K164" s="289" t="s">
        <v>22</v>
      </c>
      <c r="L164" s="395" t="s">
        <v>19</v>
      </c>
      <c r="M164" s="491" t="s">
        <v>31</v>
      </c>
      <c r="N164" s="147"/>
    </row>
    <row r="165" ht="22.5" customHeight="1">
      <c r="A165" s="299" t="s">
        <v>637</v>
      </c>
      <c r="B165" s="313" t="s">
        <v>6608</v>
      </c>
      <c r="C165" s="311" t="s">
        <v>34</v>
      </c>
      <c r="D165" s="265" t="s">
        <v>40</v>
      </c>
      <c r="E165" s="158" t="s">
        <v>18</v>
      </c>
      <c r="F165" s="363" t="s">
        <v>19</v>
      </c>
      <c r="G165" s="341" t="s">
        <v>20</v>
      </c>
      <c r="H165" s="306" t="s">
        <v>19</v>
      </c>
      <c r="I165" s="294" t="s">
        <v>21</v>
      </c>
      <c r="J165" s="311" t="s">
        <v>31</v>
      </c>
      <c r="K165" s="294" t="s">
        <v>22</v>
      </c>
      <c r="L165" s="403" t="s">
        <v>31</v>
      </c>
      <c r="M165" s="492" t="s">
        <v>19</v>
      </c>
      <c r="N165" s="155"/>
    </row>
    <row r="166" ht="22.5" customHeight="1">
      <c r="A166" s="379" t="s">
        <v>637</v>
      </c>
      <c r="B166" s="420" t="s">
        <v>6609</v>
      </c>
      <c r="C166" s="383" t="s">
        <v>16</v>
      </c>
      <c r="D166" s="371" t="s">
        <v>17</v>
      </c>
      <c r="E166" s="420" t="s">
        <v>18</v>
      </c>
      <c r="F166" s="395" t="s">
        <v>19</v>
      </c>
      <c r="G166" s="344" t="s">
        <v>20</v>
      </c>
      <c r="H166" s="383" t="s">
        <v>19</v>
      </c>
      <c r="I166" s="321" t="s">
        <v>21</v>
      </c>
      <c r="J166" s="383" t="s">
        <v>19</v>
      </c>
      <c r="K166" s="321" t="s">
        <v>22</v>
      </c>
      <c r="L166" s="395" t="s">
        <v>19</v>
      </c>
      <c r="M166" s="487" t="s">
        <v>19</v>
      </c>
      <c r="N166" s="147"/>
    </row>
    <row r="167" ht="22.5" customHeight="1">
      <c r="A167" s="299" t="s">
        <v>6610</v>
      </c>
      <c r="B167" s="313" t="s">
        <v>6611</v>
      </c>
      <c r="C167" s="363" t="s">
        <v>16</v>
      </c>
      <c r="D167" s="267" t="s">
        <v>17</v>
      </c>
      <c r="E167" s="158" t="s">
        <v>18</v>
      </c>
      <c r="F167" s="396" t="s">
        <v>19</v>
      </c>
      <c r="G167" s="341" t="s">
        <v>20</v>
      </c>
      <c r="H167" s="363" t="s">
        <v>19</v>
      </c>
      <c r="I167" s="294" t="s">
        <v>21</v>
      </c>
      <c r="J167" s="363" t="s">
        <v>19</v>
      </c>
      <c r="K167" s="294" t="s">
        <v>22</v>
      </c>
      <c r="L167" s="396" t="s">
        <v>19</v>
      </c>
      <c r="M167" s="492" t="s">
        <v>19</v>
      </c>
      <c r="N167" s="155"/>
    </row>
    <row r="168" ht="22.5" customHeight="1">
      <c r="A168" s="379" t="s">
        <v>637</v>
      </c>
      <c r="B168" s="420" t="s">
        <v>6612</v>
      </c>
      <c r="C168" s="383" t="s">
        <v>16</v>
      </c>
      <c r="D168" s="371" t="s">
        <v>17</v>
      </c>
      <c r="E168" s="420" t="s">
        <v>18</v>
      </c>
      <c r="F168" s="383" t="s">
        <v>19</v>
      </c>
      <c r="G168" s="344" t="s">
        <v>20</v>
      </c>
      <c r="H168" s="383" t="s">
        <v>19</v>
      </c>
      <c r="I168" s="321" t="s">
        <v>21</v>
      </c>
      <c r="J168" s="383" t="s">
        <v>19</v>
      </c>
      <c r="K168" s="321" t="s">
        <v>22</v>
      </c>
      <c r="L168" s="290" t="s">
        <v>19</v>
      </c>
      <c r="M168" s="487" t="s">
        <v>19</v>
      </c>
      <c r="N168" s="147"/>
    </row>
    <row r="169" ht="22.5" customHeight="1">
      <c r="A169" s="448"/>
      <c r="B169" s="195" t="s">
        <v>6613</v>
      </c>
      <c r="C169" s="311" t="s">
        <v>34</v>
      </c>
      <c r="D169" s="265" t="s">
        <v>40</v>
      </c>
      <c r="E169" s="158" t="s">
        <v>18</v>
      </c>
      <c r="F169" s="199" t="s">
        <v>26</v>
      </c>
      <c r="G169" s="341" t="s">
        <v>20</v>
      </c>
      <c r="H169" s="363" t="s">
        <v>19</v>
      </c>
      <c r="I169" s="294" t="s">
        <v>21</v>
      </c>
      <c r="J169" s="363" t="s">
        <v>19</v>
      </c>
      <c r="K169" s="294" t="s">
        <v>22</v>
      </c>
      <c r="L169" s="396" t="s">
        <v>19</v>
      </c>
      <c r="M169" s="492" t="s">
        <v>19</v>
      </c>
      <c r="N169" s="155"/>
    </row>
    <row r="170" ht="22.5" customHeight="1">
      <c r="A170" s="379" t="s">
        <v>637</v>
      </c>
      <c r="B170" s="420" t="s">
        <v>6614</v>
      </c>
      <c r="C170" s="382" t="s">
        <v>34</v>
      </c>
      <c r="D170" s="370" t="s">
        <v>40</v>
      </c>
      <c r="E170" s="420" t="s">
        <v>18</v>
      </c>
      <c r="F170" s="383" t="s">
        <v>19</v>
      </c>
      <c r="G170" s="344" t="s">
        <v>20</v>
      </c>
      <c r="H170" s="383" t="s">
        <v>19</v>
      </c>
      <c r="I170" s="321" t="s">
        <v>21</v>
      </c>
      <c r="J170" s="383" t="s">
        <v>19</v>
      </c>
      <c r="K170" s="321" t="s">
        <v>22</v>
      </c>
      <c r="L170" s="393" t="s">
        <v>31</v>
      </c>
      <c r="M170" s="487" t="s">
        <v>19</v>
      </c>
      <c r="N170" s="147"/>
    </row>
    <row r="171" ht="22.5" customHeight="1">
      <c r="A171" s="299" t="s">
        <v>637</v>
      </c>
      <c r="B171" s="313" t="s">
        <v>6615</v>
      </c>
      <c r="C171" s="363" t="s">
        <v>16</v>
      </c>
      <c r="D171" s="192" t="s">
        <v>49</v>
      </c>
      <c r="E171" s="158" t="s">
        <v>18</v>
      </c>
      <c r="F171" s="396" t="s">
        <v>19</v>
      </c>
      <c r="G171" s="341" t="s">
        <v>20</v>
      </c>
      <c r="H171" s="392" t="s">
        <v>50</v>
      </c>
      <c r="I171" s="294" t="s">
        <v>21</v>
      </c>
      <c r="J171" s="495" t="s">
        <v>50</v>
      </c>
      <c r="K171" s="294" t="s">
        <v>22</v>
      </c>
      <c r="L171" s="396" t="s">
        <v>19</v>
      </c>
      <c r="M171" s="519" t="s">
        <v>5279</v>
      </c>
      <c r="N171" s="155"/>
    </row>
    <row r="172" ht="22.5" customHeight="1">
      <c r="A172" s="379" t="s">
        <v>637</v>
      </c>
      <c r="B172" s="420" t="s">
        <v>6616</v>
      </c>
      <c r="C172" s="383" t="s">
        <v>16</v>
      </c>
      <c r="D172" s="371" t="s">
        <v>17</v>
      </c>
      <c r="E172" s="420" t="s">
        <v>18</v>
      </c>
      <c r="F172" s="395" t="s">
        <v>19</v>
      </c>
      <c r="G172" s="344" t="s">
        <v>20</v>
      </c>
      <c r="H172" s="383" t="s">
        <v>19</v>
      </c>
      <c r="I172" s="321" t="s">
        <v>21</v>
      </c>
      <c r="J172" s="383" t="s">
        <v>19</v>
      </c>
      <c r="K172" s="321" t="s">
        <v>22</v>
      </c>
      <c r="L172" s="395" t="s">
        <v>19</v>
      </c>
      <c r="M172" s="487" t="s">
        <v>19</v>
      </c>
      <c r="N172" s="147"/>
    </row>
    <row r="173" ht="22.5" customHeight="1">
      <c r="A173" s="299" t="s">
        <v>637</v>
      </c>
      <c r="B173" s="313" t="s">
        <v>6617</v>
      </c>
      <c r="C173" s="363" t="s">
        <v>16</v>
      </c>
      <c r="D173" s="267" t="s">
        <v>17</v>
      </c>
      <c r="E173" s="158" t="s">
        <v>18</v>
      </c>
      <c r="F173" s="363" t="s">
        <v>19</v>
      </c>
      <c r="G173" s="341" t="s">
        <v>20</v>
      </c>
      <c r="H173" s="363" t="s">
        <v>19</v>
      </c>
      <c r="I173" s="294" t="s">
        <v>21</v>
      </c>
      <c r="J173" s="363" t="s">
        <v>19</v>
      </c>
      <c r="K173" s="294" t="s">
        <v>22</v>
      </c>
      <c r="L173" s="396" t="s">
        <v>19</v>
      </c>
      <c r="M173" s="492" t="s">
        <v>19</v>
      </c>
      <c r="N173" s="155"/>
    </row>
    <row r="174" ht="22.5" customHeight="1">
      <c r="A174" s="379" t="s">
        <v>637</v>
      </c>
      <c r="B174" s="420" t="s">
        <v>6618</v>
      </c>
      <c r="C174" s="382" t="s">
        <v>34</v>
      </c>
      <c r="D174" s="372" t="s">
        <v>49</v>
      </c>
      <c r="E174" s="420" t="s">
        <v>18</v>
      </c>
      <c r="F174" s="383" t="s">
        <v>19</v>
      </c>
      <c r="G174" s="344" t="s">
        <v>20</v>
      </c>
      <c r="H174" s="385" t="s">
        <v>50</v>
      </c>
      <c r="I174" s="321" t="s">
        <v>21</v>
      </c>
      <c r="J174" s="382" t="s">
        <v>31</v>
      </c>
      <c r="K174" s="321" t="s">
        <v>22</v>
      </c>
      <c r="L174" s="512" t="s">
        <v>50</v>
      </c>
      <c r="M174" s="494" t="s">
        <v>50</v>
      </c>
      <c r="N174" s="147"/>
    </row>
    <row r="175" ht="22.5" customHeight="1">
      <c r="A175" s="299" t="s">
        <v>637</v>
      </c>
      <c r="B175" s="436" t="s">
        <v>6619</v>
      </c>
      <c r="C175" s="311" t="s">
        <v>34</v>
      </c>
      <c r="D175" s="520" t="s">
        <v>49</v>
      </c>
      <c r="E175" s="158" t="s">
        <v>18</v>
      </c>
      <c r="F175" s="363" t="s">
        <v>19</v>
      </c>
      <c r="G175" s="341" t="s">
        <v>20</v>
      </c>
      <c r="H175" s="311" t="s">
        <v>31</v>
      </c>
      <c r="I175" s="294" t="s">
        <v>21</v>
      </c>
      <c r="J175" s="437" t="s">
        <v>31</v>
      </c>
      <c r="K175" s="294" t="s">
        <v>22</v>
      </c>
      <c r="L175" s="495" t="s">
        <v>50</v>
      </c>
      <c r="M175" s="488" t="s">
        <v>50</v>
      </c>
      <c r="N175" s="155"/>
    </row>
    <row r="176" ht="22.5" customHeight="1">
      <c r="A176" s="379" t="s">
        <v>637</v>
      </c>
      <c r="B176" s="420" t="s">
        <v>6620</v>
      </c>
      <c r="C176" s="382" t="s">
        <v>34</v>
      </c>
      <c r="D176" s="372" t="s">
        <v>49</v>
      </c>
      <c r="E176" s="420" t="s">
        <v>18</v>
      </c>
      <c r="F176" s="382" t="s">
        <v>31</v>
      </c>
      <c r="G176" s="344" t="s">
        <v>20</v>
      </c>
      <c r="H176" s="383" t="s">
        <v>19</v>
      </c>
      <c r="I176" s="321" t="s">
        <v>21</v>
      </c>
      <c r="J176" s="385" t="s">
        <v>50</v>
      </c>
      <c r="K176" s="321" t="s">
        <v>22</v>
      </c>
      <c r="L176" s="512" t="s">
        <v>50</v>
      </c>
      <c r="M176" s="494" t="s">
        <v>50</v>
      </c>
      <c r="N176" s="147"/>
    </row>
    <row r="177" ht="22.5" customHeight="1">
      <c r="A177" s="327" t="s">
        <v>6621</v>
      </c>
      <c r="B177" s="476" t="s">
        <v>6622</v>
      </c>
      <c r="C177" s="311" t="s">
        <v>34</v>
      </c>
      <c r="D177" s="521" t="s">
        <v>25</v>
      </c>
      <c r="E177" s="158" t="s">
        <v>18</v>
      </c>
      <c r="F177" s="311" t="s">
        <v>31</v>
      </c>
      <c r="G177" s="341" t="s">
        <v>20</v>
      </c>
      <c r="H177" s="311" t="s">
        <v>31</v>
      </c>
      <c r="I177" s="294" t="s">
        <v>21</v>
      </c>
      <c r="J177" s="199" t="s">
        <v>26</v>
      </c>
      <c r="K177" s="294" t="s">
        <v>22</v>
      </c>
      <c r="L177" s="312" t="s">
        <v>5279</v>
      </c>
      <c r="M177" s="492" t="s">
        <v>19</v>
      </c>
      <c r="N177" s="155"/>
    </row>
    <row r="178" ht="22.5" customHeight="1">
      <c r="A178" s="379" t="s">
        <v>637</v>
      </c>
      <c r="B178" s="420" t="s">
        <v>6623</v>
      </c>
      <c r="C178" s="382" t="s">
        <v>34</v>
      </c>
      <c r="D178" s="522" t="s">
        <v>30</v>
      </c>
      <c r="E178" s="420" t="s">
        <v>18</v>
      </c>
      <c r="F178" s="383" t="s">
        <v>19</v>
      </c>
      <c r="G178" s="344" t="s">
        <v>20</v>
      </c>
      <c r="H178" s="383" t="s">
        <v>19</v>
      </c>
      <c r="I178" s="321" t="s">
        <v>21</v>
      </c>
      <c r="J178" s="383" t="s">
        <v>19</v>
      </c>
      <c r="K178" s="321" t="s">
        <v>22</v>
      </c>
      <c r="L178" s="290" t="s">
        <v>19</v>
      </c>
      <c r="M178" s="487" t="s">
        <v>19</v>
      </c>
      <c r="N178" s="147"/>
    </row>
    <row r="179" ht="22.5" customHeight="1">
      <c r="A179" s="299" t="s">
        <v>637</v>
      </c>
      <c r="B179" s="313" t="s">
        <v>6624</v>
      </c>
      <c r="C179" s="363" t="s">
        <v>16</v>
      </c>
      <c r="D179" s="267" t="s">
        <v>17</v>
      </c>
      <c r="E179" s="158" t="s">
        <v>18</v>
      </c>
      <c r="F179" s="363" t="s">
        <v>19</v>
      </c>
      <c r="G179" s="341" t="s">
        <v>20</v>
      </c>
      <c r="H179" s="363" t="s">
        <v>19</v>
      </c>
      <c r="I179" s="294" t="s">
        <v>21</v>
      </c>
      <c r="J179" s="363" t="s">
        <v>19</v>
      </c>
      <c r="K179" s="294" t="s">
        <v>22</v>
      </c>
      <c r="L179" s="396" t="s">
        <v>19</v>
      </c>
      <c r="M179" s="492" t="s">
        <v>19</v>
      </c>
      <c r="N179" s="155"/>
    </row>
    <row r="180" ht="22.5" customHeight="1">
      <c r="A180" s="463" t="s">
        <v>6625</v>
      </c>
      <c r="B180" s="420" t="s">
        <v>6626</v>
      </c>
      <c r="C180" s="382" t="s">
        <v>34</v>
      </c>
      <c r="D180" s="372" t="s">
        <v>49</v>
      </c>
      <c r="E180" s="420" t="s">
        <v>18</v>
      </c>
      <c r="F180" s="383" t="s">
        <v>19</v>
      </c>
      <c r="G180" s="344" t="s">
        <v>20</v>
      </c>
      <c r="H180" s="383" t="s">
        <v>19</v>
      </c>
      <c r="I180" s="321" t="s">
        <v>21</v>
      </c>
      <c r="J180" s="383" t="s">
        <v>19</v>
      </c>
      <c r="K180" s="321" t="s">
        <v>22</v>
      </c>
      <c r="L180" s="290" t="s">
        <v>19</v>
      </c>
      <c r="M180" s="487" t="s">
        <v>19</v>
      </c>
      <c r="N180" s="147"/>
    </row>
    <row r="181" ht="22.5" customHeight="1">
      <c r="A181" s="299" t="s">
        <v>6627</v>
      </c>
      <c r="B181" s="313" t="s">
        <v>6628</v>
      </c>
      <c r="C181" s="311" t="s">
        <v>34</v>
      </c>
      <c r="D181" s="192" t="s">
        <v>49</v>
      </c>
      <c r="E181" s="158" t="s">
        <v>18</v>
      </c>
      <c r="F181" s="392" t="s">
        <v>50</v>
      </c>
      <c r="G181" s="341" t="s">
        <v>20</v>
      </c>
      <c r="H181" s="392" t="s">
        <v>50</v>
      </c>
      <c r="I181" s="294" t="s">
        <v>21</v>
      </c>
      <c r="J181" s="392" t="s">
        <v>50</v>
      </c>
      <c r="K181" s="294" t="s">
        <v>22</v>
      </c>
      <c r="L181" s="495" t="s">
        <v>50</v>
      </c>
      <c r="M181" s="486" t="s">
        <v>31</v>
      </c>
      <c r="N181" s="155"/>
    </row>
    <row r="182" ht="22.5" customHeight="1">
      <c r="A182" s="430"/>
      <c r="B182" s="420" t="s">
        <v>6629</v>
      </c>
      <c r="C182" s="383" t="s">
        <v>16</v>
      </c>
      <c r="D182" s="371" t="s">
        <v>17</v>
      </c>
      <c r="E182" s="420" t="s">
        <v>18</v>
      </c>
      <c r="F182" s="383" t="s">
        <v>19</v>
      </c>
      <c r="G182" s="344" t="s">
        <v>20</v>
      </c>
      <c r="H182" s="383" t="s">
        <v>19</v>
      </c>
      <c r="I182" s="321" t="s">
        <v>21</v>
      </c>
      <c r="J182" s="383" t="s">
        <v>19</v>
      </c>
      <c r="K182" s="321" t="s">
        <v>22</v>
      </c>
      <c r="L182" s="395" t="s">
        <v>19</v>
      </c>
      <c r="M182" s="487" t="s">
        <v>19</v>
      </c>
      <c r="N182" s="147"/>
    </row>
    <row r="183" ht="22.5" customHeight="1">
      <c r="A183" s="299" t="s">
        <v>637</v>
      </c>
      <c r="B183" s="313" t="s">
        <v>6630</v>
      </c>
      <c r="C183" s="311" t="s">
        <v>34</v>
      </c>
      <c r="D183" s="521" t="s">
        <v>25</v>
      </c>
      <c r="E183" s="158" t="s">
        <v>18</v>
      </c>
      <c r="F183" s="363" t="s">
        <v>19</v>
      </c>
      <c r="G183" s="341" t="s">
        <v>20</v>
      </c>
      <c r="H183" s="311" t="s">
        <v>31</v>
      </c>
      <c r="I183" s="294" t="s">
        <v>21</v>
      </c>
      <c r="J183" s="363" t="s">
        <v>19</v>
      </c>
      <c r="K183" s="294" t="s">
        <v>22</v>
      </c>
      <c r="L183" s="403" t="s">
        <v>31</v>
      </c>
      <c r="M183" s="492" t="s">
        <v>19</v>
      </c>
      <c r="N183" s="155"/>
    </row>
    <row r="184" ht="22.5" customHeight="1">
      <c r="A184" s="379" t="s">
        <v>637</v>
      </c>
      <c r="B184" s="420" t="s">
        <v>6631</v>
      </c>
      <c r="C184" s="382" t="s">
        <v>34</v>
      </c>
      <c r="D184" s="372" t="s">
        <v>49</v>
      </c>
      <c r="E184" s="420" t="s">
        <v>18</v>
      </c>
      <c r="F184" s="383" t="s">
        <v>19</v>
      </c>
      <c r="G184" s="344" t="s">
        <v>20</v>
      </c>
      <c r="H184" s="385" t="s">
        <v>50</v>
      </c>
      <c r="I184" s="321" t="s">
        <v>21</v>
      </c>
      <c r="J184" s="385" t="s">
        <v>50</v>
      </c>
      <c r="K184" s="321" t="s">
        <v>22</v>
      </c>
      <c r="L184" s="512" t="s">
        <v>50</v>
      </c>
      <c r="M184" s="491" t="s">
        <v>31</v>
      </c>
      <c r="N184" s="147"/>
    </row>
    <row r="185" ht="22.5" customHeight="1">
      <c r="A185" s="299" t="s">
        <v>306</v>
      </c>
      <c r="B185" s="313" t="s">
        <v>6632</v>
      </c>
      <c r="C185" s="311" t="s">
        <v>34</v>
      </c>
      <c r="D185" s="392" t="s">
        <v>35</v>
      </c>
      <c r="E185" s="158" t="s">
        <v>18</v>
      </c>
      <c r="F185" s="311" t="s">
        <v>31</v>
      </c>
      <c r="G185" s="341" t="s">
        <v>20</v>
      </c>
      <c r="H185" s="311" t="s">
        <v>31</v>
      </c>
      <c r="I185" s="294" t="s">
        <v>21</v>
      </c>
      <c r="J185" s="311" t="s">
        <v>31</v>
      </c>
      <c r="K185" s="294" t="s">
        <v>22</v>
      </c>
      <c r="L185" s="403" t="s">
        <v>31</v>
      </c>
      <c r="M185" s="486" t="s">
        <v>31</v>
      </c>
      <c r="N185" s="155"/>
    </row>
    <row r="186" ht="22.5" customHeight="1">
      <c r="A186" s="379" t="s">
        <v>6633</v>
      </c>
      <c r="B186" s="420" t="s">
        <v>6634</v>
      </c>
      <c r="C186" s="383" t="s">
        <v>16</v>
      </c>
      <c r="D186" s="383" t="s">
        <v>813</v>
      </c>
      <c r="E186" s="420" t="s">
        <v>18</v>
      </c>
      <c r="F186" s="384" t="s">
        <v>640</v>
      </c>
      <c r="G186" s="344" t="s">
        <v>20</v>
      </c>
      <c r="H186" s="384" t="s">
        <v>5279</v>
      </c>
      <c r="I186" s="321" t="s">
        <v>21</v>
      </c>
      <c r="J186" s="384" t="s">
        <v>5279</v>
      </c>
      <c r="K186" s="321" t="s">
        <v>22</v>
      </c>
      <c r="L186" s="401" t="s">
        <v>5279</v>
      </c>
      <c r="M186" s="493" t="s">
        <v>5279</v>
      </c>
      <c r="N186" s="147"/>
    </row>
    <row r="187" ht="22.5" customHeight="1">
      <c r="A187" s="448"/>
      <c r="B187" s="313" t="s">
        <v>6635</v>
      </c>
      <c r="C187" s="363" t="s">
        <v>16</v>
      </c>
      <c r="D187" s="267" t="s">
        <v>17</v>
      </c>
      <c r="E187" s="158" t="s">
        <v>18</v>
      </c>
      <c r="F187" s="363" t="s">
        <v>19</v>
      </c>
      <c r="G187" s="341" t="s">
        <v>20</v>
      </c>
      <c r="H187" s="363" t="s">
        <v>19</v>
      </c>
      <c r="I187" s="294" t="s">
        <v>21</v>
      </c>
      <c r="J187" s="363" t="s">
        <v>19</v>
      </c>
      <c r="K187" s="294" t="s">
        <v>22</v>
      </c>
      <c r="L187" s="396" t="s">
        <v>19</v>
      </c>
      <c r="M187" s="492" t="s">
        <v>19</v>
      </c>
      <c r="N187" s="155"/>
    </row>
    <row r="188" ht="22.5" customHeight="1">
      <c r="A188" s="379" t="s">
        <v>637</v>
      </c>
      <c r="B188" s="420" t="s">
        <v>6636</v>
      </c>
      <c r="C188" s="382" t="s">
        <v>34</v>
      </c>
      <c r="D188" s="370" t="s">
        <v>40</v>
      </c>
      <c r="E188" s="420" t="s">
        <v>18</v>
      </c>
      <c r="F188" s="382" t="s">
        <v>31</v>
      </c>
      <c r="G188" s="344" t="s">
        <v>20</v>
      </c>
      <c r="H188" s="383" t="s">
        <v>19</v>
      </c>
      <c r="I188" s="321" t="s">
        <v>21</v>
      </c>
      <c r="J188" s="383" t="s">
        <v>19</v>
      </c>
      <c r="K188" s="321" t="s">
        <v>22</v>
      </c>
      <c r="L188" s="395" t="s">
        <v>19</v>
      </c>
      <c r="M188" s="487" t="s">
        <v>19</v>
      </c>
      <c r="N188" s="147"/>
    </row>
    <row r="189" ht="22.5" customHeight="1">
      <c r="A189" s="299" t="s">
        <v>637</v>
      </c>
      <c r="B189" s="313" t="s">
        <v>6637</v>
      </c>
      <c r="C189" s="363" t="s">
        <v>16</v>
      </c>
      <c r="D189" s="363" t="s">
        <v>813</v>
      </c>
      <c r="E189" s="158" t="s">
        <v>18</v>
      </c>
      <c r="F189" s="227" t="s">
        <v>640</v>
      </c>
      <c r="G189" s="341" t="s">
        <v>20</v>
      </c>
      <c r="H189" s="227" t="s">
        <v>5279</v>
      </c>
      <c r="I189" s="294" t="s">
        <v>21</v>
      </c>
      <c r="J189" s="227" t="s">
        <v>5279</v>
      </c>
      <c r="K189" s="294" t="s">
        <v>22</v>
      </c>
      <c r="L189" s="312" t="s">
        <v>5279</v>
      </c>
      <c r="M189" s="519" t="s">
        <v>5279</v>
      </c>
      <c r="N189" s="155"/>
    </row>
    <row r="190" ht="22.5" customHeight="1">
      <c r="A190" s="379" t="s">
        <v>637</v>
      </c>
      <c r="B190" s="420" t="s">
        <v>6638</v>
      </c>
      <c r="C190" s="383" t="s">
        <v>16</v>
      </c>
      <c r="D190" s="371" t="s">
        <v>17</v>
      </c>
      <c r="E190" s="420" t="s">
        <v>18</v>
      </c>
      <c r="F190" s="383" t="s">
        <v>19</v>
      </c>
      <c r="G190" s="344" t="s">
        <v>20</v>
      </c>
      <c r="H190" s="383" t="s">
        <v>19</v>
      </c>
      <c r="I190" s="321" t="s">
        <v>21</v>
      </c>
      <c r="J190" s="383" t="s">
        <v>19</v>
      </c>
      <c r="K190" s="321" t="s">
        <v>22</v>
      </c>
      <c r="L190" s="395" t="s">
        <v>19</v>
      </c>
      <c r="M190" s="487" t="s">
        <v>19</v>
      </c>
      <c r="N190" s="147"/>
    </row>
    <row r="191" ht="22.5" customHeight="1">
      <c r="A191" s="299" t="s">
        <v>637</v>
      </c>
      <c r="B191" s="313" t="s">
        <v>6639</v>
      </c>
      <c r="C191" s="311" t="s">
        <v>34</v>
      </c>
      <c r="D191" s="311" t="s">
        <v>419</v>
      </c>
      <c r="E191" s="158" t="s">
        <v>18</v>
      </c>
      <c r="F191" s="363" t="s">
        <v>19</v>
      </c>
      <c r="G191" s="341" t="s">
        <v>20</v>
      </c>
      <c r="H191" s="311" t="s">
        <v>31</v>
      </c>
      <c r="I191" s="294" t="s">
        <v>21</v>
      </c>
      <c r="J191" s="363" t="s">
        <v>19</v>
      </c>
      <c r="K191" s="294" t="s">
        <v>22</v>
      </c>
      <c r="L191" s="403" t="s">
        <v>31</v>
      </c>
      <c r="M191" s="492" t="s">
        <v>19</v>
      </c>
      <c r="N191" s="155"/>
    </row>
    <row r="192" ht="22.5" customHeight="1">
      <c r="A192" s="430"/>
      <c r="B192" s="420" t="s">
        <v>6640</v>
      </c>
      <c r="C192" s="382" t="s">
        <v>34</v>
      </c>
      <c r="D192" s="370" t="s">
        <v>40</v>
      </c>
      <c r="E192" s="420" t="s">
        <v>18</v>
      </c>
      <c r="F192" s="382" t="s">
        <v>31</v>
      </c>
      <c r="G192" s="344" t="s">
        <v>20</v>
      </c>
      <c r="H192" s="383" t="s">
        <v>19</v>
      </c>
      <c r="I192" s="321" t="s">
        <v>21</v>
      </c>
      <c r="J192" s="383" t="s">
        <v>19</v>
      </c>
      <c r="K192" s="321" t="s">
        <v>22</v>
      </c>
      <c r="L192" s="395" t="s">
        <v>19</v>
      </c>
      <c r="M192" s="487" t="s">
        <v>19</v>
      </c>
      <c r="N192" s="147"/>
    </row>
    <row r="193" ht="22.5" customHeight="1">
      <c r="A193" s="299" t="s">
        <v>637</v>
      </c>
      <c r="B193" s="313" t="s">
        <v>6641</v>
      </c>
      <c r="C193" s="363" t="s">
        <v>16</v>
      </c>
      <c r="D193" s="267" t="s">
        <v>17</v>
      </c>
      <c r="E193" s="158" t="s">
        <v>18</v>
      </c>
      <c r="F193" s="363" t="s">
        <v>19</v>
      </c>
      <c r="G193" s="341" t="s">
        <v>20</v>
      </c>
      <c r="H193" s="363" t="s">
        <v>19</v>
      </c>
      <c r="I193" s="294" t="s">
        <v>21</v>
      </c>
      <c r="J193" s="363" t="s">
        <v>19</v>
      </c>
      <c r="K193" s="294" t="s">
        <v>22</v>
      </c>
      <c r="L193" s="396" t="s">
        <v>19</v>
      </c>
      <c r="M193" s="492" t="s">
        <v>19</v>
      </c>
      <c r="N193" s="155"/>
    </row>
    <row r="194" ht="22.5" customHeight="1">
      <c r="A194" s="379" t="s">
        <v>637</v>
      </c>
      <c r="B194" s="420" t="s">
        <v>6642</v>
      </c>
      <c r="C194" s="382" t="s">
        <v>34</v>
      </c>
      <c r="D194" s="372" t="s">
        <v>49</v>
      </c>
      <c r="E194" s="420" t="s">
        <v>18</v>
      </c>
      <c r="F194" s="383" t="s">
        <v>19</v>
      </c>
      <c r="G194" s="344" t="s">
        <v>20</v>
      </c>
      <c r="H194" s="383" t="s">
        <v>19</v>
      </c>
      <c r="I194" s="321" t="s">
        <v>21</v>
      </c>
      <c r="J194" s="383" t="s">
        <v>19</v>
      </c>
      <c r="K194" s="321" t="s">
        <v>22</v>
      </c>
      <c r="L194" s="395" t="s">
        <v>19</v>
      </c>
      <c r="M194" s="494" t="s">
        <v>50</v>
      </c>
      <c r="N194" s="147"/>
    </row>
    <row r="195" ht="22.5" customHeight="1">
      <c r="A195" s="299" t="s">
        <v>637</v>
      </c>
      <c r="B195" s="313" t="s">
        <v>6643</v>
      </c>
      <c r="C195" s="363" t="s">
        <v>16</v>
      </c>
      <c r="D195" s="267" t="s">
        <v>17</v>
      </c>
      <c r="E195" s="158" t="s">
        <v>18</v>
      </c>
      <c r="F195" s="363" t="s">
        <v>19</v>
      </c>
      <c r="G195" s="341" t="s">
        <v>20</v>
      </c>
      <c r="H195" s="363" t="s">
        <v>19</v>
      </c>
      <c r="I195" s="294" t="s">
        <v>21</v>
      </c>
      <c r="J195" s="363" t="s">
        <v>19</v>
      </c>
      <c r="K195" s="294" t="s">
        <v>22</v>
      </c>
      <c r="L195" s="396" t="s">
        <v>19</v>
      </c>
      <c r="M195" s="492" t="s">
        <v>19</v>
      </c>
      <c r="N195" s="155"/>
    </row>
    <row r="196" ht="22.5" customHeight="1">
      <c r="A196" s="523"/>
      <c r="B196" s="420" t="s">
        <v>6644</v>
      </c>
      <c r="C196" s="382" t="s">
        <v>34</v>
      </c>
      <c r="D196" s="370" t="s">
        <v>40</v>
      </c>
      <c r="E196" s="420" t="s">
        <v>18</v>
      </c>
      <c r="F196" s="382" t="s">
        <v>31</v>
      </c>
      <c r="G196" s="344" t="s">
        <v>20</v>
      </c>
      <c r="H196" s="383" t="s">
        <v>19</v>
      </c>
      <c r="I196" s="321" t="s">
        <v>21</v>
      </c>
      <c r="J196" s="383" t="s">
        <v>19</v>
      </c>
      <c r="K196" s="321" t="s">
        <v>22</v>
      </c>
      <c r="L196" s="395" t="s">
        <v>19</v>
      </c>
      <c r="M196" s="487" t="s">
        <v>19</v>
      </c>
      <c r="N196" s="147"/>
    </row>
    <row r="197" ht="22.5" customHeight="1">
      <c r="A197" s="299" t="s">
        <v>637</v>
      </c>
      <c r="B197" s="313" t="s">
        <v>6645</v>
      </c>
      <c r="C197" s="363" t="s">
        <v>16</v>
      </c>
      <c r="D197" s="267" t="s">
        <v>17</v>
      </c>
      <c r="E197" s="158" t="s">
        <v>18</v>
      </c>
      <c r="F197" s="363" t="s">
        <v>19</v>
      </c>
      <c r="G197" s="341" t="s">
        <v>20</v>
      </c>
      <c r="H197" s="363" t="s">
        <v>19</v>
      </c>
      <c r="I197" s="294" t="s">
        <v>21</v>
      </c>
      <c r="J197" s="363" t="s">
        <v>19</v>
      </c>
      <c r="K197" s="294" t="s">
        <v>22</v>
      </c>
      <c r="L197" s="396" t="s">
        <v>19</v>
      </c>
      <c r="M197" s="492" t="s">
        <v>19</v>
      </c>
      <c r="N197" s="155"/>
    </row>
    <row r="198" ht="22.5" customHeight="1">
      <c r="A198" s="379" t="s">
        <v>637</v>
      </c>
      <c r="B198" s="420" t="s">
        <v>6646</v>
      </c>
      <c r="C198" s="383" t="s">
        <v>16</v>
      </c>
      <c r="D198" s="371" t="s">
        <v>17</v>
      </c>
      <c r="E198" s="420" t="s">
        <v>18</v>
      </c>
      <c r="F198" s="383" t="s">
        <v>19</v>
      </c>
      <c r="G198" s="344" t="s">
        <v>20</v>
      </c>
      <c r="H198" s="383" t="s">
        <v>19</v>
      </c>
      <c r="I198" s="321" t="s">
        <v>21</v>
      </c>
      <c r="J198" s="383" t="s">
        <v>19</v>
      </c>
      <c r="K198" s="321" t="s">
        <v>22</v>
      </c>
      <c r="L198" s="290" t="s">
        <v>19</v>
      </c>
      <c r="M198" s="487" t="s">
        <v>19</v>
      </c>
      <c r="N198" s="147"/>
    </row>
    <row r="199" ht="22.5" customHeight="1">
      <c r="A199" s="448"/>
      <c r="B199" s="313" t="s">
        <v>6647</v>
      </c>
      <c r="C199" s="311" t="s">
        <v>34</v>
      </c>
      <c r="D199" s="265" t="s">
        <v>40</v>
      </c>
      <c r="E199" s="158" t="s">
        <v>18</v>
      </c>
      <c r="F199" s="311" t="s">
        <v>31</v>
      </c>
      <c r="G199" s="341" t="s">
        <v>20</v>
      </c>
      <c r="H199" s="363" t="s">
        <v>19</v>
      </c>
      <c r="I199" s="294" t="s">
        <v>21</v>
      </c>
      <c r="J199" s="363" t="s">
        <v>19</v>
      </c>
      <c r="K199" s="294" t="s">
        <v>22</v>
      </c>
      <c r="L199" s="396" t="s">
        <v>19</v>
      </c>
      <c r="M199" s="492" t="s">
        <v>19</v>
      </c>
      <c r="N199" s="155"/>
    </row>
    <row r="200" ht="22.5" customHeight="1">
      <c r="A200" s="379" t="s">
        <v>637</v>
      </c>
      <c r="B200" s="420" t="s">
        <v>6648</v>
      </c>
      <c r="C200" s="383" t="s">
        <v>16</v>
      </c>
      <c r="D200" s="371" t="s">
        <v>17</v>
      </c>
      <c r="E200" s="420" t="s">
        <v>18</v>
      </c>
      <c r="F200" s="383" t="s">
        <v>19</v>
      </c>
      <c r="G200" s="344" t="s">
        <v>20</v>
      </c>
      <c r="H200" s="383" t="s">
        <v>19</v>
      </c>
      <c r="I200" s="321" t="s">
        <v>21</v>
      </c>
      <c r="J200" s="383" t="s">
        <v>19</v>
      </c>
      <c r="K200" s="321" t="s">
        <v>22</v>
      </c>
      <c r="L200" s="395" t="s">
        <v>19</v>
      </c>
      <c r="M200" s="487" t="s">
        <v>19</v>
      </c>
      <c r="N200" s="147"/>
    </row>
    <row r="201" ht="22.5" customHeight="1">
      <c r="A201" s="448"/>
      <c r="B201" s="313" t="s">
        <v>6649</v>
      </c>
      <c r="C201" s="363" t="s">
        <v>16</v>
      </c>
      <c r="D201" s="267" t="s">
        <v>17</v>
      </c>
      <c r="E201" s="158" t="s">
        <v>18</v>
      </c>
      <c r="F201" s="363" t="s">
        <v>19</v>
      </c>
      <c r="G201" s="341" t="s">
        <v>20</v>
      </c>
      <c r="H201" s="363" t="s">
        <v>19</v>
      </c>
      <c r="I201" s="294" t="s">
        <v>21</v>
      </c>
      <c r="J201" s="363" t="s">
        <v>19</v>
      </c>
      <c r="K201" s="294" t="s">
        <v>22</v>
      </c>
      <c r="L201" s="396" t="s">
        <v>19</v>
      </c>
      <c r="M201" s="492" t="s">
        <v>19</v>
      </c>
      <c r="N201" s="155"/>
    </row>
    <row r="202" ht="22.5" customHeight="1">
      <c r="A202" s="430"/>
      <c r="B202" s="420" t="s">
        <v>6650</v>
      </c>
      <c r="C202" s="382" t="s">
        <v>34</v>
      </c>
      <c r="D202" s="370" t="s">
        <v>40</v>
      </c>
      <c r="E202" s="420" t="s">
        <v>18</v>
      </c>
      <c r="F202" s="383" t="s">
        <v>19</v>
      </c>
      <c r="G202" s="344" t="s">
        <v>20</v>
      </c>
      <c r="H202" s="383" t="s">
        <v>19</v>
      </c>
      <c r="I202" s="321" t="s">
        <v>21</v>
      </c>
      <c r="J202" s="383" t="s">
        <v>19</v>
      </c>
      <c r="K202" s="321" t="s">
        <v>22</v>
      </c>
      <c r="L202" s="395" t="s">
        <v>19</v>
      </c>
      <c r="M202" s="491" t="s">
        <v>31</v>
      </c>
      <c r="N202" s="147"/>
    </row>
    <row r="203" ht="22.5" customHeight="1">
      <c r="A203" s="448"/>
      <c r="B203" s="313" t="s">
        <v>6651</v>
      </c>
      <c r="C203" s="363" t="s">
        <v>16</v>
      </c>
      <c r="D203" s="267" t="s">
        <v>17</v>
      </c>
      <c r="E203" s="158" t="s">
        <v>18</v>
      </c>
      <c r="F203" s="363" t="s">
        <v>19</v>
      </c>
      <c r="G203" s="341" t="s">
        <v>20</v>
      </c>
      <c r="H203" s="363" t="s">
        <v>19</v>
      </c>
      <c r="I203" s="294" t="s">
        <v>21</v>
      </c>
      <c r="J203" s="363" t="s">
        <v>19</v>
      </c>
      <c r="K203" s="294" t="s">
        <v>22</v>
      </c>
      <c r="L203" s="396" t="s">
        <v>19</v>
      </c>
      <c r="M203" s="492" t="s">
        <v>19</v>
      </c>
      <c r="N203" s="155"/>
    </row>
    <row r="204" ht="22.5" customHeight="1">
      <c r="A204" s="430"/>
      <c r="B204" s="420" t="s">
        <v>6652</v>
      </c>
      <c r="C204" s="383" t="s">
        <v>16</v>
      </c>
      <c r="D204" s="371" t="s">
        <v>17</v>
      </c>
      <c r="E204" s="420" t="s">
        <v>18</v>
      </c>
      <c r="F204" s="383" t="s">
        <v>19</v>
      </c>
      <c r="G204" s="344" t="s">
        <v>20</v>
      </c>
      <c r="H204" s="383" t="s">
        <v>19</v>
      </c>
      <c r="I204" s="321" t="s">
        <v>21</v>
      </c>
      <c r="J204" s="383" t="s">
        <v>19</v>
      </c>
      <c r="K204" s="321" t="s">
        <v>22</v>
      </c>
      <c r="L204" s="395" t="s">
        <v>19</v>
      </c>
      <c r="M204" s="487" t="s">
        <v>19</v>
      </c>
      <c r="N204" s="147"/>
    </row>
    <row r="205" ht="22.5" customHeight="1">
      <c r="A205" s="524" t="s">
        <v>637</v>
      </c>
      <c r="B205" s="525" t="s">
        <v>6653</v>
      </c>
      <c r="C205" s="511" t="s">
        <v>16</v>
      </c>
      <c r="D205" s="526" t="s">
        <v>17</v>
      </c>
      <c r="E205" s="158" t="s">
        <v>18</v>
      </c>
      <c r="F205" s="511" t="s">
        <v>19</v>
      </c>
      <c r="G205" s="341" t="s">
        <v>20</v>
      </c>
      <c r="H205" s="511" t="s">
        <v>19</v>
      </c>
      <c r="I205" s="527" t="s">
        <v>21</v>
      </c>
      <c r="J205" s="363" t="s">
        <v>19</v>
      </c>
      <c r="K205" s="294" t="s">
        <v>22</v>
      </c>
      <c r="L205" s="396" t="s">
        <v>19</v>
      </c>
      <c r="M205" s="492" t="s">
        <v>19</v>
      </c>
      <c r="N205" s="155"/>
    </row>
    <row r="206" ht="22.5" customHeight="1">
      <c r="A206" s="379" t="s">
        <v>637</v>
      </c>
      <c r="B206" s="420" t="s">
        <v>6654</v>
      </c>
      <c r="C206" s="383" t="s">
        <v>16</v>
      </c>
      <c r="D206" s="372" t="s">
        <v>49</v>
      </c>
      <c r="E206" s="420" t="s">
        <v>18</v>
      </c>
      <c r="F206" s="383" t="s">
        <v>19</v>
      </c>
      <c r="G206" s="344" t="s">
        <v>20</v>
      </c>
      <c r="H206" s="385" t="s">
        <v>50</v>
      </c>
      <c r="I206" s="321" t="s">
        <v>21</v>
      </c>
      <c r="J206" s="385" t="s">
        <v>50</v>
      </c>
      <c r="K206" s="321" t="s">
        <v>22</v>
      </c>
      <c r="L206" s="395" t="s">
        <v>19</v>
      </c>
      <c r="M206" s="487" t="s">
        <v>19</v>
      </c>
      <c r="N206" s="147"/>
    </row>
    <row r="207" ht="22.5" customHeight="1">
      <c r="A207" s="299" t="s">
        <v>637</v>
      </c>
      <c r="B207" s="476" t="s">
        <v>6655</v>
      </c>
      <c r="C207" s="311" t="s">
        <v>34</v>
      </c>
      <c r="D207" s="521" t="s">
        <v>25</v>
      </c>
      <c r="E207" s="158" t="s">
        <v>18</v>
      </c>
      <c r="F207" s="311" t="s">
        <v>31</v>
      </c>
      <c r="G207" s="341" t="s">
        <v>20</v>
      </c>
      <c r="H207" s="311" t="s">
        <v>31</v>
      </c>
      <c r="I207" s="294" t="s">
        <v>21</v>
      </c>
      <c r="J207" s="311" t="s">
        <v>31</v>
      </c>
      <c r="K207" s="294" t="s">
        <v>22</v>
      </c>
      <c r="L207" s="312" t="s">
        <v>5279</v>
      </c>
      <c r="M207" s="519" t="s">
        <v>5279</v>
      </c>
      <c r="N207" s="155"/>
    </row>
    <row r="208" ht="22.5" customHeight="1">
      <c r="A208" s="430"/>
      <c r="B208" s="420" t="s">
        <v>6656</v>
      </c>
      <c r="C208" s="382" t="s">
        <v>34</v>
      </c>
      <c r="D208" s="372" t="s">
        <v>49</v>
      </c>
      <c r="E208" s="420" t="s">
        <v>18</v>
      </c>
      <c r="F208" s="383" t="s">
        <v>19</v>
      </c>
      <c r="G208" s="344" t="s">
        <v>20</v>
      </c>
      <c r="H208" s="383" t="s">
        <v>19</v>
      </c>
      <c r="I208" s="321" t="s">
        <v>21</v>
      </c>
      <c r="J208" s="385" t="s">
        <v>50</v>
      </c>
      <c r="K208" s="321" t="s">
        <v>22</v>
      </c>
      <c r="L208" s="512" t="s">
        <v>50</v>
      </c>
      <c r="M208" s="491" t="s">
        <v>31</v>
      </c>
      <c r="N208" s="147"/>
    </row>
    <row r="209" ht="22.5" customHeight="1">
      <c r="A209" s="448"/>
      <c r="B209" s="313" t="s">
        <v>6657</v>
      </c>
      <c r="C209" s="363" t="s">
        <v>16</v>
      </c>
      <c r="D209" s="267" t="s">
        <v>17</v>
      </c>
      <c r="E209" s="158" t="s">
        <v>18</v>
      </c>
      <c r="F209" s="363" t="s">
        <v>19</v>
      </c>
      <c r="G209" s="341" t="s">
        <v>20</v>
      </c>
      <c r="H209" s="363" t="s">
        <v>19</v>
      </c>
      <c r="I209" s="294" t="s">
        <v>21</v>
      </c>
      <c r="J209" s="363" t="s">
        <v>19</v>
      </c>
      <c r="K209" s="294" t="s">
        <v>22</v>
      </c>
      <c r="L209" s="396" t="s">
        <v>19</v>
      </c>
      <c r="M209" s="492" t="s">
        <v>19</v>
      </c>
      <c r="N209" s="155"/>
    </row>
    <row r="210" ht="22.5" customHeight="1">
      <c r="A210" s="430"/>
      <c r="B210" s="420" t="s">
        <v>6658</v>
      </c>
      <c r="C210" s="382" t="s">
        <v>34</v>
      </c>
      <c r="D210" s="500" t="s">
        <v>25</v>
      </c>
      <c r="E210" s="420" t="s">
        <v>18</v>
      </c>
      <c r="F210" s="383" t="s">
        <v>19</v>
      </c>
      <c r="G210" s="344" t="s">
        <v>20</v>
      </c>
      <c r="H210" s="383" t="s">
        <v>19</v>
      </c>
      <c r="I210" s="321" t="s">
        <v>21</v>
      </c>
      <c r="J210" s="382" t="s">
        <v>31</v>
      </c>
      <c r="K210" s="321" t="s">
        <v>22</v>
      </c>
      <c r="L210" s="401" t="s">
        <v>5279</v>
      </c>
      <c r="M210" s="493" t="s">
        <v>5279</v>
      </c>
      <c r="N210" s="147"/>
    </row>
    <row r="211" ht="22.5" customHeight="1">
      <c r="A211" s="448"/>
      <c r="B211" s="313" t="s">
        <v>6659</v>
      </c>
      <c r="C211" s="311" t="s">
        <v>34</v>
      </c>
      <c r="D211" s="265" t="s">
        <v>40</v>
      </c>
      <c r="E211" s="158" t="s">
        <v>18</v>
      </c>
      <c r="F211" s="311" t="s">
        <v>31</v>
      </c>
      <c r="G211" s="341" t="s">
        <v>20</v>
      </c>
      <c r="H211" s="363" t="s">
        <v>19</v>
      </c>
      <c r="I211" s="294" t="s">
        <v>21</v>
      </c>
      <c r="J211" s="363" t="s">
        <v>19</v>
      </c>
      <c r="K211" s="294" t="s">
        <v>22</v>
      </c>
      <c r="L211" s="403" t="s">
        <v>31</v>
      </c>
      <c r="M211" s="492" t="s">
        <v>19</v>
      </c>
      <c r="N211" s="155"/>
    </row>
    <row r="212" ht="22.5" customHeight="1">
      <c r="A212" s="523"/>
      <c r="B212" s="420" t="s">
        <v>6660</v>
      </c>
      <c r="C212" s="383" t="s">
        <v>16</v>
      </c>
      <c r="D212" s="371" t="s">
        <v>17</v>
      </c>
      <c r="E212" s="420" t="s">
        <v>18</v>
      </c>
      <c r="F212" s="383" t="s">
        <v>19</v>
      </c>
      <c r="G212" s="344" t="s">
        <v>20</v>
      </c>
      <c r="H212" s="383" t="s">
        <v>19</v>
      </c>
      <c r="I212" s="321" t="s">
        <v>21</v>
      </c>
      <c r="J212" s="383" t="s">
        <v>19</v>
      </c>
      <c r="K212" s="321" t="s">
        <v>22</v>
      </c>
      <c r="L212" s="395" t="s">
        <v>19</v>
      </c>
      <c r="M212" s="487" t="s">
        <v>19</v>
      </c>
      <c r="N212" s="147"/>
    </row>
    <row r="213" ht="22.5" customHeight="1">
      <c r="A213" s="528"/>
      <c r="B213" s="529" t="s">
        <v>6160</v>
      </c>
      <c r="C213" s="311" t="s">
        <v>34</v>
      </c>
      <c r="D213" s="192" t="s">
        <v>49</v>
      </c>
      <c r="E213" s="158" t="s">
        <v>18</v>
      </c>
      <c r="F213" s="311" t="s">
        <v>31</v>
      </c>
      <c r="G213" s="341" t="s">
        <v>20</v>
      </c>
      <c r="H213" s="311" t="s">
        <v>31</v>
      </c>
      <c r="I213" s="294" t="s">
        <v>21</v>
      </c>
      <c r="J213" s="311" t="s">
        <v>31</v>
      </c>
      <c r="K213" s="294" t="s">
        <v>22</v>
      </c>
      <c r="L213" s="396" t="s">
        <v>19</v>
      </c>
      <c r="M213" s="519" t="s">
        <v>5279</v>
      </c>
      <c r="N213" s="155"/>
    </row>
    <row r="214" ht="22.5" customHeight="1">
      <c r="A214" s="430"/>
      <c r="B214" s="420" t="s">
        <v>6661</v>
      </c>
      <c r="C214" s="383" t="s">
        <v>16</v>
      </c>
      <c r="D214" s="371" t="s">
        <v>17</v>
      </c>
      <c r="E214" s="420" t="s">
        <v>18</v>
      </c>
      <c r="F214" s="383" t="s">
        <v>19</v>
      </c>
      <c r="G214" s="344" t="s">
        <v>20</v>
      </c>
      <c r="H214" s="383" t="s">
        <v>19</v>
      </c>
      <c r="I214" s="321" t="s">
        <v>21</v>
      </c>
      <c r="J214" s="383" t="s">
        <v>19</v>
      </c>
      <c r="K214" s="321" t="s">
        <v>22</v>
      </c>
      <c r="L214" s="395" t="s">
        <v>19</v>
      </c>
      <c r="M214" s="487" t="s">
        <v>19</v>
      </c>
      <c r="N214" s="147"/>
    </row>
    <row r="215" ht="22.5" customHeight="1">
      <c r="A215" s="299" t="s">
        <v>637</v>
      </c>
      <c r="B215" s="313" t="s">
        <v>6662</v>
      </c>
      <c r="C215" s="311" t="s">
        <v>34</v>
      </c>
      <c r="D215" s="265" t="s">
        <v>40</v>
      </c>
      <c r="E215" s="196"/>
      <c r="F215" s="199" t="s">
        <v>26</v>
      </c>
      <c r="G215" s="415"/>
      <c r="H215" s="363" t="s">
        <v>19</v>
      </c>
      <c r="I215" s="530"/>
      <c r="J215" s="363" t="s">
        <v>19</v>
      </c>
      <c r="K215" s="530"/>
      <c r="L215" s="396" t="s">
        <v>19</v>
      </c>
      <c r="M215" s="492" t="s">
        <v>19</v>
      </c>
      <c r="N215" s="155"/>
    </row>
    <row r="216" ht="22.5" customHeight="1">
      <c r="A216" s="430"/>
      <c r="B216" s="420" t="s">
        <v>6663</v>
      </c>
      <c r="C216" s="382" t="s">
        <v>34</v>
      </c>
      <c r="D216" s="370" t="s">
        <v>40</v>
      </c>
      <c r="E216" s="420" t="s">
        <v>18</v>
      </c>
      <c r="F216" s="383" t="s">
        <v>19</v>
      </c>
      <c r="G216" s="344" t="s">
        <v>20</v>
      </c>
      <c r="H216" s="383" t="s">
        <v>19</v>
      </c>
      <c r="I216" s="321" t="s">
        <v>21</v>
      </c>
      <c r="J216" s="382" t="s">
        <v>31</v>
      </c>
      <c r="K216" s="321" t="s">
        <v>22</v>
      </c>
      <c r="L216" s="393" t="s">
        <v>31</v>
      </c>
      <c r="M216" s="487" t="s">
        <v>19</v>
      </c>
      <c r="N216" s="147"/>
    </row>
    <row r="217" ht="22.5" customHeight="1">
      <c r="A217" s="448"/>
      <c r="B217" s="313" t="s">
        <v>6664</v>
      </c>
      <c r="C217" s="363" t="s">
        <v>16</v>
      </c>
      <c r="D217" s="267" t="s">
        <v>17</v>
      </c>
      <c r="E217" s="158" t="s">
        <v>18</v>
      </c>
      <c r="F217" s="363" t="s">
        <v>19</v>
      </c>
      <c r="G217" s="341" t="s">
        <v>20</v>
      </c>
      <c r="H217" s="363" t="s">
        <v>19</v>
      </c>
      <c r="I217" s="294" t="s">
        <v>21</v>
      </c>
      <c r="J217" s="363" t="s">
        <v>19</v>
      </c>
      <c r="K217" s="294" t="s">
        <v>22</v>
      </c>
      <c r="L217" s="396" t="s">
        <v>19</v>
      </c>
      <c r="M217" s="492" t="s">
        <v>19</v>
      </c>
      <c r="N217" s="155"/>
    </row>
    <row r="218" ht="22.5" customHeight="1">
      <c r="A218" s="531" t="s">
        <v>637</v>
      </c>
      <c r="B218" s="532" t="s">
        <v>6665</v>
      </c>
      <c r="C218" s="533" t="s">
        <v>16</v>
      </c>
      <c r="D218" s="534" t="s">
        <v>49</v>
      </c>
      <c r="E218" s="420" t="s">
        <v>18</v>
      </c>
      <c r="F218" s="533" t="s">
        <v>19</v>
      </c>
      <c r="G218" s="344" t="s">
        <v>20</v>
      </c>
      <c r="H218" s="535" t="s">
        <v>50</v>
      </c>
      <c r="I218" s="536" t="s">
        <v>21</v>
      </c>
      <c r="J218" s="535" t="s">
        <v>50</v>
      </c>
      <c r="K218" s="536" t="s">
        <v>22</v>
      </c>
      <c r="L218" s="395" t="s">
        <v>19</v>
      </c>
      <c r="M218" s="487" t="s">
        <v>19</v>
      </c>
      <c r="N218" s="147"/>
    </row>
    <row r="219" ht="22.5" customHeight="1">
      <c r="A219" s="448"/>
      <c r="B219" s="313" t="s">
        <v>6666</v>
      </c>
      <c r="C219" s="363" t="s">
        <v>16</v>
      </c>
      <c r="D219" s="267" t="s">
        <v>17</v>
      </c>
      <c r="E219" s="158" t="s">
        <v>18</v>
      </c>
      <c r="F219" s="363" t="s">
        <v>19</v>
      </c>
      <c r="G219" s="341" t="s">
        <v>20</v>
      </c>
      <c r="H219" s="363" t="s">
        <v>19</v>
      </c>
      <c r="I219" s="294" t="s">
        <v>21</v>
      </c>
      <c r="J219" s="363" t="s">
        <v>19</v>
      </c>
      <c r="K219" s="294" t="s">
        <v>22</v>
      </c>
      <c r="L219" s="396" t="s">
        <v>19</v>
      </c>
      <c r="M219" s="492" t="s">
        <v>19</v>
      </c>
      <c r="N219" s="155"/>
    </row>
    <row r="220" ht="22.5" customHeight="1">
      <c r="A220" s="379" t="s">
        <v>637</v>
      </c>
      <c r="B220" s="452" t="s">
        <v>6667</v>
      </c>
      <c r="C220" s="383" t="s">
        <v>16</v>
      </c>
      <c r="D220" s="371" t="s">
        <v>17</v>
      </c>
      <c r="E220" s="420" t="s">
        <v>18</v>
      </c>
      <c r="F220" s="383" t="s">
        <v>19</v>
      </c>
      <c r="G220" s="344" t="s">
        <v>20</v>
      </c>
      <c r="H220" s="383" t="s">
        <v>19</v>
      </c>
      <c r="I220" s="321" t="s">
        <v>21</v>
      </c>
      <c r="J220" s="383" t="s">
        <v>19</v>
      </c>
      <c r="K220" s="321" t="s">
        <v>22</v>
      </c>
      <c r="L220" s="395" t="s">
        <v>19</v>
      </c>
      <c r="M220" s="487" t="s">
        <v>19</v>
      </c>
      <c r="N220" s="147"/>
    </row>
    <row r="221" ht="22.5" customHeight="1">
      <c r="A221" s="448"/>
      <c r="B221" s="313" t="s">
        <v>6668</v>
      </c>
      <c r="C221" s="363" t="s">
        <v>16</v>
      </c>
      <c r="D221" s="267" t="s">
        <v>17</v>
      </c>
      <c r="E221" s="158" t="s">
        <v>18</v>
      </c>
      <c r="F221" s="363" t="s">
        <v>19</v>
      </c>
      <c r="G221" s="341" t="s">
        <v>20</v>
      </c>
      <c r="H221" s="363" t="s">
        <v>19</v>
      </c>
      <c r="I221" s="294" t="s">
        <v>21</v>
      </c>
      <c r="J221" s="363" t="s">
        <v>19</v>
      </c>
      <c r="K221" s="294" t="s">
        <v>22</v>
      </c>
      <c r="L221" s="396" t="s">
        <v>19</v>
      </c>
      <c r="M221" s="492" t="s">
        <v>19</v>
      </c>
      <c r="N221" s="155"/>
    </row>
    <row r="222" ht="22.5" customHeight="1">
      <c r="A222" s="430"/>
      <c r="B222" s="218" t="s">
        <v>6669</v>
      </c>
      <c r="C222" s="383" t="s">
        <v>16</v>
      </c>
      <c r="D222" s="371" t="s">
        <v>17</v>
      </c>
      <c r="E222" s="420" t="s">
        <v>18</v>
      </c>
      <c r="F222" s="383" t="s">
        <v>19</v>
      </c>
      <c r="G222" s="344" t="s">
        <v>20</v>
      </c>
      <c r="H222" s="383" t="s">
        <v>19</v>
      </c>
      <c r="I222" s="321" t="s">
        <v>21</v>
      </c>
      <c r="J222" s="383" t="s">
        <v>19</v>
      </c>
      <c r="K222" s="321" t="s">
        <v>22</v>
      </c>
      <c r="L222" s="395" t="s">
        <v>19</v>
      </c>
      <c r="M222" s="487" t="s">
        <v>19</v>
      </c>
      <c r="N222" s="147"/>
    </row>
    <row r="223" ht="22.5" customHeight="1">
      <c r="A223" s="448"/>
      <c r="B223" s="313" t="s">
        <v>6670</v>
      </c>
      <c r="C223" s="363" t="s">
        <v>16</v>
      </c>
      <c r="D223" s="363" t="s">
        <v>813</v>
      </c>
      <c r="E223" s="158" t="s">
        <v>18</v>
      </c>
      <c r="F223" s="227" t="s">
        <v>640</v>
      </c>
      <c r="G223" s="341" t="s">
        <v>20</v>
      </c>
      <c r="H223" s="227" t="s">
        <v>5279</v>
      </c>
      <c r="I223" s="294" t="s">
        <v>21</v>
      </c>
      <c r="J223" s="227" t="s">
        <v>5279</v>
      </c>
      <c r="K223" s="294" t="s">
        <v>22</v>
      </c>
      <c r="L223" s="312" t="s">
        <v>5279</v>
      </c>
      <c r="M223" s="519" t="s">
        <v>5279</v>
      </c>
      <c r="N223" s="155"/>
    </row>
    <row r="224" ht="22.5" customHeight="1">
      <c r="A224" s="537"/>
      <c r="B224" s="444" t="s">
        <v>6671</v>
      </c>
      <c r="C224" s="501" t="s">
        <v>34</v>
      </c>
      <c r="D224" s="538" t="s">
        <v>40</v>
      </c>
      <c r="E224" s="420" t="s">
        <v>18</v>
      </c>
      <c r="F224" s="501" t="s">
        <v>31</v>
      </c>
      <c r="G224" s="344" t="s">
        <v>20</v>
      </c>
      <c r="H224" s="383" t="s">
        <v>19</v>
      </c>
      <c r="I224" s="321" t="s">
        <v>21</v>
      </c>
      <c r="J224" s="383" t="s">
        <v>19</v>
      </c>
      <c r="K224" s="321" t="s">
        <v>22</v>
      </c>
      <c r="L224" s="395" t="s">
        <v>19</v>
      </c>
      <c r="M224" s="487" t="s">
        <v>19</v>
      </c>
      <c r="N224" s="147"/>
    </row>
    <row r="225" ht="22.5" customHeight="1">
      <c r="A225" s="448"/>
      <c r="B225" s="313" t="s">
        <v>6672</v>
      </c>
      <c r="C225" s="311" t="s">
        <v>34</v>
      </c>
      <c r="D225" s="265" t="s">
        <v>40</v>
      </c>
      <c r="E225" s="158" t="s">
        <v>18</v>
      </c>
      <c r="F225" s="363" t="s">
        <v>19</v>
      </c>
      <c r="G225" s="341" t="s">
        <v>20</v>
      </c>
      <c r="H225" s="363" t="s">
        <v>19</v>
      </c>
      <c r="I225" s="294" t="s">
        <v>21</v>
      </c>
      <c r="J225" s="311" t="s">
        <v>31</v>
      </c>
      <c r="K225" s="294" t="s">
        <v>22</v>
      </c>
      <c r="L225" s="396" t="s">
        <v>19</v>
      </c>
      <c r="M225" s="492" t="s">
        <v>19</v>
      </c>
      <c r="N225" s="155"/>
    </row>
    <row r="226" ht="22.5" customHeight="1">
      <c r="A226" s="430"/>
      <c r="B226" s="420" t="s">
        <v>6673</v>
      </c>
      <c r="C226" s="382" t="s">
        <v>34</v>
      </c>
      <c r="D226" s="370" t="s">
        <v>40</v>
      </c>
      <c r="E226" s="420" t="s">
        <v>18</v>
      </c>
      <c r="F226" s="382" t="s">
        <v>31</v>
      </c>
      <c r="G226" s="344" t="s">
        <v>20</v>
      </c>
      <c r="H226" s="382" t="s">
        <v>31</v>
      </c>
      <c r="I226" s="321" t="s">
        <v>21</v>
      </c>
      <c r="J226" s="383" t="s">
        <v>19</v>
      </c>
      <c r="K226" s="321" t="s">
        <v>22</v>
      </c>
      <c r="L226" s="395" t="s">
        <v>19</v>
      </c>
      <c r="M226" s="487" t="s">
        <v>19</v>
      </c>
      <c r="N226" s="147"/>
    </row>
    <row r="227" ht="22.5" customHeight="1">
      <c r="A227" s="448"/>
      <c r="B227" s="313" t="s">
        <v>6674</v>
      </c>
      <c r="C227" s="311" t="s">
        <v>34</v>
      </c>
      <c r="D227" s="192" t="s">
        <v>49</v>
      </c>
      <c r="E227" s="158" t="s">
        <v>18</v>
      </c>
      <c r="F227" s="311" t="s">
        <v>31</v>
      </c>
      <c r="G227" s="341" t="s">
        <v>20</v>
      </c>
      <c r="H227" s="227" t="s">
        <v>5279</v>
      </c>
      <c r="I227" s="294" t="s">
        <v>21</v>
      </c>
      <c r="J227" s="227" t="s">
        <v>5279</v>
      </c>
      <c r="K227" s="294" t="s">
        <v>22</v>
      </c>
      <c r="L227" s="312" t="s">
        <v>5279</v>
      </c>
      <c r="M227" s="519" t="s">
        <v>5279</v>
      </c>
      <c r="N227" s="155"/>
    </row>
    <row r="228" ht="22.5" customHeight="1">
      <c r="A228" s="539"/>
      <c r="B228" s="473" t="s">
        <v>6675</v>
      </c>
      <c r="C228" s="540" t="s">
        <v>34</v>
      </c>
      <c r="D228" s="540" t="s">
        <v>419</v>
      </c>
      <c r="E228" s="420" t="s">
        <v>18</v>
      </c>
      <c r="F228" s="383" t="s">
        <v>19</v>
      </c>
      <c r="G228" s="344" t="s">
        <v>20</v>
      </c>
      <c r="H228" s="383" t="s">
        <v>19</v>
      </c>
      <c r="I228" s="321" t="s">
        <v>21</v>
      </c>
      <c r="J228" s="382" t="s">
        <v>31</v>
      </c>
      <c r="K228" s="321" t="s">
        <v>22</v>
      </c>
      <c r="L228" s="401" t="s">
        <v>5279</v>
      </c>
      <c r="M228" s="493" t="s">
        <v>5279</v>
      </c>
      <c r="N228" s="147"/>
    </row>
    <row r="229" ht="22.5" customHeight="1">
      <c r="A229" s="448"/>
      <c r="B229" s="313" t="s">
        <v>6676</v>
      </c>
      <c r="C229" s="363" t="s">
        <v>16</v>
      </c>
      <c r="D229" s="267" t="s">
        <v>17</v>
      </c>
      <c r="E229" s="158" t="s">
        <v>18</v>
      </c>
      <c r="F229" s="363" t="s">
        <v>19</v>
      </c>
      <c r="G229" s="341" t="s">
        <v>20</v>
      </c>
      <c r="H229" s="363" t="s">
        <v>19</v>
      </c>
      <c r="I229" s="294" t="s">
        <v>21</v>
      </c>
      <c r="J229" s="363" t="s">
        <v>19</v>
      </c>
      <c r="K229" s="294" t="s">
        <v>22</v>
      </c>
      <c r="L229" s="396" t="s">
        <v>19</v>
      </c>
      <c r="M229" s="492" t="s">
        <v>19</v>
      </c>
      <c r="N229" s="155"/>
    </row>
    <row r="230" ht="22.5" customHeight="1">
      <c r="A230" s="430"/>
      <c r="B230" s="420" t="s">
        <v>6677</v>
      </c>
      <c r="C230" s="382" t="s">
        <v>34</v>
      </c>
      <c r="D230" s="370" t="s">
        <v>40</v>
      </c>
      <c r="E230" s="420" t="s">
        <v>18</v>
      </c>
      <c r="F230" s="383" t="s">
        <v>19</v>
      </c>
      <c r="G230" s="344" t="s">
        <v>20</v>
      </c>
      <c r="H230" s="382" t="s">
        <v>31</v>
      </c>
      <c r="I230" s="321" t="s">
        <v>21</v>
      </c>
      <c r="J230" s="382" t="s">
        <v>31</v>
      </c>
      <c r="K230" s="321" t="s">
        <v>22</v>
      </c>
      <c r="L230" s="395" t="s">
        <v>19</v>
      </c>
      <c r="M230" s="487" t="s">
        <v>19</v>
      </c>
      <c r="N230" s="147"/>
    </row>
    <row r="231" ht="22.5" customHeight="1">
      <c r="A231" s="448"/>
      <c r="B231" s="313" t="s">
        <v>6678</v>
      </c>
      <c r="C231" s="363" t="s">
        <v>16</v>
      </c>
      <c r="D231" s="267" t="s">
        <v>17</v>
      </c>
      <c r="E231" s="158" t="s">
        <v>18</v>
      </c>
      <c r="F231" s="363" t="s">
        <v>19</v>
      </c>
      <c r="G231" s="341" t="s">
        <v>20</v>
      </c>
      <c r="H231" s="363" t="s">
        <v>19</v>
      </c>
      <c r="I231" s="294" t="s">
        <v>21</v>
      </c>
      <c r="J231" s="363" t="s">
        <v>19</v>
      </c>
      <c r="K231" s="294" t="s">
        <v>22</v>
      </c>
      <c r="L231" s="396" t="s">
        <v>19</v>
      </c>
      <c r="M231" s="492" t="s">
        <v>19</v>
      </c>
      <c r="N231" s="155"/>
    </row>
    <row r="232" ht="22.5" customHeight="1">
      <c r="A232" s="430"/>
      <c r="B232" s="420" t="s">
        <v>6679</v>
      </c>
      <c r="C232" s="382" t="s">
        <v>34</v>
      </c>
      <c r="D232" s="370" t="s">
        <v>40</v>
      </c>
      <c r="E232" s="420" t="s">
        <v>18</v>
      </c>
      <c r="F232" s="382" t="s">
        <v>31</v>
      </c>
      <c r="G232" s="344" t="s">
        <v>20</v>
      </c>
      <c r="H232" s="383" t="s">
        <v>19</v>
      </c>
      <c r="I232" s="321" t="s">
        <v>21</v>
      </c>
      <c r="J232" s="382" t="s">
        <v>31</v>
      </c>
      <c r="K232" s="321" t="s">
        <v>22</v>
      </c>
      <c r="L232" s="395" t="s">
        <v>19</v>
      </c>
      <c r="M232" s="487" t="s">
        <v>19</v>
      </c>
      <c r="N232" s="147"/>
    </row>
    <row r="233" ht="22.5" customHeight="1">
      <c r="A233" s="327" t="s">
        <v>6680</v>
      </c>
      <c r="B233" s="313" t="s">
        <v>6681</v>
      </c>
      <c r="C233" s="311" t="s">
        <v>34</v>
      </c>
      <c r="D233" s="265" t="s">
        <v>40</v>
      </c>
      <c r="E233" s="158" t="s">
        <v>18</v>
      </c>
      <c r="F233" s="311" t="s">
        <v>31</v>
      </c>
      <c r="G233" s="341" t="s">
        <v>20</v>
      </c>
      <c r="H233" s="363" t="s">
        <v>19</v>
      </c>
      <c r="I233" s="294" t="s">
        <v>21</v>
      </c>
      <c r="J233" s="363" t="s">
        <v>19</v>
      </c>
      <c r="K233" s="294" t="s">
        <v>22</v>
      </c>
      <c r="L233" s="396" t="s">
        <v>19</v>
      </c>
      <c r="M233" s="492" t="s">
        <v>19</v>
      </c>
      <c r="N233" s="155"/>
    </row>
    <row r="234" ht="22.5" customHeight="1">
      <c r="A234" s="379" t="s">
        <v>637</v>
      </c>
      <c r="B234" s="420" t="s">
        <v>6682</v>
      </c>
      <c r="C234" s="383" t="s">
        <v>16</v>
      </c>
      <c r="D234" s="371" t="s">
        <v>17</v>
      </c>
      <c r="E234" s="420" t="s">
        <v>18</v>
      </c>
      <c r="F234" s="383" t="s">
        <v>19</v>
      </c>
      <c r="G234" s="344" t="s">
        <v>20</v>
      </c>
      <c r="H234" s="383" t="s">
        <v>19</v>
      </c>
      <c r="I234" s="321" t="s">
        <v>21</v>
      </c>
      <c r="J234" s="383" t="s">
        <v>19</v>
      </c>
      <c r="K234" s="321" t="s">
        <v>22</v>
      </c>
      <c r="L234" s="395" t="s">
        <v>19</v>
      </c>
      <c r="M234" s="487" t="s">
        <v>19</v>
      </c>
      <c r="N234" s="147"/>
    </row>
    <row r="235" ht="22.5" customHeight="1">
      <c r="A235" s="448"/>
      <c r="B235" s="313" t="s">
        <v>6683</v>
      </c>
      <c r="C235" s="363" t="s">
        <v>16</v>
      </c>
      <c r="D235" s="267" t="s">
        <v>17</v>
      </c>
      <c r="E235" s="158" t="s">
        <v>18</v>
      </c>
      <c r="F235" s="363" t="s">
        <v>19</v>
      </c>
      <c r="G235" s="341" t="s">
        <v>20</v>
      </c>
      <c r="H235" s="363" t="s">
        <v>19</v>
      </c>
      <c r="I235" s="294" t="s">
        <v>21</v>
      </c>
      <c r="J235" s="363" t="s">
        <v>19</v>
      </c>
      <c r="K235" s="294" t="s">
        <v>22</v>
      </c>
      <c r="L235" s="396" t="s">
        <v>19</v>
      </c>
      <c r="M235" s="492" t="s">
        <v>19</v>
      </c>
      <c r="N235" s="155"/>
    </row>
    <row r="236" ht="22.5" customHeight="1">
      <c r="A236" s="379" t="s">
        <v>6684</v>
      </c>
      <c r="B236" s="420" t="s">
        <v>6685</v>
      </c>
      <c r="C236" s="383" t="s">
        <v>16</v>
      </c>
      <c r="D236" s="383" t="s">
        <v>813</v>
      </c>
      <c r="E236" s="420" t="s">
        <v>18</v>
      </c>
      <c r="F236" s="384" t="s">
        <v>640</v>
      </c>
      <c r="G236" s="344" t="s">
        <v>20</v>
      </c>
      <c r="H236" s="384" t="s">
        <v>5279</v>
      </c>
      <c r="I236" s="321" t="s">
        <v>21</v>
      </c>
      <c r="J236" s="384" t="s">
        <v>5279</v>
      </c>
      <c r="K236" s="321" t="s">
        <v>22</v>
      </c>
      <c r="L236" s="401" t="s">
        <v>5279</v>
      </c>
      <c r="M236" s="493" t="s">
        <v>5279</v>
      </c>
      <c r="N236" s="147"/>
    </row>
    <row r="237" ht="22.5" customHeight="1">
      <c r="A237" s="299" t="s">
        <v>637</v>
      </c>
      <c r="B237" s="313" t="s">
        <v>6686</v>
      </c>
      <c r="C237" s="311" t="s">
        <v>34</v>
      </c>
      <c r="D237" s="392" t="s">
        <v>35</v>
      </c>
      <c r="E237" s="158" t="s">
        <v>18</v>
      </c>
      <c r="F237" s="311" t="s">
        <v>31</v>
      </c>
      <c r="G237" s="341" t="s">
        <v>20</v>
      </c>
      <c r="H237" s="363" t="s">
        <v>19</v>
      </c>
      <c r="I237" s="294" t="s">
        <v>21</v>
      </c>
      <c r="J237" s="363" t="s">
        <v>19</v>
      </c>
      <c r="K237" s="294" t="s">
        <v>22</v>
      </c>
      <c r="L237" s="396" t="s">
        <v>19</v>
      </c>
      <c r="M237" s="492" t="s">
        <v>19</v>
      </c>
      <c r="N237" s="155"/>
    </row>
    <row r="238" ht="22.5" customHeight="1">
      <c r="A238" s="379" t="s">
        <v>6687</v>
      </c>
      <c r="B238" s="420" t="s">
        <v>6688</v>
      </c>
      <c r="C238" s="382" t="s">
        <v>34</v>
      </c>
      <c r="D238" s="500" t="s">
        <v>25</v>
      </c>
      <c r="E238" s="420" t="s">
        <v>18</v>
      </c>
      <c r="F238" s="382" t="s">
        <v>31</v>
      </c>
      <c r="G238" s="344" t="s">
        <v>20</v>
      </c>
      <c r="H238" s="383" t="s">
        <v>19</v>
      </c>
      <c r="I238" s="321" t="s">
        <v>21</v>
      </c>
      <c r="J238" s="381" t="s">
        <v>26</v>
      </c>
      <c r="K238" s="321" t="s">
        <v>22</v>
      </c>
      <c r="L238" s="401" t="s">
        <v>5279</v>
      </c>
      <c r="M238" s="493" t="s">
        <v>5279</v>
      </c>
      <c r="N238" s="147"/>
    </row>
    <row r="239" ht="22.5" customHeight="1">
      <c r="A239" s="448"/>
      <c r="B239" s="313" t="s">
        <v>6689</v>
      </c>
      <c r="C239" s="363" t="s">
        <v>16</v>
      </c>
      <c r="D239" s="363" t="s">
        <v>813</v>
      </c>
      <c r="E239" s="158" t="s">
        <v>18</v>
      </c>
      <c r="F239" s="227" t="s">
        <v>640</v>
      </c>
      <c r="G239" s="341" t="s">
        <v>20</v>
      </c>
      <c r="H239" s="227" t="s">
        <v>5279</v>
      </c>
      <c r="I239" s="294" t="s">
        <v>21</v>
      </c>
      <c r="J239" s="227" t="s">
        <v>5279</v>
      </c>
      <c r="K239" s="294" t="s">
        <v>22</v>
      </c>
      <c r="L239" s="312" t="s">
        <v>5279</v>
      </c>
      <c r="M239" s="519" t="s">
        <v>5279</v>
      </c>
      <c r="N239" s="155"/>
    </row>
    <row r="240" ht="22.5" customHeight="1">
      <c r="A240" s="379" t="s">
        <v>6690</v>
      </c>
      <c r="B240" s="420" t="s">
        <v>6691</v>
      </c>
      <c r="C240" s="382" t="s">
        <v>34</v>
      </c>
      <c r="D240" s="500" t="s">
        <v>25</v>
      </c>
      <c r="E240" s="420" t="s">
        <v>18</v>
      </c>
      <c r="F240" s="382" t="s">
        <v>31</v>
      </c>
      <c r="G240" s="344" t="s">
        <v>20</v>
      </c>
      <c r="H240" s="382" t="s">
        <v>31</v>
      </c>
      <c r="I240" s="321" t="s">
        <v>21</v>
      </c>
      <c r="J240" s="382" t="s">
        <v>31</v>
      </c>
      <c r="K240" s="321" t="s">
        <v>22</v>
      </c>
      <c r="L240" s="393" t="s">
        <v>31</v>
      </c>
      <c r="M240" s="493" t="s">
        <v>5279</v>
      </c>
      <c r="N240" s="147"/>
    </row>
    <row r="241" ht="22.5" customHeight="1">
      <c r="A241" s="448"/>
      <c r="B241" s="313" t="s">
        <v>6692</v>
      </c>
      <c r="C241" s="311" t="s">
        <v>34</v>
      </c>
      <c r="D241" s="192" t="s">
        <v>49</v>
      </c>
      <c r="E241" s="158" t="s">
        <v>18</v>
      </c>
      <c r="F241" s="311" t="s">
        <v>31</v>
      </c>
      <c r="G241" s="341" t="s">
        <v>20</v>
      </c>
      <c r="H241" s="311" t="s">
        <v>31</v>
      </c>
      <c r="I241" s="294" t="s">
        <v>21</v>
      </c>
      <c r="J241" s="363" t="s">
        <v>19</v>
      </c>
      <c r="K241" s="294" t="s">
        <v>22</v>
      </c>
      <c r="L241" s="495" t="s">
        <v>50</v>
      </c>
      <c r="M241" s="488" t="s">
        <v>50</v>
      </c>
      <c r="N241" s="155"/>
    </row>
    <row r="242" ht="22.5" customHeight="1">
      <c r="A242" s="430"/>
      <c r="B242" s="420" t="s">
        <v>6693</v>
      </c>
      <c r="C242" s="383" t="s">
        <v>16</v>
      </c>
      <c r="D242" s="371" t="s">
        <v>17</v>
      </c>
      <c r="E242" s="420" t="s">
        <v>18</v>
      </c>
      <c r="F242" s="383" t="s">
        <v>19</v>
      </c>
      <c r="G242" s="344" t="s">
        <v>20</v>
      </c>
      <c r="H242" s="383" t="s">
        <v>19</v>
      </c>
      <c r="I242" s="321" t="s">
        <v>21</v>
      </c>
      <c r="J242" s="383" t="s">
        <v>19</v>
      </c>
      <c r="K242" s="321" t="s">
        <v>22</v>
      </c>
      <c r="L242" s="395" t="s">
        <v>19</v>
      </c>
      <c r="M242" s="487" t="s">
        <v>19</v>
      </c>
      <c r="N242" s="147"/>
    </row>
    <row r="243" ht="22.5" customHeight="1">
      <c r="A243" s="299" t="s">
        <v>637</v>
      </c>
      <c r="B243" s="313" t="s">
        <v>6694</v>
      </c>
      <c r="C243" s="363" t="s">
        <v>16</v>
      </c>
      <c r="D243" s="267" t="s">
        <v>17</v>
      </c>
      <c r="E243" s="158" t="s">
        <v>18</v>
      </c>
      <c r="F243" s="363" t="s">
        <v>19</v>
      </c>
      <c r="G243" s="341" t="s">
        <v>20</v>
      </c>
      <c r="H243" s="363" t="s">
        <v>19</v>
      </c>
      <c r="I243" s="294" t="s">
        <v>21</v>
      </c>
      <c r="J243" s="363" t="s">
        <v>19</v>
      </c>
      <c r="K243" s="294" t="s">
        <v>22</v>
      </c>
      <c r="L243" s="396" t="s">
        <v>19</v>
      </c>
      <c r="M243" s="492" t="s">
        <v>19</v>
      </c>
      <c r="N243" s="155"/>
    </row>
    <row r="244" ht="22.5" customHeight="1">
      <c r="A244" s="430"/>
      <c r="B244" s="420" t="s">
        <v>6152</v>
      </c>
      <c r="C244" s="382" t="s">
        <v>34</v>
      </c>
      <c r="D244" s="372" t="s">
        <v>49</v>
      </c>
      <c r="E244" s="420" t="s">
        <v>18</v>
      </c>
      <c r="F244" s="381" t="s">
        <v>26</v>
      </c>
      <c r="G244" s="344" t="s">
        <v>20</v>
      </c>
      <c r="H244" s="383" t="s">
        <v>19</v>
      </c>
      <c r="I244" s="321" t="s">
        <v>21</v>
      </c>
      <c r="J244" s="384" t="s">
        <v>5279</v>
      </c>
      <c r="K244" s="321" t="s">
        <v>22</v>
      </c>
      <c r="L244" s="401" t="s">
        <v>5279</v>
      </c>
      <c r="M244" s="493" t="s">
        <v>5279</v>
      </c>
      <c r="N244" s="147"/>
    </row>
    <row r="245" ht="22.5" customHeight="1">
      <c r="A245" s="327" t="s">
        <v>6695</v>
      </c>
      <c r="B245" s="313" t="s">
        <v>6696</v>
      </c>
      <c r="C245" s="311" t="s">
        <v>34</v>
      </c>
      <c r="D245" s="192" t="s">
        <v>49</v>
      </c>
      <c r="E245" s="158" t="s">
        <v>18</v>
      </c>
      <c r="F245" s="311" t="s">
        <v>31</v>
      </c>
      <c r="G245" s="341" t="s">
        <v>20</v>
      </c>
      <c r="H245" s="363" t="s">
        <v>19</v>
      </c>
      <c r="I245" s="294" t="s">
        <v>21</v>
      </c>
      <c r="J245" s="363" t="s">
        <v>19</v>
      </c>
      <c r="K245" s="294" t="s">
        <v>22</v>
      </c>
      <c r="L245" s="396" t="s">
        <v>19</v>
      </c>
      <c r="M245" s="492" t="s">
        <v>19</v>
      </c>
      <c r="N245" s="155"/>
    </row>
    <row r="246" ht="22.5" customHeight="1">
      <c r="A246" s="430"/>
      <c r="B246" s="420" t="s">
        <v>6697</v>
      </c>
      <c r="C246" s="383" t="s">
        <v>16</v>
      </c>
      <c r="D246" s="371" t="s">
        <v>17</v>
      </c>
      <c r="E246" s="420" t="s">
        <v>18</v>
      </c>
      <c r="F246" s="383" t="s">
        <v>19</v>
      </c>
      <c r="G246" s="344" t="s">
        <v>20</v>
      </c>
      <c r="H246" s="383" t="s">
        <v>19</v>
      </c>
      <c r="I246" s="321" t="s">
        <v>21</v>
      </c>
      <c r="J246" s="383" t="s">
        <v>19</v>
      </c>
      <c r="K246" s="321" t="s">
        <v>22</v>
      </c>
      <c r="L246" s="395" t="s">
        <v>19</v>
      </c>
      <c r="M246" s="487" t="s">
        <v>19</v>
      </c>
      <c r="N246" s="147"/>
    </row>
    <row r="247" ht="22.5" customHeight="1">
      <c r="A247" s="305" t="s">
        <v>6698</v>
      </c>
      <c r="B247" s="310" t="s">
        <v>6699</v>
      </c>
      <c r="C247" s="311" t="s">
        <v>34</v>
      </c>
      <c r="D247" s="265" t="s">
        <v>40</v>
      </c>
      <c r="E247" s="158" t="s">
        <v>18</v>
      </c>
      <c r="F247" s="363" t="s">
        <v>19</v>
      </c>
      <c r="G247" s="341" t="s">
        <v>20</v>
      </c>
      <c r="H247" s="363" t="s">
        <v>19</v>
      </c>
      <c r="I247" s="294" t="s">
        <v>21</v>
      </c>
      <c r="J247" s="311" t="s">
        <v>31</v>
      </c>
      <c r="K247" s="294" t="s">
        <v>22</v>
      </c>
      <c r="L247" s="396" t="s">
        <v>19</v>
      </c>
      <c r="M247" s="492" t="s">
        <v>19</v>
      </c>
      <c r="N247" s="155"/>
    </row>
    <row r="248" ht="22.5" customHeight="1">
      <c r="A248" s="463" t="s">
        <v>6700</v>
      </c>
      <c r="B248" s="420" t="s">
        <v>6701</v>
      </c>
      <c r="C248" s="382" t="s">
        <v>34</v>
      </c>
      <c r="D248" s="370" t="s">
        <v>40</v>
      </c>
      <c r="E248" s="420" t="s">
        <v>18</v>
      </c>
      <c r="F248" s="383" t="s">
        <v>19</v>
      </c>
      <c r="G248" s="344" t="s">
        <v>20</v>
      </c>
      <c r="H248" s="382" t="s">
        <v>31</v>
      </c>
      <c r="I248" s="321" t="s">
        <v>21</v>
      </c>
      <c r="J248" s="382" t="s">
        <v>31</v>
      </c>
      <c r="K248" s="321" t="s">
        <v>22</v>
      </c>
      <c r="L248" s="383" t="s">
        <v>19</v>
      </c>
      <c r="M248" s="487" t="s">
        <v>19</v>
      </c>
      <c r="N248" s="147"/>
    </row>
    <row r="249" ht="22.5" customHeight="1">
      <c r="A249" s="448"/>
      <c r="B249" s="313" t="s">
        <v>6702</v>
      </c>
      <c r="C249" s="311" t="s">
        <v>34</v>
      </c>
      <c r="D249" s="265" t="s">
        <v>40</v>
      </c>
      <c r="E249" s="158" t="s">
        <v>18</v>
      </c>
      <c r="F249" s="311" t="s">
        <v>31</v>
      </c>
      <c r="G249" s="341" t="s">
        <v>20</v>
      </c>
      <c r="H249" s="363" t="s">
        <v>19</v>
      </c>
      <c r="I249" s="294" t="s">
        <v>21</v>
      </c>
      <c r="J249" s="363" t="s">
        <v>19</v>
      </c>
      <c r="K249" s="294" t="s">
        <v>22</v>
      </c>
      <c r="L249" s="396" t="s">
        <v>19</v>
      </c>
      <c r="M249" s="492" t="s">
        <v>19</v>
      </c>
      <c r="N249" s="155"/>
    </row>
    <row r="250" ht="22.5" customHeight="1">
      <c r="A250" s="430"/>
      <c r="B250" s="420" t="s">
        <v>6703</v>
      </c>
      <c r="C250" s="382" t="s">
        <v>34</v>
      </c>
      <c r="D250" s="372" t="s">
        <v>49</v>
      </c>
      <c r="E250" s="420" t="s">
        <v>18</v>
      </c>
      <c r="F250" s="383" t="s">
        <v>19</v>
      </c>
      <c r="G250" s="344" t="s">
        <v>20</v>
      </c>
      <c r="H250" s="382" t="s">
        <v>31</v>
      </c>
      <c r="I250" s="321" t="s">
        <v>21</v>
      </c>
      <c r="J250" s="382" t="s">
        <v>31</v>
      </c>
      <c r="K250" s="321" t="s">
        <v>22</v>
      </c>
      <c r="L250" s="395" t="s">
        <v>19</v>
      </c>
      <c r="M250" s="487" t="s">
        <v>19</v>
      </c>
      <c r="N250" s="147"/>
    </row>
    <row r="251" ht="22.5" customHeight="1">
      <c r="A251" s="448"/>
      <c r="B251" s="313" t="s">
        <v>6704</v>
      </c>
      <c r="C251" s="311" t="s">
        <v>34</v>
      </c>
      <c r="D251" s="192" t="s">
        <v>49</v>
      </c>
      <c r="E251" s="158" t="s">
        <v>18</v>
      </c>
      <c r="F251" s="363" t="s">
        <v>19</v>
      </c>
      <c r="G251" s="341" t="s">
        <v>20</v>
      </c>
      <c r="H251" s="363" t="s">
        <v>19</v>
      </c>
      <c r="I251" s="294" t="s">
        <v>21</v>
      </c>
      <c r="J251" s="311" t="s">
        <v>31</v>
      </c>
      <c r="K251" s="294" t="s">
        <v>22</v>
      </c>
      <c r="L251" s="403" t="s">
        <v>31</v>
      </c>
      <c r="M251" s="486" t="s">
        <v>31</v>
      </c>
      <c r="N251" s="155"/>
    </row>
    <row r="252" ht="22.5" customHeight="1">
      <c r="A252" s="430"/>
      <c r="B252" s="420" t="s">
        <v>6705</v>
      </c>
      <c r="C252" s="383" t="s">
        <v>16</v>
      </c>
      <c r="D252" s="371" t="s">
        <v>17</v>
      </c>
      <c r="E252" s="420" t="s">
        <v>18</v>
      </c>
      <c r="F252" s="383" t="s">
        <v>19</v>
      </c>
      <c r="G252" s="344" t="s">
        <v>20</v>
      </c>
      <c r="H252" s="383" t="s">
        <v>19</v>
      </c>
      <c r="I252" s="321" t="s">
        <v>21</v>
      </c>
      <c r="J252" s="383" t="s">
        <v>19</v>
      </c>
      <c r="K252" s="321" t="s">
        <v>22</v>
      </c>
      <c r="L252" s="395" t="s">
        <v>19</v>
      </c>
      <c r="M252" s="487" t="s">
        <v>19</v>
      </c>
      <c r="N252" s="147"/>
    </row>
    <row r="253" ht="22.5" customHeight="1">
      <c r="A253" s="448"/>
      <c r="B253" s="313" t="s">
        <v>6706</v>
      </c>
      <c r="C253" s="311" t="s">
        <v>34</v>
      </c>
      <c r="D253" s="265" t="s">
        <v>40</v>
      </c>
      <c r="E253" s="158" t="s">
        <v>18</v>
      </c>
      <c r="F253" s="363" t="s">
        <v>19</v>
      </c>
      <c r="G253" s="341" t="s">
        <v>20</v>
      </c>
      <c r="H253" s="199" t="s">
        <v>26</v>
      </c>
      <c r="I253" s="294" t="s">
        <v>21</v>
      </c>
      <c r="J253" s="363" t="s">
        <v>19</v>
      </c>
      <c r="K253" s="294" t="s">
        <v>22</v>
      </c>
      <c r="L253" s="396" t="s">
        <v>19</v>
      </c>
      <c r="M253" s="492" t="s">
        <v>19</v>
      </c>
      <c r="N253" s="155"/>
    </row>
    <row r="254" ht="22.5" customHeight="1">
      <c r="A254" s="430"/>
      <c r="B254" s="420" t="s">
        <v>6707</v>
      </c>
      <c r="C254" s="383" t="s">
        <v>16</v>
      </c>
      <c r="D254" s="371" t="s">
        <v>17</v>
      </c>
      <c r="E254" s="420" t="s">
        <v>18</v>
      </c>
      <c r="F254" s="383" t="s">
        <v>19</v>
      </c>
      <c r="G254" s="344" t="s">
        <v>20</v>
      </c>
      <c r="H254" s="383" t="s">
        <v>19</v>
      </c>
      <c r="I254" s="321" t="s">
        <v>21</v>
      </c>
      <c r="J254" s="383" t="s">
        <v>19</v>
      </c>
      <c r="K254" s="321" t="s">
        <v>22</v>
      </c>
      <c r="L254" s="395" t="s">
        <v>19</v>
      </c>
      <c r="M254" s="487" t="s">
        <v>19</v>
      </c>
      <c r="N254" s="147"/>
    </row>
    <row r="255" ht="22.5" customHeight="1">
      <c r="A255" s="327" t="s">
        <v>6708</v>
      </c>
      <c r="B255" s="313" t="s">
        <v>6709</v>
      </c>
      <c r="C255" s="363" t="s">
        <v>16</v>
      </c>
      <c r="D255" s="267" t="s">
        <v>17</v>
      </c>
      <c r="E255" s="158" t="s">
        <v>18</v>
      </c>
      <c r="F255" s="363" t="s">
        <v>19</v>
      </c>
      <c r="G255" s="341" t="s">
        <v>20</v>
      </c>
      <c r="H255" s="363" t="s">
        <v>19</v>
      </c>
      <c r="I255" s="294" t="s">
        <v>21</v>
      </c>
      <c r="J255" s="363" t="s">
        <v>19</v>
      </c>
      <c r="K255" s="294" t="s">
        <v>22</v>
      </c>
      <c r="L255" s="396" t="s">
        <v>19</v>
      </c>
      <c r="M255" s="492" t="s">
        <v>19</v>
      </c>
      <c r="N255" s="155"/>
    </row>
    <row r="256" ht="22.5" customHeight="1">
      <c r="A256" s="463" t="s">
        <v>6710</v>
      </c>
      <c r="B256" s="420" t="s">
        <v>6711</v>
      </c>
      <c r="C256" s="382" t="s">
        <v>34</v>
      </c>
      <c r="D256" s="370" t="s">
        <v>40</v>
      </c>
      <c r="E256" s="420" t="s">
        <v>18</v>
      </c>
      <c r="F256" s="383" t="s">
        <v>19</v>
      </c>
      <c r="G256" s="344" t="s">
        <v>20</v>
      </c>
      <c r="H256" s="382" t="s">
        <v>31</v>
      </c>
      <c r="I256" s="321" t="s">
        <v>21</v>
      </c>
      <c r="J256" s="383" t="s">
        <v>19</v>
      </c>
      <c r="K256" s="321" t="s">
        <v>22</v>
      </c>
      <c r="L256" s="395" t="s">
        <v>19</v>
      </c>
      <c r="M256" s="487" t="s">
        <v>19</v>
      </c>
      <c r="N256" s="147"/>
    </row>
    <row r="257" ht="22.5" customHeight="1">
      <c r="A257" s="448"/>
      <c r="B257" s="313" t="s">
        <v>6712</v>
      </c>
      <c r="C257" s="363" t="s">
        <v>16</v>
      </c>
      <c r="D257" s="267" t="s">
        <v>17</v>
      </c>
      <c r="E257" s="158" t="s">
        <v>18</v>
      </c>
      <c r="F257" s="363" t="s">
        <v>19</v>
      </c>
      <c r="G257" s="341" t="s">
        <v>20</v>
      </c>
      <c r="H257" s="363" t="s">
        <v>19</v>
      </c>
      <c r="I257" s="294" t="s">
        <v>21</v>
      </c>
      <c r="J257" s="363" t="s">
        <v>19</v>
      </c>
      <c r="K257" s="294" t="s">
        <v>22</v>
      </c>
      <c r="L257" s="396" t="s">
        <v>19</v>
      </c>
      <c r="M257" s="492" t="s">
        <v>19</v>
      </c>
      <c r="N257" s="155"/>
    </row>
    <row r="258" ht="22.5" customHeight="1">
      <c r="A258" s="430"/>
      <c r="B258" s="420" t="s">
        <v>6713</v>
      </c>
      <c r="C258" s="382" t="s">
        <v>34</v>
      </c>
      <c r="D258" s="370" t="s">
        <v>40</v>
      </c>
      <c r="E258" s="420" t="s">
        <v>18</v>
      </c>
      <c r="F258" s="383" t="s">
        <v>19</v>
      </c>
      <c r="G258" s="344" t="s">
        <v>20</v>
      </c>
      <c r="H258" s="381" t="s">
        <v>26</v>
      </c>
      <c r="I258" s="321" t="s">
        <v>21</v>
      </c>
      <c r="J258" s="383" t="s">
        <v>19</v>
      </c>
      <c r="K258" s="321" t="s">
        <v>22</v>
      </c>
      <c r="L258" s="395" t="s">
        <v>19</v>
      </c>
      <c r="M258" s="487" t="s">
        <v>19</v>
      </c>
      <c r="N258" s="147"/>
    </row>
    <row r="259" ht="22.5" customHeight="1">
      <c r="A259" s="448"/>
      <c r="B259" s="313" t="s">
        <v>6714</v>
      </c>
      <c r="C259" s="363" t="s">
        <v>16</v>
      </c>
      <c r="D259" s="267" t="s">
        <v>17</v>
      </c>
      <c r="E259" s="158" t="s">
        <v>18</v>
      </c>
      <c r="F259" s="363" t="s">
        <v>19</v>
      </c>
      <c r="G259" s="341" t="s">
        <v>20</v>
      </c>
      <c r="H259" s="363" t="s">
        <v>19</v>
      </c>
      <c r="I259" s="294" t="s">
        <v>21</v>
      </c>
      <c r="J259" s="363" t="s">
        <v>19</v>
      </c>
      <c r="K259" s="294" t="s">
        <v>22</v>
      </c>
      <c r="L259" s="396" t="s">
        <v>19</v>
      </c>
      <c r="M259" s="492" t="s">
        <v>19</v>
      </c>
      <c r="N259" s="155"/>
    </row>
    <row r="260" ht="22.5" customHeight="1">
      <c r="A260" s="430"/>
      <c r="B260" s="420" t="s">
        <v>6715</v>
      </c>
      <c r="C260" s="383" t="s">
        <v>16</v>
      </c>
      <c r="D260" s="371" t="s">
        <v>17</v>
      </c>
      <c r="E260" s="420" t="s">
        <v>18</v>
      </c>
      <c r="F260" s="383" t="s">
        <v>19</v>
      </c>
      <c r="G260" s="344" t="s">
        <v>20</v>
      </c>
      <c r="H260" s="383" t="s">
        <v>19</v>
      </c>
      <c r="I260" s="321" t="s">
        <v>21</v>
      </c>
      <c r="J260" s="383" t="s">
        <v>19</v>
      </c>
      <c r="K260" s="321" t="s">
        <v>22</v>
      </c>
      <c r="L260" s="395" t="s">
        <v>19</v>
      </c>
      <c r="M260" s="487" t="s">
        <v>19</v>
      </c>
      <c r="N260" s="147"/>
    </row>
    <row r="261" ht="22.5" customHeight="1">
      <c r="A261" s="448"/>
      <c r="B261" s="313" t="s">
        <v>6716</v>
      </c>
      <c r="C261" s="311" t="s">
        <v>34</v>
      </c>
      <c r="D261" s="192" t="s">
        <v>49</v>
      </c>
      <c r="E261" s="158" t="s">
        <v>18</v>
      </c>
      <c r="F261" s="363" t="s">
        <v>19</v>
      </c>
      <c r="G261" s="341" t="s">
        <v>20</v>
      </c>
      <c r="H261" s="311" t="s">
        <v>31</v>
      </c>
      <c r="I261" s="294" t="s">
        <v>21</v>
      </c>
      <c r="J261" s="363" t="s">
        <v>19</v>
      </c>
      <c r="K261" s="294" t="s">
        <v>22</v>
      </c>
      <c r="L261" s="396" t="s">
        <v>19</v>
      </c>
      <c r="M261" s="486" t="s">
        <v>31</v>
      </c>
      <c r="N261" s="155"/>
    </row>
    <row r="262" ht="22.5" customHeight="1">
      <c r="A262" s="430"/>
      <c r="B262" s="420" t="s">
        <v>6717</v>
      </c>
      <c r="C262" s="383" t="s">
        <v>16</v>
      </c>
      <c r="D262" s="382" t="s">
        <v>419</v>
      </c>
      <c r="E262" s="420" t="s">
        <v>18</v>
      </c>
      <c r="F262" s="383" t="s">
        <v>19</v>
      </c>
      <c r="G262" s="344" t="s">
        <v>20</v>
      </c>
      <c r="H262" s="383" t="s">
        <v>19</v>
      </c>
      <c r="I262" s="321" t="s">
        <v>21</v>
      </c>
      <c r="J262" s="383" t="s">
        <v>19</v>
      </c>
      <c r="K262" s="321" t="s">
        <v>22</v>
      </c>
      <c r="L262" s="401" t="s">
        <v>5279</v>
      </c>
      <c r="M262" s="493" t="s">
        <v>5279</v>
      </c>
      <c r="N262" s="147"/>
    </row>
    <row r="263" ht="22.5" customHeight="1">
      <c r="A263" s="448"/>
      <c r="B263" s="313" t="s">
        <v>6718</v>
      </c>
      <c r="C263" s="311" t="s">
        <v>34</v>
      </c>
      <c r="D263" s="265" t="s">
        <v>40</v>
      </c>
      <c r="E263" s="158" t="s">
        <v>18</v>
      </c>
      <c r="F263" s="311" t="s">
        <v>31</v>
      </c>
      <c r="G263" s="341" t="s">
        <v>20</v>
      </c>
      <c r="H263" s="363" t="s">
        <v>19</v>
      </c>
      <c r="I263" s="294" t="s">
        <v>21</v>
      </c>
      <c r="J263" s="363" t="s">
        <v>19</v>
      </c>
      <c r="K263" s="294" t="s">
        <v>22</v>
      </c>
      <c r="L263" s="396" t="s">
        <v>19</v>
      </c>
      <c r="M263" s="492" t="s">
        <v>19</v>
      </c>
      <c r="N263" s="155"/>
    </row>
    <row r="264" ht="22.5" customHeight="1">
      <c r="A264" s="463" t="s">
        <v>6719</v>
      </c>
      <c r="B264" s="159" t="s">
        <v>6720</v>
      </c>
      <c r="C264" s="382" t="s">
        <v>34</v>
      </c>
      <c r="D264" s="370" t="s">
        <v>40</v>
      </c>
      <c r="E264" s="420" t="s">
        <v>18</v>
      </c>
      <c r="F264" s="382" t="s">
        <v>31</v>
      </c>
      <c r="G264" s="344" t="s">
        <v>20</v>
      </c>
      <c r="H264" s="382" t="s">
        <v>31</v>
      </c>
      <c r="I264" s="321" t="s">
        <v>21</v>
      </c>
      <c r="J264" s="383" t="s">
        <v>19</v>
      </c>
      <c r="K264" s="321" t="s">
        <v>22</v>
      </c>
      <c r="L264" s="395" t="s">
        <v>19</v>
      </c>
      <c r="M264" s="491" t="s">
        <v>31</v>
      </c>
      <c r="N264" s="147"/>
    </row>
    <row r="265" ht="22.5" customHeight="1">
      <c r="A265" s="448"/>
      <c r="B265" s="313" t="s">
        <v>6721</v>
      </c>
      <c r="C265" s="311" t="s">
        <v>34</v>
      </c>
      <c r="D265" s="192" t="s">
        <v>49</v>
      </c>
      <c r="E265" s="158" t="s">
        <v>18</v>
      </c>
      <c r="F265" s="199" t="s">
        <v>26</v>
      </c>
      <c r="G265" s="341" t="s">
        <v>20</v>
      </c>
      <c r="H265" s="392" t="s">
        <v>50</v>
      </c>
      <c r="I265" s="294" t="s">
        <v>21</v>
      </c>
      <c r="J265" s="392" t="s">
        <v>50</v>
      </c>
      <c r="K265" s="294" t="s">
        <v>22</v>
      </c>
      <c r="L265" s="396" t="s">
        <v>19</v>
      </c>
      <c r="M265" s="488" t="s">
        <v>50</v>
      </c>
      <c r="N265" s="155"/>
    </row>
    <row r="266" ht="22.5" customHeight="1">
      <c r="A266" s="368"/>
      <c r="B266" s="159" t="s">
        <v>6722</v>
      </c>
      <c r="C266" s="288" t="s">
        <v>16</v>
      </c>
      <c r="D266" s="212" t="s">
        <v>17</v>
      </c>
      <c r="E266" s="420" t="s">
        <v>18</v>
      </c>
      <c r="F266" s="288" t="s">
        <v>19</v>
      </c>
      <c r="G266" s="344" t="s">
        <v>20</v>
      </c>
      <c r="H266" s="288" t="s">
        <v>19</v>
      </c>
      <c r="I266" s="289" t="s">
        <v>21</v>
      </c>
      <c r="J266" s="288" t="s">
        <v>19</v>
      </c>
      <c r="K266" s="289" t="s">
        <v>22</v>
      </c>
      <c r="L266" s="290" t="s">
        <v>19</v>
      </c>
      <c r="M266" s="487" t="s">
        <v>19</v>
      </c>
      <c r="N266" s="147"/>
    </row>
    <row r="267" ht="22.5" customHeight="1">
      <c r="A267" s="448"/>
      <c r="B267" s="313" t="s">
        <v>6723</v>
      </c>
      <c r="C267" s="311" t="s">
        <v>34</v>
      </c>
      <c r="D267" s="265" t="s">
        <v>40</v>
      </c>
      <c r="E267" s="158" t="s">
        <v>18</v>
      </c>
      <c r="F267" s="363" t="s">
        <v>19</v>
      </c>
      <c r="G267" s="341" t="s">
        <v>20</v>
      </c>
      <c r="H267" s="363" t="s">
        <v>19</v>
      </c>
      <c r="I267" s="294" t="s">
        <v>21</v>
      </c>
      <c r="J267" s="311" t="s">
        <v>31</v>
      </c>
      <c r="K267" s="294" t="s">
        <v>22</v>
      </c>
      <c r="L267" s="396" t="s">
        <v>19</v>
      </c>
      <c r="M267" s="492" t="s">
        <v>19</v>
      </c>
      <c r="N267" s="155"/>
    </row>
    <row r="268" ht="22.5" customHeight="1">
      <c r="A268" s="463" t="s">
        <v>6724</v>
      </c>
      <c r="B268" s="420" t="s">
        <v>6725</v>
      </c>
      <c r="C268" s="382" t="s">
        <v>34</v>
      </c>
      <c r="D268" s="370" t="s">
        <v>40</v>
      </c>
      <c r="E268" s="420" t="s">
        <v>18</v>
      </c>
      <c r="F268" s="383" t="s">
        <v>19</v>
      </c>
      <c r="G268" s="344" t="s">
        <v>20</v>
      </c>
      <c r="H268" s="383" t="s">
        <v>19</v>
      </c>
      <c r="I268" s="321" t="s">
        <v>21</v>
      </c>
      <c r="J268" s="382" t="s">
        <v>31</v>
      </c>
      <c r="K268" s="321" t="s">
        <v>22</v>
      </c>
      <c r="L268" s="395" t="s">
        <v>19</v>
      </c>
      <c r="M268" s="491" t="s">
        <v>31</v>
      </c>
      <c r="N268" s="147"/>
    </row>
    <row r="269" ht="22.5" customHeight="1">
      <c r="A269" s="448"/>
      <c r="B269" s="313" t="s">
        <v>6726</v>
      </c>
      <c r="C269" s="363" t="s">
        <v>16</v>
      </c>
      <c r="D269" s="363" t="s">
        <v>813</v>
      </c>
      <c r="E269" s="158" t="s">
        <v>18</v>
      </c>
      <c r="F269" s="227" t="s">
        <v>640</v>
      </c>
      <c r="G269" s="341" t="s">
        <v>20</v>
      </c>
      <c r="H269" s="227" t="s">
        <v>5279</v>
      </c>
      <c r="I269" s="294" t="s">
        <v>21</v>
      </c>
      <c r="J269" s="227" t="s">
        <v>5279</v>
      </c>
      <c r="K269" s="294" t="s">
        <v>22</v>
      </c>
      <c r="L269" s="312" t="s">
        <v>5279</v>
      </c>
      <c r="M269" s="519" t="s">
        <v>5279</v>
      </c>
      <c r="N269" s="155"/>
    </row>
    <row r="270" ht="22.5" customHeight="1">
      <c r="A270" s="430"/>
      <c r="B270" s="420" t="s">
        <v>6727</v>
      </c>
      <c r="C270" s="382" t="s">
        <v>34</v>
      </c>
      <c r="D270" s="370" t="s">
        <v>40</v>
      </c>
      <c r="E270" s="420" t="s">
        <v>18</v>
      </c>
      <c r="F270" s="383" t="s">
        <v>19</v>
      </c>
      <c r="G270" s="344" t="s">
        <v>20</v>
      </c>
      <c r="H270" s="383" t="s">
        <v>19</v>
      </c>
      <c r="I270" s="321" t="s">
        <v>21</v>
      </c>
      <c r="J270" s="381" t="s">
        <v>26</v>
      </c>
      <c r="K270" s="321" t="s">
        <v>22</v>
      </c>
      <c r="L270" s="395" t="s">
        <v>19</v>
      </c>
      <c r="M270" s="487" t="s">
        <v>19</v>
      </c>
      <c r="N270" s="147"/>
    </row>
    <row r="271" ht="22.5" customHeight="1">
      <c r="A271" s="299" t="s">
        <v>637</v>
      </c>
      <c r="B271" s="313" t="s">
        <v>6728</v>
      </c>
      <c r="C271" s="311" t="s">
        <v>34</v>
      </c>
      <c r="D271" s="265" t="s">
        <v>40</v>
      </c>
      <c r="E271" s="158" t="s">
        <v>18</v>
      </c>
      <c r="F271" s="199" t="s">
        <v>26</v>
      </c>
      <c r="G271" s="341" t="s">
        <v>20</v>
      </c>
      <c r="H271" s="363" t="s">
        <v>19</v>
      </c>
      <c r="I271" s="294" t="s">
        <v>21</v>
      </c>
      <c r="J271" s="363" t="s">
        <v>19</v>
      </c>
      <c r="K271" s="294" t="s">
        <v>22</v>
      </c>
      <c r="L271" s="396" t="s">
        <v>19</v>
      </c>
      <c r="M271" s="492" t="s">
        <v>19</v>
      </c>
      <c r="N271" s="155"/>
    </row>
    <row r="272" ht="22.5" customHeight="1">
      <c r="A272" s="368"/>
      <c r="B272" s="159" t="s">
        <v>6729</v>
      </c>
      <c r="C272" s="288" t="s">
        <v>16</v>
      </c>
      <c r="D272" s="212" t="s">
        <v>17</v>
      </c>
      <c r="E272" s="420" t="s">
        <v>18</v>
      </c>
      <c r="F272" s="288" t="s">
        <v>19</v>
      </c>
      <c r="G272" s="344" t="s">
        <v>20</v>
      </c>
      <c r="H272" s="288" t="s">
        <v>19</v>
      </c>
      <c r="I272" s="289" t="s">
        <v>21</v>
      </c>
      <c r="J272" s="288" t="s">
        <v>19</v>
      </c>
      <c r="K272" s="289" t="s">
        <v>22</v>
      </c>
      <c r="L272" s="290" t="s">
        <v>19</v>
      </c>
      <c r="M272" s="487" t="s">
        <v>19</v>
      </c>
      <c r="N272" s="147"/>
    </row>
    <row r="273" ht="22.5" customHeight="1">
      <c r="A273" s="448"/>
      <c r="B273" s="313" t="s">
        <v>6730</v>
      </c>
      <c r="C273" s="363" t="s">
        <v>16</v>
      </c>
      <c r="D273" s="267" t="s">
        <v>17</v>
      </c>
      <c r="E273" s="158" t="s">
        <v>18</v>
      </c>
      <c r="F273" s="363" t="s">
        <v>19</v>
      </c>
      <c r="G273" s="341" t="s">
        <v>20</v>
      </c>
      <c r="H273" s="363" t="s">
        <v>19</v>
      </c>
      <c r="I273" s="294" t="s">
        <v>21</v>
      </c>
      <c r="J273" s="363" t="s">
        <v>19</v>
      </c>
      <c r="K273" s="294" t="s">
        <v>22</v>
      </c>
      <c r="L273" s="396" t="s">
        <v>19</v>
      </c>
      <c r="M273" s="492" t="s">
        <v>19</v>
      </c>
      <c r="N273" s="155"/>
    </row>
    <row r="274" ht="22.5" customHeight="1">
      <c r="A274" s="379" t="s">
        <v>637</v>
      </c>
      <c r="B274" s="420" t="s">
        <v>6731</v>
      </c>
      <c r="C274" s="382" t="s">
        <v>34</v>
      </c>
      <c r="D274" s="370" t="s">
        <v>40</v>
      </c>
      <c r="E274" s="420" t="s">
        <v>18</v>
      </c>
      <c r="F274" s="383" t="s">
        <v>19</v>
      </c>
      <c r="G274" s="344" t="s">
        <v>20</v>
      </c>
      <c r="H274" s="382" t="s">
        <v>31</v>
      </c>
      <c r="I274" s="321" t="s">
        <v>21</v>
      </c>
      <c r="J274" s="383" t="s">
        <v>19</v>
      </c>
      <c r="K274" s="321" t="s">
        <v>22</v>
      </c>
      <c r="L274" s="395" t="s">
        <v>19</v>
      </c>
      <c r="M274" s="487" t="s">
        <v>19</v>
      </c>
      <c r="N274" s="147"/>
    </row>
    <row r="275" ht="22.5" customHeight="1">
      <c r="A275" s="448"/>
      <c r="B275" s="313" t="s">
        <v>6732</v>
      </c>
      <c r="C275" s="363" t="s">
        <v>16</v>
      </c>
      <c r="D275" s="267" t="s">
        <v>17</v>
      </c>
      <c r="E275" s="158" t="s">
        <v>18</v>
      </c>
      <c r="F275" s="363" t="s">
        <v>19</v>
      </c>
      <c r="G275" s="341" t="s">
        <v>20</v>
      </c>
      <c r="H275" s="363" t="s">
        <v>19</v>
      </c>
      <c r="I275" s="294" t="s">
        <v>21</v>
      </c>
      <c r="J275" s="363" t="s">
        <v>19</v>
      </c>
      <c r="K275" s="294" t="s">
        <v>22</v>
      </c>
      <c r="L275" s="396" t="s">
        <v>19</v>
      </c>
      <c r="M275" s="492" t="s">
        <v>19</v>
      </c>
      <c r="N275" s="155"/>
    </row>
    <row r="276" ht="22.5" customHeight="1">
      <c r="A276" s="430"/>
      <c r="B276" s="420" t="s">
        <v>6733</v>
      </c>
      <c r="C276" s="383" t="s">
        <v>16</v>
      </c>
      <c r="D276" s="371" t="s">
        <v>17</v>
      </c>
      <c r="E276" s="420" t="s">
        <v>18</v>
      </c>
      <c r="F276" s="288" t="s">
        <v>19</v>
      </c>
      <c r="G276" s="344" t="s">
        <v>20</v>
      </c>
      <c r="H276" s="288" t="s">
        <v>19</v>
      </c>
      <c r="I276" s="321" t="s">
        <v>21</v>
      </c>
      <c r="J276" s="288" t="s">
        <v>19</v>
      </c>
      <c r="K276" s="321" t="s">
        <v>22</v>
      </c>
      <c r="L276" s="290" t="s">
        <v>19</v>
      </c>
      <c r="M276" s="487" t="s">
        <v>19</v>
      </c>
      <c r="N276" s="147"/>
    </row>
    <row r="277" ht="22.5" customHeight="1">
      <c r="A277" s="448"/>
      <c r="B277" s="313" t="s">
        <v>6734</v>
      </c>
      <c r="C277" s="311" t="s">
        <v>34</v>
      </c>
      <c r="D277" s="192" t="s">
        <v>49</v>
      </c>
      <c r="E277" s="158" t="s">
        <v>18</v>
      </c>
      <c r="F277" s="311" t="s">
        <v>31</v>
      </c>
      <c r="G277" s="341" t="s">
        <v>20</v>
      </c>
      <c r="H277" s="227" t="s">
        <v>5279</v>
      </c>
      <c r="I277" s="294" t="s">
        <v>21</v>
      </c>
      <c r="J277" s="227" t="s">
        <v>5279</v>
      </c>
      <c r="K277" s="294" t="s">
        <v>22</v>
      </c>
      <c r="L277" s="312" t="s">
        <v>5279</v>
      </c>
      <c r="M277" s="519" t="s">
        <v>5279</v>
      </c>
      <c r="N277" s="155"/>
    </row>
    <row r="278" ht="22.5" customHeight="1">
      <c r="A278" s="430"/>
      <c r="B278" s="541" t="s">
        <v>6735</v>
      </c>
      <c r="C278" s="382" t="s">
        <v>34</v>
      </c>
      <c r="D278" s="372" t="s">
        <v>49</v>
      </c>
      <c r="E278" s="420" t="s">
        <v>18</v>
      </c>
      <c r="F278" s="382" t="s">
        <v>31</v>
      </c>
      <c r="G278" s="344" t="s">
        <v>20</v>
      </c>
      <c r="H278" s="381" t="s">
        <v>26</v>
      </c>
      <c r="I278" s="321" t="s">
        <v>21</v>
      </c>
      <c r="J278" s="382" t="s">
        <v>31</v>
      </c>
      <c r="K278" s="321" t="s">
        <v>22</v>
      </c>
      <c r="L278" s="395" t="s">
        <v>19</v>
      </c>
      <c r="M278" s="493" t="s">
        <v>5279</v>
      </c>
      <c r="N278" s="147"/>
    </row>
    <row r="279" ht="22.5" customHeight="1">
      <c r="A279" s="448"/>
      <c r="B279" s="313" t="s">
        <v>6736</v>
      </c>
      <c r="C279" s="363" t="s">
        <v>16</v>
      </c>
      <c r="D279" s="267" t="s">
        <v>17</v>
      </c>
      <c r="E279" s="158" t="s">
        <v>18</v>
      </c>
      <c r="F279" s="363" t="s">
        <v>19</v>
      </c>
      <c r="G279" s="341" t="s">
        <v>20</v>
      </c>
      <c r="H279" s="363" t="s">
        <v>19</v>
      </c>
      <c r="I279" s="294" t="s">
        <v>21</v>
      </c>
      <c r="J279" s="363" t="s">
        <v>19</v>
      </c>
      <c r="K279" s="294" t="s">
        <v>22</v>
      </c>
      <c r="L279" s="396" t="s">
        <v>19</v>
      </c>
      <c r="M279" s="492" t="s">
        <v>19</v>
      </c>
      <c r="N279" s="155"/>
    </row>
    <row r="280" ht="22.5" customHeight="1">
      <c r="A280" s="463" t="s">
        <v>6737</v>
      </c>
      <c r="B280" s="420" t="s">
        <v>6738</v>
      </c>
      <c r="C280" s="382" t="s">
        <v>34</v>
      </c>
      <c r="D280" s="372" t="s">
        <v>49</v>
      </c>
      <c r="E280" s="420" t="s">
        <v>18</v>
      </c>
      <c r="F280" s="382" t="s">
        <v>31</v>
      </c>
      <c r="G280" s="344" t="s">
        <v>20</v>
      </c>
      <c r="H280" s="385" t="s">
        <v>50</v>
      </c>
      <c r="I280" s="321" t="s">
        <v>21</v>
      </c>
      <c r="J280" s="385" t="s">
        <v>50</v>
      </c>
      <c r="K280" s="321" t="s">
        <v>22</v>
      </c>
      <c r="L280" s="395" t="s">
        <v>19</v>
      </c>
      <c r="M280" s="487" t="s">
        <v>19</v>
      </c>
      <c r="N280" s="147"/>
    </row>
    <row r="281" ht="22.5" customHeight="1">
      <c r="A281" s="327" t="s">
        <v>6739</v>
      </c>
      <c r="B281" s="313" t="s">
        <v>6740</v>
      </c>
      <c r="C281" s="363" t="s">
        <v>16</v>
      </c>
      <c r="D281" s="267" t="s">
        <v>17</v>
      </c>
      <c r="E281" s="158" t="s">
        <v>18</v>
      </c>
      <c r="F281" s="363" t="s">
        <v>19</v>
      </c>
      <c r="G281" s="341" t="s">
        <v>20</v>
      </c>
      <c r="H281" s="363" t="s">
        <v>19</v>
      </c>
      <c r="I281" s="294" t="s">
        <v>21</v>
      </c>
      <c r="J281" s="363" t="s">
        <v>19</v>
      </c>
      <c r="K281" s="294" t="s">
        <v>22</v>
      </c>
      <c r="L281" s="396" t="s">
        <v>19</v>
      </c>
      <c r="M281" s="492" t="s">
        <v>19</v>
      </c>
      <c r="N281" s="155"/>
    </row>
    <row r="282" ht="22.5" customHeight="1">
      <c r="A282" s="463" t="s">
        <v>6741</v>
      </c>
      <c r="B282" s="420" t="s">
        <v>6742</v>
      </c>
      <c r="C282" s="383" t="s">
        <v>16</v>
      </c>
      <c r="D282" s="372" t="s">
        <v>49</v>
      </c>
      <c r="E282" s="420" t="s">
        <v>18</v>
      </c>
      <c r="F282" s="385" t="s">
        <v>50</v>
      </c>
      <c r="G282" s="344" t="s">
        <v>20</v>
      </c>
      <c r="H282" s="385" t="s">
        <v>50</v>
      </c>
      <c r="I282" s="321" t="s">
        <v>21</v>
      </c>
      <c r="J282" s="385" t="s">
        <v>50</v>
      </c>
      <c r="K282" s="321" t="s">
        <v>22</v>
      </c>
      <c r="L282" s="512" t="s">
        <v>50</v>
      </c>
      <c r="M282" s="494" t="s">
        <v>50</v>
      </c>
      <c r="N282" s="147"/>
    </row>
    <row r="283" ht="22.5" customHeight="1">
      <c r="A283" s="327" t="s">
        <v>6743</v>
      </c>
      <c r="B283" s="313" t="s">
        <v>6744</v>
      </c>
      <c r="C283" s="363" t="s">
        <v>16</v>
      </c>
      <c r="D283" s="267" t="s">
        <v>17</v>
      </c>
      <c r="E283" s="158" t="s">
        <v>18</v>
      </c>
      <c r="F283" s="363" t="s">
        <v>19</v>
      </c>
      <c r="G283" s="341" t="s">
        <v>20</v>
      </c>
      <c r="H283" s="363" t="s">
        <v>19</v>
      </c>
      <c r="I283" s="294" t="s">
        <v>21</v>
      </c>
      <c r="J283" s="363" t="s">
        <v>19</v>
      </c>
      <c r="K283" s="294" t="s">
        <v>22</v>
      </c>
      <c r="L283" s="396" t="s">
        <v>19</v>
      </c>
      <c r="M283" s="492" t="s">
        <v>19</v>
      </c>
      <c r="N283" s="155"/>
    </row>
    <row r="284" ht="22.5" customHeight="1">
      <c r="A284" s="379" t="s">
        <v>637</v>
      </c>
      <c r="B284" s="420" t="s">
        <v>6745</v>
      </c>
      <c r="C284" s="382" t="s">
        <v>34</v>
      </c>
      <c r="D284" s="370" t="s">
        <v>40</v>
      </c>
      <c r="E284" s="420" t="s">
        <v>18</v>
      </c>
      <c r="F284" s="382" t="s">
        <v>31</v>
      </c>
      <c r="G284" s="344" t="s">
        <v>20</v>
      </c>
      <c r="H284" s="383" t="s">
        <v>19</v>
      </c>
      <c r="I284" s="321" t="s">
        <v>21</v>
      </c>
      <c r="J284" s="383" t="s">
        <v>19</v>
      </c>
      <c r="K284" s="321" t="s">
        <v>22</v>
      </c>
      <c r="L284" s="395" t="s">
        <v>19</v>
      </c>
      <c r="M284" s="487" t="s">
        <v>19</v>
      </c>
      <c r="N284" s="147"/>
    </row>
    <row r="285" ht="22.5" customHeight="1">
      <c r="A285" s="299" t="s">
        <v>637</v>
      </c>
      <c r="B285" s="313" t="s">
        <v>6746</v>
      </c>
      <c r="C285" s="311" t="s">
        <v>34</v>
      </c>
      <c r="D285" s="392" t="s">
        <v>35</v>
      </c>
      <c r="E285" s="158" t="s">
        <v>18</v>
      </c>
      <c r="F285" s="311" t="s">
        <v>31</v>
      </c>
      <c r="G285" s="341" t="s">
        <v>20</v>
      </c>
      <c r="H285" s="311" t="s">
        <v>31</v>
      </c>
      <c r="I285" s="294" t="s">
        <v>21</v>
      </c>
      <c r="J285" s="363" t="s">
        <v>19</v>
      </c>
      <c r="K285" s="294" t="s">
        <v>22</v>
      </c>
      <c r="L285" s="396" t="s">
        <v>19</v>
      </c>
      <c r="M285" s="486" t="s">
        <v>31</v>
      </c>
      <c r="N285" s="155"/>
    </row>
    <row r="286" ht="22.5" customHeight="1">
      <c r="A286" s="379" t="s">
        <v>637</v>
      </c>
      <c r="B286" s="420" t="s">
        <v>6747</v>
      </c>
      <c r="C286" s="382" t="s">
        <v>34</v>
      </c>
      <c r="D286" s="370" t="s">
        <v>40</v>
      </c>
      <c r="E286" s="420" t="s">
        <v>18</v>
      </c>
      <c r="F286" s="383" t="s">
        <v>19</v>
      </c>
      <c r="G286" s="344" t="s">
        <v>20</v>
      </c>
      <c r="H286" s="382" t="s">
        <v>31</v>
      </c>
      <c r="I286" s="321" t="s">
        <v>21</v>
      </c>
      <c r="J286" s="383" t="s">
        <v>19</v>
      </c>
      <c r="K286" s="321" t="s">
        <v>22</v>
      </c>
      <c r="L286" s="395" t="s">
        <v>19</v>
      </c>
      <c r="M286" s="487" t="s">
        <v>19</v>
      </c>
      <c r="N286" s="147"/>
    </row>
    <row r="287" ht="22.5" customHeight="1">
      <c r="A287" s="299" t="s">
        <v>637</v>
      </c>
      <c r="B287" s="313" t="s">
        <v>6748</v>
      </c>
      <c r="C287" s="311" t="s">
        <v>34</v>
      </c>
      <c r="D287" s="265" t="s">
        <v>40</v>
      </c>
      <c r="E287" s="158" t="s">
        <v>18</v>
      </c>
      <c r="F287" s="363" t="s">
        <v>19</v>
      </c>
      <c r="G287" s="341" t="s">
        <v>20</v>
      </c>
      <c r="H287" s="199" t="s">
        <v>26</v>
      </c>
      <c r="I287" s="294" t="s">
        <v>21</v>
      </c>
      <c r="J287" s="363" t="s">
        <v>19</v>
      </c>
      <c r="K287" s="294" t="s">
        <v>22</v>
      </c>
      <c r="L287" s="396" t="s">
        <v>19</v>
      </c>
      <c r="M287" s="492" t="s">
        <v>19</v>
      </c>
      <c r="N287" s="155"/>
    </row>
    <row r="288" ht="22.5" customHeight="1">
      <c r="A288" s="379" t="s">
        <v>637</v>
      </c>
      <c r="B288" s="420" t="s">
        <v>6749</v>
      </c>
      <c r="C288" s="382" t="s">
        <v>34</v>
      </c>
      <c r="D288" s="500" t="s">
        <v>25</v>
      </c>
      <c r="E288" s="420" t="s">
        <v>18</v>
      </c>
      <c r="F288" s="383" t="s">
        <v>19</v>
      </c>
      <c r="G288" s="344" t="s">
        <v>20</v>
      </c>
      <c r="H288" s="382" t="s">
        <v>31</v>
      </c>
      <c r="I288" s="321" t="s">
        <v>21</v>
      </c>
      <c r="J288" s="383" t="s">
        <v>19</v>
      </c>
      <c r="K288" s="321" t="s">
        <v>22</v>
      </c>
      <c r="L288" s="393" t="s">
        <v>31</v>
      </c>
      <c r="M288" s="493" t="s">
        <v>5279</v>
      </c>
      <c r="N288" s="147"/>
    </row>
    <row r="289" ht="22.5" customHeight="1">
      <c r="A289" s="299" t="s">
        <v>637</v>
      </c>
      <c r="B289" s="313" t="s">
        <v>6750</v>
      </c>
      <c r="C289" s="311" t="s">
        <v>34</v>
      </c>
      <c r="D289" s="265" t="s">
        <v>40</v>
      </c>
      <c r="E289" s="158" t="s">
        <v>18</v>
      </c>
      <c r="F289" s="363" t="s">
        <v>19</v>
      </c>
      <c r="G289" s="341" t="s">
        <v>20</v>
      </c>
      <c r="H289" s="311" t="s">
        <v>31</v>
      </c>
      <c r="I289" s="294" t="s">
        <v>21</v>
      </c>
      <c r="J289" s="363" t="s">
        <v>19</v>
      </c>
      <c r="K289" s="294" t="s">
        <v>22</v>
      </c>
      <c r="L289" s="396" t="s">
        <v>19</v>
      </c>
      <c r="M289" s="492" t="s">
        <v>19</v>
      </c>
      <c r="N289" s="155"/>
    </row>
    <row r="290" ht="22.5" customHeight="1">
      <c r="A290" s="379" t="s">
        <v>637</v>
      </c>
      <c r="B290" s="420" t="s">
        <v>6751</v>
      </c>
      <c r="C290" s="383" t="s">
        <v>16</v>
      </c>
      <c r="D290" s="371" t="s">
        <v>17</v>
      </c>
      <c r="E290" s="420" t="s">
        <v>18</v>
      </c>
      <c r="F290" s="288" t="s">
        <v>19</v>
      </c>
      <c r="G290" s="344" t="s">
        <v>20</v>
      </c>
      <c r="H290" s="383" t="s">
        <v>19</v>
      </c>
      <c r="I290" s="321" t="s">
        <v>21</v>
      </c>
      <c r="J290" s="288" t="s">
        <v>19</v>
      </c>
      <c r="K290" s="321" t="s">
        <v>22</v>
      </c>
      <c r="L290" s="290" t="s">
        <v>19</v>
      </c>
      <c r="M290" s="487" t="s">
        <v>19</v>
      </c>
      <c r="N290" s="147"/>
    </row>
    <row r="291" ht="22.5" customHeight="1">
      <c r="A291" s="299" t="s">
        <v>637</v>
      </c>
      <c r="B291" s="313" t="s">
        <v>6752</v>
      </c>
      <c r="C291" s="363" t="s">
        <v>16</v>
      </c>
      <c r="D291" s="267" t="s">
        <v>17</v>
      </c>
      <c r="E291" s="158" t="s">
        <v>18</v>
      </c>
      <c r="F291" s="363" t="s">
        <v>19</v>
      </c>
      <c r="G291" s="341" t="s">
        <v>20</v>
      </c>
      <c r="H291" s="363" t="s">
        <v>19</v>
      </c>
      <c r="I291" s="294" t="s">
        <v>21</v>
      </c>
      <c r="J291" s="363" t="s">
        <v>19</v>
      </c>
      <c r="K291" s="294" t="s">
        <v>22</v>
      </c>
      <c r="L291" s="396" t="s">
        <v>19</v>
      </c>
      <c r="M291" s="492" t="s">
        <v>19</v>
      </c>
      <c r="N291" s="155"/>
    </row>
    <row r="292" ht="22.5" customHeight="1">
      <c r="A292" s="379" t="s">
        <v>637</v>
      </c>
      <c r="B292" s="420" t="s">
        <v>6753</v>
      </c>
      <c r="C292" s="382" t="s">
        <v>34</v>
      </c>
      <c r="D292" s="372" t="s">
        <v>49</v>
      </c>
      <c r="E292" s="420" t="s">
        <v>18</v>
      </c>
      <c r="F292" s="385" t="s">
        <v>50</v>
      </c>
      <c r="G292" s="344" t="s">
        <v>20</v>
      </c>
      <c r="H292" s="385" t="s">
        <v>50</v>
      </c>
      <c r="I292" s="321" t="s">
        <v>21</v>
      </c>
      <c r="J292" s="385" t="s">
        <v>50</v>
      </c>
      <c r="K292" s="321" t="s">
        <v>22</v>
      </c>
      <c r="L292" s="401" t="s">
        <v>5279</v>
      </c>
      <c r="M292" s="493" t="s">
        <v>5279</v>
      </c>
      <c r="N292" s="147"/>
    </row>
    <row r="293" ht="22.5" customHeight="1">
      <c r="A293" s="299" t="s">
        <v>637</v>
      </c>
      <c r="B293" s="476" t="s">
        <v>6754</v>
      </c>
      <c r="C293" s="363" t="s">
        <v>16</v>
      </c>
      <c r="D293" s="267" t="s">
        <v>17</v>
      </c>
      <c r="E293" s="158" t="s">
        <v>18</v>
      </c>
      <c r="F293" s="363" t="s">
        <v>19</v>
      </c>
      <c r="G293" s="341" t="s">
        <v>20</v>
      </c>
      <c r="H293" s="363" t="s">
        <v>19</v>
      </c>
      <c r="I293" s="294" t="s">
        <v>21</v>
      </c>
      <c r="J293" s="363" t="s">
        <v>19</v>
      </c>
      <c r="K293" s="294" t="s">
        <v>22</v>
      </c>
      <c r="L293" s="396" t="s">
        <v>19</v>
      </c>
      <c r="M293" s="492" t="s">
        <v>19</v>
      </c>
      <c r="N293" s="155"/>
    </row>
    <row r="294" ht="22.5" customHeight="1">
      <c r="A294" s="379" t="s">
        <v>637</v>
      </c>
      <c r="B294" s="420" t="s">
        <v>6755</v>
      </c>
      <c r="C294" s="383" t="s">
        <v>16</v>
      </c>
      <c r="D294" s="371" t="s">
        <v>17</v>
      </c>
      <c r="E294" s="420" t="s">
        <v>18</v>
      </c>
      <c r="F294" s="383" t="s">
        <v>19</v>
      </c>
      <c r="G294" s="344" t="s">
        <v>20</v>
      </c>
      <c r="H294" s="383" t="s">
        <v>19</v>
      </c>
      <c r="I294" s="321" t="s">
        <v>21</v>
      </c>
      <c r="J294" s="288" t="s">
        <v>19</v>
      </c>
      <c r="K294" s="321" t="s">
        <v>22</v>
      </c>
      <c r="L294" s="290" t="s">
        <v>19</v>
      </c>
      <c r="M294" s="487" t="s">
        <v>19</v>
      </c>
      <c r="N294" s="147"/>
    </row>
    <row r="295" ht="22.5" customHeight="1">
      <c r="A295" s="299" t="s">
        <v>637</v>
      </c>
      <c r="B295" s="313" t="s">
        <v>6756</v>
      </c>
      <c r="C295" s="311" t="s">
        <v>34</v>
      </c>
      <c r="D295" s="265" t="s">
        <v>40</v>
      </c>
      <c r="E295" s="158" t="s">
        <v>18</v>
      </c>
      <c r="F295" s="199" t="s">
        <v>26</v>
      </c>
      <c r="G295" s="341" t="s">
        <v>20</v>
      </c>
      <c r="H295" s="363" t="s">
        <v>19</v>
      </c>
      <c r="I295" s="294" t="s">
        <v>21</v>
      </c>
      <c r="J295" s="363" t="s">
        <v>19</v>
      </c>
      <c r="K295" s="294" t="s">
        <v>22</v>
      </c>
      <c r="L295" s="396" t="s">
        <v>19</v>
      </c>
      <c r="M295" s="492" t="s">
        <v>19</v>
      </c>
      <c r="N295" s="155"/>
    </row>
    <row r="296" ht="22.5" customHeight="1">
      <c r="A296" s="379" t="s">
        <v>637</v>
      </c>
      <c r="B296" s="420" t="s">
        <v>6757</v>
      </c>
      <c r="C296" s="383" t="s">
        <v>16</v>
      </c>
      <c r="D296" s="371" t="s">
        <v>17</v>
      </c>
      <c r="E296" s="420" t="s">
        <v>18</v>
      </c>
      <c r="F296" s="383" t="s">
        <v>19</v>
      </c>
      <c r="G296" s="344" t="s">
        <v>20</v>
      </c>
      <c r="H296" s="383" t="s">
        <v>19</v>
      </c>
      <c r="I296" s="321" t="s">
        <v>21</v>
      </c>
      <c r="J296" s="288" t="s">
        <v>19</v>
      </c>
      <c r="K296" s="321" t="s">
        <v>22</v>
      </c>
      <c r="L296" s="290" t="s">
        <v>19</v>
      </c>
      <c r="M296" s="487" t="s">
        <v>19</v>
      </c>
      <c r="N296" s="147"/>
    </row>
    <row r="297" ht="22.5" customHeight="1">
      <c r="A297" s="327" t="s">
        <v>6758</v>
      </c>
      <c r="B297" s="313" t="s">
        <v>6759</v>
      </c>
      <c r="C297" s="363" t="s">
        <v>16</v>
      </c>
      <c r="D297" s="267" t="s">
        <v>17</v>
      </c>
      <c r="E297" s="158" t="s">
        <v>18</v>
      </c>
      <c r="F297" s="363" t="s">
        <v>19</v>
      </c>
      <c r="G297" s="341" t="s">
        <v>20</v>
      </c>
      <c r="H297" s="363" t="s">
        <v>19</v>
      </c>
      <c r="I297" s="294" t="s">
        <v>21</v>
      </c>
      <c r="J297" s="363" t="s">
        <v>19</v>
      </c>
      <c r="K297" s="294" t="s">
        <v>22</v>
      </c>
      <c r="L297" s="396" t="s">
        <v>19</v>
      </c>
      <c r="M297" s="492" t="s">
        <v>19</v>
      </c>
      <c r="N297" s="155"/>
    </row>
    <row r="298" ht="22.5" customHeight="1">
      <c r="A298" s="379" t="s">
        <v>637</v>
      </c>
      <c r="B298" s="420" t="s">
        <v>6760</v>
      </c>
      <c r="C298" s="382" t="s">
        <v>34</v>
      </c>
      <c r="D298" s="370" t="s">
        <v>40</v>
      </c>
      <c r="E298" s="418"/>
      <c r="F298" s="382" t="s">
        <v>31</v>
      </c>
      <c r="G298" s="197"/>
      <c r="H298" s="381" t="s">
        <v>26</v>
      </c>
      <c r="I298" s="542"/>
      <c r="J298" s="383" t="s">
        <v>19</v>
      </c>
      <c r="K298" s="542"/>
      <c r="L298" s="395" t="s">
        <v>19</v>
      </c>
      <c r="M298" s="487" t="s">
        <v>19</v>
      </c>
      <c r="N298" s="147"/>
    </row>
    <row r="299" ht="22.5" customHeight="1">
      <c r="A299" s="299" t="s">
        <v>637</v>
      </c>
      <c r="B299" s="313" t="s">
        <v>6761</v>
      </c>
      <c r="C299" s="363" t="s">
        <v>16</v>
      </c>
      <c r="D299" s="267" t="s">
        <v>17</v>
      </c>
      <c r="E299" s="196"/>
      <c r="F299" s="363" t="s">
        <v>19</v>
      </c>
      <c r="G299" s="415"/>
      <c r="H299" s="363" t="s">
        <v>19</v>
      </c>
      <c r="I299" s="530"/>
      <c r="J299" s="363" t="s">
        <v>19</v>
      </c>
      <c r="K299" s="530"/>
      <c r="L299" s="396" t="s">
        <v>19</v>
      </c>
      <c r="M299" s="492" t="s">
        <v>19</v>
      </c>
      <c r="N299" s="155"/>
    </row>
    <row r="300" ht="22.5" customHeight="1">
      <c r="A300" s="379" t="s">
        <v>637</v>
      </c>
      <c r="B300" s="420" t="s">
        <v>6762</v>
      </c>
      <c r="C300" s="382" t="s">
        <v>34</v>
      </c>
      <c r="D300" s="522" t="s">
        <v>30</v>
      </c>
      <c r="E300" s="420" t="s">
        <v>18</v>
      </c>
      <c r="F300" s="382" t="s">
        <v>31</v>
      </c>
      <c r="G300" s="343" t="s">
        <v>20</v>
      </c>
      <c r="H300" s="382" t="s">
        <v>31</v>
      </c>
      <c r="I300" s="321" t="s">
        <v>21</v>
      </c>
      <c r="J300" s="383" t="s">
        <v>19</v>
      </c>
      <c r="K300" s="321" t="s">
        <v>22</v>
      </c>
      <c r="L300" s="395" t="s">
        <v>19</v>
      </c>
      <c r="M300" s="487" t="s">
        <v>19</v>
      </c>
      <c r="N300" s="147"/>
    </row>
    <row r="301" ht="22.5" customHeight="1">
      <c r="A301" s="299" t="s">
        <v>637</v>
      </c>
      <c r="B301" s="313" t="s">
        <v>6763</v>
      </c>
      <c r="C301" s="363" t="s">
        <v>16</v>
      </c>
      <c r="D301" s="267" t="s">
        <v>17</v>
      </c>
      <c r="E301" s="415"/>
      <c r="F301" s="363" t="s">
        <v>19</v>
      </c>
      <c r="G301" s="415"/>
      <c r="H301" s="363" t="s">
        <v>19</v>
      </c>
      <c r="I301" s="530"/>
      <c r="J301" s="363" t="s">
        <v>19</v>
      </c>
      <c r="K301" s="530"/>
      <c r="L301" s="396" t="s">
        <v>19</v>
      </c>
      <c r="M301" s="492" t="s">
        <v>19</v>
      </c>
      <c r="N301" s="155"/>
    </row>
    <row r="302" ht="22.5" customHeight="1">
      <c r="A302" s="379" t="s">
        <v>637</v>
      </c>
      <c r="B302" s="420" t="s">
        <v>6764</v>
      </c>
      <c r="C302" s="382" t="s">
        <v>34</v>
      </c>
      <c r="D302" s="370" t="s">
        <v>40</v>
      </c>
      <c r="E302" s="418"/>
      <c r="F302" s="383" t="s">
        <v>19</v>
      </c>
      <c r="G302" s="418"/>
      <c r="H302" s="382" t="s">
        <v>31</v>
      </c>
      <c r="I302" s="542"/>
      <c r="J302" s="383" t="s">
        <v>19</v>
      </c>
      <c r="K302" s="542"/>
      <c r="L302" s="395" t="s">
        <v>19</v>
      </c>
      <c r="M302" s="487" t="s">
        <v>19</v>
      </c>
      <c r="N302" s="147"/>
    </row>
    <row r="303" ht="22.5" customHeight="1">
      <c r="A303" s="299" t="s">
        <v>6765</v>
      </c>
      <c r="B303" s="313" t="s">
        <v>6766</v>
      </c>
      <c r="C303" s="311" t="s">
        <v>34</v>
      </c>
      <c r="D303" s="192" t="s">
        <v>49</v>
      </c>
      <c r="E303" s="415"/>
      <c r="F303" s="311" t="s">
        <v>31</v>
      </c>
      <c r="G303" s="415"/>
      <c r="H303" s="363" t="s">
        <v>19</v>
      </c>
      <c r="I303" s="530"/>
      <c r="J303" s="363" t="s">
        <v>19</v>
      </c>
      <c r="K303" s="530"/>
      <c r="L303" s="495" t="s">
        <v>50</v>
      </c>
      <c r="M303" s="488" t="s">
        <v>50</v>
      </c>
      <c r="N303" s="155"/>
    </row>
    <row r="304" ht="22.5" customHeight="1">
      <c r="A304" s="379" t="s">
        <v>637</v>
      </c>
      <c r="B304" s="420" t="s">
        <v>6767</v>
      </c>
      <c r="C304" s="382" t="s">
        <v>34</v>
      </c>
      <c r="D304" s="370" t="s">
        <v>40</v>
      </c>
      <c r="E304" s="418"/>
      <c r="F304" s="382" t="s">
        <v>31</v>
      </c>
      <c r="G304" s="418"/>
      <c r="H304" s="382" t="s">
        <v>31</v>
      </c>
      <c r="I304" s="542"/>
      <c r="J304" s="383" t="s">
        <v>19</v>
      </c>
      <c r="K304" s="542"/>
      <c r="L304" s="395" t="s">
        <v>19</v>
      </c>
      <c r="M304" s="487" t="s">
        <v>19</v>
      </c>
      <c r="N304" s="147"/>
    </row>
    <row r="305" ht="22.5" customHeight="1">
      <c r="A305" s="299" t="s">
        <v>637</v>
      </c>
      <c r="B305" s="313" t="s">
        <v>6768</v>
      </c>
      <c r="C305" s="363" t="s">
        <v>16</v>
      </c>
      <c r="D305" s="267" t="s">
        <v>17</v>
      </c>
      <c r="E305" s="415"/>
      <c r="F305" s="363" t="s">
        <v>19</v>
      </c>
      <c r="G305" s="415"/>
      <c r="H305" s="363" t="s">
        <v>19</v>
      </c>
      <c r="I305" s="530"/>
      <c r="J305" s="363" t="s">
        <v>19</v>
      </c>
      <c r="K305" s="530"/>
      <c r="L305" s="396" t="s">
        <v>19</v>
      </c>
      <c r="M305" s="492" t="s">
        <v>19</v>
      </c>
      <c r="N305" s="155"/>
    </row>
    <row r="306" ht="22.5" customHeight="1">
      <c r="A306" s="379" t="s">
        <v>637</v>
      </c>
      <c r="B306" s="420" t="s">
        <v>6769</v>
      </c>
      <c r="C306" s="382" t="s">
        <v>34</v>
      </c>
      <c r="D306" s="372" t="s">
        <v>49</v>
      </c>
      <c r="E306" s="418"/>
      <c r="F306" s="382" t="s">
        <v>31</v>
      </c>
      <c r="G306" s="197"/>
      <c r="H306" s="383" t="s">
        <v>19</v>
      </c>
      <c r="I306" s="542"/>
      <c r="J306" s="382" t="s">
        <v>31</v>
      </c>
      <c r="K306" s="542"/>
      <c r="L306" s="395" t="s">
        <v>19</v>
      </c>
      <c r="M306" s="487" t="s">
        <v>19</v>
      </c>
      <c r="N306" s="147"/>
    </row>
    <row r="307" ht="22.5" customHeight="1">
      <c r="A307" s="299" t="s">
        <v>637</v>
      </c>
      <c r="B307" s="313" t="s">
        <v>4901</v>
      </c>
      <c r="C307" s="311" t="s">
        <v>34</v>
      </c>
      <c r="D307" s="268" t="s">
        <v>30</v>
      </c>
      <c r="E307" s="415"/>
      <c r="F307" s="311" t="s">
        <v>31</v>
      </c>
      <c r="G307" s="415"/>
      <c r="H307" s="363" t="s">
        <v>19</v>
      </c>
      <c r="I307" s="530"/>
      <c r="J307" s="311" t="s">
        <v>31</v>
      </c>
      <c r="K307" s="530"/>
      <c r="L307" s="396" t="s">
        <v>19</v>
      </c>
      <c r="M307" s="492" t="s">
        <v>19</v>
      </c>
      <c r="N307" s="155"/>
    </row>
    <row r="308" ht="22.5" customHeight="1">
      <c r="A308" s="379" t="s">
        <v>637</v>
      </c>
      <c r="B308" s="420" t="s">
        <v>6770</v>
      </c>
      <c r="C308" s="382" t="s">
        <v>34</v>
      </c>
      <c r="D308" s="370" t="s">
        <v>40</v>
      </c>
      <c r="E308" s="418"/>
      <c r="F308" s="381" t="s">
        <v>26</v>
      </c>
      <c r="G308" s="418"/>
      <c r="H308" s="382" t="s">
        <v>31</v>
      </c>
      <c r="I308" s="542"/>
      <c r="J308" s="383" t="s">
        <v>19</v>
      </c>
      <c r="K308" s="542"/>
      <c r="L308" s="395" t="s">
        <v>19</v>
      </c>
      <c r="M308" s="487" t="s">
        <v>19</v>
      </c>
      <c r="N308" s="147"/>
    </row>
    <row r="309" ht="22.5" customHeight="1">
      <c r="A309" s="524" t="s">
        <v>637</v>
      </c>
      <c r="B309" s="525" t="s">
        <v>6771</v>
      </c>
      <c r="C309" s="363" t="s">
        <v>16</v>
      </c>
      <c r="D309" s="267" t="s">
        <v>17</v>
      </c>
      <c r="E309" s="415"/>
      <c r="F309" s="363" t="s">
        <v>19</v>
      </c>
      <c r="G309" s="415"/>
      <c r="H309" s="363" t="s">
        <v>19</v>
      </c>
      <c r="I309" s="530"/>
      <c r="J309" s="363" t="s">
        <v>19</v>
      </c>
      <c r="K309" s="530"/>
      <c r="L309" s="396" t="s">
        <v>19</v>
      </c>
      <c r="M309" s="492" t="s">
        <v>19</v>
      </c>
      <c r="N309" s="155"/>
    </row>
    <row r="310" ht="22.5" customHeight="1">
      <c r="A310" s="379" t="s">
        <v>637</v>
      </c>
      <c r="B310" s="420" t="s">
        <v>6772</v>
      </c>
      <c r="C310" s="383" t="s">
        <v>16</v>
      </c>
      <c r="D310" s="371" t="s">
        <v>17</v>
      </c>
      <c r="E310" s="418"/>
      <c r="F310" s="383" t="s">
        <v>19</v>
      </c>
      <c r="G310" s="418"/>
      <c r="H310" s="383" t="s">
        <v>19</v>
      </c>
      <c r="I310" s="542"/>
      <c r="J310" s="383" t="s">
        <v>19</v>
      </c>
      <c r="K310" s="542"/>
      <c r="L310" s="395" t="s">
        <v>19</v>
      </c>
      <c r="M310" s="487" t="s">
        <v>19</v>
      </c>
      <c r="N310" s="147"/>
    </row>
    <row r="311" ht="22.5" customHeight="1">
      <c r="A311" s="299" t="s">
        <v>637</v>
      </c>
      <c r="B311" s="313" t="s">
        <v>6773</v>
      </c>
      <c r="C311" s="311" t="s">
        <v>34</v>
      </c>
      <c r="D311" s="265" t="s">
        <v>40</v>
      </c>
      <c r="E311" s="415"/>
      <c r="F311" s="311" t="s">
        <v>31</v>
      </c>
      <c r="G311" s="415"/>
      <c r="H311" s="311" t="s">
        <v>31</v>
      </c>
      <c r="I311" s="530"/>
      <c r="J311" s="363" t="s">
        <v>19</v>
      </c>
      <c r="K311" s="530"/>
      <c r="L311" s="396" t="s">
        <v>19</v>
      </c>
      <c r="M311" s="492" t="s">
        <v>19</v>
      </c>
      <c r="N311" s="155"/>
    </row>
    <row r="312" ht="22.5" customHeight="1">
      <c r="A312" s="379" t="s">
        <v>637</v>
      </c>
      <c r="B312" s="420" t="s">
        <v>6774</v>
      </c>
      <c r="C312" s="382" t="s">
        <v>34</v>
      </c>
      <c r="D312" s="370" t="s">
        <v>40</v>
      </c>
      <c r="E312" s="418"/>
      <c r="F312" s="382" t="s">
        <v>31</v>
      </c>
      <c r="G312" s="418"/>
      <c r="H312" s="382" t="s">
        <v>31</v>
      </c>
      <c r="I312" s="542"/>
      <c r="J312" s="383" t="s">
        <v>19</v>
      </c>
      <c r="K312" s="542"/>
      <c r="L312" s="395" t="s">
        <v>19</v>
      </c>
      <c r="M312" s="487" t="s">
        <v>19</v>
      </c>
      <c r="N312" s="147"/>
    </row>
    <row r="313" ht="22.5" customHeight="1">
      <c r="A313" s="299" t="s">
        <v>637</v>
      </c>
      <c r="B313" s="313" t="s">
        <v>6775</v>
      </c>
      <c r="C313" s="311" t="s">
        <v>34</v>
      </c>
      <c r="D313" s="265" t="s">
        <v>40</v>
      </c>
      <c r="E313" s="415"/>
      <c r="F313" s="311" t="s">
        <v>31</v>
      </c>
      <c r="G313" s="415"/>
      <c r="H313" s="311" t="s">
        <v>31</v>
      </c>
      <c r="I313" s="530"/>
      <c r="J313" s="363" t="s">
        <v>19</v>
      </c>
      <c r="K313" s="530"/>
      <c r="L313" s="396" t="s">
        <v>19</v>
      </c>
      <c r="M313" s="492" t="s">
        <v>19</v>
      </c>
      <c r="N313" s="155"/>
    </row>
    <row r="314" ht="22.5" customHeight="1">
      <c r="A314" s="379" t="s">
        <v>637</v>
      </c>
      <c r="B314" s="420" t="s">
        <v>6776</v>
      </c>
      <c r="C314" s="382" t="s">
        <v>34</v>
      </c>
      <c r="D314" s="370" t="s">
        <v>40</v>
      </c>
      <c r="E314" s="418"/>
      <c r="F314" s="382" t="s">
        <v>31</v>
      </c>
      <c r="G314" s="418"/>
      <c r="H314" s="382" t="s">
        <v>31</v>
      </c>
      <c r="I314" s="542"/>
      <c r="J314" s="383" t="s">
        <v>19</v>
      </c>
      <c r="K314" s="542"/>
      <c r="L314" s="395" t="s">
        <v>19</v>
      </c>
      <c r="M314" s="487" t="s">
        <v>19</v>
      </c>
      <c r="N314" s="147"/>
    </row>
    <row r="315" ht="22.5" customHeight="1">
      <c r="A315" s="299" t="s">
        <v>637</v>
      </c>
      <c r="B315" s="313" t="s">
        <v>6777</v>
      </c>
      <c r="C315" s="311" t="s">
        <v>34</v>
      </c>
      <c r="D315" s="268" t="s">
        <v>30</v>
      </c>
      <c r="E315" s="415"/>
      <c r="F315" s="311" t="s">
        <v>31</v>
      </c>
      <c r="G315" s="415"/>
      <c r="H315" s="363" t="s">
        <v>19</v>
      </c>
      <c r="I315" s="530"/>
      <c r="J315" s="311" t="s">
        <v>31</v>
      </c>
      <c r="K315" s="530"/>
      <c r="L315" s="403" t="s">
        <v>31</v>
      </c>
      <c r="M315" s="486" t="s">
        <v>31</v>
      </c>
      <c r="N315" s="155"/>
    </row>
    <row r="316" ht="22.5" customHeight="1">
      <c r="A316" s="285" t="s">
        <v>637</v>
      </c>
      <c r="B316" s="159" t="s">
        <v>6778</v>
      </c>
      <c r="C316" s="297" t="s">
        <v>34</v>
      </c>
      <c r="D316" s="216" t="s">
        <v>40</v>
      </c>
      <c r="E316" s="197"/>
      <c r="F316" s="297" t="s">
        <v>31</v>
      </c>
      <c r="G316" s="197"/>
      <c r="H316" s="297" t="s">
        <v>31</v>
      </c>
      <c r="I316" s="543"/>
      <c r="J316" s="288" t="s">
        <v>19</v>
      </c>
      <c r="K316" s="543"/>
      <c r="L316" s="290" t="s">
        <v>19</v>
      </c>
      <c r="M316" s="487" t="s">
        <v>19</v>
      </c>
      <c r="N316" s="147"/>
    </row>
    <row r="317" ht="22.5" customHeight="1">
      <c r="A317" s="299" t="s">
        <v>637</v>
      </c>
      <c r="B317" s="313" t="s">
        <v>6779</v>
      </c>
      <c r="C317" s="311" t="s">
        <v>34</v>
      </c>
      <c r="D317" s="265" t="s">
        <v>40</v>
      </c>
      <c r="E317" s="415"/>
      <c r="F317" s="311" t="s">
        <v>31</v>
      </c>
      <c r="G317" s="415"/>
      <c r="H317" s="363" t="s">
        <v>19</v>
      </c>
      <c r="I317" s="530"/>
      <c r="J317" s="363" t="s">
        <v>19</v>
      </c>
      <c r="K317" s="530"/>
      <c r="L317" s="396" t="s">
        <v>19</v>
      </c>
      <c r="M317" s="492" t="s">
        <v>19</v>
      </c>
      <c r="N317" s="155"/>
    </row>
    <row r="318" ht="22.5" customHeight="1">
      <c r="A318" s="463" t="s">
        <v>6780</v>
      </c>
      <c r="B318" s="420" t="s">
        <v>6781</v>
      </c>
      <c r="C318" s="382" t="s">
        <v>34</v>
      </c>
      <c r="D318" s="372" t="s">
        <v>49</v>
      </c>
      <c r="E318" s="418"/>
      <c r="F318" s="382" t="s">
        <v>31</v>
      </c>
      <c r="G318" s="418"/>
      <c r="H318" s="383" t="s">
        <v>19</v>
      </c>
      <c r="I318" s="542"/>
      <c r="J318" s="383" t="s">
        <v>19</v>
      </c>
      <c r="K318" s="542"/>
      <c r="L318" s="395" t="s">
        <v>19</v>
      </c>
      <c r="M318" s="493" t="s">
        <v>5279</v>
      </c>
      <c r="N318" s="147"/>
    </row>
    <row r="319" ht="22.5" customHeight="1">
      <c r="A319" s="305" t="s">
        <v>637</v>
      </c>
      <c r="B319" s="195" t="s">
        <v>6782</v>
      </c>
      <c r="C319" s="363" t="s">
        <v>16</v>
      </c>
      <c r="D319" s="267" t="s">
        <v>17</v>
      </c>
      <c r="E319" s="415"/>
      <c r="F319" s="363" t="s">
        <v>19</v>
      </c>
      <c r="G319" s="415"/>
      <c r="H319" s="363" t="s">
        <v>19</v>
      </c>
      <c r="I319" s="530"/>
      <c r="J319" s="363" t="s">
        <v>19</v>
      </c>
      <c r="K319" s="530"/>
      <c r="L319" s="396" t="s">
        <v>19</v>
      </c>
      <c r="M319" s="492" t="s">
        <v>19</v>
      </c>
      <c r="N319" s="155"/>
    </row>
    <row r="320" ht="22.5" customHeight="1">
      <c r="A320" s="379" t="s">
        <v>637</v>
      </c>
      <c r="B320" s="420" t="s">
        <v>6783</v>
      </c>
      <c r="C320" s="383" t="s">
        <v>16</v>
      </c>
      <c r="D320" s="371" t="s">
        <v>17</v>
      </c>
      <c r="E320" s="418"/>
      <c r="F320" s="383" t="s">
        <v>19</v>
      </c>
      <c r="G320" s="418"/>
      <c r="H320" s="383" t="s">
        <v>19</v>
      </c>
      <c r="I320" s="542"/>
      <c r="J320" s="383" t="s">
        <v>19</v>
      </c>
      <c r="K320" s="542"/>
      <c r="L320" s="395" t="s">
        <v>19</v>
      </c>
      <c r="M320" s="487" t="s">
        <v>19</v>
      </c>
      <c r="N320" s="147"/>
    </row>
    <row r="321" ht="22.5" customHeight="1">
      <c r="A321" s="544"/>
      <c r="B321" s="545" t="s">
        <v>6784</v>
      </c>
      <c r="C321" s="546" t="s">
        <v>34</v>
      </c>
      <c r="D321" s="547" t="s">
        <v>30</v>
      </c>
      <c r="E321" s="548"/>
      <c r="F321" s="549" t="s">
        <v>19</v>
      </c>
      <c r="G321" s="548"/>
      <c r="H321" s="546" t="s">
        <v>31</v>
      </c>
      <c r="I321" s="550"/>
      <c r="J321" s="549" t="s">
        <v>19</v>
      </c>
      <c r="K321" s="550"/>
      <c r="L321" s="551" t="s">
        <v>5279</v>
      </c>
      <c r="M321" s="519" t="s">
        <v>5279</v>
      </c>
      <c r="N321" s="155"/>
    </row>
    <row r="322" ht="22.5" customHeight="1">
      <c r="A322" s="379" t="s">
        <v>637</v>
      </c>
      <c r="B322" s="420" t="s">
        <v>6785</v>
      </c>
      <c r="C322" s="382" t="s">
        <v>34</v>
      </c>
      <c r="D322" s="372" t="s">
        <v>49</v>
      </c>
      <c r="E322" s="418"/>
      <c r="F322" s="382" t="s">
        <v>31</v>
      </c>
      <c r="G322" s="418"/>
      <c r="H322" s="382" t="s">
        <v>31</v>
      </c>
      <c r="I322" s="542"/>
      <c r="J322" s="382" t="s">
        <v>31</v>
      </c>
      <c r="K322" s="542"/>
      <c r="L322" s="512" t="s">
        <v>50</v>
      </c>
      <c r="M322" s="494" t="s">
        <v>50</v>
      </c>
      <c r="N322" s="147"/>
    </row>
    <row r="323" ht="22.5" customHeight="1">
      <c r="A323" s="299" t="s">
        <v>637</v>
      </c>
      <c r="B323" s="313" t="s">
        <v>6786</v>
      </c>
      <c r="C323" s="363" t="s">
        <v>16</v>
      </c>
      <c r="D323" s="267" t="s">
        <v>17</v>
      </c>
      <c r="E323" s="415"/>
      <c r="F323" s="363" t="s">
        <v>19</v>
      </c>
      <c r="G323" s="415"/>
      <c r="H323" s="363" t="s">
        <v>19</v>
      </c>
      <c r="I323" s="530"/>
      <c r="J323" s="363" t="s">
        <v>19</v>
      </c>
      <c r="K323" s="530"/>
      <c r="L323" s="396" t="s">
        <v>19</v>
      </c>
      <c r="M323" s="492" t="s">
        <v>19</v>
      </c>
      <c r="N323" s="155"/>
    </row>
    <row r="324" ht="22.5" customHeight="1">
      <c r="A324" s="379" t="s">
        <v>637</v>
      </c>
      <c r="B324" s="420" t="s">
        <v>6787</v>
      </c>
      <c r="C324" s="383" t="s">
        <v>16</v>
      </c>
      <c r="D324" s="371" t="s">
        <v>17</v>
      </c>
      <c r="E324" s="418"/>
      <c r="F324" s="383" t="s">
        <v>19</v>
      </c>
      <c r="G324" s="418"/>
      <c r="H324" s="383" t="s">
        <v>19</v>
      </c>
      <c r="I324" s="542"/>
      <c r="J324" s="383" t="s">
        <v>19</v>
      </c>
      <c r="K324" s="542"/>
      <c r="L324" s="395" t="s">
        <v>19</v>
      </c>
      <c r="M324" s="487" t="s">
        <v>19</v>
      </c>
      <c r="N324" s="147"/>
    </row>
    <row r="325" ht="22.5" customHeight="1">
      <c r="A325" s="299" t="s">
        <v>637</v>
      </c>
      <c r="B325" s="313" t="s">
        <v>6788</v>
      </c>
      <c r="C325" s="363" t="s">
        <v>16</v>
      </c>
      <c r="D325" s="267" t="s">
        <v>17</v>
      </c>
      <c r="E325" s="415"/>
      <c r="F325" s="363" t="s">
        <v>19</v>
      </c>
      <c r="G325" s="415"/>
      <c r="H325" s="363" t="s">
        <v>19</v>
      </c>
      <c r="I325" s="530"/>
      <c r="J325" s="363" t="s">
        <v>19</v>
      </c>
      <c r="K325" s="530"/>
      <c r="L325" s="396" t="s">
        <v>19</v>
      </c>
      <c r="M325" s="492" t="s">
        <v>19</v>
      </c>
      <c r="N325" s="155"/>
    </row>
    <row r="326" ht="22.5" customHeight="1">
      <c r="A326" s="379" t="s">
        <v>637</v>
      </c>
      <c r="B326" s="420" t="s">
        <v>6789</v>
      </c>
      <c r="C326" s="383" t="s">
        <v>16</v>
      </c>
      <c r="D326" s="371" t="s">
        <v>17</v>
      </c>
      <c r="E326" s="418"/>
      <c r="F326" s="383" t="s">
        <v>19</v>
      </c>
      <c r="G326" s="418"/>
      <c r="H326" s="383" t="s">
        <v>19</v>
      </c>
      <c r="I326" s="542"/>
      <c r="J326" s="383" t="s">
        <v>19</v>
      </c>
      <c r="K326" s="542"/>
      <c r="L326" s="395" t="s">
        <v>19</v>
      </c>
      <c r="M326" s="487" t="s">
        <v>19</v>
      </c>
      <c r="N326" s="147"/>
    </row>
    <row r="327" ht="22.5" customHeight="1">
      <c r="A327" s="299" t="s">
        <v>637</v>
      </c>
      <c r="B327" s="313" t="s">
        <v>6790</v>
      </c>
      <c r="C327" s="311" t="s">
        <v>34</v>
      </c>
      <c r="D327" s="265" t="s">
        <v>40</v>
      </c>
      <c r="E327" s="415"/>
      <c r="F327" s="363" t="s">
        <v>19</v>
      </c>
      <c r="G327" s="415"/>
      <c r="H327" s="311" t="s">
        <v>31</v>
      </c>
      <c r="I327" s="530"/>
      <c r="J327" s="363" t="s">
        <v>19</v>
      </c>
      <c r="K327" s="530"/>
      <c r="L327" s="396" t="s">
        <v>19</v>
      </c>
      <c r="M327" s="492" t="s">
        <v>19</v>
      </c>
      <c r="N327" s="155"/>
    </row>
    <row r="328" ht="22.5" customHeight="1">
      <c r="A328" s="379" t="s">
        <v>637</v>
      </c>
      <c r="B328" s="420" t="s">
        <v>6791</v>
      </c>
      <c r="C328" s="383" t="s">
        <v>16</v>
      </c>
      <c r="D328" s="371" t="s">
        <v>17</v>
      </c>
      <c r="E328" s="420" t="s">
        <v>18</v>
      </c>
      <c r="F328" s="383" t="s">
        <v>19</v>
      </c>
      <c r="G328" s="344" t="s">
        <v>20</v>
      </c>
      <c r="H328" s="383" t="s">
        <v>19</v>
      </c>
      <c r="I328" s="321" t="s">
        <v>21</v>
      </c>
      <c r="J328" s="383" t="s">
        <v>19</v>
      </c>
      <c r="K328" s="321" t="s">
        <v>22</v>
      </c>
      <c r="L328" s="395" t="s">
        <v>19</v>
      </c>
      <c r="M328" s="487" t="s">
        <v>19</v>
      </c>
      <c r="N328" s="147"/>
    </row>
    <row r="329" ht="22.5" customHeight="1">
      <c r="A329" s="448"/>
      <c r="B329" s="313" t="s">
        <v>6792</v>
      </c>
      <c r="C329" s="311" t="s">
        <v>34</v>
      </c>
      <c r="D329" s="265" t="s">
        <v>40</v>
      </c>
      <c r="E329" s="415"/>
      <c r="F329" s="363" t="s">
        <v>19</v>
      </c>
      <c r="G329" s="415"/>
      <c r="H329" s="311" t="s">
        <v>31</v>
      </c>
      <c r="I329" s="530"/>
      <c r="J329" s="363" t="s">
        <v>19</v>
      </c>
      <c r="K329" s="530"/>
      <c r="L329" s="396" t="s">
        <v>19</v>
      </c>
      <c r="M329" s="492" t="s">
        <v>19</v>
      </c>
      <c r="N329" s="155"/>
    </row>
    <row r="330" ht="22.5" customHeight="1">
      <c r="A330" s="379" t="s">
        <v>637</v>
      </c>
      <c r="B330" s="420" t="s">
        <v>6793</v>
      </c>
      <c r="C330" s="382" t="s">
        <v>34</v>
      </c>
      <c r="D330" s="370" t="s">
        <v>40</v>
      </c>
      <c r="E330" s="418"/>
      <c r="F330" s="381" t="s">
        <v>26</v>
      </c>
      <c r="G330" s="418"/>
      <c r="H330" s="382" t="s">
        <v>31</v>
      </c>
      <c r="I330" s="542"/>
      <c r="J330" s="383" t="s">
        <v>19</v>
      </c>
      <c r="K330" s="542"/>
      <c r="L330" s="395" t="s">
        <v>19</v>
      </c>
      <c r="M330" s="487" t="s">
        <v>19</v>
      </c>
      <c r="N330" s="147"/>
    </row>
    <row r="331" ht="22.5" customHeight="1">
      <c r="A331" s="448"/>
      <c r="B331" s="313" t="s">
        <v>6794</v>
      </c>
      <c r="C331" s="311" t="s">
        <v>34</v>
      </c>
      <c r="D331" s="265" t="s">
        <v>40</v>
      </c>
      <c r="E331" s="415"/>
      <c r="F331" s="311" t="s">
        <v>31</v>
      </c>
      <c r="G331" s="415"/>
      <c r="H331" s="311" t="s">
        <v>31</v>
      </c>
      <c r="I331" s="530"/>
      <c r="J331" s="363" t="s">
        <v>19</v>
      </c>
      <c r="K331" s="530"/>
      <c r="L331" s="396" t="s">
        <v>19</v>
      </c>
      <c r="M331" s="492" t="s">
        <v>19</v>
      </c>
      <c r="N331" s="155"/>
    </row>
    <row r="332" ht="22.5" customHeight="1">
      <c r="A332" s="379" t="s">
        <v>637</v>
      </c>
      <c r="B332" s="420" t="s">
        <v>6795</v>
      </c>
      <c r="C332" s="382" t="s">
        <v>34</v>
      </c>
      <c r="D332" s="370" t="s">
        <v>40</v>
      </c>
      <c r="E332" s="420" t="s">
        <v>18</v>
      </c>
      <c r="F332" s="383" t="s">
        <v>19</v>
      </c>
      <c r="G332" s="343" t="s">
        <v>20</v>
      </c>
      <c r="H332" s="382" t="s">
        <v>31</v>
      </c>
      <c r="I332" s="321" t="s">
        <v>21</v>
      </c>
      <c r="J332" s="382" t="s">
        <v>31</v>
      </c>
      <c r="K332" s="321" t="s">
        <v>22</v>
      </c>
      <c r="L332" s="395" t="s">
        <v>19</v>
      </c>
      <c r="M332" s="491" t="s">
        <v>31</v>
      </c>
      <c r="N332" s="147"/>
    </row>
    <row r="333" ht="22.5" customHeight="1">
      <c r="A333" s="448"/>
      <c r="B333" s="313" t="s">
        <v>6796</v>
      </c>
      <c r="C333" s="363" t="s">
        <v>16</v>
      </c>
      <c r="D333" s="267" t="s">
        <v>17</v>
      </c>
      <c r="E333" s="415"/>
      <c r="F333" s="363" t="s">
        <v>19</v>
      </c>
      <c r="G333" s="415"/>
      <c r="H333" s="363" t="s">
        <v>19</v>
      </c>
      <c r="I333" s="530"/>
      <c r="J333" s="363" t="s">
        <v>19</v>
      </c>
      <c r="K333" s="530"/>
      <c r="L333" s="396" t="s">
        <v>19</v>
      </c>
      <c r="M333" s="492" t="s">
        <v>19</v>
      </c>
      <c r="N333" s="155"/>
    </row>
    <row r="334" ht="22.5" customHeight="1">
      <c r="A334" s="285" t="s">
        <v>637</v>
      </c>
      <c r="B334" s="159" t="s">
        <v>6797</v>
      </c>
      <c r="C334" s="288" t="s">
        <v>16</v>
      </c>
      <c r="D334" s="212" t="s">
        <v>17</v>
      </c>
      <c r="E334" s="159" t="s">
        <v>18</v>
      </c>
      <c r="F334" s="288" t="s">
        <v>19</v>
      </c>
      <c r="G334" s="344" t="s">
        <v>20</v>
      </c>
      <c r="H334" s="288" t="s">
        <v>19</v>
      </c>
      <c r="I334" s="289" t="s">
        <v>21</v>
      </c>
      <c r="J334" s="383" t="s">
        <v>19</v>
      </c>
      <c r="K334" s="289" t="s">
        <v>22</v>
      </c>
      <c r="L334" s="395" t="s">
        <v>19</v>
      </c>
      <c r="M334" s="487" t="s">
        <v>19</v>
      </c>
      <c r="N334" s="147"/>
    </row>
    <row r="335" ht="22.5" customHeight="1">
      <c r="A335" s="448"/>
      <c r="B335" s="313" t="s">
        <v>6798</v>
      </c>
      <c r="C335" s="363" t="s">
        <v>16</v>
      </c>
      <c r="D335" s="267" t="s">
        <v>17</v>
      </c>
      <c r="E335" s="415"/>
      <c r="F335" s="363" t="s">
        <v>19</v>
      </c>
      <c r="G335" s="415"/>
      <c r="H335" s="363" t="s">
        <v>19</v>
      </c>
      <c r="I335" s="530"/>
      <c r="J335" s="363" t="s">
        <v>19</v>
      </c>
      <c r="K335" s="530"/>
      <c r="L335" s="396" t="s">
        <v>19</v>
      </c>
      <c r="M335" s="492" t="s">
        <v>19</v>
      </c>
      <c r="N335" s="155"/>
    </row>
    <row r="336" ht="22.5" customHeight="1">
      <c r="A336" s="430"/>
      <c r="B336" s="420" t="s">
        <v>6799</v>
      </c>
      <c r="C336" s="382" t="s">
        <v>34</v>
      </c>
      <c r="D336" s="370" t="s">
        <v>40</v>
      </c>
      <c r="E336" s="418"/>
      <c r="F336" s="381" t="s">
        <v>26</v>
      </c>
      <c r="G336" s="197"/>
      <c r="H336" s="382" t="s">
        <v>31</v>
      </c>
      <c r="I336" s="542"/>
      <c r="J336" s="383" t="s">
        <v>19</v>
      </c>
      <c r="K336" s="542"/>
      <c r="L336" s="395" t="s">
        <v>19</v>
      </c>
      <c r="M336" s="487" t="s">
        <v>19</v>
      </c>
      <c r="N336" s="147"/>
    </row>
    <row r="337" ht="22.5" customHeight="1">
      <c r="A337" s="448"/>
      <c r="B337" s="313" t="s">
        <v>6800</v>
      </c>
      <c r="C337" s="311" t="s">
        <v>34</v>
      </c>
      <c r="D337" s="265" t="s">
        <v>40</v>
      </c>
      <c r="E337" s="415"/>
      <c r="F337" s="311" t="s">
        <v>31</v>
      </c>
      <c r="G337" s="415"/>
      <c r="H337" s="199" t="s">
        <v>26</v>
      </c>
      <c r="I337" s="530"/>
      <c r="J337" s="363" t="s">
        <v>19</v>
      </c>
      <c r="K337" s="530"/>
      <c r="L337" s="396" t="s">
        <v>19</v>
      </c>
      <c r="M337" s="492" t="s">
        <v>19</v>
      </c>
      <c r="N337" s="155"/>
    </row>
    <row r="338" ht="22.5" customHeight="1">
      <c r="A338" s="430"/>
      <c r="B338" s="420" t="s">
        <v>6801</v>
      </c>
      <c r="C338" s="382" t="s">
        <v>34</v>
      </c>
      <c r="D338" s="370" t="s">
        <v>40</v>
      </c>
      <c r="E338" s="418"/>
      <c r="F338" s="382" t="s">
        <v>31</v>
      </c>
      <c r="G338" s="197"/>
      <c r="H338" s="383" t="s">
        <v>19</v>
      </c>
      <c r="I338" s="542"/>
      <c r="J338" s="383" t="s">
        <v>19</v>
      </c>
      <c r="K338" s="542"/>
      <c r="L338" s="395" t="s">
        <v>19</v>
      </c>
      <c r="M338" s="487" t="s">
        <v>19</v>
      </c>
      <c r="N338" s="147"/>
    </row>
    <row r="339" ht="22.5" customHeight="1">
      <c r="A339" s="448"/>
      <c r="B339" s="313" t="s">
        <v>6802</v>
      </c>
      <c r="C339" s="363" t="s">
        <v>16</v>
      </c>
      <c r="D339" s="267" t="s">
        <v>17</v>
      </c>
      <c r="E339" s="415"/>
      <c r="F339" s="363" t="s">
        <v>19</v>
      </c>
      <c r="G339" s="415"/>
      <c r="H339" s="363" t="s">
        <v>19</v>
      </c>
      <c r="I339" s="530"/>
      <c r="J339" s="363" t="s">
        <v>19</v>
      </c>
      <c r="K339" s="530"/>
      <c r="L339" s="396" t="s">
        <v>19</v>
      </c>
      <c r="M339" s="492" t="s">
        <v>19</v>
      </c>
      <c r="N339" s="155"/>
    </row>
    <row r="340" ht="22.5" customHeight="1">
      <c r="A340" s="430"/>
      <c r="B340" s="420" t="s">
        <v>6803</v>
      </c>
      <c r="C340" s="383" t="s">
        <v>16</v>
      </c>
      <c r="D340" s="371" t="s">
        <v>17</v>
      </c>
      <c r="E340" s="418"/>
      <c r="F340" s="383" t="s">
        <v>19</v>
      </c>
      <c r="G340" s="197"/>
      <c r="H340" s="383" t="s">
        <v>19</v>
      </c>
      <c r="I340" s="542"/>
      <c r="J340" s="383" t="s">
        <v>19</v>
      </c>
      <c r="K340" s="542"/>
      <c r="L340" s="395" t="s">
        <v>19</v>
      </c>
      <c r="M340" s="487" t="s">
        <v>19</v>
      </c>
      <c r="N340" s="147"/>
    </row>
    <row r="341" ht="22.5" customHeight="1">
      <c r="A341" s="448"/>
      <c r="B341" s="313" t="s">
        <v>6804</v>
      </c>
      <c r="C341" s="311" t="s">
        <v>34</v>
      </c>
      <c r="D341" s="265" t="s">
        <v>40</v>
      </c>
      <c r="E341" s="415"/>
      <c r="F341" s="199" t="s">
        <v>26</v>
      </c>
      <c r="G341" s="415"/>
      <c r="H341" s="311" t="s">
        <v>31</v>
      </c>
      <c r="I341" s="530"/>
      <c r="J341" s="363" t="s">
        <v>19</v>
      </c>
      <c r="K341" s="530"/>
      <c r="L341" s="396" t="s">
        <v>19</v>
      </c>
      <c r="M341" s="492" t="s">
        <v>19</v>
      </c>
      <c r="N341" s="155"/>
    </row>
    <row r="342" ht="22.5" customHeight="1">
      <c r="A342" s="430"/>
      <c r="B342" s="420" t="s">
        <v>6805</v>
      </c>
      <c r="C342" s="383" t="s">
        <v>16</v>
      </c>
      <c r="D342" s="371" t="s">
        <v>17</v>
      </c>
      <c r="E342" s="418"/>
      <c r="F342" s="383" t="s">
        <v>19</v>
      </c>
      <c r="G342" s="197"/>
      <c r="H342" s="383" t="s">
        <v>19</v>
      </c>
      <c r="I342" s="542"/>
      <c r="J342" s="383" t="s">
        <v>19</v>
      </c>
      <c r="K342" s="542"/>
      <c r="L342" s="395" t="s">
        <v>19</v>
      </c>
      <c r="M342" s="487" t="s">
        <v>19</v>
      </c>
      <c r="N342" s="147"/>
    </row>
    <row r="343" ht="22.5" customHeight="1">
      <c r="A343" s="448"/>
      <c r="B343" s="313" t="s">
        <v>6806</v>
      </c>
      <c r="C343" s="311" t="s">
        <v>34</v>
      </c>
      <c r="D343" s="265" t="s">
        <v>40</v>
      </c>
      <c r="E343" s="415"/>
      <c r="F343" s="199" t="s">
        <v>26</v>
      </c>
      <c r="G343" s="415"/>
      <c r="H343" s="311" t="s">
        <v>31</v>
      </c>
      <c r="I343" s="530"/>
      <c r="J343" s="363" t="s">
        <v>19</v>
      </c>
      <c r="K343" s="530"/>
      <c r="L343" s="396" t="s">
        <v>19</v>
      </c>
      <c r="M343" s="492" t="s">
        <v>19</v>
      </c>
      <c r="N343" s="155"/>
    </row>
    <row r="344" ht="22.5" customHeight="1">
      <c r="A344" s="430"/>
      <c r="B344" s="420" t="s">
        <v>6807</v>
      </c>
      <c r="C344" s="383" t="s">
        <v>16</v>
      </c>
      <c r="D344" s="371" t="s">
        <v>17</v>
      </c>
      <c r="E344" s="418"/>
      <c r="F344" s="383" t="s">
        <v>19</v>
      </c>
      <c r="G344" s="197"/>
      <c r="H344" s="383" t="s">
        <v>19</v>
      </c>
      <c r="I344" s="542"/>
      <c r="J344" s="383" t="s">
        <v>19</v>
      </c>
      <c r="K344" s="542"/>
      <c r="L344" s="395" t="s">
        <v>19</v>
      </c>
      <c r="M344" s="487" t="s">
        <v>19</v>
      </c>
      <c r="N344" s="147"/>
    </row>
    <row r="345" ht="22.5" customHeight="1">
      <c r="A345" s="448"/>
      <c r="B345" s="313" t="s">
        <v>6808</v>
      </c>
      <c r="C345" s="311" t="s">
        <v>34</v>
      </c>
      <c r="D345" s="192" t="s">
        <v>49</v>
      </c>
      <c r="E345" s="415"/>
      <c r="F345" s="392" t="s">
        <v>50</v>
      </c>
      <c r="G345" s="415"/>
      <c r="H345" s="311" t="s">
        <v>31</v>
      </c>
      <c r="I345" s="530"/>
      <c r="J345" s="363" t="s">
        <v>19</v>
      </c>
      <c r="K345" s="530"/>
      <c r="L345" s="396" t="s">
        <v>19</v>
      </c>
      <c r="M345" s="492" t="s">
        <v>19</v>
      </c>
      <c r="N345" s="155"/>
    </row>
    <row r="346" ht="22.5" customHeight="1">
      <c r="A346" s="430"/>
      <c r="B346" s="420" t="s">
        <v>6809</v>
      </c>
      <c r="C346" s="383" t="s">
        <v>16</v>
      </c>
      <c r="D346" s="371" t="s">
        <v>17</v>
      </c>
      <c r="E346" s="418"/>
      <c r="F346" s="383" t="s">
        <v>19</v>
      </c>
      <c r="G346" s="197"/>
      <c r="H346" s="383" t="s">
        <v>19</v>
      </c>
      <c r="I346" s="542"/>
      <c r="J346" s="383" t="s">
        <v>19</v>
      </c>
      <c r="K346" s="542"/>
      <c r="L346" s="395" t="s">
        <v>19</v>
      </c>
      <c r="M346" s="487" t="s">
        <v>19</v>
      </c>
      <c r="N346" s="147"/>
    </row>
    <row r="347" ht="22.5" customHeight="1">
      <c r="A347" s="448"/>
      <c r="B347" s="313" t="s">
        <v>6810</v>
      </c>
      <c r="C347" s="311" t="s">
        <v>34</v>
      </c>
      <c r="D347" s="192" t="s">
        <v>49</v>
      </c>
      <c r="E347" s="415"/>
      <c r="F347" s="363" t="s">
        <v>19</v>
      </c>
      <c r="G347" s="415"/>
      <c r="H347" s="311" t="s">
        <v>31</v>
      </c>
      <c r="I347" s="530"/>
      <c r="J347" s="363" t="s">
        <v>19</v>
      </c>
      <c r="K347" s="530"/>
      <c r="L347" s="396" t="s">
        <v>19</v>
      </c>
      <c r="M347" s="492" t="s">
        <v>19</v>
      </c>
      <c r="N347" s="155"/>
    </row>
    <row r="348" ht="22.5" customHeight="1">
      <c r="A348" s="430"/>
      <c r="B348" s="420" t="s">
        <v>6811</v>
      </c>
      <c r="C348" s="383" t="s">
        <v>16</v>
      </c>
      <c r="D348" s="371" t="s">
        <v>17</v>
      </c>
      <c r="E348" s="418"/>
      <c r="F348" s="383" t="s">
        <v>19</v>
      </c>
      <c r="G348" s="197"/>
      <c r="H348" s="383" t="s">
        <v>19</v>
      </c>
      <c r="I348" s="542"/>
      <c r="J348" s="383" t="s">
        <v>19</v>
      </c>
      <c r="K348" s="542"/>
      <c r="L348" s="395" t="s">
        <v>19</v>
      </c>
      <c r="M348" s="487" t="s">
        <v>19</v>
      </c>
      <c r="N348" s="147"/>
    </row>
    <row r="349" ht="22.5" customHeight="1">
      <c r="A349" s="448"/>
      <c r="B349" s="313" t="s">
        <v>6812</v>
      </c>
      <c r="C349" s="363" t="s">
        <v>16</v>
      </c>
      <c r="D349" s="267" t="s">
        <v>17</v>
      </c>
      <c r="E349" s="415"/>
      <c r="F349" s="363" t="s">
        <v>19</v>
      </c>
      <c r="G349" s="415"/>
      <c r="H349" s="363" t="s">
        <v>19</v>
      </c>
      <c r="I349" s="530"/>
      <c r="J349" s="363" t="s">
        <v>19</v>
      </c>
      <c r="K349" s="530"/>
      <c r="L349" s="363" t="s">
        <v>19</v>
      </c>
      <c r="M349" s="492" t="s">
        <v>19</v>
      </c>
      <c r="N349" s="155"/>
    </row>
    <row r="350" ht="22.5" customHeight="1">
      <c r="A350" s="430"/>
      <c r="B350" s="420" t="s">
        <v>6813</v>
      </c>
      <c r="C350" s="382" t="s">
        <v>34</v>
      </c>
      <c r="D350" s="370" t="s">
        <v>40</v>
      </c>
      <c r="E350" s="418"/>
      <c r="F350" s="382" t="s">
        <v>31</v>
      </c>
      <c r="G350" s="197"/>
      <c r="H350" s="382" t="s">
        <v>31</v>
      </c>
      <c r="I350" s="542"/>
      <c r="J350" s="383" t="s">
        <v>19</v>
      </c>
      <c r="K350" s="542"/>
      <c r="L350" s="383" t="s">
        <v>19</v>
      </c>
      <c r="M350" s="487" t="s">
        <v>19</v>
      </c>
      <c r="N350" s="147"/>
    </row>
    <row r="351" ht="22.5" customHeight="1">
      <c r="A351" s="299" t="s">
        <v>637</v>
      </c>
      <c r="B351" s="313" t="s">
        <v>6623</v>
      </c>
      <c r="C351" s="363" t="s">
        <v>16</v>
      </c>
      <c r="D351" s="267" t="s">
        <v>17</v>
      </c>
      <c r="E351" s="158" t="s">
        <v>18</v>
      </c>
      <c r="F351" s="363" t="s">
        <v>19</v>
      </c>
      <c r="G351" s="341" t="s">
        <v>20</v>
      </c>
      <c r="H351" s="363" t="s">
        <v>19</v>
      </c>
      <c r="I351" s="294" t="s">
        <v>21</v>
      </c>
      <c r="J351" s="363" t="s">
        <v>19</v>
      </c>
      <c r="K351" s="294" t="s">
        <v>22</v>
      </c>
      <c r="L351" s="363" t="s">
        <v>19</v>
      </c>
      <c r="M351" s="492" t="s">
        <v>19</v>
      </c>
      <c r="N351" s="155"/>
    </row>
    <row r="352" ht="22.5" customHeight="1">
      <c r="A352" s="539"/>
      <c r="B352" s="473" t="s">
        <v>6814</v>
      </c>
      <c r="C352" s="540" t="s">
        <v>34</v>
      </c>
      <c r="D352" s="552" t="s">
        <v>40</v>
      </c>
      <c r="E352" s="553"/>
      <c r="F352" s="475" t="s">
        <v>19</v>
      </c>
      <c r="G352" s="197"/>
      <c r="H352" s="540" t="s">
        <v>31</v>
      </c>
      <c r="I352" s="554"/>
      <c r="J352" s="475" t="s">
        <v>19</v>
      </c>
      <c r="K352" s="554"/>
      <c r="L352" s="475" t="s">
        <v>19</v>
      </c>
      <c r="M352" s="491" t="s">
        <v>31</v>
      </c>
      <c r="N352" s="147"/>
    </row>
    <row r="353" ht="22.5" customHeight="1">
      <c r="A353" s="448"/>
      <c r="B353" s="313" t="s">
        <v>6815</v>
      </c>
      <c r="C353" s="311" t="s">
        <v>34</v>
      </c>
      <c r="D353" s="192" t="s">
        <v>49</v>
      </c>
      <c r="E353" s="415"/>
      <c r="F353" s="311" t="s">
        <v>31</v>
      </c>
      <c r="G353" s="415"/>
      <c r="H353" s="363" t="s">
        <v>19</v>
      </c>
      <c r="I353" s="530"/>
      <c r="J353" s="392" t="s">
        <v>50</v>
      </c>
      <c r="K353" s="530"/>
      <c r="L353" s="396" t="s">
        <v>19</v>
      </c>
      <c r="M353" s="492" t="s">
        <v>19</v>
      </c>
      <c r="N353" s="155"/>
    </row>
    <row r="354" ht="22.5" customHeight="1">
      <c r="A354" s="430"/>
      <c r="B354" s="420" t="s">
        <v>6816</v>
      </c>
      <c r="C354" s="383" t="s">
        <v>16</v>
      </c>
      <c r="D354" s="371" t="s">
        <v>17</v>
      </c>
      <c r="E354" s="418"/>
      <c r="F354" s="383" t="s">
        <v>19</v>
      </c>
      <c r="G354" s="197"/>
      <c r="H354" s="383" t="s">
        <v>19</v>
      </c>
      <c r="I354" s="542"/>
      <c r="J354" s="383" t="s">
        <v>19</v>
      </c>
      <c r="K354" s="542"/>
      <c r="L354" s="383" t="s">
        <v>19</v>
      </c>
      <c r="M354" s="487" t="s">
        <v>19</v>
      </c>
      <c r="N354" s="147"/>
    </row>
    <row r="355" ht="22.5" customHeight="1">
      <c r="A355" s="448"/>
      <c r="B355" s="313" t="s">
        <v>6817</v>
      </c>
      <c r="C355" s="363" t="s">
        <v>16</v>
      </c>
      <c r="D355" s="267" t="s">
        <v>17</v>
      </c>
      <c r="E355" s="415"/>
      <c r="F355" s="363" t="s">
        <v>19</v>
      </c>
      <c r="G355" s="415"/>
      <c r="H355" s="363" t="s">
        <v>19</v>
      </c>
      <c r="I355" s="530"/>
      <c r="J355" s="363" t="s">
        <v>19</v>
      </c>
      <c r="K355" s="530"/>
      <c r="L355" s="363" t="s">
        <v>19</v>
      </c>
      <c r="M355" s="492" t="s">
        <v>19</v>
      </c>
      <c r="N355" s="155"/>
    </row>
    <row r="356" ht="22.5" customHeight="1">
      <c r="A356" s="430"/>
      <c r="B356" s="420" t="s">
        <v>6818</v>
      </c>
      <c r="C356" s="383" t="s">
        <v>16</v>
      </c>
      <c r="D356" s="371" t="s">
        <v>17</v>
      </c>
      <c r="E356" s="418"/>
      <c r="F356" s="383" t="s">
        <v>19</v>
      </c>
      <c r="G356" s="197"/>
      <c r="H356" s="383" t="s">
        <v>19</v>
      </c>
      <c r="I356" s="542"/>
      <c r="J356" s="383" t="s">
        <v>19</v>
      </c>
      <c r="K356" s="542"/>
      <c r="L356" s="383" t="s">
        <v>19</v>
      </c>
      <c r="M356" s="487" t="s">
        <v>19</v>
      </c>
      <c r="N356" s="147"/>
    </row>
    <row r="357" ht="22.5" customHeight="1">
      <c r="A357" s="299" t="s">
        <v>637</v>
      </c>
      <c r="B357" s="313" t="s">
        <v>6819</v>
      </c>
      <c r="C357" s="363" t="s">
        <v>16</v>
      </c>
      <c r="D357" s="267" t="s">
        <v>17</v>
      </c>
      <c r="E357" s="313" t="s">
        <v>18</v>
      </c>
      <c r="F357" s="363" t="s">
        <v>19</v>
      </c>
      <c r="G357" s="341" t="s">
        <v>20</v>
      </c>
      <c r="H357" s="363" t="s">
        <v>19</v>
      </c>
      <c r="I357" s="294" t="s">
        <v>21</v>
      </c>
      <c r="J357" s="363" t="s">
        <v>19</v>
      </c>
      <c r="K357" s="294" t="s">
        <v>22</v>
      </c>
      <c r="L357" s="363" t="s">
        <v>19</v>
      </c>
      <c r="M357" s="492" t="s">
        <v>19</v>
      </c>
      <c r="N357" s="155"/>
    </row>
    <row r="358" ht="22.5" customHeight="1">
      <c r="A358" s="430"/>
      <c r="B358" s="420" t="s">
        <v>6820</v>
      </c>
      <c r="C358" s="382" t="s">
        <v>34</v>
      </c>
      <c r="D358" s="370" t="s">
        <v>40</v>
      </c>
      <c r="E358" s="418"/>
      <c r="F358" s="383" t="s">
        <v>19</v>
      </c>
      <c r="G358" s="197"/>
      <c r="H358" s="382" t="s">
        <v>31</v>
      </c>
      <c r="I358" s="542"/>
      <c r="J358" s="383" t="s">
        <v>19</v>
      </c>
      <c r="K358" s="542"/>
      <c r="L358" s="383" t="s">
        <v>19</v>
      </c>
      <c r="M358" s="487" t="s">
        <v>19</v>
      </c>
      <c r="N358" s="147"/>
    </row>
    <row r="359" ht="22.5" customHeight="1">
      <c r="A359" s="299" t="s">
        <v>637</v>
      </c>
      <c r="B359" s="313" t="s">
        <v>6821</v>
      </c>
      <c r="C359" s="363" t="s">
        <v>16</v>
      </c>
      <c r="D359" s="267" t="s">
        <v>17</v>
      </c>
      <c r="E359" s="196"/>
      <c r="F359" s="363" t="s">
        <v>19</v>
      </c>
      <c r="G359" s="415"/>
      <c r="H359" s="363" t="s">
        <v>19</v>
      </c>
      <c r="I359" s="530"/>
      <c r="J359" s="363" t="s">
        <v>19</v>
      </c>
      <c r="K359" s="530"/>
      <c r="L359" s="396" t="s">
        <v>19</v>
      </c>
      <c r="M359" s="492" t="s">
        <v>19</v>
      </c>
      <c r="N359" s="155"/>
    </row>
    <row r="360" ht="22.5" customHeight="1">
      <c r="A360" s="430"/>
      <c r="B360" s="420" t="s">
        <v>6822</v>
      </c>
      <c r="C360" s="382" t="s">
        <v>34</v>
      </c>
      <c r="D360" s="522" t="s">
        <v>30</v>
      </c>
      <c r="E360" s="418"/>
      <c r="F360" s="382" t="s">
        <v>31</v>
      </c>
      <c r="G360" s="197"/>
      <c r="H360" s="382" t="s">
        <v>31</v>
      </c>
      <c r="I360" s="542"/>
      <c r="J360" s="383" t="s">
        <v>19</v>
      </c>
      <c r="K360" s="542"/>
      <c r="L360" s="383" t="s">
        <v>19</v>
      </c>
      <c r="M360" s="487" t="s">
        <v>19</v>
      </c>
      <c r="N360" s="147"/>
    </row>
    <row r="361" ht="22.5" customHeight="1">
      <c r="A361" s="448"/>
      <c r="B361" s="313" t="s">
        <v>6823</v>
      </c>
      <c r="C361" s="363" t="s">
        <v>16</v>
      </c>
      <c r="D361" s="267" t="s">
        <v>17</v>
      </c>
      <c r="E361" s="415"/>
      <c r="F361" s="363" t="s">
        <v>19</v>
      </c>
      <c r="G361" s="415"/>
      <c r="H361" s="363" t="s">
        <v>19</v>
      </c>
      <c r="I361" s="530"/>
      <c r="J361" s="363" t="s">
        <v>19</v>
      </c>
      <c r="K361" s="530"/>
      <c r="L361" s="363" t="s">
        <v>19</v>
      </c>
      <c r="M361" s="492" t="s">
        <v>19</v>
      </c>
      <c r="N361" s="155"/>
    </row>
    <row r="362" ht="22.5" customHeight="1">
      <c r="A362" s="430"/>
      <c r="B362" s="420" t="s">
        <v>6824</v>
      </c>
      <c r="C362" s="382" t="s">
        <v>34</v>
      </c>
      <c r="D362" s="370" t="s">
        <v>40</v>
      </c>
      <c r="E362" s="420" t="s">
        <v>18</v>
      </c>
      <c r="F362" s="384" t="s">
        <v>640</v>
      </c>
      <c r="G362" s="344" t="s">
        <v>20</v>
      </c>
      <c r="H362" s="382" t="s">
        <v>31</v>
      </c>
      <c r="I362" s="321" t="s">
        <v>21</v>
      </c>
      <c r="J362" s="383" t="s">
        <v>19</v>
      </c>
      <c r="K362" s="321" t="s">
        <v>22</v>
      </c>
      <c r="L362" s="383" t="s">
        <v>19</v>
      </c>
      <c r="M362" s="487" t="s">
        <v>19</v>
      </c>
      <c r="N362" s="147"/>
    </row>
    <row r="363" ht="22.5" customHeight="1">
      <c r="A363" s="448"/>
      <c r="B363" s="313" t="s">
        <v>6825</v>
      </c>
      <c r="C363" s="311" t="s">
        <v>34</v>
      </c>
      <c r="D363" s="521" t="s">
        <v>25</v>
      </c>
      <c r="E363" s="313" t="s">
        <v>18</v>
      </c>
      <c r="F363" s="311" t="s">
        <v>31</v>
      </c>
      <c r="G363" s="341" t="s">
        <v>20</v>
      </c>
      <c r="H363" s="311" t="s">
        <v>31</v>
      </c>
      <c r="I363" s="294" t="s">
        <v>21</v>
      </c>
      <c r="J363" s="227" t="s">
        <v>5279</v>
      </c>
      <c r="K363" s="294" t="s">
        <v>22</v>
      </c>
      <c r="L363" s="227" t="s">
        <v>5279</v>
      </c>
      <c r="M363" s="492" t="s">
        <v>19</v>
      </c>
      <c r="N363" s="155"/>
    </row>
    <row r="364" ht="22.5" customHeight="1">
      <c r="A364" s="430"/>
      <c r="B364" s="420" t="s">
        <v>6826</v>
      </c>
      <c r="C364" s="382" t="s">
        <v>34</v>
      </c>
      <c r="D364" s="500" t="s">
        <v>25</v>
      </c>
      <c r="E364" s="418"/>
      <c r="F364" s="382" t="s">
        <v>31</v>
      </c>
      <c r="G364" s="197"/>
      <c r="H364" s="382" t="s">
        <v>31</v>
      </c>
      <c r="I364" s="542"/>
      <c r="J364" s="383" t="s">
        <v>19</v>
      </c>
      <c r="K364" s="542"/>
      <c r="L364" s="383" t="s">
        <v>19</v>
      </c>
      <c r="M364" s="493" t="s">
        <v>5279</v>
      </c>
      <c r="N364" s="147"/>
    </row>
    <row r="365" ht="22.5" customHeight="1">
      <c r="A365" s="448"/>
      <c r="B365" s="313" t="s">
        <v>6827</v>
      </c>
      <c r="C365" s="311" t="s">
        <v>34</v>
      </c>
      <c r="D365" s="268" t="s">
        <v>30</v>
      </c>
      <c r="E365" s="415"/>
      <c r="F365" s="311" t="s">
        <v>31</v>
      </c>
      <c r="G365" s="415"/>
      <c r="H365" s="363" t="s">
        <v>19</v>
      </c>
      <c r="I365" s="530"/>
      <c r="J365" s="363" t="s">
        <v>19</v>
      </c>
      <c r="K365" s="530"/>
      <c r="L365" s="363" t="s">
        <v>19</v>
      </c>
      <c r="M365" s="492" t="s">
        <v>19</v>
      </c>
      <c r="N365" s="155"/>
    </row>
    <row r="366" ht="22.5" customHeight="1">
      <c r="A366" s="430"/>
      <c r="B366" s="420" t="s">
        <v>6828</v>
      </c>
      <c r="C366" s="383" t="s">
        <v>16</v>
      </c>
      <c r="D366" s="371" t="s">
        <v>17</v>
      </c>
      <c r="E366" s="418"/>
      <c r="F366" s="383" t="s">
        <v>19</v>
      </c>
      <c r="G366" s="197"/>
      <c r="H366" s="383" t="s">
        <v>19</v>
      </c>
      <c r="I366" s="542"/>
      <c r="J366" s="383" t="s">
        <v>19</v>
      </c>
      <c r="K366" s="542"/>
      <c r="L366" s="383" t="s">
        <v>19</v>
      </c>
      <c r="M366" s="487" t="s">
        <v>19</v>
      </c>
      <c r="N366" s="147"/>
    </row>
    <row r="367" ht="22.5" customHeight="1">
      <c r="A367" s="448"/>
      <c r="B367" s="313" t="s">
        <v>6829</v>
      </c>
      <c r="C367" s="311" t="s">
        <v>34</v>
      </c>
      <c r="D367" s="192" t="s">
        <v>49</v>
      </c>
      <c r="E367" s="415"/>
      <c r="F367" s="311" t="s">
        <v>31</v>
      </c>
      <c r="G367" s="415"/>
      <c r="H367" s="392" t="s">
        <v>50</v>
      </c>
      <c r="I367" s="530"/>
      <c r="J367" s="392" t="s">
        <v>50</v>
      </c>
      <c r="K367" s="530"/>
      <c r="L367" s="363" t="s">
        <v>19</v>
      </c>
      <c r="M367" s="492" t="s">
        <v>19</v>
      </c>
      <c r="N367" s="155"/>
    </row>
    <row r="368" ht="22.5" customHeight="1">
      <c r="A368" s="430"/>
      <c r="B368" s="420" t="s">
        <v>6830</v>
      </c>
      <c r="C368" s="382" t="s">
        <v>34</v>
      </c>
      <c r="D368" s="522" t="s">
        <v>30</v>
      </c>
      <c r="E368" s="418"/>
      <c r="F368" s="383" t="s">
        <v>19</v>
      </c>
      <c r="G368" s="197"/>
      <c r="H368" s="383" t="s">
        <v>19</v>
      </c>
      <c r="I368" s="542"/>
      <c r="J368" s="383" t="s">
        <v>19</v>
      </c>
      <c r="K368" s="542"/>
      <c r="L368" s="383" t="s">
        <v>19</v>
      </c>
      <c r="M368" s="487" t="s">
        <v>19</v>
      </c>
      <c r="N368" s="147"/>
    </row>
    <row r="369" ht="22.5" customHeight="1">
      <c r="A369" s="448"/>
      <c r="B369" s="313" t="s">
        <v>6831</v>
      </c>
      <c r="C369" s="311" t="s">
        <v>34</v>
      </c>
      <c r="D369" s="265" t="s">
        <v>40</v>
      </c>
      <c r="E369" s="415"/>
      <c r="F369" s="363" t="s">
        <v>19</v>
      </c>
      <c r="G369" s="415"/>
      <c r="H369" s="311" t="s">
        <v>31</v>
      </c>
      <c r="I369" s="530"/>
      <c r="J369" s="363" t="s">
        <v>19</v>
      </c>
      <c r="K369" s="530"/>
      <c r="L369" s="396" t="s">
        <v>19</v>
      </c>
      <c r="M369" s="492" t="s">
        <v>19</v>
      </c>
      <c r="N369" s="155"/>
    </row>
    <row r="370" ht="22.5" customHeight="1">
      <c r="A370" s="430"/>
      <c r="B370" s="420" t="s">
        <v>6832</v>
      </c>
      <c r="C370" s="383" t="s">
        <v>16</v>
      </c>
      <c r="D370" s="371" t="s">
        <v>17</v>
      </c>
      <c r="E370" s="418"/>
      <c r="F370" s="383" t="s">
        <v>19</v>
      </c>
      <c r="G370" s="197"/>
      <c r="H370" s="383" t="s">
        <v>19</v>
      </c>
      <c r="I370" s="542"/>
      <c r="J370" s="383" t="s">
        <v>19</v>
      </c>
      <c r="K370" s="542"/>
      <c r="L370" s="383" t="s">
        <v>19</v>
      </c>
      <c r="M370" s="487" t="s">
        <v>19</v>
      </c>
      <c r="N370" s="147"/>
    </row>
    <row r="371" ht="22.5" customHeight="1">
      <c r="A371" s="448"/>
      <c r="B371" s="313" t="s">
        <v>6833</v>
      </c>
      <c r="C371" s="363" t="s">
        <v>16</v>
      </c>
      <c r="D371" s="267" t="s">
        <v>17</v>
      </c>
      <c r="E371" s="415"/>
      <c r="F371" s="363" t="s">
        <v>19</v>
      </c>
      <c r="G371" s="415"/>
      <c r="H371" s="363" t="s">
        <v>19</v>
      </c>
      <c r="I371" s="530"/>
      <c r="J371" s="363" t="s">
        <v>19</v>
      </c>
      <c r="K371" s="530"/>
      <c r="L371" s="363" t="s">
        <v>19</v>
      </c>
      <c r="M371" s="492" t="s">
        <v>19</v>
      </c>
      <c r="N371" s="155"/>
    </row>
    <row r="372" ht="22.5" customHeight="1">
      <c r="A372" s="430"/>
      <c r="B372" s="420" t="s">
        <v>6834</v>
      </c>
      <c r="C372" s="383" t="s">
        <v>16</v>
      </c>
      <c r="D372" s="371" t="s">
        <v>17</v>
      </c>
      <c r="E372" s="418"/>
      <c r="F372" s="383" t="s">
        <v>19</v>
      </c>
      <c r="G372" s="197"/>
      <c r="H372" s="383" t="s">
        <v>19</v>
      </c>
      <c r="I372" s="542"/>
      <c r="J372" s="383" t="s">
        <v>19</v>
      </c>
      <c r="K372" s="542"/>
      <c r="L372" s="383" t="s">
        <v>19</v>
      </c>
      <c r="M372" s="487" t="s">
        <v>19</v>
      </c>
      <c r="N372" s="147"/>
    </row>
    <row r="373" ht="22.5" customHeight="1">
      <c r="A373" s="448"/>
      <c r="B373" s="313" t="s">
        <v>6835</v>
      </c>
      <c r="C373" s="311" t="s">
        <v>34</v>
      </c>
      <c r="D373" s="265" t="s">
        <v>40</v>
      </c>
      <c r="E373" s="415"/>
      <c r="F373" s="199" t="s">
        <v>26</v>
      </c>
      <c r="G373" s="415"/>
      <c r="H373" s="363" t="s">
        <v>19</v>
      </c>
      <c r="I373" s="530"/>
      <c r="J373" s="363" t="s">
        <v>19</v>
      </c>
      <c r="K373" s="530"/>
      <c r="L373" s="363" t="s">
        <v>19</v>
      </c>
      <c r="M373" s="492" t="s">
        <v>19</v>
      </c>
      <c r="N373" s="155"/>
    </row>
    <row r="374" ht="22.5" customHeight="1">
      <c r="A374" s="430"/>
      <c r="B374" s="420" t="s">
        <v>6836</v>
      </c>
      <c r="C374" s="383" t="s">
        <v>16</v>
      </c>
      <c r="D374" s="382" t="s">
        <v>419</v>
      </c>
      <c r="E374" s="418"/>
      <c r="F374" s="383" t="s">
        <v>19</v>
      </c>
      <c r="G374" s="197"/>
      <c r="H374" s="384" t="s">
        <v>5279</v>
      </c>
      <c r="I374" s="542"/>
      <c r="J374" s="384" t="s">
        <v>5279</v>
      </c>
      <c r="K374" s="542"/>
      <c r="L374" s="384" t="s">
        <v>5279</v>
      </c>
      <c r="M374" s="493" t="s">
        <v>5279</v>
      </c>
      <c r="N374" s="147"/>
    </row>
    <row r="375" ht="22.5" customHeight="1">
      <c r="A375" s="448"/>
      <c r="B375" s="313" t="s">
        <v>6837</v>
      </c>
      <c r="C375" s="363" t="s">
        <v>16</v>
      </c>
      <c r="D375" s="267" t="s">
        <v>17</v>
      </c>
      <c r="E375" s="415"/>
      <c r="F375" s="363" t="s">
        <v>19</v>
      </c>
      <c r="G375" s="415"/>
      <c r="H375" s="363" t="s">
        <v>19</v>
      </c>
      <c r="I375" s="530"/>
      <c r="J375" s="363" t="s">
        <v>19</v>
      </c>
      <c r="K375" s="530"/>
      <c r="L375" s="363" t="s">
        <v>19</v>
      </c>
      <c r="M375" s="492" t="s">
        <v>19</v>
      </c>
      <c r="N375" s="155"/>
    </row>
    <row r="376" ht="22.5" customHeight="1">
      <c r="A376" s="430"/>
      <c r="B376" s="420" t="s">
        <v>6838</v>
      </c>
      <c r="C376" s="382" t="s">
        <v>34</v>
      </c>
      <c r="D376" s="372" t="s">
        <v>49</v>
      </c>
      <c r="E376" s="418"/>
      <c r="F376" s="383" t="s">
        <v>19</v>
      </c>
      <c r="G376" s="197"/>
      <c r="H376" s="382" t="s">
        <v>31</v>
      </c>
      <c r="I376" s="542"/>
      <c r="J376" s="383" t="s">
        <v>19</v>
      </c>
      <c r="K376" s="542"/>
      <c r="L376" s="383" t="s">
        <v>19</v>
      </c>
      <c r="M376" s="487" t="s">
        <v>19</v>
      </c>
      <c r="N376" s="147"/>
    </row>
    <row r="377" ht="22.5" customHeight="1">
      <c r="A377" s="448"/>
      <c r="B377" s="313" t="s">
        <v>6839</v>
      </c>
      <c r="C377" s="311" t="s">
        <v>34</v>
      </c>
      <c r="D377" s="265" t="s">
        <v>40</v>
      </c>
      <c r="E377" s="415"/>
      <c r="F377" s="311" t="s">
        <v>31</v>
      </c>
      <c r="G377" s="415"/>
      <c r="H377" s="311" t="s">
        <v>31</v>
      </c>
      <c r="I377" s="530"/>
      <c r="J377" s="363" t="s">
        <v>19</v>
      </c>
      <c r="K377" s="530"/>
      <c r="L377" s="396" t="s">
        <v>19</v>
      </c>
      <c r="M377" s="492" t="s">
        <v>19</v>
      </c>
      <c r="N377" s="155"/>
    </row>
    <row r="378" ht="22.5" customHeight="1">
      <c r="A378" s="379" t="s">
        <v>637</v>
      </c>
      <c r="B378" s="420" t="s">
        <v>6840</v>
      </c>
      <c r="C378" s="383" t="s">
        <v>16</v>
      </c>
      <c r="D378" s="371" t="s">
        <v>17</v>
      </c>
      <c r="E378" s="420" t="s">
        <v>18</v>
      </c>
      <c r="F378" s="383" t="s">
        <v>19</v>
      </c>
      <c r="G378" s="344" t="s">
        <v>20</v>
      </c>
      <c r="H378" s="383" t="s">
        <v>19</v>
      </c>
      <c r="I378" s="321" t="s">
        <v>21</v>
      </c>
      <c r="J378" s="383" t="s">
        <v>19</v>
      </c>
      <c r="K378" s="321" t="s">
        <v>22</v>
      </c>
      <c r="L378" s="383" t="s">
        <v>19</v>
      </c>
      <c r="M378" s="487" t="s">
        <v>19</v>
      </c>
      <c r="N378" s="147"/>
    </row>
    <row r="379" ht="22.5" customHeight="1">
      <c r="A379" s="448"/>
      <c r="B379" s="313" t="s">
        <v>6841</v>
      </c>
      <c r="C379" s="311" t="s">
        <v>34</v>
      </c>
      <c r="D379" s="268" t="s">
        <v>30</v>
      </c>
      <c r="E379" s="415"/>
      <c r="F379" s="311" t="s">
        <v>31</v>
      </c>
      <c r="G379" s="415"/>
      <c r="H379" s="311" t="s">
        <v>31</v>
      </c>
      <c r="I379" s="530"/>
      <c r="J379" s="363" t="s">
        <v>19</v>
      </c>
      <c r="K379" s="530"/>
      <c r="L379" s="363" t="s">
        <v>19</v>
      </c>
      <c r="M379" s="492" t="s">
        <v>19</v>
      </c>
      <c r="N379" s="155"/>
    </row>
    <row r="380" ht="22.5" customHeight="1">
      <c r="A380" s="430"/>
      <c r="B380" s="420" t="s">
        <v>6842</v>
      </c>
      <c r="C380" s="383" t="s">
        <v>16</v>
      </c>
      <c r="D380" s="371" t="s">
        <v>17</v>
      </c>
      <c r="E380" s="418"/>
      <c r="F380" s="383" t="s">
        <v>19</v>
      </c>
      <c r="G380" s="197"/>
      <c r="H380" s="383" t="s">
        <v>19</v>
      </c>
      <c r="I380" s="542"/>
      <c r="J380" s="383" t="s">
        <v>19</v>
      </c>
      <c r="K380" s="542"/>
      <c r="L380" s="383" t="s">
        <v>19</v>
      </c>
      <c r="M380" s="487" t="s">
        <v>19</v>
      </c>
      <c r="N380" s="147"/>
    </row>
    <row r="381" ht="22.5" customHeight="1">
      <c r="A381" s="448"/>
      <c r="B381" s="313" t="s">
        <v>6843</v>
      </c>
      <c r="C381" s="311" t="s">
        <v>34</v>
      </c>
      <c r="D381" s="265" t="s">
        <v>40</v>
      </c>
      <c r="E381" s="415"/>
      <c r="F381" s="311" t="s">
        <v>31</v>
      </c>
      <c r="G381" s="415"/>
      <c r="H381" s="363" t="s">
        <v>19</v>
      </c>
      <c r="I381" s="530"/>
      <c r="J381" s="363" t="s">
        <v>19</v>
      </c>
      <c r="K381" s="530"/>
      <c r="L381" s="363" t="s">
        <v>19</v>
      </c>
      <c r="M381" s="492" t="s">
        <v>19</v>
      </c>
      <c r="N381" s="155"/>
    </row>
    <row r="382" ht="22.5" customHeight="1">
      <c r="A382" s="430"/>
      <c r="B382" s="420" t="s">
        <v>6844</v>
      </c>
      <c r="C382" s="382" t="s">
        <v>34</v>
      </c>
      <c r="D382" s="370" t="s">
        <v>40</v>
      </c>
      <c r="E382" s="418"/>
      <c r="F382" s="381" t="s">
        <v>26</v>
      </c>
      <c r="G382" s="418"/>
      <c r="H382" s="382" t="s">
        <v>31</v>
      </c>
      <c r="I382" s="542"/>
      <c r="J382" s="383" t="s">
        <v>19</v>
      </c>
      <c r="K382" s="542"/>
      <c r="L382" s="383" t="s">
        <v>19</v>
      </c>
      <c r="M382" s="487" t="s">
        <v>19</v>
      </c>
      <c r="N382" s="147"/>
    </row>
    <row r="383" ht="22.5" customHeight="1">
      <c r="A383" s="448"/>
      <c r="B383" s="313" t="s">
        <v>6845</v>
      </c>
      <c r="C383" s="363" t="s">
        <v>16</v>
      </c>
      <c r="D383" s="267" t="s">
        <v>17</v>
      </c>
      <c r="E383" s="415"/>
      <c r="F383" s="363" t="s">
        <v>19</v>
      </c>
      <c r="G383" s="415"/>
      <c r="H383" s="363" t="s">
        <v>19</v>
      </c>
      <c r="I383" s="530"/>
      <c r="J383" s="363" t="s">
        <v>19</v>
      </c>
      <c r="K383" s="530"/>
      <c r="L383" s="363" t="s">
        <v>19</v>
      </c>
      <c r="M383" s="492" t="s">
        <v>19</v>
      </c>
      <c r="N383" s="155"/>
    </row>
    <row r="384" ht="22.5" customHeight="1">
      <c r="A384" s="430"/>
      <c r="B384" s="420" t="s">
        <v>6846</v>
      </c>
      <c r="C384" s="382" t="s">
        <v>34</v>
      </c>
      <c r="D384" s="370" t="s">
        <v>40</v>
      </c>
      <c r="E384" s="418"/>
      <c r="F384" s="381" t="s">
        <v>26</v>
      </c>
      <c r="G384" s="418"/>
      <c r="H384" s="383" t="s">
        <v>19</v>
      </c>
      <c r="I384" s="542"/>
      <c r="J384" s="383" t="s">
        <v>19</v>
      </c>
      <c r="K384" s="542"/>
      <c r="L384" s="383" t="s">
        <v>19</v>
      </c>
      <c r="M384" s="487" t="s">
        <v>19</v>
      </c>
      <c r="N384" s="147"/>
    </row>
    <row r="385" ht="22.5" customHeight="1">
      <c r="A385" s="448"/>
      <c r="B385" s="313" t="s">
        <v>6847</v>
      </c>
      <c r="C385" s="311" t="s">
        <v>34</v>
      </c>
      <c r="D385" s="267" t="s">
        <v>17</v>
      </c>
      <c r="E385" s="415"/>
      <c r="F385" s="363" t="s">
        <v>19</v>
      </c>
      <c r="G385" s="415"/>
      <c r="H385" s="363" t="s">
        <v>19</v>
      </c>
      <c r="I385" s="530"/>
      <c r="J385" s="363" t="s">
        <v>19</v>
      </c>
      <c r="K385" s="530"/>
      <c r="L385" s="396" t="s">
        <v>19</v>
      </c>
      <c r="M385" s="492" t="s">
        <v>19</v>
      </c>
      <c r="N385" s="155"/>
    </row>
    <row r="386" ht="22.5" customHeight="1">
      <c r="A386" s="430"/>
      <c r="B386" s="420" t="s">
        <v>6848</v>
      </c>
      <c r="C386" s="382" t="s">
        <v>34</v>
      </c>
      <c r="D386" s="370" t="s">
        <v>40</v>
      </c>
      <c r="E386" s="418"/>
      <c r="F386" s="382" t="s">
        <v>31</v>
      </c>
      <c r="G386" s="418"/>
      <c r="H386" s="381" t="s">
        <v>26</v>
      </c>
      <c r="I386" s="542"/>
      <c r="J386" s="383" t="s">
        <v>19</v>
      </c>
      <c r="K386" s="542"/>
      <c r="L386" s="383" t="s">
        <v>19</v>
      </c>
      <c r="M386" s="487" t="s">
        <v>19</v>
      </c>
      <c r="N386" s="147"/>
    </row>
    <row r="387" ht="22.5" customHeight="1">
      <c r="A387" s="448"/>
      <c r="B387" s="313" t="s">
        <v>6849</v>
      </c>
      <c r="C387" s="363" t="s">
        <v>16</v>
      </c>
      <c r="D387" s="267" t="s">
        <v>17</v>
      </c>
      <c r="E387" s="415"/>
      <c r="F387" s="363" t="s">
        <v>19</v>
      </c>
      <c r="G387" s="415"/>
      <c r="H387" s="363" t="s">
        <v>19</v>
      </c>
      <c r="I387" s="530"/>
      <c r="J387" s="363" t="s">
        <v>19</v>
      </c>
      <c r="K387" s="530"/>
      <c r="L387" s="363" t="s">
        <v>19</v>
      </c>
      <c r="M387" s="492" t="s">
        <v>19</v>
      </c>
      <c r="N387" s="155"/>
    </row>
    <row r="388" ht="22.5" customHeight="1">
      <c r="A388" s="430"/>
      <c r="B388" s="420" t="s">
        <v>6850</v>
      </c>
      <c r="C388" s="383" t="s">
        <v>16</v>
      </c>
      <c r="D388" s="371" t="s">
        <v>17</v>
      </c>
      <c r="E388" s="418"/>
      <c r="F388" s="383" t="s">
        <v>19</v>
      </c>
      <c r="G388" s="418"/>
      <c r="H388" s="383" t="s">
        <v>19</v>
      </c>
      <c r="I388" s="542"/>
      <c r="J388" s="383" t="s">
        <v>19</v>
      </c>
      <c r="K388" s="542"/>
      <c r="L388" s="383" t="s">
        <v>19</v>
      </c>
      <c r="M388" s="493" t="s">
        <v>5279</v>
      </c>
      <c r="N388" s="147"/>
    </row>
    <row r="389" ht="22.5" customHeight="1">
      <c r="A389" s="448"/>
      <c r="B389" s="313" t="s">
        <v>6851</v>
      </c>
      <c r="C389" s="363" t="s">
        <v>16</v>
      </c>
      <c r="D389" s="267" t="s">
        <v>17</v>
      </c>
      <c r="E389" s="415"/>
      <c r="F389" s="363" t="s">
        <v>19</v>
      </c>
      <c r="G389" s="415"/>
      <c r="H389" s="363" t="s">
        <v>19</v>
      </c>
      <c r="I389" s="530"/>
      <c r="J389" s="363" t="s">
        <v>19</v>
      </c>
      <c r="K389" s="530"/>
      <c r="L389" s="396" t="s">
        <v>19</v>
      </c>
      <c r="M389" s="519" t="s">
        <v>5279</v>
      </c>
      <c r="N389" s="155"/>
    </row>
    <row r="390" ht="22.5" customHeight="1">
      <c r="A390" s="430"/>
      <c r="B390" s="420" t="s">
        <v>6852</v>
      </c>
      <c r="C390" s="382" t="s">
        <v>34</v>
      </c>
      <c r="D390" s="370" t="s">
        <v>40</v>
      </c>
      <c r="E390" s="418"/>
      <c r="F390" s="381" t="s">
        <v>26</v>
      </c>
      <c r="G390" s="418"/>
      <c r="H390" s="383" t="s">
        <v>19</v>
      </c>
      <c r="I390" s="542"/>
      <c r="J390" s="383" t="s">
        <v>19</v>
      </c>
      <c r="K390" s="542"/>
      <c r="L390" s="383" t="s">
        <v>19</v>
      </c>
      <c r="M390" s="487" t="s">
        <v>19</v>
      </c>
      <c r="N390" s="147"/>
    </row>
    <row r="391" ht="22.5" customHeight="1">
      <c r="A391" s="448"/>
      <c r="B391" s="313" t="s">
        <v>6853</v>
      </c>
      <c r="C391" s="311" t="s">
        <v>34</v>
      </c>
      <c r="D391" s="192" t="s">
        <v>49</v>
      </c>
      <c r="E391" s="415"/>
      <c r="F391" s="311" t="s">
        <v>31</v>
      </c>
      <c r="G391" s="415"/>
      <c r="H391" s="363" t="s">
        <v>19</v>
      </c>
      <c r="I391" s="530"/>
      <c r="J391" s="392" t="s">
        <v>50</v>
      </c>
      <c r="K391" s="530"/>
      <c r="L391" s="363" t="s">
        <v>19</v>
      </c>
      <c r="M391" s="492" t="s">
        <v>19</v>
      </c>
      <c r="N391" s="155"/>
    </row>
    <row r="392" ht="22.5" customHeight="1">
      <c r="A392" s="430"/>
      <c r="B392" s="420" t="s">
        <v>6854</v>
      </c>
      <c r="C392" s="382" t="s">
        <v>34</v>
      </c>
      <c r="D392" s="372" t="s">
        <v>49</v>
      </c>
      <c r="E392" s="418"/>
      <c r="F392" s="382" t="s">
        <v>31</v>
      </c>
      <c r="G392" s="418"/>
      <c r="H392" s="383" t="s">
        <v>19</v>
      </c>
      <c r="I392" s="542"/>
      <c r="J392" s="383" t="s">
        <v>19</v>
      </c>
      <c r="K392" s="542"/>
      <c r="L392" s="383" t="s">
        <v>19</v>
      </c>
      <c r="M392" s="487" t="s">
        <v>19</v>
      </c>
      <c r="N392" s="147"/>
    </row>
    <row r="393" ht="22.5" customHeight="1">
      <c r="A393" s="448"/>
      <c r="B393" s="313" t="s">
        <v>6855</v>
      </c>
      <c r="C393" s="311" t="s">
        <v>34</v>
      </c>
      <c r="D393" s="265" t="s">
        <v>40</v>
      </c>
      <c r="E393" s="415"/>
      <c r="F393" s="311" t="s">
        <v>31</v>
      </c>
      <c r="G393" s="415"/>
      <c r="H393" s="363" t="s">
        <v>19</v>
      </c>
      <c r="I393" s="530"/>
      <c r="J393" s="363" t="s">
        <v>19</v>
      </c>
      <c r="K393" s="530"/>
      <c r="L393" s="363" t="s">
        <v>19</v>
      </c>
      <c r="M393" s="492" t="s">
        <v>19</v>
      </c>
      <c r="N393" s="155"/>
    </row>
    <row r="394" ht="22.5" customHeight="1">
      <c r="A394" s="430"/>
      <c r="B394" s="420" t="s">
        <v>6856</v>
      </c>
      <c r="C394" s="382" t="s">
        <v>34</v>
      </c>
      <c r="D394" s="370" t="s">
        <v>40</v>
      </c>
      <c r="E394" s="418"/>
      <c r="F394" s="382" t="s">
        <v>31</v>
      </c>
      <c r="G394" s="418"/>
      <c r="H394" s="383" t="s">
        <v>19</v>
      </c>
      <c r="I394" s="542"/>
      <c r="J394" s="383" t="s">
        <v>19</v>
      </c>
      <c r="K394" s="542"/>
      <c r="L394" s="383" t="s">
        <v>19</v>
      </c>
      <c r="M394" s="487" t="s">
        <v>19</v>
      </c>
      <c r="N394" s="147"/>
    </row>
    <row r="395" ht="22.5" customHeight="1">
      <c r="A395" s="448"/>
      <c r="B395" s="313" t="s">
        <v>6857</v>
      </c>
      <c r="C395" s="311" t="s">
        <v>34</v>
      </c>
      <c r="D395" s="265" t="s">
        <v>40</v>
      </c>
      <c r="E395" s="415"/>
      <c r="F395" s="199" t="s">
        <v>26</v>
      </c>
      <c r="G395" s="415"/>
      <c r="H395" s="363" t="s">
        <v>19</v>
      </c>
      <c r="I395" s="530"/>
      <c r="J395" s="363" t="s">
        <v>19</v>
      </c>
      <c r="K395" s="530"/>
      <c r="L395" s="363" t="s">
        <v>19</v>
      </c>
      <c r="M395" s="492" t="s">
        <v>19</v>
      </c>
      <c r="N395" s="155"/>
    </row>
    <row r="396" ht="22.5" customHeight="1">
      <c r="A396" s="430"/>
      <c r="B396" s="420" t="s">
        <v>6858</v>
      </c>
      <c r="C396" s="382" t="s">
        <v>34</v>
      </c>
      <c r="D396" s="370" t="s">
        <v>40</v>
      </c>
      <c r="E396" s="418"/>
      <c r="F396" s="382" t="s">
        <v>31</v>
      </c>
      <c r="G396" s="418"/>
      <c r="H396" s="383" t="s">
        <v>19</v>
      </c>
      <c r="I396" s="542"/>
      <c r="J396" s="383" t="s">
        <v>19</v>
      </c>
      <c r="K396" s="542"/>
      <c r="L396" s="383" t="s">
        <v>19</v>
      </c>
      <c r="M396" s="487" t="s">
        <v>19</v>
      </c>
      <c r="N396" s="147"/>
    </row>
    <row r="397" ht="22.5" customHeight="1">
      <c r="A397" s="448"/>
      <c r="B397" s="313" t="s">
        <v>6859</v>
      </c>
      <c r="C397" s="311" t="s">
        <v>34</v>
      </c>
      <c r="D397" s="265" t="s">
        <v>40</v>
      </c>
      <c r="E397" s="415"/>
      <c r="F397" s="311" t="s">
        <v>31</v>
      </c>
      <c r="G397" s="415"/>
      <c r="H397" s="363" t="s">
        <v>19</v>
      </c>
      <c r="I397" s="530"/>
      <c r="J397" s="363" t="s">
        <v>19</v>
      </c>
      <c r="K397" s="530"/>
      <c r="L397" s="363" t="s">
        <v>19</v>
      </c>
      <c r="M397" s="492" t="s">
        <v>19</v>
      </c>
      <c r="N397" s="155"/>
    </row>
    <row r="398" ht="22.5" customHeight="1">
      <c r="A398" s="430"/>
      <c r="B398" s="420" t="s">
        <v>6860</v>
      </c>
      <c r="C398" s="382" t="s">
        <v>34</v>
      </c>
      <c r="D398" s="370" t="s">
        <v>40</v>
      </c>
      <c r="E398" s="418"/>
      <c r="F398" s="383" t="s">
        <v>19</v>
      </c>
      <c r="G398" s="418"/>
      <c r="H398" s="382" t="s">
        <v>31</v>
      </c>
      <c r="I398" s="542"/>
      <c r="J398" s="383" t="s">
        <v>19</v>
      </c>
      <c r="K398" s="542"/>
      <c r="L398" s="395" t="s">
        <v>19</v>
      </c>
      <c r="M398" s="487" t="s">
        <v>19</v>
      </c>
      <c r="N398" s="147"/>
    </row>
    <row r="399" ht="22.5" customHeight="1">
      <c r="A399" s="448"/>
      <c r="B399" s="313" t="s">
        <v>6861</v>
      </c>
      <c r="C399" s="311" t="s">
        <v>34</v>
      </c>
      <c r="D399" s="268" t="s">
        <v>30</v>
      </c>
      <c r="E399" s="415"/>
      <c r="F399" s="363" t="s">
        <v>19</v>
      </c>
      <c r="G399" s="415"/>
      <c r="H399" s="363" t="s">
        <v>19</v>
      </c>
      <c r="I399" s="530"/>
      <c r="J399" s="311" t="s">
        <v>31</v>
      </c>
      <c r="K399" s="530"/>
      <c r="L399" s="311" t="s">
        <v>31</v>
      </c>
      <c r="M399" s="492" t="s">
        <v>19</v>
      </c>
      <c r="N399" s="155"/>
    </row>
    <row r="400" ht="22.5" customHeight="1">
      <c r="A400" s="430"/>
      <c r="B400" s="420" t="s">
        <v>6862</v>
      </c>
      <c r="C400" s="383" t="s">
        <v>16</v>
      </c>
      <c r="D400" s="371" t="s">
        <v>17</v>
      </c>
      <c r="E400" s="418"/>
      <c r="F400" s="382" t="s">
        <v>31</v>
      </c>
      <c r="G400" s="418"/>
      <c r="H400" s="383" t="s">
        <v>19</v>
      </c>
      <c r="I400" s="542"/>
      <c r="J400" s="383" t="s">
        <v>19</v>
      </c>
      <c r="K400" s="542"/>
      <c r="L400" s="384" t="s">
        <v>5279</v>
      </c>
      <c r="M400" s="493" t="s">
        <v>5279</v>
      </c>
      <c r="N400" s="147"/>
    </row>
    <row r="401" ht="22.5" customHeight="1">
      <c r="A401" s="448"/>
      <c r="B401" s="313" t="s">
        <v>6863</v>
      </c>
      <c r="C401" s="311" t="s">
        <v>34</v>
      </c>
      <c r="D401" s="265" t="s">
        <v>40</v>
      </c>
      <c r="E401" s="415"/>
      <c r="F401" s="363" t="s">
        <v>19</v>
      </c>
      <c r="G401" s="415"/>
      <c r="H401" s="311" t="s">
        <v>31</v>
      </c>
      <c r="I401" s="530"/>
      <c r="J401" s="363" t="s">
        <v>19</v>
      </c>
      <c r="K401" s="530"/>
      <c r="L401" s="363" t="s">
        <v>19</v>
      </c>
      <c r="M401" s="492" t="s">
        <v>19</v>
      </c>
      <c r="N401" s="155"/>
    </row>
    <row r="402" ht="22.5" customHeight="1">
      <c r="A402" s="430"/>
      <c r="B402" s="418"/>
      <c r="C402" s="402"/>
      <c r="D402" s="402"/>
      <c r="E402" s="418"/>
      <c r="F402" s="402"/>
      <c r="G402" s="418"/>
      <c r="H402" s="402"/>
      <c r="I402" s="542"/>
      <c r="J402" s="402"/>
      <c r="K402" s="542"/>
      <c r="L402" s="402"/>
      <c r="M402" s="146"/>
      <c r="N402" s="147"/>
    </row>
    <row r="403" ht="22.5" customHeight="1">
      <c r="A403" s="448"/>
      <c r="B403" s="415"/>
      <c r="C403" s="181"/>
      <c r="D403" s="181"/>
      <c r="E403" s="415"/>
      <c r="F403" s="181"/>
      <c r="G403" s="415"/>
      <c r="H403" s="181"/>
      <c r="I403" s="530"/>
      <c r="J403" s="181"/>
      <c r="K403" s="530"/>
      <c r="L403" s="181"/>
      <c r="M403" s="555"/>
      <c r="N403" s="155"/>
    </row>
    <row r="404" ht="22.5" customHeight="1">
      <c r="A404" s="430"/>
      <c r="B404" s="418"/>
      <c r="C404" s="402"/>
      <c r="D404" s="402"/>
      <c r="E404" s="418"/>
      <c r="F404" s="402"/>
      <c r="G404" s="418"/>
      <c r="H404" s="402"/>
      <c r="I404" s="542"/>
      <c r="J404" s="402"/>
      <c r="K404" s="542"/>
      <c r="L404" s="402"/>
      <c r="M404" s="146"/>
      <c r="N404" s="147"/>
    </row>
    <row r="405" ht="22.5" customHeight="1">
      <c r="A405" s="448"/>
      <c r="B405" s="415"/>
      <c r="C405" s="181"/>
      <c r="D405" s="181"/>
      <c r="E405" s="415"/>
      <c r="F405" s="181"/>
      <c r="G405" s="415"/>
      <c r="H405" s="181"/>
      <c r="I405" s="530"/>
      <c r="J405" s="181"/>
      <c r="K405" s="530"/>
      <c r="L405" s="416"/>
      <c r="M405" s="555"/>
      <c r="N405" s="155"/>
    </row>
    <row r="406" ht="22.5" customHeight="1">
      <c r="A406" s="430"/>
      <c r="B406" s="418"/>
      <c r="C406" s="402"/>
      <c r="D406" s="402"/>
      <c r="E406" s="418"/>
      <c r="F406" s="402"/>
      <c r="G406" s="418"/>
      <c r="H406" s="402"/>
      <c r="I406" s="542"/>
      <c r="J406" s="402"/>
      <c r="K406" s="542"/>
      <c r="L406" s="402"/>
      <c r="M406" s="146"/>
      <c r="N406" s="147"/>
    </row>
    <row r="407" ht="22.5" customHeight="1">
      <c r="A407" s="448"/>
      <c r="B407" s="415"/>
      <c r="C407" s="181"/>
      <c r="D407" s="181"/>
      <c r="E407" s="415"/>
      <c r="F407" s="181"/>
      <c r="G407" s="415"/>
      <c r="H407" s="181"/>
      <c r="I407" s="530"/>
      <c r="J407" s="181"/>
      <c r="K407" s="530"/>
      <c r="L407" s="181"/>
      <c r="M407" s="555"/>
      <c r="N407" s="155"/>
    </row>
    <row r="408" ht="22.5" customHeight="1">
      <c r="A408" s="430"/>
      <c r="B408" s="418"/>
      <c r="C408" s="402"/>
      <c r="D408" s="402"/>
      <c r="E408" s="418"/>
      <c r="F408" s="402"/>
      <c r="G408" s="418"/>
      <c r="H408" s="402"/>
      <c r="I408" s="542"/>
      <c r="J408" s="402"/>
      <c r="K408" s="542"/>
      <c r="L408" s="402"/>
      <c r="M408" s="146"/>
      <c r="N408" s="147"/>
    </row>
    <row r="409" ht="22.5" customHeight="1">
      <c r="A409" s="448"/>
      <c r="B409" s="415"/>
      <c r="C409" s="181"/>
      <c r="D409" s="181"/>
      <c r="E409" s="415"/>
      <c r="F409" s="181"/>
      <c r="G409" s="415"/>
      <c r="H409" s="181"/>
      <c r="I409" s="530"/>
      <c r="J409" s="181"/>
      <c r="K409" s="530"/>
      <c r="L409" s="181"/>
      <c r="M409" s="555"/>
      <c r="N409" s="155"/>
    </row>
    <row r="410" ht="22.5" customHeight="1">
      <c r="A410" s="430"/>
      <c r="B410" s="418"/>
      <c r="C410" s="402"/>
      <c r="D410" s="402"/>
      <c r="E410" s="418"/>
      <c r="F410" s="402"/>
      <c r="G410" s="418"/>
      <c r="H410" s="402"/>
      <c r="I410" s="542"/>
      <c r="J410" s="384" t="s">
        <v>5279</v>
      </c>
      <c r="K410" s="542"/>
      <c r="L410" s="402"/>
      <c r="M410" s="493" t="s">
        <v>5279</v>
      </c>
      <c r="N410" s="147"/>
    </row>
    <row r="411" ht="22.5" customHeight="1">
      <c r="A411" s="448"/>
      <c r="B411" s="415"/>
      <c r="C411" s="181"/>
      <c r="D411" s="181"/>
      <c r="E411" s="415"/>
      <c r="F411" s="181"/>
      <c r="G411" s="415"/>
      <c r="H411" s="181"/>
      <c r="I411" s="530"/>
      <c r="J411" s="227" t="s">
        <v>5279</v>
      </c>
      <c r="K411" s="530"/>
      <c r="L411" s="181"/>
      <c r="M411" s="519" t="s">
        <v>5279</v>
      </c>
      <c r="N411" s="155"/>
    </row>
    <row r="412" ht="22.5" customHeight="1">
      <c r="A412" s="430"/>
      <c r="B412" s="418"/>
      <c r="C412" s="402"/>
      <c r="D412" s="402"/>
      <c r="E412" s="418"/>
      <c r="F412" s="402"/>
      <c r="G412" s="418"/>
      <c r="H412" s="402"/>
      <c r="I412" s="542"/>
      <c r="J412" s="384" t="s">
        <v>5279</v>
      </c>
      <c r="K412" s="542"/>
      <c r="L412" s="402"/>
      <c r="M412" s="493" t="s">
        <v>5279</v>
      </c>
      <c r="N412" s="147"/>
    </row>
    <row r="413" ht="22.5" customHeight="1">
      <c r="A413" s="448"/>
      <c r="B413" s="415"/>
      <c r="C413" s="181"/>
      <c r="D413" s="181"/>
      <c r="E413" s="415"/>
      <c r="F413" s="181"/>
      <c r="G413" s="415"/>
      <c r="H413" s="181"/>
      <c r="I413" s="530"/>
      <c r="J413" s="227" t="s">
        <v>5279</v>
      </c>
      <c r="K413" s="530"/>
      <c r="L413" s="181"/>
      <c r="M413" s="519" t="s">
        <v>5279</v>
      </c>
      <c r="N413" s="155"/>
    </row>
    <row r="414" ht="22.5" customHeight="1">
      <c r="A414" s="430"/>
      <c r="B414" s="418"/>
      <c r="C414" s="402"/>
      <c r="D414" s="402"/>
      <c r="E414" s="418"/>
      <c r="F414" s="402"/>
      <c r="G414" s="418"/>
      <c r="H414" s="402"/>
      <c r="I414" s="542"/>
      <c r="J414" s="384" t="s">
        <v>5279</v>
      </c>
      <c r="K414" s="542"/>
      <c r="L414" s="402"/>
      <c r="M414" s="493" t="s">
        <v>5279</v>
      </c>
      <c r="N414" s="147"/>
    </row>
    <row r="415" ht="22.5" customHeight="1">
      <c r="A415" s="448"/>
      <c r="B415" s="415"/>
      <c r="C415" s="181"/>
      <c r="D415" s="181"/>
      <c r="E415" s="415"/>
      <c r="F415" s="181"/>
      <c r="G415" s="415"/>
      <c r="H415" s="181"/>
      <c r="I415" s="530"/>
      <c r="J415" s="227" t="s">
        <v>5279</v>
      </c>
      <c r="K415" s="530"/>
      <c r="L415" s="181"/>
      <c r="M415" s="519" t="s">
        <v>5279</v>
      </c>
      <c r="N415" s="155"/>
    </row>
    <row r="416" ht="22.5" customHeight="1">
      <c r="A416" s="430"/>
      <c r="B416" s="418"/>
      <c r="C416" s="402"/>
      <c r="D416" s="402"/>
      <c r="E416" s="418"/>
      <c r="F416" s="402"/>
      <c r="G416" s="418"/>
      <c r="H416" s="402"/>
      <c r="I416" s="542"/>
      <c r="J416" s="384" t="s">
        <v>5279</v>
      </c>
      <c r="K416" s="542"/>
      <c r="L416" s="402"/>
      <c r="M416" s="493" t="s">
        <v>5279</v>
      </c>
      <c r="N416" s="147"/>
    </row>
    <row r="417" ht="22.5" customHeight="1">
      <c r="A417" s="448"/>
      <c r="B417" s="415"/>
      <c r="C417" s="181"/>
      <c r="D417" s="181"/>
      <c r="E417" s="415"/>
      <c r="F417" s="181"/>
      <c r="G417" s="415"/>
      <c r="H417" s="181"/>
      <c r="I417" s="530"/>
      <c r="J417" s="227" t="s">
        <v>5279</v>
      </c>
      <c r="K417" s="530"/>
      <c r="L417" s="416"/>
      <c r="M417" s="519" t="s">
        <v>5279</v>
      </c>
      <c r="N417" s="155"/>
    </row>
    <row r="418" ht="22.5" customHeight="1">
      <c r="A418" s="430"/>
      <c r="B418" s="418"/>
      <c r="C418" s="402"/>
      <c r="D418" s="402"/>
      <c r="E418" s="418"/>
      <c r="F418" s="402"/>
      <c r="G418" s="418"/>
      <c r="H418" s="402"/>
      <c r="I418" s="542"/>
      <c r="J418" s="384" t="s">
        <v>5279</v>
      </c>
      <c r="K418" s="542"/>
      <c r="L418" s="402"/>
      <c r="M418" s="493" t="s">
        <v>5279</v>
      </c>
      <c r="N418" s="147"/>
    </row>
    <row r="419" ht="22.5" customHeight="1">
      <c r="A419" s="448"/>
      <c r="B419" s="415"/>
      <c r="C419" s="181"/>
      <c r="D419" s="181"/>
      <c r="E419" s="415"/>
      <c r="F419" s="181"/>
      <c r="G419" s="415"/>
      <c r="H419" s="181"/>
      <c r="I419" s="530"/>
      <c r="J419" s="227" t="s">
        <v>5279</v>
      </c>
      <c r="K419" s="530"/>
      <c r="L419" s="416"/>
      <c r="M419" s="519" t="s">
        <v>5279</v>
      </c>
      <c r="N419" s="155"/>
    </row>
    <row r="420" ht="22.5" customHeight="1">
      <c r="A420" s="430"/>
      <c r="B420" s="418"/>
      <c r="C420" s="402"/>
      <c r="D420" s="402"/>
      <c r="E420" s="418"/>
      <c r="F420" s="402"/>
      <c r="G420" s="418"/>
      <c r="H420" s="402"/>
      <c r="I420" s="542"/>
      <c r="J420" s="384" t="s">
        <v>5279</v>
      </c>
      <c r="K420" s="542"/>
      <c r="L420" s="402"/>
      <c r="M420" s="493" t="s">
        <v>5279</v>
      </c>
      <c r="N420" s="147"/>
    </row>
    <row r="421" ht="22.5" customHeight="1">
      <c r="A421" s="448"/>
      <c r="B421" s="415"/>
      <c r="C421" s="181"/>
      <c r="D421" s="181"/>
      <c r="E421" s="415"/>
      <c r="F421" s="181"/>
      <c r="G421" s="415"/>
      <c r="H421" s="181"/>
      <c r="I421" s="530"/>
      <c r="J421" s="181"/>
      <c r="K421" s="530"/>
      <c r="L421" s="181"/>
      <c r="M421" s="519" t="s">
        <v>5279</v>
      </c>
      <c r="N421" s="155"/>
    </row>
    <row r="422" ht="22.5" customHeight="1">
      <c r="A422" s="368"/>
      <c r="B422" s="197"/>
      <c r="C422" s="144"/>
      <c r="D422" s="144"/>
      <c r="E422" s="159" t="s">
        <v>18</v>
      </c>
      <c r="F422" s="144"/>
      <c r="G422" s="159" t="s">
        <v>20</v>
      </c>
      <c r="H422" s="144"/>
      <c r="I422" s="287" t="s">
        <v>21</v>
      </c>
      <c r="J422" s="144"/>
      <c r="K422" s="287" t="s">
        <v>22</v>
      </c>
      <c r="L422" s="144"/>
      <c r="M422" s="197"/>
      <c r="N422" s="147"/>
    </row>
    <row r="423" ht="22.5" customHeight="1">
      <c r="A423" s="270"/>
      <c r="B423" s="196"/>
      <c r="C423" s="152"/>
      <c r="D423" s="152"/>
      <c r="E423" s="158" t="s">
        <v>18</v>
      </c>
      <c r="F423" s="152"/>
      <c r="G423" s="158" t="s">
        <v>20</v>
      </c>
      <c r="H423" s="152"/>
      <c r="I423" s="293" t="s">
        <v>21</v>
      </c>
      <c r="J423" s="152"/>
      <c r="K423" s="293" t="s">
        <v>22</v>
      </c>
      <c r="L423" s="152"/>
      <c r="M423" s="196"/>
      <c r="N423" s="155"/>
    </row>
    <row r="424" ht="22.5" customHeight="1">
      <c r="A424" s="368"/>
      <c r="B424" s="197"/>
      <c r="C424" s="144"/>
      <c r="D424" s="144"/>
      <c r="E424" s="159" t="s">
        <v>18</v>
      </c>
      <c r="F424" s="144"/>
      <c r="G424" s="159" t="s">
        <v>20</v>
      </c>
      <c r="H424" s="144"/>
      <c r="I424" s="287" t="s">
        <v>21</v>
      </c>
      <c r="J424" s="144"/>
      <c r="K424" s="287" t="s">
        <v>22</v>
      </c>
      <c r="L424" s="144"/>
      <c r="M424" s="197"/>
      <c r="N424" s="147"/>
    </row>
    <row r="425" ht="22.5" customHeight="1">
      <c r="A425" s="270"/>
      <c r="B425" s="196"/>
      <c r="C425" s="152"/>
      <c r="D425" s="152"/>
      <c r="E425" s="158" t="s">
        <v>18</v>
      </c>
      <c r="F425" s="152"/>
      <c r="G425" s="158" t="s">
        <v>20</v>
      </c>
      <c r="H425" s="152"/>
      <c r="I425" s="293" t="s">
        <v>21</v>
      </c>
      <c r="J425" s="152"/>
      <c r="K425" s="293" t="s">
        <v>22</v>
      </c>
      <c r="L425" s="152"/>
      <c r="M425" s="196"/>
      <c r="N425" s="155"/>
    </row>
    <row r="426" ht="22.5" customHeight="1">
      <c r="A426" s="368"/>
      <c r="B426" s="197"/>
      <c r="C426" s="144"/>
      <c r="D426" s="144"/>
      <c r="E426" s="159" t="s">
        <v>18</v>
      </c>
      <c r="F426" s="144"/>
      <c r="G426" s="159" t="s">
        <v>20</v>
      </c>
      <c r="H426" s="144"/>
      <c r="I426" s="287" t="s">
        <v>21</v>
      </c>
      <c r="J426" s="144"/>
      <c r="K426" s="287" t="s">
        <v>22</v>
      </c>
      <c r="L426" s="144"/>
      <c r="M426" s="197"/>
      <c r="N426" s="147"/>
    </row>
    <row r="427" ht="22.5" customHeight="1">
      <c r="A427" s="270"/>
      <c r="B427" s="196"/>
      <c r="C427" s="152"/>
      <c r="D427" s="152"/>
      <c r="E427" s="158" t="s">
        <v>18</v>
      </c>
      <c r="F427" s="152"/>
      <c r="G427" s="158" t="s">
        <v>20</v>
      </c>
      <c r="H427" s="152"/>
      <c r="I427" s="293" t="s">
        <v>21</v>
      </c>
      <c r="J427" s="152"/>
      <c r="K427" s="293" t="s">
        <v>22</v>
      </c>
      <c r="L427" s="152"/>
      <c r="M427" s="196"/>
      <c r="N427" s="155"/>
    </row>
    <row r="428" ht="22.5" customHeight="1">
      <c r="A428" s="368"/>
      <c r="B428" s="197"/>
      <c r="C428" s="144"/>
      <c r="D428" s="144"/>
      <c r="E428" s="159" t="s">
        <v>18</v>
      </c>
      <c r="F428" s="144"/>
      <c r="G428" s="159" t="s">
        <v>20</v>
      </c>
      <c r="H428" s="144"/>
      <c r="I428" s="287" t="s">
        <v>21</v>
      </c>
      <c r="J428" s="144"/>
      <c r="K428" s="287" t="s">
        <v>22</v>
      </c>
      <c r="L428" s="144"/>
      <c r="M428" s="197"/>
      <c r="N428" s="147"/>
    </row>
    <row r="429" ht="22.5" customHeight="1">
      <c r="A429" s="270"/>
      <c r="B429" s="196"/>
      <c r="C429" s="152"/>
      <c r="D429" s="152"/>
      <c r="E429" s="158" t="s">
        <v>18</v>
      </c>
      <c r="F429" s="152"/>
      <c r="G429" s="158" t="s">
        <v>20</v>
      </c>
      <c r="H429" s="152"/>
      <c r="I429" s="293" t="s">
        <v>21</v>
      </c>
      <c r="J429" s="152"/>
      <c r="K429" s="293" t="s">
        <v>22</v>
      </c>
      <c r="L429" s="152"/>
      <c r="M429" s="196"/>
      <c r="N429" s="155"/>
    </row>
    <row r="430" ht="22.5" customHeight="1">
      <c r="A430" s="368"/>
      <c r="B430" s="197"/>
      <c r="C430" s="144"/>
      <c r="D430" s="144"/>
      <c r="E430" s="159" t="s">
        <v>18</v>
      </c>
      <c r="F430" s="144"/>
      <c r="G430" s="159" t="s">
        <v>20</v>
      </c>
      <c r="H430" s="144"/>
      <c r="I430" s="287" t="s">
        <v>21</v>
      </c>
      <c r="J430" s="144"/>
      <c r="K430" s="287" t="s">
        <v>22</v>
      </c>
      <c r="L430" s="144"/>
      <c r="M430" s="197"/>
      <c r="N430" s="147"/>
    </row>
    <row r="431" ht="22.5" customHeight="1">
      <c r="A431" s="270"/>
      <c r="B431" s="196"/>
      <c r="C431" s="152"/>
      <c r="D431" s="152"/>
      <c r="E431" s="158" t="s">
        <v>18</v>
      </c>
      <c r="F431" s="152"/>
      <c r="G431" s="158" t="s">
        <v>20</v>
      </c>
      <c r="H431" s="152"/>
      <c r="I431" s="293" t="s">
        <v>21</v>
      </c>
      <c r="J431" s="152"/>
      <c r="K431" s="293" t="s">
        <v>22</v>
      </c>
      <c r="L431" s="152"/>
      <c r="M431" s="196"/>
      <c r="N431" s="155"/>
    </row>
    <row r="432" ht="22.5" customHeight="1">
      <c r="A432" s="368"/>
      <c r="B432" s="197"/>
      <c r="C432" s="144"/>
      <c r="D432" s="144"/>
      <c r="E432" s="159" t="s">
        <v>18</v>
      </c>
      <c r="F432" s="144"/>
      <c r="G432" s="159" t="s">
        <v>20</v>
      </c>
      <c r="H432" s="144"/>
      <c r="I432" s="287" t="s">
        <v>21</v>
      </c>
      <c r="J432" s="144"/>
      <c r="K432" s="287" t="s">
        <v>22</v>
      </c>
      <c r="L432" s="144"/>
      <c r="M432" s="197"/>
      <c r="N432" s="147"/>
    </row>
    <row r="433" ht="22.5" customHeight="1">
      <c r="A433" s="270"/>
      <c r="B433" s="196"/>
      <c r="C433" s="152"/>
      <c r="D433" s="152"/>
      <c r="E433" s="158" t="s">
        <v>18</v>
      </c>
      <c r="F433" s="152"/>
      <c r="G433" s="158" t="s">
        <v>20</v>
      </c>
      <c r="H433" s="152"/>
      <c r="I433" s="293" t="s">
        <v>21</v>
      </c>
      <c r="J433" s="152"/>
      <c r="K433" s="293" t="s">
        <v>22</v>
      </c>
      <c r="L433" s="152"/>
      <c r="M433" s="196"/>
      <c r="N433" s="155"/>
    </row>
    <row r="434" ht="22.5" customHeight="1">
      <c r="A434" s="368"/>
      <c r="B434" s="197"/>
      <c r="C434" s="144"/>
      <c r="D434" s="144"/>
      <c r="E434" s="159" t="s">
        <v>18</v>
      </c>
      <c r="F434" s="144"/>
      <c r="G434" s="159" t="s">
        <v>20</v>
      </c>
      <c r="H434" s="144"/>
      <c r="I434" s="287" t="s">
        <v>21</v>
      </c>
      <c r="J434" s="144"/>
      <c r="K434" s="287" t="s">
        <v>22</v>
      </c>
      <c r="L434" s="144"/>
      <c r="M434" s="197"/>
      <c r="N434" s="147"/>
    </row>
    <row r="435" ht="22.5" customHeight="1">
      <c r="A435" s="270"/>
      <c r="B435" s="196"/>
      <c r="C435" s="152"/>
      <c r="D435" s="152"/>
      <c r="E435" s="158" t="s">
        <v>18</v>
      </c>
      <c r="F435" s="152"/>
      <c r="G435" s="158" t="s">
        <v>20</v>
      </c>
      <c r="H435" s="152"/>
      <c r="I435" s="293" t="s">
        <v>21</v>
      </c>
      <c r="J435" s="152"/>
      <c r="K435" s="293" t="s">
        <v>22</v>
      </c>
      <c r="L435" s="152"/>
      <c r="M435" s="196"/>
      <c r="N435" s="155"/>
    </row>
    <row r="436" ht="22.5" customHeight="1">
      <c r="A436" s="368"/>
      <c r="B436" s="197"/>
      <c r="C436" s="144"/>
      <c r="D436" s="144"/>
      <c r="E436" s="159" t="s">
        <v>18</v>
      </c>
      <c r="F436" s="144"/>
      <c r="G436" s="159" t="s">
        <v>20</v>
      </c>
      <c r="H436" s="144"/>
      <c r="I436" s="287" t="s">
        <v>21</v>
      </c>
      <c r="J436" s="144"/>
      <c r="K436" s="287" t="s">
        <v>22</v>
      </c>
      <c r="L436" s="144"/>
      <c r="M436" s="197"/>
      <c r="N436" s="147"/>
    </row>
    <row r="437" ht="22.5" customHeight="1">
      <c r="A437" s="270"/>
      <c r="B437" s="196"/>
      <c r="C437" s="152"/>
      <c r="D437" s="152"/>
      <c r="E437" s="158" t="s">
        <v>18</v>
      </c>
      <c r="F437" s="152"/>
      <c r="G437" s="158" t="s">
        <v>20</v>
      </c>
      <c r="H437" s="152"/>
      <c r="I437" s="293" t="s">
        <v>21</v>
      </c>
      <c r="J437" s="152"/>
      <c r="K437" s="293" t="s">
        <v>22</v>
      </c>
      <c r="L437" s="152"/>
      <c r="M437" s="196"/>
      <c r="N437" s="155"/>
    </row>
    <row r="438" ht="22.5" customHeight="1">
      <c r="A438" s="368"/>
      <c r="B438" s="197"/>
      <c r="C438" s="144"/>
      <c r="D438" s="144"/>
      <c r="E438" s="159" t="s">
        <v>18</v>
      </c>
      <c r="F438" s="144"/>
      <c r="G438" s="159" t="s">
        <v>20</v>
      </c>
      <c r="H438" s="144"/>
      <c r="I438" s="287" t="s">
        <v>21</v>
      </c>
      <c r="J438" s="144"/>
      <c r="K438" s="287" t="s">
        <v>22</v>
      </c>
      <c r="L438" s="144"/>
      <c r="M438" s="197"/>
      <c r="N438" s="147"/>
    </row>
    <row r="439" ht="22.5" customHeight="1">
      <c r="A439" s="270"/>
      <c r="B439" s="196"/>
      <c r="C439" s="152"/>
      <c r="D439" s="152"/>
      <c r="E439" s="158" t="s">
        <v>18</v>
      </c>
      <c r="F439" s="152"/>
      <c r="G439" s="158" t="s">
        <v>20</v>
      </c>
      <c r="H439" s="152"/>
      <c r="I439" s="293" t="s">
        <v>21</v>
      </c>
      <c r="J439" s="152"/>
      <c r="K439" s="293" t="s">
        <v>22</v>
      </c>
      <c r="L439" s="152"/>
      <c r="M439" s="196"/>
      <c r="N439" s="155"/>
    </row>
    <row r="440" ht="22.5" customHeight="1">
      <c r="A440" s="368"/>
      <c r="B440" s="197"/>
      <c r="C440" s="144"/>
      <c r="D440" s="144"/>
      <c r="E440" s="159" t="s">
        <v>18</v>
      </c>
      <c r="F440" s="144"/>
      <c r="G440" s="159" t="s">
        <v>20</v>
      </c>
      <c r="H440" s="144"/>
      <c r="I440" s="287" t="s">
        <v>21</v>
      </c>
      <c r="J440" s="144"/>
      <c r="K440" s="287" t="s">
        <v>22</v>
      </c>
      <c r="L440" s="144"/>
      <c r="M440" s="197"/>
      <c r="N440" s="147"/>
    </row>
    <row r="441" ht="22.5" customHeight="1">
      <c r="A441" s="270"/>
      <c r="B441" s="196"/>
      <c r="C441" s="152"/>
      <c r="D441" s="152"/>
      <c r="E441" s="158" t="s">
        <v>18</v>
      </c>
      <c r="F441" s="152"/>
      <c r="G441" s="158" t="s">
        <v>20</v>
      </c>
      <c r="H441" s="152"/>
      <c r="I441" s="293" t="s">
        <v>21</v>
      </c>
      <c r="J441" s="152"/>
      <c r="K441" s="293" t="s">
        <v>22</v>
      </c>
      <c r="L441" s="152"/>
      <c r="M441" s="196"/>
      <c r="N441" s="155"/>
    </row>
    <row r="442" ht="22.5" customHeight="1">
      <c r="A442" s="368"/>
      <c r="B442" s="197"/>
      <c r="C442" s="144"/>
      <c r="D442" s="144"/>
      <c r="E442" s="159" t="s">
        <v>18</v>
      </c>
      <c r="F442" s="144"/>
      <c r="G442" s="159" t="s">
        <v>20</v>
      </c>
      <c r="H442" s="144"/>
      <c r="I442" s="287" t="s">
        <v>21</v>
      </c>
      <c r="J442" s="144"/>
      <c r="K442" s="287" t="s">
        <v>22</v>
      </c>
      <c r="L442" s="144"/>
      <c r="M442" s="197"/>
      <c r="N442" s="147"/>
    </row>
    <row r="443" ht="22.5" customHeight="1">
      <c r="A443" s="270"/>
      <c r="B443" s="196"/>
      <c r="C443" s="152"/>
      <c r="D443" s="152"/>
      <c r="E443" s="158" t="s">
        <v>18</v>
      </c>
      <c r="F443" s="152"/>
      <c r="G443" s="158" t="s">
        <v>20</v>
      </c>
      <c r="H443" s="152"/>
      <c r="I443" s="293" t="s">
        <v>21</v>
      </c>
      <c r="J443" s="152"/>
      <c r="K443" s="293" t="s">
        <v>22</v>
      </c>
      <c r="L443" s="482"/>
      <c r="M443" s="196"/>
      <c r="N443" s="155"/>
    </row>
    <row r="444" ht="22.5" customHeight="1">
      <c r="A444" s="368"/>
      <c r="B444" s="197"/>
      <c r="C444" s="144"/>
      <c r="D444" s="144"/>
      <c r="E444" s="159" t="s">
        <v>18</v>
      </c>
      <c r="F444" s="144"/>
      <c r="G444" s="159" t="s">
        <v>20</v>
      </c>
      <c r="H444" s="144"/>
      <c r="I444" s="287" t="s">
        <v>21</v>
      </c>
      <c r="J444" s="144"/>
      <c r="K444" s="287" t="s">
        <v>22</v>
      </c>
      <c r="L444" s="144"/>
      <c r="M444" s="197"/>
      <c r="N444" s="147"/>
    </row>
    <row r="445" ht="22.5" customHeight="1">
      <c r="A445" s="270"/>
      <c r="B445" s="196"/>
      <c r="C445" s="152"/>
      <c r="D445" s="152"/>
      <c r="E445" s="158" t="s">
        <v>18</v>
      </c>
      <c r="F445" s="152"/>
      <c r="G445" s="158" t="s">
        <v>20</v>
      </c>
      <c r="H445" s="152"/>
      <c r="I445" s="293" t="s">
        <v>21</v>
      </c>
      <c r="J445" s="152"/>
      <c r="K445" s="293" t="s">
        <v>22</v>
      </c>
      <c r="L445" s="152"/>
      <c r="M445" s="196"/>
      <c r="N445" s="155"/>
    </row>
    <row r="446" ht="22.5" customHeight="1">
      <c r="A446" s="368"/>
      <c r="B446" s="197"/>
      <c r="C446" s="144"/>
      <c r="D446" s="144"/>
      <c r="E446" s="159" t="s">
        <v>18</v>
      </c>
      <c r="F446" s="144"/>
      <c r="G446" s="159" t="s">
        <v>20</v>
      </c>
      <c r="H446" s="144"/>
      <c r="I446" s="287" t="s">
        <v>21</v>
      </c>
      <c r="J446" s="144"/>
      <c r="K446" s="287" t="s">
        <v>22</v>
      </c>
      <c r="L446" s="144"/>
      <c r="M446" s="197"/>
      <c r="N446" s="147"/>
    </row>
    <row r="447" ht="22.5" customHeight="1">
      <c r="A447" s="270"/>
      <c r="B447" s="196"/>
      <c r="C447" s="152"/>
      <c r="D447" s="152"/>
      <c r="E447" s="158" t="s">
        <v>18</v>
      </c>
      <c r="F447" s="152"/>
      <c r="G447" s="158" t="s">
        <v>20</v>
      </c>
      <c r="H447" s="152"/>
      <c r="I447" s="293" t="s">
        <v>21</v>
      </c>
      <c r="J447" s="152"/>
      <c r="K447" s="293" t="s">
        <v>22</v>
      </c>
      <c r="L447" s="482"/>
      <c r="M447" s="196"/>
      <c r="N447" s="155"/>
    </row>
    <row r="448" ht="22.5" customHeight="1">
      <c r="A448" s="368"/>
      <c r="B448" s="197"/>
      <c r="C448" s="144"/>
      <c r="D448" s="144"/>
      <c r="E448" s="159" t="s">
        <v>18</v>
      </c>
      <c r="F448" s="144"/>
      <c r="G448" s="159" t="s">
        <v>20</v>
      </c>
      <c r="H448" s="144"/>
      <c r="I448" s="287" t="s">
        <v>21</v>
      </c>
      <c r="J448" s="144"/>
      <c r="K448" s="287" t="s">
        <v>22</v>
      </c>
      <c r="L448" s="144"/>
      <c r="M448" s="197"/>
      <c r="N448" s="147"/>
    </row>
    <row r="449" ht="22.5" customHeight="1">
      <c r="A449" s="270"/>
      <c r="B449" s="196"/>
      <c r="C449" s="152"/>
      <c r="D449" s="152"/>
      <c r="E449" s="158" t="s">
        <v>18</v>
      </c>
      <c r="F449" s="152"/>
      <c r="G449" s="158" t="s">
        <v>20</v>
      </c>
      <c r="H449" s="152"/>
      <c r="I449" s="293" t="s">
        <v>21</v>
      </c>
      <c r="J449" s="152"/>
      <c r="K449" s="293" t="s">
        <v>22</v>
      </c>
      <c r="L449" s="482"/>
      <c r="M449" s="196"/>
      <c r="N449" s="155"/>
    </row>
    <row r="450" ht="22.5" customHeight="1">
      <c r="A450" s="368"/>
      <c r="B450" s="197"/>
      <c r="C450" s="144"/>
      <c r="D450" s="144"/>
      <c r="E450" s="159" t="s">
        <v>18</v>
      </c>
      <c r="F450" s="144"/>
      <c r="G450" s="159" t="s">
        <v>20</v>
      </c>
      <c r="H450" s="144"/>
      <c r="I450" s="287" t="s">
        <v>21</v>
      </c>
      <c r="J450" s="144"/>
      <c r="K450" s="287" t="s">
        <v>22</v>
      </c>
      <c r="L450" s="144"/>
      <c r="M450" s="197"/>
      <c r="N450" s="147"/>
    </row>
    <row r="451" ht="22.5" customHeight="1">
      <c r="A451" s="270"/>
      <c r="B451" s="196"/>
      <c r="C451" s="152"/>
      <c r="D451" s="152"/>
      <c r="E451" s="158" t="s">
        <v>18</v>
      </c>
      <c r="F451" s="152"/>
      <c r="G451" s="158" t="s">
        <v>20</v>
      </c>
      <c r="H451" s="152"/>
      <c r="I451" s="293" t="s">
        <v>21</v>
      </c>
      <c r="J451" s="152"/>
      <c r="K451" s="293" t="s">
        <v>22</v>
      </c>
      <c r="L451" s="152"/>
      <c r="M451" s="196"/>
      <c r="N451" s="155"/>
    </row>
    <row r="452" ht="22.5" customHeight="1">
      <c r="A452" s="368"/>
      <c r="B452" s="197"/>
      <c r="C452" s="144"/>
      <c r="D452" s="144"/>
      <c r="E452" s="159" t="s">
        <v>18</v>
      </c>
      <c r="F452" s="144"/>
      <c r="G452" s="159" t="s">
        <v>20</v>
      </c>
      <c r="H452" s="144"/>
      <c r="I452" s="287" t="s">
        <v>21</v>
      </c>
      <c r="J452" s="144"/>
      <c r="K452" s="287" t="s">
        <v>22</v>
      </c>
      <c r="L452" s="144"/>
      <c r="M452" s="197"/>
      <c r="N452" s="147"/>
    </row>
    <row r="453" ht="22.5" customHeight="1">
      <c r="A453" s="270"/>
      <c r="B453" s="196"/>
      <c r="C453" s="152"/>
      <c r="D453" s="152"/>
      <c r="E453" s="158" t="s">
        <v>18</v>
      </c>
      <c r="F453" s="152"/>
      <c r="G453" s="158" t="s">
        <v>20</v>
      </c>
      <c r="H453" s="152"/>
      <c r="I453" s="293" t="s">
        <v>21</v>
      </c>
      <c r="J453" s="152"/>
      <c r="K453" s="293" t="s">
        <v>22</v>
      </c>
      <c r="L453" s="152"/>
      <c r="M453" s="196"/>
      <c r="N453" s="155"/>
    </row>
    <row r="454" ht="22.5" customHeight="1">
      <c r="A454" s="368"/>
      <c r="B454" s="197"/>
      <c r="C454" s="144"/>
      <c r="D454" s="144"/>
      <c r="E454" s="159" t="s">
        <v>18</v>
      </c>
      <c r="F454" s="144"/>
      <c r="G454" s="159" t="s">
        <v>20</v>
      </c>
      <c r="H454" s="144"/>
      <c r="I454" s="287" t="s">
        <v>21</v>
      </c>
      <c r="J454" s="144"/>
      <c r="K454" s="287" t="s">
        <v>22</v>
      </c>
      <c r="L454" s="144"/>
      <c r="M454" s="197"/>
      <c r="N454" s="147"/>
    </row>
    <row r="455" ht="22.5" customHeight="1">
      <c r="A455" s="270"/>
      <c r="B455" s="196"/>
      <c r="C455" s="152"/>
      <c r="D455" s="152"/>
      <c r="E455" s="158" t="s">
        <v>18</v>
      </c>
      <c r="F455" s="152"/>
      <c r="G455" s="158" t="s">
        <v>20</v>
      </c>
      <c r="H455" s="152"/>
      <c r="I455" s="293" t="s">
        <v>21</v>
      </c>
      <c r="J455" s="152"/>
      <c r="K455" s="293" t="s">
        <v>22</v>
      </c>
      <c r="L455" s="152"/>
      <c r="M455" s="196"/>
      <c r="N455" s="155"/>
    </row>
    <row r="456" ht="22.5" customHeight="1">
      <c r="A456" s="368"/>
      <c r="B456" s="197"/>
      <c r="C456" s="144"/>
      <c r="D456" s="144"/>
      <c r="E456" s="159" t="s">
        <v>18</v>
      </c>
      <c r="F456" s="144"/>
      <c r="G456" s="159" t="s">
        <v>20</v>
      </c>
      <c r="H456" s="144"/>
      <c r="I456" s="287" t="s">
        <v>21</v>
      </c>
      <c r="J456" s="144"/>
      <c r="K456" s="287" t="s">
        <v>22</v>
      </c>
      <c r="L456" s="144"/>
      <c r="M456" s="197"/>
      <c r="N456" s="147"/>
    </row>
    <row r="457" ht="22.5" customHeight="1">
      <c r="A457" s="270"/>
      <c r="B457" s="196"/>
      <c r="C457" s="152"/>
      <c r="D457" s="152"/>
      <c r="E457" s="158" t="s">
        <v>18</v>
      </c>
      <c r="F457" s="152"/>
      <c r="G457" s="158" t="s">
        <v>20</v>
      </c>
      <c r="H457" s="152"/>
      <c r="I457" s="293" t="s">
        <v>21</v>
      </c>
      <c r="J457" s="152"/>
      <c r="K457" s="293" t="s">
        <v>22</v>
      </c>
      <c r="L457" s="152"/>
      <c r="M457" s="196"/>
      <c r="N457" s="155"/>
    </row>
    <row r="458" ht="22.5" customHeight="1">
      <c r="A458" s="368"/>
      <c r="B458" s="197"/>
      <c r="C458" s="144"/>
      <c r="D458" s="144"/>
      <c r="E458" s="159" t="s">
        <v>18</v>
      </c>
      <c r="F458" s="144"/>
      <c r="G458" s="159" t="s">
        <v>20</v>
      </c>
      <c r="H458" s="144"/>
      <c r="I458" s="287" t="s">
        <v>21</v>
      </c>
      <c r="J458" s="144"/>
      <c r="K458" s="287" t="s">
        <v>22</v>
      </c>
      <c r="L458" s="144"/>
      <c r="M458" s="197"/>
      <c r="N458" s="147"/>
    </row>
    <row r="459" ht="22.5" customHeight="1">
      <c r="A459" s="270"/>
      <c r="B459" s="196"/>
      <c r="C459" s="152"/>
      <c r="D459" s="152"/>
      <c r="E459" s="158" t="s">
        <v>18</v>
      </c>
      <c r="F459" s="152"/>
      <c r="G459" s="158" t="s">
        <v>20</v>
      </c>
      <c r="H459" s="152"/>
      <c r="I459" s="293" t="s">
        <v>21</v>
      </c>
      <c r="J459" s="152"/>
      <c r="K459" s="293" t="s">
        <v>22</v>
      </c>
      <c r="L459" s="152"/>
      <c r="M459" s="196"/>
      <c r="N459" s="155"/>
    </row>
    <row r="460" ht="22.5" customHeight="1">
      <c r="A460" s="368"/>
      <c r="B460" s="197"/>
      <c r="C460" s="144"/>
      <c r="D460" s="144"/>
      <c r="E460" s="159" t="s">
        <v>18</v>
      </c>
      <c r="F460" s="144"/>
      <c r="G460" s="159" t="s">
        <v>20</v>
      </c>
      <c r="H460" s="144"/>
      <c r="I460" s="287" t="s">
        <v>21</v>
      </c>
      <c r="J460" s="144"/>
      <c r="K460" s="287" t="s">
        <v>22</v>
      </c>
      <c r="L460" s="144"/>
      <c r="M460" s="197"/>
      <c r="N460" s="147"/>
    </row>
    <row r="461" ht="22.5" customHeight="1">
      <c r="A461" s="270"/>
      <c r="B461" s="196"/>
      <c r="C461" s="152"/>
      <c r="D461" s="152"/>
      <c r="E461" s="158" t="s">
        <v>18</v>
      </c>
      <c r="F461" s="152"/>
      <c r="G461" s="158" t="s">
        <v>20</v>
      </c>
      <c r="H461" s="152"/>
      <c r="I461" s="293" t="s">
        <v>21</v>
      </c>
      <c r="J461" s="152"/>
      <c r="K461" s="293" t="s">
        <v>22</v>
      </c>
      <c r="L461" s="152"/>
      <c r="M461" s="196"/>
      <c r="N461" s="155"/>
    </row>
    <row r="462" ht="22.5" customHeight="1">
      <c r="A462" s="368"/>
      <c r="B462" s="197"/>
      <c r="C462" s="144"/>
      <c r="D462" s="144"/>
      <c r="E462" s="159" t="s">
        <v>18</v>
      </c>
      <c r="F462" s="144"/>
      <c r="G462" s="159" t="s">
        <v>20</v>
      </c>
      <c r="H462" s="144"/>
      <c r="I462" s="287" t="s">
        <v>21</v>
      </c>
      <c r="J462" s="144"/>
      <c r="K462" s="287" t="s">
        <v>22</v>
      </c>
      <c r="L462" s="144"/>
      <c r="M462" s="197"/>
      <c r="N462" s="147"/>
    </row>
    <row r="463" ht="22.5" customHeight="1">
      <c r="A463" s="270"/>
      <c r="B463" s="196"/>
      <c r="C463" s="152"/>
      <c r="D463" s="152"/>
      <c r="E463" s="158" t="s">
        <v>18</v>
      </c>
      <c r="F463" s="152"/>
      <c r="G463" s="158" t="s">
        <v>20</v>
      </c>
      <c r="H463" s="152"/>
      <c r="I463" s="293" t="s">
        <v>21</v>
      </c>
      <c r="J463" s="152"/>
      <c r="K463" s="293" t="s">
        <v>22</v>
      </c>
      <c r="L463" s="482"/>
      <c r="M463" s="196"/>
      <c r="N463" s="155"/>
    </row>
    <row r="464" ht="22.5" customHeight="1">
      <c r="A464" s="368"/>
      <c r="B464" s="197"/>
      <c r="C464" s="144"/>
      <c r="D464" s="144"/>
      <c r="E464" s="159" t="s">
        <v>18</v>
      </c>
      <c r="F464" s="144"/>
      <c r="G464" s="159" t="s">
        <v>20</v>
      </c>
      <c r="H464" s="144"/>
      <c r="I464" s="287" t="s">
        <v>21</v>
      </c>
      <c r="J464" s="144"/>
      <c r="K464" s="287" t="s">
        <v>22</v>
      </c>
      <c r="L464" s="144"/>
      <c r="M464" s="197"/>
      <c r="N464" s="147"/>
    </row>
    <row r="465" ht="22.5" customHeight="1">
      <c r="A465" s="270"/>
      <c r="B465" s="196"/>
      <c r="C465" s="152"/>
      <c r="D465" s="152"/>
      <c r="E465" s="158" t="s">
        <v>18</v>
      </c>
      <c r="F465" s="152"/>
      <c r="G465" s="158" t="s">
        <v>20</v>
      </c>
      <c r="H465" s="152"/>
      <c r="I465" s="293" t="s">
        <v>21</v>
      </c>
      <c r="J465" s="152"/>
      <c r="K465" s="293" t="s">
        <v>22</v>
      </c>
      <c r="L465" s="482"/>
      <c r="M465" s="196"/>
      <c r="N465" s="155"/>
    </row>
    <row r="466" ht="22.5" customHeight="1">
      <c r="A466" s="368"/>
      <c r="B466" s="197"/>
      <c r="C466" s="144"/>
      <c r="D466" s="144"/>
      <c r="E466" s="159" t="s">
        <v>18</v>
      </c>
      <c r="F466" s="144"/>
      <c r="G466" s="159" t="s">
        <v>20</v>
      </c>
      <c r="H466" s="144"/>
      <c r="I466" s="287" t="s">
        <v>21</v>
      </c>
      <c r="J466" s="144"/>
      <c r="K466" s="287" t="s">
        <v>22</v>
      </c>
      <c r="L466" s="144"/>
      <c r="M466" s="197"/>
      <c r="N466" s="147"/>
    </row>
    <row r="467" ht="22.5" customHeight="1">
      <c r="A467" s="270"/>
      <c r="B467" s="196"/>
      <c r="C467" s="152"/>
      <c r="D467" s="152"/>
      <c r="E467" s="158" t="s">
        <v>18</v>
      </c>
      <c r="F467" s="152"/>
      <c r="G467" s="158" t="s">
        <v>20</v>
      </c>
      <c r="H467" s="152"/>
      <c r="I467" s="293" t="s">
        <v>21</v>
      </c>
      <c r="J467" s="152"/>
      <c r="K467" s="293" t="s">
        <v>22</v>
      </c>
      <c r="L467" s="152"/>
      <c r="M467" s="196"/>
      <c r="N467" s="155"/>
    </row>
    <row r="468" ht="22.5" customHeight="1">
      <c r="A468" s="368"/>
      <c r="B468" s="197"/>
      <c r="C468" s="144"/>
      <c r="D468" s="144"/>
      <c r="E468" s="159" t="s">
        <v>18</v>
      </c>
      <c r="F468" s="144"/>
      <c r="G468" s="159" t="s">
        <v>20</v>
      </c>
      <c r="H468" s="144"/>
      <c r="I468" s="287" t="s">
        <v>21</v>
      </c>
      <c r="J468" s="144"/>
      <c r="K468" s="287" t="s">
        <v>22</v>
      </c>
      <c r="L468" s="144"/>
      <c r="M468" s="197"/>
      <c r="N468" s="147"/>
    </row>
    <row r="469" ht="22.5" customHeight="1">
      <c r="A469" s="270"/>
      <c r="B469" s="196"/>
      <c r="C469" s="152"/>
      <c r="D469" s="152"/>
      <c r="E469" s="158" t="s">
        <v>18</v>
      </c>
      <c r="F469" s="152"/>
      <c r="G469" s="158" t="s">
        <v>20</v>
      </c>
      <c r="H469" s="152"/>
      <c r="I469" s="293" t="s">
        <v>21</v>
      </c>
      <c r="J469" s="152"/>
      <c r="K469" s="293" t="s">
        <v>22</v>
      </c>
      <c r="L469" s="152"/>
      <c r="M469" s="196"/>
      <c r="N469" s="155"/>
    </row>
    <row r="470" ht="22.5" customHeight="1">
      <c r="A470" s="368"/>
      <c r="B470" s="197"/>
      <c r="C470" s="144"/>
      <c r="D470" s="144"/>
      <c r="E470" s="159" t="s">
        <v>18</v>
      </c>
      <c r="F470" s="144"/>
      <c r="G470" s="159" t="s">
        <v>20</v>
      </c>
      <c r="H470" s="144"/>
      <c r="I470" s="287" t="s">
        <v>21</v>
      </c>
      <c r="J470" s="144"/>
      <c r="K470" s="287" t="s">
        <v>22</v>
      </c>
      <c r="L470" s="144"/>
      <c r="M470" s="197"/>
      <c r="N470" s="147"/>
    </row>
    <row r="471" ht="22.5" customHeight="1">
      <c r="A471" s="270"/>
      <c r="B471" s="196"/>
      <c r="C471" s="152"/>
      <c r="D471" s="152"/>
      <c r="E471" s="158" t="s">
        <v>18</v>
      </c>
      <c r="F471" s="152"/>
      <c r="G471" s="158" t="s">
        <v>20</v>
      </c>
      <c r="H471" s="152"/>
      <c r="I471" s="293" t="s">
        <v>21</v>
      </c>
      <c r="J471" s="152"/>
      <c r="K471" s="293" t="s">
        <v>22</v>
      </c>
      <c r="L471" s="152"/>
      <c r="M471" s="196"/>
      <c r="N471" s="155"/>
    </row>
    <row r="472" ht="22.5" customHeight="1">
      <c r="A472" s="368"/>
      <c r="B472" s="197"/>
      <c r="C472" s="144"/>
      <c r="D472" s="144"/>
      <c r="E472" s="159" t="s">
        <v>18</v>
      </c>
      <c r="F472" s="144"/>
      <c r="G472" s="159" t="s">
        <v>20</v>
      </c>
      <c r="H472" s="144"/>
      <c r="I472" s="287" t="s">
        <v>21</v>
      </c>
      <c r="J472" s="144"/>
      <c r="K472" s="287" t="s">
        <v>22</v>
      </c>
      <c r="L472" s="144"/>
      <c r="M472" s="197"/>
      <c r="N472" s="147"/>
    </row>
    <row r="473" ht="22.5" customHeight="1">
      <c r="A473" s="270"/>
      <c r="B473" s="196"/>
      <c r="C473" s="152"/>
      <c r="D473" s="152"/>
      <c r="E473" s="158" t="s">
        <v>18</v>
      </c>
      <c r="F473" s="152"/>
      <c r="G473" s="158" t="s">
        <v>20</v>
      </c>
      <c r="H473" s="152"/>
      <c r="I473" s="293" t="s">
        <v>21</v>
      </c>
      <c r="J473" s="152"/>
      <c r="K473" s="293" t="s">
        <v>22</v>
      </c>
      <c r="L473" s="482"/>
      <c r="M473" s="196"/>
      <c r="N473" s="155"/>
    </row>
    <row r="474" ht="22.5" customHeight="1">
      <c r="A474" s="368"/>
      <c r="B474" s="197"/>
      <c r="C474" s="144"/>
      <c r="D474" s="144"/>
      <c r="E474" s="159" t="s">
        <v>18</v>
      </c>
      <c r="F474" s="144"/>
      <c r="G474" s="159" t="s">
        <v>20</v>
      </c>
      <c r="H474" s="144"/>
      <c r="I474" s="287" t="s">
        <v>21</v>
      </c>
      <c r="J474" s="144"/>
      <c r="K474" s="287" t="s">
        <v>22</v>
      </c>
      <c r="L474" s="144"/>
      <c r="M474" s="197"/>
      <c r="N474" s="147"/>
    </row>
    <row r="475" ht="22.5" customHeight="1">
      <c r="A475" s="270"/>
      <c r="B475" s="196"/>
      <c r="C475" s="152"/>
      <c r="D475" s="152"/>
      <c r="E475" s="158" t="s">
        <v>18</v>
      </c>
      <c r="F475" s="152"/>
      <c r="G475" s="158" t="s">
        <v>20</v>
      </c>
      <c r="H475" s="152"/>
      <c r="I475" s="293" t="s">
        <v>21</v>
      </c>
      <c r="J475" s="152"/>
      <c r="K475" s="293" t="s">
        <v>22</v>
      </c>
      <c r="L475" s="152"/>
      <c r="M475" s="196"/>
      <c r="N475" s="155"/>
    </row>
    <row r="476" ht="22.5" customHeight="1">
      <c r="A476" s="368"/>
      <c r="B476" s="197"/>
      <c r="C476" s="144"/>
      <c r="D476" s="144"/>
      <c r="E476" s="159" t="s">
        <v>18</v>
      </c>
      <c r="F476" s="144"/>
      <c r="G476" s="159" t="s">
        <v>20</v>
      </c>
      <c r="H476" s="144"/>
      <c r="I476" s="287" t="s">
        <v>21</v>
      </c>
      <c r="J476" s="144"/>
      <c r="K476" s="287" t="s">
        <v>22</v>
      </c>
      <c r="L476" s="144"/>
      <c r="M476" s="197"/>
      <c r="N476" s="147"/>
    </row>
    <row r="477" ht="22.5" customHeight="1">
      <c r="A477" s="270"/>
      <c r="B477" s="196"/>
      <c r="C477" s="152"/>
      <c r="D477" s="152"/>
      <c r="E477" s="158" t="s">
        <v>18</v>
      </c>
      <c r="F477" s="152"/>
      <c r="G477" s="158" t="s">
        <v>20</v>
      </c>
      <c r="H477" s="152"/>
      <c r="I477" s="293" t="s">
        <v>21</v>
      </c>
      <c r="J477" s="152"/>
      <c r="K477" s="293" t="s">
        <v>22</v>
      </c>
      <c r="L477" s="482"/>
      <c r="M477" s="196"/>
      <c r="N477" s="155"/>
    </row>
    <row r="478" ht="22.5" customHeight="1">
      <c r="A478" s="368"/>
      <c r="B478" s="197"/>
      <c r="C478" s="144"/>
      <c r="D478" s="144"/>
      <c r="E478" s="159" t="s">
        <v>18</v>
      </c>
      <c r="F478" s="144"/>
      <c r="G478" s="159" t="s">
        <v>20</v>
      </c>
      <c r="H478" s="144"/>
      <c r="I478" s="287" t="s">
        <v>21</v>
      </c>
      <c r="J478" s="144"/>
      <c r="K478" s="287" t="s">
        <v>22</v>
      </c>
      <c r="L478" s="144"/>
      <c r="M478" s="197"/>
      <c r="N478" s="147"/>
    </row>
    <row r="479" ht="22.5" customHeight="1">
      <c r="A479" s="270"/>
      <c r="B479" s="196"/>
      <c r="C479" s="152"/>
      <c r="D479" s="152"/>
      <c r="E479" s="158" t="s">
        <v>18</v>
      </c>
      <c r="F479" s="152"/>
      <c r="G479" s="158" t="s">
        <v>20</v>
      </c>
      <c r="H479" s="152"/>
      <c r="I479" s="293" t="s">
        <v>21</v>
      </c>
      <c r="J479" s="152"/>
      <c r="K479" s="293" t="s">
        <v>22</v>
      </c>
      <c r="L479" s="152"/>
      <c r="M479" s="196"/>
      <c r="N479" s="155"/>
    </row>
    <row r="480" ht="22.5" customHeight="1">
      <c r="A480" s="368"/>
      <c r="B480" s="197"/>
      <c r="C480" s="144"/>
      <c r="D480" s="144"/>
      <c r="E480" s="159" t="s">
        <v>18</v>
      </c>
      <c r="F480" s="144"/>
      <c r="G480" s="159" t="s">
        <v>20</v>
      </c>
      <c r="H480" s="144"/>
      <c r="I480" s="287" t="s">
        <v>21</v>
      </c>
      <c r="J480" s="144"/>
      <c r="K480" s="287" t="s">
        <v>22</v>
      </c>
      <c r="L480" s="144"/>
      <c r="M480" s="197"/>
      <c r="N480" s="147"/>
    </row>
    <row r="481" ht="22.5" customHeight="1">
      <c r="A481" s="270"/>
      <c r="B481" s="196"/>
      <c r="C481" s="152"/>
      <c r="D481" s="152"/>
      <c r="E481" s="158" t="s">
        <v>18</v>
      </c>
      <c r="F481" s="152"/>
      <c r="G481" s="158" t="s">
        <v>20</v>
      </c>
      <c r="H481" s="152"/>
      <c r="I481" s="293" t="s">
        <v>21</v>
      </c>
      <c r="J481" s="152"/>
      <c r="K481" s="293" t="s">
        <v>22</v>
      </c>
      <c r="L481" s="152"/>
      <c r="M481" s="196"/>
      <c r="N481" s="155"/>
    </row>
    <row r="482" ht="22.5" customHeight="1">
      <c r="A482" s="368"/>
      <c r="B482" s="197"/>
      <c r="C482" s="144"/>
      <c r="D482" s="144"/>
      <c r="E482" s="159" t="s">
        <v>18</v>
      </c>
      <c r="F482" s="144"/>
      <c r="G482" s="159" t="s">
        <v>20</v>
      </c>
      <c r="H482" s="144"/>
      <c r="I482" s="287" t="s">
        <v>21</v>
      </c>
      <c r="J482" s="144"/>
      <c r="K482" s="287" t="s">
        <v>22</v>
      </c>
      <c r="L482" s="144"/>
      <c r="M482" s="197"/>
      <c r="N482" s="147"/>
    </row>
    <row r="483" ht="22.5" customHeight="1">
      <c r="A483" s="270"/>
      <c r="B483" s="196"/>
      <c r="C483" s="152"/>
      <c r="D483" s="152"/>
      <c r="E483" s="158" t="s">
        <v>18</v>
      </c>
      <c r="F483" s="152"/>
      <c r="G483" s="158" t="s">
        <v>20</v>
      </c>
      <c r="H483" s="152"/>
      <c r="I483" s="293" t="s">
        <v>21</v>
      </c>
      <c r="J483" s="152"/>
      <c r="K483" s="293" t="s">
        <v>22</v>
      </c>
      <c r="L483" s="152"/>
      <c r="M483" s="196"/>
      <c r="N483" s="155"/>
    </row>
    <row r="484" ht="22.5" customHeight="1">
      <c r="A484" s="368"/>
      <c r="B484" s="197"/>
      <c r="C484" s="144"/>
      <c r="D484" s="144"/>
      <c r="E484" s="159" t="s">
        <v>18</v>
      </c>
      <c r="F484" s="144"/>
      <c r="G484" s="159" t="s">
        <v>20</v>
      </c>
      <c r="H484" s="144"/>
      <c r="I484" s="287" t="s">
        <v>21</v>
      </c>
      <c r="J484" s="144"/>
      <c r="K484" s="287" t="s">
        <v>22</v>
      </c>
      <c r="L484" s="144"/>
      <c r="M484" s="197"/>
      <c r="N484" s="147"/>
    </row>
    <row r="485" ht="22.5" customHeight="1">
      <c r="A485" s="270"/>
      <c r="B485" s="196"/>
      <c r="C485" s="152"/>
      <c r="D485" s="152"/>
      <c r="E485" s="158" t="s">
        <v>18</v>
      </c>
      <c r="F485" s="152"/>
      <c r="G485" s="158" t="s">
        <v>20</v>
      </c>
      <c r="H485" s="152"/>
      <c r="I485" s="293" t="s">
        <v>21</v>
      </c>
      <c r="J485" s="152"/>
      <c r="K485" s="293" t="s">
        <v>22</v>
      </c>
      <c r="L485" s="152"/>
      <c r="M485" s="196"/>
      <c r="N485" s="155"/>
    </row>
    <row r="486" ht="22.5" customHeight="1">
      <c r="A486" s="368"/>
      <c r="B486" s="197"/>
      <c r="C486" s="144"/>
      <c r="D486" s="144"/>
      <c r="E486" s="159" t="s">
        <v>18</v>
      </c>
      <c r="F486" s="144"/>
      <c r="G486" s="159" t="s">
        <v>20</v>
      </c>
      <c r="H486" s="144"/>
      <c r="I486" s="287" t="s">
        <v>21</v>
      </c>
      <c r="J486" s="144"/>
      <c r="K486" s="287" t="s">
        <v>22</v>
      </c>
      <c r="L486" s="144"/>
      <c r="M486" s="197"/>
      <c r="N486" s="147"/>
    </row>
    <row r="487" ht="22.5" customHeight="1">
      <c r="A487" s="270"/>
      <c r="B487" s="196"/>
      <c r="C487" s="152"/>
      <c r="D487" s="152"/>
      <c r="E487" s="158" t="s">
        <v>18</v>
      </c>
      <c r="F487" s="152"/>
      <c r="G487" s="158" t="s">
        <v>20</v>
      </c>
      <c r="H487" s="152"/>
      <c r="I487" s="293" t="s">
        <v>21</v>
      </c>
      <c r="J487" s="152"/>
      <c r="K487" s="293" t="s">
        <v>22</v>
      </c>
      <c r="L487" s="152"/>
      <c r="M487" s="196"/>
      <c r="N487" s="155"/>
    </row>
    <row r="488" ht="22.5" customHeight="1">
      <c r="A488" s="368"/>
      <c r="B488" s="197"/>
      <c r="C488" s="144"/>
      <c r="D488" s="144"/>
      <c r="E488" s="159" t="s">
        <v>18</v>
      </c>
      <c r="F488" s="144"/>
      <c r="G488" s="159" t="s">
        <v>20</v>
      </c>
      <c r="H488" s="144"/>
      <c r="I488" s="287" t="s">
        <v>21</v>
      </c>
      <c r="J488" s="144"/>
      <c r="K488" s="287" t="s">
        <v>22</v>
      </c>
      <c r="L488" s="144"/>
      <c r="M488" s="197"/>
      <c r="N488" s="147"/>
    </row>
    <row r="489" ht="22.5" customHeight="1">
      <c r="A489" s="270"/>
      <c r="B489" s="196"/>
      <c r="C489" s="152"/>
      <c r="D489" s="152"/>
      <c r="E489" s="158" t="s">
        <v>18</v>
      </c>
      <c r="F489" s="152"/>
      <c r="G489" s="158" t="s">
        <v>20</v>
      </c>
      <c r="H489" s="152"/>
      <c r="I489" s="293" t="s">
        <v>21</v>
      </c>
      <c r="J489" s="152"/>
      <c r="K489" s="293" t="s">
        <v>22</v>
      </c>
      <c r="L489" s="152"/>
      <c r="M489" s="196"/>
      <c r="N489" s="155"/>
    </row>
    <row r="490" ht="22.5" customHeight="1">
      <c r="A490" s="368"/>
      <c r="B490" s="197"/>
      <c r="C490" s="144"/>
      <c r="D490" s="144"/>
      <c r="E490" s="159" t="s">
        <v>18</v>
      </c>
      <c r="F490" s="144"/>
      <c r="G490" s="159" t="s">
        <v>20</v>
      </c>
      <c r="H490" s="144"/>
      <c r="I490" s="287" t="s">
        <v>21</v>
      </c>
      <c r="J490" s="144"/>
      <c r="K490" s="287" t="s">
        <v>22</v>
      </c>
      <c r="L490" s="144"/>
      <c r="M490" s="197"/>
      <c r="N490" s="147"/>
    </row>
    <row r="491" ht="22.5" customHeight="1">
      <c r="A491" s="270"/>
      <c r="B491" s="196"/>
      <c r="C491" s="152"/>
      <c r="D491" s="152"/>
      <c r="E491" s="158" t="s">
        <v>18</v>
      </c>
      <c r="F491" s="152"/>
      <c r="G491" s="158" t="s">
        <v>20</v>
      </c>
      <c r="H491" s="152"/>
      <c r="I491" s="293" t="s">
        <v>21</v>
      </c>
      <c r="J491" s="152"/>
      <c r="K491" s="293" t="s">
        <v>22</v>
      </c>
      <c r="L491" s="152"/>
      <c r="M491" s="196"/>
      <c r="N491" s="155"/>
    </row>
    <row r="492" ht="22.5" customHeight="1">
      <c r="A492" s="368"/>
      <c r="B492" s="197"/>
      <c r="C492" s="144"/>
      <c r="D492" s="144"/>
      <c r="E492" s="159" t="s">
        <v>18</v>
      </c>
      <c r="F492" s="144"/>
      <c r="G492" s="159" t="s">
        <v>20</v>
      </c>
      <c r="H492" s="144"/>
      <c r="I492" s="287" t="s">
        <v>21</v>
      </c>
      <c r="J492" s="144"/>
      <c r="K492" s="287" t="s">
        <v>22</v>
      </c>
      <c r="L492" s="144"/>
      <c r="M492" s="197"/>
      <c r="N492" s="147"/>
    </row>
    <row r="493" ht="22.5" customHeight="1">
      <c r="A493" s="270"/>
      <c r="B493" s="196"/>
      <c r="C493" s="152"/>
      <c r="D493" s="152"/>
      <c r="E493" s="158" t="s">
        <v>18</v>
      </c>
      <c r="F493" s="152"/>
      <c r="G493" s="158" t="s">
        <v>20</v>
      </c>
      <c r="H493" s="152"/>
      <c r="I493" s="293" t="s">
        <v>21</v>
      </c>
      <c r="J493" s="152"/>
      <c r="K493" s="293" t="s">
        <v>22</v>
      </c>
      <c r="L493" s="152"/>
      <c r="M493" s="196"/>
      <c r="N493" s="155"/>
    </row>
    <row r="494" ht="22.5" customHeight="1">
      <c r="A494" s="368"/>
      <c r="B494" s="197"/>
      <c r="C494" s="144"/>
      <c r="D494" s="144"/>
      <c r="E494" s="159" t="s">
        <v>18</v>
      </c>
      <c r="F494" s="144"/>
      <c r="G494" s="159" t="s">
        <v>20</v>
      </c>
      <c r="H494" s="144"/>
      <c r="I494" s="287" t="s">
        <v>21</v>
      </c>
      <c r="J494" s="144"/>
      <c r="K494" s="287" t="s">
        <v>22</v>
      </c>
      <c r="L494" s="144"/>
      <c r="M494" s="197"/>
      <c r="N494" s="147"/>
    </row>
    <row r="495" ht="22.5" customHeight="1">
      <c r="A495" s="270"/>
      <c r="B495" s="196"/>
      <c r="C495" s="152"/>
      <c r="D495" s="152"/>
      <c r="E495" s="158" t="s">
        <v>18</v>
      </c>
      <c r="F495" s="152"/>
      <c r="G495" s="158" t="s">
        <v>20</v>
      </c>
      <c r="H495" s="152"/>
      <c r="I495" s="293" t="s">
        <v>21</v>
      </c>
      <c r="J495" s="152"/>
      <c r="K495" s="293" t="s">
        <v>22</v>
      </c>
      <c r="L495" s="152"/>
      <c r="M495" s="196"/>
      <c r="N495" s="155"/>
    </row>
    <row r="496" ht="22.5" customHeight="1">
      <c r="A496" s="368"/>
      <c r="B496" s="197"/>
      <c r="C496" s="144"/>
      <c r="D496" s="144"/>
      <c r="E496" s="159" t="s">
        <v>18</v>
      </c>
      <c r="F496" s="144"/>
      <c r="G496" s="159" t="s">
        <v>20</v>
      </c>
      <c r="H496" s="144"/>
      <c r="I496" s="287" t="s">
        <v>21</v>
      </c>
      <c r="J496" s="144"/>
      <c r="K496" s="287" t="s">
        <v>22</v>
      </c>
      <c r="L496" s="144"/>
      <c r="M496" s="197"/>
      <c r="N496" s="147"/>
    </row>
    <row r="497" ht="22.5" customHeight="1">
      <c r="A497" s="270"/>
      <c r="B497" s="196"/>
      <c r="C497" s="152"/>
      <c r="D497" s="152"/>
      <c r="E497" s="158" t="s">
        <v>18</v>
      </c>
      <c r="F497" s="152"/>
      <c r="G497" s="158" t="s">
        <v>20</v>
      </c>
      <c r="H497" s="152"/>
      <c r="I497" s="293" t="s">
        <v>21</v>
      </c>
      <c r="J497" s="152"/>
      <c r="K497" s="293" t="s">
        <v>22</v>
      </c>
      <c r="L497" s="152"/>
      <c r="M497" s="196"/>
      <c r="N497" s="155"/>
    </row>
    <row r="498" ht="22.5" customHeight="1">
      <c r="A498" s="368"/>
      <c r="B498" s="197"/>
      <c r="C498" s="144"/>
      <c r="D498" s="144"/>
      <c r="E498" s="159" t="s">
        <v>18</v>
      </c>
      <c r="F498" s="144"/>
      <c r="G498" s="159" t="s">
        <v>20</v>
      </c>
      <c r="H498" s="144"/>
      <c r="I498" s="287" t="s">
        <v>21</v>
      </c>
      <c r="J498" s="144"/>
      <c r="K498" s="287" t="s">
        <v>22</v>
      </c>
      <c r="L498" s="144"/>
      <c r="M498" s="197"/>
      <c r="N498" s="147"/>
    </row>
    <row r="499" ht="22.5" customHeight="1">
      <c r="A499" s="270"/>
      <c r="B499" s="196"/>
      <c r="C499" s="152"/>
      <c r="D499" s="152"/>
      <c r="E499" s="158" t="s">
        <v>18</v>
      </c>
      <c r="F499" s="152"/>
      <c r="G499" s="158" t="s">
        <v>20</v>
      </c>
      <c r="H499" s="152"/>
      <c r="I499" s="293" t="s">
        <v>21</v>
      </c>
      <c r="J499" s="152"/>
      <c r="K499" s="293" t="s">
        <v>22</v>
      </c>
      <c r="L499" s="152"/>
      <c r="M499" s="196"/>
      <c r="N499" s="155"/>
    </row>
    <row r="500" ht="22.5" customHeight="1">
      <c r="A500" s="368"/>
      <c r="B500" s="197"/>
      <c r="C500" s="144"/>
      <c r="D500" s="144"/>
      <c r="E500" s="159" t="s">
        <v>18</v>
      </c>
      <c r="F500" s="144"/>
      <c r="G500" s="159" t="s">
        <v>20</v>
      </c>
      <c r="H500" s="144"/>
      <c r="I500" s="287" t="s">
        <v>21</v>
      </c>
      <c r="J500" s="144"/>
      <c r="K500" s="287" t="s">
        <v>22</v>
      </c>
      <c r="L500" s="144"/>
      <c r="M500" s="197"/>
      <c r="N500" s="147"/>
    </row>
    <row r="501" ht="22.5" customHeight="1">
      <c r="A501" s="270"/>
      <c r="B501" s="196"/>
      <c r="C501" s="152"/>
      <c r="D501" s="152"/>
      <c r="E501" s="158" t="s">
        <v>18</v>
      </c>
      <c r="F501" s="152"/>
      <c r="G501" s="158" t="s">
        <v>20</v>
      </c>
      <c r="H501" s="152"/>
      <c r="I501" s="293" t="s">
        <v>21</v>
      </c>
      <c r="J501" s="152"/>
      <c r="K501" s="293" t="s">
        <v>22</v>
      </c>
      <c r="L501" s="152"/>
      <c r="M501" s="196"/>
      <c r="N501" s="155"/>
    </row>
    <row r="502" ht="22.5" customHeight="1">
      <c r="A502" s="368"/>
      <c r="B502" s="197"/>
      <c r="C502" s="144"/>
      <c r="D502" s="144"/>
      <c r="E502" s="159" t="s">
        <v>18</v>
      </c>
      <c r="F502" s="144"/>
      <c r="G502" s="159" t="s">
        <v>20</v>
      </c>
      <c r="H502" s="144"/>
      <c r="I502" s="287" t="s">
        <v>21</v>
      </c>
      <c r="J502" s="144"/>
      <c r="K502" s="287" t="s">
        <v>22</v>
      </c>
      <c r="L502" s="144"/>
      <c r="M502" s="197"/>
      <c r="N502" s="147"/>
    </row>
    <row r="503" ht="22.5" customHeight="1">
      <c r="A503" s="270"/>
      <c r="B503" s="196"/>
      <c r="C503" s="152"/>
      <c r="D503" s="152"/>
      <c r="E503" s="158" t="s">
        <v>18</v>
      </c>
      <c r="F503" s="152"/>
      <c r="G503" s="158" t="s">
        <v>20</v>
      </c>
      <c r="H503" s="152"/>
      <c r="I503" s="293" t="s">
        <v>21</v>
      </c>
      <c r="J503" s="152"/>
      <c r="K503" s="293" t="s">
        <v>22</v>
      </c>
      <c r="L503" s="152"/>
      <c r="M503" s="196"/>
      <c r="N503" s="155"/>
    </row>
    <row r="504" ht="22.5" customHeight="1">
      <c r="A504" s="368"/>
      <c r="B504" s="197"/>
      <c r="C504" s="144"/>
      <c r="D504" s="144"/>
      <c r="E504" s="159" t="s">
        <v>18</v>
      </c>
      <c r="F504" s="144"/>
      <c r="G504" s="159" t="s">
        <v>20</v>
      </c>
      <c r="H504" s="144"/>
      <c r="I504" s="287" t="s">
        <v>21</v>
      </c>
      <c r="J504" s="144"/>
      <c r="K504" s="287" t="s">
        <v>22</v>
      </c>
      <c r="L504" s="144"/>
      <c r="M504" s="197"/>
      <c r="N504" s="147"/>
    </row>
    <row r="505" ht="22.5" customHeight="1">
      <c r="A505" s="270"/>
      <c r="B505" s="196"/>
      <c r="C505" s="152"/>
      <c r="D505" s="152"/>
      <c r="E505" s="158" t="s">
        <v>18</v>
      </c>
      <c r="F505" s="152"/>
      <c r="G505" s="158" t="s">
        <v>20</v>
      </c>
      <c r="H505" s="152"/>
      <c r="I505" s="293" t="s">
        <v>21</v>
      </c>
      <c r="J505" s="152"/>
      <c r="K505" s="293" t="s">
        <v>22</v>
      </c>
      <c r="L505" s="152"/>
      <c r="M505" s="196"/>
      <c r="N505" s="155"/>
    </row>
    <row r="506" ht="22.5" customHeight="1">
      <c r="A506" s="368"/>
      <c r="B506" s="197"/>
      <c r="C506" s="144"/>
      <c r="D506" s="144"/>
      <c r="E506" s="159" t="s">
        <v>18</v>
      </c>
      <c r="F506" s="144"/>
      <c r="G506" s="159" t="s">
        <v>20</v>
      </c>
      <c r="H506" s="144"/>
      <c r="I506" s="287" t="s">
        <v>21</v>
      </c>
      <c r="J506" s="144"/>
      <c r="K506" s="287" t="s">
        <v>22</v>
      </c>
      <c r="L506" s="144"/>
      <c r="M506" s="197"/>
      <c r="N506" s="147"/>
    </row>
    <row r="507" ht="22.5" customHeight="1">
      <c r="A507" s="270"/>
      <c r="B507" s="196"/>
      <c r="C507" s="152"/>
      <c r="D507" s="152"/>
      <c r="E507" s="158" t="s">
        <v>18</v>
      </c>
      <c r="F507" s="152"/>
      <c r="G507" s="158" t="s">
        <v>20</v>
      </c>
      <c r="H507" s="152"/>
      <c r="I507" s="293" t="s">
        <v>21</v>
      </c>
      <c r="J507" s="152"/>
      <c r="K507" s="293" t="s">
        <v>22</v>
      </c>
      <c r="L507" s="482"/>
      <c r="M507" s="196"/>
      <c r="N507" s="155"/>
    </row>
    <row r="508" ht="22.5" customHeight="1">
      <c r="A508" s="368"/>
      <c r="B508" s="197"/>
      <c r="C508" s="144"/>
      <c r="D508" s="144"/>
      <c r="E508" s="159" t="s">
        <v>18</v>
      </c>
      <c r="F508" s="144"/>
      <c r="G508" s="159" t="s">
        <v>20</v>
      </c>
      <c r="H508" s="144"/>
      <c r="I508" s="287" t="s">
        <v>21</v>
      </c>
      <c r="J508" s="144"/>
      <c r="K508" s="287" t="s">
        <v>22</v>
      </c>
      <c r="L508" s="144"/>
      <c r="M508" s="197"/>
      <c r="N508" s="147"/>
    </row>
    <row r="509" ht="22.5" customHeight="1">
      <c r="A509" s="270"/>
      <c r="B509" s="196"/>
      <c r="C509" s="152"/>
      <c r="D509" s="152"/>
      <c r="E509" s="158" t="s">
        <v>18</v>
      </c>
      <c r="F509" s="152"/>
      <c r="G509" s="158" t="s">
        <v>20</v>
      </c>
      <c r="H509" s="152"/>
      <c r="I509" s="293" t="s">
        <v>21</v>
      </c>
      <c r="J509" s="152"/>
      <c r="K509" s="293" t="s">
        <v>22</v>
      </c>
      <c r="L509" s="152"/>
      <c r="M509" s="196"/>
      <c r="N509" s="155"/>
    </row>
    <row r="510" ht="22.5" customHeight="1">
      <c r="A510" s="368"/>
      <c r="B510" s="197"/>
      <c r="C510" s="144"/>
      <c r="D510" s="144"/>
      <c r="E510" s="159" t="s">
        <v>18</v>
      </c>
      <c r="F510" s="144"/>
      <c r="G510" s="159" t="s">
        <v>20</v>
      </c>
      <c r="H510" s="144"/>
      <c r="I510" s="287" t="s">
        <v>21</v>
      </c>
      <c r="J510" s="144"/>
      <c r="K510" s="287" t="s">
        <v>22</v>
      </c>
      <c r="L510" s="144"/>
      <c r="M510" s="197"/>
      <c r="N510" s="147"/>
    </row>
    <row r="511" ht="22.5" customHeight="1">
      <c r="A511" s="270"/>
      <c r="B511" s="196"/>
      <c r="C511" s="152"/>
      <c r="D511" s="152"/>
      <c r="E511" s="158" t="s">
        <v>18</v>
      </c>
      <c r="F511" s="152"/>
      <c r="G511" s="158" t="s">
        <v>20</v>
      </c>
      <c r="H511" s="152"/>
      <c r="I511" s="293" t="s">
        <v>21</v>
      </c>
      <c r="J511" s="152"/>
      <c r="K511" s="293" t="s">
        <v>22</v>
      </c>
      <c r="L511" s="152"/>
      <c r="M511" s="196"/>
      <c r="N511" s="155"/>
    </row>
    <row r="512" ht="22.5" customHeight="1">
      <c r="A512" s="368"/>
      <c r="B512" s="197"/>
      <c r="C512" s="144"/>
      <c r="D512" s="144"/>
      <c r="E512" s="159" t="s">
        <v>18</v>
      </c>
      <c r="F512" s="144"/>
      <c r="G512" s="159" t="s">
        <v>20</v>
      </c>
      <c r="H512" s="144"/>
      <c r="I512" s="287" t="s">
        <v>21</v>
      </c>
      <c r="J512" s="144"/>
      <c r="K512" s="287" t="s">
        <v>22</v>
      </c>
      <c r="L512" s="144"/>
      <c r="M512" s="197"/>
      <c r="N512" s="147"/>
    </row>
    <row r="513" ht="22.5" customHeight="1">
      <c r="A513" s="270"/>
      <c r="B513" s="196"/>
      <c r="C513" s="152"/>
      <c r="D513" s="152"/>
      <c r="E513" s="158" t="s">
        <v>18</v>
      </c>
      <c r="F513" s="152"/>
      <c r="G513" s="158" t="s">
        <v>20</v>
      </c>
      <c r="H513" s="152"/>
      <c r="I513" s="293" t="s">
        <v>21</v>
      </c>
      <c r="J513" s="152"/>
      <c r="K513" s="293" t="s">
        <v>22</v>
      </c>
      <c r="L513" s="152"/>
      <c r="M513" s="196"/>
      <c r="N513" s="155"/>
    </row>
    <row r="514" ht="22.5" customHeight="1">
      <c r="A514" s="368"/>
      <c r="B514" s="197"/>
      <c r="C514" s="144"/>
      <c r="D514" s="144"/>
      <c r="E514" s="159" t="s">
        <v>18</v>
      </c>
      <c r="F514" s="144"/>
      <c r="G514" s="159" t="s">
        <v>20</v>
      </c>
      <c r="H514" s="144"/>
      <c r="I514" s="287" t="s">
        <v>21</v>
      </c>
      <c r="J514" s="144"/>
      <c r="K514" s="287" t="s">
        <v>22</v>
      </c>
      <c r="L514" s="144"/>
      <c r="M514" s="197"/>
      <c r="N514" s="147"/>
    </row>
    <row r="515" ht="22.5" customHeight="1">
      <c r="A515" s="270"/>
      <c r="B515" s="196"/>
      <c r="C515" s="152"/>
      <c r="D515" s="152"/>
      <c r="E515" s="158" t="s">
        <v>18</v>
      </c>
      <c r="F515" s="152"/>
      <c r="G515" s="158" t="s">
        <v>20</v>
      </c>
      <c r="H515" s="152"/>
      <c r="I515" s="293" t="s">
        <v>21</v>
      </c>
      <c r="J515" s="152"/>
      <c r="K515" s="293" t="s">
        <v>22</v>
      </c>
      <c r="L515" s="152"/>
      <c r="M515" s="196"/>
      <c r="N515" s="155"/>
    </row>
    <row r="516" ht="22.5" customHeight="1">
      <c r="A516" s="368"/>
      <c r="B516" s="197"/>
      <c r="C516" s="144"/>
      <c r="D516" s="144"/>
      <c r="E516" s="159" t="s">
        <v>18</v>
      </c>
      <c r="F516" s="144"/>
      <c r="G516" s="159" t="s">
        <v>20</v>
      </c>
      <c r="H516" s="144"/>
      <c r="I516" s="287" t="s">
        <v>21</v>
      </c>
      <c r="J516" s="144"/>
      <c r="K516" s="287" t="s">
        <v>22</v>
      </c>
      <c r="L516" s="483"/>
      <c r="M516" s="197"/>
      <c r="N516" s="147"/>
    </row>
    <row r="517" ht="22.5" customHeight="1">
      <c r="A517" s="270"/>
      <c r="B517" s="196"/>
      <c r="C517" s="152"/>
      <c r="D517" s="152"/>
      <c r="E517" s="158" t="s">
        <v>18</v>
      </c>
      <c r="F517" s="152"/>
      <c r="G517" s="158" t="s">
        <v>20</v>
      </c>
      <c r="H517" s="152"/>
      <c r="I517" s="293" t="s">
        <v>21</v>
      </c>
      <c r="J517" s="152"/>
      <c r="K517" s="293" t="s">
        <v>22</v>
      </c>
      <c r="L517" s="152"/>
      <c r="M517" s="196"/>
      <c r="N517" s="155"/>
    </row>
    <row r="518" ht="22.5" customHeight="1">
      <c r="A518" s="368"/>
      <c r="B518" s="197"/>
      <c r="C518" s="144"/>
      <c r="D518" s="144"/>
      <c r="E518" s="159" t="s">
        <v>18</v>
      </c>
      <c r="F518" s="144"/>
      <c r="G518" s="159" t="s">
        <v>20</v>
      </c>
      <c r="H518" s="144"/>
      <c r="I518" s="287" t="s">
        <v>21</v>
      </c>
      <c r="J518" s="144"/>
      <c r="K518" s="287" t="s">
        <v>22</v>
      </c>
      <c r="L518" s="144"/>
      <c r="M518" s="197"/>
      <c r="N518" s="147"/>
    </row>
    <row r="519" ht="22.5" customHeight="1">
      <c r="A519" s="270"/>
      <c r="B519" s="196"/>
      <c r="C519" s="152"/>
      <c r="D519" s="152"/>
      <c r="E519" s="158" t="s">
        <v>18</v>
      </c>
      <c r="F519" s="152"/>
      <c r="G519" s="158" t="s">
        <v>20</v>
      </c>
      <c r="H519" s="152"/>
      <c r="I519" s="293" t="s">
        <v>21</v>
      </c>
      <c r="J519" s="152"/>
      <c r="K519" s="293" t="s">
        <v>22</v>
      </c>
      <c r="L519" s="482"/>
      <c r="M519" s="196"/>
      <c r="N519" s="155"/>
    </row>
    <row r="520" ht="22.5" customHeight="1">
      <c r="A520" s="368"/>
      <c r="B520" s="197"/>
      <c r="C520" s="144"/>
      <c r="D520" s="144"/>
      <c r="E520" s="159" t="s">
        <v>18</v>
      </c>
      <c r="F520" s="144"/>
      <c r="G520" s="159" t="s">
        <v>20</v>
      </c>
      <c r="H520" s="144"/>
      <c r="I520" s="287" t="s">
        <v>21</v>
      </c>
      <c r="J520" s="144"/>
      <c r="K520" s="287" t="s">
        <v>22</v>
      </c>
      <c r="L520" s="144"/>
      <c r="M520" s="197"/>
      <c r="N520" s="147"/>
    </row>
    <row r="521" ht="22.5" customHeight="1">
      <c r="A521" s="270"/>
      <c r="B521" s="196"/>
      <c r="C521" s="152"/>
      <c r="D521" s="152"/>
      <c r="E521" s="158" t="s">
        <v>18</v>
      </c>
      <c r="F521" s="152"/>
      <c r="G521" s="158" t="s">
        <v>20</v>
      </c>
      <c r="H521" s="152"/>
      <c r="I521" s="293" t="s">
        <v>21</v>
      </c>
      <c r="J521" s="152"/>
      <c r="K521" s="293" t="s">
        <v>22</v>
      </c>
      <c r="L521" s="152"/>
      <c r="M521" s="196"/>
      <c r="N521" s="155"/>
    </row>
    <row r="522" ht="22.5" customHeight="1">
      <c r="A522" s="368"/>
      <c r="B522" s="197"/>
      <c r="C522" s="144"/>
      <c r="D522" s="144"/>
      <c r="E522" s="159" t="s">
        <v>18</v>
      </c>
      <c r="F522" s="144"/>
      <c r="G522" s="159" t="s">
        <v>20</v>
      </c>
      <c r="H522" s="144"/>
      <c r="I522" s="287" t="s">
        <v>21</v>
      </c>
      <c r="J522" s="144"/>
      <c r="K522" s="287" t="s">
        <v>22</v>
      </c>
      <c r="L522" s="483"/>
      <c r="M522" s="197"/>
      <c r="N522" s="147"/>
    </row>
    <row r="523" ht="22.5" customHeight="1">
      <c r="A523" s="270"/>
      <c r="B523" s="196"/>
      <c r="C523" s="152"/>
      <c r="D523" s="152"/>
      <c r="E523" s="158" t="s">
        <v>18</v>
      </c>
      <c r="F523" s="152"/>
      <c r="G523" s="158" t="s">
        <v>20</v>
      </c>
      <c r="H523" s="152"/>
      <c r="I523" s="293" t="s">
        <v>21</v>
      </c>
      <c r="J523" s="152"/>
      <c r="K523" s="293" t="s">
        <v>22</v>
      </c>
      <c r="L523" s="482"/>
      <c r="M523" s="196"/>
      <c r="N523" s="155"/>
    </row>
    <row r="524" ht="22.5" customHeight="1">
      <c r="A524" s="368"/>
      <c r="B524" s="197"/>
      <c r="C524" s="144"/>
      <c r="D524" s="144"/>
      <c r="E524" s="159" t="s">
        <v>18</v>
      </c>
      <c r="F524" s="144"/>
      <c r="G524" s="159" t="s">
        <v>20</v>
      </c>
      <c r="H524" s="144"/>
      <c r="I524" s="287" t="s">
        <v>21</v>
      </c>
      <c r="J524" s="144"/>
      <c r="K524" s="287" t="s">
        <v>22</v>
      </c>
      <c r="L524" s="144"/>
      <c r="M524" s="197"/>
      <c r="N524" s="147"/>
    </row>
    <row r="525" ht="22.5" customHeight="1">
      <c r="A525" s="270"/>
      <c r="B525" s="196"/>
      <c r="C525" s="152"/>
      <c r="D525" s="152"/>
      <c r="E525" s="158" t="s">
        <v>18</v>
      </c>
      <c r="F525" s="152"/>
      <c r="G525" s="158" t="s">
        <v>20</v>
      </c>
      <c r="H525" s="152"/>
      <c r="I525" s="293" t="s">
        <v>21</v>
      </c>
      <c r="J525" s="152"/>
      <c r="K525" s="293" t="s">
        <v>22</v>
      </c>
      <c r="L525" s="482"/>
      <c r="M525" s="196"/>
      <c r="N525" s="155"/>
    </row>
    <row r="526" ht="22.5" customHeight="1">
      <c r="A526" s="368"/>
      <c r="B526" s="197"/>
      <c r="C526" s="144"/>
      <c r="D526" s="144"/>
      <c r="E526" s="159" t="s">
        <v>18</v>
      </c>
      <c r="F526" s="144"/>
      <c r="G526" s="159" t="s">
        <v>20</v>
      </c>
      <c r="H526" s="144"/>
      <c r="I526" s="287" t="s">
        <v>21</v>
      </c>
      <c r="J526" s="144"/>
      <c r="K526" s="287" t="s">
        <v>22</v>
      </c>
      <c r="L526" s="144"/>
      <c r="M526" s="197"/>
      <c r="N526" s="147"/>
    </row>
    <row r="527" ht="22.5" customHeight="1">
      <c r="A527" s="270"/>
      <c r="B527" s="196"/>
      <c r="C527" s="152"/>
      <c r="D527" s="152"/>
      <c r="E527" s="158" t="s">
        <v>18</v>
      </c>
      <c r="F527" s="152"/>
      <c r="G527" s="158" t="s">
        <v>20</v>
      </c>
      <c r="H527" s="152"/>
      <c r="I527" s="293" t="s">
        <v>21</v>
      </c>
      <c r="J527" s="152"/>
      <c r="K527" s="293" t="s">
        <v>22</v>
      </c>
      <c r="L527" s="482"/>
      <c r="M527" s="196"/>
      <c r="N527" s="155"/>
    </row>
    <row r="528" ht="22.5" customHeight="1">
      <c r="A528" s="368"/>
      <c r="B528" s="197"/>
      <c r="C528" s="144"/>
      <c r="D528" s="144"/>
      <c r="E528" s="159" t="s">
        <v>18</v>
      </c>
      <c r="F528" s="144"/>
      <c r="G528" s="159" t="s">
        <v>20</v>
      </c>
      <c r="H528" s="144"/>
      <c r="I528" s="287" t="s">
        <v>21</v>
      </c>
      <c r="J528" s="144"/>
      <c r="K528" s="287" t="s">
        <v>22</v>
      </c>
      <c r="L528" s="144"/>
      <c r="M528" s="197"/>
      <c r="N528" s="147"/>
    </row>
    <row r="529" ht="22.5" customHeight="1">
      <c r="A529" s="270"/>
      <c r="B529" s="196"/>
      <c r="C529" s="152"/>
      <c r="D529" s="152"/>
      <c r="E529" s="158" t="s">
        <v>18</v>
      </c>
      <c r="F529" s="152"/>
      <c r="G529" s="158" t="s">
        <v>20</v>
      </c>
      <c r="H529" s="152"/>
      <c r="I529" s="293" t="s">
        <v>21</v>
      </c>
      <c r="J529" s="152"/>
      <c r="K529" s="293" t="s">
        <v>22</v>
      </c>
      <c r="L529" s="152"/>
      <c r="M529" s="196"/>
      <c r="N529" s="155"/>
    </row>
    <row r="530" ht="22.5" customHeight="1">
      <c r="A530" s="368"/>
      <c r="B530" s="197"/>
      <c r="C530" s="144"/>
      <c r="D530" s="144"/>
      <c r="E530" s="159" t="s">
        <v>18</v>
      </c>
      <c r="F530" s="144"/>
      <c r="G530" s="159" t="s">
        <v>20</v>
      </c>
      <c r="H530" s="144"/>
      <c r="I530" s="287" t="s">
        <v>21</v>
      </c>
      <c r="J530" s="144"/>
      <c r="K530" s="287" t="s">
        <v>22</v>
      </c>
      <c r="L530" s="483"/>
      <c r="M530" s="197"/>
      <c r="N530" s="147"/>
    </row>
    <row r="531" ht="22.5" customHeight="1">
      <c r="A531" s="270"/>
      <c r="B531" s="196"/>
      <c r="C531" s="152"/>
      <c r="D531" s="152"/>
      <c r="E531" s="158" t="s">
        <v>18</v>
      </c>
      <c r="F531" s="152"/>
      <c r="G531" s="158" t="s">
        <v>20</v>
      </c>
      <c r="H531" s="152"/>
      <c r="I531" s="293" t="s">
        <v>21</v>
      </c>
      <c r="J531" s="152"/>
      <c r="K531" s="293" t="s">
        <v>22</v>
      </c>
      <c r="L531" s="482"/>
      <c r="M531" s="196"/>
      <c r="N531" s="155"/>
    </row>
    <row r="532" ht="22.5" customHeight="1">
      <c r="A532" s="368"/>
      <c r="B532" s="197"/>
      <c r="C532" s="144"/>
      <c r="D532" s="144"/>
      <c r="E532" s="159" t="s">
        <v>18</v>
      </c>
      <c r="F532" s="144"/>
      <c r="G532" s="159" t="s">
        <v>20</v>
      </c>
      <c r="H532" s="144"/>
      <c r="I532" s="287" t="s">
        <v>21</v>
      </c>
      <c r="J532" s="144"/>
      <c r="K532" s="287" t="s">
        <v>22</v>
      </c>
      <c r="L532" s="144"/>
      <c r="M532" s="197"/>
      <c r="N532" s="147"/>
    </row>
    <row r="533" ht="22.5" customHeight="1">
      <c r="A533" s="270"/>
      <c r="B533" s="196"/>
      <c r="C533" s="152"/>
      <c r="D533" s="152"/>
      <c r="E533" s="158" t="s">
        <v>18</v>
      </c>
      <c r="F533" s="152"/>
      <c r="G533" s="158" t="s">
        <v>20</v>
      </c>
      <c r="H533" s="152"/>
      <c r="I533" s="293" t="s">
        <v>21</v>
      </c>
      <c r="J533" s="152"/>
      <c r="K533" s="293" t="s">
        <v>22</v>
      </c>
      <c r="L533" s="152"/>
      <c r="M533" s="196"/>
      <c r="N533" s="155"/>
    </row>
    <row r="534" ht="22.5" customHeight="1">
      <c r="A534" s="368"/>
      <c r="B534" s="197"/>
      <c r="C534" s="144"/>
      <c r="D534" s="144"/>
      <c r="E534" s="159" t="s">
        <v>18</v>
      </c>
      <c r="F534" s="144"/>
      <c r="G534" s="159" t="s">
        <v>20</v>
      </c>
      <c r="H534" s="144"/>
      <c r="I534" s="287" t="s">
        <v>21</v>
      </c>
      <c r="J534" s="144"/>
      <c r="K534" s="287" t="s">
        <v>22</v>
      </c>
      <c r="L534" s="144"/>
      <c r="M534" s="197"/>
      <c r="N534" s="147"/>
    </row>
    <row r="535" ht="22.5" customHeight="1">
      <c r="A535" s="270"/>
      <c r="B535" s="196"/>
      <c r="C535" s="152"/>
      <c r="D535" s="152"/>
      <c r="E535" s="158" t="s">
        <v>18</v>
      </c>
      <c r="F535" s="152"/>
      <c r="G535" s="158" t="s">
        <v>20</v>
      </c>
      <c r="H535" s="152"/>
      <c r="I535" s="293" t="s">
        <v>21</v>
      </c>
      <c r="J535" s="152"/>
      <c r="K535" s="293" t="s">
        <v>22</v>
      </c>
      <c r="L535" s="152"/>
      <c r="M535" s="196"/>
      <c r="N535" s="155"/>
    </row>
    <row r="536" ht="22.5" customHeight="1">
      <c r="A536" s="368"/>
      <c r="B536" s="197"/>
      <c r="C536" s="144"/>
      <c r="D536" s="144"/>
      <c r="E536" s="159" t="s">
        <v>18</v>
      </c>
      <c r="F536" s="144"/>
      <c r="G536" s="159" t="s">
        <v>20</v>
      </c>
      <c r="H536" s="144"/>
      <c r="I536" s="287" t="s">
        <v>21</v>
      </c>
      <c r="J536" s="144"/>
      <c r="K536" s="287" t="s">
        <v>22</v>
      </c>
      <c r="L536" s="144"/>
      <c r="M536" s="197"/>
      <c r="N536" s="147"/>
    </row>
    <row r="537" ht="22.5" customHeight="1">
      <c r="A537" s="270"/>
      <c r="B537" s="196"/>
      <c r="C537" s="152"/>
      <c r="D537" s="152"/>
      <c r="E537" s="158" t="s">
        <v>18</v>
      </c>
      <c r="F537" s="152"/>
      <c r="G537" s="158" t="s">
        <v>20</v>
      </c>
      <c r="H537" s="152"/>
      <c r="I537" s="293" t="s">
        <v>21</v>
      </c>
      <c r="J537" s="152"/>
      <c r="K537" s="293" t="s">
        <v>22</v>
      </c>
      <c r="L537" s="152"/>
      <c r="M537" s="196"/>
      <c r="N537" s="155"/>
    </row>
    <row r="538" ht="22.5" customHeight="1">
      <c r="A538" s="368"/>
      <c r="B538" s="197"/>
      <c r="C538" s="144"/>
      <c r="D538" s="144"/>
      <c r="E538" s="159" t="s">
        <v>18</v>
      </c>
      <c r="F538" s="144"/>
      <c r="G538" s="159" t="s">
        <v>20</v>
      </c>
      <c r="H538" s="144"/>
      <c r="I538" s="287" t="s">
        <v>21</v>
      </c>
      <c r="J538" s="144"/>
      <c r="K538" s="287" t="s">
        <v>22</v>
      </c>
      <c r="L538" s="483"/>
      <c r="M538" s="197"/>
      <c r="N538" s="147"/>
    </row>
    <row r="539" ht="22.5" customHeight="1">
      <c r="A539" s="270"/>
      <c r="B539" s="196"/>
      <c r="C539" s="152"/>
      <c r="D539" s="152"/>
      <c r="E539" s="158" t="s">
        <v>18</v>
      </c>
      <c r="F539" s="152"/>
      <c r="G539" s="158" t="s">
        <v>20</v>
      </c>
      <c r="H539" s="152"/>
      <c r="I539" s="293" t="s">
        <v>21</v>
      </c>
      <c r="J539" s="152"/>
      <c r="K539" s="293" t="s">
        <v>22</v>
      </c>
      <c r="L539" s="482"/>
      <c r="M539" s="196"/>
      <c r="N539" s="155"/>
    </row>
    <row r="540" ht="22.5" customHeight="1">
      <c r="A540" s="368"/>
      <c r="B540" s="197"/>
      <c r="C540" s="144"/>
      <c r="D540" s="144"/>
      <c r="E540" s="159" t="s">
        <v>18</v>
      </c>
      <c r="F540" s="144"/>
      <c r="G540" s="159" t="s">
        <v>20</v>
      </c>
      <c r="H540" s="144"/>
      <c r="I540" s="287" t="s">
        <v>21</v>
      </c>
      <c r="J540" s="144"/>
      <c r="K540" s="287" t="s">
        <v>22</v>
      </c>
      <c r="L540" s="144"/>
      <c r="M540" s="197"/>
      <c r="N540" s="147"/>
    </row>
    <row r="541" ht="22.5" customHeight="1">
      <c r="A541" s="270"/>
      <c r="B541" s="196"/>
      <c r="C541" s="152"/>
      <c r="D541" s="152"/>
      <c r="E541" s="158" t="s">
        <v>18</v>
      </c>
      <c r="F541" s="152"/>
      <c r="G541" s="158" t="s">
        <v>20</v>
      </c>
      <c r="H541" s="152"/>
      <c r="I541" s="293" t="s">
        <v>21</v>
      </c>
      <c r="J541" s="152"/>
      <c r="K541" s="293" t="s">
        <v>22</v>
      </c>
      <c r="L541" s="152"/>
      <c r="M541" s="196"/>
      <c r="N541" s="155"/>
    </row>
    <row r="542" ht="22.5" customHeight="1">
      <c r="A542" s="368"/>
      <c r="B542" s="197"/>
      <c r="C542" s="144"/>
      <c r="D542" s="144"/>
      <c r="E542" s="159" t="s">
        <v>18</v>
      </c>
      <c r="F542" s="144"/>
      <c r="G542" s="159" t="s">
        <v>20</v>
      </c>
      <c r="H542" s="144"/>
      <c r="I542" s="287" t="s">
        <v>21</v>
      </c>
      <c r="J542" s="144"/>
      <c r="K542" s="287" t="s">
        <v>22</v>
      </c>
      <c r="L542" s="144"/>
      <c r="M542" s="197"/>
      <c r="N542" s="147"/>
    </row>
    <row r="543" ht="22.5" customHeight="1">
      <c r="A543" s="270"/>
      <c r="B543" s="196"/>
      <c r="C543" s="152"/>
      <c r="D543" s="152"/>
      <c r="E543" s="158" t="s">
        <v>18</v>
      </c>
      <c r="F543" s="152"/>
      <c r="G543" s="158" t="s">
        <v>20</v>
      </c>
      <c r="H543" s="152"/>
      <c r="I543" s="293" t="s">
        <v>21</v>
      </c>
      <c r="J543" s="152"/>
      <c r="K543" s="293" t="s">
        <v>22</v>
      </c>
      <c r="L543" s="482"/>
      <c r="M543" s="196"/>
      <c r="N543" s="155"/>
    </row>
    <row r="544" ht="22.5" customHeight="1">
      <c r="A544" s="368"/>
      <c r="B544" s="197"/>
      <c r="C544" s="144"/>
      <c r="D544" s="144"/>
      <c r="E544" s="159" t="s">
        <v>18</v>
      </c>
      <c r="F544" s="144"/>
      <c r="G544" s="159" t="s">
        <v>20</v>
      </c>
      <c r="H544" s="144"/>
      <c r="I544" s="287" t="s">
        <v>21</v>
      </c>
      <c r="J544" s="144"/>
      <c r="K544" s="287" t="s">
        <v>22</v>
      </c>
      <c r="L544" s="144"/>
      <c r="M544" s="197"/>
      <c r="N544" s="147"/>
    </row>
    <row r="545" ht="22.5" customHeight="1">
      <c r="A545" s="270"/>
      <c r="B545" s="196"/>
      <c r="C545" s="152"/>
      <c r="D545" s="152"/>
      <c r="E545" s="158" t="s">
        <v>18</v>
      </c>
      <c r="F545" s="152"/>
      <c r="G545" s="158" t="s">
        <v>20</v>
      </c>
      <c r="H545" s="152"/>
      <c r="I545" s="293" t="s">
        <v>21</v>
      </c>
      <c r="J545" s="152"/>
      <c r="K545" s="293" t="s">
        <v>22</v>
      </c>
      <c r="L545" s="152"/>
      <c r="M545" s="196"/>
      <c r="N545" s="155"/>
    </row>
    <row r="546" ht="22.5" customHeight="1">
      <c r="A546" s="368"/>
      <c r="B546" s="197"/>
      <c r="C546" s="144"/>
      <c r="D546" s="144"/>
      <c r="E546" s="159" t="s">
        <v>18</v>
      </c>
      <c r="F546" s="144"/>
      <c r="G546" s="159" t="s">
        <v>20</v>
      </c>
      <c r="H546" s="144"/>
      <c r="I546" s="287" t="s">
        <v>21</v>
      </c>
      <c r="J546" s="144"/>
      <c r="K546" s="287" t="s">
        <v>22</v>
      </c>
      <c r="L546" s="144"/>
      <c r="M546" s="197"/>
      <c r="N546" s="147"/>
    </row>
    <row r="547" ht="22.5" customHeight="1">
      <c r="A547" s="270"/>
      <c r="B547" s="196"/>
      <c r="C547" s="152"/>
      <c r="D547" s="152"/>
      <c r="E547" s="158" t="s">
        <v>18</v>
      </c>
      <c r="F547" s="152"/>
      <c r="G547" s="158" t="s">
        <v>20</v>
      </c>
      <c r="H547" s="152"/>
      <c r="I547" s="293" t="s">
        <v>21</v>
      </c>
      <c r="J547" s="152"/>
      <c r="K547" s="293" t="s">
        <v>22</v>
      </c>
      <c r="L547" s="152"/>
      <c r="M547" s="196"/>
      <c r="N547" s="155"/>
    </row>
    <row r="548" ht="22.5" customHeight="1">
      <c r="A548" s="368"/>
      <c r="B548" s="197"/>
      <c r="C548" s="144"/>
      <c r="D548" s="144"/>
      <c r="E548" s="159" t="s">
        <v>18</v>
      </c>
      <c r="F548" s="144"/>
      <c r="G548" s="159" t="s">
        <v>20</v>
      </c>
      <c r="H548" s="144"/>
      <c r="I548" s="287" t="s">
        <v>21</v>
      </c>
      <c r="J548" s="144"/>
      <c r="K548" s="287" t="s">
        <v>22</v>
      </c>
      <c r="L548" s="144"/>
      <c r="M548" s="197"/>
      <c r="N548" s="147"/>
    </row>
    <row r="549" ht="22.5" customHeight="1">
      <c r="A549" s="270"/>
      <c r="B549" s="196"/>
      <c r="C549" s="152"/>
      <c r="D549" s="152"/>
      <c r="E549" s="158" t="s">
        <v>18</v>
      </c>
      <c r="F549" s="152"/>
      <c r="G549" s="158" t="s">
        <v>20</v>
      </c>
      <c r="H549" s="152"/>
      <c r="I549" s="293" t="s">
        <v>21</v>
      </c>
      <c r="J549" s="152"/>
      <c r="K549" s="293" t="s">
        <v>22</v>
      </c>
      <c r="L549" s="482"/>
      <c r="M549" s="196"/>
      <c r="N549" s="155"/>
    </row>
    <row r="550" ht="22.5" customHeight="1">
      <c r="A550" s="368"/>
      <c r="B550" s="197"/>
      <c r="C550" s="144"/>
      <c r="D550" s="144"/>
      <c r="E550" s="159" t="s">
        <v>18</v>
      </c>
      <c r="F550" s="144"/>
      <c r="G550" s="159" t="s">
        <v>20</v>
      </c>
      <c r="H550" s="144"/>
      <c r="I550" s="287" t="s">
        <v>21</v>
      </c>
      <c r="J550" s="144"/>
      <c r="K550" s="287" t="s">
        <v>22</v>
      </c>
      <c r="L550" s="144"/>
      <c r="M550" s="197"/>
      <c r="N550" s="147"/>
    </row>
    <row r="551" ht="22.5" customHeight="1">
      <c r="A551" s="270"/>
      <c r="B551" s="196"/>
      <c r="C551" s="152"/>
      <c r="D551" s="152"/>
      <c r="E551" s="158" t="s">
        <v>18</v>
      </c>
      <c r="F551" s="152"/>
      <c r="G551" s="158" t="s">
        <v>20</v>
      </c>
      <c r="H551" s="152"/>
      <c r="I551" s="293" t="s">
        <v>21</v>
      </c>
      <c r="J551" s="152"/>
      <c r="K551" s="293" t="s">
        <v>22</v>
      </c>
      <c r="L551" s="152"/>
      <c r="M551" s="196"/>
      <c r="N551" s="155"/>
    </row>
    <row r="552" ht="22.5" customHeight="1">
      <c r="A552" s="368"/>
      <c r="B552" s="197"/>
      <c r="C552" s="144"/>
      <c r="D552" s="144"/>
      <c r="E552" s="159" t="s">
        <v>18</v>
      </c>
      <c r="F552" s="144"/>
      <c r="G552" s="159" t="s">
        <v>20</v>
      </c>
      <c r="H552" s="144"/>
      <c r="I552" s="287" t="s">
        <v>21</v>
      </c>
      <c r="J552" s="144"/>
      <c r="K552" s="287" t="s">
        <v>22</v>
      </c>
      <c r="L552" s="483"/>
      <c r="M552" s="197"/>
      <c r="N552" s="147"/>
    </row>
    <row r="553" ht="22.5" customHeight="1">
      <c r="A553" s="270"/>
      <c r="B553" s="196"/>
      <c r="C553" s="152"/>
      <c r="D553" s="152"/>
      <c r="E553" s="158" t="s">
        <v>18</v>
      </c>
      <c r="F553" s="152"/>
      <c r="G553" s="158" t="s">
        <v>20</v>
      </c>
      <c r="H553" s="152"/>
      <c r="I553" s="293" t="s">
        <v>21</v>
      </c>
      <c r="J553" s="152"/>
      <c r="K553" s="293" t="s">
        <v>22</v>
      </c>
      <c r="L553" s="482"/>
      <c r="M553" s="196"/>
      <c r="N553" s="155"/>
    </row>
    <row r="554" ht="22.5" customHeight="1">
      <c r="A554" s="368"/>
      <c r="B554" s="197"/>
      <c r="C554" s="144"/>
      <c r="D554" s="144"/>
      <c r="E554" s="159" t="s">
        <v>18</v>
      </c>
      <c r="F554" s="144"/>
      <c r="G554" s="159" t="s">
        <v>20</v>
      </c>
      <c r="H554" s="144"/>
      <c r="I554" s="287" t="s">
        <v>21</v>
      </c>
      <c r="J554" s="144"/>
      <c r="K554" s="287" t="s">
        <v>22</v>
      </c>
      <c r="L554" s="144"/>
      <c r="M554" s="197"/>
      <c r="N554" s="147"/>
    </row>
    <row r="555" ht="22.5" customHeight="1">
      <c r="A555" s="270"/>
      <c r="B555" s="196"/>
      <c r="C555" s="152"/>
      <c r="D555" s="152"/>
      <c r="E555" s="158" t="s">
        <v>18</v>
      </c>
      <c r="F555" s="152"/>
      <c r="G555" s="158" t="s">
        <v>20</v>
      </c>
      <c r="H555" s="152"/>
      <c r="I555" s="293" t="s">
        <v>21</v>
      </c>
      <c r="J555" s="152"/>
      <c r="K555" s="293" t="s">
        <v>22</v>
      </c>
      <c r="L555" s="152"/>
      <c r="M555" s="196"/>
      <c r="N555" s="155"/>
    </row>
    <row r="556" ht="22.5" customHeight="1">
      <c r="A556" s="368"/>
      <c r="B556" s="197"/>
      <c r="C556" s="144"/>
      <c r="D556" s="144"/>
      <c r="E556" s="159" t="s">
        <v>18</v>
      </c>
      <c r="F556" s="144"/>
      <c r="G556" s="159" t="s">
        <v>20</v>
      </c>
      <c r="H556" s="144"/>
      <c r="I556" s="287" t="s">
        <v>21</v>
      </c>
      <c r="J556" s="144"/>
      <c r="K556" s="287" t="s">
        <v>22</v>
      </c>
      <c r="L556" s="144"/>
      <c r="M556" s="197"/>
      <c r="N556" s="147"/>
    </row>
    <row r="557" ht="22.5" customHeight="1">
      <c r="A557" s="270"/>
      <c r="B557" s="196"/>
      <c r="C557" s="152"/>
      <c r="D557" s="152"/>
      <c r="E557" s="158" t="s">
        <v>18</v>
      </c>
      <c r="F557" s="152"/>
      <c r="G557" s="158" t="s">
        <v>20</v>
      </c>
      <c r="H557" s="152"/>
      <c r="I557" s="293" t="s">
        <v>21</v>
      </c>
      <c r="J557" s="152"/>
      <c r="K557" s="293" t="s">
        <v>22</v>
      </c>
      <c r="L557" s="152"/>
      <c r="M557" s="196"/>
      <c r="N557" s="155"/>
    </row>
    <row r="558" ht="22.5" customHeight="1">
      <c r="A558" s="368"/>
      <c r="B558" s="197"/>
      <c r="C558" s="144"/>
      <c r="D558" s="144"/>
      <c r="E558" s="159" t="s">
        <v>18</v>
      </c>
      <c r="F558" s="144"/>
      <c r="G558" s="159" t="s">
        <v>20</v>
      </c>
      <c r="H558" s="144"/>
      <c r="I558" s="287" t="s">
        <v>21</v>
      </c>
      <c r="J558" s="144"/>
      <c r="K558" s="287" t="s">
        <v>22</v>
      </c>
      <c r="L558" s="144"/>
      <c r="M558" s="197"/>
      <c r="N558" s="147"/>
    </row>
    <row r="559" ht="22.5" customHeight="1">
      <c r="A559" s="270"/>
      <c r="B559" s="196"/>
      <c r="C559" s="152"/>
      <c r="D559" s="152"/>
      <c r="E559" s="158" t="s">
        <v>18</v>
      </c>
      <c r="F559" s="152"/>
      <c r="G559" s="158" t="s">
        <v>20</v>
      </c>
      <c r="H559" s="152"/>
      <c r="I559" s="293" t="s">
        <v>21</v>
      </c>
      <c r="J559" s="152"/>
      <c r="K559" s="293" t="s">
        <v>22</v>
      </c>
      <c r="L559" s="482"/>
      <c r="M559" s="196"/>
      <c r="N559" s="155"/>
    </row>
    <row r="560" ht="22.5" customHeight="1">
      <c r="A560" s="368"/>
      <c r="B560" s="197"/>
      <c r="C560" s="144"/>
      <c r="D560" s="144"/>
      <c r="E560" s="159" t="s">
        <v>18</v>
      </c>
      <c r="F560" s="144"/>
      <c r="G560" s="159" t="s">
        <v>20</v>
      </c>
      <c r="H560" s="144"/>
      <c r="I560" s="287" t="s">
        <v>21</v>
      </c>
      <c r="J560" s="144"/>
      <c r="K560" s="287" t="s">
        <v>22</v>
      </c>
      <c r="L560" s="144"/>
      <c r="M560" s="197"/>
      <c r="N560" s="147"/>
    </row>
    <row r="561" ht="22.5" customHeight="1">
      <c r="A561" s="270"/>
      <c r="B561" s="196"/>
      <c r="C561" s="152"/>
      <c r="D561" s="152"/>
      <c r="E561" s="158" t="s">
        <v>18</v>
      </c>
      <c r="F561" s="152"/>
      <c r="G561" s="158" t="s">
        <v>20</v>
      </c>
      <c r="H561" s="152"/>
      <c r="I561" s="293" t="s">
        <v>21</v>
      </c>
      <c r="J561" s="152"/>
      <c r="K561" s="293" t="s">
        <v>22</v>
      </c>
      <c r="L561" s="482"/>
      <c r="M561" s="196"/>
      <c r="N561" s="155"/>
    </row>
    <row r="562" ht="22.5" customHeight="1">
      <c r="A562" s="368"/>
      <c r="B562" s="197"/>
      <c r="C562" s="144"/>
      <c r="D562" s="144"/>
      <c r="E562" s="159" t="s">
        <v>18</v>
      </c>
      <c r="F562" s="144"/>
      <c r="G562" s="159" t="s">
        <v>20</v>
      </c>
      <c r="H562" s="144"/>
      <c r="I562" s="287" t="s">
        <v>21</v>
      </c>
      <c r="J562" s="144"/>
      <c r="K562" s="287" t="s">
        <v>22</v>
      </c>
      <c r="L562" s="144"/>
      <c r="M562" s="197"/>
      <c r="N562" s="147"/>
    </row>
    <row r="563" ht="22.5" customHeight="1">
      <c r="A563" s="270"/>
      <c r="B563" s="196"/>
      <c r="C563" s="152"/>
      <c r="D563" s="152"/>
      <c r="E563" s="158" t="s">
        <v>18</v>
      </c>
      <c r="F563" s="152"/>
      <c r="G563" s="158" t="s">
        <v>20</v>
      </c>
      <c r="H563" s="152"/>
      <c r="I563" s="293" t="s">
        <v>21</v>
      </c>
      <c r="J563" s="152"/>
      <c r="K563" s="293" t="s">
        <v>22</v>
      </c>
      <c r="L563" s="152"/>
      <c r="M563" s="196"/>
      <c r="N563" s="155"/>
    </row>
    <row r="564" ht="22.5" customHeight="1">
      <c r="A564" s="368"/>
      <c r="B564" s="197"/>
      <c r="C564" s="144"/>
      <c r="D564" s="144"/>
      <c r="E564" s="159" t="s">
        <v>18</v>
      </c>
      <c r="F564" s="144"/>
      <c r="G564" s="159" t="s">
        <v>20</v>
      </c>
      <c r="H564" s="144"/>
      <c r="I564" s="287" t="s">
        <v>21</v>
      </c>
      <c r="J564" s="144"/>
      <c r="K564" s="287" t="s">
        <v>22</v>
      </c>
      <c r="L564" s="483"/>
      <c r="M564" s="197"/>
      <c r="N564" s="147"/>
    </row>
    <row r="565" ht="22.5" customHeight="1">
      <c r="A565" s="270"/>
      <c r="B565" s="196"/>
      <c r="C565" s="152"/>
      <c r="D565" s="152"/>
      <c r="E565" s="158" t="s">
        <v>18</v>
      </c>
      <c r="F565" s="152"/>
      <c r="G565" s="158" t="s">
        <v>20</v>
      </c>
      <c r="H565" s="152"/>
      <c r="I565" s="293" t="s">
        <v>21</v>
      </c>
      <c r="J565" s="152"/>
      <c r="K565" s="293" t="s">
        <v>22</v>
      </c>
      <c r="L565" s="482"/>
      <c r="M565" s="196"/>
      <c r="N565" s="155"/>
    </row>
    <row r="566" ht="22.5" customHeight="1">
      <c r="A566" s="368"/>
      <c r="B566" s="197"/>
      <c r="C566" s="144"/>
      <c r="D566" s="144"/>
      <c r="E566" s="159" t="s">
        <v>18</v>
      </c>
      <c r="F566" s="144"/>
      <c r="G566" s="159" t="s">
        <v>20</v>
      </c>
      <c r="H566" s="144"/>
      <c r="I566" s="287" t="s">
        <v>21</v>
      </c>
      <c r="J566" s="144"/>
      <c r="K566" s="287" t="s">
        <v>22</v>
      </c>
      <c r="L566" s="144"/>
      <c r="M566" s="197"/>
      <c r="N566" s="147"/>
    </row>
    <row r="567" ht="22.5" customHeight="1">
      <c r="A567" s="270"/>
      <c r="B567" s="196"/>
      <c r="C567" s="152"/>
      <c r="D567" s="152"/>
      <c r="E567" s="158" t="s">
        <v>18</v>
      </c>
      <c r="F567" s="152"/>
      <c r="G567" s="158" t="s">
        <v>20</v>
      </c>
      <c r="H567" s="152"/>
      <c r="I567" s="293" t="s">
        <v>21</v>
      </c>
      <c r="J567" s="152"/>
      <c r="K567" s="293" t="s">
        <v>22</v>
      </c>
      <c r="L567" s="152"/>
      <c r="M567" s="196"/>
      <c r="N567" s="155"/>
    </row>
    <row r="568" ht="22.5" customHeight="1">
      <c r="A568" s="368"/>
      <c r="B568" s="197"/>
      <c r="C568" s="144"/>
      <c r="D568" s="144"/>
      <c r="E568" s="159" t="s">
        <v>18</v>
      </c>
      <c r="F568" s="144"/>
      <c r="G568" s="159" t="s">
        <v>20</v>
      </c>
      <c r="H568" s="144"/>
      <c r="I568" s="287" t="s">
        <v>21</v>
      </c>
      <c r="J568" s="144"/>
      <c r="K568" s="287" t="s">
        <v>22</v>
      </c>
      <c r="L568" s="483"/>
      <c r="M568" s="197"/>
      <c r="N568" s="147"/>
    </row>
    <row r="569" ht="22.5" customHeight="1">
      <c r="A569" s="270"/>
      <c r="B569" s="196"/>
      <c r="C569" s="152"/>
      <c r="D569" s="152"/>
      <c r="E569" s="158" t="s">
        <v>18</v>
      </c>
      <c r="F569" s="152"/>
      <c r="G569" s="158" t="s">
        <v>20</v>
      </c>
      <c r="H569" s="152"/>
      <c r="I569" s="293" t="s">
        <v>21</v>
      </c>
      <c r="J569" s="152"/>
      <c r="K569" s="293" t="s">
        <v>22</v>
      </c>
      <c r="L569" s="152"/>
      <c r="M569" s="196"/>
      <c r="N569" s="155"/>
    </row>
    <row r="570" ht="22.5" customHeight="1">
      <c r="A570" s="368"/>
      <c r="B570" s="197"/>
      <c r="C570" s="144"/>
      <c r="D570" s="144"/>
      <c r="E570" s="159" t="s">
        <v>18</v>
      </c>
      <c r="F570" s="144"/>
      <c r="G570" s="159" t="s">
        <v>20</v>
      </c>
      <c r="H570" s="144"/>
      <c r="I570" s="287" t="s">
        <v>21</v>
      </c>
      <c r="J570" s="144"/>
      <c r="K570" s="287" t="s">
        <v>22</v>
      </c>
      <c r="L570" s="144"/>
      <c r="M570" s="197"/>
      <c r="N570" s="147"/>
    </row>
    <row r="571" ht="22.5" customHeight="1">
      <c r="A571" s="270"/>
      <c r="B571" s="196"/>
      <c r="C571" s="152"/>
      <c r="D571" s="152"/>
      <c r="E571" s="158" t="s">
        <v>18</v>
      </c>
      <c r="F571" s="152"/>
      <c r="G571" s="158" t="s">
        <v>20</v>
      </c>
      <c r="H571" s="152"/>
      <c r="I571" s="293" t="s">
        <v>21</v>
      </c>
      <c r="J571" s="152"/>
      <c r="K571" s="293" t="s">
        <v>22</v>
      </c>
      <c r="L571" s="152"/>
      <c r="M571" s="196"/>
      <c r="N571" s="155"/>
    </row>
    <row r="572" ht="22.5" customHeight="1">
      <c r="A572" s="368"/>
      <c r="B572" s="197"/>
      <c r="C572" s="144"/>
      <c r="D572" s="144"/>
      <c r="E572" s="159" t="s">
        <v>18</v>
      </c>
      <c r="F572" s="144"/>
      <c r="G572" s="159" t="s">
        <v>20</v>
      </c>
      <c r="H572" s="144"/>
      <c r="I572" s="287" t="s">
        <v>21</v>
      </c>
      <c r="J572" s="144"/>
      <c r="K572" s="287" t="s">
        <v>22</v>
      </c>
      <c r="L572" s="144"/>
      <c r="M572" s="197"/>
      <c r="N572" s="147"/>
    </row>
    <row r="573" ht="22.5" customHeight="1">
      <c r="A573" s="270"/>
      <c r="B573" s="196"/>
      <c r="C573" s="152"/>
      <c r="D573" s="152"/>
      <c r="E573" s="158" t="s">
        <v>18</v>
      </c>
      <c r="F573" s="152"/>
      <c r="G573" s="158" t="s">
        <v>20</v>
      </c>
      <c r="H573" s="152"/>
      <c r="I573" s="293" t="s">
        <v>21</v>
      </c>
      <c r="J573" s="152"/>
      <c r="K573" s="293" t="s">
        <v>22</v>
      </c>
      <c r="L573" s="152"/>
      <c r="M573" s="196"/>
      <c r="N573" s="155"/>
    </row>
    <row r="574" ht="22.5" customHeight="1">
      <c r="A574" s="368"/>
      <c r="B574" s="197"/>
      <c r="C574" s="144"/>
      <c r="D574" s="144"/>
      <c r="E574" s="159" t="s">
        <v>18</v>
      </c>
      <c r="F574" s="144"/>
      <c r="G574" s="159" t="s">
        <v>20</v>
      </c>
      <c r="H574" s="144"/>
      <c r="I574" s="287" t="s">
        <v>21</v>
      </c>
      <c r="J574" s="144"/>
      <c r="K574" s="287" t="s">
        <v>22</v>
      </c>
      <c r="L574" s="144"/>
      <c r="M574" s="197"/>
      <c r="N574" s="147"/>
    </row>
    <row r="575" ht="22.5" customHeight="1">
      <c r="A575" s="270"/>
      <c r="B575" s="196"/>
      <c r="C575" s="152"/>
      <c r="D575" s="152"/>
      <c r="E575" s="158" t="s">
        <v>18</v>
      </c>
      <c r="F575" s="152"/>
      <c r="G575" s="158" t="s">
        <v>20</v>
      </c>
      <c r="H575" s="152"/>
      <c r="I575" s="293" t="s">
        <v>21</v>
      </c>
      <c r="J575" s="152"/>
      <c r="K575" s="293" t="s">
        <v>22</v>
      </c>
      <c r="L575" s="152"/>
      <c r="M575" s="196"/>
      <c r="N575" s="155"/>
    </row>
    <row r="576" ht="22.5" customHeight="1">
      <c r="A576" s="368"/>
      <c r="B576" s="197"/>
      <c r="C576" s="144"/>
      <c r="D576" s="144"/>
      <c r="E576" s="159" t="s">
        <v>18</v>
      </c>
      <c r="F576" s="144"/>
      <c r="G576" s="159" t="s">
        <v>20</v>
      </c>
      <c r="H576" s="144"/>
      <c r="I576" s="287" t="s">
        <v>21</v>
      </c>
      <c r="J576" s="144"/>
      <c r="K576" s="287" t="s">
        <v>22</v>
      </c>
      <c r="L576" s="483"/>
      <c r="M576" s="197"/>
      <c r="N576" s="147"/>
    </row>
    <row r="577" ht="22.5" customHeight="1">
      <c r="A577" s="270"/>
      <c r="B577" s="196"/>
      <c r="C577" s="152"/>
      <c r="D577" s="152"/>
      <c r="E577" s="158" t="s">
        <v>18</v>
      </c>
      <c r="F577" s="152"/>
      <c r="G577" s="158" t="s">
        <v>20</v>
      </c>
      <c r="H577" s="152"/>
      <c r="I577" s="293" t="s">
        <v>21</v>
      </c>
      <c r="J577" s="152"/>
      <c r="K577" s="293" t="s">
        <v>22</v>
      </c>
      <c r="L577" s="152"/>
      <c r="M577" s="196"/>
      <c r="N577" s="155"/>
    </row>
    <row r="578" ht="22.5" customHeight="1">
      <c r="A578" s="368"/>
      <c r="B578" s="197"/>
      <c r="C578" s="144"/>
      <c r="D578" s="144"/>
      <c r="E578" s="159" t="s">
        <v>18</v>
      </c>
      <c r="F578" s="144"/>
      <c r="G578" s="159" t="s">
        <v>20</v>
      </c>
      <c r="H578" s="144"/>
      <c r="I578" s="287" t="s">
        <v>21</v>
      </c>
      <c r="J578" s="144"/>
      <c r="K578" s="287" t="s">
        <v>22</v>
      </c>
      <c r="L578" s="144"/>
      <c r="M578" s="197"/>
      <c r="N578" s="147"/>
    </row>
    <row r="579" ht="22.5" customHeight="1">
      <c r="A579" s="270"/>
      <c r="B579" s="196"/>
      <c r="C579" s="152"/>
      <c r="D579" s="152"/>
      <c r="E579" s="158" t="s">
        <v>18</v>
      </c>
      <c r="F579" s="152"/>
      <c r="G579" s="158" t="s">
        <v>20</v>
      </c>
      <c r="H579" s="152"/>
      <c r="I579" s="293" t="s">
        <v>21</v>
      </c>
      <c r="J579" s="152"/>
      <c r="K579" s="293" t="s">
        <v>22</v>
      </c>
      <c r="L579" s="482"/>
      <c r="M579" s="196"/>
      <c r="N579" s="155"/>
    </row>
    <row r="580" ht="22.5" customHeight="1">
      <c r="A580" s="368"/>
      <c r="B580" s="197"/>
      <c r="C580" s="144"/>
      <c r="D580" s="144"/>
      <c r="E580" s="159" t="s">
        <v>18</v>
      </c>
      <c r="F580" s="144"/>
      <c r="G580" s="159" t="s">
        <v>20</v>
      </c>
      <c r="H580" s="144"/>
      <c r="I580" s="287" t="s">
        <v>21</v>
      </c>
      <c r="J580" s="144"/>
      <c r="K580" s="287" t="s">
        <v>22</v>
      </c>
      <c r="L580" s="144"/>
      <c r="M580" s="197"/>
      <c r="N580" s="147"/>
    </row>
    <row r="581" ht="22.5" customHeight="1">
      <c r="A581" s="270"/>
      <c r="B581" s="196"/>
      <c r="C581" s="152"/>
      <c r="D581" s="152"/>
      <c r="E581" s="158" t="s">
        <v>18</v>
      </c>
      <c r="F581" s="152"/>
      <c r="G581" s="158" t="s">
        <v>20</v>
      </c>
      <c r="H581" s="152"/>
      <c r="I581" s="293" t="s">
        <v>21</v>
      </c>
      <c r="J581" s="152"/>
      <c r="K581" s="293" t="s">
        <v>22</v>
      </c>
      <c r="L581" s="482"/>
      <c r="M581" s="196"/>
      <c r="N581" s="155"/>
    </row>
    <row r="582" ht="22.5" customHeight="1">
      <c r="A582" s="368"/>
      <c r="B582" s="197"/>
      <c r="C582" s="144"/>
      <c r="D582" s="144"/>
      <c r="E582" s="159" t="s">
        <v>18</v>
      </c>
      <c r="F582" s="144"/>
      <c r="G582" s="159" t="s">
        <v>20</v>
      </c>
      <c r="H582" s="144"/>
      <c r="I582" s="287" t="s">
        <v>21</v>
      </c>
      <c r="J582" s="144"/>
      <c r="K582" s="287" t="s">
        <v>22</v>
      </c>
      <c r="L582" s="144"/>
      <c r="M582" s="197"/>
      <c r="N582" s="147"/>
    </row>
    <row r="583" ht="22.5" customHeight="1">
      <c r="A583" s="270"/>
      <c r="B583" s="196"/>
      <c r="C583" s="152"/>
      <c r="D583" s="152"/>
      <c r="E583" s="158" t="s">
        <v>18</v>
      </c>
      <c r="F583" s="152"/>
      <c r="G583" s="158" t="s">
        <v>20</v>
      </c>
      <c r="H583" s="152"/>
      <c r="I583" s="293" t="s">
        <v>21</v>
      </c>
      <c r="J583" s="152"/>
      <c r="K583" s="293" t="s">
        <v>22</v>
      </c>
      <c r="L583" s="152"/>
      <c r="M583" s="196"/>
      <c r="N583" s="155"/>
    </row>
    <row r="584" ht="22.5" customHeight="1">
      <c r="A584" s="368"/>
      <c r="B584" s="197"/>
      <c r="C584" s="144"/>
      <c r="D584" s="144"/>
      <c r="E584" s="159" t="s">
        <v>18</v>
      </c>
      <c r="F584" s="144"/>
      <c r="G584" s="159" t="s">
        <v>20</v>
      </c>
      <c r="H584" s="144"/>
      <c r="I584" s="287" t="s">
        <v>21</v>
      </c>
      <c r="J584" s="144"/>
      <c r="K584" s="287" t="s">
        <v>22</v>
      </c>
      <c r="L584" s="483"/>
      <c r="M584" s="197"/>
      <c r="N584" s="147"/>
    </row>
    <row r="585" ht="22.5" customHeight="1">
      <c r="A585" s="270"/>
      <c r="B585" s="196"/>
      <c r="C585" s="152"/>
      <c r="D585" s="152"/>
      <c r="E585" s="158" t="s">
        <v>18</v>
      </c>
      <c r="F585" s="152"/>
      <c r="G585" s="158" t="s">
        <v>20</v>
      </c>
      <c r="H585" s="152"/>
      <c r="I585" s="293" t="s">
        <v>21</v>
      </c>
      <c r="J585" s="152"/>
      <c r="K585" s="293" t="s">
        <v>22</v>
      </c>
      <c r="L585" s="152"/>
      <c r="M585" s="196"/>
      <c r="N585" s="155"/>
    </row>
    <row r="586" ht="22.5" customHeight="1">
      <c r="A586" s="368"/>
      <c r="B586" s="197"/>
      <c r="C586" s="144"/>
      <c r="D586" s="144"/>
      <c r="E586" s="159" t="s">
        <v>18</v>
      </c>
      <c r="F586" s="144"/>
      <c r="G586" s="159" t="s">
        <v>20</v>
      </c>
      <c r="H586" s="144"/>
      <c r="I586" s="287" t="s">
        <v>21</v>
      </c>
      <c r="J586" s="144"/>
      <c r="K586" s="287" t="s">
        <v>22</v>
      </c>
      <c r="L586" s="144"/>
      <c r="M586" s="197"/>
      <c r="N586" s="147"/>
    </row>
    <row r="587" ht="22.5" customHeight="1">
      <c r="A587" s="270"/>
      <c r="B587" s="196"/>
      <c r="C587" s="152"/>
      <c r="D587" s="152"/>
      <c r="E587" s="158" t="s">
        <v>18</v>
      </c>
      <c r="F587" s="152"/>
      <c r="G587" s="158" t="s">
        <v>20</v>
      </c>
      <c r="H587" s="152"/>
      <c r="I587" s="293" t="s">
        <v>21</v>
      </c>
      <c r="J587" s="152"/>
      <c r="K587" s="293" t="s">
        <v>22</v>
      </c>
      <c r="L587" s="152"/>
      <c r="M587" s="196"/>
      <c r="N587" s="155"/>
    </row>
    <row r="588" ht="22.5" customHeight="1">
      <c r="A588" s="368"/>
      <c r="B588" s="197"/>
      <c r="C588" s="144"/>
      <c r="D588" s="144"/>
      <c r="E588" s="159" t="s">
        <v>18</v>
      </c>
      <c r="F588" s="144"/>
      <c r="G588" s="159" t="s">
        <v>20</v>
      </c>
      <c r="H588" s="144"/>
      <c r="I588" s="287" t="s">
        <v>21</v>
      </c>
      <c r="J588" s="144"/>
      <c r="K588" s="287" t="s">
        <v>22</v>
      </c>
      <c r="L588" s="144"/>
      <c r="M588" s="197"/>
      <c r="N588" s="147"/>
    </row>
    <row r="589" ht="22.5" customHeight="1">
      <c r="A589" s="270"/>
      <c r="B589" s="196"/>
      <c r="C589" s="152"/>
      <c r="D589" s="152"/>
      <c r="E589" s="158" t="s">
        <v>18</v>
      </c>
      <c r="F589" s="152"/>
      <c r="G589" s="158" t="s">
        <v>20</v>
      </c>
      <c r="H589" s="152"/>
      <c r="I589" s="293" t="s">
        <v>21</v>
      </c>
      <c r="J589" s="152"/>
      <c r="K589" s="293" t="s">
        <v>22</v>
      </c>
      <c r="L589" s="152"/>
      <c r="M589" s="196"/>
      <c r="N589" s="155"/>
    </row>
    <row r="590" ht="22.5" customHeight="1">
      <c r="A590" s="368"/>
      <c r="B590" s="197"/>
      <c r="C590" s="144"/>
      <c r="D590" s="144"/>
      <c r="E590" s="159" t="s">
        <v>18</v>
      </c>
      <c r="F590" s="144"/>
      <c r="G590" s="159" t="s">
        <v>20</v>
      </c>
      <c r="H590" s="144"/>
      <c r="I590" s="287" t="s">
        <v>21</v>
      </c>
      <c r="J590" s="144"/>
      <c r="K590" s="287" t="s">
        <v>22</v>
      </c>
      <c r="L590" s="144"/>
      <c r="M590" s="197"/>
      <c r="N590" s="147"/>
    </row>
    <row r="591" ht="22.5" customHeight="1">
      <c r="A591" s="270"/>
      <c r="B591" s="196"/>
      <c r="C591" s="152"/>
      <c r="D591" s="152"/>
      <c r="E591" s="158" t="s">
        <v>18</v>
      </c>
      <c r="F591" s="152"/>
      <c r="G591" s="158" t="s">
        <v>20</v>
      </c>
      <c r="H591" s="152"/>
      <c r="I591" s="293" t="s">
        <v>21</v>
      </c>
      <c r="J591" s="152"/>
      <c r="K591" s="293" t="s">
        <v>22</v>
      </c>
      <c r="L591" s="152"/>
      <c r="M591" s="196"/>
      <c r="N591" s="155"/>
    </row>
    <row r="592" ht="22.5" customHeight="1">
      <c r="A592" s="368"/>
      <c r="B592" s="197"/>
      <c r="C592" s="144"/>
      <c r="D592" s="144"/>
      <c r="E592" s="159" t="s">
        <v>18</v>
      </c>
      <c r="F592" s="144"/>
      <c r="G592" s="159" t="s">
        <v>20</v>
      </c>
      <c r="H592" s="144"/>
      <c r="I592" s="287" t="s">
        <v>21</v>
      </c>
      <c r="J592" s="144"/>
      <c r="K592" s="287" t="s">
        <v>22</v>
      </c>
      <c r="L592" s="144"/>
      <c r="M592" s="197"/>
      <c r="N592" s="147"/>
    </row>
    <row r="593" ht="22.5" customHeight="1">
      <c r="A593" s="270"/>
      <c r="B593" s="196"/>
      <c r="C593" s="152"/>
      <c r="D593" s="152"/>
      <c r="E593" s="158" t="s">
        <v>18</v>
      </c>
      <c r="F593" s="152"/>
      <c r="G593" s="158" t="s">
        <v>20</v>
      </c>
      <c r="H593" s="152"/>
      <c r="I593" s="293" t="s">
        <v>21</v>
      </c>
      <c r="J593" s="152"/>
      <c r="K593" s="293" t="s">
        <v>22</v>
      </c>
      <c r="L593" s="152"/>
      <c r="M593" s="196"/>
      <c r="N593" s="155"/>
    </row>
    <row r="594" ht="22.5" customHeight="1">
      <c r="A594" s="368"/>
      <c r="B594" s="197"/>
      <c r="C594" s="144"/>
      <c r="D594" s="144"/>
      <c r="E594" s="159" t="s">
        <v>18</v>
      </c>
      <c r="F594" s="144"/>
      <c r="G594" s="159" t="s">
        <v>20</v>
      </c>
      <c r="H594" s="144"/>
      <c r="I594" s="287" t="s">
        <v>21</v>
      </c>
      <c r="J594" s="144"/>
      <c r="K594" s="287" t="s">
        <v>22</v>
      </c>
      <c r="L594" s="144"/>
      <c r="M594" s="197"/>
      <c r="N594" s="147"/>
    </row>
    <row r="595" ht="22.5" customHeight="1">
      <c r="A595" s="270"/>
      <c r="B595" s="196"/>
      <c r="C595" s="152"/>
      <c r="D595" s="152"/>
      <c r="E595" s="158" t="s">
        <v>18</v>
      </c>
      <c r="F595" s="152"/>
      <c r="G595" s="158" t="s">
        <v>20</v>
      </c>
      <c r="H595" s="152"/>
      <c r="I595" s="293" t="s">
        <v>21</v>
      </c>
      <c r="J595" s="152"/>
      <c r="K595" s="293" t="s">
        <v>22</v>
      </c>
      <c r="L595" s="152"/>
      <c r="M595" s="196"/>
      <c r="N595" s="155"/>
    </row>
    <row r="596" ht="22.5" customHeight="1">
      <c r="A596" s="368"/>
      <c r="B596" s="197"/>
      <c r="C596" s="144"/>
      <c r="D596" s="144"/>
      <c r="E596" s="159" t="s">
        <v>18</v>
      </c>
      <c r="F596" s="144"/>
      <c r="G596" s="159" t="s">
        <v>20</v>
      </c>
      <c r="H596" s="144"/>
      <c r="I596" s="287" t="s">
        <v>21</v>
      </c>
      <c r="J596" s="144"/>
      <c r="K596" s="287" t="s">
        <v>22</v>
      </c>
      <c r="L596" s="144"/>
      <c r="M596" s="197"/>
      <c r="N596" s="147"/>
    </row>
    <row r="597" ht="22.5" customHeight="1">
      <c r="A597" s="270"/>
      <c r="B597" s="196"/>
      <c r="C597" s="152"/>
      <c r="D597" s="152"/>
      <c r="E597" s="158" t="s">
        <v>18</v>
      </c>
      <c r="F597" s="152"/>
      <c r="G597" s="158" t="s">
        <v>20</v>
      </c>
      <c r="H597" s="152"/>
      <c r="I597" s="293" t="s">
        <v>21</v>
      </c>
      <c r="J597" s="152"/>
      <c r="K597" s="293" t="s">
        <v>22</v>
      </c>
      <c r="L597" s="152"/>
      <c r="M597" s="196"/>
      <c r="N597" s="155"/>
    </row>
    <row r="598" ht="22.5" customHeight="1">
      <c r="A598" s="368"/>
      <c r="B598" s="197"/>
      <c r="C598" s="144"/>
      <c r="D598" s="144"/>
      <c r="E598" s="159" t="s">
        <v>18</v>
      </c>
      <c r="F598" s="144"/>
      <c r="G598" s="159" t="s">
        <v>20</v>
      </c>
      <c r="H598" s="144"/>
      <c r="I598" s="287" t="s">
        <v>21</v>
      </c>
      <c r="J598" s="144"/>
      <c r="K598" s="287" t="s">
        <v>22</v>
      </c>
      <c r="L598" s="144"/>
      <c r="M598" s="197"/>
      <c r="N598" s="147"/>
    </row>
    <row r="599" ht="22.5" customHeight="1">
      <c r="A599" s="270"/>
      <c r="B599" s="196"/>
      <c r="C599" s="152"/>
      <c r="D599" s="152"/>
      <c r="E599" s="158" t="s">
        <v>18</v>
      </c>
      <c r="F599" s="152"/>
      <c r="G599" s="158" t="s">
        <v>20</v>
      </c>
      <c r="H599" s="152"/>
      <c r="I599" s="293" t="s">
        <v>21</v>
      </c>
      <c r="J599" s="152"/>
      <c r="K599" s="293" t="s">
        <v>22</v>
      </c>
      <c r="L599" s="152"/>
      <c r="M599" s="196"/>
      <c r="N599" s="155"/>
    </row>
    <row r="600" ht="22.5" customHeight="1">
      <c r="A600" s="368"/>
      <c r="B600" s="197"/>
      <c r="C600" s="144"/>
      <c r="D600" s="144"/>
      <c r="E600" s="159" t="s">
        <v>18</v>
      </c>
      <c r="F600" s="144"/>
      <c r="G600" s="159" t="s">
        <v>20</v>
      </c>
      <c r="H600" s="144"/>
      <c r="I600" s="287" t="s">
        <v>21</v>
      </c>
      <c r="J600" s="144"/>
      <c r="K600" s="287" t="s">
        <v>22</v>
      </c>
      <c r="L600" s="144"/>
      <c r="M600" s="197"/>
      <c r="N600" s="147"/>
    </row>
    <row r="601" ht="22.5" customHeight="1">
      <c r="A601" s="270"/>
      <c r="B601" s="196"/>
      <c r="C601" s="152"/>
      <c r="D601" s="152"/>
      <c r="E601" s="158" t="s">
        <v>18</v>
      </c>
      <c r="F601" s="152"/>
      <c r="G601" s="158" t="s">
        <v>20</v>
      </c>
      <c r="H601" s="152"/>
      <c r="I601" s="293" t="s">
        <v>21</v>
      </c>
      <c r="J601" s="152"/>
      <c r="K601" s="293" t="s">
        <v>22</v>
      </c>
      <c r="L601" s="152"/>
      <c r="M601" s="196"/>
      <c r="N601" s="155"/>
    </row>
    <row r="602" ht="22.5" customHeight="1">
      <c r="A602" s="368"/>
      <c r="B602" s="197"/>
      <c r="C602" s="144"/>
      <c r="D602" s="144"/>
      <c r="E602" s="159" t="s">
        <v>18</v>
      </c>
      <c r="F602" s="144"/>
      <c r="G602" s="159" t="s">
        <v>20</v>
      </c>
      <c r="H602" s="144"/>
      <c r="I602" s="287" t="s">
        <v>21</v>
      </c>
      <c r="J602" s="144"/>
      <c r="K602" s="287" t="s">
        <v>22</v>
      </c>
      <c r="L602" s="144"/>
      <c r="M602" s="197"/>
      <c r="N602" s="147"/>
    </row>
    <row r="603" ht="22.5" customHeight="1">
      <c r="A603" s="270"/>
      <c r="B603" s="196"/>
      <c r="C603" s="152"/>
      <c r="D603" s="152"/>
      <c r="E603" s="158" t="s">
        <v>18</v>
      </c>
      <c r="F603" s="152"/>
      <c r="G603" s="158" t="s">
        <v>20</v>
      </c>
      <c r="H603" s="152"/>
      <c r="I603" s="293" t="s">
        <v>21</v>
      </c>
      <c r="J603" s="152"/>
      <c r="K603" s="293" t="s">
        <v>22</v>
      </c>
      <c r="L603" s="152"/>
      <c r="M603" s="196"/>
      <c r="N603" s="155"/>
    </row>
    <row r="604" ht="22.5" customHeight="1">
      <c r="A604" s="368"/>
      <c r="B604" s="197"/>
      <c r="C604" s="144"/>
      <c r="D604" s="144"/>
      <c r="E604" s="159" t="s">
        <v>18</v>
      </c>
      <c r="F604" s="144"/>
      <c r="G604" s="159" t="s">
        <v>20</v>
      </c>
      <c r="H604" s="144"/>
      <c r="I604" s="287" t="s">
        <v>21</v>
      </c>
      <c r="J604" s="144"/>
      <c r="K604" s="287" t="s">
        <v>22</v>
      </c>
      <c r="L604" s="144"/>
      <c r="M604" s="197"/>
      <c r="N604" s="147"/>
    </row>
    <row r="605" ht="22.5" customHeight="1">
      <c r="A605" s="270"/>
      <c r="B605" s="196"/>
      <c r="C605" s="152"/>
      <c r="D605" s="152"/>
      <c r="E605" s="158" t="s">
        <v>18</v>
      </c>
      <c r="F605" s="152"/>
      <c r="G605" s="158" t="s">
        <v>20</v>
      </c>
      <c r="H605" s="152"/>
      <c r="I605" s="293" t="s">
        <v>21</v>
      </c>
      <c r="J605" s="152"/>
      <c r="K605" s="293" t="s">
        <v>22</v>
      </c>
      <c r="L605" s="482"/>
      <c r="M605" s="196"/>
      <c r="N605" s="155"/>
    </row>
    <row r="606" ht="22.5" customHeight="1">
      <c r="A606" s="368"/>
      <c r="B606" s="197"/>
      <c r="C606" s="144"/>
      <c r="D606" s="144"/>
      <c r="E606" s="159" t="s">
        <v>18</v>
      </c>
      <c r="F606" s="144"/>
      <c r="G606" s="159" t="s">
        <v>20</v>
      </c>
      <c r="H606" s="144"/>
      <c r="I606" s="287" t="s">
        <v>21</v>
      </c>
      <c r="J606" s="144"/>
      <c r="K606" s="287" t="s">
        <v>22</v>
      </c>
      <c r="L606" s="144"/>
      <c r="M606" s="197"/>
      <c r="N606" s="147"/>
    </row>
    <row r="607" ht="22.5" customHeight="1">
      <c r="A607" s="270"/>
      <c r="B607" s="196"/>
      <c r="C607" s="152"/>
      <c r="D607" s="152"/>
      <c r="E607" s="158" t="s">
        <v>18</v>
      </c>
      <c r="F607" s="152"/>
      <c r="G607" s="158" t="s">
        <v>20</v>
      </c>
      <c r="H607" s="152"/>
      <c r="I607" s="293" t="s">
        <v>21</v>
      </c>
      <c r="J607" s="152"/>
      <c r="K607" s="293" t="s">
        <v>22</v>
      </c>
      <c r="L607" s="152"/>
      <c r="M607" s="196"/>
      <c r="N607" s="155"/>
    </row>
    <row r="608" ht="22.5" customHeight="1">
      <c r="A608" s="368"/>
      <c r="B608" s="197"/>
      <c r="C608" s="144"/>
      <c r="D608" s="144"/>
      <c r="E608" s="159" t="s">
        <v>18</v>
      </c>
      <c r="F608" s="144"/>
      <c r="G608" s="159" t="s">
        <v>20</v>
      </c>
      <c r="H608" s="144"/>
      <c r="I608" s="287" t="s">
        <v>21</v>
      </c>
      <c r="J608" s="144"/>
      <c r="K608" s="287" t="s">
        <v>22</v>
      </c>
      <c r="L608" s="144"/>
      <c r="M608" s="197"/>
      <c r="N608" s="147"/>
    </row>
    <row r="609" ht="22.5" customHeight="1">
      <c r="A609" s="270"/>
      <c r="B609" s="196"/>
      <c r="C609" s="152"/>
      <c r="D609" s="152"/>
      <c r="E609" s="158" t="s">
        <v>18</v>
      </c>
      <c r="F609" s="152"/>
      <c r="G609" s="158" t="s">
        <v>20</v>
      </c>
      <c r="H609" s="152"/>
      <c r="I609" s="293" t="s">
        <v>21</v>
      </c>
      <c r="J609" s="152"/>
      <c r="K609" s="293" t="s">
        <v>22</v>
      </c>
      <c r="L609" s="152"/>
      <c r="M609" s="196"/>
      <c r="N609" s="155"/>
    </row>
    <row r="610" ht="22.5" customHeight="1">
      <c r="A610" s="368"/>
      <c r="B610" s="197"/>
      <c r="C610" s="144"/>
      <c r="D610" s="144"/>
      <c r="E610" s="159" t="s">
        <v>18</v>
      </c>
      <c r="F610" s="144"/>
      <c r="G610" s="159" t="s">
        <v>20</v>
      </c>
      <c r="H610" s="144"/>
      <c r="I610" s="287" t="s">
        <v>21</v>
      </c>
      <c r="J610" s="144"/>
      <c r="K610" s="287" t="s">
        <v>22</v>
      </c>
      <c r="L610" s="144"/>
      <c r="M610" s="197"/>
      <c r="N610" s="147"/>
    </row>
    <row r="611" ht="22.5" customHeight="1">
      <c r="A611" s="270"/>
      <c r="B611" s="196"/>
      <c r="C611" s="152"/>
      <c r="D611" s="152"/>
      <c r="E611" s="158" t="s">
        <v>18</v>
      </c>
      <c r="F611" s="152"/>
      <c r="G611" s="158" t="s">
        <v>20</v>
      </c>
      <c r="H611" s="152"/>
      <c r="I611" s="293" t="s">
        <v>21</v>
      </c>
      <c r="J611" s="152"/>
      <c r="K611" s="293" t="s">
        <v>22</v>
      </c>
      <c r="L611" s="152"/>
      <c r="M611" s="196"/>
      <c r="N611" s="155"/>
    </row>
    <row r="612" ht="22.5" customHeight="1">
      <c r="A612" s="368"/>
      <c r="B612" s="197"/>
      <c r="C612" s="144"/>
      <c r="D612" s="144"/>
      <c r="E612" s="159" t="s">
        <v>18</v>
      </c>
      <c r="F612" s="144"/>
      <c r="G612" s="159" t="s">
        <v>20</v>
      </c>
      <c r="H612" s="144"/>
      <c r="I612" s="287" t="s">
        <v>21</v>
      </c>
      <c r="J612" s="144"/>
      <c r="K612" s="287" t="s">
        <v>22</v>
      </c>
      <c r="L612" s="144"/>
      <c r="M612" s="197"/>
      <c r="N612" s="147"/>
    </row>
    <row r="613" ht="22.5" customHeight="1">
      <c r="A613" s="270"/>
      <c r="B613" s="196"/>
      <c r="C613" s="152"/>
      <c r="D613" s="152"/>
      <c r="E613" s="158" t="s">
        <v>18</v>
      </c>
      <c r="F613" s="152"/>
      <c r="G613" s="158" t="s">
        <v>20</v>
      </c>
      <c r="H613" s="152"/>
      <c r="I613" s="293" t="s">
        <v>21</v>
      </c>
      <c r="J613" s="152"/>
      <c r="K613" s="293" t="s">
        <v>22</v>
      </c>
      <c r="L613" s="152"/>
      <c r="M613" s="196"/>
      <c r="N613" s="155"/>
    </row>
    <row r="614" ht="22.5" customHeight="1">
      <c r="A614" s="368"/>
      <c r="B614" s="197"/>
      <c r="C614" s="144"/>
      <c r="D614" s="144"/>
      <c r="E614" s="159" t="s">
        <v>18</v>
      </c>
      <c r="F614" s="144"/>
      <c r="G614" s="159" t="s">
        <v>20</v>
      </c>
      <c r="H614" s="144"/>
      <c r="I614" s="287" t="s">
        <v>21</v>
      </c>
      <c r="J614" s="144"/>
      <c r="K614" s="287" t="s">
        <v>22</v>
      </c>
      <c r="L614" s="483"/>
      <c r="M614" s="197"/>
      <c r="N614" s="147"/>
    </row>
    <row r="615" ht="22.5" customHeight="1">
      <c r="A615" s="270"/>
      <c r="B615" s="196"/>
      <c r="C615" s="152"/>
      <c r="D615" s="152"/>
      <c r="E615" s="158" t="s">
        <v>18</v>
      </c>
      <c r="F615" s="152"/>
      <c r="G615" s="158" t="s">
        <v>20</v>
      </c>
      <c r="H615" s="152"/>
      <c r="I615" s="293" t="s">
        <v>21</v>
      </c>
      <c r="J615" s="152"/>
      <c r="K615" s="293" t="s">
        <v>22</v>
      </c>
      <c r="L615" s="152"/>
      <c r="M615" s="196"/>
      <c r="N615" s="155"/>
    </row>
    <row r="616" ht="22.5" customHeight="1">
      <c r="A616" s="368"/>
      <c r="B616" s="197"/>
      <c r="C616" s="144"/>
      <c r="D616" s="144"/>
      <c r="E616" s="159" t="s">
        <v>18</v>
      </c>
      <c r="F616" s="144"/>
      <c r="G616" s="159" t="s">
        <v>20</v>
      </c>
      <c r="H616" s="144"/>
      <c r="I616" s="287" t="s">
        <v>21</v>
      </c>
      <c r="J616" s="144"/>
      <c r="K616" s="287" t="s">
        <v>22</v>
      </c>
      <c r="L616" s="144"/>
      <c r="M616" s="197"/>
      <c r="N616" s="147"/>
    </row>
    <row r="617" ht="22.5" customHeight="1">
      <c r="A617" s="270"/>
      <c r="B617" s="196"/>
      <c r="C617" s="152"/>
      <c r="D617" s="152"/>
      <c r="E617" s="158" t="s">
        <v>18</v>
      </c>
      <c r="F617" s="152"/>
      <c r="G617" s="158" t="s">
        <v>20</v>
      </c>
      <c r="H617" s="152"/>
      <c r="I617" s="293" t="s">
        <v>21</v>
      </c>
      <c r="J617" s="152"/>
      <c r="K617" s="293" t="s">
        <v>22</v>
      </c>
      <c r="L617" s="152"/>
      <c r="M617" s="196"/>
      <c r="N617" s="155"/>
    </row>
    <row r="618" ht="22.5" customHeight="1">
      <c r="A618" s="368"/>
      <c r="B618" s="197"/>
      <c r="C618" s="144"/>
      <c r="D618" s="144"/>
      <c r="E618" s="159" t="s">
        <v>18</v>
      </c>
      <c r="F618" s="144"/>
      <c r="G618" s="159" t="s">
        <v>20</v>
      </c>
      <c r="H618" s="144"/>
      <c r="I618" s="287" t="s">
        <v>21</v>
      </c>
      <c r="J618" s="144"/>
      <c r="K618" s="287" t="s">
        <v>22</v>
      </c>
      <c r="L618" s="144"/>
      <c r="M618" s="197"/>
      <c r="N618" s="147"/>
    </row>
    <row r="619" ht="22.5" customHeight="1">
      <c r="A619" s="270"/>
      <c r="B619" s="196"/>
      <c r="C619" s="152"/>
      <c r="D619" s="152"/>
      <c r="E619" s="158" t="s">
        <v>18</v>
      </c>
      <c r="F619" s="152"/>
      <c r="G619" s="158" t="s">
        <v>20</v>
      </c>
      <c r="H619" s="152"/>
      <c r="I619" s="293" t="s">
        <v>21</v>
      </c>
      <c r="J619" s="152"/>
      <c r="K619" s="293" t="s">
        <v>22</v>
      </c>
      <c r="L619" s="152"/>
      <c r="M619" s="196"/>
      <c r="N619" s="155"/>
    </row>
    <row r="620" ht="22.5" customHeight="1">
      <c r="A620" s="368"/>
      <c r="B620" s="197"/>
      <c r="C620" s="144"/>
      <c r="D620" s="144"/>
      <c r="E620" s="159" t="s">
        <v>18</v>
      </c>
      <c r="F620" s="144"/>
      <c r="G620" s="159" t="s">
        <v>20</v>
      </c>
      <c r="H620" s="144"/>
      <c r="I620" s="287" t="s">
        <v>21</v>
      </c>
      <c r="J620" s="144"/>
      <c r="K620" s="287" t="s">
        <v>22</v>
      </c>
      <c r="L620" s="144"/>
      <c r="M620" s="197"/>
      <c r="N620" s="147"/>
    </row>
    <row r="621" ht="22.5" customHeight="1">
      <c r="A621" s="270"/>
      <c r="B621" s="196"/>
      <c r="C621" s="152"/>
      <c r="D621" s="152"/>
      <c r="E621" s="158" t="s">
        <v>18</v>
      </c>
      <c r="F621" s="152"/>
      <c r="G621" s="158" t="s">
        <v>20</v>
      </c>
      <c r="H621" s="152"/>
      <c r="I621" s="293" t="s">
        <v>21</v>
      </c>
      <c r="J621" s="152"/>
      <c r="K621" s="293" t="s">
        <v>22</v>
      </c>
      <c r="L621" s="152"/>
      <c r="M621" s="196"/>
      <c r="N621" s="155"/>
    </row>
    <row r="622" ht="22.5" customHeight="1">
      <c r="A622" s="368"/>
      <c r="B622" s="197"/>
      <c r="C622" s="144"/>
      <c r="D622" s="144"/>
      <c r="E622" s="159" t="s">
        <v>18</v>
      </c>
      <c r="F622" s="144"/>
      <c r="G622" s="159" t="s">
        <v>20</v>
      </c>
      <c r="H622" s="144"/>
      <c r="I622" s="287" t="s">
        <v>21</v>
      </c>
      <c r="J622" s="144"/>
      <c r="K622" s="287" t="s">
        <v>22</v>
      </c>
      <c r="L622" s="483"/>
      <c r="M622" s="197"/>
      <c r="N622" s="147"/>
    </row>
    <row r="623" ht="22.5" customHeight="1">
      <c r="A623" s="270"/>
      <c r="B623" s="196"/>
      <c r="C623" s="152"/>
      <c r="D623" s="152"/>
      <c r="E623" s="158" t="s">
        <v>18</v>
      </c>
      <c r="F623" s="152"/>
      <c r="G623" s="158" t="s">
        <v>20</v>
      </c>
      <c r="H623" s="152"/>
      <c r="I623" s="293" t="s">
        <v>21</v>
      </c>
      <c r="J623" s="152"/>
      <c r="K623" s="293" t="s">
        <v>22</v>
      </c>
      <c r="L623" s="152"/>
      <c r="M623" s="196"/>
      <c r="N623" s="155"/>
    </row>
    <row r="624" ht="22.5" customHeight="1">
      <c r="A624" s="368"/>
      <c r="B624" s="197"/>
      <c r="C624" s="144"/>
      <c r="D624" s="144"/>
      <c r="E624" s="159" t="s">
        <v>18</v>
      </c>
      <c r="F624" s="144"/>
      <c r="G624" s="159" t="s">
        <v>20</v>
      </c>
      <c r="H624" s="144"/>
      <c r="I624" s="287" t="s">
        <v>21</v>
      </c>
      <c r="J624" s="144"/>
      <c r="K624" s="287" t="s">
        <v>22</v>
      </c>
      <c r="L624" s="144"/>
      <c r="M624" s="197"/>
      <c r="N624" s="147"/>
    </row>
    <row r="625" ht="22.5" customHeight="1">
      <c r="A625" s="270"/>
      <c r="B625" s="196"/>
      <c r="C625" s="152"/>
      <c r="D625" s="152"/>
      <c r="E625" s="158" t="s">
        <v>18</v>
      </c>
      <c r="F625" s="152"/>
      <c r="G625" s="158" t="s">
        <v>20</v>
      </c>
      <c r="H625" s="152"/>
      <c r="I625" s="293" t="s">
        <v>21</v>
      </c>
      <c r="J625" s="152"/>
      <c r="K625" s="293" t="s">
        <v>22</v>
      </c>
      <c r="L625" s="152"/>
      <c r="M625" s="196"/>
      <c r="N625" s="155"/>
    </row>
    <row r="626" ht="22.5" customHeight="1">
      <c r="A626" s="368"/>
      <c r="B626" s="197"/>
      <c r="C626" s="144"/>
      <c r="D626" s="144"/>
      <c r="E626" s="159" t="s">
        <v>18</v>
      </c>
      <c r="F626" s="144"/>
      <c r="G626" s="159" t="s">
        <v>20</v>
      </c>
      <c r="H626" s="144"/>
      <c r="I626" s="287" t="s">
        <v>21</v>
      </c>
      <c r="J626" s="144"/>
      <c r="K626" s="287" t="s">
        <v>22</v>
      </c>
      <c r="L626" s="144"/>
      <c r="M626" s="197"/>
      <c r="N626" s="147"/>
    </row>
    <row r="627" ht="22.5" customHeight="1">
      <c r="A627" s="270"/>
      <c r="B627" s="196"/>
      <c r="C627" s="152"/>
      <c r="D627" s="152"/>
      <c r="E627" s="158" t="s">
        <v>18</v>
      </c>
      <c r="F627" s="152"/>
      <c r="G627" s="158" t="s">
        <v>20</v>
      </c>
      <c r="H627" s="152"/>
      <c r="I627" s="293" t="s">
        <v>21</v>
      </c>
      <c r="J627" s="152"/>
      <c r="K627" s="293" t="s">
        <v>22</v>
      </c>
      <c r="L627" s="152"/>
      <c r="M627" s="196"/>
      <c r="N627" s="155"/>
    </row>
    <row r="628" ht="22.5" customHeight="1">
      <c r="A628" s="368"/>
      <c r="B628" s="197"/>
      <c r="C628" s="144"/>
      <c r="D628" s="144"/>
      <c r="E628" s="159" t="s">
        <v>18</v>
      </c>
      <c r="F628" s="144"/>
      <c r="G628" s="159" t="s">
        <v>20</v>
      </c>
      <c r="H628" s="144"/>
      <c r="I628" s="287" t="s">
        <v>21</v>
      </c>
      <c r="J628" s="144"/>
      <c r="K628" s="287" t="s">
        <v>22</v>
      </c>
      <c r="L628" s="144"/>
      <c r="M628" s="197"/>
      <c r="N628" s="147"/>
    </row>
    <row r="629" ht="22.5" customHeight="1">
      <c r="A629" s="270"/>
      <c r="B629" s="196"/>
      <c r="C629" s="152"/>
      <c r="D629" s="152"/>
      <c r="E629" s="158" t="s">
        <v>18</v>
      </c>
      <c r="F629" s="152"/>
      <c r="G629" s="158" t="s">
        <v>20</v>
      </c>
      <c r="H629" s="152"/>
      <c r="I629" s="293" t="s">
        <v>21</v>
      </c>
      <c r="J629" s="152"/>
      <c r="K629" s="293" t="s">
        <v>22</v>
      </c>
      <c r="L629" s="152"/>
      <c r="M629" s="196"/>
      <c r="N629" s="155"/>
    </row>
    <row r="630" ht="22.5" customHeight="1">
      <c r="A630" s="368"/>
      <c r="B630" s="197"/>
      <c r="C630" s="144"/>
      <c r="D630" s="144"/>
      <c r="E630" s="159" t="s">
        <v>18</v>
      </c>
      <c r="F630" s="144"/>
      <c r="G630" s="159" t="s">
        <v>20</v>
      </c>
      <c r="H630" s="144"/>
      <c r="I630" s="287" t="s">
        <v>21</v>
      </c>
      <c r="J630" s="144"/>
      <c r="K630" s="287" t="s">
        <v>22</v>
      </c>
      <c r="L630" s="144"/>
      <c r="M630" s="197"/>
      <c r="N630" s="147"/>
    </row>
    <row r="631" ht="22.5" customHeight="1">
      <c r="A631" s="270"/>
      <c r="B631" s="196"/>
      <c r="C631" s="152"/>
      <c r="D631" s="152"/>
      <c r="E631" s="158" t="s">
        <v>18</v>
      </c>
      <c r="F631" s="152"/>
      <c r="G631" s="158" t="s">
        <v>20</v>
      </c>
      <c r="H631" s="152"/>
      <c r="I631" s="293" t="s">
        <v>21</v>
      </c>
      <c r="J631" s="152"/>
      <c r="K631" s="293" t="s">
        <v>22</v>
      </c>
      <c r="L631" s="482"/>
      <c r="M631" s="196"/>
      <c r="N631" s="155"/>
    </row>
    <row r="632" ht="22.5" customHeight="1">
      <c r="A632" s="368"/>
      <c r="B632" s="197"/>
      <c r="C632" s="144"/>
      <c r="D632" s="144"/>
      <c r="E632" s="159" t="s">
        <v>18</v>
      </c>
      <c r="F632" s="144"/>
      <c r="G632" s="159" t="s">
        <v>20</v>
      </c>
      <c r="H632" s="144"/>
      <c r="I632" s="287" t="s">
        <v>21</v>
      </c>
      <c r="J632" s="144"/>
      <c r="K632" s="287" t="s">
        <v>22</v>
      </c>
      <c r="L632" s="144"/>
      <c r="M632" s="197"/>
      <c r="N632" s="147"/>
    </row>
    <row r="633" ht="22.5" customHeight="1">
      <c r="A633" s="270"/>
      <c r="B633" s="196"/>
      <c r="C633" s="152"/>
      <c r="D633" s="152"/>
      <c r="E633" s="158" t="s">
        <v>18</v>
      </c>
      <c r="F633" s="152"/>
      <c r="G633" s="158" t="s">
        <v>20</v>
      </c>
      <c r="H633" s="152"/>
      <c r="I633" s="293" t="s">
        <v>21</v>
      </c>
      <c r="J633" s="152"/>
      <c r="K633" s="293" t="s">
        <v>22</v>
      </c>
      <c r="L633" s="482"/>
      <c r="M633" s="196"/>
      <c r="N633" s="155"/>
    </row>
    <row r="634" ht="22.5" customHeight="1">
      <c r="A634" s="368"/>
      <c r="B634" s="197"/>
      <c r="C634" s="144"/>
      <c r="D634" s="144"/>
      <c r="E634" s="159" t="s">
        <v>18</v>
      </c>
      <c r="F634" s="144"/>
      <c r="G634" s="159" t="s">
        <v>20</v>
      </c>
      <c r="H634" s="144"/>
      <c r="I634" s="287" t="s">
        <v>21</v>
      </c>
      <c r="J634" s="144"/>
      <c r="K634" s="287" t="s">
        <v>22</v>
      </c>
      <c r="L634" s="483"/>
      <c r="M634" s="197"/>
      <c r="N634" s="147"/>
    </row>
    <row r="635" ht="22.5" customHeight="1">
      <c r="A635" s="270"/>
      <c r="B635" s="196"/>
      <c r="C635" s="152"/>
      <c r="D635" s="152"/>
      <c r="E635" s="158" t="s">
        <v>18</v>
      </c>
      <c r="F635" s="152"/>
      <c r="G635" s="158" t="s">
        <v>20</v>
      </c>
      <c r="H635" s="152"/>
      <c r="I635" s="293" t="s">
        <v>21</v>
      </c>
      <c r="J635" s="152"/>
      <c r="K635" s="293" t="s">
        <v>22</v>
      </c>
      <c r="L635" s="152"/>
      <c r="M635" s="196"/>
      <c r="N635" s="155"/>
    </row>
    <row r="636" ht="22.5" customHeight="1">
      <c r="A636" s="368"/>
      <c r="B636" s="197"/>
      <c r="C636" s="144"/>
      <c r="D636" s="144"/>
      <c r="E636" s="159" t="s">
        <v>18</v>
      </c>
      <c r="F636" s="144"/>
      <c r="G636" s="159" t="s">
        <v>20</v>
      </c>
      <c r="H636" s="144"/>
      <c r="I636" s="287" t="s">
        <v>21</v>
      </c>
      <c r="J636" s="144"/>
      <c r="K636" s="287" t="s">
        <v>22</v>
      </c>
      <c r="L636" s="144"/>
      <c r="M636" s="197"/>
      <c r="N636" s="147"/>
    </row>
    <row r="637" ht="22.5" customHeight="1">
      <c r="A637" s="270"/>
      <c r="B637" s="196"/>
      <c r="C637" s="152"/>
      <c r="D637" s="152"/>
      <c r="E637" s="158" t="s">
        <v>18</v>
      </c>
      <c r="F637" s="152"/>
      <c r="G637" s="158" t="s">
        <v>20</v>
      </c>
      <c r="H637" s="152"/>
      <c r="I637" s="293" t="s">
        <v>21</v>
      </c>
      <c r="J637" s="152"/>
      <c r="K637" s="293" t="s">
        <v>22</v>
      </c>
      <c r="L637" s="482"/>
      <c r="M637" s="196"/>
      <c r="N637" s="155"/>
    </row>
    <row r="638" ht="22.5" customHeight="1">
      <c r="A638" s="368"/>
      <c r="B638" s="197"/>
      <c r="C638" s="144"/>
      <c r="D638" s="144"/>
      <c r="E638" s="159" t="s">
        <v>18</v>
      </c>
      <c r="F638" s="144"/>
      <c r="G638" s="159" t="s">
        <v>20</v>
      </c>
      <c r="H638" s="144"/>
      <c r="I638" s="287" t="s">
        <v>21</v>
      </c>
      <c r="J638" s="144"/>
      <c r="K638" s="287" t="s">
        <v>22</v>
      </c>
      <c r="L638" s="144"/>
      <c r="M638" s="197"/>
      <c r="N638" s="147"/>
    </row>
    <row r="639" ht="22.5" customHeight="1">
      <c r="A639" s="270"/>
      <c r="B639" s="196"/>
      <c r="C639" s="152"/>
      <c r="D639" s="152"/>
      <c r="E639" s="158" t="s">
        <v>18</v>
      </c>
      <c r="F639" s="152"/>
      <c r="G639" s="158" t="s">
        <v>20</v>
      </c>
      <c r="H639" s="152"/>
      <c r="I639" s="293" t="s">
        <v>21</v>
      </c>
      <c r="J639" s="152"/>
      <c r="K639" s="293" t="s">
        <v>22</v>
      </c>
      <c r="L639" s="482"/>
      <c r="M639" s="196"/>
      <c r="N639" s="155"/>
    </row>
    <row r="640" ht="22.5" customHeight="1">
      <c r="A640" s="368"/>
      <c r="B640" s="197"/>
      <c r="C640" s="144"/>
      <c r="D640" s="144"/>
      <c r="E640" s="159" t="s">
        <v>18</v>
      </c>
      <c r="F640" s="144"/>
      <c r="G640" s="159" t="s">
        <v>20</v>
      </c>
      <c r="H640" s="144"/>
      <c r="I640" s="287" t="s">
        <v>21</v>
      </c>
      <c r="J640" s="144"/>
      <c r="K640" s="287" t="s">
        <v>22</v>
      </c>
      <c r="L640" s="144"/>
      <c r="M640" s="197"/>
      <c r="N640" s="147"/>
    </row>
    <row r="641" ht="22.5" customHeight="1">
      <c r="A641" s="270"/>
      <c r="B641" s="196"/>
      <c r="C641" s="152"/>
      <c r="D641" s="152"/>
      <c r="E641" s="158" t="s">
        <v>18</v>
      </c>
      <c r="F641" s="152"/>
      <c r="G641" s="158" t="s">
        <v>20</v>
      </c>
      <c r="H641" s="152"/>
      <c r="I641" s="293" t="s">
        <v>21</v>
      </c>
      <c r="J641" s="152"/>
      <c r="K641" s="293" t="s">
        <v>22</v>
      </c>
      <c r="L641" s="152"/>
      <c r="M641" s="196"/>
      <c r="N641" s="155"/>
    </row>
    <row r="642" ht="22.5" customHeight="1">
      <c r="A642" s="368"/>
      <c r="B642" s="197"/>
      <c r="C642" s="144"/>
      <c r="D642" s="144"/>
      <c r="E642" s="159" t="s">
        <v>18</v>
      </c>
      <c r="F642" s="144"/>
      <c r="G642" s="159" t="s">
        <v>20</v>
      </c>
      <c r="H642" s="144"/>
      <c r="I642" s="287" t="s">
        <v>21</v>
      </c>
      <c r="J642" s="144"/>
      <c r="K642" s="287" t="s">
        <v>22</v>
      </c>
      <c r="L642" s="483"/>
      <c r="M642" s="197"/>
      <c r="N642" s="147"/>
    </row>
    <row r="643" ht="22.5" customHeight="1">
      <c r="A643" s="270"/>
      <c r="B643" s="196"/>
      <c r="C643" s="152"/>
      <c r="D643" s="152"/>
      <c r="E643" s="158" t="s">
        <v>18</v>
      </c>
      <c r="F643" s="152"/>
      <c r="G643" s="158" t="s">
        <v>20</v>
      </c>
      <c r="H643" s="152"/>
      <c r="I643" s="293" t="s">
        <v>21</v>
      </c>
      <c r="J643" s="152"/>
      <c r="K643" s="293" t="s">
        <v>22</v>
      </c>
      <c r="L643" s="152"/>
      <c r="M643" s="196"/>
      <c r="N643" s="155"/>
    </row>
    <row r="644" ht="22.5" customHeight="1">
      <c r="A644" s="368"/>
      <c r="B644" s="197"/>
      <c r="C644" s="144"/>
      <c r="D644" s="144"/>
      <c r="E644" s="159" t="s">
        <v>18</v>
      </c>
      <c r="F644" s="144"/>
      <c r="G644" s="159" t="s">
        <v>20</v>
      </c>
      <c r="H644" s="144"/>
      <c r="I644" s="287" t="s">
        <v>21</v>
      </c>
      <c r="J644" s="144"/>
      <c r="K644" s="287" t="s">
        <v>22</v>
      </c>
      <c r="L644" s="144"/>
      <c r="M644" s="197"/>
      <c r="N644" s="147"/>
    </row>
    <row r="645" ht="22.5" customHeight="1">
      <c r="A645" s="270"/>
      <c r="B645" s="196"/>
      <c r="C645" s="152"/>
      <c r="D645" s="152"/>
      <c r="E645" s="158" t="s">
        <v>18</v>
      </c>
      <c r="F645" s="152"/>
      <c r="G645" s="158" t="s">
        <v>20</v>
      </c>
      <c r="H645" s="152"/>
      <c r="I645" s="293" t="s">
        <v>21</v>
      </c>
      <c r="J645" s="152"/>
      <c r="K645" s="293" t="s">
        <v>22</v>
      </c>
      <c r="L645" s="482"/>
      <c r="M645" s="196"/>
      <c r="N645" s="155"/>
    </row>
    <row r="646" ht="22.5" customHeight="1">
      <c r="A646" s="368"/>
      <c r="B646" s="197"/>
      <c r="C646" s="144"/>
      <c r="D646" s="144"/>
      <c r="E646" s="159" t="s">
        <v>18</v>
      </c>
      <c r="F646" s="144"/>
      <c r="G646" s="159" t="s">
        <v>20</v>
      </c>
      <c r="H646" s="144"/>
      <c r="I646" s="287" t="s">
        <v>21</v>
      </c>
      <c r="J646" s="144"/>
      <c r="K646" s="287" t="s">
        <v>22</v>
      </c>
      <c r="L646" s="483"/>
      <c r="M646" s="197"/>
      <c r="N646" s="147"/>
    </row>
    <row r="647" ht="22.5" customHeight="1">
      <c r="A647" s="270"/>
      <c r="B647" s="196"/>
      <c r="C647" s="152"/>
      <c r="D647" s="152"/>
      <c r="E647" s="158" t="s">
        <v>18</v>
      </c>
      <c r="F647" s="152"/>
      <c r="G647" s="158" t="s">
        <v>20</v>
      </c>
      <c r="H647" s="152"/>
      <c r="I647" s="293" t="s">
        <v>21</v>
      </c>
      <c r="J647" s="152"/>
      <c r="K647" s="293" t="s">
        <v>22</v>
      </c>
      <c r="L647" s="152"/>
      <c r="M647" s="196"/>
      <c r="N647" s="155"/>
    </row>
    <row r="648" ht="22.5" customHeight="1">
      <c r="A648" s="368"/>
      <c r="B648" s="197"/>
      <c r="C648" s="144"/>
      <c r="D648" s="144"/>
      <c r="E648" s="159" t="s">
        <v>18</v>
      </c>
      <c r="F648" s="144"/>
      <c r="G648" s="159" t="s">
        <v>20</v>
      </c>
      <c r="H648" s="144"/>
      <c r="I648" s="287" t="s">
        <v>21</v>
      </c>
      <c r="J648" s="144"/>
      <c r="K648" s="287" t="s">
        <v>22</v>
      </c>
      <c r="L648" s="144"/>
      <c r="M648" s="197"/>
      <c r="N648" s="147"/>
    </row>
    <row r="649" ht="22.5" customHeight="1">
      <c r="A649" s="270"/>
      <c r="B649" s="196"/>
      <c r="C649" s="152"/>
      <c r="D649" s="152"/>
      <c r="E649" s="158" t="s">
        <v>18</v>
      </c>
      <c r="F649" s="152"/>
      <c r="G649" s="158" t="s">
        <v>20</v>
      </c>
      <c r="H649" s="152"/>
      <c r="I649" s="293" t="s">
        <v>21</v>
      </c>
      <c r="J649" s="152"/>
      <c r="K649" s="293" t="s">
        <v>22</v>
      </c>
      <c r="L649" s="152"/>
      <c r="M649" s="196"/>
      <c r="N649" s="155"/>
    </row>
    <row r="650" ht="22.5" customHeight="1">
      <c r="A650" s="368"/>
      <c r="B650" s="197"/>
      <c r="C650" s="144"/>
      <c r="D650" s="144"/>
      <c r="E650" s="159" t="s">
        <v>18</v>
      </c>
      <c r="F650" s="144"/>
      <c r="G650" s="159" t="s">
        <v>20</v>
      </c>
      <c r="H650" s="144"/>
      <c r="I650" s="287" t="s">
        <v>21</v>
      </c>
      <c r="J650" s="144"/>
      <c r="K650" s="287" t="s">
        <v>22</v>
      </c>
      <c r="L650" s="144"/>
      <c r="M650" s="197"/>
      <c r="N650" s="147"/>
    </row>
    <row r="651" ht="22.5" customHeight="1">
      <c r="A651" s="270"/>
      <c r="B651" s="196"/>
      <c r="C651" s="152"/>
      <c r="D651" s="152"/>
      <c r="E651" s="158" t="s">
        <v>18</v>
      </c>
      <c r="F651" s="152"/>
      <c r="G651" s="158" t="s">
        <v>20</v>
      </c>
      <c r="H651" s="152"/>
      <c r="I651" s="293" t="s">
        <v>21</v>
      </c>
      <c r="J651" s="152"/>
      <c r="K651" s="293" t="s">
        <v>22</v>
      </c>
      <c r="L651" s="482"/>
      <c r="M651" s="196"/>
      <c r="N651" s="155"/>
    </row>
    <row r="652" ht="22.5" customHeight="1">
      <c r="A652" s="368"/>
      <c r="B652" s="197"/>
      <c r="C652" s="144"/>
      <c r="D652" s="144"/>
      <c r="E652" s="159" t="s">
        <v>18</v>
      </c>
      <c r="F652" s="144"/>
      <c r="G652" s="159" t="s">
        <v>20</v>
      </c>
      <c r="H652" s="144"/>
      <c r="I652" s="287" t="s">
        <v>21</v>
      </c>
      <c r="J652" s="144"/>
      <c r="K652" s="287" t="s">
        <v>22</v>
      </c>
      <c r="L652" s="483"/>
      <c r="M652" s="197"/>
      <c r="N652" s="147"/>
    </row>
    <row r="653" ht="22.5" customHeight="1">
      <c r="A653" s="270"/>
      <c r="B653" s="196"/>
      <c r="C653" s="152"/>
      <c r="D653" s="152"/>
      <c r="E653" s="158" t="s">
        <v>18</v>
      </c>
      <c r="F653" s="152"/>
      <c r="G653" s="158" t="s">
        <v>20</v>
      </c>
      <c r="H653" s="152"/>
      <c r="I653" s="293" t="s">
        <v>21</v>
      </c>
      <c r="J653" s="152"/>
      <c r="K653" s="293" t="s">
        <v>22</v>
      </c>
      <c r="L653" s="152"/>
      <c r="M653" s="196"/>
      <c r="N653" s="155"/>
    </row>
    <row r="654" ht="22.5" customHeight="1">
      <c r="A654" s="368"/>
      <c r="B654" s="197"/>
      <c r="C654" s="144"/>
      <c r="D654" s="144"/>
      <c r="E654" s="159" t="s">
        <v>18</v>
      </c>
      <c r="F654" s="144"/>
      <c r="G654" s="159" t="s">
        <v>20</v>
      </c>
      <c r="H654" s="144"/>
      <c r="I654" s="287" t="s">
        <v>21</v>
      </c>
      <c r="J654" s="144"/>
      <c r="K654" s="287" t="s">
        <v>22</v>
      </c>
      <c r="L654" s="144"/>
      <c r="M654" s="197"/>
      <c r="N654" s="147"/>
    </row>
    <row r="655" ht="22.5" customHeight="1">
      <c r="A655" s="270"/>
      <c r="B655" s="196"/>
      <c r="C655" s="152"/>
      <c r="D655" s="152"/>
      <c r="E655" s="158" t="s">
        <v>18</v>
      </c>
      <c r="F655" s="152"/>
      <c r="G655" s="158" t="s">
        <v>20</v>
      </c>
      <c r="H655" s="152"/>
      <c r="I655" s="293" t="s">
        <v>21</v>
      </c>
      <c r="J655" s="152"/>
      <c r="K655" s="293" t="s">
        <v>22</v>
      </c>
      <c r="L655" s="152"/>
      <c r="M655" s="196"/>
      <c r="N655" s="155"/>
    </row>
    <row r="656" ht="22.5" customHeight="1">
      <c r="A656" s="368"/>
      <c r="B656" s="197"/>
      <c r="C656" s="144"/>
      <c r="D656" s="144"/>
      <c r="E656" s="159" t="s">
        <v>18</v>
      </c>
      <c r="F656" s="144"/>
      <c r="G656" s="159" t="s">
        <v>20</v>
      </c>
      <c r="H656" s="144"/>
      <c r="I656" s="287" t="s">
        <v>21</v>
      </c>
      <c r="J656" s="144"/>
      <c r="K656" s="287" t="s">
        <v>22</v>
      </c>
      <c r="L656" s="144"/>
      <c r="M656" s="197"/>
      <c r="N656" s="147"/>
    </row>
    <row r="657" ht="22.5" customHeight="1">
      <c r="A657" s="270"/>
      <c r="B657" s="196"/>
      <c r="C657" s="152"/>
      <c r="D657" s="152"/>
      <c r="E657" s="158" t="s">
        <v>18</v>
      </c>
      <c r="F657" s="152"/>
      <c r="G657" s="158" t="s">
        <v>20</v>
      </c>
      <c r="H657" s="152"/>
      <c r="I657" s="293" t="s">
        <v>21</v>
      </c>
      <c r="J657" s="152"/>
      <c r="K657" s="293" t="s">
        <v>22</v>
      </c>
      <c r="L657" s="482"/>
      <c r="M657" s="196"/>
      <c r="N657" s="155"/>
    </row>
    <row r="658" ht="22.5" customHeight="1">
      <c r="A658" s="368"/>
      <c r="B658" s="197"/>
      <c r="C658" s="144"/>
      <c r="D658" s="144"/>
      <c r="E658" s="159" t="s">
        <v>18</v>
      </c>
      <c r="F658" s="144"/>
      <c r="G658" s="159" t="s">
        <v>20</v>
      </c>
      <c r="H658" s="144"/>
      <c r="I658" s="287" t="s">
        <v>21</v>
      </c>
      <c r="J658" s="144"/>
      <c r="K658" s="287" t="s">
        <v>22</v>
      </c>
      <c r="L658" s="483"/>
      <c r="M658" s="197"/>
      <c r="N658" s="147"/>
    </row>
    <row r="659" ht="22.5" customHeight="1">
      <c r="A659" s="270"/>
      <c r="B659" s="196"/>
      <c r="C659" s="152"/>
      <c r="D659" s="152"/>
      <c r="E659" s="158" t="s">
        <v>18</v>
      </c>
      <c r="F659" s="152"/>
      <c r="G659" s="158" t="s">
        <v>20</v>
      </c>
      <c r="H659" s="152"/>
      <c r="I659" s="293" t="s">
        <v>21</v>
      </c>
      <c r="J659" s="152"/>
      <c r="K659" s="293" t="s">
        <v>22</v>
      </c>
      <c r="L659" s="152"/>
      <c r="M659" s="196"/>
      <c r="N659" s="155"/>
    </row>
    <row r="660" ht="22.5" customHeight="1">
      <c r="A660" s="368"/>
      <c r="B660" s="197"/>
      <c r="C660" s="144"/>
      <c r="D660" s="144"/>
      <c r="E660" s="159" t="s">
        <v>18</v>
      </c>
      <c r="F660" s="144"/>
      <c r="G660" s="159" t="s">
        <v>20</v>
      </c>
      <c r="H660" s="144"/>
      <c r="I660" s="287" t="s">
        <v>21</v>
      </c>
      <c r="J660" s="144"/>
      <c r="K660" s="287" t="s">
        <v>22</v>
      </c>
      <c r="L660" s="144"/>
      <c r="M660" s="197"/>
      <c r="N660" s="147"/>
    </row>
    <row r="661" ht="22.5" customHeight="1">
      <c r="A661" s="270"/>
      <c r="B661" s="196"/>
      <c r="C661" s="152"/>
      <c r="D661" s="152"/>
      <c r="E661" s="158" t="s">
        <v>18</v>
      </c>
      <c r="F661" s="152"/>
      <c r="G661" s="158" t="s">
        <v>20</v>
      </c>
      <c r="H661" s="152"/>
      <c r="I661" s="293" t="s">
        <v>21</v>
      </c>
      <c r="J661" s="152"/>
      <c r="K661" s="293" t="s">
        <v>22</v>
      </c>
      <c r="L661" s="482"/>
      <c r="M661" s="196"/>
      <c r="N661" s="155"/>
    </row>
    <row r="662" ht="22.5" customHeight="1">
      <c r="A662" s="368"/>
      <c r="B662" s="197"/>
      <c r="C662" s="144"/>
      <c r="D662" s="144"/>
      <c r="E662" s="159" t="s">
        <v>18</v>
      </c>
      <c r="F662" s="144"/>
      <c r="G662" s="159" t="s">
        <v>20</v>
      </c>
      <c r="H662" s="144"/>
      <c r="I662" s="287" t="s">
        <v>21</v>
      </c>
      <c r="J662" s="144"/>
      <c r="K662" s="287" t="s">
        <v>22</v>
      </c>
      <c r="L662" s="144"/>
      <c r="M662" s="197"/>
      <c r="N662" s="147"/>
    </row>
    <row r="663" ht="22.5" customHeight="1">
      <c r="A663" s="270"/>
      <c r="B663" s="196"/>
      <c r="C663" s="152"/>
      <c r="D663" s="152"/>
      <c r="E663" s="158" t="s">
        <v>18</v>
      </c>
      <c r="F663" s="152"/>
      <c r="G663" s="158" t="s">
        <v>20</v>
      </c>
      <c r="H663" s="152"/>
      <c r="I663" s="293" t="s">
        <v>21</v>
      </c>
      <c r="J663" s="152"/>
      <c r="K663" s="293" t="s">
        <v>22</v>
      </c>
      <c r="L663" s="152"/>
      <c r="M663" s="196"/>
      <c r="N663" s="155"/>
    </row>
    <row r="664" ht="22.5" customHeight="1">
      <c r="A664" s="368"/>
      <c r="B664" s="197"/>
      <c r="C664" s="144"/>
      <c r="D664" s="144"/>
      <c r="E664" s="159" t="s">
        <v>18</v>
      </c>
      <c r="F664" s="144"/>
      <c r="G664" s="159" t="s">
        <v>20</v>
      </c>
      <c r="H664" s="144"/>
      <c r="I664" s="287" t="s">
        <v>21</v>
      </c>
      <c r="J664" s="144"/>
      <c r="K664" s="287" t="s">
        <v>22</v>
      </c>
      <c r="L664" s="483"/>
      <c r="M664" s="197"/>
      <c r="N664" s="147"/>
    </row>
    <row r="665" ht="22.5" customHeight="1">
      <c r="A665" s="270"/>
      <c r="B665" s="196"/>
      <c r="C665" s="152"/>
      <c r="D665" s="152"/>
      <c r="E665" s="158" t="s">
        <v>18</v>
      </c>
      <c r="F665" s="152"/>
      <c r="G665" s="158" t="s">
        <v>20</v>
      </c>
      <c r="H665" s="152"/>
      <c r="I665" s="293" t="s">
        <v>21</v>
      </c>
      <c r="J665" s="152"/>
      <c r="K665" s="293" t="s">
        <v>22</v>
      </c>
      <c r="L665" s="482"/>
      <c r="M665" s="196"/>
      <c r="N665" s="155"/>
    </row>
    <row r="666" ht="22.5" customHeight="1">
      <c r="A666" s="368"/>
      <c r="B666" s="197"/>
      <c r="C666" s="144"/>
      <c r="D666" s="144"/>
      <c r="E666" s="159" t="s">
        <v>18</v>
      </c>
      <c r="F666" s="144"/>
      <c r="G666" s="159" t="s">
        <v>20</v>
      </c>
      <c r="H666" s="144"/>
      <c r="I666" s="287" t="s">
        <v>21</v>
      </c>
      <c r="J666" s="144"/>
      <c r="K666" s="287" t="s">
        <v>22</v>
      </c>
      <c r="L666" s="144"/>
      <c r="M666" s="197"/>
      <c r="N666" s="147"/>
    </row>
    <row r="667" ht="22.5" customHeight="1">
      <c r="A667" s="270"/>
      <c r="B667" s="196"/>
      <c r="C667" s="152"/>
      <c r="D667" s="152"/>
      <c r="E667" s="158" t="s">
        <v>18</v>
      </c>
      <c r="F667" s="152"/>
      <c r="G667" s="158" t="s">
        <v>20</v>
      </c>
      <c r="H667" s="152"/>
      <c r="I667" s="293" t="s">
        <v>21</v>
      </c>
      <c r="J667" s="152"/>
      <c r="K667" s="293" t="s">
        <v>22</v>
      </c>
      <c r="L667" s="152"/>
      <c r="M667" s="196"/>
      <c r="N667" s="155"/>
    </row>
    <row r="668" ht="22.5" customHeight="1">
      <c r="A668" s="368"/>
      <c r="B668" s="197"/>
      <c r="C668" s="144"/>
      <c r="D668" s="144"/>
      <c r="E668" s="159" t="s">
        <v>18</v>
      </c>
      <c r="F668" s="144"/>
      <c r="G668" s="159" t="s">
        <v>20</v>
      </c>
      <c r="H668" s="144"/>
      <c r="I668" s="287" t="s">
        <v>21</v>
      </c>
      <c r="J668" s="144"/>
      <c r="K668" s="287" t="s">
        <v>22</v>
      </c>
      <c r="L668" s="144"/>
      <c r="M668" s="197"/>
      <c r="N668" s="147"/>
    </row>
    <row r="669" ht="22.5" customHeight="1">
      <c r="A669" s="270"/>
      <c r="B669" s="196"/>
      <c r="C669" s="152"/>
      <c r="D669" s="152"/>
      <c r="E669" s="158" t="s">
        <v>18</v>
      </c>
      <c r="F669" s="152"/>
      <c r="G669" s="158" t="s">
        <v>20</v>
      </c>
      <c r="H669" s="152"/>
      <c r="I669" s="293" t="s">
        <v>21</v>
      </c>
      <c r="J669" s="152"/>
      <c r="K669" s="293" t="s">
        <v>22</v>
      </c>
      <c r="L669" s="152"/>
      <c r="M669" s="196"/>
      <c r="N669" s="155"/>
    </row>
    <row r="670" ht="22.5" customHeight="1">
      <c r="A670" s="368"/>
      <c r="B670" s="197"/>
      <c r="C670" s="144"/>
      <c r="D670" s="144"/>
      <c r="E670" s="159" t="s">
        <v>18</v>
      </c>
      <c r="F670" s="144"/>
      <c r="G670" s="159" t="s">
        <v>20</v>
      </c>
      <c r="H670" s="144"/>
      <c r="I670" s="287" t="s">
        <v>21</v>
      </c>
      <c r="J670" s="144"/>
      <c r="K670" s="287" t="s">
        <v>22</v>
      </c>
      <c r="L670" s="144"/>
      <c r="M670" s="197"/>
      <c r="N670" s="147"/>
    </row>
    <row r="671" ht="22.5" customHeight="1">
      <c r="A671" s="270"/>
      <c r="B671" s="196"/>
      <c r="C671" s="152"/>
      <c r="D671" s="152"/>
      <c r="E671" s="158" t="s">
        <v>18</v>
      </c>
      <c r="F671" s="152"/>
      <c r="G671" s="158" t="s">
        <v>20</v>
      </c>
      <c r="H671" s="152"/>
      <c r="I671" s="293" t="s">
        <v>21</v>
      </c>
      <c r="J671" s="152"/>
      <c r="K671" s="293" t="s">
        <v>22</v>
      </c>
      <c r="L671" s="152"/>
      <c r="M671" s="196"/>
      <c r="N671" s="155"/>
    </row>
    <row r="672" ht="22.5" customHeight="1">
      <c r="A672" s="368"/>
      <c r="B672" s="197"/>
      <c r="C672" s="144"/>
      <c r="D672" s="144"/>
      <c r="E672" s="159" t="s">
        <v>18</v>
      </c>
      <c r="F672" s="144"/>
      <c r="G672" s="159" t="s">
        <v>20</v>
      </c>
      <c r="H672" s="144"/>
      <c r="I672" s="287" t="s">
        <v>21</v>
      </c>
      <c r="J672" s="144"/>
      <c r="K672" s="287" t="s">
        <v>22</v>
      </c>
      <c r="L672" s="483"/>
      <c r="M672" s="197"/>
      <c r="N672" s="147"/>
    </row>
    <row r="673" ht="22.5" customHeight="1">
      <c r="A673" s="270"/>
      <c r="B673" s="196"/>
      <c r="C673" s="152"/>
      <c r="D673" s="152"/>
      <c r="E673" s="158" t="s">
        <v>18</v>
      </c>
      <c r="F673" s="152"/>
      <c r="G673" s="158" t="s">
        <v>20</v>
      </c>
      <c r="H673" s="152"/>
      <c r="I673" s="293" t="s">
        <v>21</v>
      </c>
      <c r="J673" s="152"/>
      <c r="K673" s="293" t="s">
        <v>22</v>
      </c>
      <c r="L673" s="152"/>
      <c r="M673" s="196"/>
      <c r="N673" s="155"/>
    </row>
    <row r="674" ht="22.5" customHeight="1">
      <c r="A674" s="368"/>
      <c r="B674" s="197"/>
      <c r="C674" s="144"/>
      <c r="D674" s="144"/>
      <c r="E674" s="159" t="s">
        <v>18</v>
      </c>
      <c r="F674" s="144"/>
      <c r="G674" s="159" t="s">
        <v>20</v>
      </c>
      <c r="H674" s="144"/>
      <c r="I674" s="287" t="s">
        <v>21</v>
      </c>
      <c r="J674" s="144"/>
      <c r="K674" s="287" t="s">
        <v>22</v>
      </c>
      <c r="L674" s="483"/>
      <c r="M674" s="197"/>
      <c r="N674" s="147"/>
    </row>
    <row r="675" ht="22.5" customHeight="1">
      <c r="A675" s="270"/>
      <c r="B675" s="196"/>
      <c r="C675" s="152"/>
      <c r="D675" s="152"/>
      <c r="E675" s="158" t="s">
        <v>18</v>
      </c>
      <c r="F675" s="152"/>
      <c r="G675" s="158" t="s">
        <v>20</v>
      </c>
      <c r="H675" s="152"/>
      <c r="I675" s="293" t="s">
        <v>21</v>
      </c>
      <c r="J675" s="152"/>
      <c r="K675" s="293" t="s">
        <v>22</v>
      </c>
      <c r="L675" s="152"/>
      <c r="M675" s="196"/>
      <c r="N675" s="155"/>
    </row>
    <row r="676" ht="22.5" customHeight="1">
      <c r="A676" s="368"/>
      <c r="B676" s="197"/>
      <c r="C676" s="144"/>
      <c r="D676" s="144"/>
      <c r="E676" s="159" t="s">
        <v>18</v>
      </c>
      <c r="F676" s="144"/>
      <c r="G676" s="159" t="s">
        <v>20</v>
      </c>
      <c r="H676" s="144"/>
      <c r="I676" s="287" t="s">
        <v>21</v>
      </c>
      <c r="J676" s="144"/>
      <c r="K676" s="287" t="s">
        <v>22</v>
      </c>
      <c r="L676" s="144"/>
      <c r="M676" s="197"/>
      <c r="N676" s="147"/>
    </row>
    <row r="677" ht="22.5" customHeight="1">
      <c r="A677" s="270"/>
      <c r="B677" s="196"/>
      <c r="C677" s="152"/>
      <c r="D677" s="152"/>
      <c r="E677" s="158" t="s">
        <v>18</v>
      </c>
      <c r="F677" s="152"/>
      <c r="G677" s="158" t="s">
        <v>20</v>
      </c>
      <c r="H677" s="152"/>
      <c r="I677" s="293" t="s">
        <v>21</v>
      </c>
      <c r="J677" s="152"/>
      <c r="K677" s="293" t="s">
        <v>22</v>
      </c>
      <c r="L677" s="482"/>
      <c r="M677" s="196"/>
      <c r="N677" s="155"/>
    </row>
    <row r="678" ht="22.5" customHeight="1">
      <c r="A678" s="368"/>
      <c r="B678" s="197"/>
      <c r="C678" s="144"/>
      <c r="D678" s="144"/>
      <c r="E678" s="159" t="s">
        <v>18</v>
      </c>
      <c r="F678" s="144"/>
      <c r="G678" s="159" t="s">
        <v>20</v>
      </c>
      <c r="H678" s="144"/>
      <c r="I678" s="287" t="s">
        <v>21</v>
      </c>
      <c r="J678" s="144"/>
      <c r="K678" s="287" t="s">
        <v>22</v>
      </c>
      <c r="L678" s="144"/>
      <c r="M678" s="197"/>
      <c r="N678" s="147"/>
    </row>
    <row r="679" ht="22.5" customHeight="1">
      <c r="A679" s="270"/>
      <c r="B679" s="196"/>
      <c r="C679" s="152"/>
      <c r="D679" s="152"/>
      <c r="E679" s="158" t="s">
        <v>18</v>
      </c>
      <c r="F679" s="152"/>
      <c r="G679" s="158" t="s">
        <v>20</v>
      </c>
      <c r="H679" s="152"/>
      <c r="I679" s="293" t="s">
        <v>21</v>
      </c>
      <c r="J679" s="152"/>
      <c r="K679" s="293" t="s">
        <v>22</v>
      </c>
      <c r="L679" s="152"/>
      <c r="M679" s="196"/>
      <c r="N679" s="155"/>
    </row>
    <row r="680" ht="22.5" customHeight="1">
      <c r="A680" s="368"/>
      <c r="B680" s="197"/>
      <c r="C680" s="144"/>
      <c r="D680" s="144"/>
      <c r="E680" s="159" t="s">
        <v>18</v>
      </c>
      <c r="F680" s="144"/>
      <c r="G680" s="159" t="s">
        <v>20</v>
      </c>
      <c r="H680" s="144"/>
      <c r="I680" s="287" t="s">
        <v>21</v>
      </c>
      <c r="J680" s="144"/>
      <c r="K680" s="287" t="s">
        <v>22</v>
      </c>
      <c r="L680" s="144"/>
      <c r="M680" s="197"/>
      <c r="N680" s="147"/>
    </row>
    <row r="681" ht="22.5" customHeight="1">
      <c r="A681" s="270"/>
      <c r="B681" s="196"/>
      <c r="C681" s="152"/>
      <c r="D681" s="152"/>
      <c r="E681" s="158" t="s">
        <v>18</v>
      </c>
      <c r="F681" s="152"/>
      <c r="G681" s="158" t="s">
        <v>20</v>
      </c>
      <c r="H681" s="152"/>
      <c r="I681" s="293" t="s">
        <v>21</v>
      </c>
      <c r="J681" s="152"/>
      <c r="K681" s="293" t="s">
        <v>22</v>
      </c>
      <c r="L681" s="152"/>
      <c r="M681" s="196"/>
      <c r="N681" s="155"/>
    </row>
    <row r="682" ht="22.5" customHeight="1">
      <c r="A682" s="368"/>
      <c r="B682" s="197"/>
      <c r="C682" s="144"/>
      <c r="D682" s="144"/>
      <c r="E682" s="159" t="s">
        <v>18</v>
      </c>
      <c r="F682" s="144"/>
      <c r="G682" s="159" t="s">
        <v>20</v>
      </c>
      <c r="H682" s="144"/>
      <c r="I682" s="287" t="s">
        <v>21</v>
      </c>
      <c r="J682" s="144"/>
      <c r="K682" s="287" t="s">
        <v>22</v>
      </c>
      <c r="L682" s="144"/>
      <c r="M682" s="197"/>
      <c r="N682" s="147"/>
    </row>
    <row r="683" ht="22.5" customHeight="1">
      <c r="A683" s="270"/>
      <c r="B683" s="196"/>
      <c r="C683" s="152"/>
      <c r="D683" s="152"/>
      <c r="E683" s="158" t="s">
        <v>18</v>
      </c>
      <c r="F683" s="152"/>
      <c r="G683" s="158" t="s">
        <v>20</v>
      </c>
      <c r="H683" s="152"/>
      <c r="I683" s="293" t="s">
        <v>21</v>
      </c>
      <c r="J683" s="152"/>
      <c r="K683" s="293" t="s">
        <v>22</v>
      </c>
      <c r="L683" s="152"/>
      <c r="M683" s="196"/>
      <c r="N683" s="155"/>
    </row>
    <row r="684" ht="22.5" customHeight="1">
      <c r="A684" s="368"/>
      <c r="B684" s="197"/>
      <c r="C684" s="144"/>
      <c r="D684" s="144"/>
      <c r="E684" s="159" t="s">
        <v>18</v>
      </c>
      <c r="F684" s="144"/>
      <c r="G684" s="159" t="s">
        <v>20</v>
      </c>
      <c r="H684" s="144"/>
      <c r="I684" s="287" t="s">
        <v>21</v>
      </c>
      <c r="J684" s="144"/>
      <c r="K684" s="287" t="s">
        <v>22</v>
      </c>
      <c r="L684" s="144"/>
      <c r="M684" s="197"/>
      <c r="N684" s="147"/>
    </row>
    <row r="685" ht="22.5" customHeight="1">
      <c r="A685" s="270"/>
      <c r="B685" s="196"/>
      <c r="C685" s="152"/>
      <c r="D685" s="152"/>
      <c r="E685" s="158" t="s">
        <v>18</v>
      </c>
      <c r="F685" s="152"/>
      <c r="G685" s="158" t="s">
        <v>20</v>
      </c>
      <c r="H685" s="152"/>
      <c r="I685" s="293" t="s">
        <v>21</v>
      </c>
      <c r="J685" s="152"/>
      <c r="K685" s="293" t="s">
        <v>22</v>
      </c>
      <c r="L685" s="152"/>
      <c r="M685" s="196"/>
      <c r="N685" s="155"/>
    </row>
    <row r="686" ht="22.5" customHeight="1">
      <c r="A686" s="368"/>
      <c r="B686" s="197"/>
      <c r="C686" s="144"/>
      <c r="D686" s="144"/>
      <c r="E686" s="159" t="s">
        <v>18</v>
      </c>
      <c r="F686" s="144"/>
      <c r="G686" s="159" t="s">
        <v>20</v>
      </c>
      <c r="H686" s="144"/>
      <c r="I686" s="287" t="s">
        <v>21</v>
      </c>
      <c r="J686" s="144"/>
      <c r="K686" s="287" t="s">
        <v>22</v>
      </c>
      <c r="L686" s="144"/>
      <c r="M686" s="197"/>
      <c r="N686" s="147"/>
    </row>
    <row r="687" ht="22.5" customHeight="1">
      <c r="A687" s="270"/>
      <c r="B687" s="196"/>
      <c r="C687" s="152"/>
      <c r="D687" s="152"/>
      <c r="E687" s="158" t="s">
        <v>18</v>
      </c>
      <c r="F687" s="152"/>
      <c r="G687" s="158" t="s">
        <v>20</v>
      </c>
      <c r="H687" s="152"/>
      <c r="I687" s="293" t="s">
        <v>21</v>
      </c>
      <c r="J687" s="152"/>
      <c r="K687" s="293" t="s">
        <v>22</v>
      </c>
      <c r="L687" s="482"/>
      <c r="M687" s="196"/>
      <c r="N687" s="155"/>
    </row>
    <row r="688" ht="22.5" customHeight="1">
      <c r="A688" s="368"/>
      <c r="B688" s="197"/>
      <c r="C688" s="144"/>
      <c r="D688" s="144"/>
      <c r="E688" s="159" t="s">
        <v>18</v>
      </c>
      <c r="F688" s="144"/>
      <c r="G688" s="159" t="s">
        <v>20</v>
      </c>
      <c r="H688" s="144"/>
      <c r="I688" s="287" t="s">
        <v>21</v>
      </c>
      <c r="J688" s="144"/>
      <c r="K688" s="287" t="s">
        <v>22</v>
      </c>
      <c r="L688" s="483"/>
      <c r="M688" s="197"/>
      <c r="N688" s="147"/>
    </row>
    <row r="689" ht="22.5" customHeight="1">
      <c r="A689" s="270"/>
      <c r="B689" s="196"/>
      <c r="C689" s="152"/>
      <c r="D689" s="152"/>
      <c r="E689" s="158" t="s">
        <v>18</v>
      </c>
      <c r="F689" s="152"/>
      <c r="G689" s="158" t="s">
        <v>20</v>
      </c>
      <c r="H689" s="152"/>
      <c r="I689" s="293" t="s">
        <v>21</v>
      </c>
      <c r="J689" s="152"/>
      <c r="K689" s="293" t="s">
        <v>22</v>
      </c>
      <c r="L689" s="152"/>
      <c r="M689" s="196"/>
      <c r="N689" s="155"/>
    </row>
    <row r="690" ht="22.5" customHeight="1">
      <c r="A690" s="368"/>
      <c r="B690" s="197"/>
      <c r="C690" s="144"/>
      <c r="D690" s="144"/>
      <c r="E690" s="159" t="s">
        <v>18</v>
      </c>
      <c r="F690" s="144"/>
      <c r="G690" s="159" t="s">
        <v>20</v>
      </c>
      <c r="H690" s="144"/>
      <c r="I690" s="287" t="s">
        <v>21</v>
      </c>
      <c r="J690" s="144"/>
      <c r="K690" s="287" t="s">
        <v>22</v>
      </c>
      <c r="L690" s="483"/>
      <c r="M690" s="197"/>
      <c r="N690" s="147"/>
    </row>
    <row r="691" ht="22.5" customHeight="1">
      <c r="A691" s="270"/>
      <c r="B691" s="196"/>
      <c r="C691" s="152"/>
      <c r="D691" s="152"/>
      <c r="E691" s="158" t="s">
        <v>18</v>
      </c>
      <c r="F691" s="152"/>
      <c r="G691" s="158" t="s">
        <v>20</v>
      </c>
      <c r="H691" s="152"/>
      <c r="I691" s="293" t="s">
        <v>21</v>
      </c>
      <c r="J691" s="152"/>
      <c r="K691" s="293" t="s">
        <v>22</v>
      </c>
      <c r="L691" s="152"/>
      <c r="M691" s="196"/>
      <c r="N691" s="155"/>
    </row>
    <row r="692" ht="22.5" customHeight="1">
      <c r="A692" s="368"/>
      <c r="B692" s="197"/>
      <c r="C692" s="144"/>
      <c r="D692" s="144"/>
      <c r="E692" s="159" t="s">
        <v>18</v>
      </c>
      <c r="F692" s="144"/>
      <c r="G692" s="159" t="s">
        <v>20</v>
      </c>
      <c r="H692" s="144"/>
      <c r="I692" s="287" t="s">
        <v>21</v>
      </c>
      <c r="J692" s="144"/>
      <c r="K692" s="287" t="s">
        <v>22</v>
      </c>
      <c r="L692" s="144"/>
      <c r="M692" s="197"/>
      <c r="N692" s="147"/>
    </row>
    <row r="693" ht="22.5" customHeight="1">
      <c r="A693" s="270"/>
      <c r="B693" s="196"/>
      <c r="C693" s="152"/>
      <c r="D693" s="152"/>
      <c r="E693" s="158" t="s">
        <v>18</v>
      </c>
      <c r="F693" s="152"/>
      <c r="G693" s="158" t="s">
        <v>20</v>
      </c>
      <c r="H693" s="152"/>
      <c r="I693" s="293" t="s">
        <v>21</v>
      </c>
      <c r="J693" s="152"/>
      <c r="K693" s="293" t="s">
        <v>22</v>
      </c>
      <c r="L693" s="152"/>
      <c r="M693" s="196"/>
      <c r="N693" s="155"/>
    </row>
    <row r="694" ht="22.5" customHeight="1">
      <c r="A694" s="368"/>
      <c r="B694" s="197"/>
      <c r="C694" s="144"/>
      <c r="D694" s="144"/>
      <c r="E694" s="159" t="s">
        <v>18</v>
      </c>
      <c r="F694" s="144"/>
      <c r="G694" s="159" t="s">
        <v>20</v>
      </c>
      <c r="H694" s="144"/>
      <c r="I694" s="287" t="s">
        <v>21</v>
      </c>
      <c r="J694" s="144"/>
      <c r="K694" s="287" t="s">
        <v>22</v>
      </c>
      <c r="L694" s="144"/>
      <c r="M694" s="197"/>
      <c r="N694" s="147"/>
    </row>
    <row r="695" ht="22.5" customHeight="1">
      <c r="A695" s="270"/>
      <c r="B695" s="196"/>
      <c r="C695" s="152"/>
      <c r="D695" s="152"/>
      <c r="E695" s="158" t="s">
        <v>18</v>
      </c>
      <c r="F695" s="152"/>
      <c r="G695" s="158" t="s">
        <v>20</v>
      </c>
      <c r="H695" s="152"/>
      <c r="I695" s="293" t="s">
        <v>21</v>
      </c>
      <c r="J695" s="152"/>
      <c r="K695" s="293" t="s">
        <v>22</v>
      </c>
      <c r="L695" s="152"/>
      <c r="M695" s="196"/>
      <c r="N695" s="155"/>
    </row>
    <row r="696" ht="22.5" customHeight="1">
      <c r="A696" s="368"/>
      <c r="B696" s="197"/>
      <c r="C696" s="144"/>
      <c r="D696" s="144"/>
      <c r="E696" s="159" t="s">
        <v>18</v>
      </c>
      <c r="F696" s="144"/>
      <c r="G696" s="159" t="s">
        <v>20</v>
      </c>
      <c r="H696" s="144"/>
      <c r="I696" s="287" t="s">
        <v>21</v>
      </c>
      <c r="J696" s="144"/>
      <c r="K696" s="287" t="s">
        <v>22</v>
      </c>
      <c r="L696" s="144"/>
      <c r="M696" s="197"/>
      <c r="N696" s="147"/>
    </row>
    <row r="697" ht="22.5" customHeight="1">
      <c r="A697" s="270"/>
      <c r="B697" s="196"/>
      <c r="C697" s="152"/>
      <c r="D697" s="152"/>
      <c r="E697" s="158" t="s">
        <v>18</v>
      </c>
      <c r="F697" s="152"/>
      <c r="G697" s="158" t="s">
        <v>20</v>
      </c>
      <c r="H697" s="152"/>
      <c r="I697" s="293" t="s">
        <v>21</v>
      </c>
      <c r="J697" s="152"/>
      <c r="K697" s="293" t="s">
        <v>22</v>
      </c>
      <c r="L697" s="152"/>
      <c r="M697" s="196"/>
      <c r="N697" s="155"/>
    </row>
    <row r="698" ht="22.5" customHeight="1">
      <c r="A698" s="368"/>
      <c r="B698" s="197"/>
      <c r="C698" s="144"/>
      <c r="D698" s="144"/>
      <c r="E698" s="159" t="s">
        <v>18</v>
      </c>
      <c r="F698" s="144"/>
      <c r="G698" s="159" t="s">
        <v>20</v>
      </c>
      <c r="H698" s="144"/>
      <c r="I698" s="287" t="s">
        <v>21</v>
      </c>
      <c r="J698" s="144"/>
      <c r="K698" s="287" t="s">
        <v>22</v>
      </c>
      <c r="L698" s="483"/>
      <c r="M698" s="197"/>
      <c r="N698" s="147"/>
    </row>
    <row r="699" ht="22.5" customHeight="1">
      <c r="A699" s="270"/>
      <c r="B699" s="196"/>
      <c r="C699" s="152"/>
      <c r="D699" s="152"/>
      <c r="E699" s="158" t="s">
        <v>18</v>
      </c>
      <c r="F699" s="152"/>
      <c r="G699" s="158" t="s">
        <v>20</v>
      </c>
      <c r="H699" s="152"/>
      <c r="I699" s="293" t="s">
        <v>21</v>
      </c>
      <c r="J699" s="152"/>
      <c r="K699" s="293" t="s">
        <v>22</v>
      </c>
      <c r="L699" s="152"/>
      <c r="M699" s="196"/>
      <c r="N699" s="155"/>
    </row>
    <row r="700" ht="22.5" customHeight="1">
      <c r="A700" s="368"/>
      <c r="B700" s="197"/>
      <c r="C700" s="144"/>
      <c r="D700" s="144"/>
      <c r="E700" s="159" t="s">
        <v>18</v>
      </c>
      <c r="F700" s="144"/>
      <c r="G700" s="159" t="s">
        <v>20</v>
      </c>
      <c r="H700" s="144"/>
      <c r="I700" s="287" t="s">
        <v>21</v>
      </c>
      <c r="J700" s="144"/>
      <c r="K700" s="287" t="s">
        <v>22</v>
      </c>
      <c r="L700" s="144"/>
      <c r="M700" s="197"/>
      <c r="N700" s="147"/>
    </row>
    <row r="701" ht="22.5" customHeight="1">
      <c r="A701" s="270"/>
      <c r="B701" s="196"/>
      <c r="C701" s="152"/>
      <c r="D701" s="152"/>
      <c r="E701" s="158" t="s">
        <v>18</v>
      </c>
      <c r="F701" s="152"/>
      <c r="G701" s="158" t="s">
        <v>20</v>
      </c>
      <c r="H701" s="152"/>
      <c r="I701" s="293" t="s">
        <v>21</v>
      </c>
      <c r="J701" s="152"/>
      <c r="K701" s="293" t="s">
        <v>22</v>
      </c>
      <c r="L701" s="152"/>
      <c r="M701" s="196"/>
      <c r="N701" s="155"/>
    </row>
    <row r="702" ht="22.5" customHeight="1">
      <c r="A702" s="368"/>
      <c r="B702" s="197"/>
      <c r="C702" s="144"/>
      <c r="D702" s="144"/>
      <c r="E702" s="159" t="s">
        <v>18</v>
      </c>
      <c r="F702" s="144"/>
      <c r="G702" s="159" t="s">
        <v>20</v>
      </c>
      <c r="H702" s="144"/>
      <c r="I702" s="287" t="s">
        <v>21</v>
      </c>
      <c r="J702" s="144"/>
      <c r="K702" s="287" t="s">
        <v>22</v>
      </c>
      <c r="L702" s="144"/>
      <c r="M702" s="197"/>
      <c r="N702" s="147"/>
    </row>
    <row r="703" ht="22.5" customHeight="1">
      <c r="A703" s="270"/>
      <c r="B703" s="196"/>
      <c r="C703" s="152"/>
      <c r="D703" s="152"/>
      <c r="E703" s="158" t="s">
        <v>18</v>
      </c>
      <c r="F703" s="152"/>
      <c r="G703" s="158" t="s">
        <v>20</v>
      </c>
      <c r="H703" s="152"/>
      <c r="I703" s="293" t="s">
        <v>21</v>
      </c>
      <c r="J703" s="152"/>
      <c r="K703" s="293" t="s">
        <v>22</v>
      </c>
      <c r="L703" s="152"/>
      <c r="M703" s="196"/>
      <c r="N703" s="155"/>
    </row>
    <row r="704" ht="22.5" customHeight="1">
      <c r="A704" s="368"/>
      <c r="B704" s="197"/>
      <c r="C704" s="144"/>
      <c r="D704" s="144"/>
      <c r="E704" s="159" t="s">
        <v>18</v>
      </c>
      <c r="F704" s="144"/>
      <c r="G704" s="159" t="s">
        <v>20</v>
      </c>
      <c r="H704" s="144"/>
      <c r="I704" s="287" t="s">
        <v>21</v>
      </c>
      <c r="J704" s="144"/>
      <c r="K704" s="287" t="s">
        <v>22</v>
      </c>
      <c r="L704" s="144"/>
      <c r="M704" s="197"/>
      <c r="N704" s="147"/>
    </row>
    <row r="705" ht="22.5" customHeight="1">
      <c r="A705" s="270"/>
      <c r="B705" s="196"/>
      <c r="C705" s="152"/>
      <c r="D705" s="152"/>
      <c r="E705" s="158" t="s">
        <v>18</v>
      </c>
      <c r="F705" s="152"/>
      <c r="G705" s="158" t="s">
        <v>20</v>
      </c>
      <c r="H705" s="152"/>
      <c r="I705" s="293" t="s">
        <v>21</v>
      </c>
      <c r="J705" s="152"/>
      <c r="K705" s="293" t="s">
        <v>22</v>
      </c>
      <c r="L705" s="482"/>
      <c r="M705" s="196"/>
      <c r="N705" s="155"/>
    </row>
    <row r="706" ht="22.5" customHeight="1">
      <c r="A706" s="368"/>
      <c r="B706" s="197"/>
      <c r="C706" s="144"/>
      <c r="D706" s="144"/>
      <c r="E706" s="159" t="s">
        <v>18</v>
      </c>
      <c r="F706" s="144"/>
      <c r="G706" s="159" t="s">
        <v>20</v>
      </c>
      <c r="H706" s="144"/>
      <c r="I706" s="287" t="s">
        <v>21</v>
      </c>
      <c r="J706" s="144"/>
      <c r="K706" s="287" t="s">
        <v>22</v>
      </c>
      <c r="L706" s="483"/>
      <c r="M706" s="197"/>
      <c r="N706" s="147"/>
    </row>
    <row r="707" ht="22.5" customHeight="1">
      <c r="A707" s="270"/>
      <c r="B707" s="196"/>
      <c r="C707" s="152"/>
      <c r="D707" s="152"/>
      <c r="E707" s="158" t="s">
        <v>18</v>
      </c>
      <c r="F707" s="152"/>
      <c r="G707" s="158" t="s">
        <v>20</v>
      </c>
      <c r="H707" s="152"/>
      <c r="I707" s="293" t="s">
        <v>21</v>
      </c>
      <c r="J707" s="152"/>
      <c r="K707" s="293" t="s">
        <v>22</v>
      </c>
      <c r="L707" s="152"/>
      <c r="M707" s="196"/>
      <c r="N707" s="155"/>
    </row>
    <row r="708" ht="22.5" customHeight="1">
      <c r="A708" s="368"/>
      <c r="B708" s="197"/>
      <c r="C708" s="144"/>
      <c r="D708" s="144"/>
      <c r="E708" s="159" t="s">
        <v>18</v>
      </c>
      <c r="F708" s="144"/>
      <c r="G708" s="159" t="s">
        <v>20</v>
      </c>
      <c r="H708" s="144"/>
      <c r="I708" s="287" t="s">
        <v>21</v>
      </c>
      <c r="J708" s="144"/>
      <c r="K708" s="287" t="s">
        <v>22</v>
      </c>
      <c r="L708" s="483"/>
      <c r="M708" s="197"/>
      <c r="N708" s="147"/>
    </row>
    <row r="709" ht="22.5" customHeight="1">
      <c r="A709" s="270"/>
      <c r="B709" s="196"/>
      <c r="C709" s="152"/>
      <c r="D709" s="152"/>
      <c r="E709" s="158" t="s">
        <v>18</v>
      </c>
      <c r="F709" s="152"/>
      <c r="G709" s="158" t="s">
        <v>20</v>
      </c>
      <c r="H709" s="152"/>
      <c r="I709" s="293" t="s">
        <v>21</v>
      </c>
      <c r="J709" s="152"/>
      <c r="K709" s="293" t="s">
        <v>22</v>
      </c>
      <c r="L709" s="152"/>
      <c r="M709" s="196"/>
      <c r="N709" s="155"/>
    </row>
    <row r="710" ht="22.5" customHeight="1">
      <c r="A710" s="368"/>
      <c r="B710" s="197"/>
      <c r="C710" s="144"/>
      <c r="D710" s="144"/>
      <c r="E710" s="159" t="s">
        <v>18</v>
      </c>
      <c r="F710" s="144"/>
      <c r="G710" s="159" t="s">
        <v>20</v>
      </c>
      <c r="H710" s="144"/>
      <c r="I710" s="287" t="s">
        <v>21</v>
      </c>
      <c r="J710" s="144"/>
      <c r="K710" s="287" t="s">
        <v>22</v>
      </c>
      <c r="L710" s="144"/>
      <c r="M710" s="197"/>
      <c r="N710" s="147"/>
    </row>
    <row r="711" ht="22.5" customHeight="1">
      <c r="A711" s="270"/>
      <c r="B711" s="196"/>
      <c r="C711" s="152"/>
      <c r="D711" s="152"/>
      <c r="E711" s="158" t="s">
        <v>18</v>
      </c>
      <c r="F711" s="152"/>
      <c r="G711" s="158" t="s">
        <v>20</v>
      </c>
      <c r="H711" s="152"/>
      <c r="I711" s="293" t="s">
        <v>21</v>
      </c>
      <c r="J711" s="152"/>
      <c r="K711" s="293" t="s">
        <v>22</v>
      </c>
      <c r="L711" s="152"/>
      <c r="M711" s="196"/>
      <c r="N711" s="155"/>
    </row>
    <row r="712" ht="22.5" customHeight="1">
      <c r="A712" s="368"/>
      <c r="B712" s="197"/>
      <c r="C712" s="144"/>
      <c r="D712" s="144"/>
      <c r="E712" s="159" t="s">
        <v>18</v>
      </c>
      <c r="F712" s="144"/>
      <c r="G712" s="159" t="s">
        <v>20</v>
      </c>
      <c r="H712" s="144"/>
      <c r="I712" s="287" t="s">
        <v>21</v>
      </c>
      <c r="J712" s="144"/>
      <c r="K712" s="287" t="s">
        <v>22</v>
      </c>
      <c r="L712" s="144"/>
      <c r="M712" s="197"/>
      <c r="N712" s="147"/>
    </row>
    <row r="713" ht="22.5" customHeight="1">
      <c r="A713" s="270"/>
      <c r="B713" s="196"/>
      <c r="C713" s="152"/>
      <c r="D713" s="152"/>
      <c r="E713" s="158" t="s">
        <v>18</v>
      </c>
      <c r="F713" s="152"/>
      <c r="G713" s="158" t="s">
        <v>20</v>
      </c>
      <c r="H713" s="152"/>
      <c r="I713" s="293" t="s">
        <v>21</v>
      </c>
      <c r="J713" s="152"/>
      <c r="K713" s="293" t="s">
        <v>22</v>
      </c>
      <c r="L713" s="152"/>
      <c r="M713" s="196"/>
      <c r="N713" s="155"/>
    </row>
    <row r="714" ht="22.5" customHeight="1">
      <c r="A714" s="368"/>
      <c r="B714" s="197"/>
      <c r="C714" s="144"/>
      <c r="D714" s="144"/>
      <c r="E714" s="159" t="s">
        <v>18</v>
      </c>
      <c r="F714" s="144"/>
      <c r="G714" s="159" t="s">
        <v>20</v>
      </c>
      <c r="H714" s="144"/>
      <c r="I714" s="287" t="s">
        <v>21</v>
      </c>
      <c r="J714" s="144"/>
      <c r="K714" s="287" t="s">
        <v>22</v>
      </c>
      <c r="L714" s="144"/>
      <c r="M714" s="197"/>
      <c r="N714" s="147"/>
    </row>
    <row r="715" ht="22.5" customHeight="1">
      <c r="A715" s="270"/>
      <c r="B715" s="196"/>
      <c r="C715" s="152"/>
      <c r="D715" s="152"/>
      <c r="E715" s="158" t="s">
        <v>18</v>
      </c>
      <c r="F715" s="152"/>
      <c r="G715" s="158" t="s">
        <v>20</v>
      </c>
      <c r="H715" s="152"/>
      <c r="I715" s="293" t="s">
        <v>21</v>
      </c>
      <c r="J715" s="152"/>
      <c r="K715" s="293" t="s">
        <v>22</v>
      </c>
      <c r="L715" s="482"/>
      <c r="M715" s="196"/>
      <c r="N715" s="155"/>
    </row>
    <row r="716" ht="22.5" customHeight="1">
      <c r="A716" s="368"/>
      <c r="B716" s="197"/>
      <c r="C716" s="144"/>
      <c r="D716" s="144"/>
      <c r="E716" s="159" t="s">
        <v>18</v>
      </c>
      <c r="F716" s="144"/>
      <c r="G716" s="159" t="s">
        <v>20</v>
      </c>
      <c r="H716" s="144"/>
      <c r="I716" s="287" t="s">
        <v>21</v>
      </c>
      <c r="J716" s="144"/>
      <c r="K716" s="287" t="s">
        <v>22</v>
      </c>
      <c r="L716" s="144"/>
      <c r="M716" s="197"/>
      <c r="N716" s="147"/>
    </row>
    <row r="717" ht="22.5" customHeight="1">
      <c r="A717" s="270"/>
      <c r="B717" s="196"/>
      <c r="C717" s="152"/>
      <c r="D717" s="152"/>
      <c r="E717" s="158" t="s">
        <v>18</v>
      </c>
      <c r="F717" s="152"/>
      <c r="G717" s="158" t="s">
        <v>20</v>
      </c>
      <c r="H717" s="152"/>
      <c r="I717" s="293" t="s">
        <v>21</v>
      </c>
      <c r="J717" s="152"/>
      <c r="K717" s="293" t="s">
        <v>22</v>
      </c>
      <c r="L717" s="482"/>
      <c r="M717" s="196"/>
      <c r="N717" s="155"/>
    </row>
    <row r="718" ht="22.5" customHeight="1">
      <c r="A718" s="368"/>
      <c r="B718" s="197"/>
      <c r="C718" s="144"/>
      <c r="D718" s="144"/>
      <c r="E718" s="197"/>
      <c r="F718" s="144"/>
      <c r="G718" s="197"/>
      <c r="H718" s="144"/>
      <c r="I718" s="543"/>
      <c r="J718" s="144"/>
      <c r="K718" s="543"/>
      <c r="L718" s="144"/>
      <c r="M718" s="197"/>
      <c r="N718" s="147"/>
    </row>
    <row r="719" ht="22.5" customHeight="1">
      <c r="A719" s="270"/>
      <c r="B719" s="196"/>
      <c r="C719" s="152"/>
      <c r="D719" s="152"/>
      <c r="E719" s="196"/>
      <c r="F719" s="152"/>
      <c r="G719" s="196"/>
      <c r="H719" s="152"/>
      <c r="I719" s="556"/>
      <c r="J719" s="152"/>
      <c r="K719" s="556"/>
      <c r="L719" s="482"/>
      <c r="M719" s="196"/>
      <c r="N719" s="155"/>
    </row>
    <row r="720" ht="22.5" customHeight="1">
      <c r="A720" s="368"/>
      <c r="B720" s="197"/>
      <c r="C720" s="144"/>
      <c r="D720" s="144"/>
      <c r="E720" s="197"/>
      <c r="F720" s="144"/>
      <c r="G720" s="197"/>
      <c r="H720" s="144"/>
      <c r="I720" s="543"/>
      <c r="J720" s="144"/>
      <c r="K720" s="543"/>
      <c r="L720" s="144"/>
      <c r="M720" s="197"/>
      <c r="N720" s="147"/>
    </row>
    <row r="721" ht="22.5" customHeight="1">
      <c r="A721" s="270"/>
      <c r="B721" s="196"/>
      <c r="C721" s="152"/>
      <c r="D721" s="152"/>
      <c r="E721" s="196"/>
      <c r="F721" s="152"/>
      <c r="G721" s="196"/>
      <c r="H721" s="152"/>
      <c r="I721" s="556"/>
      <c r="J721" s="152"/>
      <c r="K721" s="556"/>
      <c r="L721" s="152"/>
      <c r="M721" s="196"/>
      <c r="N721" s="155"/>
    </row>
    <row r="722" ht="22.5" customHeight="1">
      <c r="A722" s="368"/>
      <c r="B722" s="197"/>
      <c r="C722" s="144"/>
      <c r="D722" s="144"/>
      <c r="E722" s="197"/>
      <c r="F722" s="144"/>
      <c r="G722" s="197"/>
      <c r="H722" s="144"/>
      <c r="I722" s="543"/>
      <c r="J722" s="144"/>
      <c r="K722" s="543"/>
      <c r="L722" s="144"/>
      <c r="M722" s="197"/>
      <c r="N722" s="147"/>
    </row>
    <row r="723" ht="22.5" customHeight="1">
      <c r="A723" s="270"/>
      <c r="B723" s="196"/>
      <c r="C723" s="152"/>
      <c r="D723" s="152"/>
      <c r="E723" s="196"/>
      <c r="F723" s="152"/>
      <c r="G723" s="196"/>
      <c r="H723" s="152"/>
      <c r="I723" s="556"/>
      <c r="J723" s="152"/>
      <c r="K723" s="556"/>
      <c r="L723" s="482"/>
      <c r="M723" s="196"/>
      <c r="N723" s="155"/>
    </row>
    <row r="724" ht="22.5" customHeight="1">
      <c r="A724" s="368"/>
      <c r="B724" s="197"/>
      <c r="C724" s="144"/>
      <c r="D724" s="144"/>
      <c r="E724" s="197"/>
      <c r="F724" s="144"/>
      <c r="G724" s="197"/>
      <c r="H724" s="144"/>
      <c r="I724" s="543"/>
      <c r="J724" s="144"/>
      <c r="K724" s="543"/>
      <c r="L724" s="144"/>
      <c r="M724" s="197"/>
      <c r="N724" s="147"/>
    </row>
    <row r="725" ht="22.5" customHeight="1">
      <c r="A725" s="270"/>
      <c r="B725" s="196"/>
      <c r="C725" s="152"/>
      <c r="D725" s="152"/>
      <c r="E725" s="196"/>
      <c r="F725" s="152"/>
      <c r="G725" s="196"/>
      <c r="H725" s="152"/>
      <c r="I725" s="556"/>
      <c r="J725" s="152"/>
      <c r="K725" s="556"/>
      <c r="L725" s="482"/>
      <c r="M725" s="196"/>
      <c r="N725" s="155"/>
    </row>
    <row r="726" ht="22.5" customHeight="1">
      <c r="A726" s="368"/>
      <c r="B726" s="197"/>
      <c r="C726" s="144"/>
      <c r="D726" s="144"/>
      <c r="E726" s="197"/>
      <c r="F726" s="144"/>
      <c r="G726" s="197"/>
      <c r="H726" s="144"/>
      <c r="I726" s="543"/>
      <c r="J726" s="144"/>
      <c r="K726" s="543"/>
      <c r="L726" s="144"/>
      <c r="M726" s="197"/>
      <c r="N726" s="147"/>
    </row>
    <row r="727" ht="22.5" customHeight="1">
      <c r="A727" s="270"/>
      <c r="B727" s="196"/>
      <c r="C727" s="152"/>
      <c r="D727" s="152"/>
      <c r="E727" s="196"/>
      <c r="F727" s="152"/>
      <c r="G727" s="196"/>
      <c r="H727" s="152"/>
      <c r="I727" s="556"/>
      <c r="J727" s="152"/>
      <c r="K727" s="556"/>
      <c r="L727" s="152"/>
      <c r="M727" s="196"/>
      <c r="N727" s="155"/>
    </row>
    <row r="728" ht="22.5" customHeight="1">
      <c r="A728" s="368"/>
      <c r="B728" s="197"/>
      <c r="C728" s="144"/>
      <c r="D728" s="144"/>
      <c r="E728" s="197"/>
      <c r="F728" s="144"/>
      <c r="G728" s="197"/>
      <c r="H728" s="144"/>
      <c r="I728" s="543"/>
      <c r="J728" s="144"/>
      <c r="K728" s="543"/>
      <c r="L728" s="144"/>
      <c r="M728" s="197"/>
      <c r="N728" s="147"/>
    </row>
    <row r="729" ht="22.5" customHeight="1">
      <c r="A729" s="270"/>
      <c r="B729" s="196"/>
      <c r="C729" s="152"/>
      <c r="D729" s="152"/>
      <c r="E729" s="196"/>
      <c r="F729" s="152"/>
      <c r="G729" s="196"/>
      <c r="H729" s="152"/>
      <c r="I729" s="556"/>
      <c r="J729" s="152"/>
      <c r="K729" s="556"/>
      <c r="L729" s="152"/>
      <c r="M729" s="196"/>
      <c r="N729" s="155"/>
    </row>
    <row r="730" ht="22.5" customHeight="1">
      <c r="A730" s="368"/>
      <c r="B730" s="197"/>
      <c r="C730" s="144"/>
      <c r="D730" s="144"/>
      <c r="E730" s="197"/>
      <c r="F730" s="144"/>
      <c r="G730" s="197"/>
      <c r="H730" s="144"/>
      <c r="I730" s="543"/>
      <c r="J730" s="144"/>
      <c r="K730" s="543"/>
      <c r="L730" s="483"/>
      <c r="M730" s="197"/>
      <c r="N730" s="147"/>
    </row>
    <row r="731" ht="22.5" customHeight="1">
      <c r="A731" s="270"/>
      <c r="B731" s="196"/>
      <c r="C731" s="152"/>
      <c r="D731" s="152"/>
      <c r="E731" s="196"/>
      <c r="F731" s="152"/>
      <c r="G731" s="196"/>
      <c r="H731" s="152"/>
      <c r="I731" s="556"/>
      <c r="J731" s="152"/>
      <c r="K731" s="556"/>
      <c r="L731" s="152"/>
      <c r="M731" s="196"/>
      <c r="N731" s="155"/>
    </row>
    <row r="732" ht="22.5" customHeight="1">
      <c r="A732" s="368"/>
      <c r="B732" s="197"/>
      <c r="C732" s="144"/>
      <c r="D732" s="144"/>
      <c r="E732" s="197"/>
      <c r="F732" s="144"/>
      <c r="G732" s="197"/>
      <c r="H732" s="144"/>
      <c r="I732" s="543"/>
      <c r="J732" s="144"/>
      <c r="K732" s="543"/>
      <c r="L732" s="144"/>
      <c r="M732" s="197"/>
      <c r="N732" s="147"/>
    </row>
    <row r="733" ht="22.5" customHeight="1">
      <c r="A733" s="270"/>
      <c r="B733" s="196"/>
      <c r="C733" s="152"/>
      <c r="D733" s="152"/>
      <c r="E733" s="196"/>
      <c r="F733" s="152"/>
      <c r="G733" s="196"/>
      <c r="H733" s="152"/>
      <c r="I733" s="556"/>
      <c r="J733" s="152"/>
      <c r="K733" s="556"/>
      <c r="L733" s="482"/>
      <c r="M733" s="196"/>
      <c r="N733" s="155"/>
    </row>
    <row r="734" ht="22.5" customHeight="1">
      <c r="A734" s="368"/>
      <c r="B734" s="197"/>
      <c r="C734" s="144"/>
      <c r="D734" s="144"/>
      <c r="E734" s="197"/>
      <c r="F734" s="144"/>
      <c r="G734" s="197"/>
      <c r="H734" s="144"/>
      <c r="I734" s="543"/>
      <c r="J734" s="144"/>
      <c r="K734" s="543"/>
      <c r="L734" s="483"/>
      <c r="M734" s="197"/>
      <c r="N734" s="147"/>
    </row>
    <row r="735" ht="22.5" customHeight="1">
      <c r="A735" s="270"/>
      <c r="B735" s="196"/>
      <c r="C735" s="152"/>
      <c r="D735" s="152"/>
      <c r="E735" s="196"/>
      <c r="F735" s="152"/>
      <c r="G735" s="196"/>
      <c r="H735" s="152"/>
      <c r="I735" s="556"/>
      <c r="J735" s="152"/>
      <c r="K735" s="556"/>
      <c r="L735" s="482"/>
      <c r="M735" s="196"/>
      <c r="N735" s="155"/>
    </row>
    <row r="736" ht="22.5" customHeight="1">
      <c r="A736" s="368"/>
      <c r="B736" s="197"/>
      <c r="C736" s="144"/>
      <c r="D736" s="144"/>
      <c r="E736" s="197"/>
      <c r="F736" s="144"/>
      <c r="G736" s="197"/>
      <c r="H736" s="144"/>
      <c r="I736" s="543"/>
      <c r="J736" s="144"/>
      <c r="K736" s="543"/>
      <c r="L736" s="144"/>
      <c r="M736" s="197"/>
      <c r="N736" s="147"/>
    </row>
    <row r="737" ht="22.5" customHeight="1">
      <c r="A737" s="270"/>
      <c r="B737" s="196"/>
      <c r="C737" s="152"/>
      <c r="D737" s="152"/>
      <c r="E737" s="196"/>
      <c r="F737" s="152"/>
      <c r="G737" s="196"/>
      <c r="H737" s="152"/>
      <c r="I737" s="556"/>
      <c r="J737" s="152"/>
      <c r="K737" s="556"/>
      <c r="L737" s="482"/>
      <c r="M737" s="196"/>
      <c r="N737" s="155"/>
    </row>
    <row r="738" ht="22.5" customHeight="1">
      <c r="A738" s="368"/>
      <c r="B738" s="197"/>
      <c r="C738" s="144"/>
      <c r="D738" s="144"/>
      <c r="E738" s="197"/>
      <c r="F738" s="144"/>
      <c r="G738" s="197"/>
      <c r="H738" s="144"/>
      <c r="I738" s="543"/>
      <c r="J738" s="144"/>
      <c r="K738" s="543"/>
      <c r="L738" s="483"/>
      <c r="M738" s="197"/>
      <c r="N738" s="147"/>
    </row>
    <row r="739" ht="22.5" customHeight="1">
      <c r="A739" s="270"/>
      <c r="B739" s="196"/>
      <c r="C739" s="152"/>
      <c r="D739" s="152"/>
      <c r="E739" s="196"/>
      <c r="F739" s="152"/>
      <c r="G739" s="196"/>
      <c r="H739" s="152"/>
      <c r="I739" s="556"/>
      <c r="J739" s="152"/>
      <c r="K739" s="556"/>
      <c r="L739" s="482"/>
      <c r="M739" s="196"/>
      <c r="N739" s="155"/>
    </row>
    <row r="740" ht="22.5" customHeight="1">
      <c r="A740" s="368"/>
      <c r="B740" s="197"/>
      <c r="C740" s="144"/>
      <c r="D740" s="144"/>
      <c r="E740" s="197"/>
      <c r="F740" s="144"/>
      <c r="G740" s="197"/>
      <c r="H740" s="144"/>
      <c r="I740" s="543"/>
      <c r="J740" s="144"/>
      <c r="K740" s="543"/>
      <c r="L740" s="483"/>
      <c r="M740" s="197"/>
      <c r="N740" s="147"/>
    </row>
    <row r="741" ht="22.5" customHeight="1">
      <c r="A741" s="270"/>
      <c r="B741" s="196"/>
      <c r="C741" s="152"/>
      <c r="D741" s="152"/>
      <c r="E741" s="196"/>
      <c r="F741" s="152"/>
      <c r="G741" s="196"/>
      <c r="H741" s="152"/>
      <c r="I741" s="556"/>
      <c r="J741" s="152"/>
      <c r="K741" s="556"/>
      <c r="L741" s="482"/>
      <c r="M741" s="196"/>
      <c r="N741" s="155"/>
    </row>
    <row r="742" ht="22.5" customHeight="1">
      <c r="A742" s="368"/>
      <c r="B742" s="197"/>
      <c r="C742" s="144"/>
      <c r="D742" s="144"/>
      <c r="E742" s="197"/>
      <c r="F742" s="144"/>
      <c r="G742" s="197"/>
      <c r="H742" s="144"/>
      <c r="I742" s="543"/>
      <c r="J742" s="144"/>
      <c r="K742" s="543"/>
      <c r="L742" s="483"/>
      <c r="M742" s="197"/>
      <c r="N742" s="147"/>
    </row>
    <row r="743" ht="22.5" customHeight="1">
      <c r="A743" s="270"/>
      <c r="B743" s="196"/>
      <c r="C743" s="152"/>
      <c r="D743" s="152"/>
      <c r="E743" s="196"/>
      <c r="F743" s="152"/>
      <c r="G743" s="196"/>
      <c r="H743" s="152"/>
      <c r="I743" s="556"/>
      <c r="J743" s="152"/>
      <c r="K743" s="556"/>
      <c r="L743" s="482"/>
      <c r="M743" s="196"/>
      <c r="N743" s="155"/>
    </row>
    <row r="744" ht="22.5" customHeight="1">
      <c r="A744" s="368"/>
      <c r="B744" s="197"/>
      <c r="C744" s="144"/>
      <c r="D744" s="144"/>
      <c r="E744" s="197"/>
      <c r="F744" s="144"/>
      <c r="G744" s="197"/>
      <c r="H744" s="144"/>
      <c r="I744" s="543"/>
      <c r="J744" s="144"/>
      <c r="K744" s="543"/>
      <c r="L744" s="483"/>
      <c r="M744" s="197"/>
      <c r="N744" s="147"/>
    </row>
    <row r="745" ht="22.5" customHeight="1">
      <c r="A745" s="270"/>
      <c r="B745" s="196"/>
      <c r="C745" s="152"/>
      <c r="D745" s="152"/>
      <c r="E745" s="196"/>
      <c r="F745" s="152"/>
      <c r="G745" s="196"/>
      <c r="H745" s="152"/>
      <c r="I745" s="556"/>
      <c r="J745" s="152"/>
      <c r="K745" s="556"/>
      <c r="L745" s="482"/>
      <c r="M745" s="196"/>
      <c r="N745" s="155"/>
    </row>
    <row r="746" ht="22.5" customHeight="1">
      <c r="A746" s="368"/>
      <c r="B746" s="197"/>
      <c r="C746" s="144"/>
      <c r="D746" s="144"/>
      <c r="E746" s="197"/>
      <c r="F746" s="144"/>
      <c r="G746" s="197"/>
      <c r="H746" s="144"/>
      <c r="I746" s="543"/>
      <c r="J746" s="144"/>
      <c r="K746" s="543"/>
      <c r="L746" s="483"/>
      <c r="M746" s="197"/>
      <c r="N746" s="147"/>
    </row>
    <row r="747" ht="22.5" customHeight="1">
      <c r="A747" s="270"/>
      <c r="B747" s="196"/>
      <c r="C747" s="152"/>
      <c r="D747" s="152"/>
      <c r="E747" s="196"/>
      <c r="F747" s="152"/>
      <c r="G747" s="196"/>
      <c r="H747" s="152"/>
      <c r="I747" s="556"/>
      <c r="J747" s="152"/>
      <c r="K747" s="556"/>
      <c r="L747" s="482"/>
      <c r="M747" s="196"/>
      <c r="N747" s="155"/>
    </row>
    <row r="748" ht="22.5" customHeight="1">
      <c r="A748" s="368"/>
      <c r="B748" s="197"/>
      <c r="C748" s="144"/>
      <c r="D748" s="144"/>
      <c r="E748" s="197"/>
      <c r="F748" s="144"/>
      <c r="G748" s="197"/>
      <c r="H748" s="144"/>
      <c r="I748" s="543"/>
      <c r="J748" s="144"/>
      <c r="K748" s="543"/>
      <c r="L748" s="483"/>
      <c r="M748" s="197"/>
      <c r="N748" s="147"/>
    </row>
    <row r="749" ht="22.5" customHeight="1">
      <c r="A749" s="270"/>
      <c r="B749" s="196"/>
      <c r="C749" s="152"/>
      <c r="D749" s="152"/>
      <c r="E749" s="196"/>
      <c r="F749" s="152"/>
      <c r="G749" s="196"/>
      <c r="H749" s="152"/>
      <c r="I749" s="556"/>
      <c r="J749" s="152"/>
      <c r="K749" s="556"/>
      <c r="L749" s="482"/>
      <c r="M749" s="196"/>
      <c r="N749" s="155"/>
    </row>
    <row r="750" ht="22.5" customHeight="1">
      <c r="A750" s="368"/>
      <c r="B750" s="197"/>
      <c r="C750" s="144"/>
      <c r="D750" s="144"/>
      <c r="E750" s="197"/>
      <c r="F750" s="144"/>
      <c r="G750" s="197"/>
      <c r="H750" s="144"/>
      <c r="I750" s="543"/>
      <c r="J750" s="144"/>
      <c r="K750" s="543"/>
      <c r="L750" s="483"/>
      <c r="M750" s="197"/>
      <c r="N750" s="147"/>
    </row>
    <row r="751" ht="22.5" customHeight="1">
      <c r="A751" s="270"/>
      <c r="B751" s="196"/>
      <c r="C751" s="152"/>
      <c r="D751" s="152"/>
      <c r="E751" s="196"/>
      <c r="F751" s="152"/>
      <c r="G751" s="196"/>
      <c r="H751" s="152"/>
      <c r="I751" s="556"/>
      <c r="J751" s="152"/>
      <c r="K751" s="556"/>
      <c r="L751" s="482"/>
      <c r="M751" s="196"/>
      <c r="N751" s="155"/>
    </row>
    <row r="752" ht="22.5" customHeight="1">
      <c r="A752" s="368"/>
      <c r="B752" s="197"/>
      <c r="C752" s="144"/>
      <c r="D752" s="144"/>
      <c r="E752" s="197"/>
      <c r="F752" s="144"/>
      <c r="G752" s="197"/>
      <c r="H752" s="144"/>
      <c r="I752" s="543"/>
      <c r="J752" s="144"/>
      <c r="K752" s="543"/>
      <c r="L752" s="483"/>
      <c r="M752" s="197"/>
      <c r="N752" s="147"/>
    </row>
    <row r="753" ht="22.5" customHeight="1">
      <c r="A753" s="270"/>
      <c r="B753" s="196"/>
      <c r="C753" s="152"/>
      <c r="D753" s="152"/>
      <c r="E753" s="196"/>
      <c r="F753" s="152"/>
      <c r="G753" s="196"/>
      <c r="H753" s="152"/>
      <c r="I753" s="556"/>
      <c r="J753" s="152"/>
      <c r="K753" s="556"/>
      <c r="L753" s="482"/>
      <c r="M753" s="196"/>
      <c r="N753" s="155"/>
    </row>
    <row r="754" ht="22.5" customHeight="1">
      <c r="A754" s="368"/>
      <c r="B754" s="197"/>
      <c r="C754" s="144"/>
      <c r="D754" s="144"/>
      <c r="E754" s="197"/>
      <c r="F754" s="144"/>
      <c r="G754" s="197"/>
      <c r="H754" s="144"/>
      <c r="I754" s="543"/>
      <c r="J754" s="144"/>
      <c r="K754" s="543"/>
      <c r="L754" s="483"/>
      <c r="M754" s="197"/>
      <c r="N754" s="147"/>
    </row>
    <row r="755" ht="22.5" customHeight="1">
      <c r="A755" s="270"/>
      <c r="B755" s="196"/>
      <c r="C755" s="152"/>
      <c r="D755" s="152"/>
      <c r="E755" s="196"/>
      <c r="F755" s="152"/>
      <c r="G755" s="196"/>
      <c r="H755" s="152"/>
      <c r="I755" s="556"/>
      <c r="J755" s="152"/>
      <c r="K755" s="556"/>
      <c r="L755" s="482"/>
      <c r="M755" s="196"/>
      <c r="N755" s="155"/>
    </row>
    <row r="756" ht="22.5" customHeight="1">
      <c r="A756" s="368"/>
      <c r="B756" s="197"/>
      <c r="C756" s="144"/>
      <c r="D756" s="144"/>
      <c r="E756" s="197"/>
      <c r="F756" s="144"/>
      <c r="G756" s="197"/>
      <c r="H756" s="144"/>
      <c r="I756" s="543"/>
      <c r="J756" s="144"/>
      <c r="K756" s="543"/>
      <c r="L756" s="483"/>
      <c r="M756" s="197"/>
      <c r="N756" s="147"/>
    </row>
    <row r="757" ht="22.5" customHeight="1">
      <c r="A757" s="270"/>
      <c r="B757" s="196"/>
      <c r="C757" s="152"/>
      <c r="D757" s="152"/>
      <c r="E757" s="196"/>
      <c r="F757" s="152"/>
      <c r="G757" s="196"/>
      <c r="H757" s="152"/>
      <c r="I757" s="556"/>
      <c r="J757" s="152"/>
      <c r="K757" s="556"/>
      <c r="L757" s="482"/>
      <c r="M757" s="196"/>
      <c r="N757" s="155"/>
    </row>
    <row r="758" ht="22.5" customHeight="1">
      <c r="A758" s="368"/>
      <c r="B758" s="197"/>
      <c r="C758" s="144"/>
      <c r="D758" s="144"/>
      <c r="E758" s="197"/>
      <c r="F758" s="144"/>
      <c r="G758" s="197"/>
      <c r="H758" s="144"/>
      <c r="I758" s="543"/>
      <c r="J758" s="144"/>
      <c r="K758" s="543"/>
      <c r="L758" s="483"/>
      <c r="M758" s="197"/>
      <c r="N758" s="147"/>
    </row>
    <row r="759" ht="22.5" customHeight="1">
      <c r="A759" s="270"/>
      <c r="B759" s="196"/>
      <c r="C759" s="152"/>
      <c r="D759" s="152"/>
      <c r="E759" s="196"/>
      <c r="F759" s="152"/>
      <c r="G759" s="196"/>
      <c r="H759" s="152"/>
      <c r="I759" s="556"/>
      <c r="J759" s="152"/>
      <c r="K759" s="556"/>
      <c r="L759" s="482"/>
      <c r="M759" s="196"/>
      <c r="N759" s="155"/>
    </row>
    <row r="760" ht="22.5" customHeight="1">
      <c r="A760" s="368"/>
      <c r="B760" s="197"/>
      <c r="C760" s="144"/>
      <c r="D760" s="144"/>
      <c r="E760" s="197"/>
      <c r="F760" s="144"/>
      <c r="G760" s="197"/>
      <c r="H760" s="144"/>
      <c r="I760" s="543"/>
      <c r="J760" s="144"/>
      <c r="K760" s="543"/>
      <c r="L760" s="483"/>
      <c r="M760" s="197"/>
      <c r="N760" s="147"/>
    </row>
    <row r="761" ht="22.5" customHeight="1">
      <c r="A761" s="557"/>
      <c r="B761" s="253"/>
      <c r="C761" s="254"/>
      <c r="D761" s="254"/>
      <c r="E761" s="253"/>
      <c r="F761" s="254"/>
      <c r="G761" s="253"/>
      <c r="H761" s="254"/>
      <c r="I761" s="558"/>
      <c r="J761" s="254"/>
      <c r="K761" s="558"/>
      <c r="L761" s="559"/>
      <c r="M761" s="253"/>
      <c r="N761" s="256"/>
    </row>
  </sheetData>
  <dataValidations>
    <dataValidation type="list" allowBlank="1" sqref="D2:D761">
      <formula1>"Contacted,Awaiting Response,Closed - Won,Closed - Lost,Call not Recieved,Referred to,Awaiting payment,international num ,form filled,enroll in next batch"</formula1>
    </dataValidation>
    <dataValidation type="list" allowBlank="1" sqref="H2:H761 J2:J761 L2:L761">
      <formula1>"Call Recieved,Not Recieved,Please Call later,Not attempt,Client lost"</formula1>
    </dataValidation>
    <dataValidation type="list" allowBlank="1" sqref="C2:C761">
      <formula1>"Call Attended,Not Attended"</formula1>
    </dataValidation>
    <dataValidation type="list" allowBlank="1" sqref="F2:F761">
      <formula1>"Call Recieved,Not Recieved,Please Call later,Not attempted,Client lost"</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0" t="s">
        <v>6864</v>
      </c>
      <c r="B1" s="560" t="s">
        <v>6865</v>
      </c>
      <c r="C1" s="561" t="s">
        <v>0</v>
      </c>
      <c r="D1" s="560" t="s">
        <v>6866</v>
      </c>
      <c r="E1" s="561" t="s">
        <v>1</v>
      </c>
      <c r="F1" s="561" t="s">
        <v>4</v>
      </c>
      <c r="G1" s="560" t="s">
        <v>6867</v>
      </c>
      <c r="H1" s="560" t="s">
        <v>6868</v>
      </c>
      <c r="I1" s="560" t="s">
        <v>6869</v>
      </c>
      <c r="J1" s="560" t="s">
        <v>6870</v>
      </c>
      <c r="K1" s="560" t="s">
        <v>6871</v>
      </c>
      <c r="L1" s="560" t="s">
        <v>6872</v>
      </c>
    </row>
    <row r="2">
      <c r="A2" s="562" t="s">
        <v>6873</v>
      </c>
      <c r="B2" s="563">
        <v>0.4827314814814815</v>
      </c>
      <c r="C2" s="562" t="s">
        <v>6874</v>
      </c>
      <c r="D2" s="284"/>
      <c r="E2" s="564">
        <v>923238405778</v>
      </c>
      <c r="F2" s="284" t="s">
        <v>6875</v>
      </c>
      <c r="G2" s="562" t="s">
        <v>6876</v>
      </c>
      <c r="H2" s="562" t="s">
        <v>6877</v>
      </c>
      <c r="I2" s="562" t="s">
        <v>6878</v>
      </c>
      <c r="J2" s="562" t="s">
        <v>6879</v>
      </c>
      <c r="K2" s="562">
        <v>4.0</v>
      </c>
      <c r="L2" s="562" t="s">
        <v>1025</v>
      </c>
    </row>
    <row r="3">
      <c r="A3" s="562" t="s">
        <v>6873</v>
      </c>
      <c r="B3" s="563">
        <v>0.48702546296296295</v>
      </c>
      <c r="C3" s="562" t="s">
        <v>6880</v>
      </c>
      <c r="D3" s="284"/>
      <c r="E3" s="564">
        <v>923701816387</v>
      </c>
      <c r="F3" s="562" t="s">
        <v>6875</v>
      </c>
      <c r="G3" s="562" t="s">
        <v>6881</v>
      </c>
      <c r="H3" s="562" t="s">
        <v>6882</v>
      </c>
      <c r="I3" s="562" t="s">
        <v>6883</v>
      </c>
      <c r="J3" s="562" t="s">
        <v>6884</v>
      </c>
      <c r="K3" s="562">
        <v>4.0</v>
      </c>
      <c r="L3" s="562" t="s">
        <v>372</v>
      </c>
    </row>
    <row r="4">
      <c r="A4" s="562" t="s">
        <v>6873</v>
      </c>
      <c r="B4" s="563">
        <v>0.5072222222222222</v>
      </c>
      <c r="C4" s="562" t="s">
        <v>6885</v>
      </c>
      <c r="D4" s="562" t="s">
        <v>6886</v>
      </c>
      <c r="E4" s="565" t="s">
        <v>6887</v>
      </c>
      <c r="F4" s="562" t="s">
        <v>6888</v>
      </c>
      <c r="G4" s="562" t="s">
        <v>6889</v>
      </c>
      <c r="H4" s="562" t="s">
        <v>6890</v>
      </c>
      <c r="I4" s="562" t="s">
        <v>6891</v>
      </c>
      <c r="J4" s="562" t="s">
        <v>6892</v>
      </c>
      <c r="K4" s="562">
        <v>4.0</v>
      </c>
      <c r="L4" s="284"/>
    </row>
    <row r="5">
      <c r="A5" s="562" t="s">
        <v>6873</v>
      </c>
      <c r="B5" s="563">
        <v>0.5332870370370371</v>
      </c>
      <c r="C5" s="562" t="s">
        <v>6893</v>
      </c>
      <c r="D5" s="284"/>
      <c r="E5" s="564">
        <v>923327349988</v>
      </c>
      <c r="F5" s="562" t="s">
        <v>6875</v>
      </c>
      <c r="G5" s="562" t="s">
        <v>6894</v>
      </c>
      <c r="H5" s="562" t="s">
        <v>6895</v>
      </c>
      <c r="I5" s="562" t="s">
        <v>6896</v>
      </c>
      <c r="J5" s="562" t="s">
        <v>6897</v>
      </c>
      <c r="K5" s="562">
        <v>4.0</v>
      </c>
      <c r="L5" s="562" t="s">
        <v>372</v>
      </c>
    </row>
    <row r="6">
      <c r="A6" s="562" t="s">
        <v>6873</v>
      </c>
      <c r="B6" s="563">
        <v>0.5339930555555555</v>
      </c>
      <c r="C6" s="562" t="s">
        <v>6898</v>
      </c>
      <c r="D6" s="284"/>
      <c r="E6" s="564">
        <v>923242181828</v>
      </c>
      <c r="F6" s="562" t="s">
        <v>6875</v>
      </c>
      <c r="G6" s="284"/>
      <c r="H6" s="284"/>
      <c r="I6" s="562" t="s">
        <v>6899</v>
      </c>
      <c r="J6" s="562" t="s">
        <v>6900</v>
      </c>
      <c r="K6" s="562">
        <v>2.0</v>
      </c>
      <c r="L6" s="562" t="s">
        <v>372</v>
      </c>
    </row>
    <row r="7">
      <c r="A7" s="562" t="s">
        <v>6873</v>
      </c>
      <c r="B7" s="563">
        <v>0.5617708333333333</v>
      </c>
      <c r="C7" s="562" t="s">
        <v>6901</v>
      </c>
      <c r="D7" s="284"/>
      <c r="E7" s="564">
        <f>9203030028217</f>
        <v>9203030028217</v>
      </c>
      <c r="F7" s="562" t="s">
        <v>6888</v>
      </c>
      <c r="G7" s="284"/>
      <c r="H7" s="562" t="s">
        <v>6902</v>
      </c>
      <c r="I7" s="562" t="s">
        <v>6903</v>
      </c>
      <c r="J7" s="284"/>
      <c r="K7" s="562">
        <v>3.0</v>
      </c>
      <c r="L7" s="562" t="s">
        <v>636</v>
      </c>
    </row>
    <row r="8">
      <c r="A8" s="562" t="s">
        <v>6873</v>
      </c>
      <c r="B8" s="563">
        <v>0.5826273148148148</v>
      </c>
      <c r="C8" s="562" t="s">
        <v>6904</v>
      </c>
      <c r="D8" s="284"/>
      <c r="E8" s="564">
        <v>923023099691</v>
      </c>
      <c r="F8" s="562" t="s">
        <v>6875</v>
      </c>
      <c r="G8" s="284"/>
      <c r="H8" s="284"/>
      <c r="I8" s="562" t="s">
        <v>6905</v>
      </c>
      <c r="J8" s="562" t="s">
        <v>6906</v>
      </c>
      <c r="K8" s="562">
        <v>2.0</v>
      </c>
      <c r="L8" s="562" t="s">
        <v>372</v>
      </c>
    </row>
    <row r="9">
      <c r="A9" s="562" t="s">
        <v>6873</v>
      </c>
      <c r="B9" s="563">
        <v>0.588275462962963</v>
      </c>
      <c r="C9" s="562" t="s">
        <v>6907</v>
      </c>
      <c r="D9" s="562" t="s">
        <v>6886</v>
      </c>
      <c r="E9" s="566" t="s">
        <v>6908</v>
      </c>
      <c r="F9" s="562" t="s">
        <v>6875</v>
      </c>
      <c r="G9" s="562" t="s">
        <v>6909</v>
      </c>
      <c r="H9" s="562" t="s">
        <v>6910</v>
      </c>
      <c r="I9" s="562" t="s">
        <v>6911</v>
      </c>
      <c r="J9" s="562" t="s">
        <v>6912</v>
      </c>
      <c r="K9" s="562">
        <v>4.0</v>
      </c>
      <c r="L9" s="562" t="s">
        <v>6913</v>
      </c>
    </row>
    <row r="10">
      <c r="A10" s="562" t="s">
        <v>6873</v>
      </c>
      <c r="B10" s="563">
        <v>0.7402546296296296</v>
      </c>
      <c r="C10" s="562" t="s">
        <v>6914</v>
      </c>
      <c r="D10" s="284"/>
      <c r="E10" s="562">
        <v>923058599638</v>
      </c>
      <c r="F10" s="562" t="s">
        <v>6875</v>
      </c>
      <c r="G10" s="562" t="s">
        <v>6915</v>
      </c>
      <c r="H10" s="284"/>
      <c r="I10" s="562" t="s">
        <v>6916</v>
      </c>
      <c r="J10" s="562" t="s">
        <v>6917</v>
      </c>
      <c r="K10" s="562">
        <v>3.0</v>
      </c>
      <c r="L10" s="562" t="s">
        <v>6918</v>
      </c>
    </row>
    <row r="11">
      <c r="A11" s="562" t="s">
        <v>6919</v>
      </c>
      <c r="B11" s="563">
        <v>0.39784722222222224</v>
      </c>
      <c r="C11" s="562" t="s">
        <v>6920</v>
      </c>
      <c r="D11" s="284"/>
      <c r="E11" s="562">
        <v>923492322778</v>
      </c>
      <c r="F11" s="562" t="s">
        <v>6875</v>
      </c>
      <c r="G11" s="562" t="s">
        <v>6921</v>
      </c>
      <c r="H11" s="284"/>
      <c r="I11" s="562" t="s">
        <v>6922</v>
      </c>
      <c r="J11" s="562" t="s">
        <v>6923</v>
      </c>
      <c r="K11" s="562">
        <v>3.0</v>
      </c>
      <c r="L11" s="562" t="s">
        <v>372</v>
      </c>
    </row>
    <row r="12">
      <c r="A12" s="562" t="s">
        <v>6919</v>
      </c>
      <c r="B12" s="563">
        <v>0.39796296296296296</v>
      </c>
      <c r="C12" s="562" t="s">
        <v>6924</v>
      </c>
      <c r="D12" s="284"/>
      <c r="E12" s="562">
        <f>923002501031</f>
        <v>923002501031</v>
      </c>
      <c r="F12" s="562" t="s">
        <v>6888</v>
      </c>
      <c r="G12" s="562" t="s">
        <v>6925</v>
      </c>
      <c r="H12" s="562" t="s">
        <v>6926</v>
      </c>
      <c r="I12" s="562" t="s">
        <v>6927</v>
      </c>
      <c r="J12" s="562" t="s">
        <v>6928</v>
      </c>
      <c r="K12" s="562">
        <v>4.0</v>
      </c>
      <c r="L12" s="562" t="s">
        <v>6929</v>
      </c>
    </row>
    <row r="13">
      <c r="A13" s="562" t="s">
        <v>6919</v>
      </c>
      <c r="B13" s="563">
        <v>0.3982060185185185</v>
      </c>
      <c r="C13" s="562" t="s">
        <v>6930</v>
      </c>
      <c r="D13" s="284"/>
      <c r="E13" s="562">
        <f>923092214440</f>
        <v>923092214440</v>
      </c>
      <c r="F13" s="562" t="s">
        <v>6888</v>
      </c>
      <c r="G13" s="562" t="s">
        <v>6931</v>
      </c>
      <c r="H13" s="284"/>
      <c r="I13" s="562" t="s">
        <v>6932</v>
      </c>
      <c r="J13" s="284"/>
      <c r="K13" s="562">
        <v>3.0</v>
      </c>
      <c r="L13" s="562" t="s">
        <v>636</v>
      </c>
    </row>
    <row r="14">
      <c r="A14" s="562" t="s">
        <v>6919</v>
      </c>
      <c r="B14" s="563">
        <v>0.3988425925925926</v>
      </c>
      <c r="C14" s="562" t="s">
        <v>6933</v>
      </c>
      <c r="D14" s="284"/>
      <c r="E14" s="562">
        <f>923453666504</f>
        <v>923453666504</v>
      </c>
      <c r="F14" s="562" t="s">
        <v>6875</v>
      </c>
      <c r="G14" s="562" t="s">
        <v>6934</v>
      </c>
      <c r="H14" s="562" t="s">
        <v>6935</v>
      </c>
      <c r="I14" s="562" t="s">
        <v>6936</v>
      </c>
      <c r="J14" s="562" t="s">
        <v>6937</v>
      </c>
      <c r="K14" s="562">
        <v>4.0</v>
      </c>
      <c r="L14" s="562" t="s">
        <v>1189</v>
      </c>
    </row>
    <row r="15">
      <c r="A15" s="562" t="s">
        <v>6919</v>
      </c>
      <c r="B15" s="563">
        <v>0.4024074074074074</v>
      </c>
      <c r="C15" s="562" t="s">
        <v>6938</v>
      </c>
      <c r="D15" s="284"/>
      <c r="E15" s="562">
        <v>923121026058</v>
      </c>
      <c r="F15" s="562" t="s">
        <v>6939</v>
      </c>
      <c r="G15" s="562" t="s">
        <v>6940</v>
      </c>
      <c r="H15" s="562" t="s">
        <v>6941</v>
      </c>
      <c r="I15" s="562" t="s">
        <v>6942</v>
      </c>
      <c r="J15" s="562" t="s">
        <v>6943</v>
      </c>
      <c r="K15" s="562">
        <v>4.0</v>
      </c>
      <c r="L15" s="562" t="s">
        <v>6944</v>
      </c>
    </row>
    <row r="16">
      <c r="A16" s="562" t="s">
        <v>6919</v>
      </c>
      <c r="B16" s="563">
        <v>0.4027777777777778</v>
      </c>
      <c r="C16" s="562" t="s">
        <v>6945</v>
      </c>
      <c r="D16" s="284"/>
      <c r="E16" s="562">
        <v>923378605705</v>
      </c>
      <c r="F16" s="562" t="s">
        <v>6939</v>
      </c>
      <c r="G16" s="562" t="s">
        <v>6946</v>
      </c>
      <c r="H16" s="562" t="s">
        <v>6947</v>
      </c>
      <c r="I16" s="562" t="s">
        <v>6948</v>
      </c>
      <c r="J16" s="562" t="s">
        <v>6949</v>
      </c>
      <c r="K16" s="562">
        <v>4.0</v>
      </c>
      <c r="L16" s="562" t="s">
        <v>376</v>
      </c>
    </row>
    <row r="17">
      <c r="A17" s="562" t="s">
        <v>6919</v>
      </c>
      <c r="B17" s="563">
        <v>0.40348379629629627</v>
      </c>
      <c r="C17" s="562" t="s">
        <v>6950</v>
      </c>
      <c r="D17" s="284"/>
      <c r="E17" s="562">
        <v>923332501730</v>
      </c>
      <c r="F17" s="562" t="s">
        <v>6939</v>
      </c>
      <c r="G17" s="562" t="s">
        <v>6951</v>
      </c>
      <c r="H17" s="562" t="s">
        <v>6952</v>
      </c>
      <c r="I17" s="562" t="s">
        <v>6953</v>
      </c>
      <c r="J17" s="562" t="s">
        <v>6954</v>
      </c>
      <c r="K17" s="562">
        <v>4.0</v>
      </c>
      <c r="L17" s="562" t="s">
        <v>696</v>
      </c>
    </row>
    <row r="18">
      <c r="A18" s="562" t="s">
        <v>6919</v>
      </c>
      <c r="B18" s="563">
        <v>0.40524305555555556</v>
      </c>
      <c r="C18" s="562" t="s">
        <v>6955</v>
      </c>
      <c r="D18" s="284"/>
      <c r="E18" s="562">
        <f>923087077341</f>
        <v>923087077341</v>
      </c>
      <c r="F18" s="562" t="s">
        <v>6888</v>
      </c>
      <c r="G18" s="562" t="s">
        <v>6956</v>
      </c>
      <c r="H18" s="562" t="s">
        <v>6957</v>
      </c>
      <c r="I18" s="562" t="s">
        <v>6958</v>
      </c>
      <c r="J18" s="562" t="s">
        <v>6959</v>
      </c>
      <c r="K18" s="562">
        <v>4.0</v>
      </c>
      <c r="L18" s="562" t="s">
        <v>6944</v>
      </c>
    </row>
    <row r="19">
      <c r="A19" s="562" t="s">
        <v>6919</v>
      </c>
      <c r="B19" s="563">
        <v>0.4053703703703704</v>
      </c>
      <c r="C19" s="562" t="s">
        <v>6960</v>
      </c>
      <c r="D19" s="284"/>
      <c r="E19" s="562">
        <f>923347961168</f>
        <v>923347961168</v>
      </c>
      <c r="F19" s="562" t="s">
        <v>6875</v>
      </c>
      <c r="G19" s="562" t="s">
        <v>6961</v>
      </c>
      <c r="H19" s="562" t="s">
        <v>6962</v>
      </c>
      <c r="I19" s="562" t="s">
        <v>6963</v>
      </c>
      <c r="J19" s="562" t="s">
        <v>6964</v>
      </c>
      <c r="K19" s="562">
        <v>4.0</v>
      </c>
      <c r="L19" s="562" t="s">
        <v>6965</v>
      </c>
    </row>
    <row r="20">
      <c r="A20" s="562" t="s">
        <v>6919</v>
      </c>
      <c r="B20" s="563">
        <v>0.43539351851851854</v>
      </c>
      <c r="C20" s="562" t="s">
        <v>6966</v>
      </c>
      <c r="D20" s="284"/>
      <c r="E20" s="562">
        <v>923123581532</v>
      </c>
      <c r="F20" s="562" t="s">
        <v>6939</v>
      </c>
      <c r="G20" s="562" t="s">
        <v>6967</v>
      </c>
      <c r="H20" s="562" t="s">
        <v>6968</v>
      </c>
      <c r="I20" s="562" t="s">
        <v>6969</v>
      </c>
      <c r="J20" s="562" t="s">
        <v>6970</v>
      </c>
      <c r="K20" s="562">
        <v>4.0</v>
      </c>
      <c r="L20" s="562" t="s">
        <v>376</v>
      </c>
    </row>
    <row r="21">
      <c r="A21" s="562" t="s">
        <v>6919</v>
      </c>
      <c r="B21" s="563">
        <v>0.44306712962962963</v>
      </c>
      <c r="C21" s="562" t="s">
        <v>6971</v>
      </c>
      <c r="D21" s="284"/>
      <c r="E21" s="562">
        <v>923092333364</v>
      </c>
      <c r="F21" s="562" t="s">
        <v>6939</v>
      </c>
      <c r="G21" s="562" t="s">
        <v>6972</v>
      </c>
      <c r="H21" s="562" t="s">
        <v>6973</v>
      </c>
      <c r="I21" s="562" t="s">
        <v>6974</v>
      </c>
      <c r="J21" s="562" t="s">
        <v>6975</v>
      </c>
      <c r="K21" s="562">
        <v>4.0</v>
      </c>
      <c r="L21" s="562" t="s">
        <v>6976</v>
      </c>
    </row>
    <row r="22">
      <c r="A22" s="562" t="s">
        <v>6919</v>
      </c>
      <c r="B22" s="563">
        <v>0.4658333333333333</v>
      </c>
      <c r="C22" s="562" t="s">
        <v>6977</v>
      </c>
      <c r="D22" s="284"/>
      <c r="E22" s="562">
        <v>923369192306</v>
      </c>
      <c r="F22" s="562" t="s">
        <v>6939</v>
      </c>
      <c r="G22" s="562" t="s">
        <v>6978</v>
      </c>
      <c r="H22" s="562" t="s">
        <v>6979</v>
      </c>
      <c r="I22" s="562" t="s">
        <v>6974</v>
      </c>
      <c r="J22" s="562" t="s">
        <v>6980</v>
      </c>
      <c r="K22" s="562">
        <v>4.0</v>
      </c>
      <c r="L22" s="562" t="s">
        <v>376</v>
      </c>
    </row>
    <row r="23">
      <c r="A23" s="562" t="s">
        <v>6919</v>
      </c>
      <c r="B23" s="563">
        <v>0.48711805555555554</v>
      </c>
      <c r="C23" s="562" t="s">
        <v>6981</v>
      </c>
      <c r="D23" s="284"/>
      <c r="E23" s="562">
        <v>923307374748</v>
      </c>
      <c r="F23" s="562" t="s">
        <v>6982</v>
      </c>
      <c r="G23" s="562" t="s">
        <v>6983</v>
      </c>
      <c r="H23" s="562" t="s">
        <v>6984</v>
      </c>
      <c r="I23" s="562" t="s">
        <v>6985</v>
      </c>
      <c r="J23" s="562" t="s">
        <v>6986</v>
      </c>
      <c r="K23" s="562">
        <v>4.0</v>
      </c>
      <c r="L23" s="562" t="s">
        <v>6987</v>
      </c>
    </row>
    <row r="24">
      <c r="A24" s="562" t="s">
        <v>6919</v>
      </c>
      <c r="B24" s="563">
        <v>0.5074189814814815</v>
      </c>
      <c r="C24" s="562" t="s">
        <v>6988</v>
      </c>
      <c r="D24" s="284"/>
      <c r="E24" s="562">
        <f>923291058492</f>
        <v>923291058492</v>
      </c>
      <c r="F24" s="562" t="s">
        <v>6982</v>
      </c>
      <c r="G24" s="562" t="s">
        <v>6983</v>
      </c>
      <c r="H24" s="562" t="s">
        <v>6989</v>
      </c>
      <c r="I24" s="562" t="s">
        <v>6990</v>
      </c>
      <c r="J24" s="562" t="s">
        <v>6991</v>
      </c>
      <c r="K24" s="562">
        <v>4.0</v>
      </c>
      <c r="L24" s="562" t="s">
        <v>6992</v>
      </c>
    </row>
    <row r="25">
      <c r="A25" s="562" t="s">
        <v>6919</v>
      </c>
      <c r="B25" s="563">
        <v>0.5264930555555556</v>
      </c>
      <c r="C25" s="562" t="s">
        <v>6993</v>
      </c>
      <c r="D25" s="284"/>
      <c r="E25" s="562">
        <v>923435057300</v>
      </c>
      <c r="F25" s="562" t="s">
        <v>6939</v>
      </c>
      <c r="G25" s="562" t="s">
        <v>6994</v>
      </c>
      <c r="H25" s="562" t="s">
        <v>6995</v>
      </c>
      <c r="I25" s="562" t="s">
        <v>6996</v>
      </c>
      <c r="J25" s="562" t="s">
        <v>6997</v>
      </c>
      <c r="K25" s="562">
        <v>4.0</v>
      </c>
      <c r="L25" s="562" t="s">
        <v>376</v>
      </c>
    </row>
    <row r="26">
      <c r="A26" s="562" t="s">
        <v>6919</v>
      </c>
      <c r="B26" s="563">
        <v>0.5339236111111111</v>
      </c>
      <c r="C26" s="562" t="s">
        <v>6998</v>
      </c>
      <c r="D26" s="284"/>
      <c r="E26" s="562">
        <v>923364442014</v>
      </c>
      <c r="F26" s="562" t="s">
        <v>6939</v>
      </c>
      <c r="G26" s="562" t="s">
        <v>6999</v>
      </c>
      <c r="H26" s="562" t="s">
        <v>7000</v>
      </c>
      <c r="I26" s="562" t="s">
        <v>7001</v>
      </c>
      <c r="J26" s="562" t="s">
        <v>7002</v>
      </c>
      <c r="K26" s="562">
        <v>4.0</v>
      </c>
      <c r="L26" s="562" t="s">
        <v>376</v>
      </c>
    </row>
    <row r="27">
      <c r="A27" s="562" t="s">
        <v>6919</v>
      </c>
      <c r="B27" s="563">
        <v>0.6078587962962962</v>
      </c>
      <c r="C27" s="562" t="s">
        <v>7003</v>
      </c>
      <c r="D27" s="284"/>
      <c r="E27" s="562">
        <v>923244258263</v>
      </c>
      <c r="F27" s="562" t="s">
        <v>6875</v>
      </c>
      <c r="G27" s="562" t="s">
        <v>7004</v>
      </c>
      <c r="H27" s="562" t="s">
        <v>7005</v>
      </c>
      <c r="I27" s="562" t="s">
        <v>7006</v>
      </c>
      <c r="J27" s="562" t="s">
        <v>7007</v>
      </c>
      <c r="K27" s="562">
        <v>4.0</v>
      </c>
      <c r="L27" s="562" t="s">
        <v>7008</v>
      </c>
    </row>
    <row r="28">
      <c r="A28" s="562" t="s">
        <v>6919</v>
      </c>
      <c r="B28" s="563">
        <v>0.6236689814814815</v>
      </c>
      <c r="C28" s="562" t="s">
        <v>7009</v>
      </c>
      <c r="D28" s="284"/>
      <c r="E28" s="562">
        <v>923213247483</v>
      </c>
      <c r="F28" s="562" t="s">
        <v>6939</v>
      </c>
      <c r="G28" s="562" t="s">
        <v>7010</v>
      </c>
      <c r="H28" s="562" t="s">
        <v>7011</v>
      </c>
      <c r="I28" s="562" t="s">
        <v>7012</v>
      </c>
      <c r="J28" s="562" t="s">
        <v>7013</v>
      </c>
      <c r="K28" s="562">
        <v>4.0</v>
      </c>
      <c r="L28" s="562" t="s">
        <v>376</v>
      </c>
    </row>
    <row r="29">
      <c r="A29" s="562" t="s">
        <v>6919</v>
      </c>
      <c r="B29" s="563">
        <v>0.6723611111111111</v>
      </c>
      <c r="C29" s="562" t="s">
        <v>7014</v>
      </c>
      <c r="D29" s="284"/>
      <c r="E29" s="562">
        <v>923452264988</v>
      </c>
      <c r="F29" s="562" t="s">
        <v>6939</v>
      </c>
      <c r="G29" s="562" t="s">
        <v>7015</v>
      </c>
      <c r="H29" s="562" t="s">
        <v>7016</v>
      </c>
      <c r="I29" s="562" t="s">
        <v>7017</v>
      </c>
      <c r="J29" s="562" t="s">
        <v>7018</v>
      </c>
      <c r="K29" s="562">
        <v>4.0</v>
      </c>
      <c r="L29" s="562" t="s">
        <v>376</v>
      </c>
    </row>
    <row r="30">
      <c r="A30" s="562" t="s">
        <v>6919</v>
      </c>
      <c r="B30" s="563">
        <v>0.6972569444444444</v>
      </c>
      <c r="C30" s="562" t="s">
        <v>7019</v>
      </c>
      <c r="D30" s="284"/>
      <c r="E30" s="562">
        <v>923212277841</v>
      </c>
      <c r="F30" s="562" t="s">
        <v>6939</v>
      </c>
      <c r="G30" s="562" t="s">
        <v>7020</v>
      </c>
      <c r="H30" s="562" t="s">
        <v>7021</v>
      </c>
      <c r="I30" s="562" t="s">
        <v>7022</v>
      </c>
      <c r="J30" s="562" t="s">
        <v>7023</v>
      </c>
      <c r="K30" s="562">
        <v>4.0</v>
      </c>
      <c r="L30" s="562" t="s">
        <v>376</v>
      </c>
    </row>
    <row r="31">
      <c r="A31" s="562" t="s">
        <v>7024</v>
      </c>
      <c r="B31" s="563">
        <v>0.40324074074074073</v>
      </c>
      <c r="C31" s="562" t="s">
        <v>7025</v>
      </c>
      <c r="D31" s="284"/>
      <c r="E31" s="562">
        <f>923365517030</f>
        <v>923365517030</v>
      </c>
      <c r="F31" s="562" t="s">
        <v>6875</v>
      </c>
      <c r="G31" s="562" t="s">
        <v>7026</v>
      </c>
      <c r="H31" s="562" t="s">
        <v>7027</v>
      </c>
      <c r="I31" s="562" t="s">
        <v>7028</v>
      </c>
      <c r="J31" s="562" t="s">
        <v>7029</v>
      </c>
      <c r="K31" s="562">
        <v>4.0</v>
      </c>
      <c r="L31" s="562" t="s">
        <v>7030</v>
      </c>
    </row>
    <row r="32">
      <c r="A32" s="562" t="s">
        <v>7024</v>
      </c>
      <c r="B32" s="563">
        <v>0.4033217592592593</v>
      </c>
      <c r="C32" s="562" t="s">
        <v>7031</v>
      </c>
      <c r="D32" s="284"/>
      <c r="E32" s="562">
        <v>923201100777</v>
      </c>
      <c r="F32" s="562" t="s">
        <v>6939</v>
      </c>
      <c r="G32" s="562" t="s">
        <v>7032</v>
      </c>
      <c r="H32" s="562" t="s">
        <v>7033</v>
      </c>
      <c r="I32" s="562" t="s">
        <v>7034</v>
      </c>
      <c r="J32" s="562" t="s">
        <v>7035</v>
      </c>
      <c r="K32" s="562">
        <v>4.0</v>
      </c>
      <c r="L32" s="284"/>
    </row>
    <row r="33">
      <c r="A33" s="562" t="s">
        <v>7024</v>
      </c>
      <c r="B33" s="563">
        <v>0.4035648148148148</v>
      </c>
      <c r="C33" s="562" t="s">
        <v>7036</v>
      </c>
      <c r="D33" s="284"/>
      <c r="E33" s="562">
        <v>923429886852</v>
      </c>
      <c r="F33" s="562" t="s">
        <v>6939</v>
      </c>
      <c r="G33" s="562" t="s">
        <v>7037</v>
      </c>
      <c r="H33" s="562" t="s">
        <v>7038</v>
      </c>
      <c r="I33" s="562" t="s">
        <v>7039</v>
      </c>
      <c r="J33" s="562" t="s">
        <v>7040</v>
      </c>
      <c r="K33" s="562">
        <v>4.0</v>
      </c>
      <c r="L33" s="562" t="s">
        <v>376</v>
      </c>
    </row>
    <row r="34">
      <c r="A34" s="562" t="s">
        <v>7024</v>
      </c>
      <c r="B34" s="563">
        <v>0.4055324074074074</v>
      </c>
      <c r="C34" s="562" t="s">
        <v>7041</v>
      </c>
      <c r="D34" s="284"/>
      <c r="E34" s="562">
        <v>923258000707</v>
      </c>
      <c r="F34" s="562" t="s">
        <v>6939</v>
      </c>
      <c r="G34" s="562" t="s">
        <v>7042</v>
      </c>
      <c r="H34" s="562" t="s">
        <v>7043</v>
      </c>
      <c r="I34" s="562" t="s">
        <v>7044</v>
      </c>
      <c r="J34" s="562" t="s">
        <v>7045</v>
      </c>
      <c r="K34" s="562">
        <v>4.0</v>
      </c>
      <c r="L34" s="284"/>
    </row>
    <row r="35">
      <c r="A35" s="562" t="s">
        <v>7024</v>
      </c>
      <c r="B35" s="563">
        <v>0.4057175925925926</v>
      </c>
      <c r="C35" s="562" t="s">
        <v>7046</v>
      </c>
      <c r="D35" s="284"/>
      <c r="E35" s="562">
        <v>923094993153</v>
      </c>
      <c r="F35" s="562" t="s">
        <v>6939</v>
      </c>
      <c r="G35" s="562" t="s">
        <v>7047</v>
      </c>
      <c r="H35" s="562" t="s">
        <v>7048</v>
      </c>
      <c r="I35" s="562" t="s">
        <v>7049</v>
      </c>
      <c r="J35" s="562" t="s">
        <v>7050</v>
      </c>
      <c r="K35" s="562">
        <v>4.0</v>
      </c>
      <c r="L35" s="562" t="s">
        <v>685</v>
      </c>
    </row>
    <row r="36">
      <c r="A36" s="562" t="s">
        <v>7024</v>
      </c>
      <c r="B36" s="563">
        <v>0.40586805555555555</v>
      </c>
      <c r="C36" s="562" t="s">
        <v>7051</v>
      </c>
      <c r="D36" s="284"/>
      <c r="E36" s="562">
        <v>923199666833</v>
      </c>
      <c r="F36" s="562" t="s">
        <v>6939</v>
      </c>
      <c r="G36" s="562" t="s">
        <v>7052</v>
      </c>
      <c r="H36" s="562" t="s">
        <v>7053</v>
      </c>
      <c r="I36" s="562" t="s">
        <v>7054</v>
      </c>
      <c r="J36" s="562" t="s">
        <v>7055</v>
      </c>
      <c r="K36" s="562">
        <v>4.0</v>
      </c>
      <c r="L36" s="562" t="s">
        <v>7056</v>
      </c>
    </row>
    <row r="37">
      <c r="A37" s="562" t="s">
        <v>7024</v>
      </c>
      <c r="B37" s="563">
        <v>0.4059375</v>
      </c>
      <c r="C37" s="562" t="s">
        <v>7057</v>
      </c>
      <c r="D37" s="284"/>
      <c r="E37" s="562">
        <v>923197903545</v>
      </c>
      <c r="F37" s="562" t="s">
        <v>6939</v>
      </c>
      <c r="G37" s="562" t="s">
        <v>7058</v>
      </c>
      <c r="H37" s="562" t="s">
        <v>7059</v>
      </c>
      <c r="I37" s="562" t="s">
        <v>7060</v>
      </c>
      <c r="J37" s="562" t="s">
        <v>7061</v>
      </c>
      <c r="K37" s="562">
        <v>4.0</v>
      </c>
      <c r="L37" s="562" t="s">
        <v>376</v>
      </c>
    </row>
    <row r="38">
      <c r="A38" s="562" t="s">
        <v>7024</v>
      </c>
      <c r="B38" s="563">
        <v>0.41122685185185187</v>
      </c>
      <c r="C38" s="562" t="s">
        <v>7062</v>
      </c>
      <c r="D38" s="284"/>
      <c r="E38" s="562">
        <v>923213788326</v>
      </c>
      <c r="F38" s="562" t="s">
        <v>6939</v>
      </c>
      <c r="G38" s="562" t="s">
        <v>7063</v>
      </c>
      <c r="H38" s="562" t="s">
        <v>7064</v>
      </c>
      <c r="I38" s="562" t="s">
        <v>7065</v>
      </c>
      <c r="J38" s="562" t="s">
        <v>7066</v>
      </c>
      <c r="K38" s="562">
        <v>4.0</v>
      </c>
      <c r="L38" s="562" t="s">
        <v>7067</v>
      </c>
    </row>
    <row r="39">
      <c r="A39" s="562" t="s">
        <v>7024</v>
      </c>
      <c r="B39" s="563">
        <v>0.41130787037037037</v>
      </c>
      <c r="C39" s="562" t="s">
        <v>7068</v>
      </c>
      <c r="D39" s="284"/>
      <c r="E39" s="562">
        <v>923489923053</v>
      </c>
      <c r="F39" s="562" t="s">
        <v>6939</v>
      </c>
      <c r="G39" s="562" t="s">
        <v>7069</v>
      </c>
      <c r="H39" s="562" t="s">
        <v>7070</v>
      </c>
      <c r="I39" s="562" t="s">
        <v>7071</v>
      </c>
      <c r="J39" s="562" t="s">
        <v>7072</v>
      </c>
      <c r="K39" s="562">
        <v>4.0</v>
      </c>
      <c r="L39" s="562" t="s">
        <v>376</v>
      </c>
    </row>
    <row r="40">
      <c r="A40" s="562" t="s">
        <v>7024</v>
      </c>
      <c r="B40" s="563">
        <v>0.4113773148148148</v>
      </c>
      <c r="C40" s="562" t="s">
        <v>7073</v>
      </c>
      <c r="D40" s="284"/>
      <c r="E40" s="562">
        <v>923337720780</v>
      </c>
      <c r="F40" s="562" t="s">
        <v>6875</v>
      </c>
      <c r="G40" s="562" t="s">
        <v>7074</v>
      </c>
      <c r="H40" s="284"/>
      <c r="I40" s="562" t="s">
        <v>7075</v>
      </c>
      <c r="J40" s="562" t="s">
        <v>7076</v>
      </c>
      <c r="K40" s="562">
        <v>3.0</v>
      </c>
      <c r="L40" s="562" t="s">
        <v>152</v>
      </c>
    </row>
    <row r="41">
      <c r="A41" s="562" t="s">
        <v>7024</v>
      </c>
      <c r="B41" s="563">
        <v>0.4114583333333333</v>
      </c>
      <c r="C41" s="562" t="s">
        <v>7077</v>
      </c>
      <c r="D41" s="284"/>
      <c r="E41" s="562">
        <v>923056166174</v>
      </c>
      <c r="F41" s="562" t="s">
        <v>6875</v>
      </c>
      <c r="G41" s="562" t="s">
        <v>7078</v>
      </c>
      <c r="H41" s="562" t="s">
        <v>7079</v>
      </c>
      <c r="I41" s="562" t="s">
        <v>7080</v>
      </c>
      <c r="J41" s="562" t="s">
        <v>7081</v>
      </c>
      <c r="K41" s="562">
        <v>4.0</v>
      </c>
      <c r="L41" s="562" t="s">
        <v>7082</v>
      </c>
    </row>
    <row r="42">
      <c r="A42" s="562" t="s">
        <v>7024</v>
      </c>
      <c r="B42" s="563">
        <v>0.41152777777777777</v>
      </c>
      <c r="C42" s="562" t="s">
        <v>7083</v>
      </c>
      <c r="D42" s="284"/>
      <c r="E42" s="562">
        <v>923355221576</v>
      </c>
      <c r="F42" s="562" t="s">
        <v>6875</v>
      </c>
      <c r="G42" s="562" t="s">
        <v>7084</v>
      </c>
      <c r="H42" s="284"/>
      <c r="I42" s="562" t="s">
        <v>7085</v>
      </c>
      <c r="J42" s="562" t="s">
        <v>7086</v>
      </c>
      <c r="K42" s="562">
        <v>3.0</v>
      </c>
      <c r="L42" s="562" t="s">
        <v>7087</v>
      </c>
    </row>
    <row r="43">
      <c r="A43" s="562" t="s">
        <v>7024</v>
      </c>
      <c r="B43" s="563">
        <v>0.4129861111111111</v>
      </c>
      <c r="C43" s="562" t="s">
        <v>7088</v>
      </c>
      <c r="D43" s="284"/>
      <c r="E43" s="562">
        <v>923314349745</v>
      </c>
      <c r="F43" s="562" t="s">
        <v>6939</v>
      </c>
      <c r="G43" s="562" t="s">
        <v>7089</v>
      </c>
      <c r="H43" s="562" t="s">
        <v>7090</v>
      </c>
      <c r="I43" s="562" t="s">
        <v>7091</v>
      </c>
      <c r="J43" s="562" t="s">
        <v>7092</v>
      </c>
      <c r="K43" s="562">
        <v>4.0</v>
      </c>
      <c r="L43" s="562" t="s">
        <v>696</v>
      </c>
    </row>
    <row r="44">
      <c r="A44" s="562" t="s">
        <v>7024</v>
      </c>
      <c r="B44" s="563">
        <v>0.41356481481481483</v>
      </c>
      <c r="C44" s="562" t="s">
        <v>7093</v>
      </c>
      <c r="D44" s="284"/>
      <c r="E44" s="562">
        <v>923280067053</v>
      </c>
      <c r="F44" s="562" t="s">
        <v>6875</v>
      </c>
      <c r="G44" s="562" t="s">
        <v>7094</v>
      </c>
      <c r="H44" s="284"/>
      <c r="I44" s="562" t="s">
        <v>7095</v>
      </c>
      <c r="J44" s="562" t="s">
        <v>7096</v>
      </c>
      <c r="K44" s="562">
        <v>3.0</v>
      </c>
      <c r="L44" s="562" t="s">
        <v>372</v>
      </c>
    </row>
    <row r="45">
      <c r="A45" s="562" t="s">
        <v>7024</v>
      </c>
      <c r="B45" s="563">
        <v>0.41378472222222223</v>
      </c>
      <c r="C45" s="562" t="s">
        <v>7097</v>
      </c>
      <c r="D45" s="284"/>
      <c r="E45" s="562">
        <v>923270501737</v>
      </c>
      <c r="F45" s="562" t="s">
        <v>6875</v>
      </c>
      <c r="G45" s="562" t="s">
        <v>7098</v>
      </c>
      <c r="H45" s="284"/>
      <c r="I45" s="562" t="s">
        <v>7099</v>
      </c>
      <c r="J45" s="562" t="s">
        <v>7100</v>
      </c>
      <c r="K45" s="562">
        <v>3.0</v>
      </c>
      <c r="L45" s="562" t="s">
        <v>372</v>
      </c>
    </row>
    <row r="46">
      <c r="A46" s="562" t="s">
        <v>7024</v>
      </c>
      <c r="B46" s="563">
        <v>0.41400462962962964</v>
      </c>
      <c r="C46" s="562" t="s">
        <v>7101</v>
      </c>
      <c r="D46" s="284"/>
      <c r="E46" s="562">
        <v>923192191741</v>
      </c>
      <c r="F46" s="562" t="s">
        <v>6875</v>
      </c>
      <c r="G46" s="562" t="s">
        <v>7102</v>
      </c>
      <c r="H46" s="284"/>
      <c r="I46" s="562" t="s">
        <v>7103</v>
      </c>
      <c r="J46" s="562" t="s">
        <v>7104</v>
      </c>
      <c r="K46" s="562">
        <v>3.0</v>
      </c>
      <c r="L46" s="562" t="s">
        <v>7105</v>
      </c>
    </row>
    <row r="47">
      <c r="A47" s="562" t="s">
        <v>7024</v>
      </c>
      <c r="B47" s="563">
        <v>0.4142708333333333</v>
      </c>
      <c r="C47" s="562" t="s">
        <v>7106</v>
      </c>
      <c r="D47" s="284"/>
      <c r="E47" s="562">
        <v>923339700821</v>
      </c>
      <c r="F47" s="562" t="s">
        <v>6939</v>
      </c>
      <c r="G47" s="562" t="s">
        <v>7107</v>
      </c>
      <c r="H47" s="562" t="s">
        <v>7108</v>
      </c>
      <c r="I47" s="562" t="s">
        <v>7109</v>
      </c>
      <c r="J47" s="562" t="s">
        <v>7110</v>
      </c>
      <c r="K47" s="562">
        <v>4.0</v>
      </c>
      <c r="L47" s="562" t="s">
        <v>376</v>
      </c>
    </row>
    <row r="48">
      <c r="A48" s="562" t="s">
        <v>7024</v>
      </c>
      <c r="B48" s="563">
        <v>0.4146875</v>
      </c>
      <c r="C48" s="562" t="s">
        <v>7111</v>
      </c>
      <c r="D48" s="284"/>
      <c r="E48" s="562">
        <v>923163350515</v>
      </c>
      <c r="F48" s="562" t="s">
        <v>6875</v>
      </c>
      <c r="G48" s="562" t="s">
        <v>7112</v>
      </c>
      <c r="H48" s="284"/>
      <c r="I48" s="284"/>
      <c r="J48" s="562" t="s">
        <v>7113</v>
      </c>
      <c r="K48" s="562">
        <v>2.0</v>
      </c>
      <c r="L48" s="562" t="s">
        <v>7114</v>
      </c>
    </row>
    <row r="49">
      <c r="A49" s="562" t="s">
        <v>7024</v>
      </c>
      <c r="B49" s="563">
        <v>0.4153703703703704</v>
      </c>
      <c r="C49" s="562" t="s">
        <v>7115</v>
      </c>
      <c r="D49" s="284"/>
      <c r="E49" s="562">
        <v>923279701476</v>
      </c>
      <c r="F49" s="562" t="s">
        <v>6939</v>
      </c>
      <c r="G49" s="562" t="s">
        <v>7116</v>
      </c>
      <c r="H49" s="562" t="s">
        <v>7117</v>
      </c>
      <c r="I49" s="562" t="s">
        <v>7118</v>
      </c>
      <c r="J49" s="562" t="s">
        <v>7119</v>
      </c>
      <c r="K49" s="562">
        <v>4.0</v>
      </c>
      <c r="L49" s="562" t="s">
        <v>696</v>
      </c>
    </row>
    <row r="50">
      <c r="A50" s="562" t="s">
        <v>7024</v>
      </c>
      <c r="B50" s="563">
        <v>0.4154861111111111</v>
      </c>
      <c r="C50" s="562" t="s">
        <v>7120</v>
      </c>
      <c r="D50" s="284"/>
      <c r="E50" s="562">
        <v>923449404672</v>
      </c>
      <c r="F50" s="562" t="s">
        <v>6939</v>
      </c>
      <c r="G50" s="562" t="s">
        <v>7121</v>
      </c>
      <c r="H50" s="562" t="s">
        <v>7122</v>
      </c>
      <c r="I50" s="562" t="s">
        <v>7123</v>
      </c>
      <c r="J50" s="562" t="s">
        <v>7124</v>
      </c>
      <c r="K50" s="562">
        <v>4.0</v>
      </c>
      <c r="L50" s="562" t="s">
        <v>376</v>
      </c>
    </row>
    <row r="51">
      <c r="A51" s="562" t="s">
        <v>7024</v>
      </c>
      <c r="B51" s="563">
        <v>0.41563657407407406</v>
      </c>
      <c r="C51" s="562" t="s">
        <v>7125</v>
      </c>
      <c r="D51" s="284"/>
      <c r="E51" s="562">
        <v>923239793836</v>
      </c>
      <c r="F51" s="562" t="s">
        <v>6939</v>
      </c>
      <c r="G51" s="562" t="s">
        <v>7126</v>
      </c>
      <c r="H51" s="562" t="s">
        <v>7127</v>
      </c>
      <c r="I51" s="562" t="s">
        <v>7128</v>
      </c>
      <c r="J51" s="562" t="s">
        <v>7129</v>
      </c>
      <c r="K51" s="562">
        <v>4.0</v>
      </c>
      <c r="L51" s="562" t="s">
        <v>376</v>
      </c>
    </row>
    <row r="52">
      <c r="A52" s="562" t="s">
        <v>7024</v>
      </c>
      <c r="B52" s="563">
        <v>0.41585648148148147</v>
      </c>
      <c r="C52" s="562" t="s">
        <v>7130</v>
      </c>
      <c r="D52" s="284"/>
      <c r="E52" s="562">
        <v>923291435972</v>
      </c>
      <c r="F52" s="562" t="s">
        <v>6875</v>
      </c>
      <c r="G52" s="284"/>
      <c r="H52" s="562" t="s">
        <v>7131</v>
      </c>
      <c r="I52" s="562" t="s">
        <v>7132</v>
      </c>
      <c r="J52" s="562" t="s">
        <v>7133</v>
      </c>
      <c r="K52" s="562">
        <v>3.0</v>
      </c>
      <c r="L52" s="562" t="s">
        <v>372</v>
      </c>
    </row>
    <row r="53">
      <c r="A53" s="562" t="s">
        <v>7024</v>
      </c>
      <c r="B53" s="563">
        <v>0.41604166666666664</v>
      </c>
      <c r="C53" s="562" t="s">
        <v>7134</v>
      </c>
      <c r="D53" s="284"/>
      <c r="E53" s="562">
        <v>923234829933</v>
      </c>
      <c r="F53" s="562" t="s">
        <v>6875</v>
      </c>
      <c r="G53" s="284"/>
      <c r="H53" s="562" t="s">
        <v>7135</v>
      </c>
      <c r="I53" s="562" t="s">
        <v>7136</v>
      </c>
      <c r="J53" s="562" t="s">
        <v>7137</v>
      </c>
      <c r="K53" s="562">
        <v>3.0</v>
      </c>
      <c r="L53" s="562" t="s">
        <v>7138</v>
      </c>
    </row>
    <row r="54">
      <c r="A54" s="562" t="s">
        <v>7024</v>
      </c>
      <c r="B54" s="563">
        <v>0.4162152777777778</v>
      </c>
      <c r="C54" s="562" t="s">
        <v>7139</v>
      </c>
      <c r="D54" s="284"/>
      <c r="E54" s="562">
        <v>923002325473</v>
      </c>
      <c r="F54" s="562" t="s">
        <v>6875</v>
      </c>
      <c r="G54" s="562" t="s">
        <v>7140</v>
      </c>
      <c r="H54" s="562" t="s">
        <v>7141</v>
      </c>
      <c r="I54" s="284"/>
      <c r="J54" s="562" t="s">
        <v>7142</v>
      </c>
      <c r="K54" s="562">
        <v>3.0</v>
      </c>
      <c r="L54" s="562" t="s">
        <v>152</v>
      </c>
    </row>
    <row r="55">
      <c r="A55" s="562" t="s">
        <v>7024</v>
      </c>
      <c r="B55" s="563">
        <v>0.41628472222222224</v>
      </c>
      <c r="C55" s="562" t="s">
        <v>7143</v>
      </c>
      <c r="D55" s="284"/>
      <c r="E55" s="562">
        <v>923032502448</v>
      </c>
      <c r="F55" s="562" t="s">
        <v>6875</v>
      </c>
      <c r="G55" s="284"/>
      <c r="H55" s="562" t="s">
        <v>7144</v>
      </c>
      <c r="I55" s="562" t="s">
        <v>7145</v>
      </c>
      <c r="J55" s="562" t="s">
        <v>7146</v>
      </c>
      <c r="K55" s="562">
        <v>3.0</v>
      </c>
      <c r="L55" s="562" t="s">
        <v>7147</v>
      </c>
    </row>
    <row r="56">
      <c r="A56" s="562" t="s">
        <v>7024</v>
      </c>
      <c r="B56" s="563">
        <v>0.42574074074074075</v>
      </c>
      <c r="C56" s="562" t="s">
        <v>5639</v>
      </c>
      <c r="D56" s="284"/>
      <c r="E56" s="562">
        <v>923134518032</v>
      </c>
      <c r="F56" s="562" t="s">
        <v>6939</v>
      </c>
      <c r="G56" s="562" t="s">
        <v>7148</v>
      </c>
      <c r="H56" s="562" t="s">
        <v>7149</v>
      </c>
      <c r="I56" s="562" t="s">
        <v>7150</v>
      </c>
      <c r="J56" s="562" t="s">
        <v>7151</v>
      </c>
      <c r="K56" s="562">
        <v>4.0</v>
      </c>
      <c r="L56" s="562" t="s">
        <v>376</v>
      </c>
    </row>
    <row r="57">
      <c r="A57" s="562" t="s">
        <v>7024</v>
      </c>
      <c r="B57" s="563">
        <v>0.42582175925925925</v>
      </c>
      <c r="C57" s="562" t="s">
        <v>7152</v>
      </c>
      <c r="D57" s="284"/>
      <c r="E57" s="562">
        <v>923299020702</v>
      </c>
      <c r="F57" s="562" t="s">
        <v>6875</v>
      </c>
      <c r="G57" s="284"/>
      <c r="H57" s="562" t="s">
        <v>7153</v>
      </c>
      <c r="I57" s="562" t="s">
        <v>7154</v>
      </c>
      <c r="J57" s="562" t="s">
        <v>7155</v>
      </c>
      <c r="K57" s="562">
        <v>3.0</v>
      </c>
      <c r="L57" s="562" t="s">
        <v>372</v>
      </c>
    </row>
    <row r="58">
      <c r="A58" s="562" t="s">
        <v>7024</v>
      </c>
      <c r="B58" s="563">
        <v>0.4282638888888889</v>
      </c>
      <c r="C58" s="562" t="s">
        <v>7156</v>
      </c>
      <c r="D58" s="284"/>
      <c r="E58" s="562">
        <v>923159590408</v>
      </c>
      <c r="F58" s="562" t="s">
        <v>6875</v>
      </c>
      <c r="G58" s="284"/>
      <c r="H58" s="562" t="s">
        <v>7157</v>
      </c>
      <c r="I58" s="284"/>
      <c r="J58" s="562" t="s">
        <v>7158</v>
      </c>
      <c r="K58" s="562">
        <v>2.0</v>
      </c>
      <c r="L58" s="562" t="s">
        <v>372</v>
      </c>
    </row>
    <row r="59">
      <c r="A59" s="562" t="s">
        <v>7024</v>
      </c>
      <c r="B59" s="563">
        <v>0.4526851851851852</v>
      </c>
      <c r="C59" s="562" t="s">
        <v>7159</v>
      </c>
      <c r="D59" s="284"/>
      <c r="E59" s="562">
        <v>923438061853</v>
      </c>
      <c r="F59" s="562" t="s">
        <v>6875</v>
      </c>
      <c r="G59" s="562" t="s">
        <v>7160</v>
      </c>
      <c r="H59" s="562" t="s">
        <v>7161</v>
      </c>
      <c r="I59" s="562" t="s">
        <v>7162</v>
      </c>
      <c r="J59" s="562" t="s">
        <v>7163</v>
      </c>
      <c r="K59" s="562">
        <v>4.0</v>
      </c>
      <c r="L59" s="562" t="s">
        <v>1802</v>
      </c>
    </row>
    <row r="60">
      <c r="A60" s="562" t="s">
        <v>7024</v>
      </c>
      <c r="B60" s="563">
        <v>0.46175925925925926</v>
      </c>
      <c r="C60" s="562" t="s">
        <v>7164</v>
      </c>
      <c r="D60" s="284"/>
      <c r="E60" s="562">
        <v>923205671785</v>
      </c>
      <c r="F60" s="562" t="s">
        <v>6875</v>
      </c>
      <c r="G60" s="284"/>
      <c r="H60" s="562" t="s">
        <v>7165</v>
      </c>
      <c r="I60" s="284"/>
      <c r="J60" s="562" t="s">
        <v>7166</v>
      </c>
      <c r="K60" s="562">
        <v>2.0</v>
      </c>
      <c r="L60" s="562" t="s">
        <v>1985</v>
      </c>
    </row>
    <row r="61">
      <c r="A61" s="562" t="s">
        <v>7024</v>
      </c>
      <c r="B61" s="563">
        <v>0.4709375</v>
      </c>
      <c r="C61" s="562" t="s">
        <v>7167</v>
      </c>
      <c r="D61" s="284"/>
      <c r="E61" s="562">
        <v>923352404860</v>
      </c>
      <c r="F61" s="562" t="s">
        <v>6939</v>
      </c>
      <c r="G61" s="562" t="s">
        <v>7168</v>
      </c>
      <c r="H61" s="562" t="s">
        <v>7169</v>
      </c>
      <c r="I61" s="562" t="s">
        <v>7170</v>
      </c>
      <c r="J61" s="562" t="s">
        <v>7171</v>
      </c>
      <c r="K61" s="562">
        <v>4.0</v>
      </c>
      <c r="L61" s="562" t="s">
        <v>376</v>
      </c>
    </row>
    <row r="62">
      <c r="A62" s="562" t="s">
        <v>7024</v>
      </c>
      <c r="B62" s="563">
        <v>0.5690625</v>
      </c>
      <c r="C62" s="562" t="s">
        <v>7172</v>
      </c>
      <c r="D62" s="284"/>
      <c r="E62" s="562">
        <v>923340534757</v>
      </c>
      <c r="F62" s="562" t="s">
        <v>6875</v>
      </c>
      <c r="G62" s="284"/>
      <c r="H62" s="284"/>
      <c r="I62" s="562" t="s">
        <v>7173</v>
      </c>
      <c r="J62" s="562" t="s">
        <v>7174</v>
      </c>
      <c r="K62" s="562">
        <v>2.0</v>
      </c>
      <c r="L62" s="562" t="s">
        <v>674</v>
      </c>
    </row>
    <row r="63">
      <c r="A63" s="562" t="s">
        <v>7024</v>
      </c>
      <c r="B63" s="563">
        <v>0.5691319444444445</v>
      </c>
      <c r="C63" s="562" t="s">
        <v>7175</v>
      </c>
      <c r="D63" s="284"/>
      <c r="E63" s="562">
        <v>923042731511</v>
      </c>
      <c r="F63" s="562" t="s">
        <v>6939</v>
      </c>
      <c r="G63" s="562" t="s">
        <v>7176</v>
      </c>
      <c r="H63" s="562" t="s">
        <v>7177</v>
      </c>
      <c r="I63" s="562" t="s">
        <v>7178</v>
      </c>
      <c r="J63" s="562" t="s">
        <v>7179</v>
      </c>
      <c r="K63" s="562">
        <v>4.0</v>
      </c>
      <c r="L63" s="284"/>
    </row>
    <row r="64">
      <c r="A64" s="562" t="s">
        <v>7024</v>
      </c>
      <c r="B64" s="563">
        <v>0.6727893518518518</v>
      </c>
      <c r="C64" s="562" t="s">
        <v>7180</v>
      </c>
      <c r="D64" s="284"/>
      <c r="E64" s="562">
        <f>923098505356</f>
        <v>923098505356</v>
      </c>
      <c r="F64" s="562" t="s">
        <v>6888</v>
      </c>
      <c r="G64" s="284"/>
      <c r="H64" s="284"/>
      <c r="I64" s="284"/>
      <c r="J64" s="562" t="s">
        <v>7181</v>
      </c>
      <c r="K64" s="562">
        <v>1.0</v>
      </c>
      <c r="L64" s="562" t="s">
        <v>636</v>
      </c>
    </row>
    <row r="65">
      <c r="A65" s="562" t="s">
        <v>7024</v>
      </c>
      <c r="B65" s="563">
        <v>0.6759259259259259</v>
      </c>
      <c r="C65" s="562" t="s">
        <v>7182</v>
      </c>
      <c r="D65" s="284"/>
      <c r="E65" s="562">
        <v>923198962603</v>
      </c>
      <c r="F65" s="562" t="s">
        <v>6875</v>
      </c>
      <c r="G65" s="562" t="s">
        <v>7183</v>
      </c>
      <c r="H65" s="562" t="s">
        <v>7184</v>
      </c>
      <c r="I65" s="562" t="s">
        <v>7185</v>
      </c>
      <c r="J65" s="562" t="s">
        <v>7186</v>
      </c>
      <c r="K65" s="562">
        <v>4.0</v>
      </c>
      <c r="L65" s="562" t="s">
        <v>7187</v>
      </c>
    </row>
    <row r="66">
      <c r="A66" s="562" t="s">
        <v>7024</v>
      </c>
      <c r="B66" s="563">
        <v>0.6766203703703704</v>
      </c>
      <c r="C66" s="562" t="s">
        <v>7188</v>
      </c>
      <c r="D66" s="284"/>
      <c r="E66" s="562">
        <v>923481526139</v>
      </c>
      <c r="F66" s="562" t="s">
        <v>6939</v>
      </c>
      <c r="G66" s="562" t="s">
        <v>7189</v>
      </c>
      <c r="H66" s="562" t="s">
        <v>7190</v>
      </c>
      <c r="I66" s="562" t="s">
        <v>7191</v>
      </c>
      <c r="J66" s="562" t="s">
        <v>7192</v>
      </c>
      <c r="K66" s="562">
        <v>4.0</v>
      </c>
      <c r="L66" s="284"/>
    </row>
    <row r="67">
      <c r="A67" s="562" t="s">
        <v>7024</v>
      </c>
      <c r="B67" s="563">
        <v>0.684525462962963</v>
      </c>
      <c r="C67" s="562" t="s">
        <v>7193</v>
      </c>
      <c r="D67" s="284"/>
      <c r="E67" s="562">
        <v>923204150640</v>
      </c>
      <c r="F67" s="562" t="s">
        <v>6875</v>
      </c>
      <c r="G67" s="284"/>
      <c r="H67" s="284"/>
      <c r="I67" s="284"/>
      <c r="J67" s="562" t="s">
        <v>7194</v>
      </c>
      <c r="K67" s="562">
        <v>1.0</v>
      </c>
      <c r="L67" s="562" t="s">
        <v>1158</v>
      </c>
    </row>
    <row r="68">
      <c r="A68" s="562" t="s">
        <v>7024</v>
      </c>
      <c r="B68" s="563">
        <v>0.7073726851851851</v>
      </c>
      <c r="C68" s="562" t="s">
        <v>7195</v>
      </c>
      <c r="D68" s="284"/>
      <c r="E68" s="562">
        <v>923407612117</v>
      </c>
      <c r="F68" s="562" t="s">
        <v>6939</v>
      </c>
      <c r="G68" s="562" t="s">
        <v>7196</v>
      </c>
      <c r="H68" s="562" t="s">
        <v>7197</v>
      </c>
      <c r="I68" s="562" t="s">
        <v>7198</v>
      </c>
      <c r="J68" s="562" t="s">
        <v>7199</v>
      </c>
      <c r="K68" s="562">
        <v>4.0</v>
      </c>
      <c r="L68" s="562" t="s">
        <v>7200</v>
      </c>
    </row>
    <row r="69">
      <c r="A69" s="562" t="s">
        <v>7024</v>
      </c>
      <c r="B69" s="563">
        <v>0.7080671296296296</v>
      </c>
      <c r="C69" s="562" t="s">
        <v>7201</v>
      </c>
      <c r="D69" s="284"/>
      <c r="E69" s="562">
        <v>923454655442</v>
      </c>
      <c r="F69" s="562" t="s">
        <v>6875</v>
      </c>
      <c r="G69" s="284"/>
      <c r="H69" s="562" t="s">
        <v>7202</v>
      </c>
      <c r="I69" s="562" t="s">
        <v>7203</v>
      </c>
      <c r="J69" s="562" t="s">
        <v>7204</v>
      </c>
      <c r="K69" s="562">
        <v>3.0</v>
      </c>
      <c r="L69" s="562" t="s">
        <v>7205</v>
      </c>
    </row>
    <row r="70">
      <c r="A70" s="562" t="s">
        <v>7206</v>
      </c>
      <c r="B70" s="563">
        <v>0.40175925925925926</v>
      </c>
      <c r="C70" s="562" t="s">
        <v>7207</v>
      </c>
      <c r="D70" s="284"/>
      <c r="E70" s="562">
        <v>923251820234</v>
      </c>
      <c r="F70" s="562" t="s">
        <v>6875</v>
      </c>
      <c r="G70" s="562" t="s">
        <v>7208</v>
      </c>
      <c r="H70" s="562" t="s">
        <v>7209</v>
      </c>
      <c r="I70" s="284"/>
      <c r="J70" s="562" t="s">
        <v>7210</v>
      </c>
      <c r="K70" s="562">
        <v>3.0</v>
      </c>
      <c r="L70" s="562" t="s">
        <v>696</v>
      </c>
    </row>
    <row r="71">
      <c r="A71" s="562" t="s">
        <v>7206</v>
      </c>
      <c r="B71" s="563">
        <v>0.40185185185185185</v>
      </c>
      <c r="C71" s="562" t="s">
        <v>7211</v>
      </c>
      <c r="D71" s="284"/>
      <c r="E71" s="562">
        <v>923199447011</v>
      </c>
      <c r="F71" s="562" t="s">
        <v>6875</v>
      </c>
      <c r="G71" s="284"/>
      <c r="H71" s="562" t="s">
        <v>7212</v>
      </c>
      <c r="I71" s="284"/>
      <c r="J71" s="562" t="s">
        <v>7213</v>
      </c>
      <c r="K71" s="562">
        <v>2.0</v>
      </c>
      <c r="L71" s="562" t="s">
        <v>696</v>
      </c>
    </row>
    <row r="72">
      <c r="A72" s="562" t="s">
        <v>7206</v>
      </c>
      <c r="B72" s="563">
        <v>0.40193287037037034</v>
      </c>
      <c r="C72" s="562" t="s">
        <v>7214</v>
      </c>
      <c r="D72" s="284"/>
      <c r="E72" s="562">
        <v>923358004566</v>
      </c>
      <c r="F72" s="562" t="s">
        <v>6875</v>
      </c>
      <c r="G72" s="284"/>
      <c r="H72" s="284"/>
      <c r="I72" s="562" t="s">
        <v>7215</v>
      </c>
      <c r="J72" s="284"/>
      <c r="K72" s="562">
        <v>1.0</v>
      </c>
      <c r="L72" s="562" t="s">
        <v>372</v>
      </c>
    </row>
    <row r="73">
      <c r="A73" s="562" t="s">
        <v>7206</v>
      </c>
      <c r="B73" s="563">
        <v>0.405162037037037</v>
      </c>
      <c r="C73" s="562" t="s">
        <v>7216</v>
      </c>
      <c r="D73" s="284"/>
      <c r="E73" s="562">
        <v>923037325202</v>
      </c>
      <c r="F73" s="562" t="s">
        <v>6939</v>
      </c>
      <c r="G73" s="562" t="s">
        <v>7217</v>
      </c>
      <c r="H73" s="562" t="s">
        <v>7218</v>
      </c>
      <c r="I73" s="562" t="s">
        <v>7219</v>
      </c>
      <c r="J73" s="562" t="s">
        <v>7220</v>
      </c>
      <c r="K73" s="562">
        <v>4.0</v>
      </c>
      <c r="L73" s="562" t="s">
        <v>376</v>
      </c>
    </row>
    <row r="74">
      <c r="A74" s="562" t="s">
        <v>7206</v>
      </c>
      <c r="B74" s="563">
        <v>0.5066782407407407</v>
      </c>
      <c r="C74" s="562" t="s">
        <v>7221</v>
      </c>
      <c r="D74" s="284"/>
      <c r="E74" s="562">
        <v>923296904988</v>
      </c>
      <c r="F74" s="562" t="s">
        <v>6939</v>
      </c>
      <c r="G74" s="562" t="s">
        <v>7222</v>
      </c>
      <c r="H74" s="562" t="s">
        <v>7223</v>
      </c>
      <c r="I74" s="562" t="s">
        <v>7224</v>
      </c>
      <c r="J74" s="562" t="s">
        <v>7225</v>
      </c>
      <c r="K74" s="562">
        <v>4.0</v>
      </c>
      <c r="L74" s="562" t="s">
        <v>376</v>
      </c>
    </row>
    <row r="75">
      <c r="A75" s="562" t="s">
        <v>7206</v>
      </c>
      <c r="B75" s="563">
        <v>0.5165277777777778</v>
      </c>
      <c r="C75" s="562" t="s">
        <v>7226</v>
      </c>
      <c r="D75" s="284"/>
      <c r="E75" s="562">
        <v>923361516970</v>
      </c>
      <c r="F75" s="562" t="s">
        <v>6939</v>
      </c>
      <c r="G75" s="562" t="s">
        <v>7227</v>
      </c>
      <c r="H75" s="562" t="s">
        <v>7228</v>
      </c>
      <c r="I75" s="562" t="s">
        <v>7229</v>
      </c>
      <c r="J75" s="562" t="s">
        <v>7230</v>
      </c>
      <c r="K75" s="562">
        <v>4.0</v>
      </c>
      <c r="L75" s="562" t="s">
        <v>376</v>
      </c>
    </row>
    <row r="76">
      <c r="A76" s="562" t="s">
        <v>7206</v>
      </c>
      <c r="B76" s="563">
        <v>0.5165856481481481</v>
      </c>
      <c r="C76" s="562" t="s">
        <v>7231</v>
      </c>
      <c r="D76" s="284"/>
      <c r="E76" s="562">
        <v>923701729356</v>
      </c>
      <c r="F76" s="562" t="s">
        <v>6939</v>
      </c>
      <c r="G76" s="562" t="s">
        <v>7232</v>
      </c>
      <c r="H76" s="562" t="s">
        <v>7233</v>
      </c>
      <c r="I76" s="562" t="s">
        <v>7234</v>
      </c>
      <c r="J76" s="562" t="s">
        <v>7235</v>
      </c>
      <c r="K76" s="562">
        <v>4.0</v>
      </c>
      <c r="L76" s="562" t="s">
        <v>376</v>
      </c>
    </row>
    <row r="77">
      <c r="A77" s="562" t="s">
        <v>7206</v>
      </c>
      <c r="B77" s="563">
        <v>0.5322916666666667</v>
      </c>
      <c r="C77" s="562" t="s">
        <v>7236</v>
      </c>
      <c r="D77" s="284"/>
      <c r="E77" s="562">
        <v>923155540153</v>
      </c>
      <c r="F77" s="562" t="s">
        <v>6939</v>
      </c>
      <c r="G77" s="562" t="s">
        <v>7237</v>
      </c>
      <c r="H77" s="562" t="s">
        <v>7238</v>
      </c>
      <c r="I77" s="562" t="s">
        <v>7239</v>
      </c>
      <c r="J77" s="562" t="s">
        <v>7240</v>
      </c>
      <c r="K77" s="562">
        <v>4.0</v>
      </c>
      <c r="L77" s="562" t="s">
        <v>376</v>
      </c>
    </row>
    <row r="78">
      <c r="A78" s="562" t="s">
        <v>7206</v>
      </c>
      <c r="B78" s="563">
        <v>0.532349537037037</v>
      </c>
      <c r="C78" s="562" t="s">
        <v>7241</v>
      </c>
      <c r="D78" s="284"/>
      <c r="E78" s="562">
        <v>923214140641</v>
      </c>
      <c r="F78" s="562" t="s">
        <v>6939</v>
      </c>
      <c r="G78" s="562" t="s">
        <v>7242</v>
      </c>
      <c r="H78" s="562" t="s">
        <v>7243</v>
      </c>
      <c r="I78" s="562" t="s">
        <v>7244</v>
      </c>
      <c r="J78" s="562" t="s">
        <v>7245</v>
      </c>
      <c r="K78" s="562">
        <v>4.0</v>
      </c>
      <c r="L78" s="562" t="s">
        <v>7246</v>
      </c>
    </row>
    <row r="79">
      <c r="A79" s="562" t="s">
        <v>7206</v>
      </c>
      <c r="B79" s="563">
        <v>0.5346759259259259</v>
      </c>
      <c r="C79" s="562" t="s">
        <v>7247</v>
      </c>
      <c r="D79" s="284"/>
      <c r="E79" s="562">
        <v>923170920130</v>
      </c>
      <c r="F79" s="562" t="s">
        <v>6939</v>
      </c>
      <c r="G79" s="562" t="s">
        <v>7248</v>
      </c>
      <c r="H79" s="562" t="s">
        <v>7249</v>
      </c>
      <c r="I79" s="562" t="s">
        <v>7250</v>
      </c>
      <c r="J79" s="562" t="s">
        <v>7251</v>
      </c>
      <c r="K79" s="562">
        <v>4.0</v>
      </c>
      <c r="L79" s="562" t="s">
        <v>376</v>
      </c>
    </row>
    <row r="80">
      <c r="A80" s="562" t="s">
        <v>7206</v>
      </c>
      <c r="B80" s="563">
        <v>0.5376157407407407</v>
      </c>
      <c r="C80" s="562" t="s">
        <v>7252</v>
      </c>
      <c r="D80" s="284"/>
      <c r="E80" s="562">
        <v>923004074150</v>
      </c>
      <c r="F80" s="562" t="s">
        <v>6939</v>
      </c>
      <c r="G80" s="562" t="s">
        <v>7253</v>
      </c>
      <c r="H80" s="562" t="s">
        <v>7254</v>
      </c>
      <c r="I80" s="562" t="s">
        <v>7255</v>
      </c>
      <c r="J80" s="562" t="s">
        <v>7256</v>
      </c>
      <c r="K80" s="562">
        <v>4.0</v>
      </c>
      <c r="L80" s="562" t="s">
        <v>376</v>
      </c>
    </row>
    <row r="81">
      <c r="A81" s="562" t="s">
        <v>7206</v>
      </c>
      <c r="B81" s="563">
        <v>0.5403125</v>
      </c>
      <c r="C81" s="562" t="s">
        <v>7257</v>
      </c>
      <c r="D81" s="284"/>
      <c r="E81" s="562">
        <v>923346609588</v>
      </c>
      <c r="F81" s="562" t="s">
        <v>6939</v>
      </c>
      <c r="G81" s="562" t="s">
        <v>7258</v>
      </c>
      <c r="H81" s="562" t="s">
        <v>7259</v>
      </c>
      <c r="I81" s="562" t="s">
        <v>7260</v>
      </c>
      <c r="J81" s="562" t="s">
        <v>7261</v>
      </c>
      <c r="K81" s="562">
        <v>4.0</v>
      </c>
      <c r="L81" s="562" t="s">
        <v>7262</v>
      </c>
    </row>
    <row r="82">
      <c r="A82" s="562" t="s">
        <v>7206</v>
      </c>
      <c r="B82" s="563">
        <v>0.5456134259259259</v>
      </c>
      <c r="C82" s="562" t="s">
        <v>7263</v>
      </c>
      <c r="D82" s="284"/>
      <c r="E82" s="562">
        <v>923707661530</v>
      </c>
      <c r="F82" s="562" t="s">
        <v>6875</v>
      </c>
      <c r="G82" s="284"/>
      <c r="H82" s="284"/>
      <c r="I82" s="562" t="s">
        <v>7264</v>
      </c>
      <c r="J82" s="284"/>
      <c r="K82" s="562">
        <v>1.0</v>
      </c>
      <c r="L82" s="562" t="s">
        <v>372</v>
      </c>
    </row>
    <row r="83">
      <c r="A83" s="562" t="s">
        <v>7206</v>
      </c>
      <c r="B83" s="563">
        <v>0.5712152777777778</v>
      </c>
      <c r="C83" s="562" t="s">
        <v>7265</v>
      </c>
      <c r="D83" s="284"/>
      <c r="E83" s="562">
        <v>923452743120</v>
      </c>
      <c r="F83" s="562" t="s">
        <v>6939</v>
      </c>
      <c r="G83" s="562" t="s">
        <v>7266</v>
      </c>
      <c r="H83" s="562" t="s">
        <v>7267</v>
      </c>
      <c r="I83" s="562" t="s">
        <v>7268</v>
      </c>
      <c r="J83" s="562" t="s">
        <v>7269</v>
      </c>
      <c r="K83" s="562">
        <v>4.0</v>
      </c>
      <c r="L83" s="562" t="s">
        <v>376</v>
      </c>
    </row>
    <row r="84">
      <c r="A84" s="562" t="s">
        <v>7206</v>
      </c>
      <c r="B84" s="563">
        <v>0.5765162037037037</v>
      </c>
      <c r="C84" s="562" t="s">
        <v>7270</v>
      </c>
      <c r="D84" s="284"/>
      <c r="E84" s="562">
        <v>923107063961</v>
      </c>
      <c r="F84" s="562" t="s">
        <v>6939</v>
      </c>
      <c r="G84" s="562" t="s">
        <v>7271</v>
      </c>
      <c r="H84" s="562" t="s">
        <v>7272</v>
      </c>
      <c r="I84" s="562" t="s">
        <v>7273</v>
      </c>
      <c r="J84" s="562" t="s">
        <v>7274</v>
      </c>
      <c r="K84" s="562">
        <v>4.0</v>
      </c>
      <c r="L84" s="562" t="s">
        <v>685</v>
      </c>
    </row>
    <row r="85">
      <c r="A85" s="562" t="s">
        <v>7206</v>
      </c>
      <c r="B85" s="563">
        <v>0.5876967592592592</v>
      </c>
      <c r="C85" s="562" t="s">
        <v>7275</v>
      </c>
      <c r="D85" s="284"/>
      <c r="E85" s="562">
        <v>923476122920</v>
      </c>
      <c r="F85" s="562" t="s">
        <v>6875</v>
      </c>
      <c r="G85" s="284"/>
      <c r="H85" s="562" t="s">
        <v>7276</v>
      </c>
      <c r="I85" s="562" t="s">
        <v>7277</v>
      </c>
      <c r="J85" s="562" t="s">
        <v>7278</v>
      </c>
      <c r="K85" s="562">
        <v>3.0</v>
      </c>
      <c r="L85" s="562" t="s">
        <v>372</v>
      </c>
    </row>
    <row r="86">
      <c r="A86" s="562" t="s">
        <v>7206</v>
      </c>
      <c r="B86" s="563">
        <v>0.5907291666666666</v>
      </c>
      <c r="C86" s="562" t="s">
        <v>7279</v>
      </c>
      <c r="D86" s="284"/>
      <c r="E86" s="562">
        <v>923316626416</v>
      </c>
      <c r="F86" s="562" t="s">
        <v>6939</v>
      </c>
      <c r="G86" s="562" t="s">
        <v>7280</v>
      </c>
      <c r="H86" s="562" t="s">
        <v>7281</v>
      </c>
      <c r="I86" s="562" t="s">
        <v>7282</v>
      </c>
      <c r="J86" s="562" t="s">
        <v>7283</v>
      </c>
      <c r="K86" s="562">
        <v>4.0</v>
      </c>
      <c r="L86" s="562" t="s">
        <v>7284</v>
      </c>
    </row>
    <row r="87">
      <c r="A87" s="562" t="s">
        <v>7206</v>
      </c>
      <c r="B87" s="563">
        <v>0.6090393518518519</v>
      </c>
      <c r="C87" s="562" t="s">
        <v>7285</v>
      </c>
      <c r="D87" s="284"/>
      <c r="E87" s="567">
        <v>923363833576</v>
      </c>
      <c r="F87" s="562" t="s">
        <v>6939</v>
      </c>
      <c r="G87" s="562" t="s">
        <v>7286</v>
      </c>
      <c r="H87" s="562" t="s">
        <v>7287</v>
      </c>
      <c r="I87" s="562" t="s">
        <v>7288</v>
      </c>
      <c r="J87" s="562" t="s">
        <v>7289</v>
      </c>
      <c r="K87" s="562">
        <v>4.0</v>
      </c>
      <c r="L87" s="562" t="s">
        <v>376</v>
      </c>
    </row>
    <row r="88">
      <c r="A88" s="562" t="s">
        <v>7206</v>
      </c>
      <c r="B88" s="563">
        <v>0.6229976851851852</v>
      </c>
      <c r="C88" s="562" t="s">
        <v>7290</v>
      </c>
      <c r="D88" s="284"/>
      <c r="E88" s="562">
        <v>923215825156</v>
      </c>
      <c r="F88" s="562" t="s">
        <v>7291</v>
      </c>
      <c r="G88" s="562" t="s">
        <v>7292</v>
      </c>
      <c r="H88" s="562" t="s">
        <v>7293</v>
      </c>
      <c r="I88" s="562" t="s">
        <v>7294</v>
      </c>
      <c r="J88" s="562" t="s">
        <v>7295</v>
      </c>
      <c r="K88" s="562">
        <v>4.0</v>
      </c>
      <c r="L88" s="562" t="s">
        <v>376</v>
      </c>
    </row>
    <row r="89">
      <c r="A89" s="562" t="s">
        <v>7206</v>
      </c>
      <c r="B89" s="563">
        <v>0.6420254629629629</v>
      </c>
      <c r="C89" s="562" t="s">
        <v>7296</v>
      </c>
      <c r="D89" s="284"/>
      <c r="E89" s="562">
        <v>923416598474</v>
      </c>
      <c r="F89" s="562" t="s">
        <v>6875</v>
      </c>
      <c r="G89" s="284"/>
      <c r="H89" s="284"/>
      <c r="I89" s="562" t="s">
        <v>7297</v>
      </c>
      <c r="J89" s="284"/>
      <c r="K89" s="562">
        <v>1.0</v>
      </c>
      <c r="L89" s="284"/>
    </row>
    <row r="90">
      <c r="A90" s="562" t="s">
        <v>7206</v>
      </c>
      <c r="B90" s="563">
        <v>0.6441666666666667</v>
      </c>
      <c r="C90" s="562" t="s">
        <v>7296</v>
      </c>
      <c r="D90" s="284"/>
      <c r="E90" s="562">
        <v>923427284574</v>
      </c>
      <c r="F90" s="562" t="s">
        <v>6875</v>
      </c>
      <c r="G90" s="284"/>
      <c r="H90" s="284"/>
      <c r="I90" s="562" t="s">
        <v>7298</v>
      </c>
      <c r="J90" s="284"/>
      <c r="K90" s="562">
        <v>1.0</v>
      </c>
      <c r="L90" s="284"/>
    </row>
    <row r="91">
      <c r="A91" s="562" t="s">
        <v>7206</v>
      </c>
      <c r="B91" s="563">
        <v>0.6478356481481482</v>
      </c>
      <c r="C91" s="562" t="s">
        <v>7299</v>
      </c>
      <c r="D91" s="284"/>
      <c r="E91" s="562">
        <v>923323078714</v>
      </c>
      <c r="F91" s="562" t="s">
        <v>6875</v>
      </c>
      <c r="G91" s="284"/>
      <c r="H91" s="284"/>
      <c r="I91" s="562" t="s">
        <v>7300</v>
      </c>
      <c r="J91" s="562" t="s">
        <v>7301</v>
      </c>
      <c r="K91" s="562">
        <v>2.0</v>
      </c>
      <c r="L91" s="562" t="s">
        <v>152</v>
      </c>
    </row>
    <row r="92">
      <c r="A92" s="562" t="s">
        <v>7206</v>
      </c>
      <c r="B92" s="563">
        <v>0.6555208333333333</v>
      </c>
      <c r="C92" s="562" t="s">
        <v>7302</v>
      </c>
      <c r="D92" s="284"/>
      <c r="E92" s="562">
        <v>923299437610</v>
      </c>
      <c r="F92" s="562" t="s">
        <v>7291</v>
      </c>
      <c r="G92" s="562" t="s">
        <v>7303</v>
      </c>
      <c r="H92" s="562" t="s">
        <v>7304</v>
      </c>
      <c r="I92" s="562" t="s">
        <v>7305</v>
      </c>
      <c r="J92" s="562" t="s">
        <v>7306</v>
      </c>
      <c r="K92" s="562">
        <v>4.0</v>
      </c>
      <c r="L92" s="562" t="s">
        <v>6944</v>
      </c>
    </row>
    <row r="93">
      <c r="A93" s="562" t="s">
        <v>7206</v>
      </c>
      <c r="B93" s="563">
        <v>0.6832060185185185</v>
      </c>
      <c r="C93" s="562" t="s">
        <v>7307</v>
      </c>
      <c r="D93" s="284"/>
      <c r="E93" s="562">
        <v>923146864997</v>
      </c>
      <c r="F93" s="562" t="s">
        <v>6875</v>
      </c>
      <c r="G93" s="562" t="s">
        <v>7308</v>
      </c>
      <c r="H93" s="562" t="s">
        <v>7309</v>
      </c>
      <c r="I93" s="562" t="s">
        <v>7310</v>
      </c>
      <c r="J93" s="562" t="s">
        <v>7311</v>
      </c>
      <c r="K93" s="562">
        <v>4.0</v>
      </c>
      <c r="L93" s="562" t="s">
        <v>7312</v>
      </c>
    </row>
    <row r="94">
      <c r="A94" s="562" t="s">
        <v>7206</v>
      </c>
      <c r="B94" s="563">
        <v>0.6975578703703704</v>
      </c>
      <c r="C94" s="562" t="s">
        <v>7313</v>
      </c>
      <c r="D94" s="284"/>
      <c r="E94" s="562">
        <v>923044658985</v>
      </c>
      <c r="F94" s="562" t="s">
        <v>6939</v>
      </c>
      <c r="G94" s="562" t="s">
        <v>7314</v>
      </c>
      <c r="H94" s="562" t="s">
        <v>7315</v>
      </c>
      <c r="I94" s="562" t="s">
        <v>7316</v>
      </c>
      <c r="J94" s="562" t="s">
        <v>7317</v>
      </c>
      <c r="K94" s="562">
        <v>4.0</v>
      </c>
      <c r="L94" s="284"/>
    </row>
    <row r="95">
      <c r="A95" s="568" t="s">
        <v>7206</v>
      </c>
      <c r="B95" s="569">
        <v>0.7138078703703704</v>
      </c>
      <c r="C95" s="568" t="s">
        <v>7318</v>
      </c>
      <c r="D95" s="570"/>
      <c r="E95" s="568">
        <v>923025381313</v>
      </c>
      <c r="F95" s="562" t="s">
        <v>6939</v>
      </c>
      <c r="G95" s="568" t="s">
        <v>7319</v>
      </c>
      <c r="H95" s="568" t="s">
        <v>7320</v>
      </c>
      <c r="I95" s="568" t="s">
        <v>7321</v>
      </c>
      <c r="J95" s="568" t="s">
        <v>7322</v>
      </c>
      <c r="K95" s="568">
        <v>4.0</v>
      </c>
      <c r="L95" s="570"/>
    </row>
    <row r="96">
      <c r="A96" s="562" t="s">
        <v>7206</v>
      </c>
      <c r="B96" s="563">
        <v>0.727025462962963</v>
      </c>
      <c r="C96" s="562" t="s">
        <v>7323</v>
      </c>
      <c r="D96" s="284"/>
      <c r="E96" s="562">
        <v>923450544639</v>
      </c>
      <c r="F96" s="562" t="s">
        <v>6939</v>
      </c>
      <c r="G96" s="562" t="s">
        <v>7324</v>
      </c>
      <c r="H96" s="562" t="s">
        <v>7325</v>
      </c>
      <c r="I96" s="562" t="s">
        <v>7326</v>
      </c>
      <c r="J96" s="562" t="s">
        <v>7327</v>
      </c>
      <c r="K96" s="562">
        <v>4.0</v>
      </c>
      <c r="L96" s="284"/>
    </row>
    <row r="97">
      <c r="A97" s="571">
        <v>45664.0</v>
      </c>
      <c r="B97" s="563">
        <v>0.38511574074074073</v>
      </c>
      <c r="C97" s="562" t="s">
        <v>7328</v>
      </c>
      <c r="D97" s="284"/>
      <c r="E97" s="562">
        <v>923174000983</v>
      </c>
      <c r="F97" s="562" t="s">
        <v>6875</v>
      </c>
      <c r="G97" s="562" t="s">
        <v>7329</v>
      </c>
      <c r="H97" s="562" t="s">
        <v>7330</v>
      </c>
      <c r="I97" s="562" t="s">
        <v>7331</v>
      </c>
      <c r="J97" s="562" t="s">
        <v>7332</v>
      </c>
      <c r="K97" s="562">
        <v>4.0</v>
      </c>
      <c r="L97" s="562" t="s">
        <v>376</v>
      </c>
    </row>
    <row r="98">
      <c r="A98" s="571">
        <v>45664.0</v>
      </c>
      <c r="B98" s="563">
        <v>0.3852199074074074</v>
      </c>
      <c r="C98" s="562" t="s">
        <v>7333</v>
      </c>
      <c r="D98" s="284"/>
      <c r="E98" s="562">
        <v>923293317255</v>
      </c>
      <c r="F98" s="562" t="s">
        <v>6875</v>
      </c>
      <c r="G98" s="562" t="s">
        <v>7334</v>
      </c>
      <c r="H98" s="284"/>
      <c r="I98" s="562" t="s">
        <v>7335</v>
      </c>
      <c r="J98" s="284"/>
      <c r="K98" s="562">
        <v>2.0</v>
      </c>
      <c r="L98" s="562" t="s">
        <v>372</v>
      </c>
    </row>
    <row r="99">
      <c r="A99" s="571">
        <v>45664.0</v>
      </c>
      <c r="B99" s="563">
        <v>0.3853009259259259</v>
      </c>
      <c r="C99" s="562" t="s">
        <v>7336</v>
      </c>
      <c r="D99" s="284"/>
      <c r="E99" s="562">
        <v>923091740746</v>
      </c>
      <c r="F99" s="562" t="s">
        <v>6875</v>
      </c>
      <c r="G99" s="562" t="s">
        <v>7337</v>
      </c>
      <c r="H99" s="284"/>
      <c r="I99" s="562" t="s">
        <v>7338</v>
      </c>
      <c r="J99" s="562" t="s">
        <v>7339</v>
      </c>
      <c r="K99" s="562">
        <v>3.0</v>
      </c>
      <c r="L99" s="562" t="s">
        <v>6944</v>
      </c>
    </row>
    <row r="100">
      <c r="A100" s="571">
        <v>45664.0</v>
      </c>
      <c r="B100" s="563">
        <v>0.3875</v>
      </c>
      <c r="C100" s="562" t="s">
        <v>7340</v>
      </c>
      <c r="D100" s="284"/>
      <c r="E100" s="562">
        <v>923450824747</v>
      </c>
      <c r="F100" s="562" t="s">
        <v>6875</v>
      </c>
      <c r="G100" s="562" t="s">
        <v>7341</v>
      </c>
      <c r="H100" s="284"/>
      <c r="I100" s="284"/>
      <c r="J100" s="284"/>
      <c r="K100" s="562">
        <v>1.0</v>
      </c>
      <c r="L100" s="562" t="s">
        <v>372</v>
      </c>
    </row>
    <row r="101">
      <c r="A101" s="571">
        <v>45664.0</v>
      </c>
      <c r="B101" s="563">
        <v>0.3875810185185185</v>
      </c>
      <c r="C101" s="562" t="s">
        <v>7342</v>
      </c>
      <c r="D101" s="284"/>
      <c r="E101" s="562">
        <v>923494593748</v>
      </c>
      <c r="F101" s="562" t="s">
        <v>6939</v>
      </c>
      <c r="G101" s="562" t="s">
        <v>7343</v>
      </c>
      <c r="H101" s="562" t="s">
        <v>7344</v>
      </c>
      <c r="I101" s="562" t="s">
        <v>7345</v>
      </c>
      <c r="J101" s="562" t="s">
        <v>7346</v>
      </c>
      <c r="K101" s="562">
        <v>4.0</v>
      </c>
      <c r="L101" s="562" t="s">
        <v>376</v>
      </c>
    </row>
    <row r="102">
      <c r="A102" s="571">
        <v>45664.0</v>
      </c>
      <c r="B102" s="563">
        <v>0.3876736111111111</v>
      </c>
      <c r="C102" s="562" t="s">
        <v>7347</v>
      </c>
      <c r="D102" s="284"/>
      <c r="E102" s="562">
        <v>923496456878</v>
      </c>
      <c r="F102" s="562" t="s">
        <v>6875</v>
      </c>
      <c r="G102" s="562" t="s">
        <v>7348</v>
      </c>
      <c r="H102" s="562" t="s">
        <v>7349</v>
      </c>
      <c r="I102" s="562" t="s">
        <v>7350</v>
      </c>
      <c r="J102" s="284"/>
      <c r="K102" s="562">
        <v>3.0</v>
      </c>
      <c r="L102" s="562" t="s">
        <v>372</v>
      </c>
    </row>
    <row r="103">
      <c r="A103" s="571">
        <v>45664.0</v>
      </c>
      <c r="B103" s="563">
        <v>0.3879282407407407</v>
      </c>
      <c r="C103" s="562" t="s">
        <v>7351</v>
      </c>
      <c r="D103" s="284"/>
      <c r="E103" s="562">
        <v>923130004595</v>
      </c>
      <c r="F103" s="562" t="s">
        <v>7291</v>
      </c>
      <c r="G103" s="562" t="s">
        <v>7352</v>
      </c>
      <c r="H103" s="562" t="s">
        <v>7353</v>
      </c>
      <c r="I103" s="562" t="s">
        <v>7354</v>
      </c>
      <c r="J103" s="562" t="s">
        <v>7355</v>
      </c>
      <c r="K103" s="562">
        <v>4.0</v>
      </c>
      <c r="L103" s="562" t="s">
        <v>696</v>
      </c>
    </row>
    <row r="104">
      <c r="A104" s="571">
        <v>45664.0</v>
      </c>
      <c r="B104" s="563">
        <v>0.38979166666666665</v>
      </c>
      <c r="C104" s="562" t="s">
        <v>7356</v>
      </c>
      <c r="D104" s="284"/>
      <c r="E104" s="562">
        <v>923002583775</v>
      </c>
      <c r="F104" s="562" t="s">
        <v>6939</v>
      </c>
      <c r="G104" s="562" t="s">
        <v>7357</v>
      </c>
      <c r="H104" s="562" t="s">
        <v>7358</v>
      </c>
      <c r="I104" s="562" t="s">
        <v>7359</v>
      </c>
      <c r="J104" s="562" t="s">
        <v>7360</v>
      </c>
      <c r="K104" s="562">
        <v>4.0</v>
      </c>
      <c r="L104" s="562" t="s">
        <v>7361</v>
      </c>
    </row>
    <row r="105">
      <c r="A105" s="571">
        <v>45664.0</v>
      </c>
      <c r="B105" s="563">
        <v>0.3898726851851852</v>
      </c>
      <c r="C105" s="562" t="s">
        <v>7362</v>
      </c>
      <c r="D105" s="284"/>
      <c r="E105" s="562">
        <v>923345285855</v>
      </c>
      <c r="F105" s="562" t="s">
        <v>6875</v>
      </c>
      <c r="G105" s="562" t="s">
        <v>7363</v>
      </c>
      <c r="H105" s="562" t="s">
        <v>7364</v>
      </c>
      <c r="I105" s="562" t="s">
        <v>7365</v>
      </c>
      <c r="J105" s="284"/>
      <c r="K105" s="562">
        <v>3.0</v>
      </c>
      <c r="L105" s="562" t="s">
        <v>51</v>
      </c>
    </row>
    <row r="106">
      <c r="A106" s="571">
        <v>45664.0</v>
      </c>
      <c r="B106" s="563">
        <v>0.38991898148148146</v>
      </c>
      <c r="C106" s="562" t="s">
        <v>7366</v>
      </c>
      <c r="D106" s="284"/>
      <c r="E106" s="562">
        <v>923349108891</v>
      </c>
      <c r="F106" s="562" t="s">
        <v>6875</v>
      </c>
      <c r="G106" s="562" t="s">
        <v>7367</v>
      </c>
      <c r="H106" s="284"/>
      <c r="I106" s="284"/>
      <c r="J106" s="284"/>
      <c r="K106" s="562">
        <v>1.0</v>
      </c>
      <c r="L106" s="562" t="s">
        <v>7368</v>
      </c>
    </row>
    <row r="107">
      <c r="A107" s="571">
        <v>45664.0</v>
      </c>
      <c r="B107" s="563">
        <v>0.3899884259259259</v>
      </c>
      <c r="C107" s="562" t="s">
        <v>7369</v>
      </c>
      <c r="D107" s="284"/>
      <c r="E107" s="562">
        <v>923057323664</v>
      </c>
      <c r="F107" s="562" t="s">
        <v>6875</v>
      </c>
      <c r="G107" s="562" t="s">
        <v>7370</v>
      </c>
      <c r="H107" s="562" t="s">
        <v>7371</v>
      </c>
      <c r="I107" s="562" t="s">
        <v>7372</v>
      </c>
      <c r="J107" s="562" t="s">
        <v>7373</v>
      </c>
      <c r="K107" s="562">
        <v>4.0</v>
      </c>
      <c r="L107" s="562" t="s">
        <v>7374</v>
      </c>
    </row>
    <row r="108">
      <c r="A108" s="571">
        <v>45664.0</v>
      </c>
      <c r="B108" s="563">
        <v>0.3909837962962963</v>
      </c>
      <c r="C108" s="562" t="s">
        <v>7375</v>
      </c>
      <c r="D108" s="284"/>
      <c r="E108" s="562">
        <v>923316146838</v>
      </c>
      <c r="F108" s="562" t="s">
        <v>6939</v>
      </c>
      <c r="G108" s="562" t="s">
        <v>7376</v>
      </c>
      <c r="H108" s="562" t="s">
        <v>7377</v>
      </c>
      <c r="I108" s="562" t="s">
        <v>7378</v>
      </c>
      <c r="J108" s="562" t="s">
        <v>7379</v>
      </c>
      <c r="K108" s="562">
        <v>4.0</v>
      </c>
      <c r="L108" s="562" t="s">
        <v>7380</v>
      </c>
    </row>
    <row r="109">
      <c r="A109" s="571">
        <v>45664.0</v>
      </c>
      <c r="B109" s="563">
        <v>0.39118055555555553</v>
      </c>
      <c r="C109" s="562" t="s">
        <v>7381</v>
      </c>
      <c r="D109" s="284"/>
      <c r="E109" s="562">
        <v>923279852811</v>
      </c>
      <c r="F109" s="562" t="s">
        <v>6939</v>
      </c>
      <c r="G109" s="562" t="s">
        <v>7382</v>
      </c>
      <c r="H109" s="562" t="s">
        <v>7383</v>
      </c>
      <c r="I109" s="562" t="s">
        <v>7384</v>
      </c>
      <c r="J109" s="562" t="s">
        <v>7385</v>
      </c>
      <c r="K109" s="562">
        <v>4.0</v>
      </c>
      <c r="L109" s="562" t="s">
        <v>376</v>
      </c>
    </row>
    <row r="110">
      <c r="A110" s="571">
        <v>45664.0</v>
      </c>
      <c r="B110" s="563">
        <v>0.39143518518518516</v>
      </c>
      <c r="C110" s="562" t="s">
        <v>7386</v>
      </c>
      <c r="D110" s="284"/>
      <c r="E110" s="562">
        <v>923458807137</v>
      </c>
      <c r="F110" s="562" t="s">
        <v>7291</v>
      </c>
      <c r="G110" s="562" t="s">
        <v>7387</v>
      </c>
      <c r="H110" s="562" t="s">
        <v>7254</v>
      </c>
      <c r="I110" s="562" t="s">
        <v>7388</v>
      </c>
      <c r="J110" s="562" t="s">
        <v>7389</v>
      </c>
      <c r="K110" s="562">
        <v>4.0</v>
      </c>
      <c r="L110" s="562" t="s">
        <v>696</v>
      </c>
    </row>
    <row r="111">
      <c r="A111" s="571">
        <v>45664.0</v>
      </c>
      <c r="B111" s="563">
        <v>0.3926736111111111</v>
      </c>
      <c r="C111" s="562" t="s">
        <v>7390</v>
      </c>
      <c r="D111" s="284"/>
      <c r="E111" s="562">
        <v>923083366991</v>
      </c>
      <c r="F111" s="562" t="s">
        <v>6875</v>
      </c>
      <c r="G111" s="562" t="s">
        <v>7391</v>
      </c>
      <c r="H111" s="284"/>
      <c r="I111" s="284"/>
      <c r="J111" s="562" t="s">
        <v>7392</v>
      </c>
      <c r="K111" s="562">
        <v>2.0</v>
      </c>
      <c r="L111" s="562" t="s">
        <v>7393</v>
      </c>
    </row>
    <row r="112">
      <c r="A112" s="571">
        <v>45664.0</v>
      </c>
      <c r="B112" s="563">
        <v>0.3965856481481482</v>
      </c>
      <c r="C112" s="562" t="s">
        <v>7394</v>
      </c>
      <c r="D112" s="562" t="s">
        <v>7395</v>
      </c>
      <c r="E112" s="566" t="s">
        <v>7396</v>
      </c>
      <c r="F112" s="562" t="s">
        <v>6888</v>
      </c>
      <c r="G112" s="562" t="s">
        <v>7397</v>
      </c>
      <c r="H112" s="562" t="s">
        <v>7398</v>
      </c>
      <c r="I112" s="562" t="s">
        <v>7399</v>
      </c>
      <c r="J112" s="562" t="s">
        <v>7400</v>
      </c>
      <c r="K112" s="562">
        <v>4.0</v>
      </c>
      <c r="L112" s="562" t="s">
        <v>1189</v>
      </c>
    </row>
    <row r="113">
      <c r="A113" s="571">
        <v>45664.0</v>
      </c>
      <c r="B113" s="563">
        <v>0.39696759259259257</v>
      </c>
      <c r="C113" s="562" t="s">
        <v>7401</v>
      </c>
      <c r="D113" s="284"/>
      <c r="E113" s="562">
        <v>923028394442</v>
      </c>
      <c r="F113" s="562" t="s">
        <v>6875</v>
      </c>
      <c r="G113" s="562" t="s">
        <v>7402</v>
      </c>
      <c r="H113" s="284"/>
      <c r="I113" s="284"/>
      <c r="J113" s="284"/>
      <c r="K113" s="562">
        <v>1.0</v>
      </c>
      <c r="L113" s="562" t="s">
        <v>372</v>
      </c>
    </row>
    <row r="114">
      <c r="A114" s="571">
        <v>45664.0</v>
      </c>
      <c r="B114" s="563">
        <v>0.3981365740740741</v>
      </c>
      <c r="C114" s="562" t="s">
        <v>7403</v>
      </c>
      <c r="D114" s="284"/>
      <c r="E114" s="562">
        <v>923021442927</v>
      </c>
      <c r="F114" s="562" t="s">
        <v>6875</v>
      </c>
      <c r="G114" s="562" t="s">
        <v>7404</v>
      </c>
      <c r="H114" s="562" t="s">
        <v>7405</v>
      </c>
      <c r="I114" s="284"/>
      <c r="J114" s="562" t="s">
        <v>7406</v>
      </c>
      <c r="K114" s="562">
        <v>3.0</v>
      </c>
      <c r="L114" s="562" t="s">
        <v>372</v>
      </c>
    </row>
    <row r="115">
      <c r="A115" s="571">
        <v>45664.0</v>
      </c>
      <c r="B115" s="563">
        <v>0.3983333333333333</v>
      </c>
      <c r="C115" s="562" t="s">
        <v>7407</v>
      </c>
      <c r="D115" s="284"/>
      <c r="E115" s="562">
        <v>923214677398</v>
      </c>
      <c r="F115" s="562" t="s">
        <v>6939</v>
      </c>
      <c r="G115" s="562" t="s">
        <v>7408</v>
      </c>
      <c r="H115" s="562" t="s">
        <v>7409</v>
      </c>
      <c r="I115" s="562" t="s">
        <v>7410</v>
      </c>
      <c r="J115" s="562" t="s">
        <v>7411</v>
      </c>
      <c r="K115" s="562">
        <v>4.0</v>
      </c>
      <c r="L115" s="562" t="s">
        <v>376</v>
      </c>
    </row>
    <row r="116">
      <c r="A116" s="571">
        <v>45664.0</v>
      </c>
      <c r="B116" s="563">
        <v>0.39846064814814813</v>
      </c>
      <c r="C116" s="562" t="s">
        <v>7412</v>
      </c>
      <c r="D116" s="284"/>
      <c r="E116" s="562">
        <v>923442813108</v>
      </c>
      <c r="F116" s="562" t="s">
        <v>6939</v>
      </c>
      <c r="G116" s="562" t="s">
        <v>7413</v>
      </c>
      <c r="H116" s="562" t="s">
        <v>7414</v>
      </c>
      <c r="I116" s="562" t="s">
        <v>7415</v>
      </c>
      <c r="J116" s="562" t="s">
        <v>7416</v>
      </c>
      <c r="K116" s="562">
        <v>4.0</v>
      </c>
      <c r="L116" s="562" t="s">
        <v>376</v>
      </c>
    </row>
    <row r="117">
      <c r="A117" s="571">
        <v>45664.0</v>
      </c>
      <c r="B117" s="563">
        <v>0.39861111111111114</v>
      </c>
      <c r="C117" s="562" t="s">
        <v>7417</v>
      </c>
      <c r="D117" s="284"/>
      <c r="E117" s="562">
        <v>923327431538</v>
      </c>
      <c r="F117" s="562" t="s">
        <v>6875</v>
      </c>
      <c r="G117" s="562" t="s">
        <v>7418</v>
      </c>
      <c r="H117" s="562" t="s">
        <v>7419</v>
      </c>
      <c r="I117" s="562" t="s">
        <v>7420</v>
      </c>
      <c r="J117" s="562" t="s">
        <v>7421</v>
      </c>
      <c r="K117" s="562">
        <v>4.0</v>
      </c>
      <c r="L117" s="562" t="s">
        <v>7422</v>
      </c>
    </row>
    <row r="118">
      <c r="A118" s="571">
        <v>45664.0</v>
      </c>
      <c r="B118" s="563">
        <v>0.39875</v>
      </c>
      <c r="C118" s="562" t="s">
        <v>7423</v>
      </c>
      <c r="D118" s="284"/>
      <c r="E118" s="562">
        <v>923112953468</v>
      </c>
      <c r="F118" s="562" t="s">
        <v>6939</v>
      </c>
      <c r="G118" s="562" t="s">
        <v>7424</v>
      </c>
      <c r="H118" s="562" t="s">
        <v>7425</v>
      </c>
      <c r="I118" s="562" t="s">
        <v>7426</v>
      </c>
      <c r="J118" s="562" t="s">
        <v>7427</v>
      </c>
      <c r="K118" s="562">
        <v>4.0</v>
      </c>
      <c r="L118" s="562" t="s">
        <v>376</v>
      </c>
    </row>
    <row r="119">
      <c r="A119" s="571">
        <v>45664.0</v>
      </c>
      <c r="B119" s="563">
        <v>0.3987962962962963</v>
      </c>
      <c r="C119" s="562" t="s">
        <v>7428</v>
      </c>
      <c r="D119" s="562" t="s">
        <v>6886</v>
      </c>
      <c r="E119" s="566" t="s">
        <v>7429</v>
      </c>
      <c r="F119" s="562" t="s">
        <v>6875</v>
      </c>
      <c r="G119" s="562" t="s">
        <v>7430</v>
      </c>
      <c r="H119" s="562" t="s">
        <v>7431</v>
      </c>
      <c r="I119" s="562" t="s">
        <v>7432</v>
      </c>
      <c r="J119" s="562" t="s">
        <v>7433</v>
      </c>
      <c r="K119" s="562">
        <v>4.0</v>
      </c>
      <c r="L119" s="562" t="s">
        <v>7434</v>
      </c>
    </row>
    <row r="120">
      <c r="A120" s="572">
        <v>45664.0</v>
      </c>
      <c r="B120" s="573">
        <v>0.40149305555555553</v>
      </c>
      <c r="C120" s="574" t="s">
        <v>7435</v>
      </c>
      <c r="D120" s="575"/>
      <c r="E120" s="574">
        <v>923311363654</v>
      </c>
      <c r="F120" s="562" t="s">
        <v>6875</v>
      </c>
      <c r="G120" s="574" t="s">
        <v>7436</v>
      </c>
      <c r="H120" s="574" t="s">
        <v>7437</v>
      </c>
      <c r="I120" s="574" t="s">
        <v>7438</v>
      </c>
      <c r="J120" s="574" t="s">
        <v>7439</v>
      </c>
      <c r="K120" s="574">
        <v>4.0</v>
      </c>
      <c r="L120" s="574" t="s">
        <v>7440</v>
      </c>
    </row>
    <row r="121">
      <c r="A121" s="571">
        <v>45664.0</v>
      </c>
      <c r="B121" s="563">
        <v>0.40155092592592595</v>
      </c>
      <c r="C121" s="562" t="s">
        <v>7441</v>
      </c>
      <c r="D121" s="284"/>
      <c r="E121" s="562">
        <v>923343290810</v>
      </c>
      <c r="F121" s="562" t="s">
        <v>6939</v>
      </c>
      <c r="G121" s="562" t="s">
        <v>7442</v>
      </c>
      <c r="H121" s="562" t="s">
        <v>7443</v>
      </c>
      <c r="I121" s="562" t="s">
        <v>7444</v>
      </c>
      <c r="J121" s="562" t="s">
        <v>7445</v>
      </c>
      <c r="K121" s="562">
        <v>4.0</v>
      </c>
      <c r="L121" s="562" t="s">
        <v>6944</v>
      </c>
    </row>
    <row r="122">
      <c r="A122" s="571">
        <v>45664.0</v>
      </c>
      <c r="B122" s="563">
        <v>0.40163194444444444</v>
      </c>
      <c r="C122" s="562" t="s">
        <v>7446</v>
      </c>
      <c r="D122" s="284"/>
      <c r="E122" s="562">
        <v>923448877535</v>
      </c>
      <c r="F122" s="562" t="s">
        <v>6875</v>
      </c>
      <c r="G122" s="562" t="s">
        <v>7447</v>
      </c>
      <c r="H122" s="562" t="s">
        <v>7448</v>
      </c>
      <c r="I122" s="284"/>
      <c r="J122" s="284"/>
      <c r="K122" s="562">
        <v>2.0</v>
      </c>
      <c r="L122" s="562" t="s">
        <v>372</v>
      </c>
    </row>
    <row r="123">
      <c r="A123" s="571">
        <v>45664.0</v>
      </c>
      <c r="B123" s="563">
        <v>0.40171296296296294</v>
      </c>
      <c r="C123" s="562" t="s">
        <v>7449</v>
      </c>
      <c r="D123" s="284"/>
      <c r="E123" s="562">
        <v>923180577086</v>
      </c>
      <c r="F123" s="562" t="s">
        <v>6875</v>
      </c>
      <c r="G123" s="284"/>
      <c r="H123" s="562" t="s">
        <v>7450</v>
      </c>
      <c r="I123" s="284"/>
      <c r="J123" s="284"/>
      <c r="K123" s="562">
        <v>1.0</v>
      </c>
      <c r="L123" s="562" t="s">
        <v>7451</v>
      </c>
    </row>
    <row r="124">
      <c r="A124" s="571">
        <v>45664.0</v>
      </c>
      <c r="B124" s="563">
        <v>0.4018055555555556</v>
      </c>
      <c r="C124" s="562" t="s">
        <v>7452</v>
      </c>
      <c r="D124" s="284"/>
      <c r="E124" s="562">
        <v>923003277835</v>
      </c>
      <c r="F124" s="562" t="s">
        <v>6875</v>
      </c>
      <c r="G124" s="284"/>
      <c r="H124" s="562" t="s">
        <v>7453</v>
      </c>
      <c r="I124" s="562" t="s">
        <v>7454</v>
      </c>
      <c r="J124" s="284"/>
      <c r="K124" s="562">
        <v>2.0</v>
      </c>
      <c r="L124" s="562" t="s">
        <v>372</v>
      </c>
    </row>
    <row r="125">
      <c r="A125" s="571">
        <v>45664.0</v>
      </c>
      <c r="B125" s="563">
        <v>0.4033449074074074</v>
      </c>
      <c r="C125" s="562" t="s">
        <v>7455</v>
      </c>
      <c r="D125" s="284"/>
      <c r="E125" s="562">
        <v>923164761118</v>
      </c>
      <c r="F125" s="562" t="s">
        <v>6875</v>
      </c>
      <c r="G125" s="562" t="s">
        <v>7456</v>
      </c>
      <c r="H125" s="562" t="s">
        <v>7457</v>
      </c>
      <c r="I125" s="284"/>
      <c r="J125" s="562" t="s">
        <v>7458</v>
      </c>
      <c r="K125" s="562">
        <v>3.0</v>
      </c>
      <c r="L125" s="562" t="s">
        <v>372</v>
      </c>
    </row>
    <row r="126">
      <c r="A126" s="571">
        <v>45664.0</v>
      </c>
      <c r="B126" s="563">
        <v>0.4034027777777778</v>
      </c>
      <c r="C126" s="562" t="s">
        <v>7459</v>
      </c>
      <c r="D126" s="284"/>
      <c r="E126" s="562">
        <v>923010776453</v>
      </c>
      <c r="F126" s="562" t="s">
        <v>6939</v>
      </c>
      <c r="G126" s="562" t="s">
        <v>7460</v>
      </c>
      <c r="H126" s="562" t="s">
        <v>7461</v>
      </c>
      <c r="I126" s="562" t="s">
        <v>7462</v>
      </c>
      <c r="J126" s="562" t="s">
        <v>7463</v>
      </c>
      <c r="K126" s="562">
        <v>4.0</v>
      </c>
      <c r="L126" s="562" t="s">
        <v>376</v>
      </c>
    </row>
    <row r="127">
      <c r="A127" s="571">
        <v>45664.0</v>
      </c>
      <c r="B127" s="563">
        <v>0.40346064814814814</v>
      </c>
      <c r="C127" s="562" t="s">
        <v>7464</v>
      </c>
      <c r="D127" s="284"/>
      <c r="E127" s="562">
        <v>923196411651</v>
      </c>
      <c r="F127" s="562" t="s">
        <v>6875</v>
      </c>
      <c r="G127" s="284"/>
      <c r="H127" s="562" t="s">
        <v>7465</v>
      </c>
      <c r="I127" s="284"/>
      <c r="J127" s="284"/>
      <c r="K127" s="562">
        <v>1.0</v>
      </c>
      <c r="L127" s="562" t="s">
        <v>372</v>
      </c>
    </row>
    <row r="128">
      <c r="A128" s="571">
        <v>45664.0</v>
      </c>
      <c r="B128" s="563">
        <v>0.4035185185185185</v>
      </c>
      <c r="C128" s="562" t="s">
        <v>7466</v>
      </c>
      <c r="D128" s="284"/>
      <c r="E128" s="562">
        <v>923273119484</v>
      </c>
      <c r="F128" s="562" t="s">
        <v>6939</v>
      </c>
      <c r="G128" s="562" t="s">
        <v>7467</v>
      </c>
      <c r="H128" s="562" t="s">
        <v>7468</v>
      </c>
      <c r="I128" s="562" t="s">
        <v>7469</v>
      </c>
      <c r="J128" s="562" t="s">
        <v>7470</v>
      </c>
      <c r="K128" s="562">
        <v>4.0</v>
      </c>
      <c r="L128" s="284"/>
    </row>
    <row r="129">
      <c r="A129" s="571">
        <v>45664.0</v>
      </c>
      <c r="B129" s="563">
        <v>0.40359953703703705</v>
      </c>
      <c r="C129" s="562" t="s">
        <v>7471</v>
      </c>
      <c r="D129" s="284"/>
      <c r="E129" s="562">
        <v>923274256213</v>
      </c>
      <c r="F129" s="562" t="s">
        <v>6939</v>
      </c>
      <c r="G129" s="562" t="s">
        <v>7472</v>
      </c>
      <c r="H129" s="562" t="s">
        <v>7473</v>
      </c>
      <c r="I129" s="562" t="s">
        <v>7474</v>
      </c>
      <c r="J129" s="562" t="s">
        <v>7475</v>
      </c>
      <c r="K129" s="562">
        <v>4.0</v>
      </c>
      <c r="L129" s="284"/>
    </row>
    <row r="130">
      <c r="A130" s="571">
        <v>45664.0</v>
      </c>
      <c r="B130" s="563">
        <v>0.4046412037037037</v>
      </c>
      <c r="C130" s="562" t="s">
        <v>7476</v>
      </c>
      <c r="D130" s="284"/>
      <c r="E130" s="562">
        <v>923091468292</v>
      </c>
      <c r="F130" s="562" t="s">
        <v>6875</v>
      </c>
      <c r="G130" s="284"/>
      <c r="H130" s="562" t="s">
        <v>7477</v>
      </c>
      <c r="I130" s="284"/>
      <c r="J130" s="284"/>
      <c r="K130" s="562">
        <v>1.0</v>
      </c>
      <c r="L130" s="562" t="s">
        <v>7478</v>
      </c>
    </row>
    <row r="131">
      <c r="A131" s="571">
        <v>45664.0</v>
      </c>
      <c r="B131" s="563">
        <v>0.40475694444444443</v>
      </c>
      <c r="C131" s="562" t="s">
        <v>7479</v>
      </c>
      <c r="D131" s="284"/>
      <c r="E131" s="562">
        <v>923218451110</v>
      </c>
      <c r="F131" s="562" t="s">
        <v>6939</v>
      </c>
      <c r="G131" s="562" t="s">
        <v>7480</v>
      </c>
      <c r="H131" s="562" t="s">
        <v>7481</v>
      </c>
      <c r="I131" s="562" t="s">
        <v>7482</v>
      </c>
      <c r="J131" s="562" t="s">
        <v>7483</v>
      </c>
      <c r="K131" s="562">
        <v>4.0</v>
      </c>
      <c r="L131" s="562" t="s">
        <v>204</v>
      </c>
    </row>
    <row r="132">
      <c r="A132" s="571">
        <v>45664.0</v>
      </c>
      <c r="B132" s="563">
        <v>0.40480324074074076</v>
      </c>
      <c r="C132" s="562" t="s">
        <v>7484</v>
      </c>
      <c r="D132" s="284"/>
      <c r="E132" s="562">
        <v>923234764446</v>
      </c>
      <c r="F132" s="562" t="s">
        <v>6939</v>
      </c>
      <c r="G132" s="562" t="s">
        <v>7485</v>
      </c>
      <c r="H132" s="562" t="s">
        <v>7486</v>
      </c>
      <c r="I132" s="562" t="s">
        <v>7487</v>
      </c>
      <c r="J132" s="562" t="s">
        <v>7488</v>
      </c>
      <c r="K132" s="562">
        <v>4.0</v>
      </c>
      <c r="L132" s="284"/>
    </row>
    <row r="133">
      <c r="A133" s="571">
        <v>45664.0</v>
      </c>
      <c r="B133" s="563">
        <v>0.4056828703703704</v>
      </c>
      <c r="C133" s="562" t="s">
        <v>7489</v>
      </c>
      <c r="D133" s="284"/>
      <c r="E133" s="562">
        <v>923320360381</v>
      </c>
      <c r="F133" s="562" t="s">
        <v>6939</v>
      </c>
      <c r="G133" s="562" t="s">
        <v>7490</v>
      </c>
      <c r="H133" s="562" t="s">
        <v>7491</v>
      </c>
      <c r="I133" s="562" t="s">
        <v>7492</v>
      </c>
      <c r="J133" s="562" t="s">
        <v>7493</v>
      </c>
      <c r="K133" s="562">
        <v>4.0</v>
      </c>
      <c r="L133" s="284"/>
    </row>
    <row r="134">
      <c r="A134" s="571">
        <v>45664.0</v>
      </c>
      <c r="B134" s="563">
        <v>0.4137962962962963</v>
      </c>
      <c r="C134" s="562" t="s">
        <v>7494</v>
      </c>
      <c r="D134" s="284"/>
      <c r="E134" s="562">
        <v>923181849658</v>
      </c>
      <c r="F134" s="562" t="s">
        <v>6875</v>
      </c>
      <c r="G134" s="284"/>
      <c r="H134" s="562" t="s">
        <v>7495</v>
      </c>
      <c r="I134" s="284"/>
      <c r="J134" s="562" t="s">
        <v>7496</v>
      </c>
      <c r="K134" s="562">
        <v>2.0</v>
      </c>
      <c r="L134" s="562" t="s">
        <v>674</v>
      </c>
    </row>
    <row r="135">
      <c r="A135" s="571">
        <v>45664.0</v>
      </c>
      <c r="B135" s="563">
        <v>0.43516203703703704</v>
      </c>
      <c r="C135" s="562" t="s">
        <v>7497</v>
      </c>
      <c r="D135" s="284"/>
      <c r="E135" s="562">
        <v>923438233573</v>
      </c>
      <c r="F135" s="562" t="s">
        <v>6939</v>
      </c>
      <c r="G135" s="562" t="s">
        <v>7498</v>
      </c>
      <c r="H135" s="562" t="s">
        <v>7499</v>
      </c>
      <c r="I135" s="562" t="s">
        <v>7500</v>
      </c>
      <c r="J135" s="562" t="s">
        <v>7501</v>
      </c>
      <c r="K135" s="562">
        <v>4.0</v>
      </c>
      <c r="L135" s="284"/>
    </row>
    <row r="136">
      <c r="A136" s="571">
        <v>45664.0</v>
      </c>
      <c r="B136" s="563">
        <v>0.4352314814814815</v>
      </c>
      <c r="C136" s="562" t="s">
        <v>7502</v>
      </c>
      <c r="D136" s="284"/>
      <c r="E136" s="562">
        <v>923156730945</v>
      </c>
      <c r="F136" s="562" t="s">
        <v>6939</v>
      </c>
      <c r="G136" s="562" t="s">
        <v>7503</v>
      </c>
      <c r="H136" s="562" t="s">
        <v>7504</v>
      </c>
      <c r="I136" s="562" t="s">
        <v>7505</v>
      </c>
      <c r="J136" s="562" t="s">
        <v>7506</v>
      </c>
      <c r="K136" s="562">
        <v>4.0</v>
      </c>
      <c r="L136" s="284"/>
    </row>
    <row r="137">
      <c r="A137" s="571">
        <v>45664.0</v>
      </c>
      <c r="B137" s="563">
        <v>0.43905092592592593</v>
      </c>
      <c r="C137" s="562" t="s">
        <v>7507</v>
      </c>
      <c r="D137" s="562" t="s">
        <v>6886</v>
      </c>
      <c r="E137" s="566" t="s">
        <v>7508</v>
      </c>
      <c r="F137" s="562" t="s">
        <v>6875</v>
      </c>
      <c r="G137" s="562" t="s">
        <v>7509</v>
      </c>
      <c r="H137" s="562" t="s">
        <v>7510</v>
      </c>
      <c r="I137" s="562" t="s">
        <v>7511</v>
      </c>
      <c r="J137" s="562" t="s">
        <v>7512</v>
      </c>
      <c r="K137" s="562">
        <v>4.0</v>
      </c>
      <c r="L137" s="562" t="s">
        <v>7513</v>
      </c>
    </row>
    <row r="138">
      <c r="A138" s="571">
        <v>45664.0</v>
      </c>
      <c r="B138" s="563">
        <v>0.44180555555555556</v>
      </c>
      <c r="C138" s="562" t="s">
        <v>7514</v>
      </c>
      <c r="D138" s="284"/>
      <c r="E138" s="562">
        <v>923459851360</v>
      </c>
      <c r="F138" s="562" t="s">
        <v>6875</v>
      </c>
      <c r="G138" s="284"/>
      <c r="H138" s="562" t="s">
        <v>7515</v>
      </c>
      <c r="I138" s="284"/>
      <c r="J138" s="562" t="s">
        <v>7516</v>
      </c>
      <c r="K138" s="562">
        <v>2.0</v>
      </c>
      <c r="L138" s="562" t="s">
        <v>372</v>
      </c>
    </row>
    <row r="139">
      <c r="A139" s="571">
        <v>45664.0</v>
      </c>
      <c r="B139" s="563">
        <v>0.4483333333333333</v>
      </c>
      <c r="C139" s="562" t="s">
        <v>7517</v>
      </c>
      <c r="D139" s="284"/>
      <c r="E139" s="562">
        <v>923065188506</v>
      </c>
      <c r="F139" s="562" t="s">
        <v>6875</v>
      </c>
      <c r="G139" s="284"/>
      <c r="H139" s="562" t="s">
        <v>7518</v>
      </c>
      <c r="I139" s="284"/>
      <c r="J139" s="562" t="s">
        <v>7519</v>
      </c>
      <c r="K139" s="562">
        <v>2.0</v>
      </c>
      <c r="L139" s="562" t="s">
        <v>372</v>
      </c>
    </row>
    <row r="140">
      <c r="A140" s="571">
        <v>45664.0</v>
      </c>
      <c r="B140" s="563">
        <v>0.4506712962962963</v>
      </c>
      <c r="C140" s="562" t="s">
        <v>7520</v>
      </c>
      <c r="D140" s="284"/>
      <c r="E140" s="562">
        <v>923084293311</v>
      </c>
      <c r="F140" s="562" t="s">
        <v>6875</v>
      </c>
      <c r="G140" s="562" t="s">
        <v>7521</v>
      </c>
      <c r="H140" s="562" t="s">
        <v>7522</v>
      </c>
      <c r="I140" s="562" t="s">
        <v>7523</v>
      </c>
      <c r="J140" s="562" t="s">
        <v>7524</v>
      </c>
      <c r="K140" s="562">
        <v>4.0</v>
      </c>
      <c r="L140" s="562" t="s">
        <v>7525</v>
      </c>
    </row>
    <row r="141">
      <c r="A141" s="571">
        <v>45664.0</v>
      </c>
      <c r="B141" s="563">
        <v>0.4557175925925926</v>
      </c>
      <c r="C141" s="562" t="s">
        <v>3439</v>
      </c>
      <c r="D141" s="562" t="s">
        <v>7526</v>
      </c>
      <c r="E141" s="566" t="s">
        <v>7527</v>
      </c>
      <c r="F141" s="562" t="s">
        <v>6982</v>
      </c>
      <c r="G141" s="562" t="s">
        <v>7528</v>
      </c>
      <c r="H141" s="562" t="s">
        <v>7529</v>
      </c>
      <c r="I141" s="562" t="s">
        <v>7530</v>
      </c>
      <c r="J141" s="562" t="s">
        <v>7531</v>
      </c>
      <c r="K141" s="562">
        <v>4.0</v>
      </c>
      <c r="L141" s="562" t="s">
        <v>7532</v>
      </c>
    </row>
    <row r="142">
      <c r="A142" s="571">
        <v>45664.0</v>
      </c>
      <c r="B142" s="563">
        <v>0.4854398148148148</v>
      </c>
      <c r="C142" s="562" t="s">
        <v>7533</v>
      </c>
      <c r="D142" s="284"/>
      <c r="E142" s="562">
        <v>923264951120</v>
      </c>
      <c r="F142" s="562" t="s">
        <v>6939</v>
      </c>
      <c r="G142" s="562" t="s">
        <v>7534</v>
      </c>
      <c r="H142" s="562" t="s">
        <v>7535</v>
      </c>
      <c r="I142" s="562" t="s">
        <v>7536</v>
      </c>
      <c r="J142" s="562" t="s">
        <v>7537</v>
      </c>
      <c r="K142" s="562">
        <v>4.0</v>
      </c>
      <c r="L142" s="284"/>
    </row>
    <row r="143">
      <c r="A143" s="571">
        <v>45664.0</v>
      </c>
      <c r="B143" s="563">
        <v>0.498599537037037</v>
      </c>
      <c r="C143" s="562" t="s">
        <v>7538</v>
      </c>
      <c r="D143" s="284"/>
      <c r="E143" s="562">
        <v>923334128972</v>
      </c>
      <c r="F143" s="562" t="s">
        <v>6875</v>
      </c>
      <c r="G143" s="562" t="s">
        <v>7539</v>
      </c>
      <c r="H143" s="562" t="s">
        <v>7540</v>
      </c>
      <c r="I143" s="284"/>
      <c r="J143" s="562" t="s">
        <v>7541</v>
      </c>
      <c r="K143" s="562">
        <v>3.0</v>
      </c>
      <c r="L143" s="562" t="s">
        <v>51</v>
      </c>
    </row>
    <row r="144">
      <c r="A144" s="571">
        <v>45664.0</v>
      </c>
      <c r="B144" s="563">
        <v>0.5205208333333333</v>
      </c>
      <c r="C144" s="562" t="s">
        <v>7542</v>
      </c>
      <c r="D144" s="284"/>
      <c r="E144" s="562">
        <v>923279064266</v>
      </c>
      <c r="F144" s="562" t="s">
        <v>6875</v>
      </c>
      <c r="G144" s="284"/>
      <c r="H144" s="284"/>
      <c r="I144" s="562" t="s">
        <v>7543</v>
      </c>
      <c r="J144" s="284"/>
      <c r="K144" s="562">
        <v>1.0</v>
      </c>
      <c r="L144" s="562" t="s">
        <v>372</v>
      </c>
    </row>
    <row r="145">
      <c r="A145" s="571">
        <v>45664.0</v>
      </c>
      <c r="B145" s="563">
        <v>0.5226736111111111</v>
      </c>
      <c r="C145" s="562" t="s">
        <v>7544</v>
      </c>
      <c r="D145" s="284"/>
      <c r="E145" s="562">
        <v>923172190900</v>
      </c>
      <c r="F145" s="562" t="s">
        <v>7291</v>
      </c>
      <c r="G145" s="562" t="s">
        <v>7545</v>
      </c>
      <c r="H145" s="562" t="s">
        <v>7546</v>
      </c>
      <c r="I145" s="562" t="s">
        <v>7547</v>
      </c>
      <c r="J145" s="562" t="s">
        <v>7548</v>
      </c>
      <c r="K145" s="562">
        <v>4.0</v>
      </c>
      <c r="L145" s="562" t="s">
        <v>7549</v>
      </c>
    </row>
    <row r="146">
      <c r="A146" s="571">
        <v>45664.0</v>
      </c>
      <c r="B146" s="563">
        <v>0.5266087962962963</v>
      </c>
      <c r="C146" s="562" t="s">
        <v>7550</v>
      </c>
      <c r="D146" s="284"/>
      <c r="E146" s="562">
        <v>923177339787</v>
      </c>
      <c r="F146" s="562" t="s">
        <v>6875</v>
      </c>
      <c r="G146" s="284"/>
      <c r="H146" s="562" t="s">
        <v>7551</v>
      </c>
      <c r="I146" s="284"/>
      <c r="J146" s="284"/>
      <c r="K146" s="562">
        <v>1.0</v>
      </c>
      <c r="L146" s="562" t="s">
        <v>51</v>
      </c>
    </row>
    <row r="147">
      <c r="A147" s="571">
        <v>45664.0</v>
      </c>
      <c r="B147" s="563">
        <v>0.5380555555555555</v>
      </c>
      <c r="C147" s="562" t="s">
        <v>7552</v>
      </c>
      <c r="D147" s="284"/>
      <c r="E147" s="562">
        <v>923214466918</v>
      </c>
      <c r="F147" s="562" t="s">
        <v>6875</v>
      </c>
      <c r="G147" s="284"/>
      <c r="H147" s="284"/>
      <c r="I147" s="562" t="s">
        <v>7553</v>
      </c>
      <c r="J147" s="562" t="s">
        <v>7554</v>
      </c>
      <c r="K147" s="562">
        <v>2.0</v>
      </c>
      <c r="L147" s="562" t="s">
        <v>1158</v>
      </c>
    </row>
    <row r="148">
      <c r="A148" s="571">
        <v>45664.0</v>
      </c>
      <c r="B148" s="563">
        <v>0.538125</v>
      </c>
      <c r="C148" s="562" t="s">
        <v>7555</v>
      </c>
      <c r="D148" s="284"/>
      <c r="E148" s="562">
        <f>923146636338</f>
        <v>923146636338</v>
      </c>
      <c r="F148" s="562" t="s">
        <v>6939</v>
      </c>
      <c r="G148" s="562" t="s">
        <v>7534</v>
      </c>
      <c r="H148" s="562" t="s">
        <v>7556</v>
      </c>
      <c r="I148" s="562" t="s">
        <v>7557</v>
      </c>
      <c r="J148" s="562" t="s">
        <v>7537</v>
      </c>
      <c r="K148" s="562">
        <v>4.0</v>
      </c>
      <c r="L148" s="562" t="s">
        <v>727</v>
      </c>
    </row>
    <row r="149">
      <c r="A149" s="571">
        <v>45664.0</v>
      </c>
      <c r="B149" s="563">
        <v>0.5502546296296297</v>
      </c>
      <c r="C149" s="562" t="s">
        <v>7558</v>
      </c>
      <c r="D149" s="284"/>
      <c r="E149" s="562">
        <v>923000465888</v>
      </c>
      <c r="F149" s="562" t="s">
        <v>7291</v>
      </c>
      <c r="G149" s="562" t="s">
        <v>7559</v>
      </c>
      <c r="H149" s="562" t="s">
        <v>7254</v>
      </c>
      <c r="I149" s="562" t="s">
        <v>7560</v>
      </c>
      <c r="J149" s="562" t="s">
        <v>7561</v>
      </c>
      <c r="K149" s="562">
        <v>4.0</v>
      </c>
      <c r="L149" s="562" t="s">
        <v>376</v>
      </c>
    </row>
    <row r="150">
      <c r="A150" s="571">
        <v>45664.0</v>
      </c>
      <c r="B150" s="563">
        <v>0.5588078703703704</v>
      </c>
      <c r="C150" s="562" t="s">
        <v>7562</v>
      </c>
      <c r="D150" s="284"/>
      <c r="E150" s="562">
        <v>923463895631</v>
      </c>
      <c r="F150" s="562" t="s">
        <v>6875</v>
      </c>
      <c r="G150" s="284"/>
      <c r="H150" s="562" t="s">
        <v>7563</v>
      </c>
      <c r="I150" s="562" t="s">
        <v>7564</v>
      </c>
      <c r="J150" s="562" t="s">
        <v>7565</v>
      </c>
      <c r="K150" s="562">
        <v>3.0</v>
      </c>
      <c r="L150" s="562" t="s">
        <v>372</v>
      </c>
    </row>
    <row r="151">
      <c r="A151" s="571">
        <v>45664.0</v>
      </c>
      <c r="B151" s="563">
        <v>0.5591087962962963</v>
      </c>
      <c r="C151" s="562" t="s">
        <v>7566</v>
      </c>
      <c r="D151" s="284"/>
      <c r="E151" s="562">
        <v>923409739137</v>
      </c>
      <c r="F151" s="562" t="s">
        <v>6939</v>
      </c>
      <c r="G151" s="562" t="s">
        <v>7567</v>
      </c>
      <c r="H151" s="562" t="s">
        <v>7568</v>
      </c>
      <c r="I151" s="562" t="s">
        <v>7569</v>
      </c>
      <c r="J151" s="562" t="s">
        <v>7570</v>
      </c>
      <c r="K151" s="562">
        <v>4.0</v>
      </c>
      <c r="L151" s="284"/>
    </row>
    <row r="152">
      <c r="A152" s="571">
        <v>45664.0</v>
      </c>
      <c r="B152" s="563">
        <v>0.5614814814814815</v>
      </c>
      <c r="C152" s="562" t="s">
        <v>7571</v>
      </c>
      <c r="D152" s="284"/>
      <c r="E152" s="562">
        <v>923364254387</v>
      </c>
      <c r="F152" s="562" t="s">
        <v>6875</v>
      </c>
      <c r="G152" s="562" t="s">
        <v>7572</v>
      </c>
      <c r="H152" s="562" t="s">
        <v>7573</v>
      </c>
      <c r="I152" s="562" t="s">
        <v>7574</v>
      </c>
      <c r="J152" s="562" t="s">
        <v>7575</v>
      </c>
      <c r="K152" s="562">
        <v>4.0</v>
      </c>
      <c r="L152" s="562" t="s">
        <v>7114</v>
      </c>
    </row>
    <row r="153">
      <c r="A153" s="571">
        <v>45664.0</v>
      </c>
      <c r="B153" s="563">
        <v>0.5768171296296296</v>
      </c>
      <c r="C153" s="562" t="s">
        <v>7576</v>
      </c>
      <c r="D153" s="284"/>
      <c r="E153" s="562">
        <v>923105170775</v>
      </c>
      <c r="F153" s="562" t="s">
        <v>6875</v>
      </c>
      <c r="G153" s="284"/>
      <c r="H153" s="284"/>
      <c r="I153" s="562" t="s">
        <v>7577</v>
      </c>
      <c r="J153" s="562" t="s">
        <v>7578</v>
      </c>
      <c r="K153" s="562">
        <v>2.0</v>
      </c>
      <c r="L153" s="562" t="s">
        <v>152</v>
      </c>
    </row>
    <row r="154">
      <c r="A154" s="571">
        <v>45664.0</v>
      </c>
      <c r="B154" s="563">
        <v>0.5859837962962963</v>
      </c>
      <c r="C154" s="562" t="s">
        <v>7579</v>
      </c>
      <c r="D154" s="284"/>
      <c r="E154" s="562">
        <v>923333609987</v>
      </c>
      <c r="F154" s="562" t="s">
        <v>6939</v>
      </c>
      <c r="G154" s="562" t="s">
        <v>7580</v>
      </c>
      <c r="H154" s="562" t="s">
        <v>7581</v>
      </c>
      <c r="I154" s="562" t="s">
        <v>7582</v>
      </c>
      <c r="J154" s="562" t="s">
        <v>7583</v>
      </c>
      <c r="K154" s="562">
        <v>4.0</v>
      </c>
      <c r="L154" s="562" t="s">
        <v>376</v>
      </c>
    </row>
    <row r="155">
      <c r="A155" s="571">
        <v>45664.0</v>
      </c>
      <c r="B155" s="563">
        <v>0.5861689814814814</v>
      </c>
      <c r="C155" s="562" t="s">
        <v>7584</v>
      </c>
      <c r="D155" s="562" t="s">
        <v>7395</v>
      </c>
      <c r="E155" s="566" t="s">
        <v>7585</v>
      </c>
      <c r="F155" s="562" t="s">
        <v>6939</v>
      </c>
      <c r="G155" s="562" t="s">
        <v>7586</v>
      </c>
      <c r="H155" s="562" t="s">
        <v>7587</v>
      </c>
      <c r="I155" s="562" t="s">
        <v>7588</v>
      </c>
      <c r="J155" s="562" t="s">
        <v>7589</v>
      </c>
      <c r="K155" s="562">
        <v>4.0</v>
      </c>
      <c r="L155" s="284"/>
    </row>
    <row r="156">
      <c r="A156" s="571">
        <v>45664.0</v>
      </c>
      <c r="B156" s="563">
        <v>0.5952662037037038</v>
      </c>
      <c r="C156" s="562" t="s">
        <v>7590</v>
      </c>
      <c r="D156" s="562" t="s">
        <v>6886</v>
      </c>
      <c r="E156" s="566" t="s">
        <v>7591</v>
      </c>
      <c r="F156" s="562" t="s">
        <v>6888</v>
      </c>
      <c r="G156" s="284"/>
      <c r="H156" s="562" t="s">
        <v>7592</v>
      </c>
      <c r="I156" s="562" t="s">
        <v>7593</v>
      </c>
      <c r="J156" s="562" t="s">
        <v>7594</v>
      </c>
      <c r="K156" s="562">
        <v>3.0</v>
      </c>
      <c r="L156" s="562" t="s">
        <v>6929</v>
      </c>
    </row>
    <row r="157">
      <c r="A157" s="571">
        <v>45664.0</v>
      </c>
      <c r="B157" s="563">
        <v>0.6096527777777778</v>
      </c>
      <c r="C157" s="562" t="s">
        <v>7595</v>
      </c>
      <c r="D157" s="562" t="s">
        <v>7395</v>
      </c>
      <c r="E157" s="562" t="s">
        <v>7596</v>
      </c>
      <c r="F157" s="562" t="s">
        <v>6875</v>
      </c>
      <c r="G157" s="562" t="s">
        <v>7597</v>
      </c>
      <c r="H157" s="562" t="s">
        <v>7598</v>
      </c>
      <c r="I157" s="562" t="s">
        <v>7599</v>
      </c>
      <c r="J157" s="562" t="s">
        <v>7600</v>
      </c>
      <c r="K157" s="562">
        <v>4.0</v>
      </c>
      <c r="L157" s="562" t="s">
        <v>376</v>
      </c>
    </row>
    <row r="158">
      <c r="A158" s="571">
        <v>45664.0</v>
      </c>
      <c r="B158" s="563">
        <v>0.6119328703703704</v>
      </c>
      <c r="C158" s="562" t="s">
        <v>7601</v>
      </c>
      <c r="D158" s="284"/>
      <c r="E158" s="562">
        <v>923414617974</v>
      </c>
      <c r="F158" s="562" t="s">
        <v>6939</v>
      </c>
      <c r="G158" s="562" t="s">
        <v>7602</v>
      </c>
      <c r="H158" s="562" t="s">
        <v>7603</v>
      </c>
      <c r="I158" s="562" t="s">
        <v>7604</v>
      </c>
      <c r="J158" s="562" t="s">
        <v>7605</v>
      </c>
      <c r="K158" s="562">
        <v>4.0</v>
      </c>
      <c r="L158" s="562" t="s">
        <v>376</v>
      </c>
    </row>
    <row r="159">
      <c r="A159" s="571">
        <v>45664.0</v>
      </c>
      <c r="B159" s="563">
        <v>0.6441319444444444</v>
      </c>
      <c r="C159" s="562" t="s">
        <v>7606</v>
      </c>
      <c r="D159" s="284"/>
      <c r="E159" s="562">
        <v>923281359735</v>
      </c>
      <c r="F159" s="562" t="s">
        <v>6939</v>
      </c>
      <c r="G159" s="562" t="s">
        <v>7607</v>
      </c>
      <c r="H159" s="562" t="s">
        <v>7608</v>
      </c>
      <c r="I159" s="562" t="s">
        <v>7609</v>
      </c>
      <c r="J159" s="562" t="s">
        <v>7610</v>
      </c>
      <c r="K159" s="562">
        <v>4.0</v>
      </c>
      <c r="L159" s="562" t="s">
        <v>376</v>
      </c>
    </row>
    <row r="160">
      <c r="A160" s="571">
        <v>45664.0</v>
      </c>
      <c r="B160" s="563">
        <v>0.6564814814814814</v>
      </c>
      <c r="C160" s="562" t="s">
        <v>7611</v>
      </c>
      <c r="D160" s="284"/>
      <c r="E160" s="562">
        <v>923241217637</v>
      </c>
      <c r="F160" s="562" t="s">
        <v>6875</v>
      </c>
      <c r="G160" s="284"/>
      <c r="H160" s="284"/>
      <c r="I160" s="284"/>
      <c r="J160" s="562" t="s">
        <v>7612</v>
      </c>
      <c r="K160" s="562">
        <v>1.0</v>
      </c>
      <c r="L160" s="562" t="s">
        <v>372</v>
      </c>
    </row>
    <row r="161">
      <c r="A161" s="571">
        <v>45664.0</v>
      </c>
      <c r="B161" s="563">
        <v>0.6586689814814815</v>
      </c>
      <c r="C161" s="562" t="s">
        <v>7613</v>
      </c>
      <c r="D161" s="284"/>
      <c r="E161" s="562">
        <v>923437686505</v>
      </c>
      <c r="F161" s="562" t="s">
        <v>6875</v>
      </c>
      <c r="G161" s="562" t="s">
        <v>7614</v>
      </c>
      <c r="H161" s="562" t="s">
        <v>7615</v>
      </c>
      <c r="I161" s="284"/>
      <c r="J161" s="562" t="s">
        <v>7616</v>
      </c>
      <c r="K161" s="562">
        <v>3.0</v>
      </c>
      <c r="L161" s="562" t="s">
        <v>376</v>
      </c>
    </row>
    <row r="162">
      <c r="A162" s="571">
        <v>45664.0</v>
      </c>
      <c r="B162" s="563">
        <v>0.6682407407407407</v>
      </c>
      <c r="C162" s="562" t="s">
        <v>7617</v>
      </c>
      <c r="D162" s="284"/>
      <c r="E162" s="562">
        <v>923075482429</v>
      </c>
      <c r="F162" s="562" t="s">
        <v>6875</v>
      </c>
      <c r="G162" s="284"/>
      <c r="H162" s="284"/>
      <c r="I162" s="284"/>
      <c r="J162" s="562" t="s">
        <v>7618</v>
      </c>
      <c r="K162" s="562">
        <v>1.0</v>
      </c>
      <c r="L162" s="562" t="s">
        <v>372</v>
      </c>
    </row>
    <row r="163">
      <c r="A163" s="571">
        <v>45664.0</v>
      </c>
      <c r="B163" s="563">
        <v>0.6721875</v>
      </c>
      <c r="C163" s="562" t="s">
        <v>7619</v>
      </c>
      <c r="D163" s="284"/>
      <c r="E163" s="562">
        <v>923411222895</v>
      </c>
      <c r="F163" s="562" t="s">
        <v>6875</v>
      </c>
      <c r="G163" s="284"/>
      <c r="H163" s="284"/>
      <c r="I163" s="284"/>
      <c r="J163" s="562" t="s">
        <v>7620</v>
      </c>
      <c r="K163" s="562">
        <v>1.0</v>
      </c>
      <c r="L163" s="562" t="s">
        <v>372</v>
      </c>
    </row>
    <row r="164">
      <c r="A164" s="571">
        <v>45664.0</v>
      </c>
      <c r="B164" s="563">
        <v>0.6796296296296296</v>
      </c>
      <c r="C164" s="562" t="s">
        <v>7621</v>
      </c>
      <c r="D164" s="284"/>
      <c r="E164" s="562">
        <v>923365439245</v>
      </c>
      <c r="F164" s="562" t="s">
        <v>6939</v>
      </c>
      <c r="G164" s="562" t="s">
        <v>7622</v>
      </c>
      <c r="H164" s="562" t="s">
        <v>7623</v>
      </c>
      <c r="I164" s="562" t="s">
        <v>7624</v>
      </c>
      <c r="J164" s="562" t="s">
        <v>7625</v>
      </c>
      <c r="K164" s="562">
        <v>4.0</v>
      </c>
      <c r="L164" s="562" t="s">
        <v>376</v>
      </c>
    </row>
    <row r="165">
      <c r="A165" s="571">
        <v>45664.0</v>
      </c>
      <c r="B165" s="563">
        <v>0.7231828703703703</v>
      </c>
      <c r="C165" s="562" t="s">
        <v>7626</v>
      </c>
      <c r="D165" s="284"/>
      <c r="E165" s="562">
        <v>923014079690</v>
      </c>
      <c r="F165" s="562" t="s">
        <v>6875</v>
      </c>
      <c r="G165" s="284"/>
      <c r="H165" s="284"/>
      <c r="I165" s="284"/>
      <c r="J165" s="562" t="s">
        <v>7627</v>
      </c>
      <c r="K165" s="562">
        <v>1.0</v>
      </c>
      <c r="L165" s="562" t="s">
        <v>372</v>
      </c>
    </row>
    <row r="166">
      <c r="A166" s="571">
        <v>45664.0</v>
      </c>
      <c r="B166" s="563">
        <v>0.7275694444444445</v>
      </c>
      <c r="C166" s="562" t="s">
        <v>7628</v>
      </c>
      <c r="D166" s="284"/>
      <c r="E166" s="562">
        <v>923063546612</v>
      </c>
      <c r="F166" s="562" t="s">
        <v>6875</v>
      </c>
      <c r="G166" s="562" t="s">
        <v>7629</v>
      </c>
      <c r="H166" s="284"/>
      <c r="I166" s="284"/>
      <c r="J166" s="562" t="s">
        <v>7630</v>
      </c>
      <c r="K166" s="562">
        <v>2.0</v>
      </c>
      <c r="L166" s="562" t="s">
        <v>1158</v>
      </c>
    </row>
    <row r="167">
      <c r="A167" s="571">
        <v>45664.0</v>
      </c>
      <c r="B167" s="563">
        <v>0.7318518518518519</v>
      </c>
      <c r="C167" s="562" t="s">
        <v>7631</v>
      </c>
      <c r="D167" s="284"/>
      <c r="E167" s="562">
        <v>923345004159</v>
      </c>
      <c r="F167" s="562" t="s">
        <v>6939</v>
      </c>
      <c r="G167" s="562" t="s">
        <v>7632</v>
      </c>
      <c r="H167" s="562" t="s">
        <v>7633</v>
      </c>
      <c r="I167" s="562" t="s">
        <v>7634</v>
      </c>
      <c r="J167" s="562" t="s">
        <v>7635</v>
      </c>
      <c r="K167" s="562">
        <v>4.0</v>
      </c>
      <c r="L167" s="284"/>
    </row>
    <row r="168">
      <c r="A168" s="571">
        <v>45664.0</v>
      </c>
      <c r="B168" s="563">
        <v>0.7380555555555556</v>
      </c>
      <c r="C168" s="562" t="s">
        <v>7636</v>
      </c>
      <c r="D168" s="284"/>
      <c r="E168" s="562">
        <v>923410758986</v>
      </c>
      <c r="F168" s="562" t="s">
        <v>6875</v>
      </c>
      <c r="G168" s="562" t="s">
        <v>7637</v>
      </c>
      <c r="H168" s="562" t="s">
        <v>7638</v>
      </c>
      <c r="I168" s="562" t="s">
        <v>7639</v>
      </c>
      <c r="J168" s="562" t="s">
        <v>7640</v>
      </c>
      <c r="K168" s="562">
        <v>4.0</v>
      </c>
      <c r="L168" s="562" t="s">
        <v>376</v>
      </c>
    </row>
    <row r="169">
      <c r="A169" s="571">
        <v>45664.0</v>
      </c>
      <c r="B169" s="563">
        <v>0.7381597222222223</v>
      </c>
      <c r="C169" s="562" t="s">
        <v>7641</v>
      </c>
      <c r="D169" s="284"/>
      <c r="E169" s="562">
        <v>923185611641</v>
      </c>
      <c r="F169" s="562" t="s">
        <v>6875</v>
      </c>
      <c r="G169" s="284"/>
      <c r="H169" s="284"/>
      <c r="I169" s="284"/>
      <c r="J169" s="562" t="s">
        <v>7642</v>
      </c>
      <c r="K169" s="562">
        <v>1.0</v>
      </c>
      <c r="L169" s="562" t="s">
        <v>51</v>
      </c>
    </row>
    <row r="170">
      <c r="A170" s="571">
        <v>45664.0</v>
      </c>
      <c r="B170" s="563">
        <v>0.7494560185185185</v>
      </c>
      <c r="C170" s="562" t="s">
        <v>7643</v>
      </c>
      <c r="D170" s="284"/>
      <c r="E170" s="562">
        <v>923481936500</v>
      </c>
      <c r="F170" s="562" t="s">
        <v>6939</v>
      </c>
      <c r="G170" s="562" t="s">
        <v>7644</v>
      </c>
      <c r="H170" s="562" t="s">
        <v>7645</v>
      </c>
      <c r="I170" s="562" t="s">
        <v>7646</v>
      </c>
      <c r="J170" s="562" t="s">
        <v>7647</v>
      </c>
      <c r="K170" s="562">
        <v>4.0</v>
      </c>
      <c r="L170" s="284"/>
    </row>
    <row r="171">
      <c r="A171" s="571">
        <v>45695.0</v>
      </c>
      <c r="B171" s="563">
        <v>0.3839930555555556</v>
      </c>
      <c r="C171" s="562" t="s">
        <v>7648</v>
      </c>
      <c r="D171" s="284"/>
      <c r="E171" s="562">
        <v>923355699997</v>
      </c>
      <c r="F171" s="562" t="s">
        <v>6875</v>
      </c>
      <c r="G171" s="562" t="s">
        <v>7649</v>
      </c>
      <c r="H171" s="562" t="s">
        <v>7650</v>
      </c>
      <c r="I171" s="562" t="s">
        <v>7651</v>
      </c>
      <c r="J171" s="562" t="s">
        <v>7652</v>
      </c>
      <c r="K171" s="562">
        <v>4.0</v>
      </c>
      <c r="L171" s="562" t="s">
        <v>152</v>
      </c>
    </row>
    <row r="172">
      <c r="A172" s="571">
        <v>45695.0</v>
      </c>
      <c r="B172" s="563">
        <v>0.3846875</v>
      </c>
      <c r="C172" s="562" t="s">
        <v>7653</v>
      </c>
      <c r="D172" s="284"/>
      <c r="E172" s="562">
        <v>923492193418</v>
      </c>
      <c r="F172" s="562" t="s">
        <v>6939</v>
      </c>
      <c r="G172" s="562" t="s">
        <v>7654</v>
      </c>
      <c r="H172" s="562" t="s">
        <v>7655</v>
      </c>
      <c r="I172" s="562" t="s">
        <v>7656</v>
      </c>
      <c r="J172" s="562" t="s">
        <v>7657</v>
      </c>
      <c r="K172" s="562">
        <v>4.0</v>
      </c>
      <c r="L172" s="562" t="s">
        <v>376</v>
      </c>
    </row>
    <row r="173">
      <c r="A173" s="571">
        <v>45695.0</v>
      </c>
      <c r="B173" s="563">
        <v>0.38484953703703706</v>
      </c>
      <c r="C173" s="562" t="s">
        <v>7658</v>
      </c>
      <c r="D173" s="284"/>
      <c r="E173" s="562">
        <v>923106648004</v>
      </c>
      <c r="F173" s="562" t="s">
        <v>6939</v>
      </c>
      <c r="G173" s="562" t="s">
        <v>7659</v>
      </c>
      <c r="H173" s="562" t="s">
        <v>7660</v>
      </c>
      <c r="I173" s="562" t="s">
        <v>7661</v>
      </c>
      <c r="J173" s="562" t="s">
        <v>7662</v>
      </c>
      <c r="K173" s="562">
        <v>4.0</v>
      </c>
      <c r="L173" s="562" t="s">
        <v>685</v>
      </c>
    </row>
    <row r="174">
      <c r="A174" s="571">
        <v>45695.0</v>
      </c>
      <c r="B174" s="563">
        <v>0.38494212962962965</v>
      </c>
      <c r="C174" s="562" t="s">
        <v>7663</v>
      </c>
      <c r="D174" s="284"/>
      <c r="E174" s="562">
        <v>923121694366</v>
      </c>
      <c r="F174" s="562" t="s">
        <v>6875</v>
      </c>
      <c r="G174" s="562" t="s">
        <v>7664</v>
      </c>
      <c r="H174" s="284"/>
      <c r="I174" s="284"/>
      <c r="J174" s="284"/>
      <c r="K174" s="562">
        <v>1.0</v>
      </c>
      <c r="L174" s="562" t="s">
        <v>372</v>
      </c>
    </row>
    <row r="175">
      <c r="A175" s="571">
        <v>45695.0</v>
      </c>
      <c r="B175" s="563">
        <v>0.38501157407407405</v>
      </c>
      <c r="C175" s="562" t="s">
        <v>7665</v>
      </c>
      <c r="D175" s="284"/>
      <c r="E175" s="562">
        <v>923184199080</v>
      </c>
      <c r="F175" s="562" t="s">
        <v>7291</v>
      </c>
      <c r="G175" s="562" t="s">
        <v>7666</v>
      </c>
      <c r="H175" s="562" t="s">
        <v>7667</v>
      </c>
      <c r="I175" s="562" t="s">
        <v>7668</v>
      </c>
      <c r="J175" s="562" t="s">
        <v>7669</v>
      </c>
      <c r="K175" s="562">
        <v>4.0</v>
      </c>
      <c r="L175" s="562" t="s">
        <v>6944</v>
      </c>
    </row>
    <row r="176">
      <c r="A176" s="571">
        <v>45695.0</v>
      </c>
      <c r="B176" s="563">
        <v>0.3872800925925926</v>
      </c>
      <c r="C176" s="562" t="s">
        <v>7670</v>
      </c>
      <c r="D176" s="284"/>
      <c r="E176" s="562">
        <v>923014158571</v>
      </c>
      <c r="F176" s="562" t="s">
        <v>7291</v>
      </c>
      <c r="G176" s="562" t="s">
        <v>7671</v>
      </c>
      <c r="H176" s="562" t="s">
        <v>7672</v>
      </c>
      <c r="I176" s="562" t="s">
        <v>7673</v>
      </c>
      <c r="J176" s="562" t="s">
        <v>7674</v>
      </c>
      <c r="K176" s="562">
        <v>4.0</v>
      </c>
      <c r="L176" s="562" t="s">
        <v>6944</v>
      </c>
    </row>
    <row r="177">
      <c r="A177" s="571">
        <v>45695.0</v>
      </c>
      <c r="B177" s="563">
        <v>0.38734953703703706</v>
      </c>
      <c r="C177" s="562" t="s">
        <v>7675</v>
      </c>
      <c r="D177" s="284"/>
      <c r="E177" s="562">
        <v>923449013142</v>
      </c>
      <c r="F177" s="562" t="s">
        <v>6875</v>
      </c>
      <c r="G177" s="562" t="s">
        <v>7676</v>
      </c>
      <c r="H177" s="562" t="s">
        <v>7677</v>
      </c>
      <c r="I177" s="284"/>
      <c r="J177" s="562" t="s">
        <v>7678</v>
      </c>
      <c r="K177" s="562">
        <v>3.0</v>
      </c>
      <c r="L177" s="562" t="s">
        <v>372</v>
      </c>
    </row>
    <row r="178">
      <c r="A178" s="571">
        <v>45695.0</v>
      </c>
      <c r="B178" s="563">
        <v>0.3874074074074074</v>
      </c>
      <c r="C178" s="562" t="s">
        <v>7679</v>
      </c>
      <c r="D178" s="284"/>
      <c r="E178" s="562">
        <v>923219520082</v>
      </c>
      <c r="F178" s="562" t="s">
        <v>6875</v>
      </c>
      <c r="G178" s="562" t="s">
        <v>7680</v>
      </c>
      <c r="H178" s="562" t="s">
        <v>7681</v>
      </c>
      <c r="I178" s="562" t="s">
        <v>7682</v>
      </c>
      <c r="J178" s="562" t="s">
        <v>7683</v>
      </c>
      <c r="K178" s="562">
        <v>4.0</v>
      </c>
      <c r="L178" s="562" t="s">
        <v>376</v>
      </c>
    </row>
    <row r="179">
      <c r="A179" s="571">
        <v>45695.0</v>
      </c>
      <c r="B179" s="563">
        <v>0.3874768518518519</v>
      </c>
      <c r="C179" s="562" t="s">
        <v>7684</v>
      </c>
      <c r="D179" s="284"/>
      <c r="E179" s="562">
        <v>923260468787</v>
      </c>
      <c r="F179" s="562" t="s">
        <v>6875</v>
      </c>
      <c r="G179" s="562" t="s">
        <v>7685</v>
      </c>
      <c r="H179" s="284"/>
      <c r="I179" s="562" t="s">
        <v>7686</v>
      </c>
      <c r="J179" s="562" t="s">
        <v>7687</v>
      </c>
      <c r="K179" s="562">
        <v>3.0</v>
      </c>
      <c r="L179" s="562" t="s">
        <v>376</v>
      </c>
    </row>
    <row r="180">
      <c r="A180" s="571">
        <v>45695.0</v>
      </c>
      <c r="B180" s="563">
        <v>0.38756944444444447</v>
      </c>
      <c r="C180" s="562" t="s">
        <v>7688</v>
      </c>
      <c r="D180" s="284"/>
      <c r="E180" s="562">
        <v>923110993126</v>
      </c>
      <c r="F180" s="562" t="s">
        <v>6875</v>
      </c>
      <c r="G180" s="562" t="s">
        <v>7689</v>
      </c>
      <c r="H180" s="284"/>
      <c r="I180" s="284"/>
      <c r="J180" s="562" t="s">
        <v>7690</v>
      </c>
      <c r="K180" s="562">
        <v>2.0</v>
      </c>
      <c r="L180" s="562" t="s">
        <v>51</v>
      </c>
    </row>
    <row r="181">
      <c r="A181" s="571">
        <v>45695.0</v>
      </c>
      <c r="B181" s="563">
        <v>0.3876273148148148</v>
      </c>
      <c r="C181" s="562" t="s">
        <v>7691</v>
      </c>
      <c r="D181" s="284"/>
      <c r="E181" s="562">
        <v>923486922405</v>
      </c>
      <c r="F181" s="562" t="s">
        <v>7291</v>
      </c>
      <c r="G181" s="562" t="s">
        <v>7692</v>
      </c>
      <c r="H181" s="562" t="s">
        <v>7693</v>
      </c>
      <c r="I181" s="562" t="s">
        <v>7694</v>
      </c>
      <c r="J181" s="562" t="s">
        <v>7695</v>
      </c>
      <c r="K181" s="562">
        <v>4.0</v>
      </c>
      <c r="L181" s="562" t="s">
        <v>685</v>
      </c>
    </row>
    <row r="182">
      <c r="A182" s="571">
        <v>45695.0</v>
      </c>
      <c r="B182" s="563">
        <v>0.3877083333333333</v>
      </c>
      <c r="C182" s="562" t="s">
        <v>7696</v>
      </c>
      <c r="D182" s="284"/>
      <c r="E182" s="562">
        <v>923174895489</v>
      </c>
      <c r="F182" s="562" t="s">
        <v>6939</v>
      </c>
      <c r="G182" s="562" t="s">
        <v>7697</v>
      </c>
      <c r="H182" s="562" t="s">
        <v>7698</v>
      </c>
      <c r="I182" s="562" t="s">
        <v>7699</v>
      </c>
      <c r="J182" s="562" t="s">
        <v>7700</v>
      </c>
      <c r="K182" s="562">
        <v>4.0</v>
      </c>
      <c r="L182" s="284"/>
    </row>
    <row r="183">
      <c r="A183" s="571">
        <v>45695.0</v>
      </c>
      <c r="B183" s="563">
        <v>0.3905902777777778</v>
      </c>
      <c r="C183" s="562" t="s">
        <v>7701</v>
      </c>
      <c r="D183" s="284"/>
      <c r="E183" s="562">
        <v>923085767314</v>
      </c>
      <c r="F183" s="562" t="s">
        <v>6939</v>
      </c>
      <c r="G183" s="562" t="s">
        <v>7702</v>
      </c>
      <c r="H183" s="562" t="s">
        <v>7703</v>
      </c>
      <c r="I183" s="562" t="s">
        <v>7704</v>
      </c>
      <c r="J183" s="562" t="s">
        <v>7705</v>
      </c>
      <c r="K183" s="562">
        <v>4.0</v>
      </c>
      <c r="L183" s="562" t="s">
        <v>376</v>
      </c>
    </row>
    <row r="184">
      <c r="A184" s="571">
        <v>45695.0</v>
      </c>
      <c r="B184" s="563">
        <v>0.3907060185185185</v>
      </c>
      <c r="C184" s="562" t="s">
        <v>7706</v>
      </c>
      <c r="D184" s="562" t="s">
        <v>6886</v>
      </c>
      <c r="E184" s="566" t="s">
        <v>7707</v>
      </c>
      <c r="F184" s="562" t="s">
        <v>6982</v>
      </c>
      <c r="G184" s="562" t="s">
        <v>7708</v>
      </c>
      <c r="H184" s="562" t="s">
        <v>7254</v>
      </c>
      <c r="I184" s="562" t="s">
        <v>7709</v>
      </c>
      <c r="J184" s="562" t="s">
        <v>7710</v>
      </c>
      <c r="K184" s="562">
        <v>4.0</v>
      </c>
      <c r="L184" s="562" t="s">
        <v>7711</v>
      </c>
    </row>
    <row r="185">
      <c r="A185" s="571">
        <v>45695.0</v>
      </c>
      <c r="B185" s="563">
        <v>0.3907638888888889</v>
      </c>
      <c r="C185" s="562" t="s">
        <v>7712</v>
      </c>
      <c r="D185" s="284"/>
      <c r="E185" s="562">
        <v>923130150459</v>
      </c>
      <c r="F185" s="562" t="s">
        <v>6939</v>
      </c>
      <c r="G185" s="562" t="s">
        <v>7713</v>
      </c>
      <c r="H185" s="562" t="s">
        <v>7714</v>
      </c>
      <c r="I185" s="562" t="s">
        <v>7715</v>
      </c>
      <c r="J185" s="562" t="s">
        <v>7716</v>
      </c>
      <c r="K185" s="562">
        <v>4.0</v>
      </c>
      <c r="L185" s="284"/>
    </row>
    <row r="186">
      <c r="A186" s="571">
        <v>45695.0</v>
      </c>
      <c r="B186" s="563">
        <v>0.3908449074074074</v>
      </c>
      <c r="C186" s="562" t="s">
        <v>7717</v>
      </c>
      <c r="D186" s="284"/>
      <c r="E186" s="562">
        <v>923423633808</v>
      </c>
      <c r="F186" s="562" t="s">
        <v>6875</v>
      </c>
      <c r="G186" s="562" t="s">
        <v>7718</v>
      </c>
      <c r="H186" s="284"/>
      <c r="I186" s="284"/>
      <c r="J186" s="284"/>
      <c r="K186" s="562">
        <v>1.0</v>
      </c>
      <c r="L186" s="562" t="s">
        <v>372</v>
      </c>
    </row>
    <row r="187">
      <c r="A187" s="571">
        <v>45695.0</v>
      </c>
      <c r="B187" s="563">
        <v>0.3909375</v>
      </c>
      <c r="C187" s="562" t="s">
        <v>7719</v>
      </c>
      <c r="D187" s="284"/>
      <c r="E187" s="562">
        <v>923307294498</v>
      </c>
      <c r="F187" s="562" t="s">
        <v>6939</v>
      </c>
      <c r="G187" s="562" t="s">
        <v>7720</v>
      </c>
      <c r="H187" s="562" t="s">
        <v>7721</v>
      </c>
      <c r="I187" s="562" t="s">
        <v>7722</v>
      </c>
      <c r="J187" s="562" t="s">
        <v>7723</v>
      </c>
      <c r="K187" s="562">
        <v>4.0</v>
      </c>
      <c r="L187" s="562" t="s">
        <v>376</v>
      </c>
    </row>
    <row r="188">
      <c r="A188" s="571">
        <v>45695.0</v>
      </c>
      <c r="B188" s="563">
        <v>0.3910416666666667</v>
      </c>
      <c r="C188" s="562" t="s">
        <v>7724</v>
      </c>
      <c r="D188" s="562" t="s">
        <v>7725</v>
      </c>
      <c r="E188" s="566" t="s">
        <v>7726</v>
      </c>
      <c r="F188" s="562" t="s">
        <v>6939</v>
      </c>
      <c r="G188" s="562" t="s">
        <v>7727</v>
      </c>
      <c r="H188" s="562" t="s">
        <v>7728</v>
      </c>
      <c r="I188" s="562" t="s">
        <v>7729</v>
      </c>
      <c r="J188" s="562" t="s">
        <v>7730</v>
      </c>
      <c r="K188" s="562">
        <v>4.0</v>
      </c>
      <c r="L188" s="284"/>
    </row>
    <row r="189">
      <c r="A189" s="571">
        <v>45695.0</v>
      </c>
      <c r="B189" s="563">
        <v>0.39113425925925926</v>
      </c>
      <c r="C189" s="562" t="s">
        <v>7731</v>
      </c>
      <c r="D189" s="284"/>
      <c r="E189" s="562">
        <v>923037239810</v>
      </c>
      <c r="F189" s="562" t="s">
        <v>6875</v>
      </c>
      <c r="G189" s="562" t="s">
        <v>7732</v>
      </c>
      <c r="H189" s="284"/>
      <c r="I189" s="562" t="s">
        <v>7733</v>
      </c>
      <c r="J189" s="562" t="s">
        <v>7734</v>
      </c>
      <c r="K189" s="562">
        <v>3.0</v>
      </c>
      <c r="L189" s="284"/>
    </row>
    <row r="190">
      <c r="A190" s="571">
        <v>45695.0</v>
      </c>
      <c r="B190" s="563">
        <v>0.39233796296296297</v>
      </c>
      <c r="C190" s="562" t="s">
        <v>7735</v>
      </c>
      <c r="D190" s="562" t="s">
        <v>7725</v>
      </c>
      <c r="E190" s="566" t="s">
        <v>7736</v>
      </c>
      <c r="F190" s="562" t="s">
        <v>6875</v>
      </c>
      <c r="G190" s="562" t="s">
        <v>7737</v>
      </c>
      <c r="H190" s="284"/>
      <c r="I190" s="284"/>
      <c r="J190" s="284"/>
      <c r="K190" s="562">
        <v>1.0</v>
      </c>
      <c r="L190" s="562" t="s">
        <v>7738</v>
      </c>
    </row>
    <row r="191">
      <c r="A191" s="571">
        <v>45695.0</v>
      </c>
      <c r="B191" s="563">
        <v>0.39243055555555556</v>
      </c>
      <c r="C191" s="562" t="s">
        <v>7739</v>
      </c>
      <c r="D191" s="284"/>
      <c r="E191" s="562">
        <v>923189580439</v>
      </c>
      <c r="F191" s="562" t="s">
        <v>6875</v>
      </c>
      <c r="G191" s="562" t="s">
        <v>7740</v>
      </c>
      <c r="H191" s="284"/>
      <c r="I191" s="284"/>
      <c r="J191" s="284"/>
      <c r="K191" s="562">
        <v>1.0</v>
      </c>
      <c r="L191" s="562" t="s">
        <v>372</v>
      </c>
    </row>
    <row r="192">
      <c r="A192" s="571">
        <v>45695.0</v>
      </c>
      <c r="B192" s="563">
        <v>0.39253472222222224</v>
      </c>
      <c r="C192" s="562" t="s">
        <v>7741</v>
      </c>
      <c r="D192" s="284"/>
      <c r="E192" s="562">
        <v>923076873558</v>
      </c>
      <c r="F192" s="562" t="s">
        <v>6875</v>
      </c>
      <c r="G192" s="562" t="s">
        <v>7742</v>
      </c>
      <c r="H192" s="562" t="s">
        <v>7743</v>
      </c>
      <c r="I192" s="562" t="s">
        <v>7744</v>
      </c>
      <c r="J192" s="562" t="s">
        <v>7745</v>
      </c>
      <c r="K192" s="562">
        <v>4.0</v>
      </c>
      <c r="L192" s="562" t="s">
        <v>7746</v>
      </c>
    </row>
    <row r="193">
      <c r="A193" s="571">
        <v>45695.0</v>
      </c>
      <c r="B193" s="563">
        <v>0.39262731481481483</v>
      </c>
      <c r="C193" s="562" t="s">
        <v>7741</v>
      </c>
      <c r="D193" s="562" t="s">
        <v>6886</v>
      </c>
      <c r="E193" s="566" t="s">
        <v>7747</v>
      </c>
      <c r="F193" s="562" t="s">
        <v>6939</v>
      </c>
      <c r="G193" s="562" t="s">
        <v>7748</v>
      </c>
      <c r="H193" s="562" t="s">
        <v>7749</v>
      </c>
      <c r="I193" s="562" t="s">
        <v>7750</v>
      </c>
      <c r="J193" s="562" t="s">
        <v>7751</v>
      </c>
      <c r="K193" s="562">
        <v>4.0</v>
      </c>
      <c r="L193" s="284"/>
    </row>
    <row r="194">
      <c r="A194" s="571">
        <v>45695.0</v>
      </c>
      <c r="B194" s="563">
        <v>0.3927199074074074</v>
      </c>
      <c r="C194" s="562" t="s">
        <v>7752</v>
      </c>
      <c r="D194" s="284"/>
      <c r="E194" s="562">
        <v>923455904427</v>
      </c>
      <c r="F194" s="562" t="s">
        <v>6939</v>
      </c>
      <c r="G194" s="562" t="s">
        <v>7753</v>
      </c>
      <c r="H194" s="562" t="s">
        <v>7754</v>
      </c>
      <c r="I194" s="562" t="s">
        <v>7755</v>
      </c>
      <c r="J194" s="562" t="s">
        <v>7756</v>
      </c>
      <c r="K194" s="562">
        <v>4.0</v>
      </c>
      <c r="L194" s="562" t="s">
        <v>6944</v>
      </c>
    </row>
    <row r="195">
      <c r="A195" s="571">
        <v>45695.0</v>
      </c>
      <c r="B195" s="563">
        <v>0.39284722222222224</v>
      </c>
      <c r="C195" s="562" t="s">
        <v>7757</v>
      </c>
      <c r="D195" s="284"/>
      <c r="E195" s="562">
        <v>923145098961</v>
      </c>
      <c r="F195" s="562" t="s">
        <v>6875</v>
      </c>
      <c r="G195" s="562" t="s">
        <v>7758</v>
      </c>
      <c r="H195" s="284"/>
      <c r="I195" s="284"/>
      <c r="J195" s="284"/>
      <c r="K195" s="562">
        <v>1.0</v>
      </c>
      <c r="L195" s="562" t="s">
        <v>372</v>
      </c>
    </row>
    <row r="196">
      <c r="A196" s="571">
        <v>45695.0</v>
      </c>
      <c r="B196" s="563">
        <v>0.3932523148148148</v>
      </c>
      <c r="C196" s="562" t="s">
        <v>7759</v>
      </c>
      <c r="D196" s="284"/>
      <c r="E196" s="562">
        <v>923453762730</v>
      </c>
      <c r="F196" s="562" t="s">
        <v>6875</v>
      </c>
      <c r="G196" s="562" t="s">
        <v>7760</v>
      </c>
      <c r="H196" s="562" t="s">
        <v>7761</v>
      </c>
      <c r="I196" s="562" t="s">
        <v>7762</v>
      </c>
      <c r="J196" s="562" t="s">
        <v>7763</v>
      </c>
      <c r="K196" s="562">
        <v>4.0</v>
      </c>
      <c r="L196" s="562" t="s">
        <v>51</v>
      </c>
    </row>
    <row r="197">
      <c r="A197" s="571">
        <v>45695.0</v>
      </c>
      <c r="B197" s="563">
        <v>0.39688657407407407</v>
      </c>
      <c r="C197" s="562" t="s">
        <v>7764</v>
      </c>
      <c r="D197" s="284"/>
      <c r="E197" s="562">
        <v>923329649999</v>
      </c>
      <c r="F197" s="562" t="s">
        <v>7291</v>
      </c>
      <c r="G197" s="562" t="s">
        <v>7765</v>
      </c>
      <c r="H197" s="562" t="s">
        <v>7766</v>
      </c>
      <c r="I197" s="562" t="s">
        <v>7254</v>
      </c>
      <c r="J197" s="562" t="s">
        <v>7767</v>
      </c>
      <c r="K197" s="562">
        <v>4.0</v>
      </c>
      <c r="L197" s="562" t="s">
        <v>6944</v>
      </c>
    </row>
    <row r="198">
      <c r="A198" s="571">
        <v>45695.0</v>
      </c>
      <c r="B198" s="563">
        <v>0.39760416666666665</v>
      </c>
      <c r="C198" s="562" t="s">
        <v>7768</v>
      </c>
      <c r="D198" s="284"/>
      <c r="E198" s="562">
        <v>923211629716</v>
      </c>
      <c r="F198" s="562" t="s">
        <v>6939</v>
      </c>
      <c r="G198" s="562" t="s">
        <v>7769</v>
      </c>
      <c r="H198" s="562" t="s">
        <v>7770</v>
      </c>
      <c r="I198" s="562" t="s">
        <v>7771</v>
      </c>
      <c r="J198" s="562" t="s">
        <v>7772</v>
      </c>
      <c r="K198" s="562">
        <v>4.0</v>
      </c>
      <c r="L198" s="562" t="s">
        <v>376</v>
      </c>
    </row>
    <row r="199">
      <c r="A199" s="571">
        <v>45695.0</v>
      </c>
      <c r="B199" s="563">
        <v>0.4146990740740741</v>
      </c>
      <c r="C199" s="562" t="s">
        <v>7773</v>
      </c>
      <c r="D199" s="284"/>
      <c r="E199" s="562">
        <v>923409814796</v>
      </c>
      <c r="F199" s="562" t="s">
        <v>6939</v>
      </c>
      <c r="G199" s="562" t="s">
        <v>7774</v>
      </c>
      <c r="H199" s="562" t="s">
        <v>7775</v>
      </c>
      <c r="I199" s="562" t="s">
        <v>7776</v>
      </c>
      <c r="J199" s="562" t="s">
        <v>7777</v>
      </c>
      <c r="K199" s="562">
        <v>4.0</v>
      </c>
      <c r="L199" s="284"/>
    </row>
    <row r="200">
      <c r="A200" s="571">
        <v>45695.0</v>
      </c>
      <c r="B200" s="563">
        <v>0.42234953703703704</v>
      </c>
      <c r="C200" s="562" t="s">
        <v>7778</v>
      </c>
      <c r="D200" s="284"/>
      <c r="E200" s="562">
        <v>923284103638</v>
      </c>
      <c r="F200" s="562" t="s">
        <v>6875</v>
      </c>
      <c r="G200" s="562" t="s">
        <v>7779</v>
      </c>
      <c r="H200" s="562" t="s">
        <v>7780</v>
      </c>
      <c r="I200" s="562" t="s">
        <v>7781</v>
      </c>
      <c r="J200" s="562" t="s">
        <v>7782</v>
      </c>
      <c r="K200" s="562">
        <v>4.0</v>
      </c>
      <c r="L200" s="562" t="s">
        <v>376</v>
      </c>
    </row>
    <row r="201">
      <c r="A201" s="571">
        <v>45695.0</v>
      </c>
      <c r="B201" s="563">
        <v>0.45425925925925925</v>
      </c>
      <c r="C201" s="562" t="s">
        <v>7783</v>
      </c>
      <c r="D201" s="284"/>
      <c r="E201" s="562">
        <v>923344003665</v>
      </c>
      <c r="F201" s="562" t="s">
        <v>6875</v>
      </c>
      <c r="G201" s="562" t="s">
        <v>7784</v>
      </c>
      <c r="H201" s="562" t="s">
        <v>7785</v>
      </c>
      <c r="I201" s="562" t="s">
        <v>7786</v>
      </c>
      <c r="J201" s="562" t="s">
        <v>7787</v>
      </c>
      <c r="K201" s="562">
        <v>4.0</v>
      </c>
      <c r="L201" s="562" t="s">
        <v>152</v>
      </c>
    </row>
    <row r="202">
      <c r="A202" s="571">
        <v>45695.0</v>
      </c>
      <c r="B202" s="563">
        <v>0.4742824074074074</v>
      </c>
      <c r="C202" s="562" t="s">
        <v>7788</v>
      </c>
      <c r="D202" s="284"/>
      <c r="E202" s="562">
        <v>923497377631</v>
      </c>
      <c r="F202" s="562" t="s">
        <v>6875</v>
      </c>
      <c r="G202" s="284"/>
      <c r="H202" s="562" t="s">
        <v>7789</v>
      </c>
      <c r="I202" s="284"/>
      <c r="J202" s="284"/>
      <c r="K202" s="562">
        <v>1.0</v>
      </c>
      <c r="L202" s="284"/>
    </row>
    <row r="203">
      <c r="A203" s="571">
        <v>45695.0</v>
      </c>
      <c r="B203" s="563">
        <v>0.4829398148148148</v>
      </c>
      <c r="C203" s="562" t="s">
        <v>7790</v>
      </c>
      <c r="D203" s="284"/>
      <c r="E203" s="562">
        <v>923228408596</v>
      </c>
      <c r="F203" s="562" t="s">
        <v>6888</v>
      </c>
      <c r="G203" s="562" t="s">
        <v>7791</v>
      </c>
      <c r="H203" s="562" t="s">
        <v>7792</v>
      </c>
      <c r="I203" s="562" t="s">
        <v>7793</v>
      </c>
      <c r="J203" s="562" t="s">
        <v>7794</v>
      </c>
      <c r="K203" s="562">
        <v>4.0</v>
      </c>
      <c r="L203" s="562" t="s">
        <v>7795</v>
      </c>
    </row>
    <row r="204">
      <c r="A204" s="571">
        <v>45695.0</v>
      </c>
      <c r="B204" s="563">
        <v>0.48983796296296295</v>
      </c>
      <c r="C204" s="562" t="s">
        <v>7796</v>
      </c>
      <c r="D204" s="284"/>
      <c r="E204" s="562">
        <v>923141658754</v>
      </c>
      <c r="F204" s="562" t="s">
        <v>6939</v>
      </c>
      <c r="G204" s="562" t="s">
        <v>7797</v>
      </c>
      <c r="H204" s="562" t="s">
        <v>7798</v>
      </c>
      <c r="I204" s="562" t="s">
        <v>7799</v>
      </c>
      <c r="J204" s="562" t="s">
        <v>7800</v>
      </c>
      <c r="K204" s="562">
        <v>4.0</v>
      </c>
      <c r="L204" s="284"/>
    </row>
    <row r="205">
      <c r="A205" s="571">
        <v>45695.0</v>
      </c>
      <c r="B205" s="563">
        <v>0.5110763888888888</v>
      </c>
      <c r="C205" s="562" t="s">
        <v>7801</v>
      </c>
      <c r="D205" s="284"/>
      <c r="E205" s="562">
        <v>923427873674</v>
      </c>
      <c r="F205" s="562" t="s">
        <v>6875</v>
      </c>
      <c r="G205" s="284"/>
      <c r="H205" s="284"/>
      <c r="I205" s="562" t="s">
        <v>7802</v>
      </c>
      <c r="J205" s="284"/>
      <c r="K205" s="562">
        <v>1.0</v>
      </c>
      <c r="L205" s="562" t="s">
        <v>372</v>
      </c>
    </row>
    <row r="206">
      <c r="A206" s="571">
        <v>45695.0</v>
      </c>
      <c r="B206" s="563">
        <v>0.5174652777777777</v>
      </c>
      <c r="C206" s="562" t="s">
        <v>7803</v>
      </c>
      <c r="D206" s="284"/>
      <c r="E206" s="562">
        <v>923155904802</v>
      </c>
      <c r="F206" s="562" t="s">
        <v>6875</v>
      </c>
      <c r="G206" s="562" t="s">
        <v>7804</v>
      </c>
      <c r="H206" s="562" t="s">
        <v>7805</v>
      </c>
      <c r="I206" s="562" t="s">
        <v>7806</v>
      </c>
      <c r="J206" s="284"/>
      <c r="K206" s="562">
        <v>3.0</v>
      </c>
      <c r="L206" s="562" t="s">
        <v>51</v>
      </c>
    </row>
    <row r="207">
      <c r="A207" s="571">
        <v>45695.0</v>
      </c>
      <c r="B207" s="563">
        <v>0.5263541666666667</v>
      </c>
      <c r="C207" s="562" t="s">
        <v>7807</v>
      </c>
      <c r="D207" s="284"/>
      <c r="E207" s="562">
        <v>923419734893</v>
      </c>
      <c r="F207" s="562" t="s">
        <v>6875</v>
      </c>
      <c r="G207" s="562" t="s">
        <v>7808</v>
      </c>
      <c r="H207" s="562" t="s">
        <v>7809</v>
      </c>
      <c r="I207" s="562" t="s">
        <v>7810</v>
      </c>
      <c r="J207" s="284"/>
      <c r="K207" s="562">
        <v>3.0</v>
      </c>
      <c r="L207" s="562" t="s">
        <v>372</v>
      </c>
    </row>
    <row r="208">
      <c r="A208" s="571">
        <v>45695.0</v>
      </c>
      <c r="B208" s="563">
        <v>0.531712962962963</v>
      </c>
      <c r="C208" s="562" t="s">
        <v>7811</v>
      </c>
      <c r="D208" s="284"/>
      <c r="E208" s="562">
        <v>923083041109</v>
      </c>
      <c r="F208" s="562" t="s">
        <v>6939</v>
      </c>
      <c r="G208" s="562" t="s">
        <v>7812</v>
      </c>
      <c r="H208" s="562" t="s">
        <v>7798</v>
      </c>
      <c r="I208" s="562" t="s">
        <v>7813</v>
      </c>
      <c r="J208" s="562" t="s">
        <v>7814</v>
      </c>
      <c r="K208" s="562">
        <v>4.0</v>
      </c>
      <c r="L208" s="562" t="s">
        <v>7815</v>
      </c>
    </row>
    <row r="209">
      <c r="A209" s="571">
        <v>45695.0</v>
      </c>
      <c r="B209" s="563">
        <v>0.5340856481481482</v>
      </c>
      <c r="C209" s="562" t="s">
        <v>7816</v>
      </c>
      <c r="D209" s="562" t="s">
        <v>7817</v>
      </c>
      <c r="E209" s="566" t="s">
        <v>7818</v>
      </c>
      <c r="F209" s="562" t="s">
        <v>6875</v>
      </c>
      <c r="G209" s="284"/>
      <c r="H209" s="284"/>
      <c r="I209" s="562" t="s">
        <v>7819</v>
      </c>
      <c r="J209" s="562" t="s">
        <v>7820</v>
      </c>
      <c r="K209" s="562">
        <v>2.0</v>
      </c>
      <c r="L209" s="562" t="s">
        <v>372</v>
      </c>
    </row>
    <row r="210">
      <c r="A210" s="571">
        <v>45695.0</v>
      </c>
      <c r="B210" s="563">
        <v>0.5408101851851852</v>
      </c>
      <c r="C210" s="562" t="s">
        <v>7821</v>
      </c>
      <c r="D210" s="284"/>
      <c r="E210" s="562">
        <v>923413107798</v>
      </c>
      <c r="F210" s="562" t="s">
        <v>6875</v>
      </c>
      <c r="G210" s="562" t="s">
        <v>7822</v>
      </c>
      <c r="H210" s="284"/>
      <c r="I210" s="562" t="s">
        <v>7823</v>
      </c>
      <c r="J210" s="562" t="s">
        <v>7824</v>
      </c>
      <c r="K210" s="562">
        <v>3.0</v>
      </c>
      <c r="L210" s="562" t="s">
        <v>7825</v>
      </c>
    </row>
    <row r="211">
      <c r="A211" s="571">
        <v>45695.0</v>
      </c>
      <c r="B211" s="563">
        <v>0.5523958333333333</v>
      </c>
      <c r="C211" s="562" t="s">
        <v>7826</v>
      </c>
      <c r="D211" s="284"/>
      <c r="E211" s="562">
        <v>923342910793</v>
      </c>
      <c r="F211" s="562" t="s">
        <v>6875</v>
      </c>
      <c r="G211" s="562" t="s">
        <v>7357</v>
      </c>
      <c r="H211" s="562" t="s">
        <v>7827</v>
      </c>
      <c r="I211" s="562" t="s">
        <v>7828</v>
      </c>
      <c r="J211" s="562" t="s">
        <v>7829</v>
      </c>
      <c r="K211" s="562">
        <v>4.0</v>
      </c>
      <c r="L211" s="562" t="s">
        <v>7830</v>
      </c>
    </row>
    <row r="212">
      <c r="A212" s="571">
        <v>45695.0</v>
      </c>
      <c r="B212" s="563">
        <v>0.5646527777777778</v>
      </c>
      <c r="C212" s="562" t="s">
        <v>7831</v>
      </c>
      <c r="D212" s="284"/>
      <c r="E212" s="562">
        <v>923008294548</v>
      </c>
      <c r="F212" s="562" t="s">
        <v>6939</v>
      </c>
      <c r="G212" s="562" t="s">
        <v>7832</v>
      </c>
      <c r="H212" s="562" t="s">
        <v>7833</v>
      </c>
      <c r="I212" s="562" t="s">
        <v>7834</v>
      </c>
      <c r="J212" s="562" t="s">
        <v>7835</v>
      </c>
      <c r="K212" s="562">
        <v>4.0</v>
      </c>
      <c r="L212" s="562" t="s">
        <v>7836</v>
      </c>
    </row>
    <row r="213">
      <c r="A213" s="571">
        <v>45695.0</v>
      </c>
      <c r="B213" s="563">
        <v>0.5658217592592593</v>
      </c>
      <c r="C213" s="562" t="s">
        <v>7837</v>
      </c>
      <c r="D213" s="562" t="s">
        <v>7838</v>
      </c>
      <c r="E213" s="566" t="s">
        <v>7839</v>
      </c>
      <c r="F213" s="562" t="s">
        <v>6888</v>
      </c>
      <c r="G213" s="284"/>
      <c r="H213" s="562" t="s">
        <v>7840</v>
      </c>
      <c r="I213" s="562" t="s">
        <v>7841</v>
      </c>
      <c r="J213" s="562" t="s">
        <v>7842</v>
      </c>
      <c r="K213" s="562">
        <v>3.0</v>
      </c>
      <c r="L213" s="562" t="s">
        <v>7843</v>
      </c>
    </row>
    <row r="214">
      <c r="A214" s="571">
        <v>45695.0</v>
      </c>
      <c r="B214" s="563">
        <v>0.5664814814814815</v>
      </c>
      <c r="C214" s="562" t="s">
        <v>7844</v>
      </c>
      <c r="D214" s="284"/>
      <c r="E214" s="562">
        <v>923417158377</v>
      </c>
      <c r="F214" s="562" t="s">
        <v>6875</v>
      </c>
      <c r="G214" s="284"/>
      <c r="H214" s="284"/>
      <c r="I214" s="562" t="s">
        <v>7845</v>
      </c>
      <c r="J214" s="284"/>
      <c r="K214" s="562">
        <v>1.0</v>
      </c>
      <c r="L214" s="562" t="s">
        <v>51</v>
      </c>
    </row>
    <row r="215">
      <c r="A215" s="571">
        <v>45695.0</v>
      </c>
      <c r="B215" s="563">
        <v>0.5676157407407407</v>
      </c>
      <c r="C215" s="562" t="s">
        <v>7846</v>
      </c>
      <c r="D215" s="284"/>
      <c r="E215" s="562">
        <v>923434701285</v>
      </c>
      <c r="F215" s="562" t="s">
        <v>7291</v>
      </c>
      <c r="G215" s="562" t="s">
        <v>7847</v>
      </c>
      <c r="H215" s="562" t="s">
        <v>7848</v>
      </c>
      <c r="I215" s="562" t="s">
        <v>7849</v>
      </c>
      <c r="J215" s="562" t="s">
        <v>7850</v>
      </c>
      <c r="K215" s="562">
        <v>4.0</v>
      </c>
      <c r="L215" s="562" t="s">
        <v>7851</v>
      </c>
    </row>
    <row r="216">
      <c r="A216" s="571">
        <v>45695.0</v>
      </c>
      <c r="B216" s="563">
        <v>0.5696643518518518</v>
      </c>
      <c r="C216" s="562" t="s">
        <v>7852</v>
      </c>
      <c r="D216" s="284"/>
      <c r="E216" s="562">
        <v>923030879726</v>
      </c>
      <c r="F216" s="562" t="s">
        <v>6939</v>
      </c>
      <c r="G216" s="562" t="s">
        <v>7853</v>
      </c>
      <c r="H216" s="562" t="s">
        <v>7854</v>
      </c>
      <c r="I216" s="562" t="s">
        <v>7855</v>
      </c>
      <c r="J216" s="562" t="s">
        <v>7856</v>
      </c>
      <c r="K216" s="562">
        <v>4.0</v>
      </c>
      <c r="L216" s="562" t="s">
        <v>376</v>
      </c>
    </row>
    <row r="217">
      <c r="A217" s="571">
        <v>45695.0</v>
      </c>
      <c r="B217" s="563">
        <v>0.5827662037037037</v>
      </c>
      <c r="C217" s="562" t="s">
        <v>7857</v>
      </c>
      <c r="D217" s="284"/>
      <c r="E217" s="562">
        <v>923204042039</v>
      </c>
      <c r="F217" s="562" t="s">
        <v>7291</v>
      </c>
      <c r="G217" s="562" t="s">
        <v>7858</v>
      </c>
      <c r="H217" s="562" t="s">
        <v>7859</v>
      </c>
      <c r="I217" s="562" t="s">
        <v>7860</v>
      </c>
      <c r="J217" s="562" t="s">
        <v>7861</v>
      </c>
      <c r="K217" s="562">
        <v>4.0</v>
      </c>
      <c r="L217" s="562" t="s">
        <v>25</v>
      </c>
    </row>
    <row r="218">
      <c r="A218" s="571">
        <v>45695.0</v>
      </c>
      <c r="B218" s="563">
        <v>0.6369444444444444</v>
      </c>
      <c r="C218" s="562" t="s">
        <v>7862</v>
      </c>
      <c r="D218" s="284"/>
      <c r="E218" s="562">
        <v>923077896698</v>
      </c>
      <c r="F218" s="562" t="s">
        <v>6875</v>
      </c>
      <c r="G218" s="562" t="s">
        <v>7863</v>
      </c>
      <c r="H218" s="562" t="s">
        <v>7864</v>
      </c>
      <c r="I218" s="562" t="s">
        <v>7865</v>
      </c>
      <c r="J218" s="562" t="s">
        <v>7866</v>
      </c>
      <c r="K218" s="562">
        <v>4.0</v>
      </c>
      <c r="L218" s="562" t="s">
        <v>6944</v>
      </c>
    </row>
    <row r="219">
      <c r="A219" s="571">
        <v>45695.0</v>
      </c>
      <c r="B219" s="563">
        <v>0.6388194444444445</v>
      </c>
      <c r="C219" s="562" t="s">
        <v>7867</v>
      </c>
      <c r="D219" s="284"/>
      <c r="E219" s="562">
        <v>923463006674</v>
      </c>
      <c r="F219" s="562" t="s">
        <v>6939</v>
      </c>
      <c r="G219" s="562" t="s">
        <v>7868</v>
      </c>
      <c r="H219" s="562" t="s">
        <v>7869</v>
      </c>
      <c r="I219" s="562" t="s">
        <v>7870</v>
      </c>
      <c r="J219" s="562" t="s">
        <v>7871</v>
      </c>
      <c r="K219" s="562">
        <v>4.0</v>
      </c>
      <c r="L219" s="284"/>
    </row>
    <row r="220">
      <c r="A220" s="571">
        <v>45695.0</v>
      </c>
      <c r="B220" s="563">
        <v>0.6481944444444444</v>
      </c>
      <c r="C220" s="562" t="s">
        <v>7872</v>
      </c>
      <c r="D220" s="562" t="s">
        <v>6886</v>
      </c>
      <c r="E220" s="566" t="s">
        <v>7873</v>
      </c>
      <c r="F220" s="562" t="s">
        <v>6875</v>
      </c>
      <c r="G220" s="284"/>
      <c r="H220" s="562" t="s">
        <v>7874</v>
      </c>
      <c r="I220" s="562" t="s">
        <v>7875</v>
      </c>
      <c r="J220" s="562" t="s">
        <v>7876</v>
      </c>
      <c r="K220" s="562">
        <v>3.0</v>
      </c>
      <c r="L220" s="562" t="s">
        <v>7877</v>
      </c>
    </row>
    <row r="221">
      <c r="A221" s="571">
        <v>45695.0</v>
      </c>
      <c r="B221" s="563">
        <v>0.6634837962962963</v>
      </c>
      <c r="C221" s="562" t="s">
        <v>7878</v>
      </c>
      <c r="D221" s="284"/>
      <c r="E221" s="562">
        <v>923110800567</v>
      </c>
      <c r="F221" s="562" t="s">
        <v>7291</v>
      </c>
      <c r="G221" s="562" t="s">
        <v>7879</v>
      </c>
      <c r="H221" s="562" t="s">
        <v>7880</v>
      </c>
      <c r="I221" s="562" t="s">
        <v>7881</v>
      </c>
      <c r="J221" s="562" t="s">
        <v>7882</v>
      </c>
      <c r="K221" s="562">
        <v>4.0</v>
      </c>
      <c r="L221" s="562" t="s">
        <v>6944</v>
      </c>
    </row>
    <row r="222">
      <c r="A222" s="571">
        <v>45695.0</v>
      </c>
      <c r="B222" s="563">
        <v>0.6661689814814815</v>
      </c>
      <c r="C222" s="562" t="s">
        <v>7883</v>
      </c>
      <c r="D222" s="284"/>
      <c r="E222" s="562">
        <v>923092284479</v>
      </c>
      <c r="F222" s="562" t="s">
        <v>6875</v>
      </c>
      <c r="G222" s="284"/>
      <c r="H222" s="284"/>
      <c r="I222" s="284"/>
      <c r="J222" s="562" t="s">
        <v>7884</v>
      </c>
      <c r="K222" s="562">
        <v>1.0</v>
      </c>
      <c r="L222" s="562" t="s">
        <v>372</v>
      </c>
    </row>
    <row r="223">
      <c r="A223" s="571">
        <v>45695.0</v>
      </c>
      <c r="B223" s="563">
        <v>0.6684722222222222</v>
      </c>
      <c r="C223" s="562" t="s">
        <v>7885</v>
      </c>
      <c r="D223" s="284"/>
      <c r="E223" s="562">
        <v>923118667451</v>
      </c>
      <c r="F223" s="562" t="s">
        <v>7291</v>
      </c>
      <c r="G223" s="562" t="s">
        <v>7886</v>
      </c>
      <c r="H223" s="562" t="s">
        <v>7887</v>
      </c>
      <c r="I223" s="562" t="s">
        <v>7888</v>
      </c>
      <c r="J223" s="562" t="s">
        <v>7889</v>
      </c>
      <c r="K223" s="562">
        <v>4.0</v>
      </c>
      <c r="L223" s="562" t="s">
        <v>696</v>
      </c>
    </row>
    <row r="224">
      <c r="A224" s="571">
        <v>45695.0</v>
      </c>
      <c r="B224" s="563">
        <v>0.6856018518518519</v>
      </c>
      <c r="C224" s="562" t="s">
        <v>7890</v>
      </c>
      <c r="D224" s="284"/>
      <c r="E224" s="562">
        <v>923337353061</v>
      </c>
      <c r="F224" s="562" t="s">
        <v>6875</v>
      </c>
      <c r="G224" s="284"/>
      <c r="H224" s="284"/>
      <c r="I224" s="284"/>
      <c r="J224" s="562" t="s">
        <v>7891</v>
      </c>
      <c r="K224" s="562">
        <v>1.0</v>
      </c>
      <c r="L224" s="562" t="s">
        <v>372</v>
      </c>
    </row>
    <row r="225">
      <c r="A225" s="571">
        <v>45695.0</v>
      </c>
      <c r="B225" s="563">
        <v>0.7146759259259259</v>
      </c>
      <c r="C225" s="562" t="s">
        <v>7892</v>
      </c>
      <c r="D225" s="284"/>
      <c r="E225" s="562">
        <v>923204821130</v>
      </c>
      <c r="F225" s="562" t="s">
        <v>6939</v>
      </c>
      <c r="G225" s="562" t="s">
        <v>7893</v>
      </c>
      <c r="H225" s="562" t="s">
        <v>7894</v>
      </c>
      <c r="I225" s="562" t="s">
        <v>7895</v>
      </c>
      <c r="J225" s="562" t="s">
        <v>7896</v>
      </c>
      <c r="K225" s="562">
        <v>4.0</v>
      </c>
      <c r="L225" s="562" t="s">
        <v>376</v>
      </c>
    </row>
    <row r="226">
      <c r="A226" s="571">
        <v>45723.0</v>
      </c>
      <c r="B226" s="563">
        <v>0.3878240740740741</v>
      </c>
      <c r="C226" s="562" t="s">
        <v>7897</v>
      </c>
      <c r="D226" s="284"/>
      <c r="E226" s="562">
        <v>923214581996</v>
      </c>
      <c r="F226" s="562" t="s">
        <v>6875</v>
      </c>
      <c r="G226" s="562" t="s">
        <v>7898</v>
      </c>
      <c r="H226" s="562" t="s">
        <v>7899</v>
      </c>
      <c r="I226" s="562" t="s">
        <v>7900</v>
      </c>
      <c r="J226" s="562" t="s">
        <v>7901</v>
      </c>
      <c r="K226" s="562">
        <v>4.0</v>
      </c>
      <c r="L226" s="562" t="s">
        <v>51</v>
      </c>
    </row>
    <row r="227">
      <c r="A227" s="571">
        <v>45723.0</v>
      </c>
      <c r="B227" s="563">
        <v>0.38796296296296295</v>
      </c>
      <c r="C227" s="562" t="s">
        <v>7902</v>
      </c>
      <c r="D227" s="284"/>
      <c r="E227" s="562">
        <v>923022661660</v>
      </c>
      <c r="F227" s="562" t="s">
        <v>6939</v>
      </c>
      <c r="G227" s="562" t="s">
        <v>7903</v>
      </c>
      <c r="H227" s="562" t="s">
        <v>7904</v>
      </c>
      <c r="I227" s="562" t="s">
        <v>7905</v>
      </c>
      <c r="J227" s="562" t="s">
        <v>7906</v>
      </c>
      <c r="K227" s="562">
        <v>4.0</v>
      </c>
      <c r="L227" s="562" t="s">
        <v>685</v>
      </c>
    </row>
    <row r="228">
      <c r="A228" s="571">
        <v>45723.0</v>
      </c>
      <c r="B228" s="563">
        <v>0.3880208333333333</v>
      </c>
      <c r="C228" s="562" t="s">
        <v>7907</v>
      </c>
      <c r="D228" s="284"/>
      <c r="E228" s="562">
        <v>923124832282</v>
      </c>
      <c r="F228" s="562" t="s">
        <v>6875</v>
      </c>
      <c r="G228" s="562" t="s">
        <v>7908</v>
      </c>
      <c r="H228" s="562" t="s">
        <v>7909</v>
      </c>
      <c r="I228" s="562" t="s">
        <v>7910</v>
      </c>
      <c r="J228" s="562" t="s">
        <v>7911</v>
      </c>
      <c r="K228" s="562">
        <v>4.0</v>
      </c>
      <c r="L228" s="562" t="s">
        <v>696</v>
      </c>
    </row>
    <row r="229">
      <c r="A229" s="571">
        <v>45723.0</v>
      </c>
      <c r="B229" s="563">
        <v>0.38809027777777777</v>
      </c>
      <c r="C229" s="562" t="s">
        <v>7912</v>
      </c>
      <c r="D229" s="284"/>
      <c r="E229" s="562">
        <v>923344066901</v>
      </c>
      <c r="F229" s="562" t="s">
        <v>7291</v>
      </c>
      <c r="G229" s="562" t="s">
        <v>7913</v>
      </c>
      <c r="H229" s="562" t="s">
        <v>7914</v>
      </c>
      <c r="I229" s="562" t="s">
        <v>7915</v>
      </c>
      <c r="J229" s="562" t="s">
        <v>7916</v>
      </c>
      <c r="K229" s="562">
        <v>4.0</v>
      </c>
      <c r="L229" s="562" t="s">
        <v>6944</v>
      </c>
    </row>
    <row r="230">
      <c r="A230" s="571">
        <v>45723.0</v>
      </c>
      <c r="B230" s="563">
        <v>0.38814814814814813</v>
      </c>
      <c r="C230" s="562" t="s">
        <v>7917</v>
      </c>
      <c r="D230" s="284"/>
      <c r="E230" s="562">
        <v>923423976166</v>
      </c>
      <c r="F230" s="562" t="s">
        <v>6875</v>
      </c>
      <c r="G230" s="562" t="s">
        <v>7918</v>
      </c>
      <c r="H230" s="284"/>
      <c r="I230" s="284"/>
      <c r="J230" s="284"/>
      <c r="K230" s="562">
        <v>1.0</v>
      </c>
      <c r="L230" s="562" t="s">
        <v>372</v>
      </c>
    </row>
    <row r="231">
      <c r="A231" s="571">
        <v>45723.0</v>
      </c>
      <c r="B231" s="563">
        <v>0.3905439814814815</v>
      </c>
      <c r="C231" s="562" t="s">
        <v>7919</v>
      </c>
      <c r="D231" s="562" t="s">
        <v>6886</v>
      </c>
      <c r="E231" s="566" t="s">
        <v>7920</v>
      </c>
      <c r="F231" s="562" t="s">
        <v>7291</v>
      </c>
      <c r="G231" s="562" t="s">
        <v>7921</v>
      </c>
      <c r="H231" s="562" t="s">
        <v>7922</v>
      </c>
      <c r="I231" s="562" t="s">
        <v>7923</v>
      </c>
      <c r="J231" s="562" t="s">
        <v>7924</v>
      </c>
      <c r="K231" s="562">
        <v>4.0</v>
      </c>
      <c r="L231" s="562" t="s">
        <v>685</v>
      </c>
    </row>
    <row r="232">
      <c r="A232" s="571">
        <v>45723.0</v>
      </c>
      <c r="B232" s="563">
        <v>0.3906134259259259</v>
      </c>
      <c r="C232" s="562" t="s">
        <v>7925</v>
      </c>
      <c r="D232" s="284"/>
      <c r="E232" s="562">
        <v>923479689253</v>
      </c>
      <c r="F232" s="562" t="s">
        <v>6939</v>
      </c>
      <c r="G232" s="562" t="s">
        <v>7926</v>
      </c>
      <c r="H232" s="562" t="s">
        <v>7927</v>
      </c>
      <c r="I232" s="562" t="s">
        <v>7928</v>
      </c>
      <c r="J232" s="562" t="s">
        <v>7929</v>
      </c>
      <c r="K232" s="562">
        <v>4.0</v>
      </c>
      <c r="L232" s="284"/>
    </row>
    <row r="233">
      <c r="A233" s="571">
        <v>45723.0</v>
      </c>
      <c r="B233" s="563">
        <v>0.3906597222222222</v>
      </c>
      <c r="C233" s="562" t="s">
        <v>7930</v>
      </c>
      <c r="D233" s="284"/>
      <c r="E233" s="562">
        <v>923156622108</v>
      </c>
      <c r="F233" s="562" t="s">
        <v>6875</v>
      </c>
      <c r="G233" s="562" t="s">
        <v>7931</v>
      </c>
      <c r="H233" s="284"/>
      <c r="I233" s="284"/>
      <c r="J233" s="284"/>
      <c r="K233" s="562">
        <v>1.0</v>
      </c>
      <c r="L233" s="562" t="s">
        <v>372</v>
      </c>
    </row>
    <row r="234">
      <c r="A234" s="571">
        <v>45723.0</v>
      </c>
      <c r="B234" s="563">
        <v>0.3907407407407407</v>
      </c>
      <c r="C234" s="562" t="s">
        <v>7932</v>
      </c>
      <c r="D234" s="284"/>
      <c r="E234" s="562">
        <v>923054042142</v>
      </c>
      <c r="F234" s="562" t="s">
        <v>6982</v>
      </c>
      <c r="G234" s="562" t="s">
        <v>7933</v>
      </c>
      <c r="H234" s="562" t="s">
        <v>7934</v>
      </c>
      <c r="I234" s="562" t="s">
        <v>7935</v>
      </c>
      <c r="J234" s="562" t="s">
        <v>7936</v>
      </c>
      <c r="K234" s="562">
        <v>4.0</v>
      </c>
      <c r="L234" s="562" t="s">
        <v>7937</v>
      </c>
    </row>
    <row r="235">
      <c r="A235" s="571">
        <v>45723.0</v>
      </c>
      <c r="B235" s="563">
        <v>0.3921527777777778</v>
      </c>
      <c r="C235" s="562" t="s">
        <v>7938</v>
      </c>
      <c r="D235" s="284"/>
      <c r="E235" s="562">
        <v>923495505820</v>
      </c>
      <c r="F235" s="562" t="s">
        <v>7291</v>
      </c>
      <c r="G235" s="562" t="s">
        <v>7939</v>
      </c>
      <c r="H235" s="562" t="s">
        <v>7940</v>
      </c>
      <c r="I235" s="562" t="s">
        <v>7941</v>
      </c>
      <c r="J235" s="562" t="s">
        <v>7942</v>
      </c>
      <c r="K235" s="562">
        <v>4.0</v>
      </c>
      <c r="L235" s="562" t="s">
        <v>25</v>
      </c>
    </row>
    <row r="236">
      <c r="A236" s="571">
        <v>45723.0</v>
      </c>
      <c r="B236" s="563">
        <v>0.39219907407407406</v>
      </c>
      <c r="C236" s="562" t="s">
        <v>7943</v>
      </c>
      <c r="D236" s="284"/>
      <c r="E236" s="562">
        <v>923338780149</v>
      </c>
      <c r="F236" s="562" t="s">
        <v>6939</v>
      </c>
      <c r="G236" s="562" t="s">
        <v>7944</v>
      </c>
      <c r="H236" s="562" t="s">
        <v>7945</v>
      </c>
      <c r="I236" s="562" t="s">
        <v>7946</v>
      </c>
      <c r="J236" s="562" t="s">
        <v>7947</v>
      </c>
      <c r="K236" s="562">
        <v>4.0</v>
      </c>
      <c r="L236" s="562" t="s">
        <v>685</v>
      </c>
    </row>
    <row r="237">
      <c r="A237" s="571">
        <v>45723.0</v>
      </c>
      <c r="B237" s="563">
        <v>0.3922453703703704</v>
      </c>
      <c r="C237" s="562" t="s">
        <v>7948</v>
      </c>
      <c r="D237" s="284"/>
      <c r="E237" s="562">
        <v>923312527979</v>
      </c>
      <c r="F237" s="562" t="s">
        <v>6939</v>
      </c>
      <c r="G237" s="562" t="s">
        <v>7949</v>
      </c>
      <c r="H237" s="562" t="s">
        <v>7950</v>
      </c>
      <c r="I237" s="562" t="s">
        <v>7951</v>
      </c>
      <c r="J237" s="562" t="s">
        <v>7952</v>
      </c>
      <c r="K237" s="562">
        <v>4.0</v>
      </c>
      <c r="L237" s="284"/>
    </row>
    <row r="238">
      <c r="A238" s="571">
        <v>45723.0</v>
      </c>
      <c r="B238" s="563">
        <v>0.39229166666666665</v>
      </c>
      <c r="C238" s="562" t="s">
        <v>7953</v>
      </c>
      <c r="D238" s="284"/>
      <c r="E238" s="562">
        <v>923324627937</v>
      </c>
      <c r="F238" s="562" t="s">
        <v>6875</v>
      </c>
      <c r="G238" s="562" t="s">
        <v>7954</v>
      </c>
      <c r="H238" s="562" t="s">
        <v>7955</v>
      </c>
      <c r="I238" s="562" t="s">
        <v>7956</v>
      </c>
      <c r="J238" s="562" t="s">
        <v>7957</v>
      </c>
      <c r="K238" s="562">
        <v>4.0</v>
      </c>
      <c r="L238" s="562" t="s">
        <v>6944</v>
      </c>
    </row>
    <row r="239">
      <c r="A239" s="571">
        <v>45723.0</v>
      </c>
      <c r="B239" s="563">
        <v>0.3947800925925926</v>
      </c>
      <c r="C239" s="562" t="s">
        <v>7958</v>
      </c>
      <c r="D239" s="284"/>
      <c r="E239" s="562">
        <v>923335228023</v>
      </c>
      <c r="F239" s="562" t="s">
        <v>6939</v>
      </c>
      <c r="G239" s="562" t="s">
        <v>7959</v>
      </c>
      <c r="H239" s="562" t="s">
        <v>7960</v>
      </c>
      <c r="I239" s="562" t="s">
        <v>7961</v>
      </c>
      <c r="J239" s="562" t="s">
        <v>7962</v>
      </c>
      <c r="K239" s="562">
        <v>4.0</v>
      </c>
      <c r="L239" s="562" t="s">
        <v>376</v>
      </c>
    </row>
    <row r="240">
      <c r="A240" s="571">
        <v>45723.0</v>
      </c>
      <c r="B240" s="563">
        <v>0.394837962962963</v>
      </c>
      <c r="C240" s="562" t="s">
        <v>7963</v>
      </c>
      <c r="D240" s="284"/>
      <c r="E240" s="562">
        <v>923251864582</v>
      </c>
      <c r="F240" s="562" t="s">
        <v>6939</v>
      </c>
      <c r="G240" s="562" t="s">
        <v>7964</v>
      </c>
      <c r="H240" s="562" t="s">
        <v>7965</v>
      </c>
      <c r="I240" s="562" t="s">
        <v>7966</v>
      </c>
      <c r="J240" s="562" t="s">
        <v>7967</v>
      </c>
      <c r="K240" s="562">
        <v>4.0</v>
      </c>
      <c r="L240" s="562" t="s">
        <v>376</v>
      </c>
    </row>
    <row r="241">
      <c r="A241" s="571">
        <v>45723.0</v>
      </c>
      <c r="B241" s="563">
        <v>0.39491898148148147</v>
      </c>
      <c r="C241" s="562" t="s">
        <v>7968</v>
      </c>
      <c r="D241" s="284"/>
      <c r="E241" s="562">
        <v>923354146499</v>
      </c>
      <c r="F241" s="562" t="s">
        <v>6939</v>
      </c>
      <c r="G241" s="562" t="s">
        <v>7969</v>
      </c>
      <c r="H241" s="562" t="s">
        <v>7950</v>
      </c>
      <c r="I241" s="562" t="s">
        <v>7970</v>
      </c>
      <c r="J241" s="562" t="s">
        <v>7896</v>
      </c>
      <c r="K241" s="562">
        <v>4.0</v>
      </c>
      <c r="L241" s="562" t="s">
        <v>7971</v>
      </c>
    </row>
    <row r="242">
      <c r="A242" s="571">
        <v>45723.0</v>
      </c>
      <c r="B242" s="563">
        <v>0.39501157407407406</v>
      </c>
      <c r="C242" s="562" t="s">
        <v>7972</v>
      </c>
      <c r="D242" s="284"/>
      <c r="E242" s="562">
        <v>923195235083</v>
      </c>
      <c r="F242" s="562" t="s">
        <v>6875</v>
      </c>
      <c r="G242" s="562" t="s">
        <v>7973</v>
      </c>
      <c r="H242" s="284"/>
      <c r="I242" s="284"/>
      <c r="J242" s="284"/>
      <c r="K242" s="562">
        <v>1.0</v>
      </c>
      <c r="L242" s="562" t="s">
        <v>674</v>
      </c>
    </row>
    <row r="243">
      <c r="A243" s="571">
        <v>45723.0</v>
      </c>
      <c r="B243" s="563">
        <v>0.3950810185185185</v>
      </c>
      <c r="C243" s="562" t="s">
        <v>7974</v>
      </c>
      <c r="D243" s="284"/>
      <c r="E243" s="562">
        <v>923454750817</v>
      </c>
      <c r="F243" s="562" t="s">
        <v>6939</v>
      </c>
      <c r="G243" s="562" t="s">
        <v>7975</v>
      </c>
      <c r="H243" s="562" t="s">
        <v>7976</v>
      </c>
      <c r="I243" s="562" t="s">
        <v>7977</v>
      </c>
      <c r="J243" s="562" t="s">
        <v>7978</v>
      </c>
      <c r="K243" s="562">
        <v>4.0</v>
      </c>
      <c r="L243" s="284"/>
    </row>
    <row r="244">
      <c r="A244" s="571">
        <v>45723.0</v>
      </c>
      <c r="B244" s="563">
        <v>0.3951388888888889</v>
      </c>
      <c r="C244" s="562" t="s">
        <v>7979</v>
      </c>
      <c r="D244" s="284"/>
      <c r="E244" s="562">
        <v>923336959220</v>
      </c>
      <c r="F244" s="562" t="s">
        <v>6875</v>
      </c>
      <c r="G244" s="562" t="s">
        <v>7980</v>
      </c>
      <c r="H244" s="562" t="s">
        <v>7981</v>
      </c>
      <c r="I244" s="562" t="s">
        <v>7982</v>
      </c>
      <c r="J244" s="562" t="s">
        <v>7983</v>
      </c>
      <c r="K244" s="562">
        <v>4.0</v>
      </c>
      <c r="L244" s="562" t="s">
        <v>7984</v>
      </c>
    </row>
    <row r="245">
      <c r="A245" s="571">
        <v>45723.0</v>
      </c>
      <c r="B245" s="563">
        <v>0.397037037037037</v>
      </c>
      <c r="C245" s="562" t="s">
        <v>7985</v>
      </c>
      <c r="D245" s="284"/>
      <c r="E245" s="562">
        <v>923412784849</v>
      </c>
      <c r="F245" s="562" t="s">
        <v>6939</v>
      </c>
      <c r="G245" s="562" t="s">
        <v>7986</v>
      </c>
      <c r="H245" s="562" t="s">
        <v>7987</v>
      </c>
      <c r="I245" s="562" t="s">
        <v>7988</v>
      </c>
      <c r="J245" s="562" t="s">
        <v>7989</v>
      </c>
      <c r="K245" s="562">
        <v>4.0</v>
      </c>
      <c r="L245" s="562" t="s">
        <v>376</v>
      </c>
    </row>
    <row r="246">
      <c r="A246" s="571">
        <v>45723.0</v>
      </c>
      <c r="B246" s="563">
        <v>0.3971064814814815</v>
      </c>
      <c r="C246" s="562" t="s">
        <v>7990</v>
      </c>
      <c r="D246" s="284"/>
      <c r="E246" s="562">
        <v>923361179224</v>
      </c>
      <c r="F246" s="562" t="s">
        <v>6939</v>
      </c>
      <c r="G246" s="562" t="s">
        <v>7991</v>
      </c>
      <c r="H246" s="562" t="s">
        <v>7992</v>
      </c>
      <c r="I246" s="562" t="s">
        <v>7993</v>
      </c>
      <c r="J246" s="562" t="s">
        <v>7994</v>
      </c>
      <c r="K246" s="562">
        <v>4.0</v>
      </c>
      <c r="L246" s="284"/>
    </row>
    <row r="247">
      <c r="A247" s="571">
        <v>45723.0</v>
      </c>
      <c r="B247" s="563">
        <v>0.39716435185185184</v>
      </c>
      <c r="C247" s="562" t="s">
        <v>7995</v>
      </c>
      <c r="D247" s="284"/>
      <c r="E247" s="562">
        <v>923427039861</v>
      </c>
      <c r="F247" s="562" t="s">
        <v>6875</v>
      </c>
      <c r="G247" s="562" t="s">
        <v>7996</v>
      </c>
      <c r="H247" s="562" t="s">
        <v>7997</v>
      </c>
      <c r="I247" s="562" t="s">
        <v>7998</v>
      </c>
      <c r="J247" s="562" t="s">
        <v>7999</v>
      </c>
      <c r="K247" s="562">
        <v>4.0</v>
      </c>
      <c r="L247" s="562" t="s">
        <v>8000</v>
      </c>
    </row>
    <row r="248">
      <c r="A248" s="571">
        <v>45723.0</v>
      </c>
      <c r="B248" s="563">
        <v>0.3972222222222222</v>
      </c>
      <c r="C248" s="562" t="s">
        <v>8001</v>
      </c>
      <c r="D248" s="284"/>
      <c r="E248" s="562">
        <v>923496320451</v>
      </c>
      <c r="F248" s="562" t="s">
        <v>6875</v>
      </c>
      <c r="G248" s="284"/>
      <c r="H248" s="562" t="s">
        <v>8002</v>
      </c>
      <c r="I248" s="284"/>
      <c r="J248" s="284"/>
      <c r="K248" s="562">
        <v>1.0</v>
      </c>
      <c r="L248" s="562" t="s">
        <v>8003</v>
      </c>
    </row>
    <row r="249">
      <c r="A249" s="571">
        <v>45723.0</v>
      </c>
      <c r="B249" s="563">
        <v>0.39729166666666665</v>
      </c>
      <c r="C249" s="562" t="s">
        <v>8004</v>
      </c>
      <c r="D249" s="284"/>
      <c r="E249" s="562">
        <v>923251755930</v>
      </c>
      <c r="F249" s="562" t="s">
        <v>6875</v>
      </c>
      <c r="G249" s="284"/>
      <c r="H249" s="562" t="s">
        <v>8005</v>
      </c>
      <c r="I249" s="562" t="s">
        <v>8006</v>
      </c>
      <c r="J249" s="562" t="s">
        <v>8007</v>
      </c>
      <c r="K249" s="562">
        <v>3.0</v>
      </c>
      <c r="L249" s="562" t="s">
        <v>8008</v>
      </c>
    </row>
    <row r="250">
      <c r="A250" s="571">
        <v>45723.0</v>
      </c>
      <c r="B250" s="563">
        <v>0.3973726851851852</v>
      </c>
      <c r="C250" s="562" t="s">
        <v>8009</v>
      </c>
      <c r="D250" s="284"/>
      <c r="E250" s="562">
        <v>923298358529</v>
      </c>
      <c r="F250" s="562" t="s">
        <v>6875</v>
      </c>
      <c r="G250" s="562" t="s">
        <v>8010</v>
      </c>
      <c r="H250" s="562" t="s">
        <v>8011</v>
      </c>
      <c r="I250" s="562" t="s">
        <v>8012</v>
      </c>
      <c r="J250" s="562" t="s">
        <v>8013</v>
      </c>
      <c r="K250" s="562">
        <v>4.0</v>
      </c>
      <c r="L250" s="562" t="s">
        <v>6944</v>
      </c>
    </row>
    <row r="251">
      <c r="A251" s="571">
        <v>45723.0</v>
      </c>
      <c r="B251" s="563">
        <v>0.39743055555555556</v>
      </c>
      <c r="C251" s="562" t="s">
        <v>8014</v>
      </c>
      <c r="D251" s="284"/>
      <c r="E251" s="562">
        <v>923499318505</v>
      </c>
      <c r="F251" s="562" t="s">
        <v>7291</v>
      </c>
      <c r="G251" s="562" t="s">
        <v>8015</v>
      </c>
      <c r="H251" s="562" t="s">
        <v>8016</v>
      </c>
      <c r="I251" s="562" t="s">
        <v>8017</v>
      </c>
      <c r="J251" s="562" t="s">
        <v>8018</v>
      </c>
      <c r="K251" s="562">
        <v>4.0</v>
      </c>
      <c r="L251" s="562" t="s">
        <v>376</v>
      </c>
    </row>
    <row r="252">
      <c r="A252" s="571">
        <v>45723.0</v>
      </c>
      <c r="B252" s="563">
        <v>0.40041666666666664</v>
      </c>
      <c r="C252" s="562" t="s">
        <v>8019</v>
      </c>
      <c r="D252" s="284"/>
      <c r="E252" s="562">
        <v>923286827689</v>
      </c>
      <c r="F252" s="562" t="s">
        <v>7291</v>
      </c>
      <c r="G252" s="562" t="s">
        <v>8020</v>
      </c>
      <c r="H252" s="562" t="s">
        <v>8021</v>
      </c>
      <c r="I252" s="562" t="s">
        <v>8022</v>
      </c>
      <c r="J252" s="562" t="s">
        <v>8023</v>
      </c>
      <c r="K252" s="562">
        <v>4.0</v>
      </c>
      <c r="L252" s="562" t="s">
        <v>8024</v>
      </c>
    </row>
    <row r="253">
      <c r="A253" s="571">
        <v>45723.0</v>
      </c>
      <c r="B253" s="563">
        <v>0.40047453703703706</v>
      </c>
      <c r="C253" s="562" t="s">
        <v>8025</v>
      </c>
      <c r="D253" s="284"/>
      <c r="E253" s="562">
        <v>923216522226</v>
      </c>
      <c r="F253" s="562" t="s">
        <v>6888</v>
      </c>
      <c r="G253" s="562" t="s">
        <v>8026</v>
      </c>
      <c r="H253" s="562" t="s">
        <v>8027</v>
      </c>
      <c r="I253" s="562" t="s">
        <v>8028</v>
      </c>
      <c r="J253" s="562" t="s">
        <v>8029</v>
      </c>
      <c r="K253" s="562">
        <v>4.0</v>
      </c>
      <c r="L253" s="562" t="s">
        <v>8030</v>
      </c>
    </row>
    <row r="254">
      <c r="A254" s="571">
        <v>45723.0</v>
      </c>
      <c r="B254" s="563">
        <v>0.40055555555555555</v>
      </c>
      <c r="C254" s="562" t="s">
        <v>8031</v>
      </c>
      <c r="D254" s="562" t="s">
        <v>8032</v>
      </c>
      <c r="E254" s="566" t="s">
        <v>8033</v>
      </c>
      <c r="F254" s="562" t="s">
        <v>6888</v>
      </c>
      <c r="G254" s="284"/>
      <c r="H254" s="562" t="s">
        <v>8034</v>
      </c>
      <c r="I254" s="562" t="s">
        <v>8035</v>
      </c>
      <c r="J254" s="284"/>
      <c r="K254" s="562">
        <v>2.0</v>
      </c>
      <c r="L254" s="562" t="s">
        <v>8036</v>
      </c>
    </row>
    <row r="255">
      <c r="A255" s="571">
        <v>45723.0</v>
      </c>
      <c r="B255" s="563">
        <v>0.40064814814814814</v>
      </c>
      <c r="C255" s="562" t="s">
        <v>8037</v>
      </c>
      <c r="D255" s="284"/>
      <c r="E255" s="562">
        <v>923403751482</v>
      </c>
      <c r="F255" s="562" t="s">
        <v>6982</v>
      </c>
      <c r="G255" s="562" t="s">
        <v>8038</v>
      </c>
      <c r="H255" s="562" t="s">
        <v>8039</v>
      </c>
      <c r="I255" s="562" t="s">
        <v>8040</v>
      </c>
      <c r="J255" s="562" t="s">
        <v>8041</v>
      </c>
      <c r="K255" s="562">
        <v>4.0</v>
      </c>
      <c r="L255" s="562" t="s">
        <v>8042</v>
      </c>
    </row>
    <row r="256">
      <c r="A256" s="571">
        <v>45723.0</v>
      </c>
      <c r="B256" s="563">
        <v>0.4007175925925926</v>
      </c>
      <c r="C256" s="562" t="s">
        <v>8043</v>
      </c>
      <c r="D256" s="284"/>
      <c r="E256" s="562">
        <v>923295956819</v>
      </c>
      <c r="F256" s="562" t="s">
        <v>6939</v>
      </c>
      <c r="G256" s="562" t="s">
        <v>8044</v>
      </c>
      <c r="H256" s="562" t="s">
        <v>8045</v>
      </c>
      <c r="I256" s="562" t="s">
        <v>8046</v>
      </c>
      <c r="J256" s="562" t="s">
        <v>8047</v>
      </c>
      <c r="K256" s="562">
        <v>4.0</v>
      </c>
      <c r="L256" s="284"/>
    </row>
    <row r="257">
      <c r="A257" s="571">
        <v>45723.0</v>
      </c>
      <c r="B257" s="563">
        <v>0.40174768518518517</v>
      </c>
      <c r="C257" s="562" t="s">
        <v>8048</v>
      </c>
      <c r="D257" s="284"/>
      <c r="E257" s="562">
        <f>447782135212</f>
        <v>447782135212</v>
      </c>
      <c r="F257" s="562" t="s">
        <v>6939</v>
      </c>
      <c r="G257" s="562" t="s">
        <v>8049</v>
      </c>
      <c r="H257" s="562" t="s">
        <v>8050</v>
      </c>
      <c r="I257" s="562" t="s">
        <v>8051</v>
      </c>
      <c r="J257" s="562" t="s">
        <v>8052</v>
      </c>
      <c r="K257" s="562">
        <v>4.0</v>
      </c>
      <c r="L257" s="562" t="s">
        <v>8053</v>
      </c>
    </row>
    <row r="258">
      <c r="A258" s="571">
        <v>45723.0</v>
      </c>
      <c r="B258" s="563">
        <v>0.40725694444444444</v>
      </c>
      <c r="C258" s="562" t="s">
        <v>8054</v>
      </c>
      <c r="D258" s="284"/>
      <c r="E258" s="562">
        <v>923555318121</v>
      </c>
      <c r="F258" s="562" t="s">
        <v>6939</v>
      </c>
      <c r="G258" s="562" t="s">
        <v>8055</v>
      </c>
      <c r="H258" s="562" t="s">
        <v>8056</v>
      </c>
      <c r="I258" s="562" t="s">
        <v>8057</v>
      </c>
      <c r="J258" s="562" t="s">
        <v>8058</v>
      </c>
      <c r="K258" s="562">
        <v>4.0</v>
      </c>
      <c r="L258" s="562" t="s">
        <v>376</v>
      </c>
    </row>
    <row r="259">
      <c r="A259" s="571">
        <v>45723.0</v>
      </c>
      <c r="B259" s="563">
        <v>0.41055555555555556</v>
      </c>
      <c r="C259" s="562" t="s">
        <v>8059</v>
      </c>
      <c r="D259" s="284"/>
      <c r="E259" s="562">
        <v>923445704871</v>
      </c>
      <c r="F259" s="562" t="s">
        <v>6875</v>
      </c>
      <c r="G259" s="562" t="s">
        <v>8060</v>
      </c>
      <c r="H259" s="284"/>
      <c r="I259" s="284"/>
      <c r="J259" s="284"/>
      <c r="K259" s="562">
        <v>1.0</v>
      </c>
      <c r="L259" s="284"/>
    </row>
    <row r="260">
      <c r="A260" s="571">
        <v>45723.0</v>
      </c>
      <c r="B260" s="563">
        <v>0.41366898148148146</v>
      </c>
      <c r="C260" s="562" t="s">
        <v>8061</v>
      </c>
      <c r="D260" s="284"/>
      <c r="E260" s="562">
        <v>923469665124</v>
      </c>
      <c r="F260" s="562" t="s">
        <v>6939</v>
      </c>
      <c r="G260" s="562" t="s">
        <v>8062</v>
      </c>
      <c r="H260" s="562" t="s">
        <v>8063</v>
      </c>
      <c r="I260" s="562" t="s">
        <v>8064</v>
      </c>
      <c r="J260" s="562" t="s">
        <v>8065</v>
      </c>
      <c r="K260" s="562">
        <v>4.0</v>
      </c>
      <c r="L260" s="562" t="s">
        <v>376</v>
      </c>
    </row>
    <row r="261">
      <c r="A261" s="571">
        <v>45723.0</v>
      </c>
      <c r="B261" s="563">
        <v>0.4216435185185185</v>
      </c>
      <c r="C261" s="562" t="s">
        <v>8066</v>
      </c>
      <c r="D261" s="284"/>
      <c r="E261" s="562">
        <v>923206335235</v>
      </c>
      <c r="F261" s="562" t="s">
        <v>6939</v>
      </c>
      <c r="G261" s="562" t="s">
        <v>8067</v>
      </c>
      <c r="H261" s="562" t="s">
        <v>8068</v>
      </c>
      <c r="I261" s="562" t="s">
        <v>8069</v>
      </c>
      <c r="J261" s="562" t="s">
        <v>8070</v>
      </c>
      <c r="K261" s="562">
        <v>4.0</v>
      </c>
      <c r="L261" s="284"/>
    </row>
    <row r="262">
      <c r="A262" s="571">
        <v>45723.0</v>
      </c>
      <c r="B262" s="563">
        <v>0.43202546296296296</v>
      </c>
      <c r="C262" s="562" t="s">
        <v>8071</v>
      </c>
      <c r="D262" s="284"/>
      <c r="E262" s="562">
        <v>923142513414</v>
      </c>
      <c r="F262" s="562" t="s">
        <v>6939</v>
      </c>
      <c r="G262" s="562" t="s">
        <v>8072</v>
      </c>
      <c r="H262" s="562" t="s">
        <v>8073</v>
      </c>
      <c r="I262" s="562" t="s">
        <v>8074</v>
      </c>
      <c r="J262" s="562" t="s">
        <v>8075</v>
      </c>
      <c r="K262" s="562">
        <v>4.0</v>
      </c>
      <c r="L262" s="284"/>
    </row>
    <row r="263">
      <c r="A263" s="571">
        <v>45723.0</v>
      </c>
      <c r="B263" s="563">
        <v>0.4662962962962963</v>
      </c>
      <c r="C263" s="562" t="s">
        <v>8076</v>
      </c>
      <c r="D263" s="284"/>
      <c r="E263" s="562">
        <v>923488932809</v>
      </c>
      <c r="F263" s="562" t="s">
        <v>6875</v>
      </c>
      <c r="G263" s="284"/>
      <c r="H263" s="562" t="s">
        <v>8077</v>
      </c>
      <c r="I263" s="284"/>
      <c r="J263" s="284"/>
      <c r="K263" s="562">
        <v>1.0</v>
      </c>
      <c r="L263" s="562" t="s">
        <v>1158</v>
      </c>
    </row>
    <row r="264">
      <c r="A264" s="571">
        <v>45723.0</v>
      </c>
      <c r="B264" s="563">
        <v>0.4663425925925926</v>
      </c>
      <c r="C264" s="562" t="s">
        <v>8078</v>
      </c>
      <c r="D264" s="284"/>
      <c r="E264" s="562">
        <v>923477989853</v>
      </c>
      <c r="F264" s="562" t="s">
        <v>6939</v>
      </c>
      <c r="G264" s="562" t="s">
        <v>8079</v>
      </c>
      <c r="H264" s="562" t="s">
        <v>8080</v>
      </c>
      <c r="I264" s="562" t="s">
        <v>8081</v>
      </c>
      <c r="J264" s="562" t="s">
        <v>8082</v>
      </c>
      <c r="K264" s="562">
        <v>4.0</v>
      </c>
      <c r="L264" s="562" t="s">
        <v>376</v>
      </c>
    </row>
    <row r="265">
      <c r="A265" s="571">
        <v>45723.0</v>
      </c>
      <c r="B265" s="563">
        <v>0.47616898148148146</v>
      </c>
      <c r="C265" s="562" t="s">
        <v>8083</v>
      </c>
      <c r="D265" s="284"/>
      <c r="E265" s="562">
        <v>923204720647</v>
      </c>
      <c r="F265" s="562" t="s">
        <v>6875</v>
      </c>
      <c r="G265" s="562" t="s">
        <v>8084</v>
      </c>
      <c r="H265" s="562" t="s">
        <v>8085</v>
      </c>
      <c r="I265" s="562" t="s">
        <v>8086</v>
      </c>
      <c r="J265" s="562" t="s">
        <v>8087</v>
      </c>
      <c r="K265" s="562">
        <v>4.0</v>
      </c>
      <c r="L265" s="562" t="s">
        <v>8088</v>
      </c>
    </row>
    <row r="266">
      <c r="A266" s="571">
        <v>45723.0</v>
      </c>
      <c r="B266" s="563">
        <v>0.48094907407407406</v>
      </c>
      <c r="C266" s="562" t="s">
        <v>8089</v>
      </c>
      <c r="D266" s="284"/>
      <c r="E266" s="562">
        <v>923229827307</v>
      </c>
      <c r="F266" s="562" t="s">
        <v>6939</v>
      </c>
      <c r="G266" s="562" t="s">
        <v>8090</v>
      </c>
      <c r="H266" s="562" t="s">
        <v>8091</v>
      </c>
      <c r="I266" s="562" t="s">
        <v>8092</v>
      </c>
      <c r="J266" s="562" t="s">
        <v>8093</v>
      </c>
      <c r="K266" s="562">
        <v>4.0</v>
      </c>
      <c r="L266" s="562" t="s">
        <v>696</v>
      </c>
    </row>
    <row r="267">
      <c r="A267" s="571">
        <v>45723.0</v>
      </c>
      <c r="B267" s="563">
        <v>0.49896990740740743</v>
      </c>
      <c r="C267" s="562" t="s">
        <v>8094</v>
      </c>
      <c r="D267" s="284"/>
      <c r="E267" s="562">
        <v>923486656400</v>
      </c>
      <c r="F267" s="562" t="s">
        <v>6875</v>
      </c>
      <c r="G267" s="284"/>
      <c r="H267" s="562" t="s">
        <v>8095</v>
      </c>
      <c r="I267" s="284"/>
      <c r="J267" s="562" t="s">
        <v>8096</v>
      </c>
      <c r="K267" s="562">
        <v>2.0</v>
      </c>
      <c r="L267" s="562" t="s">
        <v>372</v>
      </c>
    </row>
    <row r="268">
      <c r="A268" s="571">
        <v>45723.0</v>
      </c>
      <c r="B268" s="563">
        <v>0.5026851851851852</v>
      </c>
      <c r="C268" s="562" t="s">
        <v>8097</v>
      </c>
      <c r="D268" s="284"/>
      <c r="E268" s="562">
        <v>923409104128</v>
      </c>
      <c r="F268" s="562" t="s">
        <v>6875</v>
      </c>
      <c r="G268" s="562" t="s">
        <v>8098</v>
      </c>
      <c r="H268" s="562" t="s">
        <v>8099</v>
      </c>
      <c r="I268" s="562" t="s">
        <v>8100</v>
      </c>
      <c r="J268" s="562" t="s">
        <v>8101</v>
      </c>
      <c r="K268" s="562">
        <v>4.0</v>
      </c>
      <c r="L268" s="562" t="s">
        <v>6944</v>
      </c>
    </row>
    <row r="269">
      <c r="A269" s="571">
        <v>45723.0</v>
      </c>
      <c r="B269" s="563">
        <v>0.5224768518518519</v>
      </c>
      <c r="C269" s="562" t="s">
        <v>8102</v>
      </c>
      <c r="D269" s="562" t="s">
        <v>6886</v>
      </c>
      <c r="E269" s="566" t="s">
        <v>8103</v>
      </c>
      <c r="F269" s="562" t="s">
        <v>6982</v>
      </c>
      <c r="G269" s="562" t="s">
        <v>7357</v>
      </c>
      <c r="H269" s="562" t="s">
        <v>8104</v>
      </c>
      <c r="I269" s="562" t="s">
        <v>7970</v>
      </c>
      <c r="J269" s="562" t="s">
        <v>8105</v>
      </c>
      <c r="K269" s="562">
        <v>4.0</v>
      </c>
      <c r="L269" s="562" t="s">
        <v>8106</v>
      </c>
    </row>
    <row r="270">
      <c r="A270" s="571">
        <v>45723.0</v>
      </c>
      <c r="B270" s="563">
        <v>0.5399421296296296</v>
      </c>
      <c r="C270" s="562" t="s">
        <v>8107</v>
      </c>
      <c r="D270" s="284"/>
      <c r="E270" s="562">
        <v>923331933051</v>
      </c>
      <c r="F270" s="562" t="s">
        <v>6875</v>
      </c>
      <c r="G270" s="284"/>
      <c r="H270" s="284"/>
      <c r="I270" s="562" t="s">
        <v>8108</v>
      </c>
      <c r="J270" s="284"/>
      <c r="K270" s="562">
        <v>1.0</v>
      </c>
      <c r="L270" s="562" t="s">
        <v>372</v>
      </c>
    </row>
    <row r="271">
      <c r="A271" s="571">
        <v>45723.0</v>
      </c>
      <c r="B271" s="563">
        <v>0.552974537037037</v>
      </c>
      <c r="C271" s="562" t="s">
        <v>8109</v>
      </c>
      <c r="D271" s="284"/>
      <c r="E271" s="562">
        <v>923129432445</v>
      </c>
      <c r="F271" s="562" t="s">
        <v>6875</v>
      </c>
      <c r="G271" s="284"/>
      <c r="H271" s="284"/>
      <c r="I271" s="562" t="s">
        <v>8110</v>
      </c>
      <c r="J271" s="284"/>
      <c r="K271" s="562">
        <v>1.0</v>
      </c>
      <c r="L271" s="562" t="s">
        <v>6944</v>
      </c>
    </row>
    <row r="272">
      <c r="A272" s="571">
        <v>45723.0</v>
      </c>
      <c r="B272" s="563">
        <v>0.5718055555555556</v>
      </c>
      <c r="C272" s="562" t="s">
        <v>8111</v>
      </c>
      <c r="D272" s="284"/>
      <c r="E272" s="562">
        <v>923358358134</v>
      </c>
      <c r="F272" s="562" t="s">
        <v>6939</v>
      </c>
      <c r="G272" s="562" t="s">
        <v>8112</v>
      </c>
      <c r="H272" s="562" t="s">
        <v>8113</v>
      </c>
      <c r="I272" s="562" t="s">
        <v>8114</v>
      </c>
      <c r="J272" s="562" t="s">
        <v>8115</v>
      </c>
      <c r="K272" s="562">
        <v>4.0</v>
      </c>
      <c r="L272" s="284"/>
    </row>
    <row r="273">
      <c r="A273" s="571">
        <v>45723.0</v>
      </c>
      <c r="B273" s="563">
        <v>0.5733217592592592</v>
      </c>
      <c r="C273" s="562" t="s">
        <v>8116</v>
      </c>
      <c r="D273" s="284"/>
      <c r="E273" s="562">
        <v>923115543141</v>
      </c>
      <c r="F273" s="562" t="s">
        <v>6875</v>
      </c>
      <c r="G273" s="284"/>
      <c r="H273" s="562" t="s">
        <v>8117</v>
      </c>
      <c r="I273" s="562" t="s">
        <v>8118</v>
      </c>
      <c r="J273" s="562" t="s">
        <v>8119</v>
      </c>
      <c r="K273" s="562">
        <v>3.0</v>
      </c>
      <c r="L273" s="562" t="s">
        <v>152</v>
      </c>
    </row>
    <row r="274">
      <c r="A274" s="571">
        <v>45723.0</v>
      </c>
      <c r="B274" s="563">
        <v>0.5755208333333334</v>
      </c>
      <c r="C274" s="562" t="s">
        <v>8120</v>
      </c>
      <c r="D274" s="284"/>
      <c r="E274" s="562">
        <v>923257264148</v>
      </c>
      <c r="F274" s="562" t="s">
        <v>6939</v>
      </c>
      <c r="G274" s="562" t="s">
        <v>8121</v>
      </c>
      <c r="H274" s="562" t="s">
        <v>8122</v>
      </c>
      <c r="I274" s="562" t="s">
        <v>8123</v>
      </c>
      <c r="J274" s="562" t="s">
        <v>8124</v>
      </c>
      <c r="K274" s="562">
        <v>4.0</v>
      </c>
      <c r="L274" s="562" t="s">
        <v>376</v>
      </c>
    </row>
    <row r="275">
      <c r="A275" s="571">
        <v>45723.0</v>
      </c>
      <c r="B275" s="563">
        <v>0.5761574074074074</v>
      </c>
      <c r="C275" s="562" t="s">
        <v>8125</v>
      </c>
      <c r="D275" s="284"/>
      <c r="E275" s="562">
        <v>923334067407</v>
      </c>
      <c r="F275" s="562" t="s">
        <v>6939</v>
      </c>
      <c r="G275" s="562" t="s">
        <v>8126</v>
      </c>
      <c r="H275" s="562" t="s">
        <v>8127</v>
      </c>
      <c r="I275" s="562" t="s">
        <v>8128</v>
      </c>
      <c r="J275" s="562" t="s">
        <v>8129</v>
      </c>
      <c r="K275" s="562">
        <v>4.0</v>
      </c>
      <c r="L275" s="284"/>
    </row>
    <row r="276">
      <c r="A276" s="571">
        <v>45723.0</v>
      </c>
      <c r="B276" s="563">
        <v>0.5909722222222222</v>
      </c>
      <c r="C276" s="562" t="s">
        <v>8130</v>
      </c>
      <c r="D276" s="284"/>
      <c r="E276" s="562">
        <v>923313155545</v>
      </c>
      <c r="F276" s="562" t="s">
        <v>6875</v>
      </c>
      <c r="G276" s="562" t="s">
        <v>8131</v>
      </c>
      <c r="H276" s="562" t="s">
        <v>8131</v>
      </c>
      <c r="I276" s="562" t="s">
        <v>8132</v>
      </c>
      <c r="J276" s="284"/>
      <c r="K276" s="562">
        <v>1.0</v>
      </c>
      <c r="L276" s="562" t="s">
        <v>372</v>
      </c>
    </row>
    <row r="277">
      <c r="A277" s="571">
        <v>45723.0</v>
      </c>
      <c r="B277" s="563">
        <v>0.5910300925925925</v>
      </c>
      <c r="C277" s="562" t="s">
        <v>8133</v>
      </c>
      <c r="D277" s="284"/>
      <c r="E277" s="562">
        <v>923304202834</v>
      </c>
      <c r="F277" s="562" t="s">
        <v>6875</v>
      </c>
      <c r="G277" s="562" t="s">
        <v>8134</v>
      </c>
      <c r="H277" s="562" t="s">
        <v>8135</v>
      </c>
      <c r="I277" s="562" t="s">
        <v>8136</v>
      </c>
      <c r="J277" s="284"/>
      <c r="K277" s="562">
        <v>3.0</v>
      </c>
      <c r="L277" s="562" t="s">
        <v>51</v>
      </c>
    </row>
    <row r="278">
      <c r="A278" s="571">
        <v>45723.0</v>
      </c>
      <c r="B278" s="563">
        <v>0.5910763888888889</v>
      </c>
      <c r="C278" s="562" t="s">
        <v>8137</v>
      </c>
      <c r="D278" s="284"/>
      <c r="E278" s="562">
        <v>923412219095</v>
      </c>
      <c r="F278" s="562" t="s">
        <v>6939</v>
      </c>
      <c r="G278" s="562" t="s">
        <v>8138</v>
      </c>
      <c r="H278" s="562" t="s">
        <v>8139</v>
      </c>
      <c r="I278" s="562" t="s">
        <v>8140</v>
      </c>
      <c r="J278" s="562" t="s">
        <v>8141</v>
      </c>
      <c r="K278" s="562">
        <v>4.0</v>
      </c>
      <c r="L278" s="562" t="s">
        <v>376</v>
      </c>
    </row>
    <row r="279">
      <c r="A279" s="571">
        <v>45723.0</v>
      </c>
      <c r="B279" s="563">
        <v>0.5987962962962963</v>
      </c>
      <c r="C279" s="562" t="s">
        <v>8142</v>
      </c>
      <c r="D279" s="284"/>
      <c r="E279" s="562">
        <v>923335141708</v>
      </c>
      <c r="F279" s="562" t="s">
        <v>6939</v>
      </c>
      <c r="G279" s="562" t="s">
        <v>8143</v>
      </c>
      <c r="H279" s="562" t="s">
        <v>8144</v>
      </c>
      <c r="I279" s="562" t="s">
        <v>8145</v>
      </c>
      <c r="J279" s="562" t="s">
        <v>8146</v>
      </c>
      <c r="K279" s="562">
        <v>4.0</v>
      </c>
      <c r="L279" s="284"/>
    </row>
    <row r="280">
      <c r="A280" s="571">
        <v>45723.0</v>
      </c>
      <c r="B280" s="563">
        <v>0.6516319444444445</v>
      </c>
      <c r="C280" s="562" t="s">
        <v>8147</v>
      </c>
      <c r="D280" s="284"/>
      <c r="E280" s="562">
        <v>923496239982</v>
      </c>
      <c r="F280" s="562" t="s">
        <v>6939</v>
      </c>
      <c r="G280" s="562" t="s">
        <v>8148</v>
      </c>
      <c r="H280" s="562" t="s">
        <v>8149</v>
      </c>
      <c r="I280" s="562" t="s">
        <v>8150</v>
      </c>
      <c r="J280" s="562" t="s">
        <v>8151</v>
      </c>
      <c r="K280" s="562">
        <v>4.0</v>
      </c>
      <c r="L280" s="284"/>
    </row>
    <row r="281">
      <c r="A281" s="571">
        <v>45723.0</v>
      </c>
      <c r="B281" s="563">
        <v>0.6516898148148148</v>
      </c>
      <c r="C281" s="562" t="s">
        <v>8152</v>
      </c>
      <c r="D281" s="284"/>
      <c r="E281" s="562">
        <v>923152636779</v>
      </c>
      <c r="F281" s="562" t="s">
        <v>6875</v>
      </c>
      <c r="G281" s="284"/>
      <c r="H281" s="562" t="s">
        <v>8153</v>
      </c>
      <c r="I281" s="562" t="s">
        <v>8154</v>
      </c>
      <c r="J281" s="284"/>
      <c r="K281" s="562">
        <v>2.0</v>
      </c>
      <c r="L281" s="562" t="s">
        <v>372</v>
      </c>
    </row>
    <row r="282">
      <c r="A282" s="571">
        <v>45723.0</v>
      </c>
      <c r="B282" s="563">
        <v>0.6517824074074074</v>
      </c>
      <c r="C282" s="562" t="s">
        <v>8155</v>
      </c>
      <c r="D282" s="284"/>
      <c r="E282" s="562">
        <v>923213784858</v>
      </c>
      <c r="F282" s="562" t="s">
        <v>6939</v>
      </c>
      <c r="G282" s="562" t="s">
        <v>8148</v>
      </c>
      <c r="H282" s="562" t="s">
        <v>8149</v>
      </c>
      <c r="I282" s="562" t="s">
        <v>8156</v>
      </c>
      <c r="J282" s="562" t="s">
        <v>7896</v>
      </c>
      <c r="K282" s="562">
        <v>4.0</v>
      </c>
      <c r="L282" s="562" t="s">
        <v>8157</v>
      </c>
    </row>
    <row r="283">
      <c r="A283" s="571">
        <v>45723.0</v>
      </c>
      <c r="B283" s="563">
        <v>0.6524884259259259</v>
      </c>
      <c r="C283" s="562" t="s">
        <v>8158</v>
      </c>
      <c r="D283" s="284"/>
      <c r="E283" s="562">
        <v>923022727265</v>
      </c>
      <c r="F283" s="562" t="s">
        <v>6939</v>
      </c>
      <c r="G283" s="562" t="s">
        <v>8159</v>
      </c>
      <c r="H283" s="562" t="s">
        <v>8160</v>
      </c>
      <c r="I283" s="562" t="s">
        <v>8161</v>
      </c>
      <c r="J283" s="562" t="s">
        <v>8162</v>
      </c>
      <c r="K283" s="562">
        <v>4.0</v>
      </c>
      <c r="L283" s="284"/>
    </row>
    <row r="284">
      <c r="A284" s="571">
        <v>45723.0</v>
      </c>
      <c r="B284" s="563">
        <v>0.6547453703703704</v>
      </c>
      <c r="C284" s="562" t="s">
        <v>8163</v>
      </c>
      <c r="D284" s="284"/>
      <c r="E284" s="562">
        <v>923129790350</v>
      </c>
      <c r="F284" s="562" t="s">
        <v>6939</v>
      </c>
      <c r="G284" s="562" t="s">
        <v>8164</v>
      </c>
      <c r="H284" s="562" t="s">
        <v>8165</v>
      </c>
      <c r="I284" s="562" t="s">
        <v>8166</v>
      </c>
      <c r="J284" s="562" t="s">
        <v>8167</v>
      </c>
      <c r="K284" s="562">
        <v>4.0</v>
      </c>
      <c r="L284" s="284"/>
    </row>
    <row r="285">
      <c r="A285" s="571">
        <v>45723.0</v>
      </c>
      <c r="B285" s="563">
        <v>0.6861689814814815</v>
      </c>
      <c r="C285" s="562" t="s">
        <v>8168</v>
      </c>
      <c r="D285" s="284"/>
      <c r="E285" s="562">
        <f>9203174379351</f>
        <v>9203174379351</v>
      </c>
      <c r="F285" s="562" t="s">
        <v>6888</v>
      </c>
      <c r="G285" s="284"/>
      <c r="H285" s="284"/>
      <c r="I285" s="562" t="s">
        <v>8169</v>
      </c>
      <c r="J285" s="562" t="s">
        <v>8170</v>
      </c>
      <c r="K285" s="562">
        <v>2.0</v>
      </c>
      <c r="L285" s="562" t="s">
        <v>636</v>
      </c>
    </row>
    <row r="286">
      <c r="A286" s="571">
        <v>45723.0</v>
      </c>
      <c r="B286" s="563">
        <v>0.6892824074074074</v>
      </c>
      <c r="C286" s="562" t="s">
        <v>8171</v>
      </c>
      <c r="D286" s="284"/>
      <c r="E286" s="562">
        <v>923269497552</v>
      </c>
      <c r="F286" s="562" t="s">
        <v>7291</v>
      </c>
      <c r="G286" s="562" t="s">
        <v>8172</v>
      </c>
      <c r="H286" s="562" t="s">
        <v>8173</v>
      </c>
      <c r="I286" s="562" t="s">
        <v>8174</v>
      </c>
      <c r="J286" s="562" t="s">
        <v>8175</v>
      </c>
      <c r="K286" s="562">
        <v>4.0</v>
      </c>
      <c r="L286" s="562" t="s">
        <v>376</v>
      </c>
    </row>
    <row r="287">
      <c r="A287" s="571">
        <v>45723.0</v>
      </c>
      <c r="B287" s="563">
        <v>0.6926388888888889</v>
      </c>
      <c r="C287" s="562" t="s">
        <v>8176</v>
      </c>
      <c r="D287" s="284"/>
      <c r="E287" s="562">
        <v>923473718240</v>
      </c>
      <c r="F287" s="562" t="s">
        <v>6875</v>
      </c>
      <c r="G287" s="284"/>
      <c r="H287" s="284"/>
      <c r="I287" s="284"/>
      <c r="J287" s="562" t="s">
        <v>8177</v>
      </c>
      <c r="K287" s="562">
        <v>1.0</v>
      </c>
      <c r="L287" s="562" t="s">
        <v>372</v>
      </c>
    </row>
    <row r="288">
      <c r="A288" s="571">
        <v>45723.0</v>
      </c>
      <c r="B288" s="563">
        <v>0.6971875</v>
      </c>
      <c r="C288" s="562" t="s">
        <v>8178</v>
      </c>
      <c r="D288" s="284"/>
      <c r="E288" s="562">
        <v>923339869961</v>
      </c>
      <c r="F288" s="562" t="s">
        <v>6875</v>
      </c>
      <c r="G288" s="562" t="s">
        <v>8179</v>
      </c>
      <c r="H288" s="284"/>
      <c r="I288" s="562" t="s">
        <v>8180</v>
      </c>
      <c r="J288" s="562" t="s">
        <v>8181</v>
      </c>
      <c r="K288" s="562">
        <v>3.0</v>
      </c>
      <c r="L288" s="562" t="s">
        <v>8182</v>
      </c>
    </row>
    <row r="289">
      <c r="A289" s="571">
        <v>45723.0</v>
      </c>
      <c r="B289" s="563">
        <v>0.7032986111111111</v>
      </c>
      <c r="C289" s="562" t="s">
        <v>8183</v>
      </c>
      <c r="D289" s="284"/>
      <c r="E289" s="562">
        <v>923195808992</v>
      </c>
      <c r="F289" s="562" t="s">
        <v>6939</v>
      </c>
      <c r="G289" s="562" t="s">
        <v>8184</v>
      </c>
      <c r="H289" s="562" t="s">
        <v>8185</v>
      </c>
      <c r="I289" s="562" t="s">
        <v>8186</v>
      </c>
      <c r="J289" s="562" t="s">
        <v>8187</v>
      </c>
      <c r="K289" s="562">
        <v>4.0</v>
      </c>
      <c r="L289" s="284"/>
    </row>
    <row r="290">
      <c r="A290" s="571">
        <v>45876.0</v>
      </c>
      <c r="B290" s="563">
        <v>0.5242708333333334</v>
      </c>
      <c r="C290" s="562" t="s">
        <v>8188</v>
      </c>
      <c r="D290" s="284"/>
      <c r="E290" s="562">
        <v>923129790425</v>
      </c>
      <c r="F290" s="562" t="s">
        <v>6875</v>
      </c>
      <c r="G290" s="562" t="s">
        <v>8189</v>
      </c>
      <c r="H290" s="562" t="s">
        <v>8190</v>
      </c>
      <c r="I290" s="562" t="s">
        <v>8191</v>
      </c>
      <c r="J290" s="562" t="s">
        <v>8192</v>
      </c>
      <c r="K290" s="562">
        <v>4.0</v>
      </c>
      <c r="L290" s="562" t="s">
        <v>908</v>
      </c>
    </row>
    <row r="291">
      <c r="A291" s="571">
        <v>45876.0</v>
      </c>
      <c r="B291" s="563">
        <v>0.5781018518518518</v>
      </c>
      <c r="C291" s="562" t="s">
        <v>8193</v>
      </c>
      <c r="D291" s="284"/>
      <c r="E291" s="562">
        <v>923354922060</v>
      </c>
      <c r="F291" s="562" t="s">
        <v>6939</v>
      </c>
      <c r="G291" s="562" t="s">
        <v>8194</v>
      </c>
      <c r="H291" s="562" t="s">
        <v>8195</v>
      </c>
      <c r="I291" s="562" t="s">
        <v>8196</v>
      </c>
      <c r="J291" s="562" t="s">
        <v>8197</v>
      </c>
      <c r="K291" s="562">
        <v>4.0</v>
      </c>
      <c r="L291" s="562" t="s">
        <v>376</v>
      </c>
    </row>
    <row r="292">
      <c r="A292" s="571">
        <v>45876.0</v>
      </c>
      <c r="B292" s="563">
        <v>0.5978935185185185</v>
      </c>
      <c r="C292" s="562" t="s">
        <v>8198</v>
      </c>
      <c r="D292" s="284"/>
      <c r="E292" s="562">
        <v>923480481067</v>
      </c>
      <c r="F292" s="562" t="s">
        <v>6982</v>
      </c>
      <c r="G292" s="562" t="s">
        <v>7357</v>
      </c>
      <c r="H292" s="562" t="s">
        <v>7357</v>
      </c>
      <c r="I292" s="562" t="s">
        <v>8199</v>
      </c>
      <c r="J292" s="562" t="s">
        <v>8200</v>
      </c>
      <c r="K292" s="562">
        <v>4.0</v>
      </c>
      <c r="L292" s="562" t="s">
        <v>8201</v>
      </c>
    </row>
    <row r="293">
      <c r="A293" s="571">
        <v>45876.0</v>
      </c>
      <c r="B293" s="563">
        <v>0.6016319444444445</v>
      </c>
      <c r="C293" s="562" t="s">
        <v>8202</v>
      </c>
      <c r="D293" s="284"/>
      <c r="E293" s="562">
        <v>923096004576</v>
      </c>
      <c r="F293" s="562" t="s">
        <v>6939</v>
      </c>
      <c r="G293" s="562" t="s">
        <v>8203</v>
      </c>
      <c r="H293" s="562" t="s">
        <v>8204</v>
      </c>
      <c r="I293" s="562" t="s">
        <v>8205</v>
      </c>
      <c r="J293" s="562" t="s">
        <v>8206</v>
      </c>
      <c r="K293" s="562">
        <v>4.0</v>
      </c>
      <c r="L293" s="562" t="s">
        <v>376</v>
      </c>
    </row>
    <row r="294">
      <c r="A294" s="571">
        <v>45876.0</v>
      </c>
      <c r="B294" s="563">
        <v>0.6061342592592592</v>
      </c>
      <c r="C294" s="562" t="s">
        <v>8207</v>
      </c>
      <c r="D294" s="284"/>
      <c r="E294" s="576">
        <v>923354937629</v>
      </c>
      <c r="F294" s="562" t="s">
        <v>6939</v>
      </c>
      <c r="G294" s="562" t="s">
        <v>8208</v>
      </c>
      <c r="H294" s="562" t="s">
        <v>8209</v>
      </c>
      <c r="I294" s="562" t="s">
        <v>8210</v>
      </c>
      <c r="J294" s="562" t="s">
        <v>8211</v>
      </c>
      <c r="K294" s="562">
        <v>4.0</v>
      </c>
      <c r="L294" s="284"/>
    </row>
    <row r="295">
      <c r="A295" s="571">
        <v>45876.0</v>
      </c>
      <c r="B295" s="563">
        <v>0.6302430555555556</v>
      </c>
      <c r="C295" s="562" t="s">
        <v>8212</v>
      </c>
      <c r="D295" s="284"/>
      <c r="E295" s="562">
        <v>923180079383</v>
      </c>
      <c r="F295" s="562" t="s">
        <v>6875</v>
      </c>
      <c r="G295" s="284"/>
      <c r="H295" s="562" t="s">
        <v>8213</v>
      </c>
      <c r="I295" s="562" t="s">
        <v>8214</v>
      </c>
      <c r="J295" s="284"/>
      <c r="K295" s="562">
        <v>2.0</v>
      </c>
      <c r="L295" s="562" t="s">
        <v>51</v>
      </c>
    </row>
    <row r="296">
      <c r="A296" s="571">
        <v>45876.0</v>
      </c>
      <c r="B296" s="563">
        <v>0.6421643518518518</v>
      </c>
      <c r="C296" s="562" t="s">
        <v>8215</v>
      </c>
      <c r="D296" s="284"/>
      <c r="E296" s="562">
        <v>923554295564</v>
      </c>
      <c r="F296" s="562" t="s">
        <v>6939</v>
      </c>
      <c r="G296" s="562" t="s">
        <v>8216</v>
      </c>
      <c r="H296" s="562" t="s">
        <v>8217</v>
      </c>
      <c r="I296" s="562" t="s">
        <v>8218</v>
      </c>
      <c r="J296" s="562" t="s">
        <v>8219</v>
      </c>
      <c r="K296" s="562">
        <v>4.0</v>
      </c>
      <c r="L296" s="284"/>
    </row>
    <row r="297">
      <c r="A297" s="571">
        <v>45876.0</v>
      </c>
      <c r="B297" s="563">
        <v>0.6952199074074074</v>
      </c>
      <c r="C297" s="562" t="s">
        <v>8220</v>
      </c>
      <c r="D297" s="562" t="s">
        <v>6886</v>
      </c>
      <c r="E297" s="566" t="s">
        <v>8221</v>
      </c>
      <c r="F297" s="562" t="s">
        <v>6888</v>
      </c>
      <c r="G297" s="562" t="s">
        <v>8222</v>
      </c>
      <c r="H297" s="562" t="s">
        <v>8223</v>
      </c>
      <c r="I297" s="284"/>
      <c r="J297" s="562" t="s">
        <v>8224</v>
      </c>
      <c r="K297" s="562">
        <v>3.0</v>
      </c>
      <c r="L297" s="562" t="s">
        <v>8225</v>
      </c>
    </row>
    <row r="298">
      <c r="A298" s="571">
        <v>45907.0</v>
      </c>
      <c r="B298" s="563">
        <v>0.3932060185185185</v>
      </c>
      <c r="C298" s="562" t="s">
        <v>8226</v>
      </c>
      <c r="D298" s="284"/>
      <c r="E298" s="562">
        <v>923477885168</v>
      </c>
      <c r="F298" s="562" t="s">
        <v>6939</v>
      </c>
      <c r="G298" s="562" t="s">
        <v>8227</v>
      </c>
      <c r="H298" s="562" t="s">
        <v>8228</v>
      </c>
      <c r="I298" s="562" t="s">
        <v>8229</v>
      </c>
      <c r="J298" s="562" t="s">
        <v>8230</v>
      </c>
      <c r="K298" s="562">
        <v>4.0</v>
      </c>
      <c r="L298" s="284"/>
    </row>
    <row r="299">
      <c r="A299" s="571">
        <v>45907.0</v>
      </c>
      <c r="B299" s="563">
        <v>0.39328703703703705</v>
      </c>
      <c r="C299" s="562" t="s">
        <v>8231</v>
      </c>
      <c r="D299" s="284"/>
      <c r="E299" s="562">
        <v>923011887561</v>
      </c>
      <c r="F299" s="562" t="s">
        <v>6939</v>
      </c>
      <c r="G299" s="562" t="s">
        <v>8232</v>
      </c>
      <c r="H299" s="562" t="s">
        <v>8233</v>
      </c>
      <c r="I299" s="562" t="s">
        <v>8234</v>
      </c>
      <c r="J299" s="562" t="s">
        <v>8235</v>
      </c>
      <c r="K299" s="562">
        <v>4.0</v>
      </c>
      <c r="L299" s="284"/>
    </row>
    <row r="300">
      <c r="A300" s="571">
        <v>45907.0</v>
      </c>
      <c r="B300" s="563">
        <v>0.39337962962962963</v>
      </c>
      <c r="C300" s="562" t="s">
        <v>8236</v>
      </c>
      <c r="D300" s="284"/>
      <c r="E300" s="562">
        <v>923343088217</v>
      </c>
      <c r="F300" s="562" t="s">
        <v>6939</v>
      </c>
      <c r="G300" s="562" t="s">
        <v>8237</v>
      </c>
      <c r="H300" s="562" t="s">
        <v>8238</v>
      </c>
      <c r="I300" s="562" t="s">
        <v>8239</v>
      </c>
      <c r="J300" s="562" t="s">
        <v>8240</v>
      </c>
      <c r="K300" s="562">
        <v>4.0</v>
      </c>
      <c r="L300" s="562" t="s">
        <v>8241</v>
      </c>
    </row>
    <row r="301">
      <c r="A301" s="571">
        <v>45907.0</v>
      </c>
      <c r="B301" s="563">
        <v>0.39351851851851855</v>
      </c>
      <c r="C301" s="562" t="s">
        <v>8220</v>
      </c>
      <c r="D301" s="562" t="s">
        <v>6886</v>
      </c>
      <c r="E301" s="566" t="s">
        <v>8242</v>
      </c>
      <c r="F301" s="562" t="s">
        <v>6982</v>
      </c>
      <c r="G301" s="562" t="s">
        <v>8243</v>
      </c>
      <c r="H301" s="562" t="s">
        <v>7254</v>
      </c>
      <c r="I301" s="562" t="s">
        <v>8244</v>
      </c>
      <c r="J301" s="562" t="s">
        <v>8245</v>
      </c>
      <c r="K301" s="562">
        <v>4.0</v>
      </c>
      <c r="L301" s="562" t="s">
        <v>8246</v>
      </c>
    </row>
    <row r="302">
      <c r="A302" s="571">
        <v>45907.0</v>
      </c>
      <c r="B302" s="563">
        <v>0.39611111111111114</v>
      </c>
      <c r="C302" s="562" t="s">
        <v>8247</v>
      </c>
      <c r="D302" s="284"/>
      <c r="E302" s="562">
        <v>923254664521</v>
      </c>
      <c r="F302" s="562" t="s">
        <v>6939</v>
      </c>
      <c r="G302" s="562" t="s">
        <v>8248</v>
      </c>
      <c r="H302" s="562" t="s">
        <v>8249</v>
      </c>
      <c r="I302" s="562" t="s">
        <v>8250</v>
      </c>
      <c r="J302" s="562" t="s">
        <v>8251</v>
      </c>
      <c r="K302" s="562">
        <v>4.0</v>
      </c>
      <c r="L302" s="562" t="s">
        <v>8252</v>
      </c>
    </row>
    <row r="303">
      <c r="A303" s="571">
        <v>45907.0</v>
      </c>
      <c r="B303" s="563">
        <v>0.39618055555555554</v>
      </c>
      <c r="C303" s="562" t="s">
        <v>8253</v>
      </c>
      <c r="D303" s="284"/>
      <c r="E303" s="562">
        <v>923249208788</v>
      </c>
      <c r="F303" s="562" t="s">
        <v>6875</v>
      </c>
      <c r="G303" s="562" t="s">
        <v>8254</v>
      </c>
      <c r="H303" s="284"/>
      <c r="I303" s="562" t="s">
        <v>8255</v>
      </c>
      <c r="J303" s="562" t="s">
        <v>8256</v>
      </c>
      <c r="K303" s="562">
        <v>3.0</v>
      </c>
      <c r="L303" s="562" t="s">
        <v>6944</v>
      </c>
    </row>
    <row r="304">
      <c r="A304" s="571">
        <v>45907.0</v>
      </c>
      <c r="B304" s="563">
        <v>0.39625</v>
      </c>
      <c r="C304" s="562" t="s">
        <v>8257</v>
      </c>
      <c r="D304" s="562" t="s">
        <v>6886</v>
      </c>
      <c r="E304" s="566" t="s">
        <v>8258</v>
      </c>
      <c r="F304" s="562" t="s">
        <v>6875</v>
      </c>
      <c r="G304" s="562" t="s">
        <v>8259</v>
      </c>
      <c r="H304" s="562" t="s">
        <v>8260</v>
      </c>
      <c r="I304" s="284"/>
      <c r="J304" s="284"/>
      <c r="K304" s="562">
        <v>2.0</v>
      </c>
      <c r="L304" s="562" t="s">
        <v>372</v>
      </c>
    </row>
    <row r="305">
      <c r="A305" s="571">
        <v>45907.0</v>
      </c>
      <c r="B305" s="563">
        <v>0.39631944444444445</v>
      </c>
      <c r="C305" s="562" t="s">
        <v>8261</v>
      </c>
      <c r="D305" s="284"/>
      <c r="E305" s="562">
        <v>923434265936</v>
      </c>
      <c r="F305" s="562" t="s">
        <v>6888</v>
      </c>
      <c r="G305" s="562" t="s">
        <v>8262</v>
      </c>
      <c r="H305" s="562" t="s">
        <v>8263</v>
      </c>
      <c r="I305" s="562" t="s">
        <v>8264</v>
      </c>
      <c r="J305" s="562" t="s">
        <v>8265</v>
      </c>
      <c r="K305" s="562">
        <v>4.0</v>
      </c>
      <c r="L305" s="562" t="s">
        <v>8266</v>
      </c>
    </row>
    <row r="306">
      <c r="A306" s="571">
        <v>45907.0</v>
      </c>
      <c r="B306" s="563">
        <v>0.39640046296296294</v>
      </c>
      <c r="C306" s="562" t="s">
        <v>8267</v>
      </c>
      <c r="D306" s="284"/>
      <c r="E306" s="562">
        <v>923072408590</v>
      </c>
      <c r="F306" s="562" t="s">
        <v>6875</v>
      </c>
      <c r="G306" s="562" t="s">
        <v>8268</v>
      </c>
      <c r="H306" s="562" t="s">
        <v>8269</v>
      </c>
      <c r="I306" s="562" t="s">
        <v>8270</v>
      </c>
      <c r="J306" s="562" t="s">
        <v>8271</v>
      </c>
      <c r="K306" s="562">
        <v>4.0</v>
      </c>
      <c r="L306" s="562" t="s">
        <v>8272</v>
      </c>
    </row>
    <row r="307">
      <c r="A307" s="571">
        <v>45907.0</v>
      </c>
      <c r="B307" s="563">
        <v>0.39649305555555553</v>
      </c>
      <c r="C307" s="562" t="s">
        <v>8273</v>
      </c>
      <c r="D307" s="284"/>
      <c r="E307" s="562">
        <v>923070641757</v>
      </c>
      <c r="F307" s="562" t="s">
        <v>6939</v>
      </c>
      <c r="G307" s="562" t="s">
        <v>8274</v>
      </c>
      <c r="H307" s="562" t="s">
        <v>8275</v>
      </c>
      <c r="I307" s="562" t="s">
        <v>8276</v>
      </c>
      <c r="J307" s="562" t="s">
        <v>8277</v>
      </c>
      <c r="K307" s="562">
        <v>4.0</v>
      </c>
      <c r="L307" s="284"/>
    </row>
    <row r="308">
      <c r="A308" s="571">
        <v>45907.0</v>
      </c>
      <c r="B308" s="563">
        <v>0.3988541666666667</v>
      </c>
      <c r="C308" s="562" t="s">
        <v>8278</v>
      </c>
      <c r="D308" s="284"/>
      <c r="E308" s="562">
        <v>923463227760</v>
      </c>
      <c r="F308" s="562" t="s">
        <v>6939</v>
      </c>
      <c r="G308" s="562" t="s">
        <v>8279</v>
      </c>
      <c r="H308" s="562" t="s">
        <v>8280</v>
      </c>
      <c r="I308" s="562" t="s">
        <v>8281</v>
      </c>
      <c r="J308" s="562" t="s">
        <v>8282</v>
      </c>
      <c r="K308" s="562">
        <v>4.0</v>
      </c>
      <c r="L308" s="562" t="s">
        <v>8272</v>
      </c>
    </row>
    <row r="309">
      <c r="A309" s="571">
        <v>45907.0</v>
      </c>
      <c r="B309" s="563">
        <v>0.39899305555555553</v>
      </c>
      <c r="C309" s="562" t="s">
        <v>8283</v>
      </c>
      <c r="D309" s="284"/>
      <c r="E309" s="562">
        <v>923554817514</v>
      </c>
      <c r="F309" s="562" t="s">
        <v>6875</v>
      </c>
      <c r="G309" s="562" t="s">
        <v>8284</v>
      </c>
      <c r="H309" s="284"/>
      <c r="I309" s="284"/>
      <c r="J309" s="284"/>
      <c r="K309" s="562">
        <v>1.0</v>
      </c>
      <c r="L309" s="562" t="s">
        <v>372</v>
      </c>
    </row>
    <row r="310">
      <c r="A310" s="571">
        <v>45907.0</v>
      </c>
      <c r="B310" s="563">
        <v>0.3990740740740741</v>
      </c>
      <c r="C310" s="562" t="s">
        <v>8285</v>
      </c>
      <c r="D310" s="284"/>
      <c r="E310" s="562">
        <v>923076669145</v>
      </c>
      <c r="F310" s="562" t="s">
        <v>6939</v>
      </c>
      <c r="G310" s="562" t="s">
        <v>8286</v>
      </c>
      <c r="H310" s="562" t="s">
        <v>8287</v>
      </c>
      <c r="I310" s="562" t="s">
        <v>8288</v>
      </c>
      <c r="J310" s="562" t="s">
        <v>8289</v>
      </c>
      <c r="K310" s="562">
        <v>4.0</v>
      </c>
      <c r="L310" s="562" t="s">
        <v>376</v>
      </c>
    </row>
    <row r="311">
      <c r="A311" s="571">
        <v>45907.0</v>
      </c>
      <c r="B311" s="563">
        <v>0.3992013888888889</v>
      </c>
      <c r="C311" s="562" t="s">
        <v>8290</v>
      </c>
      <c r="D311" s="284"/>
      <c r="E311" s="562">
        <v>923076894684</v>
      </c>
      <c r="F311" s="562" t="s">
        <v>6875</v>
      </c>
      <c r="G311" s="562" t="s">
        <v>8291</v>
      </c>
      <c r="H311" s="562" t="s">
        <v>8292</v>
      </c>
      <c r="I311" s="562" t="s">
        <v>8293</v>
      </c>
      <c r="J311" s="562" t="s">
        <v>8294</v>
      </c>
      <c r="K311" s="562">
        <v>4.0</v>
      </c>
      <c r="L311" s="562" t="s">
        <v>6944</v>
      </c>
    </row>
    <row r="312">
      <c r="A312" s="571">
        <v>45907.0</v>
      </c>
      <c r="B312" s="563">
        <v>0.3992939814814815</v>
      </c>
      <c r="C312" s="562" t="s">
        <v>8295</v>
      </c>
      <c r="D312" s="284"/>
      <c r="E312" s="562">
        <v>923274991933</v>
      </c>
      <c r="F312" s="562" t="s">
        <v>6939</v>
      </c>
      <c r="G312" s="562" t="s">
        <v>8296</v>
      </c>
      <c r="H312" s="562" t="s">
        <v>8297</v>
      </c>
      <c r="I312" s="562" t="s">
        <v>8298</v>
      </c>
      <c r="J312" s="562" t="s">
        <v>8299</v>
      </c>
      <c r="K312" s="562">
        <v>4.0</v>
      </c>
      <c r="L312" s="284"/>
    </row>
    <row r="313">
      <c r="A313" s="571">
        <v>45907.0</v>
      </c>
      <c r="B313" s="563">
        <v>0.42891203703703706</v>
      </c>
      <c r="C313" s="562" t="s">
        <v>8300</v>
      </c>
      <c r="D313" s="284"/>
      <c r="E313" s="562">
        <v>923491754527</v>
      </c>
      <c r="F313" s="562" t="s">
        <v>6875</v>
      </c>
      <c r="G313" s="562" t="s">
        <v>8301</v>
      </c>
      <c r="H313" s="562" t="s">
        <v>8302</v>
      </c>
      <c r="I313" s="562" t="s">
        <v>8303</v>
      </c>
      <c r="J313" s="284"/>
      <c r="K313" s="562">
        <v>3.0</v>
      </c>
      <c r="L313" s="562" t="s">
        <v>372</v>
      </c>
    </row>
    <row r="314">
      <c r="A314" s="571">
        <v>45907.0</v>
      </c>
      <c r="B314" s="563">
        <v>0.43604166666666666</v>
      </c>
      <c r="C314" s="562" t="s">
        <v>8304</v>
      </c>
      <c r="D314" s="284"/>
      <c r="E314" s="562">
        <v>923493930578</v>
      </c>
      <c r="F314" s="562" t="s">
        <v>6875</v>
      </c>
      <c r="G314" s="562" t="s">
        <v>8305</v>
      </c>
      <c r="H314" s="562" t="s">
        <v>8306</v>
      </c>
      <c r="I314" s="284"/>
      <c r="J314" s="284"/>
      <c r="K314" s="562">
        <v>2.0</v>
      </c>
      <c r="L314" s="562" t="s">
        <v>372</v>
      </c>
    </row>
    <row r="315">
      <c r="A315" s="571">
        <v>45907.0</v>
      </c>
      <c r="B315" s="563">
        <v>0.44449074074074074</v>
      </c>
      <c r="C315" s="562" t="s">
        <v>8307</v>
      </c>
      <c r="D315" s="284"/>
      <c r="E315" s="562">
        <v>923334094296</v>
      </c>
      <c r="F315" s="562" t="s">
        <v>6875</v>
      </c>
      <c r="G315" s="284"/>
      <c r="H315" s="562" t="s">
        <v>8308</v>
      </c>
      <c r="I315" s="562" t="s">
        <v>8309</v>
      </c>
      <c r="J315" s="562" t="s">
        <v>8310</v>
      </c>
      <c r="K315" s="562">
        <v>3.0</v>
      </c>
      <c r="L315" s="562" t="s">
        <v>7246</v>
      </c>
    </row>
    <row r="316">
      <c r="A316" s="571">
        <v>45907.0</v>
      </c>
      <c r="B316" s="563">
        <v>0.44457175925925924</v>
      </c>
      <c r="C316" s="562" t="s">
        <v>8311</v>
      </c>
      <c r="D316" s="284"/>
      <c r="E316" s="562">
        <v>923441548996</v>
      </c>
      <c r="F316" s="562" t="s">
        <v>6939</v>
      </c>
      <c r="G316" s="562" t="s">
        <v>8296</v>
      </c>
      <c r="H316" s="562" t="s">
        <v>8312</v>
      </c>
      <c r="I316" s="562" t="s">
        <v>8313</v>
      </c>
      <c r="J316" s="562" t="s">
        <v>8314</v>
      </c>
      <c r="K316" s="562">
        <v>4.0</v>
      </c>
      <c r="L316" s="284"/>
    </row>
    <row r="317">
      <c r="A317" s="571">
        <v>45907.0</v>
      </c>
      <c r="B317" s="563">
        <v>0.4446527777777778</v>
      </c>
      <c r="C317" s="562" t="s">
        <v>8315</v>
      </c>
      <c r="D317" s="284"/>
      <c r="E317" s="562">
        <v>923460521024</v>
      </c>
      <c r="F317" s="562" t="s">
        <v>6939</v>
      </c>
      <c r="G317" s="562" t="s">
        <v>8316</v>
      </c>
      <c r="H317" s="562" t="s">
        <v>8317</v>
      </c>
      <c r="I317" s="562" t="s">
        <v>8318</v>
      </c>
      <c r="J317" s="562" t="s">
        <v>8319</v>
      </c>
      <c r="K317" s="562">
        <v>4.0</v>
      </c>
      <c r="L317" s="562" t="s">
        <v>6944</v>
      </c>
    </row>
    <row r="318">
      <c r="A318" s="571">
        <v>45907.0</v>
      </c>
      <c r="B318" s="563">
        <v>0.4574537037037037</v>
      </c>
      <c r="C318" s="562" t="s">
        <v>8320</v>
      </c>
      <c r="D318" s="284"/>
      <c r="E318" s="562">
        <v>923339576014</v>
      </c>
      <c r="F318" s="562" t="s">
        <v>6875</v>
      </c>
      <c r="G318" s="562" t="s">
        <v>8321</v>
      </c>
      <c r="H318" s="562" t="s">
        <v>8322</v>
      </c>
      <c r="I318" s="562" t="s">
        <v>8323</v>
      </c>
      <c r="J318" s="284"/>
      <c r="K318" s="562">
        <v>3.0</v>
      </c>
      <c r="L318" s="562" t="s">
        <v>696</v>
      </c>
    </row>
    <row r="319">
      <c r="A319" s="571">
        <v>45907.0</v>
      </c>
      <c r="B319" s="563">
        <v>0.5119328703703704</v>
      </c>
      <c r="C319" s="562" t="s">
        <v>8324</v>
      </c>
      <c r="D319" s="284"/>
      <c r="E319" s="562">
        <v>923707667081</v>
      </c>
      <c r="F319" s="562" t="s">
        <v>6939</v>
      </c>
      <c r="G319" s="562" t="s">
        <v>8325</v>
      </c>
      <c r="H319" s="562" t="s">
        <v>8326</v>
      </c>
      <c r="I319" s="562" t="s">
        <v>8327</v>
      </c>
      <c r="J319" s="562" t="s">
        <v>8328</v>
      </c>
      <c r="K319" s="562">
        <v>4.0</v>
      </c>
      <c r="L319" s="284"/>
    </row>
    <row r="320">
      <c r="A320" s="571">
        <v>45907.0</v>
      </c>
      <c r="B320" s="563">
        <v>0.516099537037037</v>
      </c>
      <c r="C320" s="562" t="s">
        <v>8329</v>
      </c>
      <c r="D320" s="284"/>
      <c r="E320" s="562">
        <v>923477179764</v>
      </c>
      <c r="F320" s="562" t="s">
        <v>6939</v>
      </c>
      <c r="G320" s="562" t="s">
        <v>8330</v>
      </c>
      <c r="H320" s="562" t="s">
        <v>8331</v>
      </c>
      <c r="I320" s="562" t="s">
        <v>8332</v>
      </c>
      <c r="J320" s="562" t="s">
        <v>8333</v>
      </c>
      <c r="K320" s="562">
        <v>4.0</v>
      </c>
      <c r="L320" s="562" t="s">
        <v>685</v>
      </c>
    </row>
    <row r="321">
      <c r="A321" s="571">
        <v>45907.0</v>
      </c>
      <c r="B321" s="563">
        <v>0.5304166666666666</v>
      </c>
      <c r="C321" s="562" t="s">
        <v>8334</v>
      </c>
      <c r="D321" s="284"/>
      <c r="E321" s="562">
        <v>923241460886</v>
      </c>
      <c r="F321" s="562" t="s">
        <v>6939</v>
      </c>
      <c r="G321" s="562" t="s">
        <v>8335</v>
      </c>
      <c r="H321" s="562" t="s">
        <v>8336</v>
      </c>
      <c r="I321" s="562" t="s">
        <v>8337</v>
      </c>
      <c r="J321" s="562" t="s">
        <v>8338</v>
      </c>
      <c r="K321" s="562">
        <v>4.0</v>
      </c>
      <c r="L321" s="284"/>
    </row>
    <row r="322">
      <c r="A322" s="571">
        <v>45907.0</v>
      </c>
      <c r="B322" s="563">
        <v>0.576412037037037</v>
      </c>
      <c r="C322" s="562" t="s">
        <v>8339</v>
      </c>
      <c r="D322" s="284"/>
      <c r="E322" s="562">
        <v>923000853410</v>
      </c>
      <c r="F322" s="562" t="s">
        <v>6939</v>
      </c>
      <c r="G322" s="562" t="s">
        <v>8340</v>
      </c>
      <c r="H322" s="562" t="s">
        <v>8341</v>
      </c>
      <c r="I322" s="562" t="s">
        <v>8342</v>
      </c>
      <c r="J322" s="562" t="s">
        <v>8343</v>
      </c>
      <c r="K322" s="562">
        <v>4.0</v>
      </c>
      <c r="L322" s="284"/>
    </row>
    <row r="323">
      <c r="A323" s="571">
        <v>45907.0</v>
      </c>
      <c r="B323" s="563">
        <v>0.5770833333333333</v>
      </c>
      <c r="C323" s="562" t="s">
        <v>8344</v>
      </c>
      <c r="D323" s="284"/>
      <c r="E323" s="562">
        <v>923468284208</v>
      </c>
      <c r="F323" s="562" t="s">
        <v>7291</v>
      </c>
      <c r="G323" s="562" t="s">
        <v>8345</v>
      </c>
      <c r="H323" s="562" t="s">
        <v>8346</v>
      </c>
      <c r="I323" s="562" t="s">
        <v>8347</v>
      </c>
      <c r="J323" s="562" t="s">
        <v>8348</v>
      </c>
      <c r="K323" s="562">
        <v>4.0</v>
      </c>
      <c r="L323" s="562" t="s">
        <v>6944</v>
      </c>
    </row>
    <row r="324">
      <c r="A324" s="571">
        <v>45907.0</v>
      </c>
      <c r="B324" s="563">
        <v>0.6204166666666666</v>
      </c>
      <c r="C324" s="562" t="s">
        <v>8349</v>
      </c>
      <c r="D324" s="284"/>
      <c r="E324" s="562">
        <v>923361181999</v>
      </c>
      <c r="F324" s="562" t="s">
        <v>6939</v>
      </c>
      <c r="G324" s="562" t="s">
        <v>8350</v>
      </c>
      <c r="H324" s="562" t="s">
        <v>8351</v>
      </c>
      <c r="I324" s="562" t="s">
        <v>8131</v>
      </c>
      <c r="J324" s="562" t="s">
        <v>8131</v>
      </c>
      <c r="K324" s="562">
        <v>4.0</v>
      </c>
      <c r="L324" s="562" t="s">
        <v>8352</v>
      </c>
    </row>
    <row r="325">
      <c r="A325" s="571">
        <v>45907.0</v>
      </c>
      <c r="B325" s="563">
        <v>0.6227314814814815</v>
      </c>
      <c r="C325" s="562" t="s">
        <v>8353</v>
      </c>
      <c r="D325" s="284"/>
      <c r="E325" s="562">
        <v>923334365021</v>
      </c>
      <c r="F325" s="562" t="s">
        <v>6939</v>
      </c>
      <c r="G325" s="562" t="s">
        <v>8354</v>
      </c>
      <c r="H325" s="562" t="s">
        <v>8355</v>
      </c>
      <c r="I325" s="562" t="s">
        <v>8356</v>
      </c>
      <c r="J325" s="562" t="s">
        <v>8357</v>
      </c>
      <c r="K325" s="562">
        <v>4.0</v>
      </c>
      <c r="L325" s="284"/>
    </row>
    <row r="326">
      <c r="A326" s="571">
        <v>45907.0</v>
      </c>
      <c r="B326" s="563">
        <v>0.6229050925925926</v>
      </c>
      <c r="C326" s="562" t="s">
        <v>8358</v>
      </c>
      <c r="D326" s="562" t="s">
        <v>6886</v>
      </c>
      <c r="E326" s="566" t="s">
        <v>8359</v>
      </c>
      <c r="F326" s="562" t="s">
        <v>6888</v>
      </c>
      <c r="G326" s="284"/>
      <c r="H326" s="562" t="s">
        <v>8360</v>
      </c>
      <c r="I326" s="562" t="s">
        <v>8361</v>
      </c>
      <c r="J326" s="284"/>
      <c r="K326" s="562">
        <v>2.0</v>
      </c>
      <c r="L326" s="562" t="s">
        <v>636</v>
      </c>
    </row>
    <row r="327">
      <c r="A327" s="571">
        <v>45907.0</v>
      </c>
      <c r="B327" s="563">
        <v>0.6304166666666666</v>
      </c>
      <c r="C327" s="562" t="s">
        <v>8362</v>
      </c>
      <c r="D327" s="284"/>
      <c r="E327" s="562">
        <v>923453398076</v>
      </c>
      <c r="F327" s="562" t="s">
        <v>7291</v>
      </c>
      <c r="G327" s="562" t="s">
        <v>8363</v>
      </c>
      <c r="H327" s="562" t="s">
        <v>8364</v>
      </c>
      <c r="I327" s="562" t="s">
        <v>8365</v>
      </c>
      <c r="J327" s="562" t="s">
        <v>8366</v>
      </c>
      <c r="K327" s="562">
        <v>4.0</v>
      </c>
      <c r="L327" s="284"/>
    </row>
    <row r="328">
      <c r="A328" s="571">
        <v>45907.0</v>
      </c>
      <c r="B328" s="563">
        <v>0.6631944444444444</v>
      </c>
      <c r="C328" s="562" t="s">
        <v>8367</v>
      </c>
      <c r="D328" s="284"/>
      <c r="E328" s="562">
        <v>923149570782</v>
      </c>
      <c r="F328" s="562" t="s">
        <v>6939</v>
      </c>
      <c r="G328" s="562" t="s">
        <v>8335</v>
      </c>
      <c r="H328" s="562" t="s">
        <v>8368</v>
      </c>
      <c r="I328" s="562" t="s">
        <v>8369</v>
      </c>
      <c r="J328" s="562" t="s">
        <v>8370</v>
      </c>
      <c r="K328" s="562">
        <v>4.0</v>
      </c>
      <c r="L328" s="284"/>
    </row>
    <row r="329">
      <c r="A329" s="571">
        <v>45907.0</v>
      </c>
      <c r="B329" s="563">
        <v>0.6640046296296296</v>
      </c>
      <c r="C329" s="562" t="s">
        <v>8371</v>
      </c>
      <c r="D329" s="284"/>
      <c r="E329" s="562">
        <v>923222373324</v>
      </c>
      <c r="F329" s="562" t="s">
        <v>6939</v>
      </c>
      <c r="G329" s="562" t="s">
        <v>8372</v>
      </c>
      <c r="H329" s="562" t="s">
        <v>8373</v>
      </c>
      <c r="I329" s="562" t="s">
        <v>8374</v>
      </c>
      <c r="J329" s="562" t="s">
        <v>8375</v>
      </c>
      <c r="K329" s="562">
        <v>4.0</v>
      </c>
      <c r="L329" s="562" t="s">
        <v>8376</v>
      </c>
    </row>
    <row r="330">
      <c r="A330" s="571">
        <v>45907.0</v>
      </c>
      <c r="B330" s="563">
        <v>0.6715046296296296</v>
      </c>
      <c r="C330" s="562" t="s">
        <v>8377</v>
      </c>
      <c r="D330" s="284"/>
      <c r="E330" s="562">
        <v>923214160710</v>
      </c>
      <c r="F330" s="562" t="s">
        <v>6875</v>
      </c>
      <c r="G330" s="284"/>
      <c r="H330" s="284"/>
      <c r="I330" s="562" t="s">
        <v>8378</v>
      </c>
      <c r="J330" s="562" t="s">
        <v>8379</v>
      </c>
      <c r="K330" s="562">
        <v>2.0</v>
      </c>
      <c r="L330" s="562" t="s">
        <v>7422</v>
      </c>
    </row>
    <row r="331">
      <c r="A331" s="571">
        <v>45907.0</v>
      </c>
      <c r="B331" s="563">
        <v>0.6888194444444444</v>
      </c>
      <c r="C331" s="562" t="s">
        <v>8380</v>
      </c>
      <c r="D331" s="284"/>
      <c r="E331" s="562">
        <v>923353470106</v>
      </c>
      <c r="F331" s="562" t="s">
        <v>6939</v>
      </c>
      <c r="G331" s="562" t="s">
        <v>8335</v>
      </c>
      <c r="H331" s="562" t="s">
        <v>8381</v>
      </c>
      <c r="I331" s="562" t="s">
        <v>8382</v>
      </c>
      <c r="J331" s="562" t="s">
        <v>8383</v>
      </c>
      <c r="K331" s="562">
        <v>4.0</v>
      </c>
      <c r="L331" s="284"/>
    </row>
    <row r="332">
      <c r="A332" s="571">
        <v>45907.0</v>
      </c>
      <c r="B332" s="563">
        <v>0.7219212962962963</v>
      </c>
      <c r="C332" s="562" t="s">
        <v>8384</v>
      </c>
      <c r="D332" s="284"/>
      <c r="E332" s="562">
        <v>923140760863</v>
      </c>
      <c r="F332" s="562" t="s">
        <v>6875</v>
      </c>
      <c r="G332" s="284"/>
      <c r="H332" s="562" t="s">
        <v>8385</v>
      </c>
      <c r="I332" s="562" t="s">
        <v>8386</v>
      </c>
      <c r="J332" s="562" t="s">
        <v>8387</v>
      </c>
      <c r="K332" s="562">
        <v>3.0</v>
      </c>
      <c r="L332" s="284"/>
    </row>
    <row r="333">
      <c r="A333" s="571">
        <v>45907.0</v>
      </c>
      <c r="B333" s="563">
        <v>0.730462962962963</v>
      </c>
      <c r="C333" s="562" t="s">
        <v>8388</v>
      </c>
      <c r="D333" s="284"/>
      <c r="E333" s="562">
        <v>923271365308</v>
      </c>
      <c r="F333" s="562" t="s">
        <v>6939</v>
      </c>
      <c r="G333" s="562" t="s">
        <v>8389</v>
      </c>
      <c r="H333" s="562" t="s">
        <v>8390</v>
      </c>
      <c r="I333" s="562" t="s">
        <v>8391</v>
      </c>
      <c r="J333" s="562" t="s">
        <v>8392</v>
      </c>
      <c r="K333" s="562">
        <v>4.0</v>
      </c>
      <c r="L333" s="284"/>
    </row>
    <row r="334">
      <c r="A334" s="571">
        <v>45907.0</v>
      </c>
      <c r="B334" s="563">
        <v>0.7420601851851852</v>
      </c>
      <c r="C334" s="562" t="s">
        <v>8393</v>
      </c>
      <c r="D334" s="284"/>
      <c r="E334" s="562">
        <v>923156259350</v>
      </c>
      <c r="F334" s="562" t="s">
        <v>6939</v>
      </c>
      <c r="G334" s="562" t="s">
        <v>8394</v>
      </c>
      <c r="H334" s="562" t="s">
        <v>8395</v>
      </c>
      <c r="I334" s="562" t="s">
        <v>8396</v>
      </c>
      <c r="J334" s="562" t="s">
        <v>8397</v>
      </c>
      <c r="K334" s="562">
        <v>4.0</v>
      </c>
      <c r="L334" s="284"/>
    </row>
    <row r="335">
      <c r="A335" s="571">
        <v>45907.0</v>
      </c>
      <c r="B335" s="563">
        <v>0.7499074074074074</v>
      </c>
      <c r="C335" s="562" t="s">
        <v>8398</v>
      </c>
      <c r="D335" s="284"/>
      <c r="E335" s="562">
        <v>923034824088</v>
      </c>
      <c r="F335" s="562" t="s">
        <v>6982</v>
      </c>
      <c r="G335" s="562" t="s">
        <v>8399</v>
      </c>
      <c r="H335" s="562" t="s">
        <v>8400</v>
      </c>
      <c r="I335" s="562" t="s">
        <v>8382</v>
      </c>
      <c r="J335" s="562" t="s">
        <v>8401</v>
      </c>
      <c r="K335" s="562">
        <v>4.0</v>
      </c>
      <c r="L335" s="562" t="s">
        <v>8402</v>
      </c>
    </row>
    <row r="336">
      <c r="A336" s="571">
        <v>45937.0</v>
      </c>
      <c r="B336" s="563">
        <v>0.39436342592592594</v>
      </c>
      <c r="C336" s="562" t="s">
        <v>8403</v>
      </c>
      <c r="D336" s="284"/>
      <c r="E336" s="562">
        <v>923115952370</v>
      </c>
      <c r="F336" s="562" t="s">
        <v>6875</v>
      </c>
      <c r="G336" s="562" t="s">
        <v>8404</v>
      </c>
      <c r="H336" s="562" t="s">
        <v>8405</v>
      </c>
      <c r="I336" s="562" t="s">
        <v>8406</v>
      </c>
      <c r="J336" s="284"/>
      <c r="K336" s="562">
        <v>3.0</v>
      </c>
      <c r="L336" s="562" t="s">
        <v>6944</v>
      </c>
    </row>
    <row r="337">
      <c r="A337" s="571">
        <v>45937.0</v>
      </c>
      <c r="B337" s="563">
        <v>0.39447916666666666</v>
      </c>
      <c r="C337" s="562" t="s">
        <v>8407</v>
      </c>
      <c r="D337" s="284"/>
      <c r="E337" s="562">
        <v>923423607032</v>
      </c>
      <c r="F337" s="562" t="s">
        <v>6875</v>
      </c>
      <c r="G337" s="562" t="s">
        <v>8408</v>
      </c>
      <c r="H337" s="284"/>
      <c r="I337" s="562" t="s">
        <v>8409</v>
      </c>
      <c r="J337" s="284"/>
      <c r="K337" s="562">
        <v>2.0</v>
      </c>
      <c r="L337" s="562" t="s">
        <v>372</v>
      </c>
    </row>
    <row r="338">
      <c r="A338" s="571">
        <v>45937.0</v>
      </c>
      <c r="B338" s="563">
        <v>0.3945486111111111</v>
      </c>
      <c r="C338" s="562" t="s">
        <v>8410</v>
      </c>
      <c r="D338" s="284"/>
      <c r="E338" s="562">
        <v>923306523717</v>
      </c>
      <c r="F338" s="562" t="s">
        <v>6875</v>
      </c>
      <c r="G338" s="562" t="s">
        <v>8411</v>
      </c>
      <c r="H338" s="284"/>
      <c r="I338" s="562" t="s">
        <v>8412</v>
      </c>
      <c r="J338" s="284"/>
      <c r="K338" s="562">
        <v>2.0</v>
      </c>
      <c r="L338" s="562" t="s">
        <v>696</v>
      </c>
    </row>
    <row r="339">
      <c r="A339" s="571">
        <v>45937.0</v>
      </c>
      <c r="B339" s="563">
        <v>0.39466435185185184</v>
      </c>
      <c r="C339" s="562" t="s">
        <v>8413</v>
      </c>
      <c r="D339" s="284"/>
      <c r="E339" s="562">
        <v>923478281278</v>
      </c>
      <c r="F339" s="562" t="s">
        <v>6875</v>
      </c>
      <c r="G339" s="562" t="s">
        <v>8414</v>
      </c>
      <c r="H339" s="284"/>
      <c r="I339" s="284"/>
      <c r="J339" s="284"/>
      <c r="K339" s="562">
        <v>1.0</v>
      </c>
      <c r="L339" s="562" t="s">
        <v>372</v>
      </c>
    </row>
    <row r="340">
      <c r="A340" s="571">
        <v>45937.0</v>
      </c>
      <c r="B340" s="563">
        <v>0.3947569444444444</v>
      </c>
      <c r="C340" s="562" t="s">
        <v>8415</v>
      </c>
      <c r="D340" s="284"/>
      <c r="E340" s="562">
        <v>923114226735</v>
      </c>
      <c r="F340" s="562" t="s">
        <v>6875</v>
      </c>
      <c r="G340" s="562" t="s">
        <v>8416</v>
      </c>
      <c r="H340" s="562" t="s">
        <v>8417</v>
      </c>
      <c r="I340" s="562" t="s">
        <v>8418</v>
      </c>
      <c r="J340" s="284"/>
      <c r="K340" s="562">
        <v>3.0</v>
      </c>
      <c r="L340" s="562" t="s">
        <v>6918</v>
      </c>
    </row>
    <row r="341">
      <c r="A341" s="571">
        <v>45937.0</v>
      </c>
      <c r="B341" s="563">
        <v>0.3983912037037037</v>
      </c>
      <c r="C341" s="562" t="s">
        <v>8419</v>
      </c>
      <c r="D341" s="284"/>
      <c r="E341" s="562">
        <v>923217240561</v>
      </c>
      <c r="F341" s="562" t="s">
        <v>6982</v>
      </c>
      <c r="G341" s="562" t="s">
        <v>8420</v>
      </c>
      <c r="H341" s="562" t="s">
        <v>8400</v>
      </c>
      <c r="I341" s="562" t="s">
        <v>8421</v>
      </c>
      <c r="J341" s="562" t="s">
        <v>8422</v>
      </c>
      <c r="K341" s="562">
        <v>4.0</v>
      </c>
      <c r="L341" s="562" t="s">
        <v>8423</v>
      </c>
    </row>
    <row r="342">
      <c r="A342" s="571">
        <v>45937.0</v>
      </c>
      <c r="B342" s="563">
        <v>0.3984837962962963</v>
      </c>
      <c r="C342" s="562" t="s">
        <v>8424</v>
      </c>
      <c r="D342" s="284"/>
      <c r="E342" s="562">
        <v>923189603686</v>
      </c>
      <c r="F342" s="562" t="s">
        <v>6939</v>
      </c>
      <c r="G342" s="562" t="s">
        <v>8425</v>
      </c>
      <c r="H342" s="562" t="s">
        <v>8426</v>
      </c>
      <c r="I342" s="562" t="s">
        <v>8427</v>
      </c>
      <c r="J342" s="562" t="s">
        <v>8428</v>
      </c>
      <c r="K342" s="562">
        <v>4.0</v>
      </c>
      <c r="L342" s="284"/>
    </row>
    <row r="343">
      <c r="A343" s="571">
        <v>45937.0</v>
      </c>
      <c r="B343" s="563">
        <v>0.3985532407407407</v>
      </c>
      <c r="C343" s="562" t="s">
        <v>8429</v>
      </c>
      <c r="D343" s="284"/>
      <c r="E343" s="562">
        <v>923481014108</v>
      </c>
      <c r="F343" s="562" t="s">
        <v>6939</v>
      </c>
      <c r="G343" s="562" t="s">
        <v>8430</v>
      </c>
      <c r="H343" s="562" t="s">
        <v>8431</v>
      </c>
      <c r="I343" s="562" t="s">
        <v>8432</v>
      </c>
      <c r="J343" s="562" t="s">
        <v>8433</v>
      </c>
      <c r="K343" s="562">
        <v>4.0</v>
      </c>
      <c r="L343" s="284"/>
    </row>
    <row r="344">
      <c r="A344" s="571">
        <v>45937.0</v>
      </c>
      <c r="B344" s="563">
        <v>0.39861111111111114</v>
      </c>
      <c r="C344" s="562" t="s">
        <v>8434</v>
      </c>
      <c r="D344" s="284"/>
      <c r="E344" s="562">
        <v>923705488092</v>
      </c>
      <c r="F344" s="562" t="s">
        <v>6875</v>
      </c>
      <c r="G344" s="562" t="s">
        <v>8435</v>
      </c>
      <c r="H344" s="562" t="s">
        <v>8436</v>
      </c>
      <c r="I344" s="562" t="s">
        <v>8437</v>
      </c>
      <c r="J344" s="284"/>
      <c r="K344" s="562">
        <v>3.0</v>
      </c>
      <c r="L344" s="562" t="s">
        <v>8438</v>
      </c>
    </row>
    <row r="345">
      <c r="A345" s="571">
        <v>45937.0</v>
      </c>
      <c r="B345" s="563">
        <v>0.39871527777777777</v>
      </c>
      <c r="C345" s="562" t="s">
        <v>8439</v>
      </c>
      <c r="D345" s="284"/>
      <c r="E345" s="562">
        <v>923355555352</v>
      </c>
      <c r="F345" s="562" t="s">
        <v>7291</v>
      </c>
      <c r="G345" s="562" t="s">
        <v>8440</v>
      </c>
      <c r="H345" s="562" t="s">
        <v>8441</v>
      </c>
      <c r="I345" s="562" t="s">
        <v>8442</v>
      </c>
      <c r="J345" s="562" t="s">
        <v>8443</v>
      </c>
      <c r="K345" s="562">
        <v>4.0</v>
      </c>
      <c r="L345" s="562" t="s">
        <v>964</v>
      </c>
    </row>
    <row r="346">
      <c r="A346" s="571">
        <v>45937.0</v>
      </c>
      <c r="B346" s="563">
        <v>0.3987847222222222</v>
      </c>
      <c r="C346" s="562" t="s">
        <v>8444</v>
      </c>
      <c r="D346" s="284"/>
      <c r="E346" s="562">
        <v>923066014798</v>
      </c>
      <c r="F346" s="562" t="s">
        <v>6875</v>
      </c>
      <c r="G346" s="562" t="s">
        <v>8445</v>
      </c>
      <c r="H346" s="284"/>
      <c r="I346" s="284"/>
      <c r="J346" s="284"/>
      <c r="K346" s="562">
        <v>1.0</v>
      </c>
      <c r="L346" s="284"/>
    </row>
    <row r="347">
      <c r="A347" s="571">
        <v>45937.0</v>
      </c>
      <c r="B347" s="563">
        <v>0.3989699074074074</v>
      </c>
      <c r="C347" s="562" t="s">
        <v>8446</v>
      </c>
      <c r="D347" s="284"/>
      <c r="E347" s="562">
        <v>923083245605</v>
      </c>
      <c r="F347" s="562" t="s">
        <v>6875</v>
      </c>
      <c r="G347" s="562" t="s">
        <v>8447</v>
      </c>
      <c r="H347" s="562" t="s">
        <v>8448</v>
      </c>
      <c r="I347" s="562" t="s">
        <v>8449</v>
      </c>
      <c r="J347" s="284"/>
      <c r="K347" s="562">
        <v>3.0</v>
      </c>
      <c r="L347" s="284"/>
    </row>
    <row r="348">
      <c r="A348" s="571">
        <v>45937.0</v>
      </c>
      <c r="B348" s="563">
        <v>0.4007175925925926</v>
      </c>
      <c r="C348" s="562" t="s">
        <v>8450</v>
      </c>
      <c r="D348" s="284"/>
      <c r="E348" s="562">
        <v>923014122192</v>
      </c>
      <c r="F348" s="562" t="s">
        <v>6875</v>
      </c>
      <c r="G348" s="562" t="s">
        <v>8451</v>
      </c>
      <c r="H348" s="284"/>
      <c r="I348" s="562" t="s">
        <v>8452</v>
      </c>
      <c r="J348" s="284"/>
      <c r="K348" s="562">
        <v>2.0</v>
      </c>
      <c r="L348" s="562" t="s">
        <v>372</v>
      </c>
    </row>
    <row r="349">
      <c r="A349" s="571">
        <v>45937.0</v>
      </c>
      <c r="B349" s="563">
        <v>0.40078703703703705</v>
      </c>
      <c r="C349" s="562" t="s">
        <v>8453</v>
      </c>
      <c r="D349" s="284"/>
      <c r="E349" s="562">
        <v>923145938359</v>
      </c>
      <c r="F349" s="562" t="s">
        <v>7291</v>
      </c>
      <c r="G349" s="562" t="s">
        <v>8454</v>
      </c>
      <c r="H349" s="562" t="s">
        <v>8455</v>
      </c>
      <c r="I349" s="562" t="s">
        <v>8456</v>
      </c>
      <c r="J349" s="562" t="s">
        <v>8457</v>
      </c>
      <c r="K349" s="562">
        <v>4.0</v>
      </c>
      <c r="L349" s="562" t="s">
        <v>8376</v>
      </c>
    </row>
    <row r="350">
      <c r="A350" s="571">
        <v>45937.0</v>
      </c>
      <c r="B350" s="563">
        <v>0.4008564814814815</v>
      </c>
      <c r="C350" s="562" t="s">
        <v>8458</v>
      </c>
      <c r="D350" s="562" t="s">
        <v>6886</v>
      </c>
      <c r="E350" s="566" t="s">
        <v>8459</v>
      </c>
      <c r="F350" s="562" t="s">
        <v>6982</v>
      </c>
      <c r="G350" s="562" t="s">
        <v>8460</v>
      </c>
      <c r="H350" s="562" t="s">
        <v>8461</v>
      </c>
      <c r="I350" s="562" t="s">
        <v>8382</v>
      </c>
      <c r="J350" s="562" t="s">
        <v>8462</v>
      </c>
      <c r="K350" s="562">
        <v>4.0</v>
      </c>
      <c r="L350" s="562" t="s">
        <v>8463</v>
      </c>
    </row>
    <row r="351">
      <c r="A351" s="571">
        <v>45937.0</v>
      </c>
      <c r="B351" s="563">
        <v>0.40091435185185187</v>
      </c>
      <c r="C351" s="562" t="s">
        <v>8464</v>
      </c>
      <c r="D351" s="284"/>
      <c r="E351" s="562">
        <v>923115111970</v>
      </c>
      <c r="F351" s="562" t="s">
        <v>6875</v>
      </c>
      <c r="G351" s="562" t="s">
        <v>8465</v>
      </c>
      <c r="H351" s="562" t="s">
        <v>8466</v>
      </c>
      <c r="I351" s="562" t="s">
        <v>8467</v>
      </c>
      <c r="J351" s="284"/>
      <c r="K351" s="562">
        <v>3.0</v>
      </c>
      <c r="L351" s="284"/>
    </row>
    <row r="352">
      <c r="A352" s="571">
        <v>45937.0</v>
      </c>
      <c r="B352" s="563">
        <v>0.40098379629629627</v>
      </c>
      <c r="C352" s="562" t="s">
        <v>8468</v>
      </c>
      <c r="D352" s="562" t="s">
        <v>6886</v>
      </c>
      <c r="E352" s="566" t="s">
        <v>8469</v>
      </c>
      <c r="F352" s="562" t="s">
        <v>6875</v>
      </c>
      <c r="G352" s="562" t="s">
        <v>8470</v>
      </c>
      <c r="H352" s="562" t="s">
        <v>8471</v>
      </c>
      <c r="I352" s="562" t="s">
        <v>8472</v>
      </c>
      <c r="J352" s="562" t="s">
        <v>8473</v>
      </c>
      <c r="K352" s="562">
        <v>4.0</v>
      </c>
      <c r="L352" s="562" t="s">
        <v>8474</v>
      </c>
    </row>
    <row r="353">
      <c r="A353" s="571">
        <v>45937.0</v>
      </c>
      <c r="B353" s="563">
        <v>0.40498842592592593</v>
      </c>
      <c r="C353" s="562" t="s">
        <v>8475</v>
      </c>
      <c r="D353" s="284"/>
      <c r="E353" s="562">
        <v>923299860136</v>
      </c>
      <c r="F353" s="562" t="s">
        <v>6982</v>
      </c>
      <c r="G353" s="562" t="s">
        <v>8476</v>
      </c>
      <c r="H353" s="562" t="s">
        <v>8477</v>
      </c>
      <c r="I353" s="562" t="s">
        <v>8478</v>
      </c>
      <c r="J353" s="562" t="s">
        <v>8479</v>
      </c>
      <c r="K353" s="562">
        <v>4.0</v>
      </c>
      <c r="L353" s="562" t="s">
        <v>8480</v>
      </c>
    </row>
    <row r="354">
      <c r="A354" s="571">
        <v>45937.0</v>
      </c>
      <c r="B354" s="563">
        <v>0.4050694444444444</v>
      </c>
      <c r="C354" s="562" t="s">
        <v>8481</v>
      </c>
      <c r="D354" s="284"/>
      <c r="E354" s="562">
        <v>923148069990</v>
      </c>
      <c r="F354" s="562" t="s">
        <v>6875</v>
      </c>
      <c r="G354" s="562" t="s">
        <v>8482</v>
      </c>
      <c r="H354" s="284"/>
      <c r="I354" s="284"/>
      <c r="J354" s="284"/>
      <c r="K354" s="562">
        <v>1.0</v>
      </c>
      <c r="L354" s="562" t="s">
        <v>372</v>
      </c>
    </row>
    <row r="355">
      <c r="A355" s="571">
        <v>45937.0</v>
      </c>
      <c r="B355" s="563">
        <v>0.405162037037037</v>
      </c>
      <c r="C355" s="562" t="s">
        <v>8483</v>
      </c>
      <c r="D355" s="284"/>
      <c r="E355" s="562">
        <v>923164468762</v>
      </c>
      <c r="F355" s="562" t="s">
        <v>6939</v>
      </c>
      <c r="G355" s="562" t="s">
        <v>8484</v>
      </c>
      <c r="H355" s="562" t="s">
        <v>8485</v>
      </c>
      <c r="I355" s="562" t="s">
        <v>8486</v>
      </c>
      <c r="J355" s="562" t="s">
        <v>8487</v>
      </c>
      <c r="K355" s="562">
        <v>4.0</v>
      </c>
      <c r="L355" s="562" t="s">
        <v>6918</v>
      </c>
    </row>
    <row r="356">
      <c r="A356" s="571">
        <v>45937.0</v>
      </c>
      <c r="B356" s="563">
        <v>0.4053703703703704</v>
      </c>
      <c r="C356" s="562" t="s">
        <v>8488</v>
      </c>
      <c r="D356" s="284"/>
      <c r="E356" s="562">
        <v>923353260068</v>
      </c>
      <c r="F356" s="562" t="s">
        <v>6939</v>
      </c>
      <c r="G356" s="562" t="s">
        <v>8489</v>
      </c>
      <c r="H356" s="562" t="s">
        <v>8490</v>
      </c>
      <c r="I356" s="562" t="s">
        <v>8491</v>
      </c>
      <c r="J356" s="562" t="s">
        <v>8492</v>
      </c>
      <c r="K356" s="562">
        <v>4.0</v>
      </c>
      <c r="L356" s="284"/>
    </row>
    <row r="357">
      <c r="A357" s="571">
        <v>45937.0</v>
      </c>
      <c r="B357" s="563">
        <v>0.40574074074074074</v>
      </c>
      <c r="C357" s="562" t="s">
        <v>8493</v>
      </c>
      <c r="D357" s="562" t="s">
        <v>6886</v>
      </c>
      <c r="E357" s="566" t="s">
        <v>8494</v>
      </c>
      <c r="F357" s="562" t="s">
        <v>6982</v>
      </c>
      <c r="G357" s="562" t="s">
        <v>8476</v>
      </c>
      <c r="H357" s="562" t="s">
        <v>8495</v>
      </c>
      <c r="I357" s="562" t="s">
        <v>8496</v>
      </c>
      <c r="J357" s="562" t="s">
        <v>8497</v>
      </c>
      <c r="K357" s="562">
        <v>4.0</v>
      </c>
      <c r="L357" s="562" t="s">
        <v>8498</v>
      </c>
    </row>
    <row r="358">
      <c r="A358" s="571">
        <v>45937.0</v>
      </c>
      <c r="B358" s="563">
        <v>0.40585648148148146</v>
      </c>
      <c r="C358" s="562" t="s">
        <v>8499</v>
      </c>
      <c r="D358" s="284"/>
      <c r="E358" s="562">
        <v>923446203609</v>
      </c>
      <c r="F358" s="562" t="s">
        <v>6875</v>
      </c>
      <c r="G358" s="562" t="s">
        <v>8500</v>
      </c>
      <c r="H358" s="562" t="s">
        <v>8501</v>
      </c>
      <c r="I358" s="562" t="s">
        <v>8502</v>
      </c>
      <c r="J358" s="284"/>
      <c r="K358" s="562">
        <v>3.0</v>
      </c>
      <c r="L358" s="562" t="s">
        <v>964</v>
      </c>
    </row>
    <row r="359">
      <c r="A359" s="571">
        <v>45937.0</v>
      </c>
      <c r="B359" s="563">
        <v>0.4059375</v>
      </c>
      <c r="C359" s="562" t="s">
        <v>8503</v>
      </c>
      <c r="D359" s="284"/>
      <c r="E359" s="562">
        <v>923121665151</v>
      </c>
      <c r="F359" s="562" t="s">
        <v>6939</v>
      </c>
      <c r="G359" s="562" t="s">
        <v>8504</v>
      </c>
      <c r="H359" s="562" t="s">
        <v>8505</v>
      </c>
      <c r="I359" s="562" t="s">
        <v>8506</v>
      </c>
      <c r="J359" s="562" t="s">
        <v>8507</v>
      </c>
      <c r="K359" s="562">
        <v>4.0</v>
      </c>
      <c r="L359" s="284"/>
    </row>
    <row r="360">
      <c r="A360" s="571">
        <v>45937.0</v>
      </c>
      <c r="B360" s="563">
        <v>0.4060416666666667</v>
      </c>
      <c r="C360" s="562" t="s">
        <v>8508</v>
      </c>
      <c r="D360" s="284"/>
      <c r="E360" s="562">
        <v>923090163567</v>
      </c>
      <c r="F360" s="562" t="s">
        <v>6939</v>
      </c>
      <c r="G360" s="562" t="s">
        <v>8509</v>
      </c>
      <c r="H360" s="562" t="s">
        <v>8510</v>
      </c>
      <c r="I360" s="562" t="s">
        <v>8511</v>
      </c>
      <c r="J360" s="562" t="s">
        <v>8512</v>
      </c>
      <c r="K360" s="562">
        <v>4.0</v>
      </c>
      <c r="L360" s="562" t="s">
        <v>7246</v>
      </c>
    </row>
    <row r="361">
      <c r="A361" s="571">
        <v>45937.0</v>
      </c>
      <c r="B361" s="563">
        <v>0.47684027777777777</v>
      </c>
      <c r="C361" s="562" t="s">
        <v>3432</v>
      </c>
      <c r="D361" s="562" t="s">
        <v>6886</v>
      </c>
      <c r="E361" s="566" t="s">
        <v>8513</v>
      </c>
      <c r="F361" s="562" t="s">
        <v>6875</v>
      </c>
      <c r="G361" s="284"/>
      <c r="H361" s="562" t="s">
        <v>8514</v>
      </c>
      <c r="I361" s="562" t="s">
        <v>8515</v>
      </c>
      <c r="J361" s="562" t="s">
        <v>8516</v>
      </c>
      <c r="K361" s="562">
        <v>3.0</v>
      </c>
      <c r="L361" s="562" t="s">
        <v>8517</v>
      </c>
    </row>
    <row r="362">
      <c r="A362" s="571">
        <v>45937.0</v>
      </c>
      <c r="B362" s="563">
        <v>0.5069675925925926</v>
      </c>
      <c r="C362" s="562" t="s">
        <v>8518</v>
      </c>
      <c r="D362" s="284"/>
      <c r="E362" s="562">
        <v>923074570559</v>
      </c>
      <c r="F362" s="562" t="s">
        <v>6939</v>
      </c>
      <c r="G362" s="562" t="s">
        <v>8519</v>
      </c>
      <c r="H362" s="562" t="s">
        <v>8520</v>
      </c>
      <c r="I362" s="562" t="s">
        <v>8521</v>
      </c>
      <c r="J362" s="562" t="s">
        <v>8522</v>
      </c>
      <c r="K362" s="562">
        <v>4.0</v>
      </c>
      <c r="L362" s="284"/>
    </row>
    <row r="363">
      <c r="A363" s="571">
        <v>45937.0</v>
      </c>
      <c r="B363" s="563">
        <v>0.507199074074074</v>
      </c>
      <c r="C363" s="562" t="s">
        <v>8523</v>
      </c>
      <c r="D363" s="284"/>
      <c r="E363" s="562">
        <v>923215809815</v>
      </c>
      <c r="F363" s="562" t="s">
        <v>6875</v>
      </c>
      <c r="G363" s="562" t="s">
        <v>8524</v>
      </c>
      <c r="H363" s="562" t="s">
        <v>8525</v>
      </c>
      <c r="I363" s="562" t="s">
        <v>8526</v>
      </c>
      <c r="J363" s="562" t="s">
        <v>8527</v>
      </c>
      <c r="K363" s="562">
        <v>4.0</v>
      </c>
      <c r="L363" s="562" t="s">
        <v>8376</v>
      </c>
    </row>
    <row r="364">
      <c r="A364" s="571">
        <v>45937.0</v>
      </c>
      <c r="B364" s="563">
        <v>0.5104398148148148</v>
      </c>
      <c r="C364" s="562" t="s">
        <v>8528</v>
      </c>
      <c r="D364" s="284"/>
      <c r="E364" s="562">
        <v>923433238863</v>
      </c>
      <c r="F364" s="562" t="s">
        <v>6875</v>
      </c>
      <c r="G364" s="562" t="s">
        <v>8529</v>
      </c>
      <c r="H364" s="562" t="s">
        <v>8530</v>
      </c>
      <c r="I364" s="562" t="s">
        <v>8531</v>
      </c>
      <c r="J364" s="562" t="s">
        <v>8532</v>
      </c>
      <c r="K364" s="562">
        <v>4.0</v>
      </c>
      <c r="L364" s="562" t="s">
        <v>25</v>
      </c>
    </row>
    <row r="365">
      <c r="A365" s="571">
        <v>45937.0</v>
      </c>
      <c r="B365" s="563">
        <v>0.5267824074074074</v>
      </c>
      <c r="C365" s="562" t="s">
        <v>8533</v>
      </c>
      <c r="D365" s="284"/>
      <c r="E365" s="562">
        <v>923425385682</v>
      </c>
      <c r="F365" s="562" t="s">
        <v>7291</v>
      </c>
      <c r="G365" s="562" t="s">
        <v>8534</v>
      </c>
      <c r="H365" s="562" t="s">
        <v>8535</v>
      </c>
      <c r="I365" s="562" t="s">
        <v>8536</v>
      </c>
      <c r="J365" s="562" t="s">
        <v>8537</v>
      </c>
      <c r="K365" s="562">
        <v>4.0</v>
      </c>
      <c r="L365" s="562" t="s">
        <v>6944</v>
      </c>
    </row>
    <row r="366">
      <c r="A366" s="571">
        <v>45937.0</v>
      </c>
      <c r="B366" s="563">
        <v>0.5665625</v>
      </c>
      <c r="C366" s="562" t="s">
        <v>8538</v>
      </c>
      <c r="D366" s="284"/>
      <c r="E366" s="562">
        <v>923108641024</v>
      </c>
      <c r="F366" s="562" t="s">
        <v>6939</v>
      </c>
      <c r="G366" s="562" t="s">
        <v>8539</v>
      </c>
      <c r="H366" s="562" t="s">
        <v>8540</v>
      </c>
      <c r="I366" s="562" t="s">
        <v>8541</v>
      </c>
      <c r="J366" s="562" t="s">
        <v>8542</v>
      </c>
      <c r="K366" s="562">
        <v>4.0</v>
      </c>
      <c r="L366" s="284"/>
    </row>
    <row r="367">
      <c r="A367" s="571">
        <v>45937.0</v>
      </c>
      <c r="B367" s="563">
        <v>0.6131018518518518</v>
      </c>
      <c r="C367" s="562" t="s">
        <v>8543</v>
      </c>
      <c r="D367" s="284"/>
      <c r="E367" s="562">
        <v>923409078009</v>
      </c>
      <c r="F367" s="562" t="s">
        <v>6875</v>
      </c>
      <c r="G367" s="284"/>
      <c r="H367" s="562" t="s">
        <v>8544</v>
      </c>
      <c r="I367" s="562" t="s">
        <v>8545</v>
      </c>
      <c r="J367" s="284"/>
      <c r="K367" s="562">
        <v>2.0</v>
      </c>
      <c r="L367" s="284"/>
    </row>
    <row r="368">
      <c r="A368" s="571">
        <v>45937.0</v>
      </c>
      <c r="B368" s="563">
        <v>0.6311111111111111</v>
      </c>
      <c r="C368" s="562" t="s">
        <v>8546</v>
      </c>
      <c r="D368" s="562" t="s">
        <v>6886</v>
      </c>
      <c r="E368" s="562" t="s">
        <v>8547</v>
      </c>
      <c r="F368" s="562" t="s">
        <v>6939</v>
      </c>
      <c r="G368" s="562" t="s">
        <v>8548</v>
      </c>
      <c r="H368" s="562" t="s">
        <v>8549</v>
      </c>
      <c r="I368" s="562" t="s">
        <v>8550</v>
      </c>
      <c r="J368" s="562" t="s">
        <v>8551</v>
      </c>
      <c r="K368" s="562">
        <v>4.0</v>
      </c>
      <c r="L368" s="562" t="s">
        <v>8552</v>
      </c>
    </row>
    <row r="369">
      <c r="A369" s="571">
        <v>45937.0</v>
      </c>
      <c r="B369" s="563">
        <v>0.6525810185185185</v>
      </c>
      <c r="C369" s="562" t="s">
        <v>8553</v>
      </c>
      <c r="D369" s="284"/>
      <c r="E369" s="562">
        <v>923071022117</v>
      </c>
      <c r="F369" s="562" t="s">
        <v>7291</v>
      </c>
      <c r="G369" s="562" t="s">
        <v>8554</v>
      </c>
      <c r="H369" s="562" t="s">
        <v>8555</v>
      </c>
      <c r="I369" s="562" t="s">
        <v>8556</v>
      </c>
      <c r="J369" s="562" t="s">
        <v>8557</v>
      </c>
      <c r="K369" s="562">
        <v>4.0</v>
      </c>
      <c r="L369" s="562" t="s">
        <v>6944</v>
      </c>
    </row>
    <row r="370">
      <c r="A370" s="571">
        <v>45937.0</v>
      </c>
      <c r="B370" s="563">
        <v>0.682962962962963</v>
      </c>
      <c r="C370" s="562" t="s">
        <v>8558</v>
      </c>
      <c r="D370" s="284"/>
      <c r="E370" s="562">
        <v>923039944668</v>
      </c>
      <c r="F370" s="562" t="s">
        <v>6939</v>
      </c>
      <c r="G370" s="562" t="s">
        <v>8539</v>
      </c>
      <c r="H370" s="562" t="s">
        <v>8540</v>
      </c>
      <c r="I370" s="562" t="s">
        <v>8559</v>
      </c>
      <c r="J370" s="562" t="s">
        <v>8560</v>
      </c>
      <c r="K370" s="562">
        <v>4.0</v>
      </c>
      <c r="L370" s="562" t="s">
        <v>7815</v>
      </c>
    </row>
    <row r="371">
      <c r="A371" s="571">
        <v>45937.0</v>
      </c>
      <c r="B371" s="563">
        <v>0.6867824074074074</v>
      </c>
      <c r="C371" s="562" t="s">
        <v>8561</v>
      </c>
      <c r="D371" s="284"/>
      <c r="E371" s="562">
        <v>923105551494</v>
      </c>
      <c r="F371" s="562" t="s">
        <v>6939</v>
      </c>
      <c r="G371" s="562" t="s">
        <v>8562</v>
      </c>
      <c r="H371" s="562" t="s">
        <v>8563</v>
      </c>
      <c r="I371" s="562" t="s">
        <v>8564</v>
      </c>
      <c r="J371" s="562" t="s">
        <v>8565</v>
      </c>
      <c r="K371" s="562">
        <v>4.0</v>
      </c>
      <c r="L371" s="562" t="s">
        <v>8566</v>
      </c>
    </row>
    <row r="372">
      <c r="A372" s="571">
        <v>45937.0</v>
      </c>
      <c r="B372" s="563">
        <v>0.6871875</v>
      </c>
      <c r="C372" s="562" t="s">
        <v>8567</v>
      </c>
      <c r="D372" s="284"/>
      <c r="E372" s="562">
        <v>923325435405</v>
      </c>
      <c r="F372" s="562" t="s">
        <v>6875</v>
      </c>
      <c r="G372" s="562" t="s">
        <v>8568</v>
      </c>
      <c r="H372" s="562" t="s">
        <v>8569</v>
      </c>
      <c r="I372" s="562" t="s">
        <v>8570</v>
      </c>
      <c r="J372" s="562" t="s">
        <v>8571</v>
      </c>
      <c r="K372" s="562">
        <v>4.0</v>
      </c>
      <c r="L372" s="562" t="s">
        <v>152</v>
      </c>
    </row>
    <row r="373">
      <c r="A373" s="571">
        <v>45937.0</v>
      </c>
      <c r="B373" s="563">
        <v>0.6940856481481481</v>
      </c>
      <c r="C373" s="562" t="s">
        <v>8572</v>
      </c>
      <c r="D373" s="284"/>
      <c r="E373" s="562">
        <v>923421454826</v>
      </c>
      <c r="F373" s="562" t="s">
        <v>6939</v>
      </c>
      <c r="G373" s="562" t="s">
        <v>8573</v>
      </c>
      <c r="H373" s="562" t="s">
        <v>8574</v>
      </c>
      <c r="I373" s="562" t="s">
        <v>8575</v>
      </c>
      <c r="J373" s="562" t="s">
        <v>8576</v>
      </c>
      <c r="K373" s="562">
        <v>4.0</v>
      </c>
      <c r="L373" s="284"/>
    </row>
    <row r="374">
      <c r="A374" s="571">
        <v>45937.0</v>
      </c>
      <c r="B374" s="563">
        <v>0.711875</v>
      </c>
      <c r="C374" s="562" t="s">
        <v>8577</v>
      </c>
      <c r="D374" s="284"/>
      <c r="E374" s="562">
        <v>923289054257</v>
      </c>
      <c r="F374" s="562" t="s">
        <v>6875</v>
      </c>
      <c r="G374" s="562" t="s">
        <v>8578</v>
      </c>
      <c r="H374" s="284"/>
      <c r="I374" s="562" t="s">
        <v>8579</v>
      </c>
      <c r="J374" s="562" t="s">
        <v>8580</v>
      </c>
      <c r="K374" s="562">
        <v>3.0</v>
      </c>
      <c r="L374" s="562" t="s">
        <v>6944</v>
      </c>
    </row>
    <row r="375">
      <c r="A375" s="571">
        <v>45937.0</v>
      </c>
      <c r="B375" s="563">
        <v>0.7120023148148148</v>
      </c>
      <c r="C375" s="562" t="s">
        <v>8581</v>
      </c>
      <c r="D375" s="284"/>
      <c r="E375" s="562">
        <v>923204883941</v>
      </c>
      <c r="F375" s="562" t="s">
        <v>6939</v>
      </c>
      <c r="G375" s="562" t="s">
        <v>8582</v>
      </c>
      <c r="H375" s="562" t="s">
        <v>8583</v>
      </c>
      <c r="I375" s="562" t="s">
        <v>8584</v>
      </c>
      <c r="J375" s="562" t="s">
        <v>8585</v>
      </c>
      <c r="K375" s="562">
        <v>4.0</v>
      </c>
      <c r="L375" s="562" t="s">
        <v>204</v>
      </c>
    </row>
    <row r="376">
      <c r="A376" s="571">
        <v>45937.0</v>
      </c>
      <c r="B376" s="563">
        <v>0.7275578703703703</v>
      </c>
      <c r="C376" s="562" t="s">
        <v>8586</v>
      </c>
      <c r="D376" s="284"/>
      <c r="E376" s="562">
        <v>923245657553</v>
      </c>
      <c r="F376" s="562" t="s">
        <v>6939</v>
      </c>
      <c r="G376" s="562" t="s">
        <v>8587</v>
      </c>
      <c r="H376" s="562" t="s">
        <v>8588</v>
      </c>
      <c r="I376" s="562" t="s">
        <v>8589</v>
      </c>
      <c r="J376" s="562" t="s">
        <v>8590</v>
      </c>
      <c r="K376" s="562">
        <v>4.0</v>
      </c>
      <c r="L376" s="562" t="s">
        <v>8591</v>
      </c>
    </row>
    <row r="377">
      <c r="A377" s="571">
        <v>45937.0</v>
      </c>
      <c r="B377" s="563">
        <v>0.7418518518518519</v>
      </c>
      <c r="C377" s="562" t="s">
        <v>8592</v>
      </c>
      <c r="D377" s="284"/>
      <c r="E377" s="562">
        <v>923427528087</v>
      </c>
      <c r="F377" s="562" t="s">
        <v>6875</v>
      </c>
      <c r="G377" s="562" t="s">
        <v>8593</v>
      </c>
      <c r="H377" s="562" t="s">
        <v>8594</v>
      </c>
      <c r="I377" s="284"/>
      <c r="J377" s="562" t="s">
        <v>8595</v>
      </c>
      <c r="K377" s="562">
        <v>3.0</v>
      </c>
      <c r="L377" s="562" t="s">
        <v>6944</v>
      </c>
    </row>
    <row r="378">
      <c r="A378" s="571">
        <v>45937.0</v>
      </c>
      <c r="B378" s="563">
        <v>0.768125</v>
      </c>
      <c r="C378" s="562" t="s">
        <v>8596</v>
      </c>
      <c r="D378" s="284"/>
      <c r="E378" s="562">
        <v>923333064939</v>
      </c>
      <c r="F378" s="562" t="s">
        <v>6939</v>
      </c>
      <c r="G378" s="562" t="s">
        <v>8597</v>
      </c>
      <c r="H378" s="562" t="s">
        <v>8598</v>
      </c>
      <c r="I378" s="562" t="s">
        <v>8599</v>
      </c>
      <c r="J378" s="562" t="s">
        <v>8600</v>
      </c>
      <c r="K378" s="562">
        <v>4.0</v>
      </c>
      <c r="L378" s="284"/>
    </row>
    <row r="379">
      <c r="A379" s="571">
        <v>45968.0</v>
      </c>
      <c r="B379" s="563">
        <v>0.40703703703703703</v>
      </c>
      <c r="C379" s="562" t="s">
        <v>8601</v>
      </c>
      <c r="D379" s="284"/>
      <c r="E379" s="562">
        <v>923420591205</v>
      </c>
      <c r="F379" s="562" t="s">
        <v>6875</v>
      </c>
      <c r="G379" s="562" t="s">
        <v>8602</v>
      </c>
      <c r="H379" s="284"/>
      <c r="I379" s="284"/>
      <c r="J379" s="284"/>
      <c r="K379" s="562">
        <v>1.0</v>
      </c>
      <c r="L379" s="562" t="s">
        <v>372</v>
      </c>
    </row>
    <row r="380">
      <c r="A380" s="571">
        <v>45968.0</v>
      </c>
      <c r="B380" s="563">
        <v>0.40717592592592594</v>
      </c>
      <c r="C380" s="562" t="s">
        <v>8603</v>
      </c>
      <c r="D380" s="284"/>
      <c r="E380" s="562">
        <v>923489572892</v>
      </c>
      <c r="F380" s="562" t="s">
        <v>6939</v>
      </c>
      <c r="G380" s="562" t="s">
        <v>8604</v>
      </c>
      <c r="H380" s="562" t="s">
        <v>8605</v>
      </c>
      <c r="I380" s="562" t="s">
        <v>8606</v>
      </c>
      <c r="J380" s="562" t="s">
        <v>8607</v>
      </c>
      <c r="K380" s="562">
        <v>4.0</v>
      </c>
      <c r="L380" s="562" t="s">
        <v>376</v>
      </c>
    </row>
    <row r="381">
      <c r="A381" s="571">
        <v>45968.0</v>
      </c>
      <c r="B381" s="563">
        <v>0.40726851851851853</v>
      </c>
      <c r="C381" s="562" t="s">
        <v>8608</v>
      </c>
      <c r="D381" s="284"/>
      <c r="E381" s="562">
        <v>923071411930</v>
      </c>
      <c r="F381" s="562" t="s">
        <v>6939</v>
      </c>
      <c r="G381" s="562" t="s">
        <v>8609</v>
      </c>
      <c r="H381" s="562" t="s">
        <v>8610</v>
      </c>
      <c r="I381" s="562" t="s">
        <v>8611</v>
      </c>
      <c r="J381" s="562" t="s">
        <v>8612</v>
      </c>
      <c r="K381" s="562">
        <v>4.0</v>
      </c>
      <c r="L381" s="284"/>
    </row>
    <row r="382">
      <c r="A382" s="571">
        <v>45968.0</v>
      </c>
      <c r="B382" s="563">
        <v>0.40738425925925925</v>
      </c>
      <c r="C382" s="562" t="s">
        <v>8613</v>
      </c>
      <c r="D382" s="284"/>
      <c r="E382" s="562">
        <v>923442462885</v>
      </c>
      <c r="F382" s="562" t="s">
        <v>6939</v>
      </c>
      <c r="G382" s="562" t="s">
        <v>8614</v>
      </c>
      <c r="H382" s="562" t="s">
        <v>8615</v>
      </c>
      <c r="I382" s="562" t="s">
        <v>8616</v>
      </c>
      <c r="J382" s="562" t="s">
        <v>8617</v>
      </c>
      <c r="K382" s="562">
        <v>4.0</v>
      </c>
      <c r="L382" s="562" t="s">
        <v>376</v>
      </c>
    </row>
    <row r="383">
      <c r="A383" s="571">
        <v>45968.0</v>
      </c>
      <c r="B383" s="563">
        <v>0.4075578703703704</v>
      </c>
      <c r="C383" s="562" t="s">
        <v>8618</v>
      </c>
      <c r="D383" s="284"/>
      <c r="E383" s="562">
        <v>923445388833</v>
      </c>
      <c r="F383" s="562" t="s">
        <v>6875</v>
      </c>
      <c r="G383" s="562" t="s">
        <v>8619</v>
      </c>
      <c r="H383" s="284"/>
      <c r="I383" s="284"/>
      <c r="J383" s="562" t="s">
        <v>8620</v>
      </c>
      <c r="K383" s="562">
        <v>2.0</v>
      </c>
      <c r="L383" s="562" t="s">
        <v>6944</v>
      </c>
    </row>
    <row r="384">
      <c r="A384" s="571">
        <v>45968.0</v>
      </c>
      <c r="B384" s="563">
        <v>0.4102777777777778</v>
      </c>
      <c r="C384" s="562" t="s">
        <v>8621</v>
      </c>
      <c r="D384" s="284"/>
      <c r="E384" s="562">
        <v>923018293579</v>
      </c>
      <c r="F384" s="562" t="s">
        <v>6939</v>
      </c>
      <c r="G384" s="562" t="s">
        <v>8622</v>
      </c>
      <c r="H384" s="562" t="s">
        <v>8623</v>
      </c>
      <c r="I384" s="562" t="s">
        <v>8624</v>
      </c>
      <c r="J384" s="562" t="s">
        <v>8625</v>
      </c>
      <c r="K384" s="562">
        <v>4.0</v>
      </c>
      <c r="L384" s="284"/>
    </row>
    <row r="385">
      <c r="A385" s="571">
        <v>45968.0</v>
      </c>
      <c r="B385" s="563">
        <v>0.41033564814814816</v>
      </c>
      <c r="C385" s="562" t="s">
        <v>8626</v>
      </c>
      <c r="D385" s="562" t="s">
        <v>6886</v>
      </c>
      <c r="E385" s="566" t="s">
        <v>8627</v>
      </c>
      <c r="F385" s="562" t="s">
        <v>6982</v>
      </c>
      <c r="G385" s="562" t="s">
        <v>8628</v>
      </c>
      <c r="H385" s="562" t="s">
        <v>8629</v>
      </c>
      <c r="I385" s="562" t="s">
        <v>8630</v>
      </c>
      <c r="J385" s="562" t="s">
        <v>8631</v>
      </c>
      <c r="K385" s="562">
        <v>4.0</v>
      </c>
      <c r="L385" s="562" t="s">
        <v>8632</v>
      </c>
    </row>
    <row r="386">
      <c r="A386" s="571">
        <v>45968.0</v>
      </c>
      <c r="B386" s="563">
        <v>0.4103935185185185</v>
      </c>
      <c r="C386" s="562" t="s">
        <v>8633</v>
      </c>
      <c r="D386" s="284"/>
      <c r="E386" s="562">
        <v>923154465715</v>
      </c>
      <c r="F386" s="562" t="s">
        <v>6939</v>
      </c>
      <c r="G386" s="562" t="s">
        <v>8634</v>
      </c>
      <c r="H386" s="562" t="s">
        <v>8635</v>
      </c>
      <c r="I386" s="562" t="s">
        <v>8636</v>
      </c>
      <c r="J386" s="562" t="s">
        <v>8637</v>
      </c>
      <c r="K386" s="562">
        <v>4.0</v>
      </c>
      <c r="L386" s="284"/>
    </row>
    <row r="387">
      <c r="A387" s="571">
        <v>45968.0</v>
      </c>
      <c r="B387" s="563">
        <v>0.4104976851851852</v>
      </c>
      <c r="C387" s="562" t="s">
        <v>8638</v>
      </c>
      <c r="D387" s="284"/>
      <c r="E387" s="562">
        <v>923439727400</v>
      </c>
      <c r="F387" s="562" t="s">
        <v>6939</v>
      </c>
      <c r="G387" s="562" t="s">
        <v>8639</v>
      </c>
      <c r="H387" s="562" t="s">
        <v>8640</v>
      </c>
      <c r="I387" s="562" t="s">
        <v>8641</v>
      </c>
      <c r="J387" s="562" t="s">
        <v>8642</v>
      </c>
      <c r="K387" s="562">
        <v>4.0</v>
      </c>
      <c r="L387" s="284"/>
    </row>
    <row r="388">
      <c r="A388" s="571">
        <v>45968.0</v>
      </c>
      <c r="B388" s="563">
        <v>0.41060185185185183</v>
      </c>
      <c r="C388" s="562" t="s">
        <v>8643</v>
      </c>
      <c r="D388" s="284"/>
      <c r="E388" s="562">
        <v>923127769475</v>
      </c>
      <c r="F388" s="562" t="s">
        <v>6875</v>
      </c>
      <c r="G388" s="562" t="s">
        <v>8644</v>
      </c>
      <c r="H388" s="284"/>
      <c r="I388" s="562" t="s">
        <v>8645</v>
      </c>
      <c r="J388" s="284"/>
      <c r="K388" s="562">
        <v>2.0</v>
      </c>
      <c r="L388" s="284"/>
    </row>
    <row r="389">
      <c r="A389" s="571">
        <v>45968.0</v>
      </c>
      <c r="B389" s="563">
        <v>0.4107060185185185</v>
      </c>
      <c r="C389" s="562" t="s">
        <v>8646</v>
      </c>
      <c r="D389" s="284"/>
      <c r="E389" s="562">
        <v>923254094097</v>
      </c>
      <c r="F389" s="562" t="s">
        <v>6939</v>
      </c>
      <c r="G389" s="562" t="s">
        <v>8647</v>
      </c>
      <c r="H389" s="562" t="s">
        <v>8648</v>
      </c>
      <c r="I389" s="562" t="s">
        <v>8649</v>
      </c>
      <c r="J389" s="562" t="s">
        <v>8650</v>
      </c>
      <c r="K389" s="562">
        <v>4.0</v>
      </c>
      <c r="L389" s="562" t="s">
        <v>6944</v>
      </c>
    </row>
    <row r="390">
      <c r="A390" s="571">
        <v>45968.0</v>
      </c>
      <c r="B390" s="563">
        <v>0.4132060185185185</v>
      </c>
      <c r="C390" s="562" t="s">
        <v>8651</v>
      </c>
      <c r="D390" s="284"/>
      <c r="E390" s="562">
        <v>923334059380</v>
      </c>
      <c r="F390" s="562" t="s">
        <v>7291</v>
      </c>
      <c r="G390" s="562" t="s">
        <v>8652</v>
      </c>
      <c r="H390" s="562" t="s">
        <v>8653</v>
      </c>
      <c r="I390" s="562" t="s">
        <v>8654</v>
      </c>
      <c r="J390" s="562" t="s">
        <v>8655</v>
      </c>
      <c r="K390" s="562">
        <v>4.0</v>
      </c>
      <c r="L390" s="562" t="s">
        <v>6944</v>
      </c>
    </row>
    <row r="391">
      <c r="A391" s="571">
        <v>45968.0</v>
      </c>
      <c r="B391" s="563">
        <v>0.41328703703703706</v>
      </c>
      <c r="C391" s="562" t="s">
        <v>8656</v>
      </c>
      <c r="D391" s="284"/>
      <c r="E391" s="562">
        <v>923702081772</v>
      </c>
      <c r="F391" s="562" t="s">
        <v>6939</v>
      </c>
      <c r="G391" s="562" t="s">
        <v>8657</v>
      </c>
      <c r="H391" s="562" t="s">
        <v>8658</v>
      </c>
      <c r="I391" s="562" t="s">
        <v>8659</v>
      </c>
      <c r="J391" s="562" t="s">
        <v>8660</v>
      </c>
      <c r="K391" s="562">
        <v>4.0</v>
      </c>
      <c r="L391" s="562" t="s">
        <v>6944</v>
      </c>
    </row>
    <row r="392">
      <c r="A392" s="571">
        <v>45968.0</v>
      </c>
      <c r="B392" s="563">
        <v>0.4134027777777778</v>
      </c>
      <c r="C392" s="562" t="s">
        <v>8661</v>
      </c>
      <c r="D392" s="284"/>
      <c r="E392" s="562">
        <v>923438580952</v>
      </c>
      <c r="F392" s="562" t="s">
        <v>6939</v>
      </c>
      <c r="G392" s="562" t="s">
        <v>8662</v>
      </c>
      <c r="H392" s="562" t="s">
        <v>8663</v>
      </c>
      <c r="I392" s="562" t="s">
        <v>8664</v>
      </c>
      <c r="J392" s="562" t="s">
        <v>8665</v>
      </c>
      <c r="K392" s="562">
        <v>4.0</v>
      </c>
      <c r="L392" s="562" t="s">
        <v>204</v>
      </c>
    </row>
    <row r="393">
      <c r="A393" s="571">
        <v>45968.0</v>
      </c>
      <c r="B393" s="563">
        <v>0.41347222222222224</v>
      </c>
      <c r="C393" s="562" t="s">
        <v>8666</v>
      </c>
      <c r="D393" s="284"/>
      <c r="E393" s="562">
        <v>923037741172</v>
      </c>
      <c r="F393" s="562" t="s">
        <v>6875</v>
      </c>
      <c r="G393" s="284"/>
      <c r="H393" s="562" t="s">
        <v>8667</v>
      </c>
      <c r="I393" s="284"/>
      <c r="J393" s="562" t="s">
        <v>8668</v>
      </c>
      <c r="K393" s="562">
        <v>2.0</v>
      </c>
      <c r="L393" s="562" t="s">
        <v>372</v>
      </c>
    </row>
    <row r="394">
      <c r="A394" s="571">
        <v>45968.0</v>
      </c>
      <c r="B394" s="563">
        <v>0.41354166666666664</v>
      </c>
      <c r="C394" s="562" t="s">
        <v>8669</v>
      </c>
      <c r="D394" s="284"/>
      <c r="E394" s="562">
        <v>923288096005</v>
      </c>
      <c r="F394" s="562" t="s">
        <v>6875</v>
      </c>
      <c r="G394" s="284"/>
      <c r="H394" s="562" t="s">
        <v>8670</v>
      </c>
      <c r="I394" s="562" t="s">
        <v>8671</v>
      </c>
      <c r="J394" s="284"/>
      <c r="K394" s="562">
        <v>2.0</v>
      </c>
      <c r="L394" s="562" t="s">
        <v>372</v>
      </c>
    </row>
    <row r="395">
      <c r="A395" s="571">
        <v>45968.0</v>
      </c>
      <c r="B395" s="563">
        <v>0.4136111111111111</v>
      </c>
      <c r="C395" s="562" t="s">
        <v>8672</v>
      </c>
      <c r="D395" s="284"/>
      <c r="E395" s="562">
        <v>923135698038</v>
      </c>
      <c r="F395" s="562" t="s">
        <v>6875</v>
      </c>
      <c r="G395" s="284"/>
      <c r="H395" s="562" t="s">
        <v>8673</v>
      </c>
      <c r="I395" s="562" t="s">
        <v>8674</v>
      </c>
      <c r="J395" s="284"/>
      <c r="K395" s="562">
        <v>2.0</v>
      </c>
      <c r="L395" s="562" t="s">
        <v>372</v>
      </c>
    </row>
    <row r="396">
      <c r="A396" s="571">
        <v>45968.0</v>
      </c>
      <c r="B396" s="563">
        <v>0.4137152777777778</v>
      </c>
      <c r="C396" s="562" t="s">
        <v>8675</v>
      </c>
      <c r="D396" s="284"/>
      <c r="E396" s="562">
        <v>923314824918</v>
      </c>
      <c r="F396" s="562" t="s">
        <v>6939</v>
      </c>
      <c r="G396" s="562" t="s">
        <v>8676</v>
      </c>
      <c r="H396" s="562" t="s">
        <v>8677</v>
      </c>
      <c r="I396" s="562" t="s">
        <v>8678</v>
      </c>
      <c r="J396" s="562" t="s">
        <v>8679</v>
      </c>
      <c r="K396" s="562">
        <v>4.0</v>
      </c>
      <c r="L396" s="284"/>
    </row>
    <row r="397">
      <c r="A397" s="571">
        <v>45968.0</v>
      </c>
      <c r="B397" s="563">
        <v>0.41835648148148147</v>
      </c>
      <c r="C397" s="562" t="s">
        <v>8680</v>
      </c>
      <c r="D397" s="284"/>
      <c r="E397" s="562">
        <v>923400238542</v>
      </c>
      <c r="F397" s="562" t="s">
        <v>7291</v>
      </c>
      <c r="G397" s="562" t="s">
        <v>8681</v>
      </c>
      <c r="H397" s="562" t="s">
        <v>8682</v>
      </c>
      <c r="I397" s="562" t="s">
        <v>8683</v>
      </c>
      <c r="J397" s="562" t="s">
        <v>8684</v>
      </c>
      <c r="K397" s="562">
        <v>4.0</v>
      </c>
      <c r="L397" s="562" t="s">
        <v>8376</v>
      </c>
    </row>
    <row r="398">
      <c r="A398" s="571">
        <v>45968.0</v>
      </c>
      <c r="B398" s="563">
        <v>0.41841435185185183</v>
      </c>
      <c r="C398" s="562" t="s">
        <v>8685</v>
      </c>
      <c r="D398" s="284"/>
      <c r="E398" s="562">
        <v>923432942669</v>
      </c>
      <c r="F398" s="562" t="s">
        <v>6939</v>
      </c>
      <c r="G398" s="562" t="s">
        <v>8686</v>
      </c>
      <c r="H398" s="562" t="s">
        <v>8687</v>
      </c>
      <c r="I398" s="562" t="s">
        <v>8688</v>
      </c>
      <c r="J398" s="562" t="s">
        <v>8689</v>
      </c>
      <c r="K398" s="562">
        <v>4.0</v>
      </c>
      <c r="L398" s="284"/>
    </row>
    <row r="399">
      <c r="A399" s="571">
        <v>45968.0</v>
      </c>
      <c r="B399" s="563">
        <v>0.4184837962962963</v>
      </c>
      <c r="C399" s="562" t="s">
        <v>8690</v>
      </c>
      <c r="D399" s="284"/>
      <c r="E399" s="562">
        <v>923705640832</v>
      </c>
      <c r="F399" s="562" t="s">
        <v>6875</v>
      </c>
      <c r="G399" s="284"/>
      <c r="H399" s="562" t="s">
        <v>8691</v>
      </c>
      <c r="I399" s="284"/>
      <c r="J399" s="562" t="s">
        <v>8692</v>
      </c>
      <c r="K399" s="562">
        <v>2.0</v>
      </c>
      <c r="L399" s="562" t="s">
        <v>372</v>
      </c>
    </row>
    <row r="400">
      <c r="A400" s="571">
        <v>45968.0</v>
      </c>
      <c r="B400" s="563">
        <v>0.41856481481481483</v>
      </c>
      <c r="C400" s="562" t="s">
        <v>8693</v>
      </c>
      <c r="D400" s="284"/>
      <c r="E400" s="562">
        <v>923259143788</v>
      </c>
      <c r="F400" s="562" t="s">
        <v>6939</v>
      </c>
      <c r="G400" s="562" t="s">
        <v>8694</v>
      </c>
      <c r="H400" s="562" t="s">
        <v>8695</v>
      </c>
      <c r="I400" s="562" t="s">
        <v>8696</v>
      </c>
      <c r="J400" s="562" t="s">
        <v>8697</v>
      </c>
      <c r="K400" s="562">
        <v>4.0</v>
      </c>
      <c r="L400" s="562" t="s">
        <v>8698</v>
      </c>
    </row>
    <row r="401">
      <c r="A401" s="571">
        <v>45968.0</v>
      </c>
      <c r="B401" s="563">
        <v>0.4186226851851852</v>
      </c>
      <c r="C401" s="562" t="s">
        <v>8699</v>
      </c>
      <c r="D401" s="284"/>
      <c r="E401" s="562">
        <v>923354666612</v>
      </c>
      <c r="F401" s="562" t="s">
        <v>6875</v>
      </c>
      <c r="G401" s="284"/>
      <c r="H401" s="562" t="s">
        <v>8700</v>
      </c>
      <c r="I401" s="562" t="s">
        <v>8701</v>
      </c>
      <c r="J401" s="284"/>
      <c r="K401" s="562">
        <v>2.0</v>
      </c>
      <c r="L401" s="562" t="s">
        <v>8702</v>
      </c>
    </row>
    <row r="402">
      <c r="A402" s="571">
        <v>45968.0</v>
      </c>
      <c r="B402" s="563">
        <v>0.41875</v>
      </c>
      <c r="C402" s="562" t="s">
        <v>8703</v>
      </c>
      <c r="D402" s="284"/>
      <c r="E402" s="562">
        <v>923198538368</v>
      </c>
      <c r="F402" s="562" t="s">
        <v>6875</v>
      </c>
      <c r="G402" s="562" t="s">
        <v>8704</v>
      </c>
      <c r="H402" s="562" t="s">
        <v>8705</v>
      </c>
      <c r="I402" s="562" t="s">
        <v>8706</v>
      </c>
      <c r="J402" s="562" t="s">
        <v>8707</v>
      </c>
      <c r="K402" s="562">
        <v>4.0</v>
      </c>
      <c r="L402" s="562" t="s">
        <v>51</v>
      </c>
    </row>
    <row r="403">
      <c r="A403" s="571">
        <v>45968.0</v>
      </c>
      <c r="B403" s="563">
        <v>0.4188541666666667</v>
      </c>
      <c r="C403" s="562" t="s">
        <v>8708</v>
      </c>
      <c r="D403" s="284"/>
      <c r="E403" s="562">
        <v>923401757807</v>
      </c>
      <c r="F403" s="562" t="s">
        <v>6939</v>
      </c>
      <c r="G403" s="562" t="s">
        <v>8709</v>
      </c>
      <c r="H403" s="562" t="s">
        <v>8710</v>
      </c>
      <c r="I403" s="562" t="s">
        <v>8711</v>
      </c>
      <c r="J403" s="562" t="s">
        <v>8712</v>
      </c>
      <c r="K403" s="562">
        <v>4.0</v>
      </c>
      <c r="L403" s="284"/>
    </row>
    <row r="404">
      <c r="A404" s="571">
        <v>45968.0</v>
      </c>
      <c r="B404" s="563">
        <v>0.41898148148148145</v>
      </c>
      <c r="C404" s="562" t="s">
        <v>8713</v>
      </c>
      <c r="D404" s="284"/>
      <c r="E404" s="562">
        <v>923095327587</v>
      </c>
      <c r="F404" s="562" t="s">
        <v>6939</v>
      </c>
      <c r="G404" s="562" t="s">
        <v>8714</v>
      </c>
      <c r="H404" s="562" t="s">
        <v>8715</v>
      </c>
      <c r="I404" s="562" t="s">
        <v>8716</v>
      </c>
      <c r="J404" s="562" t="s">
        <v>8717</v>
      </c>
      <c r="K404" s="562">
        <v>4.0</v>
      </c>
      <c r="L404" s="284"/>
    </row>
    <row r="405">
      <c r="A405" s="571">
        <v>45968.0</v>
      </c>
      <c r="B405" s="563">
        <v>0.42224537037037035</v>
      </c>
      <c r="C405" s="562" t="s">
        <v>8718</v>
      </c>
      <c r="D405" s="284"/>
      <c r="E405" s="562">
        <v>923490862835</v>
      </c>
      <c r="F405" s="562" t="s">
        <v>6875</v>
      </c>
      <c r="G405" s="284"/>
      <c r="H405" s="562" t="s">
        <v>8719</v>
      </c>
      <c r="I405" s="562" t="s">
        <v>8720</v>
      </c>
      <c r="J405" s="284"/>
      <c r="K405" s="562">
        <v>2.0</v>
      </c>
      <c r="L405" s="284"/>
    </row>
    <row r="406">
      <c r="A406" s="571">
        <v>45968.0</v>
      </c>
      <c r="B406" s="563">
        <v>0.4272222222222222</v>
      </c>
      <c r="C406" s="562" t="s">
        <v>8721</v>
      </c>
      <c r="D406" s="284"/>
      <c r="E406" s="562">
        <v>923316080892</v>
      </c>
      <c r="F406" s="562" t="s">
        <v>6939</v>
      </c>
      <c r="G406" s="562" t="s">
        <v>8722</v>
      </c>
      <c r="H406" s="562" t="s">
        <v>8715</v>
      </c>
      <c r="I406" s="562" t="s">
        <v>8723</v>
      </c>
      <c r="J406" s="562" t="s">
        <v>8724</v>
      </c>
      <c r="K406" s="562">
        <v>4.0</v>
      </c>
      <c r="L406" s="562" t="s">
        <v>7937</v>
      </c>
    </row>
    <row r="407">
      <c r="A407" s="571">
        <v>45968.0</v>
      </c>
      <c r="B407" s="563">
        <v>0.43635416666666665</v>
      </c>
      <c r="C407" s="562" t="s">
        <v>8725</v>
      </c>
      <c r="D407" s="284"/>
      <c r="E407" s="562">
        <v>923059201357</v>
      </c>
      <c r="F407" s="562" t="s">
        <v>6875</v>
      </c>
      <c r="G407" s="284"/>
      <c r="H407" s="562" t="s">
        <v>8726</v>
      </c>
      <c r="I407" s="562" t="s">
        <v>8727</v>
      </c>
      <c r="J407" s="284"/>
      <c r="K407" s="562">
        <v>2.0</v>
      </c>
      <c r="L407" s="562" t="s">
        <v>372</v>
      </c>
    </row>
    <row r="408">
      <c r="A408" s="571">
        <v>45968.0</v>
      </c>
      <c r="B408" s="563">
        <v>0.43645833333333334</v>
      </c>
      <c r="C408" s="562" t="s">
        <v>8728</v>
      </c>
      <c r="D408" s="284"/>
      <c r="E408" s="562">
        <v>923249911619</v>
      </c>
      <c r="F408" s="562" t="s">
        <v>6939</v>
      </c>
      <c r="G408" s="562" t="s">
        <v>8729</v>
      </c>
      <c r="H408" s="562" t="s">
        <v>8730</v>
      </c>
      <c r="I408" s="562" t="s">
        <v>8731</v>
      </c>
      <c r="J408" s="562" t="s">
        <v>8732</v>
      </c>
      <c r="K408" s="562">
        <v>4.0</v>
      </c>
      <c r="L408" s="284"/>
    </row>
    <row r="409">
      <c r="A409" s="571">
        <v>45968.0</v>
      </c>
      <c r="B409" s="563">
        <v>0.4425925925925926</v>
      </c>
      <c r="C409" s="562" t="s">
        <v>8733</v>
      </c>
      <c r="D409" s="284"/>
      <c r="E409" s="562">
        <v>923264554099</v>
      </c>
      <c r="F409" s="562" t="s">
        <v>6939</v>
      </c>
      <c r="G409" s="562" t="s">
        <v>8734</v>
      </c>
      <c r="H409" s="562" t="s">
        <v>8735</v>
      </c>
      <c r="I409" s="562" t="s">
        <v>8736</v>
      </c>
      <c r="J409" s="562" t="s">
        <v>8737</v>
      </c>
      <c r="K409" s="562">
        <v>4.0</v>
      </c>
      <c r="L409" s="284"/>
    </row>
    <row r="410">
      <c r="A410" s="571">
        <v>45968.0</v>
      </c>
      <c r="B410" s="563">
        <v>0.44569444444444445</v>
      </c>
      <c r="C410" s="562" t="s">
        <v>8738</v>
      </c>
      <c r="D410" s="284"/>
      <c r="E410" s="562">
        <v>923091590071</v>
      </c>
      <c r="F410" s="562" t="s">
        <v>6875</v>
      </c>
      <c r="G410" s="284"/>
      <c r="H410" s="284"/>
      <c r="I410" s="562" t="s">
        <v>8739</v>
      </c>
      <c r="J410" s="284"/>
      <c r="K410" s="562">
        <v>1.0</v>
      </c>
      <c r="L410" s="284"/>
    </row>
    <row r="411">
      <c r="A411" s="571">
        <v>45968.0</v>
      </c>
      <c r="B411" s="563">
        <v>0.5033796296296297</v>
      </c>
      <c r="C411" s="562" t="s">
        <v>8740</v>
      </c>
      <c r="D411" s="284"/>
      <c r="E411" s="562">
        <v>923090444416</v>
      </c>
      <c r="F411" s="562" t="s">
        <v>6982</v>
      </c>
      <c r="G411" s="562" t="s">
        <v>8722</v>
      </c>
      <c r="H411" s="562" t="s">
        <v>8735</v>
      </c>
      <c r="I411" s="562" t="s">
        <v>8741</v>
      </c>
      <c r="J411" s="562" t="s">
        <v>8742</v>
      </c>
      <c r="K411" s="562">
        <v>4.0</v>
      </c>
      <c r="L411" s="562" t="s">
        <v>8743</v>
      </c>
    </row>
    <row r="412">
      <c r="A412" s="571">
        <v>45968.0</v>
      </c>
      <c r="B412" s="563">
        <v>0.5310532407407408</v>
      </c>
      <c r="C412" s="562" t="s">
        <v>8744</v>
      </c>
      <c r="D412" s="284"/>
      <c r="E412" s="562">
        <v>923222617011</v>
      </c>
      <c r="F412" s="562" t="s">
        <v>6982</v>
      </c>
      <c r="G412" s="562" t="s">
        <v>7357</v>
      </c>
      <c r="H412" s="562" t="s">
        <v>7357</v>
      </c>
      <c r="I412" s="562" t="s">
        <v>8745</v>
      </c>
      <c r="J412" s="562" t="s">
        <v>8746</v>
      </c>
      <c r="K412" s="562">
        <v>4.0</v>
      </c>
      <c r="L412" s="284"/>
    </row>
    <row r="413">
      <c r="A413" s="571">
        <v>45968.0</v>
      </c>
      <c r="B413" s="563">
        <v>0.5359375</v>
      </c>
      <c r="C413" s="562" t="s">
        <v>8747</v>
      </c>
      <c r="D413" s="284"/>
      <c r="E413" s="562">
        <v>923447669268</v>
      </c>
      <c r="F413" s="562" t="s">
        <v>6939</v>
      </c>
      <c r="G413" s="562" t="s">
        <v>8748</v>
      </c>
      <c r="H413" s="562" t="s">
        <v>8749</v>
      </c>
      <c r="I413" s="562" t="s">
        <v>8750</v>
      </c>
      <c r="J413" s="562" t="s">
        <v>8751</v>
      </c>
      <c r="K413" s="562">
        <v>4.0</v>
      </c>
      <c r="L413" s="284"/>
    </row>
    <row r="414">
      <c r="A414" s="571">
        <v>45968.0</v>
      </c>
      <c r="B414" s="563">
        <v>0.6143518518518518</v>
      </c>
      <c r="C414" s="562" t="s">
        <v>8752</v>
      </c>
      <c r="D414" s="284"/>
      <c r="E414" s="562">
        <v>923287153191</v>
      </c>
      <c r="F414" s="562" t="s">
        <v>6875</v>
      </c>
      <c r="G414" s="284"/>
      <c r="H414" s="284"/>
      <c r="I414" s="562" t="s">
        <v>8753</v>
      </c>
      <c r="J414" s="284"/>
      <c r="K414" s="562">
        <v>1.0</v>
      </c>
      <c r="L414" s="284"/>
    </row>
    <row r="415">
      <c r="A415" s="571">
        <v>45968.0</v>
      </c>
      <c r="B415" s="563">
        <v>0.6144328703703704</v>
      </c>
      <c r="C415" s="562" t="s">
        <v>8754</v>
      </c>
      <c r="D415" s="284"/>
      <c r="E415" s="562">
        <v>923165211446</v>
      </c>
      <c r="F415" s="562" t="s">
        <v>6875</v>
      </c>
      <c r="G415" s="562" t="s">
        <v>8755</v>
      </c>
      <c r="H415" s="284"/>
      <c r="I415" s="562" t="s">
        <v>8756</v>
      </c>
      <c r="J415" s="562" t="s">
        <v>8757</v>
      </c>
      <c r="K415" s="562">
        <v>3.0</v>
      </c>
      <c r="L415" s="562" t="s">
        <v>674</v>
      </c>
    </row>
    <row r="416">
      <c r="A416" s="571">
        <v>45998.0</v>
      </c>
      <c r="B416" s="563">
        <v>0.41194444444444445</v>
      </c>
      <c r="C416" s="562" t="s">
        <v>8758</v>
      </c>
      <c r="D416" s="284"/>
      <c r="E416" s="562">
        <v>923162195806</v>
      </c>
      <c r="F416" s="562" t="s">
        <v>6939</v>
      </c>
      <c r="G416" s="562" t="s">
        <v>8759</v>
      </c>
      <c r="H416" s="562" t="s">
        <v>8760</v>
      </c>
      <c r="I416" s="562" t="s">
        <v>8761</v>
      </c>
      <c r="J416" s="562" t="s">
        <v>8762</v>
      </c>
      <c r="K416" s="562">
        <v>4.0</v>
      </c>
      <c r="L416" s="284"/>
    </row>
    <row r="417">
      <c r="A417" s="571">
        <v>45998.0</v>
      </c>
      <c r="B417" s="563">
        <v>0.41206018518518517</v>
      </c>
      <c r="C417" s="562" t="s">
        <v>8763</v>
      </c>
      <c r="D417" s="284"/>
      <c r="E417" s="562">
        <v>923704843293</v>
      </c>
      <c r="F417" s="562" t="s">
        <v>6875</v>
      </c>
      <c r="G417" s="562" t="s">
        <v>8764</v>
      </c>
      <c r="H417" s="284"/>
      <c r="I417" s="562" t="s">
        <v>8765</v>
      </c>
      <c r="J417" s="284"/>
      <c r="K417" s="562">
        <v>2.0</v>
      </c>
      <c r="L417" s="562" t="s">
        <v>8766</v>
      </c>
    </row>
    <row r="418">
      <c r="A418" s="571">
        <v>45998.0</v>
      </c>
      <c r="B418" s="563">
        <v>0.4122800925925926</v>
      </c>
      <c r="C418" s="562" t="s">
        <v>8767</v>
      </c>
      <c r="D418" s="284"/>
      <c r="E418" s="562">
        <v>923174935694</v>
      </c>
      <c r="F418" s="562" t="s">
        <v>6939</v>
      </c>
      <c r="G418" s="562" t="s">
        <v>8768</v>
      </c>
      <c r="H418" s="562" t="s">
        <v>8769</v>
      </c>
      <c r="I418" s="562" t="s">
        <v>8770</v>
      </c>
      <c r="J418" s="562" t="s">
        <v>8771</v>
      </c>
      <c r="K418" s="562">
        <v>4.0</v>
      </c>
      <c r="L418" s="284"/>
    </row>
    <row r="419">
      <c r="A419" s="571">
        <v>45998.0</v>
      </c>
      <c r="B419" s="563">
        <v>0.41283564814814816</v>
      </c>
      <c r="C419" s="562" t="s">
        <v>8772</v>
      </c>
      <c r="D419" s="284"/>
      <c r="E419" s="562">
        <v>923411057154</v>
      </c>
      <c r="F419" s="562" t="s">
        <v>6875</v>
      </c>
      <c r="G419" s="284"/>
      <c r="H419" s="562" t="s">
        <v>8773</v>
      </c>
      <c r="I419" s="562" t="s">
        <v>8774</v>
      </c>
      <c r="J419" s="284"/>
      <c r="K419" s="562">
        <v>2.0</v>
      </c>
      <c r="L419" s="284"/>
    </row>
    <row r="420">
      <c r="A420" s="571">
        <v>45998.0</v>
      </c>
      <c r="B420" s="563">
        <v>0.4472453703703704</v>
      </c>
      <c r="C420" s="562" t="s">
        <v>8775</v>
      </c>
      <c r="D420" s="284"/>
      <c r="E420" s="562">
        <v>923351952104</v>
      </c>
      <c r="F420" s="562" t="s">
        <v>6939</v>
      </c>
      <c r="G420" s="562" t="s">
        <v>8776</v>
      </c>
      <c r="H420" s="562" t="s">
        <v>8777</v>
      </c>
      <c r="I420" s="562" t="s">
        <v>8778</v>
      </c>
      <c r="J420" s="562" t="s">
        <v>8779</v>
      </c>
      <c r="K420" s="562">
        <v>4.0</v>
      </c>
      <c r="L420" s="284"/>
    </row>
    <row r="421">
      <c r="A421" s="571">
        <v>45998.0</v>
      </c>
      <c r="B421" s="563">
        <v>0.5279282407407407</v>
      </c>
      <c r="C421" s="562" t="s">
        <v>8780</v>
      </c>
      <c r="D421" s="284"/>
      <c r="E421" s="562">
        <v>923158407163</v>
      </c>
      <c r="F421" s="562" t="s">
        <v>6875</v>
      </c>
      <c r="G421" s="562" t="s">
        <v>8781</v>
      </c>
      <c r="H421" s="284"/>
      <c r="I421" s="562" t="s">
        <v>8782</v>
      </c>
      <c r="J421" s="284"/>
      <c r="K421" s="562">
        <v>2.0</v>
      </c>
      <c r="L421" s="284"/>
    </row>
    <row r="422">
      <c r="A422" s="571">
        <v>45998.0</v>
      </c>
      <c r="B422" s="563">
        <v>0.54</v>
      </c>
      <c r="C422" s="562" t="s">
        <v>8783</v>
      </c>
      <c r="D422" s="284"/>
      <c r="E422" s="562">
        <v>923427177763</v>
      </c>
      <c r="F422" s="562" t="s">
        <v>6875</v>
      </c>
      <c r="G422" s="284"/>
      <c r="H422" s="284"/>
      <c r="I422" s="562" t="s">
        <v>8784</v>
      </c>
      <c r="J422" s="284"/>
      <c r="K422" s="562">
        <v>1.0</v>
      </c>
      <c r="L422" s="284"/>
    </row>
    <row r="423">
      <c r="A423" s="571">
        <v>45998.0</v>
      </c>
      <c r="B423" s="563">
        <v>0.5494675925925926</v>
      </c>
      <c r="C423" s="562" t="s">
        <v>8785</v>
      </c>
      <c r="D423" s="284"/>
      <c r="E423" s="562">
        <v>923014849757</v>
      </c>
      <c r="F423" s="562" t="s">
        <v>7291</v>
      </c>
      <c r="G423" s="562" t="s">
        <v>8786</v>
      </c>
      <c r="H423" s="562" t="s">
        <v>8787</v>
      </c>
      <c r="I423" s="562" t="s">
        <v>8788</v>
      </c>
      <c r="J423" s="562" t="s">
        <v>8789</v>
      </c>
      <c r="K423" s="562">
        <v>4.0</v>
      </c>
      <c r="L423" s="562" t="s">
        <v>6944</v>
      </c>
    </row>
    <row r="424">
      <c r="A424" s="571">
        <v>45998.0</v>
      </c>
      <c r="B424" s="563">
        <v>0.5979513888888889</v>
      </c>
      <c r="C424" s="562" t="s">
        <v>8790</v>
      </c>
      <c r="D424" s="284"/>
      <c r="E424" s="562">
        <v>923275505448</v>
      </c>
      <c r="F424" s="562" t="s">
        <v>6888</v>
      </c>
      <c r="G424" s="562" t="s">
        <v>8791</v>
      </c>
      <c r="H424" s="284"/>
      <c r="I424" s="562" t="s">
        <v>8792</v>
      </c>
      <c r="J424" s="562" t="s">
        <v>8793</v>
      </c>
      <c r="K424" s="562">
        <v>3.0</v>
      </c>
      <c r="L424" s="562" t="s">
        <v>8794</v>
      </c>
    </row>
    <row r="425">
      <c r="A425" s="571">
        <v>45998.0</v>
      </c>
      <c r="B425" s="563">
        <v>0.5980671296296296</v>
      </c>
      <c r="C425" s="562" t="s">
        <v>8795</v>
      </c>
      <c r="D425" s="284"/>
      <c r="E425" s="562">
        <v>923426653323</v>
      </c>
      <c r="F425" s="562" t="s">
        <v>6875</v>
      </c>
      <c r="G425" s="562" t="s">
        <v>8796</v>
      </c>
      <c r="H425" s="562" t="s">
        <v>8797</v>
      </c>
      <c r="I425" s="562" t="s">
        <v>8798</v>
      </c>
      <c r="J425" s="562" t="s">
        <v>8799</v>
      </c>
      <c r="K425" s="562">
        <v>4.0</v>
      </c>
      <c r="L425" s="562" t="s">
        <v>674</v>
      </c>
    </row>
    <row r="426">
      <c r="A426" s="571">
        <v>45998.0</v>
      </c>
      <c r="B426" s="563">
        <v>0.7163310185185185</v>
      </c>
      <c r="C426" s="562" t="s">
        <v>8800</v>
      </c>
      <c r="D426" s="284"/>
      <c r="E426" s="562">
        <v>923115603289</v>
      </c>
      <c r="F426" s="562" t="s">
        <v>6875</v>
      </c>
      <c r="G426" s="562" t="s">
        <v>8801</v>
      </c>
      <c r="H426" s="562" t="s">
        <v>8802</v>
      </c>
      <c r="I426" s="562" t="s">
        <v>8803</v>
      </c>
      <c r="J426" s="562" t="s">
        <v>8804</v>
      </c>
      <c r="K426" s="562">
        <v>4.0</v>
      </c>
      <c r="L426" s="562" t="s">
        <v>372</v>
      </c>
    </row>
    <row r="427">
      <c r="A427" s="571">
        <v>45998.0</v>
      </c>
      <c r="B427" s="563">
        <v>0.7210069444444445</v>
      </c>
      <c r="C427" s="562" t="s">
        <v>8805</v>
      </c>
      <c r="D427" s="284"/>
      <c r="E427" s="562">
        <f>923143368686</f>
        <v>923143368686</v>
      </c>
      <c r="F427" s="562" t="s">
        <v>6888</v>
      </c>
      <c r="G427" s="562" t="s">
        <v>8806</v>
      </c>
      <c r="H427" s="284"/>
      <c r="I427" s="284"/>
      <c r="J427" s="562" t="s">
        <v>8807</v>
      </c>
      <c r="K427" s="562">
        <v>2.0</v>
      </c>
      <c r="L427" s="284"/>
    </row>
    <row r="428">
      <c r="A428" s="562" t="s">
        <v>8808</v>
      </c>
      <c r="B428" s="563">
        <v>0.3947800925925926</v>
      </c>
      <c r="C428" s="562" t="s">
        <v>8809</v>
      </c>
      <c r="D428" s="284"/>
      <c r="E428" s="562">
        <v>923349977404</v>
      </c>
      <c r="F428" s="562" t="s">
        <v>7291</v>
      </c>
      <c r="G428" s="562" t="s">
        <v>8810</v>
      </c>
      <c r="H428" s="562" t="s">
        <v>8811</v>
      </c>
      <c r="I428" s="562" t="s">
        <v>8812</v>
      </c>
      <c r="J428" s="562" t="s">
        <v>8813</v>
      </c>
      <c r="K428" s="562">
        <v>4.0</v>
      </c>
      <c r="L428" s="562" t="s">
        <v>685</v>
      </c>
    </row>
    <row r="429">
      <c r="A429" s="562" t="s">
        <v>8808</v>
      </c>
      <c r="B429" s="563">
        <v>0.3965625</v>
      </c>
      <c r="C429" s="562" t="s">
        <v>8814</v>
      </c>
      <c r="D429" s="284"/>
      <c r="E429" s="562">
        <v>923214648026</v>
      </c>
      <c r="F429" s="562" t="s">
        <v>6875</v>
      </c>
      <c r="G429" s="562" t="s">
        <v>8815</v>
      </c>
      <c r="H429" s="562" t="s">
        <v>8816</v>
      </c>
      <c r="I429" s="562" t="s">
        <v>8817</v>
      </c>
      <c r="J429" s="562" t="s">
        <v>8818</v>
      </c>
      <c r="K429" s="562">
        <v>4.0</v>
      </c>
      <c r="L429" s="562" t="s">
        <v>6944</v>
      </c>
    </row>
    <row r="430">
      <c r="A430" s="562" t="s">
        <v>8808</v>
      </c>
      <c r="B430" s="563">
        <v>0.39662037037037035</v>
      </c>
      <c r="C430" s="562" t="s">
        <v>8819</v>
      </c>
      <c r="D430" s="284"/>
      <c r="E430" s="562">
        <v>923352170905</v>
      </c>
      <c r="F430" s="562" t="s">
        <v>6939</v>
      </c>
      <c r="G430" s="562" t="s">
        <v>8820</v>
      </c>
      <c r="H430" s="562" t="s">
        <v>8821</v>
      </c>
      <c r="I430" s="562" t="s">
        <v>8822</v>
      </c>
      <c r="J430" s="562" t="s">
        <v>8823</v>
      </c>
      <c r="K430" s="562">
        <v>4.0</v>
      </c>
      <c r="L430" s="562" t="s">
        <v>8824</v>
      </c>
    </row>
    <row r="431">
      <c r="A431" s="562" t="s">
        <v>8808</v>
      </c>
      <c r="B431" s="563">
        <v>0.39666666666666667</v>
      </c>
      <c r="C431" s="562" t="s">
        <v>8825</v>
      </c>
      <c r="D431" s="284"/>
      <c r="E431" s="562">
        <v>923239988936</v>
      </c>
      <c r="F431" s="562" t="s">
        <v>6875</v>
      </c>
      <c r="G431" s="562" t="s">
        <v>8826</v>
      </c>
      <c r="H431" s="562" t="s">
        <v>8827</v>
      </c>
      <c r="I431" s="562" t="s">
        <v>8828</v>
      </c>
      <c r="J431" s="284"/>
      <c r="K431" s="562">
        <v>3.0</v>
      </c>
      <c r="L431" s="284"/>
    </row>
    <row r="432">
      <c r="A432" s="562" t="s">
        <v>8808</v>
      </c>
      <c r="B432" s="563">
        <v>0.3967361111111111</v>
      </c>
      <c r="C432" s="562" t="s">
        <v>8829</v>
      </c>
      <c r="D432" s="284"/>
      <c r="E432" s="562">
        <v>923229008388</v>
      </c>
      <c r="F432" s="562" t="s">
        <v>6982</v>
      </c>
      <c r="G432" s="562" t="s">
        <v>8830</v>
      </c>
      <c r="H432" s="562" t="s">
        <v>8735</v>
      </c>
      <c r="I432" s="562" t="s">
        <v>8831</v>
      </c>
      <c r="J432" s="562" t="s">
        <v>8832</v>
      </c>
      <c r="K432" s="562">
        <v>4.0</v>
      </c>
      <c r="L432" s="562" t="s">
        <v>8833</v>
      </c>
    </row>
    <row r="433">
      <c r="A433" s="562" t="s">
        <v>8808</v>
      </c>
      <c r="B433" s="563">
        <v>0.3968171296296296</v>
      </c>
      <c r="C433" s="562" t="s">
        <v>8834</v>
      </c>
      <c r="D433" s="284"/>
      <c r="E433" s="562">
        <v>923188405700</v>
      </c>
      <c r="F433" s="562" t="s">
        <v>6875</v>
      </c>
      <c r="G433" s="562" t="s">
        <v>8835</v>
      </c>
      <c r="H433" s="284"/>
      <c r="I433" s="284"/>
      <c r="J433" s="284"/>
      <c r="K433" s="562">
        <v>1.0</v>
      </c>
      <c r="L433" s="562" t="s">
        <v>8836</v>
      </c>
    </row>
    <row r="434">
      <c r="A434" s="562" t="s">
        <v>8808</v>
      </c>
      <c r="B434" s="563">
        <v>0.39875</v>
      </c>
      <c r="C434" s="562" t="s">
        <v>8837</v>
      </c>
      <c r="D434" s="284"/>
      <c r="E434" s="562">
        <v>923234815699</v>
      </c>
      <c r="F434" s="562" t="s">
        <v>6939</v>
      </c>
      <c r="G434" s="562" t="s">
        <v>8838</v>
      </c>
      <c r="H434" s="562" t="s">
        <v>8821</v>
      </c>
      <c r="I434" s="562" t="s">
        <v>8839</v>
      </c>
      <c r="J434" s="562" t="s">
        <v>8823</v>
      </c>
      <c r="K434" s="562">
        <v>4.0</v>
      </c>
      <c r="L434" s="562" t="s">
        <v>8840</v>
      </c>
    </row>
    <row r="435">
      <c r="A435" s="562" t="s">
        <v>8808</v>
      </c>
      <c r="B435" s="563">
        <v>0.39880787037037035</v>
      </c>
      <c r="C435" s="562" t="s">
        <v>8841</v>
      </c>
      <c r="D435" s="284"/>
      <c r="E435" s="562">
        <v>923155144463</v>
      </c>
      <c r="F435" s="562" t="s">
        <v>6875</v>
      </c>
      <c r="G435" s="562" t="s">
        <v>8842</v>
      </c>
      <c r="H435" s="284"/>
      <c r="I435" s="284"/>
      <c r="J435" s="284"/>
      <c r="K435" s="562">
        <v>1.0</v>
      </c>
      <c r="L435" s="562" t="s">
        <v>372</v>
      </c>
    </row>
    <row r="436">
      <c r="A436" s="562" t="s">
        <v>8808</v>
      </c>
      <c r="B436" s="563">
        <v>0.3988541666666667</v>
      </c>
      <c r="C436" s="562" t="s">
        <v>8843</v>
      </c>
      <c r="D436" s="284"/>
      <c r="E436" s="562">
        <v>923054126699</v>
      </c>
      <c r="F436" s="562" t="s">
        <v>6939</v>
      </c>
      <c r="G436" s="562" t="s">
        <v>8844</v>
      </c>
      <c r="H436" s="562" t="s">
        <v>8845</v>
      </c>
      <c r="I436" s="562" t="s">
        <v>8846</v>
      </c>
      <c r="J436" s="562" t="s">
        <v>8847</v>
      </c>
      <c r="K436" s="562">
        <v>4.0</v>
      </c>
      <c r="L436" s="284"/>
    </row>
    <row r="437">
      <c r="A437" s="562" t="s">
        <v>8808</v>
      </c>
      <c r="B437" s="563">
        <v>0.3988888888888889</v>
      </c>
      <c r="C437" s="562" t="s">
        <v>8848</v>
      </c>
      <c r="D437" s="284"/>
      <c r="E437" s="562">
        <v>923091782105</v>
      </c>
      <c r="F437" s="562" t="s">
        <v>6939</v>
      </c>
      <c r="G437" s="562" t="s">
        <v>8849</v>
      </c>
      <c r="H437" s="562" t="s">
        <v>8850</v>
      </c>
      <c r="I437" s="562" t="s">
        <v>8851</v>
      </c>
      <c r="J437" s="562" t="s">
        <v>8852</v>
      </c>
      <c r="K437" s="562">
        <v>4.0</v>
      </c>
      <c r="L437" s="284"/>
    </row>
    <row r="438">
      <c r="A438" s="562" t="s">
        <v>8808</v>
      </c>
      <c r="B438" s="563">
        <v>0.39895833333333336</v>
      </c>
      <c r="C438" s="562" t="s">
        <v>8853</v>
      </c>
      <c r="D438" s="284"/>
      <c r="E438" s="562">
        <v>923006960473</v>
      </c>
      <c r="F438" s="562" t="s">
        <v>6875</v>
      </c>
      <c r="G438" s="562" t="s">
        <v>8854</v>
      </c>
      <c r="H438" s="284"/>
      <c r="I438" s="562" t="s">
        <v>8855</v>
      </c>
      <c r="J438" s="284"/>
      <c r="K438" s="562">
        <v>2.0</v>
      </c>
      <c r="L438" s="562" t="s">
        <v>372</v>
      </c>
    </row>
    <row r="439">
      <c r="A439" s="562" t="s">
        <v>8808</v>
      </c>
      <c r="B439" s="563">
        <v>0.39905092592592595</v>
      </c>
      <c r="C439" s="562" t="s">
        <v>8856</v>
      </c>
      <c r="D439" s="284"/>
      <c r="E439" s="562">
        <v>923132818461</v>
      </c>
      <c r="F439" s="562" t="s">
        <v>6982</v>
      </c>
      <c r="G439" s="562" t="s">
        <v>8857</v>
      </c>
      <c r="H439" s="562" t="s">
        <v>8858</v>
      </c>
      <c r="I439" s="562" t="s">
        <v>8859</v>
      </c>
      <c r="J439" s="562" t="s">
        <v>8860</v>
      </c>
      <c r="K439" s="562">
        <v>4.0</v>
      </c>
      <c r="L439" s="562" t="s">
        <v>8861</v>
      </c>
    </row>
    <row r="440">
      <c r="A440" s="562" t="s">
        <v>8808</v>
      </c>
      <c r="B440" s="563">
        <v>0.40141203703703704</v>
      </c>
      <c r="C440" s="562" t="s">
        <v>8862</v>
      </c>
      <c r="D440" s="284"/>
      <c r="E440" s="562">
        <v>923259858799</v>
      </c>
      <c r="F440" s="562" t="s">
        <v>6875</v>
      </c>
      <c r="G440" s="562" t="s">
        <v>8863</v>
      </c>
      <c r="H440" s="284"/>
      <c r="I440" s="284"/>
      <c r="J440" s="284"/>
      <c r="K440" s="562">
        <v>1.0</v>
      </c>
      <c r="L440" s="562" t="s">
        <v>372</v>
      </c>
    </row>
    <row r="441">
      <c r="A441" s="562" t="s">
        <v>8808</v>
      </c>
      <c r="B441" s="563">
        <v>0.4014699074074074</v>
      </c>
      <c r="C441" s="562" t="s">
        <v>8864</v>
      </c>
      <c r="D441" s="284"/>
      <c r="E441" s="562">
        <v>923488256034</v>
      </c>
      <c r="F441" s="562" t="s">
        <v>6939</v>
      </c>
      <c r="G441" s="562" t="s">
        <v>8865</v>
      </c>
      <c r="H441" s="562" t="s">
        <v>8866</v>
      </c>
      <c r="I441" s="562" t="s">
        <v>8867</v>
      </c>
      <c r="J441" s="562" t="s">
        <v>8868</v>
      </c>
      <c r="K441" s="562">
        <v>4.0</v>
      </c>
      <c r="L441" s="284"/>
    </row>
    <row r="442">
      <c r="A442" s="562" t="s">
        <v>8808</v>
      </c>
      <c r="B442" s="563">
        <v>0.4015740740740741</v>
      </c>
      <c r="C442" s="562" t="s">
        <v>8869</v>
      </c>
      <c r="D442" s="284"/>
      <c r="E442" s="562">
        <v>923469106095</v>
      </c>
      <c r="F442" s="562" t="s">
        <v>6875</v>
      </c>
      <c r="G442" s="562" t="s">
        <v>8870</v>
      </c>
      <c r="H442" s="284"/>
      <c r="I442" s="284"/>
      <c r="J442" s="284"/>
      <c r="K442" s="562">
        <v>1.0</v>
      </c>
      <c r="L442" s="562" t="s">
        <v>372</v>
      </c>
    </row>
    <row r="443">
      <c r="A443" s="562" t="s">
        <v>8808</v>
      </c>
      <c r="B443" s="563">
        <v>0.4016550925925926</v>
      </c>
      <c r="C443" s="562" t="s">
        <v>8871</v>
      </c>
      <c r="D443" s="284"/>
      <c r="E443" s="562">
        <v>923353705112</v>
      </c>
      <c r="F443" s="562" t="s">
        <v>6875</v>
      </c>
      <c r="G443" s="562" t="s">
        <v>8872</v>
      </c>
      <c r="H443" s="562" t="s">
        <v>8873</v>
      </c>
      <c r="I443" s="562" t="s">
        <v>8874</v>
      </c>
      <c r="J443" s="284"/>
      <c r="K443" s="562">
        <v>3.0</v>
      </c>
      <c r="L443" s="562" t="s">
        <v>8875</v>
      </c>
    </row>
    <row r="444">
      <c r="A444" s="562" t="s">
        <v>8808</v>
      </c>
      <c r="B444" s="563">
        <v>0.4029861111111111</v>
      </c>
      <c r="C444" s="562" t="s">
        <v>8876</v>
      </c>
      <c r="D444" s="284"/>
      <c r="E444" s="562">
        <v>923095906709</v>
      </c>
      <c r="F444" s="562" t="s">
        <v>6939</v>
      </c>
      <c r="G444" s="562" t="s">
        <v>8877</v>
      </c>
      <c r="H444" s="562" t="s">
        <v>8878</v>
      </c>
      <c r="I444" s="562" t="s">
        <v>8879</v>
      </c>
      <c r="J444" s="562" t="s">
        <v>8880</v>
      </c>
      <c r="K444" s="562">
        <v>4.0</v>
      </c>
      <c r="L444" s="284"/>
    </row>
    <row r="445">
      <c r="A445" s="562" t="s">
        <v>8808</v>
      </c>
      <c r="B445" s="563">
        <v>0.40315972222222224</v>
      </c>
      <c r="C445" s="562" t="s">
        <v>8881</v>
      </c>
      <c r="D445" s="284"/>
      <c r="E445" s="562">
        <v>923325083336</v>
      </c>
      <c r="F445" s="562" t="s">
        <v>6875</v>
      </c>
      <c r="G445" s="562" t="s">
        <v>8882</v>
      </c>
      <c r="H445" s="562" t="s">
        <v>8883</v>
      </c>
      <c r="I445" s="562" t="s">
        <v>8884</v>
      </c>
      <c r="J445" s="284"/>
      <c r="K445" s="562">
        <v>3.0</v>
      </c>
      <c r="L445" s="562" t="s">
        <v>908</v>
      </c>
    </row>
    <row r="446">
      <c r="A446" s="562" t="s">
        <v>8808</v>
      </c>
      <c r="B446" s="563">
        <v>0.40327546296296296</v>
      </c>
      <c r="C446" s="562" t="s">
        <v>8885</v>
      </c>
      <c r="D446" s="562" t="s">
        <v>6886</v>
      </c>
      <c r="E446" s="566" t="s">
        <v>8886</v>
      </c>
      <c r="F446" s="562" t="s">
        <v>6982</v>
      </c>
      <c r="G446" s="562" t="s">
        <v>8887</v>
      </c>
      <c r="H446" s="562" t="s">
        <v>8735</v>
      </c>
      <c r="I446" s="562" t="s">
        <v>8888</v>
      </c>
      <c r="J446" s="562" t="s">
        <v>8889</v>
      </c>
      <c r="K446" s="562">
        <v>4.0</v>
      </c>
      <c r="L446" s="562" t="s">
        <v>8890</v>
      </c>
    </row>
    <row r="447">
      <c r="A447" s="562" t="s">
        <v>8808</v>
      </c>
      <c r="B447" s="563">
        <v>0.40417824074074077</v>
      </c>
      <c r="C447" s="562" t="s">
        <v>8891</v>
      </c>
      <c r="D447" s="284"/>
      <c r="E447" s="562">
        <v>923369184607</v>
      </c>
      <c r="F447" s="562" t="s">
        <v>6875</v>
      </c>
      <c r="G447" s="562" t="s">
        <v>8892</v>
      </c>
      <c r="H447" s="562" t="s">
        <v>8893</v>
      </c>
      <c r="I447" s="284"/>
      <c r="J447" s="284"/>
      <c r="K447" s="562">
        <v>2.0</v>
      </c>
      <c r="L447" s="562" t="s">
        <v>372</v>
      </c>
    </row>
    <row r="448">
      <c r="A448" s="562" t="s">
        <v>8808</v>
      </c>
      <c r="B448" s="563">
        <v>0.40422453703703703</v>
      </c>
      <c r="C448" s="562" t="s">
        <v>8894</v>
      </c>
      <c r="D448" s="284"/>
      <c r="E448" s="562">
        <v>923333028343</v>
      </c>
      <c r="F448" s="562" t="s">
        <v>6888</v>
      </c>
      <c r="G448" s="562" t="s">
        <v>8895</v>
      </c>
      <c r="H448" s="284"/>
      <c r="I448" s="562" t="s">
        <v>8896</v>
      </c>
      <c r="J448" s="562" t="s">
        <v>8897</v>
      </c>
      <c r="K448" s="562">
        <v>3.0</v>
      </c>
      <c r="L448" s="562" t="s">
        <v>8898</v>
      </c>
    </row>
    <row r="449">
      <c r="A449" s="562" t="s">
        <v>8808</v>
      </c>
      <c r="B449" s="563">
        <v>0.4042939814814815</v>
      </c>
      <c r="C449" s="562" t="s">
        <v>8899</v>
      </c>
      <c r="D449" s="284"/>
      <c r="E449" s="562">
        <v>923324083350</v>
      </c>
      <c r="F449" s="562" t="s">
        <v>6875</v>
      </c>
      <c r="G449" s="562" t="s">
        <v>8900</v>
      </c>
      <c r="H449" s="284"/>
      <c r="I449" s="284"/>
      <c r="J449" s="284"/>
      <c r="K449" s="562">
        <v>1.0</v>
      </c>
      <c r="L449" s="284"/>
    </row>
    <row r="450">
      <c r="A450" s="562" t="s">
        <v>8808</v>
      </c>
      <c r="B450" s="563">
        <v>0.4042939814814815</v>
      </c>
      <c r="C450" s="562" t="s">
        <v>8901</v>
      </c>
      <c r="D450" s="284"/>
      <c r="E450" s="562">
        <v>923341142046</v>
      </c>
      <c r="F450" s="562" t="s">
        <v>6875</v>
      </c>
      <c r="G450" s="284"/>
      <c r="H450" s="562" t="s">
        <v>8902</v>
      </c>
      <c r="I450" s="562" t="s">
        <v>8903</v>
      </c>
      <c r="J450" s="284"/>
      <c r="K450" s="562">
        <v>2.0</v>
      </c>
      <c r="L450" s="562" t="s">
        <v>372</v>
      </c>
    </row>
    <row r="451">
      <c r="A451" s="562" t="s">
        <v>8808</v>
      </c>
      <c r="B451" s="563">
        <v>0.40435185185185185</v>
      </c>
      <c r="C451" s="562" t="s">
        <v>8904</v>
      </c>
      <c r="D451" s="284"/>
      <c r="E451" s="562">
        <v>923105567673</v>
      </c>
      <c r="F451" s="562" t="s">
        <v>7291</v>
      </c>
      <c r="G451" s="562" t="s">
        <v>8905</v>
      </c>
      <c r="H451" s="562" t="s">
        <v>8906</v>
      </c>
      <c r="I451" s="562" t="s">
        <v>8907</v>
      </c>
      <c r="J451" s="562" t="s">
        <v>8908</v>
      </c>
      <c r="K451" s="562">
        <v>4.0</v>
      </c>
      <c r="L451" s="562" t="s">
        <v>6944</v>
      </c>
    </row>
    <row r="452">
      <c r="A452" s="562" t="s">
        <v>8808</v>
      </c>
      <c r="B452" s="563">
        <v>0.4044097222222222</v>
      </c>
      <c r="C452" s="562" t="s">
        <v>8909</v>
      </c>
      <c r="D452" s="284"/>
      <c r="E452" s="562">
        <v>923361921125</v>
      </c>
      <c r="F452" s="562" t="s">
        <v>6875</v>
      </c>
      <c r="G452" s="284"/>
      <c r="H452" s="562" t="s">
        <v>8910</v>
      </c>
      <c r="I452" s="562" t="s">
        <v>8911</v>
      </c>
      <c r="J452" s="284"/>
      <c r="K452" s="562">
        <v>2.0</v>
      </c>
      <c r="L452" s="284"/>
    </row>
    <row r="453">
      <c r="A453" s="562" t="s">
        <v>8808</v>
      </c>
      <c r="B453" s="563">
        <v>0.4056018518518518</v>
      </c>
      <c r="C453" s="562" t="s">
        <v>8912</v>
      </c>
      <c r="D453" s="284"/>
      <c r="E453" s="562">
        <v>923126775294</v>
      </c>
      <c r="F453" s="562" t="s">
        <v>6939</v>
      </c>
      <c r="G453" s="562" t="s">
        <v>8877</v>
      </c>
      <c r="H453" s="562" t="s">
        <v>8913</v>
      </c>
      <c r="I453" s="562" t="s">
        <v>8914</v>
      </c>
      <c r="J453" s="562" t="s">
        <v>8880</v>
      </c>
      <c r="K453" s="562">
        <v>4.0</v>
      </c>
      <c r="L453" s="562" t="s">
        <v>8915</v>
      </c>
    </row>
    <row r="454">
      <c r="A454" s="562" t="s">
        <v>8808</v>
      </c>
      <c r="B454" s="563">
        <v>0.41359953703703706</v>
      </c>
      <c r="C454" s="562" t="s">
        <v>8916</v>
      </c>
      <c r="D454" s="284"/>
      <c r="E454" s="562">
        <v>923435398700</v>
      </c>
      <c r="F454" s="562" t="s">
        <v>6875</v>
      </c>
      <c r="G454" s="562" t="s">
        <v>8917</v>
      </c>
      <c r="H454" s="562" t="s">
        <v>8918</v>
      </c>
      <c r="I454" s="562" t="s">
        <v>8919</v>
      </c>
      <c r="J454" s="562" t="s">
        <v>8920</v>
      </c>
      <c r="K454" s="562">
        <v>4.0</v>
      </c>
      <c r="L454" s="562" t="s">
        <v>51</v>
      </c>
    </row>
    <row r="455">
      <c r="A455" s="562" t="s">
        <v>8808</v>
      </c>
      <c r="B455" s="563">
        <v>0.44027777777777777</v>
      </c>
      <c r="C455" s="562" t="s">
        <v>8921</v>
      </c>
      <c r="D455" s="284"/>
      <c r="E455" s="562">
        <v>923069040018</v>
      </c>
      <c r="F455" s="562" t="s">
        <v>6875</v>
      </c>
      <c r="G455" s="284"/>
      <c r="H455" s="562" t="s">
        <v>8922</v>
      </c>
      <c r="I455" s="562" t="s">
        <v>8923</v>
      </c>
      <c r="J455" s="284"/>
      <c r="K455" s="562">
        <v>2.0</v>
      </c>
      <c r="L455" s="284"/>
    </row>
    <row r="456">
      <c r="A456" s="562" t="s">
        <v>8808</v>
      </c>
      <c r="B456" s="563">
        <v>0.46945601851851854</v>
      </c>
      <c r="C456" s="562" t="s">
        <v>8924</v>
      </c>
      <c r="D456" s="284"/>
      <c r="E456" s="562">
        <v>923021465246</v>
      </c>
      <c r="F456" s="562" t="s">
        <v>6875</v>
      </c>
      <c r="G456" s="562" t="s">
        <v>8925</v>
      </c>
      <c r="H456" s="562" t="s">
        <v>8926</v>
      </c>
      <c r="I456" s="562" t="s">
        <v>8927</v>
      </c>
      <c r="J456" s="562" t="s">
        <v>8928</v>
      </c>
      <c r="K456" s="562">
        <v>4.0</v>
      </c>
      <c r="L456" s="562" t="s">
        <v>6944</v>
      </c>
    </row>
    <row r="457">
      <c r="A457" s="562" t="s">
        <v>8808</v>
      </c>
      <c r="B457" s="563">
        <v>0.47965277777777776</v>
      </c>
      <c r="C457" s="562" t="s">
        <v>8929</v>
      </c>
      <c r="D457" s="284"/>
      <c r="E457" s="562">
        <v>923479932472</v>
      </c>
      <c r="F457" s="562" t="s">
        <v>6875</v>
      </c>
      <c r="G457" s="562" t="s">
        <v>8930</v>
      </c>
      <c r="H457" s="562" t="s">
        <v>8931</v>
      </c>
      <c r="I457" s="562" t="s">
        <v>8932</v>
      </c>
      <c r="J457" s="562" t="s">
        <v>8933</v>
      </c>
      <c r="K457" s="562">
        <v>4.0</v>
      </c>
      <c r="L457" s="284"/>
    </row>
    <row r="458">
      <c r="A458" s="562" t="s">
        <v>8808</v>
      </c>
      <c r="B458" s="563">
        <v>0.4940162037037037</v>
      </c>
      <c r="C458" s="562" t="s">
        <v>8934</v>
      </c>
      <c r="D458" s="284"/>
      <c r="E458" s="562">
        <v>923197340885</v>
      </c>
      <c r="F458" s="562" t="s">
        <v>6939</v>
      </c>
      <c r="G458" s="562" t="s">
        <v>8935</v>
      </c>
      <c r="H458" s="562" t="s">
        <v>8936</v>
      </c>
      <c r="I458" s="562" t="s">
        <v>8937</v>
      </c>
      <c r="J458" s="562" t="s">
        <v>8938</v>
      </c>
      <c r="K458" s="562">
        <v>4.0</v>
      </c>
      <c r="L458" s="284"/>
    </row>
    <row r="459">
      <c r="A459" s="562" t="s">
        <v>8808</v>
      </c>
      <c r="B459" s="563">
        <v>0.5046527777777777</v>
      </c>
      <c r="C459" s="562" t="s">
        <v>8939</v>
      </c>
      <c r="D459" s="284"/>
      <c r="E459" s="562">
        <v>923094875263</v>
      </c>
      <c r="F459" s="562" t="s">
        <v>6875</v>
      </c>
      <c r="G459" s="284"/>
      <c r="H459" s="562" t="s">
        <v>8940</v>
      </c>
      <c r="I459" s="562" t="s">
        <v>8941</v>
      </c>
      <c r="J459" s="284"/>
      <c r="K459" s="562">
        <v>2.0</v>
      </c>
      <c r="L459" s="562" t="s">
        <v>8942</v>
      </c>
    </row>
    <row r="460">
      <c r="A460" s="562" t="s">
        <v>8808</v>
      </c>
      <c r="B460" s="563">
        <v>0.5105671296296296</v>
      </c>
      <c r="C460" s="562" t="s">
        <v>8943</v>
      </c>
      <c r="D460" s="284"/>
      <c r="E460" s="562">
        <v>923328717261</v>
      </c>
      <c r="F460" s="562" t="s">
        <v>6939</v>
      </c>
      <c r="G460" s="562" t="s">
        <v>8944</v>
      </c>
      <c r="H460" s="562" t="s">
        <v>8945</v>
      </c>
      <c r="I460" s="562" t="s">
        <v>8946</v>
      </c>
      <c r="J460" s="562" t="s">
        <v>8947</v>
      </c>
      <c r="K460" s="562">
        <v>4.0</v>
      </c>
      <c r="L460" s="284"/>
    </row>
    <row r="461">
      <c r="A461" s="562" t="s">
        <v>8808</v>
      </c>
      <c r="B461" s="563">
        <v>0.5238194444444444</v>
      </c>
      <c r="C461" s="562" t="s">
        <v>8948</v>
      </c>
      <c r="D461" s="284"/>
      <c r="E461" s="562">
        <v>923281997086</v>
      </c>
      <c r="F461" s="562" t="s">
        <v>6875</v>
      </c>
      <c r="G461" s="284"/>
      <c r="H461" s="284"/>
      <c r="I461" s="562" t="s">
        <v>8949</v>
      </c>
      <c r="J461" s="284"/>
      <c r="K461" s="562">
        <v>1.0</v>
      </c>
      <c r="L461" s="562" t="s">
        <v>372</v>
      </c>
    </row>
    <row r="462">
      <c r="A462" s="562" t="s">
        <v>8808</v>
      </c>
      <c r="B462" s="563">
        <v>0.52625</v>
      </c>
      <c r="C462" s="562" t="s">
        <v>8950</v>
      </c>
      <c r="D462" s="284"/>
      <c r="E462" s="562">
        <v>923275537659</v>
      </c>
      <c r="F462" s="562" t="s">
        <v>6875</v>
      </c>
      <c r="G462" s="284"/>
      <c r="H462" s="284"/>
      <c r="I462" s="562" t="s">
        <v>8951</v>
      </c>
      <c r="J462" s="284"/>
      <c r="K462" s="562">
        <v>1.0</v>
      </c>
      <c r="L462" s="562" t="s">
        <v>372</v>
      </c>
    </row>
    <row r="463">
      <c r="A463" s="562" t="s">
        <v>8808</v>
      </c>
      <c r="B463" s="563">
        <v>0.5885532407407408</v>
      </c>
      <c r="C463" s="562" t="s">
        <v>8952</v>
      </c>
      <c r="D463" s="284"/>
      <c r="E463" s="562">
        <v>923111618529</v>
      </c>
      <c r="F463" s="562" t="s">
        <v>6875</v>
      </c>
      <c r="G463" s="562" t="s">
        <v>8953</v>
      </c>
      <c r="H463" s="562" t="s">
        <v>8954</v>
      </c>
      <c r="I463" s="562" t="s">
        <v>8955</v>
      </c>
      <c r="J463" s="284"/>
      <c r="K463" s="562">
        <v>3.0</v>
      </c>
      <c r="L463" s="562" t="s">
        <v>6944</v>
      </c>
    </row>
    <row r="464">
      <c r="A464" s="562" t="s">
        <v>8808</v>
      </c>
      <c r="B464" s="563">
        <v>0.5886921296296296</v>
      </c>
      <c r="C464" s="562" t="s">
        <v>8956</v>
      </c>
      <c r="D464" s="284"/>
      <c r="E464" s="562">
        <v>923480895915</v>
      </c>
      <c r="F464" s="562" t="s">
        <v>6939</v>
      </c>
      <c r="G464" s="562" t="s">
        <v>8957</v>
      </c>
      <c r="H464" s="562" t="s">
        <v>8958</v>
      </c>
      <c r="I464" s="562" t="s">
        <v>8959</v>
      </c>
      <c r="J464" s="562" t="s">
        <v>8960</v>
      </c>
      <c r="K464" s="562">
        <v>4.0</v>
      </c>
      <c r="L464" s="284"/>
    </row>
    <row r="465">
      <c r="A465" s="562" t="s">
        <v>8808</v>
      </c>
      <c r="B465" s="563">
        <v>0.6266782407407407</v>
      </c>
      <c r="C465" s="562" t="s">
        <v>8961</v>
      </c>
      <c r="D465" s="284"/>
      <c r="E465" s="562">
        <v>923334868133</v>
      </c>
      <c r="F465" s="562" t="s">
        <v>6939</v>
      </c>
      <c r="G465" s="562" t="s">
        <v>8962</v>
      </c>
      <c r="H465" s="562" t="s">
        <v>8963</v>
      </c>
      <c r="I465" s="562" t="s">
        <v>8964</v>
      </c>
      <c r="J465" s="562" t="s">
        <v>8965</v>
      </c>
      <c r="K465" s="562">
        <v>4.0</v>
      </c>
      <c r="L465" s="284"/>
    </row>
    <row r="466">
      <c r="A466" s="562" t="s">
        <v>8808</v>
      </c>
      <c r="B466" s="563">
        <v>0.6328125</v>
      </c>
      <c r="C466" s="562" t="s">
        <v>8966</v>
      </c>
      <c r="D466" s="284"/>
      <c r="E466" s="562">
        <v>923434817170</v>
      </c>
      <c r="F466" s="562" t="s">
        <v>6939</v>
      </c>
      <c r="G466" s="562" t="s">
        <v>8967</v>
      </c>
      <c r="H466" s="562" t="s">
        <v>8968</v>
      </c>
      <c r="I466" s="562" t="s">
        <v>8969</v>
      </c>
      <c r="J466" s="562" t="s">
        <v>8970</v>
      </c>
      <c r="K466" s="562">
        <v>4.0</v>
      </c>
      <c r="L466" s="284"/>
    </row>
    <row r="467">
      <c r="A467" s="562" t="s">
        <v>8808</v>
      </c>
      <c r="B467" s="563">
        <v>0.6407175925925926</v>
      </c>
      <c r="C467" s="562" t="s">
        <v>8971</v>
      </c>
      <c r="D467" s="284"/>
      <c r="E467" s="562">
        <v>923147427189</v>
      </c>
      <c r="F467" s="562" t="s">
        <v>6875</v>
      </c>
      <c r="G467" s="284"/>
      <c r="H467" s="562" t="s">
        <v>8972</v>
      </c>
      <c r="I467" s="562" t="s">
        <v>8973</v>
      </c>
      <c r="J467" s="562" t="s">
        <v>8974</v>
      </c>
      <c r="K467" s="562">
        <v>3.0</v>
      </c>
      <c r="L467" s="284"/>
    </row>
    <row r="468">
      <c r="A468" s="562" t="s">
        <v>8808</v>
      </c>
      <c r="B468" s="563">
        <v>0.6709027777777777</v>
      </c>
      <c r="C468" s="562" t="s">
        <v>8975</v>
      </c>
      <c r="D468" s="284"/>
      <c r="E468" s="562">
        <v>923032220013</v>
      </c>
      <c r="F468" s="562" t="s">
        <v>6875</v>
      </c>
      <c r="G468" s="284"/>
      <c r="H468" s="562" t="s">
        <v>8976</v>
      </c>
      <c r="I468" s="562" t="s">
        <v>8977</v>
      </c>
      <c r="J468" s="562" t="s">
        <v>8978</v>
      </c>
      <c r="K468" s="562">
        <v>3.0</v>
      </c>
      <c r="L468" s="284"/>
    </row>
    <row r="469">
      <c r="A469" s="562" t="s">
        <v>8808</v>
      </c>
      <c r="B469" s="563">
        <v>0.6852083333333333</v>
      </c>
      <c r="C469" s="562" t="s">
        <v>8979</v>
      </c>
      <c r="D469" s="284"/>
      <c r="E469" s="562">
        <v>923307079744</v>
      </c>
      <c r="F469" s="562" t="s">
        <v>6939</v>
      </c>
      <c r="G469" s="562" t="s">
        <v>8935</v>
      </c>
      <c r="H469" s="562" t="s">
        <v>8980</v>
      </c>
      <c r="I469" s="562" t="s">
        <v>8981</v>
      </c>
      <c r="J469" s="562" t="s">
        <v>8982</v>
      </c>
      <c r="K469" s="562">
        <v>4.0</v>
      </c>
      <c r="L469" s="284"/>
    </row>
    <row r="470">
      <c r="A470" s="562" t="s">
        <v>8808</v>
      </c>
      <c r="B470" s="563">
        <v>0.6853356481481482</v>
      </c>
      <c r="C470" s="562" t="s">
        <v>8983</v>
      </c>
      <c r="D470" s="284"/>
      <c r="E470" s="562">
        <v>923147311705</v>
      </c>
      <c r="F470" s="562" t="s">
        <v>6939</v>
      </c>
      <c r="G470" s="562" t="s">
        <v>8935</v>
      </c>
      <c r="H470" s="562" t="s">
        <v>8984</v>
      </c>
      <c r="I470" s="562" t="s">
        <v>8985</v>
      </c>
      <c r="J470" s="562" t="s">
        <v>8986</v>
      </c>
      <c r="K470" s="562">
        <v>4.0</v>
      </c>
      <c r="L470" s="284"/>
    </row>
    <row r="471">
      <c r="A471" s="562" t="s">
        <v>8808</v>
      </c>
      <c r="B471" s="563">
        <v>0.7095023148148148</v>
      </c>
      <c r="C471" s="562" t="s">
        <v>8987</v>
      </c>
      <c r="D471" s="284"/>
      <c r="E471" s="562">
        <v>923335682517</v>
      </c>
      <c r="F471" s="562" t="s">
        <v>7291</v>
      </c>
      <c r="G471" s="562" t="s">
        <v>8988</v>
      </c>
      <c r="H471" s="562" t="s">
        <v>8989</v>
      </c>
      <c r="I471" s="562" t="s">
        <v>8990</v>
      </c>
      <c r="J471" s="562" t="s">
        <v>8991</v>
      </c>
      <c r="K471" s="562">
        <v>4.0</v>
      </c>
      <c r="L471" s="562" t="s">
        <v>25</v>
      </c>
    </row>
    <row r="472">
      <c r="A472" s="562" t="s">
        <v>8808</v>
      </c>
      <c r="B472" s="563">
        <v>0.7209375</v>
      </c>
      <c r="C472" s="562" t="s">
        <v>8992</v>
      </c>
      <c r="D472" s="284"/>
      <c r="E472" s="562">
        <v>923478992332</v>
      </c>
      <c r="F472" s="562" t="s">
        <v>6875</v>
      </c>
      <c r="G472" s="284"/>
      <c r="H472" s="284"/>
      <c r="I472" s="284"/>
      <c r="J472" s="562" t="s">
        <v>8993</v>
      </c>
      <c r="K472" s="562">
        <v>1.0</v>
      </c>
      <c r="L472" s="562" t="s">
        <v>372</v>
      </c>
    </row>
    <row r="473">
      <c r="A473" s="562" t="s">
        <v>8808</v>
      </c>
      <c r="B473" s="563">
        <v>0.7326157407407408</v>
      </c>
      <c r="C473" s="562" t="s">
        <v>8994</v>
      </c>
      <c r="D473" s="284"/>
      <c r="E473" s="562">
        <v>923204122347</v>
      </c>
      <c r="F473" s="562" t="s">
        <v>6939</v>
      </c>
      <c r="G473" s="562" t="s">
        <v>8935</v>
      </c>
      <c r="H473" s="562" t="s">
        <v>8995</v>
      </c>
      <c r="I473" s="562" t="s">
        <v>8996</v>
      </c>
      <c r="J473" s="562" t="s">
        <v>8997</v>
      </c>
      <c r="K473" s="562">
        <v>4.0</v>
      </c>
      <c r="L473" s="284"/>
    </row>
    <row r="474">
      <c r="A474" s="562" t="s">
        <v>8808</v>
      </c>
      <c r="B474" s="563">
        <v>0.7507754629629629</v>
      </c>
      <c r="C474" s="562" t="s">
        <v>8998</v>
      </c>
      <c r="D474" s="284"/>
      <c r="E474" s="562">
        <v>923125954474</v>
      </c>
      <c r="F474" s="562" t="s">
        <v>6939</v>
      </c>
      <c r="G474" s="562" t="s">
        <v>8999</v>
      </c>
      <c r="H474" s="562" t="s">
        <v>9000</v>
      </c>
      <c r="I474" s="562" t="s">
        <v>9001</v>
      </c>
      <c r="J474" s="562" t="s">
        <v>9002</v>
      </c>
      <c r="K474" s="562">
        <v>4.0</v>
      </c>
      <c r="L474" s="284"/>
    </row>
    <row r="475">
      <c r="A475" s="562" t="s">
        <v>8808</v>
      </c>
      <c r="B475" s="563">
        <v>0.7508333333333334</v>
      </c>
      <c r="C475" s="562" t="s">
        <v>9003</v>
      </c>
      <c r="D475" s="284"/>
      <c r="E475" s="562">
        <v>923087913325</v>
      </c>
      <c r="F475" s="562" t="s">
        <v>6875</v>
      </c>
      <c r="G475" s="562" t="s">
        <v>9004</v>
      </c>
      <c r="H475" s="562" t="s">
        <v>9005</v>
      </c>
      <c r="I475" s="284"/>
      <c r="J475" s="284"/>
      <c r="K475" s="562">
        <v>2.0</v>
      </c>
      <c r="L475" s="562" t="s">
        <v>372</v>
      </c>
    </row>
    <row r="476">
      <c r="A476" s="562" t="s">
        <v>9006</v>
      </c>
      <c r="B476" s="563">
        <v>0.39554398148148145</v>
      </c>
      <c r="C476" s="562" t="s">
        <v>9007</v>
      </c>
      <c r="D476" s="284"/>
      <c r="E476" s="562">
        <v>923487963844</v>
      </c>
      <c r="F476" s="562" t="s">
        <v>7291</v>
      </c>
      <c r="G476" s="562" t="s">
        <v>9008</v>
      </c>
      <c r="H476" s="562" t="s">
        <v>9009</v>
      </c>
      <c r="I476" s="562" t="s">
        <v>9010</v>
      </c>
      <c r="J476" s="562" t="s">
        <v>9011</v>
      </c>
      <c r="K476" s="562">
        <v>4.0</v>
      </c>
      <c r="L476" s="562" t="s">
        <v>6944</v>
      </c>
    </row>
    <row r="477">
      <c r="A477" s="562" t="s">
        <v>9006</v>
      </c>
      <c r="B477" s="563">
        <v>0.3959259259259259</v>
      </c>
      <c r="C477" s="562" t="s">
        <v>9012</v>
      </c>
      <c r="D477" s="284"/>
      <c r="E477" s="562">
        <v>923175201619</v>
      </c>
      <c r="F477" s="562" t="s">
        <v>6982</v>
      </c>
      <c r="G477" s="562" t="s">
        <v>9013</v>
      </c>
      <c r="H477" s="562" t="s">
        <v>8995</v>
      </c>
      <c r="I477" s="562" t="s">
        <v>9014</v>
      </c>
      <c r="J477" s="562" t="s">
        <v>9015</v>
      </c>
      <c r="K477" s="562">
        <v>4.0</v>
      </c>
      <c r="L477" s="562" t="s">
        <v>9016</v>
      </c>
    </row>
    <row r="478">
      <c r="A478" s="562" t="s">
        <v>9006</v>
      </c>
      <c r="B478" s="563">
        <v>0.3960185185185185</v>
      </c>
      <c r="C478" s="562" t="s">
        <v>9017</v>
      </c>
      <c r="D478" s="284"/>
      <c r="E478" s="562">
        <v>923107839706</v>
      </c>
      <c r="F478" s="562" t="s">
        <v>6939</v>
      </c>
      <c r="G478" s="562" t="s">
        <v>9018</v>
      </c>
      <c r="H478" s="562" t="s">
        <v>9019</v>
      </c>
      <c r="I478" s="562" t="s">
        <v>9020</v>
      </c>
      <c r="J478" s="562" t="s">
        <v>9021</v>
      </c>
      <c r="K478" s="562">
        <v>4.0</v>
      </c>
      <c r="L478" s="284"/>
    </row>
    <row r="479">
      <c r="A479" s="562" t="s">
        <v>9006</v>
      </c>
      <c r="B479" s="563">
        <v>0.3960648148148148</v>
      </c>
      <c r="C479" s="562" t="s">
        <v>9022</v>
      </c>
      <c r="D479" s="284"/>
      <c r="E479" s="562">
        <v>923461364898</v>
      </c>
      <c r="F479" s="562" t="s">
        <v>6875</v>
      </c>
      <c r="G479" s="562" t="s">
        <v>9023</v>
      </c>
      <c r="H479" s="562" t="s">
        <v>9024</v>
      </c>
      <c r="I479" s="284"/>
      <c r="J479" s="284"/>
      <c r="K479" s="562">
        <v>2.0</v>
      </c>
      <c r="L479" s="562" t="s">
        <v>372</v>
      </c>
    </row>
    <row r="480">
      <c r="A480" s="562" t="s">
        <v>9006</v>
      </c>
      <c r="B480" s="563">
        <v>0.39613425925925927</v>
      </c>
      <c r="C480" s="562" t="s">
        <v>9025</v>
      </c>
      <c r="D480" s="284"/>
      <c r="E480" s="562">
        <v>923157466638</v>
      </c>
      <c r="F480" s="562" t="s">
        <v>6875</v>
      </c>
      <c r="G480" s="562" t="s">
        <v>9026</v>
      </c>
      <c r="H480" s="284"/>
      <c r="I480" s="562" t="s">
        <v>9027</v>
      </c>
      <c r="J480" s="284"/>
      <c r="K480" s="562">
        <v>2.0</v>
      </c>
      <c r="L480" s="284"/>
    </row>
    <row r="481">
      <c r="A481" s="562" t="s">
        <v>9006</v>
      </c>
      <c r="B481" s="563">
        <v>0.39621527777777776</v>
      </c>
      <c r="C481" s="562" t="s">
        <v>9028</v>
      </c>
      <c r="D481" s="284"/>
      <c r="E481" s="562">
        <v>923190962421</v>
      </c>
      <c r="F481" s="562" t="s">
        <v>7291</v>
      </c>
      <c r="G481" s="562" t="s">
        <v>9029</v>
      </c>
      <c r="H481" s="562" t="s">
        <v>9030</v>
      </c>
      <c r="I481" s="562" t="s">
        <v>9031</v>
      </c>
      <c r="J481" s="562" t="s">
        <v>9032</v>
      </c>
      <c r="K481" s="562">
        <v>4.0</v>
      </c>
      <c r="L481" s="562" t="s">
        <v>6944</v>
      </c>
    </row>
    <row r="482">
      <c r="A482" s="562" t="s">
        <v>9006</v>
      </c>
      <c r="B482" s="563">
        <v>0.3962962962962963</v>
      </c>
      <c r="C482" s="562" t="s">
        <v>9033</v>
      </c>
      <c r="D482" s="284"/>
      <c r="E482" s="562">
        <v>923042675761</v>
      </c>
      <c r="F482" s="562" t="s">
        <v>6875</v>
      </c>
      <c r="G482" s="284"/>
      <c r="H482" s="562" t="s">
        <v>9034</v>
      </c>
      <c r="I482" s="562" t="s">
        <v>9035</v>
      </c>
      <c r="J482" s="562" t="s">
        <v>9036</v>
      </c>
      <c r="K482" s="562">
        <v>3.0</v>
      </c>
      <c r="L482" s="284"/>
    </row>
    <row r="483">
      <c r="A483" s="562" t="s">
        <v>9006</v>
      </c>
      <c r="B483" s="563">
        <v>0.3963888888888889</v>
      </c>
      <c r="C483" s="562" t="s">
        <v>9037</v>
      </c>
      <c r="D483" s="284"/>
      <c r="E483" s="562">
        <v>923296437518</v>
      </c>
      <c r="F483" s="562" t="s">
        <v>6939</v>
      </c>
      <c r="G483" s="562" t="s">
        <v>8935</v>
      </c>
      <c r="H483" s="562" t="s">
        <v>9038</v>
      </c>
      <c r="I483" s="562" t="s">
        <v>9039</v>
      </c>
      <c r="J483" s="562" t="s">
        <v>9040</v>
      </c>
      <c r="K483" s="562">
        <v>4.0</v>
      </c>
      <c r="L483" s="284"/>
    </row>
    <row r="484">
      <c r="A484" s="562" t="s">
        <v>9006</v>
      </c>
      <c r="B484" s="563">
        <v>0.39649305555555553</v>
      </c>
      <c r="C484" s="562" t="s">
        <v>9041</v>
      </c>
      <c r="D484" s="284"/>
      <c r="E484" s="562">
        <v>923000746597</v>
      </c>
      <c r="F484" s="562" t="s">
        <v>6939</v>
      </c>
      <c r="G484" s="562" t="s">
        <v>8935</v>
      </c>
      <c r="H484" s="562" t="s">
        <v>9042</v>
      </c>
      <c r="I484" s="562" t="s">
        <v>9043</v>
      </c>
      <c r="J484" s="562" t="s">
        <v>9044</v>
      </c>
      <c r="K484" s="562">
        <v>4.0</v>
      </c>
      <c r="L484" s="284"/>
    </row>
    <row r="485">
      <c r="A485" s="562" t="s">
        <v>9006</v>
      </c>
      <c r="B485" s="563">
        <v>0.39655092592592595</v>
      </c>
      <c r="C485" s="562" t="s">
        <v>9045</v>
      </c>
      <c r="D485" s="284"/>
      <c r="E485" s="562">
        <v>923461770840</v>
      </c>
      <c r="F485" s="562" t="s">
        <v>6875</v>
      </c>
      <c r="G485" s="562" t="s">
        <v>9046</v>
      </c>
      <c r="H485" s="562" t="s">
        <v>9047</v>
      </c>
      <c r="I485" s="562" t="s">
        <v>9048</v>
      </c>
      <c r="J485" s="562" t="s">
        <v>9049</v>
      </c>
      <c r="K485" s="562">
        <v>4.0</v>
      </c>
      <c r="L485" s="562" t="s">
        <v>6944</v>
      </c>
    </row>
    <row r="486">
      <c r="A486" s="562" t="s">
        <v>9006</v>
      </c>
      <c r="B486" s="563">
        <v>0.3988773148148148</v>
      </c>
      <c r="C486" s="562" t="s">
        <v>9050</v>
      </c>
      <c r="D486" s="284"/>
      <c r="E486" s="562">
        <v>923020678678</v>
      </c>
      <c r="F486" s="562" t="s">
        <v>6939</v>
      </c>
      <c r="G486" s="562" t="s">
        <v>9051</v>
      </c>
      <c r="H486" s="562" t="s">
        <v>9052</v>
      </c>
      <c r="I486" s="562" t="s">
        <v>9053</v>
      </c>
      <c r="J486" s="562" t="s">
        <v>9054</v>
      </c>
      <c r="K486" s="562">
        <v>4.0</v>
      </c>
      <c r="L486" s="284"/>
    </row>
    <row r="487">
      <c r="A487" s="562" t="s">
        <v>9006</v>
      </c>
      <c r="B487" s="563">
        <v>0.39892361111111113</v>
      </c>
      <c r="C487" s="562" t="s">
        <v>9055</v>
      </c>
      <c r="D487" s="284"/>
      <c r="E487" s="562">
        <v>923704945198</v>
      </c>
      <c r="F487" s="562" t="s">
        <v>6939</v>
      </c>
      <c r="G487" s="562" t="s">
        <v>8935</v>
      </c>
      <c r="H487" s="562" t="s">
        <v>9056</v>
      </c>
      <c r="I487" s="562" t="s">
        <v>9057</v>
      </c>
      <c r="J487" s="562" t="s">
        <v>9058</v>
      </c>
      <c r="K487" s="562">
        <v>4.0</v>
      </c>
      <c r="L487" s="284"/>
    </row>
    <row r="488">
      <c r="A488" s="562" t="s">
        <v>9006</v>
      </c>
      <c r="B488" s="563">
        <v>0.3990740740740741</v>
      </c>
      <c r="C488" s="562" t="s">
        <v>9059</v>
      </c>
      <c r="D488" s="284"/>
      <c r="E488" s="562">
        <v>923292179934</v>
      </c>
      <c r="F488" s="562" t="s">
        <v>7291</v>
      </c>
      <c r="G488" s="562" t="s">
        <v>9029</v>
      </c>
      <c r="H488" s="562" t="s">
        <v>9060</v>
      </c>
      <c r="I488" s="562" t="s">
        <v>9061</v>
      </c>
      <c r="J488" s="562" t="s">
        <v>9062</v>
      </c>
      <c r="K488" s="562">
        <v>4.0</v>
      </c>
      <c r="L488" s="562" t="s">
        <v>9063</v>
      </c>
    </row>
    <row r="489">
      <c r="A489" s="562" t="s">
        <v>9006</v>
      </c>
      <c r="B489" s="563">
        <v>0.39916666666666667</v>
      </c>
      <c r="C489" s="562" t="s">
        <v>9064</v>
      </c>
      <c r="D489" s="284"/>
      <c r="E489" s="562">
        <v>923224343110</v>
      </c>
      <c r="F489" s="562" t="s">
        <v>6939</v>
      </c>
      <c r="G489" s="562" t="s">
        <v>8935</v>
      </c>
      <c r="H489" s="562" t="s">
        <v>9065</v>
      </c>
      <c r="I489" s="562" t="s">
        <v>9066</v>
      </c>
      <c r="J489" s="562" t="s">
        <v>9067</v>
      </c>
      <c r="K489" s="562">
        <v>4.0</v>
      </c>
      <c r="L489" s="284"/>
    </row>
    <row r="490">
      <c r="A490" s="562" t="s">
        <v>9006</v>
      </c>
      <c r="B490" s="563">
        <v>0.4007175925925926</v>
      </c>
      <c r="C490" s="562" t="s">
        <v>9068</v>
      </c>
      <c r="D490" s="284"/>
      <c r="E490" s="562">
        <v>923246274402</v>
      </c>
      <c r="F490" s="562" t="s">
        <v>6939</v>
      </c>
      <c r="G490" s="562" t="s">
        <v>8935</v>
      </c>
      <c r="H490" s="562" t="s">
        <v>9069</v>
      </c>
      <c r="I490" s="562" t="s">
        <v>9070</v>
      </c>
      <c r="J490" s="562" t="s">
        <v>9071</v>
      </c>
      <c r="K490" s="562">
        <v>4.0</v>
      </c>
      <c r="L490" s="284"/>
    </row>
    <row r="491">
      <c r="A491" s="562" t="s">
        <v>9006</v>
      </c>
      <c r="B491" s="563">
        <v>0.40077546296296296</v>
      </c>
      <c r="C491" s="562" t="s">
        <v>9072</v>
      </c>
      <c r="D491" s="284"/>
      <c r="E491" s="562">
        <v>923189281067</v>
      </c>
      <c r="F491" s="562" t="s">
        <v>6875</v>
      </c>
      <c r="G491" s="284"/>
      <c r="H491" s="562" t="s">
        <v>9073</v>
      </c>
      <c r="I491" s="562" t="s">
        <v>9074</v>
      </c>
      <c r="J491" s="284"/>
      <c r="K491" s="562">
        <v>2.0</v>
      </c>
      <c r="L491" s="284"/>
    </row>
    <row r="492">
      <c r="A492" s="562" t="s">
        <v>9006</v>
      </c>
      <c r="B492" s="563">
        <v>0.4008449074074074</v>
      </c>
      <c r="C492" s="562" t="s">
        <v>9075</v>
      </c>
      <c r="D492" s="284"/>
      <c r="E492" s="562">
        <v>923140205485</v>
      </c>
      <c r="F492" s="562" t="s">
        <v>6875</v>
      </c>
      <c r="G492" s="284"/>
      <c r="H492" s="562" t="s">
        <v>9076</v>
      </c>
      <c r="I492" s="562" t="s">
        <v>9077</v>
      </c>
      <c r="J492" s="284"/>
      <c r="K492" s="562">
        <v>2.0</v>
      </c>
      <c r="L492" s="284"/>
    </row>
    <row r="493">
      <c r="A493" s="562" t="s">
        <v>9006</v>
      </c>
      <c r="B493" s="563">
        <v>0.4009259259259259</v>
      </c>
      <c r="C493" s="562" t="s">
        <v>9078</v>
      </c>
      <c r="D493" s="562" t="s">
        <v>6886</v>
      </c>
      <c r="E493" s="566" t="s">
        <v>9079</v>
      </c>
      <c r="F493" s="562" t="s">
        <v>6982</v>
      </c>
      <c r="G493" s="562" t="s">
        <v>8935</v>
      </c>
      <c r="H493" s="562" t="s">
        <v>9080</v>
      </c>
      <c r="I493" s="562" t="s">
        <v>9081</v>
      </c>
      <c r="J493" s="562" t="s">
        <v>9082</v>
      </c>
      <c r="K493" s="562">
        <v>4.0</v>
      </c>
      <c r="L493" s="562" t="s">
        <v>9083</v>
      </c>
    </row>
    <row r="494">
      <c r="A494" s="562" t="s">
        <v>9006</v>
      </c>
      <c r="B494" s="563">
        <v>0.40098379629629627</v>
      </c>
      <c r="C494" s="562" t="s">
        <v>9084</v>
      </c>
      <c r="D494" s="284"/>
      <c r="E494" s="562">
        <v>923124339662</v>
      </c>
      <c r="F494" s="562" t="s">
        <v>6875</v>
      </c>
      <c r="G494" s="284"/>
      <c r="H494" s="562" t="s">
        <v>9085</v>
      </c>
      <c r="I494" s="562" t="s">
        <v>9086</v>
      </c>
      <c r="J494" s="284"/>
      <c r="K494" s="562">
        <v>2.0</v>
      </c>
      <c r="L494" s="284"/>
    </row>
    <row r="495">
      <c r="A495" s="562" t="s">
        <v>9006</v>
      </c>
      <c r="B495" s="563">
        <v>0.4010300925925926</v>
      </c>
      <c r="C495" s="562" t="s">
        <v>9087</v>
      </c>
      <c r="D495" s="284"/>
      <c r="E495" s="562">
        <v>923190857247</v>
      </c>
      <c r="F495" s="562" t="s">
        <v>6939</v>
      </c>
      <c r="G495" s="562" t="s">
        <v>8935</v>
      </c>
      <c r="H495" s="562" t="s">
        <v>9088</v>
      </c>
      <c r="I495" s="562" t="s">
        <v>9089</v>
      </c>
      <c r="J495" s="562" t="s">
        <v>9090</v>
      </c>
      <c r="K495" s="562">
        <v>4.0</v>
      </c>
      <c r="L495" s="284"/>
    </row>
    <row r="496">
      <c r="A496" s="562" t="s">
        <v>9006</v>
      </c>
      <c r="B496" s="563">
        <v>0.40108796296296295</v>
      </c>
      <c r="C496" s="562" t="s">
        <v>9091</v>
      </c>
      <c r="D496" s="284"/>
      <c r="E496" s="562">
        <v>923455588862</v>
      </c>
      <c r="F496" s="562" t="s">
        <v>6939</v>
      </c>
      <c r="G496" s="562" t="s">
        <v>8935</v>
      </c>
      <c r="H496" s="562" t="s">
        <v>9092</v>
      </c>
      <c r="I496" s="562" t="s">
        <v>9093</v>
      </c>
      <c r="J496" s="562" t="s">
        <v>9094</v>
      </c>
      <c r="K496" s="562">
        <v>4.0</v>
      </c>
      <c r="L496" s="284"/>
    </row>
    <row r="497">
      <c r="A497" s="562" t="s">
        <v>9006</v>
      </c>
      <c r="B497" s="563">
        <v>0.40186342592592594</v>
      </c>
      <c r="C497" s="562" t="s">
        <v>9095</v>
      </c>
      <c r="D497" s="284"/>
      <c r="E497" s="562">
        <v>923706400380</v>
      </c>
      <c r="F497" s="562" t="s">
        <v>6875</v>
      </c>
      <c r="G497" s="284"/>
      <c r="H497" s="562" t="s">
        <v>9096</v>
      </c>
      <c r="I497" s="284"/>
      <c r="J497" s="284"/>
      <c r="K497" s="562">
        <v>1.0</v>
      </c>
      <c r="L497" s="562" t="s">
        <v>6944</v>
      </c>
    </row>
    <row r="498">
      <c r="A498" s="562" t="s">
        <v>9006</v>
      </c>
      <c r="B498" s="563">
        <v>0.4045023148148148</v>
      </c>
      <c r="C498" s="562" t="s">
        <v>9097</v>
      </c>
      <c r="D498" s="284"/>
      <c r="E498" s="562">
        <v>923190793114</v>
      </c>
      <c r="F498" s="562" t="s">
        <v>7291</v>
      </c>
      <c r="G498" s="562" t="s">
        <v>9098</v>
      </c>
      <c r="H498" s="562" t="s">
        <v>9099</v>
      </c>
      <c r="I498" s="562" t="s">
        <v>9100</v>
      </c>
      <c r="J498" s="562" t="s">
        <v>9101</v>
      </c>
      <c r="K498" s="562">
        <v>4.0</v>
      </c>
      <c r="L498" s="284"/>
    </row>
    <row r="499">
      <c r="A499" s="562" t="s">
        <v>9006</v>
      </c>
      <c r="B499" s="563">
        <v>0.40458333333333335</v>
      </c>
      <c r="C499" s="562" t="s">
        <v>9102</v>
      </c>
      <c r="D499" s="562" t="s">
        <v>6886</v>
      </c>
      <c r="E499" s="566" t="s">
        <v>9103</v>
      </c>
      <c r="F499" s="562" t="s">
        <v>6875</v>
      </c>
      <c r="G499" s="562" t="s">
        <v>9104</v>
      </c>
      <c r="H499" s="284"/>
      <c r="I499" s="562" t="s">
        <v>9105</v>
      </c>
      <c r="J499" s="562" t="s">
        <v>9106</v>
      </c>
      <c r="K499" s="562">
        <v>3.0</v>
      </c>
      <c r="L499" s="562" t="s">
        <v>1133</v>
      </c>
    </row>
    <row r="500">
      <c r="A500" s="562" t="s">
        <v>9006</v>
      </c>
      <c r="B500" s="563">
        <v>0.40467592592592594</v>
      </c>
      <c r="C500" s="562" t="s">
        <v>9107</v>
      </c>
      <c r="D500" s="284"/>
      <c r="E500" s="562">
        <v>923254470919</v>
      </c>
      <c r="F500" s="562" t="s">
        <v>6875</v>
      </c>
      <c r="G500" s="284"/>
      <c r="H500" s="284"/>
      <c r="I500" s="562" t="s">
        <v>9108</v>
      </c>
      <c r="J500" s="284"/>
      <c r="K500" s="562">
        <v>1.0</v>
      </c>
      <c r="L500" s="562" t="s">
        <v>685</v>
      </c>
    </row>
    <row r="501">
      <c r="A501" s="562" t="s">
        <v>9006</v>
      </c>
      <c r="B501" s="563">
        <v>0.4050347222222222</v>
      </c>
      <c r="C501" s="562" t="s">
        <v>9109</v>
      </c>
      <c r="D501" s="284"/>
      <c r="E501" s="562">
        <f>923170227084</f>
        <v>923170227084</v>
      </c>
      <c r="F501" s="562" t="s">
        <v>6982</v>
      </c>
      <c r="G501" s="562" t="s">
        <v>9110</v>
      </c>
      <c r="H501" s="562" t="s">
        <v>9111</v>
      </c>
      <c r="I501" s="562" t="s">
        <v>9112</v>
      </c>
      <c r="J501" s="562" t="s">
        <v>9113</v>
      </c>
      <c r="K501" s="562">
        <v>4.0</v>
      </c>
      <c r="L501" s="562" t="s">
        <v>9114</v>
      </c>
    </row>
    <row r="502">
      <c r="A502" s="562" t="s">
        <v>9006</v>
      </c>
      <c r="B502" s="563">
        <v>0.40510416666666665</v>
      </c>
      <c r="C502" s="562" t="s">
        <v>9115</v>
      </c>
      <c r="D502" s="284"/>
      <c r="E502" s="562">
        <v>923303691999</v>
      </c>
      <c r="F502" s="562" t="s">
        <v>6939</v>
      </c>
      <c r="G502" s="562" t="s">
        <v>8935</v>
      </c>
      <c r="H502" s="562" t="s">
        <v>9116</v>
      </c>
      <c r="I502" s="562" t="s">
        <v>9117</v>
      </c>
      <c r="J502" s="562" t="s">
        <v>9118</v>
      </c>
      <c r="K502" s="562">
        <v>4.0</v>
      </c>
      <c r="L502" s="284"/>
    </row>
    <row r="503">
      <c r="A503" s="562" t="s">
        <v>9006</v>
      </c>
      <c r="B503" s="563">
        <v>0.4051736111111111</v>
      </c>
      <c r="C503" s="562" t="s">
        <v>9119</v>
      </c>
      <c r="D503" s="284"/>
      <c r="E503" s="562">
        <v>923288139567</v>
      </c>
      <c r="F503" s="562" t="s">
        <v>6875</v>
      </c>
      <c r="G503" s="284"/>
      <c r="H503" s="284"/>
      <c r="I503" s="562" t="s">
        <v>9120</v>
      </c>
      <c r="J503" s="284"/>
      <c r="K503" s="562">
        <v>1.0</v>
      </c>
      <c r="L503" s="284"/>
    </row>
    <row r="504">
      <c r="A504" s="562" t="s">
        <v>9006</v>
      </c>
      <c r="B504" s="563">
        <v>0.4052777777777778</v>
      </c>
      <c r="C504" s="562" t="s">
        <v>9121</v>
      </c>
      <c r="D504" s="284"/>
      <c r="E504" s="562">
        <v>923402488810</v>
      </c>
      <c r="F504" s="562" t="s">
        <v>6875</v>
      </c>
      <c r="G504" s="562" t="s">
        <v>9029</v>
      </c>
      <c r="H504" s="562" t="s">
        <v>9122</v>
      </c>
      <c r="I504" s="562" t="s">
        <v>9123</v>
      </c>
      <c r="J504" s="562" t="s">
        <v>9124</v>
      </c>
      <c r="K504" s="562">
        <v>4.0</v>
      </c>
      <c r="L504" s="562" t="s">
        <v>7851</v>
      </c>
    </row>
    <row r="505">
      <c r="A505" s="562" t="s">
        <v>9006</v>
      </c>
      <c r="B505" s="563">
        <v>0.4053587962962963</v>
      </c>
      <c r="C505" s="562" t="s">
        <v>9125</v>
      </c>
      <c r="D505" s="284"/>
      <c r="E505" s="562">
        <v>923076520997</v>
      </c>
      <c r="F505" s="562" t="s">
        <v>6939</v>
      </c>
      <c r="G505" s="562" t="s">
        <v>8935</v>
      </c>
      <c r="H505" s="562" t="s">
        <v>9126</v>
      </c>
      <c r="I505" s="562" t="s">
        <v>9127</v>
      </c>
      <c r="J505" s="562" t="s">
        <v>9128</v>
      </c>
      <c r="K505" s="562">
        <v>4.0</v>
      </c>
      <c r="L505" s="284"/>
    </row>
    <row r="506">
      <c r="A506" s="562" t="s">
        <v>9006</v>
      </c>
      <c r="B506" s="563">
        <v>0.40547453703703706</v>
      </c>
      <c r="C506" s="562" t="s">
        <v>9129</v>
      </c>
      <c r="D506" s="284"/>
      <c r="E506" s="562">
        <v>923327968566</v>
      </c>
      <c r="F506" s="562" t="s">
        <v>7291</v>
      </c>
      <c r="G506" s="562" t="s">
        <v>8988</v>
      </c>
      <c r="H506" s="562" t="s">
        <v>9130</v>
      </c>
      <c r="I506" s="562" t="s">
        <v>9131</v>
      </c>
      <c r="J506" s="562" t="s">
        <v>9132</v>
      </c>
      <c r="K506" s="562">
        <v>4.0</v>
      </c>
      <c r="L506" s="562" t="s">
        <v>6944</v>
      </c>
    </row>
    <row r="507">
      <c r="A507" s="562" t="s">
        <v>9006</v>
      </c>
      <c r="B507" s="563">
        <v>0.40556712962962965</v>
      </c>
      <c r="C507" s="562" t="s">
        <v>9133</v>
      </c>
      <c r="D507" s="284"/>
      <c r="E507" s="562">
        <f>923168053403</f>
        <v>923168053403</v>
      </c>
      <c r="F507" s="562" t="s">
        <v>6888</v>
      </c>
      <c r="G507" s="562" t="s">
        <v>9134</v>
      </c>
      <c r="H507" s="284"/>
      <c r="I507" s="562" t="s">
        <v>9135</v>
      </c>
      <c r="J507" s="284"/>
      <c r="K507" s="562">
        <v>2.0</v>
      </c>
      <c r="L507" s="562" t="s">
        <v>9136</v>
      </c>
    </row>
    <row r="508">
      <c r="A508" s="562" t="s">
        <v>9006</v>
      </c>
      <c r="B508" s="563">
        <v>0.405625</v>
      </c>
      <c r="C508" s="562" t="s">
        <v>9137</v>
      </c>
      <c r="D508" s="284"/>
      <c r="E508" s="562">
        <v>923408726266</v>
      </c>
      <c r="F508" s="562" t="s">
        <v>6939</v>
      </c>
      <c r="G508" s="562" t="s">
        <v>9138</v>
      </c>
      <c r="H508" s="562" t="s">
        <v>9139</v>
      </c>
      <c r="I508" s="562" t="s">
        <v>9140</v>
      </c>
      <c r="J508" s="562" t="s">
        <v>9141</v>
      </c>
      <c r="K508" s="562">
        <v>4.0</v>
      </c>
      <c r="L508" s="284"/>
    </row>
    <row r="509">
      <c r="A509" s="562" t="s">
        <v>9006</v>
      </c>
      <c r="B509" s="563">
        <v>0.40652777777777777</v>
      </c>
      <c r="C509" s="562" t="s">
        <v>9142</v>
      </c>
      <c r="D509" s="284"/>
      <c r="E509" s="562">
        <f>923215673818</f>
        <v>923215673818</v>
      </c>
      <c r="F509" s="562" t="s">
        <v>6982</v>
      </c>
      <c r="G509" s="562" t="s">
        <v>9143</v>
      </c>
      <c r="H509" s="562" t="s">
        <v>9139</v>
      </c>
      <c r="I509" s="562" t="s">
        <v>9144</v>
      </c>
      <c r="J509" s="562" t="s">
        <v>9145</v>
      </c>
      <c r="K509" s="562">
        <v>4.0</v>
      </c>
      <c r="L509" s="562" t="s">
        <v>9146</v>
      </c>
    </row>
    <row r="510">
      <c r="A510" s="562" t="s">
        <v>9006</v>
      </c>
      <c r="B510" s="563">
        <v>0.4331597222222222</v>
      </c>
      <c r="C510" s="562" t="s">
        <v>9147</v>
      </c>
      <c r="D510" s="284"/>
      <c r="E510" s="562">
        <v>923326848788</v>
      </c>
      <c r="F510" s="562" t="s">
        <v>6875</v>
      </c>
      <c r="G510" s="284"/>
      <c r="H510" s="562" t="s">
        <v>9148</v>
      </c>
      <c r="I510" s="562" t="s">
        <v>9149</v>
      </c>
      <c r="J510" s="284"/>
      <c r="K510" s="562">
        <v>2.0</v>
      </c>
      <c r="L510" s="562" t="s">
        <v>6944</v>
      </c>
    </row>
    <row r="511">
      <c r="A511" s="562" t="s">
        <v>9006</v>
      </c>
      <c r="B511" s="563">
        <v>0.4488773148148148</v>
      </c>
      <c r="C511" s="562" t="s">
        <v>9150</v>
      </c>
      <c r="D511" s="284"/>
      <c r="E511" s="562">
        <v>923147505167</v>
      </c>
      <c r="F511" s="562" t="s">
        <v>6875</v>
      </c>
      <c r="G511" s="562" t="s">
        <v>9151</v>
      </c>
      <c r="H511" s="284"/>
      <c r="I511" s="284"/>
      <c r="J511" s="284"/>
      <c r="K511" s="562">
        <v>1.0</v>
      </c>
      <c r="L511" s="562" t="s">
        <v>372</v>
      </c>
    </row>
    <row r="512">
      <c r="A512" s="562" t="s">
        <v>9006</v>
      </c>
      <c r="B512" s="563">
        <v>0.4490162037037037</v>
      </c>
      <c r="C512" s="562" t="s">
        <v>9152</v>
      </c>
      <c r="D512" s="284"/>
      <c r="E512" s="562">
        <v>923182099122</v>
      </c>
      <c r="F512" s="562" t="s">
        <v>6939</v>
      </c>
      <c r="G512" s="562" t="s">
        <v>8935</v>
      </c>
      <c r="H512" s="562" t="s">
        <v>9153</v>
      </c>
      <c r="I512" s="562" t="s">
        <v>9154</v>
      </c>
      <c r="J512" s="562" t="s">
        <v>9155</v>
      </c>
      <c r="K512" s="562">
        <v>4.0</v>
      </c>
      <c r="L512" s="284"/>
    </row>
    <row r="513">
      <c r="A513" s="562" t="s">
        <v>9006</v>
      </c>
      <c r="B513" s="563">
        <v>0.4502083333333333</v>
      </c>
      <c r="C513" s="562" t="s">
        <v>9156</v>
      </c>
      <c r="D513" s="284"/>
      <c r="E513" s="562">
        <v>923295319000</v>
      </c>
      <c r="F513" s="562" t="s">
        <v>7291</v>
      </c>
      <c r="G513" s="562" t="s">
        <v>9098</v>
      </c>
      <c r="H513" s="562" t="s">
        <v>9157</v>
      </c>
      <c r="I513" s="562" t="s">
        <v>9158</v>
      </c>
      <c r="J513" s="562" t="s">
        <v>9159</v>
      </c>
      <c r="K513" s="562">
        <v>4.0</v>
      </c>
      <c r="L513" s="562" t="s">
        <v>685</v>
      </c>
    </row>
    <row r="514">
      <c r="A514" s="562" t="s">
        <v>9006</v>
      </c>
      <c r="B514" s="563">
        <v>0.4630902777777778</v>
      </c>
      <c r="C514" s="562" t="s">
        <v>9160</v>
      </c>
      <c r="D514" s="284"/>
      <c r="E514" s="562">
        <v>923217076454</v>
      </c>
      <c r="F514" s="562" t="s">
        <v>7291</v>
      </c>
      <c r="G514" s="562" t="s">
        <v>9161</v>
      </c>
      <c r="H514" s="562" t="s">
        <v>9162</v>
      </c>
      <c r="I514" s="562" t="s">
        <v>9163</v>
      </c>
      <c r="J514" s="562" t="s">
        <v>9164</v>
      </c>
      <c r="K514" s="562">
        <v>4.0</v>
      </c>
      <c r="L514" s="562" t="s">
        <v>685</v>
      </c>
    </row>
    <row r="515">
      <c r="A515" s="562" t="s">
        <v>9006</v>
      </c>
      <c r="B515" s="563">
        <v>0.4683333333333333</v>
      </c>
      <c r="C515" s="562" t="s">
        <v>9165</v>
      </c>
      <c r="D515" s="284"/>
      <c r="E515" s="562">
        <v>923377099015</v>
      </c>
      <c r="F515" s="562" t="s">
        <v>6875</v>
      </c>
      <c r="G515" s="284"/>
      <c r="H515" s="562" t="s">
        <v>9166</v>
      </c>
      <c r="I515" s="562" t="s">
        <v>9167</v>
      </c>
      <c r="J515" s="284"/>
      <c r="K515" s="562">
        <v>2.0</v>
      </c>
      <c r="L515" s="284"/>
    </row>
    <row r="516">
      <c r="A516" s="562" t="s">
        <v>9006</v>
      </c>
      <c r="B516" s="563">
        <v>0.4850231481481482</v>
      </c>
      <c r="C516" s="562" t="s">
        <v>3510</v>
      </c>
      <c r="D516" s="284"/>
      <c r="E516" s="562">
        <v>923466557571</v>
      </c>
      <c r="F516" s="562" t="s">
        <v>6875</v>
      </c>
      <c r="G516" s="284"/>
      <c r="H516" s="562" t="s">
        <v>9168</v>
      </c>
      <c r="I516" s="562" t="s">
        <v>9169</v>
      </c>
      <c r="J516" s="284"/>
      <c r="K516" s="562">
        <v>2.0</v>
      </c>
      <c r="L516" s="284"/>
    </row>
    <row r="517">
      <c r="A517" s="562" t="s">
        <v>9006</v>
      </c>
      <c r="B517" s="563">
        <v>0.4898032407407407</v>
      </c>
      <c r="C517" s="562" t="s">
        <v>9170</v>
      </c>
      <c r="D517" s="284"/>
      <c r="E517" s="562">
        <v>923012459182</v>
      </c>
      <c r="F517" s="562" t="s">
        <v>6939</v>
      </c>
      <c r="G517" s="562" t="s">
        <v>8935</v>
      </c>
      <c r="H517" s="562" t="s">
        <v>9171</v>
      </c>
      <c r="I517" s="562" t="s">
        <v>9172</v>
      </c>
      <c r="J517" s="562" t="s">
        <v>9173</v>
      </c>
      <c r="K517" s="562">
        <v>4.0</v>
      </c>
      <c r="L517" s="284"/>
    </row>
    <row r="518">
      <c r="A518" s="562" t="s">
        <v>9006</v>
      </c>
      <c r="B518" s="563">
        <v>0.5249768518518518</v>
      </c>
      <c r="C518" s="562" t="s">
        <v>9174</v>
      </c>
      <c r="D518" s="284"/>
      <c r="E518" s="562">
        <v>923489828792</v>
      </c>
      <c r="F518" s="562" t="s">
        <v>6939</v>
      </c>
      <c r="G518" s="562" t="s">
        <v>8935</v>
      </c>
      <c r="H518" s="562" t="s">
        <v>9175</v>
      </c>
      <c r="I518" s="562" t="s">
        <v>9176</v>
      </c>
      <c r="J518" s="562" t="s">
        <v>9177</v>
      </c>
      <c r="K518" s="562">
        <v>4.0</v>
      </c>
      <c r="L518" s="284"/>
    </row>
    <row r="519">
      <c r="A519" s="562" t="s">
        <v>9006</v>
      </c>
      <c r="B519" s="563">
        <v>0.5599305555555556</v>
      </c>
      <c r="C519" s="562" t="s">
        <v>9178</v>
      </c>
      <c r="D519" s="284"/>
      <c r="E519" s="562">
        <v>923238853666</v>
      </c>
      <c r="F519" s="562" t="s">
        <v>6875</v>
      </c>
      <c r="G519" s="284"/>
      <c r="H519" s="562" t="s">
        <v>9179</v>
      </c>
      <c r="I519" s="562" t="s">
        <v>9180</v>
      </c>
      <c r="J519" s="284"/>
      <c r="K519" s="562">
        <v>2.0</v>
      </c>
      <c r="L519" s="284"/>
    </row>
    <row r="520">
      <c r="A520" s="562" t="s">
        <v>9006</v>
      </c>
      <c r="B520" s="563">
        <v>0.5600694444444444</v>
      </c>
      <c r="C520" s="562" t="s">
        <v>9181</v>
      </c>
      <c r="D520" s="284"/>
      <c r="E520" s="562">
        <f>923313680368</f>
        <v>923313680368</v>
      </c>
      <c r="F520" s="562" t="s">
        <v>6982</v>
      </c>
      <c r="G520" s="562" t="s">
        <v>8877</v>
      </c>
      <c r="H520" s="562" t="s">
        <v>8913</v>
      </c>
      <c r="I520" s="562" t="s">
        <v>9182</v>
      </c>
      <c r="J520" s="562" t="s">
        <v>9183</v>
      </c>
      <c r="K520" s="562">
        <v>4.0</v>
      </c>
      <c r="L520" s="562" t="s">
        <v>1153</v>
      </c>
    </row>
    <row r="521">
      <c r="A521" s="562" t="s">
        <v>9006</v>
      </c>
      <c r="B521" s="563">
        <v>0.6257291666666667</v>
      </c>
      <c r="C521" s="562" t="s">
        <v>9184</v>
      </c>
      <c r="D521" s="284"/>
      <c r="E521" s="562">
        <v>923008168949</v>
      </c>
      <c r="F521" s="562" t="s">
        <v>6939</v>
      </c>
      <c r="G521" s="562" t="s">
        <v>9185</v>
      </c>
      <c r="H521" s="562" t="s">
        <v>9186</v>
      </c>
      <c r="I521" s="562" t="s">
        <v>9187</v>
      </c>
      <c r="J521" s="562" t="s">
        <v>9188</v>
      </c>
      <c r="K521" s="562">
        <v>4.0</v>
      </c>
      <c r="L521" s="562" t="s">
        <v>927</v>
      </c>
    </row>
    <row r="522">
      <c r="A522" s="562" t="s">
        <v>9006</v>
      </c>
      <c r="B522" s="563">
        <v>0.6258333333333334</v>
      </c>
      <c r="C522" s="562" t="s">
        <v>9189</v>
      </c>
      <c r="D522" s="284"/>
      <c r="E522" s="562">
        <v>923270300001</v>
      </c>
      <c r="F522" s="562" t="s">
        <v>6875</v>
      </c>
      <c r="G522" s="284"/>
      <c r="H522" s="562" t="s">
        <v>9190</v>
      </c>
      <c r="I522" s="562" t="s">
        <v>9191</v>
      </c>
      <c r="J522" s="284"/>
      <c r="K522" s="562">
        <v>2.0</v>
      </c>
      <c r="L522" s="562" t="s">
        <v>674</v>
      </c>
    </row>
    <row r="523">
      <c r="A523" s="562" t="s">
        <v>9006</v>
      </c>
      <c r="B523" s="563">
        <v>0.6259606481481481</v>
      </c>
      <c r="C523" s="562" t="s">
        <v>9192</v>
      </c>
      <c r="D523" s="284"/>
      <c r="E523" s="562">
        <v>923424063207</v>
      </c>
      <c r="F523" s="562" t="s">
        <v>6939</v>
      </c>
      <c r="G523" s="562" t="s">
        <v>8935</v>
      </c>
      <c r="H523" s="562" t="s">
        <v>9193</v>
      </c>
      <c r="I523" s="562" t="s">
        <v>9194</v>
      </c>
      <c r="J523" s="562" t="s">
        <v>9188</v>
      </c>
      <c r="K523" s="562">
        <v>4.0</v>
      </c>
      <c r="L523" s="284"/>
    </row>
    <row r="524">
      <c r="A524" s="562" t="s">
        <v>9006</v>
      </c>
      <c r="B524" s="563">
        <v>0.6260416666666667</v>
      </c>
      <c r="C524" s="562" t="s">
        <v>9195</v>
      </c>
      <c r="D524" s="284"/>
      <c r="E524" s="562">
        <v>923290645594</v>
      </c>
      <c r="F524" s="562" t="s">
        <v>6939</v>
      </c>
      <c r="G524" s="562" t="s">
        <v>9196</v>
      </c>
      <c r="H524" s="562" t="s">
        <v>9197</v>
      </c>
      <c r="I524" s="562" t="s">
        <v>9198</v>
      </c>
      <c r="J524" s="562" t="s">
        <v>9199</v>
      </c>
      <c r="K524" s="562">
        <v>4.0</v>
      </c>
      <c r="L524" s="284"/>
    </row>
    <row r="525">
      <c r="A525" s="562" t="s">
        <v>9006</v>
      </c>
      <c r="B525" s="563">
        <v>0.6435763888888889</v>
      </c>
      <c r="C525" s="562" t="s">
        <v>9200</v>
      </c>
      <c r="D525" s="284"/>
      <c r="E525" s="562">
        <v>923227624078</v>
      </c>
      <c r="F525" s="562" t="s">
        <v>6875</v>
      </c>
      <c r="G525" s="562" t="s">
        <v>9161</v>
      </c>
      <c r="H525" s="562" t="s">
        <v>9201</v>
      </c>
      <c r="I525" s="562" t="s">
        <v>9202</v>
      </c>
      <c r="J525" s="562" t="s">
        <v>9203</v>
      </c>
      <c r="K525" s="562">
        <v>4.0</v>
      </c>
      <c r="L525" s="562" t="s">
        <v>6944</v>
      </c>
    </row>
    <row r="526">
      <c r="A526" s="562" t="s">
        <v>9006</v>
      </c>
      <c r="B526" s="563">
        <v>0.6437037037037037</v>
      </c>
      <c r="C526" s="562" t="s">
        <v>9204</v>
      </c>
      <c r="D526" s="284"/>
      <c r="E526" s="562">
        <v>923127509482</v>
      </c>
      <c r="F526" s="562" t="s">
        <v>6875</v>
      </c>
      <c r="G526" s="284"/>
      <c r="H526" s="562" t="s">
        <v>9205</v>
      </c>
      <c r="I526" s="562" t="s">
        <v>9206</v>
      </c>
      <c r="J526" s="284"/>
      <c r="K526" s="562">
        <v>2.0</v>
      </c>
      <c r="L526" s="284"/>
    </row>
    <row r="527">
      <c r="A527" s="562" t="s">
        <v>9006</v>
      </c>
      <c r="B527" s="563">
        <v>0.6438194444444445</v>
      </c>
      <c r="C527" s="562" t="s">
        <v>9207</v>
      </c>
      <c r="D527" s="284"/>
      <c r="E527" s="562">
        <v>923008830909</v>
      </c>
      <c r="F527" s="562" t="s">
        <v>6875</v>
      </c>
      <c r="G527" s="284"/>
      <c r="H527" s="284"/>
      <c r="I527" s="562" t="s">
        <v>9208</v>
      </c>
      <c r="J527" s="284"/>
      <c r="K527" s="562">
        <v>1.0</v>
      </c>
      <c r="L527" s="284"/>
    </row>
    <row r="528">
      <c r="A528" s="562" t="s">
        <v>9006</v>
      </c>
      <c r="B528" s="563">
        <v>0.6439351851851852</v>
      </c>
      <c r="C528" s="562" t="s">
        <v>9209</v>
      </c>
      <c r="D528" s="284"/>
      <c r="E528" s="562">
        <v>923485921742</v>
      </c>
      <c r="F528" s="562" t="s">
        <v>6939</v>
      </c>
      <c r="G528" s="562" t="s">
        <v>9210</v>
      </c>
      <c r="H528" s="562" t="s">
        <v>9211</v>
      </c>
      <c r="I528" s="562" t="s">
        <v>9212</v>
      </c>
      <c r="J528" s="562" t="s">
        <v>9199</v>
      </c>
      <c r="K528" s="562">
        <v>4.0</v>
      </c>
      <c r="L528" s="284"/>
    </row>
    <row r="529">
      <c r="A529" s="562" t="s">
        <v>9006</v>
      </c>
      <c r="B529" s="563">
        <v>0.740011574074074</v>
      </c>
      <c r="C529" s="562" t="s">
        <v>9213</v>
      </c>
      <c r="D529" s="284"/>
      <c r="E529" s="562">
        <v>923186327698</v>
      </c>
      <c r="F529" s="562" t="s">
        <v>6875</v>
      </c>
      <c r="G529" s="562" t="s">
        <v>9214</v>
      </c>
      <c r="H529" s="284"/>
      <c r="I529" s="284"/>
      <c r="J529" s="284"/>
      <c r="K529" s="562">
        <v>1.0</v>
      </c>
      <c r="L529" s="562" t="s">
        <v>372</v>
      </c>
    </row>
    <row r="530">
      <c r="A530" s="562" t="s">
        <v>9006</v>
      </c>
      <c r="B530" s="563">
        <v>0.7401041666666667</v>
      </c>
      <c r="C530" s="562" t="s">
        <v>9215</v>
      </c>
      <c r="D530" s="284"/>
      <c r="E530" s="562">
        <v>923130960935</v>
      </c>
      <c r="F530" s="562" t="s">
        <v>6875</v>
      </c>
      <c r="G530" s="562" t="s">
        <v>9216</v>
      </c>
      <c r="H530" s="562" t="s">
        <v>9217</v>
      </c>
      <c r="I530" s="562" t="s">
        <v>9218</v>
      </c>
      <c r="J530" s="562" t="s">
        <v>9219</v>
      </c>
      <c r="K530" s="562">
        <v>4.0</v>
      </c>
      <c r="L530" s="562" t="s">
        <v>685</v>
      </c>
    </row>
    <row r="531">
      <c r="A531" s="562" t="s">
        <v>9006</v>
      </c>
      <c r="B531" s="563">
        <v>0.7401851851851852</v>
      </c>
      <c r="C531" s="562" t="s">
        <v>9220</v>
      </c>
      <c r="D531" s="284"/>
      <c r="E531" s="562">
        <v>923000898772</v>
      </c>
      <c r="F531" s="562" t="s">
        <v>6939</v>
      </c>
      <c r="G531" s="562" t="s">
        <v>9221</v>
      </c>
      <c r="H531" s="562" t="s">
        <v>9222</v>
      </c>
      <c r="I531" s="562" t="s">
        <v>9223</v>
      </c>
      <c r="J531" s="562" t="s">
        <v>9199</v>
      </c>
      <c r="K531" s="562">
        <v>4.0</v>
      </c>
      <c r="L531" s="562" t="s">
        <v>685</v>
      </c>
    </row>
    <row r="532">
      <c r="A532" s="562" t="s">
        <v>9006</v>
      </c>
      <c r="B532" s="563">
        <v>0.7404166666666666</v>
      </c>
      <c r="C532" s="562" t="s">
        <v>9224</v>
      </c>
      <c r="D532" s="284"/>
      <c r="E532" s="562">
        <v>923074404844</v>
      </c>
      <c r="F532" s="562" t="s">
        <v>6875</v>
      </c>
      <c r="G532" s="562" t="s">
        <v>9225</v>
      </c>
      <c r="H532" s="284"/>
      <c r="I532" s="284"/>
      <c r="J532" s="284"/>
      <c r="K532" s="562">
        <v>1.0</v>
      </c>
      <c r="L532" s="284"/>
    </row>
    <row r="533">
      <c r="A533" s="562" t="s">
        <v>9006</v>
      </c>
      <c r="B533" s="563">
        <v>0.7405208333333333</v>
      </c>
      <c r="C533" s="562" t="s">
        <v>9226</v>
      </c>
      <c r="D533" s="562" t="s">
        <v>6886</v>
      </c>
      <c r="E533" s="566" t="s">
        <v>9227</v>
      </c>
      <c r="F533" s="562" t="s">
        <v>6982</v>
      </c>
      <c r="G533" s="562" t="s">
        <v>9228</v>
      </c>
      <c r="H533" s="562" t="s">
        <v>9229</v>
      </c>
      <c r="I533" s="562" t="s">
        <v>9230</v>
      </c>
      <c r="J533" s="562" t="s">
        <v>9231</v>
      </c>
      <c r="K533" s="562">
        <v>4.0</v>
      </c>
      <c r="L533" s="562" t="s">
        <v>9232</v>
      </c>
    </row>
    <row r="534">
      <c r="A534" s="562" t="s">
        <v>9006</v>
      </c>
      <c r="B534" s="563">
        <v>0.7406365740740741</v>
      </c>
      <c r="C534" s="562" t="s">
        <v>9233</v>
      </c>
      <c r="D534" s="284"/>
      <c r="E534" s="562">
        <v>923415694345</v>
      </c>
      <c r="F534" s="562" t="s">
        <v>6939</v>
      </c>
      <c r="G534" s="562" t="s">
        <v>9234</v>
      </c>
      <c r="H534" s="562" t="s">
        <v>9235</v>
      </c>
      <c r="I534" s="562" t="s">
        <v>9236</v>
      </c>
      <c r="J534" s="562" t="s">
        <v>9199</v>
      </c>
      <c r="K534" s="562">
        <v>4.0</v>
      </c>
      <c r="L534" s="284"/>
    </row>
    <row r="535">
      <c r="A535" s="562" t="s">
        <v>9237</v>
      </c>
      <c r="B535" s="563">
        <v>0.4202662037037037</v>
      </c>
      <c r="C535" s="562" t="s">
        <v>9238</v>
      </c>
      <c r="D535" s="284"/>
      <c r="E535" s="562">
        <v>923095684269</v>
      </c>
      <c r="F535" s="562" t="s">
        <v>6939</v>
      </c>
      <c r="G535" s="562" t="s">
        <v>9239</v>
      </c>
      <c r="H535" s="562" t="s">
        <v>9240</v>
      </c>
      <c r="I535" s="562" t="s">
        <v>9241</v>
      </c>
      <c r="J535" s="562" t="s">
        <v>9242</v>
      </c>
      <c r="K535" s="562">
        <v>4.0</v>
      </c>
      <c r="L535" s="562" t="s">
        <v>9243</v>
      </c>
    </row>
    <row r="536">
      <c r="A536" s="562" t="s">
        <v>9237</v>
      </c>
      <c r="B536" s="563">
        <v>0.4214699074074074</v>
      </c>
      <c r="C536" s="562" t="s">
        <v>9244</v>
      </c>
      <c r="D536" s="284"/>
      <c r="E536" s="562">
        <v>923221179675</v>
      </c>
      <c r="F536" s="562" t="s">
        <v>7291</v>
      </c>
      <c r="G536" s="562" t="s">
        <v>9245</v>
      </c>
      <c r="H536" s="562" t="s">
        <v>9246</v>
      </c>
      <c r="I536" s="562" t="s">
        <v>9247</v>
      </c>
      <c r="J536" s="562" t="s">
        <v>9248</v>
      </c>
      <c r="K536" s="562">
        <v>4.0</v>
      </c>
      <c r="L536" s="562" t="s">
        <v>685</v>
      </c>
    </row>
    <row r="537">
      <c r="A537" s="562" t="s">
        <v>9237</v>
      </c>
      <c r="B537" s="563">
        <v>0.4216087962962963</v>
      </c>
      <c r="C537" s="562" t="s">
        <v>9249</v>
      </c>
      <c r="D537" s="284"/>
      <c r="E537" s="562">
        <v>923488885916</v>
      </c>
      <c r="F537" s="562" t="s">
        <v>6875</v>
      </c>
      <c r="G537" s="284"/>
      <c r="H537" s="562" t="s">
        <v>9250</v>
      </c>
      <c r="I537" s="284"/>
      <c r="J537" s="284"/>
      <c r="K537" s="562">
        <v>1.0</v>
      </c>
      <c r="L537" s="284"/>
    </row>
    <row r="538">
      <c r="A538" s="562" t="s">
        <v>9237</v>
      </c>
      <c r="B538" s="563">
        <v>0.4217476851851852</v>
      </c>
      <c r="C538" s="562" t="s">
        <v>9251</v>
      </c>
      <c r="D538" s="284"/>
      <c r="E538" s="562">
        <v>923473033510</v>
      </c>
      <c r="F538" s="562" t="s">
        <v>6939</v>
      </c>
      <c r="G538" s="562" t="s">
        <v>9210</v>
      </c>
      <c r="H538" s="562" t="s">
        <v>9252</v>
      </c>
      <c r="I538" s="562" t="s">
        <v>9253</v>
      </c>
      <c r="J538" s="562" t="s">
        <v>9254</v>
      </c>
      <c r="K538" s="562">
        <v>4.0</v>
      </c>
      <c r="L538" s="284"/>
    </row>
    <row r="539">
      <c r="A539" s="562" t="s">
        <v>9237</v>
      </c>
      <c r="B539" s="563">
        <v>0.4219212962962963</v>
      </c>
      <c r="C539" s="562" t="s">
        <v>9255</v>
      </c>
      <c r="D539" s="284"/>
      <c r="E539" s="562">
        <v>923142647806</v>
      </c>
      <c r="F539" s="562" t="s">
        <v>6875</v>
      </c>
      <c r="G539" s="562" t="s">
        <v>9256</v>
      </c>
      <c r="H539" s="562" t="s">
        <v>9257</v>
      </c>
      <c r="I539" s="562" t="s">
        <v>9258</v>
      </c>
      <c r="J539" s="562" t="s">
        <v>9259</v>
      </c>
      <c r="K539" s="562">
        <v>4.0</v>
      </c>
      <c r="L539" s="284"/>
    </row>
    <row r="540">
      <c r="A540" s="562" t="s">
        <v>9237</v>
      </c>
      <c r="B540" s="563">
        <v>0.4220601851851852</v>
      </c>
      <c r="C540" s="562" t="s">
        <v>9260</v>
      </c>
      <c r="D540" s="284"/>
      <c r="E540" s="562">
        <v>923165626244</v>
      </c>
      <c r="F540" s="562" t="s">
        <v>7291</v>
      </c>
      <c r="G540" s="562" t="s">
        <v>9261</v>
      </c>
      <c r="H540" s="562" t="s">
        <v>9262</v>
      </c>
      <c r="I540" s="562" t="s">
        <v>9263</v>
      </c>
      <c r="J540" s="562" t="s">
        <v>9264</v>
      </c>
      <c r="K540" s="562">
        <v>4.0</v>
      </c>
      <c r="L540" s="284"/>
    </row>
    <row r="541">
      <c r="A541" s="562" t="s">
        <v>9237</v>
      </c>
      <c r="B541" s="563">
        <v>0.4221875</v>
      </c>
      <c r="C541" s="562" t="s">
        <v>9265</v>
      </c>
      <c r="D541" s="284"/>
      <c r="E541" s="562">
        <v>923131503987</v>
      </c>
      <c r="F541" s="562" t="s">
        <v>6939</v>
      </c>
      <c r="G541" s="562" t="s">
        <v>9210</v>
      </c>
      <c r="H541" s="562" t="s">
        <v>9266</v>
      </c>
      <c r="I541" s="562" t="s">
        <v>9267</v>
      </c>
      <c r="J541" s="562" t="s">
        <v>9268</v>
      </c>
      <c r="K541" s="562">
        <v>4.0</v>
      </c>
      <c r="L541" s="562" t="s">
        <v>9269</v>
      </c>
    </row>
    <row r="542">
      <c r="A542" s="562" t="s">
        <v>9237</v>
      </c>
      <c r="B542" s="563">
        <v>0.42226851851851854</v>
      </c>
      <c r="C542" s="562" t="s">
        <v>9270</v>
      </c>
      <c r="D542" s="284"/>
      <c r="E542" s="562">
        <f>923152731575</f>
        <v>923152731575</v>
      </c>
      <c r="F542" s="562" t="s">
        <v>6888</v>
      </c>
      <c r="G542" s="284"/>
      <c r="H542" s="562" t="s">
        <v>9271</v>
      </c>
      <c r="I542" s="562" t="s">
        <v>9272</v>
      </c>
      <c r="J542" s="562" t="s">
        <v>9273</v>
      </c>
      <c r="K542" s="562">
        <v>3.0</v>
      </c>
      <c r="L542" s="562" t="s">
        <v>9274</v>
      </c>
    </row>
    <row r="543">
      <c r="A543" s="562" t="s">
        <v>9237</v>
      </c>
      <c r="B543" s="563">
        <v>0.42238425925925926</v>
      </c>
      <c r="C543" s="562" t="s">
        <v>9275</v>
      </c>
      <c r="D543" s="284"/>
      <c r="E543" s="562">
        <v>923415055485</v>
      </c>
      <c r="F543" s="562" t="s">
        <v>6939</v>
      </c>
      <c r="G543" s="562" t="s">
        <v>9210</v>
      </c>
      <c r="H543" s="562" t="s">
        <v>9276</v>
      </c>
      <c r="I543" s="562" t="s">
        <v>9277</v>
      </c>
      <c r="J543" s="562" t="s">
        <v>9278</v>
      </c>
      <c r="K543" s="562">
        <v>4.0</v>
      </c>
      <c r="L543" s="284"/>
    </row>
    <row r="544">
      <c r="A544" s="562" t="s">
        <v>9237</v>
      </c>
      <c r="B544" s="563">
        <v>0.42248842592592595</v>
      </c>
      <c r="C544" s="562" t="s">
        <v>9279</v>
      </c>
      <c r="D544" s="284"/>
      <c r="E544" s="562">
        <f>923302498820</f>
        <v>923302498820</v>
      </c>
      <c r="F544" s="562" t="s">
        <v>6888</v>
      </c>
      <c r="G544" s="284"/>
      <c r="H544" s="562" t="s">
        <v>9280</v>
      </c>
      <c r="I544" s="562" t="s">
        <v>9281</v>
      </c>
      <c r="J544" s="562" t="s">
        <v>9282</v>
      </c>
      <c r="K544" s="562">
        <v>3.0</v>
      </c>
      <c r="L544" s="562" t="s">
        <v>9283</v>
      </c>
    </row>
    <row r="545">
      <c r="A545" s="562" t="s">
        <v>9237</v>
      </c>
      <c r="B545" s="563">
        <v>0.42260416666666667</v>
      </c>
      <c r="C545" s="562" t="s">
        <v>9284</v>
      </c>
      <c r="D545" s="284"/>
      <c r="E545" s="562">
        <v>923135729959</v>
      </c>
      <c r="F545" s="562" t="s">
        <v>6939</v>
      </c>
      <c r="G545" s="562" t="s">
        <v>9210</v>
      </c>
      <c r="H545" s="562" t="s">
        <v>9285</v>
      </c>
      <c r="I545" s="562" t="s">
        <v>9286</v>
      </c>
      <c r="J545" s="562" t="s">
        <v>9287</v>
      </c>
      <c r="K545" s="562">
        <v>4.0</v>
      </c>
      <c r="L545" s="284"/>
    </row>
    <row r="546">
      <c r="A546" s="562" t="s">
        <v>9237</v>
      </c>
      <c r="B546" s="563">
        <v>0.42270833333333335</v>
      </c>
      <c r="C546" s="562" t="s">
        <v>9288</v>
      </c>
      <c r="D546" s="284"/>
      <c r="E546" s="562">
        <v>923145014656</v>
      </c>
      <c r="F546" s="562" t="s">
        <v>6875</v>
      </c>
      <c r="G546" s="562" t="s">
        <v>9289</v>
      </c>
      <c r="H546" s="284"/>
      <c r="I546" s="562" t="s">
        <v>9290</v>
      </c>
      <c r="J546" s="562" t="s">
        <v>9291</v>
      </c>
      <c r="K546" s="562">
        <v>3.0</v>
      </c>
      <c r="L546" s="562" t="s">
        <v>712</v>
      </c>
    </row>
    <row r="547">
      <c r="A547" s="562" t="s">
        <v>9237</v>
      </c>
      <c r="B547" s="563">
        <v>0.42278935185185185</v>
      </c>
      <c r="C547" s="562" t="s">
        <v>9292</v>
      </c>
      <c r="D547" s="284"/>
      <c r="E547" s="562">
        <v>923376202928</v>
      </c>
      <c r="F547" s="562" t="s">
        <v>6875</v>
      </c>
      <c r="G547" s="562" t="s">
        <v>9293</v>
      </c>
      <c r="H547" s="284"/>
      <c r="I547" s="562" t="s">
        <v>9294</v>
      </c>
      <c r="J547" s="562" t="s">
        <v>9295</v>
      </c>
      <c r="K547" s="562">
        <v>3.0</v>
      </c>
      <c r="L547" s="284"/>
    </row>
    <row r="548">
      <c r="A548" s="562" t="s">
        <v>9237</v>
      </c>
      <c r="B548" s="563">
        <v>0.42300925925925925</v>
      </c>
      <c r="C548" s="562" t="s">
        <v>9296</v>
      </c>
      <c r="D548" s="284"/>
      <c r="E548" s="562">
        <v>923477486396</v>
      </c>
      <c r="F548" s="562" t="s">
        <v>6939</v>
      </c>
      <c r="G548" s="562" t="s">
        <v>9297</v>
      </c>
      <c r="H548" s="562" t="s">
        <v>9298</v>
      </c>
      <c r="I548" s="562" t="s">
        <v>9299</v>
      </c>
      <c r="J548" s="562" t="s">
        <v>9300</v>
      </c>
      <c r="K548" s="562">
        <v>4.0</v>
      </c>
      <c r="L548" s="284"/>
    </row>
    <row r="549">
      <c r="A549" s="562" t="s">
        <v>9237</v>
      </c>
      <c r="B549" s="563">
        <v>0.42358796296296297</v>
      </c>
      <c r="C549" s="562" t="s">
        <v>9301</v>
      </c>
      <c r="D549" s="284"/>
      <c r="E549" s="562">
        <v>923046646395</v>
      </c>
      <c r="F549" s="562" t="s">
        <v>9302</v>
      </c>
      <c r="G549" s="562" t="s">
        <v>9303</v>
      </c>
      <c r="H549" s="562" t="s">
        <v>9304</v>
      </c>
      <c r="I549" s="562" t="s">
        <v>9305</v>
      </c>
      <c r="J549" s="562" t="s">
        <v>9306</v>
      </c>
      <c r="K549" s="562">
        <v>4.0</v>
      </c>
      <c r="L549" s="562" t="s">
        <v>7312</v>
      </c>
    </row>
    <row r="550">
      <c r="A550" s="562" t="s">
        <v>9237</v>
      </c>
      <c r="B550" s="563">
        <v>0.42394675925925923</v>
      </c>
      <c r="C550" s="562" t="s">
        <v>9307</v>
      </c>
      <c r="D550" s="284"/>
      <c r="E550" s="562">
        <v>923555103815</v>
      </c>
      <c r="F550" s="562" t="s">
        <v>6939</v>
      </c>
      <c r="G550" s="562" t="s">
        <v>9308</v>
      </c>
      <c r="H550" s="562" t="s">
        <v>9309</v>
      </c>
      <c r="I550" s="562" t="s">
        <v>9310</v>
      </c>
      <c r="J550" s="562" t="s">
        <v>9311</v>
      </c>
      <c r="K550" s="562">
        <v>4.0</v>
      </c>
      <c r="L550" s="284"/>
    </row>
    <row r="551">
      <c r="A551" s="562" t="s">
        <v>9237</v>
      </c>
      <c r="B551" s="563">
        <v>0.4240509259259259</v>
      </c>
      <c r="C551" s="562" t="s">
        <v>9312</v>
      </c>
      <c r="D551" s="284"/>
      <c r="E551" s="562">
        <v>923226569051</v>
      </c>
      <c r="F551" s="562" t="s">
        <v>6875</v>
      </c>
      <c r="G551" s="562" t="s">
        <v>9313</v>
      </c>
      <c r="H551" s="562" t="s">
        <v>9314</v>
      </c>
      <c r="I551" s="562" t="s">
        <v>9315</v>
      </c>
      <c r="J551" s="562" t="s">
        <v>9316</v>
      </c>
      <c r="K551" s="562">
        <v>4.0</v>
      </c>
      <c r="L551" s="562" t="s">
        <v>6944</v>
      </c>
    </row>
    <row r="552">
      <c r="A552" s="562" t="s">
        <v>9237</v>
      </c>
      <c r="B552" s="563">
        <v>0.42417824074074073</v>
      </c>
      <c r="C552" s="562" t="s">
        <v>9317</v>
      </c>
      <c r="D552" s="284"/>
      <c r="E552" s="562">
        <v>923305538615</v>
      </c>
      <c r="F552" s="562" t="s">
        <v>6939</v>
      </c>
      <c r="G552" s="562" t="s">
        <v>9318</v>
      </c>
      <c r="H552" s="562" t="s">
        <v>9319</v>
      </c>
      <c r="I552" s="562" t="s">
        <v>9320</v>
      </c>
      <c r="J552" s="562" t="s">
        <v>9321</v>
      </c>
      <c r="K552" s="562">
        <v>4.0</v>
      </c>
      <c r="L552" s="284"/>
    </row>
    <row r="553">
      <c r="A553" s="562" t="s">
        <v>9237</v>
      </c>
      <c r="B553" s="563">
        <v>0.4243402777777778</v>
      </c>
      <c r="C553" s="562" t="s">
        <v>9322</v>
      </c>
      <c r="D553" s="284"/>
      <c r="E553" s="562">
        <v>923215845112</v>
      </c>
      <c r="F553" s="562" t="s">
        <v>6939</v>
      </c>
      <c r="G553" s="562" t="s">
        <v>9323</v>
      </c>
      <c r="H553" s="562" t="s">
        <v>9324</v>
      </c>
      <c r="I553" s="562" t="s">
        <v>9325</v>
      </c>
      <c r="J553" s="562" t="s">
        <v>9326</v>
      </c>
      <c r="K553" s="562">
        <v>4.0</v>
      </c>
      <c r="L553" s="284"/>
    </row>
    <row r="554">
      <c r="A554" s="562" t="s">
        <v>9237</v>
      </c>
      <c r="B554" s="563">
        <v>0.4245601851851852</v>
      </c>
      <c r="C554" s="562" t="s">
        <v>9327</v>
      </c>
      <c r="D554" s="284"/>
      <c r="E554" s="562">
        <v>923020447680</v>
      </c>
      <c r="F554" s="562" t="s">
        <v>6939</v>
      </c>
      <c r="G554" s="562" t="s">
        <v>9328</v>
      </c>
      <c r="H554" s="562" t="s">
        <v>9329</v>
      </c>
      <c r="I554" s="562" t="s">
        <v>9330</v>
      </c>
      <c r="J554" s="562" t="s">
        <v>9331</v>
      </c>
      <c r="K554" s="562">
        <v>4.0</v>
      </c>
      <c r="L554" s="284"/>
    </row>
    <row r="555">
      <c r="A555" s="562" t="s">
        <v>9237</v>
      </c>
      <c r="B555" s="563">
        <v>0.42471064814814813</v>
      </c>
      <c r="C555" s="562" t="s">
        <v>9332</v>
      </c>
      <c r="D555" s="284"/>
      <c r="E555" s="562">
        <v>923447674226</v>
      </c>
      <c r="F555" s="562" t="s">
        <v>6875</v>
      </c>
      <c r="G555" s="284"/>
      <c r="H555" s="562" t="s">
        <v>9333</v>
      </c>
      <c r="I555" s="284"/>
      <c r="J555" s="284"/>
      <c r="K555" s="562">
        <v>1.0</v>
      </c>
      <c r="L555" s="562" t="s">
        <v>372</v>
      </c>
    </row>
    <row r="556">
      <c r="A556" s="562" t="s">
        <v>9237</v>
      </c>
      <c r="B556" s="563">
        <v>0.42486111111111113</v>
      </c>
      <c r="C556" s="562" t="s">
        <v>9334</v>
      </c>
      <c r="D556" s="284"/>
      <c r="E556" s="562">
        <v>923341717276</v>
      </c>
      <c r="F556" s="562" t="s">
        <v>6939</v>
      </c>
      <c r="G556" s="562" t="s">
        <v>9335</v>
      </c>
      <c r="H556" s="562" t="s">
        <v>9336</v>
      </c>
      <c r="I556" s="562" t="s">
        <v>9337</v>
      </c>
      <c r="J556" s="562" t="s">
        <v>9338</v>
      </c>
      <c r="K556" s="562">
        <v>4.0</v>
      </c>
      <c r="L556" s="562" t="s">
        <v>685</v>
      </c>
    </row>
    <row r="557">
      <c r="A557" s="562" t="s">
        <v>9237</v>
      </c>
      <c r="B557" s="563">
        <v>0.42498842592592595</v>
      </c>
      <c r="C557" s="562" t="s">
        <v>9339</v>
      </c>
      <c r="D557" s="284"/>
      <c r="E557" s="562">
        <v>923429634186</v>
      </c>
      <c r="F557" s="562" t="s">
        <v>6875</v>
      </c>
      <c r="G557" s="284"/>
      <c r="H557" s="562" t="s">
        <v>9340</v>
      </c>
      <c r="I557" s="284"/>
      <c r="J557" s="284"/>
      <c r="K557" s="562">
        <v>1.0</v>
      </c>
      <c r="L557" s="284"/>
    </row>
    <row r="558">
      <c r="A558" s="562" t="s">
        <v>9237</v>
      </c>
      <c r="B558" s="563">
        <v>0.42527777777777775</v>
      </c>
      <c r="C558" s="562" t="s">
        <v>9341</v>
      </c>
      <c r="D558" s="284"/>
      <c r="E558" s="562">
        <v>923107328588</v>
      </c>
      <c r="F558" s="562" t="s">
        <v>6939</v>
      </c>
      <c r="G558" s="562" t="s">
        <v>9342</v>
      </c>
      <c r="H558" s="562" t="s">
        <v>9343</v>
      </c>
      <c r="I558" s="562" t="s">
        <v>9344</v>
      </c>
      <c r="J558" s="562" t="s">
        <v>9345</v>
      </c>
      <c r="K558" s="562">
        <v>4.0</v>
      </c>
      <c r="L558" s="284"/>
    </row>
    <row r="559">
      <c r="A559" s="562" t="s">
        <v>9237</v>
      </c>
      <c r="B559" s="563">
        <v>0.42540509259259257</v>
      </c>
      <c r="C559" s="562" t="s">
        <v>9346</v>
      </c>
      <c r="D559" s="284"/>
      <c r="E559" s="562">
        <v>923352092220</v>
      </c>
      <c r="F559" s="562" t="s">
        <v>7291</v>
      </c>
      <c r="G559" s="562" t="s">
        <v>9347</v>
      </c>
      <c r="H559" s="562" t="s">
        <v>9348</v>
      </c>
      <c r="I559" s="562" t="s">
        <v>9349</v>
      </c>
      <c r="J559" s="562" t="s">
        <v>9350</v>
      </c>
      <c r="K559" s="562">
        <v>4.0</v>
      </c>
      <c r="L559" s="562" t="s">
        <v>6944</v>
      </c>
    </row>
    <row r="560">
      <c r="A560" s="562" t="s">
        <v>9237</v>
      </c>
      <c r="B560" s="563">
        <v>0.4255324074074074</v>
      </c>
      <c r="C560" s="562" t="s">
        <v>9351</v>
      </c>
      <c r="D560" s="284"/>
      <c r="E560" s="562">
        <v>923703834515</v>
      </c>
      <c r="F560" s="562" t="s">
        <v>6875</v>
      </c>
      <c r="G560" s="284"/>
      <c r="H560" s="562" t="s">
        <v>9352</v>
      </c>
      <c r="I560" s="284"/>
      <c r="J560" s="284"/>
      <c r="K560" s="562">
        <v>1.0</v>
      </c>
      <c r="L560" s="562" t="s">
        <v>372</v>
      </c>
    </row>
    <row r="561">
      <c r="A561" s="562" t="s">
        <v>9237</v>
      </c>
      <c r="B561" s="563">
        <v>0.42564814814814816</v>
      </c>
      <c r="C561" s="562" t="s">
        <v>9353</v>
      </c>
      <c r="D561" s="284"/>
      <c r="E561" s="562">
        <v>923483530434</v>
      </c>
      <c r="F561" s="562" t="s">
        <v>6875</v>
      </c>
      <c r="G561" s="284"/>
      <c r="H561" s="562" t="s">
        <v>9354</v>
      </c>
      <c r="I561" s="284"/>
      <c r="J561" s="562" t="s">
        <v>9355</v>
      </c>
      <c r="K561" s="562">
        <v>2.0</v>
      </c>
      <c r="L561" s="562" t="s">
        <v>685</v>
      </c>
    </row>
    <row r="562">
      <c r="A562" s="562" t="s">
        <v>9237</v>
      </c>
      <c r="B562" s="563">
        <v>0.425787037037037</v>
      </c>
      <c r="C562" s="562" t="s">
        <v>9356</v>
      </c>
      <c r="D562" s="284"/>
      <c r="E562" s="562">
        <v>923469173454</v>
      </c>
      <c r="F562" s="562" t="s">
        <v>6875</v>
      </c>
      <c r="G562" s="284"/>
      <c r="H562" s="562" t="s">
        <v>9357</v>
      </c>
      <c r="I562" s="284"/>
      <c r="J562" s="284"/>
      <c r="K562" s="562">
        <v>1.0</v>
      </c>
      <c r="L562" s="284"/>
    </row>
    <row r="563">
      <c r="A563" s="562" t="s">
        <v>9237</v>
      </c>
      <c r="B563" s="563">
        <v>0.42606481481481484</v>
      </c>
      <c r="C563" s="562" t="s">
        <v>9358</v>
      </c>
      <c r="D563" s="284"/>
      <c r="E563" s="562">
        <v>923335593713</v>
      </c>
      <c r="F563" s="562" t="s">
        <v>6939</v>
      </c>
      <c r="G563" s="562" t="s">
        <v>9359</v>
      </c>
      <c r="H563" s="562" t="s">
        <v>9360</v>
      </c>
      <c r="I563" s="562" t="s">
        <v>9361</v>
      </c>
      <c r="J563" s="562" t="s">
        <v>9362</v>
      </c>
      <c r="K563" s="562">
        <v>4.0</v>
      </c>
      <c r="L563" s="284"/>
    </row>
    <row r="564">
      <c r="A564" s="562" t="s">
        <v>9237</v>
      </c>
      <c r="B564" s="563">
        <v>0.4262152777777778</v>
      </c>
      <c r="C564" s="562" t="s">
        <v>9363</v>
      </c>
      <c r="D564" s="284"/>
      <c r="E564" s="562">
        <v>923433100314</v>
      </c>
      <c r="F564" s="562" t="s">
        <v>6939</v>
      </c>
      <c r="G564" s="562" t="s">
        <v>9364</v>
      </c>
      <c r="H564" s="562" t="s">
        <v>9365</v>
      </c>
      <c r="I564" s="562" t="s">
        <v>9366</v>
      </c>
      <c r="J564" s="562" t="s">
        <v>9367</v>
      </c>
      <c r="K564" s="562">
        <v>4.0</v>
      </c>
      <c r="L564" s="284"/>
    </row>
    <row r="565">
      <c r="A565" s="562" t="s">
        <v>9237</v>
      </c>
      <c r="B565" s="563">
        <v>0.42637731481481483</v>
      </c>
      <c r="C565" s="562" t="s">
        <v>9368</v>
      </c>
      <c r="D565" s="284"/>
      <c r="E565" s="562">
        <v>923159955002</v>
      </c>
      <c r="F565" s="562" t="s">
        <v>6875</v>
      </c>
      <c r="G565" s="284"/>
      <c r="H565" s="562" t="s">
        <v>9369</v>
      </c>
      <c r="I565" s="562" t="s">
        <v>9370</v>
      </c>
      <c r="J565" s="562" t="s">
        <v>9371</v>
      </c>
      <c r="K565" s="562">
        <v>3.0</v>
      </c>
      <c r="L565" s="284"/>
    </row>
    <row r="566">
      <c r="A566" s="562" t="s">
        <v>9237</v>
      </c>
      <c r="B566" s="563">
        <v>0.4266898148148148</v>
      </c>
      <c r="C566" s="562" t="s">
        <v>9372</v>
      </c>
      <c r="D566" s="284"/>
      <c r="E566" s="562">
        <v>923323157930</v>
      </c>
      <c r="F566" s="562" t="s">
        <v>6875</v>
      </c>
      <c r="G566" s="562" t="s">
        <v>9373</v>
      </c>
      <c r="H566" s="562" t="s">
        <v>9373</v>
      </c>
      <c r="I566" s="562" t="s">
        <v>9374</v>
      </c>
      <c r="J566" s="562" t="s">
        <v>9375</v>
      </c>
      <c r="K566" s="562">
        <v>4.0</v>
      </c>
      <c r="L566" s="562" t="s">
        <v>372</v>
      </c>
    </row>
    <row r="567">
      <c r="A567" s="562" t="s">
        <v>9237</v>
      </c>
      <c r="B567" s="563">
        <v>0.4268287037037037</v>
      </c>
      <c r="C567" s="562" t="s">
        <v>9376</v>
      </c>
      <c r="D567" s="284"/>
      <c r="E567" s="562">
        <v>923041399295</v>
      </c>
      <c r="F567" s="562" t="s">
        <v>6875</v>
      </c>
      <c r="G567" s="562" t="s">
        <v>7254</v>
      </c>
      <c r="H567" s="562" t="s">
        <v>9377</v>
      </c>
      <c r="I567" s="562" t="s">
        <v>9378</v>
      </c>
      <c r="J567" s="562" t="s">
        <v>9379</v>
      </c>
      <c r="K567" s="562">
        <v>4.0</v>
      </c>
      <c r="L567" s="562" t="s">
        <v>9380</v>
      </c>
    </row>
    <row r="568">
      <c r="A568" s="562" t="s">
        <v>9237</v>
      </c>
      <c r="B568" s="563">
        <v>0.4271759259259259</v>
      </c>
      <c r="C568" s="562" t="s">
        <v>9381</v>
      </c>
      <c r="D568" s="284"/>
      <c r="E568" s="562">
        <v>923491465776</v>
      </c>
      <c r="F568" s="562" t="s">
        <v>6982</v>
      </c>
      <c r="G568" s="562" t="s">
        <v>7254</v>
      </c>
      <c r="H568" s="562" t="s">
        <v>9382</v>
      </c>
      <c r="I568" s="562" t="s">
        <v>9383</v>
      </c>
      <c r="J568" s="562" t="s">
        <v>9384</v>
      </c>
      <c r="K568" s="562">
        <v>4.0</v>
      </c>
      <c r="L568" s="562" t="s">
        <v>9385</v>
      </c>
    </row>
    <row r="569">
      <c r="A569" s="562" t="s">
        <v>9237</v>
      </c>
      <c r="B569" s="563">
        <v>0.46822916666666664</v>
      </c>
      <c r="C569" s="562" t="s">
        <v>9386</v>
      </c>
      <c r="D569" s="284"/>
      <c r="E569" s="562">
        <v>923165109147</v>
      </c>
      <c r="F569" s="562" t="s">
        <v>6875</v>
      </c>
      <c r="G569" s="284"/>
      <c r="H569" s="562" t="s">
        <v>9387</v>
      </c>
      <c r="I569" s="284"/>
      <c r="J569" s="284"/>
      <c r="K569" s="562">
        <v>1.0</v>
      </c>
      <c r="L569" s="284"/>
    </row>
    <row r="570">
      <c r="A570" s="562" t="s">
        <v>9237</v>
      </c>
      <c r="B570" s="563">
        <v>0.4857060185185185</v>
      </c>
      <c r="C570" s="562" t="s">
        <v>9388</v>
      </c>
      <c r="D570" s="284"/>
      <c r="E570" s="562">
        <v>923470737625</v>
      </c>
      <c r="F570" s="562" t="s">
        <v>6939</v>
      </c>
      <c r="G570" s="562" t="s">
        <v>9373</v>
      </c>
      <c r="H570" s="562" t="s">
        <v>9389</v>
      </c>
      <c r="I570" s="562" t="s">
        <v>9390</v>
      </c>
      <c r="J570" s="562" t="s">
        <v>9391</v>
      </c>
      <c r="K570" s="562">
        <v>4.0</v>
      </c>
      <c r="L570" s="284"/>
    </row>
    <row r="571">
      <c r="A571" s="562" t="s">
        <v>9237</v>
      </c>
      <c r="B571" s="563">
        <v>0.491875</v>
      </c>
      <c r="C571" s="562" t="s">
        <v>9392</v>
      </c>
      <c r="D571" s="284"/>
      <c r="E571" s="562">
        <v>923124601180</v>
      </c>
      <c r="F571" s="562" t="s">
        <v>6875</v>
      </c>
      <c r="G571" s="284"/>
      <c r="H571" s="562" t="s">
        <v>9393</v>
      </c>
      <c r="I571" s="562" t="s">
        <v>9394</v>
      </c>
      <c r="J571" s="284"/>
      <c r="K571" s="562">
        <v>2.0</v>
      </c>
      <c r="L571" s="562" t="s">
        <v>9395</v>
      </c>
    </row>
    <row r="572">
      <c r="A572" s="562" t="s">
        <v>9237</v>
      </c>
      <c r="B572" s="563">
        <v>0.49342592592592593</v>
      </c>
      <c r="C572" s="562" t="s">
        <v>9396</v>
      </c>
      <c r="D572" s="284"/>
      <c r="E572" s="562">
        <v>923105539877</v>
      </c>
      <c r="F572" s="562" t="s">
        <v>7291</v>
      </c>
      <c r="G572" s="562" t="s">
        <v>9373</v>
      </c>
      <c r="H572" s="562" t="s">
        <v>9397</v>
      </c>
      <c r="I572" s="562" t="s">
        <v>9398</v>
      </c>
      <c r="J572" s="562" t="s">
        <v>9399</v>
      </c>
      <c r="K572" s="562">
        <v>4.0</v>
      </c>
      <c r="L572" s="284"/>
    </row>
    <row r="573">
      <c r="A573" s="562" t="s">
        <v>9237</v>
      </c>
      <c r="B573" s="563">
        <v>0.5122106481481481</v>
      </c>
      <c r="C573" s="562" t="s">
        <v>9400</v>
      </c>
      <c r="D573" s="284"/>
      <c r="E573" s="562">
        <v>923164141211</v>
      </c>
      <c r="F573" s="562" t="s">
        <v>6875</v>
      </c>
      <c r="G573" s="284"/>
      <c r="H573" s="562" t="s">
        <v>9401</v>
      </c>
      <c r="I573" s="562" t="s">
        <v>9402</v>
      </c>
      <c r="J573" s="562" t="s">
        <v>9403</v>
      </c>
      <c r="K573" s="562">
        <v>3.0</v>
      </c>
      <c r="L573" s="284"/>
    </row>
    <row r="574">
      <c r="A574" s="562" t="s">
        <v>9237</v>
      </c>
      <c r="B574" s="563">
        <v>0.5615393518518519</v>
      </c>
      <c r="C574" s="562" t="s">
        <v>9404</v>
      </c>
      <c r="D574" s="284"/>
      <c r="E574" s="562">
        <v>923435909568</v>
      </c>
      <c r="F574" s="562" t="s">
        <v>6939</v>
      </c>
      <c r="G574" s="562" t="s">
        <v>9373</v>
      </c>
      <c r="H574" s="562" t="s">
        <v>9405</v>
      </c>
      <c r="I574" s="562" t="s">
        <v>9406</v>
      </c>
      <c r="J574" s="562" t="s">
        <v>9407</v>
      </c>
      <c r="K574" s="562">
        <v>4.0</v>
      </c>
      <c r="L574" s="284"/>
    </row>
    <row r="575">
      <c r="A575" s="562" t="s">
        <v>9237</v>
      </c>
      <c r="B575" s="563">
        <v>0.5887962962962963</v>
      </c>
      <c r="C575" s="562" t="s">
        <v>9408</v>
      </c>
      <c r="D575" s="284"/>
      <c r="E575" s="562">
        <v>923044133710</v>
      </c>
      <c r="F575" s="562" t="s">
        <v>6875</v>
      </c>
      <c r="G575" s="284"/>
      <c r="H575" s="562" t="s">
        <v>9409</v>
      </c>
      <c r="I575" s="284"/>
      <c r="J575" s="562" t="s">
        <v>9410</v>
      </c>
      <c r="K575" s="562">
        <v>2.0</v>
      </c>
      <c r="L575" s="562" t="s">
        <v>51</v>
      </c>
    </row>
    <row r="576">
      <c r="A576" s="562" t="s">
        <v>9237</v>
      </c>
      <c r="B576" s="563">
        <v>0.5959027777777778</v>
      </c>
      <c r="C576" s="562" t="s">
        <v>9411</v>
      </c>
      <c r="D576" s="284"/>
      <c r="E576" s="562">
        <v>923409692871</v>
      </c>
      <c r="F576" s="562" t="s">
        <v>6875</v>
      </c>
      <c r="G576" s="284"/>
      <c r="H576" s="284"/>
      <c r="I576" s="562" t="s">
        <v>9412</v>
      </c>
      <c r="J576" s="562" t="s">
        <v>9413</v>
      </c>
      <c r="K576" s="562">
        <v>2.0</v>
      </c>
      <c r="L576" s="284"/>
    </row>
    <row r="577">
      <c r="A577" s="562" t="s">
        <v>9237</v>
      </c>
      <c r="B577" s="563">
        <v>0.624537037037037</v>
      </c>
      <c r="C577" s="562" t="s">
        <v>9414</v>
      </c>
      <c r="D577" s="284"/>
      <c r="E577" s="562">
        <v>923335042000</v>
      </c>
      <c r="F577" s="562" t="s">
        <v>6939</v>
      </c>
      <c r="G577" s="562" t="s">
        <v>9415</v>
      </c>
      <c r="H577" s="562" t="s">
        <v>9360</v>
      </c>
      <c r="I577" s="562" t="s">
        <v>9416</v>
      </c>
      <c r="J577" s="562" t="s">
        <v>9417</v>
      </c>
      <c r="K577" s="562">
        <v>4.0</v>
      </c>
      <c r="L577" s="562" t="s">
        <v>927</v>
      </c>
    </row>
    <row r="578">
      <c r="A578" s="562" t="s">
        <v>9237</v>
      </c>
      <c r="B578" s="563">
        <v>0.66375</v>
      </c>
      <c r="C578" s="562" t="s">
        <v>9418</v>
      </c>
      <c r="D578" s="562" t="s">
        <v>7725</v>
      </c>
      <c r="E578" s="562" t="s">
        <v>9419</v>
      </c>
      <c r="F578" s="562" t="s">
        <v>6939</v>
      </c>
      <c r="G578" s="562" t="s">
        <v>9373</v>
      </c>
      <c r="H578" s="562" t="s">
        <v>9360</v>
      </c>
      <c r="I578" s="562" t="s">
        <v>9420</v>
      </c>
      <c r="J578" s="562" t="s">
        <v>9421</v>
      </c>
      <c r="K578" s="562">
        <v>4.0</v>
      </c>
      <c r="L578" s="562" t="s">
        <v>1178</v>
      </c>
    </row>
    <row r="579">
      <c r="A579" s="562" t="s">
        <v>9237</v>
      </c>
      <c r="B579" s="563">
        <v>0.6666087962962963</v>
      </c>
      <c r="C579" s="562" t="s">
        <v>9422</v>
      </c>
      <c r="D579" s="284"/>
      <c r="E579" s="562">
        <v>923135276837</v>
      </c>
      <c r="F579" s="562" t="s">
        <v>7291</v>
      </c>
      <c r="G579" s="562" t="s">
        <v>9423</v>
      </c>
      <c r="H579" s="562" t="s">
        <v>9424</v>
      </c>
      <c r="I579" s="562" t="s">
        <v>9425</v>
      </c>
      <c r="J579" s="562" t="s">
        <v>9426</v>
      </c>
      <c r="K579" s="562">
        <v>4.0</v>
      </c>
      <c r="L579" s="562" t="s">
        <v>685</v>
      </c>
    </row>
    <row r="580">
      <c r="A580" s="577" t="s">
        <v>9237</v>
      </c>
      <c r="B580" s="578">
        <v>0.6839814814814815</v>
      </c>
      <c r="C580" s="577" t="s">
        <v>9427</v>
      </c>
      <c r="D580" s="579"/>
      <c r="E580" s="577">
        <v>923296584902</v>
      </c>
      <c r="F580" s="562" t="s">
        <v>6939</v>
      </c>
      <c r="G580" s="577" t="s">
        <v>9373</v>
      </c>
      <c r="H580" s="577" t="s">
        <v>9428</v>
      </c>
      <c r="I580" s="577" t="s">
        <v>9429</v>
      </c>
      <c r="J580" s="577" t="s">
        <v>9430</v>
      </c>
      <c r="K580" s="577">
        <v>4.0</v>
      </c>
      <c r="L580" s="579"/>
    </row>
    <row r="581">
      <c r="A581" s="562" t="s">
        <v>9237</v>
      </c>
      <c r="B581" s="563">
        <v>0.7127893518518519</v>
      </c>
      <c r="C581" s="562" t="s">
        <v>9431</v>
      </c>
      <c r="D581" s="284"/>
      <c r="E581" s="562">
        <v>923055177205</v>
      </c>
      <c r="F581" s="562" t="s">
        <v>6939</v>
      </c>
      <c r="G581" s="562" t="s">
        <v>9373</v>
      </c>
      <c r="H581" s="562" t="s">
        <v>9432</v>
      </c>
      <c r="I581" s="562" t="s">
        <v>9433</v>
      </c>
      <c r="J581" s="562" t="s">
        <v>9434</v>
      </c>
      <c r="K581" s="562">
        <v>4.0</v>
      </c>
      <c r="L581" s="284"/>
    </row>
    <row r="582">
      <c r="A582" s="562" t="s">
        <v>9237</v>
      </c>
      <c r="B582" s="563">
        <v>0.7449421296296296</v>
      </c>
      <c r="C582" s="562" t="s">
        <v>9435</v>
      </c>
      <c r="D582" s="284"/>
      <c r="E582" s="562">
        <v>923355098368</v>
      </c>
      <c r="F582" s="562" t="s">
        <v>6875</v>
      </c>
      <c r="G582" s="562" t="s">
        <v>9436</v>
      </c>
      <c r="H582" s="562" t="s">
        <v>9437</v>
      </c>
      <c r="I582" s="562" t="s">
        <v>9438</v>
      </c>
      <c r="J582" s="562" t="s">
        <v>9439</v>
      </c>
      <c r="K582" s="562">
        <v>4.0</v>
      </c>
      <c r="L582" s="562" t="s">
        <v>6944</v>
      </c>
    </row>
    <row r="583">
      <c r="A583" s="562" t="s">
        <v>9440</v>
      </c>
      <c r="B583" s="563">
        <v>0.38127314814814817</v>
      </c>
      <c r="C583" s="562" t="s">
        <v>9441</v>
      </c>
      <c r="D583" s="284"/>
      <c r="E583" s="562">
        <v>923486251799</v>
      </c>
      <c r="F583" s="562" t="s">
        <v>6939</v>
      </c>
      <c r="G583" s="562" t="s">
        <v>9442</v>
      </c>
      <c r="H583" s="562" t="s">
        <v>9443</v>
      </c>
      <c r="I583" s="562" t="s">
        <v>9444</v>
      </c>
      <c r="J583" s="562" t="s">
        <v>9445</v>
      </c>
      <c r="K583" s="562">
        <v>4.0</v>
      </c>
      <c r="L583" s="284"/>
    </row>
    <row r="584">
      <c r="A584" s="562" t="s">
        <v>9440</v>
      </c>
      <c r="B584" s="563">
        <v>0.38135416666666666</v>
      </c>
      <c r="C584" s="562" t="s">
        <v>9446</v>
      </c>
      <c r="D584" s="284"/>
      <c r="E584" s="562">
        <v>923430207902</v>
      </c>
      <c r="F584" s="562" t="s">
        <v>6875</v>
      </c>
      <c r="G584" s="562" t="s">
        <v>9447</v>
      </c>
      <c r="H584" s="562" t="s">
        <v>9448</v>
      </c>
      <c r="I584" s="284"/>
      <c r="J584" s="562" t="s">
        <v>9449</v>
      </c>
      <c r="K584" s="562">
        <v>3.0</v>
      </c>
      <c r="L584" s="562" t="s">
        <v>6944</v>
      </c>
    </row>
    <row r="585">
      <c r="A585" s="562" t="s">
        <v>9440</v>
      </c>
      <c r="B585" s="563">
        <v>0.38144675925925925</v>
      </c>
      <c r="C585" s="562" t="s">
        <v>9450</v>
      </c>
      <c r="D585" s="284"/>
      <c r="E585" s="562">
        <v>923054442919</v>
      </c>
      <c r="F585" s="562" t="s">
        <v>6875</v>
      </c>
      <c r="G585" s="562" t="s">
        <v>9451</v>
      </c>
      <c r="H585" s="284"/>
      <c r="I585" s="284"/>
      <c r="J585" s="284"/>
      <c r="K585" s="562">
        <v>1.0</v>
      </c>
      <c r="L585" s="562" t="s">
        <v>372</v>
      </c>
    </row>
    <row r="586">
      <c r="A586" s="562" t="s">
        <v>9440</v>
      </c>
      <c r="B586" s="563">
        <v>0.3815277777777778</v>
      </c>
      <c r="C586" s="562" t="s">
        <v>9452</v>
      </c>
      <c r="D586" s="284"/>
      <c r="E586" s="562">
        <v>923238483877</v>
      </c>
      <c r="F586" s="562" t="s">
        <v>6875</v>
      </c>
      <c r="G586" s="562" t="s">
        <v>9453</v>
      </c>
      <c r="H586" s="562" t="s">
        <v>9454</v>
      </c>
      <c r="I586" s="284"/>
      <c r="J586" s="284"/>
      <c r="K586" s="562">
        <v>2.0</v>
      </c>
      <c r="L586" s="562" t="s">
        <v>6944</v>
      </c>
    </row>
    <row r="587">
      <c r="A587" s="562" t="s">
        <v>9440</v>
      </c>
      <c r="B587" s="563">
        <v>0.3819444444444444</v>
      </c>
      <c r="C587" s="562" t="s">
        <v>9455</v>
      </c>
      <c r="D587" s="284"/>
      <c r="E587" s="562">
        <v>923288084544</v>
      </c>
      <c r="F587" s="562" t="s">
        <v>6939</v>
      </c>
      <c r="G587" s="562" t="s">
        <v>9456</v>
      </c>
      <c r="H587" s="562" t="s">
        <v>9457</v>
      </c>
      <c r="I587" s="562" t="s">
        <v>9458</v>
      </c>
      <c r="J587" s="562" t="s">
        <v>9459</v>
      </c>
      <c r="K587" s="562">
        <v>4.0</v>
      </c>
      <c r="L587" s="284"/>
    </row>
    <row r="588">
      <c r="A588" s="562" t="s">
        <v>9440</v>
      </c>
      <c r="B588" s="563">
        <v>0.383900462962963</v>
      </c>
      <c r="C588" s="562" t="s">
        <v>9460</v>
      </c>
      <c r="D588" s="284"/>
      <c r="E588" s="562">
        <v>923104497205</v>
      </c>
      <c r="F588" s="562" t="s">
        <v>6939</v>
      </c>
      <c r="G588" s="562" t="s">
        <v>9461</v>
      </c>
      <c r="H588" s="562" t="s">
        <v>9462</v>
      </c>
      <c r="I588" s="562" t="s">
        <v>9463</v>
      </c>
      <c r="J588" s="562" t="s">
        <v>9464</v>
      </c>
      <c r="K588" s="562">
        <v>4.0</v>
      </c>
      <c r="L588" s="284"/>
    </row>
    <row r="589">
      <c r="A589" s="562" t="s">
        <v>9440</v>
      </c>
      <c r="B589" s="563">
        <v>0.3839814814814815</v>
      </c>
      <c r="C589" s="562" t="s">
        <v>9465</v>
      </c>
      <c r="D589" s="284"/>
      <c r="E589" s="562">
        <v>923265253019</v>
      </c>
      <c r="F589" s="562" t="s">
        <v>6875</v>
      </c>
      <c r="G589" s="562" t="s">
        <v>9466</v>
      </c>
      <c r="H589" s="562" t="s">
        <v>9467</v>
      </c>
      <c r="I589" s="562" t="s">
        <v>9468</v>
      </c>
      <c r="J589" s="562" t="s">
        <v>9469</v>
      </c>
      <c r="K589" s="562">
        <v>4.0</v>
      </c>
      <c r="L589" s="562" t="s">
        <v>372</v>
      </c>
    </row>
    <row r="590">
      <c r="A590" s="562" t="s">
        <v>9440</v>
      </c>
      <c r="B590" s="563">
        <v>0.38403935185185184</v>
      </c>
      <c r="C590" s="562" t="s">
        <v>9470</v>
      </c>
      <c r="D590" s="284"/>
      <c r="E590" s="562">
        <v>923367363682</v>
      </c>
      <c r="F590" s="562" t="s">
        <v>6875</v>
      </c>
      <c r="G590" s="562" t="s">
        <v>9471</v>
      </c>
      <c r="H590" s="562" t="s">
        <v>9472</v>
      </c>
      <c r="I590" s="284"/>
      <c r="J590" s="284"/>
      <c r="K590" s="562">
        <v>2.0</v>
      </c>
      <c r="L590" s="562" t="s">
        <v>372</v>
      </c>
    </row>
    <row r="591">
      <c r="A591" s="562" t="s">
        <v>9440</v>
      </c>
      <c r="B591" s="563">
        <v>0.3841550925925926</v>
      </c>
      <c r="C591" s="562" t="s">
        <v>9473</v>
      </c>
      <c r="D591" s="284"/>
      <c r="E591" s="562">
        <v>923489476914</v>
      </c>
      <c r="F591" s="562" t="s">
        <v>6875</v>
      </c>
      <c r="G591" s="284"/>
      <c r="H591" s="562" t="s">
        <v>9474</v>
      </c>
      <c r="I591" s="284"/>
      <c r="J591" s="284"/>
      <c r="K591" s="562">
        <v>1.0</v>
      </c>
      <c r="L591" s="284"/>
    </row>
    <row r="592">
      <c r="A592" s="562" t="s">
        <v>9440</v>
      </c>
      <c r="B592" s="563">
        <v>0.384224537037037</v>
      </c>
      <c r="C592" s="562" t="s">
        <v>9475</v>
      </c>
      <c r="D592" s="284"/>
      <c r="E592" s="562">
        <v>923090904710</v>
      </c>
      <c r="F592" s="562" t="s">
        <v>6875</v>
      </c>
      <c r="G592" s="284"/>
      <c r="H592" s="562" t="s">
        <v>9476</v>
      </c>
      <c r="I592" s="284"/>
      <c r="J592" s="284"/>
      <c r="K592" s="562">
        <v>1.0</v>
      </c>
      <c r="L592" s="562" t="s">
        <v>372</v>
      </c>
    </row>
    <row r="593">
      <c r="A593" s="562" t="s">
        <v>9440</v>
      </c>
      <c r="B593" s="563">
        <v>0.3862615740740741</v>
      </c>
      <c r="C593" s="562" t="s">
        <v>9477</v>
      </c>
      <c r="D593" s="284"/>
      <c r="E593" s="562">
        <v>923038449494</v>
      </c>
      <c r="F593" s="562" t="s">
        <v>6939</v>
      </c>
      <c r="G593" s="562" t="s">
        <v>9478</v>
      </c>
      <c r="H593" s="562" t="s">
        <v>9479</v>
      </c>
      <c r="I593" s="562" t="s">
        <v>9480</v>
      </c>
      <c r="J593" s="562" t="s">
        <v>9481</v>
      </c>
      <c r="K593" s="562">
        <v>4.0</v>
      </c>
      <c r="L593" s="562" t="s">
        <v>6944</v>
      </c>
    </row>
    <row r="594">
      <c r="A594" s="562" t="s">
        <v>9440</v>
      </c>
      <c r="B594" s="563">
        <v>0.38630787037037034</v>
      </c>
      <c r="C594" s="562" t="s">
        <v>9482</v>
      </c>
      <c r="D594" s="284"/>
      <c r="E594" s="562">
        <v>923184743030</v>
      </c>
      <c r="F594" s="562" t="s">
        <v>6939</v>
      </c>
      <c r="G594" s="562" t="s">
        <v>9483</v>
      </c>
      <c r="H594" s="562" t="s">
        <v>9484</v>
      </c>
      <c r="I594" s="562" t="s">
        <v>9485</v>
      </c>
      <c r="J594" s="562" t="s">
        <v>9486</v>
      </c>
      <c r="K594" s="562">
        <v>4.0</v>
      </c>
      <c r="L594" s="284"/>
    </row>
    <row r="595">
      <c r="A595" s="562" t="s">
        <v>9440</v>
      </c>
      <c r="B595" s="563">
        <v>0.3863773148148148</v>
      </c>
      <c r="C595" s="562" t="s">
        <v>9487</v>
      </c>
      <c r="D595" s="284"/>
      <c r="E595" s="562">
        <v>923347945241</v>
      </c>
      <c r="F595" s="562" t="s">
        <v>7291</v>
      </c>
      <c r="G595" s="562" t="s">
        <v>9488</v>
      </c>
      <c r="H595" s="562" t="s">
        <v>9489</v>
      </c>
      <c r="I595" s="562" t="s">
        <v>9490</v>
      </c>
      <c r="J595" s="562" t="s">
        <v>9491</v>
      </c>
      <c r="K595" s="562">
        <v>4.0</v>
      </c>
      <c r="L595" s="562" t="s">
        <v>6944</v>
      </c>
    </row>
    <row r="596">
      <c r="A596" s="562" t="s">
        <v>9440</v>
      </c>
      <c r="B596" s="563">
        <v>0.3864236111111111</v>
      </c>
      <c r="C596" s="562" t="s">
        <v>9492</v>
      </c>
      <c r="D596" s="284"/>
      <c r="E596" s="562">
        <v>923014789003</v>
      </c>
      <c r="F596" s="562" t="s">
        <v>6939</v>
      </c>
      <c r="G596" s="562" t="s">
        <v>9478</v>
      </c>
      <c r="H596" s="562" t="s">
        <v>9493</v>
      </c>
      <c r="I596" s="562" t="s">
        <v>9494</v>
      </c>
      <c r="J596" s="562" t="s">
        <v>9495</v>
      </c>
      <c r="K596" s="562">
        <v>4.0</v>
      </c>
      <c r="L596" s="284"/>
    </row>
    <row r="597">
      <c r="A597" s="562" t="s">
        <v>9440</v>
      </c>
      <c r="B597" s="563">
        <v>0.3864930555555556</v>
      </c>
      <c r="C597" s="562" t="s">
        <v>9496</v>
      </c>
      <c r="D597" s="284"/>
      <c r="E597" s="562">
        <v>923215004492</v>
      </c>
      <c r="F597" s="562" t="s">
        <v>7291</v>
      </c>
      <c r="G597" s="562" t="s">
        <v>9497</v>
      </c>
      <c r="H597" s="562" t="s">
        <v>9498</v>
      </c>
      <c r="I597" s="562" t="s">
        <v>9499</v>
      </c>
      <c r="J597" s="562" t="s">
        <v>9500</v>
      </c>
      <c r="K597" s="562">
        <v>4.0</v>
      </c>
      <c r="L597" s="562" t="s">
        <v>6944</v>
      </c>
    </row>
    <row r="598">
      <c r="A598" s="562" t="s">
        <v>9440</v>
      </c>
      <c r="B598" s="563">
        <v>0.38653935185185184</v>
      </c>
      <c r="C598" s="562" t="s">
        <v>9501</v>
      </c>
      <c r="D598" s="284"/>
      <c r="E598" s="562">
        <v>923087671664</v>
      </c>
      <c r="F598" s="562" t="s">
        <v>6982</v>
      </c>
      <c r="G598" s="562" t="s">
        <v>9478</v>
      </c>
      <c r="H598" s="562" t="s">
        <v>9502</v>
      </c>
      <c r="I598" s="562" t="s">
        <v>9503</v>
      </c>
      <c r="J598" s="562" t="s">
        <v>9504</v>
      </c>
      <c r="K598" s="562">
        <v>4.0</v>
      </c>
      <c r="L598" s="562" t="s">
        <v>9505</v>
      </c>
    </row>
    <row r="599">
      <c r="A599" s="562" t="s">
        <v>9440</v>
      </c>
      <c r="B599" s="563">
        <v>0.39241898148148147</v>
      </c>
      <c r="C599" s="562" t="s">
        <v>9506</v>
      </c>
      <c r="D599" s="284"/>
      <c r="E599" s="562">
        <v>923004474032</v>
      </c>
      <c r="F599" s="562" t="s">
        <v>7291</v>
      </c>
      <c r="G599" s="562" t="s">
        <v>9507</v>
      </c>
      <c r="H599" s="562" t="s">
        <v>9508</v>
      </c>
      <c r="I599" s="562" t="s">
        <v>9509</v>
      </c>
      <c r="J599" s="562" t="s">
        <v>9510</v>
      </c>
      <c r="K599" s="562">
        <v>4.0</v>
      </c>
      <c r="L599" s="562" t="s">
        <v>6944</v>
      </c>
    </row>
    <row r="600">
      <c r="A600" s="562" t="s">
        <v>9440</v>
      </c>
      <c r="B600" s="563">
        <v>0.3924652777777778</v>
      </c>
      <c r="C600" s="562" t="s">
        <v>9511</v>
      </c>
      <c r="D600" s="284"/>
      <c r="E600" s="562">
        <v>923178996326</v>
      </c>
      <c r="F600" s="562" t="s">
        <v>6939</v>
      </c>
      <c r="G600" s="562" t="s">
        <v>9512</v>
      </c>
      <c r="H600" s="562" t="s">
        <v>9513</v>
      </c>
      <c r="I600" s="562" t="s">
        <v>9514</v>
      </c>
      <c r="J600" s="562" t="s">
        <v>9515</v>
      </c>
      <c r="K600" s="562">
        <v>4.0</v>
      </c>
      <c r="L600" s="284"/>
    </row>
    <row r="601">
      <c r="A601" s="562" t="s">
        <v>9440</v>
      </c>
      <c r="B601" s="563">
        <v>0.39251157407407405</v>
      </c>
      <c r="C601" s="562" t="s">
        <v>9516</v>
      </c>
      <c r="D601" s="284"/>
      <c r="E601" s="562">
        <v>923334664759</v>
      </c>
      <c r="F601" s="562" t="s">
        <v>6875</v>
      </c>
      <c r="G601" s="284"/>
      <c r="H601" s="562" t="s">
        <v>9517</v>
      </c>
      <c r="I601" s="562" t="s">
        <v>9518</v>
      </c>
      <c r="J601" s="284"/>
      <c r="K601" s="562">
        <v>2.0</v>
      </c>
      <c r="L601" s="284"/>
    </row>
    <row r="602">
      <c r="A602" s="562" t="s">
        <v>9440</v>
      </c>
      <c r="B602" s="563">
        <v>0.39256944444444447</v>
      </c>
      <c r="C602" s="562" t="s">
        <v>9519</v>
      </c>
      <c r="D602" s="284"/>
      <c r="E602" s="562">
        <v>923339865276</v>
      </c>
      <c r="F602" s="562" t="s">
        <v>7291</v>
      </c>
      <c r="G602" s="562" t="s">
        <v>9520</v>
      </c>
      <c r="H602" s="562" t="s">
        <v>9521</v>
      </c>
      <c r="I602" s="562" t="s">
        <v>9522</v>
      </c>
      <c r="J602" s="562" t="s">
        <v>9523</v>
      </c>
      <c r="K602" s="562">
        <v>4.0</v>
      </c>
      <c r="L602" s="284"/>
    </row>
    <row r="603">
      <c r="A603" s="562" t="s">
        <v>9440</v>
      </c>
      <c r="B603" s="563">
        <v>0.39263888888888887</v>
      </c>
      <c r="C603" s="562" t="s">
        <v>9524</v>
      </c>
      <c r="D603" s="284"/>
      <c r="E603" s="562">
        <v>923362519885</v>
      </c>
      <c r="F603" s="562" t="s">
        <v>6939</v>
      </c>
      <c r="G603" s="562" t="s">
        <v>9525</v>
      </c>
      <c r="H603" s="562" t="s">
        <v>9526</v>
      </c>
      <c r="I603" s="562" t="s">
        <v>9527</v>
      </c>
      <c r="J603" s="562" t="s">
        <v>9528</v>
      </c>
      <c r="K603" s="562">
        <v>4.0</v>
      </c>
      <c r="L603" s="562" t="s">
        <v>8875</v>
      </c>
    </row>
    <row r="604">
      <c r="A604" s="562" t="s">
        <v>9440</v>
      </c>
      <c r="B604" s="563">
        <v>0.39273148148148146</v>
      </c>
      <c r="C604" s="562" t="s">
        <v>9529</v>
      </c>
      <c r="D604" s="284"/>
      <c r="E604" s="562">
        <v>923408501582</v>
      </c>
      <c r="F604" s="562" t="s">
        <v>6939</v>
      </c>
      <c r="G604" s="562" t="s">
        <v>9530</v>
      </c>
      <c r="H604" s="562" t="s">
        <v>9531</v>
      </c>
      <c r="I604" s="562" t="s">
        <v>9532</v>
      </c>
      <c r="J604" s="562" t="s">
        <v>9533</v>
      </c>
      <c r="K604" s="562">
        <v>4.0</v>
      </c>
      <c r="L604" s="562" t="s">
        <v>152</v>
      </c>
    </row>
    <row r="605">
      <c r="A605" s="562" t="s">
        <v>9440</v>
      </c>
      <c r="B605" s="563">
        <v>0.39283564814814814</v>
      </c>
      <c r="C605" s="562" t="s">
        <v>9534</v>
      </c>
      <c r="D605" s="284"/>
      <c r="E605" s="562">
        <v>923440466694</v>
      </c>
      <c r="F605" s="562" t="s">
        <v>6939</v>
      </c>
      <c r="G605" s="562" t="s">
        <v>9535</v>
      </c>
      <c r="H605" s="562" t="s">
        <v>9536</v>
      </c>
      <c r="I605" s="562" t="s">
        <v>9537</v>
      </c>
      <c r="J605" s="562" t="s">
        <v>9538</v>
      </c>
      <c r="K605" s="562">
        <v>4.0</v>
      </c>
      <c r="L605" s="284"/>
    </row>
    <row r="606">
      <c r="A606" s="562" t="s">
        <v>9440</v>
      </c>
      <c r="B606" s="563">
        <v>0.39296296296296296</v>
      </c>
      <c r="C606" s="562" t="s">
        <v>9539</v>
      </c>
      <c r="D606" s="284"/>
      <c r="E606" s="562">
        <v>923446874248</v>
      </c>
      <c r="F606" s="562" t="s">
        <v>6875</v>
      </c>
      <c r="G606" s="284"/>
      <c r="H606" s="562" t="s">
        <v>9540</v>
      </c>
      <c r="I606" s="562" t="s">
        <v>9541</v>
      </c>
      <c r="J606" s="562" t="s">
        <v>9542</v>
      </c>
      <c r="K606" s="562">
        <v>3.0</v>
      </c>
      <c r="L606" s="562" t="s">
        <v>9543</v>
      </c>
    </row>
    <row r="607">
      <c r="A607" s="562" t="s">
        <v>9440</v>
      </c>
      <c r="B607" s="563">
        <v>0.39315972222222223</v>
      </c>
      <c r="C607" s="562" t="s">
        <v>9544</v>
      </c>
      <c r="D607" s="284"/>
      <c r="E607" s="562">
        <v>923187194364</v>
      </c>
      <c r="F607" s="562" t="s">
        <v>6875</v>
      </c>
      <c r="G607" s="284"/>
      <c r="H607" s="562" t="s">
        <v>9545</v>
      </c>
      <c r="I607" s="562" t="s">
        <v>9546</v>
      </c>
      <c r="J607" s="562" t="s">
        <v>9547</v>
      </c>
      <c r="K607" s="562">
        <v>3.0</v>
      </c>
      <c r="L607" s="284"/>
    </row>
    <row r="608">
      <c r="A608" s="562" t="s">
        <v>9440</v>
      </c>
      <c r="B608" s="563">
        <v>0.39394675925925926</v>
      </c>
      <c r="C608" s="562" t="s">
        <v>9548</v>
      </c>
      <c r="D608" s="284"/>
      <c r="E608" s="562">
        <f>971554660806</f>
        <v>971554660806</v>
      </c>
      <c r="F608" s="562" t="s">
        <v>6939</v>
      </c>
      <c r="G608" s="562" t="s">
        <v>9549</v>
      </c>
      <c r="H608" s="562" t="s">
        <v>9550</v>
      </c>
      <c r="I608" s="562" t="s">
        <v>9551</v>
      </c>
      <c r="J608" s="562" t="s">
        <v>9552</v>
      </c>
      <c r="K608" s="562">
        <v>4.0</v>
      </c>
      <c r="L608" s="562" t="s">
        <v>8053</v>
      </c>
    </row>
    <row r="609">
      <c r="A609" s="562" t="s">
        <v>9440</v>
      </c>
      <c r="B609" s="563">
        <v>0.39415509259259257</v>
      </c>
      <c r="C609" s="562" t="s">
        <v>9553</v>
      </c>
      <c r="D609" s="284"/>
      <c r="E609" s="562">
        <f>447777648971</f>
        <v>447777648971</v>
      </c>
      <c r="F609" s="562" t="s">
        <v>6939</v>
      </c>
      <c r="G609" s="562" t="s">
        <v>9535</v>
      </c>
      <c r="H609" s="562" t="s">
        <v>9554</v>
      </c>
      <c r="I609" s="562" t="s">
        <v>9555</v>
      </c>
      <c r="J609" s="562" t="s">
        <v>9556</v>
      </c>
      <c r="K609" s="562">
        <v>4.0</v>
      </c>
      <c r="L609" s="562" t="s">
        <v>8053</v>
      </c>
    </row>
    <row r="610">
      <c r="A610" s="562" t="s">
        <v>9440</v>
      </c>
      <c r="B610" s="563">
        <v>0.39590277777777777</v>
      </c>
      <c r="C610" s="562" t="s">
        <v>9557</v>
      </c>
      <c r="D610" s="284"/>
      <c r="E610" s="562">
        <v>923215107391</v>
      </c>
      <c r="F610" s="562" t="s">
        <v>6875</v>
      </c>
      <c r="G610" s="284"/>
      <c r="H610" s="562" t="s">
        <v>9558</v>
      </c>
      <c r="I610" s="562" t="s">
        <v>9559</v>
      </c>
      <c r="J610" s="562" t="s">
        <v>9560</v>
      </c>
      <c r="K610" s="562">
        <v>3.0</v>
      </c>
      <c r="L610" s="284"/>
    </row>
    <row r="611">
      <c r="A611" s="562" t="s">
        <v>9440</v>
      </c>
      <c r="B611" s="563">
        <v>0.39599537037037036</v>
      </c>
      <c r="C611" s="562" t="s">
        <v>9561</v>
      </c>
      <c r="D611" s="284"/>
      <c r="E611" s="562">
        <v>923409740164</v>
      </c>
      <c r="F611" s="562" t="s">
        <v>6939</v>
      </c>
      <c r="G611" s="562" t="s">
        <v>9562</v>
      </c>
      <c r="H611" s="562" t="s">
        <v>9563</v>
      </c>
      <c r="I611" s="562" t="s">
        <v>9564</v>
      </c>
      <c r="J611" s="562" t="s">
        <v>9565</v>
      </c>
      <c r="K611" s="562">
        <v>4.0</v>
      </c>
      <c r="L611" s="284"/>
    </row>
    <row r="612">
      <c r="A612" s="562" t="s">
        <v>9440</v>
      </c>
      <c r="B612" s="563">
        <v>0.3960763888888889</v>
      </c>
      <c r="C612" s="562" t="s">
        <v>9566</v>
      </c>
      <c r="D612" s="284"/>
      <c r="E612" s="562">
        <v>923554660553</v>
      </c>
      <c r="F612" s="562" t="s">
        <v>6875</v>
      </c>
      <c r="G612" s="284"/>
      <c r="H612" s="562" t="s">
        <v>9567</v>
      </c>
      <c r="I612" s="284"/>
      <c r="J612" s="284"/>
      <c r="K612" s="562">
        <v>1.0</v>
      </c>
      <c r="L612" s="562" t="s">
        <v>372</v>
      </c>
    </row>
    <row r="613">
      <c r="A613" s="562" t="s">
        <v>9440</v>
      </c>
      <c r="B613" s="563">
        <v>0.3962037037037037</v>
      </c>
      <c r="C613" s="562" t="s">
        <v>9568</v>
      </c>
      <c r="D613" s="284"/>
      <c r="E613" s="562">
        <v>923419774627</v>
      </c>
      <c r="F613" s="562" t="s">
        <v>6875</v>
      </c>
      <c r="G613" s="284"/>
      <c r="H613" s="562" t="s">
        <v>9569</v>
      </c>
      <c r="I613" s="562" t="s">
        <v>9570</v>
      </c>
      <c r="J613" s="562" t="s">
        <v>9571</v>
      </c>
      <c r="K613" s="562">
        <v>3.0</v>
      </c>
      <c r="L613" s="284"/>
    </row>
    <row r="614">
      <c r="A614" s="562" t="s">
        <v>9440</v>
      </c>
      <c r="B614" s="563">
        <v>0.39630787037037035</v>
      </c>
      <c r="C614" s="562" t="s">
        <v>9572</v>
      </c>
      <c r="D614" s="284"/>
      <c r="E614" s="562">
        <v>923150639610</v>
      </c>
      <c r="F614" s="562" t="s">
        <v>6875</v>
      </c>
      <c r="G614" s="284"/>
      <c r="H614" s="562" t="s">
        <v>9573</v>
      </c>
      <c r="I614" s="562" t="s">
        <v>9574</v>
      </c>
      <c r="J614" s="284"/>
      <c r="K614" s="562">
        <v>2.0</v>
      </c>
      <c r="L614" s="284"/>
    </row>
    <row r="615">
      <c r="A615" s="562" t="s">
        <v>9440</v>
      </c>
      <c r="B615" s="563">
        <v>0.3963773148148148</v>
      </c>
      <c r="C615" s="562" t="s">
        <v>9575</v>
      </c>
      <c r="D615" s="284"/>
      <c r="E615" s="562">
        <v>923115896868</v>
      </c>
      <c r="F615" s="562" t="s">
        <v>6875</v>
      </c>
      <c r="G615" s="284"/>
      <c r="H615" s="562" t="s">
        <v>9576</v>
      </c>
      <c r="I615" s="562" t="s">
        <v>9577</v>
      </c>
      <c r="J615" s="284"/>
      <c r="K615" s="562">
        <v>2.0</v>
      </c>
      <c r="L615" s="562" t="s">
        <v>9578</v>
      </c>
    </row>
    <row r="616">
      <c r="A616" s="562" t="s">
        <v>9440</v>
      </c>
      <c r="B616" s="563">
        <v>0.39644675925925926</v>
      </c>
      <c r="C616" s="562" t="s">
        <v>9579</v>
      </c>
      <c r="D616" s="284"/>
      <c r="E616" s="562">
        <v>923129777294</v>
      </c>
      <c r="F616" s="562" t="s">
        <v>6939</v>
      </c>
      <c r="G616" s="562" t="s">
        <v>9580</v>
      </c>
      <c r="H616" s="562" t="s">
        <v>9581</v>
      </c>
      <c r="I616" s="562" t="s">
        <v>9582</v>
      </c>
      <c r="J616" s="562" t="s">
        <v>9583</v>
      </c>
      <c r="K616" s="562">
        <v>4.0</v>
      </c>
      <c r="L616" s="284"/>
    </row>
    <row r="617">
      <c r="A617" s="562" t="s">
        <v>9440</v>
      </c>
      <c r="B617" s="563">
        <v>0.3965046296296296</v>
      </c>
      <c r="C617" s="562" t="s">
        <v>9584</v>
      </c>
      <c r="D617" s="284"/>
      <c r="E617" s="562">
        <v>923194526278</v>
      </c>
      <c r="F617" s="562" t="s">
        <v>6939</v>
      </c>
      <c r="G617" s="562" t="s">
        <v>9585</v>
      </c>
      <c r="H617" s="562" t="s">
        <v>9586</v>
      </c>
      <c r="I617" s="562" t="s">
        <v>9587</v>
      </c>
      <c r="J617" s="562" t="s">
        <v>9588</v>
      </c>
      <c r="K617" s="562">
        <v>4.0</v>
      </c>
      <c r="L617" s="562" t="s">
        <v>9589</v>
      </c>
    </row>
    <row r="618">
      <c r="A618" s="562" t="s">
        <v>9440</v>
      </c>
      <c r="B618" s="563">
        <v>0.3965625</v>
      </c>
      <c r="C618" s="562" t="s">
        <v>9590</v>
      </c>
      <c r="D618" s="284"/>
      <c r="E618" s="562">
        <v>923258628319</v>
      </c>
      <c r="F618" s="562" t="s">
        <v>6875</v>
      </c>
      <c r="G618" s="562" t="s">
        <v>9591</v>
      </c>
      <c r="H618" s="562" t="s">
        <v>9592</v>
      </c>
      <c r="I618" s="562" t="s">
        <v>9593</v>
      </c>
      <c r="J618" s="562" t="s">
        <v>9594</v>
      </c>
      <c r="K618" s="562">
        <v>4.0</v>
      </c>
      <c r="L618" s="284"/>
    </row>
    <row r="619">
      <c r="A619" s="562" t="s">
        <v>9440</v>
      </c>
      <c r="B619" s="563">
        <v>0.3966087962962963</v>
      </c>
      <c r="C619" s="562" t="s">
        <v>9595</v>
      </c>
      <c r="D619" s="284"/>
      <c r="E619" s="562">
        <v>923211738988</v>
      </c>
      <c r="F619" s="562" t="s">
        <v>6982</v>
      </c>
      <c r="G619" s="562" t="s">
        <v>9585</v>
      </c>
      <c r="H619" s="562" t="s">
        <v>9596</v>
      </c>
      <c r="I619" s="562" t="s">
        <v>9597</v>
      </c>
      <c r="J619" s="562" t="s">
        <v>9598</v>
      </c>
      <c r="K619" s="562">
        <v>4.0</v>
      </c>
      <c r="L619" s="562" t="s">
        <v>1189</v>
      </c>
    </row>
    <row r="620">
      <c r="A620" s="562" t="s">
        <v>9440</v>
      </c>
      <c r="B620" s="563">
        <v>0.39740740740740743</v>
      </c>
      <c r="C620" s="562" t="s">
        <v>9599</v>
      </c>
      <c r="D620" s="284"/>
      <c r="E620" s="562">
        <v>923214744865</v>
      </c>
      <c r="F620" s="562" t="s">
        <v>6939</v>
      </c>
      <c r="G620" s="562" t="s">
        <v>9600</v>
      </c>
      <c r="H620" s="562" t="s">
        <v>9601</v>
      </c>
      <c r="I620" s="562" t="s">
        <v>9602</v>
      </c>
      <c r="J620" s="562" t="s">
        <v>9603</v>
      </c>
      <c r="K620" s="562">
        <v>4.0</v>
      </c>
      <c r="L620" s="284"/>
    </row>
    <row r="621">
      <c r="A621" s="562" t="s">
        <v>9440</v>
      </c>
      <c r="B621" s="563">
        <v>0.4195023148148148</v>
      </c>
      <c r="C621" s="562" t="s">
        <v>9604</v>
      </c>
      <c r="D621" s="284"/>
      <c r="E621" s="562">
        <v>923215138799</v>
      </c>
      <c r="F621" s="562" t="s">
        <v>6875</v>
      </c>
      <c r="G621" s="284"/>
      <c r="H621" s="562" t="s">
        <v>9605</v>
      </c>
      <c r="I621" s="284"/>
      <c r="J621" s="284"/>
      <c r="K621" s="562">
        <v>1.0</v>
      </c>
      <c r="L621" s="284"/>
    </row>
    <row r="622">
      <c r="A622" s="562" t="s">
        <v>9440</v>
      </c>
      <c r="B622" s="563">
        <v>0.4195949074074074</v>
      </c>
      <c r="C622" s="562" t="s">
        <v>9606</v>
      </c>
      <c r="D622" s="284"/>
      <c r="E622" s="562">
        <v>923416129419</v>
      </c>
      <c r="F622" s="562" t="s">
        <v>6875</v>
      </c>
      <c r="G622" s="284"/>
      <c r="H622" s="562" t="s">
        <v>9607</v>
      </c>
      <c r="I622" s="562" t="s">
        <v>9608</v>
      </c>
      <c r="J622" s="284"/>
      <c r="K622" s="562">
        <v>2.0</v>
      </c>
      <c r="L622" s="562" t="s">
        <v>51</v>
      </c>
    </row>
    <row r="623">
      <c r="A623" s="562" t="s">
        <v>9440</v>
      </c>
      <c r="B623" s="563">
        <v>0.4216087962962963</v>
      </c>
      <c r="C623" s="562" t="s">
        <v>9609</v>
      </c>
      <c r="D623" s="284"/>
      <c r="E623" s="562">
        <v>923367959799</v>
      </c>
      <c r="F623" s="562" t="s">
        <v>6939</v>
      </c>
      <c r="G623" s="562" t="s">
        <v>9610</v>
      </c>
      <c r="H623" s="562" t="s">
        <v>9611</v>
      </c>
      <c r="I623" s="562" t="s">
        <v>9612</v>
      </c>
      <c r="J623" s="562" t="s">
        <v>9613</v>
      </c>
      <c r="K623" s="562">
        <v>4.0</v>
      </c>
      <c r="L623" s="562" t="s">
        <v>685</v>
      </c>
    </row>
    <row r="624">
      <c r="A624" s="562" t="s">
        <v>9440</v>
      </c>
      <c r="B624" s="563">
        <v>0.43983796296296296</v>
      </c>
      <c r="C624" s="562" t="s">
        <v>9614</v>
      </c>
      <c r="D624" s="284"/>
      <c r="E624" s="562">
        <v>923002167047</v>
      </c>
      <c r="F624" s="562" t="s">
        <v>6875</v>
      </c>
      <c r="G624" s="284"/>
      <c r="H624" s="562" t="s">
        <v>9615</v>
      </c>
      <c r="I624" s="284"/>
      <c r="J624" s="284"/>
      <c r="K624" s="562">
        <v>1.0</v>
      </c>
      <c r="L624" s="284"/>
    </row>
    <row r="625">
      <c r="A625" s="562" t="s">
        <v>9440</v>
      </c>
      <c r="B625" s="563">
        <v>0.45057870370370373</v>
      </c>
      <c r="C625" s="562" t="s">
        <v>9616</v>
      </c>
      <c r="D625" s="284"/>
      <c r="E625" s="562">
        <v>923186743332</v>
      </c>
      <c r="F625" s="562" t="s">
        <v>6875</v>
      </c>
      <c r="G625" s="284"/>
      <c r="H625" s="562" t="s">
        <v>9617</v>
      </c>
      <c r="I625" s="284"/>
      <c r="J625" s="284"/>
      <c r="K625" s="562">
        <v>1.0</v>
      </c>
      <c r="L625" s="562" t="s">
        <v>372</v>
      </c>
    </row>
    <row r="626">
      <c r="A626" s="562" t="s">
        <v>9440</v>
      </c>
      <c r="B626" s="563">
        <v>0.4507638888888889</v>
      </c>
      <c r="C626" s="562" t="s">
        <v>9618</v>
      </c>
      <c r="D626" s="284"/>
      <c r="E626" s="562">
        <v>923365302148</v>
      </c>
      <c r="F626" s="562" t="s">
        <v>7291</v>
      </c>
      <c r="G626" s="562" t="s">
        <v>9619</v>
      </c>
      <c r="H626" s="562" t="s">
        <v>9620</v>
      </c>
      <c r="I626" s="562" t="s">
        <v>9621</v>
      </c>
      <c r="J626" s="562" t="s">
        <v>9622</v>
      </c>
      <c r="K626" s="562">
        <v>4.0</v>
      </c>
      <c r="L626" s="562" t="s">
        <v>6944</v>
      </c>
    </row>
    <row r="627">
      <c r="A627" s="562" t="s">
        <v>9440</v>
      </c>
      <c r="B627" s="563">
        <v>0.4509375</v>
      </c>
      <c r="C627" s="562" t="s">
        <v>9623</v>
      </c>
      <c r="D627" s="284"/>
      <c r="E627" s="562">
        <v>923345724820</v>
      </c>
      <c r="F627" s="562" t="s">
        <v>6939</v>
      </c>
      <c r="G627" s="562" t="s">
        <v>9624</v>
      </c>
      <c r="H627" s="562" t="s">
        <v>9625</v>
      </c>
      <c r="I627" s="562" t="s">
        <v>9626</v>
      </c>
      <c r="J627" s="562" t="s">
        <v>9627</v>
      </c>
      <c r="K627" s="562">
        <v>4.0</v>
      </c>
      <c r="L627" s="562" t="s">
        <v>9628</v>
      </c>
    </row>
    <row r="628">
      <c r="A628" s="562" t="s">
        <v>9440</v>
      </c>
      <c r="B628" s="563">
        <v>0.45122685185185185</v>
      </c>
      <c r="C628" s="562" t="s">
        <v>9629</v>
      </c>
      <c r="D628" s="284"/>
      <c r="E628" s="562">
        <v>923113387404</v>
      </c>
      <c r="F628" s="562" t="s">
        <v>6939</v>
      </c>
      <c r="G628" s="562" t="s">
        <v>9630</v>
      </c>
      <c r="H628" s="562" t="s">
        <v>9631</v>
      </c>
      <c r="I628" s="562" t="s">
        <v>9632</v>
      </c>
      <c r="J628" s="562" t="s">
        <v>9633</v>
      </c>
      <c r="K628" s="562">
        <v>4.0</v>
      </c>
      <c r="L628" s="284"/>
    </row>
    <row r="629">
      <c r="A629" s="562" t="s">
        <v>9440</v>
      </c>
      <c r="B629" s="563">
        <v>0.495775462962963</v>
      </c>
      <c r="C629" s="562" t="s">
        <v>9634</v>
      </c>
      <c r="D629" s="284"/>
      <c r="E629" s="562">
        <v>923126826609</v>
      </c>
      <c r="F629" s="562" t="s">
        <v>6875</v>
      </c>
      <c r="G629" s="284"/>
      <c r="H629" s="562" t="s">
        <v>9635</v>
      </c>
      <c r="I629" s="284"/>
      <c r="J629" s="284"/>
      <c r="K629" s="562">
        <v>1.0</v>
      </c>
      <c r="L629" s="284"/>
    </row>
    <row r="630">
      <c r="A630" s="562" t="s">
        <v>9440</v>
      </c>
      <c r="B630" s="563">
        <v>0.5266203703703703</v>
      </c>
      <c r="C630" s="562" t="s">
        <v>9636</v>
      </c>
      <c r="D630" s="284"/>
      <c r="E630" s="562">
        <v>923474485594</v>
      </c>
      <c r="F630" s="562" t="s">
        <v>6939</v>
      </c>
      <c r="G630" s="562" t="s">
        <v>9637</v>
      </c>
      <c r="H630" s="562" t="s">
        <v>9638</v>
      </c>
      <c r="I630" s="562" t="s">
        <v>9639</v>
      </c>
      <c r="J630" s="562" t="s">
        <v>9640</v>
      </c>
      <c r="K630" s="562">
        <v>4.0</v>
      </c>
      <c r="L630" s="284"/>
    </row>
    <row r="631">
      <c r="A631" s="562" t="s">
        <v>9440</v>
      </c>
      <c r="B631" s="563">
        <v>0.5378472222222223</v>
      </c>
      <c r="C631" s="562" t="s">
        <v>9641</v>
      </c>
      <c r="D631" s="284"/>
      <c r="E631" s="562">
        <v>923190853349</v>
      </c>
      <c r="F631" s="562" t="s">
        <v>6875</v>
      </c>
      <c r="G631" s="562" t="s">
        <v>9642</v>
      </c>
      <c r="H631" s="562" t="s">
        <v>9643</v>
      </c>
      <c r="I631" s="562" t="s">
        <v>9644</v>
      </c>
      <c r="J631" s="562" t="s">
        <v>9645</v>
      </c>
      <c r="K631" s="562">
        <v>4.0</v>
      </c>
      <c r="L631" s="284"/>
    </row>
    <row r="632">
      <c r="A632" s="562" t="s">
        <v>9440</v>
      </c>
      <c r="B632" s="563">
        <v>0.5398726851851852</v>
      </c>
      <c r="C632" s="562" t="s">
        <v>9646</v>
      </c>
      <c r="D632" s="284"/>
      <c r="E632" s="562">
        <v>923084692820</v>
      </c>
      <c r="F632" s="562" t="s">
        <v>6939</v>
      </c>
      <c r="G632" s="562" t="s">
        <v>9549</v>
      </c>
      <c r="H632" s="562" t="s">
        <v>9647</v>
      </c>
      <c r="I632" s="562" t="s">
        <v>9648</v>
      </c>
      <c r="J632" s="562" t="s">
        <v>9649</v>
      </c>
      <c r="K632" s="562">
        <v>4.0</v>
      </c>
      <c r="L632" s="284"/>
    </row>
    <row r="633">
      <c r="A633" s="562" t="s">
        <v>9440</v>
      </c>
      <c r="B633" s="563">
        <v>0.5521412037037037</v>
      </c>
      <c r="C633" s="562" t="s">
        <v>9650</v>
      </c>
      <c r="D633" s="284"/>
      <c r="E633" s="562">
        <v>923408816338</v>
      </c>
      <c r="F633" s="562" t="s">
        <v>6875</v>
      </c>
      <c r="G633" s="284"/>
      <c r="H633" s="284"/>
      <c r="I633" s="562" t="s">
        <v>9651</v>
      </c>
      <c r="J633" s="562" t="s">
        <v>9652</v>
      </c>
      <c r="K633" s="562">
        <v>2.0</v>
      </c>
      <c r="L633" s="284"/>
    </row>
    <row r="634">
      <c r="A634" s="562" t="s">
        <v>9440</v>
      </c>
      <c r="B634" s="563">
        <v>0.5966087962962963</v>
      </c>
      <c r="C634" s="562" t="s">
        <v>9653</v>
      </c>
      <c r="D634" s="284"/>
      <c r="E634" s="562">
        <v>923480707561</v>
      </c>
      <c r="F634" s="562" t="s">
        <v>6939</v>
      </c>
      <c r="G634" s="562" t="s">
        <v>9630</v>
      </c>
      <c r="H634" s="562" t="s">
        <v>9654</v>
      </c>
      <c r="I634" s="562" t="s">
        <v>9655</v>
      </c>
      <c r="J634" s="562" t="s">
        <v>9656</v>
      </c>
      <c r="K634" s="562">
        <v>4.0</v>
      </c>
      <c r="L634" s="284"/>
    </row>
    <row r="635">
      <c r="A635" s="562" t="s">
        <v>9440</v>
      </c>
      <c r="B635" s="563">
        <v>0.6072916666666667</v>
      </c>
      <c r="C635" s="562" t="s">
        <v>9657</v>
      </c>
      <c r="D635" s="284"/>
      <c r="E635" s="562">
        <v>923212736785</v>
      </c>
      <c r="F635" s="562" t="s">
        <v>6939</v>
      </c>
      <c r="G635" s="562" t="s">
        <v>9658</v>
      </c>
      <c r="H635" s="562" t="s">
        <v>9659</v>
      </c>
      <c r="I635" s="562" t="s">
        <v>9660</v>
      </c>
      <c r="J635" s="562" t="s">
        <v>9661</v>
      </c>
      <c r="K635" s="562">
        <v>4.0</v>
      </c>
      <c r="L635" s="284"/>
    </row>
    <row r="636">
      <c r="A636" s="562" t="s">
        <v>9440</v>
      </c>
      <c r="B636" s="563">
        <v>0.6301851851851852</v>
      </c>
      <c r="C636" s="562" t="s">
        <v>9662</v>
      </c>
      <c r="D636" s="284"/>
      <c r="E636" s="562">
        <v>923224156080</v>
      </c>
      <c r="F636" s="562" t="s">
        <v>6939</v>
      </c>
      <c r="G636" s="562" t="s">
        <v>9663</v>
      </c>
      <c r="H636" s="562" t="s">
        <v>9664</v>
      </c>
      <c r="I636" s="562" t="s">
        <v>9665</v>
      </c>
      <c r="J636" s="562" t="s">
        <v>9666</v>
      </c>
      <c r="K636" s="562">
        <v>4.0</v>
      </c>
      <c r="L636" s="284"/>
    </row>
    <row r="637">
      <c r="A637" s="562" t="s">
        <v>9440</v>
      </c>
      <c r="B637" s="563">
        <v>0.6380324074074074</v>
      </c>
      <c r="C637" s="562" t="s">
        <v>3893</v>
      </c>
      <c r="D637" s="284"/>
      <c r="E637" s="562">
        <v>923338525628</v>
      </c>
      <c r="F637" s="562" t="s">
        <v>7291</v>
      </c>
      <c r="G637" s="562" t="s">
        <v>9667</v>
      </c>
      <c r="H637" s="562" t="s">
        <v>9668</v>
      </c>
      <c r="I637" s="562" t="s">
        <v>9669</v>
      </c>
      <c r="J637" s="562" t="s">
        <v>9670</v>
      </c>
      <c r="K637" s="562">
        <v>4.0</v>
      </c>
      <c r="L637" s="562" t="s">
        <v>9671</v>
      </c>
    </row>
    <row r="638">
      <c r="A638" s="562" t="s">
        <v>9440</v>
      </c>
      <c r="B638" s="563">
        <v>0.6437847222222223</v>
      </c>
      <c r="C638" s="562" t="s">
        <v>9672</v>
      </c>
      <c r="D638" s="284"/>
      <c r="E638" s="562">
        <v>923201436593</v>
      </c>
      <c r="F638" s="562" t="s">
        <v>7291</v>
      </c>
      <c r="G638" s="562" t="s">
        <v>9673</v>
      </c>
      <c r="H638" s="562" t="s">
        <v>9674</v>
      </c>
      <c r="I638" s="562" t="s">
        <v>9675</v>
      </c>
      <c r="J638" s="562" t="s">
        <v>9676</v>
      </c>
      <c r="K638" s="562">
        <v>4.0</v>
      </c>
      <c r="L638" s="284"/>
    </row>
    <row r="639">
      <c r="A639" s="562" t="s">
        <v>9440</v>
      </c>
      <c r="B639" s="563">
        <v>0.6480208333333334</v>
      </c>
      <c r="C639" s="562" t="s">
        <v>9677</v>
      </c>
      <c r="D639" s="284"/>
      <c r="E639" s="562">
        <v>923365131426</v>
      </c>
      <c r="F639" s="562" t="s">
        <v>6875</v>
      </c>
      <c r="G639" s="284"/>
      <c r="H639" s="284"/>
      <c r="I639" s="562" t="s">
        <v>9678</v>
      </c>
      <c r="J639" s="562" t="s">
        <v>9679</v>
      </c>
      <c r="K639" s="562">
        <v>2.0</v>
      </c>
      <c r="L639" s="562" t="s">
        <v>727</v>
      </c>
    </row>
    <row r="640">
      <c r="A640" s="562" t="s">
        <v>9440</v>
      </c>
      <c r="B640" s="563">
        <v>0.6481944444444444</v>
      </c>
      <c r="C640" s="562" t="s">
        <v>9680</v>
      </c>
      <c r="D640" s="284"/>
      <c r="E640" s="562">
        <v>923120235797</v>
      </c>
      <c r="F640" s="562" t="s">
        <v>6939</v>
      </c>
      <c r="G640" s="562" t="s">
        <v>9681</v>
      </c>
      <c r="H640" s="562" t="s">
        <v>9682</v>
      </c>
      <c r="I640" s="562" t="s">
        <v>9683</v>
      </c>
      <c r="J640" s="562" t="s">
        <v>9684</v>
      </c>
      <c r="K640" s="562">
        <v>4.0</v>
      </c>
      <c r="L640" s="284"/>
    </row>
    <row r="641">
      <c r="A641" s="562" t="s">
        <v>9440</v>
      </c>
      <c r="B641" s="563">
        <v>0.665150462962963</v>
      </c>
      <c r="C641" s="562" t="s">
        <v>9685</v>
      </c>
      <c r="D641" s="562" t="s">
        <v>6886</v>
      </c>
      <c r="E641" s="566" t="s">
        <v>9686</v>
      </c>
      <c r="F641" s="562" t="s">
        <v>6888</v>
      </c>
      <c r="G641" s="284"/>
      <c r="H641" s="284"/>
      <c r="I641" s="284"/>
      <c r="J641" s="562" t="s">
        <v>9687</v>
      </c>
      <c r="K641" s="562">
        <v>1.0</v>
      </c>
      <c r="L641" s="562" t="s">
        <v>9688</v>
      </c>
    </row>
    <row r="642">
      <c r="A642" s="562" t="s">
        <v>9440</v>
      </c>
      <c r="B642" s="563">
        <v>0.6652083333333333</v>
      </c>
      <c r="C642" s="562" t="s">
        <v>9689</v>
      </c>
      <c r="D642" s="284"/>
      <c r="E642" s="562">
        <v>923314559070</v>
      </c>
      <c r="F642" s="562" t="s">
        <v>7291</v>
      </c>
      <c r="G642" s="562" t="s">
        <v>9690</v>
      </c>
      <c r="H642" s="562" t="s">
        <v>9691</v>
      </c>
      <c r="I642" s="562" t="s">
        <v>9692</v>
      </c>
      <c r="J642" s="562" t="s">
        <v>9693</v>
      </c>
      <c r="K642" s="562">
        <v>4.0</v>
      </c>
      <c r="L642" s="562" t="s">
        <v>376</v>
      </c>
    </row>
    <row r="643">
      <c r="A643" s="562" t="s">
        <v>9440</v>
      </c>
      <c r="B643" s="563">
        <v>0.6766435185185186</v>
      </c>
      <c r="C643" s="562" t="s">
        <v>9694</v>
      </c>
      <c r="D643" s="284"/>
      <c r="E643" s="562">
        <v>923238599064</v>
      </c>
      <c r="F643" s="562" t="s">
        <v>6939</v>
      </c>
      <c r="G643" s="562" t="s">
        <v>9695</v>
      </c>
      <c r="H643" s="562" t="s">
        <v>9696</v>
      </c>
      <c r="I643" s="562" t="s">
        <v>9697</v>
      </c>
      <c r="J643" s="562" t="s">
        <v>9698</v>
      </c>
      <c r="K643" s="562">
        <v>4.0</v>
      </c>
      <c r="L643" s="284"/>
    </row>
    <row r="644">
      <c r="A644" s="562" t="s">
        <v>9440</v>
      </c>
      <c r="B644" s="563">
        <v>0.6927314814814814</v>
      </c>
      <c r="C644" s="562" t="s">
        <v>9699</v>
      </c>
      <c r="D644" s="284"/>
      <c r="E644" s="562">
        <v>923171042161</v>
      </c>
      <c r="F644" s="562" t="s">
        <v>6939</v>
      </c>
      <c r="G644" s="562" t="s">
        <v>9700</v>
      </c>
      <c r="H644" s="562" t="s">
        <v>9701</v>
      </c>
      <c r="I644" s="562" t="s">
        <v>9702</v>
      </c>
      <c r="J644" s="562" t="s">
        <v>9703</v>
      </c>
      <c r="K644" s="562">
        <v>4.0</v>
      </c>
      <c r="L644" s="284"/>
    </row>
    <row r="645">
      <c r="A645" s="562" t="s">
        <v>9440</v>
      </c>
      <c r="B645" s="563">
        <v>0.7195717592592593</v>
      </c>
      <c r="C645" s="562" t="s">
        <v>9704</v>
      </c>
      <c r="D645" s="284"/>
      <c r="E645" s="562">
        <v>923215814503</v>
      </c>
      <c r="F645" s="562" t="s">
        <v>6875</v>
      </c>
      <c r="G645" s="284"/>
      <c r="H645" s="284"/>
      <c r="I645" s="284"/>
      <c r="J645" s="562" t="s">
        <v>9705</v>
      </c>
      <c r="K645" s="562">
        <v>1.0</v>
      </c>
      <c r="L645" s="284"/>
    </row>
    <row r="646">
      <c r="A646" s="562" t="s">
        <v>9706</v>
      </c>
      <c r="B646" s="563">
        <v>0.44862268518518517</v>
      </c>
      <c r="C646" s="562" t="s">
        <v>9707</v>
      </c>
      <c r="D646" s="284"/>
      <c r="E646" s="562">
        <v>923219577126</v>
      </c>
      <c r="F646" s="562" t="s">
        <v>6939</v>
      </c>
      <c r="G646" s="562" t="s">
        <v>9658</v>
      </c>
      <c r="H646" s="562" t="s">
        <v>9708</v>
      </c>
      <c r="I646" s="562" t="s">
        <v>9709</v>
      </c>
      <c r="J646" s="562" t="s">
        <v>9710</v>
      </c>
      <c r="K646" s="562">
        <v>4.0</v>
      </c>
      <c r="L646" s="284"/>
    </row>
    <row r="647">
      <c r="A647" s="562" t="s">
        <v>9706</v>
      </c>
      <c r="B647" s="563">
        <v>0.4486921296296296</v>
      </c>
      <c r="C647" s="562" t="s">
        <v>9711</v>
      </c>
      <c r="D647" s="284"/>
      <c r="E647" s="562">
        <v>923142365667</v>
      </c>
      <c r="F647" s="562" t="s">
        <v>7291</v>
      </c>
      <c r="G647" s="562" t="s">
        <v>9712</v>
      </c>
      <c r="H647" s="562" t="s">
        <v>7254</v>
      </c>
      <c r="I647" s="562" t="s">
        <v>9713</v>
      </c>
      <c r="J647" s="562" t="s">
        <v>9714</v>
      </c>
      <c r="K647" s="562">
        <v>4.0</v>
      </c>
      <c r="L647" s="284"/>
    </row>
    <row r="648">
      <c r="A648" s="562" t="s">
        <v>9706</v>
      </c>
      <c r="B648" s="563">
        <v>0.4487847222222222</v>
      </c>
      <c r="C648" s="562" t="s">
        <v>9715</v>
      </c>
      <c r="D648" s="284"/>
      <c r="E648" s="562">
        <v>923466279429</v>
      </c>
      <c r="F648" s="562" t="s">
        <v>6875</v>
      </c>
      <c r="G648" s="284"/>
      <c r="H648" s="562" t="s">
        <v>9716</v>
      </c>
      <c r="I648" s="562" t="s">
        <v>9717</v>
      </c>
      <c r="J648" s="562" t="s">
        <v>9718</v>
      </c>
      <c r="K648" s="562">
        <v>3.0</v>
      </c>
      <c r="L648" s="284"/>
    </row>
    <row r="649">
      <c r="A649" s="562" t="s">
        <v>9706</v>
      </c>
      <c r="B649" s="563">
        <v>0.44886574074074076</v>
      </c>
      <c r="C649" s="562" t="s">
        <v>9719</v>
      </c>
      <c r="D649" s="284"/>
      <c r="E649" s="562">
        <v>923408902865</v>
      </c>
      <c r="F649" s="562" t="s">
        <v>6939</v>
      </c>
      <c r="G649" s="562" t="s">
        <v>9720</v>
      </c>
      <c r="H649" s="562" t="s">
        <v>9721</v>
      </c>
      <c r="I649" s="562" t="s">
        <v>9722</v>
      </c>
      <c r="J649" s="562" t="s">
        <v>9723</v>
      </c>
      <c r="K649" s="562">
        <v>4.0</v>
      </c>
      <c r="L649" s="284"/>
    </row>
    <row r="650">
      <c r="A650" s="562" t="s">
        <v>9706</v>
      </c>
      <c r="B650" s="563">
        <v>0.448912037037037</v>
      </c>
      <c r="C650" s="562" t="s">
        <v>9724</v>
      </c>
      <c r="D650" s="284"/>
      <c r="E650" s="562">
        <v>923372589340</v>
      </c>
      <c r="F650" s="562" t="s">
        <v>6939</v>
      </c>
      <c r="G650" s="562" t="s">
        <v>9725</v>
      </c>
      <c r="H650" s="562" t="s">
        <v>9726</v>
      </c>
      <c r="I650" s="562" t="s">
        <v>9727</v>
      </c>
      <c r="J650" s="562" t="s">
        <v>9728</v>
      </c>
      <c r="K650" s="562">
        <v>4.0</v>
      </c>
      <c r="L650" s="284"/>
    </row>
    <row r="651">
      <c r="A651" s="562" t="s">
        <v>9706</v>
      </c>
      <c r="B651" s="563">
        <v>0.44895833333333335</v>
      </c>
      <c r="C651" s="562" t="s">
        <v>9729</v>
      </c>
      <c r="D651" s="284"/>
      <c r="E651" s="562">
        <v>923454787500</v>
      </c>
      <c r="F651" s="562" t="s">
        <v>6939</v>
      </c>
      <c r="G651" s="562" t="s">
        <v>9730</v>
      </c>
      <c r="H651" s="562" t="s">
        <v>9731</v>
      </c>
      <c r="I651" s="562" t="s">
        <v>9732</v>
      </c>
      <c r="J651" s="562" t="s">
        <v>9733</v>
      </c>
      <c r="K651" s="562">
        <v>4.0</v>
      </c>
      <c r="L651" s="284"/>
    </row>
    <row r="652">
      <c r="A652" s="562" t="s">
        <v>9706</v>
      </c>
      <c r="B652" s="563">
        <v>0.45569444444444446</v>
      </c>
      <c r="C652" s="562" t="s">
        <v>9734</v>
      </c>
      <c r="D652" s="284"/>
      <c r="E652" s="562">
        <v>923243260064</v>
      </c>
      <c r="F652" s="562" t="s">
        <v>6875</v>
      </c>
      <c r="G652" s="284"/>
      <c r="H652" s="284"/>
      <c r="I652" s="284"/>
      <c r="J652" s="562" t="s">
        <v>9735</v>
      </c>
      <c r="K652" s="562">
        <v>1.0</v>
      </c>
      <c r="L652" s="284"/>
    </row>
    <row r="653">
      <c r="A653" s="562" t="s">
        <v>9706</v>
      </c>
      <c r="B653" s="563">
        <v>0.4594212962962963</v>
      </c>
      <c r="C653" s="562" t="s">
        <v>9736</v>
      </c>
      <c r="D653" s="284"/>
      <c r="E653" s="562">
        <v>923139900432</v>
      </c>
      <c r="F653" s="562" t="s">
        <v>6875</v>
      </c>
      <c r="G653" s="284"/>
      <c r="H653" s="284"/>
      <c r="I653" s="284"/>
      <c r="J653" s="562" t="s">
        <v>9737</v>
      </c>
      <c r="K653" s="562">
        <v>1.0</v>
      </c>
      <c r="L653" s="284"/>
    </row>
    <row r="654">
      <c r="A654" s="562" t="s">
        <v>9706</v>
      </c>
      <c r="B654" s="563">
        <v>0.45949074074074076</v>
      </c>
      <c r="C654" s="562" t="s">
        <v>9738</v>
      </c>
      <c r="D654" s="284"/>
      <c r="E654" s="562">
        <v>923224392273</v>
      </c>
      <c r="F654" s="562" t="s">
        <v>6875</v>
      </c>
      <c r="G654" s="284"/>
      <c r="H654" s="284"/>
      <c r="I654" s="562" t="s">
        <v>9739</v>
      </c>
      <c r="J654" s="562" t="s">
        <v>9740</v>
      </c>
      <c r="K654" s="562">
        <v>2.0</v>
      </c>
      <c r="L654" s="562" t="s">
        <v>9741</v>
      </c>
    </row>
    <row r="655">
      <c r="A655" s="562" t="s">
        <v>9706</v>
      </c>
      <c r="B655" s="563">
        <v>0.459537037037037</v>
      </c>
      <c r="C655" s="562" t="s">
        <v>9742</v>
      </c>
      <c r="D655" s="284"/>
      <c r="E655" s="562">
        <v>923341112929</v>
      </c>
      <c r="F655" s="562" t="s">
        <v>6875</v>
      </c>
      <c r="G655" s="284"/>
      <c r="H655" s="284"/>
      <c r="I655" s="562" t="s">
        <v>9743</v>
      </c>
      <c r="J655" s="562" t="s">
        <v>9744</v>
      </c>
      <c r="K655" s="562">
        <v>2.0</v>
      </c>
      <c r="L655" s="284"/>
    </row>
    <row r="656">
      <c r="A656" s="562" t="s">
        <v>9706</v>
      </c>
      <c r="B656" s="563">
        <v>0.45958333333333334</v>
      </c>
      <c r="C656" s="562" t="s">
        <v>9745</v>
      </c>
      <c r="D656" s="284"/>
      <c r="E656" s="562">
        <v>923111500300</v>
      </c>
      <c r="F656" s="562" t="s">
        <v>6982</v>
      </c>
      <c r="G656" s="562" t="s">
        <v>9210</v>
      </c>
      <c r="H656" s="562" t="s">
        <v>9360</v>
      </c>
      <c r="I656" s="562" t="s">
        <v>9746</v>
      </c>
      <c r="J656" s="562" t="s">
        <v>9747</v>
      </c>
      <c r="K656" s="562">
        <v>4.0</v>
      </c>
      <c r="L656" s="562" t="s">
        <v>9748</v>
      </c>
    </row>
    <row r="657">
      <c r="A657" s="562" t="s">
        <v>9706</v>
      </c>
      <c r="B657" s="563">
        <v>0.4596296296296296</v>
      </c>
      <c r="C657" s="562" t="s">
        <v>9749</v>
      </c>
      <c r="D657" s="284"/>
      <c r="E657" s="562">
        <v>923315570659</v>
      </c>
      <c r="F657" s="562" t="s">
        <v>6939</v>
      </c>
      <c r="G657" s="562" t="s">
        <v>9750</v>
      </c>
      <c r="H657" s="562" t="s">
        <v>9751</v>
      </c>
      <c r="I657" s="562" t="s">
        <v>9752</v>
      </c>
      <c r="J657" s="562" t="s">
        <v>9753</v>
      </c>
      <c r="K657" s="562">
        <v>4.0</v>
      </c>
      <c r="L657" s="284"/>
    </row>
    <row r="658">
      <c r="A658" s="562" t="s">
        <v>9706</v>
      </c>
      <c r="B658" s="563">
        <v>0.4597569444444444</v>
      </c>
      <c r="C658" s="562" t="s">
        <v>9754</v>
      </c>
      <c r="D658" s="284"/>
      <c r="E658" s="562">
        <v>923359705297</v>
      </c>
      <c r="F658" s="562" t="s">
        <v>6875</v>
      </c>
      <c r="G658" s="284"/>
      <c r="H658" s="284"/>
      <c r="I658" s="284"/>
      <c r="J658" s="562" t="s">
        <v>9755</v>
      </c>
      <c r="K658" s="562">
        <v>1.0</v>
      </c>
      <c r="L658" s="562" t="s">
        <v>372</v>
      </c>
    </row>
    <row r="659">
      <c r="A659" s="562" t="s">
        <v>9706</v>
      </c>
      <c r="B659" s="563">
        <v>0.4598148148148148</v>
      </c>
      <c r="C659" s="562" t="s">
        <v>9756</v>
      </c>
      <c r="D659" s="284"/>
      <c r="E659" s="562">
        <v>923199675879</v>
      </c>
      <c r="F659" s="562" t="s">
        <v>6939</v>
      </c>
      <c r="G659" s="562" t="s">
        <v>9478</v>
      </c>
      <c r="H659" s="562" t="s">
        <v>9757</v>
      </c>
      <c r="I659" s="562" t="s">
        <v>9758</v>
      </c>
      <c r="J659" s="562" t="s">
        <v>9759</v>
      </c>
      <c r="K659" s="562">
        <v>4.0</v>
      </c>
      <c r="L659" s="284"/>
    </row>
    <row r="660">
      <c r="A660" s="562" t="s">
        <v>9706</v>
      </c>
      <c r="B660" s="563">
        <v>0.46447916666666667</v>
      </c>
      <c r="C660" s="562" t="s">
        <v>9760</v>
      </c>
      <c r="D660" s="284"/>
      <c r="E660" s="562">
        <v>923479518192</v>
      </c>
      <c r="F660" s="562" t="s">
        <v>6939</v>
      </c>
      <c r="G660" s="562" t="s">
        <v>9725</v>
      </c>
      <c r="H660" s="562" t="s">
        <v>9761</v>
      </c>
      <c r="I660" s="562" t="s">
        <v>9762</v>
      </c>
      <c r="J660" s="562" t="s">
        <v>9763</v>
      </c>
      <c r="K660" s="562">
        <v>4.0</v>
      </c>
      <c r="L660" s="284"/>
    </row>
    <row r="661">
      <c r="A661" s="562" t="s">
        <v>9706</v>
      </c>
      <c r="B661" s="563">
        <v>0.472650462962963</v>
      </c>
      <c r="C661" s="562" t="s">
        <v>9764</v>
      </c>
      <c r="D661" s="284"/>
      <c r="E661" s="562">
        <v>923098358372</v>
      </c>
      <c r="F661" s="562" t="s">
        <v>6939</v>
      </c>
      <c r="G661" s="562" t="s">
        <v>9765</v>
      </c>
      <c r="H661" s="562" t="s">
        <v>9766</v>
      </c>
      <c r="I661" s="562" t="s">
        <v>9767</v>
      </c>
      <c r="J661" s="562" t="s">
        <v>9768</v>
      </c>
      <c r="K661" s="562">
        <v>4.0</v>
      </c>
      <c r="L661" s="284"/>
    </row>
    <row r="662">
      <c r="A662" s="562" t="s">
        <v>9706</v>
      </c>
      <c r="B662" s="563">
        <v>0.4727546296296296</v>
      </c>
      <c r="C662" s="562" t="s">
        <v>9769</v>
      </c>
      <c r="D662" s="284"/>
      <c r="E662" s="562">
        <v>923184407179</v>
      </c>
      <c r="F662" s="562" t="s">
        <v>6939</v>
      </c>
      <c r="G662" s="562" t="s">
        <v>9770</v>
      </c>
      <c r="H662" s="562" t="s">
        <v>9771</v>
      </c>
      <c r="I662" s="562" t="s">
        <v>9772</v>
      </c>
      <c r="J662" s="562" t="s">
        <v>9773</v>
      </c>
      <c r="K662" s="562">
        <v>4.0</v>
      </c>
      <c r="L662" s="284"/>
    </row>
    <row r="663">
      <c r="A663" s="562" t="s">
        <v>9706</v>
      </c>
      <c r="B663" s="563">
        <v>0.4736574074074074</v>
      </c>
      <c r="C663" s="562" t="s">
        <v>9774</v>
      </c>
      <c r="D663" s="284"/>
      <c r="E663" s="562">
        <v>923163370749</v>
      </c>
      <c r="F663" s="562" t="s">
        <v>6939</v>
      </c>
      <c r="G663" s="562" t="s">
        <v>9775</v>
      </c>
      <c r="H663" s="562" t="s">
        <v>9776</v>
      </c>
      <c r="I663" s="562" t="s">
        <v>9777</v>
      </c>
      <c r="J663" s="562" t="s">
        <v>9778</v>
      </c>
      <c r="K663" s="562">
        <v>4.0</v>
      </c>
      <c r="L663" s="284"/>
    </row>
    <row r="664">
      <c r="A664" s="562" t="s">
        <v>9706</v>
      </c>
      <c r="B664" s="563">
        <v>0.4741898148148148</v>
      </c>
      <c r="C664" s="562" t="s">
        <v>341</v>
      </c>
      <c r="D664" s="562" t="s">
        <v>6886</v>
      </c>
      <c r="E664" s="566" t="s">
        <v>9779</v>
      </c>
      <c r="F664" s="562" t="s">
        <v>6875</v>
      </c>
      <c r="G664" s="284"/>
      <c r="H664" s="284"/>
      <c r="I664" s="562" t="s">
        <v>9780</v>
      </c>
      <c r="J664" s="562" t="s">
        <v>9781</v>
      </c>
      <c r="K664" s="562">
        <v>2.0</v>
      </c>
      <c r="L664" s="562" t="s">
        <v>9782</v>
      </c>
    </row>
    <row r="665">
      <c r="A665" s="562" t="s">
        <v>9706</v>
      </c>
      <c r="B665" s="563">
        <v>0.47435185185185186</v>
      </c>
      <c r="C665" s="562" t="s">
        <v>9783</v>
      </c>
      <c r="D665" s="284"/>
      <c r="E665" s="562">
        <v>923117430697</v>
      </c>
      <c r="F665" s="562" t="s">
        <v>6939</v>
      </c>
      <c r="G665" s="562" t="s">
        <v>9784</v>
      </c>
      <c r="H665" s="562" t="s">
        <v>9785</v>
      </c>
      <c r="I665" s="562" t="s">
        <v>9786</v>
      </c>
      <c r="J665" s="562" t="s">
        <v>9787</v>
      </c>
      <c r="K665" s="562">
        <v>4.0</v>
      </c>
      <c r="L665" s="284"/>
    </row>
    <row r="666">
      <c r="A666" s="562" t="s">
        <v>9706</v>
      </c>
      <c r="B666" s="563">
        <v>0.47802083333333334</v>
      </c>
      <c r="C666" s="562" t="s">
        <v>9788</v>
      </c>
      <c r="D666" s="284"/>
      <c r="E666" s="562">
        <v>923195830965</v>
      </c>
      <c r="F666" s="562" t="s">
        <v>6875</v>
      </c>
      <c r="G666" s="562" t="s">
        <v>7254</v>
      </c>
      <c r="H666" s="562" t="s">
        <v>7254</v>
      </c>
      <c r="I666" s="562" t="s">
        <v>9789</v>
      </c>
      <c r="J666" s="562" t="s">
        <v>9790</v>
      </c>
      <c r="K666" s="562">
        <v>4.0</v>
      </c>
      <c r="L666" s="284"/>
    </row>
    <row r="667">
      <c r="A667" s="562" t="s">
        <v>9706</v>
      </c>
      <c r="B667" s="563">
        <v>0.4780787037037037</v>
      </c>
      <c r="C667" s="562" t="s">
        <v>9791</v>
      </c>
      <c r="D667" s="284"/>
      <c r="E667" s="562">
        <v>923703247083</v>
      </c>
      <c r="F667" s="562" t="s">
        <v>6875</v>
      </c>
      <c r="G667" s="284"/>
      <c r="H667" s="284"/>
      <c r="I667" s="284"/>
      <c r="J667" s="562" t="s">
        <v>9792</v>
      </c>
      <c r="K667" s="562">
        <v>1.0</v>
      </c>
      <c r="L667" s="284"/>
    </row>
    <row r="668">
      <c r="A668" s="562" t="s">
        <v>9706</v>
      </c>
      <c r="B668" s="563">
        <v>0.4781712962962963</v>
      </c>
      <c r="C668" s="562" t="s">
        <v>9793</v>
      </c>
      <c r="D668" s="284"/>
      <c r="E668" s="562">
        <v>923178587178</v>
      </c>
      <c r="F668" s="562" t="s">
        <v>6982</v>
      </c>
      <c r="G668" s="562" t="s">
        <v>7254</v>
      </c>
      <c r="H668" s="562" t="s">
        <v>7254</v>
      </c>
      <c r="I668" s="562" t="s">
        <v>9794</v>
      </c>
      <c r="J668" s="562" t="s">
        <v>9795</v>
      </c>
      <c r="K668" s="562">
        <v>4.0</v>
      </c>
      <c r="L668" s="562" t="s">
        <v>9796</v>
      </c>
    </row>
    <row r="669">
      <c r="A669" s="562" t="s">
        <v>9706</v>
      </c>
      <c r="B669" s="563">
        <v>0.47822916666666665</v>
      </c>
      <c r="C669" s="562" t="s">
        <v>9797</v>
      </c>
      <c r="D669" s="284"/>
      <c r="E669" s="562">
        <v>923165765747</v>
      </c>
      <c r="F669" s="562" t="s">
        <v>6875</v>
      </c>
      <c r="G669" s="284"/>
      <c r="H669" s="284"/>
      <c r="I669" s="562" t="s">
        <v>9798</v>
      </c>
      <c r="J669" s="562" t="s">
        <v>9799</v>
      </c>
      <c r="K669" s="562">
        <v>2.0</v>
      </c>
      <c r="L669" s="284"/>
    </row>
    <row r="670">
      <c r="A670" s="562" t="s">
        <v>9706</v>
      </c>
      <c r="B670" s="563">
        <v>0.47827546296296297</v>
      </c>
      <c r="C670" s="562" t="s">
        <v>9800</v>
      </c>
      <c r="D670" s="284"/>
      <c r="E670" s="562">
        <v>923314817186</v>
      </c>
      <c r="F670" s="562" t="s">
        <v>6939</v>
      </c>
      <c r="G670" s="562" t="s">
        <v>9750</v>
      </c>
      <c r="H670" s="562" t="s">
        <v>9776</v>
      </c>
      <c r="I670" s="562" t="s">
        <v>9801</v>
      </c>
      <c r="J670" s="562" t="s">
        <v>9802</v>
      </c>
      <c r="K670" s="562">
        <v>4.0</v>
      </c>
      <c r="L670" s="562" t="s">
        <v>6944</v>
      </c>
    </row>
    <row r="671">
      <c r="A671" s="562" t="s">
        <v>9706</v>
      </c>
      <c r="B671" s="563">
        <v>0.4787962962962963</v>
      </c>
      <c r="C671" s="562" t="s">
        <v>9803</v>
      </c>
      <c r="D671" s="284"/>
      <c r="E671" s="562">
        <v>923003535284</v>
      </c>
      <c r="F671" s="562" t="s">
        <v>6939</v>
      </c>
      <c r="G671" s="562" t="s">
        <v>9804</v>
      </c>
      <c r="H671" s="562" t="s">
        <v>9805</v>
      </c>
      <c r="I671" s="562" t="s">
        <v>9806</v>
      </c>
      <c r="J671" s="562" t="s">
        <v>9807</v>
      </c>
      <c r="K671" s="562">
        <v>4.0</v>
      </c>
      <c r="L671" s="562" t="s">
        <v>152</v>
      </c>
    </row>
    <row r="672">
      <c r="A672" s="562" t="s">
        <v>9706</v>
      </c>
      <c r="B672" s="563">
        <v>0.4811574074074074</v>
      </c>
      <c r="C672" s="562" t="s">
        <v>9808</v>
      </c>
      <c r="D672" s="284"/>
      <c r="E672" s="562">
        <v>923157039025</v>
      </c>
      <c r="F672" s="562" t="s">
        <v>6875</v>
      </c>
      <c r="G672" s="284"/>
      <c r="H672" s="284"/>
      <c r="I672" s="562" t="s">
        <v>9809</v>
      </c>
      <c r="J672" s="562" t="s">
        <v>9810</v>
      </c>
      <c r="K672" s="562">
        <v>2.0</v>
      </c>
      <c r="L672" s="284"/>
    </row>
    <row r="673">
      <c r="A673" s="562" t="s">
        <v>9706</v>
      </c>
      <c r="B673" s="563">
        <v>0.4812037037037037</v>
      </c>
      <c r="C673" s="562" t="s">
        <v>9811</v>
      </c>
      <c r="D673" s="284"/>
      <c r="E673" s="562">
        <v>923012352473</v>
      </c>
      <c r="F673" s="562" t="s">
        <v>6875</v>
      </c>
      <c r="G673" s="284"/>
      <c r="H673" s="284"/>
      <c r="I673" s="562" t="s">
        <v>9812</v>
      </c>
      <c r="J673" s="562" t="s">
        <v>9813</v>
      </c>
      <c r="K673" s="562">
        <v>2.0</v>
      </c>
      <c r="L673" s="562" t="s">
        <v>8552</v>
      </c>
    </row>
    <row r="674">
      <c r="A674" s="562" t="s">
        <v>9706</v>
      </c>
      <c r="B674" s="563">
        <v>0.48125</v>
      </c>
      <c r="C674" s="562" t="s">
        <v>9814</v>
      </c>
      <c r="D674" s="284"/>
      <c r="E674" s="562">
        <v>923035728516</v>
      </c>
      <c r="F674" s="562" t="s">
        <v>6875</v>
      </c>
      <c r="G674" s="562" t="s">
        <v>9815</v>
      </c>
      <c r="H674" s="562" t="s">
        <v>9816</v>
      </c>
      <c r="I674" s="562" t="s">
        <v>9817</v>
      </c>
      <c r="J674" s="562" t="s">
        <v>9818</v>
      </c>
      <c r="K674" s="562">
        <v>4.0</v>
      </c>
      <c r="L674" s="284"/>
    </row>
    <row r="675">
      <c r="A675" s="562" t="s">
        <v>9706</v>
      </c>
      <c r="B675" s="563">
        <v>0.48130787037037037</v>
      </c>
      <c r="C675" s="562" t="s">
        <v>9819</v>
      </c>
      <c r="D675" s="284"/>
      <c r="E675" s="562">
        <v>923408090214</v>
      </c>
      <c r="F675" s="562" t="s">
        <v>7291</v>
      </c>
      <c r="G675" s="562" t="s">
        <v>9820</v>
      </c>
      <c r="H675" s="562" t="s">
        <v>9821</v>
      </c>
      <c r="I675" s="562" t="s">
        <v>9822</v>
      </c>
      <c r="J675" s="562" t="s">
        <v>9823</v>
      </c>
      <c r="K675" s="562">
        <v>4.0</v>
      </c>
      <c r="L675" s="284"/>
    </row>
    <row r="676">
      <c r="A676" s="562" t="s">
        <v>9706</v>
      </c>
      <c r="B676" s="563">
        <v>0.4813541666666667</v>
      </c>
      <c r="C676" s="562" t="s">
        <v>9824</v>
      </c>
      <c r="D676" s="284"/>
      <c r="E676" s="562">
        <v>923333418147</v>
      </c>
      <c r="F676" s="562" t="s">
        <v>6939</v>
      </c>
      <c r="G676" s="562" t="s">
        <v>9825</v>
      </c>
      <c r="H676" s="562" t="s">
        <v>9826</v>
      </c>
      <c r="I676" s="562" t="s">
        <v>9827</v>
      </c>
      <c r="J676" s="562" t="s">
        <v>9828</v>
      </c>
      <c r="K676" s="562">
        <v>4.0</v>
      </c>
      <c r="L676" s="284"/>
    </row>
    <row r="677">
      <c r="A677" s="562" t="s">
        <v>9706</v>
      </c>
      <c r="B677" s="563">
        <v>0.4845023148148148</v>
      </c>
      <c r="C677" s="562" t="s">
        <v>9829</v>
      </c>
      <c r="D677" s="284"/>
      <c r="E677" s="562">
        <v>923496429017</v>
      </c>
      <c r="F677" s="562" t="s">
        <v>6875</v>
      </c>
      <c r="G677" s="562" t="s">
        <v>9830</v>
      </c>
      <c r="H677" s="562" t="s">
        <v>9831</v>
      </c>
      <c r="I677" s="562" t="s">
        <v>9832</v>
      </c>
      <c r="J677" s="562" t="s">
        <v>9833</v>
      </c>
      <c r="K677" s="562">
        <v>4.0</v>
      </c>
      <c r="L677" s="562" t="s">
        <v>9834</v>
      </c>
    </row>
    <row r="678">
      <c r="A678" s="562" t="s">
        <v>9706</v>
      </c>
      <c r="B678" s="563">
        <v>0.48454861111111114</v>
      </c>
      <c r="C678" s="562" t="s">
        <v>9835</v>
      </c>
      <c r="D678" s="284"/>
      <c r="E678" s="562">
        <v>923297513748</v>
      </c>
      <c r="F678" s="562" t="s">
        <v>6875</v>
      </c>
      <c r="G678" s="562" t="s">
        <v>9836</v>
      </c>
      <c r="H678" s="284"/>
      <c r="I678" s="284"/>
      <c r="J678" s="284"/>
      <c r="K678" s="562">
        <v>1.0</v>
      </c>
      <c r="L678" s="284"/>
    </row>
    <row r="679">
      <c r="A679" s="562" t="s">
        <v>9706</v>
      </c>
      <c r="B679" s="563">
        <v>0.4845949074074074</v>
      </c>
      <c r="C679" s="562" t="s">
        <v>9837</v>
      </c>
      <c r="D679" s="284"/>
      <c r="E679" s="562">
        <v>923215726322</v>
      </c>
      <c r="F679" s="562" t="s">
        <v>6939</v>
      </c>
      <c r="G679" s="562" t="s">
        <v>9838</v>
      </c>
      <c r="H679" s="562" t="s">
        <v>9839</v>
      </c>
      <c r="I679" s="562" t="s">
        <v>9840</v>
      </c>
      <c r="J679" s="562" t="s">
        <v>9841</v>
      </c>
      <c r="K679" s="562">
        <v>4.0</v>
      </c>
      <c r="L679" s="284"/>
    </row>
    <row r="680">
      <c r="A680" s="562" t="s">
        <v>9706</v>
      </c>
      <c r="B680" s="563">
        <v>0.48462962962962963</v>
      </c>
      <c r="C680" s="562" t="s">
        <v>9842</v>
      </c>
      <c r="D680" s="284"/>
      <c r="E680" s="562">
        <v>923109368352</v>
      </c>
      <c r="F680" s="562" t="s">
        <v>6939</v>
      </c>
      <c r="G680" s="562" t="s">
        <v>9843</v>
      </c>
      <c r="H680" s="562" t="s">
        <v>9844</v>
      </c>
      <c r="I680" s="562" t="s">
        <v>9845</v>
      </c>
      <c r="J680" s="562" t="s">
        <v>9846</v>
      </c>
      <c r="K680" s="562">
        <v>4.0</v>
      </c>
      <c r="L680" s="284"/>
    </row>
    <row r="681">
      <c r="A681" s="562" t="s">
        <v>9706</v>
      </c>
      <c r="B681" s="563">
        <v>0.49898148148148147</v>
      </c>
      <c r="C681" s="562" t="s">
        <v>9847</v>
      </c>
      <c r="D681" s="284"/>
      <c r="E681" s="562">
        <v>923038127662</v>
      </c>
      <c r="F681" s="562" t="s">
        <v>6875</v>
      </c>
      <c r="G681" s="562" t="s">
        <v>9848</v>
      </c>
      <c r="H681" s="284"/>
      <c r="I681" s="284"/>
      <c r="J681" s="284"/>
      <c r="K681" s="562">
        <v>1.0</v>
      </c>
      <c r="L681" s="284"/>
    </row>
    <row r="682">
      <c r="A682" s="562" t="s">
        <v>9706</v>
      </c>
      <c r="B682" s="563">
        <v>0.49903935185185183</v>
      </c>
      <c r="C682" s="562" t="s">
        <v>9849</v>
      </c>
      <c r="D682" s="284"/>
      <c r="E682" s="562">
        <v>923119399973</v>
      </c>
      <c r="F682" s="562" t="s">
        <v>6875</v>
      </c>
      <c r="G682" s="562" t="s">
        <v>9850</v>
      </c>
      <c r="H682" s="562" t="s">
        <v>9851</v>
      </c>
      <c r="I682" s="562" t="s">
        <v>9852</v>
      </c>
      <c r="J682" s="284"/>
      <c r="K682" s="562">
        <v>3.0</v>
      </c>
      <c r="L682" s="562" t="s">
        <v>372</v>
      </c>
    </row>
    <row r="683">
      <c r="A683" s="562" t="s">
        <v>9706</v>
      </c>
      <c r="B683" s="563">
        <v>0.5031134259259259</v>
      </c>
      <c r="C683" s="562" t="s">
        <v>9853</v>
      </c>
      <c r="D683" s="284"/>
      <c r="E683" s="562">
        <v>923471393125</v>
      </c>
      <c r="F683" s="562" t="s">
        <v>6939</v>
      </c>
      <c r="G683" s="562" t="s">
        <v>9854</v>
      </c>
      <c r="H683" s="562" t="s">
        <v>9855</v>
      </c>
      <c r="I683" s="562" t="s">
        <v>9856</v>
      </c>
      <c r="J683" s="562" t="s">
        <v>9857</v>
      </c>
      <c r="K683" s="562">
        <v>4.0</v>
      </c>
      <c r="L683" s="284"/>
    </row>
    <row r="684">
      <c r="A684" s="562" t="s">
        <v>9706</v>
      </c>
      <c r="B684" s="563">
        <v>0.5320138888888889</v>
      </c>
      <c r="C684" s="562" t="s">
        <v>9858</v>
      </c>
      <c r="D684" s="284"/>
      <c r="E684" s="562">
        <v>923700532294</v>
      </c>
      <c r="F684" s="562" t="s">
        <v>6875</v>
      </c>
      <c r="G684" s="562" t="s">
        <v>9859</v>
      </c>
      <c r="H684" s="284"/>
      <c r="I684" s="562" t="s">
        <v>9860</v>
      </c>
      <c r="J684" s="284"/>
      <c r="K684" s="562">
        <v>2.0</v>
      </c>
      <c r="L684" s="284"/>
    </row>
    <row r="685">
      <c r="A685" s="562" t="s">
        <v>9706</v>
      </c>
      <c r="B685" s="563">
        <v>0.606412037037037</v>
      </c>
      <c r="C685" s="562" t="s">
        <v>9861</v>
      </c>
      <c r="D685" s="284"/>
      <c r="E685" s="562">
        <v>923151964302</v>
      </c>
      <c r="F685" s="562" t="s">
        <v>6875</v>
      </c>
      <c r="G685" s="562" t="s">
        <v>9862</v>
      </c>
      <c r="H685" s="284"/>
      <c r="I685" s="562" t="s">
        <v>9863</v>
      </c>
      <c r="J685" s="562" t="s">
        <v>9864</v>
      </c>
      <c r="K685" s="562">
        <v>3.0</v>
      </c>
      <c r="L685" s="284"/>
    </row>
    <row r="686">
      <c r="A686" s="562" t="s">
        <v>9706</v>
      </c>
      <c r="B686" s="563">
        <v>0.6065046296296296</v>
      </c>
      <c r="C686" s="562" t="s">
        <v>9865</v>
      </c>
      <c r="D686" s="284"/>
      <c r="E686" s="562">
        <v>923112596130</v>
      </c>
      <c r="F686" s="562" t="s">
        <v>6982</v>
      </c>
      <c r="G686" s="562" t="s">
        <v>9866</v>
      </c>
      <c r="H686" s="562" t="s">
        <v>9867</v>
      </c>
      <c r="I686" s="562" t="s">
        <v>9868</v>
      </c>
      <c r="J686" s="562" t="s">
        <v>9869</v>
      </c>
      <c r="K686" s="562">
        <v>4.0</v>
      </c>
      <c r="L686" s="284"/>
    </row>
    <row r="687">
      <c r="A687" s="562" t="s">
        <v>9706</v>
      </c>
      <c r="B687" s="563">
        <v>0.606550925925926</v>
      </c>
      <c r="C687" s="562" t="s">
        <v>9870</v>
      </c>
      <c r="D687" s="284"/>
      <c r="E687" s="562">
        <v>923465632647</v>
      </c>
      <c r="F687" s="562" t="s">
        <v>6939</v>
      </c>
      <c r="G687" s="562" t="s">
        <v>9871</v>
      </c>
      <c r="H687" s="562" t="s">
        <v>9826</v>
      </c>
      <c r="I687" s="562" t="s">
        <v>9872</v>
      </c>
      <c r="J687" s="562" t="s">
        <v>9828</v>
      </c>
      <c r="K687" s="562">
        <v>4.0</v>
      </c>
      <c r="L687" s="562" t="s">
        <v>860</v>
      </c>
    </row>
    <row r="688">
      <c r="A688" s="562" t="s">
        <v>9706</v>
      </c>
      <c r="B688" s="563">
        <v>0.6066319444444445</v>
      </c>
      <c r="C688" s="562" t="s">
        <v>9873</v>
      </c>
      <c r="D688" s="284"/>
      <c r="E688" s="562">
        <v>923264457078</v>
      </c>
      <c r="F688" s="562" t="s">
        <v>6875</v>
      </c>
      <c r="G688" s="562" t="s">
        <v>9874</v>
      </c>
      <c r="H688" s="562" t="s">
        <v>9875</v>
      </c>
      <c r="I688" s="562" t="s">
        <v>9876</v>
      </c>
      <c r="J688" s="562" t="s">
        <v>9877</v>
      </c>
      <c r="K688" s="562">
        <v>4.0</v>
      </c>
      <c r="L688" s="562" t="s">
        <v>8376</v>
      </c>
    </row>
    <row r="689">
      <c r="A689" s="562" t="s">
        <v>9706</v>
      </c>
      <c r="B689" s="563">
        <v>0.6155092592592593</v>
      </c>
      <c r="C689" s="562" t="s">
        <v>9878</v>
      </c>
      <c r="D689" s="284"/>
      <c r="E689" s="562">
        <v>923180839521</v>
      </c>
      <c r="F689" s="562" t="s">
        <v>6875</v>
      </c>
      <c r="G689" s="562" t="s">
        <v>9879</v>
      </c>
      <c r="H689" s="284"/>
      <c r="I689" s="562" t="s">
        <v>9880</v>
      </c>
      <c r="J689" s="284"/>
      <c r="K689" s="562">
        <v>2.0</v>
      </c>
      <c r="L689" s="562" t="s">
        <v>9881</v>
      </c>
    </row>
    <row r="690">
      <c r="A690" s="562" t="s">
        <v>9706</v>
      </c>
      <c r="B690" s="563">
        <v>0.6198611111111111</v>
      </c>
      <c r="C690" s="562" t="s">
        <v>9882</v>
      </c>
      <c r="D690" s="284"/>
      <c r="E690" s="562">
        <v>923116079869</v>
      </c>
      <c r="F690" s="562" t="s">
        <v>6875</v>
      </c>
      <c r="G690" s="562" t="s">
        <v>9883</v>
      </c>
      <c r="H690" s="562" t="s">
        <v>9884</v>
      </c>
      <c r="I690" s="562" t="s">
        <v>9885</v>
      </c>
      <c r="J690" s="562" t="s">
        <v>9886</v>
      </c>
      <c r="K690" s="562">
        <v>4.0</v>
      </c>
      <c r="L690" s="562" t="s">
        <v>9887</v>
      </c>
    </row>
    <row r="691">
      <c r="A691" s="562" t="s">
        <v>9706</v>
      </c>
      <c r="B691" s="563">
        <v>0.6208796296296296</v>
      </c>
      <c r="C691" s="562" t="s">
        <v>9888</v>
      </c>
      <c r="D691" s="562" t="s">
        <v>6886</v>
      </c>
      <c r="E691" s="566" t="s">
        <v>9889</v>
      </c>
      <c r="F691" s="562" t="s">
        <v>6875</v>
      </c>
      <c r="G691" s="562" t="s">
        <v>9890</v>
      </c>
      <c r="H691" s="284"/>
      <c r="I691" s="562" t="s">
        <v>9891</v>
      </c>
      <c r="J691" s="562" t="s">
        <v>9892</v>
      </c>
      <c r="K691" s="562">
        <v>3.0</v>
      </c>
      <c r="L691" s="562" t="s">
        <v>712</v>
      </c>
    </row>
    <row r="692">
      <c r="A692" s="562" t="s">
        <v>9706</v>
      </c>
      <c r="B692" s="563">
        <v>0.6320949074074074</v>
      </c>
      <c r="C692" s="562" t="s">
        <v>9893</v>
      </c>
      <c r="D692" s="284"/>
      <c r="E692" s="562">
        <v>923135994798</v>
      </c>
      <c r="F692" s="562" t="s">
        <v>6875</v>
      </c>
      <c r="G692" s="562" t="s">
        <v>9894</v>
      </c>
      <c r="H692" s="284"/>
      <c r="I692" s="562" t="s">
        <v>9895</v>
      </c>
      <c r="J692" s="284"/>
      <c r="K692" s="562">
        <v>2.0</v>
      </c>
      <c r="L692" s="284"/>
    </row>
    <row r="693">
      <c r="A693" s="562" t="s">
        <v>9706</v>
      </c>
      <c r="B693" s="563">
        <v>0.6387268518518519</v>
      </c>
      <c r="C693" s="562" t="s">
        <v>9896</v>
      </c>
      <c r="D693" s="284"/>
      <c r="E693" s="562">
        <v>923452679158</v>
      </c>
      <c r="F693" s="562" t="s">
        <v>6939</v>
      </c>
      <c r="G693" s="562" t="s">
        <v>9897</v>
      </c>
      <c r="H693" s="562" t="s">
        <v>9898</v>
      </c>
      <c r="I693" s="562" t="s">
        <v>9899</v>
      </c>
      <c r="J693" s="562" t="s">
        <v>9900</v>
      </c>
      <c r="K693" s="562">
        <v>4.0</v>
      </c>
      <c r="L693" s="562" t="s">
        <v>9901</v>
      </c>
    </row>
    <row r="694">
      <c r="A694" s="562" t="s">
        <v>9706</v>
      </c>
      <c r="B694" s="563">
        <v>0.6479282407407407</v>
      </c>
      <c r="C694" s="562" t="s">
        <v>9902</v>
      </c>
      <c r="D694" s="284"/>
      <c r="E694" s="562">
        <v>923499213977</v>
      </c>
      <c r="F694" s="562" t="s">
        <v>6875</v>
      </c>
      <c r="G694" s="562" t="s">
        <v>9903</v>
      </c>
      <c r="H694" s="284"/>
      <c r="I694" s="284"/>
      <c r="J694" s="284"/>
      <c r="K694" s="562">
        <v>1.0</v>
      </c>
      <c r="L694" s="284"/>
    </row>
    <row r="695">
      <c r="A695" s="562" t="s">
        <v>9706</v>
      </c>
      <c r="B695" s="563">
        <v>0.666724537037037</v>
      </c>
      <c r="C695" s="562" t="s">
        <v>9904</v>
      </c>
      <c r="D695" s="284"/>
      <c r="E695" s="562">
        <v>923174336779</v>
      </c>
      <c r="F695" s="562" t="s">
        <v>6875</v>
      </c>
      <c r="G695" s="562" t="s">
        <v>9905</v>
      </c>
      <c r="H695" s="284"/>
      <c r="I695" s="284"/>
      <c r="J695" s="284"/>
      <c r="K695" s="562">
        <v>1.0</v>
      </c>
      <c r="L695" s="284"/>
    </row>
    <row r="696">
      <c r="A696" s="562" t="s">
        <v>9706</v>
      </c>
      <c r="B696" s="563">
        <v>0.6954166666666667</v>
      </c>
      <c r="C696" s="562" t="s">
        <v>9906</v>
      </c>
      <c r="D696" s="284"/>
      <c r="E696" s="562">
        <v>923159019349</v>
      </c>
      <c r="F696" s="562" t="s">
        <v>7291</v>
      </c>
      <c r="G696" s="562" t="s">
        <v>9907</v>
      </c>
      <c r="H696" s="562" t="s">
        <v>9908</v>
      </c>
      <c r="I696" s="562" t="s">
        <v>9909</v>
      </c>
      <c r="J696" s="562" t="s">
        <v>9910</v>
      </c>
      <c r="K696" s="562">
        <v>4.0</v>
      </c>
      <c r="L696" s="284"/>
    </row>
    <row r="697">
      <c r="A697" s="562" t="s">
        <v>9706</v>
      </c>
      <c r="B697" s="563">
        <v>0.6964583333333333</v>
      </c>
      <c r="C697" s="562" t="s">
        <v>9911</v>
      </c>
      <c r="D697" s="284"/>
      <c r="E697" s="562">
        <v>923369027975</v>
      </c>
      <c r="F697" s="562" t="s">
        <v>6875</v>
      </c>
      <c r="G697" s="562" t="s">
        <v>9912</v>
      </c>
      <c r="H697" s="562" t="s">
        <v>9913</v>
      </c>
      <c r="I697" s="562" t="s">
        <v>9914</v>
      </c>
      <c r="J697" s="284"/>
      <c r="K697" s="562">
        <v>3.0</v>
      </c>
      <c r="L697" s="284"/>
    </row>
    <row r="698">
      <c r="A698" s="562" t="s">
        <v>9706</v>
      </c>
      <c r="B698" s="563">
        <v>0.7224189814814815</v>
      </c>
      <c r="C698" s="562" t="s">
        <v>9915</v>
      </c>
      <c r="D698" s="284"/>
      <c r="E698" s="562">
        <v>923239980645</v>
      </c>
      <c r="F698" s="562" t="s">
        <v>7291</v>
      </c>
      <c r="G698" s="562" t="s">
        <v>9916</v>
      </c>
      <c r="H698" s="562" t="s">
        <v>9917</v>
      </c>
      <c r="I698" s="562" t="s">
        <v>9918</v>
      </c>
      <c r="J698" s="562" t="s">
        <v>9919</v>
      </c>
      <c r="K698" s="562">
        <v>4.0</v>
      </c>
      <c r="L698" s="562" t="s">
        <v>6944</v>
      </c>
    </row>
    <row r="699">
      <c r="A699" s="562" t="s">
        <v>9706</v>
      </c>
      <c r="B699" s="563">
        <v>0.7284490740740741</v>
      </c>
      <c r="C699" s="562" t="s">
        <v>9920</v>
      </c>
      <c r="D699" s="562" t="s">
        <v>6886</v>
      </c>
      <c r="E699" s="566" t="s">
        <v>9921</v>
      </c>
      <c r="F699" s="562" t="s">
        <v>6982</v>
      </c>
      <c r="G699" s="562" t="s">
        <v>9922</v>
      </c>
      <c r="H699" s="562" t="s">
        <v>9776</v>
      </c>
      <c r="I699" s="562" t="s">
        <v>9923</v>
      </c>
      <c r="J699" s="562" t="s">
        <v>9924</v>
      </c>
      <c r="K699" s="562">
        <v>4.0</v>
      </c>
      <c r="L699" s="562" t="s">
        <v>9925</v>
      </c>
    </row>
    <row r="700">
      <c r="A700" s="562" t="s">
        <v>9706</v>
      </c>
      <c r="B700" s="563">
        <v>0.7285879629629629</v>
      </c>
      <c r="C700" s="562" t="s">
        <v>9926</v>
      </c>
      <c r="D700" s="284"/>
      <c r="E700" s="562">
        <v>923040924451</v>
      </c>
      <c r="F700" s="562" t="s">
        <v>6939</v>
      </c>
      <c r="G700" s="562" t="s">
        <v>9927</v>
      </c>
      <c r="H700" s="562" t="s">
        <v>9928</v>
      </c>
      <c r="I700" s="562" t="s">
        <v>9929</v>
      </c>
      <c r="J700" s="562" t="s">
        <v>9930</v>
      </c>
      <c r="K700" s="562">
        <v>4.0</v>
      </c>
      <c r="L700" s="284"/>
    </row>
    <row r="701">
      <c r="A701" s="562" t="s">
        <v>9706</v>
      </c>
      <c r="B701" s="563">
        <v>0.7317013888888889</v>
      </c>
      <c r="C701" s="562" t="s">
        <v>9931</v>
      </c>
      <c r="D701" s="284"/>
      <c r="E701" s="562">
        <v>923216627147</v>
      </c>
      <c r="F701" s="562" t="s">
        <v>6939</v>
      </c>
      <c r="G701" s="562" t="s">
        <v>9932</v>
      </c>
      <c r="H701" s="562" t="s">
        <v>9933</v>
      </c>
      <c r="I701" s="562" t="s">
        <v>9934</v>
      </c>
      <c r="J701" s="562" t="s">
        <v>9935</v>
      </c>
      <c r="K701" s="562">
        <v>4.0</v>
      </c>
      <c r="L701" s="284"/>
    </row>
    <row r="702">
      <c r="A702" s="562" t="s">
        <v>9706</v>
      </c>
      <c r="B702" s="563">
        <v>0.7444675925925925</v>
      </c>
      <c r="C702" s="562" t="s">
        <v>9936</v>
      </c>
      <c r="D702" s="284"/>
      <c r="E702" s="562">
        <v>923268842436</v>
      </c>
      <c r="F702" s="562" t="s">
        <v>6939</v>
      </c>
      <c r="G702" s="562" t="s">
        <v>9937</v>
      </c>
      <c r="H702" s="562" t="s">
        <v>9938</v>
      </c>
      <c r="I702" s="562" t="s">
        <v>9939</v>
      </c>
      <c r="J702" s="562" t="s">
        <v>9940</v>
      </c>
      <c r="K702" s="562">
        <v>4.0</v>
      </c>
      <c r="L702" s="562" t="s">
        <v>376</v>
      </c>
    </row>
    <row r="703">
      <c r="A703" s="562" t="s">
        <v>9941</v>
      </c>
      <c r="B703" s="563">
        <v>0.3871875</v>
      </c>
      <c r="C703" s="562" t="s">
        <v>9942</v>
      </c>
      <c r="D703" s="284"/>
      <c r="E703" s="562">
        <v>923345861686</v>
      </c>
      <c r="F703" s="562" t="s">
        <v>6875</v>
      </c>
      <c r="G703" s="562" t="s">
        <v>9943</v>
      </c>
      <c r="H703" s="284"/>
      <c r="I703" s="562" t="s">
        <v>9944</v>
      </c>
      <c r="J703" s="284"/>
      <c r="K703" s="562">
        <v>2.0</v>
      </c>
      <c r="L703" s="284"/>
    </row>
    <row r="704">
      <c r="A704" s="562" t="s">
        <v>9941</v>
      </c>
      <c r="B704" s="563">
        <v>0.3872453703703704</v>
      </c>
      <c r="C704" s="562" t="s">
        <v>9945</v>
      </c>
      <c r="D704" s="284"/>
      <c r="E704" s="562">
        <v>923125881370</v>
      </c>
      <c r="F704" s="562" t="s">
        <v>6875</v>
      </c>
      <c r="G704" s="562" t="s">
        <v>9946</v>
      </c>
      <c r="H704" s="284"/>
      <c r="I704" s="562" t="s">
        <v>9947</v>
      </c>
      <c r="J704" s="284"/>
      <c r="K704" s="562">
        <v>2.0</v>
      </c>
      <c r="L704" s="284"/>
    </row>
    <row r="705">
      <c r="A705" s="562" t="s">
        <v>9941</v>
      </c>
      <c r="B705" s="563">
        <v>0.38729166666666665</v>
      </c>
      <c r="C705" s="562" t="s">
        <v>9948</v>
      </c>
      <c r="D705" s="284"/>
      <c r="E705" s="562">
        <v>923475377386</v>
      </c>
      <c r="F705" s="562" t="s">
        <v>6939</v>
      </c>
      <c r="G705" s="562" t="s">
        <v>9949</v>
      </c>
      <c r="H705" s="562" t="s">
        <v>9950</v>
      </c>
      <c r="I705" s="562" t="s">
        <v>9951</v>
      </c>
      <c r="J705" s="562" t="s">
        <v>9952</v>
      </c>
      <c r="K705" s="562">
        <v>4.0</v>
      </c>
      <c r="L705" s="284"/>
    </row>
    <row r="706">
      <c r="A706" s="562" t="s">
        <v>9941</v>
      </c>
      <c r="B706" s="563">
        <v>0.38733796296296297</v>
      </c>
      <c r="C706" s="562" t="s">
        <v>9953</v>
      </c>
      <c r="D706" s="284"/>
      <c r="E706" s="562">
        <v>923017971126</v>
      </c>
      <c r="F706" s="562" t="s">
        <v>6939</v>
      </c>
      <c r="G706" s="562" t="s">
        <v>9949</v>
      </c>
      <c r="H706" s="562" t="s">
        <v>9954</v>
      </c>
      <c r="I706" s="562" t="s">
        <v>9955</v>
      </c>
      <c r="J706" s="562" t="s">
        <v>9956</v>
      </c>
      <c r="K706" s="562">
        <v>4.0</v>
      </c>
      <c r="L706" s="562" t="s">
        <v>376</v>
      </c>
    </row>
    <row r="707">
      <c r="A707" s="562" t="s">
        <v>9941</v>
      </c>
      <c r="B707" s="563">
        <v>0.3876041666666667</v>
      </c>
      <c r="C707" s="562" t="s">
        <v>9957</v>
      </c>
      <c r="D707" s="284"/>
      <c r="E707" s="562">
        <v>923190881814</v>
      </c>
      <c r="F707" s="562" t="s">
        <v>6875</v>
      </c>
      <c r="G707" s="284"/>
      <c r="H707" s="562" t="s">
        <v>9958</v>
      </c>
      <c r="I707" s="562" t="s">
        <v>9959</v>
      </c>
      <c r="J707" s="562" t="s">
        <v>9960</v>
      </c>
      <c r="K707" s="562">
        <v>3.0</v>
      </c>
      <c r="L707" s="284"/>
    </row>
    <row r="708">
      <c r="A708" s="562" t="s">
        <v>9941</v>
      </c>
      <c r="B708" s="563">
        <v>0.3876967592592593</v>
      </c>
      <c r="C708" s="562" t="s">
        <v>9961</v>
      </c>
      <c r="D708" s="284"/>
      <c r="E708" s="562">
        <v>923366716496</v>
      </c>
      <c r="F708" s="562" t="s">
        <v>6939</v>
      </c>
      <c r="G708" s="562" t="s">
        <v>9962</v>
      </c>
      <c r="H708" s="562" t="s">
        <v>9963</v>
      </c>
      <c r="I708" s="562" t="s">
        <v>9964</v>
      </c>
      <c r="J708" s="562" t="s">
        <v>9965</v>
      </c>
      <c r="K708" s="562">
        <v>4.0</v>
      </c>
      <c r="L708" s="284"/>
    </row>
    <row r="709">
      <c r="A709" s="562" t="s">
        <v>9941</v>
      </c>
      <c r="B709" s="563">
        <v>0.3907060185185185</v>
      </c>
      <c r="C709" s="562" t="s">
        <v>9966</v>
      </c>
      <c r="D709" s="284"/>
      <c r="E709" s="562">
        <v>923278597273</v>
      </c>
      <c r="F709" s="562" t="s">
        <v>6939</v>
      </c>
      <c r="G709" s="562" t="s">
        <v>9967</v>
      </c>
      <c r="H709" s="562" t="s">
        <v>9968</v>
      </c>
      <c r="I709" s="562" t="s">
        <v>9969</v>
      </c>
      <c r="J709" s="562" t="s">
        <v>9970</v>
      </c>
      <c r="K709" s="562">
        <v>4.0</v>
      </c>
      <c r="L709" s="284"/>
    </row>
    <row r="710">
      <c r="A710" s="562" t="s">
        <v>9941</v>
      </c>
      <c r="B710" s="563">
        <v>0.3907523148148148</v>
      </c>
      <c r="C710" s="562" t="s">
        <v>9971</v>
      </c>
      <c r="D710" s="284"/>
      <c r="E710" s="562">
        <v>923231280072</v>
      </c>
      <c r="F710" s="562" t="s">
        <v>9302</v>
      </c>
      <c r="G710" s="562" t="s">
        <v>9972</v>
      </c>
      <c r="H710" s="562" t="s">
        <v>9973</v>
      </c>
      <c r="I710" s="562" t="s">
        <v>9974</v>
      </c>
      <c r="J710" s="562" t="s">
        <v>9975</v>
      </c>
      <c r="K710" s="562">
        <v>4.0</v>
      </c>
      <c r="L710" s="562" t="s">
        <v>927</v>
      </c>
    </row>
    <row r="711">
      <c r="A711" s="562" t="s">
        <v>9941</v>
      </c>
      <c r="B711" s="563">
        <v>0.39079861111111114</v>
      </c>
      <c r="C711" s="562" t="s">
        <v>9976</v>
      </c>
      <c r="D711" s="284"/>
      <c r="E711" s="562">
        <v>923189476631</v>
      </c>
      <c r="F711" s="562" t="s">
        <v>6939</v>
      </c>
      <c r="G711" s="562" t="s">
        <v>9977</v>
      </c>
      <c r="H711" s="562" t="s">
        <v>9978</v>
      </c>
      <c r="I711" s="562" t="s">
        <v>9979</v>
      </c>
      <c r="J711" s="562" t="s">
        <v>9980</v>
      </c>
      <c r="K711" s="562">
        <v>4.0</v>
      </c>
      <c r="L711" s="284"/>
    </row>
    <row r="712">
      <c r="A712" s="562" t="s">
        <v>9941</v>
      </c>
      <c r="B712" s="563">
        <v>0.3908564814814815</v>
      </c>
      <c r="C712" s="562" t="s">
        <v>9981</v>
      </c>
      <c r="D712" s="284"/>
      <c r="E712" s="562">
        <v>923189753116</v>
      </c>
      <c r="F712" s="562" t="s">
        <v>6939</v>
      </c>
      <c r="G712" s="562" t="s">
        <v>9982</v>
      </c>
      <c r="H712" s="562" t="s">
        <v>9983</v>
      </c>
      <c r="I712" s="562" t="s">
        <v>9984</v>
      </c>
      <c r="J712" s="562" t="s">
        <v>9985</v>
      </c>
      <c r="K712" s="562">
        <v>4.0</v>
      </c>
      <c r="L712" s="284"/>
    </row>
    <row r="713">
      <c r="A713" s="562" t="s">
        <v>9941</v>
      </c>
      <c r="B713" s="563">
        <v>0.39091435185185186</v>
      </c>
      <c r="C713" s="562" t="s">
        <v>9986</v>
      </c>
      <c r="D713" s="284"/>
      <c r="E713" s="562">
        <v>923089115520</v>
      </c>
      <c r="F713" s="562" t="s">
        <v>6875</v>
      </c>
      <c r="G713" s="284"/>
      <c r="H713" s="562" t="s">
        <v>9987</v>
      </c>
      <c r="I713" s="284"/>
      <c r="J713" s="580"/>
      <c r="K713" s="562">
        <v>1.0</v>
      </c>
      <c r="L713" s="562" t="s">
        <v>1158</v>
      </c>
    </row>
    <row r="714">
      <c r="A714" s="562" t="s">
        <v>9941</v>
      </c>
      <c r="B714" s="563">
        <v>0.3909722222222222</v>
      </c>
      <c r="C714" s="562" t="s">
        <v>9988</v>
      </c>
      <c r="D714" s="284"/>
      <c r="E714" s="562">
        <v>923014112721</v>
      </c>
      <c r="F714" s="562" t="s">
        <v>7291</v>
      </c>
      <c r="G714" s="562" t="s">
        <v>9989</v>
      </c>
      <c r="H714" s="562" t="s">
        <v>9990</v>
      </c>
      <c r="I714" s="562" t="s">
        <v>9991</v>
      </c>
      <c r="J714" s="562" t="s">
        <v>9992</v>
      </c>
      <c r="K714" s="562">
        <v>4.0</v>
      </c>
      <c r="L714" s="562" t="s">
        <v>703</v>
      </c>
    </row>
    <row r="715">
      <c r="A715" s="562" t="s">
        <v>9941</v>
      </c>
      <c r="B715" s="563">
        <v>0.3910532407407407</v>
      </c>
      <c r="C715" s="562" t="s">
        <v>9993</v>
      </c>
      <c r="D715" s="284"/>
      <c r="E715" s="562">
        <v>923166336769</v>
      </c>
      <c r="F715" s="562" t="s">
        <v>6939</v>
      </c>
      <c r="G715" s="562" t="s">
        <v>9994</v>
      </c>
      <c r="H715" s="562" t="s">
        <v>9995</v>
      </c>
      <c r="I715" s="562" t="s">
        <v>9996</v>
      </c>
      <c r="J715" s="562" t="s">
        <v>9997</v>
      </c>
      <c r="K715" s="562">
        <v>4.0</v>
      </c>
      <c r="L715" s="284"/>
    </row>
    <row r="716">
      <c r="A716" s="562" t="s">
        <v>9941</v>
      </c>
      <c r="B716" s="563">
        <v>0.39114583333333336</v>
      </c>
      <c r="C716" s="562" t="s">
        <v>9998</v>
      </c>
      <c r="D716" s="284"/>
      <c r="E716" s="562">
        <v>923116127988</v>
      </c>
      <c r="F716" s="562" t="s">
        <v>6875</v>
      </c>
      <c r="G716" s="562" t="s">
        <v>9999</v>
      </c>
      <c r="H716" s="562" t="s">
        <v>10000</v>
      </c>
      <c r="I716" s="562" t="s">
        <v>10001</v>
      </c>
      <c r="J716" s="562" t="s">
        <v>10002</v>
      </c>
      <c r="K716" s="562">
        <v>4.0</v>
      </c>
      <c r="L716" s="284"/>
    </row>
    <row r="717">
      <c r="A717" s="562" t="s">
        <v>9941</v>
      </c>
      <c r="B717" s="563">
        <v>0.3940625</v>
      </c>
      <c r="C717" s="562" t="s">
        <v>10003</v>
      </c>
      <c r="D717" s="284"/>
      <c r="E717" s="562">
        <v>923295680935</v>
      </c>
      <c r="F717" s="562" t="s">
        <v>6875</v>
      </c>
      <c r="G717" s="562" t="s">
        <v>10004</v>
      </c>
      <c r="H717" s="562" t="s">
        <v>10005</v>
      </c>
      <c r="I717" s="562" t="s">
        <v>10006</v>
      </c>
      <c r="J717" s="562" t="s">
        <v>10007</v>
      </c>
      <c r="K717" s="562">
        <v>4.0</v>
      </c>
      <c r="L717" s="284"/>
    </row>
    <row r="718">
      <c r="A718" s="562" t="s">
        <v>9941</v>
      </c>
      <c r="B718" s="563">
        <v>0.3941087962962963</v>
      </c>
      <c r="C718" s="562" t="s">
        <v>10008</v>
      </c>
      <c r="D718" s="284"/>
      <c r="E718" s="562">
        <v>923135914070</v>
      </c>
      <c r="F718" s="562" t="s">
        <v>7291</v>
      </c>
      <c r="G718" s="562" t="s">
        <v>7254</v>
      </c>
      <c r="H718" s="562" t="s">
        <v>10009</v>
      </c>
      <c r="I718" s="562" t="s">
        <v>10010</v>
      </c>
      <c r="J718" s="562" t="s">
        <v>7254</v>
      </c>
      <c r="K718" s="562">
        <v>4.0</v>
      </c>
      <c r="L718" s="562" t="s">
        <v>25</v>
      </c>
    </row>
    <row r="719">
      <c r="A719" s="562" t="s">
        <v>9941</v>
      </c>
      <c r="B719" s="563">
        <v>0.39415509259259257</v>
      </c>
      <c r="C719" s="562" t="s">
        <v>10011</v>
      </c>
      <c r="D719" s="284"/>
      <c r="E719" s="562">
        <v>923178168104</v>
      </c>
      <c r="F719" s="562" t="s">
        <v>6939</v>
      </c>
      <c r="G719" s="562" t="s">
        <v>10012</v>
      </c>
      <c r="H719" s="562" t="s">
        <v>10013</v>
      </c>
      <c r="I719" s="562" t="s">
        <v>10014</v>
      </c>
      <c r="J719" s="562" t="s">
        <v>10013</v>
      </c>
      <c r="K719" s="562">
        <v>4.0</v>
      </c>
      <c r="L719" s="562" t="s">
        <v>727</v>
      </c>
    </row>
    <row r="720">
      <c r="A720" s="562" t="s">
        <v>9941</v>
      </c>
      <c r="B720" s="563">
        <v>0.3942013888888889</v>
      </c>
      <c r="C720" s="562" t="s">
        <v>10015</v>
      </c>
      <c r="D720" s="284"/>
      <c r="E720" s="562">
        <v>923374870290</v>
      </c>
      <c r="F720" s="562" t="s">
        <v>6875</v>
      </c>
      <c r="G720" s="562" t="s">
        <v>10016</v>
      </c>
      <c r="H720" s="284"/>
      <c r="I720" s="284"/>
      <c r="J720" s="284"/>
      <c r="K720" s="562">
        <v>1.0</v>
      </c>
      <c r="L720" s="562" t="s">
        <v>1158</v>
      </c>
    </row>
    <row r="721">
      <c r="A721" s="562" t="s">
        <v>9941</v>
      </c>
      <c r="B721" s="563">
        <v>0.39424768518518516</v>
      </c>
      <c r="C721" s="562" t="s">
        <v>10017</v>
      </c>
      <c r="D721" s="284"/>
      <c r="E721" s="562">
        <v>923054848500</v>
      </c>
      <c r="F721" s="562" t="s">
        <v>7291</v>
      </c>
      <c r="G721" s="562" t="s">
        <v>10018</v>
      </c>
      <c r="H721" s="562" t="s">
        <v>10019</v>
      </c>
      <c r="I721" s="562" t="s">
        <v>10020</v>
      </c>
      <c r="J721" s="562" t="s">
        <v>10021</v>
      </c>
      <c r="K721" s="562">
        <v>4.0</v>
      </c>
      <c r="L721" s="562" t="s">
        <v>6944</v>
      </c>
    </row>
    <row r="722">
      <c r="A722" s="562" t="s">
        <v>9941</v>
      </c>
      <c r="B722" s="563">
        <v>0.3943171296296296</v>
      </c>
      <c r="C722" s="562" t="s">
        <v>10022</v>
      </c>
      <c r="D722" s="284"/>
      <c r="E722" s="562">
        <v>923295129775</v>
      </c>
      <c r="F722" s="562" t="s">
        <v>6939</v>
      </c>
      <c r="G722" s="562" t="s">
        <v>10023</v>
      </c>
      <c r="H722" s="562" t="s">
        <v>10024</v>
      </c>
      <c r="I722" s="562" t="s">
        <v>10025</v>
      </c>
      <c r="J722" s="562" t="s">
        <v>10026</v>
      </c>
      <c r="K722" s="562">
        <v>4.0</v>
      </c>
      <c r="L722" s="562" t="s">
        <v>6944</v>
      </c>
    </row>
    <row r="723">
      <c r="A723" s="562" t="s">
        <v>9941</v>
      </c>
      <c r="B723" s="563">
        <v>0.394375</v>
      </c>
      <c r="C723" s="562" t="s">
        <v>10027</v>
      </c>
      <c r="D723" s="284"/>
      <c r="E723" s="562">
        <v>923234291490</v>
      </c>
      <c r="F723" s="562" t="s">
        <v>6875</v>
      </c>
      <c r="G723" s="284"/>
      <c r="H723" s="562" t="s">
        <v>10028</v>
      </c>
      <c r="I723" s="562" t="s">
        <v>10029</v>
      </c>
      <c r="J723" s="284"/>
      <c r="K723" s="562">
        <v>2.0</v>
      </c>
      <c r="L723" s="284"/>
    </row>
    <row r="724">
      <c r="A724" s="562" t="s">
        <v>9941</v>
      </c>
      <c r="B724" s="563">
        <v>0.3971875</v>
      </c>
      <c r="C724" s="562" t="s">
        <v>10030</v>
      </c>
      <c r="D724" s="284"/>
      <c r="E724" s="562">
        <v>923252728268</v>
      </c>
      <c r="F724" s="562" t="s">
        <v>6875</v>
      </c>
      <c r="G724" s="284"/>
      <c r="H724" s="562" t="s">
        <v>10031</v>
      </c>
      <c r="I724" s="562" t="s">
        <v>10032</v>
      </c>
      <c r="J724" s="284"/>
      <c r="K724" s="562">
        <v>2.0</v>
      </c>
      <c r="L724" s="284"/>
    </row>
    <row r="725">
      <c r="A725" s="562" t="s">
        <v>9941</v>
      </c>
      <c r="B725" s="563">
        <v>0.3972453703703704</v>
      </c>
      <c r="C725" s="562" t="s">
        <v>10033</v>
      </c>
      <c r="D725" s="284"/>
      <c r="E725" s="562">
        <v>923303747451</v>
      </c>
      <c r="F725" s="562" t="s">
        <v>6875</v>
      </c>
      <c r="G725" s="562" t="s">
        <v>10034</v>
      </c>
      <c r="H725" s="562" t="s">
        <v>10035</v>
      </c>
      <c r="I725" s="562" t="s">
        <v>10036</v>
      </c>
      <c r="J725" s="562" t="s">
        <v>10037</v>
      </c>
      <c r="K725" s="562">
        <v>4.0</v>
      </c>
      <c r="L725" s="562" t="s">
        <v>6944</v>
      </c>
    </row>
    <row r="726">
      <c r="A726" s="562" t="s">
        <v>9941</v>
      </c>
      <c r="B726" s="563">
        <v>0.39761574074074074</v>
      </c>
      <c r="C726" s="562" t="s">
        <v>10038</v>
      </c>
      <c r="D726" s="284"/>
      <c r="E726" s="562">
        <v>923263854083</v>
      </c>
      <c r="F726" s="562" t="s">
        <v>6939</v>
      </c>
      <c r="G726" s="562" t="s">
        <v>10039</v>
      </c>
      <c r="H726" s="562" t="s">
        <v>10040</v>
      </c>
      <c r="I726" s="562" t="s">
        <v>10041</v>
      </c>
      <c r="J726" s="562" t="s">
        <v>10042</v>
      </c>
      <c r="K726" s="562">
        <v>4.0</v>
      </c>
      <c r="L726" s="284"/>
    </row>
    <row r="727">
      <c r="A727" s="562" t="s">
        <v>9941</v>
      </c>
      <c r="B727" s="563">
        <v>0.3976851851851852</v>
      </c>
      <c r="C727" s="562" t="s">
        <v>10043</v>
      </c>
      <c r="D727" s="284"/>
      <c r="E727" s="562">
        <v>923499272536</v>
      </c>
      <c r="F727" s="562" t="s">
        <v>6875</v>
      </c>
      <c r="G727" s="284"/>
      <c r="H727" s="562" t="s">
        <v>10044</v>
      </c>
      <c r="I727" s="562" t="s">
        <v>10045</v>
      </c>
      <c r="J727" s="562" t="s">
        <v>10046</v>
      </c>
      <c r="K727" s="562">
        <v>3.0</v>
      </c>
      <c r="L727" s="284"/>
    </row>
    <row r="728">
      <c r="A728" s="562" t="s">
        <v>9941</v>
      </c>
      <c r="B728" s="563">
        <v>0.39773148148148146</v>
      </c>
      <c r="C728" s="562" t="s">
        <v>10047</v>
      </c>
      <c r="D728" s="284"/>
      <c r="E728" s="562">
        <v>923165239989</v>
      </c>
      <c r="F728" s="562" t="s">
        <v>6875</v>
      </c>
      <c r="G728" s="284"/>
      <c r="H728" s="562" t="s">
        <v>10048</v>
      </c>
      <c r="I728" s="284"/>
      <c r="J728" s="284"/>
      <c r="K728" s="562">
        <v>1.0</v>
      </c>
      <c r="L728" s="562" t="s">
        <v>1950</v>
      </c>
    </row>
    <row r="729">
      <c r="A729" s="562" t="s">
        <v>9941</v>
      </c>
      <c r="B729" s="563">
        <v>0.3977777777777778</v>
      </c>
      <c r="C729" s="562" t="s">
        <v>10049</v>
      </c>
      <c r="D729" s="284"/>
      <c r="E729" s="562">
        <v>923102267323</v>
      </c>
      <c r="F729" s="562" t="s">
        <v>6939</v>
      </c>
      <c r="G729" s="562" t="s">
        <v>10050</v>
      </c>
      <c r="H729" s="562" t="s">
        <v>10051</v>
      </c>
      <c r="I729" s="562" t="s">
        <v>10052</v>
      </c>
      <c r="J729" s="562" t="s">
        <v>10053</v>
      </c>
      <c r="K729" s="562">
        <v>4.0</v>
      </c>
      <c r="L729" s="562" t="s">
        <v>1308</v>
      </c>
    </row>
    <row r="730">
      <c r="A730" s="562" t="s">
        <v>9941</v>
      </c>
      <c r="B730" s="563">
        <v>0.39782407407407405</v>
      </c>
      <c r="C730" s="562" t="s">
        <v>10054</v>
      </c>
      <c r="D730" s="284"/>
      <c r="E730" s="562">
        <v>923016774523</v>
      </c>
      <c r="F730" s="562" t="s">
        <v>6875</v>
      </c>
      <c r="G730" s="284"/>
      <c r="H730" s="562" t="s">
        <v>10055</v>
      </c>
      <c r="I730" s="284"/>
      <c r="J730" s="284"/>
      <c r="K730" s="562">
        <v>1.0</v>
      </c>
      <c r="L730" s="562" t="s">
        <v>372</v>
      </c>
    </row>
    <row r="731">
      <c r="A731" s="562" t="s">
        <v>9941</v>
      </c>
      <c r="B731" s="563">
        <v>0.39791666666666664</v>
      </c>
      <c r="C731" s="562" t="s">
        <v>10056</v>
      </c>
      <c r="D731" s="284"/>
      <c r="E731" s="562">
        <v>923045639210</v>
      </c>
      <c r="F731" s="562" t="s">
        <v>7291</v>
      </c>
      <c r="G731" s="562" t="s">
        <v>10057</v>
      </c>
      <c r="H731" s="562" t="s">
        <v>10058</v>
      </c>
      <c r="I731" s="562" t="s">
        <v>10059</v>
      </c>
      <c r="J731" s="562" t="s">
        <v>10060</v>
      </c>
      <c r="K731" s="562">
        <v>4.0</v>
      </c>
      <c r="L731" s="562" t="s">
        <v>703</v>
      </c>
    </row>
    <row r="732">
      <c r="A732" s="562" t="s">
        <v>9941</v>
      </c>
      <c r="B732" s="563">
        <v>0.3984027777777778</v>
      </c>
      <c r="C732" s="562" t="s">
        <v>10061</v>
      </c>
      <c r="D732" s="284"/>
      <c r="E732" s="562">
        <v>923701524162</v>
      </c>
      <c r="F732" s="562" t="s">
        <v>6875</v>
      </c>
      <c r="G732" s="284"/>
      <c r="H732" s="562" t="s">
        <v>10062</v>
      </c>
      <c r="I732" s="562" t="s">
        <v>10063</v>
      </c>
      <c r="J732" s="284"/>
      <c r="K732" s="562">
        <v>2.0</v>
      </c>
      <c r="L732" s="284"/>
    </row>
    <row r="733">
      <c r="A733" s="562" t="s">
        <v>9941</v>
      </c>
      <c r="B733" s="563">
        <v>0.40760416666666666</v>
      </c>
      <c r="C733" s="562" t="s">
        <v>10064</v>
      </c>
      <c r="D733" s="284"/>
      <c r="E733" s="562">
        <v>923298813136</v>
      </c>
      <c r="F733" s="562" t="s">
        <v>6875</v>
      </c>
      <c r="G733" s="284"/>
      <c r="H733" s="562" t="s">
        <v>10065</v>
      </c>
      <c r="I733" s="284"/>
      <c r="J733" s="284"/>
      <c r="K733" s="562">
        <v>1.0</v>
      </c>
      <c r="L733" s="284"/>
    </row>
    <row r="734">
      <c r="A734" s="562" t="s">
        <v>9941</v>
      </c>
      <c r="B734" s="563">
        <v>0.43962962962962965</v>
      </c>
      <c r="C734" s="562" t="s">
        <v>10066</v>
      </c>
      <c r="D734" s="284"/>
      <c r="E734" s="562">
        <v>923408963050</v>
      </c>
      <c r="F734" s="562" t="s">
        <v>7291</v>
      </c>
      <c r="G734" s="562" t="s">
        <v>10067</v>
      </c>
      <c r="H734" s="562" t="s">
        <v>10068</v>
      </c>
      <c r="I734" s="562" t="s">
        <v>10069</v>
      </c>
      <c r="J734" s="562" t="s">
        <v>10070</v>
      </c>
      <c r="K734" s="562">
        <v>4.0</v>
      </c>
      <c r="L734" s="284"/>
    </row>
    <row r="735">
      <c r="A735" s="562" t="s">
        <v>9941</v>
      </c>
      <c r="B735" s="563">
        <v>0.441875</v>
      </c>
      <c r="C735" s="562" t="s">
        <v>10071</v>
      </c>
      <c r="D735" s="284"/>
      <c r="E735" s="562">
        <v>923163979065</v>
      </c>
      <c r="F735" s="562" t="s">
        <v>6939</v>
      </c>
      <c r="G735" s="562" t="s">
        <v>10072</v>
      </c>
      <c r="H735" s="562" t="s">
        <v>10014</v>
      </c>
      <c r="I735" s="562" t="s">
        <v>10014</v>
      </c>
      <c r="J735" s="562" t="s">
        <v>10014</v>
      </c>
      <c r="K735" s="562">
        <v>4.0</v>
      </c>
      <c r="L735" s="284"/>
    </row>
    <row r="736">
      <c r="A736" s="562" t="s">
        <v>9941</v>
      </c>
      <c r="B736" s="563">
        <v>0.4480092592592593</v>
      </c>
      <c r="C736" s="562" t="s">
        <v>10073</v>
      </c>
      <c r="D736" s="284"/>
      <c r="E736" s="562">
        <v>923408102808</v>
      </c>
      <c r="F736" s="562" t="s">
        <v>7291</v>
      </c>
      <c r="G736" s="562" t="s">
        <v>10074</v>
      </c>
      <c r="H736" s="562" t="s">
        <v>10075</v>
      </c>
      <c r="I736" s="562" t="s">
        <v>10076</v>
      </c>
      <c r="J736" s="562" t="s">
        <v>10077</v>
      </c>
      <c r="K736" s="562">
        <v>4.0</v>
      </c>
      <c r="L736" s="562" t="s">
        <v>703</v>
      </c>
    </row>
    <row r="737">
      <c r="A737" s="562" t="s">
        <v>9941</v>
      </c>
      <c r="B737" s="563">
        <v>0.4874537037037037</v>
      </c>
      <c r="C737" s="562" t="s">
        <v>10078</v>
      </c>
      <c r="D737" s="284"/>
      <c r="E737" s="562">
        <v>923214542070</v>
      </c>
      <c r="F737" s="562" t="s">
        <v>6875</v>
      </c>
      <c r="G737" s="562" t="s">
        <v>10079</v>
      </c>
      <c r="H737" s="562" t="s">
        <v>10080</v>
      </c>
      <c r="I737" s="562" t="s">
        <v>10081</v>
      </c>
      <c r="J737" s="562" t="s">
        <v>10082</v>
      </c>
      <c r="K737" s="562">
        <v>4.0</v>
      </c>
      <c r="L737" s="562" t="s">
        <v>6944</v>
      </c>
    </row>
    <row r="738">
      <c r="A738" s="562" t="s">
        <v>9941</v>
      </c>
      <c r="B738" s="563">
        <v>0.48748842592592595</v>
      </c>
      <c r="C738" s="562" t="s">
        <v>10083</v>
      </c>
      <c r="D738" s="284"/>
      <c r="E738" s="562">
        <v>923470242704</v>
      </c>
      <c r="F738" s="562" t="s">
        <v>7291</v>
      </c>
      <c r="G738" s="562" t="s">
        <v>10084</v>
      </c>
      <c r="H738" s="562" t="s">
        <v>10085</v>
      </c>
      <c r="I738" s="562" t="s">
        <v>10086</v>
      </c>
      <c r="J738" s="562" t="s">
        <v>10087</v>
      </c>
      <c r="K738" s="562">
        <v>4.0</v>
      </c>
      <c r="L738" s="562" t="s">
        <v>6944</v>
      </c>
    </row>
    <row r="739">
      <c r="A739" s="562" t="s">
        <v>9941</v>
      </c>
      <c r="B739" s="563">
        <v>0.48780092592592594</v>
      </c>
      <c r="C739" s="562" t="s">
        <v>10088</v>
      </c>
      <c r="D739" s="284"/>
      <c r="E739" s="562">
        <v>923156150102</v>
      </c>
      <c r="F739" s="562" t="s">
        <v>6939</v>
      </c>
      <c r="G739" s="562" t="s">
        <v>10089</v>
      </c>
      <c r="H739" s="562" t="s">
        <v>10090</v>
      </c>
      <c r="I739" s="562" t="s">
        <v>10091</v>
      </c>
      <c r="J739" s="562" t="s">
        <v>10092</v>
      </c>
      <c r="K739" s="562">
        <v>4.0</v>
      </c>
      <c r="L739" s="562" t="s">
        <v>6944</v>
      </c>
    </row>
    <row r="740">
      <c r="A740" s="562" t="s">
        <v>9941</v>
      </c>
      <c r="B740" s="563">
        <v>0.4878587962962963</v>
      </c>
      <c r="C740" s="562" t="s">
        <v>10093</v>
      </c>
      <c r="D740" s="284"/>
      <c r="E740" s="562">
        <v>923232464903</v>
      </c>
      <c r="F740" s="562" t="s">
        <v>6939</v>
      </c>
      <c r="G740" s="562" t="s">
        <v>10094</v>
      </c>
      <c r="H740" s="562" t="s">
        <v>10095</v>
      </c>
      <c r="I740" s="562" t="s">
        <v>10096</v>
      </c>
      <c r="J740" s="562" t="s">
        <v>10097</v>
      </c>
      <c r="K740" s="562">
        <v>4.0</v>
      </c>
      <c r="L740" s="284"/>
    </row>
    <row r="741">
      <c r="A741" s="562" t="s">
        <v>9941</v>
      </c>
      <c r="B741" s="563">
        <v>0.48790509259259257</v>
      </c>
      <c r="C741" s="562" t="s">
        <v>10098</v>
      </c>
      <c r="D741" s="284"/>
      <c r="E741" s="562">
        <v>923425957447</v>
      </c>
      <c r="F741" s="562" t="s">
        <v>6939</v>
      </c>
      <c r="G741" s="562" t="s">
        <v>10099</v>
      </c>
      <c r="H741" s="562" t="s">
        <v>10100</v>
      </c>
      <c r="I741" s="562" t="s">
        <v>10101</v>
      </c>
      <c r="J741" s="562" t="s">
        <v>10102</v>
      </c>
      <c r="K741" s="562">
        <v>4.0</v>
      </c>
      <c r="L741" s="284"/>
    </row>
    <row r="742">
      <c r="A742" s="562" t="s">
        <v>9941</v>
      </c>
      <c r="B742" s="563">
        <v>0.4879398148148148</v>
      </c>
      <c r="C742" s="562" t="s">
        <v>10103</v>
      </c>
      <c r="D742" s="284"/>
      <c r="E742" s="562">
        <v>923008213406</v>
      </c>
      <c r="F742" s="562" t="s">
        <v>7291</v>
      </c>
      <c r="G742" s="562" t="s">
        <v>10104</v>
      </c>
      <c r="H742" s="562" t="s">
        <v>10105</v>
      </c>
      <c r="I742" s="562" t="s">
        <v>10106</v>
      </c>
      <c r="J742" s="562" t="s">
        <v>10107</v>
      </c>
      <c r="K742" s="562">
        <v>4.0</v>
      </c>
      <c r="L742" s="562" t="s">
        <v>6944</v>
      </c>
    </row>
    <row r="743">
      <c r="A743" s="562" t="s">
        <v>9941</v>
      </c>
      <c r="B743" s="563">
        <v>0.4894560185185185</v>
      </c>
      <c r="C743" s="562" t="s">
        <v>10108</v>
      </c>
      <c r="D743" s="284"/>
      <c r="E743" s="562">
        <v>923430676471</v>
      </c>
      <c r="F743" s="562" t="s">
        <v>6875</v>
      </c>
      <c r="G743" s="284"/>
      <c r="H743" s="562" t="s">
        <v>10109</v>
      </c>
      <c r="I743" s="284"/>
      <c r="J743" s="284"/>
      <c r="K743" s="562">
        <v>1.0</v>
      </c>
      <c r="L743" s="284"/>
    </row>
    <row r="744">
      <c r="A744" s="562" t="s">
        <v>9941</v>
      </c>
      <c r="B744" s="563">
        <v>0.49011574074074077</v>
      </c>
      <c r="C744" s="562" t="s">
        <v>10110</v>
      </c>
      <c r="D744" s="284"/>
      <c r="E744" s="562">
        <v>923109210665</v>
      </c>
      <c r="F744" s="562" t="s">
        <v>6939</v>
      </c>
      <c r="G744" s="562" t="s">
        <v>10111</v>
      </c>
      <c r="H744" s="562" t="s">
        <v>10112</v>
      </c>
      <c r="I744" s="562" t="s">
        <v>10113</v>
      </c>
      <c r="J744" s="562" t="s">
        <v>10114</v>
      </c>
      <c r="K744" s="562">
        <v>4.0</v>
      </c>
      <c r="L744" s="562" t="s">
        <v>6944</v>
      </c>
    </row>
    <row r="745">
      <c r="A745" s="562" t="s">
        <v>9941</v>
      </c>
      <c r="B745" s="563">
        <v>0.5097106481481481</v>
      </c>
      <c r="C745" s="562" t="s">
        <v>10115</v>
      </c>
      <c r="D745" s="284"/>
      <c r="E745" s="562">
        <v>923305383067</v>
      </c>
      <c r="F745" s="562" t="s">
        <v>6939</v>
      </c>
      <c r="G745" s="562" t="s">
        <v>10116</v>
      </c>
      <c r="H745" s="562" t="s">
        <v>10117</v>
      </c>
      <c r="I745" s="562" t="s">
        <v>8156</v>
      </c>
      <c r="J745" s="562" t="s">
        <v>7896</v>
      </c>
      <c r="K745" s="562">
        <v>4.0</v>
      </c>
      <c r="L745" s="284"/>
    </row>
    <row r="746">
      <c r="A746" s="562" t="s">
        <v>9941</v>
      </c>
      <c r="B746" s="563">
        <v>0.5533101851851852</v>
      </c>
      <c r="C746" s="562" t="s">
        <v>10118</v>
      </c>
      <c r="D746" s="284"/>
      <c r="E746" s="562">
        <v>923700875557</v>
      </c>
      <c r="F746" s="562" t="s">
        <v>7291</v>
      </c>
      <c r="G746" s="562" t="s">
        <v>10119</v>
      </c>
      <c r="H746" s="562" t="s">
        <v>10120</v>
      </c>
      <c r="I746" s="562" t="s">
        <v>10121</v>
      </c>
      <c r="J746" s="562" t="s">
        <v>10122</v>
      </c>
      <c r="K746" s="562">
        <v>4.0</v>
      </c>
      <c r="L746" s="562" t="s">
        <v>6944</v>
      </c>
    </row>
    <row r="747">
      <c r="A747" s="562" t="s">
        <v>9941</v>
      </c>
      <c r="B747" s="563">
        <v>0.5948726851851852</v>
      </c>
      <c r="C747" s="562" t="s">
        <v>10123</v>
      </c>
      <c r="D747" s="284"/>
      <c r="E747" s="562">
        <v>923465272080</v>
      </c>
      <c r="F747" s="562" t="s">
        <v>7291</v>
      </c>
      <c r="G747" s="562" t="s">
        <v>10124</v>
      </c>
      <c r="H747" s="562" t="s">
        <v>10125</v>
      </c>
      <c r="I747" s="562" t="s">
        <v>10126</v>
      </c>
      <c r="J747" s="562" t="s">
        <v>10127</v>
      </c>
      <c r="K747" s="562">
        <v>4.0</v>
      </c>
      <c r="L747" s="562" t="s">
        <v>6944</v>
      </c>
    </row>
    <row r="748">
      <c r="A748" s="562" t="s">
        <v>9941</v>
      </c>
      <c r="B748" s="563">
        <v>0.5949189814814815</v>
      </c>
      <c r="C748" s="562" t="s">
        <v>10128</v>
      </c>
      <c r="D748" s="284"/>
      <c r="E748" s="562">
        <v>923336360981</v>
      </c>
      <c r="F748" s="562" t="s">
        <v>6875</v>
      </c>
      <c r="G748" s="284"/>
      <c r="H748" s="562" t="s">
        <v>10129</v>
      </c>
      <c r="I748" s="562" t="s">
        <v>10130</v>
      </c>
      <c r="J748" s="562" t="s">
        <v>10131</v>
      </c>
      <c r="K748" s="562">
        <v>3.0</v>
      </c>
      <c r="L748" s="284"/>
    </row>
    <row r="749">
      <c r="A749" s="562" t="s">
        <v>9941</v>
      </c>
      <c r="B749" s="563">
        <v>0.6381828703703704</v>
      </c>
      <c r="C749" s="562" t="s">
        <v>10132</v>
      </c>
      <c r="D749" s="284"/>
      <c r="E749" s="562">
        <v>923293929256</v>
      </c>
      <c r="F749" s="562" t="s">
        <v>6939</v>
      </c>
      <c r="G749" s="562" t="s">
        <v>10133</v>
      </c>
      <c r="H749" s="562" t="s">
        <v>10134</v>
      </c>
      <c r="I749" s="562" t="s">
        <v>10135</v>
      </c>
      <c r="J749" s="562" t="s">
        <v>10136</v>
      </c>
      <c r="K749" s="562">
        <v>4.0</v>
      </c>
      <c r="L749" s="284"/>
    </row>
    <row r="750">
      <c r="A750" s="562" t="s">
        <v>9941</v>
      </c>
      <c r="B750" s="563">
        <v>0.6387731481481481</v>
      </c>
      <c r="C750" s="562" t="s">
        <v>10137</v>
      </c>
      <c r="D750" s="284"/>
      <c r="E750" s="562">
        <v>923341717869</v>
      </c>
      <c r="F750" s="562" t="s">
        <v>6875</v>
      </c>
      <c r="G750" s="562" t="s">
        <v>10138</v>
      </c>
      <c r="H750" s="562" t="s">
        <v>10138</v>
      </c>
      <c r="I750" s="562" t="s">
        <v>10138</v>
      </c>
      <c r="J750" s="562" t="s">
        <v>10139</v>
      </c>
      <c r="K750" s="562">
        <v>4.0</v>
      </c>
      <c r="L750" s="562" t="s">
        <v>727</v>
      </c>
    </row>
    <row r="751">
      <c r="A751" s="562" t="s">
        <v>9941</v>
      </c>
      <c r="B751" s="563">
        <v>0.6483564814814815</v>
      </c>
      <c r="C751" s="562" t="s">
        <v>10140</v>
      </c>
      <c r="D751" s="284"/>
      <c r="E751" s="562">
        <v>923223504109</v>
      </c>
      <c r="F751" s="562" t="s">
        <v>6875</v>
      </c>
      <c r="G751" s="562" t="s">
        <v>10141</v>
      </c>
      <c r="H751" s="562" t="s">
        <v>10142</v>
      </c>
      <c r="I751" s="562" t="s">
        <v>10143</v>
      </c>
      <c r="J751" s="562" t="s">
        <v>10144</v>
      </c>
      <c r="K751" s="562">
        <v>4.0</v>
      </c>
      <c r="L751" s="562" t="s">
        <v>10145</v>
      </c>
    </row>
    <row r="752">
      <c r="A752" s="562" t="s">
        <v>10146</v>
      </c>
      <c r="B752" s="563">
        <v>0.598125</v>
      </c>
      <c r="C752" s="562" t="s">
        <v>10147</v>
      </c>
      <c r="D752" s="284"/>
      <c r="E752" s="562">
        <v>923186649948</v>
      </c>
      <c r="F752" s="562" t="s">
        <v>6939</v>
      </c>
      <c r="G752" s="562" t="s">
        <v>10148</v>
      </c>
      <c r="H752" s="562" t="s">
        <v>10149</v>
      </c>
      <c r="I752" s="562" t="s">
        <v>10150</v>
      </c>
      <c r="J752" s="562" t="s">
        <v>10151</v>
      </c>
      <c r="K752" s="562">
        <v>4.0</v>
      </c>
      <c r="L752" s="562" t="s">
        <v>927</v>
      </c>
    </row>
    <row r="753">
      <c r="A753" s="562" t="s">
        <v>10146</v>
      </c>
      <c r="B753" s="563">
        <v>0.5989814814814814</v>
      </c>
      <c r="C753" s="562" t="s">
        <v>10152</v>
      </c>
      <c r="D753" s="284"/>
      <c r="E753" s="562">
        <v>923292601597</v>
      </c>
      <c r="F753" s="562" t="s">
        <v>6875</v>
      </c>
      <c r="G753" s="562" t="s">
        <v>10153</v>
      </c>
      <c r="H753" s="284"/>
      <c r="I753" s="562" t="s">
        <v>10154</v>
      </c>
      <c r="J753" s="562" t="s">
        <v>10155</v>
      </c>
      <c r="K753" s="562">
        <v>3.0</v>
      </c>
      <c r="L753" s="562" t="s">
        <v>372</v>
      </c>
    </row>
    <row r="754">
      <c r="A754" s="562" t="s">
        <v>10146</v>
      </c>
      <c r="B754" s="563">
        <v>0.6760185185185185</v>
      </c>
      <c r="C754" s="562" t="s">
        <v>3796</v>
      </c>
      <c r="D754" s="562" t="s">
        <v>6886</v>
      </c>
      <c r="E754" s="566" t="s">
        <v>10156</v>
      </c>
      <c r="F754" s="562" t="s">
        <v>6982</v>
      </c>
      <c r="G754" s="562" t="s">
        <v>10157</v>
      </c>
      <c r="H754" s="562" t="s">
        <v>10158</v>
      </c>
      <c r="I754" s="284"/>
      <c r="J754" s="562" t="s">
        <v>10159</v>
      </c>
      <c r="K754" s="562">
        <v>3.0</v>
      </c>
      <c r="L754" s="562" t="s">
        <v>10160</v>
      </c>
    </row>
    <row r="755">
      <c r="A755" s="562" t="s">
        <v>10146</v>
      </c>
      <c r="B755" s="563">
        <v>0.6761458333333333</v>
      </c>
      <c r="C755" s="562" t="s">
        <v>10161</v>
      </c>
      <c r="D755" s="562" t="s">
        <v>6886</v>
      </c>
      <c r="E755" s="566" t="s">
        <v>10162</v>
      </c>
      <c r="F755" s="562" t="s">
        <v>6939</v>
      </c>
      <c r="G755" s="562" t="s">
        <v>10163</v>
      </c>
      <c r="H755" s="284"/>
      <c r="I755" s="562" t="s">
        <v>10164</v>
      </c>
      <c r="J755" s="562" t="s">
        <v>10165</v>
      </c>
      <c r="K755" s="562">
        <v>3.0</v>
      </c>
      <c r="L755" s="284"/>
    </row>
    <row r="756">
      <c r="A756" s="562" t="s">
        <v>10146</v>
      </c>
      <c r="B756" s="563">
        <v>0.6762847222222222</v>
      </c>
      <c r="C756" s="562" t="s">
        <v>10166</v>
      </c>
      <c r="D756" s="284"/>
      <c r="E756" s="562">
        <v>923405228883</v>
      </c>
      <c r="F756" s="562" t="s">
        <v>6875</v>
      </c>
      <c r="G756" s="562" t="s">
        <v>10167</v>
      </c>
      <c r="H756" s="284"/>
      <c r="I756" s="562" t="s">
        <v>10168</v>
      </c>
      <c r="J756" s="562" t="s">
        <v>10169</v>
      </c>
      <c r="K756" s="562">
        <v>3.0</v>
      </c>
      <c r="L756" s="562" t="s">
        <v>1092</v>
      </c>
    </row>
    <row r="757">
      <c r="A757" s="562" t="s">
        <v>10146</v>
      </c>
      <c r="B757" s="563">
        <v>0.6767939814814815</v>
      </c>
      <c r="C757" s="562" t="s">
        <v>10170</v>
      </c>
      <c r="D757" s="562" t="s">
        <v>6886</v>
      </c>
      <c r="E757" s="566" t="s">
        <v>10171</v>
      </c>
      <c r="F757" s="562" t="s">
        <v>6939</v>
      </c>
      <c r="G757" s="562" t="s">
        <v>10172</v>
      </c>
      <c r="H757" s="284"/>
      <c r="I757" s="562" t="s">
        <v>10173</v>
      </c>
      <c r="J757" s="562" t="s">
        <v>10174</v>
      </c>
      <c r="K757" s="562">
        <v>3.0</v>
      </c>
      <c r="L757" s="562" t="s">
        <v>7246</v>
      </c>
    </row>
    <row r="758">
      <c r="A758" s="562" t="s">
        <v>10146</v>
      </c>
      <c r="B758" s="563">
        <v>0.6769212962962963</v>
      </c>
      <c r="C758" s="562" t="s">
        <v>10175</v>
      </c>
      <c r="D758" s="284"/>
      <c r="E758" s="562">
        <v>923220469172</v>
      </c>
      <c r="F758" s="562" t="s">
        <v>6939</v>
      </c>
      <c r="G758" s="284"/>
      <c r="H758" s="284"/>
      <c r="I758" s="562" t="s">
        <v>10176</v>
      </c>
      <c r="J758" s="562" t="s">
        <v>10177</v>
      </c>
      <c r="K758" s="562">
        <v>2.0</v>
      </c>
      <c r="L758" s="562" t="s">
        <v>10178</v>
      </c>
    </row>
    <row r="759">
      <c r="A759" s="562" t="s">
        <v>10146</v>
      </c>
      <c r="B759" s="563">
        <v>0.6998263888888889</v>
      </c>
      <c r="C759" s="562" t="s">
        <v>10179</v>
      </c>
      <c r="D759" s="284"/>
      <c r="E759" s="562">
        <v>923709685781</v>
      </c>
      <c r="F759" s="562" t="s">
        <v>6875</v>
      </c>
      <c r="G759" s="562" t="s">
        <v>10180</v>
      </c>
      <c r="H759" s="284"/>
      <c r="I759" s="562" t="s">
        <v>10181</v>
      </c>
      <c r="J759" s="562" t="s">
        <v>10182</v>
      </c>
      <c r="K759" s="562">
        <v>3.0</v>
      </c>
      <c r="L759" s="562" t="s">
        <v>376</v>
      </c>
    </row>
    <row r="760">
      <c r="A760" s="562" t="s">
        <v>10146</v>
      </c>
      <c r="B760" s="563">
        <v>0.7269328703703704</v>
      </c>
      <c r="C760" s="562" t="s">
        <v>10183</v>
      </c>
      <c r="D760" s="562" t="s">
        <v>6886</v>
      </c>
      <c r="E760" s="566" t="s">
        <v>10184</v>
      </c>
      <c r="F760" s="562" t="s">
        <v>6875</v>
      </c>
      <c r="G760" s="284"/>
      <c r="H760" s="284"/>
      <c r="I760" s="284"/>
      <c r="J760" s="562" t="s">
        <v>10185</v>
      </c>
      <c r="K760" s="562">
        <v>1.0</v>
      </c>
      <c r="L760" s="284"/>
    </row>
    <row r="761">
      <c r="A761" s="562" t="s">
        <v>10146</v>
      </c>
      <c r="B761" s="563">
        <v>0.7270486111111111</v>
      </c>
      <c r="C761" s="562" t="s">
        <v>10186</v>
      </c>
      <c r="D761" s="284"/>
      <c r="E761" s="562">
        <v>923279101230</v>
      </c>
      <c r="F761" s="562" t="s">
        <v>6939</v>
      </c>
      <c r="G761" s="562" t="s">
        <v>10187</v>
      </c>
      <c r="H761" s="284"/>
      <c r="I761" s="562" t="s">
        <v>10188</v>
      </c>
      <c r="J761" s="562" t="s">
        <v>10189</v>
      </c>
      <c r="K761" s="562">
        <v>3.0</v>
      </c>
      <c r="L761" s="284"/>
    </row>
    <row r="762">
      <c r="A762" s="562" t="s">
        <v>10190</v>
      </c>
      <c r="B762" s="563">
        <v>0.4129513888888889</v>
      </c>
      <c r="C762" s="562" t="s">
        <v>10191</v>
      </c>
      <c r="D762" s="284"/>
      <c r="E762" s="562">
        <v>923182532320</v>
      </c>
      <c r="F762" s="562" t="s">
        <v>6939</v>
      </c>
      <c r="G762" s="562" t="s">
        <v>10192</v>
      </c>
      <c r="H762" s="284"/>
      <c r="I762" s="562" t="s">
        <v>10193</v>
      </c>
      <c r="J762" s="284"/>
      <c r="K762" s="562">
        <v>2.0</v>
      </c>
      <c r="L762" s="284"/>
    </row>
    <row r="763">
      <c r="A763" s="562" t="s">
        <v>10190</v>
      </c>
      <c r="B763" s="563">
        <v>0.4133101851851852</v>
      </c>
      <c r="C763" s="562" t="s">
        <v>2135</v>
      </c>
      <c r="D763" s="284"/>
      <c r="E763" s="562">
        <v>923324416166</v>
      </c>
      <c r="F763" s="562" t="s">
        <v>6982</v>
      </c>
      <c r="G763" s="562" t="s">
        <v>10194</v>
      </c>
      <c r="H763" s="562" t="s">
        <v>10195</v>
      </c>
      <c r="I763" s="562" t="s">
        <v>10196</v>
      </c>
      <c r="J763" s="284"/>
      <c r="K763" s="562">
        <v>3.0</v>
      </c>
      <c r="L763" s="562" t="s">
        <v>10197</v>
      </c>
    </row>
    <row r="764">
      <c r="A764" s="562" t="s">
        <v>10190</v>
      </c>
      <c r="B764" s="563">
        <v>0.4140162037037037</v>
      </c>
      <c r="C764" s="562" t="s">
        <v>10198</v>
      </c>
      <c r="D764" s="562" t="s">
        <v>7725</v>
      </c>
      <c r="E764" s="566" t="s">
        <v>10199</v>
      </c>
      <c r="F764" s="562" t="s">
        <v>6982</v>
      </c>
      <c r="G764" s="562" t="s">
        <v>10200</v>
      </c>
      <c r="H764" s="562" t="s">
        <v>10201</v>
      </c>
      <c r="I764" s="562" t="s">
        <v>10202</v>
      </c>
      <c r="J764" s="562" t="s">
        <v>10203</v>
      </c>
      <c r="K764" s="562">
        <v>4.0</v>
      </c>
      <c r="L764" s="562" t="s">
        <v>10204</v>
      </c>
    </row>
    <row r="765">
      <c r="A765" s="562" t="s">
        <v>10190</v>
      </c>
      <c r="B765" s="563">
        <v>0.41413194444444446</v>
      </c>
      <c r="C765" s="562" t="s">
        <v>10205</v>
      </c>
      <c r="D765" s="284"/>
      <c r="E765" s="562">
        <v>923290261335</v>
      </c>
      <c r="F765" s="562" t="s">
        <v>6939</v>
      </c>
      <c r="G765" s="562" t="s">
        <v>10206</v>
      </c>
      <c r="H765" s="562" t="s">
        <v>10207</v>
      </c>
      <c r="I765" s="562" t="s">
        <v>10208</v>
      </c>
      <c r="J765" s="562" t="s">
        <v>10209</v>
      </c>
      <c r="K765" s="562">
        <v>4.0</v>
      </c>
      <c r="L765" s="284"/>
    </row>
    <row r="766">
      <c r="A766" s="562" t="s">
        <v>10190</v>
      </c>
      <c r="B766" s="563">
        <v>0.4142824074074074</v>
      </c>
      <c r="C766" s="562" t="s">
        <v>10210</v>
      </c>
      <c r="D766" s="284"/>
      <c r="E766" s="562">
        <v>923188929101</v>
      </c>
      <c r="F766" s="562" t="s">
        <v>6939</v>
      </c>
      <c r="G766" s="562" t="s">
        <v>10211</v>
      </c>
      <c r="H766" s="562" t="s">
        <v>10212</v>
      </c>
      <c r="I766" s="562" t="s">
        <v>10213</v>
      </c>
      <c r="J766" s="562" t="s">
        <v>10214</v>
      </c>
      <c r="K766" s="562">
        <v>4.0</v>
      </c>
      <c r="L766" s="284"/>
    </row>
    <row r="767">
      <c r="A767" s="562" t="s">
        <v>10190</v>
      </c>
      <c r="B767" s="563">
        <v>0.4144791666666667</v>
      </c>
      <c r="C767" s="562" t="s">
        <v>10215</v>
      </c>
      <c r="D767" s="284"/>
      <c r="E767" s="562">
        <v>923401481189</v>
      </c>
      <c r="F767" s="562" t="s">
        <v>7291</v>
      </c>
      <c r="G767" s="562" t="s">
        <v>10216</v>
      </c>
      <c r="H767" s="562" t="s">
        <v>10217</v>
      </c>
      <c r="I767" s="562" t="s">
        <v>10218</v>
      </c>
      <c r="J767" s="562" t="s">
        <v>10219</v>
      </c>
      <c r="K767" s="562">
        <v>4.0</v>
      </c>
      <c r="L767" s="562" t="s">
        <v>10220</v>
      </c>
    </row>
    <row r="768">
      <c r="A768" s="562" t="s">
        <v>10190</v>
      </c>
      <c r="B768" s="563">
        <v>0.41457175925925926</v>
      </c>
      <c r="C768" s="562" t="s">
        <v>10221</v>
      </c>
      <c r="D768" s="284"/>
      <c r="E768" s="562">
        <v>923025283693</v>
      </c>
      <c r="F768" s="562" t="s">
        <v>6939</v>
      </c>
      <c r="G768" s="562" t="s">
        <v>10222</v>
      </c>
      <c r="H768" s="562" t="s">
        <v>10223</v>
      </c>
      <c r="I768" s="284"/>
      <c r="J768" s="562" t="s">
        <v>10224</v>
      </c>
      <c r="K768" s="562">
        <v>3.0</v>
      </c>
      <c r="L768" s="562" t="s">
        <v>657</v>
      </c>
    </row>
    <row r="769">
      <c r="A769" s="562" t="s">
        <v>10190</v>
      </c>
      <c r="B769" s="563">
        <v>0.4151388888888889</v>
      </c>
      <c r="C769" s="562" t="s">
        <v>10225</v>
      </c>
      <c r="D769" s="284"/>
      <c r="E769" s="562">
        <v>923214634157</v>
      </c>
      <c r="F769" s="562" t="s">
        <v>7291</v>
      </c>
      <c r="G769" s="562" t="s">
        <v>10226</v>
      </c>
      <c r="H769" s="562" t="s">
        <v>10227</v>
      </c>
      <c r="I769" s="562" t="s">
        <v>10228</v>
      </c>
      <c r="J769" s="284"/>
      <c r="K769" s="562">
        <v>3.0</v>
      </c>
      <c r="L769" s="562" t="s">
        <v>10229</v>
      </c>
    </row>
    <row r="770">
      <c r="A770" s="562" t="s">
        <v>10190</v>
      </c>
      <c r="B770" s="563">
        <v>0.4152314814814815</v>
      </c>
      <c r="C770" s="562" t="s">
        <v>10230</v>
      </c>
      <c r="D770" s="284"/>
      <c r="E770" s="562">
        <v>923452695004</v>
      </c>
      <c r="F770" s="562" t="s">
        <v>6982</v>
      </c>
      <c r="G770" s="284"/>
      <c r="H770" s="562" t="s">
        <v>10231</v>
      </c>
      <c r="I770" s="562" t="s">
        <v>10232</v>
      </c>
      <c r="J770" s="284"/>
      <c r="K770" s="562">
        <v>2.0</v>
      </c>
      <c r="L770" s="562" t="s">
        <v>10233</v>
      </c>
    </row>
    <row r="771">
      <c r="A771" s="562" t="s">
        <v>10190</v>
      </c>
      <c r="B771" s="563">
        <v>0.4153125</v>
      </c>
      <c r="C771" s="562" t="s">
        <v>10234</v>
      </c>
      <c r="D771" s="284"/>
      <c r="E771" s="562">
        <v>923260802589</v>
      </c>
      <c r="F771" s="562" t="s">
        <v>6875</v>
      </c>
      <c r="G771" s="562" t="s">
        <v>10235</v>
      </c>
      <c r="H771" s="562" t="s">
        <v>10236</v>
      </c>
      <c r="I771" s="562" t="s">
        <v>10237</v>
      </c>
      <c r="J771" s="284"/>
      <c r="K771" s="562">
        <v>3.0</v>
      </c>
      <c r="L771" s="562" t="s">
        <v>10238</v>
      </c>
    </row>
    <row r="772">
      <c r="A772" s="562" t="s">
        <v>10190</v>
      </c>
      <c r="B772" s="563">
        <v>0.41541666666666666</v>
      </c>
      <c r="C772" s="562" t="s">
        <v>10239</v>
      </c>
      <c r="D772" s="284"/>
      <c r="E772" s="562">
        <v>923426386970</v>
      </c>
      <c r="F772" s="562" t="s">
        <v>6875</v>
      </c>
      <c r="G772" s="284"/>
      <c r="H772" s="562" t="s">
        <v>10240</v>
      </c>
      <c r="I772" s="562" t="s">
        <v>10241</v>
      </c>
      <c r="J772" s="284"/>
      <c r="K772" s="562">
        <v>2.0</v>
      </c>
      <c r="L772" s="562" t="s">
        <v>372</v>
      </c>
    </row>
    <row r="773">
      <c r="A773" s="562" t="s">
        <v>10190</v>
      </c>
      <c r="B773" s="563">
        <v>0.4246990740740741</v>
      </c>
      <c r="C773" s="562" t="s">
        <v>10242</v>
      </c>
      <c r="D773" s="284"/>
      <c r="E773" s="562">
        <v>923222989198</v>
      </c>
      <c r="F773" s="562" t="s">
        <v>6939</v>
      </c>
      <c r="G773" s="562" t="s">
        <v>10243</v>
      </c>
      <c r="H773" s="562" t="s">
        <v>10244</v>
      </c>
      <c r="I773" s="562" t="s">
        <v>10245</v>
      </c>
      <c r="J773" s="562" t="s">
        <v>10246</v>
      </c>
      <c r="K773" s="562">
        <v>4.0</v>
      </c>
      <c r="L773" s="562" t="s">
        <v>685</v>
      </c>
    </row>
    <row r="774">
      <c r="A774" s="568" t="s">
        <v>10190</v>
      </c>
      <c r="B774" s="569">
        <v>0.5016550925925926</v>
      </c>
      <c r="C774" s="568" t="s">
        <v>10247</v>
      </c>
      <c r="D774" s="570"/>
      <c r="E774" s="568">
        <v>923706131026</v>
      </c>
      <c r="F774" s="562" t="s">
        <v>6939</v>
      </c>
      <c r="G774" s="568" t="s">
        <v>10248</v>
      </c>
      <c r="H774" s="568" t="s">
        <v>10249</v>
      </c>
      <c r="I774" s="568" t="s">
        <v>10250</v>
      </c>
      <c r="J774" s="568" t="s">
        <v>10251</v>
      </c>
      <c r="K774" s="568">
        <v>4.0</v>
      </c>
      <c r="L774" s="570"/>
    </row>
    <row r="775">
      <c r="A775" s="562" t="s">
        <v>10190</v>
      </c>
      <c r="B775" s="563">
        <v>0.7152199074074074</v>
      </c>
      <c r="C775" s="562" t="s">
        <v>10252</v>
      </c>
      <c r="D775" s="284"/>
      <c r="E775" s="562">
        <v>923346396956</v>
      </c>
      <c r="F775" s="562" t="s">
        <v>7291</v>
      </c>
      <c r="G775" s="562" t="s">
        <v>10253</v>
      </c>
      <c r="H775" s="562" t="s">
        <v>10254</v>
      </c>
      <c r="I775" s="562" t="s">
        <v>10255</v>
      </c>
      <c r="J775" s="562" t="s">
        <v>10256</v>
      </c>
      <c r="K775" s="562">
        <v>4.0</v>
      </c>
      <c r="L775" s="562" t="s">
        <v>10257</v>
      </c>
    </row>
    <row r="776">
      <c r="A776" s="562" t="s">
        <v>10258</v>
      </c>
      <c r="B776" s="563">
        <v>0.47846064814814815</v>
      </c>
      <c r="C776" s="562" t="s">
        <v>10259</v>
      </c>
      <c r="D776" s="284"/>
      <c r="E776" s="562">
        <v>923420531483</v>
      </c>
      <c r="F776" s="562" t="s">
        <v>6875</v>
      </c>
      <c r="G776" s="284"/>
      <c r="H776" s="284"/>
      <c r="I776" s="562" t="s">
        <v>10260</v>
      </c>
      <c r="J776" s="284"/>
      <c r="K776" s="562">
        <v>1.0</v>
      </c>
      <c r="L776" s="562" t="s">
        <v>10261</v>
      </c>
    </row>
    <row r="777">
      <c r="A777" s="562" t="s">
        <v>10262</v>
      </c>
      <c r="B777" s="563">
        <v>0.41181712962962963</v>
      </c>
      <c r="C777" s="562" t="s">
        <v>10263</v>
      </c>
      <c r="D777" s="284"/>
      <c r="E777" s="562">
        <v>923119505183</v>
      </c>
      <c r="F777" s="562" t="s">
        <v>9302</v>
      </c>
      <c r="G777" s="562" t="s">
        <v>10264</v>
      </c>
      <c r="H777" s="284"/>
      <c r="I777" s="562" t="s">
        <v>10265</v>
      </c>
      <c r="J777" s="284"/>
      <c r="K777" s="562">
        <v>2.0</v>
      </c>
      <c r="L777" s="562" t="s">
        <v>1791</v>
      </c>
    </row>
    <row r="778">
      <c r="A778" s="562" t="s">
        <v>10262</v>
      </c>
      <c r="B778" s="563">
        <v>0.41207175925925926</v>
      </c>
      <c r="C778" s="562" t="s">
        <v>10266</v>
      </c>
      <c r="D778" s="284"/>
      <c r="E778" s="562">
        <v>923234352784</v>
      </c>
      <c r="F778" s="562" t="s">
        <v>6939</v>
      </c>
      <c r="G778" s="562" t="s">
        <v>10267</v>
      </c>
      <c r="H778" s="562" t="s">
        <v>10268</v>
      </c>
      <c r="I778" s="562" t="s">
        <v>10269</v>
      </c>
      <c r="J778" s="284"/>
      <c r="K778" s="562">
        <v>3.0</v>
      </c>
      <c r="L778" s="284"/>
    </row>
    <row r="779">
      <c r="A779" s="562" t="s">
        <v>10262</v>
      </c>
      <c r="B779" s="563">
        <v>0.4127662037037037</v>
      </c>
      <c r="C779" s="562" t="s">
        <v>10270</v>
      </c>
      <c r="D779" s="284"/>
      <c r="E779" s="562">
        <v>923315063913</v>
      </c>
      <c r="F779" s="562" t="s">
        <v>6939</v>
      </c>
      <c r="G779" s="562" t="s">
        <v>10271</v>
      </c>
      <c r="H779" s="284"/>
      <c r="I779" s="284"/>
      <c r="J779" s="562" t="s">
        <v>10272</v>
      </c>
      <c r="K779" s="562">
        <v>2.0</v>
      </c>
      <c r="L779" s="562" t="s">
        <v>8352</v>
      </c>
    </row>
    <row r="780">
      <c r="A780" s="562" t="s">
        <v>10262</v>
      </c>
      <c r="B780" s="563">
        <v>0.412962962962963</v>
      </c>
      <c r="C780" s="562" t="s">
        <v>10273</v>
      </c>
      <c r="D780" s="284"/>
      <c r="E780" s="562">
        <v>923414766823</v>
      </c>
      <c r="F780" s="562" t="s">
        <v>6939</v>
      </c>
      <c r="G780" s="562" t="s">
        <v>10274</v>
      </c>
      <c r="H780" s="562" t="s">
        <v>10275</v>
      </c>
      <c r="I780" s="562" t="s">
        <v>10276</v>
      </c>
      <c r="J780" s="284"/>
      <c r="K780" s="562">
        <v>3.0</v>
      </c>
      <c r="L780" s="284"/>
    </row>
    <row r="781">
      <c r="A781" s="562" t="s">
        <v>10262</v>
      </c>
      <c r="B781" s="563">
        <v>0.41305555555555556</v>
      </c>
      <c r="C781" s="562" t="s">
        <v>10277</v>
      </c>
      <c r="D781" s="284"/>
      <c r="E781" s="562">
        <v>923001311350</v>
      </c>
      <c r="F781" s="562" t="s">
        <v>6939</v>
      </c>
      <c r="G781" s="562" t="s">
        <v>10278</v>
      </c>
      <c r="H781" s="562" t="s">
        <v>10279</v>
      </c>
      <c r="I781" s="562" t="s">
        <v>10280</v>
      </c>
      <c r="J781" s="562" t="s">
        <v>10281</v>
      </c>
      <c r="K781" s="562">
        <v>4.0</v>
      </c>
      <c r="L781" s="284"/>
    </row>
    <row r="782">
      <c r="A782" s="562" t="s">
        <v>10262</v>
      </c>
      <c r="B782" s="563">
        <v>0.4131828703703704</v>
      </c>
      <c r="C782" s="562" t="s">
        <v>10282</v>
      </c>
      <c r="D782" s="284"/>
      <c r="E782" s="562">
        <v>923332265460</v>
      </c>
      <c r="F782" s="562" t="s">
        <v>7291</v>
      </c>
      <c r="G782" s="562" t="s">
        <v>10283</v>
      </c>
      <c r="H782" s="562" t="s">
        <v>10284</v>
      </c>
      <c r="I782" s="562" t="s">
        <v>10285</v>
      </c>
      <c r="J782" s="284"/>
      <c r="K782" s="562">
        <v>3.0</v>
      </c>
      <c r="L782" s="562" t="s">
        <v>10220</v>
      </c>
    </row>
    <row r="783">
      <c r="A783" s="562" t="s">
        <v>10262</v>
      </c>
      <c r="B783" s="563">
        <v>0.4134953703703704</v>
      </c>
      <c r="C783" s="562" t="s">
        <v>10286</v>
      </c>
      <c r="D783" s="284"/>
      <c r="E783" s="562">
        <v>923175595115</v>
      </c>
      <c r="F783" s="562" t="s">
        <v>6939</v>
      </c>
      <c r="G783" s="562" t="s">
        <v>10287</v>
      </c>
      <c r="H783" s="562" t="s">
        <v>10288</v>
      </c>
      <c r="I783" s="562" t="s">
        <v>10289</v>
      </c>
      <c r="J783" s="562" t="s">
        <v>10290</v>
      </c>
      <c r="K783" s="562">
        <v>4.0</v>
      </c>
      <c r="L783" s="284"/>
    </row>
    <row r="784">
      <c r="A784" s="562" t="s">
        <v>10262</v>
      </c>
      <c r="B784" s="563">
        <v>0.4194097222222222</v>
      </c>
      <c r="C784" s="562" t="s">
        <v>10291</v>
      </c>
      <c r="D784" s="284"/>
      <c r="E784" s="562">
        <v>923064335370</v>
      </c>
      <c r="F784" s="562" t="s">
        <v>6982</v>
      </c>
      <c r="G784" s="562" t="s">
        <v>10292</v>
      </c>
      <c r="H784" s="562" t="s">
        <v>10293</v>
      </c>
      <c r="I784" s="562" t="s">
        <v>10294</v>
      </c>
      <c r="J784" s="284"/>
      <c r="K784" s="562">
        <v>3.0</v>
      </c>
      <c r="L784" s="562" t="s">
        <v>10295</v>
      </c>
    </row>
    <row r="785">
      <c r="A785" s="562" t="s">
        <v>10262</v>
      </c>
      <c r="B785" s="563">
        <v>0.5009027777777778</v>
      </c>
      <c r="C785" s="562" t="s">
        <v>10296</v>
      </c>
      <c r="D785" s="284"/>
      <c r="E785" s="562">
        <v>923481926587</v>
      </c>
      <c r="F785" s="562" t="s">
        <v>6982</v>
      </c>
      <c r="G785" s="284"/>
      <c r="H785" s="562" t="s">
        <v>10297</v>
      </c>
      <c r="I785" s="562" t="s">
        <v>10298</v>
      </c>
      <c r="J785" s="562" t="s">
        <v>10299</v>
      </c>
      <c r="K785" s="562">
        <v>3.0</v>
      </c>
      <c r="L785" s="562" t="s">
        <v>10300</v>
      </c>
    </row>
    <row r="786">
      <c r="A786" s="562" t="s">
        <v>10262</v>
      </c>
      <c r="B786" s="563">
        <v>0.5023842592592592</v>
      </c>
      <c r="C786" s="562" t="s">
        <v>10301</v>
      </c>
      <c r="D786" s="284"/>
      <c r="E786" s="562">
        <v>923261256122</v>
      </c>
      <c r="F786" s="562" t="s">
        <v>9302</v>
      </c>
      <c r="G786" s="284"/>
      <c r="H786" s="562" t="s">
        <v>10302</v>
      </c>
      <c r="I786" s="562" t="s">
        <v>10303</v>
      </c>
      <c r="J786" s="284"/>
      <c r="K786" s="562">
        <v>2.0</v>
      </c>
      <c r="L786" s="284"/>
    </row>
    <row r="787">
      <c r="A787" s="562" t="s">
        <v>10262</v>
      </c>
      <c r="B787" s="563">
        <v>0.6033333333333334</v>
      </c>
      <c r="C787" s="562" t="s">
        <v>10304</v>
      </c>
      <c r="D787" s="284"/>
      <c r="E787" s="562">
        <v>923127237872</v>
      </c>
      <c r="F787" s="562" t="s">
        <v>6939</v>
      </c>
      <c r="G787" s="284"/>
      <c r="H787" s="562" t="s">
        <v>10305</v>
      </c>
      <c r="I787" s="562" t="s">
        <v>10306</v>
      </c>
      <c r="J787" s="284"/>
      <c r="K787" s="562">
        <v>2.0</v>
      </c>
      <c r="L787" s="562" t="s">
        <v>6944</v>
      </c>
    </row>
    <row r="788">
      <c r="A788" s="562" t="s">
        <v>10262</v>
      </c>
      <c r="B788" s="563">
        <v>0.6442361111111111</v>
      </c>
      <c r="C788" s="562" t="s">
        <v>10307</v>
      </c>
      <c r="D788" s="284"/>
      <c r="E788" s="562">
        <v>923149331942</v>
      </c>
      <c r="F788" s="562" t="s">
        <v>6875</v>
      </c>
      <c r="G788" s="284"/>
      <c r="H788" s="284"/>
      <c r="I788" s="562" t="s">
        <v>10308</v>
      </c>
      <c r="J788" s="284"/>
      <c r="K788" s="562">
        <v>1.0</v>
      </c>
      <c r="L788" s="562" t="s">
        <v>372</v>
      </c>
    </row>
    <row r="789">
      <c r="A789" s="562" t="s">
        <v>10262</v>
      </c>
      <c r="B789" s="563">
        <v>0.6484722222222222</v>
      </c>
      <c r="C789" s="562" t="s">
        <v>10309</v>
      </c>
      <c r="D789" s="284"/>
      <c r="E789" s="562">
        <v>923709153994</v>
      </c>
      <c r="F789" s="562" t="s">
        <v>6875</v>
      </c>
      <c r="G789" s="284"/>
      <c r="H789" s="562" t="s">
        <v>10310</v>
      </c>
      <c r="I789" s="562" t="s">
        <v>10311</v>
      </c>
      <c r="J789" s="284"/>
      <c r="K789" s="562">
        <v>2.0</v>
      </c>
      <c r="L789" s="284"/>
    </row>
    <row r="790">
      <c r="A790" s="562" t="s">
        <v>10262</v>
      </c>
      <c r="B790" s="563">
        <v>0.6557523148148148</v>
      </c>
      <c r="C790" s="562" t="s">
        <v>10312</v>
      </c>
      <c r="D790" s="284"/>
      <c r="E790" s="562">
        <v>923445036927</v>
      </c>
      <c r="F790" s="562" t="s">
        <v>6875</v>
      </c>
      <c r="G790" s="284"/>
      <c r="H790" s="284"/>
      <c r="I790" s="562" t="s">
        <v>10313</v>
      </c>
      <c r="J790" s="284"/>
      <c r="K790" s="562">
        <v>1.0</v>
      </c>
      <c r="L790" s="562" t="s">
        <v>372</v>
      </c>
    </row>
    <row r="791">
      <c r="A791" s="562" t="s">
        <v>10314</v>
      </c>
      <c r="B791" s="563">
        <v>0.42528935185185185</v>
      </c>
      <c r="C791" s="562" t="s">
        <v>10315</v>
      </c>
      <c r="D791" s="284"/>
      <c r="E791" s="562">
        <v>923366874360</v>
      </c>
      <c r="F791" s="562" t="s">
        <v>7291</v>
      </c>
      <c r="G791" s="562" t="s">
        <v>10316</v>
      </c>
      <c r="H791" s="562" t="s">
        <v>10317</v>
      </c>
      <c r="I791" s="562" t="s">
        <v>10318</v>
      </c>
      <c r="J791" s="284"/>
      <c r="K791" s="562">
        <v>3.0</v>
      </c>
      <c r="L791" s="562" t="s">
        <v>10220</v>
      </c>
    </row>
    <row r="792">
      <c r="A792" s="562" t="s">
        <v>10314</v>
      </c>
      <c r="B792" s="563">
        <v>0.4258796296296296</v>
      </c>
      <c r="C792" s="562" t="s">
        <v>10319</v>
      </c>
      <c r="D792" s="284"/>
      <c r="E792" s="562">
        <v>923708048418</v>
      </c>
      <c r="F792" s="562" t="s">
        <v>6939</v>
      </c>
      <c r="G792" s="562" t="s">
        <v>10320</v>
      </c>
      <c r="H792" s="562" t="s">
        <v>10321</v>
      </c>
      <c r="I792" s="562" t="s">
        <v>10322</v>
      </c>
      <c r="J792" s="562" t="s">
        <v>10323</v>
      </c>
      <c r="K792" s="562">
        <v>4.0</v>
      </c>
      <c r="L792" s="284"/>
    </row>
    <row r="793">
      <c r="A793" s="562" t="s">
        <v>10314</v>
      </c>
      <c r="B793" s="563">
        <v>0.4262384259259259</v>
      </c>
      <c r="C793" s="562" t="s">
        <v>10324</v>
      </c>
      <c r="D793" s="284"/>
      <c r="E793" s="562">
        <v>923407646726</v>
      </c>
      <c r="F793" s="562" t="s">
        <v>6939</v>
      </c>
      <c r="G793" s="562" t="s">
        <v>10325</v>
      </c>
      <c r="H793" s="284"/>
      <c r="I793" s="562" t="s">
        <v>10326</v>
      </c>
      <c r="J793" s="562" t="s">
        <v>10327</v>
      </c>
      <c r="K793" s="562">
        <v>3.0</v>
      </c>
      <c r="L793" s="562" t="s">
        <v>10328</v>
      </c>
    </row>
    <row r="794">
      <c r="A794" s="562" t="s">
        <v>10314</v>
      </c>
      <c r="B794" s="563">
        <v>0.4263425925925926</v>
      </c>
      <c r="C794" s="562" t="s">
        <v>10329</v>
      </c>
      <c r="D794" s="284"/>
      <c r="E794" s="562">
        <v>923424810263</v>
      </c>
      <c r="F794" s="562" t="s">
        <v>9302</v>
      </c>
      <c r="G794" s="562" t="s">
        <v>10330</v>
      </c>
      <c r="H794" s="562" t="s">
        <v>10331</v>
      </c>
      <c r="I794" s="562" t="s">
        <v>10332</v>
      </c>
      <c r="J794" s="284"/>
      <c r="K794" s="562">
        <v>3.0</v>
      </c>
      <c r="L794" s="562" t="s">
        <v>927</v>
      </c>
    </row>
    <row r="795">
      <c r="A795" s="562" t="s">
        <v>10314</v>
      </c>
      <c r="B795" s="563">
        <v>0.42644675925925923</v>
      </c>
      <c r="C795" s="562" t="s">
        <v>10333</v>
      </c>
      <c r="D795" s="284"/>
      <c r="E795" s="562">
        <v>923215042535</v>
      </c>
      <c r="F795" s="562" t="s">
        <v>6939</v>
      </c>
      <c r="G795" s="562" t="s">
        <v>10334</v>
      </c>
      <c r="H795" s="562" t="s">
        <v>10335</v>
      </c>
      <c r="I795" s="562" t="s">
        <v>10336</v>
      </c>
      <c r="J795" s="284"/>
      <c r="K795" s="562">
        <v>3.0</v>
      </c>
      <c r="L795" s="284"/>
    </row>
    <row r="796">
      <c r="A796" s="562" t="s">
        <v>10314</v>
      </c>
      <c r="B796" s="563">
        <v>0.4265625</v>
      </c>
      <c r="C796" s="562" t="s">
        <v>10337</v>
      </c>
      <c r="D796" s="284"/>
      <c r="E796" s="562">
        <v>923014243787</v>
      </c>
      <c r="F796" s="562" t="s">
        <v>6939</v>
      </c>
      <c r="G796" s="562" t="s">
        <v>10338</v>
      </c>
      <c r="H796" s="562" t="s">
        <v>10339</v>
      </c>
      <c r="I796" s="562" t="s">
        <v>10340</v>
      </c>
      <c r="J796" s="284"/>
      <c r="K796" s="562">
        <v>3.0</v>
      </c>
      <c r="L796" s="284"/>
    </row>
    <row r="797">
      <c r="A797" s="562" t="s">
        <v>10314</v>
      </c>
      <c r="B797" s="563">
        <v>0.42715277777777777</v>
      </c>
      <c r="C797" s="562" t="s">
        <v>10341</v>
      </c>
      <c r="D797" s="284"/>
      <c r="E797" s="562">
        <v>923418032813</v>
      </c>
      <c r="F797" s="562" t="s">
        <v>6939</v>
      </c>
      <c r="G797" s="562" t="s">
        <v>10342</v>
      </c>
      <c r="H797" s="562" t="s">
        <v>10343</v>
      </c>
      <c r="I797" s="562" t="s">
        <v>10344</v>
      </c>
      <c r="J797" s="284"/>
      <c r="K797" s="562">
        <v>3.0</v>
      </c>
      <c r="L797" s="284"/>
    </row>
    <row r="798">
      <c r="A798" s="562" t="s">
        <v>10314</v>
      </c>
      <c r="B798" s="563">
        <v>0.4272685185185185</v>
      </c>
      <c r="C798" s="562" t="s">
        <v>10345</v>
      </c>
      <c r="D798" s="284"/>
      <c r="E798" s="562">
        <v>923086747583</v>
      </c>
      <c r="F798" s="562" t="s">
        <v>6875</v>
      </c>
      <c r="G798" s="562" t="s">
        <v>10346</v>
      </c>
      <c r="H798" s="562" t="s">
        <v>10347</v>
      </c>
      <c r="I798" s="562" t="s">
        <v>10348</v>
      </c>
      <c r="J798" s="284"/>
      <c r="K798" s="562">
        <v>3.0</v>
      </c>
      <c r="L798" s="562" t="s">
        <v>372</v>
      </c>
    </row>
    <row r="799">
      <c r="A799" s="562" t="s">
        <v>10314</v>
      </c>
      <c r="B799" s="563">
        <v>0.42734953703703704</v>
      </c>
      <c r="C799" s="562" t="s">
        <v>10349</v>
      </c>
      <c r="D799" s="284"/>
      <c r="E799" s="562">
        <v>923333299512</v>
      </c>
      <c r="F799" s="562" t="s">
        <v>6939</v>
      </c>
      <c r="G799" s="562" t="s">
        <v>10350</v>
      </c>
      <c r="H799" s="562" t="s">
        <v>10351</v>
      </c>
      <c r="I799" s="562" t="s">
        <v>10352</v>
      </c>
      <c r="J799" s="284"/>
      <c r="K799" s="562">
        <v>3.0</v>
      </c>
      <c r="L799" s="284"/>
    </row>
    <row r="800">
      <c r="A800" s="562" t="s">
        <v>10314</v>
      </c>
      <c r="B800" s="563">
        <v>0.4274537037037037</v>
      </c>
      <c r="C800" s="562" t="s">
        <v>10353</v>
      </c>
      <c r="D800" s="284"/>
      <c r="E800" s="562">
        <v>923147061036</v>
      </c>
      <c r="F800" s="562" t="s">
        <v>6875</v>
      </c>
      <c r="G800" s="562" t="s">
        <v>10354</v>
      </c>
      <c r="H800" s="562" t="s">
        <v>10355</v>
      </c>
      <c r="I800" s="284"/>
      <c r="J800" s="284"/>
      <c r="K800" s="562">
        <v>2.0</v>
      </c>
      <c r="L800" s="562" t="s">
        <v>10356</v>
      </c>
    </row>
    <row r="801">
      <c r="A801" s="562" t="s">
        <v>10314</v>
      </c>
      <c r="B801" s="563">
        <v>0.4275462962962963</v>
      </c>
      <c r="C801" s="562" t="s">
        <v>10357</v>
      </c>
      <c r="D801" s="284"/>
      <c r="E801" s="562">
        <v>923118635716</v>
      </c>
      <c r="F801" s="562" t="s">
        <v>6875</v>
      </c>
      <c r="G801" s="562" t="s">
        <v>10358</v>
      </c>
      <c r="H801" s="562" t="s">
        <v>10359</v>
      </c>
      <c r="I801" s="562" t="s">
        <v>10360</v>
      </c>
      <c r="J801" s="284"/>
      <c r="K801" s="562">
        <v>3.0</v>
      </c>
      <c r="L801" s="562" t="s">
        <v>372</v>
      </c>
    </row>
    <row r="802">
      <c r="A802" s="562" t="s">
        <v>10314</v>
      </c>
      <c r="B802" s="563">
        <v>0.42770833333333336</v>
      </c>
      <c r="C802" s="562" t="s">
        <v>10361</v>
      </c>
      <c r="D802" s="284"/>
      <c r="E802" s="562">
        <v>923278055557</v>
      </c>
      <c r="F802" s="562" t="s">
        <v>7291</v>
      </c>
      <c r="G802" s="562" t="s">
        <v>10362</v>
      </c>
      <c r="H802" s="562" t="s">
        <v>10363</v>
      </c>
      <c r="I802" s="562" t="s">
        <v>10364</v>
      </c>
      <c r="J802" s="284"/>
      <c r="K802" s="562">
        <v>3.0</v>
      </c>
      <c r="L802" s="562" t="s">
        <v>10220</v>
      </c>
    </row>
    <row r="803">
      <c r="A803" s="562" t="s">
        <v>10314</v>
      </c>
      <c r="B803" s="563">
        <v>0.42777777777777776</v>
      </c>
      <c r="C803" s="562" t="s">
        <v>10365</v>
      </c>
      <c r="D803" s="284"/>
      <c r="E803" s="562">
        <v>923134773913</v>
      </c>
      <c r="F803" s="562" t="s">
        <v>6875</v>
      </c>
      <c r="G803" s="562" t="s">
        <v>10366</v>
      </c>
      <c r="H803" s="284"/>
      <c r="I803" s="284"/>
      <c r="J803" s="284"/>
      <c r="K803" s="562">
        <v>1.0</v>
      </c>
      <c r="L803" s="562" t="s">
        <v>372</v>
      </c>
    </row>
    <row r="804">
      <c r="A804" s="562" t="s">
        <v>10314</v>
      </c>
      <c r="B804" s="563">
        <v>0.42789351851851853</v>
      </c>
      <c r="C804" s="562" t="s">
        <v>10367</v>
      </c>
      <c r="D804" s="284"/>
      <c r="E804" s="562">
        <v>923346500869</v>
      </c>
      <c r="F804" s="562" t="s">
        <v>9302</v>
      </c>
      <c r="G804" s="284"/>
      <c r="H804" s="562" t="s">
        <v>10368</v>
      </c>
      <c r="I804" s="562" t="s">
        <v>10369</v>
      </c>
      <c r="J804" s="284"/>
      <c r="K804" s="562">
        <v>2.0</v>
      </c>
      <c r="L804" s="562" t="s">
        <v>10370</v>
      </c>
    </row>
    <row r="805">
      <c r="A805" s="562" t="s">
        <v>10314</v>
      </c>
      <c r="B805" s="563">
        <v>0.42802083333333335</v>
      </c>
      <c r="C805" s="562" t="s">
        <v>10371</v>
      </c>
      <c r="D805" s="562" t="s">
        <v>6886</v>
      </c>
      <c r="E805" s="566" t="s">
        <v>10372</v>
      </c>
      <c r="F805" s="562" t="s">
        <v>6888</v>
      </c>
      <c r="G805" s="284"/>
      <c r="H805" s="562" t="s">
        <v>10373</v>
      </c>
      <c r="I805" s="562" t="s">
        <v>10374</v>
      </c>
      <c r="J805" s="284"/>
      <c r="K805" s="562">
        <v>2.0</v>
      </c>
      <c r="L805" s="562" t="s">
        <v>10375</v>
      </c>
    </row>
    <row r="806">
      <c r="A806" s="562" t="s">
        <v>10314</v>
      </c>
      <c r="B806" s="563">
        <v>0.42814814814814817</v>
      </c>
      <c r="C806" s="562" t="s">
        <v>10376</v>
      </c>
      <c r="D806" s="284"/>
      <c r="E806" s="562">
        <v>923445103858</v>
      </c>
      <c r="F806" s="562" t="s">
        <v>7291</v>
      </c>
      <c r="G806" s="284"/>
      <c r="H806" s="562" t="s">
        <v>10377</v>
      </c>
      <c r="I806" s="562" t="s">
        <v>10378</v>
      </c>
      <c r="J806" s="284"/>
      <c r="K806" s="562">
        <v>2.0</v>
      </c>
      <c r="L806" s="562" t="s">
        <v>685</v>
      </c>
    </row>
    <row r="807">
      <c r="A807" s="562" t="s">
        <v>10314</v>
      </c>
      <c r="B807" s="563">
        <v>0.42824074074074076</v>
      </c>
      <c r="C807" s="562" t="s">
        <v>10379</v>
      </c>
      <c r="D807" s="284"/>
      <c r="E807" s="562">
        <v>923706816280</v>
      </c>
      <c r="F807" s="562" t="s">
        <v>6875</v>
      </c>
      <c r="G807" s="284"/>
      <c r="H807" s="562" t="s">
        <v>10380</v>
      </c>
      <c r="I807" s="562" t="s">
        <v>10381</v>
      </c>
      <c r="J807" s="284"/>
      <c r="K807" s="562">
        <v>2.0</v>
      </c>
      <c r="L807" s="562" t="s">
        <v>51</v>
      </c>
    </row>
    <row r="808">
      <c r="A808" s="562" t="s">
        <v>10314</v>
      </c>
      <c r="B808" s="563">
        <v>0.42841435185185184</v>
      </c>
      <c r="C808" s="562" t="s">
        <v>10382</v>
      </c>
      <c r="D808" s="284"/>
      <c r="E808" s="562">
        <v>923107320707</v>
      </c>
      <c r="F808" s="562" t="s">
        <v>6939</v>
      </c>
      <c r="G808" s="284"/>
      <c r="H808" s="562" t="s">
        <v>10383</v>
      </c>
      <c r="I808" s="562" t="s">
        <v>10384</v>
      </c>
      <c r="J808" s="284"/>
      <c r="K808" s="562">
        <v>2.0</v>
      </c>
      <c r="L808" s="284"/>
    </row>
    <row r="809">
      <c r="A809" s="562" t="s">
        <v>10314</v>
      </c>
      <c r="B809" s="563">
        <v>0.4285185185185185</v>
      </c>
      <c r="C809" s="562" t="s">
        <v>10385</v>
      </c>
      <c r="D809" s="284"/>
      <c r="E809" s="562">
        <v>923213499834</v>
      </c>
      <c r="F809" s="562" t="s">
        <v>6939</v>
      </c>
      <c r="G809" s="284"/>
      <c r="H809" s="562" t="s">
        <v>10386</v>
      </c>
      <c r="I809" s="562" t="s">
        <v>10387</v>
      </c>
      <c r="J809" s="284"/>
      <c r="K809" s="562">
        <v>2.0</v>
      </c>
      <c r="L809" s="284"/>
    </row>
    <row r="810">
      <c r="A810" s="562" t="s">
        <v>10314</v>
      </c>
      <c r="B810" s="563">
        <v>0.42863425925925924</v>
      </c>
      <c r="C810" s="562" t="s">
        <v>10388</v>
      </c>
      <c r="D810" s="284"/>
      <c r="E810" s="562">
        <v>923312304360</v>
      </c>
      <c r="F810" s="562" t="s">
        <v>6875</v>
      </c>
      <c r="G810" s="284"/>
      <c r="H810" s="562" t="s">
        <v>10389</v>
      </c>
      <c r="I810" s="562" t="s">
        <v>10390</v>
      </c>
      <c r="J810" s="284"/>
      <c r="K810" s="562">
        <v>2.0</v>
      </c>
      <c r="L810" s="562" t="s">
        <v>10220</v>
      </c>
    </row>
    <row r="811">
      <c r="A811" s="562" t="s">
        <v>10314</v>
      </c>
      <c r="B811" s="563">
        <v>0.42875</v>
      </c>
      <c r="C811" s="562" t="s">
        <v>10391</v>
      </c>
      <c r="D811" s="284"/>
      <c r="E811" s="562">
        <v>923025315299</v>
      </c>
      <c r="F811" s="562" t="s">
        <v>7291</v>
      </c>
      <c r="G811" s="284"/>
      <c r="H811" s="562" t="s">
        <v>10392</v>
      </c>
      <c r="I811" s="562" t="s">
        <v>10393</v>
      </c>
      <c r="J811" s="284"/>
      <c r="K811" s="562">
        <v>2.0</v>
      </c>
      <c r="L811" s="562" t="s">
        <v>10220</v>
      </c>
    </row>
    <row r="812">
      <c r="A812" s="562" t="s">
        <v>10314</v>
      </c>
      <c r="B812" s="563">
        <v>0.4288425925925926</v>
      </c>
      <c r="C812" s="562" t="s">
        <v>10394</v>
      </c>
      <c r="D812" s="284"/>
      <c r="E812" s="562">
        <v>923057348923</v>
      </c>
      <c r="F812" s="562" t="s">
        <v>6875</v>
      </c>
      <c r="G812" s="284"/>
      <c r="H812" s="562" t="s">
        <v>10395</v>
      </c>
      <c r="I812" s="562" t="s">
        <v>10396</v>
      </c>
      <c r="J812" s="284"/>
      <c r="K812" s="562">
        <v>2.0</v>
      </c>
      <c r="L812" s="562" t="s">
        <v>10220</v>
      </c>
    </row>
    <row r="813">
      <c r="A813" s="562" t="s">
        <v>10314</v>
      </c>
      <c r="B813" s="563">
        <v>0.42913194444444447</v>
      </c>
      <c r="C813" s="562" t="s">
        <v>10397</v>
      </c>
      <c r="D813" s="284"/>
      <c r="E813" s="562" t="str">
        <f>1(587)2279-299</f>
        <v>#ERROR!</v>
      </c>
      <c r="F813" s="562" t="s">
        <v>6888</v>
      </c>
      <c r="G813" s="284"/>
      <c r="H813" s="562" t="s">
        <v>10398</v>
      </c>
      <c r="I813" s="562" t="s">
        <v>10399</v>
      </c>
      <c r="J813" s="284"/>
      <c r="K813" s="562">
        <v>2.0</v>
      </c>
      <c r="L813" s="562" t="s">
        <v>10220</v>
      </c>
    </row>
    <row r="814">
      <c r="A814" s="562" t="s">
        <v>10314</v>
      </c>
      <c r="B814" s="563">
        <v>0.4292824074074074</v>
      </c>
      <c r="C814" s="562" t="s">
        <v>10400</v>
      </c>
      <c r="D814" s="284"/>
      <c r="E814" s="562">
        <f>923705059753</f>
        <v>923705059753</v>
      </c>
      <c r="F814" s="562" t="s">
        <v>6982</v>
      </c>
      <c r="G814" s="284"/>
      <c r="H814" s="562" t="s">
        <v>10401</v>
      </c>
      <c r="I814" s="284"/>
      <c r="J814" s="284"/>
      <c r="K814" s="562">
        <v>1.0</v>
      </c>
      <c r="L814" s="562" t="s">
        <v>10402</v>
      </c>
    </row>
    <row r="815">
      <c r="A815" s="562" t="s">
        <v>10314</v>
      </c>
      <c r="B815" s="563">
        <v>0.42939814814814814</v>
      </c>
      <c r="C815" s="562" t="s">
        <v>10403</v>
      </c>
      <c r="D815" s="284"/>
      <c r="E815" s="562">
        <f>923014839245</f>
        <v>923014839245</v>
      </c>
      <c r="F815" s="562" t="s">
        <v>6875</v>
      </c>
      <c r="G815" s="284"/>
      <c r="H815" s="562" t="s">
        <v>10404</v>
      </c>
      <c r="I815" s="562" t="s">
        <v>10405</v>
      </c>
      <c r="J815" s="284"/>
      <c r="K815" s="562">
        <v>2.0</v>
      </c>
      <c r="L815" s="562" t="s">
        <v>6944</v>
      </c>
    </row>
    <row r="816">
      <c r="A816" s="562" t="s">
        <v>10314</v>
      </c>
      <c r="B816" s="563">
        <v>0.4294791666666667</v>
      </c>
      <c r="C816" s="562" t="s">
        <v>10406</v>
      </c>
      <c r="D816" s="284"/>
      <c r="E816" s="562">
        <f>923408572729</f>
        <v>923408572729</v>
      </c>
      <c r="F816" s="562" t="s">
        <v>6939</v>
      </c>
      <c r="G816" s="284"/>
      <c r="H816" s="562" t="s">
        <v>10407</v>
      </c>
      <c r="I816" s="562" t="s">
        <v>10408</v>
      </c>
      <c r="J816" s="284"/>
      <c r="K816" s="562">
        <v>2.0</v>
      </c>
      <c r="L816" s="284"/>
    </row>
    <row r="817">
      <c r="A817" s="562" t="s">
        <v>10314</v>
      </c>
      <c r="B817" s="563">
        <v>0.4295833333333333</v>
      </c>
      <c r="C817" s="562" t="s">
        <v>10409</v>
      </c>
      <c r="D817" s="284"/>
      <c r="E817" s="562">
        <f>923005117875</f>
        <v>923005117875</v>
      </c>
      <c r="F817" s="562" t="s">
        <v>9302</v>
      </c>
      <c r="G817" s="284"/>
      <c r="H817" s="562" t="s">
        <v>10410</v>
      </c>
      <c r="I817" s="284"/>
      <c r="J817" s="284"/>
      <c r="K817" s="562">
        <v>1.0</v>
      </c>
      <c r="L817" s="562" t="s">
        <v>927</v>
      </c>
    </row>
    <row r="818">
      <c r="A818" s="562" t="s">
        <v>10314</v>
      </c>
      <c r="B818" s="563">
        <v>0.42975694444444446</v>
      </c>
      <c r="C818" s="562" t="s">
        <v>10411</v>
      </c>
      <c r="D818" s="284"/>
      <c r="E818" s="562">
        <f>923139660317</f>
        <v>923139660317</v>
      </c>
      <c r="F818" s="562" t="s">
        <v>7291</v>
      </c>
      <c r="G818" s="284"/>
      <c r="H818" s="562" t="s">
        <v>10412</v>
      </c>
      <c r="I818" s="562" t="s">
        <v>10413</v>
      </c>
      <c r="J818" s="284"/>
      <c r="K818" s="562">
        <v>2.0</v>
      </c>
      <c r="L818" s="284"/>
    </row>
    <row r="819">
      <c r="A819" s="562" t="s">
        <v>10314</v>
      </c>
      <c r="B819" s="563">
        <v>0.43037037037037035</v>
      </c>
      <c r="C819" s="562" t="s">
        <v>10414</v>
      </c>
      <c r="D819" s="284"/>
      <c r="E819" s="562">
        <f>923112655670</f>
        <v>923112655670</v>
      </c>
      <c r="F819" s="562" t="s">
        <v>7291</v>
      </c>
      <c r="G819" s="284"/>
      <c r="H819" s="562" t="s">
        <v>10415</v>
      </c>
      <c r="I819" s="562" t="s">
        <v>10416</v>
      </c>
      <c r="J819" s="284"/>
      <c r="K819" s="562">
        <v>2.0</v>
      </c>
      <c r="L819" s="562" t="s">
        <v>10220</v>
      </c>
    </row>
    <row r="820">
      <c r="A820" s="562" t="s">
        <v>10314</v>
      </c>
      <c r="B820" s="563">
        <v>0.5000231481481482</v>
      </c>
      <c r="C820" s="562" t="s">
        <v>10417</v>
      </c>
      <c r="D820" s="284"/>
      <c r="E820" s="562">
        <v>923057136486</v>
      </c>
      <c r="F820" s="562" t="s">
        <v>6875</v>
      </c>
      <c r="G820" s="284"/>
      <c r="H820" s="562" t="s">
        <v>10418</v>
      </c>
      <c r="I820" s="284"/>
      <c r="J820" s="284"/>
      <c r="K820" s="562">
        <v>1.0</v>
      </c>
      <c r="L820" s="562" t="s">
        <v>372</v>
      </c>
    </row>
    <row r="821">
      <c r="A821" s="562" t="s">
        <v>10314</v>
      </c>
      <c r="B821" s="563">
        <v>0.6305555555555555</v>
      </c>
      <c r="C821" s="562" t="s">
        <v>10419</v>
      </c>
      <c r="D821" s="284"/>
      <c r="E821" s="562">
        <v>923008531452</v>
      </c>
      <c r="F821" s="562" t="s">
        <v>6875</v>
      </c>
      <c r="G821" s="284"/>
      <c r="H821" s="562" t="s">
        <v>10420</v>
      </c>
      <c r="I821" s="562" t="s">
        <v>10421</v>
      </c>
      <c r="J821" s="562" t="s">
        <v>10422</v>
      </c>
      <c r="K821" s="562">
        <v>3.0</v>
      </c>
      <c r="L821" s="562" t="s">
        <v>6944</v>
      </c>
    </row>
    <row r="822">
      <c r="A822" s="562" t="s">
        <v>10314</v>
      </c>
      <c r="B822" s="563">
        <v>0.7100115740740741</v>
      </c>
      <c r="C822" s="562" t="s">
        <v>10423</v>
      </c>
      <c r="D822" s="284"/>
      <c r="E822" s="562">
        <v>923348614212</v>
      </c>
      <c r="F822" s="562" t="s">
        <v>6875</v>
      </c>
      <c r="G822" s="284"/>
      <c r="H822" s="562" t="s">
        <v>10424</v>
      </c>
      <c r="I822" s="284"/>
      <c r="J822" s="562" t="s">
        <v>10425</v>
      </c>
      <c r="K822" s="562">
        <v>2.0</v>
      </c>
      <c r="L822" s="562" t="s">
        <v>1158</v>
      </c>
    </row>
    <row r="823">
      <c r="A823" s="562" t="s">
        <v>10314</v>
      </c>
      <c r="B823" s="563">
        <v>0.720925925925926</v>
      </c>
      <c r="C823" s="562" t="s">
        <v>10426</v>
      </c>
      <c r="D823" s="284"/>
      <c r="E823" s="562">
        <v>923045651497</v>
      </c>
      <c r="F823" s="562" t="s">
        <v>7291</v>
      </c>
      <c r="G823" s="284"/>
      <c r="H823" s="562" t="s">
        <v>10427</v>
      </c>
      <c r="I823" s="562" t="s">
        <v>10428</v>
      </c>
      <c r="J823" s="562" t="s">
        <v>10429</v>
      </c>
      <c r="K823" s="562">
        <v>3.0</v>
      </c>
      <c r="L823" s="562" t="s">
        <v>9834</v>
      </c>
    </row>
    <row r="824">
      <c r="A824" s="571">
        <v>45665.0</v>
      </c>
      <c r="B824" s="563">
        <v>0.40502314814814816</v>
      </c>
      <c r="C824" s="562" t="s">
        <v>10430</v>
      </c>
      <c r="D824" s="284"/>
      <c r="E824" s="562">
        <v>923334151187</v>
      </c>
      <c r="F824" s="562" t="s">
        <v>7291</v>
      </c>
      <c r="G824" s="562" t="s">
        <v>10431</v>
      </c>
      <c r="H824" s="562" t="s">
        <v>10432</v>
      </c>
      <c r="I824" s="562" t="s">
        <v>10433</v>
      </c>
      <c r="J824" s="284"/>
      <c r="K824" s="562">
        <v>3.0</v>
      </c>
      <c r="L824" s="284"/>
    </row>
    <row r="825">
      <c r="A825" s="571">
        <v>45665.0</v>
      </c>
      <c r="B825" s="563">
        <v>0.4051273148148148</v>
      </c>
      <c r="C825" s="562" t="s">
        <v>10434</v>
      </c>
      <c r="D825" s="284"/>
      <c r="E825" s="562">
        <v>923161716478</v>
      </c>
      <c r="F825" s="562" t="s">
        <v>7291</v>
      </c>
      <c r="G825" s="562" t="s">
        <v>10435</v>
      </c>
      <c r="H825" s="562" t="s">
        <v>10436</v>
      </c>
      <c r="I825" s="562" t="s">
        <v>10437</v>
      </c>
      <c r="J825" s="284"/>
      <c r="K825" s="562">
        <v>3.0</v>
      </c>
      <c r="L825" s="284"/>
    </row>
    <row r="826">
      <c r="A826" s="571">
        <v>45665.0</v>
      </c>
      <c r="B826" s="563">
        <v>0.40521990740740743</v>
      </c>
      <c r="C826" s="562" t="s">
        <v>10438</v>
      </c>
      <c r="D826" s="284"/>
      <c r="E826" s="562">
        <v>923334125768</v>
      </c>
      <c r="F826" s="562" t="s">
        <v>7291</v>
      </c>
      <c r="G826" s="562" t="s">
        <v>10439</v>
      </c>
      <c r="H826" s="562" t="s">
        <v>10440</v>
      </c>
      <c r="I826" s="562" t="s">
        <v>10441</v>
      </c>
      <c r="J826" s="284"/>
      <c r="K826" s="562">
        <v>3.0</v>
      </c>
      <c r="L826" s="562" t="s">
        <v>6944</v>
      </c>
    </row>
    <row r="827">
      <c r="A827" s="571">
        <v>45665.0</v>
      </c>
      <c r="B827" s="563">
        <v>0.40585648148148146</v>
      </c>
      <c r="C827" s="562" t="s">
        <v>10442</v>
      </c>
      <c r="D827" s="284"/>
      <c r="E827" s="562">
        <v>923445899607</v>
      </c>
      <c r="F827" s="562" t="s">
        <v>6939</v>
      </c>
      <c r="G827" s="562" t="s">
        <v>10443</v>
      </c>
      <c r="H827" s="562" t="s">
        <v>10444</v>
      </c>
      <c r="I827" s="562" t="s">
        <v>10445</v>
      </c>
      <c r="J827" s="284"/>
      <c r="K827" s="562">
        <v>3.0</v>
      </c>
      <c r="L827" s="562" t="s">
        <v>10220</v>
      </c>
    </row>
    <row r="828">
      <c r="A828" s="571">
        <v>45665.0</v>
      </c>
      <c r="B828" s="563">
        <v>0.4059375</v>
      </c>
      <c r="C828" s="562" t="s">
        <v>10446</v>
      </c>
      <c r="D828" s="284"/>
      <c r="E828" s="562">
        <v>923125212362</v>
      </c>
      <c r="F828" s="562" t="s">
        <v>7291</v>
      </c>
      <c r="G828" s="562" t="s">
        <v>10447</v>
      </c>
      <c r="H828" s="562" t="s">
        <v>10448</v>
      </c>
      <c r="I828" s="562" t="s">
        <v>10449</v>
      </c>
      <c r="J828" s="284"/>
      <c r="K828" s="562">
        <v>3.0</v>
      </c>
      <c r="L828" s="562" t="s">
        <v>10220</v>
      </c>
    </row>
    <row r="829">
      <c r="A829" s="571">
        <v>45665.0</v>
      </c>
      <c r="B829" s="563">
        <v>0.4060185185185185</v>
      </c>
      <c r="C829" s="562" t="s">
        <v>10450</v>
      </c>
      <c r="D829" s="284"/>
      <c r="E829" s="562">
        <v>923009379865</v>
      </c>
      <c r="F829" s="562" t="s">
        <v>6939</v>
      </c>
      <c r="G829" s="562" t="s">
        <v>10451</v>
      </c>
      <c r="H829" s="284"/>
      <c r="I829" s="562" t="s">
        <v>10452</v>
      </c>
      <c r="J829" s="284"/>
      <c r="K829" s="562">
        <v>2.0</v>
      </c>
      <c r="L829" s="284"/>
    </row>
    <row r="830">
      <c r="A830" s="571">
        <v>45665.0</v>
      </c>
      <c r="B830" s="563">
        <v>0.4061226851851852</v>
      </c>
      <c r="C830" s="562" t="s">
        <v>10453</v>
      </c>
      <c r="D830" s="284"/>
      <c r="E830" s="562">
        <v>923149948807</v>
      </c>
      <c r="F830" s="562" t="s">
        <v>6875</v>
      </c>
      <c r="G830" s="562" t="s">
        <v>10454</v>
      </c>
      <c r="H830" s="284"/>
      <c r="I830" s="284"/>
      <c r="J830" s="284"/>
      <c r="K830" s="562">
        <v>1.0</v>
      </c>
      <c r="L830" s="562" t="s">
        <v>372</v>
      </c>
    </row>
    <row r="831">
      <c r="A831" s="571">
        <v>45665.0</v>
      </c>
      <c r="B831" s="563">
        <v>0.4062152777777778</v>
      </c>
      <c r="C831" s="562" t="s">
        <v>10455</v>
      </c>
      <c r="D831" s="284"/>
      <c r="E831" s="562">
        <v>923337107733</v>
      </c>
      <c r="F831" s="562" t="s">
        <v>9302</v>
      </c>
      <c r="G831" s="562" t="s">
        <v>10456</v>
      </c>
      <c r="H831" s="284"/>
      <c r="I831" s="284"/>
      <c r="J831" s="284"/>
      <c r="K831" s="562">
        <v>1.0</v>
      </c>
      <c r="L831" s="562" t="s">
        <v>8241</v>
      </c>
    </row>
    <row r="832">
      <c r="A832" s="571">
        <v>45665.0</v>
      </c>
      <c r="B832" s="563">
        <v>0.4062962962962963</v>
      </c>
      <c r="C832" s="562" t="s">
        <v>10457</v>
      </c>
      <c r="D832" s="284"/>
      <c r="E832" s="562">
        <v>923314393292</v>
      </c>
      <c r="F832" s="562" t="s">
        <v>9302</v>
      </c>
      <c r="G832" s="562" t="s">
        <v>10458</v>
      </c>
      <c r="H832" s="284"/>
      <c r="I832" s="284"/>
      <c r="J832" s="284"/>
      <c r="K832" s="562">
        <v>1.0</v>
      </c>
      <c r="L832" s="284"/>
    </row>
    <row r="833">
      <c r="A833" s="571">
        <v>45665.0</v>
      </c>
      <c r="B833" s="563">
        <v>0.4063888888888889</v>
      </c>
      <c r="C833" s="562" t="s">
        <v>10459</v>
      </c>
      <c r="D833" s="284"/>
      <c r="E833" s="562">
        <v>923039223410</v>
      </c>
      <c r="F833" s="562" t="s">
        <v>7291</v>
      </c>
      <c r="G833" s="562" t="s">
        <v>10460</v>
      </c>
      <c r="H833" s="562" t="s">
        <v>10461</v>
      </c>
      <c r="I833" s="562" t="s">
        <v>10462</v>
      </c>
      <c r="J833" s="284"/>
      <c r="K833" s="562">
        <v>3.0</v>
      </c>
      <c r="L833" s="562" t="s">
        <v>6944</v>
      </c>
    </row>
    <row r="834">
      <c r="A834" s="571">
        <v>45665.0</v>
      </c>
      <c r="B834" s="563">
        <v>0.4064699074074074</v>
      </c>
      <c r="C834" s="562" t="s">
        <v>10463</v>
      </c>
      <c r="D834" s="284"/>
      <c r="E834" s="562">
        <v>923202280241</v>
      </c>
      <c r="F834" s="562" t="s">
        <v>7291</v>
      </c>
      <c r="G834" s="562" t="s">
        <v>10464</v>
      </c>
      <c r="H834" s="562" t="s">
        <v>10465</v>
      </c>
      <c r="I834" s="562" t="s">
        <v>10466</v>
      </c>
      <c r="J834" s="284"/>
      <c r="K834" s="562">
        <v>3.0</v>
      </c>
      <c r="L834" s="562" t="s">
        <v>991</v>
      </c>
    </row>
    <row r="835">
      <c r="A835" s="571">
        <v>45665.0</v>
      </c>
      <c r="B835" s="563">
        <v>0.4065625</v>
      </c>
      <c r="C835" s="562" t="s">
        <v>10467</v>
      </c>
      <c r="D835" s="284"/>
      <c r="E835" s="562">
        <v>923405577771</v>
      </c>
      <c r="F835" s="562" t="s">
        <v>6939</v>
      </c>
      <c r="G835" s="562" t="s">
        <v>10468</v>
      </c>
      <c r="H835" s="284"/>
      <c r="I835" s="562" t="s">
        <v>10469</v>
      </c>
      <c r="J835" s="284"/>
      <c r="K835" s="562">
        <v>2.0</v>
      </c>
      <c r="L835" s="284"/>
    </row>
    <row r="836">
      <c r="A836" s="571">
        <v>45665.0</v>
      </c>
      <c r="B836" s="563">
        <v>0.48344907407407406</v>
      </c>
      <c r="C836" s="562" t="s">
        <v>10470</v>
      </c>
      <c r="D836" s="284"/>
      <c r="E836" s="562">
        <v>923451088866</v>
      </c>
      <c r="F836" s="562" t="s">
        <v>6982</v>
      </c>
      <c r="G836" s="284"/>
      <c r="H836" s="562" t="s">
        <v>10471</v>
      </c>
      <c r="I836" s="562" t="s">
        <v>10472</v>
      </c>
      <c r="J836" s="284"/>
      <c r="K836" s="562">
        <v>2.0</v>
      </c>
      <c r="L836" s="562" t="s">
        <v>10473</v>
      </c>
    </row>
    <row r="837">
      <c r="A837" s="571">
        <v>45665.0</v>
      </c>
      <c r="B837" s="563">
        <v>0.5102430555555556</v>
      </c>
      <c r="C837" s="562" t="s">
        <v>10474</v>
      </c>
      <c r="D837" s="284"/>
      <c r="E837" s="562">
        <v>923149097044</v>
      </c>
      <c r="F837" s="562" t="s">
        <v>6939</v>
      </c>
      <c r="G837" s="284"/>
      <c r="H837" s="284"/>
      <c r="I837" s="562" t="s">
        <v>10475</v>
      </c>
      <c r="J837" s="562" t="s">
        <v>10476</v>
      </c>
      <c r="K837" s="562">
        <v>2.0</v>
      </c>
      <c r="L837" s="284"/>
    </row>
    <row r="838">
      <c r="A838" s="571">
        <v>45665.0</v>
      </c>
      <c r="B838" s="563">
        <v>0.564224537037037</v>
      </c>
      <c r="C838" s="562" t="s">
        <v>10477</v>
      </c>
      <c r="D838" s="284"/>
      <c r="E838" s="562">
        <v>923449215722</v>
      </c>
      <c r="F838" s="562" t="s">
        <v>6939</v>
      </c>
      <c r="G838" s="284"/>
      <c r="H838" s="284"/>
      <c r="I838" s="562" t="s">
        <v>10478</v>
      </c>
      <c r="J838" s="562" t="s">
        <v>10479</v>
      </c>
      <c r="K838" s="562">
        <v>2.0</v>
      </c>
      <c r="L838" s="284"/>
    </row>
    <row r="839">
      <c r="A839" s="571">
        <v>45665.0</v>
      </c>
      <c r="B839" s="563">
        <v>0.5910763888888889</v>
      </c>
      <c r="C839" s="562" t="s">
        <v>10480</v>
      </c>
      <c r="D839" s="284"/>
      <c r="E839" s="562">
        <v>923119333970</v>
      </c>
      <c r="F839" s="562" t="s">
        <v>7291</v>
      </c>
      <c r="G839" s="284"/>
      <c r="H839" s="562" t="s">
        <v>10481</v>
      </c>
      <c r="I839" s="284"/>
      <c r="J839" s="562" t="s">
        <v>10482</v>
      </c>
      <c r="K839" s="562">
        <v>2.0</v>
      </c>
      <c r="L839" s="562" t="s">
        <v>10220</v>
      </c>
    </row>
    <row r="840">
      <c r="A840" s="571">
        <v>45665.0</v>
      </c>
      <c r="B840" s="563">
        <v>0.6077314814814815</v>
      </c>
      <c r="C840" s="562" t="s">
        <v>10483</v>
      </c>
      <c r="D840" s="284"/>
      <c r="E840" s="562">
        <v>923233008613</v>
      </c>
      <c r="F840" s="562" t="s">
        <v>6939</v>
      </c>
      <c r="G840" s="284"/>
      <c r="H840" s="284"/>
      <c r="I840" s="284"/>
      <c r="J840" s="562" t="s">
        <v>10484</v>
      </c>
      <c r="K840" s="562">
        <v>1.0</v>
      </c>
      <c r="L840" s="284"/>
    </row>
    <row r="841">
      <c r="A841" s="571">
        <v>45665.0</v>
      </c>
      <c r="B841" s="563">
        <v>0.6079398148148148</v>
      </c>
      <c r="C841" s="562" t="s">
        <v>10485</v>
      </c>
      <c r="D841" s="284"/>
      <c r="E841" s="562">
        <v>923354280719</v>
      </c>
      <c r="F841" s="562" t="s">
        <v>7291</v>
      </c>
      <c r="G841" s="284"/>
      <c r="H841" s="562" t="s">
        <v>10486</v>
      </c>
      <c r="I841" s="284"/>
      <c r="J841" s="562" t="s">
        <v>10487</v>
      </c>
      <c r="K841" s="562">
        <v>2.0</v>
      </c>
      <c r="L841" s="562" t="s">
        <v>10220</v>
      </c>
    </row>
    <row r="842">
      <c r="A842" s="562" t="s">
        <v>10488</v>
      </c>
      <c r="B842" s="563">
        <v>0.5068865740740741</v>
      </c>
      <c r="C842" s="562" t="s">
        <v>10489</v>
      </c>
      <c r="D842" s="284"/>
      <c r="E842" s="562">
        <v>923215366403</v>
      </c>
      <c r="F842" s="562" t="s">
        <v>6982</v>
      </c>
      <c r="G842" s="284"/>
      <c r="H842" s="562" t="s">
        <v>10490</v>
      </c>
      <c r="I842" s="562" t="s">
        <v>10491</v>
      </c>
      <c r="J842" s="284"/>
      <c r="K842" s="562">
        <v>2.0</v>
      </c>
      <c r="L842" s="562" t="s">
        <v>10197</v>
      </c>
    </row>
    <row r="843">
      <c r="A843" s="562" t="s">
        <v>10488</v>
      </c>
      <c r="B843" s="563">
        <v>0.5180787037037037</v>
      </c>
      <c r="C843" s="562" t="s">
        <v>10492</v>
      </c>
      <c r="D843" s="284"/>
      <c r="E843" s="562">
        <v>923137430256</v>
      </c>
      <c r="F843" s="562" t="s">
        <v>6939</v>
      </c>
      <c r="G843" s="284"/>
      <c r="H843" s="562" t="s">
        <v>10493</v>
      </c>
      <c r="I843" s="562" t="s">
        <v>10494</v>
      </c>
      <c r="J843" s="284"/>
      <c r="K843" s="562">
        <v>2.0</v>
      </c>
      <c r="L843" s="562" t="s">
        <v>376</v>
      </c>
    </row>
    <row r="844">
      <c r="A844" s="562" t="s">
        <v>10488</v>
      </c>
      <c r="B844" s="563">
        <v>0.5652314814814815</v>
      </c>
      <c r="C844" s="562" t="s">
        <v>10495</v>
      </c>
      <c r="D844" s="284"/>
      <c r="E844" s="562">
        <v>923330247675</v>
      </c>
      <c r="F844" s="562" t="s">
        <v>6888</v>
      </c>
      <c r="G844" s="562" t="s">
        <v>10496</v>
      </c>
      <c r="H844" s="284"/>
      <c r="I844" s="562" t="s">
        <v>10497</v>
      </c>
      <c r="J844" s="284"/>
      <c r="K844" s="562">
        <v>2.0</v>
      </c>
      <c r="L844" s="284"/>
    </row>
    <row r="845">
      <c r="A845" s="562" t="s">
        <v>10488</v>
      </c>
      <c r="B845" s="563">
        <v>0.6549421296296296</v>
      </c>
      <c r="C845" s="562" t="s">
        <v>10498</v>
      </c>
      <c r="D845" s="284"/>
      <c r="E845" s="562">
        <v>923369991874</v>
      </c>
      <c r="F845" s="562" t="s">
        <v>6939</v>
      </c>
      <c r="G845" s="284"/>
      <c r="H845" s="562" t="s">
        <v>10499</v>
      </c>
      <c r="I845" s="284"/>
      <c r="J845" s="562" t="s">
        <v>10500</v>
      </c>
      <c r="K845" s="562">
        <v>2.0</v>
      </c>
      <c r="L845" s="284"/>
    </row>
    <row r="846">
      <c r="A846" s="562" t="s">
        <v>10488</v>
      </c>
      <c r="B846" s="563">
        <v>0.676886574074074</v>
      </c>
      <c r="C846" s="562" t="s">
        <v>10501</v>
      </c>
      <c r="D846" s="284"/>
      <c r="E846" s="562">
        <v>923216024249</v>
      </c>
      <c r="F846" s="562" t="s">
        <v>6875</v>
      </c>
      <c r="G846" s="284"/>
      <c r="H846" s="562" t="s">
        <v>10502</v>
      </c>
      <c r="I846" s="562" t="s">
        <v>10503</v>
      </c>
      <c r="J846" s="562" t="s">
        <v>10504</v>
      </c>
      <c r="K846" s="562">
        <v>3.0</v>
      </c>
      <c r="L846" s="562" t="s">
        <v>685</v>
      </c>
    </row>
    <row r="847">
      <c r="A847" s="562" t="s">
        <v>10488</v>
      </c>
      <c r="B847" s="563">
        <v>0.7034027777777778</v>
      </c>
      <c r="C847" s="562" t="s">
        <v>10505</v>
      </c>
      <c r="D847" s="284"/>
      <c r="E847" s="562">
        <v>923113942482</v>
      </c>
      <c r="F847" s="562" t="s">
        <v>7291</v>
      </c>
      <c r="G847" s="284"/>
      <c r="H847" s="284"/>
      <c r="I847" s="562" t="s">
        <v>10506</v>
      </c>
      <c r="J847" s="562" t="s">
        <v>10507</v>
      </c>
      <c r="K847" s="562">
        <v>2.0</v>
      </c>
      <c r="L847" s="562" t="s">
        <v>685</v>
      </c>
    </row>
    <row r="848">
      <c r="A848" s="562" t="s">
        <v>10488</v>
      </c>
      <c r="B848" s="563">
        <v>0.7282638888888889</v>
      </c>
      <c r="C848" s="562" t="s">
        <v>10508</v>
      </c>
      <c r="D848" s="284"/>
      <c r="E848" s="562">
        <v>923084181149</v>
      </c>
      <c r="F848" s="562" t="s">
        <v>6982</v>
      </c>
      <c r="G848" s="284"/>
      <c r="H848" s="562" t="s">
        <v>10509</v>
      </c>
      <c r="I848" s="562" t="s">
        <v>10510</v>
      </c>
      <c r="J848" s="562" t="s">
        <v>10511</v>
      </c>
      <c r="K848" s="562">
        <v>3.0</v>
      </c>
      <c r="L848" s="562" t="s">
        <v>1791</v>
      </c>
    </row>
    <row r="849">
      <c r="A849" s="562" t="s">
        <v>10488</v>
      </c>
      <c r="B849" s="563">
        <v>0.7305324074074074</v>
      </c>
      <c r="C849" s="562" t="s">
        <v>10512</v>
      </c>
      <c r="D849" s="284"/>
      <c r="E849" s="562">
        <v>923014531738</v>
      </c>
      <c r="F849" s="562" t="s">
        <v>7291</v>
      </c>
      <c r="G849" s="284"/>
      <c r="H849" s="284"/>
      <c r="I849" s="562" t="s">
        <v>10513</v>
      </c>
      <c r="J849" s="562" t="s">
        <v>10514</v>
      </c>
      <c r="K849" s="562">
        <v>2.0</v>
      </c>
      <c r="L849" s="562" t="s">
        <v>6918</v>
      </c>
    </row>
    <row r="850">
      <c r="A850" s="562" t="s">
        <v>10515</v>
      </c>
      <c r="B850" s="563">
        <v>0.42533564814814817</v>
      </c>
      <c r="C850" s="562" t="s">
        <v>10516</v>
      </c>
      <c r="D850" s="284"/>
      <c r="E850" s="562">
        <v>923498408196</v>
      </c>
      <c r="F850" s="562" t="s">
        <v>6875</v>
      </c>
      <c r="G850" s="284"/>
      <c r="H850" s="562" t="s">
        <v>10517</v>
      </c>
      <c r="I850" s="284"/>
      <c r="J850" s="284"/>
      <c r="K850" s="562">
        <v>1.0</v>
      </c>
      <c r="L850" s="562" t="s">
        <v>372</v>
      </c>
    </row>
    <row r="851">
      <c r="A851" s="562" t="s">
        <v>10515</v>
      </c>
      <c r="B851" s="563">
        <v>0.42550925925925925</v>
      </c>
      <c r="C851" s="562" t="s">
        <v>6280</v>
      </c>
      <c r="D851" s="284"/>
      <c r="E851" s="562">
        <v>923017015108</v>
      </c>
      <c r="F851" s="562" t="s">
        <v>6939</v>
      </c>
      <c r="G851" s="284"/>
      <c r="H851" s="562" t="s">
        <v>10518</v>
      </c>
      <c r="I851" s="562" t="s">
        <v>10519</v>
      </c>
      <c r="J851" s="284"/>
      <c r="K851" s="562">
        <v>2.0</v>
      </c>
      <c r="L851" s="284"/>
    </row>
    <row r="852">
      <c r="A852" s="562" t="s">
        <v>10515</v>
      </c>
      <c r="B852" s="563">
        <v>0.425787037037037</v>
      </c>
      <c r="C852" s="562" t="s">
        <v>10520</v>
      </c>
      <c r="D852" s="284"/>
      <c r="E852" s="562">
        <v>923209650047</v>
      </c>
      <c r="F852" s="562" t="s">
        <v>6939</v>
      </c>
      <c r="G852" s="284"/>
      <c r="H852" s="562" t="s">
        <v>10521</v>
      </c>
      <c r="I852" s="562" t="s">
        <v>10522</v>
      </c>
      <c r="J852" s="284"/>
      <c r="K852" s="562">
        <v>2.0</v>
      </c>
      <c r="L852" s="284"/>
    </row>
    <row r="853">
      <c r="A853" s="562" t="s">
        <v>10515</v>
      </c>
      <c r="B853" s="563">
        <v>0.42604166666666665</v>
      </c>
      <c r="C853" s="562" t="s">
        <v>10523</v>
      </c>
      <c r="D853" s="284"/>
      <c r="E853" s="562">
        <v>923041276116</v>
      </c>
      <c r="F853" s="562" t="s">
        <v>7291</v>
      </c>
      <c r="G853" s="284"/>
      <c r="H853" s="562" t="s">
        <v>10524</v>
      </c>
      <c r="I853" s="284"/>
      <c r="J853" s="284"/>
      <c r="K853" s="562">
        <v>1.0</v>
      </c>
      <c r="L853" s="562" t="s">
        <v>6944</v>
      </c>
    </row>
    <row r="854">
      <c r="A854" s="562" t="s">
        <v>10515</v>
      </c>
      <c r="B854" s="563">
        <v>0.42747685185185186</v>
      </c>
      <c r="C854" s="562" t="s">
        <v>10525</v>
      </c>
      <c r="D854" s="284"/>
      <c r="E854" s="562">
        <v>923315249776</v>
      </c>
      <c r="F854" s="562" t="s">
        <v>6875</v>
      </c>
      <c r="G854" s="284"/>
      <c r="H854" s="562" t="s">
        <v>10526</v>
      </c>
      <c r="I854" s="284"/>
      <c r="J854" s="284"/>
      <c r="K854" s="562">
        <v>1.0</v>
      </c>
      <c r="L854" s="562" t="s">
        <v>372</v>
      </c>
    </row>
    <row r="855">
      <c r="A855" s="562" t="s">
        <v>10515</v>
      </c>
      <c r="B855" s="563">
        <v>0.42766203703703703</v>
      </c>
      <c r="C855" s="562" t="s">
        <v>10527</v>
      </c>
      <c r="D855" s="284"/>
      <c r="E855" s="562">
        <v>923332008723</v>
      </c>
      <c r="F855" s="562" t="s">
        <v>6875</v>
      </c>
      <c r="G855" s="284"/>
      <c r="H855" s="562" t="s">
        <v>10528</v>
      </c>
      <c r="I855" s="284"/>
      <c r="J855" s="284"/>
      <c r="K855" s="562">
        <v>1.0</v>
      </c>
      <c r="L855" s="562" t="s">
        <v>7114</v>
      </c>
    </row>
    <row r="856">
      <c r="A856" s="562" t="s">
        <v>10515</v>
      </c>
      <c r="B856" s="563">
        <v>0.42777777777777776</v>
      </c>
      <c r="C856" s="562" t="s">
        <v>10529</v>
      </c>
      <c r="D856" s="284"/>
      <c r="E856" s="562">
        <v>923449571573</v>
      </c>
      <c r="F856" s="562" t="s">
        <v>6875</v>
      </c>
      <c r="G856" s="284"/>
      <c r="H856" s="562" t="s">
        <v>10530</v>
      </c>
      <c r="I856" s="284"/>
      <c r="J856" s="284"/>
      <c r="K856" s="562">
        <v>1.0</v>
      </c>
      <c r="L856" s="562" t="s">
        <v>372</v>
      </c>
    </row>
    <row r="857">
      <c r="A857" s="562" t="s">
        <v>10515</v>
      </c>
      <c r="B857" s="563">
        <v>0.4279398148148148</v>
      </c>
      <c r="C857" s="562" t="s">
        <v>10531</v>
      </c>
      <c r="D857" s="284"/>
      <c r="E857" s="562">
        <v>923453596299</v>
      </c>
      <c r="F857" s="562" t="s">
        <v>6939</v>
      </c>
      <c r="G857" s="284"/>
      <c r="H857" s="562" t="s">
        <v>10532</v>
      </c>
      <c r="I857" s="562" t="s">
        <v>10533</v>
      </c>
      <c r="J857" s="284"/>
      <c r="K857" s="562">
        <v>2.0</v>
      </c>
      <c r="L857" s="284"/>
    </row>
    <row r="858">
      <c r="A858" s="562" t="s">
        <v>10515</v>
      </c>
      <c r="B858" s="563">
        <v>0.4280439814814815</v>
      </c>
      <c r="C858" s="562" t="s">
        <v>10534</v>
      </c>
      <c r="D858" s="284"/>
      <c r="E858" s="562">
        <v>923222206708</v>
      </c>
      <c r="F858" s="562" t="s">
        <v>6939</v>
      </c>
      <c r="G858" s="284"/>
      <c r="H858" s="562" t="s">
        <v>10535</v>
      </c>
      <c r="I858" s="562" t="s">
        <v>10536</v>
      </c>
      <c r="J858" s="284"/>
      <c r="K858" s="562">
        <v>2.0</v>
      </c>
      <c r="L858" s="284"/>
    </row>
    <row r="859">
      <c r="A859" s="562" t="s">
        <v>10515</v>
      </c>
      <c r="B859" s="563">
        <v>0.4281597222222222</v>
      </c>
      <c r="C859" s="562" t="s">
        <v>10537</v>
      </c>
      <c r="D859" s="284"/>
      <c r="E859" s="562">
        <v>923010980947</v>
      </c>
      <c r="F859" s="562" t="s">
        <v>6875</v>
      </c>
      <c r="G859" s="284"/>
      <c r="H859" s="562" t="s">
        <v>10538</v>
      </c>
      <c r="I859" s="284"/>
      <c r="J859" s="284"/>
      <c r="K859" s="562">
        <v>1.0</v>
      </c>
      <c r="L859" s="562" t="s">
        <v>372</v>
      </c>
    </row>
    <row r="860">
      <c r="A860" s="562" t="s">
        <v>10515</v>
      </c>
      <c r="B860" s="563">
        <v>0.42975694444444446</v>
      </c>
      <c r="C860" s="562" t="s">
        <v>10539</v>
      </c>
      <c r="D860" s="284"/>
      <c r="E860" s="562">
        <v>923144088589</v>
      </c>
      <c r="F860" s="562" t="s">
        <v>7291</v>
      </c>
      <c r="G860" s="284"/>
      <c r="H860" s="562" t="s">
        <v>10540</v>
      </c>
      <c r="I860" s="284"/>
      <c r="J860" s="284"/>
      <c r="K860" s="562">
        <v>1.0</v>
      </c>
      <c r="L860" s="562" t="s">
        <v>6944</v>
      </c>
    </row>
    <row r="861">
      <c r="A861" s="562" t="s">
        <v>10515</v>
      </c>
      <c r="B861" s="563">
        <v>0.42988425925925927</v>
      </c>
      <c r="C861" s="562" t="s">
        <v>10541</v>
      </c>
      <c r="D861" s="284"/>
      <c r="E861" s="562">
        <v>923147622162</v>
      </c>
      <c r="F861" s="562" t="s">
        <v>6939</v>
      </c>
      <c r="G861" s="284"/>
      <c r="H861" s="562" t="s">
        <v>10542</v>
      </c>
      <c r="I861" s="562" t="s">
        <v>10543</v>
      </c>
      <c r="J861" s="284"/>
      <c r="K861" s="562">
        <v>2.0</v>
      </c>
      <c r="L861" s="284"/>
    </row>
    <row r="862">
      <c r="A862" s="562" t="s">
        <v>10515</v>
      </c>
      <c r="B862" s="563">
        <v>0.43024305555555553</v>
      </c>
      <c r="C862" s="562" t="s">
        <v>10544</v>
      </c>
      <c r="D862" s="284"/>
      <c r="E862" s="562">
        <v>923334565722</v>
      </c>
      <c r="F862" s="562" t="s">
        <v>6875</v>
      </c>
      <c r="G862" s="284"/>
      <c r="H862" s="284"/>
      <c r="I862" s="562" t="s">
        <v>10545</v>
      </c>
      <c r="J862" s="284"/>
      <c r="K862" s="562">
        <v>1.0</v>
      </c>
      <c r="L862" s="562" t="s">
        <v>372</v>
      </c>
    </row>
    <row r="863">
      <c r="A863" s="562" t="s">
        <v>10515</v>
      </c>
      <c r="B863" s="563">
        <v>0.4303472222222222</v>
      </c>
      <c r="C863" s="562" t="s">
        <v>10546</v>
      </c>
      <c r="D863" s="284"/>
      <c r="E863" s="562">
        <v>923343352472</v>
      </c>
      <c r="F863" s="562" t="s">
        <v>7291</v>
      </c>
      <c r="G863" s="284"/>
      <c r="H863" s="284"/>
      <c r="I863" s="562" t="s">
        <v>10547</v>
      </c>
      <c r="J863" s="284"/>
      <c r="K863" s="562">
        <v>1.0</v>
      </c>
      <c r="L863" s="562" t="s">
        <v>6944</v>
      </c>
    </row>
    <row r="864">
      <c r="A864" s="562" t="s">
        <v>10515</v>
      </c>
      <c r="B864" s="563">
        <v>0.5072222222222222</v>
      </c>
      <c r="C864" s="562" t="s">
        <v>10548</v>
      </c>
      <c r="D864" s="284"/>
      <c r="E864" s="562">
        <v>923297597502</v>
      </c>
      <c r="F864" s="562" t="s">
        <v>6939</v>
      </c>
      <c r="G864" s="284"/>
      <c r="H864" s="562" t="s">
        <v>10549</v>
      </c>
      <c r="I864" s="562" t="s">
        <v>10550</v>
      </c>
      <c r="J864" s="284"/>
      <c r="K864" s="562">
        <v>2.0</v>
      </c>
      <c r="L864" s="284"/>
    </row>
    <row r="865">
      <c r="A865" s="562" t="s">
        <v>10515</v>
      </c>
      <c r="B865" s="563">
        <v>0.532962962962963</v>
      </c>
      <c r="C865" s="562" t="s">
        <v>10551</v>
      </c>
      <c r="D865" s="284"/>
      <c r="E865" s="562">
        <v>923142135376</v>
      </c>
      <c r="F865" s="562" t="s">
        <v>9302</v>
      </c>
      <c r="G865" s="284"/>
      <c r="H865" s="284"/>
      <c r="I865" s="562" t="s">
        <v>10552</v>
      </c>
      <c r="J865" s="284"/>
      <c r="K865" s="562">
        <v>1.0</v>
      </c>
      <c r="L865" s="562" t="s">
        <v>5033</v>
      </c>
    </row>
    <row r="866">
      <c r="A866" s="562" t="s">
        <v>10553</v>
      </c>
      <c r="B866" s="563">
        <v>0.4729976851851852</v>
      </c>
      <c r="C866" s="562" t="s">
        <v>10554</v>
      </c>
      <c r="D866" s="284"/>
      <c r="E866" s="562">
        <v>923054123400</v>
      </c>
      <c r="F866" s="562" t="s">
        <v>7291</v>
      </c>
      <c r="G866" s="284"/>
      <c r="H866" s="284"/>
      <c r="I866" s="562" t="s">
        <v>10555</v>
      </c>
      <c r="J866" s="284"/>
      <c r="K866" s="562">
        <v>1.0</v>
      </c>
      <c r="L866" s="284"/>
    </row>
    <row r="867">
      <c r="A867" s="562" t="s">
        <v>10553</v>
      </c>
      <c r="B867" s="563">
        <v>0.5342708333333334</v>
      </c>
      <c r="C867" s="562" t="s">
        <v>10556</v>
      </c>
      <c r="D867" s="284"/>
      <c r="E867" s="562">
        <v>923325510120</v>
      </c>
      <c r="F867" s="562" t="s">
        <v>7291</v>
      </c>
      <c r="G867" s="284"/>
      <c r="H867" s="284"/>
      <c r="I867" s="562" t="s">
        <v>10557</v>
      </c>
      <c r="J867" s="284"/>
      <c r="K867" s="562">
        <v>1.0</v>
      </c>
      <c r="L867" s="562" t="s">
        <v>703</v>
      </c>
    </row>
    <row r="868">
      <c r="A868" s="562" t="s">
        <v>10558</v>
      </c>
      <c r="B868" s="563">
        <v>0.40174768518518517</v>
      </c>
      <c r="C868" s="562" t="s">
        <v>10559</v>
      </c>
      <c r="D868" s="284"/>
      <c r="E868" s="562">
        <v>923052471118</v>
      </c>
      <c r="F868" s="284" t="s">
        <v>6939</v>
      </c>
      <c r="G868" s="284"/>
      <c r="H868" s="284"/>
      <c r="I868" s="284"/>
      <c r="J868" s="284"/>
      <c r="K868" s="562">
        <v>0.0</v>
      </c>
      <c r="L868" s="284"/>
    </row>
    <row r="869">
      <c r="A869" s="562" t="s">
        <v>10558</v>
      </c>
      <c r="B869" s="563">
        <v>0.401875</v>
      </c>
      <c r="C869" s="562" t="s">
        <v>10560</v>
      </c>
      <c r="D869" s="284"/>
      <c r="E869" s="562">
        <v>923129008689</v>
      </c>
      <c r="F869" s="284" t="s">
        <v>6939</v>
      </c>
      <c r="G869" s="284"/>
      <c r="H869" s="284"/>
      <c r="I869" s="284"/>
      <c r="J869" s="284"/>
      <c r="K869" s="562">
        <v>0.0</v>
      </c>
      <c r="L869" s="284"/>
    </row>
    <row r="870">
      <c r="A870" s="562" t="s">
        <v>10558</v>
      </c>
      <c r="B870" s="563">
        <v>0.4024652777777778</v>
      </c>
      <c r="C870" s="562" t="s">
        <v>10561</v>
      </c>
      <c r="D870" s="284"/>
      <c r="E870" s="562">
        <v>923066498106</v>
      </c>
      <c r="F870" s="284" t="s">
        <v>6939</v>
      </c>
      <c r="G870" s="284"/>
      <c r="H870" s="284"/>
      <c r="I870" s="284"/>
      <c r="J870" s="284"/>
      <c r="K870" s="562">
        <v>0.0</v>
      </c>
      <c r="L870" s="284"/>
    </row>
    <row r="871">
      <c r="A871" s="562" t="s">
        <v>10558</v>
      </c>
      <c r="B871" s="563">
        <v>0.40261574074074075</v>
      </c>
      <c r="C871" s="562" t="s">
        <v>10562</v>
      </c>
      <c r="D871" s="284"/>
      <c r="E871" s="562">
        <v>923474753872</v>
      </c>
      <c r="F871" s="284" t="s">
        <v>6939</v>
      </c>
      <c r="G871" s="284"/>
      <c r="H871" s="284"/>
      <c r="I871" s="284"/>
      <c r="J871" s="284"/>
      <c r="K871" s="562">
        <v>0.0</v>
      </c>
      <c r="L871" s="284"/>
    </row>
    <row r="872">
      <c r="A872" s="562" t="s">
        <v>10558</v>
      </c>
      <c r="B872" s="563">
        <v>0.40282407407407406</v>
      </c>
      <c r="C872" s="562" t="s">
        <v>10563</v>
      </c>
      <c r="D872" s="284"/>
      <c r="E872" s="562">
        <v>923137902119</v>
      </c>
      <c r="F872" s="284" t="s">
        <v>6939</v>
      </c>
      <c r="G872" s="284"/>
      <c r="H872" s="284"/>
      <c r="I872" s="284"/>
      <c r="J872" s="284"/>
      <c r="K872" s="562">
        <v>0.0</v>
      </c>
      <c r="L872" s="284"/>
    </row>
    <row r="873">
      <c r="A873" s="562" t="s">
        <v>10558</v>
      </c>
      <c r="B873" s="563">
        <v>0.40297453703703706</v>
      </c>
      <c r="C873" s="562" t="s">
        <v>10564</v>
      </c>
      <c r="D873" s="284"/>
      <c r="E873" s="562">
        <v>923212070979</v>
      </c>
      <c r="F873" s="284" t="s">
        <v>6939</v>
      </c>
      <c r="G873" s="284"/>
      <c r="H873" s="284"/>
      <c r="I873" s="284"/>
      <c r="J873" s="284"/>
      <c r="K873" s="562">
        <v>0.0</v>
      </c>
      <c r="L873" s="284"/>
    </row>
    <row r="874">
      <c r="A874" s="562" t="s">
        <v>10558</v>
      </c>
      <c r="B874" s="563">
        <v>0.4030787037037037</v>
      </c>
      <c r="C874" s="562" t="s">
        <v>10565</v>
      </c>
      <c r="D874" s="284"/>
      <c r="E874" s="562">
        <v>923169885392</v>
      </c>
      <c r="F874" s="284" t="s">
        <v>6939</v>
      </c>
      <c r="G874" s="284"/>
      <c r="H874" s="284"/>
      <c r="I874" s="284"/>
      <c r="J874" s="284"/>
      <c r="K874" s="562">
        <v>0.0</v>
      </c>
      <c r="L874" s="284"/>
    </row>
    <row r="875">
      <c r="A875" s="562" t="s">
        <v>10558</v>
      </c>
      <c r="B875" s="563">
        <v>0.40319444444444447</v>
      </c>
      <c r="C875" s="562" t="s">
        <v>10566</v>
      </c>
      <c r="D875" s="284"/>
      <c r="E875" s="562">
        <v>923498907845</v>
      </c>
      <c r="F875" s="284" t="s">
        <v>6939</v>
      </c>
      <c r="G875" s="284"/>
      <c r="H875" s="284"/>
      <c r="I875" s="284"/>
      <c r="J875" s="284"/>
      <c r="K875" s="562">
        <v>0.0</v>
      </c>
      <c r="L875" s="284"/>
    </row>
    <row r="876">
      <c r="A876" s="562" t="s">
        <v>10558</v>
      </c>
      <c r="B876" s="563">
        <v>0.4032986111111111</v>
      </c>
      <c r="C876" s="562" t="s">
        <v>10567</v>
      </c>
      <c r="D876" s="284"/>
      <c r="E876" s="562">
        <v>923170007500</v>
      </c>
      <c r="F876" s="284" t="s">
        <v>6939</v>
      </c>
      <c r="G876" s="284"/>
      <c r="H876" s="284"/>
      <c r="I876" s="284"/>
      <c r="J876" s="284"/>
      <c r="K876" s="562">
        <v>0.0</v>
      </c>
      <c r="L876" s="284"/>
    </row>
    <row r="877">
      <c r="A877" s="562" t="s">
        <v>10558</v>
      </c>
      <c r="B877" s="563">
        <v>0.4038310185185185</v>
      </c>
      <c r="C877" s="562" t="s">
        <v>10568</v>
      </c>
      <c r="D877" s="284"/>
      <c r="E877" s="562">
        <v>923004182529</v>
      </c>
      <c r="F877" s="284" t="s">
        <v>6939</v>
      </c>
      <c r="G877" s="284"/>
      <c r="H877" s="284"/>
      <c r="I877" s="284"/>
      <c r="J877" s="284"/>
      <c r="K877" s="562">
        <v>0.0</v>
      </c>
      <c r="L877" s="284"/>
    </row>
  </sheetData>
  <dataValidations>
    <dataValidation type="list" allowBlank="1" showErrorMessage="1" sqref="F2:F877">
      <formula1>"Call Received,Not Received,Call Later,Client Lost,Confirmation,Paid,Demo,Form Filled"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581" t="s">
        <v>6864</v>
      </c>
      <c r="B1" s="581" t="s">
        <v>6865</v>
      </c>
      <c r="C1" s="581" t="s">
        <v>0</v>
      </c>
      <c r="D1" s="581" t="s">
        <v>6866</v>
      </c>
      <c r="E1" s="581" t="s">
        <v>1</v>
      </c>
      <c r="F1" s="581" t="s">
        <v>4</v>
      </c>
      <c r="G1" s="581" t="s">
        <v>6867</v>
      </c>
      <c r="H1" s="581" t="s">
        <v>6868</v>
      </c>
      <c r="I1" s="581" t="s">
        <v>6869</v>
      </c>
      <c r="J1" s="581" t="s">
        <v>6870</v>
      </c>
      <c r="K1" s="581" t="s">
        <v>6871</v>
      </c>
      <c r="L1" s="581" t="s">
        <v>6872</v>
      </c>
    </row>
    <row r="2" ht="22.5" customHeight="1">
      <c r="A2" s="582" t="s">
        <v>10488</v>
      </c>
      <c r="B2" s="583">
        <v>0.5068865740740741</v>
      </c>
      <c r="C2" s="584" t="s">
        <v>7296</v>
      </c>
      <c r="D2" s="197"/>
      <c r="E2" s="584">
        <v>923215366403</v>
      </c>
      <c r="F2" s="585" t="s">
        <v>6939</v>
      </c>
      <c r="G2" s="197"/>
      <c r="H2" s="584" t="s">
        <v>10569</v>
      </c>
      <c r="I2" s="584" t="s">
        <v>10491</v>
      </c>
      <c r="J2" s="197"/>
      <c r="K2" s="584">
        <v>2.0</v>
      </c>
      <c r="L2" s="586" t="s">
        <v>10570</v>
      </c>
    </row>
    <row r="3" ht="22.5" customHeight="1">
      <c r="A3" s="587" t="s">
        <v>10488</v>
      </c>
      <c r="B3" s="588">
        <v>0.5180787037037037</v>
      </c>
      <c r="C3" s="589" t="s">
        <v>6874</v>
      </c>
      <c r="D3" s="590"/>
      <c r="E3" s="589">
        <v>923137430256</v>
      </c>
      <c r="F3" s="591" t="s">
        <v>6939</v>
      </c>
      <c r="G3" s="589" t="s">
        <v>10571</v>
      </c>
      <c r="H3" s="589" t="s">
        <v>10572</v>
      </c>
      <c r="I3" s="589" t="s">
        <v>10573</v>
      </c>
      <c r="J3" s="589" t="s">
        <v>10574</v>
      </c>
      <c r="K3" s="589">
        <v>4.0</v>
      </c>
      <c r="L3" s="592" t="s">
        <v>376</v>
      </c>
    </row>
    <row r="4" ht="22.5" customHeight="1">
      <c r="A4" s="582" t="s">
        <v>10488</v>
      </c>
      <c r="B4" s="583">
        <v>0.5652314814814815</v>
      </c>
      <c r="C4" s="584" t="s">
        <v>10575</v>
      </c>
      <c r="D4" s="197"/>
      <c r="E4" s="584">
        <v>923330247675</v>
      </c>
      <c r="F4" s="593" t="s">
        <v>6888</v>
      </c>
      <c r="G4" s="584" t="s">
        <v>10496</v>
      </c>
      <c r="H4" s="197"/>
      <c r="I4" s="584" t="s">
        <v>10497</v>
      </c>
      <c r="J4" s="197"/>
      <c r="K4" s="584">
        <v>2.0</v>
      </c>
      <c r="L4" s="147"/>
    </row>
    <row r="5" ht="22.5" customHeight="1">
      <c r="A5" s="587" t="s">
        <v>10488</v>
      </c>
      <c r="B5" s="588">
        <v>0.6549421296296296</v>
      </c>
      <c r="C5" s="589" t="s">
        <v>10576</v>
      </c>
      <c r="D5" s="590"/>
      <c r="E5" s="594">
        <v>923369991874</v>
      </c>
      <c r="F5" s="595" t="s">
        <v>6875</v>
      </c>
      <c r="G5" s="590"/>
      <c r="H5" s="589" t="s">
        <v>10499</v>
      </c>
      <c r="I5" s="589" t="s">
        <v>10577</v>
      </c>
      <c r="J5" s="589" t="s">
        <v>10500</v>
      </c>
      <c r="K5" s="589">
        <v>3.0</v>
      </c>
      <c r="L5" s="592" t="s">
        <v>152</v>
      </c>
    </row>
    <row r="6" ht="22.5" customHeight="1">
      <c r="A6" s="582" t="s">
        <v>10488</v>
      </c>
      <c r="B6" s="583">
        <v>0.676886574074074</v>
      </c>
      <c r="C6" s="584" t="s">
        <v>6898</v>
      </c>
      <c r="D6" s="197"/>
      <c r="E6" s="584">
        <v>9.23343039859E11</v>
      </c>
      <c r="F6" s="593" t="s">
        <v>6888</v>
      </c>
      <c r="G6" s="197"/>
      <c r="H6" s="584" t="s">
        <v>10502</v>
      </c>
      <c r="I6" s="584" t="s">
        <v>10578</v>
      </c>
      <c r="J6" s="584" t="s">
        <v>10504</v>
      </c>
      <c r="K6" s="584">
        <v>3.0</v>
      </c>
      <c r="L6" s="586" t="s">
        <v>685</v>
      </c>
    </row>
    <row r="7" ht="22.5" customHeight="1">
      <c r="A7" s="587" t="s">
        <v>10488</v>
      </c>
      <c r="B7" s="588">
        <v>0.7034027777777778</v>
      </c>
      <c r="C7" s="589" t="s">
        <v>6901</v>
      </c>
      <c r="D7" s="590"/>
      <c r="E7" s="594">
        <v>923113942482</v>
      </c>
      <c r="F7" s="595" t="s">
        <v>6875</v>
      </c>
      <c r="G7" s="589" t="s">
        <v>10579</v>
      </c>
      <c r="H7" s="589" t="s">
        <v>10580</v>
      </c>
      <c r="I7" s="589" t="s">
        <v>10506</v>
      </c>
      <c r="J7" s="589" t="s">
        <v>10507</v>
      </c>
      <c r="K7" s="589">
        <v>4.0</v>
      </c>
      <c r="L7" s="592" t="s">
        <v>51</v>
      </c>
    </row>
    <row r="8" ht="22.5" customHeight="1">
      <c r="A8" s="582" t="s">
        <v>10488</v>
      </c>
      <c r="B8" s="583">
        <v>0.7282638888888889</v>
      </c>
      <c r="C8" s="584" t="s">
        <v>10508</v>
      </c>
      <c r="D8" s="197"/>
      <c r="E8" s="584">
        <v>923084181149</v>
      </c>
      <c r="F8" s="596" t="s">
        <v>6982</v>
      </c>
      <c r="G8" s="197"/>
      <c r="H8" s="584" t="s">
        <v>10509</v>
      </c>
      <c r="I8" s="584" t="s">
        <v>10510</v>
      </c>
      <c r="J8" s="584" t="s">
        <v>10511</v>
      </c>
      <c r="K8" s="584">
        <v>3.0</v>
      </c>
      <c r="L8" s="586" t="s">
        <v>1791</v>
      </c>
    </row>
    <row r="9" ht="22.5" customHeight="1">
      <c r="A9" s="587" t="s">
        <v>10488</v>
      </c>
      <c r="B9" s="588">
        <v>0.7305324074074074</v>
      </c>
      <c r="C9" s="589" t="s">
        <v>6904</v>
      </c>
      <c r="D9" s="590"/>
      <c r="E9" s="594">
        <v>923014531738</v>
      </c>
      <c r="F9" s="595" t="s">
        <v>6875</v>
      </c>
      <c r="G9" s="589" t="s">
        <v>10581</v>
      </c>
      <c r="H9" s="589" t="s">
        <v>10582</v>
      </c>
      <c r="I9" s="589" t="s">
        <v>10513</v>
      </c>
      <c r="J9" s="589" t="s">
        <v>10514</v>
      </c>
      <c r="K9" s="589">
        <v>4.0</v>
      </c>
      <c r="L9" s="592" t="s">
        <v>7851</v>
      </c>
    </row>
    <row r="10" ht="22.5" customHeight="1">
      <c r="A10" s="582" t="s">
        <v>10515</v>
      </c>
      <c r="B10" s="583">
        <v>0.42533564814814817</v>
      </c>
      <c r="C10" s="584" t="s">
        <v>10516</v>
      </c>
      <c r="D10" s="197"/>
      <c r="E10" s="597">
        <v>923498408196</v>
      </c>
      <c r="F10" s="598" t="s">
        <v>6875</v>
      </c>
      <c r="G10" s="197"/>
      <c r="H10" s="584" t="s">
        <v>10517</v>
      </c>
      <c r="I10" s="197"/>
      <c r="J10" s="197"/>
      <c r="K10" s="584">
        <v>1.0</v>
      </c>
      <c r="L10" s="586" t="s">
        <v>372</v>
      </c>
    </row>
    <row r="11" ht="22.5" customHeight="1">
      <c r="A11" s="587" t="s">
        <v>10515</v>
      </c>
      <c r="B11" s="588">
        <v>0.42550925925925925</v>
      </c>
      <c r="C11" s="589" t="s">
        <v>6280</v>
      </c>
      <c r="D11" s="590"/>
      <c r="E11" s="589">
        <f>923290862474</f>
        <v>923290862474</v>
      </c>
      <c r="F11" s="591" t="s">
        <v>6939</v>
      </c>
      <c r="G11" s="589" t="s">
        <v>10583</v>
      </c>
      <c r="H11" s="589" t="s">
        <v>10584</v>
      </c>
      <c r="I11" s="589" t="s">
        <v>10585</v>
      </c>
      <c r="J11" s="589" t="s">
        <v>10586</v>
      </c>
      <c r="K11" s="589">
        <v>4.0</v>
      </c>
      <c r="L11" s="599"/>
    </row>
    <row r="12" ht="22.5" customHeight="1">
      <c r="A12" s="582" t="s">
        <v>10515</v>
      </c>
      <c r="B12" s="583">
        <v>0.425787037037037</v>
      </c>
      <c r="C12" s="584" t="s">
        <v>10587</v>
      </c>
      <c r="D12" s="197"/>
      <c r="E12" s="584">
        <v>923209650047</v>
      </c>
      <c r="F12" s="585" t="s">
        <v>6939</v>
      </c>
      <c r="G12" s="584" t="s">
        <v>10588</v>
      </c>
      <c r="H12" s="584" t="s">
        <v>10589</v>
      </c>
      <c r="I12" s="584" t="s">
        <v>10590</v>
      </c>
      <c r="J12" s="197"/>
      <c r="K12" s="584">
        <v>3.0</v>
      </c>
      <c r="L12" s="586" t="s">
        <v>10591</v>
      </c>
    </row>
    <row r="13" ht="22.5" customHeight="1">
      <c r="A13" s="587" t="s">
        <v>10515</v>
      </c>
      <c r="B13" s="588">
        <v>0.42604166666666665</v>
      </c>
      <c r="C13" s="589" t="s">
        <v>6920</v>
      </c>
      <c r="D13" s="590"/>
      <c r="E13" s="589">
        <v>923041276116</v>
      </c>
      <c r="F13" s="591" t="s">
        <v>6939</v>
      </c>
      <c r="G13" s="589" t="s">
        <v>10592</v>
      </c>
      <c r="H13" s="589" t="s">
        <v>10524</v>
      </c>
      <c r="I13" s="589" t="s">
        <v>10593</v>
      </c>
      <c r="J13" s="589" t="s">
        <v>10594</v>
      </c>
      <c r="K13" s="589">
        <v>4.0</v>
      </c>
      <c r="L13" s="592" t="s">
        <v>685</v>
      </c>
    </row>
    <row r="14" ht="22.5" customHeight="1">
      <c r="A14" s="582" t="s">
        <v>10515</v>
      </c>
      <c r="B14" s="583">
        <v>0.42747685185185186</v>
      </c>
      <c r="C14" s="584" t="s">
        <v>10595</v>
      </c>
      <c r="D14" s="197"/>
      <c r="E14" s="597">
        <v>923315249776</v>
      </c>
      <c r="F14" s="598" t="s">
        <v>6875</v>
      </c>
      <c r="G14" s="197"/>
      <c r="H14" s="584" t="s">
        <v>10526</v>
      </c>
      <c r="I14" s="197"/>
      <c r="J14" s="197"/>
      <c r="K14" s="584">
        <v>1.0</v>
      </c>
      <c r="L14" s="586" t="s">
        <v>372</v>
      </c>
    </row>
    <row r="15" ht="22.5" customHeight="1">
      <c r="A15" s="587" t="s">
        <v>10515</v>
      </c>
      <c r="B15" s="588">
        <v>0.42766203703703703</v>
      </c>
      <c r="C15" s="589" t="s">
        <v>10596</v>
      </c>
      <c r="D15" s="590"/>
      <c r="E15" s="589">
        <f>923100445814</f>
        <v>923100445814</v>
      </c>
      <c r="F15" s="600" t="s">
        <v>6982</v>
      </c>
      <c r="G15" s="590"/>
      <c r="H15" s="589" t="s">
        <v>10524</v>
      </c>
      <c r="I15" s="589" t="s">
        <v>10597</v>
      </c>
      <c r="J15" s="590"/>
      <c r="K15" s="589">
        <v>2.0</v>
      </c>
      <c r="L15" s="592" t="s">
        <v>10598</v>
      </c>
    </row>
    <row r="16" ht="22.5" customHeight="1">
      <c r="A16" s="582" t="s">
        <v>10515</v>
      </c>
      <c r="B16" s="583">
        <v>0.42777777777777776</v>
      </c>
      <c r="C16" s="584" t="s">
        <v>10599</v>
      </c>
      <c r="D16" s="197"/>
      <c r="E16" s="597">
        <v>923449571573</v>
      </c>
      <c r="F16" s="598" t="s">
        <v>6875</v>
      </c>
      <c r="G16" s="197"/>
      <c r="H16" s="584" t="s">
        <v>10530</v>
      </c>
      <c r="I16" s="197"/>
      <c r="J16" s="197"/>
      <c r="K16" s="584">
        <v>1.0</v>
      </c>
      <c r="L16" s="586" t="s">
        <v>372</v>
      </c>
    </row>
    <row r="17" ht="22.5" customHeight="1">
      <c r="A17" s="587" t="s">
        <v>10515</v>
      </c>
      <c r="B17" s="588">
        <v>0.4279398148148148</v>
      </c>
      <c r="C17" s="589" t="s">
        <v>6933</v>
      </c>
      <c r="D17" s="590"/>
      <c r="E17" s="589">
        <v>923453596299</v>
      </c>
      <c r="F17" s="591" t="s">
        <v>6939</v>
      </c>
      <c r="G17" s="589" t="s">
        <v>10600</v>
      </c>
      <c r="H17" s="589" t="s">
        <v>10601</v>
      </c>
      <c r="I17" s="589" t="s">
        <v>10602</v>
      </c>
      <c r="J17" s="589" t="s">
        <v>10603</v>
      </c>
      <c r="K17" s="589">
        <v>4.0</v>
      </c>
      <c r="L17" s="592" t="s">
        <v>376</v>
      </c>
    </row>
    <row r="18" ht="22.5" customHeight="1">
      <c r="A18" s="582" t="s">
        <v>10515</v>
      </c>
      <c r="B18" s="583">
        <v>0.4280439814814815</v>
      </c>
      <c r="C18" s="584" t="s">
        <v>10604</v>
      </c>
      <c r="D18" s="197"/>
      <c r="E18" s="597">
        <v>923222206708</v>
      </c>
      <c r="F18" s="598" t="s">
        <v>6875</v>
      </c>
      <c r="G18" s="584" t="s">
        <v>10605</v>
      </c>
      <c r="H18" s="584" t="s">
        <v>10535</v>
      </c>
      <c r="I18" s="584" t="s">
        <v>10536</v>
      </c>
      <c r="J18" s="584" t="s">
        <v>10606</v>
      </c>
      <c r="K18" s="584">
        <v>4.0</v>
      </c>
      <c r="L18" s="586" t="s">
        <v>674</v>
      </c>
    </row>
    <row r="19" ht="22.5" customHeight="1">
      <c r="A19" s="587" t="s">
        <v>10515</v>
      </c>
      <c r="B19" s="588">
        <v>0.4281597222222222</v>
      </c>
      <c r="C19" s="601" t="s">
        <v>10607</v>
      </c>
      <c r="D19" s="590"/>
      <c r="E19" s="589">
        <f>923335252672</f>
        <v>923335252672</v>
      </c>
      <c r="F19" s="602" t="s">
        <v>6888</v>
      </c>
      <c r="G19" s="590"/>
      <c r="H19" s="589" t="s">
        <v>10524</v>
      </c>
      <c r="I19" s="589" t="s">
        <v>10608</v>
      </c>
      <c r="J19" s="590"/>
      <c r="K19" s="589">
        <v>2.0</v>
      </c>
      <c r="L19" s="592" t="s">
        <v>10609</v>
      </c>
    </row>
    <row r="20" ht="22.5" customHeight="1">
      <c r="A20" s="582" t="s">
        <v>10515</v>
      </c>
      <c r="B20" s="583">
        <v>0.42975694444444446</v>
      </c>
      <c r="C20" s="584" t="s">
        <v>10610</v>
      </c>
      <c r="D20" s="197"/>
      <c r="E20" s="584">
        <v>923144088589</v>
      </c>
      <c r="F20" s="603" t="s">
        <v>7291</v>
      </c>
      <c r="G20" s="584" t="s">
        <v>10611</v>
      </c>
      <c r="H20" s="584" t="s">
        <v>10540</v>
      </c>
      <c r="I20" s="584" t="s">
        <v>10612</v>
      </c>
      <c r="J20" s="197"/>
      <c r="K20" s="584">
        <v>2.0</v>
      </c>
      <c r="L20" s="586" t="s">
        <v>9834</v>
      </c>
    </row>
    <row r="21" ht="22.5" customHeight="1">
      <c r="A21" s="587" t="s">
        <v>10515</v>
      </c>
      <c r="B21" s="588">
        <v>0.42988425925925927</v>
      </c>
      <c r="C21" s="589" t="s">
        <v>10613</v>
      </c>
      <c r="D21" s="590"/>
      <c r="E21" s="594">
        <v>923147622162</v>
      </c>
      <c r="F21" s="595" t="s">
        <v>6875</v>
      </c>
      <c r="G21" s="589" t="s">
        <v>10614</v>
      </c>
      <c r="H21" s="589" t="s">
        <v>10542</v>
      </c>
      <c r="I21" s="589" t="s">
        <v>10543</v>
      </c>
      <c r="J21" s="590"/>
      <c r="K21" s="589">
        <v>3.0</v>
      </c>
      <c r="L21" s="599"/>
    </row>
    <row r="22" ht="22.5" customHeight="1">
      <c r="A22" s="582" t="s">
        <v>10515</v>
      </c>
      <c r="B22" s="583">
        <v>0.43024305555555553</v>
      </c>
      <c r="C22" s="584" t="s">
        <v>10615</v>
      </c>
      <c r="D22" s="197"/>
      <c r="E22" s="597">
        <v>923334565722</v>
      </c>
      <c r="F22" s="598" t="s">
        <v>6875</v>
      </c>
      <c r="G22" s="197"/>
      <c r="H22" s="197"/>
      <c r="I22" s="584" t="s">
        <v>10545</v>
      </c>
      <c r="J22" s="197"/>
      <c r="K22" s="584">
        <v>1.0</v>
      </c>
      <c r="L22" s="586" t="s">
        <v>372</v>
      </c>
    </row>
    <row r="23" ht="22.5" customHeight="1">
      <c r="A23" s="587" t="s">
        <v>10515</v>
      </c>
      <c r="B23" s="588">
        <v>0.4303472222222222</v>
      </c>
      <c r="C23" s="589" t="s">
        <v>10616</v>
      </c>
      <c r="D23" s="590"/>
      <c r="E23" s="589">
        <v>923343352472</v>
      </c>
      <c r="F23" s="591" t="s">
        <v>6939</v>
      </c>
      <c r="G23" s="589" t="s">
        <v>10617</v>
      </c>
      <c r="H23" s="589" t="s">
        <v>10618</v>
      </c>
      <c r="I23" s="589" t="s">
        <v>10619</v>
      </c>
      <c r="J23" s="589" t="s">
        <v>10620</v>
      </c>
      <c r="K23" s="589">
        <v>4.0</v>
      </c>
      <c r="L23" s="592" t="s">
        <v>6944</v>
      </c>
    </row>
    <row r="24" ht="22.5" customHeight="1">
      <c r="A24" s="582" t="s">
        <v>10515</v>
      </c>
      <c r="B24" s="583">
        <v>0.5072222222222222</v>
      </c>
      <c r="C24" s="584" t="s">
        <v>6938</v>
      </c>
      <c r="D24" s="197"/>
      <c r="E24" s="597">
        <v>923297597502</v>
      </c>
      <c r="F24" s="598" t="s">
        <v>6875</v>
      </c>
      <c r="G24" s="584" t="s">
        <v>10621</v>
      </c>
      <c r="H24" s="584" t="s">
        <v>10622</v>
      </c>
      <c r="I24" s="584" t="s">
        <v>10550</v>
      </c>
      <c r="J24" s="197"/>
      <c r="K24" s="584">
        <v>3.0</v>
      </c>
      <c r="L24" s="586" t="s">
        <v>51</v>
      </c>
    </row>
    <row r="25" ht="22.5" customHeight="1">
      <c r="A25" s="587" t="s">
        <v>10515</v>
      </c>
      <c r="B25" s="588">
        <v>0.532962962962963</v>
      </c>
      <c r="C25" s="589" t="s">
        <v>10623</v>
      </c>
      <c r="D25" s="590"/>
      <c r="E25" s="594">
        <v>923142135376</v>
      </c>
      <c r="F25" s="595" t="s">
        <v>6875</v>
      </c>
      <c r="G25" s="590"/>
      <c r="H25" s="589" t="s">
        <v>10624</v>
      </c>
      <c r="I25" s="589" t="s">
        <v>10625</v>
      </c>
      <c r="J25" s="590"/>
      <c r="K25" s="589">
        <v>2.0</v>
      </c>
      <c r="L25" s="592" t="s">
        <v>10626</v>
      </c>
    </row>
    <row r="26" ht="22.5" customHeight="1">
      <c r="A26" s="582" t="s">
        <v>10553</v>
      </c>
      <c r="B26" s="583">
        <v>0.4729976851851852</v>
      </c>
      <c r="C26" s="584" t="s">
        <v>10554</v>
      </c>
      <c r="D26" s="197"/>
      <c r="E26" s="584">
        <v>923054123400</v>
      </c>
      <c r="F26" s="585" t="s">
        <v>6939</v>
      </c>
      <c r="G26" s="584" t="s">
        <v>10627</v>
      </c>
      <c r="H26" s="584" t="s">
        <v>10628</v>
      </c>
      <c r="I26" s="584" t="s">
        <v>10629</v>
      </c>
      <c r="J26" s="197"/>
      <c r="K26" s="584">
        <v>3.0</v>
      </c>
      <c r="L26" s="586" t="s">
        <v>10630</v>
      </c>
    </row>
    <row r="27" ht="22.5" customHeight="1">
      <c r="A27" s="587" t="s">
        <v>10553</v>
      </c>
      <c r="B27" s="588">
        <v>0.5342708333333334</v>
      </c>
      <c r="C27" s="589" t="s">
        <v>6945</v>
      </c>
      <c r="D27" s="590"/>
      <c r="E27" s="594">
        <v>923325510120</v>
      </c>
      <c r="F27" s="595" t="s">
        <v>6875</v>
      </c>
      <c r="G27" s="589" t="s">
        <v>10631</v>
      </c>
      <c r="H27" s="589" t="s">
        <v>10632</v>
      </c>
      <c r="I27" s="589" t="s">
        <v>10633</v>
      </c>
      <c r="J27" s="590"/>
      <c r="K27" s="589">
        <v>3.0</v>
      </c>
      <c r="L27" s="592" t="s">
        <v>10634</v>
      </c>
    </row>
    <row r="28" ht="22.5" customHeight="1">
      <c r="A28" s="582" t="s">
        <v>10558</v>
      </c>
      <c r="B28" s="583">
        <v>0.40174768518518517</v>
      </c>
      <c r="C28" s="584" t="s">
        <v>10635</v>
      </c>
      <c r="D28" s="197"/>
      <c r="E28" s="597">
        <v>923052471118</v>
      </c>
      <c r="F28" s="598" t="s">
        <v>6875</v>
      </c>
      <c r="G28" s="584" t="s">
        <v>10636</v>
      </c>
      <c r="H28" s="584" t="s">
        <v>10637</v>
      </c>
      <c r="I28" s="584" t="s">
        <v>10638</v>
      </c>
      <c r="J28" s="197"/>
      <c r="K28" s="584">
        <v>3.0</v>
      </c>
      <c r="L28" s="586" t="s">
        <v>372</v>
      </c>
    </row>
    <row r="29" ht="22.5" customHeight="1">
      <c r="A29" s="587" t="s">
        <v>10558</v>
      </c>
      <c r="B29" s="588">
        <v>0.401875</v>
      </c>
      <c r="C29" s="589" t="s">
        <v>6950</v>
      </c>
      <c r="D29" s="590"/>
      <c r="E29" s="594">
        <v>923129008689</v>
      </c>
      <c r="F29" s="595" t="s">
        <v>6875</v>
      </c>
      <c r="G29" s="589" t="s">
        <v>10639</v>
      </c>
      <c r="H29" s="589" t="s">
        <v>10640</v>
      </c>
      <c r="I29" s="589" t="s">
        <v>10641</v>
      </c>
      <c r="J29" s="590"/>
      <c r="K29" s="589">
        <v>3.0</v>
      </c>
      <c r="L29" s="592" t="s">
        <v>372</v>
      </c>
    </row>
    <row r="30" ht="22.5" customHeight="1">
      <c r="A30" s="582" t="s">
        <v>10558</v>
      </c>
      <c r="B30" s="583">
        <v>0.4024652777777778</v>
      </c>
      <c r="C30" s="584" t="s">
        <v>10642</v>
      </c>
      <c r="D30" s="197"/>
      <c r="E30" s="584">
        <v>923066498106</v>
      </c>
      <c r="F30" s="585" t="s">
        <v>6939</v>
      </c>
      <c r="G30" s="584" t="s">
        <v>10643</v>
      </c>
      <c r="H30" s="584" t="s">
        <v>10644</v>
      </c>
      <c r="I30" s="584" t="s">
        <v>10645</v>
      </c>
      <c r="J30" s="584" t="s">
        <v>10646</v>
      </c>
      <c r="K30" s="584">
        <v>4.0</v>
      </c>
      <c r="L30" s="586" t="s">
        <v>927</v>
      </c>
    </row>
    <row r="31" ht="22.5" customHeight="1">
      <c r="A31" s="587" t="s">
        <v>10558</v>
      </c>
      <c r="B31" s="588">
        <v>0.40261574074074075</v>
      </c>
      <c r="C31" s="589" t="s">
        <v>6955</v>
      </c>
      <c r="D31" s="590"/>
      <c r="E31" s="589">
        <v>923474753872</v>
      </c>
      <c r="F31" s="591" t="s">
        <v>6939</v>
      </c>
      <c r="G31" s="589" t="s">
        <v>10647</v>
      </c>
      <c r="H31" s="589" t="s">
        <v>10648</v>
      </c>
      <c r="I31" s="589" t="s">
        <v>10649</v>
      </c>
      <c r="J31" s="589" t="s">
        <v>10650</v>
      </c>
      <c r="K31" s="589">
        <v>4.0</v>
      </c>
      <c r="L31" s="599"/>
    </row>
    <row r="32" ht="22.5" customHeight="1">
      <c r="A32" s="582" t="s">
        <v>10558</v>
      </c>
      <c r="B32" s="583">
        <v>0.40282407407407406</v>
      </c>
      <c r="C32" s="584" t="s">
        <v>6960</v>
      </c>
      <c r="D32" s="197"/>
      <c r="E32" s="584">
        <v>923137902119</v>
      </c>
      <c r="F32" s="603" t="s">
        <v>7291</v>
      </c>
      <c r="G32" s="584" t="s">
        <v>10651</v>
      </c>
      <c r="H32" s="584" t="s">
        <v>10652</v>
      </c>
      <c r="I32" s="584" t="s">
        <v>10653</v>
      </c>
      <c r="J32" s="584" t="s">
        <v>10654</v>
      </c>
      <c r="K32" s="584">
        <v>4.0</v>
      </c>
      <c r="L32" s="586" t="s">
        <v>10655</v>
      </c>
    </row>
    <row r="33" ht="22.5" customHeight="1">
      <c r="A33" s="587" t="s">
        <v>10558</v>
      </c>
      <c r="B33" s="588">
        <v>0.40297453703703706</v>
      </c>
      <c r="C33" s="589" t="s">
        <v>10656</v>
      </c>
      <c r="D33" s="589" t="s">
        <v>6886</v>
      </c>
      <c r="E33" s="604" t="s">
        <v>10657</v>
      </c>
      <c r="F33" s="591" t="s">
        <v>6939</v>
      </c>
      <c r="G33" s="589" t="s">
        <v>10658</v>
      </c>
      <c r="H33" s="589" t="s">
        <v>10659</v>
      </c>
      <c r="I33" s="589" t="s">
        <v>10660</v>
      </c>
      <c r="J33" s="589" t="s">
        <v>10661</v>
      </c>
      <c r="K33" s="589">
        <v>4.0</v>
      </c>
      <c r="L33" s="592" t="s">
        <v>10662</v>
      </c>
    </row>
    <row r="34" ht="22.5" customHeight="1">
      <c r="A34" s="582" t="s">
        <v>10558</v>
      </c>
      <c r="B34" s="583">
        <v>0.4030787037037037</v>
      </c>
      <c r="C34" s="584" t="s">
        <v>10663</v>
      </c>
      <c r="D34" s="197"/>
      <c r="E34" s="597">
        <v>923169885392</v>
      </c>
      <c r="F34" s="598" t="s">
        <v>6875</v>
      </c>
      <c r="G34" s="584" t="s">
        <v>10664</v>
      </c>
      <c r="H34" s="584" t="s">
        <v>10665</v>
      </c>
      <c r="I34" s="584" t="s">
        <v>10666</v>
      </c>
      <c r="J34" s="197"/>
      <c r="K34" s="584">
        <v>3.0</v>
      </c>
      <c r="L34" s="586" t="s">
        <v>51</v>
      </c>
    </row>
    <row r="35" ht="22.5" customHeight="1">
      <c r="A35" s="587" t="s">
        <v>10558</v>
      </c>
      <c r="B35" s="588">
        <v>0.40319444444444447</v>
      </c>
      <c r="C35" s="589" t="s">
        <v>10667</v>
      </c>
      <c r="D35" s="590"/>
      <c r="E35" s="594">
        <v>923498907845</v>
      </c>
      <c r="F35" s="595" t="s">
        <v>6875</v>
      </c>
      <c r="G35" s="590"/>
      <c r="H35" s="589" t="s">
        <v>10668</v>
      </c>
      <c r="I35" s="589" t="s">
        <v>10669</v>
      </c>
      <c r="J35" s="590"/>
      <c r="K35" s="589">
        <v>2.0</v>
      </c>
      <c r="L35" s="592" t="s">
        <v>372</v>
      </c>
    </row>
    <row r="36" ht="22.5" customHeight="1">
      <c r="A36" s="582" t="s">
        <v>10558</v>
      </c>
      <c r="B36" s="583">
        <v>0.4032986111111111</v>
      </c>
      <c r="C36" s="584" t="s">
        <v>6966</v>
      </c>
      <c r="D36" s="197"/>
      <c r="E36" s="584">
        <v>923170007500</v>
      </c>
      <c r="F36" s="585" t="s">
        <v>6939</v>
      </c>
      <c r="G36" s="584" t="s">
        <v>10670</v>
      </c>
      <c r="H36" s="584" t="s">
        <v>10671</v>
      </c>
      <c r="I36" s="584" t="s">
        <v>10672</v>
      </c>
      <c r="J36" s="197"/>
      <c r="K36" s="584">
        <v>3.0</v>
      </c>
      <c r="L36" s="586" t="s">
        <v>376</v>
      </c>
    </row>
    <row r="37" ht="22.5" customHeight="1">
      <c r="A37" s="587" t="s">
        <v>10558</v>
      </c>
      <c r="B37" s="588">
        <v>0.4038310185185185</v>
      </c>
      <c r="C37" s="589" t="s">
        <v>10673</v>
      </c>
      <c r="D37" s="590"/>
      <c r="E37" s="589">
        <v>923004182529</v>
      </c>
      <c r="F37" s="605" t="s">
        <v>7291</v>
      </c>
      <c r="G37" s="589" t="s">
        <v>10674</v>
      </c>
      <c r="H37" s="589" t="s">
        <v>10675</v>
      </c>
      <c r="I37" s="589" t="s">
        <v>10676</v>
      </c>
      <c r="J37" s="590"/>
      <c r="K37" s="589">
        <v>3.0</v>
      </c>
      <c r="L37" s="592" t="s">
        <v>10677</v>
      </c>
    </row>
    <row r="38" ht="22.5" customHeight="1">
      <c r="A38" s="582" t="s">
        <v>10558</v>
      </c>
      <c r="B38" s="583">
        <v>0.43572916666666667</v>
      </c>
      <c r="C38" s="584" t="s">
        <v>6971</v>
      </c>
      <c r="D38" s="197"/>
      <c r="E38" s="584">
        <v>923322888689</v>
      </c>
      <c r="F38" s="596" t="s">
        <v>6982</v>
      </c>
      <c r="G38" s="197"/>
      <c r="H38" s="584" t="s">
        <v>10678</v>
      </c>
      <c r="I38" s="584" t="s">
        <v>10679</v>
      </c>
      <c r="J38" s="584" t="s">
        <v>10680</v>
      </c>
      <c r="K38" s="584">
        <v>3.0</v>
      </c>
      <c r="L38" s="586" t="s">
        <v>10681</v>
      </c>
    </row>
    <row r="39" ht="22.5" customHeight="1">
      <c r="A39" s="587" t="s">
        <v>10558</v>
      </c>
      <c r="B39" s="588">
        <v>0.4824537037037037</v>
      </c>
      <c r="C39" s="589" t="s">
        <v>10682</v>
      </c>
      <c r="D39" s="590"/>
      <c r="E39" s="589">
        <v>923222196668</v>
      </c>
      <c r="F39" s="605" t="s">
        <v>7291</v>
      </c>
      <c r="G39" s="589" t="s">
        <v>10683</v>
      </c>
      <c r="H39" s="589" t="s">
        <v>10684</v>
      </c>
      <c r="I39" s="589" t="s">
        <v>10685</v>
      </c>
      <c r="J39" s="590"/>
      <c r="K39" s="589">
        <v>3.0</v>
      </c>
      <c r="L39" s="592" t="s">
        <v>10686</v>
      </c>
    </row>
    <row r="40" ht="22.5" customHeight="1">
      <c r="A40" s="582" t="s">
        <v>10558</v>
      </c>
      <c r="B40" s="583">
        <v>0.4826388888888889</v>
      </c>
      <c r="C40" s="584" t="s">
        <v>10687</v>
      </c>
      <c r="D40" s="197"/>
      <c r="E40" s="584">
        <v>923264544573</v>
      </c>
      <c r="F40" s="585" t="s">
        <v>6939</v>
      </c>
      <c r="G40" s="584" t="s">
        <v>10688</v>
      </c>
      <c r="H40" s="584" t="s">
        <v>10689</v>
      </c>
      <c r="I40" s="584" t="s">
        <v>10690</v>
      </c>
      <c r="J40" s="197"/>
      <c r="K40" s="584">
        <v>3.0</v>
      </c>
      <c r="L40" s="147"/>
    </row>
    <row r="41" ht="22.5" customHeight="1">
      <c r="A41" s="587" t="s">
        <v>10558</v>
      </c>
      <c r="B41" s="588">
        <v>0.6212847222222222</v>
      </c>
      <c r="C41" s="589" t="s">
        <v>10691</v>
      </c>
      <c r="D41" s="590"/>
      <c r="E41" s="589">
        <v>923173309298</v>
      </c>
      <c r="F41" s="600" t="s">
        <v>6982</v>
      </c>
      <c r="G41" s="590"/>
      <c r="H41" s="590"/>
      <c r="I41" s="589" t="s">
        <v>10692</v>
      </c>
      <c r="J41" s="589" t="s">
        <v>10693</v>
      </c>
      <c r="K41" s="589">
        <v>2.0</v>
      </c>
      <c r="L41" s="592" t="s">
        <v>10694</v>
      </c>
    </row>
    <row r="42" ht="22.5" customHeight="1">
      <c r="A42" s="582" t="s">
        <v>10558</v>
      </c>
      <c r="B42" s="583">
        <v>0.6342939814814815</v>
      </c>
      <c r="C42" s="584" t="s">
        <v>10695</v>
      </c>
      <c r="D42" s="197"/>
      <c r="E42" s="584">
        <v>923145224200</v>
      </c>
      <c r="F42" s="585" t="s">
        <v>6939</v>
      </c>
      <c r="G42" s="584" t="s">
        <v>10696</v>
      </c>
      <c r="H42" s="584" t="s">
        <v>10697</v>
      </c>
      <c r="I42" s="584" t="s">
        <v>10698</v>
      </c>
      <c r="J42" s="584" t="s">
        <v>10699</v>
      </c>
      <c r="K42" s="584">
        <v>4.0</v>
      </c>
      <c r="L42" s="586" t="s">
        <v>25</v>
      </c>
    </row>
    <row r="43" ht="22.5" customHeight="1">
      <c r="A43" s="587" t="s">
        <v>10558</v>
      </c>
      <c r="B43" s="588">
        <v>0.6670949074074074</v>
      </c>
      <c r="C43" s="589" t="s">
        <v>10700</v>
      </c>
      <c r="D43" s="590"/>
      <c r="E43" s="589">
        <v>923319828215</v>
      </c>
      <c r="F43" s="600" t="s">
        <v>6982</v>
      </c>
      <c r="G43" s="590"/>
      <c r="H43" s="590"/>
      <c r="I43" s="590"/>
      <c r="J43" s="589" t="s">
        <v>10701</v>
      </c>
      <c r="K43" s="589">
        <v>1.0</v>
      </c>
      <c r="L43" s="592" t="s">
        <v>10702</v>
      </c>
    </row>
    <row r="44" ht="22.5" customHeight="1">
      <c r="A44" s="582" t="s">
        <v>10558</v>
      </c>
      <c r="B44" s="583">
        <v>0.7034953703703704</v>
      </c>
      <c r="C44" s="584" t="s">
        <v>10703</v>
      </c>
      <c r="D44" s="197"/>
      <c r="E44" s="584">
        <v>923046709534</v>
      </c>
      <c r="F44" s="585" t="s">
        <v>6939</v>
      </c>
      <c r="G44" s="584" t="s">
        <v>10704</v>
      </c>
      <c r="H44" s="584" t="s">
        <v>10705</v>
      </c>
      <c r="I44" s="584" t="s">
        <v>10706</v>
      </c>
      <c r="J44" s="197"/>
      <c r="K44" s="584">
        <v>3.0</v>
      </c>
      <c r="L44" s="586" t="s">
        <v>10707</v>
      </c>
    </row>
    <row r="45" ht="22.5" customHeight="1">
      <c r="A45" s="587" t="s">
        <v>10708</v>
      </c>
      <c r="B45" s="588">
        <v>0.4868865740740741</v>
      </c>
      <c r="C45" s="589" t="s">
        <v>10709</v>
      </c>
      <c r="D45" s="590"/>
      <c r="E45" s="594">
        <v>923334901185</v>
      </c>
      <c r="F45" s="595" t="s">
        <v>6875</v>
      </c>
      <c r="G45" s="590"/>
      <c r="H45" s="589" t="s">
        <v>10710</v>
      </c>
      <c r="I45" s="589" t="s">
        <v>10711</v>
      </c>
      <c r="J45" s="590"/>
      <c r="K45" s="589">
        <v>2.0</v>
      </c>
      <c r="L45" s="592" t="s">
        <v>372</v>
      </c>
    </row>
    <row r="46" ht="22.5" customHeight="1">
      <c r="A46" s="582" t="s">
        <v>10708</v>
      </c>
      <c r="B46" s="583">
        <v>0.4892361111111111</v>
      </c>
      <c r="C46" s="584" t="s">
        <v>10712</v>
      </c>
      <c r="D46" s="197"/>
      <c r="E46" s="584">
        <v>923409764099</v>
      </c>
      <c r="F46" s="585" t="s">
        <v>6939</v>
      </c>
      <c r="G46" s="584" t="s">
        <v>10713</v>
      </c>
      <c r="H46" s="584" t="s">
        <v>10714</v>
      </c>
      <c r="I46" s="584" t="s">
        <v>10715</v>
      </c>
      <c r="J46" s="197"/>
      <c r="K46" s="584">
        <v>3.0</v>
      </c>
      <c r="L46" s="147"/>
    </row>
    <row r="47" ht="22.5" customHeight="1">
      <c r="A47" s="587" t="s">
        <v>10708</v>
      </c>
      <c r="B47" s="588">
        <v>0.4893402777777778</v>
      </c>
      <c r="C47" s="589" t="s">
        <v>6977</v>
      </c>
      <c r="D47" s="590"/>
      <c r="E47" s="594">
        <v>923305639220</v>
      </c>
      <c r="F47" s="595" t="s">
        <v>6875</v>
      </c>
      <c r="G47" s="590"/>
      <c r="H47" s="589" t="s">
        <v>10716</v>
      </c>
      <c r="I47" s="590"/>
      <c r="J47" s="590"/>
      <c r="K47" s="589">
        <v>1.0</v>
      </c>
      <c r="L47" s="592" t="s">
        <v>372</v>
      </c>
    </row>
    <row r="48" ht="22.5" customHeight="1">
      <c r="A48" s="582" t="s">
        <v>10708</v>
      </c>
      <c r="B48" s="583">
        <v>0.48943287037037037</v>
      </c>
      <c r="C48" s="584" t="s">
        <v>10717</v>
      </c>
      <c r="D48" s="197"/>
      <c r="E48" s="584">
        <f>923054708939</f>
        <v>923054708939</v>
      </c>
      <c r="F48" s="596" t="s">
        <v>6982</v>
      </c>
      <c r="G48" s="584" t="s">
        <v>10718</v>
      </c>
      <c r="H48" s="584" t="s">
        <v>10719</v>
      </c>
      <c r="I48" s="584" t="s">
        <v>10720</v>
      </c>
      <c r="J48" s="197"/>
      <c r="K48" s="584">
        <v>3.0</v>
      </c>
      <c r="L48" s="586" t="s">
        <v>10721</v>
      </c>
    </row>
    <row r="49" ht="22.5" customHeight="1">
      <c r="A49" s="587" t="s">
        <v>10708</v>
      </c>
      <c r="B49" s="588">
        <v>0.4895601851851852</v>
      </c>
      <c r="C49" s="589" t="s">
        <v>10722</v>
      </c>
      <c r="D49" s="590"/>
      <c r="E49" s="594">
        <v>923148837646</v>
      </c>
      <c r="F49" s="595" t="s">
        <v>6875</v>
      </c>
      <c r="G49" s="590"/>
      <c r="H49" s="589" t="s">
        <v>10723</v>
      </c>
      <c r="I49" s="590"/>
      <c r="J49" s="590"/>
      <c r="K49" s="589">
        <v>1.0</v>
      </c>
      <c r="L49" s="592" t="s">
        <v>372</v>
      </c>
    </row>
    <row r="50" ht="22.5" customHeight="1">
      <c r="A50" s="582" t="s">
        <v>10708</v>
      </c>
      <c r="B50" s="583">
        <v>0.4896875</v>
      </c>
      <c r="C50" s="584" t="s">
        <v>6993</v>
      </c>
      <c r="D50" s="197"/>
      <c r="E50" s="597">
        <v>923350814156</v>
      </c>
      <c r="F50" s="598" t="s">
        <v>6875</v>
      </c>
      <c r="G50" s="197"/>
      <c r="H50" s="584" t="s">
        <v>10724</v>
      </c>
      <c r="I50" s="197"/>
      <c r="J50" s="197"/>
      <c r="K50" s="584">
        <v>1.0</v>
      </c>
      <c r="L50" s="586" t="s">
        <v>7114</v>
      </c>
    </row>
    <row r="51" ht="22.5" customHeight="1">
      <c r="A51" s="587" t="s">
        <v>10708</v>
      </c>
      <c r="B51" s="588">
        <v>0.4898148148148148</v>
      </c>
      <c r="C51" s="589" t="s">
        <v>6998</v>
      </c>
      <c r="D51" s="590"/>
      <c r="E51" s="589">
        <v>923482491585</v>
      </c>
      <c r="F51" s="605" t="s">
        <v>7291</v>
      </c>
      <c r="G51" s="589" t="s">
        <v>10725</v>
      </c>
      <c r="H51" s="589" t="s">
        <v>10726</v>
      </c>
      <c r="I51" s="589" t="s">
        <v>10727</v>
      </c>
      <c r="J51" s="589" t="s">
        <v>10728</v>
      </c>
      <c r="K51" s="589">
        <v>4.0</v>
      </c>
      <c r="L51" s="592" t="s">
        <v>6944</v>
      </c>
    </row>
    <row r="52" ht="22.5" customHeight="1">
      <c r="A52" s="582" t="s">
        <v>10708</v>
      </c>
      <c r="B52" s="583">
        <v>0.48994212962962963</v>
      </c>
      <c r="C52" s="584" t="s">
        <v>10729</v>
      </c>
      <c r="D52" s="197"/>
      <c r="E52" s="597">
        <v>923057291096</v>
      </c>
      <c r="F52" s="598" t="s">
        <v>6875</v>
      </c>
      <c r="G52" s="584" t="s">
        <v>10730</v>
      </c>
      <c r="H52" s="584" t="s">
        <v>10731</v>
      </c>
      <c r="I52" s="584" t="s">
        <v>10732</v>
      </c>
      <c r="J52" s="197"/>
      <c r="K52" s="584">
        <v>3.0</v>
      </c>
      <c r="L52" s="586" t="s">
        <v>10733</v>
      </c>
    </row>
    <row r="53" ht="22.5" customHeight="1">
      <c r="A53" s="587" t="s">
        <v>10708</v>
      </c>
      <c r="B53" s="588">
        <v>0.49005787037037035</v>
      </c>
      <c r="C53" s="589" t="s">
        <v>10734</v>
      </c>
      <c r="D53" s="590"/>
      <c r="E53" s="589">
        <v>923260163672</v>
      </c>
      <c r="F53" s="591" t="s">
        <v>6939</v>
      </c>
      <c r="G53" s="589" t="s">
        <v>10735</v>
      </c>
      <c r="H53" s="589" t="s">
        <v>10736</v>
      </c>
      <c r="I53" s="589" t="s">
        <v>10737</v>
      </c>
      <c r="J53" s="589" t="s">
        <v>10738</v>
      </c>
      <c r="K53" s="589">
        <v>4.0</v>
      </c>
      <c r="L53" s="599"/>
    </row>
    <row r="54" ht="22.5" customHeight="1">
      <c r="A54" s="582" t="s">
        <v>10708</v>
      </c>
      <c r="B54" s="583">
        <v>0.49016203703703703</v>
      </c>
      <c r="C54" s="584" t="s">
        <v>7009</v>
      </c>
      <c r="D54" s="197"/>
      <c r="E54" s="584">
        <v>923324186226</v>
      </c>
      <c r="F54" s="585" t="s">
        <v>6939</v>
      </c>
      <c r="G54" s="584" t="s">
        <v>10739</v>
      </c>
      <c r="H54" s="584" t="s">
        <v>10740</v>
      </c>
      <c r="I54" s="584" t="s">
        <v>10741</v>
      </c>
      <c r="J54" s="584" t="s">
        <v>10742</v>
      </c>
      <c r="K54" s="584">
        <v>4.0</v>
      </c>
      <c r="L54" s="147"/>
    </row>
    <row r="55" ht="22.5" customHeight="1">
      <c r="A55" s="587" t="s">
        <v>10708</v>
      </c>
      <c r="B55" s="588">
        <v>0.49027777777777776</v>
      </c>
      <c r="C55" s="589" t="s">
        <v>10743</v>
      </c>
      <c r="D55" s="590"/>
      <c r="E55" s="594">
        <v>923472574633</v>
      </c>
      <c r="F55" s="595" t="s">
        <v>6875</v>
      </c>
      <c r="G55" s="589" t="s">
        <v>10744</v>
      </c>
      <c r="H55" s="589" t="s">
        <v>10745</v>
      </c>
      <c r="I55" s="589" t="s">
        <v>10746</v>
      </c>
      <c r="J55" s="590"/>
      <c r="K55" s="589">
        <v>3.0</v>
      </c>
      <c r="L55" s="592" t="s">
        <v>372</v>
      </c>
    </row>
    <row r="56" ht="22.5" customHeight="1">
      <c r="A56" s="582" t="s">
        <v>10708</v>
      </c>
      <c r="B56" s="583">
        <v>0.4911226851851852</v>
      </c>
      <c r="C56" s="584" t="s">
        <v>10747</v>
      </c>
      <c r="D56" s="197"/>
      <c r="E56" s="584">
        <f>923233842082</f>
        <v>923233842082</v>
      </c>
      <c r="F56" s="596" t="s">
        <v>6982</v>
      </c>
      <c r="G56" s="197"/>
      <c r="H56" s="584" t="s">
        <v>10745</v>
      </c>
      <c r="I56" s="584" t="s">
        <v>10748</v>
      </c>
      <c r="J56" s="197"/>
      <c r="K56" s="584">
        <v>2.0</v>
      </c>
      <c r="L56" s="586" t="s">
        <v>10749</v>
      </c>
    </row>
    <row r="57" ht="22.5" customHeight="1">
      <c r="A57" s="587" t="s">
        <v>10708</v>
      </c>
      <c r="B57" s="588">
        <v>0.49126157407407406</v>
      </c>
      <c r="C57" s="589" t="s">
        <v>4205</v>
      </c>
      <c r="D57" s="590"/>
      <c r="E57" s="589">
        <v>923042780820</v>
      </c>
      <c r="F57" s="600" t="s">
        <v>6982</v>
      </c>
      <c r="G57" s="590"/>
      <c r="H57" s="589" t="s">
        <v>10750</v>
      </c>
      <c r="I57" s="590"/>
      <c r="J57" s="590"/>
      <c r="K57" s="589">
        <v>1.0</v>
      </c>
      <c r="L57" s="592" t="s">
        <v>10751</v>
      </c>
    </row>
    <row r="58" ht="22.5" customHeight="1">
      <c r="A58" s="582" t="s">
        <v>10708</v>
      </c>
      <c r="B58" s="583">
        <v>0.5082407407407408</v>
      </c>
      <c r="C58" s="584" t="s">
        <v>10752</v>
      </c>
      <c r="D58" s="197"/>
      <c r="E58" s="597">
        <v>923129748291</v>
      </c>
      <c r="F58" s="598" t="s">
        <v>6875</v>
      </c>
      <c r="G58" s="584" t="s">
        <v>10753</v>
      </c>
      <c r="H58" s="584" t="s">
        <v>10754</v>
      </c>
      <c r="I58" s="584" t="s">
        <v>10755</v>
      </c>
      <c r="J58" s="197"/>
      <c r="K58" s="584">
        <v>3.0</v>
      </c>
      <c r="L58" s="586" t="s">
        <v>372</v>
      </c>
    </row>
    <row r="59" ht="22.5" customHeight="1">
      <c r="A59" s="587" t="s">
        <v>10708</v>
      </c>
      <c r="B59" s="588">
        <v>0.5083333333333333</v>
      </c>
      <c r="C59" s="589" t="s">
        <v>10756</v>
      </c>
      <c r="D59" s="590"/>
      <c r="E59" s="589">
        <v>923034239943</v>
      </c>
      <c r="F59" s="605" t="s">
        <v>7291</v>
      </c>
      <c r="G59" s="589" t="s">
        <v>10757</v>
      </c>
      <c r="H59" s="589" t="s">
        <v>10758</v>
      </c>
      <c r="I59" s="589" t="s">
        <v>10759</v>
      </c>
      <c r="J59" s="590"/>
      <c r="K59" s="589">
        <v>3.0</v>
      </c>
      <c r="L59" s="592" t="s">
        <v>6944</v>
      </c>
    </row>
    <row r="60" ht="22.5" customHeight="1">
      <c r="A60" s="582" t="s">
        <v>10708</v>
      </c>
      <c r="B60" s="583">
        <v>0.5848611111111112</v>
      </c>
      <c r="C60" s="584" t="s">
        <v>10760</v>
      </c>
      <c r="D60" s="197"/>
      <c r="E60" s="584">
        <v>923362313819</v>
      </c>
      <c r="F60" s="585" t="s">
        <v>6939</v>
      </c>
      <c r="G60" s="584" t="s">
        <v>10761</v>
      </c>
      <c r="H60" s="584" t="s">
        <v>10762</v>
      </c>
      <c r="I60" s="584" t="s">
        <v>10763</v>
      </c>
      <c r="J60" s="584" t="s">
        <v>10764</v>
      </c>
      <c r="K60" s="584">
        <v>4.0</v>
      </c>
      <c r="L60" s="147"/>
    </row>
    <row r="61" ht="22.5" customHeight="1">
      <c r="A61" s="587" t="s">
        <v>10708</v>
      </c>
      <c r="B61" s="588">
        <v>0.5851620370370371</v>
      </c>
      <c r="C61" s="589" t="s">
        <v>10765</v>
      </c>
      <c r="D61" s="590"/>
      <c r="E61" s="589">
        <v>923435182257</v>
      </c>
      <c r="F61" s="591" t="s">
        <v>6939</v>
      </c>
      <c r="G61" s="589" t="s">
        <v>10766</v>
      </c>
      <c r="H61" s="589" t="s">
        <v>10767</v>
      </c>
      <c r="I61" s="589" t="s">
        <v>10768</v>
      </c>
      <c r="J61" s="589" t="s">
        <v>10769</v>
      </c>
      <c r="K61" s="589">
        <v>4.0</v>
      </c>
      <c r="L61" s="599"/>
    </row>
    <row r="62" ht="22.5" customHeight="1">
      <c r="A62" s="582" t="s">
        <v>10708</v>
      </c>
      <c r="B62" s="583">
        <v>0.5871759259259259</v>
      </c>
      <c r="C62" s="584" t="s">
        <v>10770</v>
      </c>
      <c r="D62" s="197"/>
      <c r="E62" s="584">
        <v>923094821271</v>
      </c>
      <c r="F62" s="585" t="s">
        <v>6939</v>
      </c>
      <c r="G62" s="584" t="s">
        <v>10771</v>
      </c>
      <c r="H62" s="584" t="s">
        <v>10772</v>
      </c>
      <c r="I62" s="584" t="s">
        <v>10773</v>
      </c>
      <c r="J62" s="584" t="s">
        <v>10774</v>
      </c>
      <c r="K62" s="584">
        <v>4.0</v>
      </c>
      <c r="L62" s="147"/>
    </row>
    <row r="63" ht="22.5" customHeight="1">
      <c r="A63" s="587" t="s">
        <v>10708</v>
      </c>
      <c r="B63" s="588">
        <v>0.7069212962962963</v>
      </c>
      <c r="C63" s="589" t="s">
        <v>7014</v>
      </c>
      <c r="D63" s="590"/>
      <c r="E63" s="594">
        <v>923136216081</v>
      </c>
      <c r="F63" s="595" t="s">
        <v>6875</v>
      </c>
      <c r="G63" s="589" t="s">
        <v>10775</v>
      </c>
      <c r="H63" s="590"/>
      <c r="I63" s="589" t="s">
        <v>10776</v>
      </c>
      <c r="J63" s="589" t="s">
        <v>10777</v>
      </c>
      <c r="K63" s="589">
        <v>3.0</v>
      </c>
      <c r="L63" s="592" t="s">
        <v>10778</v>
      </c>
    </row>
    <row r="64" ht="22.5" customHeight="1">
      <c r="A64" s="582" t="s">
        <v>10708</v>
      </c>
      <c r="B64" s="583">
        <v>0.7071296296296297</v>
      </c>
      <c r="C64" s="584" t="s">
        <v>10779</v>
      </c>
      <c r="D64" s="197"/>
      <c r="E64" s="584">
        <v>923343459280</v>
      </c>
      <c r="F64" s="596" t="s">
        <v>6982</v>
      </c>
      <c r="G64" s="197"/>
      <c r="H64" s="197"/>
      <c r="I64" s="197"/>
      <c r="J64" s="584" t="s">
        <v>10780</v>
      </c>
      <c r="K64" s="584">
        <v>1.0</v>
      </c>
      <c r="L64" s="586" t="s">
        <v>10781</v>
      </c>
    </row>
    <row r="65" ht="22.5" customHeight="1">
      <c r="A65" s="587" t="s">
        <v>10708</v>
      </c>
      <c r="B65" s="588">
        <v>0.7073032407407407</v>
      </c>
      <c r="C65" s="589" t="s">
        <v>10782</v>
      </c>
      <c r="D65" s="590"/>
      <c r="E65" s="589">
        <v>923314765609</v>
      </c>
      <c r="F65" s="591" t="s">
        <v>6939</v>
      </c>
      <c r="G65" s="589" t="s">
        <v>10783</v>
      </c>
      <c r="H65" s="589" t="s">
        <v>10784</v>
      </c>
      <c r="I65" s="589" t="s">
        <v>10785</v>
      </c>
      <c r="J65" s="589" t="s">
        <v>10786</v>
      </c>
      <c r="K65" s="589">
        <v>4.0</v>
      </c>
      <c r="L65" s="599"/>
    </row>
    <row r="66" ht="22.5" customHeight="1">
      <c r="A66" s="582" t="s">
        <v>10708</v>
      </c>
      <c r="B66" s="583">
        <v>0.708125</v>
      </c>
      <c r="C66" s="584" t="s">
        <v>10787</v>
      </c>
      <c r="D66" s="584" t="s">
        <v>6886</v>
      </c>
      <c r="E66" s="606" t="s">
        <v>10788</v>
      </c>
      <c r="F66" s="596" t="s">
        <v>6982</v>
      </c>
      <c r="G66" s="197"/>
      <c r="H66" s="197"/>
      <c r="I66" s="584" t="s">
        <v>10789</v>
      </c>
      <c r="J66" s="584" t="s">
        <v>10790</v>
      </c>
      <c r="K66" s="584">
        <v>2.0</v>
      </c>
      <c r="L66" s="586" t="s">
        <v>10609</v>
      </c>
    </row>
    <row r="67" ht="22.5" customHeight="1">
      <c r="A67" s="587" t="s">
        <v>10791</v>
      </c>
      <c r="B67" s="588">
        <v>0.43331018518518516</v>
      </c>
      <c r="C67" s="589" t="s">
        <v>10792</v>
      </c>
      <c r="D67" s="590"/>
      <c r="E67" s="589">
        <v>923215028647</v>
      </c>
      <c r="F67" s="600" t="s">
        <v>6982</v>
      </c>
      <c r="G67" s="589" t="s">
        <v>10793</v>
      </c>
      <c r="H67" s="589" t="s">
        <v>10794</v>
      </c>
      <c r="I67" s="589" t="s">
        <v>10795</v>
      </c>
      <c r="J67" s="590"/>
      <c r="K67" s="589">
        <v>3.0</v>
      </c>
      <c r="L67" s="592" t="s">
        <v>10796</v>
      </c>
    </row>
    <row r="68" ht="22.5" customHeight="1">
      <c r="A68" s="582" t="s">
        <v>10791</v>
      </c>
      <c r="B68" s="583">
        <v>0.4337037037037037</v>
      </c>
      <c r="C68" s="584" t="s">
        <v>10797</v>
      </c>
      <c r="D68" s="197"/>
      <c r="E68" s="584">
        <v>923335475660</v>
      </c>
      <c r="F68" s="603" t="s">
        <v>7291</v>
      </c>
      <c r="G68" s="584" t="s">
        <v>10798</v>
      </c>
      <c r="H68" s="584" t="s">
        <v>10799</v>
      </c>
      <c r="I68" s="584" t="s">
        <v>10800</v>
      </c>
      <c r="J68" s="197"/>
      <c r="K68" s="584">
        <v>3.0</v>
      </c>
      <c r="L68" s="586" t="s">
        <v>10801</v>
      </c>
    </row>
    <row r="69" ht="22.5" customHeight="1">
      <c r="A69" s="587" t="s">
        <v>10791</v>
      </c>
      <c r="B69" s="588">
        <v>0.4339351851851852</v>
      </c>
      <c r="C69" s="589" t="s">
        <v>7019</v>
      </c>
      <c r="D69" s="590"/>
      <c r="E69" s="589">
        <v>923339652108</v>
      </c>
      <c r="F69" s="607" t="s">
        <v>9302</v>
      </c>
      <c r="G69" s="589" t="s">
        <v>10802</v>
      </c>
      <c r="H69" s="589" t="s">
        <v>10803</v>
      </c>
      <c r="I69" s="589" t="s">
        <v>10804</v>
      </c>
      <c r="J69" s="589" t="s">
        <v>10805</v>
      </c>
      <c r="K69" s="589">
        <v>4.0</v>
      </c>
      <c r="L69" s="592" t="s">
        <v>10806</v>
      </c>
    </row>
    <row r="70" ht="22.5" customHeight="1">
      <c r="A70" s="582" t="s">
        <v>10791</v>
      </c>
      <c r="B70" s="583">
        <v>0.43408564814814815</v>
      </c>
      <c r="C70" s="584" t="s">
        <v>10807</v>
      </c>
      <c r="D70" s="197"/>
      <c r="E70" s="597">
        <v>923097224919</v>
      </c>
      <c r="F70" s="598" t="s">
        <v>6875</v>
      </c>
      <c r="G70" s="584" t="s">
        <v>10808</v>
      </c>
      <c r="H70" s="584" t="s">
        <v>10809</v>
      </c>
      <c r="I70" s="584" t="s">
        <v>10810</v>
      </c>
      <c r="J70" s="197"/>
      <c r="K70" s="584">
        <v>3.0</v>
      </c>
      <c r="L70" s="586" t="s">
        <v>152</v>
      </c>
    </row>
    <row r="71" ht="22.5" customHeight="1">
      <c r="A71" s="587" t="s">
        <v>10791</v>
      </c>
      <c r="B71" s="588">
        <v>0.4342824074074074</v>
      </c>
      <c r="C71" s="589" t="s">
        <v>10811</v>
      </c>
      <c r="D71" s="590"/>
      <c r="E71" s="589">
        <v>923096668907</v>
      </c>
      <c r="F71" s="608" t="s">
        <v>656</v>
      </c>
      <c r="G71" s="589" t="s">
        <v>10812</v>
      </c>
      <c r="H71" s="589" t="s">
        <v>10813</v>
      </c>
      <c r="I71" s="589" t="s">
        <v>10814</v>
      </c>
      <c r="J71" s="590"/>
      <c r="K71" s="589">
        <v>3.0</v>
      </c>
      <c r="L71" s="592" t="s">
        <v>10815</v>
      </c>
    </row>
    <row r="72" ht="22.5" customHeight="1">
      <c r="A72" s="582" t="s">
        <v>10791</v>
      </c>
      <c r="B72" s="583">
        <v>0.5369444444444444</v>
      </c>
      <c r="C72" s="584" t="s">
        <v>7025</v>
      </c>
      <c r="D72" s="197"/>
      <c r="E72" s="584">
        <v>923342492916</v>
      </c>
      <c r="F72" s="585" t="s">
        <v>6939</v>
      </c>
      <c r="G72" s="584" t="s">
        <v>10816</v>
      </c>
      <c r="H72" s="584" t="s">
        <v>10817</v>
      </c>
      <c r="I72" s="584" t="s">
        <v>10818</v>
      </c>
      <c r="J72" s="584" t="s">
        <v>10819</v>
      </c>
      <c r="K72" s="584">
        <v>4.0</v>
      </c>
      <c r="L72" s="586" t="s">
        <v>6944</v>
      </c>
    </row>
    <row r="73" ht="22.5" customHeight="1">
      <c r="A73" s="587" t="s">
        <v>10791</v>
      </c>
      <c r="B73" s="588">
        <v>0.5370949074074074</v>
      </c>
      <c r="C73" s="589" t="s">
        <v>7031</v>
      </c>
      <c r="D73" s="590"/>
      <c r="E73" s="589">
        <v>923407424163</v>
      </c>
      <c r="F73" s="605" t="s">
        <v>7291</v>
      </c>
      <c r="G73" s="589" t="s">
        <v>10820</v>
      </c>
      <c r="H73" s="589" t="s">
        <v>10821</v>
      </c>
      <c r="I73" s="589" t="s">
        <v>10822</v>
      </c>
      <c r="J73" s="590"/>
      <c r="K73" s="589">
        <v>3.0</v>
      </c>
      <c r="L73" s="592" t="s">
        <v>10823</v>
      </c>
    </row>
    <row r="74" ht="22.5" customHeight="1">
      <c r="A74" s="582" t="s">
        <v>10791</v>
      </c>
      <c r="B74" s="583">
        <v>0.6838657407407407</v>
      </c>
      <c r="C74" s="584" t="s">
        <v>10824</v>
      </c>
      <c r="D74" s="197"/>
      <c r="E74" s="597">
        <v>923181709464</v>
      </c>
      <c r="F74" s="598" t="s">
        <v>6875</v>
      </c>
      <c r="G74" s="584" t="s">
        <v>10825</v>
      </c>
      <c r="H74" s="197"/>
      <c r="I74" s="584" t="s">
        <v>10826</v>
      </c>
      <c r="J74" s="584" t="s">
        <v>10827</v>
      </c>
      <c r="K74" s="584">
        <v>3.0</v>
      </c>
      <c r="L74" s="586" t="s">
        <v>372</v>
      </c>
    </row>
    <row r="75" ht="22.5" customHeight="1">
      <c r="A75" s="587" t="s">
        <v>10791</v>
      </c>
      <c r="B75" s="588">
        <v>0.7545486111111112</v>
      </c>
      <c r="C75" s="589" t="s">
        <v>10828</v>
      </c>
      <c r="D75" s="590"/>
      <c r="E75" s="594">
        <v>923486859463</v>
      </c>
      <c r="F75" s="595" t="s">
        <v>6875</v>
      </c>
      <c r="G75" s="589" t="s">
        <v>10829</v>
      </c>
      <c r="H75" s="589" t="s">
        <v>10830</v>
      </c>
      <c r="I75" s="590"/>
      <c r="J75" s="589" t="s">
        <v>10831</v>
      </c>
      <c r="K75" s="589">
        <v>3.0</v>
      </c>
      <c r="L75" s="592" t="s">
        <v>51</v>
      </c>
    </row>
    <row r="76" ht="22.5" customHeight="1">
      <c r="A76" s="582" t="s">
        <v>10832</v>
      </c>
      <c r="B76" s="583">
        <v>0.4174189814814815</v>
      </c>
      <c r="C76" s="584" t="s">
        <v>7036</v>
      </c>
      <c r="D76" s="197"/>
      <c r="E76" s="584">
        <v>923134510889</v>
      </c>
      <c r="F76" s="585" t="s">
        <v>6939</v>
      </c>
      <c r="G76" s="584" t="s">
        <v>10833</v>
      </c>
      <c r="H76" s="584" t="s">
        <v>10834</v>
      </c>
      <c r="I76" s="584" t="s">
        <v>10835</v>
      </c>
      <c r="J76" s="584" t="s">
        <v>10836</v>
      </c>
      <c r="K76" s="584">
        <v>4.0</v>
      </c>
      <c r="L76" s="147"/>
    </row>
    <row r="77" ht="22.5" customHeight="1">
      <c r="A77" s="587" t="s">
        <v>10832</v>
      </c>
      <c r="B77" s="588">
        <v>0.41755787037037034</v>
      </c>
      <c r="C77" s="589" t="s">
        <v>3910</v>
      </c>
      <c r="D77" s="589" t="s">
        <v>6886</v>
      </c>
      <c r="E77" s="604" t="s">
        <v>10837</v>
      </c>
      <c r="F77" s="600" t="s">
        <v>6982</v>
      </c>
      <c r="G77" s="589" t="s">
        <v>10838</v>
      </c>
      <c r="H77" s="590"/>
      <c r="I77" s="590"/>
      <c r="J77" s="589" t="s">
        <v>10839</v>
      </c>
      <c r="K77" s="589">
        <v>2.0</v>
      </c>
      <c r="L77" s="592" t="s">
        <v>10598</v>
      </c>
    </row>
    <row r="78" ht="22.5" customHeight="1">
      <c r="A78" s="582" t="s">
        <v>10832</v>
      </c>
      <c r="B78" s="583">
        <v>0.417650462962963</v>
      </c>
      <c r="C78" s="584" t="s">
        <v>10840</v>
      </c>
      <c r="D78" s="584" t="s">
        <v>6886</v>
      </c>
      <c r="E78" s="606" t="s">
        <v>10841</v>
      </c>
      <c r="F78" s="596" t="s">
        <v>6982</v>
      </c>
      <c r="G78" s="584" t="s">
        <v>10842</v>
      </c>
      <c r="H78" s="197"/>
      <c r="I78" s="584" t="s">
        <v>10843</v>
      </c>
      <c r="J78" s="584" t="s">
        <v>10844</v>
      </c>
      <c r="K78" s="584">
        <v>3.0</v>
      </c>
      <c r="L78" s="586" t="s">
        <v>10694</v>
      </c>
    </row>
    <row r="79" ht="22.5" customHeight="1">
      <c r="A79" s="587" t="s">
        <v>10832</v>
      </c>
      <c r="B79" s="588">
        <v>0.4177314814814815</v>
      </c>
      <c r="C79" s="589" t="s">
        <v>10845</v>
      </c>
      <c r="D79" s="590"/>
      <c r="E79" s="589">
        <v>923002424096</v>
      </c>
      <c r="F79" s="591" t="s">
        <v>6939</v>
      </c>
      <c r="G79" s="589" t="s">
        <v>10846</v>
      </c>
      <c r="H79" s="589" t="s">
        <v>10847</v>
      </c>
      <c r="I79" s="589" t="s">
        <v>10848</v>
      </c>
      <c r="J79" s="589" t="s">
        <v>10849</v>
      </c>
      <c r="K79" s="589">
        <v>4.0</v>
      </c>
      <c r="L79" s="592" t="s">
        <v>376</v>
      </c>
    </row>
    <row r="80" ht="22.5" customHeight="1">
      <c r="A80" s="582" t="s">
        <v>10832</v>
      </c>
      <c r="B80" s="583">
        <v>0.4178587962962963</v>
      </c>
      <c r="C80" s="584" t="s">
        <v>7051</v>
      </c>
      <c r="D80" s="197"/>
      <c r="E80" s="584">
        <v>923172751939</v>
      </c>
      <c r="F80" s="585" t="s">
        <v>6939</v>
      </c>
      <c r="G80" s="584" t="s">
        <v>10850</v>
      </c>
      <c r="H80" s="584" t="s">
        <v>10851</v>
      </c>
      <c r="I80" s="197"/>
      <c r="J80" s="584" t="s">
        <v>10852</v>
      </c>
      <c r="K80" s="584">
        <v>3.0</v>
      </c>
      <c r="L80" s="586" t="s">
        <v>6944</v>
      </c>
    </row>
    <row r="81" ht="22.5" customHeight="1">
      <c r="A81" s="587" t="s">
        <v>10832</v>
      </c>
      <c r="B81" s="588">
        <v>0.417962962962963</v>
      </c>
      <c r="C81" s="589" t="s">
        <v>7057</v>
      </c>
      <c r="D81" s="590"/>
      <c r="E81" s="594">
        <v>923133422519</v>
      </c>
      <c r="F81" s="595" t="s">
        <v>6875</v>
      </c>
      <c r="G81" s="589" t="s">
        <v>10853</v>
      </c>
      <c r="H81" s="589" t="s">
        <v>10854</v>
      </c>
      <c r="I81" s="589" t="s">
        <v>10855</v>
      </c>
      <c r="J81" s="590"/>
      <c r="K81" s="589">
        <v>3.0</v>
      </c>
      <c r="L81" s="592" t="s">
        <v>51</v>
      </c>
    </row>
    <row r="82" ht="22.5" customHeight="1">
      <c r="A82" s="582" t="s">
        <v>10832</v>
      </c>
      <c r="B82" s="583">
        <v>0.4180439814814815</v>
      </c>
      <c r="C82" s="584" t="s">
        <v>7062</v>
      </c>
      <c r="D82" s="197"/>
      <c r="E82" s="584">
        <v>923042839756</v>
      </c>
      <c r="F82" s="609" t="s">
        <v>9302</v>
      </c>
      <c r="G82" s="197"/>
      <c r="H82" s="584" t="s">
        <v>10856</v>
      </c>
      <c r="I82" s="197"/>
      <c r="J82" s="197"/>
      <c r="K82" s="584">
        <v>1.0</v>
      </c>
      <c r="L82" s="586" t="s">
        <v>10857</v>
      </c>
    </row>
    <row r="83" ht="22.5" customHeight="1">
      <c r="A83" s="587" t="s">
        <v>10832</v>
      </c>
      <c r="B83" s="588">
        <v>0.4181597222222222</v>
      </c>
      <c r="C83" s="589" t="s">
        <v>7068</v>
      </c>
      <c r="D83" s="590"/>
      <c r="E83" s="589">
        <v>923353994804</v>
      </c>
      <c r="F83" s="602" t="s">
        <v>6888</v>
      </c>
      <c r="G83" s="590"/>
      <c r="H83" s="589" t="s">
        <v>10858</v>
      </c>
      <c r="I83" s="589" t="s">
        <v>10859</v>
      </c>
      <c r="J83" s="589" t="s">
        <v>10860</v>
      </c>
      <c r="K83" s="589">
        <v>3.0</v>
      </c>
      <c r="L83" s="592" t="s">
        <v>6944</v>
      </c>
    </row>
    <row r="84" ht="22.5" customHeight="1">
      <c r="A84" s="582" t="s">
        <v>10832</v>
      </c>
      <c r="B84" s="583">
        <v>0.4185300925925926</v>
      </c>
      <c r="C84" s="584" t="s">
        <v>7073</v>
      </c>
      <c r="D84" s="197"/>
      <c r="E84" s="597">
        <v>923418959537</v>
      </c>
      <c r="F84" s="598" t="s">
        <v>6875</v>
      </c>
      <c r="G84" s="197"/>
      <c r="H84" s="584" t="s">
        <v>10861</v>
      </c>
      <c r="I84" s="197"/>
      <c r="J84" s="197"/>
      <c r="K84" s="584">
        <v>1.0</v>
      </c>
      <c r="L84" s="586" t="s">
        <v>372</v>
      </c>
    </row>
    <row r="85" ht="22.5" customHeight="1">
      <c r="A85" s="587" t="s">
        <v>10832</v>
      </c>
      <c r="B85" s="588">
        <v>0.4186111111111111</v>
      </c>
      <c r="C85" s="589" t="s">
        <v>10862</v>
      </c>
      <c r="D85" s="589" t="s">
        <v>6886</v>
      </c>
      <c r="E85" s="604" t="s">
        <v>10863</v>
      </c>
      <c r="F85" s="600" t="s">
        <v>6982</v>
      </c>
      <c r="G85" s="590"/>
      <c r="H85" s="589" t="s">
        <v>10864</v>
      </c>
      <c r="I85" s="589" t="s">
        <v>10865</v>
      </c>
      <c r="J85" s="590"/>
      <c r="K85" s="589">
        <v>2.0</v>
      </c>
      <c r="L85" s="592" t="s">
        <v>10866</v>
      </c>
    </row>
    <row r="86" ht="22.5" customHeight="1">
      <c r="A86" s="582" t="s">
        <v>10832</v>
      </c>
      <c r="B86" s="583">
        <v>0.4187268518518519</v>
      </c>
      <c r="C86" s="584" t="s">
        <v>4934</v>
      </c>
      <c r="D86" s="197"/>
      <c r="E86" s="584">
        <v>923214967363</v>
      </c>
      <c r="F86" s="593" t="s">
        <v>6888</v>
      </c>
      <c r="G86" s="584" t="s">
        <v>10867</v>
      </c>
      <c r="H86" s="584" t="s">
        <v>10868</v>
      </c>
      <c r="I86" s="584" t="s">
        <v>10869</v>
      </c>
      <c r="J86" s="584" t="s">
        <v>10870</v>
      </c>
      <c r="K86" s="584">
        <v>4.0</v>
      </c>
      <c r="L86" s="586" t="s">
        <v>10871</v>
      </c>
    </row>
    <row r="87" ht="22.5" customHeight="1">
      <c r="A87" s="587" t="s">
        <v>10832</v>
      </c>
      <c r="B87" s="588">
        <v>0.41881944444444447</v>
      </c>
      <c r="C87" s="589" t="s">
        <v>7083</v>
      </c>
      <c r="D87" s="590"/>
      <c r="E87" s="589">
        <v>923366660985</v>
      </c>
      <c r="F87" s="607" t="s">
        <v>9302</v>
      </c>
      <c r="G87" s="589" t="s">
        <v>10872</v>
      </c>
      <c r="H87" s="589" t="s">
        <v>10873</v>
      </c>
      <c r="I87" s="589" t="s">
        <v>10874</v>
      </c>
      <c r="J87" s="589" t="s">
        <v>10875</v>
      </c>
      <c r="K87" s="589">
        <v>4.0</v>
      </c>
      <c r="L87" s="592" t="s">
        <v>10876</v>
      </c>
    </row>
    <row r="88" ht="22.5" customHeight="1">
      <c r="A88" s="582" t="s">
        <v>10832</v>
      </c>
      <c r="B88" s="583">
        <v>0.4189467592592593</v>
      </c>
      <c r="C88" s="584" t="s">
        <v>7088</v>
      </c>
      <c r="D88" s="197"/>
      <c r="E88" s="584">
        <v>923028233453</v>
      </c>
      <c r="F88" s="603" t="s">
        <v>7291</v>
      </c>
      <c r="G88" s="584" t="s">
        <v>10877</v>
      </c>
      <c r="H88" s="584" t="s">
        <v>10878</v>
      </c>
      <c r="I88" s="197"/>
      <c r="J88" s="584" t="s">
        <v>10879</v>
      </c>
      <c r="K88" s="584">
        <v>3.0</v>
      </c>
      <c r="L88" s="586" t="s">
        <v>685</v>
      </c>
    </row>
    <row r="89" ht="22.5" customHeight="1">
      <c r="A89" s="587" t="s">
        <v>10832</v>
      </c>
      <c r="B89" s="588">
        <v>0.41903935185185187</v>
      </c>
      <c r="C89" s="589" t="s">
        <v>7093</v>
      </c>
      <c r="D89" s="590"/>
      <c r="E89" s="589">
        <v>923047817554</v>
      </c>
      <c r="F89" s="591" t="s">
        <v>6939</v>
      </c>
      <c r="G89" s="589" t="s">
        <v>10880</v>
      </c>
      <c r="H89" s="589" t="s">
        <v>10881</v>
      </c>
      <c r="I89" s="590"/>
      <c r="J89" s="589" t="s">
        <v>10882</v>
      </c>
      <c r="K89" s="589">
        <v>3.0</v>
      </c>
      <c r="L89" s="592" t="s">
        <v>376</v>
      </c>
    </row>
    <row r="90" ht="22.5" customHeight="1">
      <c r="A90" s="582" t="s">
        <v>10832</v>
      </c>
      <c r="B90" s="583">
        <v>0.4191435185185185</v>
      </c>
      <c r="C90" s="584" t="s">
        <v>10883</v>
      </c>
      <c r="D90" s="584" t="s">
        <v>6886</v>
      </c>
      <c r="E90" s="584" t="s">
        <v>10884</v>
      </c>
      <c r="F90" s="596" t="s">
        <v>6982</v>
      </c>
      <c r="G90" s="197"/>
      <c r="H90" s="584" t="s">
        <v>10885</v>
      </c>
      <c r="I90" s="584" t="s">
        <v>10886</v>
      </c>
      <c r="J90" s="197"/>
      <c r="K90" s="584">
        <v>2.0</v>
      </c>
      <c r="L90" s="586" t="s">
        <v>10887</v>
      </c>
    </row>
    <row r="91" ht="22.5" customHeight="1">
      <c r="A91" s="587" t="s">
        <v>10832</v>
      </c>
      <c r="B91" s="588">
        <v>0.4192361111111111</v>
      </c>
      <c r="C91" s="589" t="s">
        <v>7101</v>
      </c>
      <c r="D91" s="590"/>
      <c r="E91" s="594">
        <v>923334312728</v>
      </c>
      <c r="F91" s="595" t="s">
        <v>6875</v>
      </c>
      <c r="G91" s="590"/>
      <c r="H91" s="589" t="s">
        <v>10888</v>
      </c>
      <c r="I91" s="590"/>
      <c r="J91" s="590"/>
      <c r="K91" s="589">
        <v>1.0</v>
      </c>
      <c r="L91" s="592" t="s">
        <v>372</v>
      </c>
    </row>
    <row r="92" ht="22.5" customHeight="1">
      <c r="A92" s="582" t="s">
        <v>10832</v>
      </c>
      <c r="B92" s="583">
        <v>0.41932870370370373</v>
      </c>
      <c r="C92" s="584" t="s">
        <v>7106</v>
      </c>
      <c r="D92" s="197"/>
      <c r="E92" s="584">
        <v>923481938970</v>
      </c>
      <c r="F92" s="585" t="s">
        <v>6939</v>
      </c>
      <c r="G92" s="584" t="s">
        <v>10889</v>
      </c>
      <c r="H92" s="584" t="s">
        <v>10890</v>
      </c>
      <c r="I92" s="197"/>
      <c r="J92" s="584" t="s">
        <v>10891</v>
      </c>
      <c r="K92" s="584">
        <v>3.0</v>
      </c>
      <c r="L92" s="147"/>
    </row>
    <row r="93" ht="22.5" customHeight="1">
      <c r="A93" s="587" t="s">
        <v>10832</v>
      </c>
      <c r="B93" s="588">
        <v>0.4194907407407407</v>
      </c>
      <c r="C93" s="589" t="s">
        <v>10892</v>
      </c>
      <c r="D93" s="590"/>
      <c r="E93" s="594">
        <v>923467744877</v>
      </c>
      <c r="F93" s="595" t="s">
        <v>6875</v>
      </c>
      <c r="G93" s="590"/>
      <c r="H93" s="589" t="s">
        <v>10893</v>
      </c>
      <c r="I93" s="589" t="s">
        <v>10894</v>
      </c>
      <c r="J93" s="590"/>
      <c r="K93" s="589">
        <v>2.0</v>
      </c>
      <c r="L93" s="592" t="s">
        <v>152</v>
      </c>
    </row>
    <row r="94" ht="22.5" customHeight="1">
      <c r="A94" s="582" t="s">
        <v>10832</v>
      </c>
      <c r="B94" s="583">
        <v>0.4195949074074074</v>
      </c>
      <c r="C94" s="584" t="s">
        <v>7111</v>
      </c>
      <c r="D94" s="197"/>
      <c r="E94" s="597">
        <v>923349046474</v>
      </c>
      <c r="F94" s="598" t="s">
        <v>6875</v>
      </c>
      <c r="G94" s="584" t="s">
        <v>10895</v>
      </c>
      <c r="H94" s="584" t="s">
        <v>10896</v>
      </c>
      <c r="I94" s="197"/>
      <c r="J94" s="584" t="s">
        <v>10897</v>
      </c>
      <c r="K94" s="584">
        <v>3.0</v>
      </c>
      <c r="L94" s="586" t="s">
        <v>372</v>
      </c>
    </row>
    <row r="95" ht="22.5" customHeight="1">
      <c r="A95" s="610" t="s">
        <v>10832</v>
      </c>
      <c r="B95" s="611">
        <v>0.4196990740740741</v>
      </c>
      <c r="C95" s="612" t="s">
        <v>7115</v>
      </c>
      <c r="D95" s="613"/>
      <c r="E95" s="612">
        <v>923187200905</v>
      </c>
      <c r="F95" s="605" t="s">
        <v>7291</v>
      </c>
      <c r="G95" s="612" t="s">
        <v>10898</v>
      </c>
      <c r="H95" s="612" t="s">
        <v>10899</v>
      </c>
      <c r="I95" s="613"/>
      <c r="J95" s="612" t="s">
        <v>10900</v>
      </c>
      <c r="K95" s="612">
        <v>3.0</v>
      </c>
      <c r="L95" s="614" t="s">
        <v>10901</v>
      </c>
    </row>
    <row r="96" ht="22.5" customHeight="1">
      <c r="A96" s="582" t="s">
        <v>10832</v>
      </c>
      <c r="B96" s="583">
        <v>0.4197916666666667</v>
      </c>
      <c r="C96" s="584" t="s">
        <v>10902</v>
      </c>
      <c r="D96" s="584" t="s">
        <v>6886</v>
      </c>
      <c r="E96" s="584" t="s">
        <v>10903</v>
      </c>
      <c r="F96" s="585" t="s">
        <v>6939</v>
      </c>
      <c r="G96" s="584" t="s">
        <v>10904</v>
      </c>
      <c r="H96" s="584" t="s">
        <v>10905</v>
      </c>
      <c r="I96" s="584" t="s">
        <v>10906</v>
      </c>
      <c r="J96" s="197"/>
      <c r="K96" s="584">
        <v>3.0</v>
      </c>
      <c r="L96" s="586" t="s">
        <v>6944</v>
      </c>
    </row>
    <row r="97" ht="22.5" customHeight="1">
      <c r="A97" s="587" t="s">
        <v>10832</v>
      </c>
      <c r="B97" s="588">
        <v>0.42</v>
      </c>
      <c r="C97" s="589" t="s">
        <v>7125</v>
      </c>
      <c r="D97" s="590"/>
      <c r="E97" s="589">
        <v>923457704543</v>
      </c>
      <c r="F97" s="605" t="s">
        <v>7291</v>
      </c>
      <c r="G97" s="589" t="s">
        <v>10907</v>
      </c>
      <c r="H97" s="589" t="s">
        <v>10908</v>
      </c>
      <c r="I97" s="589" t="s">
        <v>10909</v>
      </c>
      <c r="J97" s="590"/>
      <c r="K97" s="589">
        <v>2.0</v>
      </c>
      <c r="L97" s="592" t="s">
        <v>1965</v>
      </c>
    </row>
    <row r="98" ht="22.5" customHeight="1">
      <c r="A98" s="582" t="s">
        <v>10832</v>
      </c>
      <c r="B98" s="583">
        <v>0.42011574074074076</v>
      </c>
      <c r="C98" s="584" t="s">
        <v>7130</v>
      </c>
      <c r="D98" s="197"/>
      <c r="E98" s="597">
        <v>923418528473</v>
      </c>
      <c r="F98" s="598" t="s">
        <v>6875</v>
      </c>
      <c r="G98" s="197"/>
      <c r="H98" s="197"/>
      <c r="I98" s="584" t="s">
        <v>10910</v>
      </c>
      <c r="J98" s="197"/>
      <c r="K98" s="584">
        <v>1.0</v>
      </c>
      <c r="L98" s="586" t="s">
        <v>372</v>
      </c>
    </row>
    <row r="99" ht="22.5" customHeight="1">
      <c r="A99" s="587" t="s">
        <v>10832</v>
      </c>
      <c r="B99" s="588">
        <v>0.42042824074074076</v>
      </c>
      <c r="C99" s="589" t="s">
        <v>10911</v>
      </c>
      <c r="D99" s="590"/>
      <c r="E99" s="589">
        <v>923337917298</v>
      </c>
      <c r="F99" s="602" t="s">
        <v>6888</v>
      </c>
      <c r="G99" s="589" t="s">
        <v>10912</v>
      </c>
      <c r="H99" s="589" t="s">
        <v>10913</v>
      </c>
      <c r="I99" s="589" t="s">
        <v>10914</v>
      </c>
      <c r="J99" s="589" t="s">
        <v>10915</v>
      </c>
      <c r="K99" s="589">
        <v>4.0</v>
      </c>
      <c r="L99" s="592" t="s">
        <v>10916</v>
      </c>
    </row>
    <row r="100" ht="22.5" customHeight="1">
      <c r="A100" s="582" t="s">
        <v>10832</v>
      </c>
      <c r="B100" s="583">
        <v>0.46642361111111114</v>
      </c>
      <c r="C100" s="584" t="s">
        <v>10917</v>
      </c>
      <c r="D100" s="197"/>
      <c r="E100" s="584">
        <v>923475777047</v>
      </c>
      <c r="F100" s="585" t="s">
        <v>6939</v>
      </c>
      <c r="G100" s="584" t="s">
        <v>10918</v>
      </c>
      <c r="H100" s="584" t="s">
        <v>10919</v>
      </c>
      <c r="I100" s="584" t="s">
        <v>10920</v>
      </c>
      <c r="J100" s="584" t="s">
        <v>10921</v>
      </c>
      <c r="K100" s="584">
        <v>4.0</v>
      </c>
      <c r="L100" s="147"/>
    </row>
    <row r="101" ht="22.5" customHeight="1">
      <c r="A101" s="587" t="s">
        <v>10832</v>
      </c>
      <c r="B101" s="588">
        <v>0.4729861111111111</v>
      </c>
      <c r="C101" s="589" t="s">
        <v>7134</v>
      </c>
      <c r="D101" s="590"/>
      <c r="E101" s="594">
        <v>923082045675</v>
      </c>
      <c r="F101" s="595" t="s">
        <v>6875</v>
      </c>
      <c r="G101" s="589" t="s">
        <v>10922</v>
      </c>
      <c r="H101" s="589" t="s">
        <v>10923</v>
      </c>
      <c r="I101" s="589" t="s">
        <v>10924</v>
      </c>
      <c r="J101" s="589" t="s">
        <v>10925</v>
      </c>
      <c r="K101" s="589">
        <v>4.0</v>
      </c>
      <c r="L101" s="592" t="s">
        <v>10926</v>
      </c>
    </row>
    <row r="102" ht="22.5" customHeight="1">
      <c r="A102" s="582" t="s">
        <v>10832</v>
      </c>
      <c r="B102" s="583">
        <v>0.49376157407407406</v>
      </c>
      <c r="C102" s="584" t="s">
        <v>10927</v>
      </c>
      <c r="D102" s="197"/>
      <c r="E102" s="584">
        <v>923339198958</v>
      </c>
      <c r="F102" s="585" t="s">
        <v>6939</v>
      </c>
      <c r="G102" s="584" t="s">
        <v>10928</v>
      </c>
      <c r="H102" s="584" t="s">
        <v>10929</v>
      </c>
      <c r="I102" s="584" t="s">
        <v>10930</v>
      </c>
      <c r="J102" s="584" t="s">
        <v>10931</v>
      </c>
      <c r="K102" s="584">
        <v>4.0</v>
      </c>
      <c r="L102" s="586" t="s">
        <v>376</v>
      </c>
    </row>
    <row r="103" ht="22.5" customHeight="1">
      <c r="A103" s="587" t="s">
        <v>10832</v>
      </c>
      <c r="B103" s="588">
        <v>0.642962962962963</v>
      </c>
      <c r="C103" s="589" t="s">
        <v>10932</v>
      </c>
      <c r="D103" s="590"/>
      <c r="E103" s="594">
        <v>923214144822</v>
      </c>
      <c r="F103" s="595" t="s">
        <v>6875</v>
      </c>
      <c r="G103" s="589" t="s">
        <v>10933</v>
      </c>
      <c r="H103" s="589" t="s">
        <v>10934</v>
      </c>
      <c r="I103" s="589" t="s">
        <v>10935</v>
      </c>
      <c r="J103" s="589" t="s">
        <v>10936</v>
      </c>
      <c r="K103" s="589">
        <v>4.0</v>
      </c>
      <c r="L103" s="592" t="s">
        <v>10937</v>
      </c>
    </row>
    <row r="104" ht="22.5" customHeight="1">
      <c r="A104" s="582" t="s">
        <v>10832</v>
      </c>
      <c r="B104" s="583">
        <v>0.6579282407407407</v>
      </c>
      <c r="C104" s="584" t="s">
        <v>10938</v>
      </c>
      <c r="D104" s="197"/>
      <c r="E104" s="584">
        <v>923442484022</v>
      </c>
      <c r="F104" s="603" t="s">
        <v>7291</v>
      </c>
      <c r="G104" s="584" t="s">
        <v>10939</v>
      </c>
      <c r="H104" s="584" t="s">
        <v>10940</v>
      </c>
      <c r="I104" s="584" t="s">
        <v>10941</v>
      </c>
      <c r="J104" s="584" t="s">
        <v>10942</v>
      </c>
      <c r="K104" s="584">
        <v>4.0</v>
      </c>
      <c r="L104" s="586" t="s">
        <v>1418</v>
      </c>
    </row>
    <row r="105" ht="22.5" customHeight="1">
      <c r="A105" s="587" t="s">
        <v>10832</v>
      </c>
      <c r="B105" s="588">
        <v>0.6983101851851852</v>
      </c>
      <c r="C105" s="589" t="s">
        <v>10943</v>
      </c>
      <c r="D105" s="590"/>
      <c r="E105" s="589">
        <v>923214174421</v>
      </c>
      <c r="F105" s="600" t="s">
        <v>6982</v>
      </c>
      <c r="G105" s="589" t="s">
        <v>10944</v>
      </c>
      <c r="H105" s="590"/>
      <c r="I105" s="589" t="s">
        <v>10945</v>
      </c>
      <c r="J105" s="590"/>
      <c r="K105" s="589">
        <v>2.0</v>
      </c>
      <c r="L105" s="592" t="s">
        <v>10946</v>
      </c>
    </row>
    <row r="106" ht="22.5" customHeight="1">
      <c r="A106" s="582" t="s">
        <v>10947</v>
      </c>
      <c r="B106" s="583">
        <v>0.40372685185185186</v>
      </c>
      <c r="C106" s="584" t="s">
        <v>7143</v>
      </c>
      <c r="D106" s="197"/>
      <c r="E106" s="597">
        <v>923099108960</v>
      </c>
      <c r="F106" s="598" t="s">
        <v>6875</v>
      </c>
      <c r="G106" s="197"/>
      <c r="H106" s="584" t="s">
        <v>10948</v>
      </c>
      <c r="I106" s="584" t="s">
        <v>10949</v>
      </c>
      <c r="J106" s="197"/>
      <c r="K106" s="584">
        <v>2.0</v>
      </c>
      <c r="L106" s="586" t="s">
        <v>372</v>
      </c>
    </row>
    <row r="107" ht="22.5" customHeight="1">
      <c r="A107" s="587" t="s">
        <v>10947</v>
      </c>
      <c r="B107" s="588">
        <v>0.40381944444444445</v>
      </c>
      <c r="C107" s="589" t="s">
        <v>10950</v>
      </c>
      <c r="D107" s="590"/>
      <c r="E107" s="594">
        <v>923339066397</v>
      </c>
      <c r="F107" s="595" t="s">
        <v>6875</v>
      </c>
      <c r="G107" s="590"/>
      <c r="H107" s="589" t="s">
        <v>10951</v>
      </c>
      <c r="I107" s="590"/>
      <c r="J107" s="590"/>
      <c r="K107" s="589">
        <v>1.0</v>
      </c>
      <c r="L107" s="592" t="s">
        <v>372</v>
      </c>
    </row>
    <row r="108" ht="22.5" customHeight="1">
      <c r="A108" s="582" t="s">
        <v>10947</v>
      </c>
      <c r="B108" s="583">
        <v>0.40392361111111114</v>
      </c>
      <c r="C108" s="584" t="s">
        <v>7152</v>
      </c>
      <c r="D108" s="197"/>
      <c r="E108" s="584">
        <v>923074582638</v>
      </c>
      <c r="F108" s="596" t="s">
        <v>6982</v>
      </c>
      <c r="G108" s="197"/>
      <c r="H108" s="584" t="s">
        <v>10952</v>
      </c>
      <c r="I108" s="197"/>
      <c r="J108" s="197"/>
      <c r="K108" s="584">
        <v>1.0</v>
      </c>
      <c r="L108" s="586" t="s">
        <v>10953</v>
      </c>
    </row>
    <row r="109" ht="22.5" customHeight="1">
      <c r="A109" s="587" t="s">
        <v>10947</v>
      </c>
      <c r="B109" s="588">
        <v>0.4040162037037037</v>
      </c>
      <c r="C109" s="589" t="s">
        <v>7156</v>
      </c>
      <c r="D109" s="590"/>
      <c r="E109" s="589">
        <v>923054182337</v>
      </c>
      <c r="F109" s="605" t="s">
        <v>7291</v>
      </c>
      <c r="G109" s="589" t="s">
        <v>10954</v>
      </c>
      <c r="H109" s="589" t="s">
        <v>10955</v>
      </c>
      <c r="I109" s="589" t="s">
        <v>10956</v>
      </c>
      <c r="J109" s="589" t="s">
        <v>10957</v>
      </c>
      <c r="K109" s="589">
        <v>4.0</v>
      </c>
      <c r="L109" s="599"/>
    </row>
    <row r="110" ht="22.5" customHeight="1">
      <c r="A110" s="582" t="s">
        <v>10947</v>
      </c>
      <c r="B110" s="583">
        <v>0.40412037037037035</v>
      </c>
      <c r="C110" s="584" t="s">
        <v>7159</v>
      </c>
      <c r="D110" s="197"/>
      <c r="E110" s="597">
        <v>923094748025</v>
      </c>
      <c r="F110" s="598" t="s">
        <v>6875</v>
      </c>
      <c r="G110" s="197"/>
      <c r="H110" s="584" t="s">
        <v>10958</v>
      </c>
      <c r="I110" s="197"/>
      <c r="J110" s="197"/>
      <c r="K110" s="584">
        <v>1.0</v>
      </c>
      <c r="L110" s="586" t="s">
        <v>372</v>
      </c>
    </row>
    <row r="111" ht="22.5" customHeight="1">
      <c r="A111" s="587" t="s">
        <v>10947</v>
      </c>
      <c r="B111" s="588">
        <v>0.4042013888888889</v>
      </c>
      <c r="C111" s="589" t="s">
        <v>10959</v>
      </c>
      <c r="D111" s="590"/>
      <c r="E111" s="589">
        <v>923334319300</v>
      </c>
      <c r="F111" s="591" t="s">
        <v>6939</v>
      </c>
      <c r="G111" s="589" t="s">
        <v>10960</v>
      </c>
      <c r="H111" s="589" t="s">
        <v>10961</v>
      </c>
      <c r="I111" s="589" t="s">
        <v>10962</v>
      </c>
      <c r="J111" s="589" t="s">
        <v>10963</v>
      </c>
      <c r="K111" s="589">
        <v>4.0</v>
      </c>
      <c r="L111" s="592" t="s">
        <v>10964</v>
      </c>
    </row>
    <row r="112" ht="22.5" customHeight="1">
      <c r="A112" s="582" t="s">
        <v>10947</v>
      </c>
      <c r="B112" s="583">
        <v>0.4047222222222222</v>
      </c>
      <c r="C112" s="584" t="s">
        <v>10965</v>
      </c>
      <c r="D112" s="197"/>
      <c r="E112" s="584">
        <v>923329969738</v>
      </c>
      <c r="F112" s="603" t="s">
        <v>7291</v>
      </c>
      <c r="G112" s="584" t="s">
        <v>10966</v>
      </c>
      <c r="H112" s="584" t="s">
        <v>10967</v>
      </c>
      <c r="I112" s="584" t="s">
        <v>10968</v>
      </c>
      <c r="J112" s="197"/>
      <c r="K112" s="584">
        <v>3.0</v>
      </c>
      <c r="L112" s="586" t="s">
        <v>10969</v>
      </c>
    </row>
    <row r="113" ht="22.5" customHeight="1">
      <c r="A113" s="587" t="s">
        <v>10947</v>
      </c>
      <c r="B113" s="588">
        <v>0.4579398148148148</v>
      </c>
      <c r="C113" s="589" t="s">
        <v>10970</v>
      </c>
      <c r="D113" s="590"/>
      <c r="E113" s="594">
        <v>923209454685</v>
      </c>
      <c r="F113" s="595" t="s">
        <v>6875</v>
      </c>
      <c r="G113" s="590"/>
      <c r="H113" s="589" t="s">
        <v>10971</v>
      </c>
      <c r="I113" s="590"/>
      <c r="J113" s="589" t="s">
        <v>10972</v>
      </c>
      <c r="K113" s="589">
        <v>2.0</v>
      </c>
      <c r="L113" s="592" t="s">
        <v>372</v>
      </c>
    </row>
    <row r="114" ht="22.5" customHeight="1">
      <c r="A114" s="582" t="s">
        <v>10947</v>
      </c>
      <c r="B114" s="583">
        <v>0.4891550925925926</v>
      </c>
      <c r="C114" s="584" t="s">
        <v>7167</v>
      </c>
      <c r="D114" s="197"/>
      <c r="E114" s="584">
        <v>923066165734</v>
      </c>
      <c r="F114" s="603" t="s">
        <v>7291</v>
      </c>
      <c r="G114" s="584" t="s">
        <v>10798</v>
      </c>
      <c r="H114" s="584" t="s">
        <v>10973</v>
      </c>
      <c r="I114" s="584" t="s">
        <v>10974</v>
      </c>
      <c r="J114" s="197"/>
      <c r="K114" s="584">
        <v>2.0</v>
      </c>
      <c r="L114" s="586" t="s">
        <v>10975</v>
      </c>
    </row>
    <row r="115" ht="22.5" customHeight="1">
      <c r="A115" s="587" t="s">
        <v>10947</v>
      </c>
      <c r="B115" s="588">
        <v>0.5134027777777778</v>
      </c>
      <c r="C115" s="589" t="s">
        <v>7172</v>
      </c>
      <c r="D115" s="590"/>
      <c r="E115" s="594">
        <v>923103210459</v>
      </c>
      <c r="F115" s="595" t="s">
        <v>6875</v>
      </c>
      <c r="G115" s="590"/>
      <c r="H115" s="589" t="s">
        <v>10976</v>
      </c>
      <c r="I115" s="589" t="s">
        <v>10977</v>
      </c>
      <c r="J115" s="589" t="s">
        <v>10978</v>
      </c>
      <c r="K115" s="589">
        <v>3.0</v>
      </c>
      <c r="L115" s="592" t="s">
        <v>152</v>
      </c>
    </row>
    <row r="116" ht="22.5" customHeight="1">
      <c r="A116" s="582" t="s">
        <v>10947</v>
      </c>
      <c r="B116" s="583">
        <v>0.545625</v>
      </c>
      <c r="C116" s="584" t="s">
        <v>10979</v>
      </c>
      <c r="D116" s="197"/>
      <c r="E116" s="597">
        <v>923214076956</v>
      </c>
      <c r="F116" s="598" t="s">
        <v>6875</v>
      </c>
      <c r="G116" s="197"/>
      <c r="H116" s="197"/>
      <c r="I116" s="584" t="s">
        <v>10980</v>
      </c>
      <c r="J116" s="584" t="s">
        <v>10981</v>
      </c>
      <c r="K116" s="584">
        <v>2.0</v>
      </c>
      <c r="L116" s="147"/>
    </row>
    <row r="117" ht="22.5" customHeight="1">
      <c r="A117" s="587" t="s">
        <v>10947</v>
      </c>
      <c r="B117" s="588">
        <v>0.5513425925925926</v>
      </c>
      <c r="C117" s="589" t="s">
        <v>10982</v>
      </c>
      <c r="D117" s="590"/>
      <c r="E117" s="594">
        <v>923220225753</v>
      </c>
      <c r="F117" s="595" t="s">
        <v>6875</v>
      </c>
      <c r="G117" s="590"/>
      <c r="H117" s="590"/>
      <c r="I117" s="589" t="s">
        <v>10983</v>
      </c>
      <c r="J117" s="590"/>
      <c r="K117" s="589">
        <v>1.0</v>
      </c>
      <c r="L117" s="592" t="s">
        <v>372</v>
      </c>
    </row>
    <row r="118" ht="22.5" customHeight="1">
      <c r="A118" s="582" t="s">
        <v>10947</v>
      </c>
      <c r="B118" s="583">
        <v>0.6287847222222223</v>
      </c>
      <c r="C118" s="584" t="s">
        <v>7175</v>
      </c>
      <c r="D118" s="197"/>
      <c r="E118" s="584">
        <v>923229568139</v>
      </c>
      <c r="F118" s="585" t="s">
        <v>6939</v>
      </c>
      <c r="G118" s="584" t="s">
        <v>10984</v>
      </c>
      <c r="H118" s="584" t="s">
        <v>10985</v>
      </c>
      <c r="I118" s="584" t="s">
        <v>10986</v>
      </c>
      <c r="J118" s="584" t="s">
        <v>10987</v>
      </c>
      <c r="K118" s="584">
        <v>4.0</v>
      </c>
      <c r="L118" s="147"/>
    </row>
    <row r="119" ht="22.5" customHeight="1">
      <c r="A119" s="587" t="s">
        <v>10947</v>
      </c>
      <c r="B119" s="588">
        <v>0.6289351851851852</v>
      </c>
      <c r="C119" s="589" t="s">
        <v>10988</v>
      </c>
      <c r="D119" s="589" t="s">
        <v>6886</v>
      </c>
      <c r="E119" s="615" t="s">
        <v>10989</v>
      </c>
      <c r="F119" s="595" t="s">
        <v>6875</v>
      </c>
      <c r="G119" s="590"/>
      <c r="H119" s="590"/>
      <c r="I119" s="589" t="s">
        <v>10990</v>
      </c>
      <c r="J119" s="589" t="s">
        <v>10991</v>
      </c>
      <c r="K119" s="589">
        <v>2.0</v>
      </c>
      <c r="L119" s="592" t="s">
        <v>51</v>
      </c>
    </row>
    <row r="120" ht="22.5" customHeight="1">
      <c r="A120" s="582" t="s">
        <v>10947</v>
      </c>
      <c r="B120" s="583">
        <v>0.6955324074074074</v>
      </c>
      <c r="C120" s="584" t="s">
        <v>5762</v>
      </c>
      <c r="D120" s="197"/>
      <c r="E120" s="597">
        <v>923008567136</v>
      </c>
      <c r="F120" s="598" t="s">
        <v>6875</v>
      </c>
      <c r="G120" s="197"/>
      <c r="H120" s="584" t="s">
        <v>10992</v>
      </c>
      <c r="I120" s="197"/>
      <c r="J120" s="584" t="s">
        <v>10993</v>
      </c>
      <c r="K120" s="584">
        <v>2.0</v>
      </c>
      <c r="L120" s="586" t="s">
        <v>372</v>
      </c>
    </row>
    <row r="121" ht="22.5" customHeight="1">
      <c r="A121" s="587" t="s">
        <v>10994</v>
      </c>
      <c r="B121" s="588">
        <v>0.4162152777777778</v>
      </c>
      <c r="C121" s="589" t="s">
        <v>10995</v>
      </c>
      <c r="D121" s="590"/>
      <c r="E121" s="594">
        <v>923290103630</v>
      </c>
      <c r="F121" s="595" t="s">
        <v>6875</v>
      </c>
      <c r="G121" s="590"/>
      <c r="H121" s="589" t="s">
        <v>10996</v>
      </c>
      <c r="I121" s="589" t="s">
        <v>10997</v>
      </c>
      <c r="J121" s="589" t="s">
        <v>10998</v>
      </c>
      <c r="K121" s="589">
        <v>3.0</v>
      </c>
      <c r="L121" s="592" t="s">
        <v>372</v>
      </c>
    </row>
    <row r="122" ht="22.5" customHeight="1">
      <c r="A122" s="582" t="s">
        <v>10994</v>
      </c>
      <c r="B122" s="583">
        <v>0.4171064814814815</v>
      </c>
      <c r="C122" s="584" t="s">
        <v>10999</v>
      </c>
      <c r="D122" s="197"/>
      <c r="E122" s="584">
        <v>923369993608</v>
      </c>
      <c r="F122" s="603" t="s">
        <v>7291</v>
      </c>
      <c r="G122" s="584" t="s">
        <v>11000</v>
      </c>
      <c r="H122" s="584" t="s">
        <v>11001</v>
      </c>
      <c r="I122" s="584" t="s">
        <v>11002</v>
      </c>
      <c r="J122" s="584" t="s">
        <v>11003</v>
      </c>
      <c r="K122" s="584">
        <v>3.0</v>
      </c>
      <c r="L122" s="586" t="s">
        <v>11004</v>
      </c>
    </row>
    <row r="123" ht="22.5" customHeight="1">
      <c r="A123" s="587" t="s">
        <v>10994</v>
      </c>
      <c r="B123" s="588">
        <v>0.41726851851851854</v>
      </c>
      <c r="C123" s="589" t="s">
        <v>11005</v>
      </c>
      <c r="D123" s="590"/>
      <c r="E123" s="589">
        <v>923219132316</v>
      </c>
      <c r="F123" s="605" t="s">
        <v>7291</v>
      </c>
      <c r="G123" s="589" t="s">
        <v>11006</v>
      </c>
      <c r="H123" s="589" t="s">
        <v>11007</v>
      </c>
      <c r="I123" s="589" t="s">
        <v>11008</v>
      </c>
      <c r="J123" s="589" t="s">
        <v>11009</v>
      </c>
      <c r="K123" s="589">
        <v>3.0</v>
      </c>
      <c r="L123" s="592" t="s">
        <v>6944</v>
      </c>
    </row>
    <row r="124" ht="22.5" customHeight="1">
      <c r="A124" s="582" t="s">
        <v>10994</v>
      </c>
      <c r="B124" s="583">
        <v>0.41738425925925926</v>
      </c>
      <c r="C124" s="584" t="s">
        <v>11010</v>
      </c>
      <c r="D124" s="197"/>
      <c r="E124" s="584">
        <v>923179763447</v>
      </c>
      <c r="F124" s="603" t="s">
        <v>7291</v>
      </c>
      <c r="G124" s="584" t="s">
        <v>11011</v>
      </c>
      <c r="H124" s="584" t="s">
        <v>11012</v>
      </c>
      <c r="I124" s="584" t="s">
        <v>11013</v>
      </c>
      <c r="J124" s="584" t="s">
        <v>11014</v>
      </c>
      <c r="K124" s="584">
        <v>3.0</v>
      </c>
      <c r="L124" s="586" t="s">
        <v>6944</v>
      </c>
    </row>
    <row r="125" ht="22.5" customHeight="1">
      <c r="A125" s="587" t="s">
        <v>10994</v>
      </c>
      <c r="B125" s="588">
        <v>0.417974537037037</v>
      </c>
      <c r="C125" s="589" t="s">
        <v>7180</v>
      </c>
      <c r="D125" s="590"/>
      <c r="E125" s="594">
        <v>923213867016</v>
      </c>
      <c r="F125" s="595" t="s">
        <v>6875</v>
      </c>
      <c r="G125" s="590"/>
      <c r="H125" s="589" t="s">
        <v>11015</v>
      </c>
      <c r="I125" s="589" t="s">
        <v>11016</v>
      </c>
      <c r="J125" s="589" t="s">
        <v>11017</v>
      </c>
      <c r="K125" s="589">
        <v>3.0</v>
      </c>
      <c r="L125" s="592" t="s">
        <v>51</v>
      </c>
    </row>
    <row r="126" ht="22.5" customHeight="1">
      <c r="A126" s="582" t="s">
        <v>10994</v>
      </c>
      <c r="B126" s="583">
        <v>0.4180671296296296</v>
      </c>
      <c r="C126" s="584" t="s">
        <v>7182</v>
      </c>
      <c r="D126" s="584" t="s">
        <v>6886</v>
      </c>
      <c r="E126" s="584" t="s">
        <v>11018</v>
      </c>
      <c r="F126" s="596" t="s">
        <v>6982</v>
      </c>
      <c r="G126" s="197"/>
      <c r="H126" s="584" t="s">
        <v>11019</v>
      </c>
      <c r="I126" s="197"/>
      <c r="J126" s="584" t="s">
        <v>11020</v>
      </c>
      <c r="K126" s="584">
        <v>2.0</v>
      </c>
      <c r="L126" s="147"/>
    </row>
    <row r="127" ht="22.5" customHeight="1">
      <c r="A127" s="587" t="s">
        <v>10994</v>
      </c>
      <c r="B127" s="588">
        <v>0.4183101851851852</v>
      </c>
      <c r="C127" s="589" t="s">
        <v>11021</v>
      </c>
      <c r="D127" s="590"/>
      <c r="E127" s="594">
        <v>923400035425</v>
      </c>
      <c r="F127" s="595" t="s">
        <v>6875</v>
      </c>
      <c r="G127" s="590"/>
      <c r="H127" s="589" t="s">
        <v>11022</v>
      </c>
      <c r="I127" s="589" t="s">
        <v>11023</v>
      </c>
      <c r="J127" s="590"/>
      <c r="K127" s="589">
        <v>2.0</v>
      </c>
      <c r="L127" s="592" t="s">
        <v>11024</v>
      </c>
    </row>
    <row r="128" ht="22.5" customHeight="1">
      <c r="A128" s="582" t="s">
        <v>10994</v>
      </c>
      <c r="B128" s="583">
        <v>0.4184375</v>
      </c>
      <c r="C128" s="584" t="s">
        <v>11025</v>
      </c>
      <c r="D128" s="197"/>
      <c r="E128" s="584">
        <v>923172780549</v>
      </c>
      <c r="F128" s="585" t="s">
        <v>6939</v>
      </c>
      <c r="G128" s="584" t="s">
        <v>11026</v>
      </c>
      <c r="H128" s="584" t="s">
        <v>11027</v>
      </c>
      <c r="I128" s="584" t="s">
        <v>11028</v>
      </c>
      <c r="J128" s="584" t="s">
        <v>11029</v>
      </c>
      <c r="K128" s="584">
        <v>4.0</v>
      </c>
      <c r="L128" s="147"/>
    </row>
    <row r="129" ht="22.5" customHeight="1">
      <c r="A129" s="587" t="s">
        <v>10994</v>
      </c>
      <c r="B129" s="588">
        <v>0.4185185185185185</v>
      </c>
      <c r="C129" s="589" t="s">
        <v>7188</v>
      </c>
      <c r="D129" s="590"/>
      <c r="E129" s="594">
        <v>923206335744</v>
      </c>
      <c r="F129" s="595" t="s">
        <v>6875</v>
      </c>
      <c r="G129" s="590"/>
      <c r="H129" s="589" t="s">
        <v>11030</v>
      </c>
      <c r="I129" s="590"/>
      <c r="J129" s="590"/>
      <c r="K129" s="589">
        <v>1.0</v>
      </c>
      <c r="L129" s="592" t="s">
        <v>372</v>
      </c>
    </row>
    <row r="130" ht="22.5" customHeight="1">
      <c r="A130" s="582" t="s">
        <v>10994</v>
      </c>
      <c r="B130" s="583">
        <v>0.49149305555555556</v>
      </c>
      <c r="C130" s="584" t="s">
        <v>11031</v>
      </c>
      <c r="D130" s="197"/>
      <c r="E130" s="597">
        <v>923436107803</v>
      </c>
      <c r="F130" s="598" t="s">
        <v>6875</v>
      </c>
      <c r="G130" s="197"/>
      <c r="H130" s="584" t="s">
        <v>11032</v>
      </c>
      <c r="I130" s="197"/>
      <c r="J130" s="197"/>
      <c r="K130" s="584">
        <v>1.0</v>
      </c>
      <c r="L130" s="586" t="s">
        <v>7851</v>
      </c>
    </row>
    <row r="131" ht="22.5" customHeight="1">
      <c r="A131" s="587" t="s">
        <v>10994</v>
      </c>
      <c r="B131" s="588">
        <v>0.48378472222222224</v>
      </c>
      <c r="C131" s="589" t="s">
        <v>7195</v>
      </c>
      <c r="D131" s="590"/>
      <c r="E131" s="589">
        <v>923010850850</v>
      </c>
      <c r="F131" s="605" t="s">
        <v>7291</v>
      </c>
      <c r="G131" s="589" t="s">
        <v>11033</v>
      </c>
      <c r="H131" s="589" t="s">
        <v>11034</v>
      </c>
      <c r="I131" s="590"/>
      <c r="J131" s="590"/>
      <c r="K131" s="589">
        <v>2.0</v>
      </c>
      <c r="L131" s="592" t="s">
        <v>11035</v>
      </c>
    </row>
    <row r="132" ht="22.5" customHeight="1">
      <c r="A132" s="582" t="s">
        <v>10994</v>
      </c>
      <c r="B132" s="583">
        <v>0.5047800925925926</v>
      </c>
      <c r="C132" s="584" t="s">
        <v>1135</v>
      </c>
      <c r="D132" s="197"/>
      <c r="E132" s="584">
        <v>923145666143</v>
      </c>
      <c r="F132" s="609" t="s">
        <v>9302</v>
      </c>
      <c r="G132" s="584" t="s">
        <v>11006</v>
      </c>
      <c r="H132" s="584" t="s">
        <v>11036</v>
      </c>
      <c r="I132" s="584" t="s">
        <v>11037</v>
      </c>
      <c r="J132" s="584" t="s">
        <v>11038</v>
      </c>
      <c r="K132" s="584">
        <v>4.0</v>
      </c>
      <c r="L132" s="586" t="s">
        <v>685</v>
      </c>
    </row>
    <row r="133" ht="22.5" customHeight="1">
      <c r="A133" s="587" t="s">
        <v>10994</v>
      </c>
      <c r="B133" s="588">
        <v>0.5093402777777778</v>
      </c>
      <c r="C133" s="589" t="s">
        <v>11039</v>
      </c>
      <c r="D133" s="590"/>
      <c r="E133" s="589">
        <v>923088372706</v>
      </c>
      <c r="F133" s="591" t="s">
        <v>6939</v>
      </c>
      <c r="G133" s="589" t="s">
        <v>11040</v>
      </c>
      <c r="H133" s="589" t="s">
        <v>11041</v>
      </c>
      <c r="I133" s="589" t="s">
        <v>11042</v>
      </c>
      <c r="J133" s="589" t="s">
        <v>11043</v>
      </c>
      <c r="K133" s="589">
        <v>4.0</v>
      </c>
      <c r="L133" s="599"/>
    </row>
    <row r="134" ht="22.5" customHeight="1">
      <c r="A134" s="582" t="s">
        <v>10994</v>
      </c>
      <c r="B134" s="583">
        <v>0.6036574074074074</v>
      </c>
      <c r="C134" s="584" t="s">
        <v>11044</v>
      </c>
      <c r="D134" s="197"/>
      <c r="E134" s="584">
        <v>923109442248</v>
      </c>
      <c r="F134" s="603" t="s">
        <v>7291</v>
      </c>
      <c r="G134" s="584" t="s">
        <v>11045</v>
      </c>
      <c r="H134" s="584" t="s">
        <v>11046</v>
      </c>
      <c r="I134" s="584" t="s">
        <v>11047</v>
      </c>
      <c r="J134" s="584" t="s">
        <v>11048</v>
      </c>
      <c r="K134" s="584">
        <v>4.0</v>
      </c>
      <c r="L134" s="586" t="s">
        <v>685</v>
      </c>
    </row>
    <row r="135" ht="22.5" customHeight="1">
      <c r="A135" s="587" t="s">
        <v>10994</v>
      </c>
      <c r="B135" s="588">
        <v>0.642800925925926</v>
      </c>
      <c r="C135" s="589" t="s">
        <v>11049</v>
      </c>
      <c r="D135" s="589" t="s">
        <v>6886</v>
      </c>
      <c r="E135" s="615" t="s">
        <v>11050</v>
      </c>
      <c r="F135" s="595" t="s">
        <v>6875</v>
      </c>
      <c r="G135" s="589" t="s">
        <v>11051</v>
      </c>
      <c r="H135" s="589" t="s">
        <v>11052</v>
      </c>
      <c r="I135" s="589" t="s">
        <v>11053</v>
      </c>
      <c r="J135" s="589" t="s">
        <v>11054</v>
      </c>
      <c r="K135" s="589">
        <v>4.0</v>
      </c>
      <c r="L135" s="592" t="s">
        <v>11055</v>
      </c>
    </row>
    <row r="136" ht="22.5" customHeight="1">
      <c r="A136" s="582" t="s">
        <v>10994</v>
      </c>
      <c r="B136" s="583">
        <v>0.6428819444444445</v>
      </c>
      <c r="C136" s="584" t="s">
        <v>7207</v>
      </c>
      <c r="D136" s="197"/>
      <c r="E136" s="584">
        <v>923212992899</v>
      </c>
      <c r="F136" s="603" t="s">
        <v>7291</v>
      </c>
      <c r="G136" s="584" t="s">
        <v>11056</v>
      </c>
      <c r="H136" s="584" t="s">
        <v>11057</v>
      </c>
      <c r="I136" s="584" t="s">
        <v>11058</v>
      </c>
      <c r="J136" s="584" t="s">
        <v>11059</v>
      </c>
      <c r="K136" s="584">
        <v>4.0</v>
      </c>
      <c r="L136" s="586" t="s">
        <v>11060</v>
      </c>
    </row>
    <row r="137" ht="22.5" customHeight="1">
      <c r="A137" s="587" t="s">
        <v>10994</v>
      </c>
      <c r="B137" s="588">
        <v>0.7095138888888889</v>
      </c>
      <c r="C137" s="589" t="s">
        <v>11061</v>
      </c>
      <c r="D137" s="589" t="s">
        <v>6886</v>
      </c>
      <c r="E137" s="604" t="s">
        <v>11062</v>
      </c>
      <c r="F137" s="605" t="s">
        <v>7291</v>
      </c>
      <c r="G137" s="589" t="s">
        <v>11063</v>
      </c>
      <c r="H137" s="589" t="s">
        <v>11064</v>
      </c>
      <c r="I137" s="589" t="s">
        <v>11065</v>
      </c>
      <c r="J137" s="589" t="s">
        <v>11066</v>
      </c>
      <c r="K137" s="589">
        <v>4.0</v>
      </c>
      <c r="L137" s="592" t="s">
        <v>908</v>
      </c>
    </row>
    <row r="138" ht="22.5" customHeight="1">
      <c r="A138" s="582" t="s">
        <v>11067</v>
      </c>
      <c r="B138" s="583">
        <v>0.4239236111111111</v>
      </c>
      <c r="C138" s="584" t="s">
        <v>11068</v>
      </c>
      <c r="D138" s="197"/>
      <c r="E138" s="584">
        <v>923005527728</v>
      </c>
      <c r="F138" s="603" t="s">
        <v>7291</v>
      </c>
      <c r="G138" s="584" t="s">
        <v>11069</v>
      </c>
      <c r="H138" s="584" t="s">
        <v>11070</v>
      </c>
      <c r="I138" s="584" t="s">
        <v>11071</v>
      </c>
      <c r="J138" s="584" t="s">
        <v>11072</v>
      </c>
      <c r="K138" s="584">
        <v>3.0</v>
      </c>
      <c r="L138" s="586" t="s">
        <v>11073</v>
      </c>
    </row>
    <row r="139" ht="22.5" customHeight="1">
      <c r="A139" s="587" t="s">
        <v>11067</v>
      </c>
      <c r="B139" s="588">
        <v>0.4241087962962963</v>
      </c>
      <c r="C139" s="589" t="s">
        <v>11074</v>
      </c>
      <c r="D139" s="589" t="s">
        <v>6886</v>
      </c>
      <c r="E139" s="615" t="s">
        <v>11075</v>
      </c>
      <c r="F139" s="595" t="s">
        <v>6875</v>
      </c>
      <c r="G139" s="590"/>
      <c r="H139" s="589" t="s">
        <v>11076</v>
      </c>
      <c r="I139" s="590"/>
      <c r="J139" s="589" t="s">
        <v>11077</v>
      </c>
      <c r="K139" s="589">
        <v>2.0</v>
      </c>
      <c r="L139" s="592" t="s">
        <v>1950</v>
      </c>
    </row>
    <row r="140" ht="22.5" customHeight="1">
      <c r="A140" s="582" t="s">
        <v>11067</v>
      </c>
      <c r="B140" s="583">
        <v>0.42420138888888886</v>
      </c>
      <c r="C140" s="584" t="s">
        <v>11078</v>
      </c>
      <c r="D140" s="197"/>
      <c r="E140" s="597">
        <v>923365856295</v>
      </c>
      <c r="F140" s="598" t="s">
        <v>6875</v>
      </c>
      <c r="G140" s="197"/>
      <c r="H140" s="584" t="s">
        <v>11079</v>
      </c>
      <c r="I140" s="584" t="s">
        <v>11080</v>
      </c>
      <c r="J140" s="584" t="s">
        <v>11081</v>
      </c>
      <c r="K140" s="584">
        <v>3.0</v>
      </c>
      <c r="L140" s="586" t="s">
        <v>685</v>
      </c>
    </row>
    <row r="141" ht="22.5" customHeight="1">
      <c r="A141" s="587" t="s">
        <v>11067</v>
      </c>
      <c r="B141" s="588">
        <v>0.4242939814814815</v>
      </c>
      <c r="C141" s="589" t="s">
        <v>11082</v>
      </c>
      <c r="D141" s="590"/>
      <c r="E141" s="594">
        <v>923214186149</v>
      </c>
      <c r="F141" s="595" t="s">
        <v>6875</v>
      </c>
      <c r="G141" s="590"/>
      <c r="H141" s="589" t="s">
        <v>11083</v>
      </c>
      <c r="I141" s="589" t="s">
        <v>11084</v>
      </c>
      <c r="J141" s="589" t="s">
        <v>11085</v>
      </c>
      <c r="K141" s="589">
        <v>3.0</v>
      </c>
      <c r="L141" s="592" t="s">
        <v>376</v>
      </c>
    </row>
    <row r="142" ht="22.5" customHeight="1">
      <c r="A142" s="582" t="s">
        <v>11067</v>
      </c>
      <c r="B142" s="583">
        <v>0.42443287037037036</v>
      </c>
      <c r="C142" s="584" t="s">
        <v>7216</v>
      </c>
      <c r="D142" s="197"/>
      <c r="E142" s="584">
        <v>923456989083</v>
      </c>
      <c r="F142" s="603" t="s">
        <v>7291</v>
      </c>
      <c r="G142" s="584" t="s">
        <v>11086</v>
      </c>
      <c r="H142" s="584" t="s">
        <v>11087</v>
      </c>
      <c r="I142" s="584" t="s">
        <v>11088</v>
      </c>
      <c r="J142" s="584" t="s">
        <v>11089</v>
      </c>
      <c r="K142" s="584">
        <v>4.0</v>
      </c>
      <c r="L142" s="586" t="s">
        <v>11090</v>
      </c>
    </row>
    <row r="143" ht="22.5" customHeight="1">
      <c r="A143" s="587" t="s">
        <v>11067</v>
      </c>
      <c r="B143" s="588">
        <v>0.42453703703703705</v>
      </c>
      <c r="C143" s="589" t="s">
        <v>7221</v>
      </c>
      <c r="D143" s="590"/>
      <c r="E143" s="589">
        <v>923214524341</v>
      </c>
      <c r="F143" s="591" t="s">
        <v>6939</v>
      </c>
      <c r="G143" s="589" t="s">
        <v>11091</v>
      </c>
      <c r="H143" s="589" t="s">
        <v>11092</v>
      </c>
      <c r="I143" s="589" t="s">
        <v>11093</v>
      </c>
      <c r="J143" s="589" t="s">
        <v>11094</v>
      </c>
      <c r="K143" s="589">
        <v>4.0</v>
      </c>
      <c r="L143" s="592" t="s">
        <v>10937</v>
      </c>
    </row>
    <row r="144" ht="22.5" customHeight="1">
      <c r="A144" s="582" t="s">
        <v>11067</v>
      </c>
      <c r="B144" s="583">
        <v>0.42464120370370373</v>
      </c>
      <c r="C144" s="584" t="s">
        <v>7226</v>
      </c>
      <c r="D144" s="197"/>
      <c r="E144" s="584">
        <v>923425340084</v>
      </c>
      <c r="F144" s="609" t="s">
        <v>9302</v>
      </c>
      <c r="G144" s="584" t="s">
        <v>11095</v>
      </c>
      <c r="H144" s="584" t="s">
        <v>11096</v>
      </c>
      <c r="I144" s="584" t="s">
        <v>11097</v>
      </c>
      <c r="J144" s="584" t="s">
        <v>11098</v>
      </c>
      <c r="K144" s="584">
        <v>4.0</v>
      </c>
      <c r="L144" s="586" t="s">
        <v>11099</v>
      </c>
    </row>
    <row r="145" ht="22.5" customHeight="1">
      <c r="A145" s="587" t="s">
        <v>11067</v>
      </c>
      <c r="B145" s="588">
        <v>0.42474537037037036</v>
      </c>
      <c r="C145" s="589" t="s">
        <v>7231</v>
      </c>
      <c r="D145" s="590"/>
      <c r="E145" s="589">
        <v>923231424765</v>
      </c>
      <c r="F145" s="591" t="s">
        <v>6939</v>
      </c>
      <c r="G145" s="589" t="s">
        <v>11100</v>
      </c>
      <c r="H145" s="589" t="s">
        <v>11101</v>
      </c>
      <c r="I145" s="589" t="s">
        <v>11102</v>
      </c>
      <c r="J145" s="589" t="s">
        <v>11103</v>
      </c>
      <c r="K145" s="589">
        <v>4.0</v>
      </c>
      <c r="L145" s="599"/>
    </row>
    <row r="146" ht="22.5" customHeight="1">
      <c r="A146" s="582" t="s">
        <v>11067</v>
      </c>
      <c r="B146" s="583">
        <v>0.42486111111111113</v>
      </c>
      <c r="C146" s="584" t="s">
        <v>7236</v>
      </c>
      <c r="D146" s="197"/>
      <c r="E146" s="584">
        <v>923057170192</v>
      </c>
      <c r="F146" s="609" t="s">
        <v>9302</v>
      </c>
      <c r="G146" s="197"/>
      <c r="H146" s="584" t="s">
        <v>11104</v>
      </c>
      <c r="I146" s="584" t="s">
        <v>11105</v>
      </c>
      <c r="J146" s="584" t="s">
        <v>11106</v>
      </c>
      <c r="K146" s="584">
        <v>3.0</v>
      </c>
      <c r="L146" s="586" t="s">
        <v>927</v>
      </c>
    </row>
    <row r="147" ht="22.5" customHeight="1">
      <c r="A147" s="587" t="s">
        <v>11067</v>
      </c>
      <c r="B147" s="588">
        <v>0.42939814814814814</v>
      </c>
      <c r="C147" s="589" t="s">
        <v>11107</v>
      </c>
      <c r="D147" s="590"/>
      <c r="E147" s="589">
        <v>923074416863</v>
      </c>
      <c r="F147" s="600" t="s">
        <v>6982</v>
      </c>
      <c r="G147" s="590"/>
      <c r="H147" s="589" t="s">
        <v>11108</v>
      </c>
      <c r="I147" s="590"/>
      <c r="J147" s="590"/>
      <c r="K147" s="589">
        <v>1.0</v>
      </c>
      <c r="L147" s="592" t="s">
        <v>11109</v>
      </c>
    </row>
    <row r="148" ht="22.5" customHeight="1">
      <c r="A148" s="582" t="s">
        <v>11067</v>
      </c>
      <c r="B148" s="583">
        <v>0.43019675925925926</v>
      </c>
      <c r="C148" s="584" t="s">
        <v>7241</v>
      </c>
      <c r="D148" s="197"/>
      <c r="E148" s="584">
        <v>923111758237</v>
      </c>
      <c r="F148" s="585" t="s">
        <v>6939</v>
      </c>
      <c r="G148" s="584" t="s">
        <v>11110</v>
      </c>
      <c r="H148" s="584" t="s">
        <v>11111</v>
      </c>
      <c r="I148" s="584" t="s">
        <v>11112</v>
      </c>
      <c r="J148" s="584" t="s">
        <v>11113</v>
      </c>
      <c r="K148" s="584">
        <v>4.0</v>
      </c>
      <c r="L148" s="147"/>
    </row>
    <row r="149" ht="22.5" customHeight="1">
      <c r="A149" s="587" t="s">
        <v>11067</v>
      </c>
      <c r="B149" s="588">
        <v>0.4303587962962963</v>
      </c>
      <c r="C149" s="589" t="s">
        <v>11114</v>
      </c>
      <c r="D149" s="589" t="s">
        <v>6886</v>
      </c>
      <c r="E149" s="604" t="s">
        <v>11115</v>
      </c>
      <c r="F149" s="605" t="s">
        <v>7291</v>
      </c>
      <c r="G149" s="589" t="s">
        <v>11116</v>
      </c>
      <c r="H149" s="589" t="s">
        <v>11117</v>
      </c>
      <c r="I149" s="589" t="s">
        <v>11118</v>
      </c>
      <c r="J149" s="589" t="s">
        <v>11119</v>
      </c>
      <c r="K149" s="589">
        <v>3.0</v>
      </c>
      <c r="L149" s="592" t="s">
        <v>11120</v>
      </c>
    </row>
    <row r="150" ht="22.5" customHeight="1">
      <c r="A150" s="582" t="s">
        <v>11067</v>
      </c>
      <c r="B150" s="583">
        <v>0.43046296296296294</v>
      </c>
      <c r="C150" s="584" t="s">
        <v>7252</v>
      </c>
      <c r="D150" s="197"/>
      <c r="E150" s="584">
        <v>923047733597</v>
      </c>
      <c r="F150" s="603" t="s">
        <v>7291</v>
      </c>
      <c r="G150" s="584" t="s">
        <v>11121</v>
      </c>
      <c r="H150" s="584" t="s">
        <v>11122</v>
      </c>
      <c r="I150" s="584" t="s">
        <v>11123</v>
      </c>
      <c r="J150" s="584" t="s">
        <v>11124</v>
      </c>
      <c r="K150" s="584">
        <v>3.0</v>
      </c>
      <c r="L150" s="586" t="s">
        <v>376</v>
      </c>
    </row>
    <row r="151" ht="22.5" customHeight="1">
      <c r="A151" s="587" t="s">
        <v>11067</v>
      </c>
      <c r="B151" s="588">
        <v>0.4305671296296296</v>
      </c>
      <c r="C151" s="589" t="s">
        <v>7257</v>
      </c>
      <c r="D151" s="590"/>
      <c r="E151" s="594">
        <v>923446961213</v>
      </c>
      <c r="F151" s="595" t="s">
        <v>6875</v>
      </c>
      <c r="G151" s="590"/>
      <c r="H151" s="589" t="s">
        <v>11125</v>
      </c>
      <c r="I151" s="590"/>
      <c r="J151" s="590"/>
      <c r="K151" s="589">
        <v>1.0</v>
      </c>
      <c r="L151" s="592" t="s">
        <v>372</v>
      </c>
    </row>
    <row r="152" ht="22.5" customHeight="1">
      <c r="A152" s="582" t="s">
        <v>11067</v>
      </c>
      <c r="B152" s="583">
        <v>0.43069444444444444</v>
      </c>
      <c r="C152" s="584" t="s">
        <v>11126</v>
      </c>
      <c r="D152" s="584" t="s">
        <v>6886</v>
      </c>
      <c r="E152" s="616" t="s">
        <v>11127</v>
      </c>
      <c r="F152" s="598" t="s">
        <v>6875</v>
      </c>
      <c r="G152" s="197"/>
      <c r="H152" s="584" t="s">
        <v>11128</v>
      </c>
      <c r="I152" s="584" t="s">
        <v>11129</v>
      </c>
      <c r="J152" s="584" t="s">
        <v>11130</v>
      </c>
      <c r="K152" s="584">
        <v>3.0</v>
      </c>
      <c r="L152" s="586" t="s">
        <v>372</v>
      </c>
    </row>
    <row r="153" ht="22.5" customHeight="1">
      <c r="A153" s="587" t="s">
        <v>11067</v>
      </c>
      <c r="B153" s="588">
        <v>0.430787037037037</v>
      </c>
      <c r="C153" s="589" t="s">
        <v>11131</v>
      </c>
      <c r="D153" s="589" t="s">
        <v>6886</v>
      </c>
      <c r="E153" s="604" t="s">
        <v>11132</v>
      </c>
      <c r="F153" s="608" t="s">
        <v>656</v>
      </c>
      <c r="G153" s="590"/>
      <c r="H153" s="589" t="s">
        <v>11133</v>
      </c>
      <c r="I153" s="589" t="s">
        <v>11134</v>
      </c>
      <c r="J153" s="589" t="s">
        <v>11135</v>
      </c>
      <c r="K153" s="589">
        <v>3.0</v>
      </c>
      <c r="L153" s="592" t="s">
        <v>11136</v>
      </c>
    </row>
    <row r="154" ht="22.5" customHeight="1">
      <c r="A154" s="582" t="s">
        <v>11067</v>
      </c>
      <c r="B154" s="583">
        <v>0.44306712962962963</v>
      </c>
      <c r="C154" s="584" t="s">
        <v>1991</v>
      </c>
      <c r="D154" s="197"/>
      <c r="E154" s="584">
        <v>923134782428</v>
      </c>
      <c r="F154" s="617" t="s">
        <v>656</v>
      </c>
      <c r="G154" s="197"/>
      <c r="H154" s="584" t="s">
        <v>11137</v>
      </c>
      <c r="I154" s="584" t="s">
        <v>11138</v>
      </c>
      <c r="J154" s="584" t="s">
        <v>11139</v>
      </c>
      <c r="K154" s="584">
        <v>3.0</v>
      </c>
      <c r="L154" s="586" t="s">
        <v>6944</v>
      </c>
    </row>
    <row r="155" ht="22.5" customHeight="1">
      <c r="A155" s="587" t="s">
        <v>11067</v>
      </c>
      <c r="B155" s="588">
        <v>0.44373842592592594</v>
      </c>
      <c r="C155" s="589" t="s">
        <v>7270</v>
      </c>
      <c r="D155" s="590"/>
      <c r="E155" s="589">
        <v>923355798404</v>
      </c>
      <c r="F155" s="591" t="s">
        <v>6939</v>
      </c>
      <c r="G155" s="589" t="s">
        <v>11140</v>
      </c>
      <c r="H155" s="589" t="s">
        <v>11141</v>
      </c>
      <c r="I155" s="589" t="s">
        <v>11142</v>
      </c>
      <c r="J155" s="589" t="s">
        <v>11143</v>
      </c>
      <c r="K155" s="589">
        <v>4.0</v>
      </c>
      <c r="L155" s="599"/>
    </row>
    <row r="156" ht="22.5" customHeight="1">
      <c r="A156" s="582" t="s">
        <v>11067</v>
      </c>
      <c r="B156" s="583">
        <v>0.4633449074074074</v>
      </c>
      <c r="C156" s="584" t="s">
        <v>11144</v>
      </c>
      <c r="D156" s="197"/>
      <c r="E156" s="584">
        <v>923334887668</v>
      </c>
      <c r="F156" s="603" t="s">
        <v>7291</v>
      </c>
      <c r="G156" s="584" t="s">
        <v>11145</v>
      </c>
      <c r="H156" s="584" t="s">
        <v>11146</v>
      </c>
      <c r="I156" s="584" t="s">
        <v>11147</v>
      </c>
      <c r="J156" s="197"/>
      <c r="K156" s="584">
        <v>2.0</v>
      </c>
      <c r="L156" s="586" t="s">
        <v>10257</v>
      </c>
    </row>
    <row r="157" ht="22.5" customHeight="1">
      <c r="A157" s="587" t="s">
        <v>11067</v>
      </c>
      <c r="B157" s="588">
        <v>0.46392361111111113</v>
      </c>
      <c r="C157" s="589" t="s">
        <v>7275</v>
      </c>
      <c r="D157" s="590"/>
      <c r="E157" s="589">
        <v>923237133466</v>
      </c>
      <c r="F157" s="605" t="s">
        <v>7291</v>
      </c>
      <c r="G157" s="589" t="s">
        <v>11148</v>
      </c>
      <c r="H157" s="589" t="s">
        <v>11149</v>
      </c>
      <c r="I157" s="589" t="s">
        <v>11150</v>
      </c>
      <c r="J157" s="589" t="s">
        <v>11151</v>
      </c>
      <c r="K157" s="589">
        <v>3.0</v>
      </c>
      <c r="L157" s="592" t="s">
        <v>11152</v>
      </c>
    </row>
    <row r="158" ht="22.5" customHeight="1">
      <c r="A158" s="582" t="s">
        <v>11067</v>
      </c>
      <c r="B158" s="583">
        <v>0.4640162037037037</v>
      </c>
      <c r="C158" s="584" t="s">
        <v>7279</v>
      </c>
      <c r="D158" s="197"/>
      <c r="E158" s="584">
        <v>923099686360</v>
      </c>
      <c r="F158" s="603" t="s">
        <v>7291</v>
      </c>
      <c r="G158" s="584" t="s">
        <v>11153</v>
      </c>
      <c r="H158" s="584" t="s">
        <v>11154</v>
      </c>
      <c r="I158" s="584" t="s">
        <v>11155</v>
      </c>
      <c r="J158" s="584" t="s">
        <v>11156</v>
      </c>
      <c r="K158" s="584">
        <v>3.0</v>
      </c>
      <c r="L158" s="586" t="s">
        <v>11157</v>
      </c>
    </row>
    <row r="159" ht="22.5" customHeight="1">
      <c r="A159" s="587" t="s">
        <v>11067</v>
      </c>
      <c r="B159" s="588">
        <v>0.4665972222222222</v>
      </c>
      <c r="C159" s="589" t="s">
        <v>7285</v>
      </c>
      <c r="D159" s="590"/>
      <c r="E159" s="589">
        <v>923039190643</v>
      </c>
      <c r="F159" s="591" t="s">
        <v>6939</v>
      </c>
      <c r="G159" s="589" t="s">
        <v>11158</v>
      </c>
      <c r="H159" s="589" t="s">
        <v>11159</v>
      </c>
      <c r="I159" s="589" t="s">
        <v>11160</v>
      </c>
      <c r="J159" s="589" t="s">
        <v>11161</v>
      </c>
      <c r="K159" s="589">
        <v>4.0</v>
      </c>
      <c r="L159" s="599"/>
    </row>
    <row r="160" ht="22.5" customHeight="1">
      <c r="A160" s="582" t="s">
        <v>11067</v>
      </c>
      <c r="B160" s="583">
        <v>0.49483796296296295</v>
      </c>
      <c r="C160" s="584" t="s">
        <v>7290</v>
      </c>
      <c r="D160" s="197"/>
      <c r="E160" s="584">
        <v>923339823920</v>
      </c>
      <c r="F160" s="603" t="s">
        <v>7291</v>
      </c>
      <c r="G160" s="584" t="s">
        <v>11162</v>
      </c>
      <c r="H160" s="584" t="s">
        <v>11163</v>
      </c>
      <c r="I160" s="584" t="s">
        <v>11164</v>
      </c>
      <c r="J160" s="197"/>
      <c r="K160" s="584">
        <v>2.0</v>
      </c>
      <c r="L160" s="586" t="s">
        <v>11165</v>
      </c>
    </row>
    <row r="161" ht="22.5" customHeight="1">
      <c r="A161" s="587" t="s">
        <v>11067</v>
      </c>
      <c r="B161" s="588">
        <v>0.5053125</v>
      </c>
      <c r="C161" s="589" t="s">
        <v>7302</v>
      </c>
      <c r="D161" s="590"/>
      <c r="E161" s="589">
        <v>923419670056</v>
      </c>
      <c r="F161" s="605" t="s">
        <v>7291</v>
      </c>
      <c r="G161" s="589" t="s">
        <v>11166</v>
      </c>
      <c r="H161" s="589" t="s">
        <v>11167</v>
      </c>
      <c r="I161" s="589" t="s">
        <v>11168</v>
      </c>
      <c r="J161" s="589" t="s">
        <v>11169</v>
      </c>
      <c r="K161" s="589">
        <v>3.0</v>
      </c>
      <c r="L161" s="592" t="s">
        <v>1308</v>
      </c>
    </row>
    <row r="162" ht="22.5" customHeight="1">
      <c r="A162" s="582" t="s">
        <v>11067</v>
      </c>
      <c r="B162" s="583">
        <v>0.5212847222222222</v>
      </c>
      <c r="C162" s="584" t="s">
        <v>11170</v>
      </c>
      <c r="D162" s="584" t="s">
        <v>6886</v>
      </c>
      <c r="E162" s="606" t="s">
        <v>11171</v>
      </c>
      <c r="F162" s="603" t="s">
        <v>7291</v>
      </c>
      <c r="G162" s="197"/>
      <c r="H162" s="584" t="s">
        <v>11172</v>
      </c>
      <c r="I162" s="584" t="s">
        <v>11173</v>
      </c>
      <c r="J162" s="584" t="s">
        <v>11174</v>
      </c>
      <c r="K162" s="584">
        <v>3.0</v>
      </c>
      <c r="L162" s="586" t="s">
        <v>6944</v>
      </c>
    </row>
    <row r="163" ht="22.5" customHeight="1">
      <c r="A163" s="587" t="s">
        <v>11067</v>
      </c>
      <c r="B163" s="588">
        <v>0.564212962962963</v>
      </c>
      <c r="C163" s="589" t="s">
        <v>7307</v>
      </c>
      <c r="D163" s="590"/>
      <c r="E163" s="594">
        <v>923077242747</v>
      </c>
      <c r="F163" s="595" t="s">
        <v>6875</v>
      </c>
      <c r="G163" s="590"/>
      <c r="H163" s="589" t="s">
        <v>11175</v>
      </c>
      <c r="I163" s="590"/>
      <c r="J163" s="589" t="s">
        <v>11176</v>
      </c>
      <c r="K163" s="589">
        <v>2.0</v>
      </c>
      <c r="L163" s="599"/>
    </row>
    <row r="164" ht="22.5" customHeight="1">
      <c r="A164" s="582" t="s">
        <v>11067</v>
      </c>
      <c r="B164" s="583">
        <v>0.6058333333333333</v>
      </c>
      <c r="C164" s="584" t="s">
        <v>7313</v>
      </c>
      <c r="D164" s="197"/>
      <c r="E164" s="597">
        <v>923329466662</v>
      </c>
      <c r="F164" s="598" t="s">
        <v>6875</v>
      </c>
      <c r="G164" s="197"/>
      <c r="H164" s="197"/>
      <c r="I164" s="584" t="s">
        <v>11177</v>
      </c>
      <c r="J164" s="197"/>
      <c r="K164" s="584">
        <v>1.0</v>
      </c>
      <c r="L164" s="586" t="s">
        <v>11178</v>
      </c>
    </row>
    <row r="165" ht="22.5" customHeight="1">
      <c r="A165" s="587" t="s">
        <v>11067</v>
      </c>
      <c r="B165" s="588">
        <v>0.6070601851851852</v>
      </c>
      <c r="C165" s="589" t="s">
        <v>7318</v>
      </c>
      <c r="D165" s="590"/>
      <c r="E165" s="589">
        <v>923251055110</v>
      </c>
      <c r="F165" s="591" t="s">
        <v>6939</v>
      </c>
      <c r="G165" s="589" t="s">
        <v>11179</v>
      </c>
      <c r="H165" s="589" t="s">
        <v>11180</v>
      </c>
      <c r="I165" s="589" t="s">
        <v>11181</v>
      </c>
      <c r="J165" s="589" t="s">
        <v>11182</v>
      </c>
      <c r="K165" s="589">
        <v>4.0</v>
      </c>
      <c r="L165" s="599"/>
    </row>
    <row r="166" ht="22.5" customHeight="1">
      <c r="A166" s="582" t="s">
        <v>11067</v>
      </c>
      <c r="B166" s="583">
        <v>0.7295717592592592</v>
      </c>
      <c r="C166" s="584" t="s">
        <v>7323</v>
      </c>
      <c r="D166" s="584" t="s">
        <v>6886</v>
      </c>
      <c r="E166" s="597" t="s">
        <v>11183</v>
      </c>
      <c r="F166" s="598" t="s">
        <v>6875</v>
      </c>
      <c r="G166" s="197"/>
      <c r="H166" s="584" t="s">
        <v>11184</v>
      </c>
      <c r="I166" s="584" t="s">
        <v>11185</v>
      </c>
      <c r="J166" s="584" t="s">
        <v>11186</v>
      </c>
      <c r="K166" s="584">
        <v>3.0</v>
      </c>
      <c r="L166" s="586" t="s">
        <v>51</v>
      </c>
    </row>
    <row r="167" ht="22.5" customHeight="1">
      <c r="A167" s="587" t="s">
        <v>11067</v>
      </c>
      <c r="B167" s="588">
        <v>0.7297222222222223</v>
      </c>
      <c r="C167" s="589" t="s">
        <v>7328</v>
      </c>
      <c r="D167" s="590"/>
      <c r="E167" s="589">
        <v>923170701091</v>
      </c>
      <c r="F167" s="605" t="s">
        <v>7291</v>
      </c>
      <c r="G167" s="589" t="s">
        <v>11187</v>
      </c>
      <c r="H167" s="590"/>
      <c r="I167" s="589" t="s">
        <v>11188</v>
      </c>
      <c r="J167" s="589" t="s">
        <v>11189</v>
      </c>
      <c r="K167" s="589">
        <v>2.0</v>
      </c>
      <c r="L167" s="592" t="s">
        <v>11190</v>
      </c>
    </row>
    <row r="168" ht="22.5" customHeight="1">
      <c r="A168" s="582" t="s">
        <v>11191</v>
      </c>
      <c r="B168" s="583">
        <v>0.4188310185185185</v>
      </c>
      <c r="C168" s="584" t="s">
        <v>11192</v>
      </c>
      <c r="D168" s="584" t="s">
        <v>6886</v>
      </c>
      <c r="E168" s="606" t="s">
        <v>11193</v>
      </c>
      <c r="F168" s="603" t="s">
        <v>7291</v>
      </c>
      <c r="G168" s="584" t="s">
        <v>11194</v>
      </c>
      <c r="H168" s="197"/>
      <c r="I168" s="584" t="s">
        <v>11195</v>
      </c>
      <c r="J168" s="584" t="s">
        <v>11196</v>
      </c>
      <c r="K168" s="584">
        <v>3.0</v>
      </c>
      <c r="L168" s="586" t="s">
        <v>11197</v>
      </c>
    </row>
    <row r="169" ht="22.5" customHeight="1">
      <c r="A169" s="587" t="s">
        <v>11191</v>
      </c>
      <c r="B169" s="588">
        <v>0.41898148148148145</v>
      </c>
      <c r="C169" s="589" t="s">
        <v>7336</v>
      </c>
      <c r="D169" s="590"/>
      <c r="E169" s="594">
        <v>923071567390</v>
      </c>
      <c r="F169" s="595" t="s">
        <v>6875</v>
      </c>
      <c r="G169" s="589" t="s">
        <v>11198</v>
      </c>
      <c r="H169" s="590"/>
      <c r="I169" s="590"/>
      <c r="J169" s="590"/>
      <c r="K169" s="589">
        <v>1.0</v>
      </c>
      <c r="L169" s="592" t="s">
        <v>25</v>
      </c>
    </row>
    <row r="170" ht="22.5" customHeight="1">
      <c r="A170" s="582" t="s">
        <v>11191</v>
      </c>
      <c r="B170" s="583">
        <v>0.4190740740740741</v>
      </c>
      <c r="C170" s="584" t="s">
        <v>11199</v>
      </c>
      <c r="D170" s="584" t="s">
        <v>6886</v>
      </c>
      <c r="E170" s="606" t="s">
        <v>11200</v>
      </c>
      <c r="F170" s="603" t="s">
        <v>7291</v>
      </c>
      <c r="G170" s="584" t="s">
        <v>11201</v>
      </c>
      <c r="H170" s="197"/>
      <c r="I170" s="584" t="s">
        <v>11202</v>
      </c>
      <c r="J170" s="584" t="s">
        <v>11203</v>
      </c>
      <c r="K170" s="584">
        <v>3.0</v>
      </c>
      <c r="L170" s="586" t="s">
        <v>6944</v>
      </c>
    </row>
    <row r="171" ht="22.5" customHeight="1">
      <c r="A171" s="587" t="s">
        <v>11191</v>
      </c>
      <c r="B171" s="588">
        <v>0.4191898148148148</v>
      </c>
      <c r="C171" s="589" t="s">
        <v>11204</v>
      </c>
      <c r="D171" s="589" t="s">
        <v>6886</v>
      </c>
      <c r="E171" s="604" t="s">
        <v>11205</v>
      </c>
      <c r="F171" s="602" t="s">
        <v>6888</v>
      </c>
      <c r="G171" s="589" t="s">
        <v>11206</v>
      </c>
      <c r="H171" s="589" t="s">
        <v>11207</v>
      </c>
      <c r="I171" s="590"/>
      <c r="J171" s="589" t="s">
        <v>11208</v>
      </c>
      <c r="K171" s="589">
        <v>3.0</v>
      </c>
      <c r="L171" s="592" t="s">
        <v>10871</v>
      </c>
    </row>
    <row r="172" ht="22.5" customHeight="1">
      <c r="A172" s="582" t="s">
        <v>11191</v>
      </c>
      <c r="B172" s="583">
        <v>0.41930555555555554</v>
      </c>
      <c r="C172" s="584" t="s">
        <v>7347</v>
      </c>
      <c r="D172" s="197"/>
      <c r="E172" s="584">
        <v>923224869199</v>
      </c>
      <c r="F172" s="603" t="s">
        <v>7291</v>
      </c>
      <c r="G172" s="584" t="s">
        <v>11209</v>
      </c>
      <c r="H172" s="197"/>
      <c r="I172" s="584" t="s">
        <v>11210</v>
      </c>
      <c r="J172" s="197"/>
      <c r="K172" s="584">
        <v>2.0</v>
      </c>
      <c r="L172" s="586" t="s">
        <v>11211</v>
      </c>
    </row>
    <row r="173" ht="22.5" customHeight="1">
      <c r="A173" s="587" t="s">
        <v>11191</v>
      </c>
      <c r="B173" s="588">
        <v>0.4194097222222222</v>
      </c>
      <c r="C173" s="589" t="s">
        <v>11212</v>
      </c>
      <c r="D173" s="589" t="s">
        <v>6886</v>
      </c>
      <c r="E173" s="604" t="s">
        <v>11213</v>
      </c>
      <c r="F173" s="605" t="s">
        <v>7291</v>
      </c>
      <c r="G173" s="589" t="s">
        <v>11214</v>
      </c>
      <c r="H173" s="590"/>
      <c r="I173" s="589" t="s">
        <v>11215</v>
      </c>
      <c r="J173" s="589" t="s">
        <v>11216</v>
      </c>
      <c r="K173" s="589">
        <v>3.0</v>
      </c>
      <c r="L173" s="592" t="s">
        <v>10257</v>
      </c>
    </row>
    <row r="174" ht="22.5" customHeight="1">
      <c r="A174" s="582" t="s">
        <v>11191</v>
      </c>
      <c r="B174" s="583">
        <v>0.4279861111111111</v>
      </c>
      <c r="C174" s="584" t="s">
        <v>7356</v>
      </c>
      <c r="D174" s="197"/>
      <c r="E174" s="597">
        <v>923298141952</v>
      </c>
      <c r="F174" s="598" t="s">
        <v>6875</v>
      </c>
      <c r="G174" s="584" t="s">
        <v>11217</v>
      </c>
      <c r="H174" s="584" t="s">
        <v>11218</v>
      </c>
      <c r="I174" s="197"/>
      <c r="J174" s="197"/>
      <c r="K174" s="584">
        <v>2.0</v>
      </c>
      <c r="L174" s="586" t="s">
        <v>372</v>
      </c>
    </row>
    <row r="175" ht="22.5" customHeight="1">
      <c r="A175" s="587" t="s">
        <v>11191</v>
      </c>
      <c r="B175" s="588">
        <v>0.42907407407407405</v>
      </c>
      <c r="C175" s="589" t="s">
        <v>11219</v>
      </c>
      <c r="D175" s="589" t="s">
        <v>6886</v>
      </c>
      <c r="E175" s="604" t="s">
        <v>11220</v>
      </c>
      <c r="F175" s="600" t="s">
        <v>6982</v>
      </c>
      <c r="G175" s="589" t="s">
        <v>11221</v>
      </c>
      <c r="H175" s="589" t="s">
        <v>11222</v>
      </c>
      <c r="I175" s="590"/>
      <c r="J175" s="590"/>
      <c r="K175" s="589">
        <v>2.0</v>
      </c>
      <c r="L175" s="592" t="s">
        <v>11223</v>
      </c>
    </row>
    <row r="176" ht="22.5" customHeight="1">
      <c r="A176" s="582" t="s">
        <v>11191</v>
      </c>
      <c r="B176" s="583">
        <v>0.5961805555555556</v>
      </c>
      <c r="C176" s="584" t="s">
        <v>3940</v>
      </c>
      <c r="D176" s="197"/>
      <c r="E176" s="584">
        <v>923149790622</v>
      </c>
      <c r="F176" s="603" t="s">
        <v>7291</v>
      </c>
      <c r="G176" s="584" t="s">
        <v>11224</v>
      </c>
      <c r="H176" s="197"/>
      <c r="I176" s="584" t="s">
        <v>11225</v>
      </c>
      <c r="J176" s="197"/>
      <c r="K176" s="584">
        <v>1.0</v>
      </c>
      <c r="L176" s="586" t="s">
        <v>6944</v>
      </c>
    </row>
    <row r="177" ht="22.5" customHeight="1">
      <c r="A177" s="587" t="s">
        <v>11191</v>
      </c>
      <c r="B177" s="588">
        <v>0.42949074074074073</v>
      </c>
      <c r="C177" s="589" t="s">
        <v>11226</v>
      </c>
      <c r="D177" s="590"/>
      <c r="E177" s="589">
        <v>923232539650</v>
      </c>
      <c r="F177" s="607" t="s">
        <v>9302</v>
      </c>
      <c r="G177" s="589" t="s">
        <v>11227</v>
      </c>
      <c r="H177" s="590"/>
      <c r="I177" s="589" t="s">
        <v>11228</v>
      </c>
      <c r="J177" s="589" t="s">
        <v>11229</v>
      </c>
      <c r="K177" s="589">
        <v>3.0</v>
      </c>
      <c r="L177" s="599"/>
    </row>
    <row r="178" ht="22.5" customHeight="1">
      <c r="A178" s="582" t="s">
        <v>11191</v>
      </c>
      <c r="B178" s="583">
        <v>0.42961805555555554</v>
      </c>
      <c r="C178" s="584" t="s">
        <v>7375</v>
      </c>
      <c r="D178" s="197"/>
      <c r="E178" s="584">
        <v>923032097514</v>
      </c>
      <c r="F178" s="603" t="s">
        <v>7291</v>
      </c>
      <c r="G178" s="584" t="s">
        <v>11230</v>
      </c>
      <c r="H178" s="584" t="s">
        <v>11231</v>
      </c>
      <c r="I178" s="584" t="s">
        <v>11232</v>
      </c>
      <c r="J178" s="197"/>
      <c r="K178" s="584">
        <v>2.0</v>
      </c>
      <c r="L178" s="586" t="s">
        <v>685</v>
      </c>
    </row>
    <row r="179" ht="22.5" customHeight="1">
      <c r="A179" s="587" t="s">
        <v>11191</v>
      </c>
      <c r="B179" s="588">
        <v>0.4299884259259259</v>
      </c>
      <c r="C179" s="589" t="s">
        <v>7381</v>
      </c>
      <c r="D179" s="590"/>
      <c r="E179" s="594">
        <v>923179630168</v>
      </c>
      <c r="F179" s="595" t="s">
        <v>6875</v>
      </c>
      <c r="G179" s="590"/>
      <c r="H179" s="589" t="s">
        <v>11233</v>
      </c>
      <c r="I179" s="590"/>
      <c r="J179" s="590"/>
      <c r="K179" s="589">
        <v>1.0</v>
      </c>
      <c r="L179" s="592" t="s">
        <v>11234</v>
      </c>
    </row>
    <row r="180" ht="22.5" customHeight="1">
      <c r="A180" s="582" t="s">
        <v>11191</v>
      </c>
      <c r="B180" s="583">
        <v>0.43024305555555553</v>
      </c>
      <c r="C180" s="584" t="s">
        <v>7386</v>
      </c>
      <c r="D180" s="197"/>
      <c r="E180" s="597">
        <v>923246543386</v>
      </c>
      <c r="F180" s="598" t="s">
        <v>6875</v>
      </c>
      <c r="G180" s="584" t="s">
        <v>11235</v>
      </c>
      <c r="H180" s="584" t="s">
        <v>11236</v>
      </c>
      <c r="I180" s="197"/>
      <c r="J180" s="584" t="s">
        <v>11237</v>
      </c>
      <c r="K180" s="584">
        <v>3.0</v>
      </c>
      <c r="L180" s="586" t="s">
        <v>372</v>
      </c>
    </row>
    <row r="181" ht="22.5" customHeight="1">
      <c r="A181" s="587" t="s">
        <v>11191</v>
      </c>
      <c r="B181" s="588">
        <v>0.43060185185185185</v>
      </c>
      <c r="C181" s="589" t="s">
        <v>2497</v>
      </c>
      <c r="D181" s="590"/>
      <c r="E181" s="589">
        <v>923038050565</v>
      </c>
      <c r="F181" s="605" t="s">
        <v>7291</v>
      </c>
      <c r="G181" s="589" t="s">
        <v>11238</v>
      </c>
      <c r="H181" s="589" t="s">
        <v>11239</v>
      </c>
      <c r="I181" s="589" t="s">
        <v>11240</v>
      </c>
      <c r="J181" s="590"/>
      <c r="K181" s="589">
        <v>2.0</v>
      </c>
      <c r="L181" s="592" t="s">
        <v>11241</v>
      </c>
    </row>
    <row r="182" ht="22.5" customHeight="1">
      <c r="A182" s="582" t="s">
        <v>11191</v>
      </c>
      <c r="B182" s="583">
        <v>0.43320601851851853</v>
      </c>
      <c r="C182" s="584" t="s">
        <v>11242</v>
      </c>
      <c r="D182" s="197"/>
      <c r="E182" s="584">
        <v>923313700751</v>
      </c>
      <c r="F182" s="603" t="s">
        <v>7291</v>
      </c>
      <c r="G182" s="584" t="s">
        <v>11243</v>
      </c>
      <c r="H182" s="584" t="s">
        <v>11244</v>
      </c>
      <c r="I182" s="584" t="s">
        <v>11245</v>
      </c>
      <c r="J182" s="197"/>
      <c r="K182" s="584">
        <v>2.0</v>
      </c>
      <c r="L182" s="586" t="s">
        <v>7200</v>
      </c>
    </row>
    <row r="183" ht="22.5" customHeight="1">
      <c r="A183" s="587" t="s">
        <v>11191</v>
      </c>
      <c r="B183" s="588">
        <v>0.4645949074074074</v>
      </c>
      <c r="C183" s="589" t="s">
        <v>7390</v>
      </c>
      <c r="D183" s="590"/>
      <c r="E183" s="589">
        <v>923314722422</v>
      </c>
      <c r="F183" s="591" t="s">
        <v>6939</v>
      </c>
      <c r="G183" s="589" t="s">
        <v>11246</v>
      </c>
      <c r="H183" s="589" t="s">
        <v>11247</v>
      </c>
      <c r="I183" s="589" t="s">
        <v>11248</v>
      </c>
      <c r="J183" s="589" t="s">
        <v>11249</v>
      </c>
      <c r="K183" s="589">
        <v>4.0</v>
      </c>
      <c r="L183" s="592" t="s">
        <v>376</v>
      </c>
    </row>
    <row r="184" ht="22.5" customHeight="1">
      <c r="A184" s="582" t="s">
        <v>11191</v>
      </c>
      <c r="B184" s="583">
        <v>0.5206828703703704</v>
      </c>
      <c r="C184" s="584" t="s">
        <v>11250</v>
      </c>
      <c r="D184" s="197"/>
      <c r="E184" s="584">
        <v>923701977894</v>
      </c>
      <c r="F184" s="609" t="s">
        <v>9302</v>
      </c>
      <c r="G184" s="584" t="s">
        <v>11251</v>
      </c>
      <c r="H184" s="197"/>
      <c r="I184" s="584" t="s">
        <v>11252</v>
      </c>
      <c r="J184" s="584" t="s">
        <v>11253</v>
      </c>
      <c r="K184" s="584">
        <v>2.0</v>
      </c>
      <c r="L184" s="586" t="s">
        <v>6944</v>
      </c>
    </row>
    <row r="185" ht="22.5" customHeight="1">
      <c r="A185" s="587" t="s">
        <v>11191</v>
      </c>
      <c r="B185" s="588">
        <v>0.5362152777777778</v>
      </c>
      <c r="C185" s="589" t="s">
        <v>11254</v>
      </c>
      <c r="D185" s="589" t="s">
        <v>6886</v>
      </c>
      <c r="E185" s="589" t="s">
        <v>11255</v>
      </c>
      <c r="F185" s="591" t="s">
        <v>6939</v>
      </c>
      <c r="G185" s="589" t="s">
        <v>11256</v>
      </c>
      <c r="H185" s="590"/>
      <c r="I185" s="589" t="s">
        <v>11257</v>
      </c>
      <c r="J185" s="589" t="s">
        <v>11258</v>
      </c>
      <c r="K185" s="589">
        <v>3.0</v>
      </c>
      <c r="L185" s="592" t="s">
        <v>6944</v>
      </c>
    </row>
    <row r="186" ht="22.5" customHeight="1">
      <c r="A186" s="582" t="s">
        <v>11191</v>
      </c>
      <c r="B186" s="583">
        <v>0.551712962962963</v>
      </c>
      <c r="C186" s="584" t="s">
        <v>11259</v>
      </c>
      <c r="D186" s="197"/>
      <c r="E186" s="584">
        <v>923035485858</v>
      </c>
      <c r="F186" s="603" t="s">
        <v>7291</v>
      </c>
      <c r="G186" s="197"/>
      <c r="H186" s="197"/>
      <c r="I186" s="584" t="s">
        <v>11260</v>
      </c>
      <c r="J186" s="584" t="s">
        <v>11261</v>
      </c>
      <c r="K186" s="584">
        <v>2.0</v>
      </c>
      <c r="L186" s="586" t="s">
        <v>11262</v>
      </c>
    </row>
    <row r="187" ht="22.5" customHeight="1">
      <c r="A187" s="587" t="s">
        <v>11191</v>
      </c>
      <c r="B187" s="588">
        <v>0.5594212962962963</v>
      </c>
      <c r="C187" s="589" t="s">
        <v>11263</v>
      </c>
      <c r="D187" s="589" t="s">
        <v>6886</v>
      </c>
      <c r="E187" s="604" t="s">
        <v>11264</v>
      </c>
      <c r="F187" s="605" t="s">
        <v>7291</v>
      </c>
      <c r="G187" s="590"/>
      <c r="H187" s="590"/>
      <c r="I187" s="589" t="s">
        <v>11265</v>
      </c>
      <c r="J187" s="589" t="s">
        <v>11266</v>
      </c>
      <c r="K187" s="589">
        <v>2.0</v>
      </c>
      <c r="L187" s="592" t="s">
        <v>25</v>
      </c>
    </row>
    <row r="188" ht="22.5" customHeight="1">
      <c r="A188" s="582" t="s">
        <v>11191</v>
      </c>
      <c r="B188" s="583">
        <v>0.6342013888888889</v>
      </c>
      <c r="C188" s="584" t="s">
        <v>11267</v>
      </c>
      <c r="D188" s="197"/>
      <c r="E188" s="597">
        <v>923334009700</v>
      </c>
      <c r="F188" s="598" t="s">
        <v>6875</v>
      </c>
      <c r="G188" s="197"/>
      <c r="H188" s="197"/>
      <c r="I188" s="584" t="s">
        <v>11268</v>
      </c>
      <c r="J188" s="584" t="s">
        <v>11269</v>
      </c>
      <c r="K188" s="584">
        <v>2.0</v>
      </c>
      <c r="L188" s="586" t="s">
        <v>372</v>
      </c>
    </row>
    <row r="189" ht="22.5" customHeight="1">
      <c r="A189" s="587" t="s">
        <v>11191</v>
      </c>
      <c r="B189" s="588">
        <v>0.6503703703703704</v>
      </c>
      <c r="C189" s="589" t="s">
        <v>270</v>
      </c>
      <c r="D189" s="590"/>
      <c r="E189" s="589">
        <v>923026728878</v>
      </c>
      <c r="F189" s="605" t="s">
        <v>7291</v>
      </c>
      <c r="G189" s="590"/>
      <c r="H189" s="590"/>
      <c r="I189" s="589" t="s">
        <v>11270</v>
      </c>
      <c r="J189" s="589" t="s">
        <v>11271</v>
      </c>
      <c r="K189" s="589">
        <v>2.0</v>
      </c>
      <c r="L189" s="592" t="s">
        <v>11272</v>
      </c>
    </row>
    <row r="190" ht="22.5" customHeight="1">
      <c r="A190" s="582" t="s">
        <v>11191</v>
      </c>
      <c r="B190" s="583">
        <v>0.656087962962963</v>
      </c>
      <c r="C190" s="584" t="s">
        <v>11273</v>
      </c>
      <c r="D190" s="197"/>
      <c r="E190" s="597">
        <v>923006104755</v>
      </c>
      <c r="F190" s="598" t="s">
        <v>6875</v>
      </c>
      <c r="G190" s="197"/>
      <c r="H190" s="584" t="s">
        <v>11274</v>
      </c>
      <c r="I190" s="197"/>
      <c r="J190" s="197"/>
      <c r="K190" s="584">
        <v>1.0</v>
      </c>
      <c r="L190" s="586" t="s">
        <v>372</v>
      </c>
    </row>
    <row r="191" ht="22.5" customHeight="1">
      <c r="A191" s="587" t="s">
        <v>11275</v>
      </c>
      <c r="B191" s="588">
        <v>0.41563657407407406</v>
      </c>
      <c r="C191" s="589" t="s">
        <v>11276</v>
      </c>
      <c r="D191" s="590"/>
      <c r="E191" s="589">
        <v>923244882578</v>
      </c>
      <c r="F191" s="605" t="s">
        <v>7291</v>
      </c>
      <c r="G191" s="590"/>
      <c r="H191" s="589" t="s">
        <v>11277</v>
      </c>
      <c r="I191" s="589" t="s">
        <v>11278</v>
      </c>
      <c r="J191" s="589" t="s">
        <v>11279</v>
      </c>
      <c r="K191" s="589">
        <v>3.0</v>
      </c>
      <c r="L191" s="592" t="s">
        <v>685</v>
      </c>
    </row>
    <row r="192" ht="22.5" customHeight="1">
      <c r="A192" s="582" t="s">
        <v>11275</v>
      </c>
      <c r="B192" s="583">
        <v>0.4159027777777778</v>
      </c>
      <c r="C192" s="584" t="s">
        <v>11280</v>
      </c>
      <c r="D192" s="197"/>
      <c r="E192" s="597">
        <v>923455552265</v>
      </c>
      <c r="F192" s="598" t="s">
        <v>6875</v>
      </c>
      <c r="G192" s="197"/>
      <c r="H192" s="584" t="s">
        <v>11281</v>
      </c>
      <c r="I192" s="197"/>
      <c r="J192" s="197"/>
      <c r="K192" s="584">
        <v>1.0</v>
      </c>
      <c r="L192" s="586" t="s">
        <v>11282</v>
      </c>
    </row>
    <row r="193" ht="22.5" customHeight="1">
      <c r="A193" s="587" t="s">
        <v>11275</v>
      </c>
      <c r="B193" s="588">
        <v>0.4159953703703704</v>
      </c>
      <c r="C193" s="589" t="s">
        <v>11283</v>
      </c>
      <c r="D193" s="590"/>
      <c r="E193" s="589">
        <v>923114116044</v>
      </c>
      <c r="F193" s="591" t="s">
        <v>6939</v>
      </c>
      <c r="G193" s="589" t="s">
        <v>11284</v>
      </c>
      <c r="H193" s="589" t="s">
        <v>11285</v>
      </c>
      <c r="I193" s="589" t="s">
        <v>11286</v>
      </c>
      <c r="J193" s="589" t="s">
        <v>11287</v>
      </c>
      <c r="K193" s="589">
        <v>4.0</v>
      </c>
      <c r="L193" s="599"/>
    </row>
    <row r="194" ht="22.5" customHeight="1">
      <c r="A194" s="618" t="s">
        <v>11275</v>
      </c>
      <c r="B194" s="619">
        <v>0.41608796296296297</v>
      </c>
      <c r="C194" s="620" t="s">
        <v>11288</v>
      </c>
      <c r="D194" s="621"/>
      <c r="E194" s="620">
        <v>923061859172</v>
      </c>
      <c r="F194" s="596" t="s">
        <v>6982</v>
      </c>
      <c r="G194" s="621"/>
      <c r="H194" s="620" t="s">
        <v>11289</v>
      </c>
      <c r="I194" s="621"/>
      <c r="J194" s="621"/>
      <c r="K194" s="620">
        <v>1.0</v>
      </c>
      <c r="L194" s="622" t="s">
        <v>11290</v>
      </c>
    </row>
    <row r="195" ht="22.5" customHeight="1">
      <c r="A195" s="587" t="s">
        <v>11275</v>
      </c>
      <c r="B195" s="588">
        <v>0.41619212962962965</v>
      </c>
      <c r="C195" s="589" t="s">
        <v>11291</v>
      </c>
      <c r="D195" s="590"/>
      <c r="E195" s="589">
        <v>923055291782</v>
      </c>
      <c r="F195" s="605" t="s">
        <v>7291</v>
      </c>
      <c r="G195" s="590"/>
      <c r="H195" s="589" t="s">
        <v>11292</v>
      </c>
      <c r="I195" s="589" t="s">
        <v>11293</v>
      </c>
      <c r="J195" s="589" t="s">
        <v>11294</v>
      </c>
      <c r="K195" s="589">
        <v>3.0</v>
      </c>
      <c r="L195" s="592" t="s">
        <v>11295</v>
      </c>
    </row>
    <row r="196" ht="22.5" customHeight="1">
      <c r="A196" s="582" t="s">
        <v>11275</v>
      </c>
      <c r="B196" s="583">
        <v>0.4163425925925926</v>
      </c>
      <c r="C196" s="584" t="s">
        <v>11296</v>
      </c>
      <c r="D196" s="584" t="s">
        <v>6886</v>
      </c>
      <c r="E196" s="606" t="s">
        <v>11297</v>
      </c>
      <c r="F196" s="603" t="s">
        <v>7291</v>
      </c>
      <c r="G196" s="197"/>
      <c r="H196" s="584" t="s">
        <v>11298</v>
      </c>
      <c r="I196" s="584" t="s">
        <v>11299</v>
      </c>
      <c r="J196" s="584" t="s">
        <v>11300</v>
      </c>
      <c r="K196" s="584">
        <v>3.0</v>
      </c>
      <c r="L196" s="586" t="s">
        <v>11301</v>
      </c>
    </row>
    <row r="197" ht="22.5" customHeight="1">
      <c r="A197" s="587" t="s">
        <v>11275</v>
      </c>
      <c r="B197" s="588">
        <v>0.4164467592592593</v>
      </c>
      <c r="C197" s="589" t="s">
        <v>7403</v>
      </c>
      <c r="D197" s="590"/>
      <c r="E197" s="589">
        <v>923190396220</v>
      </c>
      <c r="F197" s="591" t="s">
        <v>6939</v>
      </c>
      <c r="G197" s="589" t="s">
        <v>11302</v>
      </c>
      <c r="H197" s="589" t="s">
        <v>11303</v>
      </c>
      <c r="I197" s="589" t="s">
        <v>11304</v>
      </c>
      <c r="J197" s="589" t="s">
        <v>11305</v>
      </c>
      <c r="K197" s="589">
        <v>4.0</v>
      </c>
      <c r="L197" s="599"/>
    </row>
    <row r="198" ht="22.5" customHeight="1">
      <c r="A198" s="582" t="s">
        <v>11275</v>
      </c>
      <c r="B198" s="583">
        <v>0.4166898148148148</v>
      </c>
      <c r="C198" s="584" t="s">
        <v>11306</v>
      </c>
      <c r="D198" s="197"/>
      <c r="E198" s="584">
        <v>923168490134</v>
      </c>
      <c r="F198" s="603" t="s">
        <v>7291</v>
      </c>
      <c r="G198" s="197"/>
      <c r="H198" s="584" t="s">
        <v>11307</v>
      </c>
      <c r="I198" s="584" t="s">
        <v>11308</v>
      </c>
      <c r="J198" s="584" t="s">
        <v>11309</v>
      </c>
      <c r="K198" s="584">
        <v>3.0</v>
      </c>
      <c r="L198" s="586" t="s">
        <v>25</v>
      </c>
    </row>
    <row r="199" ht="22.5" customHeight="1">
      <c r="A199" s="587" t="s">
        <v>11275</v>
      </c>
      <c r="B199" s="588">
        <v>0.41682870370370373</v>
      </c>
      <c r="C199" s="589" t="s">
        <v>7407</v>
      </c>
      <c r="D199" s="590"/>
      <c r="E199" s="589">
        <v>923006616719</v>
      </c>
      <c r="F199" s="605" t="s">
        <v>7291</v>
      </c>
      <c r="G199" s="589" t="s">
        <v>11310</v>
      </c>
      <c r="H199" s="589" t="s">
        <v>11311</v>
      </c>
      <c r="I199" s="589" t="s">
        <v>11312</v>
      </c>
      <c r="J199" s="589" t="s">
        <v>11313</v>
      </c>
      <c r="K199" s="589">
        <v>4.0</v>
      </c>
      <c r="L199" s="592" t="s">
        <v>6944</v>
      </c>
    </row>
    <row r="200" ht="22.5" customHeight="1">
      <c r="A200" s="582" t="s">
        <v>11275</v>
      </c>
      <c r="B200" s="583">
        <v>0.4170023148148148</v>
      </c>
      <c r="C200" s="584" t="s">
        <v>11314</v>
      </c>
      <c r="D200" s="197"/>
      <c r="E200" s="584">
        <v>923450607355</v>
      </c>
      <c r="F200" s="603" t="s">
        <v>7291</v>
      </c>
      <c r="G200" s="197"/>
      <c r="H200" s="584" t="s">
        <v>11315</v>
      </c>
      <c r="I200" s="584" t="s">
        <v>11316</v>
      </c>
      <c r="J200" s="584" t="s">
        <v>11317</v>
      </c>
      <c r="K200" s="584">
        <v>3.0</v>
      </c>
      <c r="L200" s="586" t="s">
        <v>6944</v>
      </c>
    </row>
    <row r="201" ht="22.5" customHeight="1">
      <c r="A201" s="587" t="s">
        <v>11275</v>
      </c>
      <c r="B201" s="588">
        <v>0.4171064814814815</v>
      </c>
      <c r="C201" s="589" t="s">
        <v>7412</v>
      </c>
      <c r="D201" s="590"/>
      <c r="E201" s="589">
        <v>923175093657</v>
      </c>
      <c r="F201" s="605" t="s">
        <v>7291</v>
      </c>
      <c r="G201" s="590"/>
      <c r="H201" s="590"/>
      <c r="I201" s="589" t="s">
        <v>11318</v>
      </c>
      <c r="J201" s="589" t="s">
        <v>11319</v>
      </c>
      <c r="K201" s="589">
        <v>2.0</v>
      </c>
      <c r="L201" s="592" t="s">
        <v>11320</v>
      </c>
    </row>
    <row r="202" ht="22.5" customHeight="1">
      <c r="A202" s="582" t="s">
        <v>11275</v>
      </c>
      <c r="B202" s="583">
        <v>0.4922800925925926</v>
      </c>
      <c r="C202" s="584" t="s">
        <v>7417</v>
      </c>
      <c r="D202" s="197"/>
      <c r="E202" s="584">
        <v>923176514182</v>
      </c>
      <c r="F202" s="585" t="s">
        <v>6939</v>
      </c>
      <c r="G202" s="584" t="s">
        <v>11321</v>
      </c>
      <c r="H202" s="197"/>
      <c r="I202" s="584" t="s">
        <v>11322</v>
      </c>
      <c r="J202" s="584" t="s">
        <v>11323</v>
      </c>
      <c r="K202" s="584">
        <v>3.0</v>
      </c>
      <c r="L202" s="147"/>
    </row>
    <row r="203" ht="22.5" customHeight="1">
      <c r="A203" s="587" t="s">
        <v>11275</v>
      </c>
      <c r="B203" s="588">
        <v>0.5060185185185185</v>
      </c>
      <c r="C203" s="589" t="s">
        <v>11324</v>
      </c>
      <c r="D203" s="590"/>
      <c r="E203" s="589">
        <v>923189212722</v>
      </c>
      <c r="F203" s="600" t="s">
        <v>6982</v>
      </c>
      <c r="G203" s="590"/>
      <c r="H203" s="590"/>
      <c r="I203" s="589" t="s">
        <v>11325</v>
      </c>
      <c r="J203" s="590"/>
      <c r="K203" s="589">
        <v>1.0</v>
      </c>
      <c r="L203" s="592" t="s">
        <v>11326</v>
      </c>
    </row>
    <row r="204" ht="22.5" customHeight="1">
      <c r="A204" s="582" t="s">
        <v>11275</v>
      </c>
      <c r="B204" s="583">
        <v>0.5249074074074074</v>
      </c>
      <c r="C204" s="584" t="s">
        <v>11327</v>
      </c>
      <c r="D204" s="197"/>
      <c r="E204" s="584">
        <v>923039095267</v>
      </c>
      <c r="F204" s="585" t="s">
        <v>6939</v>
      </c>
      <c r="G204" s="584" t="s">
        <v>11328</v>
      </c>
      <c r="H204" s="197"/>
      <c r="I204" s="584" t="s">
        <v>11329</v>
      </c>
      <c r="J204" s="584" t="s">
        <v>11330</v>
      </c>
      <c r="K204" s="584">
        <v>3.0</v>
      </c>
      <c r="L204" s="147"/>
    </row>
    <row r="205" ht="22.5" customHeight="1">
      <c r="A205" s="587" t="s">
        <v>11275</v>
      </c>
      <c r="B205" s="588">
        <v>0.592662037037037</v>
      </c>
      <c r="C205" s="589" t="s">
        <v>11331</v>
      </c>
      <c r="D205" s="590"/>
      <c r="E205" s="589">
        <v>923160296046</v>
      </c>
      <c r="F205" s="605" t="s">
        <v>7291</v>
      </c>
      <c r="G205" s="590"/>
      <c r="H205" s="590"/>
      <c r="I205" s="589" t="s">
        <v>11332</v>
      </c>
      <c r="J205" s="589" t="s">
        <v>11333</v>
      </c>
      <c r="K205" s="589">
        <v>2.0</v>
      </c>
      <c r="L205" s="592" t="s">
        <v>6944</v>
      </c>
    </row>
    <row r="206" ht="22.5" customHeight="1">
      <c r="A206" s="582" t="s">
        <v>11275</v>
      </c>
      <c r="B206" s="583">
        <v>0.6313657407407407</v>
      </c>
      <c r="C206" s="584" t="s">
        <v>7423</v>
      </c>
      <c r="D206" s="197"/>
      <c r="E206" s="597">
        <v>923156965023</v>
      </c>
      <c r="F206" s="598" t="s">
        <v>6875</v>
      </c>
      <c r="G206" s="584" t="s">
        <v>11334</v>
      </c>
      <c r="H206" s="197"/>
      <c r="I206" s="197"/>
      <c r="J206" s="584" t="s">
        <v>11335</v>
      </c>
      <c r="K206" s="584">
        <v>2.0</v>
      </c>
      <c r="L206" s="586" t="s">
        <v>372</v>
      </c>
    </row>
    <row r="207" ht="22.5" customHeight="1">
      <c r="A207" s="587" t="s">
        <v>11275</v>
      </c>
      <c r="B207" s="588">
        <v>0.7086111111111111</v>
      </c>
      <c r="C207" s="589" t="s">
        <v>11336</v>
      </c>
      <c r="D207" s="590"/>
      <c r="E207" s="594">
        <v>923163836343</v>
      </c>
      <c r="F207" s="595" t="s">
        <v>6875</v>
      </c>
      <c r="G207" s="590"/>
      <c r="H207" s="590"/>
      <c r="I207" s="590"/>
      <c r="J207" s="589" t="s">
        <v>11337</v>
      </c>
      <c r="K207" s="589">
        <v>1.0</v>
      </c>
      <c r="L207" s="592" t="s">
        <v>372</v>
      </c>
    </row>
    <row r="208" ht="22.5" customHeight="1">
      <c r="A208" s="582" t="s">
        <v>11275</v>
      </c>
      <c r="B208" s="583">
        <v>0.7207523148148148</v>
      </c>
      <c r="C208" s="584" t="s">
        <v>7435</v>
      </c>
      <c r="D208" s="197"/>
      <c r="E208" s="584">
        <v>923332365747</v>
      </c>
      <c r="F208" s="603" t="s">
        <v>7291</v>
      </c>
      <c r="G208" s="197"/>
      <c r="H208" s="197"/>
      <c r="I208" s="584" t="s">
        <v>11338</v>
      </c>
      <c r="J208" s="584" t="s">
        <v>11339</v>
      </c>
      <c r="K208" s="584">
        <v>2.0</v>
      </c>
      <c r="L208" s="586" t="s">
        <v>11340</v>
      </c>
    </row>
    <row r="209" ht="22.5" customHeight="1">
      <c r="A209" s="587" t="s">
        <v>11275</v>
      </c>
      <c r="B209" s="588">
        <v>0.7279976851851852</v>
      </c>
      <c r="C209" s="589" t="s">
        <v>11341</v>
      </c>
      <c r="D209" s="590"/>
      <c r="E209" s="589">
        <v>923005897297</v>
      </c>
      <c r="F209" s="591" t="s">
        <v>6939</v>
      </c>
      <c r="G209" s="589" t="s">
        <v>11342</v>
      </c>
      <c r="H209" s="590"/>
      <c r="I209" s="589" t="s">
        <v>11343</v>
      </c>
      <c r="J209" s="589" t="s">
        <v>11344</v>
      </c>
      <c r="K209" s="589">
        <v>3.0</v>
      </c>
      <c r="L209" s="599"/>
    </row>
    <row r="210" ht="22.5" customHeight="1">
      <c r="A210" s="582" t="s">
        <v>11275</v>
      </c>
      <c r="B210" s="583">
        <v>0.7596990740740741</v>
      </c>
      <c r="C210" s="584" t="s">
        <v>11345</v>
      </c>
      <c r="D210" s="197"/>
      <c r="E210" s="584">
        <v>923015217703</v>
      </c>
      <c r="F210" s="585" t="s">
        <v>6939</v>
      </c>
      <c r="G210" s="584" t="s">
        <v>11346</v>
      </c>
      <c r="H210" s="197"/>
      <c r="I210" s="584" t="s">
        <v>11347</v>
      </c>
      <c r="J210" s="584" t="s">
        <v>11348</v>
      </c>
      <c r="K210" s="584">
        <v>3.0</v>
      </c>
      <c r="L210" s="147"/>
    </row>
    <row r="211" ht="22.5" customHeight="1">
      <c r="A211" s="623">
        <v>45666.0</v>
      </c>
      <c r="B211" s="588">
        <v>0.41452546296296294</v>
      </c>
      <c r="C211" s="589" t="s">
        <v>7441</v>
      </c>
      <c r="D211" s="590"/>
      <c r="E211" s="589">
        <v>923298326201</v>
      </c>
      <c r="F211" s="591" t="s">
        <v>6939</v>
      </c>
      <c r="G211" s="589" t="s">
        <v>11349</v>
      </c>
      <c r="H211" s="590"/>
      <c r="I211" s="590"/>
      <c r="J211" s="589" t="s">
        <v>11350</v>
      </c>
      <c r="K211" s="589">
        <v>2.0</v>
      </c>
      <c r="L211" s="599"/>
    </row>
    <row r="212" ht="22.5" customHeight="1">
      <c r="A212" s="624">
        <v>45666.0</v>
      </c>
      <c r="B212" s="583">
        <v>0.41520833333333335</v>
      </c>
      <c r="C212" s="584" t="s">
        <v>9614</v>
      </c>
      <c r="D212" s="584" t="s">
        <v>6886</v>
      </c>
      <c r="E212" s="606" t="s">
        <v>11351</v>
      </c>
      <c r="F212" s="603" t="s">
        <v>7291</v>
      </c>
      <c r="G212" s="584" t="s">
        <v>11352</v>
      </c>
      <c r="H212" s="197"/>
      <c r="I212" s="584" t="s">
        <v>11353</v>
      </c>
      <c r="J212" s="197"/>
      <c r="K212" s="584">
        <v>2.0</v>
      </c>
      <c r="L212" s="586" t="s">
        <v>6944</v>
      </c>
    </row>
    <row r="213" ht="22.5" customHeight="1">
      <c r="A213" s="623">
        <v>45697.0</v>
      </c>
      <c r="B213" s="588">
        <v>0.7433101851851852</v>
      </c>
      <c r="C213" s="589" t="s">
        <v>7484</v>
      </c>
      <c r="D213" s="590"/>
      <c r="E213" s="589">
        <f>923047539139</f>
        <v>923047539139</v>
      </c>
      <c r="F213" s="605" t="s">
        <v>7291</v>
      </c>
      <c r="G213" s="589" t="s">
        <v>11354</v>
      </c>
      <c r="H213" s="590"/>
      <c r="I213" s="590"/>
      <c r="J213" s="589" t="s">
        <v>11355</v>
      </c>
      <c r="K213" s="589">
        <v>2.0</v>
      </c>
      <c r="L213" s="592" t="s">
        <v>6944</v>
      </c>
    </row>
    <row r="214" ht="22.5" customHeight="1">
      <c r="A214" s="624">
        <v>45666.0</v>
      </c>
      <c r="B214" s="583">
        <v>0.41538194444444443</v>
      </c>
      <c r="C214" s="584" t="s">
        <v>11356</v>
      </c>
      <c r="D214" s="584" t="s">
        <v>6886</v>
      </c>
      <c r="E214" s="606" t="s">
        <v>11357</v>
      </c>
      <c r="F214" s="585" t="s">
        <v>6939</v>
      </c>
      <c r="G214" s="584" t="s">
        <v>11358</v>
      </c>
      <c r="H214" s="197"/>
      <c r="I214" s="197"/>
      <c r="J214" s="584" t="s">
        <v>11359</v>
      </c>
      <c r="K214" s="584">
        <v>2.0</v>
      </c>
      <c r="L214" s="147"/>
    </row>
    <row r="215" ht="22.5" customHeight="1">
      <c r="A215" s="623">
        <v>45666.0</v>
      </c>
      <c r="B215" s="588">
        <v>0.4162037037037037</v>
      </c>
      <c r="C215" s="589" t="s">
        <v>7459</v>
      </c>
      <c r="D215" s="590"/>
      <c r="E215" s="589">
        <v>923224866541</v>
      </c>
      <c r="F215" s="607" t="s">
        <v>9302</v>
      </c>
      <c r="G215" s="589" t="s">
        <v>11360</v>
      </c>
      <c r="H215" s="590"/>
      <c r="I215" s="589" t="s">
        <v>11361</v>
      </c>
      <c r="J215" s="590"/>
      <c r="K215" s="589">
        <v>2.0</v>
      </c>
      <c r="L215" s="592" t="s">
        <v>927</v>
      </c>
    </row>
    <row r="216" ht="22.5" customHeight="1">
      <c r="A216" s="624">
        <v>45666.0</v>
      </c>
      <c r="B216" s="583">
        <v>0.4170138888888889</v>
      </c>
      <c r="C216" s="584" t="s">
        <v>5098</v>
      </c>
      <c r="D216" s="197"/>
      <c r="E216" s="597">
        <v>923257443145</v>
      </c>
      <c r="F216" s="598" t="s">
        <v>6875</v>
      </c>
      <c r="G216" s="584" t="s">
        <v>11362</v>
      </c>
      <c r="H216" s="197"/>
      <c r="I216" s="197"/>
      <c r="J216" s="197"/>
      <c r="K216" s="584">
        <v>1.0</v>
      </c>
      <c r="L216" s="586" t="s">
        <v>1158</v>
      </c>
    </row>
    <row r="217" ht="22.5" customHeight="1">
      <c r="A217" s="623">
        <v>45666.0</v>
      </c>
      <c r="B217" s="588">
        <v>0.4171412037037037</v>
      </c>
      <c r="C217" s="589" t="s">
        <v>7466</v>
      </c>
      <c r="D217" s="590"/>
      <c r="E217" s="589">
        <v>923240010086</v>
      </c>
      <c r="F217" s="591" t="s">
        <v>6939</v>
      </c>
      <c r="G217" s="589" t="s">
        <v>11363</v>
      </c>
      <c r="H217" s="590"/>
      <c r="I217" s="590"/>
      <c r="J217" s="589" t="s">
        <v>11364</v>
      </c>
      <c r="K217" s="589">
        <v>2.0</v>
      </c>
      <c r="L217" s="599"/>
    </row>
    <row r="218" ht="22.5" customHeight="1">
      <c r="A218" s="624">
        <v>45666.0</v>
      </c>
      <c r="B218" s="583">
        <v>0.4172337962962963</v>
      </c>
      <c r="C218" s="584" t="s">
        <v>7471</v>
      </c>
      <c r="D218" s="197"/>
      <c r="E218" s="584">
        <v>923219525922</v>
      </c>
      <c r="F218" s="585" t="s">
        <v>6939</v>
      </c>
      <c r="G218" s="584" t="s">
        <v>11365</v>
      </c>
      <c r="H218" s="584" t="s">
        <v>11366</v>
      </c>
      <c r="I218" s="197"/>
      <c r="J218" s="584" t="s">
        <v>11367</v>
      </c>
      <c r="K218" s="584">
        <v>3.0</v>
      </c>
      <c r="L218" s="147"/>
    </row>
    <row r="219" ht="22.5" customHeight="1">
      <c r="A219" s="623">
        <v>45697.0</v>
      </c>
      <c r="B219" s="588">
        <v>0.7451967592592592</v>
      </c>
      <c r="C219" s="589" t="s">
        <v>7489</v>
      </c>
      <c r="D219" s="590"/>
      <c r="E219" s="589">
        <v>923281002056</v>
      </c>
      <c r="F219" s="605" t="s">
        <v>7291</v>
      </c>
      <c r="G219" s="589" t="s">
        <v>11368</v>
      </c>
      <c r="H219" s="590"/>
      <c r="I219" s="590"/>
      <c r="J219" s="590"/>
      <c r="K219" s="589">
        <v>1.0</v>
      </c>
      <c r="L219" s="592" t="s">
        <v>6944</v>
      </c>
    </row>
    <row r="220" ht="22.5" customHeight="1">
      <c r="A220" s="624">
        <v>45725.0</v>
      </c>
      <c r="B220" s="583">
        <v>0.41737268518518517</v>
      </c>
      <c r="C220" s="584" t="s">
        <v>11369</v>
      </c>
      <c r="D220" s="197"/>
      <c r="E220" s="597">
        <v>923329348000</v>
      </c>
      <c r="F220" s="598" t="s">
        <v>6875</v>
      </c>
      <c r="G220" s="584" t="s">
        <v>11370</v>
      </c>
      <c r="H220" s="197"/>
      <c r="I220" s="197"/>
      <c r="J220" s="197"/>
      <c r="K220" s="584">
        <v>1.0</v>
      </c>
      <c r="L220" s="586" t="s">
        <v>372</v>
      </c>
    </row>
    <row r="221" ht="22.5" customHeight="1">
      <c r="A221" s="623">
        <v>45725.0</v>
      </c>
      <c r="B221" s="588">
        <v>0.4175</v>
      </c>
      <c r="C221" s="589" t="s">
        <v>7494</v>
      </c>
      <c r="D221" s="590"/>
      <c r="E221" s="589">
        <v>923116921576</v>
      </c>
      <c r="F221" s="591" t="s">
        <v>6939</v>
      </c>
      <c r="G221" s="589" t="s">
        <v>11371</v>
      </c>
      <c r="H221" s="590"/>
      <c r="I221" s="590"/>
      <c r="J221" s="590"/>
      <c r="K221" s="589">
        <v>1.0</v>
      </c>
      <c r="L221" s="599"/>
    </row>
    <row r="222" ht="22.5" customHeight="1">
      <c r="A222" s="624">
        <v>45725.0</v>
      </c>
      <c r="B222" s="583">
        <v>0.4176736111111111</v>
      </c>
      <c r="C222" s="584" t="s">
        <v>7497</v>
      </c>
      <c r="D222" s="197"/>
      <c r="E222" s="584">
        <v>923295731472</v>
      </c>
      <c r="F222" s="585" t="s">
        <v>6939</v>
      </c>
      <c r="G222" s="584" t="s">
        <v>11372</v>
      </c>
      <c r="H222" s="197"/>
      <c r="I222" s="197"/>
      <c r="J222" s="197"/>
      <c r="K222" s="584">
        <v>1.0</v>
      </c>
      <c r="L222" s="147"/>
    </row>
    <row r="223" ht="22.5" customHeight="1">
      <c r="A223" s="623">
        <v>45725.0</v>
      </c>
      <c r="B223" s="588">
        <v>0.418275462962963</v>
      </c>
      <c r="C223" s="589" t="s">
        <v>7502</v>
      </c>
      <c r="D223" s="590"/>
      <c r="E223" s="589">
        <v>923288007344</v>
      </c>
      <c r="F223" s="607" t="s">
        <v>9302</v>
      </c>
      <c r="G223" s="590"/>
      <c r="H223" s="589" t="s">
        <v>11373</v>
      </c>
      <c r="I223" s="590"/>
      <c r="J223" s="590"/>
      <c r="K223" s="589">
        <v>1.0</v>
      </c>
      <c r="L223" s="592" t="s">
        <v>11374</v>
      </c>
    </row>
    <row r="224" ht="22.5" customHeight="1">
      <c r="A224" s="624">
        <v>45725.0</v>
      </c>
      <c r="B224" s="583">
        <v>0.41835648148148147</v>
      </c>
      <c r="C224" s="584" t="s">
        <v>11375</v>
      </c>
      <c r="D224" s="197"/>
      <c r="E224" s="584">
        <v>923114979993</v>
      </c>
      <c r="F224" s="603" t="s">
        <v>7291</v>
      </c>
      <c r="G224" s="197"/>
      <c r="H224" s="584" t="s">
        <v>11376</v>
      </c>
      <c r="I224" s="197"/>
      <c r="J224" s="197"/>
      <c r="K224" s="584">
        <v>1.0</v>
      </c>
      <c r="L224" s="586" t="s">
        <v>6944</v>
      </c>
    </row>
    <row r="225" ht="22.5" customHeight="1">
      <c r="A225" s="623">
        <v>45725.0</v>
      </c>
      <c r="B225" s="588">
        <v>0.4184837962962963</v>
      </c>
      <c r="C225" s="589" t="s">
        <v>7514</v>
      </c>
      <c r="D225" s="590"/>
      <c r="E225" s="589">
        <v>923348151199</v>
      </c>
      <c r="F225" s="591" t="s">
        <v>6939</v>
      </c>
      <c r="G225" s="590"/>
      <c r="H225" s="589" t="s">
        <v>11377</v>
      </c>
      <c r="I225" s="590"/>
      <c r="J225" s="590"/>
      <c r="K225" s="589">
        <v>1.0</v>
      </c>
      <c r="L225" s="599"/>
    </row>
    <row r="226" ht="22.5" customHeight="1">
      <c r="A226" s="624">
        <v>45725.0</v>
      </c>
      <c r="B226" s="583">
        <v>0.41858796296296297</v>
      </c>
      <c r="C226" s="584" t="s">
        <v>7517</v>
      </c>
      <c r="D226" s="197"/>
      <c r="E226" s="584">
        <v>923214565074</v>
      </c>
      <c r="F226" s="603" t="s">
        <v>7291</v>
      </c>
      <c r="G226" s="197"/>
      <c r="H226" s="584" t="s">
        <v>11378</v>
      </c>
      <c r="I226" s="197"/>
      <c r="J226" s="197"/>
      <c r="K226" s="584">
        <v>1.0</v>
      </c>
      <c r="L226" s="586" t="s">
        <v>685</v>
      </c>
    </row>
    <row r="227" ht="22.5" customHeight="1">
      <c r="A227" s="625">
        <v>45725.0</v>
      </c>
      <c r="B227" s="626">
        <v>0.42381944444444447</v>
      </c>
      <c r="C227" s="627" t="s">
        <v>7520</v>
      </c>
      <c r="D227" s="628"/>
      <c r="E227" s="627">
        <v>923422184722</v>
      </c>
      <c r="F227" s="629" t="s">
        <v>7291</v>
      </c>
      <c r="G227" s="628"/>
      <c r="H227" s="627" t="s">
        <v>11379</v>
      </c>
      <c r="I227" s="628"/>
      <c r="J227" s="628"/>
      <c r="K227" s="627">
        <v>1.0</v>
      </c>
      <c r="L227" s="630" t="s">
        <v>11380</v>
      </c>
    </row>
  </sheetData>
  <dataValidations>
    <dataValidation type="custom" allowBlank="1" showDropDown="1" sqref="B2:B227">
      <formula1>OR(TIMEVALUE(TEXT(B2, "hh:mm:ss"))=B2, AND(ISNUMBER(B2), LEFT(CELL("format", B2))="D"))</formula1>
    </dataValidation>
    <dataValidation type="list" allowBlank="1" showErrorMessage="1" sqref="F2:F227">
      <formula1>"Call Received,Not Received,Call Later,Client Lost,Confirmation,Paid,Demo,Form Filled"</formula1>
    </dataValidation>
    <dataValidation type="custom" allowBlank="1" showDropDown="1" sqref="A2:A227">
      <formula1>OR(NOT(ISERROR(DATEVALUE(A2))), AND(ISNUMBER(A2), LEFT(CELL("format", A2))="D"))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31">
        <v>9.23324422022E11</v>
      </c>
      <c r="B1" s="631" t="s">
        <v>6865</v>
      </c>
      <c r="C1" s="632" t="s">
        <v>0</v>
      </c>
      <c r="D1" s="631" t="s">
        <v>6866</v>
      </c>
      <c r="E1" s="632" t="s">
        <v>1</v>
      </c>
      <c r="F1" s="632" t="s">
        <v>4</v>
      </c>
      <c r="G1" s="631" t="s">
        <v>6867</v>
      </c>
      <c r="H1" s="631" t="s">
        <v>6868</v>
      </c>
      <c r="I1" s="631" t="s">
        <v>6869</v>
      </c>
      <c r="J1" s="631" t="s">
        <v>6870</v>
      </c>
      <c r="K1" s="631" t="s">
        <v>6871</v>
      </c>
      <c r="L1" s="631" t="s">
        <v>6872</v>
      </c>
    </row>
    <row r="2">
      <c r="A2" s="633" t="s">
        <v>11381</v>
      </c>
      <c r="B2" s="634">
        <v>0.4771064814814815</v>
      </c>
      <c r="C2" s="633" t="s">
        <v>7296</v>
      </c>
      <c r="D2" s="635"/>
      <c r="E2" s="568">
        <v>9.23399134447E11</v>
      </c>
      <c r="F2" s="633" t="s">
        <v>6875</v>
      </c>
      <c r="G2" s="284" t="s">
        <v>11382</v>
      </c>
      <c r="H2" s="633" t="s">
        <v>11383</v>
      </c>
      <c r="I2" s="635"/>
      <c r="J2" s="635"/>
      <c r="K2" s="633">
        <v>2.0</v>
      </c>
      <c r="L2" s="633" t="s">
        <v>372</v>
      </c>
    </row>
    <row r="3">
      <c r="A3" s="633" t="s">
        <v>11381</v>
      </c>
      <c r="B3" s="636"/>
      <c r="C3" s="633" t="s">
        <v>6874</v>
      </c>
      <c r="D3" s="635"/>
      <c r="E3" s="568">
        <v>9.23338244372E11</v>
      </c>
      <c r="F3" s="633" t="s">
        <v>6939</v>
      </c>
      <c r="G3" s="633" t="s">
        <v>11384</v>
      </c>
      <c r="H3" s="633" t="s">
        <v>11385</v>
      </c>
      <c r="I3" s="633" t="s">
        <v>11386</v>
      </c>
      <c r="J3" s="633" t="s">
        <v>11387</v>
      </c>
      <c r="K3" s="633">
        <v>4.0</v>
      </c>
      <c r="L3" s="633" t="s">
        <v>11388</v>
      </c>
    </row>
    <row r="4">
      <c r="A4" s="633" t="s">
        <v>11381</v>
      </c>
      <c r="B4" s="636"/>
      <c r="C4" s="562" t="s">
        <v>11389</v>
      </c>
      <c r="D4" s="635"/>
      <c r="E4" s="568">
        <v>9.23336481207E11</v>
      </c>
      <c r="F4" s="633" t="s">
        <v>6982</v>
      </c>
      <c r="G4" s="633" t="s">
        <v>11390</v>
      </c>
      <c r="H4" s="633" t="s">
        <v>11391</v>
      </c>
      <c r="I4" s="633" t="s">
        <v>11392</v>
      </c>
      <c r="J4" s="635"/>
      <c r="K4" s="633">
        <v>3.0</v>
      </c>
      <c r="L4" s="633" t="s">
        <v>11393</v>
      </c>
    </row>
    <row r="5">
      <c r="A5" s="633" t="s">
        <v>11381</v>
      </c>
      <c r="B5" s="636"/>
      <c r="C5" s="633" t="s">
        <v>11394</v>
      </c>
      <c r="D5" s="633" t="s">
        <v>6886</v>
      </c>
      <c r="E5" s="637" t="s">
        <v>11395</v>
      </c>
      <c r="F5" s="633" t="s">
        <v>6888</v>
      </c>
      <c r="G5" s="633" t="s">
        <v>11396</v>
      </c>
      <c r="H5" s="633" t="s">
        <v>11397</v>
      </c>
      <c r="I5" s="633" t="s">
        <v>11398</v>
      </c>
      <c r="J5" s="635"/>
      <c r="K5" s="633">
        <v>3.0</v>
      </c>
      <c r="L5" s="633" t="s">
        <v>636</v>
      </c>
    </row>
    <row r="6">
      <c r="A6" s="633" t="s">
        <v>11381</v>
      </c>
      <c r="B6" s="636"/>
      <c r="C6" s="562" t="s">
        <v>11399</v>
      </c>
      <c r="D6" s="635"/>
      <c r="E6" s="568">
        <v>9.23213012333E11</v>
      </c>
      <c r="F6" s="633" t="s">
        <v>6875</v>
      </c>
      <c r="G6" s="633" t="s">
        <v>11400</v>
      </c>
      <c r="H6" s="633" t="s">
        <v>11401</v>
      </c>
      <c r="I6" s="633" t="s">
        <v>11402</v>
      </c>
      <c r="J6" s="633" t="s">
        <v>11403</v>
      </c>
      <c r="K6" s="633">
        <v>4.0</v>
      </c>
      <c r="L6" s="633" t="s">
        <v>11152</v>
      </c>
    </row>
    <row r="7">
      <c r="A7" s="633" t="s">
        <v>11381</v>
      </c>
      <c r="B7" s="636"/>
      <c r="C7" s="633" t="s">
        <v>10576</v>
      </c>
      <c r="D7" s="635"/>
      <c r="E7" s="568">
        <v>9.23227262298E11</v>
      </c>
      <c r="F7" s="633" t="s">
        <v>6939</v>
      </c>
      <c r="G7" s="633" t="s">
        <v>11404</v>
      </c>
      <c r="H7" s="633" t="s">
        <v>11405</v>
      </c>
      <c r="I7" s="633" t="s">
        <v>11406</v>
      </c>
      <c r="J7" s="633" t="s">
        <v>11407</v>
      </c>
      <c r="K7" s="633">
        <v>4.0</v>
      </c>
      <c r="L7" s="633" t="s">
        <v>11388</v>
      </c>
    </row>
    <row r="8">
      <c r="A8" s="633" t="s">
        <v>11381</v>
      </c>
      <c r="B8" s="636"/>
      <c r="C8" s="562" t="s">
        <v>11408</v>
      </c>
      <c r="D8" s="635"/>
      <c r="E8" s="568">
        <v>9.23333866891E11</v>
      </c>
      <c r="F8" s="633" t="s">
        <v>6875</v>
      </c>
      <c r="G8" s="635"/>
      <c r="H8" s="633" t="s">
        <v>11409</v>
      </c>
      <c r="I8" s="633" t="s">
        <v>11410</v>
      </c>
      <c r="J8" s="633" t="s">
        <v>11411</v>
      </c>
      <c r="K8" s="633">
        <v>3.0</v>
      </c>
      <c r="L8" s="633" t="s">
        <v>11412</v>
      </c>
    </row>
    <row r="9">
      <c r="A9" s="633" t="s">
        <v>11381</v>
      </c>
      <c r="B9" s="636"/>
      <c r="C9" s="562" t="s">
        <v>11413</v>
      </c>
      <c r="D9" s="635"/>
      <c r="E9" s="568">
        <v>9.23018278805E11</v>
      </c>
      <c r="F9" s="633" t="s">
        <v>6875</v>
      </c>
      <c r="G9" s="633" t="s">
        <v>11414</v>
      </c>
      <c r="H9" s="633" t="s">
        <v>11415</v>
      </c>
      <c r="I9" s="633" t="s">
        <v>11416</v>
      </c>
      <c r="J9" s="633" t="s">
        <v>11417</v>
      </c>
      <c r="K9" s="633">
        <v>4.0</v>
      </c>
      <c r="L9" s="633" t="s">
        <v>11418</v>
      </c>
    </row>
    <row r="10">
      <c r="A10" s="633" t="s">
        <v>11381</v>
      </c>
      <c r="B10" s="636"/>
      <c r="C10" s="564" t="s">
        <v>6898</v>
      </c>
      <c r="D10" s="635"/>
      <c r="E10" s="568">
        <v>9.23052505167E11</v>
      </c>
      <c r="F10" s="633" t="s">
        <v>6875</v>
      </c>
      <c r="G10" s="633" t="s">
        <v>11419</v>
      </c>
      <c r="H10" s="633" t="s">
        <v>11420</v>
      </c>
      <c r="I10" s="633" t="s">
        <v>11421</v>
      </c>
      <c r="J10" s="633" t="s">
        <v>11422</v>
      </c>
      <c r="K10" s="633">
        <v>4.0</v>
      </c>
      <c r="L10" s="633" t="s">
        <v>51</v>
      </c>
    </row>
    <row r="11">
      <c r="A11" s="633" t="s">
        <v>11381</v>
      </c>
      <c r="B11" s="636"/>
      <c r="C11" s="562" t="s">
        <v>11423</v>
      </c>
      <c r="D11" s="635"/>
      <c r="E11" s="568">
        <v>9.23162019748E11</v>
      </c>
      <c r="F11" s="633" t="s">
        <v>6875</v>
      </c>
      <c r="G11" s="635"/>
      <c r="H11" s="633" t="s">
        <v>11424</v>
      </c>
      <c r="I11" s="633" t="s">
        <v>11425</v>
      </c>
      <c r="J11" s="635"/>
      <c r="K11" s="633">
        <v>2.0</v>
      </c>
      <c r="L11" s="633" t="s">
        <v>11426</v>
      </c>
    </row>
    <row r="12">
      <c r="A12" s="633" t="s">
        <v>11381</v>
      </c>
      <c r="B12" s="636"/>
      <c r="C12" s="633" t="s">
        <v>6901</v>
      </c>
      <c r="D12" s="635"/>
      <c r="E12" s="568">
        <v>9.2326364492E11</v>
      </c>
      <c r="F12" s="633" t="s">
        <v>6875</v>
      </c>
      <c r="G12" s="633" t="s">
        <v>11427</v>
      </c>
      <c r="H12" s="633" t="s">
        <v>11428</v>
      </c>
      <c r="I12" s="633" t="s">
        <v>11429</v>
      </c>
      <c r="J12" s="633" t="s">
        <v>11430</v>
      </c>
      <c r="K12" s="633">
        <v>4.0</v>
      </c>
      <c r="L12" s="633" t="s">
        <v>152</v>
      </c>
    </row>
    <row r="13">
      <c r="A13" s="633" t="s">
        <v>11381</v>
      </c>
      <c r="B13" s="636"/>
      <c r="C13" s="633" t="s">
        <v>3940</v>
      </c>
      <c r="D13" s="635"/>
      <c r="E13" s="568" t="s">
        <v>11431</v>
      </c>
      <c r="F13" s="633" t="s">
        <v>6888</v>
      </c>
      <c r="G13" s="633" t="s">
        <v>11432</v>
      </c>
      <c r="H13" s="633" t="s">
        <v>11433</v>
      </c>
      <c r="I13" s="633" t="s">
        <v>11434</v>
      </c>
      <c r="J13" s="633" t="s">
        <v>11435</v>
      </c>
      <c r="K13" s="633">
        <v>4.0</v>
      </c>
      <c r="L13" s="633" t="s">
        <v>1189</v>
      </c>
    </row>
    <row r="14">
      <c r="A14" s="633" t="s">
        <v>11381</v>
      </c>
      <c r="B14" s="636"/>
      <c r="C14" s="633" t="s">
        <v>10587</v>
      </c>
      <c r="D14" s="635"/>
      <c r="E14" s="568">
        <v>9.23116694627E11</v>
      </c>
      <c r="F14" s="633" t="s">
        <v>6875</v>
      </c>
      <c r="G14" s="633" t="s">
        <v>11436</v>
      </c>
      <c r="H14" s="633" t="s">
        <v>11437</v>
      </c>
      <c r="I14" s="633" t="s">
        <v>11438</v>
      </c>
      <c r="J14" s="633" t="s">
        <v>11439</v>
      </c>
      <c r="K14" s="633">
        <v>4.0</v>
      </c>
      <c r="L14" s="633" t="s">
        <v>51</v>
      </c>
    </row>
    <row r="15">
      <c r="A15" s="633" t="s">
        <v>11381</v>
      </c>
      <c r="B15" s="636"/>
      <c r="C15" s="633" t="s">
        <v>6920</v>
      </c>
      <c r="D15" s="635"/>
      <c r="E15" s="568">
        <v>9.23162783119E11</v>
      </c>
      <c r="F15" s="633" t="s">
        <v>6875</v>
      </c>
      <c r="G15" s="633" t="s">
        <v>11440</v>
      </c>
      <c r="H15" s="633" t="s">
        <v>11441</v>
      </c>
      <c r="I15" s="635"/>
      <c r="J15" s="635"/>
      <c r="K15" s="633">
        <v>2.0</v>
      </c>
      <c r="L15" s="633" t="s">
        <v>1158</v>
      </c>
    </row>
    <row r="16">
      <c r="A16" s="633" t="s">
        <v>11381</v>
      </c>
      <c r="B16" s="636"/>
      <c r="C16" s="633" t="s">
        <v>10595</v>
      </c>
      <c r="D16" s="635"/>
      <c r="E16" s="568">
        <v>9.2324148897E11</v>
      </c>
      <c r="F16" s="633" t="s">
        <v>6939</v>
      </c>
      <c r="G16" s="633" t="s">
        <v>11442</v>
      </c>
      <c r="H16" s="633" t="s">
        <v>11443</v>
      </c>
      <c r="I16" s="633" t="s">
        <v>11444</v>
      </c>
      <c r="J16" s="633" t="s">
        <v>11445</v>
      </c>
      <c r="K16" s="633">
        <v>4.0</v>
      </c>
      <c r="L16" s="633" t="s">
        <v>11388</v>
      </c>
    </row>
    <row r="17">
      <c r="A17" s="633" t="s">
        <v>11381</v>
      </c>
      <c r="B17" s="636"/>
      <c r="C17" s="633" t="s">
        <v>10599</v>
      </c>
      <c r="D17" s="635"/>
      <c r="E17" s="638">
        <v>9.23322568837E11</v>
      </c>
      <c r="F17" s="633" t="s">
        <v>6875</v>
      </c>
      <c r="G17" s="633" t="s">
        <v>11446</v>
      </c>
      <c r="H17" s="633" t="s">
        <v>11447</v>
      </c>
      <c r="I17" s="633" t="s">
        <v>11448</v>
      </c>
      <c r="J17" s="633" t="s">
        <v>11449</v>
      </c>
      <c r="K17" s="633">
        <v>4.0</v>
      </c>
      <c r="L17" s="633" t="s">
        <v>51</v>
      </c>
    </row>
    <row r="18">
      <c r="A18" s="633" t="s">
        <v>11381</v>
      </c>
      <c r="B18" s="636"/>
      <c r="C18" s="633" t="s">
        <v>6933</v>
      </c>
      <c r="D18" s="635"/>
      <c r="E18" s="568">
        <v>9.23472402235E11</v>
      </c>
      <c r="F18" s="633" t="s">
        <v>6939</v>
      </c>
      <c r="G18" s="633" t="s">
        <v>11450</v>
      </c>
      <c r="H18" s="633" t="s">
        <v>11451</v>
      </c>
      <c r="I18" s="633" t="s">
        <v>11452</v>
      </c>
      <c r="J18" s="633" t="s">
        <v>11453</v>
      </c>
      <c r="K18" s="633">
        <v>4.0</v>
      </c>
      <c r="L18" s="633" t="s">
        <v>11388</v>
      </c>
    </row>
    <row r="19">
      <c r="A19" s="633" t="s">
        <v>11381</v>
      </c>
      <c r="B19" s="636"/>
      <c r="C19" s="633" t="s">
        <v>11454</v>
      </c>
      <c r="D19" s="635"/>
      <c r="E19" s="568">
        <v>9.23141623434E11</v>
      </c>
      <c r="F19" s="633" t="s">
        <v>6875</v>
      </c>
      <c r="G19" s="633" t="s">
        <v>11455</v>
      </c>
      <c r="H19" s="633" t="s">
        <v>11456</v>
      </c>
      <c r="I19" s="633" t="s">
        <v>11457</v>
      </c>
      <c r="J19" s="633" t="s">
        <v>11458</v>
      </c>
      <c r="K19" s="633">
        <v>4.0</v>
      </c>
      <c r="L19" s="633" t="s">
        <v>685</v>
      </c>
    </row>
    <row r="20">
      <c r="A20" s="633" t="s">
        <v>11381</v>
      </c>
      <c r="B20" s="634">
        <v>0.48018518518518516</v>
      </c>
      <c r="C20" s="633" t="s">
        <v>11459</v>
      </c>
      <c r="D20" s="635"/>
      <c r="E20" s="639">
        <v>923153985845</v>
      </c>
      <c r="F20" s="633" t="s">
        <v>6875</v>
      </c>
      <c r="G20" s="635"/>
      <c r="H20" s="633" t="s">
        <v>11460</v>
      </c>
      <c r="I20" s="635"/>
      <c r="J20" s="633" t="s">
        <v>11461</v>
      </c>
      <c r="K20" s="633">
        <v>2.0</v>
      </c>
      <c r="L20" s="640" t="s">
        <v>372</v>
      </c>
    </row>
    <row r="21">
      <c r="A21" s="633" t="s">
        <v>11381</v>
      </c>
      <c r="B21" s="634">
        <v>0.480462962962963</v>
      </c>
      <c r="C21" s="633" t="s">
        <v>11462</v>
      </c>
      <c r="D21" s="635"/>
      <c r="E21" s="639">
        <v>923002475228</v>
      </c>
      <c r="F21" s="633" t="s">
        <v>6875</v>
      </c>
      <c r="G21" s="635"/>
      <c r="H21" s="633" t="s">
        <v>11463</v>
      </c>
      <c r="I21" s="633" t="s">
        <v>11464</v>
      </c>
      <c r="J21" s="633" t="s">
        <v>11465</v>
      </c>
      <c r="K21" s="633">
        <v>3.0</v>
      </c>
      <c r="L21" s="633" t="s">
        <v>27</v>
      </c>
    </row>
    <row r="22">
      <c r="A22" s="633" t="s">
        <v>11381</v>
      </c>
      <c r="B22" s="634">
        <v>0.4806828703703704</v>
      </c>
      <c r="C22" s="633" t="s">
        <v>6874</v>
      </c>
      <c r="D22" s="635"/>
      <c r="E22" s="639">
        <v>923223015241</v>
      </c>
      <c r="F22" s="633" t="s">
        <v>6875</v>
      </c>
      <c r="G22" s="633" t="s">
        <v>11466</v>
      </c>
      <c r="H22" s="633" t="s">
        <v>11467</v>
      </c>
      <c r="I22" s="633" t="s">
        <v>11468</v>
      </c>
      <c r="J22" s="633" t="s">
        <v>11469</v>
      </c>
      <c r="K22" s="633">
        <v>4.0</v>
      </c>
      <c r="L22" s="635"/>
    </row>
    <row r="23">
      <c r="A23" s="633" t="s">
        <v>11381</v>
      </c>
      <c r="B23" s="634">
        <v>0.48356481481481484</v>
      </c>
      <c r="C23" s="633" t="s">
        <v>4928</v>
      </c>
      <c r="D23" s="635"/>
      <c r="E23" s="639">
        <v>923133513973</v>
      </c>
      <c r="F23" s="633" t="s">
        <v>6875</v>
      </c>
      <c r="G23" s="633" t="s">
        <v>11470</v>
      </c>
      <c r="H23" s="633" t="s">
        <v>11471</v>
      </c>
      <c r="I23" s="633" t="s">
        <v>11472</v>
      </c>
      <c r="J23" s="633" t="s">
        <v>11473</v>
      </c>
      <c r="K23" s="633">
        <v>4.0</v>
      </c>
      <c r="L23" s="633" t="s">
        <v>11474</v>
      </c>
    </row>
    <row r="24">
      <c r="A24" s="633" t="s">
        <v>11381</v>
      </c>
      <c r="B24" s="634">
        <v>0.5055902777777778</v>
      </c>
      <c r="C24" s="633" t="s">
        <v>11475</v>
      </c>
      <c r="D24" s="635"/>
      <c r="E24" s="639">
        <v>923042354375</v>
      </c>
      <c r="F24" s="633" t="s">
        <v>6888</v>
      </c>
      <c r="G24" s="635"/>
      <c r="H24" s="633" t="s">
        <v>11476</v>
      </c>
      <c r="I24" s="635"/>
      <c r="J24" s="635"/>
      <c r="K24" s="633">
        <v>1.0</v>
      </c>
      <c r="L24" s="633" t="s">
        <v>11477</v>
      </c>
    </row>
    <row r="25">
      <c r="A25" s="633" t="s">
        <v>11381</v>
      </c>
      <c r="B25" s="634">
        <v>0.5131481481481481</v>
      </c>
      <c r="C25" s="633" t="s">
        <v>254</v>
      </c>
      <c r="D25" s="635"/>
      <c r="E25" s="639">
        <v>923002855607</v>
      </c>
      <c r="F25" s="633" t="s">
        <v>6875</v>
      </c>
      <c r="G25" s="635"/>
      <c r="H25" s="633" t="s">
        <v>11478</v>
      </c>
      <c r="I25" s="633" t="s">
        <v>11479</v>
      </c>
      <c r="J25" s="635"/>
      <c r="K25" s="633">
        <v>2.0</v>
      </c>
      <c r="L25" s="640" t="s">
        <v>372</v>
      </c>
    </row>
    <row r="26">
      <c r="A26" s="633" t="s">
        <v>11381</v>
      </c>
      <c r="B26" s="634">
        <v>0.5277430555555556</v>
      </c>
      <c r="C26" s="633" t="s">
        <v>11480</v>
      </c>
      <c r="D26" s="635"/>
      <c r="E26" s="639">
        <v>923362502357</v>
      </c>
      <c r="F26" s="633" t="s">
        <v>6875</v>
      </c>
      <c r="G26" s="635"/>
      <c r="H26" s="635"/>
      <c r="I26" s="633" t="s">
        <v>11481</v>
      </c>
      <c r="J26" s="635"/>
      <c r="K26" s="633">
        <v>1.0</v>
      </c>
      <c r="L26" s="640" t="s">
        <v>372</v>
      </c>
    </row>
    <row r="27">
      <c r="A27" s="633" t="s">
        <v>11381</v>
      </c>
      <c r="B27" s="634">
        <v>0.5673726851851851</v>
      </c>
      <c r="C27" s="633" t="s">
        <v>10610</v>
      </c>
      <c r="D27" s="635"/>
      <c r="E27" s="639">
        <v>923015838726</v>
      </c>
      <c r="F27" s="633" t="s">
        <v>6875</v>
      </c>
      <c r="G27" s="633" t="s">
        <v>11482</v>
      </c>
      <c r="H27" s="633" t="s">
        <v>11483</v>
      </c>
      <c r="I27" s="633" t="s">
        <v>11484</v>
      </c>
      <c r="J27" s="633" t="s">
        <v>11485</v>
      </c>
      <c r="K27" s="633">
        <v>4.0</v>
      </c>
      <c r="L27" s="633" t="s">
        <v>372</v>
      </c>
    </row>
    <row r="28">
      <c r="A28" s="633" t="s">
        <v>11381</v>
      </c>
      <c r="B28" s="634">
        <v>0.5930208333333333</v>
      </c>
      <c r="C28" s="633" t="s">
        <v>346</v>
      </c>
      <c r="D28" s="633" t="s">
        <v>11486</v>
      </c>
      <c r="E28" s="641" t="s">
        <v>11487</v>
      </c>
      <c r="F28" s="633" t="s">
        <v>6939</v>
      </c>
      <c r="G28" s="633" t="s">
        <v>11488</v>
      </c>
      <c r="H28" s="633" t="s">
        <v>11489</v>
      </c>
      <c r="I28" s="633" t="s">
        <v>11490</v>
      </c>
      <c r="J28" s="633" t="s">
        <v>11491</v>
      </c>
      <c r="K28" s="633">
        <v>4.0</v>
      </c>
      <c r="L28" s="633" t="s">
        <v>11388</v>
      </c>
    </row>
    <row r="29">
      <c r="A29" s="633" t="s">
        <v>11381</v>
      </c>
      <c r="B29" s="634">
        <v>0.6173032407407407</v>
      </c>
      <c r="C29" s="633" t="s">
        <v>11492</v>
      </c>
      <c r="D29" s="635"/>
      <c r="E29" s="639">
        <v>923321203444</v>
      </c>
      <c r="F29" s="633" t="s">
        <v>6875</v>
      </c>
      <c r="G29" s="633" t="s">
        <v>11493</v>
      </c>
      <c r="H29" s="633" t="s">
        <v>11494</v>
      </c>
      <c r="I29" s="633" t="s">
        <v>11495</v>
      </c>
      <c r="J29" s="633" t="s">
        <v>11496</v>
      </c>
      <c r="K29" s="633">
        <v>4.0</v>
      </c>
      <c r="L29" s="633" t="s">
        <v>11497</v>
      </c>
    </row>
    <row r="30">
      <c r="A30" s="633" t="s">
        <v>11381</v>
      </c>
      <c r="B30" s="634">
        <v>0.664699074074074</v>
      </c>
      <c r="C30" s="633" t="s">
        <v>11498</v>
      </c>
      <c r="D30" s="635"/>
      <c r="E30" s="639">
        <v>923002949574</v>
      </c>
      <c r="F30" s="633" t="s">
        <v>6939</v>
      </c>
      <c r="G30" s="633" t="s">
        <v>11499</v>
      </c>
      <c r="H30" s="633" t="s">
        <v>11500</v>
      </c>
      <c r="I30" s="633" t="s">
        <v>11501</v>
      </c>
      <c r="J30" s="633" t="s">
        <v>11502</v>
      </c>
      <c r="K30" s="633">
        <v>4.0</v>
      </c>
      <c r="L30" s="633" t="s">
        <v>11388</v>
      </c>
    </row>
    <row r="31">
      <c r="A31" s="633" t="s">
        <v>11381</v>
      </c>
      <c r="B31" s="634">
        <v>0.6978125</v>
      </c>
      <c r="C31" s="633" t="s">
        <v>10613</v>
      </c>
      <c r="D31" s="635"/>
      <c r="E31" s="639">
        <v>923216348980</v>
      </c>
      <c r="F31" s="633" t="s">
        <v>6875</v>
      </c>
      <c r="G31" s="635"/>
      <c r="H31" s="633" t="s">
        <v>11503</v>
      </c>
      <c r="I31" s="633" t="s">
        <v>11504</v>
      </c>
      <c r="J31" s="635"/>
      <c r="K31" s="633">
        <v>2.0</v>
      </c>
      <c r="L31" s="640" t="s">
        <v>372</v>
      </c>
    </row>
    <row r="32">
      <c r="A32" s="633" t="s">
        <v>11505</v>
      </c>
      <c r="B32" s="634">
        <v>0.42246527777777776</v>
      </c>
      <c r="C32" s="633" t="s">
        <v>11506</v>
      </c>
      <c r="D32" s="635"/>
      <c r="E32" s="639">
        <v>923045725378</v>
      </c>
      <c r="F32" s="633" t="s">
        <v>6875</v>
      </c>
      <c r="G32" s="633" t="s">
        <v>11507</v>
      </c>
      <c r="H32" s="633" t="s">
        <v>11508</v>
      </c>
      <c r="I32" s="633" t="s">
        <v>11509</v>
      </c>
      <c r="J32" s="635"/>
      <c r="K32" s="633">
        <v>3.0</v>
      </c>
      <c r="L32" s="633" t="s">
        <v>7851</v>
      </c>
    </row>
    <row r="33">
      <c r="A33" s="633" t="s">
        <v>11505</v>
      </c>
      <c r="B33" s="634">
        <v>0.4226273148148148</v>
      </c>
      <c r="C33" s="633" t="s">
        <v>11510</v>
      </c>
      <c r="D33" s="633" t="s">
        <v>11511</v>
      </c>
      <c r="E33" s="641" t="s">
        <v>11512</v>
      </c>
      <c r="F33" s="633" t="s">
        <v>6888</v>
      </c>
      <c r="G33" s="633" t="s">
        <v>11513</v>
      </c>
      <c r="H33" s="633" t="s">
        <v>11514</v>
      </c>
      <c r="I33" s="635"/>
      <c r="J33" s="633" t="s">
        <v>11515</v>
      </c>
      <c r="K33" s="633">
        <v>3.0</v>
      </c>
      <c r="L33" s="633" t="s">
        <v>11516</v>
      </c>
    </row>
    <row r="34">
      <c r="A34" s="633" t="s">
        <v>11505</v>
      </c>
      <c r="B34" s="634">
        <v>0.422974537037037</v>
      </c>
      <c r="C34" s="633" t="s">
        <v>11517</v>
      </c>
      <c r="D34" s="635"/>
      <c r="E34" s="639">
        <v>923332356144</v>
      </c>
      <c r="F34" s="633" t="s">
        <v>6939</v>
      </c>
      <c r="G34" s="633" t="s">
        <v>11518</v>
      </c>
      <c r="H34" s="633" t="s">
        <v>11519</v>
      </c>
      <c r="I34" s="633" t="s">
        <v>11520</v>
      </c>
      <c r="J34" s="633" t="s">
        <v>11521</v>
      </c>
      <c r="K34" s="633">
        <v>4.0</v>
      </c>
      <c r="L34" s="633" t="s">
        <v>11388</v>
      </c>
    </row>
    <row r="35">
      <c r="A35" s="633" t="s">
        <v>11505</v>
      </c>
      <c r="B35" s="634">
        <v>0.42311342592592593</v>
      </c>
      <c r="C35" s="633" t="s">
        <v>10615</v>
      </c>
      <c r="D35" s="635"/>
      <c r="E35" s="639">
        <v>923014206886</v>
      </c>
      <c r="F35" s="633" t="s">
        <v>6939</v>
      </c>
      <c r="G35" s="633" t="s">
        <v>11522</v>
      </c>
      <c r="H35" s="633" t="s">
        <v>11523</v>
      </c>
      <c r="I35" s="633" t="s">
        <v>11524</v>
      </c>
      <c r="J35" s="633" t="s">
        <v>11525</v>
      </c>
      <c r="K35" s="633">
        <v>4.0</v>
      </c>
      <c r="L35" s="633" t="s">
        <v>11388</v>
      </c>
    </row>
    <row r="36">
      <c r="A36" s="633" t="s">
        <v>11505</v>
      </c>
      <c r="B36" s="634">
        <v>0.4232638888888889</v>
      </c>
      <c r="C36" s="633" t="s">
        <v>10616</v>
      </c>
      <c r="D36" s="635"/>
      <c r="E36" s="639">
        <v>923183750557</v>
      </c>
      <c r="F36" s="633" t="s">
        <v>6875</v>
      </c>
      <c r="G36" s="635"/>
      <c r="H36" s="633" t="s">
        <v>11526</v>
      </c>
      <c r="I36" s="635"/>
      <c r="J36" s="635"/>
      <c r="K36" s="633">
        <v>1.0</v>
      </c>
      <c r="L36" s="640" t="s">
        <v>372</v>
      </c>
    </row>
    <row r="37">
      <c r="A37" s="633" t="s">
        <v>11505</v>
      </c>
      <c r="B37" s="634">
        <v>0.4234837962962963</v>
      </c>
      <c r="C37" s="633" t="s">
        <v>2078</v>
      </c>
      <c r="D37" s="635"/>
      <c r="E37" s="639">
        <v>923333264925</v>
      </c>
      <c r="F37" s="633" t="s">
        <v>6939</v>
      </c>
      <c r="G37" s="633" t="s">
        <v>11527</v>
      </c>
      <c r="H37" s="633" t="s">
        <v>11528</v>
      </c>
      <c r="I37" s="633" t="s">
        <v>11529</v>
      </c>
      <c r="J37" s="633" t="s">
        <v>11530</v>
      </c>
      <c r="K37" s="633">
        <v>4.0</v>
      </c>
      <c r="L37" s="633" t="s">
        <v>11388</v>
      </c>
    </row>
    <row r="38">
      <c r="A38" s="633" t="s">
        <v>11505</v>
      </c>
      <c r="B38" s="634">
        <v>0.423599537037037</v>
      </c>
      <c r="C38" s="633" t="s">
        <v>11531</v>
      </c>
      <c r="D38" s="635"/>
      <c r="E38" s="639">
        <v>923410150208</v>
      </c>
      <c r="F38" s="633" t="s">
        <v>6939</v>
      </c>
      <c r="G38" s="633" t="s">
        <v>11532</v>
      </c>
      <c r="H38" s="633" t="s">
        <v>11533</v>
      </c>
      <c r="I38" s="633" t="s">
        <v>11534</v>
      </c>
      <c r="J38" s="633" t="s">
        <v>11535</v>
      </c>
      <c r="K38" s="633">
        <v>4.0</v>
      </c>
      <c r="L38" s="633" t="s">
        <v>11388</v>
      </c>
    </row>
    <row r="39">
      <c r="A39" s="633" t="s">
        <v>11505</v>
      </c>
      <c r="B39" s="634">
        <v>0.4237152777777778</v>
      </c>
      <c r="C39" s="633" t="s">
        <v>11536</v>
      </c>
      <c r="D39" s="633" t="s">
        <v>6886</v>
      </c>
      <c r="E39" s="641" t="s">
        <v>11537</v>
      </c>
      <c r="F39" s="633" t="s">
        <v>6888</v>
      </c>
      <c r="G39" s="633" t="s">
        <v>11538</v>
      </c>
      <c r="H39" s="633" t="s">
        <v>11539</v>
      </c>
      <c r="I39" s="633" t="s">
        <v>11540</v>
      </c>
      <c r="J39" s="633" t="s">
        <v>11541</v>
      </c>
      <c r="K39" s="633">
        <v>4.0</v>
      </c>
      <c r="L39" s="633" t="s">
        <v>11542</v>
      </c>
    </row>
    <row r="40">
      <c r="A40" s="633" t="s">
        <v>11505</v>
      </c>
      <c r="B40" s="634">
        <v>0.42391203703703706</v>
      </c>
      <c r="C40" s="633" t="s">
        <v>11543</v>
      </c>
      <c r="D40" s="635"/>
      <c r="E40" s="639">
        <v>923036949690</v>
      </c>
      <c r="F40" s="633" t="s">
        <v>6875</v>
      </c>
      <c r="G40" s="635"/>
      <c r="H40" s="633" t="s">
        <v>11544</v>
      </c>
      <c r="I40" s="633" t="s">
        <v>11545</v>
      </c>
      <c r="J40" s="635"/>
      <c r="K40" s="633">
        <v>2.0</v>
      </c>
      <c r="L40" s="633" t="s">
        <v>10356</v>
      </c>
    </row>
    <row r="41">
      <c r="A41" s="633" t="s">
        <v>11505</v>
      </c>
      <c r="B41" s="634">
        <v>0.4240509259259259</v>
      </c>
      <c r="C41" s="633" t="s">
        <v>11546</v>
      </c>
      <c r="D41" s="635"/>
      <c r="E41" s="639">
        <f>923267128299</f>
        <v>923267128299</v>
      </c>
      <c r="F41" s="633" t="s">
        <v>6888</v>
      </c>
      <c r="G41" s="633" t="s">
        <v>11547</v>
      </c>
      <c r="H41" s="633" t="s">
        <v>11548</v>
      </c>
      <c r="I41" s="633" t="s">
        <v>11549</v>
      </c>
      <c r="J41" s="633" t="s">
        <v>11550</v>
      </c>
      <c r="K41" s="633">
        <v>4.0</v>
      </c>
      <c r="L41" s="633" t="s">
        <v>636</v>
      </c>
    </row>
    <row r="42">
      <c r="A42" s="633" t="s">
        <v>11505</v>
      </c>
      <c r="B42" s="634">
        <v>0.42417824074074073</v>
      </c>
      <c r="C42" s="633" t="s">
        <v>11551</v>
      </c>
      <c r="D42" s="635"/>
      <c r="E42" s="639">
        <v>923135644041</v>
      </c>
      <c r="F42" s="633" t="s">
        <v>6875</v>
      </c>
      <c r="G42" s="633" t="s">
        <v>11552</v>
      </c>
      <c r="H42" s="633" t="s">
        <v>11553</v>
      </c>
      <c r="I42" s="635"/>
      <c r="J42" s="635"/>
      <c r="K42" s="633">
        <v>2.0</v>
      </c>
      <c r="L42" s="635"/>
    </row>
    <row r="43">
      <c r="A43" s="633" t="s">
        <v>11505</v>
      </c>
      <c r="B43" s="634">
        <v>0.4257638888888889</v>
      </c>
      <c r="C43" s="633" t="s">
        <v>11554</v>
      </c>
      <c r="D43" s="635"/>
      <c r="E43" s="639">
        <v>923082323230</v>
      </c>
      <c r="F43" s="633" t="s">
        <v>6875</v>
      </c>
      <c r="G43" s="633" t="s">
        <v>11555</v>
      </c>
      <c r="H43" s="633" t="s">
        <v>11556</v>
      </c>
      <c r="I43" s="633" t="s">
        <v>11557</v>
      </c>
      <c r="J43" s="633" t="s">
        <v>11558</v>
      </c>
      <c r="K43" s="633">
        <v>4.0</v>
      </c>
      <c r="L43" s="633" t="s">
        <v>10694</v>
      </c>
    </row>
    <row r="44">
      <c r="A44" s="633" t="s">
        <v>11505</v>
      </c>
      <c r="B44" s="634">
        <v>0.42586805555555557</v>
      </c>
      <c r="C44" s="633" t="s">
        <v>10635</v>
      </c>
      <c r="D44" s="633" t="s">
        <v>6886</v>
      </c>
      <c r="E44" s="639" t="s">
        <v>11559</v>
      </c>
      <c r="F44" s="633" t="s">
        <v>6875</v>
      </c>
      <c r="G44" s="633" t="s">
        <v>11560</v>
      </c>
      <c r="H44" s="633" t="s">
        <v>11561</v>
      </c>
      <c r="I44" s="633" t="s">
        <v>11562</v>
      </c>
      <c r="J44" s="633" t="s">
        <v>11563</v>
      </c>
      <c r="K44" s="633">
        <v>4.0</v>
      </c>
      <c r="L44" s="633" t="s">
        <v>11564</v>
      </c>
    </row>
    <row r="45">
      <c r="A45" s="633" t="s">
        <v>11505</v>
      </c>
      <c r="B45" s="634">
        <v>0.4260185185185185</v>
      </c>
      <c r="C45" s="633" t="s">
        <v>11565</v>
      </c>
      <c r="D45" s="635"/>
      <c r="E45" s="639">
        <v>923422110004</v>
      </c>
      <c r="F45" s="633" t="s">
        <v>6939</v>
      </c>
      <c r="G45" s="633" t="s">
        <v>11566</v>
      </c>
      <c r="H45" s="633" t="s">
        <v>11567</v>
      </c>
      <c r="I45" s="633" t="s">
        <v>11568</v>
      </c>
      <c r="J45" s="635"/>
      <c r="K45" s="633">
        <v>3.0</v>
      </c>
      <c r="L45" s="633" t="s">
        <v>11388</v>
      </c>
    </row>
    <row r="46">
      <c r="A46" s="633" t="s">
        <v>11505</v>
      </c>
      <c r="B46" s="634">
        <v>0.42613425925925924</v>
      </c>
      <c r="C46" s="633" t="s">
        <v>6950</v>
      </c>
      <c r="D46" s="635"/>
      <c r="E46" s="639">
        <v>923176861735</v>
      </c>
      <c r="F46" s="633" t="s">
        <v>6875</v>
      </c>
      <c r="G46" s="633" t="s">
        <v>11569</v>
      </c>
      <c r="H46" s="633" t="s">
        <v>11570</v>
      </c>
      <c r="I46" s="633" t="s">
        <v>11571</v>
      </c>
      <c r="J46" s="635"/>
      <c r="K46" s="633">
        <v>3.0</v>
      </c>
      <c r="L46" s="633" t="s">
        <v>372</v>
      </c>
    </row>
    <row r="47">
      <c r="A47" s="639" t="s">
        <v>11505</v>
      </c>
      <c r="B47" s="642">
        <v>0.4322800925925926</v>
      </c>
      <c r="C47" s="639" t="s">
        <v>11572</v>
      </c>
      <c r="D47" s="643"/>
      <c r="E47" s="639">
        <v>923208229500</v>
      </c>
      <c r="F47" s="633" t="s">
        <v>6875</v>
      </c>
      <c r="G47" s="643"/>
      <c r="H47" s="639" t="s">
        <v>11573</v>
      </c>
      <c r="I47" s="639" t="s">
        <v>11574</v>
      </c>
      <c r="J47" s="639" t="s">
        <v>11575</v>
      </c>
      <c r="K47" s="639">
        <v>3.0</v>
      </c>
      <c r="L47" s="639" t="s">
        <v>11576</v>
      </c>
    </row>
    <row r="48">
      <c r="A48" s="633" t="s">
        <v>11505</v>
      </c>
      <c r="B48" s="634">
        <v>0.5082175925925926</v>
      </c>
      <c r="C48" s="633" t="s">
        <v>11577</v>
      </c>
      <c r="D48" s="635"/>
      <c r="E48" s="639">
        <v>923214897631</v>
      </c>
      <c r="F48" s="633" t="s">
        <v>6875</v>
      </c>
      <c r="G48" s="633" t="s">
        <v>11578</v>
      </c>
      <c r="H48" s="633" t="s">
        <v>11579</v>
      </c>
      <c r="I48" s="633" t="s">
        <v>11580</v>
      </c>
      <c r="J48" s="635"/>
      <c r="K48" s="633">
        <v>3.0</v>
      </c>
      <c r="L48" s="633" t="s">
        <v>11581</v>
      </c>
    </row>
    <row r="49">
      <c r="A49" s="633" t="s">
        <v>11505</v>
      </c>
      <c r="B49" s="634">
        <v>0.5085532407407407</v>
      </c>
      <c r="C49" s="633" t="s">
        <v>11582</v>
      </c>
      <c r="D49" s="635"/>
      <c r="E49" s="639">
        <v>923452849068</v>
      </c>
      <c r="F49" s="633" t="s">
        <v>6875</v>
      </c>
      <c r="G49" s="635"/>
      <c r="H49" s="633" t="s">
        <v>11583</v>
      </c>
      <c r="I49" s="633" t="s">
        <v>11584</v>
      </c>
      <c r="J49" s="635"/>
      <c r="K49" s="633">
        <v>2.0</v>
      </c>
      <c r="L49" s="640" t="s">
        <v>372</v>
      </c>
    </row>
    <row r="50">
      <c r="A50" s="633" t="s">
        <v>11505</v>
      </c>
      <c r="B50" s="634">
        <v>0.5271759259259259</v>
      </c>
      <c r="C50" s="633" t="s">
        <v>6955</v>
      </c>
      <c r="D50" s="635"/>
      <c r="E50" s="639">
        <v>923171803494</v>
      </c>
      <c r="F50" s="633" t="s">
        <v>6875</v>
      </c>
      <c r="G50" s="635"/>
      <c r="H50" s="633" t="s">
        <v>11585</v>
      </c>
      <c r="I50" s="633" t="s">
        <v>11586</v>
      </c>
      <c r="J50" s="635"/>
      <c r="K50" s="633">
        <v>2.0</v>
      </c>
      <c r="L50" s="640" t="s">
        <v>372</v>
      </c>
    </row>
    <row r="51">
      <c r="A51" s="633" t="s">
        <v>11505</v>
      </c>
      <c r="B51" s="634">
        <v>0.5705671296296296</v>
      </c>
      <c r="C51" s="633" t="s">
        <v>11587</v>
      </c>
      <c r="D51" s="635"/>
      <c r="E51" s="639">
        <v>923142789725</v>
      </c>
      <c r="F51" s="633" t="s">
        <v>6875</v>
      </c>
      <c r="G51" s="633" t="s">
        <v>11588</v>
      </c>
      <c r="H51" s="633" t="s">
        <v>11589</v>
      </c>
      <c r="I51" s="633" t="s">
        <v>11590</v>
      </c>
      <c r="J51" s="633" t="s">
        <v>11591</v>
      </c>
      <c r="K51" s="633">
        <v>4.0</v>
      </c>
      <c r="L51" s="633" t="s">
        <v>372</v>
      </c>
    </row>
    <row r="52">
      <c r="A52" s="633" t="s">
        <v>11505</v>
      </c>
      <c r="B52" s="634">
        <v>0.5721064814814815</v>
      </c>
      <c r="C52" s="633" t="s">
        <v>4366</v>
      </c>
      <c r="D52" s="635"/>
      <c r="E52" s="639">
        <f>923336103593</f>
        <v>923336103593</v>
      </c>
      <c r="F52" s="633" t="s">
        <v>6875</v>
      </c>
      <c r="G52" s="635"/>
      <c r="H52" s="633" t="s">
        <v>11592</v>
      </c>
      <c r="I52" s="633" t="s">
        <v>11593</v>
      </c>
      <c r="J52" s="633" t="s">
        <v>11594</v>
      </c>
      <c r="K52" s="633">
        <v>3.0</v>
      </c>
      <c r="L52" s="633" t="s">
        <v>51</v>
      </c>
    </row>
    <row r="53">
      <c r="A53" s="633" t="s">
        <v>11505</v>
      </c>
      <c r="B53" s="634">
        <v>0.6286805555555556</v>
      </c>
      <c r="C53" s="633" t="s">
        <v>11595</v>
      </c>
      <c r="D53" s="635"/>
      <c r="E53" s="639">
        <v>923093997200</v>
      </c>
      <c r="F53" s="633" t="s">
        <v>6875</v>
      </c>
      <c r="G53" s="633" t="s">
        <v>11596</v>
      </c>
      <c r="H53" s="633" t="s">
        <v>11597</v>
      </c>
      <c r="I53" s="633" t="s">
        <v>11598</v>
      </c>
      <c r="J53" s="635"/>
      <c r="K53" s="633">
        <v>3.0</v>
      </c>
      <c r="L53" s="633" t="s">
        <v>11599</v>
      </c>
    </row>
    <row r="54">
      <c r="A54" s="633" t="s">
        <v>11505</v>
      </c>
      <c r="B54" s="634">
        <v>0.6794097222222222</v>
      </c>
      <c r="C54" s="633" t="s">
        <v>11600</v>
      </c>
      <c r="D54" s="635"/>
      <c r="E54" s="639">
        <v>923212009436</v>
      </c>
      <c r="F54" s="633" t="s">
        <v>6939</v>
      </c>
      <c r="G54" s="633" t="s">
        <v>11601</v>
      </c>
      <c r="H54" s="633" t="s">
        <v>11602</v>
      </c>
      <c r="I54" s="633" t="s">
        <v>11603</v>
      </c>
      <c r="J54" s="633" t="s">
        <v>11604</v>
      </c>
      <c r="K54" s="633">
        <v>4.0</v>
      </c>
      <c r="L54" s="633" t="s">
        <v>11388</v>
      </c>
    </row>
    <row r="55">
      <c r="A55" s="633" t="s">
        <v>11605</v>
      </c>
      <c r="B55" s="634">
        <v>0.42644675925925923</v>
      </c>
      <c r="C55" s="633" t="s">
        <v>11606</v>
      </c>
      <c r="D55" s="635"/>
      <c r="E55" s="639">
        <v>923169512161</v>
      </c>
      <c r="F55" s="633" t="s">
        <v>6875</v>
      </c>
      <c r="G55" s="635"/>
      <c r="H55" s="633" t="s">
        <v>11607</v>
      </c>
      <c r="I55" s="633" t="s">
        <v>11608</v>
      </c>
      <c r="J55" s="633" t="s">
        <v>11609</v>
      </c>
      <c r="K55" s="633">
        <v>3.0</v>
      </c>
      <c r="L55" s="633" t="s">
        <v>51</v>
      </c>
    </row>
    <row r="56">
      <c r="A56" s="639" t="s">
        <v>11605</v>
      </c>
      <c r="B56" s="642">
        <v>0.4265625</v>
      </c>
      <c r="C56" s="639" t="s">
        <v>11610</v>
      </c>
      <c r="D56" s="643"/>
      <c r="E56" s="639">
        <v>923002110453</v>
      </c>
      <c r="F56" s="633" t="s">
        <v>6939</v>
      </c>
      <c r="G56" s="639" t="s">
        <v>11611</v>
      </c>
      <c r="H56" s="639" t="s">
        <v>11612</v>
      </c>
      <c r="I56" s="639" t="s">
        <v>11613</v>
      </c>
      <c r="J56" s="639" t="s">
        <v>11614</v>
      </c>
      <c r="K56" s="639">
        <v>4.0</v>
      </c>
      <c r="L56" s="639" t="s">
        <v>11388</v>
      </c>
    </row>
    <row r="57">
      <c r="A57" s="633" t="s">
        <v>11605</v>
      </c>
      <c r="B57" s="634">
        <v>0.42667824074074073</v>
      </c>
      <c r="C57" s="633" t="s">
        <v>10663</v>
      </c>
      <c r="D57" s="635"/>
      <c r="E57" s="639">
        <v>923347357816</v>
      </c>
      <c r="F57" s="633" t="s">
        <v>6875</v>
      </c>
      <c r="G57" s="635"/>
      <c r="H57" s="633" t="s">
        <v>11615</v>
      </c>
      <c r="I57" s="633" t="s">
        <v>11616</v>
      </c>
      <c r="J57" s="635"/>
      <c r="K57" s="633">
        <v>2.0</v>
      </c>
      <c r="L57" s="633" t="s">
        <v>11617</v>
      </c>
    </row>
    <row r="58">
      <c r="A58" s="633" t="s">
        <v>11605</v>
      </c>
      <c r="B58" s="634">
        <v>0.42747685185185186</v>
      </c>
      <c r="C58" s="633" t="s">
        <v>11618</v>
      </c>
      <c r="D58" s="635"/>
      <c r="E58" s="639">
        <v>923074104643</v>
      </c>
      <c r="F58" s="633" t="s">
        <v>6875</v>
      </c>
      <c r="G58" s="633" t="s">
        <v>11619</v>
      </c>
      <c r="H58" s="633" t="s">
        <v>11620</v>
      </c>
      <c r="I58" s="633" t="s">
        <v>11621</v>
      </c>
      <c r="J58" s="633" t="s">
        <v>11622</v>
      </c>
      <c r="K58" s="633">
        <v>4.0</v>
      </c>
      <c r="L58" s="633" t="s">
        <v>51</v>
      </c>
    </row>
    <row r="59">
      <c r="A59" s="633" t="s">
        <v>11605</v>
      </c>
      <c r="B59" s="634">
        <v>0.4279513888888889</v>
      </c>
      <c r="C59" s="633" t="s">
        <v>11623</v>
      </c>
      <c r="D59" s="635"/>
      <c r="E59" s="639">
        <v>923334453664</v>
      </c>
      <c r="F59" s="633" t="s">
        <v>6875</v>
      </c>
      <c r="G59" s="633" t="s">
        <v>11624</v>
      </c>
      <c r="H59" s="633" t="s">
        <v>11625</v>
      </c>
      <c r="I59" s="633" t="s">
        <v>11626</v>
      </c>
      <c r="J59" s="633" t="s">
        <v>11627</v>
      </c>
      <c r="K59" s="633">
        <v>4.0</v>
      </c>
      <c r="L59" s="633" t="s">
        <v>6944</v>
      </c>
    </row>
    <row r="60">
      <c r="A60" s="633" t="s">
        <v>11605</v>
      </c>
      <c r="B60" s="634">
        <v>0.428125</v>
      </c>
      <c r="C60" s="633" t="s">
        <v>11628</v>
      </c>
      <c r="D60" s="635"/>
      <c r="E60" s="639">
        <v>923112831177</v>
      </c>
      <c r="F60" s="633" t="s">
        <v>6875</v>
      </c>
      <c r="G60" s="633" t="s">
        <v>11629</v>
      </c>
      <c r="H60" s="633" t="s">
        <v>11630</v>
      </c>
      <c r="I60" s="633" t="s">
        <v>11631</v>
      </c>
      <c r="J60" s="633" t="s">
        <v>11632</v>
      </c>
      <c r="K60" s="633">
        <v>4.0</v>
      </c>
      <c r="L60" s="633" t="s">
        <v>51</v>
      </c>
    </row>
    <row r="61">
      <c r="A61" s="633" t="s">
        <v>11605</v>
      </c>
      <c r="B61" s="634">
        <v>0.4288194444444444</v>
      </c>
      <c r="C61" s="633" t="s">
        <v>11633</v>
      </c>
      <c r="D61" s="635"/>
      <c r="E61" s="639">
        <v>923276393483</v>
      </c>
      <c r="F61" s="633" t="s">
        <v>6875</v>
      </c>
      <c r="G61" s="635"/>
      <c r="H61" s="633" t="s">
        <v>11634</v>
      </c>
      <c r="I61" s="633" t="s">
        <v>11635</v>
      </c>
      <c r="J61" s="633" t="s">
        <v>11636</v>
      </c>
      <c r="K61" s="633">
        <v>3.0</v>
      </c>
      <c r="L61" s="635"/>
    </row>
    <row r="62">
      <c r="A62" s="633" t="s">
        <v>11605</v>
      </c>
      <c r="B62" s="634">
        <v>0.42900462962962965</v>
      </c>
      <c r="C62" s="633" t="s">
        <v>11637</v>
      </c>
      <c r="D62" s="635"/>
      <c r="E62" s="639">
        <v>923339882708</v>
      </c>
      <c r="F62" s="633" t="s">
        <v>6939</v>
      </c>
      <c r="G62" s="633" t="s">
        <v>11638</v>
      </c>
      <c r="H62" s="633" t="s">
        <v>11639</v>
      </c>
      <c r="I62" s="633" t="s">
        <v>11640</v>
      </c>
      <c r="J62" s="633" t="s">
        <v>11641</v>
      </c>
      <c r="K62" s="633">
        <v>4.0</v>
      </c>
      <c r="L62" s="639" t="s">
        <v>11388</v>
      </c>
    </row>
    <row r="63">
      <c r="A63" s="633" t="s">
        <v>11605</v>
      </c>
      <c r="B63" s="634">
        <v>0.43462962962962964</v>
      </c>
      <c r="C63" s="633" t="s">
        <v>11642</v>
      </c>
      <c r="D63" s="633" t="s">
        <v>7725</v>
      </c>
      <c r="E63" s="641" t="s">
        <v>11643</v>
      </c>
      <c r="F63" s="633" t="s">
        <v>6875</v>
      </c>
      <c r="G63" s="635"/>
      <c r="H63" s="633" t="s">
        <v>11644</v>
      </c>
      <c r="I63" s="633" t="s">
        <v>11645</v>
      </c>
      <c r="J63" s="633" t="s">
        <v>11646</v>
      </c>
      <c r="K63" s="633">
        <v>3.0</v>
      </c>
      <c r="L63" s="633" t="s">
        <v>11647</v>
      </c>
    </row>
    <row r="64">
      <c r="A64" s="633" t="s">
        <v>11605</v>
      </c>
      <c r="B64" s="634">
        <v>0.4347685185185185</v>
      </c>
      <c r="C64" s="633" t="s">
        <v>6971</v>
      </c>
      <c r="D64" s="635"/>
      <c r="E64" s="639">
        <v>923322085224</v>
      </c>
      <c r="F64" s="633" t="s">
        <v>6939</v>
      </c>
      <c r="G64" s="633" t="s">
        <v>11648</v>
      </c>
      <c r="H64" s="633" t="s">
        <v>11649</v>
      </c>
      <c r="I64" s="633" t="s">
        <v>11650</v>
      </c>
      <c r="J64" s="633" t="s">
        <v>11651</v>
      </c>
      <c r="K64" s="633">
        <v>4.0</v>
      </c>
      <c r="L64" s="633" t="s">
        <v>11388</v>
      </c>
    </row>
    <row r="65">
      <c r="A65" s="633" t="s">
        <v>11605</v>
      </c>
      <c r="B65" s="634">
        <v>0.4348842592592593</v>
      </c>
      <c r="C65" s="633" t="s">
        <v>10695</v>
      </c>
      <c r="D65" s="635"/>
      <c r="E65" s="639">
        <v>923323684161</v>
      </c>
      <c r="F65" s="633" t="s">
        <v>6875</v>
      </c>
      <c r="G65" s="633" t="s">
        <v>11629</v>
      </c>
      <c r="H65" s="633" t="s">
        <v>11652</v>
      </c>
      <c r="I65" s="633" t="s">
        <v>11653</v>
      </c>
      <c r="J65" s="633" t="s">
        <v>11654</v>
      </c>
      <c r="K65" s="633">
        <v>4.0</v>
      </c>
      <c r="L65" s="633" t="s">
        <v>51</v>
      </c>
    </row>
    <row r="66">
      <c r="A66" s="633" t="s">
        <v>11605</v>
      </c>
      <c r="B66" s="634">
        <v>0.4355439814814815</v>
      </c>
      <c r="C66" s="633" t="s">
        <v>10709</v>
      </c>
      <c r="D66" s="635"/>
      <c r="E66" s="639">
        <v>923450209535</v>
      </c>
      <c r="F66" s="633" t="s">
        <v>6875</v>
      </c>
      <c r="G66" s="635"/>
      <c r="H66" s="633" t="s">
        <v>11655</v>
      </c>
      <c r="I66" s="635"/>
      <c r="J66" s="635"/>
      <c r="K66" s="633">
        <v>1.0</v>
      </c>
      <c r="L66" s="640" t="s">
        <v>372</v>
      </c>
    </row>
    <row r="67">
      <c r="A67" s="633" t="s">
        <v>11605</v>
      </c>
      <c r="B67" s="634">
        <v>0.5354166666666667</v>
      </c>
      <c r="C67" s="633" t="s">
        <v>10712</v>
      </c>
      <c r="D67" s="635"/>
      <c r="E67" s="639">
        <v>923339266886</v>
      </c>
      <c r="F67" s="633" t="s">
        <v>6875</v>
      </c>
      <c r="G67" s="635"/>
      <c r="H67" s="635"/>
      <c r="I67" s="633" t="s">
        <v>11656</v>
      </c>
      <c r="J67" s="633" t="s">
        <v>11657</v>
      </c>
      <c r="K67" s="633">
        <v>2.0</v>
      </c>
      <c r="L67" s="633" t="s">
        <v>11658</v>
      </c>
    </row>
    <row r="68">
      <c r="A68" s="639" t="s">
        <v>11605</v>
      </c>
      <c r="B68" s="642">
        <v>0.5989467592592592</v>
      </c>
      <c r="C68" s="639" t="s">
        <v>11659</v>
      </c>
      <c r="D68" s="643"/>
      <c r="E68" s="639">
        <v>923104431365</v>
      </c>
      <c r="F68" s="633" t="s">
        <v>6875</v>
      </c>
      <c r="G68" s="643"/>
      <c r="H68" s="639" t="s">
        <v>11660</v>
      </c>
      <c r="I68" s="639" t="s">
        <v>11661</v>
      </c>
      <c r="J68" s="639" t="s">
        <v>11662</v>
      </c>
      <c r="K68" s="639">
        <v>3.0</v>
      </c>
      <c r="L68" s="639" t="s">
        <v>11663</v>
      </c>
    </row>
    <row r="69">
      <c r="A69" s="633" t="s">
        <v>11605</v>
      </c>
      <c r="B69" s="634">
        <v>0.6301157407407407</v>
      </c>
      <c r="C69" s="633" t="s">
        <v>11664</v>
      </c>
      <c r="D69" s="633" t="s">
        <v>6886</v>
      </c>
      <c r="E69" s="641" t="s">
        <v>11665</v>
      </c>
      <c r="F69" s="633" t="s">
        <v>6875</v>
      </c>
      <c r="G69" s="635"/>
      <c r="H69" s="633" t="s">
        <v>11666</v>
      </c>
      <c r="I69" s="633" t="s">
        <v>11667</v>
      </c>
      <c r="J69" s="633" t="s">
        <v>11668</v>
      </c>
      <c r="K69" s="633">
        <v>3.0</v>
      </c>
      <c r="L69" s="633" t="s">
        <v>11669</v>
      </c>
    </row>
    <row r="70">
      <c r="A70" s="633" t="s">
        <v>11605</v>
      </c>
      <c r="B70" s="634">
        <v>0.6450578703703703</v>
      </c>
      <c r="C70" s="633" t="s">
        <v>6993</v>
      </c>
      <c r="D70" s="635"/>
      <c r="E70" s="639">
        <v>923032174428</v>
      </c>
      <c r="F70" s="633" t="s">
        <v>6875</v>
      </c>
      <c r="G70" s="635"/>
      <c r="H70" s="635"/>
      <c r="I70" s="635"/>
      <c r="J70" s="633" t="s">
        <v>11670</v>
      </c>
      <c r="K70" s="633">
        <v>1.0</v>
      </c>
      <c r="L70" s="640" t="s">
        <v>372</v>
      </c>
    </row>
    <row r="71">
      <c r="A71" s="639" t="s">
        <v>11605</v>
      </c>
      <c r="B71" s="642">
        <v>0.728287037037037</v>
      </c>
      <c r="C71" s="639" t="s">
        <v>2135</v>
      </c>
      <c r="D71" s="639" t="s">
        <v>6886</v>
      </c>
      <c r="E71" s="641" t="s">
        <v>11671</v>
      </c>
      <c r="F71" s="633" t="s">
        <v>6875</v>
      </c>
      <c r="G71" s="639" t="s">
        <v>11672</v>
      </c>
      <c r="H71" s="639" t="s">
        <v>11673</v>
      </c>
      <c r="I71" s="643"/>
      <c r="J71" s="639" t="s">
        <v>11674</v>
      </c>
      <c r="K71" s="639">
        <v>3.0</v>
      </c>
      <c r="L71" s="639" t="s">
        <v>11675</v>
      </c>
    </row>
    <row r="72">
      <c r="A72" s="633" t="s">
        <v>11605</v>
      </c>
      <c r="B72" s="634">
        <v>0.7302777777777778</v>
      </c>
      <c r="C72" s="633" t="s">
        <v>11676</v>
      </c>
      <c r="D72" s="633" t="s">
        <v>6886</v>
      </c>
      <c r="E72" s="641" t="s">
        <v>11677</v>
      </c>
      <c r="F72" s="633" t="s">
        <v>6875</v>
      </c>
      <c r="G72" s="635"/>
      <c r="H72" s="633" t="s">
        <v>11678</v>
      </c>
      <c r="I72" s="633" t="s">
        <v>11679</v>
      </c>
      <c r="J72" s="633" t="s">
        <v>11680</v>
      </c>
      <c r="K72" s="633">
        <v>3.0</v>
      </c>
      <c r="L72" s="633" t="s">
        <v>11681</v>
      </c>
    </row>
    <row r="73">
      <c r="A73" s="633" t="s">
        <v>11605</v>
      </c>
      <c r="B73" s="634">
        <v>0.7399305555555555</v>
      </c>
      <c r="C73" s="633" t="s">
        <v>11682</v>
      </c>
      <c r="D73" s="633" t="s">
        <v>7725</v>
      </c>
      <c r="E73" s="641" t="s">
        <v>11683</v>
      </c>
      <c r="F73" s="633" t="s">
        <v>6875</v>
      </c>
      <c r="G73" s="633" t="s">
        <v>11629</v>
      </c>
      <c r="H73" s="633" t="s">
        <v>11684</v>
      </c>
      <c r="I73" s="633" t="s">
        <v>11685</v>
      </c>
      <c r="J73" s="633" t="s">
        <v>11686</v>
      </c>
      <c r="K73" s="633">
        <v>4.0</v>
      </c>
      <c r="L73" s="633" t="s">
        <v>51</v>
      </c>
    </row>
    <row r="74">
      <c r="A74" s="633" t="s">
        <v>11687</v>
      </c>
      <c r="B74" s="634">
        <v>0.43452546296296296</v>
      </c>
      <c r="C74" s="633" t="s">
        <v>11688</v>
      </c>
      <c r="D74" s="635"/>
      <c r="E74" s="639">
        <v>923054591279</v>
      </c>
      <c r="F74" s="633" t="s">
        <v>6875</v>
      </c>
      <c r="G74" s="635"/>
      <c r="H74" s="633" t="s">
        <v>11689</v>
      </c>
      <c r="I74" s="633" t="s">
        <v>11690</v>
      </c>
      <c r="J74" s="633" t="s">
        <v>11691</v>
      </c>
      <c r="K74" s="633">
        <v>3.0</v>
      </c>
      <c r="L74" s="633" t="s">
        <v>11692</v>
      </c>
    </row>
    <row r="75">
      <c r="A75" s="633" t="s">
        <v>11687</v>
      </c>
      <c r="B75" s="634">
        <v>0.4363310185185185</v>
      </c>
      <c r="C75" s="644" t="s">
        <v>3848</v>
      </c>
      <c r="D75" s="633" t="s">
        <v>6886</v>
      </c>
      <c r="E75" s="641" t="s">
        <v>11693</v>
      </c>
      <c r="F75" s="633" t="s">
        <v>7291</v>
      </c>
      <c r="G75" s="633" t="s">
        <v>11629</v>
      </c>
      <c r="H75" s="633" t="s">
        <v>11694</v>
      </c>
      <c r="I75" s="633" t="s">
        <v>11695</v>
      </c>
      <c r="J75" s="633" t="s">
        <v>11696</v>
      </c>
      <c r="K75" s="633">
        <v>4.0</v>
      </c>
      <c r="L75" s="633" t="s">
        <v>685</v>
      </c>
    </row>
    <row r="76">
      <c r="A76" s="633" t="s">
        <v>11687</v>
      </c>
      <c r="B76" s="634">
        <v>0.4364351851851852</v>
      </c>
      <c r="C76" s="633" t="s">
        <v>11697</v>
      </c>
      <c r="D76" s="633" t="s">
        <v>7725</v>
      </c>
      <c r="E76" s="641" t="s">
        <v>11698</v>
      </c>
      <c r="F76" s="633" t="s">
        <v>6875</v>
      </c>
      <c r="G76" s="635"/>
      <c r="H76" s="633" t="s">
        <v>11699</v>
      </c>
      <c r="I76" s="633" t="s">
        <v>11700</v>
      </c>
      <c r="J76" s="633" t="s">
        <v>11701</v>
      </c>
      <c r="K76" s="633">
        <v>3.0</v>
      </c>
      <c r="L76" s="633" t="s">
        <v>11702</v>
      </c>
    </row>
    <row r="77">
      <c r="A77" s="639" t="s">
        <v>11687</v>
      </c>
      <c r="B77" s="642">
        <v>0.4365625</v>
      </c>
      <c r="C77" s="633" t="s">
        <v>11703</v>
      </c>
      <c r="D77" s="639" t="s">
        <v>7725</v>
      </c>
      <c r="E77" s="641" t="s">
        <v>11704</v>
      </c>
      <c r="F77" s="633" t="s">
        <v>6875</v>
      </c>
      <c r="G77" s="633" t="s">
        <v>11705</v>
      </c>
      <c r="H77" s="639" t="s">
        <v>11706</v>
      </c>
      <c r="I77" s="633" t="s">
        <v>11707</v>
      </c>
      <c r="J77" s="639" t="s">
        <v>11708</v>
      </c>
      <c r="K77" s="633">
        <v>4.0</v>
      </c>
      <c r="L77" s="639" t="s">
        <v>11709</v>
      </c>
    </row>
    <row r="78">
      <c r="A78" s="633" t="s">
        <v>11687</v>
      </c>
      <c r="B78" s="634">
        <v>0.43675925925925924</v>
      </c>
      <c r="C78" s="633" t="s">
        <v>11710</v>
      </c>
      <c r="D78" s="635"/>
      <c r="E78" s="639">
        <v>923273897043</v>
      </c>
      <c r="F78" s="633" t="s">
        <v>6875</v>
      </c>
      <c r="G78" s="633" t="s">
        <v>11629</v>
      </c>
      <c r="H78" s="633" t="s">
        <v>11711</v>
      </c>
      <c r="I78" s="633" t="s">
        <v>11712</v>
      </c>
      <c r="J78" s="633" t="s">
        <v>11713</v>
      </c>
      <c r="K78" s="633">
        <v>4.0</v>
      </c>
      <c r="L78" s="633" t="s">
        <v>51</v>
      </c>
    </row>
    <row r="79">
      <c r="A79" s="633" t="s">
        <v>11687</v>
      </c>
      <c r="B79" s="634">
        <v>0.436875</v>
      </c>
      <c r="C79" s="633" t="s">
        <v>201</v>
      </c>
      <c r="D79" s="635"/>
      <c r="E79" s="639">
        <v>923312664532</v>
      </c>
      <c r="F79" s="633" t="s">
        <v>6875</v>
      </c>
      <c r="G79" s="635"/>
      <c r="H79" s="633" t="s">
        <v>11714</v>
      </c>
      <c r="I79" s="635"/>
      <c r="J79" s="633" t="s">
        <v>11715</v>
      </c>
      <c r="K79" s="633">
        <v>2.0</v>
      </c>
      <c r="L79" s="635"/>
    </row>
    <row r="80">
      <c r="A80" s="633" t="s">
        <v>11687</v>
      </c>
      <c r="B80" s="634">
        <v>0.43703703703703706</v>
      </c>
      <c r="C80" s="633" t="s">
        <v>11716</v>
      </c>
      <c r="D80" s="635"/>
      <c r="E80" s="639">
        <v>923030055052</v>
      </c>
      <c r="F80" s="633" t="s">
        <v>6875</v>
      </c>
      <c r="G80" s="635"/>
      <c r="H80" s="633" t="s">
        <v>11717</v>
      </c>
      <c r="I80" s="635"/>
      <c r="J80" s="635"/>
      <c r="K80" s="633">
        <v>1.0</v>
      </c>
      <c r="L80" s="635"/>
    </row>
    <row r="81">
      <c r="A81" s="633" t="s">
        <v>11687</v>
      </c>
      <c r="B81" s="634">
        <v>0.44274305555555554</v>
      </c>
      <c r="C81" s="633" t="s">
        <v>11718</v>
      </c>
      <c r="D81" s="635"/>
      <c r="E81" s="639">
        <v>923257264148</v>
      </c>
      <c r="F81" s="633" t="s">
        <v>6939</v>
      </c>
      <c r="G81" s="633" t="s">
        <v>11719</v>
      </c>
      <c r="H81" s="633" t="s">
        <v>11720</v>
      </c>
      <c r="I81" s="633" t="s">
        <v>11721</v>
      </c>
      <c r="J81" s="633" t="s">
        <v>11722</v>
      </c>
      <c r="K81" s="633">
        <v>4.0</v>
      </c>
      <c r="L81" s="633" t="s">
        <v>11388</v>
      </c>
    </row>
    <row r="82">
      <c r="A82" s="633" t="s">
        <v>11687</v>
      </c>
      <c r="B82" s="634">
        <v>0.4430208333333333</v>
      </c>
      <c r="C82" s="633" t="s">
        <v>201</v>
      </c>
      <c r="D82" s="635"/>
      <c r="E82" s="645">
        <v>923343276314</v>
      </c>
      <c r="F82" s="633" t="s">
        <v>6875</v>
      </c>
      <c r="G82" s="633" t="s">
        <v>11723</v>
      </c>
      <c r="H82" s="633" t="s">
        <v>11724</v>
      </c>
      <c r="I82" s="633" t="s">
        <v>11725</v>
      </c>
      <c r="J82" s="633" t="s">
        <v>11726</v>
      </c>
      <c r="K82" s="633">
        <v>4.0</v>
      </c>
      <c r="L82" s="633" t="s">
        <v>51</v>
      </c>
    </row>
    <row r="83">
      <c r="A83" s="633" t="s">
        <v>11687</v>
      </c>
      <c r="B83" s="634">
        <v>0.48564814814814816</v>
      </c>
      <c r="C83" s="633" t="s">
        <v>11727</v>
      </c>
      <c r="D83" s="635"/>
      <c r="E83" s="639">
        <v>923008212544</v>
      </c>
      <c r="F83" s="633" t="s">
        <v>6939</v>
      </c>
      <c r="G83" s="633" t="s">
        <v>11728</v>
      </c>
      <c r="H83" s="633" t="s">
        <v>11729</v>
      </c>
      <c r="I83" s="633" t="s">
        <v>11730</v>
      </c>
      <c r="J83" s="633" t="s">
        <v>11731</v>
      </c>
      <c r="K83" s="633">
        <v>4.0</v>
      </c>
      <c r="L83" s="633" t="s">
        <v>11388</v>
      </c>
    </row>
    <row r="84">
      <c r="A84" s="633" t="s">
        <v>11687</v>
      </c>
      <c r="B84" s="634">
        <v>0.48583333333333334</v>
      </c>
      <c r="C84" s="633" t="s">
        <v>11732</v>
      </c>
      <c r="D84" s="635"/>
      <c r="E84" s="639">
        <v>923008560079</v>
      </c>
      <c r="F84" s="633" t="s">
        <v>6875</v>
      </c>
      <c r="G84" s="635"/>
      <c r="H84" s="633" t="s">
        <v>11733</v>
      </c>
      <c r="I84" s="633" t="s">
        <v>11734</v>
      </c>
      <c r="J84" s="633" t="s">
        <v>11735</v>
      </c>
      <c r="K84" s="633">
        <v>3.0</v>
      </c>
      <c r="L84" s="633" t="s">
        <v>11736</v>
      </c>
    </row>
    <row r="85">
      <c r="A85" s="633" t="s">
        <v>11687</v>
      </c>
      <c r="B85" s="634">
        <v>0.48626157407407405</v>
      </c>
      <c r="C85" s="639" t="s">
        <v>11737</v>
      </c>
      <c r="D85" s="639" t="s">
        <v>11738</v>
      </c>
      <c r="E85" s="641" t="s">
        <v>11739</v>
      </c>
      <c r="F85" s="633" t="s">
        <v>6875</v>
      </c>
      <c r="G85" s="635"/>
      <c r="H85" s="633" t="s">
        <v>11740</v>
      </c>
      <c r="I85" s="633" t="s">
        <v>11741</v>
      </c>
      <c r="J85" s="635"/>
      <c r="K85" s="633">
        <v>2.0</v>
      </c>
      <c r="L85" s="633" t="s">
        <v>372</v>
      </c>
    </row>
    <row r="86">
      <c r="A86" s="633" t="s">
        <v>11687</v>
      </c>
      <c r="B86" s="634">
        <v>0.5064236111111111</v>
      </c>
      <c r="C86" s="633" t="s">
        <v>5330</v>
      </c>
      <c r="D86" s="633" t="s">
        <v>7725</v>
      </c>
      <c r="E86" s="641" t="s">
        <v>11742</v>
      </c>
      <c r="F86" s="633" t="s">
        <v>6939</v>
      </c>
      <c r="G86" s="633" t="s">
        <v>11743</v>
      </c>
      <c r="H86" s="633" t="s">
        <v>11744</v>
      </c>
      <c r="I86" s="633" t="s">
        <v>11745</v>
      </c>
      <c r="J86" s="633" t="s">
        <v>11746</v>
      </c>
      <c r="K86" s="633">
        <v>4.0</v>
      </c>
      <c r="L86" s="633" t="s">
        <v>11388</v>
      </c>
    </row>
    <row r="87">
      <c r="A87" s="633" t="s">
        <v>11687</v>
      </c>
      <c r="B87" s="634">
        <v>0.5382291666666666</v>
      </c>
      <c r="C87" s="633" t="s">
        <v>11747</v>
      </c>
      <c r="D87" s="633" t="s">
        <v>6886</v>
      </c>
      <c r="E87" s="641" t="s">
        <v>11748</v>
      </c>
      <c r="F87" s="633" t="s">
        <v>6939</v>
      </c>
      <c r="G87" s="633" t="s">
        <v>11749</v>
      </c>
      <c r="H87" s="633" t="s">
        <v>11750</v>
      </c>
      <c r="I87" s="633" t="s">
        <v>11751</v>
      </c>
      <c r="J87" s="633" t="s">
        <v>11752</v>
      </c>
      <c r="K87" s="633">
        <v>4.0</v>
      </c>
      <c r="L87" s="633" t="s">
        <v>11388</v>
      </c>
    </row>
    <row r="88">
      <c r="A88" s="633" t="s">
        <v>11687</v>
      </c>
      <c r="B88" s="634">
        <v>0.6100578703703704</v>
      </c>
      <c r="C88" s="633" t="s">
        <v>7014</v>
      </c>
      <c r="D88" s="635"/>
      <c r="E88" s="639">
        <v>923453366296</v>
      </c>
      <c r="F88" s="633" t="s">
        <v>6875</v>
      </c>
      <c r="G88" s="635"/>
      <c r="H88" s="633" t="s">
        <v>11753</v>
      </c>
      <c r="I88" s="635"/>
      <c r="J88" s="633" t="s">
        <v>11754</v>
      </c>
      <c r="K88" s="633">
        <v>2.0</v>
      </c>
      <c r="L88" s="633" t="s">
        <v>11099</v>
      </c>
    </row>
    <row r="89">
      <c r="A89" s="639" t="s">
        <v>11687</v>
      </c>
      <c r="B89" s="642">
        <v>0.6454050925925926</v>
      </c>
      <c r="C89" s="639" t="s">
        <v>11755</v>
      </c>
      <c r="D89" s="639" t="s">
        <v>6886</v>
      </c>
      <c r="E89" s="641" t="s">
        <v>11756</v>
      </c>
      <c r="F89" s="633" t="s">
        <v>6875</v>
      </c>
      <c r="G89" s="643"/>
      <c r="H89" s="643"/>
      <c r="I89" s="643"/>
      <c r="J89" s="639" t="s">
        <v>11757</v>
      </c>
      <c r="K89" s="639">
        <v>1.0</v>
      </c>
      <c r="L89" s="639" t="s">
        <v>11758</v>
      </c>
    </row>
    <row r="90">
      <c r="A90" s="633" t="s">
        <v>11687</v>
      </c>
      <c r="B90" s="634">
        <v>0.6455324074074074</v>
      </c>
      <c r="C90" s="633" t="s">
        <v>10782</v>
      </c>
      <c r="D90" s="635"/>
      <c r="E90" s="639">
        <v>923006363944</v>
      </c>
      <c r="F90" s="633" t="s">
        <v>6939</v>
      </c>
      <c r="G90" s="633" t="s">
        <v>11759</v>
      </c>
      <c r="H90" s="633" t="s">
        <v>11760</v>
      </c>
      <c r="I90" s="633" t="s">
        <v>11761</v>
      </c>
      <c r="J90" s="633" t="s">
        <v>11762</v>
      </c>
      <c r="K90" s="633">
        <v>4.0</v>
      </c>
      <c r="L90" s="633" t="s">
        <v>11388</v>
      </c>
    </row>
    <row r="91">
      <c r="A91" s="633" t="s">
        <v>11687</v>
      </c>
      <c r="B91" s="634">
        <v>0.6526967592592593</v>
      </c>
      <c r="C91" s="633" t="s">
        <v>11763</v>
      </c>
      <c r="D91" s="633" t="s">
        <v>6886</v>
      </c>
      <c r="E91" s="641" t="s">
        <v>11764</v>
      </c>
      <c r="F91" s="633" t="s">
        <v>6875</v>
      </c>
      <c r="G91" s="635"/>
      <c r="H91" s="633" t="s">
        <v>11765</v>
      </c>
      <c r="I91" s="633" t="s">
        <v>11766</v>
      </c>
      <c r="J91" s="633" t="s">
        <v>11767</v>
      </c>
      <c r="K91" s="633">
        <v>3.0</v>
      </c>
      <c r="L91" s="633" t="s">
        <v>674</v>
      </c>
    </row>
    <row r="92">
      <c r="A92" s="633" t="s">
        <v>11687</v>
      </c>
      <c r="B92" s="634">
        <v>0.6887615740740741</v>
      </c>
      <c r="C92" s="633" t="s">
        <v>4934</v>
      </c>
      <c r="D92" s="635"/>
      <c r="E92" s="639">
        <v>923064658858</v>
      </c>
      <c r="F92" s="633" t="s">
        <v>7291</v>
      </c>
      <c r="G92" s="633" t="s">
        <v>11759</v>
      </c>
      <c r="H92" s="633" t="s">
        <v>11768</v>
      </c>
      <c r="I92" s="633" t="s">
        <v>11769</v>
      </c>
      <c r="J92" s="633" t="s">
        <v>11770</v>
      </c>
      <c r="K92" s="633">
        <v>3.0</v>
      </c>
      <c r="L92" s="633" t="s">
        <v>11771</v>
      </c>
    </row>
    <row r="93">
      <c r="A93" s="633" t="s">
        <v>11687</v>
      </c>
      <c r="B93" s="634">
        <v>0.7095717592592593</v>
      </c>
      <c r="C93" s="633" t="s">
        <v>11772</v>
      </c>
      <c r="D93" s="633" t="s">
        <v>7725</v>
      </c>
      <c r="E93" s="641" t="s">
        <v>11773</v>
      </c>
      <c r="F93" s="633" t="s">
        <v>6875</v>
      </c>
      <c r="G93" s="633" t="s">
        <v>11759</v>
      </c>
      <c r="H93" s="633" t="s">
        <v>11774</v>
      </c>
      <c r="I93" s="633" t="s">
        <v>11775</v>
      </c>
      <c r="J93" s="633" t="s">
        <v>11776</v>
      </c>
      <c r="K93" s="633">
        <v>4.0</v>
      </c>
      <c r="L93" s="633" t="s">
        <v>11777</v>
      </c>
    </row>
    <row r="94">
      <c r="A94" s="633" t="s">
        <v>11778</v>
      </c>
      <c r="B94" s="634">
        <v>0.48204861111111114</v>
      </c>
      <c r="C94" s="633" t="s">
        <v>10807</v>
      </c>
      <c r="D94" s="635"/>
      <c r="E94" s="639">
        <v>923457519229</v>
      </c>
      <c r="F94" s="633" t="s">
        <v>6939</v>
      </c>
      <c r="G94" s="633" t="s">
        <v>11759</v>
      </c>
      <c r="H94" s="633" t="s">
        <v>11779</v>
      </c>
      <c r="I94" s="633" t="s">
        <v>11780</v>
      </c>
      <c r="J94" s="633" t="s">
        <v>11781</v>
      </c>
      <c r="K94" s="633">
        <v>4.0</v>
      </c>
      <c r="L94" s="633" t="s">
        <v>11388</v>
      </c>
    </row>
    <row r="95">
      <c r="A95" s="633" t="s">
        <v>11778</v>
      </c>
      <c r="B95" s="634">
        <v>0.4822337962962963</v>
      </c>
      <c r="C95" s="633" t="s">
        <v>11782</v>
      </c>
      <c r="D95" s="635"/>
      <c r="E95" s="639">
        <v>923332374748</v>
      </c>
      <c r="F95" s="633" t="s">
        <v>6939</v>
      </c>
      <c r="G95" s="633" t="s">
        <v>11759</v>
      </c>
      <c r="H95" s="633" t="s">
        <v>11783</v>
      </c>
      <c r="I95" s="633" t="s">
        <v>11784</v>
      </c>
      <c r="J95" s="633" t="s">
        <v>11785</v>
      </c>
      <c r="K95" s="633">
        <v>4.0</v>
      </c>
      <c r="L95" s="633" t="s">
        <v>11388</v>
      </c>
    </row>
    <row r="96">
      <c r="A96" s="633" t="s">
        <v>11778</v>
      </c>
      <c r="B96" s="634">
        <v>0.48234953703703703</v>
      </c>
      <c r="C96" s="633" t="s">
        <v>11786</v>
      </c>
      <c r="D96" s="633" t="s">
        <v>6886</v>
      </c>
      <c r="E96" s="641" t="s">
        <v>11787</v>
      </c>
      <c r="F96" s="633" t="s">
        <v>6939</v>
      </c>
      <c r="G96" s="633" t="s">
        <v>11759</v>
      </c>
      <c r="H96" s="633" t="s">
        <v>11788</v>
      </c>
      <c r="I96" s="633" t="s">
        <v>11789</v>
      </c>
      <c r="J96" s="633" t="s">
        <v>11790</v>
      </c>
      <c r="K96" s="633">
        <v>4.0</v>
      </c>
      <c r="L96" s="633" t="s">
        <v>11388</v>
      </c>
    </row>
    <row r="97">
      <c r="A97" s="633" t="s">
        <v>11778</v>
      </c>
      <c r="B97" s="634">
        <v>0.4824421296296296</v>
      </c>
      <c r="C97" s="633" t="s">
        <v>7025</v>
      </c>
      <c r="D97" s="635"/>
      <c r="E97" s="639">
        <v>923131116806</v>
      </c>
      <c r="F97" s="633" t="s">
        <v>6875</v>
      </c>
      <c r="G97" s="633" t="s">
        <v>11791</v>
      </c>
      <c r="H97" s="633" t="s">
        <v>11792</v>
      </c>
      <c r="I97" s="633" t="s">
        <v>11793</v>
      </c>
      <c r="J97" s="633" t="s">
        <v>11794</v>
      </c>
      <c r="K97" s="633">
        <v>4.0</v>
      </c>
      <c r="L97" s="633" t="s">
        <v>372</v>
      </c>
    </row>
    <row r="98">
      <c r="A98" s="633" t="s">
        <v>11778</v>
      </c>
      <c r="B98" s="634">
        <v>0.4829861111111111</v>
      </c>
      <c r="C98" s="633" t="s">
        <v>11795</v>
      </c>
      <c r="D98" s="635"/>
      <c r="E98" s="639">
        <v>923011002109</v>
      </c>
      <c r="F98" s="633" t="s">
        <v>6939</v>
      </c>
      <c r="G98" s="633" t="s">
        <v>11796</v>
      </c>
      <c r="H98" s="633" t="s">
        <v>11797</v>
      </c>
      <c r="I98" s="633" t="s">
        <v>11798</v>
      </c>
      <c r="J98" s="633" t="s">
        <v>11799</v>
      </c>
      <c r="K98" s="633">
        <v>4.0</v>
      </c>
      <c r="L98" s="633" t="s">
        <v>11388</v>
      </c>
    </row>
    <row r="99">
      <c r="A99" s="633" t="s">
        <v>11778</v>
      </c>
      <c r="B99" s="634">
        <v>0.4830787037037037</v>
      </c>
      <c r="C99" s="633" t="s">
        <v>11800</v>
      </c>
      <c r="D99" s="633" t="s">
        <v>6886</v>
      </c>
      <c r="E99" s="641" t="s">
        <v>11801</v>
      </c>
      <c r="F99" s="633" t="s">
        <v>6875</v>
      </c>
      <c r="G99" s="633" t="s">
        <v>11802</v>
      </c>
      <c r="H99" s="633" t="s">
        <v>11803</v>
      </c>
      <c r="I99" s="633" t="s">
        <v>11804</v>
      </c>
      <c r="J99" s="635"/>
      <c r="K99" s="633">
        <v>3.0</v>
      </c>
      <c r="L99" s="633" t="s">
        <v>712</v>
      </c>
    </row>
    <row r="100">
      <c r="A100" s="633" t="s">
        <v>11778</v>
      </c>
      <c r="B100" s="634">
        <v>0.48354166666666665</v>
      </c>
      <c r="C100" s="633" t="s">
        <v>10824</v>
      </c>
      <c r="D100" s="635"/>
      <c r="E100" s="639">
        <v>923001205152</v>
      </c>
      <c r="F100" s="633" t="s">
        <v>6875</v>
      </c>
      <c r="G100" s="635"/>
      <c r="H100" s="633" t="s">
        <v>11805</v>
      </c>
      <c r="I100" s="633" t="s">
        <v>11806</v>
      </c>
      <c r="J100" s="635"/>
      <c r="K100" s="633">
        <v>2.0</v>
      </c>
      <c r="L100" s="635"/>
    </row>
    <row r="101">
      <c r="A101" s="633" t="s">
        <v>11778</v>
      </c>
      <c r="B101" s="634">
        <v>0.48366898148148146</v>
      </c>
      <c r="C101" s="633" t="s">
        <v>7036</v>
      </c>
      <c r="D101" s="635"/>
      <c r="E101" s="639">
        <v>923362115890</v>
      </c>
      <c r="F101" s="633" t="s">
        <v>6939</v>
      </c>
      <c r="G101" s="633" t="s">
        <v>11807</v>
      </c>
      <c r="H101" s="633" t="s">
        <v>11808</v>
      </c>
      <c r="I101" s="633" t="s">
        <v>11809</v>
      </c>
      <c r="J101" s="633" t="s">
        <v>11810</v>
      </c>
      <c r="K101" s="633">
        <v>4.0</v>
      </c>
      <c r="L101" s="633" t="s">
        <v>11388</v>
      </c>
    </row>
    <row r="102">
      <c r="A102" s="633" t="s">
        <v>11778</v>
      </c>
      <c r="B102" s="634">
        <v>0.4840277777777778</v>
      </c>
      <c r="C102" s="633" t="s">
        <v>11811</v>
      </c>
      <c r="D102" s="635"/>
      <c r="E102" s="639">
        <v>923172177254</v>
      </c>
      <c r="F102" s="633" t="s">
        <v>6939</v>
      </c>
      <c r="G102" s="633" t="s">
        <v>11812</v>
      </c>
      <c r="H102" s="633" t="s">
        <v>11813</v>
      </c>
      <c r="I102" s="633" t="s">
        <v>11814</v>
      </c>
      <c r="J102" s="633" t="s">
        <v>11815</v>
      </c>
      <c r="K102" s="633">
        <v>4.0</v>
      </c>
      <c r="L102" s="633" t="s">
        <v>11388</v>
      </c>
    </row>
    <row r="103">
      <c r="A103" s="633" t="s">
        <v>11778</v>
      </c>
      <c r="B103" s="634">
        <v>0.4845023148148148</v>
      </c>
      <c r="C103" s="633" t="s">
        <v>11816</v>
      </c>
      <c r="D103" s="635"/>
      <c r="E103" s="639">
        <v>923343945606</v>
      </c>
      <c r="F103" s="633" t="s">
        <v>6875</v>
      </c>
      <c r="G103" s="635"/>
      <c r="H103" s="633" t="s">
        <v>11817</v>
      </c>
      <c r="I103" s="635"/>
      <c r="J103" s="635"/>
      <c r="K103" s="633">
        <v>1.0</v>
      </c>
      <c r="L103" s="635"/>
    </row>
    <row r="104">
      <c r="A104" s="633" t="s">
        <v>11778</v>
      </c>
      <c r="B104" s="634">
        <v>0.4846064814814815</v>
      </c>
      <c r="C104" s="633" t="s">
        <v>11818</v>
      </c>
      <c r="D104" s="633" t="s">
        <v>6886</v>
      </c>
      <c r="E104" s="641" t="s">
        <v>11819</v>
      </c>
      <c r="F104" s="633" t="s">
        <v>6875</v>
      </c>
      <c r="G104" s="635"/>
      <c r="H104" s="633" t="s">
        <v>11820</v>
      </c>
      <c r="I104" s="633" t="s">
        <v>11821</v>
      </c>
      <c r="J104" s="633" t="s">
        <v>11822</v>
      </c>
      <c r="K104" s="633">
        <v>3.0</v>
      </c>
      <c r="L104" s="633" t="s">
        <v>11542</v>
      </c>
    </row>
    <row r="105">
      <c r="A105" s="633" t="s">
        <v>11778</v>
      </c>
      <c r="B105" s="634">
        <v>0.4848032407407407</v>
      </c>
      <c r="C105" s="633" t="s">
        <v>11823</v>
      </c>
      <c r="D105" s="635"/>
      <c r="E105" s="639">
        <v>923498576596</v>
      </c>
      <c r="F105" s="633" t="s">
        <v>6939</v>
      </c>
      <c r="G105" s="633" t="s">
        <v>11812</v>
      </c>
      <c r="H105" s="633" t="s">
        <v>11824</v>
      </c>
      <c r="I105" s="633" t="s">
        <v>11825</v>
      </c>
      <c r="J105" s="633" t="s">
        <v>11826</v>
      </c>
      <c r="K105" s="633">
        <v>4.0</v>
      </c>
      <c r="L105" s="633" t="s">
        <v>11388</v>
      </c>
    </row>
    <row r="106">
      <c r="A106" s="633" t="s">
        <v>11778</v>
      </c>
      <c r="B106" s="634">
        <v>0.4852662037037037</v>
      </c>
      <c r="C106" s="633" t="s">
        <v>11827</v>
      </c>
      <c r="D106" s="633" t="s">
        <v>7725</v>
      </c>
      <c r="E106" s="641" t="s">
        <v>11828</v>
      </c>
      <c r="F106" s="633" t="s">
        <v>6875</v>
      </c>
      <c r="G106" s="635"/>
      <c r="H106" s="633" t="s">
        <v>11829</v>
      </c>
      <c r="I106" s="633" t="s">
        <v>11830</v>
      </c>
      <c r="J106" s="633" t="s">
        <v>11831</v>
      </c>
      <c r="K106" s="633">
        <v>3.0</v>
      </c>
      <c r="L106" s="633" t="s">
        <v>51</v>
      </c>
    </row>
    <row r="107">
      <c r="A107" s="633" t="s">
        <v>11778</v>
      </c>
      <c r="B107" s="634">
        <v>0.48594907407407406</v>
      </c>
      <c r="C107" s="633" t="s">
        <v>11832</v>
      </c>
      <c r="D107" s="635"/>
      <c r="E107" s="639">
        <v>923012571589</v>
      </c>
      <c r="F107" s="633" t="s">
        <v>6875</v>
      </c>
      <c r="G107" s="635"/>
      <c r="H107" s="633" t="s">
        <v>11833</v>
      </c>
      <c r="I107" s="633" t="s">
        <v>11834</v>
      </c>
      <c r="J107" s="635"/>
      <c r="K107" s="633">
        <v>2.0</v>
      </c>
      <c r="L107" s="633" t="s">
        <v>11835</v>
      </c>
    </row>
    <row r="108">
      <c r="A108" s="633" t="s">
        <v>11778</v>
      </c>
      <c r="B108" s="634">
        <v>0.48659722222222224</v>
      </c>
      <c r="C108" s="633" t="s">
        <v>4200</v>
      </c>
      <c r="D108" s="635"/>
      <c r="E108" s="639">
        <v>923236735136</v>
      </c>
      <c r="F108" s="633" t="s">
        <v>6939</v>
      </c>
      <c r="G108" s="633" t="s">
        <v>11812</v>
      </c>
      <c r="H108" s="633" t="s">
        <v>11836</v>
      </c>
      <c r="I108" s="633" t="s">
        <v>11837</v>
      </c>
      <c r="J108" s="633" t="s">
        <v>11838</v>
      </c>
      <c r="K108" s="633">
        <v>4.0</v>
      </c>
      <c r="L108" s="633" t="s">
        <v>11388</v>
      </c>
    </row>
    <row r="109">
      <c r="A109" s="633" t="s">
        <v>11778</v>
      </c>
      <c r="B109" s="634">
        <v>0.48940972222222223</v>
      </c>
      <c r="C109" s="633" t="s">
        <v>10845</v>
      </c>
      <c r="D109" s="635"/>
      <c r="E109" s="639">
        <v>923177277991</v>
      </c>
      <c r="F109" s="633" t="s">
        <v>6875</v>
      </c>
      <c r="G109" s="633" t="s">
        <v>11812</v>
      </c>
      <c r="H109" s="633" t="s">
        <v>11839</v>
      </c>
      <c r="I109" s="633" t="s">
        <v>11840</v>
      </c>
      <c r="J109" s="633" t="s">
        <v>11841</v>
      </c>
      <c r="K109" s="633">
        <v>4.0</v>
      </c>
      <c r="L109" s="633" t="s">
        <v>51</v>
      </c>
    </row>
    <row r="110">
      <c r="A110" s="639" t="s">
        <v>11778</v>
      </c>
      <c r="B110" s="642">
        <v>0.4895486111111111</v>
      </c>
      <c r="C110" s="639" t="s">
        <v>11842</v>
      </c>
      <c r="D110" s="639" t="s">
        <v>11511</v>
      </c>
      <c r="E110" s="641" t="s">
        <v>11843</v>
      </c>
      <c r="F110" s="633" t="s">
        <v>6875</v>
      </c>
      <c r="G110" s="633" t="s">
        <v>11844</v>
      </c>
      <c r="H110" s="639" t="s">
        <v>11845</v>
      </c>
      <c r="I110" s="633" t="s">
        <v>11846</v>
      </c>
      <c r="J110" s="643"/>
      <c r="K110" s="639">
        <v>3.0</v>
      </c>
      <c r="L110" s="639" t="s">
        <v>11847</v>
      </c>
    </row>
    <row r="111">
      <c r="A111" s="633" t="s">
        <v>11778</v>
      </c>
      <c r="B111" s="634">
        <v>0.5933680555555556</v>
      </c>
      <c r="C111" s="633" t="s">
        <v>7051</v>
      </c>
      <c r="D111" s="635"/>
      <c r="E111" s="639">
        <v>923002179030</v>
      </c>
      <c r="F111" s="633" t="s">
        <v>6888</v>
      </c>
      <c r="G111" s="633" t="s">
        <v>11812</v>
      </c>
      <c r="H111" s="633" t="s">
        <v>11848</v>
      </c>
      <c r="I111" s="633" t="s">
        <v>11849</v>
      </c>
      <c r="J111" s="633" t="s">
        <v>11850</v>
      </c>
      <c r="K111" s="633">
        <v>4.0</v>
      </c>
      <c r="L111" s="633" t="s">
        <v>11851</v>
      </c>
    </row>
    <row r="112">
      <c r="A112" s="633" t="s">
        <v>11778</v>
      </c>
      <c r="B112" s="634">
        <v>0.5937268518518518</v>
      </c>
      <c r="C112" s="633" t="s">
        <v>11852</v>
      </c>
      <c r="D112" s="635"/>
      <c r="E112" s="639">
        <v>923363073307</v>
      </c>
      <c r="F112" s="633" t="s">
        <v>6939</v>
      </c>
      <c r="G112" s="633" t="s">
        <v>11812</v>
      </c>
      <c r="H112" s="633" t="s">
        <v>11853</v>
      </c>
      <c r="I112" s="633" t="s">
        <v>11854</v>
      </c>
      <c r="J112" s="633" t="s">
        <v>11855</v>
      </c>
      <c r="K112" s="633">
        <v>4.0</v>
      </c>
      <c r="L112" s="635"/>
    </row>
    <row r="113">
      <c r="A113" s="633" t="s">
        <v>11778</v>
      </c>
      <c r="B113" s="634">
        <v>0.5942824074074075</v>
      </c>
      <c r="C113" s="633" t="s">
        <v>11856</v>
      </c>
      <c r="D113" s="635"/>
      <c r="E113" s="639">
        <v>923083331710</v>
      </c>
      <c r="F113" s="633" t="s">
        <v>6875</v>
      </c>
      <c r="G113" s="633" t="s">
        <v>11857</v>
      </c>
      <c r="H113" s="633" t="s">
        <v>11858</v>
      </c>
      <c r="I113" s="633" t="s">
        <v>11859</v>
      </c>
      <c r="J113" s="633" t="s">
        <v>11860</v>
      </c>
      <c r="K113" s="633">
        <v>3.0</v>
      </c>
      <c r="L113" s="633" t="s">
        <v>11861</v>
      </c>
    </row>
    <row r="114">
      <c r="A114" s="633" t="s">
        <v>11778</v>
      </c>
      <c r="B114" s="634">
        <v>0.6412731481481482</v>
      </c>
      <c r="C114" s="633" t="s">
        <v>4563</v>
      </c>
      <c r="D114" s="633" t="s">
        <v>6886</v>
      </c>
      <c r="E114" s="639">
        <v>9.23307955777E11</v>
      </c>
      <c r="F114" s="633" t="s">
        <v>6875</v>
      </c>
      <c r="G114" s="633" t="s">
        <v>11862</v>
      </c>
      <c r="H114" s="633" t="s">
        <v>11863</v>
      </c>
      <c r="I114" s="633" t="s">
        <v>11864</v>
      </c>
      <c r="J114" s="633" t="s">
        <v>11865</v>
      </c>
      <c r="K114" s="633">
        <v>4.0</v>
      </c>
      <c r="L114" s="633" t="s">
        <v>11866</v>
      </c>
    </row>
    <row r="115">
      <c r="A115" s="633" t="s">
        <v>11867</v>
      </c>
      <c r="B115" s="634">
        <v>0.43712962962962965</v>
      </c>
      <c r="C115" s="633" t="s">
        <v>7062</v>
      </c>
      <c r="D115" s="635"/>
      <c r="E115" s="639">
        <v>923338900956</v>
      </c>
      <c r="F115" s="633" t="s">
        <v>6939</v>
      </c>
      <c r="G115" s="633" t="s">
        <v>11868</v>
      </c>
      <c r="H115" s="633" t="s">
        <v>11869</v>
      </c>
      <c r="I115" s="633" t="s">
        <v>11870</v>
      </c>
      <c r="J115" s="633" t="s">
        <v>11871</v>
      </c>
      <c r="K115" s="633">
        <v>4.0</v>
      </c>
      <c r="L115" s="633" t="s">
        <v>11388</v>
      </c>
    </row>
    <row r="116">
      <c r="A116" s="633" t="s">
        <v>11867</v>
      </c>
      <c r="B116" s="634">
        <v>0.43832175925925926</v>
      </c>
      <c r="C116" s="633" t="s">
        <v>7068</v>
      </c>
      <c r="D116" s="635"/>
      <c r="E116" s="639">
        <v>923254757762</v>
      </c>
      <c r="F116" s="633" t="s">
        <v>6875</v>
      </c>
      <c r="G116" s="633" t="s">
        <v>11872</v>
      </c>
      <c r="H116" s="633" t="s">
        <v>11873</v>
      </c>
      <c r="I116" s="633" t="s">
        <v>11874</v>
      </c>
      <c r="J116" s="633" t="s">
        <v>11875</v>
      </c>
      <c r="K116" s="633">
        <v>4.0</v>
      </c>
      <c r="L116" s="633" t="s">
        <v>372</v>
      </c>
    </row>
    <row r="117">
      <c r="A117" s="633" t="s">
        <v>11867</v>
      </c>
      <c r="B117" s="634">
        <v>0.4387152777777778</v>
      </c>
      <c r="C117" s="633" t="s">
        <v>11876</v>
      </c>
      <c r="D117" s="635"/>
      <c r="E117" s="639">
        <v>923412822481</v>
      </c>
      <c r="F117" s="633" t="s">
        <v>6875</v>
      </c>
      <c r="G117" s="635"/>
      <c r="H117" s="633" t="s">
        <v>11877</v>
      </c>
      <c r="I117" s="635"/>
      <c r="J117" s="635"/>
      <c r="K117" s="633">
        <v>1.0</v>
      </c>
      <c r="L117" s="633" t="s">
        <v>372</v>
      </c>
    </row>
    <row r="118">
      <c r="A118" s="633" t="s">
        <v>11867</v>
      </c>
      <c r="B118" s="634">
        <v>0.4388888888888889</v>
      </c>
      <c r="C118" s="633" t="s">
        <v>7073</v>
      </c>
      <c r="D118" s="635"/>
      <c r="E118" s="639">
        <v>923162026622</v>
      </c>
      <c r="F118" s="633" t="s">
        <v>6875</v>
      </c>
      <c r="G118" s="633" t="s">
        <v>11878</v>
      </c>
      <c r="H118" s="633" t="s">
        <v>11879</v>
      </c>
      <c r="I118" s="633" t="s">
        <v>11880</v>
      </c>
      <c r="J118" s="633" t="s">
        <v>11881</v>
      </c>
      <c r="K118" s="633">
        <v>4.0</v>
      </c>
      <c r="L118" s="633" t="s">
        <v>372</v>
      </c>
    </row>
    <row r="119">
      <c r="A119" s="633" t="s">
        <v>11867</v>
      </c>
      <c r="B119" s="634">
        <v>0.43907407407407406</v>
      </c>
      <c r="C119" s="633" t="s">
        <v>11882</v>
      </c>
      <c r="D119" s="635"/>
      <c r="E119" s="639">
        <v>923229900800</v>
      </c>
      <c r="F119" s="633" t="s">
        <v>6875</v>
      </c>
      <c r="G119" s="635"/>
      <c r="H119" s="633" t="s">
        <v>11883</v>
      </c>
      <c r="I119" s="635"/>
      <c r="J119" s="633" t="s">
        <v>11884</v>
      </c>
      <c r="K119" s="633">
        <v>2.0</v>
      </c>
      <c r="L119" s="633" t="s">
        <v>1158</v>
      </c>
    </row>
    <row r="120">
      <c r="A120" s="633" t="s">
        <v>11867</v>
      </c>
      <c r="B120" s="634">
        <v>0.4392013888888889</v>
      </c>
      <c r="C120" s="633" t="s">
        <v>7077</v>
      </c>
      <c r="D120" s="635"/>
      <c r="E120" s="639">
        <v>923484443341</v>
      </c>
      <c r="F120" s="633" t="s">
        <v>6939</v>
      </c>
      <c r="G120" s="633" t="s">
        <v>11885</v>
      </c>
      <c r="H120" s="633" t="s">
        <v>11886</v>
      </c>
      <c r="I120" s="633" t="s">
        <v>11887</v>
      </c>
      <c r="J120" s="633" t="s">
        <v>11888</v>
      </c>
      <c r="K120" s="633">
        <v>4.0</v>
      </c>
      <c r="L120" s="633" t="s">
        <v>11388</v>
      </c>
    </row>
    <row r="121">
      <c r="A121" s="633" t="s">
        <v>11867</v>
      </c>
      <c r="B121" s="634">
        <v>0.4397800925925926</v>
      </c>
      <c r="C121" s="633" t="s">
        <v>11889</v>
      </c>
      <c r="D121" s="635"/>
      <c r="E121" s="639">
        <f>923332354835</f>
        <v>923332354835</v>
      </c>
      <c r="F121" s="633" t="s">
        <v>6888</v>
      </c>
      <c r="G121" s="635"/>
      <c r="H121" s="633" t="s">
        <v>11890</v>
      </c>
      <c r="I121" s="635"/>
      <c r="J121" s="635"/>
      <c r="K121" s="633">
        <v>1.0</v>
      </c>
      <c r="L121" s="633" t="s">
        <v>11891</v>
      </c>
    </row>
    <row r="122">
      <c r="A122" s="633" t="s">
        <v>11867</v>
      </c>
      <c r="B122" s="634">
        <v>0.4404513888888889</v>
      </c>
      <c r="C122" s="633" t="s">
        <v>7083</v>
      </c>
      <c r="D122" s="635"/>
      <c r="E122" s="639">
        <v>923009216186</v>
      </c>
      <c r="F122" s="633" t="s">
        <v>6875</v>
      </c>
      <c r="G122" s="635"/>
      <c r="H122" s="633" t="s">
        <v>11892</v>
      </c>
      <c r="I122" s="635"/>
      <c r="J122" s="635"/>
      <c r="K122" s="633">
        <v>1.0</v>
      </c>
      <c r="L122" s="635"/>
    </row>
    <row r="123">
      <c r="A123" s="633" t="s">
        <v>11867</v>
      </c>
      <c r="B123" s="634">
        <v>0.4414814814814815</v>
      </c>
      <c r="C123" s="633" t="s">
        <v>7088</v>
      </c>
      <c r="D123" s="635"/>
      <c r="E123" s="639">
        <v>923016906142</v>
      </c>
      <c r="F123" s="633" t="s">
        <v>6875</v>
      </c>
      <c r="G123" s="635"/>
      <c r="H123" s="633" t="s">
        <v>11893</v>
      </c>
      <c r="I123" s="635"/>
      <c r="J123" s="635"/>
      <c r="K123" s="633">
        <v>1.0</v>
      </c>
      <c r="L123" s="633" t="s">
        <v>372</v>
      </c>
    </row>
    <row r="124">
      <c r="A124" s="633" t="s">
        <v>11867</v>
      </c>
      <c r="B124" s="634">
        <v>0.4415972222222222</v>
      </c>
      <c r="C124" s="633" t="s">
        <v>11894</v>
      </c>
      <c r="D124" s="633" t="s">
        <v>6886</v>
      </c>
      <c r="E124" s="641" t="s">
        <v>11895</v>
      </c>
      <c r="F124" s="633" t="s">
        <v>6875</v>
      </c>
      <c r="G124" s="635"/>
      <c r="H124" s="633" t="s">
        <v>11896</v>
      </c>
      <c r="I124" s="633" t="s">
        <v>11897</v>
      </c>
      <c r="J124" s="633" t="s">
        <v>11898</v>
      </c>
      <c r="K124" s="633">
        <v>3.0</v>
      </c>
      <c r="L124" s="633" t="s">
        <v>372</v>
      </c>
    </row>
    <row r="125">
      <c r="A125" s="633" t="s">
        <v>11867</v>
      </c>
      <c r="B125" s="634">
        <v>0.441712962962963</v>
      </c>
      <c r="C125" s="633" t="s">
        <v>7097</v>
      </c>
      <c r="D125" s="635"/>
      <c r="E125" s="639">
        <v>923492562640</v>
      </c>
      <c r="F125" s="633" t="s">
        <v>6875</v>
      </c>
      <c r="G125" s="633" t="s">
        <v>11899</v>
      </c>
      <c r="H125" s="633" t="s">
        <v>11900</v>
      </c>
      <c r="I125" s="633" t="s">
        <v>11901</v>
      </c>
      <c r="J125" s="633" t="s">
        <v>11902</v>
      </c>
      <c r="K125" s="633">
        <v>4.0</v>
      </c>
      <c r="L125" s="633" t="s">
        <v>51</v>
      </c>
    </row>
    <row r="126">
      <c r="A126" s="633" t="s">
        <v>11867</v>
      </c>
      <c r="B126" s="634">
        <v>0.4419328703703704</v>
      </c>
      <c r="C126" s="633" t="s">
        <v>11903</v>
      </c>
      <c r="D126" s="633" t="s">
        <v>7725</v>
      </c>
      <c r="E126" s="641" t="s">
        <v>11904</v>
      </c>
      <c r="F126" s="633" t="s">
        <v>6939</v>
      </c>
      <c r="G126" s="633" t="s">
        <v>11905</v>
      </c>
      <c r="H126" s="633" t="s">
        <v>11906</v>
      </c>
      <c r="I126" s="633" t="s">
        <v>11907</v>
      </c>
      <c r="J126" s="633" t="s">
        <v>11908</v>
      </c>
      <c r="K126" s="633">
        <v>4.0</v>
      </c>
      <c r="L126" s="633" t="s">
        <v>11388</v>
      </c>
    </row>
    <row r="127">
      <c r="A127" s="633" t="s">
        <v>11867</v>
      </c>
      <c r="B127" s="634">
        <v>0.4420949074074074</v>
      </c>
      <c r="C127" s="633" t="s">
        <v>11909</v>
      </c>
      <c r="D127" s="635"/>
      <c r="E127" s="639">
        <v>923328273032</v>
      </c>
      <c r="F127" s="633" t="s">
        <v>6875</v>
      </c>
      <c r="G127" s="633" t="s">
        <v>11910</v>
      </c>
      <c r="H127" s="633" t="s">
        <v>11911</v>
      </c>
      <c r="I127" s="633" t="s">
        <v>11912</v>
      </c>
      <c r="J127" s="635"/>
      <c r="K127" s="633">
        <v>3.0</v>
      </c>
      <c r="L127" s="633" t="s">
        <v>674</v>
      </c>
    </row>
    <row r="128">
      <c r="A128" s="633" t="s">
        <v>11867</v>
      </c>
      <c r="B128" s="634">
        <v>0.44232638888888887</v>
      </c>
      <c r="C128" s="633" t="s">
        <v>7106</v>
      </c>
      <c r="D128" s="635"/>
      <c r="E128" s="639">
        <v>923413143396</v>
      </c>
      <c r="F128" s="633" t="s">
        <v>6875</v>
      </c>
      <c r="G128" s="635"/>
      <c r="H128" s="633" t="s">
        <v>11913</v>
      </c>
      <c r="I128" s="635"/>
      <c r="J128" s="635"/>
      <c r="K128" s="633">
        <v>1.0</v>
      </c>
      <c r="L128" s="633" t="s">
        <v>372</v>
      </c>
    </row>
    <row r="129">
      <c r="A129" s="633" t="s">
        <v>11867</v>
      </c>
      <c r="B129" s="634">
        <v>0.4426388888888889</v>
      </c>
      <c r="C129" s="633" t="s">
        <v>11914</v>
      </c>
      <c r="D129" s="635"/>
      <c r="E129" s="639">
        <v>923244665166</v>
      </c>
      <c r="F129" s="633" t="s">
        <v>6875</v>
      </c>
      <c r="G129" s="635"/>
      <c r="H129" s="633" t="s">
        <v>11915</v>
      </c>
      <c r="I129" s="635"/>
      <c r="J129" s="633" t="s">
        <v>11916</v>
      </c>
      <c r="K129" s="633">
        <v>2.0</v>
      </c>
      <c r="L129" s="633" t="s">
        <v>11917</v>
      </c>
    </row>
    <row r="130">
      <c r="A130" s="633" t="s">
        <v>11867</v>
      </c>
      <c r="B130" s="634">
        <v>0.44276620370370373</v>
      </c>
      <c r="C130" s="633" t="s">
        <v>7111</v>
      </c>
      <c r="D130" s="635"/>
      <c r="E130" s="639">
        <v>923297538820</v>
      </c>
      <c r="F130" s="633" t="s">
        <v>6875</v>
      </c>
      <c r="G130" s="635"/>
      <c r="H130" s="633" t="s">
        <v>11918</v>
      </c>
      <c r="I130" s="635"/>
      <c r="J130" s="635"/>
      <c r="K130" s="633">
        <v>1.0</v>
      </c>
      <c r="L130" s="633" t="s">
        <v>372</v>
      </c>
    </row>
    <row r="131">
      <c r="A131" s="639" t="s">
        <v>11867</v>
      </c>
      <c r="B131" s="642">
        <v>0.44324074074074077</v>
      </c>
      <c r="C131" s="633" t="s">
        <v>11919</v>
      </c>
      <c r="D131" s="643"/>
      <c r="E131" s="639">
        <v>923468209674</v>
      </c>
      <c r="F131" s="633" t="s">
        <v>6939</v>
      </c>
      <c r="G131" s="633" t="s">
        <v>11920</v>
      </c>
      <c r="H131" s="633" t="s">
        <v>11921</v>
      </c>
      <c r="I131" s="639" t="s">
        <v>11922</v>
      </c>
      <c r="J131" s="639" t="s">
        <v>11923</v>
      </c>
      <c r="K131" s="633">
        <v>4.0</v>
      </c>
      <c r="L131" s="639" t="s">
        <v>11924</v>
      </c>
    </row>
    <row r="132">
      <c r="A132" s="633" t="s">
        <v>11867</v>
      </c>
      <c r="B132" s="634">
        <v>0.4433564814814815</v>
      </c>
      <c r="C132" s="633" t="s">
        <v>7115</v>
      </c>
      <c r="D132" s="635"/>
      <c r="E132" s="639">
        <v>923029793680</v>
      </c>
      <c r="F132" s="633" t="s">
        <v>6939</v>
      </c>
      <c r="G132" s="633" t="s">
        <v>11925</v>
      </c>
      <c r="H132" s="633" t="s">
        <v>11926</v>
      </c>
      <c r="I132" s="633" t="s">
        <v>11927</v>
      </c>
      <c r="J132" s="633" t="s">
        <v>11928</v>
      </c>
      <c r="K132" s="633">
        <v>4.0</v>
      </c>
      <c r="L132" s="633" t="s">
        <v>11388</v>
      </c>
    </row>
    <row r="133">
      <c r="A133" s="633" t="s">
        <v>11867</v>
      </c>
      <c r="B133" s="634">
        <v>0.44354166666666667</v>
      </c>
      <c r="C133" s="633" t="s">
        <v>11929</v>
      </c>
      <c r="D133" s="635"/>
      <c r="E133" s="639">
        <v>923212452206</v>
      </c>
      <c r="F133" s="633" t="s">
        <v>6875</v>
      </c>
      <c r="G133" s="635"/>
      <c r="H133" s="633" t="s">
        <v>11930</v>
      </c>
      <c r="I133" s="633" t="s">
        <v>11931</v>
      </c>
      <c r="J133" s="633" t="s">
        <v>11932</v>
      </c>
      <c r="K133" s="633">
        <v>3.0</v>
      </c>
      <c r="L133" s="633" t="s">
        <v>6944</v>
      </c>
    </row>
    <row r="134">
      <c r="A134" s="633" t="s">
        <v>11867</v>
      </c>
      <c r="B134" s="634">
        <v>0.4436689814814815</v>
      </c>
      <c r="C134" s="633" t="s">
        <v>7120</v>
      </c>
      <c r="D134" s="635"/>
      <c r="E134" s="639">
        <v>923433052723</v>
      </c>
      <c r="F134" s="633" t="s">
        <v>6939</v>
      </c>
      <c r="G134" s="633" t="s">
        <v>11933</v>
      </c>
      <c r="H134" s="633" t="s">
        <v>11934</v>
      </c>
      <c r="I134" s="633" t="s">
        <v>11935</v>
      </c>
      <c r="J134" s="633" t="s">
        <v>11936</v>
      </c>
      <c r="K134" s="633">
        <v>4.0</v>
      </c>
      <c r="L134" s="633" t="s">
        <v>11388</v>
      </c>
    </row>
    <row r="135">
      <c r="A135" s="633" t="s">
        <v>11867</v>
      </c>
      <c r="B135" s="634">
        <v>0.4438310185185185</v>
      </c>
      <c r="C135" s="633" t="s">
        <v>11937</v>
      </c>
      <c r="D135" s="635"/>
      <c r="E135" s="639">
        <v>923454163368</v>
      </c>
      <c r="F135" s="633" t="s">
        <v>6939</v>
      </c>
      <c r="G135" s="633" t="s">
        <v>11933</v>
      </c>
      <c r="H135" s="633" t="s">
        <v>11938</v>
      </c>
      <c r="I135" s="633" t="s">
        <v>11939</v>
      </c>
      <c r="J135" s="633" t="s">
        <v>11940</v>
      </c>
      <c r="K135" s="633">
        <v>4.0</v>
      </c>
      <c r="L135" s="633" t="s">
        <v>11388</v>
      </c>
    </row>
    <row r="136">
      <c r="A136" s="633" t="s">
        <v>11867</v>
      </c>
      <c r="B136" s="634">
        <v>0.4440162037037037</v>
      </c>
      <c r="C136" s="633" t="s">
        <v>11941</v>
      </c>
      <c r="D136" s="635"/>
      <c r="E136" s="645">
        <v>923461943091</v>
      </c>
      <c r="F136" s="633" t="s">
        <v>6875</v>
      </c>
      <c r="G136" s="633" t="s">
        <v>11942</v>
      </c>
      <c r="H136" s="633" t="s">
        <v>11943</v>
      </c>
      <c r="I136" s="633" t="s">
        <v>11944</v>
      </c>
      <c r="J136" s="633" t="s">
        <v>11945</v>
      </c>
      <c r="K136" s="633">
        <v>4.0</v>
      </c>
      <c r="L136" s="633" t="s">
        <v>372</v>
      </c>
    </row>
    <row r="137">
      <c r="A137" s="633" t="s">
        <v>11867</v>
      </c>
      <c r="B137" s="634">
        <v>0.44428240740740743</v>
      </c>
      <c r="C137" s="633" t="s">
        <v>11946</v>
      </c>
      <c r="D137" s="635"/>
      <c r="E137" s="639">
        <v>923131571375</v>
      </c>
      <c r="F137" s="633" t="s">
        <v>6875</v>
      </c>
      <c r="G137" s="635"/>
      <c r="H137" s="633" t="s">
        <v>11947</v>
      </c>
      <c r="I137" s="633" t="s">
        <v>11948</v>
      </c>
      <c r="J137" s="635"/>
      <c r="K137" s="633">
        <v>2.0</v>
      </c>
      <c r="L137" s="633" t="s">
        <v>372</v>
      </c>
    </row>
    <row r="138">
      <c r="A138" s="633" t="s">
        <v>11867</v>
      </c>
      <c r="B138" s="634">
        <v>0.4444675925925926</v>
      </c>
      <c r="C138" s="633" t="s">
        <v>7130</v>
      </c>
      <c r="D138" s="635"/>
      <c r="E138" s="639">
        <v>923321903000</v>
      </c>
      <c r="F138" s="633" t="s">
        <v>6875</v>
      </c>
      <c r="G138" s="635"/>
      <c r="H138" s="633" t="s">
        <v>11949</v>
      </c>
      <c r="I138" s="633" t="s">
        <v>11950</v>
      </c>
      <c r="J138" s="635"/>
      <c r="K138" s="633">
        <v>2.0</v>
      </c>
      <c r="L138" s="633" t="s">
        <v>11951</v>
      </c>
    </row>
    <row r="139">
      <c r="A139" s="633" t="s">
        <v>11867</v>
      </c>
      <c r="B139" s="634">
        <v>0.44462962962962965</v>
      </c>
      <c r="C139" s="633" t="s">
        <v>10911</v>
      </c>
      <c r="D139" s="635"/>
      <c r="E139" s="639">
        <v>923363226498</v>
      </c>
      <c r="F139" s="633" t="s">
        <v>6939</v>
      </c>
      <c r="G139" s="633" t="s">
        <v>11952</v>
      </c>
      <c r="H139" s="633" t="s">
        <v>11953</v>
      </c>
      <c r="I139" s="633" t="s">
        <v>11954</v>
      </c>
      <c r="J139" s="633" t="s">
        <v>11955</v>
      </c>
      <c r="K139" s="633">
        <v>4.0</v>
      </c>
      <c r="L139" s="633" t="s">
        <v>11388</v>
      </c>
    </row>
    <row r="140">
      <c r="A140" s="633" t="s">
        <v>11867</v>
      </c>
      <c r="B140" s="634">
        <v>0.4448611111111111</v>
      </c>
      <c r="C140" s="633" t="s">
        <v>11956</v>
      </c>
      <c r="D140" s="635"/>
      <c r="E140" s="639">
        <v>923042258898</v>
      </c>
      <c r="F140" s="633" t="s">
        <v>6875</v>
      </c>
      <c r="G140" s="635"/>
      <c r="H140" s="633" t="s">
        <v>11957</v>
      </c>
      <c r="I140" s="633" t="s">
        <v>11958</v>
      </c>
      <c r="J140" s="635"/>
      <c r="K140" s="633">
        <v>2.0</v>
      </c>
      <c r="L140" s="633" t="s">
        <v>372</v>
      </c>
    </row>
    <row r="141">
      <c r="A141" s="633" t="s">
        <v>11867</v>
      </c>
      <c r="B141" s="634">
        <v>0.4450925925925926</v>
      </c>
      <c r="C141" s="633" t="s">
        <v>11959</v>
      </c>
      <c r="D141" s="633" t="s">
        <v>6886</v>
      </c>
      <c r="E141" s="646" t="s">
        <v>11960</v>
      </c>
      <c r="F141" s="633" t="s">
        <v>6875</v>
      </c>
      <c r="G141" s="635"/>
      <c r="H141" s="633" t="s">
        <v>11961</v>
      </c>
      <c r="I141" s="633" t="s">
        <v>11962</v>
      </c>
      <c r="J141" s="633" t="s">
        <v>11963</v>
      </c>
      <c r="K141" s="633">
        <v>3.0</v>
      </c>
      <c r="L141" s="633" t="s">
        <v>11964</v>
      </c>
    </row>
    <row r="142">
      <c r="A142" s="647" t="s">
        <v>11867</v>
      </c>
      <c r="B142" s="648">
        <v>0.44528935185185187</v>
      </c>
      <c r="C142" s="647" t="s">
        <v>7139</v>
      </c>
      <c r="D142" s="649"/>
      <c r="E142" s="647">
        <v>923453418097</v>
      </c>
      <c r="F142" s="633" t="s">
        <v>6939</v>
      </c>
      <c r="G142" s="647" t="s">
        <v>11952</v>
      </c>
      <c r="H142" s="647" t="s">
        <v>11965</v>
      </c>
      <c r="I142" s="647" t="s">
        <v>11966</v>
      </c>
      <c r="J142" s="647" t="s">
        <v>11967</v>
      </c>
      <c r="K142" s="647">
        <v>4.0</v>
      </c>
      <c r="L142" s="647" t="s">
        <v>11388</v>
      </c>
    </row>
    <row r="143">
      <c r="A143" s="633" t="s">
        <v>11867</v>
      </c>
      <c r="B143" s="634">
        <v>0.4455439814814815</v>
      </c>
      <c r="C143" s="633" t="s">
        <v>11968</v>
      </c>
      <c r="D143" s="635"/>
      <c r="E143" s="639">
        <v>923004869925</v>
      </c>
      <c r="F143" s="633" t="s">
        <v>6875</v>
      </c>
      <c r="G143" s="635"/>
      <c r="H143" s="633" t="s">
        <v>11969</v>
      </c>
      <c r="I143" s="633" t="s">
        <v>11970</v>
      </c>
      <c r="J143" s="635"/>
      <c r="K143" s="633">
        <v>2.0</v>
      </c>
      <c r="L143" s="633" t="s">
        <v>11599</v>
      </c>
    </row>
    <row r="144">
      <c r="A144" s="633" t="s">
        <v>11867</v>
      </c>
      <c r="B144" s="634">
        <v>0.4457291666666667</v>
      </c>
      <c r="C144" s="633" t="s">
        <v>11971</v>
      </c>
      <c r="D144" s="635"/>
      <c r="E144" s="639">
        <v>923015365486</v>
      </c>
      <c r="F144" s="633" t="s">
        <v>6875</v>
      </c>
      <c r="G144" s="633" t="s">
        <v>11972</v>
      </c>
      <c r="H144" s="633" t="s">
        <v>11973</v>
      </c>
      <c r="I144" s="635"/>
      <c r="J144" s="633" t="s">
        <v>11974</v>
      </c>
      <c r="K144" s="633">
        <v>3.0</v>
      </c>
      <c r="L144" s="633" t="s">
        <v>372</v>
      </c>
    </row>
    <row r="145">
      <c r="A145" s="633" t="s">
        <v>11867</v>
      </c>
      <c r="B145" s="634">
        <v>0.44600694444444444</v>
      </c>
      <c r="C145" s="633" t="s">
        <v>11975</v>
      </c>
      <c r="D145" s="635"/>
      <c r="E145" s="639">
        <v>923489992202</v>
      </c>
      <c r="F145" s="633" t="s">
        <v>6875</v>
      </c>
      <c r="G145" s="635"/>
      <c r="H145" s="633" t="s">
        <v>11976</v>
      </c>
      <c r="I145" s="633" t="s">
        <v>11977</v>
      </c>
      <c r="J145" s="635"/>
      <c r="K145" s="633">
        <v>2.0</v>
      </c>
      <c r="L145" s="633" t="s">
        <v>372</v>
      </c>
    </row>
    <row r="146">
      <c r="A146" s="633" t="s">
        <v>11867</v>
      </c>
      <c r="B146" s="634">
        <v>0.48465277777777777</v>
      </c>
      <c r="C146" s="633" t="s">
        <v>4483</v>
      </c>
      <c r="D146" s="635"/>
      <c r="E146" s="639">
        <v>923122097705</v>
      </c>
      <c r="F146" s="633" t="s">
        <v>6875</v>
      </c>
      <c r="G146" s="635"/>
      <c r="H146" s="633" t="s">
        <v>11978</v>
      </c>
      <c r="I146" s="633" t="s">
        <v>11979</v>
      </c>
      <c r="J146" s="633" t="s">
        <v>11980</v>
      </c>
      <c r="K146" s="633">
        <v>3.0</v>
      </c>
      <c r="L146" s="633" t="s">
        <v>6944</v>
      </c>
    </row>
    <row r="147">
      <c r="A147" s="633" t="s">
        <v>11867</v>
      </c>
      <c r="B147" s="634">
        <v>0.5540393518518518</v>
      </c>
      <c r="C147" s="633" t="s">
        <v>7143</v>
      </c>
      <c r="D147" s="635"/>
      <c r="E147" s="639">
        <v>923268324559</v>
      </c>
      <c r="F147" s="633" t="s">
        <v>6939</v>
      </c>
      <c r="G147" s="633" t="s">
        <v>11981</v>
      </c>
      <c r="H147" s="633" t="s">
        <v>11982</v>
      </c>
      <c r="I147" s="633" t="s">
        <v>11983</v>
      </c>
      <c r="J147" s="633" t="s">
        <v>11984</v>
      </c>
      <c r="K147" s="633">
        <v>4.0</v>
      </c>
      <c r="L147" s="633" t="s">
        <v>11388</v>
      </c>
    </row>
    <row r="148">
      <c r="A148" s="633" t="s">
        <v>11867</v>
      </c>
      <c r="B148" s="634">
        <v>0.569837962962963</v>
      </c>
      <c r="C148" s="633" t="s">
        <v>11985</v>
      </c>
      <c r="D148" s="633" t="s">
        <v>7725</v>
      </c>
      <c r="E148" s="641" t="s">
        <v>11986</v>
      </c>
      <c r="F148" s="633" t="s">
        <v>6875</v>
      </c>
      <c r="G148" s="635"/>
      <c r="H148" s="635"/>
      <c r="I148" s="633" t="s">
        <v>11987</v>
      </c>
      <c r="J148" s="635"/>
      <c r="K148" s="633">
        <v>1.0</v>
      </c>
      <c r="L148" s="633" t="s">
        <v>372</v>
      </c>
    </row>
    <row r="149">
      <c r="A149" s="633" t="s">
        <v>11867</v>
      </c>
      <c r="B149" s="634">
        <v>0.5976273148148148</v>
      </c>
      <c r="C149" s="633" t="s">
        <v>11988</v>
      </c>
      <c r="D149" s="633" t="s">
        <v>7725</v>
      </c>
      <c r="E149" s="641" t="s">
        <v>11989</v>
      </c>
      <c r="F149" s="633" t="s">
        <v>6875</v>
      </c>
      <c r="G149" s="635"/>
      <c r="H149" s="633" t="s">
        <v>11990</v>
      </c>
      <c r="I149" s="633" t="s">
        <v>11991</v>
      </c>
      <c r="J149" s="633" t="s">
        <v>11992</v>
      </c>
      <c r="K149" s="633">
        <v>3.0</v>
      </c>
      <c r="L149" s="633" t="s">
        <v>10694</v>
      </c>
    </row>
    <row r="150">
      <c r="A150" s="633" t="s">
        <v>11867</v>
      </c>
      <c r="B150" s="634">
        <v>0.6149074074074075</v>
      </c>
      <c r="C150" s="633" t="s">
        <v>11993</v>
      </c>
      <c r="D150" s="635"/>
      <c r="E150" s="639">
        <v>923332338185</v>
      </c>
      <c r="F150" s="633" t="s">
        <v>6875</v>
      </c>
      <c r="G150" s="635"/>
      <c r="H150" s="633" t="s">
        <v>11994</v>
      </c>
      <c r="I150" s="633" t="s">
        <v>11995</v>
      </c>
      <c r="J150" s="635"/>
      <c r="K150" s="633">
        <v>2.0</v>
      </c>
      <c r="L150" s="633" t="s">
        <v>372</v>
      </c>
    </row>
    <row r="151">
      <c r="A151" s="633" t="s">
        <v>11867</v>
      </c>
      <c r="B151" s="634">
        <v>0.6150810185185185</v>
      </c>
      <c r="C151" s="633" t="s">
        <v>7152</v>
      </c>
      <c r="D151" s="635"/>
      <c r="E151" s="639">
        <v>923334238308</v>
      </c>
      <c r="F151" s="633" t="s">
        <v>6875</v>
      </c>
      <c r="G151" s="633" t="s">
        <v>11996</v>
      </c>
      <c r="H151" s="633" t="s">
        <v>11997</v>
      </c>
      <c r="I151" s="633" t="s">
        <v>11998</v>
      </c>
      <c r="J151" s="633" t="s">
        <v>11999</v>
      </c>
      <c r="K151" s="633">
        <v>4.0</v>
      </c>
      <c r="L151" s="633" t="s">
        <v>372</v>
      </c>
    </row>
    <row r="152">
      <c r="A152" s="633" t="s">
        <v>11867</v>
      </c>
      <c r="B152" s="634">
        <v>0.6152430555555556</v>
      </c>
      <c r="C152" s="633" t="s">
        <v>7156</v>
      </c>
      <c r="D152" s="635"/>
      <c r="E152" s="639">
        <v>923066485547</v>
      </c>
      <c r="F152" s="633" t="s">
        <v>6939</v>
      </c>
      <c r="G152" s="633" t="s">
        <v>12000</v>
      </c>
      <c r="H152" s="633" t="s">
        <v>12001</v>
      </c>
      <c r="I152" s="633" t="s">
        <v>12002</v>
      </c>
      <c r="J152" s="633" t="s">
        <v>12003</v>
      </c>
      <c r="K152" s="633">
        <v>4.0</v>
      </c>
      <c r="L152" s="633" t="s">
        <v>11388</v>
      </c>
    </row>
    <row r="153">
      <c r="A153" s="633" t="s">
        <v>12004</v>
      </c>
      <c r="B153" s="634">
        <v>0.431412037037037</v>
      </c>
      <c r="C153" s="633" t="s">
        <v>12005</v>
      </c>
      <c r="D153" s="635"/>
      <c r="E153" s="639">
        <v>923147898948</v>
      </c>
      <c r="F153" s="633" t="s">
        <v>6875</v>
      </c>
      <c r="G153" s="635"/>
      <c r="H153" s="633" t="s">
        <v>12006</v>
      </c>
      <c r="I153" s="633" t="s">
        <v>12007</v>
      </c>
      <c r="J153" s="635"/>
      <c r="K153" s="633">
        <v>2.0</v>
      </c>
      <c r="L153" s="633" t="s">
        <v>372</v>
      </c>
    </row>
    <row r="154">
      <c r="A154" s="633" t="s">
        <v>12004</v>
      </c>
      <c r="B154" s="634">
        <v>0.4315625</v>
      </c>
      <c r="C154" s="633" t="s">
        <v>7159</v>
      </c>
      <c r="D154" s="635"/>
      <c r="E154" s="639">
        <v>923245935008</v>
      </c>
      <c r="F154" s="633" t="s">
        <v>6875</v>
      </c>
      <c r="G154" s="633" t="s">
        <v>12008</v>
      </c>
      <c r="H154" s="633" t="s">
        <v>12009</v>
      </c>
      <c r="I154" s="635"/>
      <c r="J154" s="635"/>
      <c r="K154" s="633">
        <v>2.0</v>
      </c>
      <c r="L154" s="633" t="s">
        <v>372</v>
      </c>
    </row>
    <row r="155">
      <c r="A155" s="633" t="s">
        <v>12004</v>
      </c>
      <c r="B155" s="634">
        <v>0.43170138888888887</v>
      </c>
      <c r="C155" s="633" t="s">
        <v>12010</v>
      </c>
      <c r="D155" s="635"/>
      <c r="E155" s="639">
        <v>923246046208</v>
      </c>
      <c r="F155" s="633" t="s">
        <v>6875</v>
      </c>
      <c r="G155" s="633" t="s">
        <v>12011</v>
      </c>
      <c r="H155" s="633" t="s">
        <v>12012</v>
      </c>
      <c r="I155" s="633" t="s">
        <v>12013</v>
      </c>
      <c r="J155" s="633" t="s">
        <v>12014</v>
      </c>
      <c r="K155" s="633">
        <v>4.0</v>
      </c>
      <c r="L155" s="633" t="s">
        <v>51</v>
      </c>
    </row>
    <row r="156">
      <c r="A156" s="633" t="s">
        <v>12004</v>
      </c>
      <c r="B156" s="634">
        <v>0.43181712962962965</v>
      </c>
      <c r="C156" s="633" t="s">
        <v>12015</v>
      </c>
      <c r="D156" s="633" t="s">
        <v>7725</v>
      </c>
      <c r="E156" s="641" t="s">
        <v>12016</v>
      </c>
      <c r="F156" s="633" t="s">
        <v>6875</v>
      </c>
      <c r="G156" s="635"/>
      <c r="H156" s="633" t="s">
        <v>12017</v>
      </c>
      <c r="I156" s="633" t="s">
        <v>12018</v>
      </c>
      <c r="J156" s="635"/>
      <c r="K156" s="633">
        <v>2.0</v>
      </c>
      <c r="L156" s="633" t="s">
        <v>1158</v>
      </c>
    </row>
    <row r="157">
      <c r="A157" s="633" t="s">
        <v>12004</v>
      </c>
      <c r="B157" s="634">
        <v>0.43275462962962963</v>
      </c>
      <c r="C157" s="633" t="s">
        <v>12019</v>
      </c>
      <c r="D157" s="633" t="s">
        <v>7725</v>
      </c>
      <c r="E157" s="641" t="s">
        <v>12020</v>
      </c>
      <c r="F157" s="633" t="s">
        <v>6875</v>
      </c>
      <c r="G157" s="635"/>
      <c r="H157" s="633" t="s">
        <v>12021</v>
      </c>
      <c r="I157" s="633" t="s">
        <v>12022</v>
      </c>
      <c r="J157" s="635"/>
      <c r="K157" s="633">
        <v>2.0</v>
      </c>
      <c r="L157" s="633" t="s">
        <v>372</v>
      </c>
    </row>
    <row r="158">
      <c r="A158" s="633" t="s">
        <v>12004</v>
      </c>
      <c r="B158" s="634">
        <v>0.43311342592592594</v>
      </c>
      <c r="C158" s="633" t="s">
        <v>12023</v>
      </c>
      <c r="D158" s="633" t="s">
        <v>6886</v>
      </c>
      <c r="E158" s="641" t="s">
        <v>12024</v>
      </c>
      <c r="F158" s="633" t="s">
        <v>6875</v>
      </c>
      <c r="G158" s="635"/>
      <c r="H158" s="633" t="s">
        <v>12025</v>
      </c>
      <c r="I158" s="635"/>
      <c r="J158" s="635"/>
      <c r="K158" s="633">
        <v>1.0</v>
      </c>
      <c r="L158" s="633" t="s">
        <v>372</v>
      </c>
    </row>
    <row r="159">
      <c r="A159" s="633" t="s">
        <v>12004</v>
      </c>
      <c r="B159" s="634">
        <v>0.43331018518518516</v>
      </c>
      <c r="C159" s="633" t="s">
        <v>12026</v>
      </c>
      <c r="D159" s="633" t="s">
        <v>6886</v>
      </c>
      <c r="E159" s="641" t="s">
        <v>12027</v>
      </c>
      <c r="F159" s="633" t="s">
        <v>6939</v>
      </c>
      <c r="G159" s="633" t="s">
        <v>12011</v>
      </c>
      <c r="H159" s="633" t="s">
        <v>12028</v>
      </c>
      <c r="I159" s="633" t="s">
        <v>12029</v>
      </c>
      <c r="J159" s="633" t="s">
        <v>12030</v>
      </c>
      <c r="K159" s="633">
        <v>4.0</v>
      </c>
      <c r="L159" s="633" t="s">
        <v>11388</v>
      </c>
    </row>
    <row r="160">
      <c r="A160" s="633" t="s">
        <v>12004</v>
      </c>
      <c r="B160" s="634">
        <v>0.43341435185185184</v>
      </c>
      <c r="C160" s="633" t="s">
        <v>11697</v>
      </c>
      <c r="D160" s="633" t="s">
        <v>7725</v>
      </c>
      <c r="E160" s="641" t="s">
        <v>12031</v>
      </c>
      <c r="F160" s="633" t="s">
        <v>6875</v>
      </c>
      <c r="G160" s="635"/>
      <c r="H160" s="633" t="s">
        <v>12032</v>
      </c>
      <c r="I160" s="633" t="s">
        <v>12033</v>
      </c>
      <c r="J160" s="633" t="s">
        <v>12034</v>
      </c>
      <c r="K160" s="633">
        <v>3.0</v>
      </c>
      <c r="L160" s="633" t="s">
        <v>12035</v>
      </c>
    </row>
    <row r="161">
      <c r="A161" s="633" t="s">
        <v>12004</v>
      </c>
      <c r="B161" s="634">
        <v>0.4336226851851852</v>
      </c>
      <c r="C161" s="633" t="s">
        <v>11010</v>
      </c>
      <c r="D161" s="635"/>
      <c r="E161" s="639">
        <v>923452666046</v>
      </c>
      <c r="F161" s="633" t="s">
        <v>6875</v>
      </c>
      <c r="G161" s="635"/>
      <c r="H161" s="633" t="s">
        <v>12036</v>
      </c>
      <c r="I161" s="635"/>
      <c r="J161" s="635"/>
      <c r="K161" s="633">
        <v>1.0</v>
      </c>
      <c r="L161" s="635"/>
    </row>
    <row r="162">
      <c r="A162" s="633" t="s">
        <v>12004</v>
      </c>
      <c r="B162" s="634">
        <v>0.43375</v>
      </c>
      <c r="C162" s="633" t="s">
        <v>12037</v>
      </c>
      <c r="D162" s="633" t="s">
        <v>7725</v>
      </c>
      <c r="E162" s="641" t="s">
        <v>12038</v>
      </c>
      <c r="F162" s="633" t="s">
        <v>6939</v>
      </c>
      <c r="G162" s="633" t="s">
        <v>12039</v>
      </c>
      <c r="H162" s="633" t="s">
        <v>12040</v>
      </c>
      <c r="I162" s="633" t="s">
        <v>12041</v>
      </c>
      <c r="J162" s="633" t="s">
        <v>12042</v>
      </c>
      <c r="K162" s="633">
        <v>4.0</v>
      </c>
      <c r="L162" s="633" t="s">
        <v>11388</v>
      </c>
    </row>
    <row r="163">
      <c r="A163" s="633" t="s">
        <v>12004</v>
      </c>
      <c r="B163" s="634">
        <v>0.4339351851851852</v>
      </c>
      <c r="C163" s="633" t="s">
        <v>6280</v>
      </c>
      <c r="D163" s="633" t="s">
        <v>7725</v>
      </c>
      <c r="E163" s="641" t="s">
        <v>12043</v>
      </c>
      <c r="F163" s="633" t="s">
        <v>6875</v>
      </c>
      <c r="G163" s="633" t="s">
        <v>12044</v>
      </c>
      <c r="H163" s="633" t="s">
        <v>12045</v>
      </c>
      <c r="I163" s="635"/>
      <c r="J163" s="635"/>
      <c r="K163" s="633">
        <v>2.0</v>
      </c>
      <c r="L163" s="633" t="s">
        <v>372</v>
      </c>
    </row>
    <row r="164">
      <c r="A164" s="633" t="s">
        <v>12004</v>
      </c>
      <c r="B164" s="634">
        <v>0.4341087962962963</v>
      </c>
      <c r="C164" s="633" t="s">
        <v>7188</v>
      </c>
      <c r="D164" s="633" t="s">
        <v>7725</v>
      </c>
      <c r="E164" s="641" t="s">
        <v>12046</v>
      </c>
      <c r="F164" s="633" t="s">
        <v>6875</v>
      </c>
      <c r="G164" s="635"/>
      <c r="H164" s="633" t="s">
        <v>12047</v>
      </c>
      <c r="I164" s="633" t="s">
        <v>12048</v>
      </c>
      <c r="J164" s="635"/>
      <c r="K164" s="633">
        <v>2.0</v>
      </c>
      <c r="L164" s="633" t="s">
        <v>12049</v>
      </c>
    </row>
    <row r="165">
      <c r="A165" s="633" t="s">
        <v>12004</v>
      </c>
      <c r="B165" s="634">
        <v>0.43421296296296297</v>
      </c>
      <c r="C165" s="633" t="s">
        <v>12050</v>
      </c>
      <c r="D165" s="633" t="s">
        <v>7725</v>
      </c>
      <c r="E165" s="641" t="s">
        <v>12051</v>
      </c>
      <c r="F165" s="633" t="s">
        <v>6939</v>
      </c>
      <c r="G165" s="633" t="s">
        <v>12052</v>
      </c>
      <c r="H165" s="633" t="s">
        <v>12053</v>
      </c>
      <c r="I165" s="633" t="s">
        <v>12054</v>
      </c>
      <c r="J165" s="633" t="s">
        <v>12055</v>
      </c>
      <c r="K165" s="633">
        <v>4.0</v>
      </c>
      <c r="L165" s="633" t="s">
        <v>11388</v>
      </c>
    </row>
    <row r="166">
      <c r="A166" s="639" t="s">
        <v>12004</v>
      </c>
      <c r="B166" s="642">
        <v>0.43449074074074073</v>
      </c>
      <c r="C166" s="639" t="s">
        <v>7195</v>
      </c>
      <c r="D166" s="635"/>
      <c r="E166" s="639">
        <v>923344052190</v>
      </c>
      <c r="F166" s="633" t="s">
        <v>6875</v>
      </c>
      <c r="G166" s="635"/>
      <c r="H166" s="633" t="s">
        <v>12056</v>
      </c>
      <c r="I166" s="643"/>
      <c r="J166" s="643"/>
      <c r="K166" s="633">
        <v>1.0</v>
      </c>
      <c r="L166" s="639" t="s">
        <v>372</v>
      </c>
    </row>
    <row r="167">
      <c r="A167" s="633" t="s">
        <v>12004</v>
      </c>
      <c r="B167" s="634">
        <v>0.43756944444444446</v>
      </c>
      <c r="C167" s="633" t="s">
        <v>12057</v>
      </c>
      <c r="D167" s="633" t="s">
        <v>7725</v>
      </c>
      <c r="E167" s="641" t="s">
        <v>12058</v>
      </c>
      <c r="F167" s="633" t="s">
        <v>6875</v>
      </c>
      <c r="G167" s="635"/>
      <c r="H167" s="633" t="s">
        <v>12059</v>
      </c>
      <c r="I167" s="643"/>
      <c r="J167" s="635"/>
      <c r="K167" s="633">
        <v>1.0</v>
      </c>
      <c r="L167" s="633" t="s">
        <v>372</v>
      </c>
    </row>
    <row r="168">
      <c r="A168" s="633" t="s">
        <v>12004</v>
      </c>
      <c r="B168" s="634">
        <v>0.4377199074074074</v>
      </c>
      <c r="C168" s="633" t="s">
        <v>7207</v>
      </c>
      <c r="D168" s="635"/>
      <c r="E168" s="639">
        <v>923214916824</v>
      </c>
      <c r="F168" s="633" t="s">
        <v>7291</v>
      </c>
      <c r="G168" s="633" t="s">
        <v>12060</v>
      </c>
      <c r="H168" s="633" t="s">
        <v>12061</v>
      </c>
      <c r="I168" s="633" t="s">
        <v>12062</v>
      </c>
      <c r="J168" s="633" t="s">
        <v>12063</v>
      </c>
      <c r="K168" s="633">
        <v>4.0</v>
      </c>
      <c r="L168" s="633" t="s">
        <v>11891</v>
      </c>
    </row>
    <row r="169">
      <c r="A169" s="633" t="s">
        <v>12004</v>
      </c>
      <c r="B169" s="634">
        <v>0.4378240740740741</v>
      </c>
      <c r="C169" s="633" t="s">
        <v>11331</v>
      </c>
      <c r="D169" s="633" t="s">
        <v>6886</v>
      </c>
      <c r="E169" s="641" t="s">
        <v>12064</v>
      </c>
      <c r="F169" s="633" t="s">
        <v>6875</v>
      </c>
      <c r="G169" s="635"/>
      <c r="H169" s="633" t="s">
        <v>12065</v>
      </c>
      <c r="I169" s="633" t="s">
        <v>12066</v>
      </c>
      <c r="J169" s="635"/>
      <c r="K169" s="633">
        <v>2.0</v>
      </c>
      <c r="L169" s="633" t="s">
        <v>51</v>
      </c>
    </row>
    <row r="170">
      <c r="A170" s="633" t="s">
        <v>12004</v>
      </c>
      <c r="B170" s="634">
        <v>0.43822916666666667</v>
      </c>
      <c r="C170" s="633" t="s">
        <v>181</v>
      </c>
      <c r="D170" s="633" t="s">
        <v>6886</v>
      </c>
      <c r="E170" s="641" t="s">
        <v>12067</v>
      </c>
      <c r="F170" s="633" t="s">
        <v>6875</v>
      </c>
      <c r="G170" s="635"/>
      <c r="H170" s="633" t="s">
        <v>12068</v>
      </c>
      <c r="I170" s="643"/>
      <c r="J170" s="633" t="s">
        <v>12069</v>
      </c>
      <c r="K170" s="633">
        <v>2.0</v>
      </c>
      <c r="L170" s="633" t="s">
        <v>10937</v>
      </c>
    </row>
    <row r="171">
      <c r="A171" s="633" t="s">
        <v>12004</v>
      </c>
      <c r="B171" s="634">
        <v>0.43833333333333335</v>
      </c>
      <c r="C171" s="633" t="s">
        <v>5796</v>
      </c>
      <c r="D171" s="633" t="s">
        <v>7725</v>
      </c>
      <c r="E171" s="641" t="s">
        <v>12070</v>
      </c>
      <c r="F171" s="633" t="s">
        <v>6939</v>
      </c>
      <c r="G171" s="633" t="s">
        <v>12071</v>
      </c>
      <c r="H171" s="633" t="s">
        <v>12072</v>
      </c>
      <c r="I171" s="633" t="s">
        <v>12073</v>
      </c>
      <c r="J171" s="635"/>
      <c r="K171" s="633">
        <v>3.0</v>
      </c>
      <c r="L171" s="633" t="s">
        <v>12074</v>
      </c>
    </row>
    <row r="172">
      <c r="A172" s="633" t="s">
        <v>12004</v>
      </c>
      <c r="B172" s="634">
        <v>0.4384490740740741</v>
      </c>
      <c r="C172" s="633" t="s">
        <v>11082</v>
      </c>
      <c r="D172" s="635"/>
      <c r="E172" s="639">
        <v>923482298064</v>
      </c>
      <c r="F172" s="633" t="s">
        <v>6875</v>
      </c>
      <c r="G172" s="635"/>
      <c r="H172" s="633" t="s">
        <v>12075</v>
      </c>
      <c r="I172" s="633" t="s">
        <v>12076</v>
      </c>
      <c r="J172" s="635"/>
      <c r="K172" s="633">
        <v>2.0</v>
      </c>
      <c r="L172" s="633" t="s">
        <v>51</v>
      </c>
    </row>
    <row r="173">
      <c r="A173" s="633" t="s">
        <v>12004</v>
      </c>
      <c r="B173" s="634">
        <v>0.4539699074074074</v>
      </c>
      <c r="C173" s="633" t="s">
        <v>12077</v>
      </c>
      <c r="D173" s="635"/>
      <c r="E173" s="639">
        <v>923039137116</v>
      </c>
      <c r="F173" s="633" t="s">
        <v>6888</v>
      </c>
      <c r="G173" s="635"/>
      <c r="H173" s="635"/>
      <c r="I173" s="633" t="s">
        <v>12078</v>
      </c>
      <c r="J173" s="635"/>
      <c r="K173" s="633">
        <v>1.0</v>
      </c>
      <c r="L173" s="633" t="s">
        <v>1189</v>
      </c>
    </row>
    <row r="174">
      <c r="A174" s="633" t="s">
        <v>12004</v>
      </c>
      <c r="B174" s="634">
        <v>0.47457175925925926</v>
      </c>
      <c r="C174" s="633" t="s">
        <v>12079</v>
      </c>
      <c r="D174" s="635"/>
      <c r="E174" s="639">
        <v>923122102485</v>
      </c>
      <c r="F174" s="633" t="s">
        <v>6875</v>
      </c>
      <c r="G174" s="633" t="s">
        <v>12080</v>
      </c>
      <c r="H174" s="633" t="s">
        <v>12081</v>
      </c>
      <c r="I174" s="633" t="s">
        <v>12082</v>
      </c>
      <c r="J174" s="633" t="s">
        <v>12083</v>
      </c>
      <c r="K174" s="633">
        <v>4.0</v>
      </c>
      <c r="L174" s="633" t="s">
        <v>12084</v>
      </c>
    </row>
    <row r="175">
      <c r="A175" s="633" t="s">
        <v>12004</v>
      </c>
      <c r="B175" s="634">
        <v>0.4749189814814815</v>
      </c>
      <c r="C175" s="633" t="s">
        <v>7216</v>
      </c>
      <c r="D175" s="635"/>
      <c r="E175" s="639">
        <v>923322194484</v>
      </c>
      <c r="F175" s="633" t="s">
        <v>6875</v>
      </c>
      <c r="G175" s="635"/>
      <c r="H175" s="633" t="s">
        <v>12085</v>
      </c>
      <c r="I175" s="633" t="s">
        <v>12086</v>
      </c>
      <c r="J175" s="635"/>
      <c r="K175" s="633">
        <v>2.0</v>
      </c>
      <c r="L175" s="633" t="s">
        <v>51</v>
      </c>
    </row>
    <row r="176">
      <c r="A176" s="633" t="s">
        <v>12004</v>
      </c>
      <c r="B176" s="634">
        <v>0.48824074074074075</v>
      </c>
      <c r="C176" s="633" t="s">
        <v>12087</v>
      </c>
      <c r="D176" s="635"/>
      <c r="E176" s="639">
        <v>923332328597</v>
      </c>
      <c r="F176" s="633" t="s">
        <v>6875</v>
      </c>
      <c r="G176" s="633" t="s">
        <v>12060</v>
      </c>
      <c r="H176" s="633" t="s">
        <v>12088</v>
      </c>
      <c r="I176" s="633" t="s">
        <v>12089</v>
      </c>
      <c r="J176" s="633" t="s">
        <v>12090</v>
      </c>
      <c r="K176" s="633">
        <v>4.0</v>
      </c>
      <c r="L176" s="633" t="s">
        <v>11388</v>
      </c>
    </row>
    <row r="177">
      <c r="A177" s="633" t="s">
        <v>12004</v>
      </c>
      <c r="B177" s="634">
        <v>0.5248611111111111</v>
      </c>
      <c r="C177" s="633" t="s">
        <v>12091</v>
      </c>
      <c r="D177" s="635"/>
      <c r="E177" s="639">
        <v>923417940300</v>
      </c>
      <c r="F177" s="633" t="s">
        <v>6875</v>
      </c>
      <c r="G177" s="635"/>
      <c r="H177" s="633" t="s">
        <v>12092</v>
      </c>
      <c r="I177" s="633" t="s">
        <v>12093</v>
      </c>
      <c r="J177" s="635"/>
      <c r="K177" s="633">
        <v>2.0</v>
      </c>
      <c r="L177" s="633" t="s">
        <v>372</v>
      </c>
    </row>
    <row r="178">
      <c r="A178" s="633" t="s">
        <v>12004</v>
      </c>
      <c r="B178" s="634">
        <v>0.5249768518518518</v>
      </c>
      <c r="C178" s="633" t="s">
        <v>7221</v>
      </c>
      <c r="D178" s="635"/>
      <c r="E178" s="639">
        <v>923451114086</v>
      </c>
      <c r="F178" s="633" t="s">
        <v>6939</v>
      </c>
      <c r="G178" s="633" t="s">
        <v>12060</v>
      </c>
      <c r="H178" s="633" t="s">
        <v>12094</v>
      </c>
      <c r="I178" s="633" t="s">
        <v>12095</v>
      </c>
      <c r="J178" s="633" t="s">
        <v>12096</v>
      </c>
      <c r="K178" s="633">
        <v>4.0</v>
      </c>
      <c r="L178" s="633" t="s">
        <v>11388</v>
      </c>
    </row>
    <row r="179">
      <c r="A179" s="633" t="s">
        <v>12004</v>
      </c>
      <c r="B179" s="634">
        <v>0.53375</v>
      </c>
      <c r="C179" s="633" t="s">
        <v>12097</v>
      </c>
      <c r="D179" s="635"/>
      <c r="E179" s="639">
        <v>923334413613</v>
      </c>
      <c r="F179" s="633" t="s">
        <v>6875</v>
      </c>
      <c r="G179" s="635"/>
      <c r="H179" s="633" t="s">
        <v>12098</v>
      </c>
      <c r="I179" s="633" t="s">
        <v>12099</v>
      </c>
      <c r="J179" s="633" t="s">
        <v>12100</v>
      </c>
      <c r="K179" s="633">
        <v>3.0</v>
      </c>
      <c r="L179" s="633" t="s">
        <v>11777</v>
      </c>
    </row>
    <row r="180">
      <c r="A180" s="633" t="s">
        <v>12004</v>
      </c>
      <c r="B180" s="634">
        <v>0.5485648148148148</v>
      </c>
      <c r="C180" s="633" t="s">
        <v>10371</v>
      </c>
      <c r="D180" s="635"/>
      <c r="E180" s="639">
        <v>923225615656</v>
      </c>
      <c r="F180" s="633" t="s">
        <v>6875</v>
      </c>
      <c r="G180" s="635"/>
      <c r="H180" s="633" t="s">
        <v>12101</v>
      </c>
      <c r="I180" s="633" t="s">
        <v>12102</v>
      </c>
      <c r="J180" s="635"/>
      <c r="K180" s="633">
        <v>2.0</v>
      </c>
      <c r="L180" s="633" t="s">
        <v>12103</v>
      </c>
    </row>
    <row r="181">
      <c r="A181" s="633" t="s">
        <v>12004</v>
      </c>
      <c r="B181" s="634">
        <v>0.5528703703703703</v>
      </c>
      <c r="C181" s="633" t="s">
        <v>12104</v>
      </c>
      <c r="D181" s="635"/>
      <c r="E181" s="639">
        <v>923272043603</v>
      </c>
      <c r="F181" s="633" t="s">
        <v>6875</v>
      </c>
      <c r="G181" s="639" t="s">
        <v>12105</v>
      </c>
      <c r="H181" s="633" t="s">
        <v>12106</v>
      </c>
      <c r="I181" s="633" t="s">
        <v>12107</v>
      </c>
      <c r="J181" s="633" t="s">
        <v>12108</v>
      </c>
      <c r="K181" s="633">
        <v>4.0</v>
      </c>
      <c r="L181" s="633" t="s">
        <v>51</v>
      </c>
    </row>
    <row r="182">
      <c r="A182" s="633" t="s">
        <v>12004</v>
      </c>
      <c r="B182" s="634">
        <v>0.5719675925925926</v>
      </c>
      <c r="C182" s="633" t="s">
        <v>4333</v>
      </c>
      <c r="D182" s="635"/>
      <c r="E182" s="639">
        <v>923442541767</v>
      </c>
      <c r="F182" s="633" t="s">
        <v>6939</v>
      </c>
      <c r="G182" s="633" t="s">
        <v>12060</v>
      </c>
      <c r="H182" s="633" t="s">
        <v>12109</v>
      </c>
      <c r="I182" s="633" t="s">
        <v>12110</v>
      </c>
      <c r="J182" s="633" t="s">
        <v>12111</v>
      </c>
      <c r="K182" s="633">
        <v>4.0</v>
      </c>
      <c r="L182" s="633" t="s">
        <v>11388</v>
      </c>
    </row>
    <row r="183">
      <c r="A183" s="633" t="s">
        <v>12004</v>
      </c>
      <c r="B183" s="634">
        <v>0.620011574074074</v>
      </c>
      <c r="C183" s="633" t="s">
        <v>12112</v>
      </c>
      <c r="D183" s="635"/>
      <c r="E183" s="639">
        <v>923212652748</v>
      </c>
      <c r="F183" s="633" t="s">
        <v>6939</v>
      </c>
      <c r="G183" s="633" t="s">
        <v>12113</v>
      </c>
      <c r="H183" s="633" t="s">
        <v>12114</v>
      </c>
      <c r="I183" s="633" t="s">
        <v>12115</v>
      </c>
      <c r="J183" s="633" t="s">
        <v>12116</v>
      </c>
      <c r="K183" s="633">
        <v>4.0</v>
      </c>
      <c r="L183" s="633" t="s">
        <v>11388</v>
      </c>
    </row>
    <row r="184">
      <c r="A184" s="633" t="s">
        <v>12004</v>
      </c>
      <c r="B184" s="634">
        <v>0.6522453703703703</v>
      </c>
      <c r="C184" s="633" t="s">
        <v>7226</v>
      </c>
      <c r="D184" s="635"/>
      <c r="E184" s="639">
        <v>923212630464</v>
      </c>
      <c r="F184" s="633" t="s">
        <v>6939</v>
      </c>
      <c r="G184" s="633" t="s">
        <v>12117</v>
      </c>
      <c r="H184" s="633" t="s">
        <v>12118</v>
      </c>
      <c r="I184" s="633" t="s">
        <v>12119</v>
      </c>
      <c r="J184" s="633" t="s">
        <v>12120</v>
      </c>
      <c r="K184" s="633">
        <v>4.0</v>
      </c>
      <c r="L184" s="633" t="s">
        <v>11388</v>
      </c>
    </row>
    <row r="185">
      <c r="A185" s="633" t="s">
        <v>12004</v>
      </c>
      <c r="B185" s="634">
        <v>0.6524537037037037</v>
      </c>
      <c r="C185" s="633" t="s">
        <v>7231</v>
      </c>
      <c r="D185" s="635"/>
      <c r="E185" s="639">
        <v>923174695514</v>
      </c>
      <c r="F185" s="633" t="s">
        <v>6875</v>
      </c>
      <c r="G185" s="633" t="s">
        <v>12121</v>
      </c>
      <c r="H185" s="633" t="s">
        <v>12122</v>
      </c>
      <c r="I185" s="633" t="s">
        <v>12123</v>
      </c>
      <c r="J185" s="633" t="s">
        <v>12124</v>
      </c>
      <c r="K185" s="633">
        <v>4.0</v>
      </c>
      <c r="L185" s="635"/>
    </row>
    <row r="186">
      <c r="A186" s="633" t="s">
        <v>12004</v>
      </c>
      <c r="B186" s="634">
        <v>0.6604861111111111</v>
      </c>
      <c r="C186" s="633" t="s">
        <v>7236</v>
      </c>
      <c r="D186" s="635"/>
      <c r="E186" s="639">
        <v>923332155591</v>
      </c>
      <c r="F186" s="633" t="s">
        <v>6939</v>
      </c>
      <c r="G186" s="633" t="s">
        <v>12125</v>
      </c>
      <c r="H186" s="633" t="s">
        <v>12126</v>
      </c>
      <c r="I186" s="633" t="s">
        <v>12127</v>
      </c>
      <c r="J186" s="633" t="s">
        <v>12128</v>
      </c>
      <c r="K186" s="633">
        <v>4.0</v>
      </c>
      <c r="L186" s="633" t="s">
        <v>11388</v>
      </c>
    </row>
    <row r="187">
      <c r="A187" s="633" t="s">
        <v>12004</v>
      </c>
      <c r="B187" s="634">
        <v>0.6736921296296297</v>
      </c>
      <c r="C187" s="633" t="s">
        <v>12129</v>
      </c>
      <c r="D187" s="635"/>
      <c r="E187" s="639">
        <v>923222823482</v>
      </c>
      <c r="F187" s="633" t="s">
        <v>6875</v>
      </c>
      <c r="G187" s="635"/>
      <c r="H187" s="633" t="s">
        <v>12130</v>
      </c>
      <c r="I187" s="635"/>
      <c r="J187" s="635"/>
      <c r="K187" s="633">
        <v>1.0</v>
      </c>
      <c r="L187" s="635"/>
    </row>
    <row r="188">
      <c r="A188" s="633" t="s">
        <v>12004</v>
      </c>
      <c r="B188" s="634">
        <v>0.7405671296296297</v>
      </c>
      <c r="C188" s="633" t="s">
        <v>12131</v>
      </c>
      <c r="D188" s="633" t="s">
        <v>6886</v>
      </c>
      <c r="E188" s="641" t="s">
        <v>12132</v>
      </c>
      <c r="F188" s="633" t="s">
        <v>6875</v>
      </c>
      <c r="G188" s="635"/>
      <c r="H188" s="633" t="s">
        <v>12133</v>
      </c>
      <c r="I188" s="633" t="s">
        <v>12134</v>
      </c>
      <c r="J188" s="633" t="s">
        <v>12135</v>
      </c>
      <c r="K188" s="633">
        <v>3.0</v>
      </c>
      <c r="L188" s="633" t="s">
        <v>27</v>
      </c>
    </row>
    <row r="189">
      <c r="A189" s="633" t="s">
        <v>12004</v>
      </c>
      <c r="B189" s="634">
        <v>0.7408564814814815</v>
      </c>
      <c r="C189" s="633" t="s">
        <v>12136</v>
      </c>
      <c r="D189" s="635"/>
      <c r="E189" s="639">
        <v>923034163500</v>
      </c>
      <c r="F189" s="633" t="s">
        <v>6875</v>
      </c>
      <c r="G189" s="635"/>
      <c r="H189" s="633" t="s">
        <v>12137</v>
      </c>
      <c r="I189" s="643"/>
      <c r="J189" s="635"/>
      <c r="K189" s="633">
        <v>1.0</v>
      </c>
      <c r="L189" s="633" t="s">
        <v>12138</v>
      </c>
    </row>
    <row r="190">
      <c r="A190" s="633" t="s">
        <v>12004</v>
      </c>
      <c r="B190" s="634">
        <v>0.741087962962963</v>
      </c>
      <c r="C190" s="633" t="s">
        <v>12139</v>
      </c>
      <c r="D190" s="635"/>
      <c r="E190" s="639">
        <v>923007119733</v>
      </c>
      <c r="F190" s="633" t="s">
        <v>6875</v>
      </c>
      <c r="G190" s="635"/>
      <c r="H190" s="633" t="s">
        <v>12140</v>
      </c>
      <c r="I190" s="633" t="s">
        <v>12141</v>
      </c>
      <c r="J190" s="635"/>
      <c r="K190" s="633">
        <v>2.0</v>
      </c>
      <c r="L190" s="633" t="s">
        <v>12142</v>
      </c>
    </row>
    <row r="191">
      <c r="A191" s="633" t="s">
        <v>12143</v>
      </c>
      <c r="B191" s="634">
        <v>0.4327314814814815</v>
      </c>
      <c r="C191" s="633" t="s">
        <v>7247</v>
      </c>
      <c r="D191" s="635"/>
      <c r="E191" s="639">
        <v>923173611252</v>
      </c>
      <c r="F191" s="633" t="s">
        <v>6939</v>
      </c>
      <c r="G191" s="633" t="s">
        <v>12144</v>
      </c>
      <c r="H191" s="633" t="s">
        <v>12145</v>
      </c>
      <c r="I191" s="633" t="s">
        <v>12146</v>
      </c>
      <c r="J191" s="633" t="s">
        <v>12147</v>
      </c>
      <c r="K191" s="633">
        <v>4.0</v>
      </c>
      <c r="L191" s="633" t="s">
        <v>11388</v>
      </c>
    </row>
    <row r="192">
      <c r="A192" s="633" t="s">
        <v>12143</v>
      </c>
      <c r="B192" s="634">
        <v>0.4328472222222222</v>
      </c>
      <c r="C192" s="633" t="s">
        <v>12148</v>
      </c>
      <c r="D192" s="633" t="s">
        <v>7725</v>
      </c>
      <c r="E192" s="646" t="s">
        <v>12149</v>
      </c>
      <c r="F192" s="633" t="s">
        <v>6888</v>
      </c>
      <c r="G192" s="633" t="s">
        <v>12150</v>
      </c>
      <c r="H192" s="633" t="s">
        <v>12151</v>
      </c>
      <c r="I192" s="633" t="s">
        <v>12152</v>
      </c>
      <c r="J192" s="635"/>
      <c r="K192" s="633">
        <v>3.0</v>
      </c>
      <c r="L192" s="633" t="s">
        <v>11516</v>
      </c>
    </row>
    <row r="193">
      <c r="A193" s="633" t="s">
        <v>12143</v>
      </c>
      <c r="B193" s="634">
        <v>0.43296296296296294</v>
      </c>
      <c r="C193" s="633" t="s">
        <v>7257</v>
      </c>
      <c r="D193" s="635"/>
      <c r="E193" s="639">
        <v>923443141546</v>
      </c>
      <c r="F193" s="633" t="s">
        <v>6875</v>
      </c>
      <c r="G193" s="633" t="s">
        <v>12153</v>
      </c>
      <c r="H193" s="633" t="s">
        <v>12154</v>
      </c>
      <c r="I193" s="635"/>
      <c r="J193" s="635"/>
      <c r="K193" s="633">
        <v>2.0</v>
      </c>
      <c r="L193" s="635"/>
    </row>
    <row r="194">
      <c r="A194" s="633" t="s">
        <v>12143</v>
      </c>
      <c r="B194" s="634">
        <v>0.433125</v>
      </c>
      <c r="C194" s="633" t="s">
        <v>7263</v>
      </c>
      <c r="D194" s="635"/>
      <c r="E194" s="639">
        <v>923059073786</v>
      </c>
      <c r="F194" s="633" t="s">
        <v>6875</v>
      </c>
      <c r="G194" s="635"/>
      <c r="H194" s="633" t="s">
        <v>12155</v>
      </c>
      <c r="I194" s="635"/>
      <c r="J194" s="635"/>
      <c r="K194" s="633">
        <v>1.0</v>
      </c>
      <c r="L194" s="633" t="s">
        <v>372</v>
      </c>
    </row>
    <row r="195">
      <c r="A195" s="633" t="s">
        <v>12143</v>
      </c>
      <c r="B195" s="634">
        <v>0.43350694444444443</v>
      </c>
      <c r="C195" s="633" t="s">
        <v>7265</v>
      </c>
      <c r="D195" s="635"/>
      <c r="E195" s="639">
        <v>923357545589</v>
      </c>
      <c r="F195" s="633" t="s">
        <v>6939</v>
      </c>
      <c r="G195" s="633" t="s">
        <v>12144</v>
      </c>
      <c r="H195" s="633" t="s">
        <v>12156</v>
      </c>
      <c r="I195" s="633" t="s">
        <v>12157</v>
      </c>
      <c r="J195" s="633" t="s">
        <v>12158</v>
      </c>
      <c r="K195" s="633">
        <v>4.0</v>
      </c>
      <c r="L195" s="633" t="s">
        <v>11388</v>
      </c>
    </row>
    <row r="196">
      <c r="A196" s="633" t="s">
        <v>12143</v>
      </c>
      <c r="B196" s="634">
        <v>0.4336921296296296</v>
      </c>
      <c r="C196" s="633" t="s">
        <v>4453</v>
      </c>
      <c r="D196" s="635"/>
      <c r="E196" s="639">
        <v>923062006007</v>
      </c>
      <c r="F196" s="633" t="s">
        <v>6875</v>
      </c>
      <c r="G196" s="635"/>
      <c r="H196" s="633" t="s">
        <v>12159</v>
      </c>
      <c r="I196" s="635"/>
      <c r="J196" s="635"/>
      <c r="K196" s="633">
        <v>1.0</v>
      </c>
      <c r="L196" s="633" t="s">
        <v>11758</v>
      </c>
    </row>
    <row r="197">
      <c r="A197" s="639" t="s">
        <v>12143</v>
      </c>
      <c r="B197" s="642">
        <v>0.4338194444444444</v>
      </c>
      <c r="C197" s="639" t="s">
        <v>6780</v>
      </c>
      <c r="D197" s="639" t="s">
        <v>7725</v>
      </c>
      <c r="E197" s="641" t="s">
        <v>12160</v>
      </c>
      <c r="F197" s="633" t="s">
        <v>7291</v>
      </c>
      <c r="G197" s="639" t="s">
        <v>12105</v>
      </c>
      <c r="H197" s="639" t="s">
        <v>12161</v>
      </c>
      <c r="I197" s="639" t="s">
        <v>12162</v>
      </c>
      <c r="J197" s="633" t="s">
        <v>12124</v>
      </c>
      <c r="K197" s="633">
        <v>4.0</v>
      </c>
      <c r="L197" s="639" t="s">
        <v>6944</v>
      </c>
    </row>
    <row r="198">
      <c r="A198" s="633" t="s">
        <v>12143</v>
      </c>
      <c r="B198" s="634">
        <v>0.4340162037037037</v>
      </c>
      <c r="C198" s="633" t="s">
        <v>12163</v>
      </c>
      <c r="D198" s="635"/>
      <c r="E198" s="639">
        <v>923084164054</v>
      </c>
      <c r="F198" s="633" t="s">
        <v>6875</v>
      </c>
      <c r="G198" s="633" t="s">
        <v>12164</v>
      </c>
      <c r="H198" s="633" t="s">
        <v>12165</v>
      </c>
      <c r="I198" s="633" t="s">
        <v>12166</v>
      </c>
      <c r="J198" s="633" t="s">
        <v>12167</v>
      </c>
      <c r="K198" s="633">
        <v>4.0</v>
      </c>
      <c r="L198" s="633" t="s">
        <v>51</v>
      </c>
    </row>
    <row r="199">
      <c r="A199" s="633" t="s">
        <v>12143</v>
      </c>
      <c r="B199" s="634">
        <v>0.43422453703703706</v>
      </c>
      <c r="C199" s="633" t="s">
        <v>12168</v>
      </c>
      <c r="D199" s="635"/>
      <c r="E199" s="639">
        <v>923332378185</v>
      </c>
      <c r="F199" s="633" t="s">
        <v>6939</v>
      </c>
      <c r="G199" s="633" t="s">
        <v>12169</v>
      </c>
      <c r="H199" s="633" t="s">
        <v>12170</v>
      </c>
      <c r="I199" s="633" t="s">
        <v>12171</v>
      </c>
      <c r="J199" s="633" t="s">
        <v>12172</v>
      </c>
      <c r="K199" s="633">
        <v>4.0</v>
      </c>
      <c r="L199" s="633" t="s">
        <v>11388</v>
      </c>
    </row>
    <row r="200">
      <c r="A200" s="633" t="s">
        <v>12143</v>
      </c>
      <c r="B200" s="634">
        <v>0.43449074074074073</v>
      </c>
      <c r="C200" s="633" t="s">
        <v>7275</v>
      </c>
      <c r="D200" s="635"/>
      <c r="E200" s="639">
        <v>923437331156</v>
      </c>
      <c r="F200" s="633" t="s">
        <v>6939</v>
      </c>
      <c r="G200" s="633" t="s">
        <v>12173</v>
      </c>
      <c r="H200" s="633" t="s">
        <v>12174</v>
      </c>
      <c r="I200" s="633" t="s">
        <v>12175</v>
      </c>
      <c r="J200" s="633" t="s">
        <v>12176</v>
      </c>
      <c r="K200" s="633">
        <v>4.0</v>
      </c>
      <c r="L200" s="633" t="s">
        <v>11388</v>
      </c>
    </row>
    <row r="201">
      <c r="A201" s="633" t="s">
        <v>12143</v>
      </c>
      <c r="B201" s="634">
        <v>0.4346875</v>
      </c>
      <c r="C201" s="633" t="s">
        <v>12177</v>
      </c>
      <c r="D201" s="635"/>
      <c r="E201" s="639">
        <v>923203777786</v>
      </c>
      <c r="F201" s="633" t="s">
        <v>6875</v>
      </c>
      <c r="G201" s="633" t="s">
        <v>12178</v>
      </c>
      <c r="H201" s="633" t="s">
        <v>12179</v>
      </c>
      <c r="I201" s="633" t="s">
        <v>12180</v>
      </c>
      <c r="J201" s="635"/>
      <c r="K201" s="633">
        <v>3.0</v>
      </c>
      <c r="L201" s="633" t="s">
        <v>6944</v>
      </c>
    </row>
    <row r="202">
      <c r="A202" s="633" t="s">
        <v>12143</v>
      </c>
      <c r="B202" s="634">
        <v>0.4350462962962963</v>
      </c>
      <c r="C202" s="633" t="s">
        <v>12181</v>
      </c>
      <c r="D202" s="635"/>
      <c r="E202" s="639">
        <v>923443422858</v>
      </c>
      <c r="F202" s="633" t="s">
        <v>6875</v>
      </c>
      <c r="G202" s="635"/>
      <c r="H202" s="633" t="s">
        <v>12182</v>
      </c>
      <c r="I202" s="633" t="s">
        <v>12183</v>
      </c>
      <c r="J202" s="633" t="s">
        <v>12184</v>
      </c>
      <c r="K202" s="633">
        <v>3.0</v>
      </c>
      <c r="L202" s="633" t="s">
        <v>27</v>
      </c>
    </row>
    <row r="203">
      <c r="A203" s="633" t="s">
        <v>12143</v>
      </c>
      <c r="B203" s="634">
        <v>0.4352199074074074</v>
      </c>
      <c r="C203" s="633" t="s">
        <v>12185</v>
      </c>
      <c r="D203" s="633" t="s">
        <v>6886</v>
      </c>
      <c r="E203" s="641" t="s">
        <v>12186</v>
      </c>
      <c r="F203" s="633" t="s">
        <v>6875</v>
      </c>
      <c r="G203" s="635"/>
      <c r="H203" s="633" t="s">
        <v>12187</v>
      </c>
      <c r="I203" s="633" t="s">
        <v>12188</v>
      </c>
      <c r="J203" s="633" t="s">
        <v>12189</v>
      </c>
      <c r="K203" s="633">
        <v>3.0</v>
      </c>
      <c r="L203" s="633" t="s">
        <v>152</v>
      </c>
    </row>
    <row r="204">
      <c r="A204" s="633" t="s">
        <v>12143</v>
      </c>
      <c r="B204" s="634">
        <v>0.4353587962962963</v>
      </c>
      <c r="C204" s="633" t="s">
        <v>7285</v>
      </c>
      <c r="D204" s="635"/>
      <c r="E204" s="639">
        <v>923063937935</v>
      </c>
      <c r="F204" s="633" t="s">
        <v>6939</v>
      </c>
      <c r="G204" s="633" t="s">
        <v>12190</v>
      </c>
      <c r="H204" s="633" t="s">
        <v>12191</v>
      </c>
      <c r="I204" s="633" t="s">
        <v>12192</v>
      </c>
      <c r="J204" s="633" t="s">
        <v>12193</v>
      </c>
      <c r="K204" s="633">
        <v>4.0</v>
      </c>
      <c r="L204" s="633" t="s">
        <v>11388</v>
      </c>
    </row>
    <row r="205">
      <c r="A205" s="633" t="s">
        <v>12143</v>
      </c>
      <c r="B205" s="634">
        <v>0.43552083333333336</v>
      </c>
      <c r="C205" s="633" t="s">
        <v>7290</v>
      </c>
      <c r="D205" s="635"/>
      <c r="E205" s="639">
        <v>923318333830</v>
      </c>
      <c r="F205" s="633" t="s">
        <v>6875</v>
      </c>
      <c r="G205" s="635"/>
      <c r="H205" s="633" t="s">
        <v>12194</v>
      </c>
      <c r="I205" s="633" t="s">
        <v>12195</v>
      </c>
      <c r="J205" s="635"/>
      <c r="K205" s="633">
        <v>2.0</v>
      </c>
      <c r="L205" s="633" t="s">
        <v>51</v>
      </c>
    </row>
    <row r="206">
      <c r="A206" s="633" t="s">
        <v>12143</v>
      </c>
      <c r="B206" s="634">
        <v>0.4356365740740741</v>
      </c>
      <c r="C206" s="633" t="s">
        <v>7302</v>
      </c>
      <c r="D206" s="635"/>
      <c r="E206" s="639">
        <v>923332104888</v>
      </c>
      <c r="F206" s="633" t="s">
        <v>6939</v>
      </c>
      <c r="G206" s="633" t="s">
        <v>12196</v>
      </c>
      <c r="H206" s="633" t="s">
        <v>12197</v>
      </c>
      <c r="I206" s="633" t="s">
        <v>12198</v>
      </c>
      <c r="J206" s="633" t="s">
        <v>12199</v>
      </c>
      <c r="K206" s="633">
        <v>4.0</v>
      </c>
      <c r="L206" s="633" t="s">
        <v>11388</v>
      </c>
    </row>
    <row r="207">
      <c r="A207" s="633" t="s">
        <v>12143</v>
      </c>
      <c r="B207" s="634">
        <v>0.4358680555555556</v>
      </c>
      <c r="C207" s="633" t="s">
        <v>12200</v>
      </c>
      <c r="D207" s="635"/>
      <c r="E207" s="639">
        <v>923006135889</v>
      </c>
      <c r="F207" s="633" t="s">
        <v>6875</v>
      </c>
      <c r="G207" s="635"/>
      <c r="H207" s="633" t="s">
        <v>12201</v>
      </c>
      <c r="I207" s="635"/>
      <c r="J207" s="635"/>
      <c r="K207" s="633">
        <v>1.0</v>
      </c>
      <c r="L207" s="633" t="s">
        <v>51</v>
      </c>
    </row>
    <row r="208">
      <c r="A208" s="633" t="s">
        <v>12143</v>
      </c>
      <c r="B208" s="634">
        <v>0.43635416666666665</v>
      </c>
      <c r="C208" s="633" t="s">
        <v>12202</v>
      </c>
      <c r="D208" s="635"/>
      <c r="E208" s="650">
        <v>923216647637</v>
      </c>
      <c r="F208" s="633" t="s">
        <v>6888</v>
      </c>
      <c r="G208" s="635"/>
      <c r="H208" s="633" t="s">
        <v>12203</v>
      </c>
      <c r="I208" s="633" t="s">
        <v>12204</v>
      </c>
      <c r="J208" s="633" t="s">
        <v>12205</v>
      </c>
      <c r="K208" s="633">
        <v>3.0</v>
      </c>
      <c r="L208" s="633" t="s">
        <v>10694</v>
      </c>
    </row>
    <row r="209">
      <c r="A209" s="633" t="s">
        <v>12143</v>
      </c>
      <c r="B209" s="634">
        <v>0.44506944444444446</v>
      </c>
      <c r="C209" s="633" t="s">
        <v>12206</v>
      </c>
      <c r="D209" s="635"/>
      <c r="E209" s="639">
        <v>923209898982</v>
      </c>
      <c r="F209" s="633" t="s">
        <v>6939</v>
      </c>
      <c r="G209" s="633" t="s">
        <v>12207</v>
      </c>
      <c r="H209" s="633" t="s">
        <v>12208</v>
      </c>
      <c r="I209" s="633" t="s">
        <v>12209</v>
      </c>
      <c r="J209" s="633" t="s">
        <v>12210</v>
      </c>
      <c r="K209" s="633">
        <v>4.0</v>
      </c>
      <c r="L209" s="633" t="s">
        <v>11388</v>
      </c>
    </row>
    <row r="210">
      <c r="A210" s="633" t="s">
        <v>12143</v>
      </c>
      <c r="B210" s="634">
        <v>0.528900462962963</v>
      </c>
      <c r="C210" s="633" t="s">
        <v>7307</v>
      </c>
      <c r="D210" s="635"/>
      <c r="E210" s="639">
        <v>923298389754</v>
      </c>
      <c r="F210" s="633" t="s">
        <v>6875</v>
      </c>
      <c r="G210" s="635"/>
      <c r="H210" s="635"/>
      <c r="I210" s="633" t="s">
        <v>12211</v>
      </c>
      <c r="J210" s="635"/>
      <c r="K210" s="633">
        <v>1.0</v>
      </c>
      <c r="L210" s="635"/>
    </row>
    <row r="211">
      <c r="A211" s="633" t="s">
        <v>12143</v>
      </c>
      <c r="B211" s="634">
        <v>0.5416435185185186</v>
      </c>
      <c r="C211" s="633" t="s">
        <v>7313</v>
      </c>
      <c r="D211" s="633" t="s">
        <v>6886</v>
      </c>
      <c r="E211" s="641" t="s">
        <v>12212</v>
      </c>
      <c r="F211" s="633" t="s">
        <v>6875</v>
      </c>
      <c r="G211" s="633" t="s">
        <v>12207</v>
      </c>
      <c r="H211" s="633" t="s">
        <v>12213</v>
      </c>
      <c r="I211" s="633" t="s">
        <v>12214</v>
      </c>
      <c r="J211" s="633" t="s">
        <v>12215</v>
      </c>
      <c r="K211" s="633">
        <v>3.0</v>
      </c>
      <c r="L211" s="633" t="s">
        <v>703</v>
      </c>
    </row>
    <row r="212">
      <c r="A212" s="633" t="s">
        <v>12143</v>
      </c>
      <c r="B212" s="634">
        <v>0.5499305555555556</v>
      </c>
      <c r="C212" s="633" t="s">
        <v>7318</v>
      </c>
      <c r="D212" s="635"/>
      <c r="E212" s="639">
        <v>923327732232</v>
      </c>
      <c r="F212" s="633" t="s">
        <v>6875</v>
      </c>
      <c r="G212" s="633" t="s">
        <v>12216</v>
      </c>
      <c r="H212" s="633" t="s">
        <v>12217</v>
      </c>
      <c r="I212" s="633" t="s">
        <v>12218</v>
      </c>
      <c r="J212" s="633" t="s">
        <v>12219</v>
      </c>
      <c r="K212" s="633">
        <v>4.0</v>
      </c>
      <c r="L212" s="635"/>
    </row>
    <row r="213">
      <c r="A213" s="633" t="s">
        <v>12143</v>
      </c>
      <c r="B213" s="634">
        <v>0.5587384259259259</v>
      </c>
      <c r="C213" s="633" t="s">
        <v>7323</v>
      </c>
      <c r="D213" s="635"/>
      <c r="E213" s="639">
        <v>923008887646</v>
      </c>
      <c r="F213" s="633" t="s">
        <v>7291</v>
      </c>
      <c r="G213" s="633" t="s">
        <v>12207</v>
      </c>
      <c r="H213" s="633" t="s">
        <v>12220</v>
      </c>
      <c r="I213" s="633" t="s">
        <v>12221</v>
      </c>
      <c r="J213" s="633" t="s">
        <v>12215</v>
      </c>
      <c r="K213" s="633">
        <v>4.0</v>
      </c>
      <c r="L213" s="633" t="s">
        <v>6944</v>
      </c>
    </row>
    <row r="214">
      <c r="A214" s="633" t="s">
        <v>12143</v>
      </c>
      <c r="B214" s="634">
        <v>0.5588657407407407</v>
      </c>
      <c r="C214" s="633" t="s">
        <v>12222</v>
      </c>
      <c r="D214" s="635"/>
      <c r="E214" s="639">
        <v>923055890754</v>
      </c>
      <c r="F214" s="633" t="s">
        <v>6875</v>
      </c>
      <c r="G214" s="633" t="s">
        <v>12207</v>
      </c>
      <c r="H214" s="633" t="s">
        <v>12223</v>
      </c>
      <c r="I214" s="633" t="s">
        <v>12224</v>
      </c>
      <c r="J214" s="633" t="s">
        <v>12215</v>
      </c>
      <c r="K214" s="633">
        <v>4.0</v>
      </c>
      <c r="L214" s="633" t="s">
        <v>51</v>
      </c>
    </row>
    <row r="215">
      <c r="A215" s="633" t="s">
        <v>12143</v>
      </c>
      <c r="B215" s="634">
        <v>0.5644212962962963</v>
      </c>
      <c r="C215" s="633" t="s">
        <v>7328</v>
      </c>
      <c r="D215" s="635"/>
      <c r="E215" s="639">
        <v>923705308080</v>
      </c>
      <c r="F215" s="633" t="s">
        <v>6875</v>
      </c>
      <c r="G215" s="633" t="s">
        <v>12225</v>
      </c>
      <c r="H215" s="633" t="s">
        <v>12226</v>
      </c>
      <c r="I215" s="633" t="s">
        <v>12227</v>
      </c>
      <c r="J215" s="633" t="s">
        <v>12228</v>
      </c>
      <c r="K215" s="633">
        <v>4.0</v>
      </c>
      <c r="L215" s="635"/>
    </row>
    <row r="216">
      <c r="A216" s="633" t="s">
        <v>12143</v>
      </c>
      <c r="B216" s="634">
        <v>0.5780092592592593</v>
      </c>
      <c r="C216" s="633" t="s">
        <v>7333</v>
      </c>
      <c r="D216" s="635"/>
      <c r="E216" s="639">
        <v>923431227241</v>
      </c>
      <c r="F216" s="633" t="s">
        <v>6875</v>
      </c>
      <c r="G216" s="635"/>
      <c r="H216" s="633" t="s">
        <v>12229</v>
      </c>
      <c r="I216" s="633" t="s">
        <v>12230</v>
      </c>
      <c r="J216" s="635"/>
      <c r="K216" s="633">
        <v>2.0</v>
      </c>
      <c r="L216" s="635"/>
    </row>
    <row r="217">
      <c r="A217" s="633" t="s">
        <v>12143</v>
      </c>
      <c r="B217" s="634">
        <v>0.58125</v>
      </c>
      <c r="C217" s="633" t="s">
        <v>12231</v>
      </c>
      <c r="D217" s="635"/>
      <c r="E217" s="639">
        <v>923039126488</v>
      </c>
      <c r="F217" s="633" t="s">
        <v>6875</v>
      </c>
      <c r="G217" s="633" t="s">
        <v>12207</v>
      </c>
      <c r="H217" s="633" t="s">
        <v>12232</v>
      </c>
      <c r="I217" s="633" t="s">
        <v>12233</v>
      </c>
      <c r="J217" s="633" t="s">
        <v>12234</v>
      </c>
      <c r="K217" s="633">
        <v>4.0</v>
      </c>
      <c r="L217" s="633" t="s">
        <v>12235</v>
      </c>
    </row>
    <row r="218">
      <c r="A218" s="633" t="s">
        <v>12143</v>
      </c>
      <c r="B218" s="634">
        <v>0.6033912037037037</v>
      </c>
      <c r="C218" s="633" t="s">
        <v>12236</v>
      </c>
      <c r="D218" s="635"/>
      <c r="E218" s="639">
        <v>923003144212</v>
      </c>
      <c r="F218" s="633" t="s">
        <v>6875</v>
      </c>
      <c r="G218" s="635"/>
      <c r="H218" s="635"/>
      <c r="I218" s="635"/>
      <c r="J218" s="633" t="s">
        <v>12237</v>
      </c>
      <c r="K218" s="633">
        <v>1.0</v>
      </c>
      <c r="L218" s="633" t="s">
        <v>51</v>
      </c>
    </row>
    <row r="219">
      <c r="A219" s="633" t="s">
        <v>12143</v>
      </c>
      <c r="B219" s="634">
        <v>0.6560648148148148</v>
      </c>
      <c r="C219" s="633" t="s">
        <v>12238</v>
      </c>
      <c r="D219" s="635"/>
      <c r="E219" s="639">
        <v>923499545987</v>
      </c>
      <c r="F219" s="633" t="s">
        <v>6875</v>
      </c>
      <c r="G219" s="633" t="s">
        <v>12239</v>
      </c>
      <c r="H219" s="633" t="s">
        <v>12240</v>
      </c>
      <c r="I219" s="635"/>
      <c r="J219" s="633" t="s">
        <v>12241</v>
      </c>
      <c r="K219" s="633">
        <v>3.0</v>
      </c>
      <c r="L219" s="633" t="s">
        <v>51</v>
      </c>
    </row>
    <row r="220">
      <c r="A220" s="633" t="s">
        <v>12143</v>
      </c>
      <c r="B220" s="634">
        <v>0.6561805555555555</v>
      </c>
      <c r="C220" s="633" t="s">
        <v>7336</v>
      </c>
      <c r="D220" s="635"/>
      <c r="E220" s="639">
        <v>923260105899</v>
      </c>
      <c r="F220" s="633" t="s">
        <v>6939</v>
      </c>
      <c r="G220" s="633" t="s">
        <v>12242</v>
      </c>
      <c r="H220" s="633" t="s">
        <v>12243</v>
      </c>
      <c r="I220" s="633" t="s">
        <v>12244</v>
      </c>
      <c r="J220" s="633" t="s">
        <v>12245</v>
      </c>
      <c r="K220" s="633">
        <v>4.0</v>
      </c>
      <c r="L220" s="633" t="s">
        <v>11388</v>
      </c>
    </row>
    <row r="221">
      <c r="A221" s="633" t="s">
        <v>12143</v>
      </c>
      <c r="B221" s="634">
        <v>0.6563541666666667</v>
      </c>
      <c r="C221" s="633" t="s">
        <v>4516</v>
      </c>
      <c r="D221" s="635"/>
      <c r="E221" s="639">
        <v>923030660676</v>
      </c>
      <c r="F221" s="633" t="s">
        <v>6875</v>
      </c>
      <c r="G221" s="633" t="s">
        <v>12242</v>
      </c>
      <c r="H221" s="633" t="s">
        <v>12246</v>
      </c>
      <c r="I221" s="633" t="s">
        <v>12247</v>
      </c>
      <c r="J221" s="633" t="s">
        <v>12248</v>
      </c>
      <c r="K221" s="633">
        <v>4.0</v>
      </c>
      <c r="L221" s="633" t="s">
        <v>51</v>
      </c>
    </row>
    <row r="222">
      <c r="A222" s="633" t="s">
        <v>12143</v>
      </c>
      <c r="B222" s="634">
        <v>0.6564930555555556</v>
      </c>
      <c r="C222" s="633" t="s">
        <v>7340</v>
      </c>
      <c r="D222" s="635"/>
      <c r="E222" s="639">
        <v>923166462066</v>
      </c>
      <c r="F222" s="633" t="s">
        <v>6939</v>
      </c>
      <c r="G222" s="633" t="s">
        <v>12249</v>
      </c>
      <c r="H222" s="633" t="s">
        <v>12250</v>
      </c>
      <c r="I222" s="633" t="s">
        <v>12251</v>
      </c>
      <c r="J222" s="633" t="s">
        <v>12252</v>
      </c>
      <c r="K222" s="633">
        <v>4.0</v>
      </c>
      <c r="L222" s="633" t="s">
        <v>11388</v>
      </c>
    </row>
    <row r="223">
      <c r="A223" s="633" t="s">
        <v>12143</v>
      </c>
      <c r="B223" s="634">
        <v>0.7062037037037037</v>
      </c>
      <c r="C223" s="633" t="s">
        <v>7342</v>
      </c>
      <c r="D223" s="635"/>
      <c r="E223" s="639">
        <v>923339997459</v>
      </c>
      <c r="F223" s="633" t="s">
        <v>6875</v>
      </c>
      <c r="G223" s="635"/>
      <c r="H223" s="633" t="s">
        <v>12253</v>
      </c>
      <c r="I223" s="635"/>
      <c r="J223" s="633" t="s">
        <v>12254</v>
      </c>
      <c r="K223" s="633">
        <v>2.0</v>
      </c>
      <c r="L223" s="633" t="s">
        <v>372</v>
      </c>
    </row>
    <row r="224">
      <c r="A224" s="633" t="s">
        <v>12143</v>
      </c>
      <c r="B224" s="634">
        <v>0.7226736111111111</v>
      </c>
      <c r="C224" s="633" t="s">
        <v>7347</v>
      </c>
      <c r="D224" s="635"/>
      <c r="E224" s="639">
        <v>923224382127</v>
      </c>
      <c r="F224" s="633" t="s">
        <v>6939</v>
      </c>
      <c r="G224" s="633" t="s">
        <v>12255</v>
      </c>
      <c r="H224" s="633" t="s">
        <v>12256</v>
      </c>
      <c r="I224" s="633" t="s">
        <v>12257</v>
      </c>
      <c r="J224" s="633" t="s">
        <v>12258</v>
      </c>
      <c r="K224" s="633">
        <v>4.0</v>
      </c>
      <c r="L224" s="633" t="s">
        <v>11388</v>
      </c>
    </row>
    <row r="225">
      <c r="A225" s="633" t="s">
        <v>12143</v>
      </c>
      <c r="B225" s="634">
        <v>0.73375</v>
      </c>
      <c r="C225" s="633" t="s">
        <v>12259</v>
      </c>
      <c r="D225" s="635"/>
      <c r="E225" s="639">
        <v>923142981237</v>
      </c>
      <c r="F225" s="633" t="s">
        <v>6875</v>
      </c>
      <c r="G225" s="633" t="s">
        <v>12260</v>
      </c>
      <c r="H225" s="633" t="s">
        <v>12261</v>
      </c>
      <c r="I225" s="635"/>
      <c r="J225" s="635"/>
      <c r="K225" s="633">
        <v>2.0</v>
      </c>
      <c r="L225" s="633" t="s">
        <v>51</v>
      </c>
    </row>
    <row r="226">
      <c r="A226" s="633" t="s">
        <v>12262</v>
      </c>
      <c r="B226" s="634">
        <v>0.4247800925925926</v>
      </c>
      <c r="C226" s="633" t="s">
        <v>12263</v>
      </c>
      <c r="D226" s="635"/>
      <c r="E226" s="639">
        <v>923426490315</v>
      </c>
      <c r="F226" s="633" t="s">
        <v>6875</v>
      </c>
      <c r="G226" s="633" t="s">
        <v>12264</v>
      </c>
      <c r="H226" s="633" t="s">
        <v>12265</v>
      </c>
      <c r="I226" s="635"/>
      <c r="J226" s="635"/>
      <c r="K226" s="633">
        <v>2.0</v>
      </c>
      <c r="L226" s="635"/>
    </row>
    <row r="227">
      <c r="A227" s="633" t="s">
        <v>12262</v>
      </c>
      <c r="B227" s="634">
        <v>0.42494212962962963</v>
      </c>
      <c r="C227" s="633" t="s">
        <v>7351</v>
      </c>
      <c r="D227" s="635"/>
      <c r="E227" s="639">
        <v>923014092871</v>
      </c>
      <c r="F227" s="633" t="s">
        <v>6875</v>
      </c>
      <c r="G227" s="633" t="s">
        <v>12266</v>
      </c>
      <c r="H227" s="633" t="s">
        <v>12267</v>
      </c>
      <c r="I227" s="635"/>
      <c r="J227" s="635"/>
      <c r="K227" s="633">
        <v>2.0</v>
      </c>
      <c r="L227" s="633" t="s">
        <v>152</v>
      </c>
    </row>
    <row r="228">
      <c r="A228" s="633" t="s">
        <v>12262</v>
      </c>
      <c r="B228" s="634">
        <v>0.4250462962962963</v>
      </c>
      <c r="C228" s="633" t="s">
        <v>7356</v>
      </c>
      <c r="D228" s="635"/>
      <c r="E228" s="639">
        <v>923227188371</v>
      </c>
      <c r="F228" s="633" t="s">
        <v>6939</v>
      </c>
      <c r="G228" s="633" t="s">
        <v>12255</v>
      </c>
      <c r="H228" s="633" t="s">
        <v>12268</v>
      </c>
      <c r="I228" s="633" t="s">
        <v>12269</v>
      </c>
      <c r="J228" s="633" t="s">
        <v>12270</v>
      </c>
      <c r="K228" s="633">
        <v>4.0</v>
      </c>
      <c r="L228" s="633" t="s">
        <v>11388</v>
      </c>
    </row>
    <row r="229">
      <c r="A229" s="633" t="s">
        <v>12262</v>
      </c>
      <c r="B229" s="634">
        <v>0.4252546296296296</v>
      </c>
      <c r="C229" s="633" t="s">
        <v>12271</v>
      </c>
      <c r="D229" s="635"/>
      <c r="E229" s="639">
        <v>923322923240</v>
      </c>
      <c r="F229" s="633" t="s">
        <v>6875</v>
      </c>
      <c r="G229" s="633" t="s">
        <v>12272</v>
      </c>
      <c r="H229" s="633" t="s">
        <v>12273</v>
      </c>
      <c r="I229" s="635"/>
      <c r="J229" s="633" t="s">
        <v>12274</v>
      </c>
      <c r="K229" s="633">
        <v>3.0</v>
      </c>
      <c r="L229" s="633" t="s">
        <v>685</v>
      </c>
    </row>
    <row r="230">
      <c r="A230" s="633" t="s">
        <v>12262</v>
      </c>
      <c r="B230" s="634">
        <v>0.4254398148148148</v>
      </c>
      <c r="C230" s="633" t="s">
        <v>12275</v>
      </c>
      <c r="D230" s="635"/>
      <c r="E230" s="639">
        <v>923199489221</v>
      </c>
      <c r="F230" s="633" t="s">
        <v>6875</v>
      </c>
      <c r="G230" s="635"/>
      <c r="H230" s="633" t="s">
        <v>12276</v>
      </c>
      <c r="I230" s="635"/>
      <c r="J230" s="635"/>
      <c r="K230" s="633">
        <v>1.0</v>
      </c>
      <c r="L230" s="633" t="s">
        <v>372</v>
      </c>
    </row>
    <row r="231">
      <c r="A231" s="633" t="s">
        <v>12262</v>
      </c>
      <c r="B231" s="634">
        <v>0.4255787037037037</v>
      </c>
      <c r="C231" s="633" t="s">
        <v>12277</v>
      </c>
      <c r="D231" s="633" t="s">
        <v>7725</v>
      </c>
      <c r="E231" s="641" t="s">
        <v>12278</v>
      </c>
      <c r="F231" s="633" t="s">
        <v>6939</v>
      </c>
      <c r="G231" s="633" t="s">
        <v>12279</v>
      </c>
      <c r="H231" s="633" t="s">
        <v>12280</v>
      </c>
      <c r="I231" s="633" t="s">
        <v>12281</v>
      </c>
      <c r="J231" s="633" t="s">
        <v>12282</v>
      </c>
      <c r="K231" s="633">
        <v>4.0</v>
      </c>
      <c r="L231" s="633" t="s">
        <v>11388</v>
      </c>
    </row>
    <row r="232">
      <c r="A232" s="633" t="s">
        <v>12262</v>
      </c>
      <c r="B232" s="634">
        <v>0.4257060185185185</v>
      </c>
      <c r="C232" s="633" t="s">
        <v>201</v>
      </c>
      <c r="D232" s="635"/>
      <c r="E232" s="639">
        <v>923353522923</v>
      </c>
      <c r="F232" s="633" t="s">
        <v>6875</v>
      </c>
      <c r="G232" s="633" t="s">
        <v>12255</v>
      </c>
      <c r="H232" s="633" t="s">
        <v>12283</v>
      </c>
      <c r="I232" s="633" t="s">
        <v>12284</v>
      </c>
      <c r="J232" s="633" t="s">
        <v>12285</v>
      </c>
      <c r="K232" s="633">
        <v>4.0</v>
      </c>
      <c r="L232" s="633" t="s">
        <v>372</v>
      </c>
    </row>
    <row r="233">
      <c r="A233" s="633" t="s">
        <v>12262</v>
      </c>
      <c r="B233" s="634">
        <v>0.4258564814814815</v>
      </c>
      <c r="C233" s="633" t="s">
        <v>4934</v>
      </c>
      <c r="D233" s="635"/>
      <c r="E233" s="639">
        <v>923701441742</v>
      </c>
      <c r="F233" s="633" t="s">
        <v>6875</v>
      </c>
      <c r="G233" s="635"/>
      <c r="H233" s="633" t="s">
        <v>12286</v>
      </c>
      <c r="I233" s="635"/>
      <c r="J233" s="635"/>
      <c r="K233" s="633">
        <v>1.0</v>
      </c>
      <c r="L233" s="633" t="s">
        <v>372</v>
      </c>
    </row>
    <row r="234">
      <c r="A234" s="633" t="s">
        <v>12262</v>
      </c>
      <c r="B234" s="634">
        <v>0.4262152777777778</v>
      </c>
      <c r="C234" s="633" t="s">
        <v>12287</v>
      </c>
      <c r="D234" s="633" t="s">
        <v>6886</v>
      </c>
      <c r="E234" s="641" t="s">
        <v>12288</v>
      </c>
      <c r="F234" s="633" t="s">
        <v>6888</v>
      </c>
      <c r="G234" s="635"/>
      <c r="H234" s="633" t="s">
        <v>12289</v>
      </c>
      <c r="I234" s="633" t="s">
        <v>12290</v>
      </c>
      <c r="J234" s="635"/>
      <c r="K234" s="633">
        <v>2.0</v>
      </c>
      <c r="L234" s="635"/>
    </row>
    <row r="235">
      <c r="A235" s="633" t="s">
        <v>12262</v>
      </c>
      <c r="B235" s="634">
        <v>0.4263194444444444</v>
      </c>
      <c r="C235" s="633" t="s">
        <v>11226</v>
      </c>
      <c r="D235" s="635"/>
      <c r="E235" s="639">
        <v>923334659565</v>
      </c>
      <c r="F235" s="633" t="s">
        <v>6939</v>
      </c>
      <c r="G235" s="633" t="s">
        <v>12255</v>
      </c>
      <c r="H235" s="633" t="s">
        <v>12291</v>
      </c>
      <c r="I235" s="633" t="s">
        <v>12292</v>
      </c>
      <c r="J235" s="633" t="s">
        <v>12293</v>
      </c>
      <c r="K235" s="633">
        <v>4.0</v>
      </c>
      <c r="L235" s="633" t="s">
        <v>11388</v>
      </c>
    </row>
    <row r="236">
      <c r="A236" s="633" t="s">
        <v>12262</v>
      </c>
      <c r="B236" s="634">
        <v>0.42644675925925923</v>
      </c>
      <c r="C236" s="633" t="s">
        <v>7375</v>
      </c>
      <c r="D236" s="635"/>
      <c r="E236" s="639">
        <v>923463208885</v>
      </c>
      <c r="F236" s="633" t="s">
        <v>6939</v>
      </c>
      <c r="G236" s="633" t="s">
        <v>12255</v>
      </c>
      <c r="H236" s="633" t="s">
        <v>12294</v>
      </c>
      <c r="I236" s="633" t="s">
        <v>12295</v>
      </c>
      <c r="J236" s="633" t="s">
        <v>12296</v>
      </c>
      <c r="K236" s="633">
        <v>4.0</v>
      </c>
      <c r="L236" s="633" t="s">
        <v>11388</v>
      </c>
    </row>
    <row r="237">
      <c r="A237" s="633" t="s">
        <v>12262</v>
      </c>
      <c r="B237" s="634">
        <v>0.42663194444444447</v>
      </c>
      <c r="C237" s="633" t="s">
        <v>12297</v>
      </c>
      <c r="D237" s="635"/>
      <c r="E237" s="639">
        <v>923256682939</v>
      </c>
      <c r="F237" s="633" t="s">
        <v>6875</v>
      </c>
      <c r="G237" s="635"/>
      <c r="H237" s="633" t="s">
        <v>12298</v>
      </c>
      <c r="I237" s="635"/>
      <c r="J237" s="635"/>
      <c r="K237" s="633">
        <v>1.0</v>
      </c>
      <c r="L237" s="633" t="s">
        <v>372</v>
      </c>
    </row>
    <row r="238">
      <c r="A238" s="633" t="s">
        <v>12262</v>
      </c>
      <c r="B238" s="634">
        <v>0.42679398148148145</v>
      </c>
      <c r="C238" s="633" t="s">
        <v>12299</v>
      </c>
      <c r="D238" s="635"/>
      <c r="E238" s="639">
        <v>923346622203</v>
      </c>
      <c r="F238" s="633" t="s">
        <v>6875</v>
      </c>
      <c r="G238" s="635"/>
      <c r="H238" s="633" t="s">
        <v>12300</v>
      </c>
      <c r="I238" s="635"/>
      <c r="J238" s="635"/>
      <c r="K238" s="633">
        <v>1.0</v>
      </c>
      <c r="L238" s="635"/>
    </row>
    <row r="239">
      <c r="A239" s="633" t="s">
        <v>12262</v>
      </c>
      <c r="B239" s="634">
        <v>0.42694444444444446</v>
      </c>
      <c r="C239" s="633" t="s">
        <v>12301</v>
      </c>
      <c r="D239" s="635"/>
      <c r="E239" s="639">
        <v>923362177774</v>
      </c>
      <c r="F239" s="633" t="s">
        <v>6875</v>
      </c>
      <c r="G239" s="635"/>
      <c r="H239" s="633" t="s">
        <v>12302</v>
      </c>
      <c r="I239" s="635"/>
      <c r="J239" s="633" t="s">
        <v>12303</v>
      </c>
      <c r="K239" s="633">
        <v>2.0</v>
      </c>
      <c r="L239" s="635"/>
    </row>
    <row r="240">
      <c r="A240" s="633" t="s">
        <v>12262</v>
      </c>
      <c r="B240" s="634">
        <v>0.4273032407407407</v>
      </c>
      <c r="C240" s="633" t="s">
        <v>12304</v>
      </c>
      <c r="D240" s="635"/>
      <c r="E240" s="639">
        <v>923338206675</v>
      </c>
      <c r="F240" s="633" t="s">
        <v>6875</v>
      </c>
      <c r="G240" s="635"/>
      <c r="H240" s="633" t="s">
        <v>12305</v>
      </c>
      <c r="I240" s="635"/>
      <c r="J240" s="635"/>
      <c r="K240" s="633">
        <v>1.0</v>
      </c>
      <c r="L240" s="633" t="s">
        <v>372</v>
      </c>
    </row>
    <row r="241">
      <c r="A241" s="633" t="s">
        <v>12262</v>
      </c>
      <c r="B241" s="634">
        <v>0.4343402777777778</v>
      </c>
      <c r="C241" s="633" t="s">
        <v>12306</v>
      </c>
      <c r="D241" s="635"/>
      <c r="E241" s="639">
        <v>923343546236</v>
      </c>
      <c r="F241" s="633" t="s">
        <v>6875</v>
      </c>
      <c r="G241" s="633" t="s">
        <v>12255</v>
      </c>
      <c r="H241" s="633" t="s">
        <v>12307</v>
      </c>
      <c r="I241" s="633" t="s">
        <v>12308</v>
      </c>
      <c r="J241" s="633" t="s">
        <v>12309</v>
      </c>
      <c r="K241" s="633">
        <v>4.0</v>
      </c>
      <c r="L241" s="633" t="s">
        <v>51</v>
      </c>
    </row>
    <row r="242">
      <c r="A242" s="633" t="s">
        <v>12262</v>
      </c>
      <c r="B242" s="634">
        <v>0.4536921296296296</v>
      </c>
      <c r="C242" s="633" t="s">
        <v>12310</v>
      </c>
      <c r="D242" s="635"/>
      <c r="E242" s="639">
        <v>923004555179</v>
      </c>
      <c r="F242" s="633" t="s">
        <v>6939</v>
      </c>
      <c r="G242" s="635"/>
      <c r="H242" s="633" t="s">
        <v>12311</v>
      </c>
      <c r="I242" s="633" t="s">
        <v>12312</v>
      </c>
      <c r="J242" s="633" t="s">
        <v>12313</v>
      </c>
      <c r="K242" s="633">
        <v>3.0</v>
      </c>
      <c r="L242" s="633" t="s">
        <v>11388</v>
      </c>
    </row>
    <row r="243">
      <c r="A243" s="633" t="s">
        <v>12262</v>
      </c>
      <c r="B243" s="634">
        <v>0.4538888888888889</v>
      </c>
      <c r="C243" s="633" t="s">
        <v>12314</v>
      </c>
      <c r="D243" s="635"/>
      <c r="E243" s="639">
        <v>923432747871</v>
      </c>
      <c r="F243" s="633" t="s">
        <v>6875</v>
      </c>
      <c r="G243" s="635"/>
      <c r="H243" s="633" t="s">
        <v>12315</v>
      </c>
      <c r="I243" s="633" t="s">
        <v>12316</v>
      </c>
      <c r="J243" s="633" t="s">
        <v>12317</v>
      </c>
      <c r="K243" s="633">
        <v>3.0</v>
      </c>
      <c r="L243" s="633" t="s">
        <v>51</v>
      </c>
    </row>
    <row r="244">
      <c r="A244" s="633" t="s">
        <v>12262</v>
      </c>
      <c r="B244" s="634">
        <v>0.5198958333333333</v>
      </c>
      <c r="C244" s="633" t="s">
        <v>12318</v>
      </c>
      <c r="D244" s="635"/>
      <c r="E244" s="639">
        <v>923345382989</v>
      </c>
      <c r="F244" s="633" t="s">
        <v>6939</v>
      </c>
      <c r="G244" s="633" t="s">
        <v>12255</v>
      </c>
      <c r="H244" s="633" t="s">
        <v>12319</v>
      </c>
      <c r="I244" s="633" t="s">
        <v>12320</v>
      </c>
      <c r="J244" s="633" t="s">
        <v>12321</v>
      </c>
      <c r="K244" s="633">
        <v>4.0</v>
      </c>
      <c r="L244" s="633" t="s">
        <v>11388</v>
      </c>
    </row>
    <row r="245">
      <c r="A245" s="633" t="s">
        <v>12262</v>
      </c>
      <c r="B245" s="634">
        <v>0.5203240740740741</v>
      </c>
      <c r="C245" s="633" t="s">
        <v>12322</v>
      </c>
      <c r="D245" s="635"/>
      <c r="E245" s="639">
        <v>923013547499</v>
      </c>
      <c r="F245" s="633" t="s">
        <v>6875</v>
      </c>
      <c r="G245" s="635"/>
      <c r="H245" s="633" t="s">
        <v>12323</v>
      </c>
      <c r="I245" s="633" t="s">
        <v>12324</v>
      </c>
      <c r="J245" s="633" t="s">
        <v>12325</v>
      </c>
      <c r="K245" s="633">
        <v>3.0</v>
      </c>
      <c r="L245" s="633" t="s">
        <v>12326</v>
      </c>
    </row>
    <row r="246">
      <c r="A246" s="633" t="s">
        <v>12262</v>
      </c>
      <c r="B246" s="634">
        <v>0.5208101851851852</v>
      </c>
      <c r="C246" s="633" t="s">
        <v>12327</v>
      </c>
      <c r="D246" s="635"/>
      <c r="E246" s="639">
        <v>923004758456</v>
      </c>
      <c r="F246" s="633" t="s">
        <v>6939</v>
      </c>
      <c r="G246" s="633" t="s">
        <v>12255</v>
      </c>
      <c r="H246" s="633" t="s">
        <v>12328</v>
      </c>
      <c r="I246" s="633" t="s">
        <v>12329</v>
      </c>
      <c r="J246" s="633" t="s">
        <v>12330</v>
      </c>
      <c r="K246" s="633">
        <v>4.0</v>
      </c>
      <c r="L246" s="633" t="s">
        <v>11388</v>
      </c>
    </row>
    <row r="247">
      <c r="A247" s="633" t="s">
        <v>12262</v>
      </c>
      <c r="B247" s="634">
        <v>0.703136574074074</v>
      </c>
      <c r="C247" s="633" t="s">
        <v>7386</v>
      </c>
      <c r="D247" s="635"/>
      <c r="E247" s="639">
        <f>923254270927</f>
        <v>923254270927</v>
      </c>
      <c r="F247" s="633" t="s">
        <v>6875</v>
      </c>
      <c r="G247" s="635"/>
      <c r="H247" s="635"/>
      <c r="I247" s="635"/>
      <c r="J247" s="633" t="s">
        <v>12331</v>
      </c>
      <c r="K247" s="633">
        <v>1.0</v>
      </c>
      <c r="L247" s="633" t="s">
        <v>12332</v>
      </c>
    </row>
    <row r="248">
      <c r="A248" s="633" t="s">
        <v>12262</v>
      </c>
      <c r="B248" s="634">
        <v>0.7054050925925925</v>
      </c>
      <c r="C248" s="633" t="s">
        <v>11259</v>
      </c>
      <c r="D248" s="635"/>
      <c r="E248" s="639">
        <v>923138662822</v>
      </c>
      <c r="F248" s="633" t="s">
        <v>6875</v>
      </c>
      <c r="G248" s="633" t="s">
        <v>12333</v>
      </c>
      <c r="H248" s="635"/>
      <c r="I248" s="635"/>
      <c r="J248" s="633" t="s">
        <v>12334</v>
      </c>
      <c r="K248" s="633">
        <v>2.0</v>
      </c>
      <c r="L248" s="633" t="s">
        <v>372</v>
      </c>
    </row>
    <row r="249">
      <c r="A249" s="633" t="s">
        <v>12262</v>
      </c>
      <c r="B249" s="634">
        <v>0.7056018518518519</v>
      </c>
      <c r="C249" s="633" t="s">
        <v>11267</v>
      </c>
      <c r="D249" s="635"/>
      <c r="E249" s="639">
        <v>923427433624</v>
      </c>
      <c r="F249" s="633" t="s">
        <v>6875</v>
      </c>
      <c r="G249" s="635"/>
      <c r="H249" s="635"/>
      <c r="I249" s="635"/>
      <c r="J249" s="633" t="s">
        <v>12335</v>
      </c>
      <c r="K249" s="633">
        <v>1.0</v>
      </c>
      <c r="L249" s="633" t="s">
        <v>372</v>
      </c>
    </row>
    <row r="250">
      <c r="A250" s="633" t="s">
        <v>12262</v>
      </c>
      <c r="B250" s="634">
        <v>0.7148148148148148</v>
      </c>
      <c r="C250" s="284" t="s">
        <v>12336</v>
      </c>
      <c r="D250" s="635"/>
      <c r="E250" s="639">
        <f>9203362210677</f>
        <v>9203362210677</v>
      </c>
      <c r="F250" s="633" t="s">
        <v>6939</v>
      </c>
      <c r="G250" s="635"/>
      <c r="H250" s="633" t="s">
        <v>12337</v>
      </c>
      <c r="I250" s="633" t="s">
        <v>12338</v>
      </c>
      <c r="J250" s="633" t="s">
        <v>12339</v>
      </c>
      <c r="K250" s="633">
        <v>3.0</v>
      </c>
      <c r="L250" s="633" t="s">
        <v>11388</v>
      </c>
    </row>
    <row r="251">
      <c r="A251" s="633" t="s">
        <v>12340</v>
      </c>
      <c r="B251" s="634">
        <v>0.42681712962962964</v>
      </c>
      <c r="C251" s="633" t="s">
        <v>12341</v>
      </c>
      <c r="D251" s="633" t="s">
        <v>6886</v>
      </c>
      <c r="E251" s="641" t="s">
        <v>12342</v>
      </c>
      <c r="F251" s="633" t="s">
        <v>6875</v>
      </c>
      <c r="G251" s="635"/>
      <c r="H251" s="633" t="s">
        <v>12343</v>
      </c>
      <c r="I251" s="633" t="s">
        <v>12344</v>
      </c>
      <c r="J251" s="633" t="s">
        <v>12345</v>
      </c>
      <c r="K251" s="633">
        <v>3.0</v>
      </c>
      <c r="L251" s="633" t="s">
        <v>12346</v>
      </c>
    </row>
    <row r="252">
      <c r="A252" s="633" t="s">
        <v>12340</v>
      </c>
      <c r="B252" s="634">
        <v>0.42712962962962964</v>
      </c>
      <c r="C252" s="633" t="s">
        <v>12347</v>
      </c>
      <c r="D252" s="635"/>
      <c r="E252" s="639">
        <v>923228052618</v>
      </c>
      <c r="F252" s="633" t="s">
        <v>6875</v>
      </c>
      <c r="G252" s="635"/>
      <c r="H252" s="633" t="s">
        <v>12348</v>
      </c>
      <c r="I252" s="633" t="s">
        <v>12349</v>
      </c>
      <c r="J252" s="635"/>
      <c r="K252" s="633">
        <v>2.0</v>
      </c>
      <c r="L252" s="633" t="s">
        <v>372</v>
      </c>
    </row>
    <row r="253">
      <c r="A253" s="633" t="s">
        <v>12340</v>
      </c>
      <c r="B253" s="634">
        <v>0.4273726851851852</v>
      </c>
      <c r="C253" s="633" t="s">
        <v>11288</v>
      </c>
      <c r="D253" s="635"/>
      <c r="E253" s="639">
        <v>923003603200</v>
      </c>
      <c r="F253" s="633" t="s">
        <v>6875</v>
      </c>
      <c r="G253" s="635"/>
      <c r="H253" s="633" t="s">
        <v>12350</v>
      </c>
      <c r="I253" s="635"/>
      <c r="J253" s="633" t="s">
        <v>12351</v>
      </c>
      <c r="K253" s="633">
        <v>2.0</v>
      </c>
      <c r="L253" s="633" t="s">
        <v>12352</v>
      </c>
    </row>
    <row r="254">
      <c r="A254" s="633" t="s">
        <v>12340</v>
      </c>
      <c r="B254" s="634">
        <v>0.42755787037037035</v>
      </c>
      <c r="C254" s="633" t="s">
        <v>11291</v>
      </c>
      <c r="D254" s="635"/>
      <c r="E254" s="639">
        <v>923053281644</v>
      </c>
      <c r="F254" s="633" t="s">
        <v>6875</v>
      </c>
      <c r="G254" s="633" t="s">
        <v>12255</v>
      </c>
      <c r="H254" s="633" t="s">
        <v>12353</v>
      </c>
      <c r="I254" s="633" t="s">
        <v>12354</v>
      </c>
      <c r="J254" s="633" t="s">
        <v>12355</v>
      </c>
      <c r="K254" s="633">
        <v>4.0</v>
      </c>
      <c r="L254" s="633" t="s">
        <v>372</v>
      </c>
    </row>
    <row r="255">
      <c r="A255" s="633" t="s">
        <v>12340</v>
      </c>
      <c r="B255" s="634">
        <v>0.4279398148148148</v>
      </c>
      <c r="C255" s="633" t="s">
        <v>7401</v>
      </c>
      <c r="D255" s="635"/>
      <c r="E255" s="639">
        <v>923283812593</v>
      </c>
      <c r="F255" s="633" t="s">
        <v>6875</v>
      </c>
      <c r="G255" s="635"/>
      <c r="H255" s="633" t="s">
        <v>12356</v>
      </c>
      <c r="I255" s="635"/>
      <c r="J255" s="633" t="s">
        <v>12357</v>
      </c>
      <c r="K255" s="633">
        <v>2.0</v>
      </c>
      <c r="L255" s="633" t="s">
        <v>372</v>
      </c>
    </row>
    <row r="256">
      <c r="A256" s="633" t="s">
        <v>12340</v>
      </c>
      <c r="B256" s="634">
        <v>0.4280555555555556</v>
      </c>
      <c r="C256" s="633" t="s">
        <v>11126</v>
      </c>
      <c r="D256" s="633" t="s">
        <v>6886</v>
      </c>
      <c r="E256" s="641" t="s">
        <v>12358</v>
      </c>
      <c r="F256" s="633" t="s">
        <v>7291</v>
      </c>
      <c r="G256" s="633" t="s">
        <v>12255</v>
      </c>
      <c r="H256" s="633" t="s">
        <v>12359</v>
      </c>
      <c r="I256" s="633" t="s">
        <v>12360</v>
      </c>
      <c r="J256" s="633" t="s">
        <v>12361</v>
      </c>
      <c r="K256" s="633">
        <v>4.0</v>
      </c>
      <c r="L256" s="633" t="s">
        <v>12362</v>
      </c>
    </row>
    <row r="257">
      <c r="A257" s="633" t="s">
        <v>12340</v>
      </c>
      <c r="B257" s="634">
        <v>0.4281712962962963</v>
      </c>
      <c r="C257" s="633" t="s">
        <v>7407</v>
      </c>
      <c r="D257" s="635"/>
      <c r="E257" s="639">
        <v>923480803763</v>
      </c>
      <c r="F257" s="633" t="s">
        <v>6875</v>
      </c>
      <c r="G257" s="635"/>
      <c r="H257" s="633" t="s">
        <v>12363</v>
      </c>
      <c r="I257" s="635"/>
      <c r="J257" s="635"/>
      <c r="K257" s="633">
        <v>1.0</v>
      </c>
      <c r="L257" s="633" t="s">
        <v>372</v>
      </c>
    </row>
    <row r="258">
      <c r="A258" s="633" t="s">
        <v>12340</v>
      </c>
      <c r="B258" s="634">
        <v>0.428275462962963</v>
      </c>
      <c r="C258" s="633" t="s">
        <v>7412</v>
      </c>
      <c r="D258" s="635"/>
      <c r="E258" s="639">
        <v>923488538096</v>
      </c>
      <c r="F258" s="633" t="s">
        <v>6875</v>
      </c>
      <c r="G258" s="635"/>
      <c r="H258" s="633" t="s">
        <v>12364</v>
      </c>
      <c r="I258" s="635"/>
      <c r="J258" s="633" t="s">
        <v>12365</v>
      </c>
      <c r="K258" s="633">
        <v>2.0</v>
      </c>
      <c r="L258" s="633" t="s">
        <v>372</v>
      </c>
    </row>
    <row r="259">
      <c r="A259" s="633" t="s">
        <v>12340</v>
      </c>
      <c r="B259" s="634">
        <v>0.42844907407407407</v>
      </c>
      <c r="C259" s="633" t="s">
        <v>7417</v>
      </c>
      <c r="D259" s="635"/>
      <c r="E259" s="639">
        <v>923154227280</v>
      </c>
      <c r="F259" s="633" t="s">
        <v>6875</v>
      </c>
      <c r="G259" s="635"/>
      <c r="H259" s="633" t="s">
        <v>12366</v>
      </c>
      <c r="I259" s="633" t="s">
        <v>12367</v>
      </c>
      <c r="J259" s="633" t="s">
        <v>12368</v>
      </c>
      <c r="K259" s="633">
        <v>3.0</v>
      </c>
      <c r="L259" s="633" t="s">
        <v>51</v>
      </c>
    </row>
    <row r="260">
      <c r="A260" s="633" t="s">
        <v>12340</v>
      </c>
      <c r="B260" s="634">
        <v>0.428587962962963</v>
      </c>
      <c r="C260" s="633" t="s">
        <v>11327</v>
      </c>
      <c r="D260" s="635"/>
      <c r="E260" s="639">
        <v>923257352830</v>
      </c>
      <c r="F260" s="633" t="s">
        <v>6939</v>
      </c>
      <c r="G260" s="633" t="s">
        <v>12255</v>
      </c>
      <c r="H260" s="633" t="s">
        <v>12369</v>
      </c>
      <c r="I260" s="633" t="s">
        <v>12370</v>
      </c>
      <c r="J260" s="633" t="s">
        <v>12371</v>
      </c>
      <c r="K260" s="633">
        <v>4.0</v>
      </c>
      <c r="L260" s="633" t="s">
        <v>11388</v>
      </c>
    </row>
    <row r="261">
      <c r="A261" s="633" t="s">
        <v>12340</v>
      </c>
      <c r="B261" s="634">
        <v>0.42872685185185183</v>
      </c>
      <c r="C261" s="633" t="s">
        <v>7423</v>
      </c>
      <c r="D261" s="635"/>
      <c r="E261" s="639">
        <v>923328283948</v>
      </c>
      <c r="F261" s="633" t="s">
        <v>6875</v>
      </c>
      <c r="G261" s="635"/>
      <c r="H261" s="633" t="s">
        <v>12372</v>
      </c>
      <c r="I261" s="633" t="s">
        <v>12373</v>
      </c>
      <c r="J261" s="633" t="s">
        <v>12374</v>
      </c>
      <c r="K261" s="633">
        <v>3.0</v>
      </c>
      <c r="L261" s="633" t="s">
        <v>6944</v>
      </c>
    </row>
    <row r="262">
      <c r="A262" s="633" t="s">
        <v>12340</v>
      </c>
      <c r="B262" s="634">
        <v>0.42885416666666665</v>
      </c>
      <c r="C262" s="633" t="s">
        <v>11336</v>
      </c>
      <c r="D262" s="635"/>
      <c r="E262" s="639">
        <v>923012756632</v>
      </c>
      <c r="F262" s="633" t="s">
        <v>6875</v>
      </c>
      <c r="G262" s="633" t="s">
        <v>12255</v>
      </c>
      <c r="H262" s="633" t="s">
        <v>12375</v>
      </c>
      <c r="I262" s="633" t="s">
        <v>12376</v>
      </c>
      <c r="J262" s="633" t="s">
        <v>12377</v>
      </c>
      <c r="K262" s="633">
        <v>4.0</v>
      </c>
      <c r="L262" s="633" t="s">
        <v>372</v>
      </c>
    </row>
    <row r="263">
      <c r="A263" s="633" t="s">
        <v>12340</v>
      </c>
      <c r="B263" s="634">
        <v>0.4289699074074074</v>
      </c>
      <c r="C263" s="633" t="s">
        <v>7435</v>
      </c>
      <c r="D263" s="635"/>
      <c r="E263" s="639">
        <v>923096035343</v>
      </c>
      <c r="F263" s="633" t="s">
        <v>6939</v>
      </c>
      <c r="G263" s="633" t="s">
        <v>12255</v>
      </c>
      <c r="H263" s="633" t="s">
        <v>12378</v>
      </c>
      <c r="I263" s="633" t="s">
        <v>12379</v>
      </c>
      <c r="J263" s="633" t="s">
        <v>12380</v>
      </c>
      <c r="K263" s="633">
        <v>4.0</v>
      </c>
      <c r="L263" s="633" t="s">
        <v>6944</v>
      </c>
    </row>
    <row r="264">
      <c r="A264" s="633" t="s">
        <v>12340</v>
      </c>
      <c r="B264" s="634">
        <v>0.42909722222222224</v>
      </c>
      <c r="C264" s="633" t="s">
        <v>7441</v>
      </c>
      <c r="D264" s="635"/>
      <c r="E264" s="639">
        <v>923163550353</v>
      </c>
      <c r="F264" s="633" t="s">
        <v>6939</v>
      </c>
      <c r="G264" s="633" t="s">
        <v>12255</v>
      </c>
      <c r="H264" s="633" t="s">
        <v>12381</v>
      </c>
      <c r="I264" s="633" t="s">
        <v>12382</v>
      </c>
      <c r="J264" s="633" t="s">
        <v>12383</v>
      </c>
      <c r="K264" s="633">
        <v>4.0</v>
      </c>
      <c r="L264" s="635"/>
    </row>
    <row r="265">
      <c r="A265" s="633" t="s">
        <v>12340</v>
      </c>
      <c r="B265" s="634">
        <v>0.42920138888888887</v>
      </c>
      <c r="C265" s="633" t="s">
        <v>7446</v>
      </c>
      <c r="D265" s="635"/>
      <c r="E265" s="639">
        <v>923328001670</v>
      </c>
      <c r="F265" s="633" t="s">
        <v>6875</v>
      </c>
      <c r="G265" s="635"/>
      <c r="H265" s="633" t="s">
        <v>12384</v>
      </c>
      <c r="I265" s="635"/>
      <c r="J265" s="633" t="s">
        <v>12385</v>
      </c>
      <c r="K265" s="633">
        <v>2.0</v>
      </c>
      <c r="L265" s="633" t="s">
        <v>51</v>
      </c>
    </row>
    <row r="266">
      <c r="A266" s="633" t="s">
        <v>12340</v>
      </c>
      <c r="B266" s="634">
        <v>0.4294560185185185</v>
      </c>
      <c r="C266" s="633" t="s">
        <v>7449</v>
      </c>
      <c r="D266" s="635"/>
      <c r="E266" s="639">
        <v>923082216419</v>
      </c>
      <c r="F266" s="633" t="s">
        <v>6939</v>
      </c>
      <c r="G266" s="633" t="s">
        <v>12386</v>
      </c>
      <c r="H266" s="633" t="s">
        <v>12387</v>
      </c>
      <c r="I266" s="633" t="s">
        <v>12388</v>
      </c>
      <c r="J266" s="633" t="s">
        <v>12389</v>
      </c>
      <c r="K266" s="633">
        <v>4.0</v>
      </c>
      <c r="L266" s="635"/>
    </row>
    <row r="267">
      <c r="A267" s="633" t="s">
        <v>12340</v>
      </c>
      <c r="B267" s="634">
        <v>0.42961805555555554</v>
      </c>
      <c r="C267" s="633" t="s">
        <v>7452</v>
      </c>
      <c r="D267" s="635"/>
      <c r="E267" s="639">
        <v>923091632623</v>
      </c>
      <c r="F267" s="633" t="s">
        <v>6939</v>
      </c>
      <c r="G267" s="633" t="s">
        <v>12390</v>
      </c>
      <c r="H267" s="633" t="s">
        <v>12391</v>
      </c>
      <c r="I267" s="633" t="s">
        <v>12392</v>
      </c>
      <c r="J267" s="633" t="s">
        <v>12393</v>
      </c>
      <c r="K267" s="633">
        <v>4.0</v>
      </c>
      <c r="L267" s="635"/>
    </row>
    <row r="268">
      <c r="A268" s="639" t="s">
        <v>12340</v>
      </c>
      <c r="B268" s="642">
        <v>0.4297685185185185</v>
      </c>
      <c r="C268" s="639" t="s">
        <v>7455</v>
      </c>
      <c r="D268" s="643"/>
      <c r="E268" s="639">
        <v>923153435815</v>
      </c>
      <c r="F268" s="633" t="s">
        <v>6875</v>
      </c>
      <c r="G268" s="635"/>
      <c r="H268" s="633" t="s">
        <v>12394</v>
      </c>
      <c r="I268" s="639" t="s">
        <v>12395</v>
      </c>
      <c r="J268" s="635"/>
      <c r="K268" s="633">
        <v>2.0</v>
      </c>
      <c r="L268" s="639" t="s">
        <v>372</v>
      </c>
    </row>
    <row r="269">
      <c r="A269" s="633" t="s">
        <v>12340</v>
      </c>
      <c r="B269" s="634">
        <v>0.42993055555555554</v>
      </c>
      <c r="C269" s="633" t="s">
        <v>5563</v>
      </c>
      <c r="D269" s="635"/>
      <c r="E269" s="639">
        <v>923350368003</v>
      </c>
      <c r="F269" s="633" t="s">
        <v>656</v>
      </c>
      <c r="G269" s="635"/>
      <c r="H269" s="633" t="s">
        <v>12396</v>
      </c>
      <c r="I269" s="633" t="s">
        <v>12397</v>
      </c>
      <c r="J269" s="633" t="s">
        <v>12398</v>
      </c>
      <c r="K269" s="633">
        <v>3.0</v>
      </c>
      <c r="L269" s="633" t="s">
        <v>12399</v>
      </c>
    </row>
    <row r="270">
      <c r="A270" s="633" t="s">
        <v>12340</v>
      </c>
      <c r="B270" s="634">
        <v>0.4300462962962963</v>
      </c>
      <c r="C270" s="633" t="s">
        <v>7459</v>
      </c>
      <c r="D270" s="635"/>
      <c r="E270" s="639">
        <v>923018532887</v>
      </c>
      <c r="F270" s="633" t="s">
        <v>6875</v>
      </c>
      <c r="G270" s="635"/>
      <c r="H270" s="633" t="s">
        <v>12400</v>
      </c>
      <c r="I270" s="635"/>
      <c r="J270" s="635"/>
      <c r="K270" s="633">
        <v>1.0</v>
      </c>
      <c r="L270" s="633" t="s">
        <v>372</v>
      </c>
    </row>
    <row r="271">
      <c r="A271" s="633" t="s">
        <v>12340</v>
      </c>
      <c r="B271" s="634">
        <v>0.43018518518518517</v>
      </c>
      <c r="C271" s="633" t="s">
        <v>2078</v>
      </c>
      <c r="D271" s="633" t="s">
        <v>6886</v>
      </c>
      <c r="E271" s="641" t="s">
        <v>12401</v>
      </c>
      <c r="F271" s="633" t="s">
        <v>6875</v>
      </c>
      <c r="G271" s="635"/>
      <c r="H271" s="633" t="s">
        <v>12402</v>
      </c>
      <c r="I271" s="633" t="s">
        <v>12403</v>
      </c>
      <c r="J271" s="635"/>
      <c r="K271" s="633">
        <v>2.0</v>
      </c>
      <c r="L271" s="633" t="s">
        <v>6944</v>
      </c>
    </row>
    <row r="272">
      <c r="A272" s="633" t="s">
        <v>12340</v>
      </c>
      <c r="B272" s="634">
        <v>0.43028935185185185</v>
      </c>
      <c r="C272" s="633" t="s">
        <v>7466</v>
      </c>
      <c r="D272" s="635"/>
      <c r="E272" s="639">
        <v>923468653126</v>
      </c>
      <c r="F272" s="633" t="s">
        <v>6875</v>
      </c>
      <c r="G272" s="635"/>
      <c r="H272" s="633" t="s">
        <v>12404</v>
      </c>
      <c r="I272" s="635"/>
      <c r="J272" s="635"/>
      <c r="K272" s="633">
        <v>1.0</v>
      </c>
      <c r="L272" s="633" t="s">
        <v>372</v>
      </c>
    </row>
    <row r="273">
      <c r="A273" s="633" t="s">
        <v>12340</v>
      </c>
      <c r="B273" s="634">
        <v>0.4304513888888889</v>
      </c>
      <c r="C273" s="633" t="s">
        <v>7471</v>
      </c>
      <c r="D273" s="635"/>
      <c r="E273" s="639">
        <v>923481009539</v>
      </c>
      <c r="F273" s="633" t="s">
        <v>6875</v>
      </c>
      <c r="G273" s="635"/>
      <c r="H273" s="633" t="s">
        <v>12405</v>
      </c>
      <c r="I273" s="635"/>
      <c r="J273" s="635"/>
      <c r="K273" s="633">
        <v>1.0</v>
      </c>
      <c r="L273" s="633" t="s">
        <v>372</v>
      </c>
    </row>
    <row r="274">
      <c r="A274" s="639" t="s">
        <v>12340</v>
      </c>
      <c r="B274" s="642">
        <v>0.4305787037037037</v>
      </c>
      <c r="C274" s="639" t="s">
        <v>7476</v>
      </c>
      <c r="D274" s="643"/>
      <c r="E274" s="639">
        <v>923703702828</v>
      </c>
      <c r="F274" s="633" t="s">
        <v>6939</v>
      </c>
      <c r="G274" s="639" t="s">
        <v>12406</v>
      </c>
      <c r="H274" s="639" t="s">
        <v>12407</v>
      </c>
      <c r="I274" s="639" t="s">
        <v>12408</v>
      </c>
      <c r="J274" s="639" t="s">
        <v>12409</v>
      </c>
      <c r="K274" s="639">
        <v>4.0</v>
      </c>
      <c r="L274" s="643"/>
    </row>
    <row r="275">
      <c r="A275" s="633" t="s">
        <v>12340</v>
      </c>
      <c r="B275" s="634">
        <v>0.4450810185185185</v>
      </c>
      <c r="C275" s="633" t="s">
        <v>12410</v>
      </c>
      <c r="D275" s="635"/>
      <c r="E275" s="639">
        <v>923018598434</v>
      </c>
      <c r="F275" s="633" t="s">
        <v>6875</v>
      </c>
      <c r="G275" s="633" t="s">
        <v>12411</v>
      </c>
      <c r="H275" s="633" t="s">
        <v>12412</v>
      </c>
      <c r="I275" s="633" t="s">
        <v>12413</v>
      </c>
      <c r="J275" s="635"/>
      <c r="K275" s="633">
        <v>3.0</v>
      </c>
      <c r="L275" s="633" t="s">
        <v>372</v>
      </c>
    </row>
    <row r="276">
      <c r="A276" s="633" t="s">
        <v>12340</v>
      </c>
      <c r="B276" s="634">
        <v>0.48158564814814814</v>
      </c>
      <c r="C276" s="633" t="s">
        <v>12414</v>
      </c>
      <c r="D276" s="635"/>
      <c r="E276" s="639">
        <v>923362187433</v>
      </c>
      <c r="F276" s="633" t="s">
        <v>6875</v>
      </c>
      <c r="G276" s="633" t="s">
        <v>12415</v>
      </c>
      <c r="H276" s="633" t="s">
        <v>12416</v>
      </c>
      <c r="I276" s="633" t="s">
        <v>12417</v>
      </c>
      <c r="J276" s="635"/>
      <c r="K276" s="633">
        <v>3.0</v>
      </c>
      <c r="L276" s="633" t="s">
        <v>6536</v>
      </c>
    </row>
    <row r="277">
      <c r="A277" s="639" t="s">
        <v>12340</v>
      </c>
      <c r="B277" s="642">
        <v>0.520474537037037</v>
      </c>
      <c r="C277" s="639" t="s">
        <v>12418</v>
      </c>
      <c r="D277" s="643"/>
      <c r="E277" s="639">
        <v>923314286784</v>
      </c>
      <c r="F277" s="633" t="s">
        <v>6939</v>
      </c>
      <c r="G277" s="639" t="s">
        <v>12406</v>
      </c>
      <c r="H277" s="639" t="s">
        <v>12419</v>
      </c>
      <c r="I277" s="639" t="s">
        <v>12420</v>
      </c>
      <c r="J277" s="639" t="s">
        <v>12421</v>
      </c>
      <c r="K277" s="639">
        <v>4.0</v>
      </c>
      <c r="L277" s="639" t="s">
        <v>1418</v>
      </c>
    </row>
    <row r="278">
      <c r="A278" s="633" t="s">
        <v>12340</v>
      </c>
      <c r="B278" s="634">
        <v>0.5597337962962963</v>
      </c>
      <c r="C278" s="633" t="s">
        <v>12422</v>
      </c>
      <c r="D278" s="635"/>
      <c r="E278" s="639">
        <v>923287644523</v>
      </c>
      <c r="F278" s="633" t="s">
        <v>6875</v>
      </c>
      <c r="G278" s="635"/>
      <c r="H278" s="633" t="s">
        <v>12423</v>
      </c>
      <c r="I278" s="633" t="s">
        <v>12424</v>
      </c>
      <c r="J278" s="635"/>
      <c r="K278" s="633">
        <v>2.0</v>
      </c>
      <c r="L278" s="633" t="s">
        <v>372</v>
      </c>
    </row>
    <row r="279">
      <c r="A279" s="633" t="s">
        <v>12340</v>
      </c>
      <c r="B279" s="634">
        <v>0.5821875</v>
      </c>
      <c r="C279" s="633" t="s">
        <v>12425</v>
      </c>
      <c r="D279" s="633" t="s">
        <v>6886</v>
      </c>
      <c r="E279" s="641" t="s">
        <v>12426</v>
      </c>
      <c r="F279" s="633" t="s">
        <v>6875</v>
      </c>
      <c r="G279" s="633" t="s">
        <v>12427</v>
      </c>
      <c r="H279" s="633" t="s">
        <v>12428</v>
      </c>
      <c r="I279" s="633" t="s">
        <v>12429</v>
      </c>
      <c r="J279" s="635"/>
      <c r="K279" s="633">
        <v>3.0</v>
      </c>
      <c r="L279" s="635"/>
    </row>
    <row r="280">
      <c r="A280" s="633" t="s">
        <v>12340</v>
      </c>
      <c r="B280" s="634">
        <v>0.5919212962962963</v>
      </c>
      <c r="C280" s="633" t="s">
        <v>7484</v>
      </c>
      <c r="D280" s="635"/>
      <c r="E280" s="639">
        <v>923144840964</v>
      </c>
      <c r="F280" s="633" t="s">
        <v>6875</v>
      </c>
      <c r="G280" s="635"/>
      <c r="H280" s="633" t="s">
        <v>12430</v>
      </c>
      <c r="I280" s="633" t="s">
        <v>12431</v>
      </c>
      <c r="J280" s="635"/>
      <c r="K280" s="633">
        <v>2.0</v>
      </c>
      <c r="L280" s="635"/>
    </row>
    <row r="281">
      <c r="A281" s="633" t="s">
        <v>12340</v>
      </c>
      <c r="B281" s="634">
        <v>0.6234143518518519</v>
      </c>
      <c r="C281" s="633" t="s">
        <v>7489</v>
      </c>
      <c r="D281" s="635"/>
      <c r="E281" s="639">
        <v>923222307828</v>
      </c>
      <c r="F281" s="633" t="s">
        <v>6875</v>
      </c>
      <c r="G281" s="635"/>
      <c r="H281" s="633" t="s">
        <v>12432</v>
      </c>
      <c r="I281" s="633" t="s">
        <v>12433</v>
      </c>
      <c r="J281" s="633" t="s">
        <v>12434</v>
      </c>
      <c r="K281" s="633">
        <v>3.0</v>
      </c>
      <c r="L281" s="633" t="s">
        <v>5784</v>
      </c>
    </row>
    <row r="282">
      <c r="A282" s="639" t="s">
        <v>12340</v>
      </c>
      <c r="B282" s="642">
        <v>0.6238888888888889</v>
      </c>
      <c r="C282" s="639" t="s">
        <v>12435</v>
      </c>
      <c r="D282" s="643"/>
      <c r="E282" s="639">
        <v>923333432156</v>
      </c>
      <c r="F282" s="633" t="s">
        <v>656</v>
      </c>
      <c r="G282" s="643"/>
      <c r="H282" s="643"/>
      <c r="I282" s="639" t="s">
        <v>12436</v>
      </c>
      <c r="J282" s="643"/>
      <c r="K282" s="639">
        <v>1.0</v>
      </c>
      <c r="L282" s="639" t="s">
        <v>1418</v>
      </c>
    </row>
    <row r="283">
      <c r="A283" s="633" t="s">
        <v>12340</v>
      </c>
      <c r="B283" s="634">
        <v>0.6296643518518519</v>
      </c>
      <c r="C283" s="633" t="s">
        <v>4599</v>
      </c>
      <c r="D283" s="633" t="s">
        <v>6886</v>
      </c>
      <c r="E283" s="641" t="s">
        <v>12437</v>
      </c>
      <c r="F283" s="633" t="s">
        <v>6888</v>
      </c>
      <c r="G283" s="633" t="s">
        <v>12438</v>
      </c>
      <c r="H283" s="633" t="s">
        <v>12439</v>
      </c>
      <c r="I283" s="633" t="s">
        <v>12440</v>
      </c>
      <c r="J283" s="635"/>
      <c r="K283" s="633">
        <v>3.0</v>
      </c>
      <c r="L283" s="633" t="s">
        <v>12441</v>
      </c>
    </row>
    <row r="284">
      <c r="A284" s="639" t="s">
        <v>12340</v>
      </c>
      <c r="B284" s="642">
        <v>0.6298263888888889</v>
      </c>
      <c r="C284" s="639" t="s">
        <v>248</v>
      </c>
      <c r="D284" s="643"/>
      <c r="E284" s="639">
        <v>923077127918</v>
      </c>
      <c r="F284" s="633" t="s">
        <v>6939</v>
      </c>
      <c r="G284" s="639" t="s">
        <v>12442</v>
      </c>
      <c r="H284" s="639" t="s">
        <v>12443</v>
      </c>
      <c r="I284" s="639" t="s">
        <v>12444</v>
      </c>
      <c r="J284" s="639" t="s">
        <v>12445</v>
      </c>
      <c r="K284" s="639">
        <v>4.0</v>
      </c>
      <c r="L284" s="643"/>
    </row>
    <row r="285">
      <c r="A285" s="639" t="s">
        <v>12340</v>
      </c>
      <c r="B285" s="642">
        <v>0.6328125</v>
      </c>
      <c r="C285" s="639" t="s">
        <v>12446</v>
      </c>
      <c r="D285" s="643"/>
      <c r="E285" s="639">
        <v>923367530895</v>
      </c>
      <c r="F285" s="633" t="s">
        <v>6939</v>
      </c>
      <c r="G285" s="639" t="s">
        <v>12447</v>
      </c>
      <c r="H285" s="639" t="s">
        <v>12448</v>
      </c>
      <c r="I285" s="639" t="s">
        <v>12449</v>
      </c>
      <c r="J285" s="639" t="s">
        <v>12445</v>
      </c>
      <c r="K285" s="639">
        <v>4.0</v>
      </c>
      <c r="L285" s="643"/>
    </row>
    <row r="286">
      <c r="A286" s="633" t="s">
        <v>12340</v>
      </c>
      <c r="B286" s="634">
        <v>0.6340046296296297</v>
      </c>
      <c r="C286" s="633" t="s">
        <v>7497</v>
      </c>
      <c r="D286" s="635"/>
      <c r="E286" s="639">
        <v>923278376177</v>
      </c>
      <c r="F286" s="633" t="s">
        <v>6875</v>
      </c>
      <c r="G286" s="633" t="s">
        <v>12450</v>
      </c>
      <c r="H286" s="633" t="s">
        <v>12451</v>
      </c>
      <c r="I286" s="633" t="s">
        <v>12452</v>
      </c>
      <c r="J286" s="635"/>
      <c r="K286" s="633">
        <v>3.0</v>
      </c>
      <c r="L286" s="633" t="s">
        <v>372</v>
      </c>
    </row>
    <row r="287">
      <c r="A287" s="633" t="s">
        <v>12340</v>
      </c>
      <c r="B287" s="634">
        <v>0.6455439814814815</v>
      </c>
      <c r="C287" s="633" t="s">
        <v>7502</v>
      </c>
      <c r="D287" s="635"/>
      <c r="E287" s="639">
        <v>923154362439</v>
      </c>
      <c r="F287" s="633" t="s">
        <v>6875</v>
      </c>
      <c r="G287" s="635"/>
      <c r="H287" s="633" t="s">
        <v>12453</v>
      </c>
      <c r="I287" s="633" t="s">
        <v>12454</v>
      </c>
      <c r="J287" s="633" t="s">
        <v>12455</v>
      </c>
      <c r="K287" s="633">
        <v>3.0</v>
      </c>
      <c r="L287" s="633" t="s">
        <v>12456</v>
      </c>
    </row>
    <row r="288">
      <c r="A288" s="633" t="s">
        <v>12340</v>
      </c>
      <c r="B288" s="634">
        <v>0.6625694444444444</v>
      </c>
      <c r="C288" s="633" t="s">
        <v>12457</v>
      </c>
      <c r="D288" s="635"/>
      <c r="E288" s="650">
        <v>923003977301</v>
      </c>
      <c r="F288" s="633" t="s">
        <v>6888</v>
      </c>
      <c r="G288" s="635"/>
      <c r="H288" s="633" t="s">
        <v>12458</v>
      </c>
      <c r="I288" s="633" t="s">
        <v>12459</v>
      </c>
      <c r="J288" s="633" t="s">
        <v>12460</v>
      </c>
      <c r="K288" s="633">
        <v>3.0</v>
      </c>
      <c r="L288" s="633" t="s">
        <v>11964</v>
      </c>
    </row>
    <row r="289">
      <c r="A289" s="639" t="s">
        <v>12340</v>
      </c>
      <c r="B289" s="642">
        <v>0.670787037037037</v>
      </c>
      <c r="C289" s="639" t="s">
        <v>12461</v>
      </c>
      <c r="D289" s="643"/>
      <c r="E289" s="639">
        <v>923181520412</v>
      </c>
      <c r="F289" s="633" t="s">
        <v>656</v>
      </c>
      <c r="G289" s="639" t="s">
        <v>12462</v>
      </c>
      <c r="H289" s="639" t="s">
        <v>12463</v>
      </c>
      <c r="I289" s="639" t="s">
        <v>12464</v>
      </c>
      <c r="J289" s="639" t="s">
        <v>12465</v>
      </c>
      <c r="K289" s="639">
        <v>4.0</v>
      </c>
      <c r="L289" s="639" t="s">
        <v>10655</v>
      </c>
    </row>
    <row r="290">
      <c r="A290" s="633" t="s">
        <v>12340</v>
      </c>
      <c r="B290" s="634">
        <v>0.7355439814814815</v>
      </c>
      <c r="C290" s="633" t="s">
        <v>11375</v>
      </c>
      <c r="D290" s="635"/>
      <c r="E290" s="639">
        <v>923080106112</v>
      </c>
      <c r="F290" s="633" t="s">
        <v>6875</v>
      </c>
      <c r="G290" s="635"/>
      <c r="H290" s="633" t="s">
        <v>12466</v>
      </c>
      <c r="I290" s="635"/>
      <c r="J290" s="635"/>
      <c r="K290" s="633">
        <v>1.0</v>
      </c>
      <c r="L290" s="633" t="s">
        <v>372</v>
      </c>
    </row>
    <row r="291">
      <c r="A291" s="633" t="s">
        <v>12467</v>
      </c>
      <c r="B291" s="634">
        <v>0.4878125</v>
      </c>
      <c r="C291" s="633" t="s">
        <v>12468</v>
      </c>
      <c r="D291" s="635"/>
      <c r="E291" s="639">
        <v>923343501871</v>
      </c>
      <c r="F291" s="633" t="s">
        <v>6875</v>
      </c>
      <c r="G291" s="635"/>
      <c r="H291" s="633" t="s">
        <v>12469</v>
      </c>
      <c r="I291" s="633" t="s">
        <v>12470</v>
      </c>
      <c r="J291" s="635"/>
      <c r="K291" s="633">
        <v>2.0</v>
      </c>
      <c r="L291" s="633" t="s">
        <v>51</v>
      </c>
    </row>
    <row r="292">
      <c r="A292" s="639" t="s">
        <v>12467</v>
      </c>
      <c r="B292" s="642">
        <v>0.48799768518518516</v>
      </c>
      <c r="C292" s="639" t="s">
        <v>12471</v>
      </c>
      <c r="D292" s="639" t="s">
        <v>7725</v>
      </c>
      <c r="E292" s="641" t="s">
        <v>12472</v>
      </c>
      <c r="F292" s="633" t="s">
        <v>6939</v>
      </c>
      <c r="G292" s="639" t="s">
        <v>12462</v>
      </c>
      <c r="H292" s="639" t="s">
        <v>12473</v>
      </c>
      <c r="I292" s="639" t="s">
        <v>12474</v>
      </c>
      <c r="J292" s="639" t="s">
        <v>12282</v>
      </c>
      <c r="K292" s="639">
        <v>4.0</v>
      </c>
      <c r="L292" s="639" t="s">
        <v>12475</v>
      </c>
    </row>
    <row r="293">
      <c r="A293" s="639" t="s">
        <v>12467</v>
      </c>
      <c r="B293" s="642">
        <v>0.4883101851851852</v>
      </c>
      <c r="C293" s="639" t="s">
        <v>12476</v>
      </c>
      <c r="D293" s="643"/>
      <c r="E293" s="639">
        <v>923098852056</v>
      </c>
      <c r="F293" s="633" t="s">
        <v>7291</v>
      </c>
      <c r="G293" s="639" t="s">
        <v>12462</v>
      </c>
      <c r="H293" s="639" t="s">
        <v>12477</v>
      </c>
      <c r="I293" s="639" t="s">
        <v>12478</v>
      </c>
      <c r="J293" s="639" t="s">
        <v>12465</v>
      </c>
      <c r="K293" s="639">
        <v>4.0</v>
      </c>
      <c r="L293" s="639" t="s">
        <v>12479</v>
      </c>
    </row>
    <row r="294">
      <c r="A294" s="639" t="s">
        <v>12467</v>
      </c>
      <c r="B294" s="642">
        <v>0.48863425925925924</v>
      </c>
      <c r="C294" s="639" t="s">
        <v>12480</v>
      </c>
      <c r="D294" s="643"/>
      <c r="E294" s="639">
        <v>923005090151</v>
      </c>
      <c r="F294" s="633" t="s">
        <v>656</v>
      </c>
      <c r="G294" s="639" t="s">
        <v>12462</v>
      </c>
      <c r="H294" s="639" t="s">
        <v>12481</v>
      </c>
      <c r="I294" s="639" t="s">
        <v>12482</v>
      </c>
      <c r="J294" s="639" t="s">
        <v>12465</v>
      </c>
      <c r="K294" s="639">
        <v>4.0</v>
      </c>
      <c r="L294" s="639" t="s">
        <v>12483</v>
      </c>
    </row>
    <row r="295">
      <c r="A295" s="639" t="s">
        <v>12467</v>
      </c>
      <c r="B295" s="642">
        <v>0.4888425925925926</v>
      </c>
      <c r="C295" s="639" t="s">
        <v>2044</v>
      </c>
      <c r="D295" s="643"/>
      <c r="E295" s="639">
        <v>923462811329</v>
      </c>
      <c r="F295" s="633" t="s">
        <v>7291</v>
      </c>
      <c r="G295" s="639" t="s">
        <v>12462</v>
      </c>
      <c r="H295" s="639" t="s">
        <v>12484</v>
      </c>
      <c r="I295" s="639" t="s">
        <v>12485</v>
      </c>
      <c r="J295" s="639" t="s">
        <v>12465</v>
      </c>
      <c r="K295" s="639">
        <v>4.0</v>
      </c>
      <c r="L295" s="639" t="s">
        <v>6944</v>
      </c>
    </row>
    <row r="296">
      <c r="A296" s="633" t="s">
        <v>12467</v>
      </c>
      <c r="B296" s="634">
        <v>0.4895486111111111</v>
      </c>
      <c r="C296" s="633" t="s">
        <v>2608</v>
      </c>
      <c r="D296" s="635"/>
      <c r="E296" s="639">
        <v>923172604671</v>
      </c>
      <c r="F296" s="633" t="s">
        <v>6875</v>
      </c>
      <c r="G296" s="635"/>
      <c r="H296" s="633" t="s">
        <v>12486</v>
      </c>
      <c r="I296" s="633" t="s">
        <v>12487</v>
      </c>
      <c r="J296" s="635"/>
      <c r="K296" s="633">
        <v>2.0</v>
      </c>
      <c r="L296" s="633" t="s">
        <v>372</v>
      </c>
    </row>
    <row r="297">
      <c r="A297" s="633" t="s">
        <v>12467</v>
      </c>
      <c r="B297" s="634">
        <v>0.4901388888888889</v>
      </c>
      <c r="C297" s="633" t="s">
        <v>12488</v>
      </c>
      <c r="D297" s="635"/>
      <c r="E297" s="639">
        <v>923122272113</v>
      </c>
      <c r="F297" s="633" t="s">
        <v>6875</v>
      </c>
      <c r="G297" s="635"/>
      <c r="H297" s="633" t="s">
        <v>12489</v>
      </c>
      <c r="I297" s="633" t="s">
        <v>12490</v>
      </c>
      <c r="J297" s="635"/>
      <c r="K297" s="633">
        <v>2.0</v>
      </c>
      <c r="L297" s="633" t="s">
        <v>12491</v>
      </c>
    </row>
    <row r="298">
      <c r="A298" s="633" t="s">
        <v>12467</v>
      </c>
      <c r="B298" s="634">
        <v>0.49118055555555556</v>
      </c>
      <c r="C298" s="633" t="s">
        <v>811</v>
      </c>
      <c r="D298" s="635"/>
      <c r="E298" s="639">
        <v>923002044208</v>
      </c>
      <c r="F298" s="633" t="s">
        <v>6875</v>
      </c>
      <c r="G298" s="633" t="s">
        <v>12462</v>
      </c>
      <c r="H298" s="633" t="s">
        <v>12492</v>
      </c>
      <c r="I298" s="633" t="s">
        <v>12493</v>
      </c>
      <c r="J298" s="633" t="s">
        <v>12465</v>
      </c>
      <c r="K298" s="633">
        <v>4.0</v>
      </c>
      <c r="L298" s="633" t="s">
        <v>51</v>
      </c>
    </row>
    <row r="299">
      <c r="A299" s="633" t="s">
        <v>12467</v>
      </c>
      <c r="B299" s="634">
        <v>0.4913425925925926</v>
      </c>
      <c r="C299" s="633" t="s">
        <v>12494</v>
      </c>
      <c r="D299" s="635"/>
      <c r="E299" s="639">
        <v>923228909925</v>
      </c>
      <c r="F299" s="633" t="s">
        <v>6875</v>
      </c>
      <c r="G299" s="635"/>
      <c r="H299" s="633" t="s">
        <v>12495</v>
      </c>
      <c r="I299" s="633" t="s">
        <v>12496</v>
      </c>
      <c r="J299" s="635"/>
      <c r="K299" s="633">
        <v>2.0</v>
      </c>
      <c r="L299" s="633" t="s">
        <v>12497</v>
      </c>
    </row>
    <row r="300">
      <c r="A300" s="639" t="s">
        <v>12467</v>
      </c>
      <c r="B300" s="642">
        <v>0.49246527777777777</v>
      </c>
      <c r="C300" s="639" t="s">
        <v>7517</v>
      </c>
      <c r="D300" s="643"/>
      <c r="E300" s="639">
        <v>923303366994</v>
      </c>
      <c r="F300" s="633" t="s">
        <v>6939</v>
      </c>
      <c r="G300" s="639" t="s">
        <v>12462</v>
      </c>
      <c r="H300" s="639" t="s">
        <v>12498</v>
      </c>
      <c r="I300" s="639" t="s">
        <v>12499</v>
      </c>
      <c r="J300" s="639" t="s">
        <v>12465</v>
      </c>
      <c r="K300" s="639">
        <v>4.0</v>
      </c>
      <c r="L300" s="643"/>
    </row>
    <row r="301">
      <c r="A301" s="633" t="s">
        <v>12467</v>
      </c>
      <c r="B301" s="634">
        <v>0.4926157407407407</v>
      </c>
      <c r="C301" s="633" t="s">
        <v>12500</v>
      </c>
      <c r="D301" s="635"/>
      <c r="E301" s="639">
        <v>923232589655</v>
      </c>
      <c r="F301" s="633" t="s">
        <v>6875</v>
      </c>
      <c r="G301" s="635"/>
      <c r="H301" s="635"/>
      <c r="I301" s="633" t="s">
        <v>12501</v>
      </c>
      <c r="J301" s="635"/>
      <c r="K301" s="633">
        <v>1.0</v>
      </c>
      <c r="L301" s="633" t="s">
        <v>7851</v>
      </c>
    </row>
    <row r="302">
      <c r="A302" s="639" t="s">
        <v>12467</v>
      </c>
      <c r="B302" s="642">
        <v>0.49296296296296294</v>
      </c>
      <c r="C302" s="639" t="s">
        <v>12502</v>
      </c>
      <c r="D302" s="643"/>
      <c r="E302" s="639">
        <v>923238482300</v>
      </c>
      <c r="F302" s="633" t="s">
        <v>6939</v>
      </c>
      <c r="G302" s="639" t="s">
        <v>12462</v>
      </c>
      <c r="H302" s="639" t="s">
        <v>12503</v>
      </c>
      <c r="I302" s="639" t="s">
        <v>12504</v>
      </c>
      <c r="J302" s="639" t="s">
        <v>12465</v>
      </c>
      <c r="K302" s="639">
        <v>4.0</v>
      </c>
      <c r="L302" s="643"/>
    </row>
    <row r="303">
      <c r="A303" s="639" t="s">
        <v>12467</v>
      </c>
      <c r="B303" s="642">
        <v>0.4935185185185185</v>
      </c>
      <c r="C303" s="639" t="s">
        <v>12505</v>
      </c>
      <c r="D303" s="643"/>
      <c r="E303" s="639">
        <v>923470631125</v>
      </c>
      <c r="F303" s="633" t="s">
        <v>6939</v>
      </c>
      <c r="G303" s="639" t="s">
        <v>12462</v>
      </c>
      <c r="H303" s="639" t="s">
        <v>12506</v>
      </c>
      <c r="I303" s="639" t="s">
        <v>12507</v>
      </c>
      <c r="J303" s="639" t="s">
        <v>12465</v>
      </c>
      <c r="K303" s="639">
        <v>4.0</v>
      </c>
      <c r="L303" s="643"/>
    </row>
    <row r="304">
      <c r="A304" s="633" t="s">
        <v>12467</v>
      </c>
      <c r="B304" s="634">
        <v>0.49372685185185183</v>
      </c>
      <c r="C304" s="633" t="s">
        <v>7520</v>
      </c>
      <c r="D304" s="635"/>
      <c r="E304" s="639">
        <v>923000721826</v>
      </c>
      <c r="F304" s="633" t="s">
        <v>6875</v>
      </c>
      <c r="G304" s="633" t="s">
        <v>12462</v>
      </c>
      <c r="H304" s="633" t="s">
        <v>12508</v>
      </c>
      <c r="I304" s="633" t="s">
        <v>12509</v>
      </c>
      <c r="J304" s="633" t="s">
        <v>12465</v>
      </c>
      <c r="K304" s="633">
        <v>4.0</v>
      </c>
      <c r="L304" s="633" t="s">
        <v>372</v>
      </c>
    </row>
    <row r="305">
      <c r="A305" s="633" t="s">
        <v>12467</v>
      </c>
      <c r="B305" s="634">
        <v>0.4938310185185185</v>
      </c>
      <c r="C305" s="633" t="s">
        <v>12510</v>
      </c>
      <c r="D305" s="633" t="s">
        <v>12511</v>
      </c>
      <c r="E305" s="641" t="s">
        <v>12512</v>
      </c>
      <c r="F305" s="633" t="s">
        <v>6888</v>
      </c>
      <c r="G305" s="633" t="s">
        <v>12513</v>
      </c>
      <c r="H305" s="633" t="s">
        <v>12514</v>
      </c>
      <c r="I305" s="633" t="s">
        <v>12515</v>
      </c>
      <c r="J305" s="635"/>
      <c r="K305" s="633">
        <v>3.0</v>
      </c>
      <c r="L305" s="633" t="s">
        <v>12516</v>
      </c>
    </row>
    <row r="306">
      <c r="A306" s="633" t="s">
        <v>12467</v>
      </c>
      <c r="B306" s="634">
        <v>0.4941203703703704</v>
      </c>
      <c r="C306" s="633" t="s">
        <v>12517</v>
      </c>
      <c r="D306" s="635"/>
      <c r="E306" s="639">
        <v>923351497783</v>
      </c>
      <c r="F306" s="633" t="s">
        <v>6875</v>
      </c>
      <c r="G306" s="635"/>
      <c r="H306" s="633" t="s">
        <v>12518</v>
      </c>
      <c r="I306" s="633" t="s">
        <v>12519</v>
      </c>
      <c r="J306" s="635"/>
      <c r="K306" s="633">
        <v>2.0</v>
      </c>
      <c r="L306" s="633" t="s">
        <v>372</v>
      </c>
    </row>
    <row r="307">
      <c r="A307" s="633" t="s">
        <v>12467</v>
      </c>
      <c r="B307" s="634">
        <v>0.49422453703703706</v>
      </c>
      <c r="C307" s="633" t="s">
        <v>12520</v>
      </c>
      <c r="D307" s="633" t="s">
        <v>6886</v>
      </c>
      <c r="E307" s="641" t="s">
        <v>12521</v>
      </c>
      <c r="F307" s="633" t="s">
        <v>6875</v>
      </c>
      <c r="G307" s="635"/>
      <c r="H307" s="633" t="s">
        <v>12522</v>
      </c>
      <c r="I307" s="633" t="s">
        <v>12523</v>
      </c>
      <c r="J307" s="635"/>
      <c r="K307" s="633">
        <v>2.0</v>
      </c>
      <c r="L307" s="633" t="s">
        <v>372</v>
      </c>
    </row>
    <row r="308">
      <c r="A308" s="633" t="s">
        <v>12467</v>
      </c>
      <c r="B308" s="634">
        <v>0.49438657407407405</v>
      </c>
      <c r="C308" s="633" t="s">
        <v>12524</v>
      </c>
      <c r="D308" s="635"/>
      <c r="E308" s="639">
        <v>923224718851</v>
      </c>
      <c r="F308" s="633" t="s">
        <v>6875</v>
      </c>
      <c r="G308" s="635"/>
      <c r="H308" s="633" t="s">
        <v>12525</v>
      </c>
      <c r="I308" s="633" t="s">
        <v>12526</v>
      </c>
      <c r="J308" s="635"/>
      <c r="K308" s="633">
        <v>2.0</v>
      </c>
      <c r="L308" s="633" t="s">
        <v>12527</v>
      </c>
    </row>
    <row r="309">
      <c r="A309" s="633" t="s">
        <v>12467</v>
      </c>
      <c r="B309" s="634">
        <v>0.4945486111111111</v>
      </c>
      <c r="C309" s="633" t="s">
        <v>12528</v>
      </c>
      <c r="D309" s="635"/>
      <c r="E309" s="639">
        <v>923232573007</v>
      </c>
      <c r="F309" s="633" t="s">
        <v>6875</v>
      </c>
      <c r="G309" s="635"/>
      <c r="H309" s="635"/>
      <c r="I309" s="633" t="s">
        <v>12529</v>
      </c>
      <c r="J309" s="635"/>
      <c r="K309" s="633">
        <v>1.0</v>
      </c>
      <c r="L309" s="633" t="s">
        <v>372</v>
      </c>
    </row>
    <row r="310">
      <c r="A310" s="639" t="s">
        <v>12467</v>
      </c>
      <c r="B310" s="642">
        <v>0.4946527777777778</v>
      </c>
      <c r="C310" s="639" t="s">
        <v>12530</v>
      </c>
      <c r="D310" s="639" t="s">
        <v>6886</v>
      </c>
      <c r="E310" s="641" t="s">
        <v>12531</v>
      </c>
      <c r="F310" s="633" t="s">
        <v>6875</v>
      </c>
      <c r="G310" s="639" t="s">
        <v>12532</v>
      </c>
      <c r="H310" s="639" t="s">
        <v>12533</v>
      </c>
      <c r="I310" s="639" t="s">
        <v>12534</v>
      </c>
      <c r="J310" s="639" t="s">
        <v>12535</v>
      </c>
      <c r="K310" s="639">
        <v>4.0</v>
      </c>
      <c r="L310" s="639" t="s">
        <v>12536</v>
      </c>
    </row>
    <row r="311">
      <c r="A311" s="639" t="s">
        <v>12467</v>
      </c>
      <c r="B311" s="642">
        <v>0.4947800925925926</v>
      </c>
      <c r="C311" s="639" t="s">
        <v>12537</v>
      </c>
      <c r="D311" s="643"/>
      <c r="E311" s="639">
        <v>923336586611</v>
      </c>
      <c r="F311" s="633" t="s">
        <v>6939</v>
      </c>
      <c r="G311" s="639" t="s">
        <v>12462</v>
      </c>
      <c r="H311" s="639" t="s">
        <v>12538</v>
      </c>
      <c r="I311" s="639" t="s">
        <v>12539</v>
      </c>
      <c r="J311" s="639" t="s">
        <v>12465</v>
      </c>
      <c r="K311" s="639">
        <v>4.0</v>
      </c>
      <c r="L311" s="639" t="s">
        <v>6944</v>
      </c>
    </row>
    <row r="312">
      <c r="A312" s="639" t="s">
        <v>12467</v>
      </c>
      <c r="B312" s="642">
        <v>0.49495370370370373</v>
      </c>
      <c r="C312" s="639" t="s">
        <v>12540</v>
      </c>
      <c r="D312" s="643"/>
      <c r="E312" s="639">
        <v>923453017304</v>
      </c>
      <c r="F312" s="633" t="s">
        <v>7291</v>
      </c>
      <c r="G312" s="639" t="s">
        <v>12462</v>
      </c>
      <c r="H312" s="639" t="s">
        <v>12541</v>
      </c>
      <c r="I312" s="639" t="s">
        <v>12542</v>
      </c>
      <c r="J312" s="639" t="s">
        <v>12543</v>
      </c>
      <c r="K312" s="639">
        <v>4.0</v>
      </c>
      <c r="L312" s="639" t="s">
        <v>12544</v>
      </c>
    </row>
    <row r="313">
      <c r="A313" s="639" t="s">
        <v>12467</v>
      </c>
      <c r="B313" s="642">
        <v>0.49528935185185186</v>
      </c>
      <c r="C313" s="639" t="s">
        <v>12545</v>
      </c>
      <c r="D313" s="643"/>
      <c r="E313" s="639">
        <v>923124724667</v>
      </c>
      <c r="F313" s="633" t="s">
        <v>6939</v>
      </c>
      <c r="G313" s="639" t="s">
        <v>12462</v>
      </c>
      <c r="H313" s="639" t="s">
        <v>12546</v>
      </c>
      <c r="I313" s="639" t="s">
        <v>12547</v>
      </c>
      <c r="J313" s="639" t="s">
        <v>12465</v>
      </c>
      <c r="K313" s="639">
        <v>4.0</v>
      </c>
      <c r="L313" s="643"/>
    </row>
    <row r="314">
      <c r="A314" s="639" t="s">
        <v>12467</v>
      </c>
      <c r="B314" s="642">
        <v>0.49537037037037035</v>
      </c>
      <c r="C314" s="639" t="s">
        <v>7544</v>
      </c>
      <c r="D314" s="643"/>
      <c r="E314" s="639">
        <v>923282251382</v>
      </c>
      <c r="F314" s="633" t="s">
        <v>6939</v>
      </c>
      <c r="G314" s="639" t="s">
        <v>12462</v>
      </c>
      <c r="H314" s="639" t="s">
        <v>12548</v>
      </c>
      <c r="I314" s="639" t="s">
        <v>12549</v>
      </c>
      <c r="J314" s="639" t="s">
        <v>12550</v>
      </c>
      <c r="K314" s="639">
        <v>4.0</v>
      </c>
      <c r="L314" s="643"/>
    </row>
    <row r="315">
      <c r="A315" s="639" t="s">
        <v>12467</v>
      </c>
      <c r="B315" s="642">
        <v>0.4955555555555556</v>
      </c>
      <c r="C315" s="639" t="s">
        <v>7550</v>
      </c>
      <c r="D315" s="639" t="s">
        <v>11511</v>
      </c>
      <c r="E315" s="639" t="s">
        <v>12551</v>
      </c>
      <c r="F315" s="633" t="s">
        <v>9302</v>
      </c>
      <c r="G315" s="639" t="s">
        <v>12462</v>
      </c>
      <c r="H315" s="639" t="s">
        <v>12552</v>
      </c>
      <c r="I315" s="639" t="s">
        <v>12553</v>
      </c>
      <c r="J315" s="639" t="s">
        <v>12554</v>
      </c>
      <c r="K315" s="639">
        <v>4.0</v>
      </c>
      <c r="L315" s="639" t="s">
        <v>12555</v>
      </c>
    </row>
    <row r="316">
      <c r="A316" s="633" t="s">
        <v>12467</v>
      </c>
      <c r="B316" s="634">
        <v>0.49774305555555554</v>
      </c>
      <c r="C316" s="633" t="s">
        <v>7552</v>
      </c>
      <c r="D316" s="635"/>
      <c r="E316" s="639">
        <v>923431100998</v>
      </c>
      <c r="F316" s="633" t="s">
        <v>6875</v>
      </c>
      <c r="G316" s="633" t="s">
        <v>12462</v>
      </c>
      <c r="H316" s="633" t="s">
        <v>12556</v>
      </c>
      <c r="I316" s="633" t="s">
        <v>12557</v>
      </c>
      <c r="J316" s="633" t="s">
        <v>12554</v>
      </c>
      <c r="K316" s="633">
        <v>4.0</v>
      </c>
      <c r="L316" s="633" t="s">
        <v>12558</v>
      </c>
    </row>
    <row r="317">
      <c r="A317" s="633" t="s">
        <v>12467</v>
      </c>
      <c r="B317" s="634">
        <v>0.6059953703703703</v>
      </c>
      <c r="C317" s="633" t="s">
        <v>7555</v>
      </c>
      <c r="D317" s="635"/>
      <c r="E317" s="650">
        <v>923331324517</v>
      </c>
      <c r="F317" s="633" t="s">
        <v>6888</v>
      </c>
      <c r="G317" s="633" t="s">
        <v>12559</v>
      </c>
      <c r="H317" s="633" t="s">
        <v>12560</v>
      </c>
      <c r="I317" s="633" t="s">
        <v>12561</v>
      </c>
      <c r="J317" s="635"/>
      <c r="K317" s="633">
        <v>3.0</v>
      </c>
      <c r="L317" s="633" t="s">
        <v>12562</v>
      </c>
    </row>
    <row r="318">
      <c r="A318" s="633" t="s">
        <v>12467</v>
      </c>
      <c r="B318" s="634">
        <v>0.6069675925925926</v>
      </c>
      <c r="C318" s="633" t="s">
        <v>4597</v>
      </c>
      <c r="D318" s="635"/>
      <c r="E318" s="639">
        <v>923704442356</v>
      </c>
      <c r="F318" s="633" t="s">
        <v>6875</v>
      </c>
      <c r="G318" s="635"/>
      <c r="H318" s="635"/>
      <c r="I318" s="633" t="s">
        <v>12563</v>
      </c>
      <c r="J318" s="635"/>
      <c r="K318" s="633">
        <v>1.0</v>
      </c>
      <c r="L318" s="633" t="s">
        <v>372</v>
      </c>
    </row>
    <row r="319">
      <c r="A319" s="639" t="s">
        <v>12467</v>
      </c>
      <c r="B319" s="642">
        <v>0.607175925925926</v>
      </c>
      <c r="C319" s="639" t="s">
        <v>12564</v>
      </c>
      <c r="D319" s="643"/>
      <c r="E319" s="639">
        <v>923332260795</v>
      </c>
      <c r="F319" s="633" t="s">
        <v>7291</v>
      </c>
      <c r="G319" s="639" t="s">
        <v>12462</v>
      </c>
      <c r="H319" s="639" t="s">
        <v>12565</v>
      </c>
      <c r="I319" s="639" t="s">
        <v>12566</v>
      </c>
      <c r="J319" s="639" t="s">
        <v>12554</v>
      </c>
      <c r="K319" s="639">
        <v>4.0</v>
      </c>
      <c r="L319" s="639" t="s">
        <v>685</v>
      </c>
    </row>
    <row r="320">
      <c r="A320" s="633" t="s">
        <v>12467</v>
      </c>
      <c r="B320" s="634">
        <v>0.6977314814814815</v>
      </c>
      <c r="C320" s="633" t="s">
        <v>12567</v>
      </c>
      <c r="D320" s="635"/>
      <c r="E320" s="639">
        <v>923113930685</v>
      </c>
      <c r="F320" s="633" t="s">
        <v>6875</v>
      </c>
      <c r="G320" s="635"/>
      <c r="H320" s="633" t="s">
        <v>12568</v>
      </c>
      <c r="I320" s="635"/>
      <c r="J320" s="635"/>
      <c r="K320" s="633">
        <v>1.0</v>
      </c>
      <c r="L320" s="633" t="s">
        <v>372</v>
      </c>
    </row>
    <row r="321">
      <c r="A321" s="633" t="s">
        <v>12467</v>
      </c>
      <c r="B321" s="634">
        <v>0.6978472222222222</v>
      </c>
      <c r="C321" s="633" t="s">
        <v>7562</v>
      </c>
      <c r="D321" s="635"/>
      <c r="E321" s="639">
        <v>923052568006</v>
      </c>
      <c r="F321" s="633" t="s">
        <v>6875</v>
      </c>
      <c r="G321" s="633" t="s">
        <v>12462</v>
      </c>
      <c r="H321" s="633" t="s">
        <v>12569</v>
      </c>
      <c r="I321" s="633" t="s">
        <v>12570</v>
      </c>
      <c r="J321" s="633" t="s">
        <v>12554</v>
      </c>
      <c r="K321" s="633">
        <v>4.0</v>
      </c>
      <c r="L321" s="633" t="s">
        <v>372</v>
      </c>
    </row>
    <row r="322">
      <c r="A322" s="639" t="s">
        <v>12467</v>
      </c>
      <c r="B322" s="642">
        <v>0.6980787037037037</v>
      </c>
      <c r="C322" s="639" t="s">
        <v>12571</v>
      </c>
      <c r="D322" s="643"/>
      <c r="E322" s="639">
        <v>923133358988</v>
      </c>
      <c r="F322" s="633" t="s">
        <v>7291</v>
      </c>
      <c r="G322" s="639" t="s">
        <v>12462</v>
      </c>
      <c r="H322" s="639" t="s">
        <v>12572</v>
      </c>
      <c r="I322" s="639" t="s">
        <v>12573</v>
      </c>
      <c r="J322" s="639" t="s">
        <v>12574</v>
      </c>
      <c r="K322" s="639">
        <v>4.0</v>
      </c>
      <c r="L322" s="639" t="s">
        <v>6944</v>
      </c>
    </row>
    <row r="323">
      <c r="A323" s="651">
        <v>45669.0</v>
      </c>
      <c r="B323" s="642">
        <v>0.4446875</v>
      </c>
      <c r="C323" s="639" t="s">
        <v>12575</v>
      </c>
      <c r="D323" s="643"/>
      <c r="E323" s="639">
        <v>923338256369</v>
      </c>
      <c r="F323" s="633" t="s">
        <v>6939</v>
      </c>
      <c r="G323" s="639" t="s">
        <v>12462</v>
      </c>
      <c r="H323" s="639" t="s">
        <v>12576</v>
      </c>
      <c r="I323" s="639" t="s">
        <v>12577</v>
      </c>
      <c r="J323" s="639" t="s">
        <v>12578</v>
      </c>
      <c r="K323" s="639">
        <v>4.0</v>
      </c>
      <c r="L323" s="639" t="s">
        <v>12579</v>
      </c>
    </row>
    <row r="324">
      <c r="A324" s="651">
        <v>45669.0</v>
      </c>
      <c r="B324" s="642">
        <v>0.4473958333333333</v>
      </c>
      <c r="C324" s="639" t="s">
        <v>12580</v>
      </c>
      <c r="D324" s="643"/>
      <c r="E324" s="639">
        <v>923132488455</v>
      </c>
      <c r="F324" s="633" t="s">
        <v>7291</v>
      </c>
      <c r="G324" s="639" t="s">
        <v>12462</v>
      </c>
      <c r="H324" s="639" t="s">
        <v>12581</v>
      </c>
      <c r="I324" s="639" t="s">
        <v>12582</v>
      </c>
      <c r="J324" s="639" t="s">
        <v>12583</v>
      </c>
      <c r="K324" s="639">
        <v>4.0</v>
      </c>
      <c r="L324" s="639" t="s">
        <v>12584</v>
      </c>
    </row>
    <row r="325">
      <c r="A325" s="651">
        <v>45669.0</v>
      </c>
      <c r="B325" s="642">
        <v>0.44763888888888886</v>
      </c>
      <c r="C325" s="639" t="s">
        <v>12585</v>
      </c>
      <c r="D325" s="643"/>
      <c r="E325" s="639">
        <v>923138787255</v>
      </c>
      <c r="F325" s="633" t="s">
        <v>656</v>
      </c>
      <c r="G325" s="639" t="s">
        <v>12462</v>
      </c>
      <c r="H325" s="639" t="s">
        <v>12586</v>
      </c>
      <c r="I325" s="639" t="s">
        <v>12582</v>
      </c>
      <c r="J325" s="639" t="s">
        <v>12583</v>
      </c>
      <c r="K325" s="639">
        <v>4.0</v>
      </c>
      <c r="L325" s="639" t="s">
        <v>12587</v>
      </c>
    </row>
    <row r="326">
      <c r="A326" s="652">
        <v>45669.0</v>
      </c>
      <c r="B326" s="634">
        <v>0.44778935185185187</v>
      </c>
      <c r="C326" s="633" t="s">
        <v>12588</v>
      </c>
      <c r="D326" s="635"/>
      <c r="E326" s="639">
        <v>923443007034</v>
      </c>
      <c r="F326" s="633" t="s">
        <v>6875</v>
      </c>
      <c r="G326" s="635"/>
      <c r="H326" s="633" t="s">
        <v>12589</v>
      </c>
      <c r="I326" s="633" t="s">
        <v>12590</v>
      </c>
      <c r="J326" s="635"/>
      <c r="K326" s="633">
        <v>2.0</v>
      </c>
      <c r="L326" s="633" t="s">
        <v>152</v>
      </c>
    </row>
    <row r="327">
      <c r="A327" s="651">
        <v>45669.0</v>
      </c>
      <c r="B327" s="642">
        <v>0.4480324074074074</v>
      </c>
      <c r="C327" s="639" t="s">
        <v>12591</v>
      </c>
      <c r="D327" s="643"/>
      <c r="E327" s="639">
        <v>923008482337</v>
      </c>
      <c r="F327" s="633" t="s">
        <v>7291</v>
      </c>
      <c r="G327" s="639" t="s">
        <v>12462</v>
      </c>
      <c r="H327" s="639" t="s">
        <v>12592</v>
      </c>
      <c r="I327" s="639" t="s">
        <v>12582</v>
      </c>
      <c r="J327" s="639" t="s">
        <v>12593</v>
      </c>
      <c r="K327" s="639">
        <v>4.0</v>
      </c>
      <c r="L327" s="639" t="s">
        <v>6944</v>
      </c>
    </row>
    <row r="328">
      <c r="A328" s="652">
        <v>45669.0</v>
      </c>
      <c r="B328" s="634">
        <v>0.44820601851851855</v>
      </c>
      <c r="C328" s="633" t="s">
        <v>7566</v>
      </c>
      <c r="D328" s="635"/>
      <c r="E328" s="639">
        <v>923127175537</v>
      </c>
      <c r="F328" s="633" t="s">
        <v>6875</v>
      </c>
      <c r="G328" s="633" t="s">
        <v>12462</v>
      </c>
      <c r="H328" s="633" t="s">
        <v>12594</v>
      </c>
      <c r="I328" s="633" t="s">
        <v>12595</v>
      </c>
      <c r="J328" s="633" t="s">
        <v>12596</v>
      </c>
      <c r="K328" s="633">
        <v>4.0</v>
      </c>
      <c r="L328" s="635"/>
    </row>
    <row r="329">
      <c r="A329" s="652">
        <v>45669.0</v>
      </c>
      <c r="B329" s="634">
        <v>0.44832175925925927</v>
      </c>
      <c r="C329" s="633" t="s">
        <v>7576</v>
      </c>
      <c r="D329" s="635"/>
      <c r="E329" s="639">
        <v>923249457161</v>
      </c>
      <c r="F329" s="633" t="s">
        <v>6875</v>
      </c>
      <c r="G329" s="633" t="s">
        <v>12462</v>
      </c>
      <c r="H329" s="633" t="s">
        <v>12597</v>
      </c>
      <c r="I329" s="633" t="s">
        <v>12598</v>
      </c>
      <c r="J329" s="633" t="s">
        <v>12599</v>
      </c>
      <c r="K329" s="633">
        <v>4.0</v>
      </c>
      <c r="L329" s="633" t="s">
        <v>12600</v>
      </c>
    </row>
    <row r="330">
      <c r="A330" s="651">
        <v>45669.0</v>
      </c>
      <c r="B330" s="642">
        <v>0.44858796296296294</v>
      </c>
      <c r="C330" s="639" t="s">
        <v>12601</v>
      </c>
      <c r="D330" s="643"/>
      <c r="E330" s="639">
        <v>923408217124</v>
      </c>
      <c r="F330" s="633" t="s">
        <v>656</v>
      </c>
      <c r="G330" s="643"/>
      <c r="H330" s="639" t="s">
        <v>12602</v>
      </c>
      <c r="I330" s="639" t="s">
        <v>12603</v>
      </c>
      <c r="J330" s="639" t="s">
        <v>12604</v>
      </c>
      <c r="K330" s="639">
        <v>3.0</v>
      </c>
      <c r="L330" s="639" t="s">
        <v>727</v>
      </c>
    </row>
    <row r="331">
      <c r="A331" s="652">
        <v>45669.0</v>
      </c>
      <c r="B331" s="634">
        <v>0.44877314814814817</v>
      </c>
      <c r="C331" s="633" t="s">
        <v>12605</v>
      </c>
      <c r="D331" s="635"/>
      <c r="E331" s="639">
        <v>923002133590</v>
      </c>
      <c r="F331" s="633" t="s">
        <v>6875</v>
      </c>
      <c r="G331" s="635"/>
      <c r="H331" s="633" t="s">
        <v>12606</v>
      </c>
      <c r="I331" s="635"/>
      <c r="J331" s="635"/>
      <c r="K331" s="633">
        <v>1.0</v>
      </c>
      <c r="L331" s="633" t="s">
        <v>372</v>
      </c>
    </row>
    <row r="332">
      <c r="A332" s="651">
        <v>45669.0</v>
      </c>
      <c r="B332" s="642">
        <v>0.449212962962963</v>
      </c>
      <c r="C332" s="639" t="s">
        <v>5616</v>
      </c>
      <c r="D332" s="639" t="s">
        <v>6886</v>
      </c>
      <c r="E332" s="641" t="s">
        <v>12607</v>
      </c>
      <c r="F332" s="633" t="s">
        <v>6875</v>
      </c>
      <c r="G332" s="635"/>
      <c r="H332" s="639" t="s">
        <v>12608</v>
      </c>
      <c r="I332" s="635"/>
      <c r="J332" s="643"/>
      <c r="K332" s="633">
        <v>1.0</v>
      </c>
      <c r="L332" s="639" t="s">
        <v>372</v>
      </c>
    </row>
    <row r="333">
      <c r="A333" s="652">
        <v>45669.0</v>
      </c>
      <c r="B333" s="634">
        <v>0.44930555555555557</v>
      </c>
      <c r="C333" s="633" t="s">
        <v>7601</v>
      </c>
      <c r="D333" s="635"/>
      <c r="E333" s="639">
        <v>923012573178</v>
      </c>
      <c r="F333" s="633" t="s">
        <v>6875</v>
      </c>
      <c r="G333" s="635"/>
      <c r="H333" s="633" t="s">
        <v>12609</v>
      </c>
      <c r="I333" s="635"/>
      <c r="J333" s="635"/>
      <c r="K333" s="633">
        <v>1.0</v>
      </c>
      <c r="L333" s="633" t="s">
        <v>372</v>
      </c>
    </row>
    <row r="334">
      <c r="A334" s="651">
        <v>45669.0</v>
      </c>
      <c r="B334" s="642">
        <v>0.4494097222222222</v>
      </c>
      <c r="C334" s="639" t="s">
        <v>12610</v>
      </c>
      <c r="D334" s="639" t="s">
        <v>7725</v>
      </c>
      <c r="E334" s="641" t="s">
        <v>12611</v>
      </c>
      <c r="F334" s="633" t="s">
        <v>6939</v>
      </c>
      <c r="G334" s="639" t="s">
        <v>12462</v>
      </c>
      <c r="H334" s="639" t="s">
        <v>12612</v>
      </c>
      <c r="I334" s="639" t="s">
        <v>12613</v>
      </c>
      <c r="J334" s="639" t="s">
        <v>12614</v>
      </c>
      <c r="K334" s="639">
        <v>4.0</v>
      </c>
      <c r="L334" s="643"/>
    </row>
    <row r="335">
      <c r="A335" s="651">
        <v>45669.0</v>
      </c>
      <c r="B335" s="642">
        <v>0.4495138888888889</v>
      </c>
      <c r="C335" s="639" t="s">
        <v>12615</v>
      </c>
      <c r="D335" s="643"/>
      <c r="E335" s="639">
        <v>923171746598</v>
      </c>
      <c r="F335" s="633" t="s">
        <v>7291</v>
      </c>
      <c r="G335" s="639" t="s">
        <v>12462</v>
      </c>
      <c r="H335" s="639" t="s">
        <v>12616</v>
      </c>
      <c r="I335" s="639" t="s">
        <v>12582</v>
      </c>
      <c r="J335" s="639" t="s">
        <v>12593</v>
      </c>
      <c r="K335" s="639">
        <v>4.0</v>
      </c>
      <c r="L335" s="639" t="s">
        <v>6944</v>
      </c>
    </row>
    <row r="336">
      <c r="A336" s="651">
        <v>45669.0</v>
      </c>
      <c r="B336" s="642">
        <v>0.4500925925925926</v>
      </c>
      <c r="C336" s="639" t="s">
        <v>7611</v>
      </c>
      <c r="D336" s="643"/>
      <c r="E336" s="639">
        <v>923371255878</v>
      </c>
      <c r="F336" s="633" t="s">
        <v>7291</v>
      </c>
      <c r="G336" s="639" t="s">
        <v>12462</v>
      </c>
      <c r="H336" s="639" t="s">
        <v>12617</v>
      </c>
      <c r="I336" s="639" t="s">
        <v>12582</v>
      </c>
      <c r="J336" s="639" t="s">
        <v>12593</v>
      </c>
      <c r="K336" s="639">
        <v>4.0</v>
      </c>
      <c r="L336" s="639" t="s">
        <v>6944</v>
      </c>
    </row>
    <row r="337">
      <c r="A337" s="651">
        <v>45669.0</v>
      </c>
      <c r="B337" s="642">
        <v>0.4502083333333333</v>
      </c>
      <c r="C337" s="639" t="s">
        <v>7613</v>
      </c>
      <c r="D337" s="643"/>
      <c r="E337" s="639">
        <v>923435751756</v>
      </c>
      <c r="F337" s="633" t="s">
        <v>6939</v>
      </c>
      <c r="G337" s="639" t="s">
        <v>12462</v>
      </c>
      <c r="H337" s="639" t="s">
        <v>12618</v>
      </c>
      <c r="I337" s="639" t="s">
        <v>12619</v>
      </c>
      <c r="J337" s="639" t="s">
        <v>12620</v>
      </c>
      <c r="K337" s="639">
        <v>4.0</v>
      </c>
      <c r="L337" s="643"/>
    </row>
    <row r="338">
      <c r="A338" s="651">
        <v>45669.0</v>
      </c>
      <c r="B338" s="642">
        <v>0.4504282407407407</v>
      </c>
      <c r="C338" s="639" t="s">
        <v>12621</v>
      </c>
      <c r="D338" s="643"/>
      <c r="E338" s="639">
        <v>923330338675</v>
      </c>
      <c r="F338" s="633" t="s">
        <v>656</v>
      </c>
      <c r="G338" s="643"/>
      <c r="H338" s="639" t="s">
        <v>12622</v>
      </c>
      <c r="I338" s="643"/>
      <c r="J338" s="643"/>
      <c r="K338" s="639">
        <v>1.0</v>
      </c>
      <c r="L338" s="639" t="s">
        <v>12623</v>
      </c>
    </row>
    <row r="339">
      <c r="A339" s="651">
        <v>45669.0</v>
      </c>
      <c r="B339" s="642">
        <v>0.4506365740740741</v>
      </c>
      <c r="C339" s="639" t="s">
        <v>7617</v>
      </c>
      <c r="D339" s="643"/>
      <c r="E339" s="639">
        <v>923023445900</v>
      </c>
      <c r="F339" s="633" t="s">
        <v>6939</v>
      </c>
      <c r="G339" s="639" t="s">
        <v>12462</v>
      </c>
      <c r="H339" s="639" t="s">
        <v>12624</v>
      </c>
      <c r="I339" s="639" t="s">
        <v>12625</v>
      </c>
      <c r="J339" s="639" t="s">
        <v>12620</v>
      </c>
      <c r="K339" s="639">
        <v>4.0</v>
      </c>
      <c r="L339" s="643"/>
    </row>
    <row r="340">
      <c r="A340" s="651">
        <v>45669.0</v>
      </c>
      <c r="B340" s="642">
        <v>0.4507291666666667</v>
      </c>
      <c r="C340" s="639" t="s">
        <v>12626</v>
      </c>
      <c r="D340" s="643"/>
      <c r="E340" s="639">
        <v>923098833030</v>
      </c>
      <c r="F340" s="633" t="s">
        <v>6939</v>
      </c>
      <c r="G340" s="639" t="s">
        <v>12627</v>
      </c>
      <c r="H340" s="639" t="s">
        <v>12628</v>
      </c>
      <c r="I340" s="639" t="s">
        <v>12629</v>
      </c>
      <c r="J340" s="639" t="s">
        <v>12630</v>
      </c>
      <c r="K340" s="639">
        <v>4.0</v>
      </c>
      <c r="L340" s="643"/>
    </row>
    <row r="341">
      <c r="A341" s="651">
        <v>45669.0</v>
      </c>
      <c r="B341" s="642">
        <v>0.45105324074074077</v>
      </c>
      <c r="C341" s="639" t="s">
        <v>12631</v>
      </c>
      <c r="D341" s="643"/>
      <c r="E341" s="639">
        <v>923158312439</v>
      </c>
      <c r="F341" s="633" t="s">
        <v>6939</v>
      </c>
      <c r="G341" s="639" t="s">
        <v>12632</v>
      </c>
      <c r="H341" s="639" t="s">
        <v>12633</v>
      </c>
      <c r="I341" s="639" t="s">
        <v>12634</v>
      </c>
      <c r="J341" s="639" t="s">
        <v>12635</v>
      </c>
      <c r="K341" s="639">
        <v>4.0</v>
      </c>
      <c r="L341" s="643"/>
    </row>
    <row r="342">
      <c r="A342" s="652">
        <v>45669.0</v>
      </c>
      <c r="B342" s="634">
        <v>0.4515625</v>
      </c>
      <c r="C342" s="633" t="s">
        <v>12636</v>
      </c>
      <c r="D342" s="633" t="s">
        <v>6886</v>
      </c>
      <c r="E342" s="641" t="s">
        <v>12637</v>
      </c>
      <c r="F342" s="633" t="s">
        <v>6875</v>
      </c>
      <c r="G342" s="633" t="s">
        <v>12462</v>
      </c>
      <c r="H342" s="633" t="s">
        <v>12638</v>
      </c>
      <c r="I342" s="633" t="s">
        <v>12639</v>
      </c>
      <c r="J342" s="633" t="s">
        <v>12593</v>
      </c>
      <c r="K342" s="633">
        <v>4.0</v>
      </c>
      <c r="L342" s="633" t="s">
        <v>51</v>
      </c>
    </row>
    <row r="343">
      <c r="A343" s="652">
        <v>45669.0</v>
      </c>
      <c r="B343" s="634">
        <v>0.4516435185185185</v>
      </c>
      <c r="C343" s="633" t="s">
        <v>12640</v>
      </c>
      <c r="D343" s="635"/>
      <c r="E343" s="639">
        <v>923135543068</v>
      </c>
      <c r="F343" s="633" t="s">
        <v>6875</v>
      </c>
      <c r="G343" s="635"/>
      <c r="H343" s="635"/>
      <c r="I343" s="633" t="s">
        <v>12641</v>
      </c>
      <c r="J343" s="635"/>
      <c r="K343" s="633">
        <v>1.0</v>
      </c>
      <c r="L343" s="633" t="s">
        <v>372</v>
      </c>
    </row>
    <row r="344">
      <c r="A344" s="651">
        <v>45669.0</v>
      </c>
      <c r="B344" s="642">
        <v>0.45216435185185183</v>
      </c>
      <c r="C344" s="639" t="s">
        <v>811</v>
      </c>
      <c r="D344" s="643"/>
      <c r="E344" s="639">
        <v>923222011550</v>
      </c>
      <c r="F344" s="633" t="s">
        <v>7291</v>
      </c>
      <c r="G344" s="639" t="s">
        <v>12462</v>
      </c>
      <c r="H344" s="639" t="s">
        <v>12642</v>
      </c>
      <c r="I344" s="639" t="s">
        <v>12643</v>
      </c>
      <c r="J344" s="639" t="s">
        <v>12644</v>
      </c>
      <c r="K344" s="639">
        <v>4.0</v>
      </c>
      <c r="L344" s="639" t="s">
        <v>6944</v>
      </c>
    </row>
    <row r="345">
      <c r="A345" s="651">
        <v>45669.0</v>
      </c>
      <c r="B345" s="642">
        <v>0.4524884259259259</v>
      </c>
      <c r="C345" s="639" t="s">
        <v>12645</v>
      </c>
      <c r="D345" s="643"/>
      <c r="E345" s="639">
        <v>923353075527</v>
      </c>
      <c r="F345" s="633" t="s">
        <v>6939</v>
      </c>
      <c r="G345" s="639" t="s">
        <v>12646</v>
      </c>
      <c r="H345" s="639" t="s">
        <v>12647</v>
      </c>
      <c r="I345" s="639" t="s">
        <v>12648</v>
      </c>
      <c r="J345" s="639" t="s">
        <v>12649</v>
      </c>
      <c r="K345" s="639">
        <v>4.0</v>
      </c>
      <c r="L345" s="643"/>
    </row>
    <row r="346">
      <c r="A346" s="651">
        <v>45669.0</v>
      </c>
      <c r="B346" s="642">
        <v>0.45266203703703706</v>
      </c>
      <c r="C346" s="639" t="s">
        <v>12650</v>
      </c>
      <c r="D346" s="643"/>
      <c r="E346" s="639">
        <v>923424211979</v>
      </c>
      <c r="F346" s="633" t="s">
        <v>6939</v>
      </c>
      <c r="G346" s="639" t="s">
        <v>12651</v>
      </c>
      <c r="H346" s="639" t="s">
        <v>12652</v>
      </c>
      <c r="I346" s="639" t="s">
        <v>12653</v>
      </c>
      <c r="J346" s="639" t="s">
        <v>12654</v>
      </c>
      <c r="K346" s="639">
        <v>4.0</v>
      </c>
      <c r="L346" s="643"/>
    </row>
    <row r="347">
      <c r="A347" s="651">
        <v>45669.0</v>
      </c>
      <c r="B347" s="642">
        <v>0.45283564814814814</v>
      </c>
      <c r="C347" s="639" t="s">
        <v>12655</v>
      </c>
      <c r="D347" s="643"/>
      <c r="E347" s="639">
        <v>923161122129</v>
      </c>
      <c r="F347" s="633" t="s">
        <v>7291</v>
      </c>
      <c r="G347" s="639" t="s">
        <v>12462</v>
      </c>
      <c r="H347" s="639" t="s">
        <v>12656</v>
      </c>
      <c r="I347" s="639" t="s">
        <v>12657</v>
      </c>
      <c r="J347" s="639" t="s">
        <v>12644</v>
      </c>
      <c r="K347" s="639">
        <v>4.0</v>
      </c>
      <c r="L347" s="639" t="s">
        <v>11891</v>
      </c>
    </row>
    <row r="348">
      <c r="A348" s="651">
        <v>45669.0</v>
      </c>
      <c r="B348" s="642">
        <v>0.4531134259259259</v>
      </c>
      <c r="C348" s="639" t="s">
        <v>12658</v>
      </c>
      <c r="D348" s="639" t="s">
        <v>6886</v>
      </c>
      <c r="E348" s="641" t="s">
        <v>12659</v>
      </c>
      <c r="F348" s="633" t="s">
        <v>7291</v>
      </c>
      <c r="G348" s="639" t="s">
        <v>12462</v>
      </c>
      <c r="H348" s="639" t="s">
        <v>12660</v>
      </c>
      <c r="I348" s="639" t="s">
        <v>12661</v>
      </c>
      <c r="J348" s="639" t="s">
        <v>12644</v>
      </c>
      <c r="K348" s="639">
        <v>4.0</v>
      </c>
      <c r="L348" s="639" t="s">
        <v>11891</v>
      </c>
    </row>
    <row r="349">
      <c r="A349" s="652">
        <v>45669.0</v>
      </c>
      <c r="B349" s="634">
        <v>0.4534490740740741</v>
      </c>
      <c r="C349" s="633" t="s">
        <v>12662</v>
      </c>
      <c r="D349" s="635"/>
      <c r="E349" s="639">
        <v>923343762864</v>
      </c>
      <c r="F349" s="633" t="s">
        <v>6875</v>
      </c>
      <c r="G349" s="633" t="s">
        <v>12462</v>
      </c>
      <c r="H349" s="633" t="s">
        <v>12663</v>
      </c>
      <c r="I349" s="633" t="s">
        <v>12664</v>
      </c>
      <c r="J349" s="633" t="s">
        <v>12644</v>
      </c>
      <c r="K349" s="633">
        <v>4.0</v>
      </c>
      <c r="L349" s="633" t="s">
        <v>6944</v>
      </c>
    </row>
    <row r="350">
      <c r="A350" s="652">
        <v>45669.0</v>
      </c>
      <c r="B350" s="634">
        <v>0.45362268518518517</v>
      </c>
      <c r="C350" s="633" t="s">
        <v>12665</v>
      </c>
      <c r="D350" s="635"/>
      <c r="E350" s="639">
        <v>923363876730</v>
      </c>
      <c r="F350" s="633" t="s">
        <v>6875</v>
      </c>
      <c r="G350" s="633" t="s">
        <v>12462</v>
      </c>
      <c r="H350" s="633" t="s">
        <v>12666</v>
      </c>
      <c r="I350" s="633" t="s">
        <v>12667</v>
      </c>
      <c r="J350" s="633" t="s">
        <v>12644</v>
      </c>
      <c r="K350" s="633">
        <v>4.0</v>
      </c>
      <c r="L350" s="633" t="s">
        <v>12668</v>
      </c>
    </row>
    <row r="351">
      <c r="A351" s="651">
        <v>45669.0</v>
      </c>
      <c r="B351" s="642">
        <v>0.45380787037037035</v>
      </c>
      <c r="C351" s="639" t="s">
        <v>12669</v>
      </c>
      <c r="D351" s="643"/>
      <c r="E351" s="639">
        <v>923350977848</v>
      </c>
      <c r="F351" s="633" t="s">
        <v>6939</v>
      </c>
      <c r="G351" s="639" t="s">
        <v>12462</v>
      </c>
      <c r="H351" s="639" t="s">
        <v>12670</v>
      </c>
      <c r="I351" s="639" t="s">
        <v>12671</v>
      </c>
      <c r="J351" s="639" t="s">
        <v>12672</v>
      </c>
      <c r="K351" s="639">
        <v>4.0</v>
      </c>
      <c r="L351" s="639" t="s">
        <v>6944</v>
      </c>
    </row>
    <row r="352">
      <c r="A352" s="652">
        <v>45669.0</v>
      </c>
      <c r="B352" s="634">
        <v>0.4540162037037037</v>
      </c>
      <c r="C352" s="633" t="s">
        <v>3848</v>
      </c>
      <c r="D352" s="635"/>
      <c r="E352" s="639">
        <v>923014016620</v>
      </c>
      <c r="F352" s="633" t="s">
        <v>6888</v>
      </c>
      <c r="G352" s="635"/>
      <c r="H352" s="633" t="s">
        <v>12673</v>
      </c>
      <c r="I352" s="633" t="s">
        <v>12674</v>
      </c>
      <c r="J352" s="635"/>
      <c r="K352" s="633">
        <v>2.0</v>
      </c>
      <c r="L352" s="633" t="s">
        <v>11516</v>
      </c>
    </row>
    <row r="353">
      <c r="A353" s="651">
        <v>45669.0</v>
      </c>
      <c r="B353" s="642">
        <v>0.454212962962963</v>
      </c>
      <c r="C353" s="639" t="s">
        <v>12675</v>
      </c>
      <c r="D353" s="643"/>
      <c r="E353" s="639">
        <v>923132349409</v>
      </c>
      <c r="F353" s="633" t="s">
        <v>6939</v>
      </c>
      <c r="G353" s="639" t="s">
        <v>12462</v>
      </c>
      <c r="H353" s="639" t="s">
        <v>12676</v>
      </c>
      <c r="I353" s="639" t="s">
        <v>12677</v>
      </c>
      <c r="J353" s="639" t="s">
        <v>12672</v>
      </c>
      <c r="K353" s="639">
        <v>4.0</v>
      </c>
      <c r="L353" s="639" t="s">
        <v>12678</v>
      </c>
    </row>
    <row r="354">
      <c r="A354" s="651">
        <v>45669.0</v>
      </c>
      <c r="B354" s="642">
        <v>0.45438657407407407</v>
      </c>
      <c r="C354" s="639" t="s">
        <v>12679</v>
      </c>
      <c r="D354" s="643"/>
      <c r="E354" s="639">
        <v>923214653884</v>
      </c>
      <c r="F354" s="633" t="s">
        <v>6939</v>
      </c>
      <c r="G354" s="639" t="s">
        <v>12680</v>
      </c>
      <c r="H354" s="639" t="s">
        <v>12681</v>
      </c>
      <c r="I354" s="639" t="s">
        <v>12682</v>
      </c>
      <c r="J354" s="639" t="s">
        <v>12654</v>
      </c>
      <c r="K354" s="639">
        <v>4.0</v>
      </c>
      <c r="L354" s="643"/>
    </row>
    <row r="355">
      <c r="A355" s="652">
        <v>45669.0</v>
      </c>
      <c r="B355" s="634">
        <v>0.45457175925925924</v>
      </c>
      <c r="C355" s="633" t="s">
        <v>12683</v>
      </c>
      <c r="D355" s="635"/>
      <c r="E355" s="639">
        <v>923003819842</v>
      </c>
      <c r="F355" s="633" t="s">
        <v>6875</v>
      </c>
      <c r="G355" s="635"/>
      <c r="H355" s="633" t="s">
        <v>12684</v>
      </c>
      <c r="I355" s="633" t="s">
        <v>12685</v>
      </c>
      <c r="J355" s="635"/>
      <c r="K355" s="633">
        <v>2.0</v>
      </c>
      <c r="L355" s="633" t="s">
        <v>372</v>
      </c>
    </row>
    <row r="356">
      <c r="A356" s="652">
        <v>45669.0</v>
      </c>
      <c r="B356" s="634">
        <v>0.4549768518518518</v>
      </c>
      <c r="C356" s="633" t="s">
        <v>7641</v>
      </c>
      <c r="D356" s="635"/>
      <c r="E356" s="639">
        <v>923224364434</v>
      </c>
      <c r="F356" s="633" t="s">
        <v>6875</v>
      </c>
      <c r="G356" s="635"/>
      <c r="H356" s="635"/>
      <c r="I356" s="633" t="s">
        <v>12686</v>
      </c>
      <c r="J356" s="635"/>
      <c r="K356" s="633">
        <v>1.0</v>
      </c>
      <c r="L356" s="633" t="s">
        <v>372</v>
      </c>
    </row>
    <row r="357">
      <c r="A357" s="652">
        <v>45669.0</v>
      </c>
      <c r="B357" s="634">
        <v>0.45532407407407405</v>
      </c>
      <c r="C357" s="633" t="s">
        <v>12687</v>
      </c>
      <c r="D357" s="635"/>
      <c r="E357" s="639">
        <v>923342887327</v>
      </c>
      <c r="F357" s="633" t="s">
        <v>6875</v>
      </c>
      <c r="G357" s="633" t="s">
        <v>12462</v>
      </c>
      <c r="H357" s="633" t="s">
        <v>12688</v>
      </c>
      <c r="I357" s="633" t="s">
        <v>12689</v>
      </c>
      <c r="J357" s="635"/>
      <c r="K357" s="633">
        <v>2.0</v>
      </c>
      <c r="L357" s="633" t="s">
        <v>12690</v>
      </c>
    </row>
    <row r="358">
      <c r="A358" s="651">
        <v>45669.0</v>
      </c>
      <c r="B358" s="642">
        <v>0.4555092592592593</v>
      </c>
      <c r="C358" s="639" t="s">
        <v>5727</v>
      </c>
      <c r="D358" s="643"/>
      <c r="E358" s="639">
        <v>923710147328</v>
      </c>
      <c r="F358" s="633" t="s">
        <v>6982</v>
      </c>
      <c r="G358" s="639" t="s">
        <v>12691</v>
      </c>
      <c r="H358" s="639" t="s">
        <v>12692</v>
      </c>
      <c r="I358" s="639" t="s">
        <v>12693</v>
      </c>
      <c r="J358" s="643"/>
      <c r="K358" s="639">
        <v>3.0</v>
      </c>
      <c r="L358" s="639" t="s">
        <v>12694</v>
      </c>
    </row>
    <row r="359">
      <c r="A359" s="652">
        <v>45669.0</v>
      </c>
      <c r="B359" s="634">
        <v>0.455625</v>
      </c>
      <c r="C359" s="633" t="s">
        <v>12695</v>
      </c>
      <c r="D359" s="633" t="s">
        <v>6886</v>
      </c>
      <c r="E359" s="641" t="s">
        <v>12696</v>
      </c>
      <c r="F359" s="633" t="s">
        <v>6875</v>
      </c>
      <c r="G359" s="635"/>
      <c r="H359" s="635"/>
      <c r="I359" s="633" t="s">
        <v>12697</v>
      </c>
      <c r="J359" s="633" t="s">
        <v>12698</v>
      </c>
      <c r="K359" s="633">
        <v>2.0</v>
      </c>
      <c r="L359" s="633" t="s">
        <v>51</v>
      </c>
    </row>
    <row r="360">
      <c r="A360" s="651">
        <v>45669.0</v>
      </c>
      <c r="B360" s="642">
        <v>0.4557986111111111</v>
      </c>
      <c r="C360" s="639" t="s">
        <v>7648</v>
      </c>
      <c r="D360" s="643"/>
      <c r="E360" s="639">
        <v>923037569944</v>
      </c>
      <c r="F360" s="633" t="s">
        <v>6939</v>
      </c>
      <c r="G360" s="639" t="s">
        <v>12699</v>
      </c>
      <c r="H360" s="639" t="s">
        <v>12700</v>
      </c>
      <c r="I360" s="639" t="s">
        <v>12701</v>
      </c>
      <c r="J360" s="639" t="s">
        <v>12654</v>
      </c>
      <c r="K360" s="639">
        <v>4.0</v>
      </c>
      <c r="L360" s="643"/>
    </row>
    <row r="361">
      <c r="A361" s="652">
        <v>45669.0</v>
      </c>
      <c r="B361" s="634">
        <v>0.4559259259259259</v>
      </c>
      <c r="C361" s="633" t="s">
        <v>7653</v>
      </c>
      <c r="D361" s="635"/>
      <c r="E361" s="639">
        <v>923079323356</v>
      </c>
      <c r="F361" s="633" t="s">
        <v>6875</v>
      </c>
      <c r="G361" s="635"/>
      <c r="H361" s="635"/>
      <c r="I361" s="633" t="s">
        <v>12702</v>
      </c>
      <c r="J361" s="633" t="s">
        <v>12703</v>
      </c>
      <c r="K361" s="633">
        <v>2.0</v>
      </c>
      <c r="L361" s="633" t="s">
        <v>372</v>
      </c>
    </row>
    <row r="362">
      <c r="A362" s="652">
        <v>45669.0</v>
      </c>
      <c r="B362" s="634">
        <v>0.4560763888888889</v>
      </c>
      <c r="C362" s="633" t="s">
        <v>7658</v>
      </c>
      <c r="D362" s="635"/>
      <c r="E362" s="639">
        <v>923363800603</v>
      </c>
      <c r="F362" s="633" t="s">
        <v>6875</v>
      </c>
      <c r="G362" s="635"/>
      <c r="H362" s="635"/>
      <c r="I362" s="633" t="s">
        <v>12704</v>
      </c>
      <c r="J362" s="633" t="s">
        <v>12705</v>
      </c>
      <c r="K362" s="633">
        <v>2.0</v>
      </c>
      <c r="L362" s="633" t="s">
        <v>12706</v>
      </c>
    </row>
    <row r="363">
      <c r="A363" s="651">
        <v>45669.0</v>
      </c>
      <c r="B363" s="642">
        <v>0.5941898148148148</v>
      </c>
      <c r="C363" s="639" t="s">
        <v>12707</v>
      </c>
      <c r="D363" s="643"/>
      <c r="E363" s="639">
        <f>923347608981</f>
        <v>923347608981</v>
      </c>
      <c r="F363" s="633" t="s">
        <v>6982</v>
      </c>
      <c r="G363" s="639" t="s">
        <v>12708</v>
      </c>
      <c r="H363" s="639" t="s">
        <v>12709</v>
      </c>
      <c r="I363" s="639" t="s">
        <v>12710</v>
      </c>
      <c r="J363" s="643"/>
      <c r="K363" s="639">
        <v>3.0</v>
      </c>
      <c r="L363" s="639" t="s">
        <v>12711</v>
      </c>
    </row>
    <row r="364">
      <c r="A364" s="651">
        <v>45669.0</v>
      </c>
      <c r="B364" s="642">
        <v>0.5946412037037037</v>
      </c>
      <c r="C364" s="639" t="s">
        <v>12712</v>
      </c>
      <c r="D364" s="643"/>
      <c r="E364" s="639">
        <v>923324532996</v>
      </c>
      <c r="F364" s="633" t="s">
        <v>6939</v>
      </c>
      <c r="G364" s="639" t="s">
        <v>12699</v>
      </c>
      <c r="H364" s="639" t="s">
        <v>12713</v>
      </c>
      <c r="I364" s="639" t="s">
        <v>12714</v>
      </c>
      <c r="J364" s="639" t="s">
        <v>12654</v>
      </c>
      <c r="K364" s="639">
        <v>4.0</v>
      </c>
      <c r="L364" s="639" t="s">
        <v>12715</v>
      </c>
    </row>
    <row r="365">
      <c r="A365" s="652">
        <v>45669.0</v>
      </c>
      <c r="B365" s="634">
        <v>0.5949537037037037</v>
      </c>
      <c r="C365" s="633" t="s">
        <v>7665</v>
      </c>
      <c r="D365" s="635"/>
      <c r="E365" s="639">
        <v>923037109669</v>
      </c>
      <c r="F365" s="633" t="s">
        <v>6875</v>
      </c>
      <c r="G365" s="635"/>
      <c r="H365" s="633" t="s">
        <v>12716</v>
      </c>
      <c r="I365" s="635"/>
      <c r="J365" s="633" t="s">
        <v>12717</v>
      </c>
      <c r="K365" s="633">
        <v>2.0</v>
      </c>
      <c r="L365" s="633" t="s">
        <v>51</v>
      </c>
    </row>
    <row r="366">
      <c r="A366" s="652">
        <v>45669.0</v>
      </c>
      <c r="B366" s="634">
        <v>0.6375578703703704</v>
      </c>
      <c r="C366" s="633" t="s">
        <v>12718</v>
      </c>
      <c r="D366" s="635"/>
      <c r="E366" s="639">
        <v>923345481039</v>
      </c>
      <c r="F366" s="633" t="s">
        <v>6875</v>
      </c>
      <c r="G366" s="635"/>
      <c r="H366" s="635"/>
      <c r="I366" s="635"/>
      <c r="J366" s="633" t="s">
        <v>12719</v>
      </c>
      <c r="K366" s="633">
        <v>1.0</v>
      </c>
      <c r="L366" s="633" t="s">
        <v>12720</v>
      </c>
    </row>
    <row r="367">
      <c r="A367" s="651">
        <v>45669.0</v>
      </c>
      <c r="B367" s="642">
        <v>0.6381944444444444</v>
      </c>
      <c r="C367" s="639" t="s">
        <v>7670</v>
      </c>
      <c r="D367" s="643"/>
      <c r="E367" s="639">
        <v>923131512648</v>
      </c>
      <c r="F367" s="633" t="s">
        <v>6939</v>
      </c>
      <c r="G367" s="639" t="s">
        <v>12721</v>
      </c>
      <c r="H367" s="639" t="s">
        <v>12722</v>
      </c>
      <c r="I367" s="639" t="s">
        <v>12723</v>
      </c>
      <c r="J367" s="639" t="s">
        <v>12724</v>
      </c>
      <c r="K367" s="639">
        <v>4.0</v>
      </c>
      <c r="L367" s="643"/>
    </row>
    <row r="368">
      <c r="A368" s="651">
        <v>45669.0</v>
      </c>
      <c r="B368" s="642">
        <v>0.638449074074074</v>
      </c>
      <c r="C368" s="639" t="s">
        <v>12725</v>
      </c>
      <c r="D368" s="643"/>
      <c r="E368" s="639">
        <v>923334227221</v>
      </c>
      <c r="F368" s="633" t="s">
        <v>7291</v>
      </c>
      <c r="G368" s="639" t="s">
        <v>12462</v>
      </c>
      <c r="H368" s="639" t="s">
        <v>12726</v>
      </c>
      <c r="I368" s="643"/>
      <c r="J368" s="639" t="s">
        <v>12727</v>
      </c>
      <c r="K368" s="639">
        <v>2.0</v>
      </c>
      <c r="L368" s="639" t="s">
        <v>6944</v>
      </c>
    </row>
    <row r="369">
      <c r="A369" s="652">
        <v>45669.0</v>
      </c>
      <c r="B369" s="634">
        <v>0.6559837962962963</v>
      </c>
      <c r="C369" s="633" t="s">
        <v>12728</v>
      </c>
      <c r="D369" s="635"/>
      <c r="E369" s="639">
        <v>923196937539</v>
      </c>
      <c r="F369" s="633" t="s">
        <v>6875</v>
      </c>
      <c r="G369" s="633" t="s">
        <v>12729</v>
      </c>
      <c r="H369" s="633" t="s">
        <v>12730</v>
      </c>
      <c r="I369" s="635"/>
      <c r="J369" s="633" t="s">
        <v>12731</v>
      </c>
      <c r="K369" s="633">
        <v>3.0</v>
      </c>
      <c r="L369" s="635"/>
    </row>
    <row r="370">
      <c r="A370" s="652">
        <v>45669.0</v>
      </c>
      <c r="B370" s="634">
        <v>0.723761574074074</v>
      </c>
      <c r="C370" s="633" t="s">
        <v>12732</v>
      </c>
      <c r="D370" s="633" t="s">
        <v>7725</v>
      </c>
      <c r="E370" s="641" t="s">
        <v>12733</v>
      </c>
      <c r="F370" s="633" t="s">
        <v>6875</v>
      </c>
      <c r="G370" s="633" t="s">
        <v>12462</v>
      </c>
      <c r="H370" s="633" t="s">
        <v>12734</v>
      </c>
      <c r="I370" s="635"/>
      <c r="J370" s="633" t="s">
        <v>12735</v>
      </c>
      <c r="K370" s="633">
        <v>2.0</v>
      </c>
      <c r="L370" s="633" t="s">
        <v>10937</v>
      </c>
    </row>
    <row r="371">
      <c r="A371" s="652">
        <v>45669.0</v>
      </c>
      <c r="B371" s="634">
        <v>0.7414120370370371</v>
      </c>
      <c r="C371" s="633" t="s">
        <v>3380</v>
      </c>
      <c r="D371" s="633" t="s">
        <v>7725</v>
      </c>
      <c r="E371" s="641" t="s">
        <v>12736</v>
      </c>
      <c r="F371" s="633" t="s">
        <v>6875</v>
      </c>
      <c r="G371" s="635"/>
      <c r="H371" s="633" t="s">
        <v>12737</v>
      </c>
      <c r="I371" s="633" t="s">
        <v>12738</v>
      </c>
      <c r="J371" s="635"/>
      <c r="K371" s="633">
        <v>2.0</v>
      </c>
      <c r="L371" s="633" t="s">
        <v>372</v>
      </c>
    </row>
    <row r="372">
      <c r="A372" s="651">
        <v>45700.0</v>
      </c>
      <c r="B372" s="642">
        <v>0.43950231481481483</v>
      </c>
      <c r="C372" s="639" t="s">
        <v>7684</v>
      </c>
      <c r="D372" s="643"/>
      <c r="E372" s="639">
        <v>923154068238</v>
      </c>
      <c r="F372" s="633" t="s">
        <v>6939</v>
      </c>
      <c r="G372" s="639" t="s">
        <v>12739</v>
      </c>
      <c r="H372" s="639" t="s">
        <v>12740</v>
      </c>
      <c r="I372" s="639" t="s">
        <v>12741</v>
      </c>
      <c r="J372" s="639" t="s">
        <v>12724</v>
      </c>
      <c r="K372" s="639">
        <v>4.0</v>
      </c>
      <c r="L372" s="643"/>
    </row>
    <row r="373">
      <c r="A373" s="652">
        <v>45700.0</v>
      </c>
      <c r="B373" s="634">
        <v>0.43974537037037037</v>
      </c>
      <c r="C373" s="633" t="s">
        <v>7688</v>
      </c>
      <c r="D373" s="635"/>
      <c r="E373" s="639">
        <v>923339295240</v>
      </c>
      <c r="F373" s="633" t="s">
        <v>6875</v>
      </c>
      <c r="G373" s="635"/>
      <c r="H373" s="633" t="s">
        <v>12742</v>
      </c>
      <c r="I373" s="635"/>
      <c r="J373" s="635"/>
      <c r="K373" s="633">
        <v>1.0</v>
      </c>
      <c r="L373" s="633" t="s">
        <v>372</v>
      </c>
    </row>
    <row r="374">
      <c r="A374" s="651">
        <v>45700.0</v>
      </c>
      <c r="B374" s="642">
        <v>0.4399074074074074</v>
      </c>
      <c r="C374" s="639" t="s">
        <v>7691</v>
      </c>
      <c r="D374" s="643"/>
      <c r="E374" s="639">
        <v>923053944941</v>
      </c>
      <c r="F374" s="633" t="s">
        <v>6939</v>
      </c>
      <c r="G374" s="639" t="s">
        <v>12743</v>
      </c>
      <c r="H374" s="639" t="s">
        <v>12744</v>
      </c>
      <c r="I374" s="639" t="s">
        <v>12745</v>
      </c>
      <c r="J374" s="639" t="s">
        <v>12724</v>
      </c>
      <c r="K374" s="639">
        <v>4.0</v>
      </c>
      <c r="L374" s="643"/>
    </row>
    <row r="375">
      <c r="A375" s="651">
        <v>45700.0</v>
      </c>
      <c r="B375" s="642">
        <v>0.44004629629629627</v>
      </c>
      <c r="C375" s="639" t="s">
        <v>12746</v>
      </c>
      <c r="D375" s="643"/>
      <c r="E375" s="639">
        <v>923054664130</v>
      </c>
      <c r="F375" s="633" t="s">
        <v>6939</v>
      </c>
      <c r="G375" s="639" t="s">
        <v>12462</v>
      </c>
      <c r="H375" s="639" t="s">
        <v>12747</v>
      </c>
      <c r="I375" s="639" t="s">
        <v>12748</v>
      </c>
      <c r="J375" s="639" t="s">
        <v>12724</v>
      </c>
      <c r="K375" s="639">
        <v>4.0</v>
      </c>
      <c r="L375" s="639" t="s">
        <v>6944</v>
      </c>
    </row>
    <row r="376">
      <c r="A376" s="651">
        <v>45700.0</v>
      </c>
      <c r="B376" s="642">
        <v>0.4401736111111111</v>
      </c>
      <c r="C376" s="639" t="s">
        <v>7696</v>
      </c>
      <c r="D376" s="643"/>
      <c r="E376" s="639">
        <v>923161468306</v>
      </c>
      <c r="F376" s="633" t="s">
        <v>6939</v>
      </c>
      <c r="G376" s="639" t="s">
        <v>12749</v>
      </c>
      <c r="H376" s="639" t="s">
        <v>12750</v>
      </c>
      <c r="I376" s="639" t="s">
        <v>12751</v>
      </c>
      <c r="J376" s="639" t="s">
        <v>12724</v>
      </c>
      <c r="K376" s="639">
        <v>4.0</v>
      </c>
      <c r="L376" s="643"/>
    </row>
    <row r="377">
      <c r="A377" s="652">
        <v>45700.0</v>
      </c>
      <c r="B377" s="634">
        <v>0.4403125</v>
      </c>
      <c r="C377" s="633" t="s">
        <v>7701</v>
      </c>
      <c r="D377" s="635"/>
      <c r="E377" s="639">
        <v>923332579338</v>
      </c>
      <c r="F377" s="633" t="s">
        <v>6875</v>
      </c>
      <c r="G377" s="635"/>
      <c r="H377" s="633" t="s">
        <v>12752</v>
      </c>
      <c r="I377" s="635"/>
      <c r="J377" s="635"/>
      <c r="K377" s="633">
        <v>1.0</v>
      </c>
      <c r="L377" s="633" t="s">
        <v>372</v>
      </c>
    </row>
    <row r="378">
      <c r="A378" s="651">
        <v>45700.0</v>
      </c>
      <c r="B378" s="642">
        <v>0.44077546296296294</v>
      </c>
      <c r="C378" s="639" t="s">
        <v>12753</v>
      </c>
      <c r="D378" s="643"/>
      <c r="E378" s="639">
        <v>923009697495</v>
      </c>
      <c r="F378" s="633" t="s">
        <v>6939</v>
      </c>
      <c r="G378" s="639" t="s">
        <v>12754</v>
      </c>
      <c r="H378" s="639" t="s">
        <v>12755</v>
      </c>
      <c r="I378" s="639" t="s">
        <v>12756</v>
      </c>
      <c r="J378" s="639" t="s">
        <v>12724</v>
      </c>
      <c r="K378" s="639">
        <v>4.0</v>
      </c>
      <c r="L378" s="643"/>
    </row>
    <row r="379">
      <c r="A379" s="652">
        <v>45700.0</v>
      </c>
      <c r="B379" s="634">
        <v>0.44096064814814817</v>
      </c>
      <c r="C379" s="633" t="s">
        <v>4333</v>
      </c>
      <c r="D379" s="635"/>
      <c r="E379" s="639">
        <v>923219262421</v>
      </c>
      <c r="F379" s="633" t="s">
        <v>6875</v>
      </c>
      <c r="G379" s="633" t="s">
        <v>12757</v>
      </c>
      <c r="H379" s="633" t="s">
        <v>12758</v>
      </c>
      <c r="I379" s="633" t="s">
        <v>12759</v>
      </c>
      <c r="J379" s="635"/>
      <c r="K379" s="633">
        <v>3.0</v>
      </c>
      <c r="L379" s="633" t="s">
        <v>372</v>
      </c>
    </row>
    <row r="380">
      <c r="A380" s="652">
        <v>45700.0</v>
      </c>
      <c r="B380" s="634">
        <v>0.44123842592592594</v>
      </c>
      <c r="C380" s="633" t="s">
        <v>811</v>
      </c>
      <c r="D380" s="635"/>
      <c r="E380" s="639">
        <f>923114395693</f>
        <v>923114395693</v>
      </c>
      <c r="F380" s="633" t="s">
        <v>6875</v>
      </c>
      <c r="G380" s="633" t="s">
        <v>12760</v>
      </c>
      <c r="H380" s="633" t="s">
        <v>12758</v>
      </c>
      <c r="I380" s="633" t="s">
        <v>12761</v>
      </c>
      <c r="J380" s="633" t="s">
        <v>12762</v>
      </c>
      <c r="K380" s="633">
        <v>4.0</v>
      </c>
      <c r="L380" s="633" t="s">
        <v>12763</v>
      </c>
    </row>
    <row r="381">
      <c r="A381" s="651">
        <v>45700.0</v>
      </c>
      <c r="B381" s="642">
        <v>0.4415046296296296</v>
      </c>
      <c r="C381" s="639" t="s">
        <v>4205</v>
      </c>
      <c r="D381" s="643"/>
      <c r="E381" s="639">
        <v>923100227797</v>
      </c>
      <c r="F381" s="633" t="s">
        <v>6939</v>
      </c>
      <c r="G381" s="639" t="s">
        <v>12764</v>
      </c>
      <c r="H381" s="639" t="s">
        <v>12765</v>
      </c>
      <c r="I381" s="639" t="s">
        <v>12766</v>
      </c>
      <c r="J381" s="639" t="s">
        <v>12724</v>
      </c>
      <c r="K381" s="639">
        <v>4.0</v>
      </c>
      <c r="L381" s="643"/>
    </row>
    <row r="382">
      <c r="A382" s="651">
        <v>45700.0</v>
      </c>
      <c r="B382" s="642">
        <v>0.4416319444444444</v>
      </c>
      <c r="C382" s="639" t="s">
        <v>12767</v>
      </c>
      <c r="D382" s="643"/>
      <c r="E382" s="639">
        <v>923112840754</v>
      </c>
      <c r="F382" s="633" t="s">
        <v>6939</v>
      </c>
      <c r="G382" s="639" t="s">
        <v>12768</v>
      </c>
      <c r="H382" s="639" t="s">
        <v>12769</v>
      </c>
      <c r="I382" s="639" t="s">
        <v>12770</v>
      </c>
      <c r="J382" s="639" t="s">
        <v>12771</v>
      </c>
      <c r="K382" s="639">
        <v>4.0</v>
      </c>
      <c r="L382" s="639" t="s">
        <v>204</v>
      </c>
    </row>
    <row r="383">
      <c r="A383" s="652">
        <v>45700.0</v>
      </c>
      <c r="B383" s="634">
        <v>0.4417476851851852</v>
      </c>
      <c r="C383" s="284" t="s">
        <v>12772</v>
      </c>
      <c r="D383" s="635"/>
      <c r="E383" s="639">
        <v>923322805423</v>
      </c>
      <c r="F383" s="633" t="s">
        <v>6875</v>
      </c>
      <c r="G383" s="633" t="s">
        <v>12773</v>
      </c>
      <c r="H383" s="633" t="s">
        <v>12774</v>
      </c>
      <c r="I383" s="633" t="s">
        <v>12775</v>
      </c>
      <c r="J383" s="633" t="s">
        <v>12724</v>
      </c>
      <c r="K383" s="633">
        <v>4.0</v>
      </c>
      <c r="L383" s="633" t="s">
        <v>12776</v>
      </c>
    </row>
    <row r="384">
      <c r="A384" s="651">
        <v>45700.0</v>
      </c>
      <c r="B384" s="642">
        <v>0.44185185185185183</v>
      </c>
      <c r="C384" s="639" t="s">
        <v>12777</v>
      </c>
      <c r="D384" s="639" t="s">
        <v>7725</v>
      </c>
      <c r="E384" s="641" t="s">
        <v>12778</v>
      </c>
      <c r="F384" s="633" t="s">
        <v>2076</v>
      </c>
      <c r="G384" s="639" t="s">
        <v>12779</v>
      </c>
      <c r="H384" s="639" t="s">
        <v>12780</v>
      </c>
      <c r="I384" s="639" t="s">
        <v>12781</v>
      </c>
      <c r="J384" s="639" t="s">
        <v>12782</v>
      </c>
      <c r="K384" s="639">
        <v>4.0</v>
      </c>
      <c r="L384" s="639" t="s">
        <v>12783</v>
      </c>
    </row>
    <row r="385">
      <c r="A385" s="652">
        <v>45700.0</v>
      </c>
      <c r="B385" s="634">
        <v>0.4421875</v>
      </c>
      <c r="C385" s="633" t="s">
        <v>12784</v>
      </c>
      <c r="D385" s="635"/>
      <c r="E385" s="639">
        <v>923024192261</v>
      </c>
      <c r="F385" s="633" t="s">
        <v>6888</v>
      </c>
      <c r="G385" s="633" t="s">
        <v>12785</v>
      </c>
      <c r="H385" s="633" t="s">
        <v>12786</v>
      </c>
      <c r="I385" s="633" t="s">
        <v>12787</v>
      </c>
      <c r="J385" s="635"/>
      <c r="K385" s="633">
        <v>3.0</v>
      </c>
      <c r="L385" s="633" t="s">
        <v>11542</v>
      </c>
    </row>
    <row r="386">
      <c r="A386" s="651">
        <v>45700.0</v>
      </c>
      <c r="B386" s="642">
        <v>0.44244212962962964</v>
      </c>
      <c r="C386" s="639" t="s">
        <v>12788</v>
      </c>
      <c r="D386" s="643"/>
      <c r="E386" s="639">
        <v>923228078733</v>
      </c>
      <c r="F386" s="633" t="s">
        <v>7291</v>
      </c>
      <c r="G386" s="639" t="s">
        <v>12789</v>
      </c>
      <c r="H386" s="639" t="s">
        <v>12790</v>
      </c>
      <c r="I386" s="639" t="s">
        <v>12791</v>
      </c>
      <c r="J386" s="639" t="s">
        <v>12792</v>
      </c>
      <c r="K386" s="639">
        <v>4.0</v>
      </c>
      <c r="L386" s="639" t="s">
        <v>11891</v>
      </c>
    </row>
    <row r="387">
      <c r="A387" s="652">
        <v>45700.0</v>
      </c>
      <c r="B387" s="634">
        <v>0.4426273148148148</v>
      </c>
      <c r="C387" s="633" t="s">
        <v>12793</v>
      </c>
      <c r="D387" s="635"/>
      <c r="E387" s="639">
        <v>923341256593</v>
      </c>
      <c r="F387" s="633" t="s">
        <v>6875</v>
      </c>
      <c r="G387" s="635"/>
      <c r="H387" s="633" t="s">
        <v>12794</v>
      </c>
      <c r="I387" s="635"/>
      <c r="J387" s="635"/>
      <c r="K387" s="633">
        <v>1.0</v>
      </c>
      <c r="L387" s="633" t="s">
        <v>372</v>
      </c>
    </row>
    <row r="388">
      <c r="A388" s="651">
        <v>45700.0</v>
      </c>
      <c r="B388" s="642">
        <v>0.4427314814814815</v>
      </c>
      <c r="C388" s="639" t="s">
        <v>12795</v>
      </c>
      <c r="D388" s="639" t="s">
        <v>6886</v>
      </c>
      <c r="E388" s="641" t="s">
        <v>12796</v>
      </c>
      <c r="F388" s="633" t="s">
        <v>656</v>
      </c>
      <c r="G388" s="639" t="s">
        <v>12797</v>
      </c>
      <c r="H388" s="639" t="s">
        <v>12798</v>
      </c>
      <c r="I388" s="639" t="s">
        <v>12799</v>
      </c>
      <c r="J388" s="639" t="s">
        <v>12724</v>
      </c>
      <c r="K388" s="639">
        <v>4.0</v>
      </c>
      <c r="L388" s="639" t="s">
        <v>12800</v>
      </c>
    </row>
    <row r="389">
      <c r="A389" s="652">
        <v>45700.0</v>
      </c>
      <c r="B389" s="634">
        <v>0.44296296296296295</v>
      </c>
      <c r="C389" s="633" t="s">
        <v>12801</v>
      </c>
      <c r="D389" s="635"/>
      <c r="E389" s="639">
        <v>923224906361</v>
      </c>
      <c r="F389" s="633" t="s">
        <v>6875</v>
      </c>
      <c r="G389" s="633" t="s">
        <v>12797</v>
      </c>
      <c r="H389" s="633" t="s">
        <v>12802</v>
      </c>
      <c r="I389" s="633" t="s">
        <v>12803</v>
      </c>
      <c r="J389" s="635"/>
      <c r="K389" s="633">
        <v>3.0</v>
      </c>
      <c r="L389" s="633" t="s">
        <v>12804</v>
      </c>
    </row>
    <row r="390">
      <c r="A390" s="651">
        <v>45700.0</v>
      </c>
      <c r="B390" s="642">
        <v>0.4431365740740741</v>
      </c>
      <c r="C390" s="639" t="s">
        <v>12805</v>
      </c>
      <c r="D390" s="643"/>
      <c r="E390" s="639">
        <v>923400176417</v>
      </c>
      <c r="F390" s="633" t="s">
        <v>6939</v>
      </c>
      <c r="G390" s="639" t="s">
        <v>12806</v>
      </c>
      <c r="H390" s="639" t="s">
        <v>12807</v>
      </c>
      <c r="I390" s="639" t="s">
        <v>12808</v>
      </c>
      <c r="J390" s="639" t="s">
        <v>12724</v>
      </c>
      <c r="K390" s="639">
        <v>4.0</v>
      </c>
      <c r="L390" s="639" t="s">
        <v>927</v>
      </c>
    </row>
    <row r="391">
      <c r="A391" s="652">
        <v>45700.0</v>
      </c>
      <c r="B391" s="634">
        <v>0.4436805555555556</v>
      </c>
      <c r="C391" s="633" t="s">
        <v>12809</v>
      </c>
      <c r="D391" s="635"/>
      <c r="E391" s="639">
        <v>923401669648</v>
      </c>
      <c r="F391" s="633" t="s">
        <v>6875</v>
      </c>
      <c r="G391" s="635"/>
      <c r="H391" s="633" t="s">
        <v>12810</v>
      </c>
      <c r="I391" s="635"/>
      <c r="J391" s="635"/>
      <c r="K391" s="633">
        <v>1.0</v>
      </c>
      <c r="L391" s="635"/>
    </row>
    <row r="392">
      <c r="A392" s="652">
        <v>45700.0</v>
      </c>
      <c r="B392" s="634">
        <v>0.44469907407407405</v>
      </c>
      <c r="C392" s="633" t="s">
        <v>7719</v>
      </c>
      <c r="D392" s="635"/>
      <c r="E392" s="639">
        <v>923132054494</v>
      </c>
      <c r="F392" s="633" t="s">
        <v>6875</v>
      </c>
      <c r="G392" s="633" t="s">
        <v>12811</v>
      </c>
      <c r="H392" s="633" t="s">
        <v>12812</v>
      </c>
      <c r="I392" s="633" t="s">
        <v>12813</v>
      </c>
      <c r="J392" s="633" t="s">
        <v>12724</v>
      </c>
      <c r="K392" s="633">
        <v>4.0</v>
      </c>
      <c r="L392" s="635"/>
    </row>
    <row r="393">
      <c r="A393" s="651">
        <v>45700.0</v>
      </c>
      <c r="B393" s="642">
        <v>0.44484953703703706</v>
      </c>
      <c r="C393" s="639" t="s">
        <v>12814</v>
      </c>
      <c r="D393" s="643"/>
      <c r="E393" s="639">
        <v>923024667174</v>
      </c>
      <c r="F393" s="633" t="s">
        <v>6939</v>
      </c>
      <c r="G393" s="639" t="s">
        <v>12811</v>
      </c>
      <c r="H393" s="639" t="s">
        <v>12815</v>
      </c>
      <c r="I393" s="639" t="s">
        <v>12816</v>
      </c>
      <c r="J393" s="639" t="s">
        <v>12724</v>
      </c>
      <c r="K393" s="639">
        <v>4.0</v>
      </c>
      <c r="L393" s="639" t="s">
        <v>927</v>
      </c>
    </row>
    <row r="394">
      <c r="A394" s="652">
        <v>45700.0</v>
      </c>
      <c r="B394" s="634">
        <v>0.44506944444444446</v>
      </c>
      <c r="C394" s="633" t="s">
        <v>12817</v>
      </c>
      <c r="D394" s="635"/>
      <c r="E394" s="639">
        <v>923016753888</v>
      </c>
      <c r="F394" s="633" t="s">
        <v>6875</v>
      </c>
      <c r="G394" s="635"/>
      <c r="H394" s="633" t="s">
        <v>12818</v>
      </c>
      <c r="I394" s="633" t="s">
        <v>12819</v>
      </c>
      <c r="J394" s="633" t="s">
        <v>12820</v>
      </c>
      <c r="K394" s="633">
        <v>3.0</v>
      </c>
      <c r="L394" s="635"/>
    </row>
    <row r="395">
      <c r="A395" s="651">
        <v>45700.0</v>
      </c>
      <c r="B395" s="642">
        <v>0.44525462962962964</v>
      </c>
      <c r="C395" s="639" t="s">
        <v>7731</v>
      </c>
      <c r="D395" s="643"/>
      <c r="E395" s="639">
        <v>923091621894</v>
      </c>
      <c r="F395" s="633" t="s">
        <v>6939</v>
      </c>
      <c r="G395" s="639" t="s">
        <v>12811</v>
      </c>
      <c r="H395" s="639" t="s">
        <v>12821</v>
      </c>
      <c r="I395" s="639" t="s">
        <v>12822</v>
      </c>
      <c r="J395" s="639" t="s">
        <v>12724</v>
      </c>
      <c r="K395" s="639">
        <v>4.0</v>
      </c>
      <c r="L395" s="643"/>
    </row>
    <row r="396">
      <c r="A396" s="651">
        <v>45700.0</v>
      </c>
      <c r="B396" s="642">
        <v>0.44547453703703704</v>
      </c>
      <c r="C396" s="639" t="s">
        <v>12823</v>
      </c>
      <c r="D396" s="643"/>
      <c r="E396" s="639">
        <v>923239866188</v>
      </c>
      <c r="F396" s="633" t="s">
        <v>6939</v>
      </c>
      <c r="G396" s="639" t="s">
        <v>12797</v>
      </c>
      <c r="H396" s="639" t="s">
        <v>12824</v>
      </c>
      <c r="I396" s="639" t="s">
        <v>12825</v>
      </c>
      <c r="J396" s="639" t="s">
        <v>12724</v>
      </c>
      <c r="K396" s="639">
        <v>4.0</v>
      </c>
      <c r="L396" s="639" t="s">
        <v>6944</v>
      </c>
    </row>
    <row r="397">
      <c r="A397" s="651">
        <v>45700.0</v>
      </c>
      <c r="B397" s="642">
        <v>0.44560185185185186</v>
      </c>
      <c r="C397" s="639" t="s">
        <v>7739</v>
      </c>
      <c r="D397" s="643"/>
      <c r="E397" s="639">
        <v>923305748258</v>
      </c>
      <c r="F397" s="633" t="s">
        <v>7291</v>
      </c>
      <c r="G397" s="639" t="s">
        <v>12797</v>
      </c>
      <c r="H397" s="639" t="s">
        <v>12826</v>
      </c>
      <c r="I397" s="639" t="s">
        <v>12827</v>
      </c>
      <c r="J397" s="639" t="s">
        <v>12828</v>
      </c>
      <c r="K397" s="639">
        <v>4.0</v>
      </c>
      <c r="L397" s="639" t="s">
        <v>6944</v>
      </c>
    </row>
    <row r="398">
      <c r="A398" s="652">
        <v>45700.0</v>
      </c>
      <c r="B398" s="634">
        <v>0.44582175925925926</v>
      </c>
      <c r="C398" s="633" t="s">
        <v>12829</v>
      </c>
      <c r="D398" s="633" t="s">
        <v>6886</v>
      </c>
      <c r="E398" s="641" t="s">
        <v>12830</v>
      </c>
      <c r="F398" s="633" t="s">
        <v>6875</v>
      </c>
      <c r="G398" s="635"/>
      <c r="H398" s="633" t="s">
        <v>12831</v>
      </c>
      <c r="I398" s="633" t="s">
        <v>12832</v>
      </c>
      <c r="J398" s="633" t="s">
        <v>12833</v>
      </c>
      <c r="K398" s="633">
        <v>3.0</v>
      </c>
      <c r="L398" s="633" t="s">
        <v>12834</v>
      </c>
    </row>
    <row r="399">
      <c r="A399" s="651">
        <v>45700.0</v>
      </c>
      <c r="B399" s="642">
        <v>0.44609953703703703</v>
      </c>
      <c r="C399" s="639" t="s">
        <v>12835</v>
      </c>
      <c r="D399" s="643"/>
      <c r="E399" s="639">
        <v>923362820550</v>
      </c>
      <c r="F399" s="633" t="s">
        <v>6939</v>
      </c>
      <c r="G399" s="639" t="s">
        <v>12811</v>
      </c>
      <c r="H399" s="639" t="s">
        <v>12836</v>
      </c>
      <c r="I399" s="639" t="s">
        <v>12837</v>
      </c>
      <c r="J399" s="639" t="s">
        <v>12724</v>
      </c>
      <c r="K399" s="639">
        <v>4.0</v>
      </c>
      <c r="L399" s="643"/>
    </row>
    <row r="400">
      <c r="A400" s="652">
        <v>45700.0</v>
      </c>
      <c r="B400" s="634">
        <v>0.4462962962962963</v>
      </c>
      <c r="C400" s="633" t="s">
        <v>12838</v>
      </c>
      <c r="D400" s="635"/>
      <c r="E400" s="639">
        <v>923413547570</v>
      </c>
      <c r="F400" s="633" t="s">
        <v>6875</v>
      </c>
      <c r="G400" s="635"/>
      <c r="H400" s="633" t="s">
        <v>12839</v>
      </c>
      <c r="I400" s="635"/>
      <c r="J400" s="635"/>
      <c r="K400" s="633">
        <v>1.0</v>
      </c>
      <c r="L400" s="633" t="s">
        <v>372</v>
      </c>
    </row>
    <row r="401">
      <c r="A401" s="652">
        <v>45700.0</v>
      </c>
      <c r="B401" s="634">
        <v>0.4464699074074074</v>
      </c>
      <c r="C401" s="633" t="s">
        <v>12840</v>
      </c>
      <c r="D401" s="635"/>
      <c r="E401" s="639">
        <v>923122190971</v>
      </c>
      <c r="F401" s="633" t="s">
        <v>6875</v>
      </c>
      <c r="G401" s="633" t="s">
        <v>12811</v>
      </c>
      <c r="H401" s="633" t="s">
        <v>12841</v>
      </c>
      <c r="I401" s="633" t="s">
        <v>12842</v>
      </c>
      <c r="J401" s="635"/>
      <c r="K401" s="633">
        <v>3.0</v>
      </c>
      <c r="L401" s="633" t="s">
        <v>372</v>
      </c>
    </row>
    <row r="402">
      <c r="A402" s="651">
        <v>45700.0</v>
      </c>
      <c r="B402" s="642">
        <v>0.4465972222222222</v>
      </c>
      <c r="C402" s="639" t="s">
        <v>12843</v>
      </c>
      <c r="D402" s="643"/>
      <c r="E402" s="639">
        <v>923125775991</v>
      </c>
      <c r="F402" s="633" t="s">
        <v>6939</v>
      </c>
      <c r="G402" s="639" t="s">
        <v>12811</v>
      </c>
      <c r="H402" s="639" t="s">
        <v>12844</v>
      </c>
      <c r="I402" s="639" t="s">
        <v>12845</v>
      </c>
      <c r="J402" s="639" t="s">
        <v>12724</v>
      </c>
      <c r="K402" s="639">
        <v>4.0</v>
      </c>
      <c r="L402" s="643"/>
    </row>
    <row r="403">
      <c r="A403" s="651">
        <v>45700.0</v>
      </c>
      <c r="B403" s="642">
        <v>0.44675925925925924</v>
      </c>
      <c r="C403" s="639" t="s">
        <v>12846</v>
      </c>
      <c r="D403" s="643"/>
      <c r="E403" s="639">
        <v>923343539150</v>
      </c>
      <c r="F403" s="633" t="s">
        <v>656</v>
      </c>
      <c r="G403" s="643"/>
      <c r="H403" s="643"/>
      <c r="I403" s="639" t="s">
        <v>12847</v>
      </c>
      <c r="J403" s="639" t="s">
        <v>12848</v>
      </c>
      <c r="K403" s="639">
        <v>2.0</v>
      </c>
      <c r="L403" s="639" t="s">
        <v>1418</v>
      </c>
    </row>
    <row r="404">
      <c r="A404" s="651">
        <v>45700.0</v>
      </c>
      <c r="B404" s="642">
        <v>0.44689814814814816</v>
      </c>
      <c r="C404" s="639" t="s">
        <v>12849</v>
      </c>
      <c r="D404" s="643"/>
      <c r="E404" s="639">
        <v>923362075370</v>
      </c>
      <c r="F404" s="633" t="s">
        <v>7291</v>
      </c>
      <c r="G404" s="639" t="s">
        <v>12797</v>
      </c>
      <c r="H404" s="643"/>
      <c r="I404" s="639" t="s">
        <v>12850</v>
      </c>
      <c r="J404" s="643"/>
      <c r="K404" s="639">
        <v>2.0</v>
      </c>
      <c r="L404" s="639" t="s">
        <v>12851</v>
      </c>
    </row>
    <row r="405">
      <c r="A405" s="652">
        <v>45700.0</v>
      </c>
      <c r="B405" s="634">
        <v>0.44707175925925924</v>
      </c>
      <c r="C405" s="633" t="s">
        <v>7752</v>
      </c>
      <c r="D405" s="635"/>
      <c r="E405" s="639">
        <v>923436896457</v>
      </c>
      <c r="F405" s="633" t="s">
        <v>6875</v>
      </c>
      <c r="G405" s="635"/>
      <c r="H405" s="635"/>
      <c r="I405" s="633" t="s">
        <v>12852</v>
      </c>
      <c r="J405" s="635"/>
      <c r="K405" s="633">
        <v>1.0</v>
      </c>
      <c r="L405" s="635"/>
    </row>
    <row r="406">
      <c r="A406" s="652">
        <v>45700.0</v>
      </c>
      <c r="B406" s="634">
        <v>0.4472800925925926</v>
      </c>
      <c r="C406" s="633" t="s">
        <v>12853</v>
      </c>
      <c r="D406" s="635"/>
      <c r="E406" s="639">
        <f>923122779850</f>
        <v>923122779850</v>
      </c>
      <c r="F406" s="633" t="s">
        <v>6875</v>
      </c>
      <c r="G406" s="635"/>
      <c r="H406" s="633" t="s">
        <v>12854</v>
      </c>
      <c r="I406" s="633" t="s">
        <v>12855</v>
      </c>
      <c r="J406" s="633" t="s">
        <v>12856</v>
      </c>
      <c r="K406" s="633">
        <v>3.0</v>
      </c>
      <c r="L406" s="633" t="s">
        <v>12857</v>
      </c>
    </row>
    <row r="407">
      <c r="A407" s="652">
        <v>45700.0</v>
      </c>
      <c r="B407" s="634">
        <v>0.44741898148148146</v>
      </c>
      <c r="C407" s="633" t="s">
        <v>7759</v>
      </c>
      <c r="D407" s="635"/>
      <c r="E407" s="639">
        <v>923198194866</v>
      </c>
      <c r="F407" s="633" t="s">
        <v>6875</v>
      </c>
      <c r="G407" s="635"/>
      <c r="H407" s="635"/>
      <c r="I407" s="633" t="s">
        <v>12858</v>
      </c>
      <c r="J407" s="635"/>
      <c r="K407" s="633">
        <v>1.0</v>
      </c>
      <c r="L407" s="633" t="s">
        <v>372</v>
      </c>
    </row>
    <row r="408">
      <c r="A408" s="651">
        <v>45700.0</v>
      </c>
      <c r="B408" s="642">
        <v>0.4475810185185185</v>
      </c>
      <c r="C408" s="639" t="s">
        <v>12859</v>
      </c>
      <c r="D408" s="643"/>
      <c r="E408" s="639">
        <v>923396935566</v>
      </c>
      <c r="F408" s="633" t="s">
        <v>6939</v>
      </c>
      <c r="G408" s="639" t="s">
        <v>12811</v>
      </c>
      <c r="H408" s="639" t="s">
        <v>12860</v>
      </c>
      <c r="I408" s="639" t="s">
        <v>12861</v>
      </c>
      <c r="J408" s="639" t="s">
        <v>12862</v>
      </c>
      <c r="K408" s="639">
        <v>4.0</v>
      </c>
      <c r="L408" s="643"/>
    </row>
    <row r="409">
      <c r="A409" s="652">
        <v>45700.0</v>
      </c>
      <c r="B409" s="634">
        <v>0.4477662037037037</v>
      </c>
      <c r="C409" s="633" t="s">
        <v>7764</v>
      </c>
      <c r="D409" s="635"/>
      <c r="E409" s="639">
        <v>923707508153</v>
      </c>
      <c r="F409" s="633" t="s">
        <v>6875</v>
      </c>
      <c r="G409" s="635"/>
      <c r="H409" s="635"/>
      <c r="I409" s="633" t="s">
        <v>12863</v>
      </c>
      <c r="J409" s="635"/>
      <c r="K409" s="633">
        <v>1.0</v>
      </c>
      <c r="L409" s="635"/>
    </row>
    <row r="410">
      <c r="A410" s="652">
        <v>45700.0</v>
      </c>
      <c r="B410" s="634">
        <v>0.44783564814814814</v>
      </c>
      <c r="C410" s="633" t="s">
        <v>12864</v>
      </c>
      <c r="D410" s="633" t="s">
        <v>7725</v>
      </c>
      <c r="E410" s="641" t="s">
        <v>12865</v>
      </c>
      <c r="F410" s="633" t="s">
        <v>6875</v>
      </c>
      <c r="G410" s="633" t="s">
        <v>12797</v>
      </c>
      <c r="H410" s="635"/>
      <c r="I410" s="633" t="s">
        <v>12866</v>
      </c>
      <c r="J410" s="635"/>
      <c r="K410" s="633">
        <v>2.0</v>
      </c>
      <c r="L410" s="633" t="s">
        <v>12867</v>
      </c>
    </row>
    <row r="411">
      <c r="A411" s="651">
        <v>45700.0</v>
      </c>
      <c r="B411" s="642">
        <v>0.5747800925925926</v>
      </c>
      <c r="C411" s="639" t="s">
        <v>12868</v>
      </c>
      <c r="D411" s="643"/>
      <c r="E411" s="639">
        <v>923332614524</v>
      </c>
      <c r="F411" s="633" t="s">
        <v>6939</v>
      </c>
      <c r="G411" s="639" t="s">
        <v>12811</v>
      </c>
      <c r="H411" s="639" t="s">
        <v>12869</v>
      </c>
      <c r="I411" s="639" t="s">
        <v>12870</v>
      </c>
      <c r="J411" s="639" t="s">
        <v>12724</v>
      </c>
      <c r="K411" s="639">
        <v>4.0</v>
      </c>
      <c r="L411" s="643"/>
    </row>
    <row r="412">
      <c r="A412" s="652">
        <v>45700.0</v>
      </c>
      <c r="B412" s="634">
        <v>0.5750462962962963</v>
      </c>
      <c r="C412" s="633" t="s">
        <v>12871</v>
      </c>
      <c r="D412" s="633" t="s">
        <v>7725</v>
      </c>
      <c r="E412" s="641" t="s">
        <v>12872</v>
      </c>
      <c r="F412" s="633" t="s">
        <v>6875</v>
      </c>
      <c r="G412" s="633" t="s">
        <v>12797</v>
      </c>
      <c r="H412" s="635"/>
      <c r="I412" s="633" t="s">
        <v>12873</v>
      </c>
      <c r="J412" s="635"/>
      <c r="K412" s="633">
        <v>2.0</v>
      </c>
      <c r="L412" s="633" t="s">
        <v>372</v>
      </c>
    </row>
    <row r="413">
      <c r="A413" s="651">
        <v>45700.0</v>
      </c>
      <c r="B413" s="642">
        <v>0.5934722222222222</v>
      </c>
      <c r="C413" s="639" t="s">
        <v>12874</v>
      </c>
      <c r="D413" s="643"/>
      <c r="E413" s="639">
        <v>923218635799</v>
      </c>
      <c r="F413" s="633" t="s">
        <v>7291</v>
      </c>
      <c r="G413" s="639" t="s">
        <v>12811</v>
      </c>
      <c r="H413" s="639" t="s">
        <v>12875</v>
      </c>
      <c r="I413" s="639" t="s">
        <v>12876</v>
      </c>
      <c r="J413" s="643"/>
      <c r="K413" s="639">
        <v>3.0</v>
      </c>
      <c r="L413" s="639" t="s">
        <v>6944</v>
      </c>
    </row>
    <row r="414">
      <c r="A414" s="652">
        <v>45700.0</v>
      </c>
      <c r="B414" s="634">
        <v>0.6598379629629629</v>
      </c>
      <c r="C414" s="633" t="s">
        <v>7773</v>
      </c>
      <c r="D414" s="635"/>
      <c r="E414" s="639">
        <v>923024755095</v>
      </c>
      <c r="F414" s="633" t="s">
        <v>6875</v>
      </c>
      <c r="G414" s="633" t="s">
        <v>12811</v>
      </c>
      <c r="H414" s="633" t="s">
        <v>12877</v>
      </c>
      <c r="I414" s="633" t="s">
        <v>12878</v>
      </c>
      <c r="J414" s="635"/>
      <c r="K414" s="633">
        <v>3.0</v>
      </c>
      <c r="L414" s="633" t="s">
        <v>51</v>
      </c>
    </row>
    <row r="415">
      <c r="A415" s="651">
        <v>45728.0</v>
      </c>
      <c r="B415" s="642">
        <v>0.4264236111111111</v>
      </c>
      <c r="C415" s="639" t="s">
        <v>12879</v>
      </c>
      <c r="D415" s="643"/>
      <c r="E415" s="639">
        <v>923332387673</v>
      </c>
      <c r="F415" s="633" t="s">
        <v>6939</v>
      </c>
      <c r="G415" s="639" t="s">
        <v>12811</v>
      </c>
      <c r="H415" s="639" t="s">
        <v>12880</v>
      </c>
      <c r="I415" s="639" t="s">
        <v>12881</v>
      </c>
      <c r="J415" s="639" t="s">
        <v>12862</v>
      </c>
      <c r="K415" s="639">
        <v>4.0</v>
      </c>
      <c r="L415" s="643"/>
    </row>
    <row r="416">
      <c r="A416" s="651">
        <v>45728.0</v>
      </c>
      <c r="B416" s="642">
        <v>0.4265625</v>
      </c>
      <c r="C416" s="639" t="s">
        <v>7778</v>
      </c>
      <c r="D416" s="643"/>
      <c r="E416" s="639">
        <v>923483397695</v>
      </c>
      <c r="F416" s="633" t="s">
        <v>6939</v>
      </c>
      <c r="G416" s="639" t="s">
        <v>12811</v>
      </c>
      <c r="H416" s="639" t="s">
        <v>12882</v>
      </c>
      <c r="I416" s="639" t="s">
        <v>12883</v>
      </c>
      <c r="J416" s="639" t="s">
        <v>12724</v>
      </c>
      <c r="K416" s="639">
        <v>4.0</v>
      </c>
      <c r="L416" s="643"/>
    </row>
    <row r="417">
      <c r="A417" s="651">
        <v>45728.0</v>
      </c>
      <c r="B417" s="642">
        <v>0.426875</v>
      </c>
      <c r="C417" s="639" t="s">
        <v>7783</v>
      </c>
      <c r="D417" s="643"/>
      <c r="E417" s="639">
        <v>923143668704</v>
      </c>
      <c r="F417" s="633" t="s">
        <v>6939</v>
      </c>
      <c r="G417" s="639" t="s">
        <v>12811</v>
      </c>
      <c r="H417" s="639" t="s">
        <v>12884</v>
      </c>
      <c r="I417" s="639" t="s">
        <v>12885</v>
      </c>
      <c r="J417" s="639" t="s">
        <v>12862</v>
      </c>
      <c r="K417" s="639">
        <v>4.0</v>
      </c>
      <c r="L417" s="639" t="s">
        <v>12886</v>
      </c>
    </row>
    <row r="418">
      <c r="A418" s="651">
        <v>45728.0</v>
      </c>
      <c r="B418" s="642">
        <v>0.42702546296296295</v>
      </c>
      <c r="C418" s="639" t="s">
        <v>12887</v>
      </c>
      <c r="D418" s="639" t="s">
        <v>7725</v>
      </c>
      <c r="E418" s="641" t="s">
        <v>12888</v>
      </c>
      <c r="F418" s="633" t="s">
        <v>6939</v>
      </c>
      <c r="G418" s="639" t="s">
        <v>12811</v>
      </c>
      <c r="H418" s="639" t="s">
        <v>12889</v>
      </c>
      <c r="I418" s="639" t="s">
        <v>12890</v>
      </c>
      <c r="J418" s="639" t="s">
        <v>12724</v>
      </c>
      <c r="K418" s="639">
        <v>4.0</v>
      </c>
      <c r="L418" s="639" t="s">
        <v>6944</v>
      </c>
    </row>
    <row r="419">
      <c r="A419" s="651">
        <v>45728.0</v>
      </c>
      <c r="B419" s="642">
        <v>0.4273148148148148</v>
      </c>
      <c r="C419" s="639" t="s">
        <v>12891</v>
      </c>
      <c r="D419" s="643"/>
      <c r="E419" s="639">
        <v>923084368858</v>
      </c>
      <c r="F419" s="633" t="s">
        <v>6939</v>
      </c>
      <c r="G419" s="639" t="s">
        <v>12811</v>
      </c>
      <c r="H419" s="639" t="s">
        <v>12892</v>
      </c>
      <c r="I419" s="639" t="s">
        <v>12893</v>
      </c>
      <c r="J419" s="639" t="s">
        <v>12862</v>
      </c>
      <c r="K419" s="639">
        <v>4.0</v>
      </c>
      <c r="L419" s="643"/>
    </row>
    <row r="420">
      <c r="A420" s="651">
        <v>45728.0</v>
      </c>
      <c r="B420" s="642">
        <v>0.4279861111111111</v>
      </c>
      <c r="C420" s="639" t="s">
        <v>7790</v>
      </c>
      <c r="D420" s="643"/>
      <c r="E420" s="639">
        <v>923492477461</v>
      </c>
      <c r="F420" s="633" t="s">
        <v>6939</v>
      </c>
      <c r="G420" s="639" t="s">
        <v>12811</v>
      </c>
      <c r="H420" s="639" t="s">
        <v>12894</v>
      </c>
      <c r="I420" s="639" t="s">
        <v>12895</v>
      </c>
      <c r="J420" s="639" t="s">
        <v>12724</v>
      </c>
      <c r="K420" s="639">
        <v>4.0</v>
      </c>
      <c r="L420" s="643"/>
    </row>
    <row r="421">
      <c r="A421" s="652">
        <v>45728.0</v>
      </c>
      <c r="B421" s="634">
        <v>0.42824074074074076</v>
      </c>
      <c r="C421" s="633" t="s">
        <v>3053</v>
      </c>
      <c r="D421" s="635"/>
      <c r="E421" s="639">
        <v>923130340914</v>
      </c>
      <c r="F421" s="633" t="s">
        <v>6875</v>
      </c>
      <c r="G421" s="635"/>
      <c r="H421" s="633" t="s">
        <v>12896</v>
      </c>
      <c r="I421" s="635"/>
      <c r="J421" s="635"/>
      <c r="K421" s="633">
        <v>1.0</v>
      </c>
      <c r="L421" s="633" t="s">
        <v>372</v>
      </c>
    </row>
    <row r="422">
      <c r="A422" s="651">
        <v>45728.0</v>
      </c>
      <c r="B422" s="642">
        <v>0.4283796296296296</v>
      </c>
      <c r="C422" s="639" t="s">
        <v>7796</v>
      </c>
      <c r="D422" s="643"/>
      <c r="E422" s="639">
        <v>923322257695</v>
      </c>
      <c r="F422" s="633" t="s">
        <v>7291</v>
      </c>
      <c r="G422" s="639" t="s">
        <v>12811</v>
      </c>
      <c r="H422" s="639" t="s">
        <v>12897</v>
      </c>
      <c r="I422" s="639" t="s">
        <v>12898</v>
      </c>
      <c r="J422" s="639" t="s">
        <v>12899</v>
      </c>
      <c r="K422" s="639">
        <v>4.0</v>
      </c>
      <c r="L422" s="639" t="s">
        <v>12900</v>
      </c>
    </row>
    <row r="423">
      <c r="A423" s="652">
        <v>45728.0</v>
      </c>
      <c r="B423" s="634">
        <v>0.4300347222222222</v>
      </c>
      <c r="C423" s="633" t="s">
        <v>12901</v>
      </c>
      <c r="D423" s="635"/>
      <c r="E423" s="639">
        <v>923068199221</v>
      </c>
      <c r="F423" s="633" t="s">
        <v>6875</v>
      </c>
      <c r="G423" s="635"/>
      <c r="H423" s="633" t="s">
        <v>12902</v>
      </c>
      <c r="I423" s="635"/>
      <c r="J423" s="635"/>
      <c r="K423" s="633">
        <v>1.0</v>
      </c>
      <c r="L423" s="633" t="s">
        <v>152</v>
      </c>
    </row>
    <row r="424">
      <c r="A424" s="651">
        <v>45728.0</v>
      </c>
      <c r="B424" s="642">
        <v>0.4537731481481482</v>
      </c>
      <c r="C424" s="639" t="s">
        <v>12903</v>
      </c>
      <c r="D424" s="643"/>
      <c r="E424" s="639">
        <v>923479645336</v>
      </c>
      <c r="F424" s="633" t="s">
        <v>6939</v>
      </c>
      <c r="G424" s="639" t="s">
        <v>12811</v>
      </c>
      <c r="H424" s="639" t="s">
        <v>12904</v>
      </c>
      <c r="I424" s="639" t="s">
        <v>12905</v>
      </c>
      <c r="J424" s="639" t="s">
        <v>12862</v>
      </c>
      <c r="K424" s="639">
        <v>4.0</v>
      </c>
      <c r="L424" s="639" t="s">
        <v>6944</v>
      </c>
    </row>
    <row r="425">
      <c r="A425" s="652">
        <v>45728.0</v>
      </c>
      <c r="B425" s="634">
        <v>0.5295023148148148</v>
      </c>
      <c r="C425" s="633" t="s">
        <v>12906</v>
      </c>
      <c r="D425" s="635"/>
      <c r="E425" s="639">
        <v>923442575390</v>
      </c>
      <c r="F425" s="633" t="s">
        <v>6875</v>
      </c>
      <c r="G425" s="635"/>
      <c r="H425" s="635"/>
      <c r="I425" s="635"/>
      <c r="J425" s="633" t="s">
        <v>12907</v>
      </c>
      <c r="K425" s="633">
        <v>1.0</v>
      </c>
      <c r="L425" s="633" t="s">
        <v>372</v>
      </c>
    </row>
    <row r="426">
      <c r="A426" s="652">
        <v>45728.0</v>
      </c>
      <c r="B426" s="634">
        <v>0.5348611111111111</v>
      </c>
      <c r="C426" s="633" t="s">
        <v>7803</v>
      </c>
      <c r="D426" s="635"/>
      <c r="E426" s="639">
        <v>923072124683</v>
      </c>
      <c r="F426" s="633" t="s">
        <v>6875</v>
      </c>
      <c r="G426" s="633" t="s">
        <v>12811</v>
      </c>
      <c r="H426" s="635"/>
      <c r="I426" s="633" t="s">
        <v>12908</v>
      </c>
      <c r="J426" s="633" t="s">
        <v>12909</v>
      </c>
      <c r="K426" s="633">
        <v>3.0</v>
      </c>
      <c r="L426" s="633" t="s">
        <v>51</v>
      </c>
    </row>
    <row r="427">
      <c r="A427" s="651">
        <v>45728.0</v>
      </c>
      <c r="B427" s="642">
        <v>0.6199652777777778</v>
      </c>
      <c r="C427" s="639" t="s">
        <v>197</v>
      </c>
      <c r="D427" s="643"/>
      <c r="E427" s="639">
        <v>923213691509</v>
      </c>
      <c r="F427" s="633" t="s">
        <v>6939</v>
      </c>
      <c r="G427" s="639" t="s">
        <v>12811</v>
      </c>
      <c r="H427" s="639" t="s">
        <v>12904</v>
      </c>
      <c r="I427" s="639" t="s">
        <v>12910</v>
      </c>
      <c r="J427" s="639" t="s">
        <v>12724</v>
      </c>
      <c r="K427" s="639">
        <v>4.0</v>
      </c>
      <c r="L427" s="639" t="s">
        <v>6944</v>
      </c>
    </row>
    <row r="428">
      <c r="A428" s="651">
        <v>45728.0</v>
      </c>
      <c r="B428" s="642">
        <v>0.6218287037037037</v>
      </c>
      <c r="C428" s="639" t="s">
        <v>12911</v>
      </c>
      <c r="D428" s="643"/>
      <c r="E428" s="639">
        <v>923022299927</v>
      </c>
      <c r="F428" s="633" t="s">
        <v>6939</v>
      </c>
      <c r="G428" s="639" t="s">
        <v>12811</v>
      </c>
      <c r="H428" s="639" t="s">
        <v>12904</v>
      </c>
      <c r="I428" s="639" t="s">
        <v>12912</v>
      </c>
      <c r="J428" s="639" t="s">
        <v>12724</v>
      </c>
      <c r="K428" s="639">
        <v>4.0</v>
      </c>
      <c r="L428" s="639" t="s">
        <v>6944</v>
      </c>
    </row>
    <row r="429">
      <c r="A429" s="651">
        <v>45728.0</v>
      </c>
      <c r="B429" s="642">
        <v>0.6310416666666666</v>
      </c>
      <c r="C429" s="639" t="s">
        <v>12913</v>
      </c>
      <c r="D429" s="643"/>
      <c r="E429" s="639">
        <v>923162449525</v>
      </c>
      <c r="F429" s="633" t="s">
        <v>6939</v>
      </c>
      <c r="G429" s="639" t="s">
        <v>12811</v>
      </c>
      <c r="H429" s="639" t="s">
        <v>12904</v>
      </c>
      <c r="I429" s="639" t="s">
        <v>12914</v>
      </c>
      <c r="J429" s="639" t="s">
        <v>12915</v>
      </c>
      <c r="K429" s="639">
        <v>4.0</v>
      </c>
      <c r="L429" s="639" t="s">
        <v>6944</v>
      </c>
    </row>
    <row r="430">
      <c r="A430" s="651">
        <v>45728.0</v>
      </c>
      <c r="B430" s="642">
        <v>0.6770949074074074</v>
      </c>
      <c r="C430" s="639" t="s">
        <v>1135</v>
      </c>
      <c r="D430" s="643"/>
      <c r="E430" s="639">
        <v>923002430620</v>
      </c>
      <c r="F430" s="633" t="s">
        <v>6939</v>
      </c>
      <c r="G430" s="639" t="s">
        <v>12811</v>
      </c>
      <c r="H430" s="639" t="s">
        <v>12904</v>
      </c>
      <c r="I430" s="639" t="s">
        <v>12916</v>
      </c>
      <c r="J430" s="639" t="s">
        <v>12724</v>
      </c>
      <c r="K430" s="639">
        <v>4.0</v>
      </c>
      <c r="L430" s="639" t="s">
        <v>685</v>
      </c>
    </row>
    <row r="431">
      <c r="A431" s="652">
        <v>45728.0</v>
      </c>
      <c r="B431" s="634">
        <v>0.7068634259259259</v>
      </c>
      <c r="C431" s="633" t="s">
        <v>4430</v>
      </c>
      <c r="D431" s="635"/>
      <c r="E431" s="639">
        <v>923003055444</v>
      </c>
      <c r="F431" s="633" t="s">
        <v>6875</v>
      </c>
      <c r="G431" s="633" t="s">
        <v>12917</v>
      </c>
      <c r="H431" s="633" t="s">
        <v>12918</v>
      </c>
      <c r="I431" s="633" t="s">
        <v>12919</v>
      </c>
      <c r="J431" s="633" t="s">
        <v>12920</v>
      </c>
      <c r="K431" s="633">
        <v>4.0</v>
      </c>
      <c r="L431" s="633" t="s">
        <v>12921</v>
      </c>
    </row>
    <row r="432">
      <c r="A432" s="651">
        <v>45728.0</v>
      </c>
      <c r="B432" s="642">
        <v>0.7278935185185185</v>
      </c>
      <c r="C432" s="639" t="s">
        <v>7807</v>
      </c>
      <c r="D432" s="643"/>
      <c r="E432" s="639">
        <v>923212603826</v>
      </c>
      <c r="F432" s="633" t="s">
        <v>6939</v>
      </c>
      <c r="G432" s="639" t="s">
        <v>12811</v>
      </c>
      <c r="H432" s="639" t="s">
        <v>12922</v>
      </c>
      <c r="I432" s="639" t="s">
        <v>12923</v>
      </c>
      <c r="J432" s="639" t="s">
        <v>12724</v>
      </c>
      <c r="K432" s="639">
        <v>4.0</v>
      </c>
      <c r="L432" s="643"/>
    </row>
    <row r="433">
      <c r="A433" s="652">
        <v>45728.0</v>
      </c>
      <c r="B433" s="634">
        <v>0.7314814814814815</v>
      </c>
      <c r="C433" s="633" t="s">
        <v>12924</v>
      </c>
      <c r="D433" s="635"/>
      <c r="E433" s="639">
        <v>923204344199</v>
      </c>
      <c r="F433" s="633" t="s">
        <v>6875</v>
      </c>
      <c r="G433" s="633" t="s">
        <v>12811</v>
      </c>
      <c r="H433" s="633" t="s">
        <v>12925</v>
      </c>
      <c r="I433" s="633" t="s">
        <v>12926</v>
      </c>
      <c r="J433" s="635"/>
      <c r="K433" s="633">
        <v>3.0</v>
      </c>
      <c r="L433" s="633" t="s">
        <v>372</v>
      </c>
    </row>
    <row r="434">
      <c r="A434" s="651">
        <v>45759.0</v>
      </c>
      <c r="B434" s="642">
        <v>0.42768518518518517</v>
      </c>
      <c r="C434" s="639" t="s">
        <v>7811</v>
      </c>
      <c r="D434" s="643"/>
      <c r="E434" s="639">
        <v>923420470317</v>
      </c>
      <c r="F434" s="633" t="s">
        <v>6939</v>
      </c>
      <c r="G434" s="639" t="s">
        <v>12811</v>
      </c>
      <c r="H434" s="639" t="s">
        <v>12927</v>
      </c>
      <c r="I434" s="639" t="s">
        <v>12928</v>
      </c>
      <c r="J434" s="639" t="s">
        <v>12724</v>
      </c>
      <c r="K434" s="639">
        <v>4.0</v>
      </c>
      <c r="L434" s="643"/>
    </row>
    <row r="435">
      <c r="A435" s="652">
        <v>45759.0</v>
      </c>
      <c r="B435" s="634">
        <v>0.4297222222222222</v>
      </c>
      <c r="C435" s="633" t="s">
        <v>12929</v>
      </c>
      <c r="D435" s="635"/>
      <c r="E435" s="639">
        <v>923322136823</v>
      </c>
      <c r="F435" s="633" t="s">
        <v>6875</v>
      </c>
      <c r="G435" s="633" t="s">
        <v>12811</v>
      </c>
      <c r="H435" s="633" t="s">
        <v>12930</v>
      </c>
      <c r="I435" s="633" t="s">
        <v>12931</v>
      </c>
      <c r="J435" s="633" t="s">
        <v>12932</v>
      </c>
      <c r="K435" s="633">
        <v>4.0</v>
      </c>
      <c r="L435" s="633" t="s">
        <v>6944</v>
      </c>
    </row>
    <row r="436">
      <c r="A436" s="651">
        <v>45759.0</v>
      </c>
      <c r="B436" s="642">
        <v>0.4298958333333333</v>
      </c>
      <c r="C436" s="639" t="s">
        <v>12933</v>
      </c>
      <c r="D436" s="639" t="s">
        <v>7725</v>
      </c>
      <c r="E436" s="641" t="s">
        <v>12934</v>
      </c>
      <c r="F436" s="633" t="s">
        <v>7291</v>
      </c>
      <c r="G436" s="639" t="s">
        <v>12811</v>
      </c>
      <c r="H436" s="639" t="s">
        <v>12935</v>
      </c>
      <c r="I436" s="639" t="s">
        <v>12936</v>
      </c>
      <c r="J436" s="643"/>
      <c r="K436" s="639">
        <v>3.0</v>
      </c>
      <c r="L436" s="639" t="s">
        <v>11835</v>
      </c>
    </row>
    <row r="437">
      <c r="A437" s="652">
        <v>45759.0</v>
      </c>
      <c r="B437" s="634">
        <v>0.4301041666666667</v>
      </c>
      <c r="C437" s="633" t="s">
        <v>12937</v>
      </c>
      <c r="D437" s="633" t="s">
        <v>6886</v>
      </c>
      <c r="E437" s="641" t="s">
        <v>12938</v>
      </c>
      <c r="F437" s="633" t="s">
        <v>6875</v>
      </c>
      <c r="G437" s="635"/>
      <c r="H437" s="633" t="s">
        <v>12939</v>
      </c>
      <c r="I437" s="635"/>
      <c r="J437" s="635"/>
      <c r="K437" s="633">
        <v>1.0</v>
      </c>
      <c r="L437" s="633" t="s">
        <v>372</v>
      </c>
    </row>
    <row r="438">
      <c r="A438" s="651">
        <v>45759.0</v>
      </c>
      <c r="B438" s="642">
        <v>0.43024305555555553</v>
      </c>
      <c r="C438" s="639" t="s">
        <v>7831</v>
      </c>
      <c r="D438" s="643"/>
      <c r="E438" s="639">
        <v>923099845886</v>
      </c>
      <c r="F438" s="633" t="s">
        <v>6939</v>
      </c>
      <c r="G438" s="639" t="s">
        <v>12811</v>
      </c>
      <c r="H438" s="639" t="s">
        <v>12940</v>
      </c>
      <c r="I438" s="639" t="s">
        <v>12941</v>
      </c>
      <c r="J438" s="639" t="s">
        <v>12942</v>
      </c>
      <c r="K438" s="639">
        <v>4.0</v>
      </c>
      <c r="L438" s="643"/>
    </row>
    <row r="439">
      <c r="A439" s="651">
        <v>45759.0</v>
      </c>
      <c r="B439" s="642">
        <v>0.4304398148148148</v>
      </c>
      <c r="C439" s="639" t="s">
        <v>12943</v>
      </c>
      <c r="D439" s="643"/>
      <c r="E439" s="639">
        <v>923131102818</v>
      </c>
      <c r="F439" s="633" t="s">
        <v>6939</v>
      </c>
      <c r="G439" s="639" t="s">
        <v>12811</v>
      </c>
      <c r="H439" s="639" t="s">
        <v>12944</v>
      </c>
      <c r="I439" s="639" t="s">
        <v>12945</v>
      </c>
      <c r="J439" s="639" t="s">
        <v>12946</v>
      </c>
      <c r="K439" s="639">
        <v>4.0</v>
      </c>
      <c r="L439" s="643"/>
    </row>
    <row r="440">
      <c r="A440" s="652">
        <v>45759.0</v>
      </c>
      <c r="B440" s="634">
        <v>0.4305555555555556</v>
      </c>
      <c r="C440" s="633" t="s">
        <v>7844</v>
      </c>
      <c r="D440" s="635"/>
      <c r="E440" s="639">
        <v>923486288468</v>
      </c>
      <c r="F440" s="633" t="s">
        <v>6875</v>
      </c>
      <c r="G440" s="635"/>
      <c r="H440" s="633" t="s">
        <v>12947</v>
      </c>
      <c r="I440" s="633" t="s">
        <v>12948</v>
      </c>
      <c r="J440" s="635"/>
      <c r="K440" s="633">
        <v>2.0</v>
      </c>
      <c r="L440" s="633" t="s">
        <v>372</v>
      </c>
    </row>
    <row r="441">
      <c r="A441" s="652">
        <v>45759.0</v>
      </c>
      <c r="B441" s="634">
        <v>0.43083333333333335</v>
      </c>
      <c r="C441" s="633" t="s">
        <v>12949</v>
      </c>
      <c r="D441" s="635"/>
      <c r="E441" s="639">
        <v>923160778395</v>
      </c>
      <c r="F441" s="633" t="s">
        <v>6875</v>
      </c>
      <c r="G441" s="633" t="s">
        <v>12950</v>
      </c>
      <c r="H441" s="633" t="s">
        <v>12951</v>
      </c>
      <c r="I441" s="633" t="s">
        <v>12952</v>
      </c>
      <c r="J441" s="633" t="s">
        <v>12953</v>
      </c>
      <c r="K441" s="633">
        <v>4.0</v>
      </c>
      <c r="L441" s="633" t="s">
        <v>12954</v>
      </c>
    </row>
    <row r="442">
      <c r="A442" s="651">
        <v>45759.0</v>
      </c>
      <c r="B442" s="642">
        <v>0.43094907407407407</v>
      </c>
      <c r="C442" s="639" t="s">
        <v>7852</v>
      </c>
      <c r="D442" s="643"/>
      <c r="E442" s="639">
        <v>923217729936</v>
      </c>
      <c r="F442" s="633" t="s">
        <v>6939</v>
      </c>
      <c r="G442" s="639" t="s">
        <v>12811</v>
      </c>
      <c r="H442" s="639" t="s">
        <v>12955</v>
      </c>
      <c r="I442" s="639" t="s">
        <v>12956</v>
      </c>
      <c r="J442" s="639" t="s">
        <v>12957</v>
      </c>
      <c r="K442" s="639">
        <v>4.0</v>
      </c>
      <c r="L442" s="643"/>
    </row>
    <row r="443">
      <c r="A443" s="651">
        <v>45759.0</v>
      </c>
      <c r="B443" s="642">
        <v>0.43122685185185183</v>
      </c>
      <c r="C443" s="639" t="s">
        <v>7857</v>
      </c>
      <c r="D443" s="643"/>
      <c r="E443" s="639">
        <v>923335729848</v>
      </c>
      <c r="F443" s="633" t="s">
        <v>6939</v>
      </c>
      <c r="G443" s="639" t="s">
        <v>12811</v>
      </c>
      <c r="H443" s="639" t="s">
        <v>12958</v>
      </c>
      <c r="I443" s="639" t="s">
        <v>12959</v>
      </c>
      <c r="J443" s="639" t="s">
        <v>12960</v>
      </c>
      <c r="K443" s="639">
        <v>4.0</v>
      </c>
      <c r="L443" s="643"/>
    </row>
    <row r="444">
      <c r="A444" s="652">
        <v>45759.0</v>
      </c>
      <c r="B444" s="634">
        <v>0.43137731481481484</v>
      </c>
      <c r="C444" s="633" t="s">
        <v>12961</v>
      </c>
      <c r="D444" s="633" t="s">
        <v>6886</v>
      </c>
      <c r="E444" s="641" t="s">
        <v>12962</v>
      </c>
      <c r="F444" s="633" t="s">
        <v>6875</v>
      </c>
      <c r="G444" s="633" t="s">
        <v>12811</v>
      </c>
      <c r="H444" s="633" t="s">
        <v>12963</v>
      </c>
      <c r="I444" s="633" t="s">
        <v>12964</v>
      </c>
      <c r="J444" s="635"/>
      <c r="K444" s="633">
        <v>3.0</v>
      </c>
      <c r="L444" s="633" t="s">
        <v>51</v>
      </c>
    </row>
    <row r="445">
      <c r="A445" s="652">
        <v>45759.0</v>
      </c>
      <c r="B445" s="634">
        <v>0.4315277777777778</v>
      </c>
      <c r="C445" s="633" t="s">
        <v>7867</v>
      </c>
      <c r="D445" s="635"/>
      <c r="E445" s="639">
        <v>923146083898</v>
      </c>
      <c r="F445" s="633" t="s">
        <v>6875</v>
      </c>
      <c r="G445" s="635"/>
      <c r="H445" s="635"/>
      <c r="I445" s="633" t="s">
        <v>12965</v>
      </c>
      <c r="J445" s="635"/>
      <c r="K445" s="633">
        <v>1.0</v>
      </c>
      <c r="L445" s="633" t="s">
        <v>372</v>
      </c>
    </row>
    <row r="446">
      <c r="A446" s="651">
        <v>45759.0</v>
      </c>
      <c r="B446" s="642">
        <v>0.43168981481481483</v>
      </c>
      <c r="C446" s="639" t="s">
        <v>12966</v>
      </c>
      <c r="D446" s="643"/>
      <c r="E446" s="639">
        <v>923174480794</v>
      </c>
      <c r="F446" s="633" t="s">
        <v>6939</v>
      </c>
      <c r="G446" s="639" t="s">
        <v>12811</v>
      </c>
      <c r="H446" s="639" t="s">
        <v>12967</v>
      </c>
      <c r="I446" s="639" t="s">
        <v>12968</v>
      </c>
      <c r="J446" s="639" t="s">
        <v>12969</v>
      </c>
      <c r="K446" s="639">
        <v>4.0</v>
      </c>
      <c r="L446" s="643"/>
    </row>
    <row r="447">
      <c r="A447" s="652">
        <v>45759.0</v>
      </c>
      <c r="B447" s="634">
        <v>0.4320486111111111</v>
      </c>
      <c r="C447" s="633" t="s">
        <v>7878</v>
      </c>
      <c r="D447" s="635"/>
      <c r="E447" s="639">
        <v>923234700867</v>
      </c>
      <c r="F447" s="633" t="s">
        <v>6875</v>
      </c>
      <c r="G447" s="635"/>
      <c r="H447" s="635"/>
      <c r="I447" s="633" t="s">
        <v>12970</v>
      </c>
      <c r="J447" s="635"/>
      <c r="K447" s="633">
        <v>1.0</v>
      </c>
      <c r="L447" s="633" t="s">
        <v>372</v>
      </c>
    </row>
    <row r="448">
      <c r="A448" s="652">
        <v>45759.0</v>
      </c>
      <c r="B448" s="634">
        <v>0.43222222222222223</v>
      </c>
      <c r="C448" s="633" t="s">
        <v>7883</v>
      </c>
      <c r="D448" s="635"/>
      <c r="E448" s="639">
        <v>923555320980</v>
      </c>
      <c r="F448" s="633" t="s">
        <v>6875</v>
      </c>
      <c r="G448" s="633" t="s">
        <v>12811</v>
      </c>
      <c r="H448" s="633" t="s">
        <v>12971</v>
      </c>
      <c r="I448" s="633" t="s">
        <v>12972</v>
      </c>
      <c r="J448" s="633" t="s">
        <v>12973</v>
      </c>
      <c r="K448" s="633">
        <v>4.0</v>
      </c>
      <c r="L448" s="633" t="s">
        <v>372</v>
      </c>
    </row>
    <row r="449">
      <c r="A449" s="652">
        <v>45759.0</v>
      </c>
      <c r="B449" s="634">
        <v>0.4325115740740741</v>
      </c>
      <c r="C449" s="633" t="s">
        <v>7885</v>
      </c>
      <c r="D449" s="635"/>
      <c r="E449" s="639">
        <v>923145651206</v>
      </c>
      <c r="F449" s="633" t="s">
        <v>6875</v>
      </c>
      <c r="G449" s="635"/>
      <c r="H449" s="633" t="s">
        <v>12974</v>
      </c>
      <c r="I449" s="633" t="s">
        <v>12975</v>
      </c>
      <c r="J449" s="635"/>
      <c r="K449" s="633">
        <v>2.0</v>
      </c>
      <c r="L449" s="633" t="s">
        <v>12976</v>
      </c>
    </row>
    <row r="450">
      <c r="A450" s="651">
        <v>45759.0</v>
      </c>
      <c r="B450" s="642">
        <v>0.4326157407407407</v>
      </c>
      <c r="C450" s="639" t="s">
        <v>7890</v>
      </c>
      <c r="D450" s="643"/>
      <c r="E450" s="639">
        <v>923160102133</v>
      </c>
      <c r="F450" s="633" t="s">
        <v>6939</v>
      </c>
      <c r="G450" s="639" t="s">
        <v>12811</v>
      </c>
      <c r="H450" s="639" t="s">
        <v>12977</v>
      </c>
      <c r="I450" s="639" t="s">
        <v>12978</v>
      </c>
      <c r="J450" s="639" t="s">
        <v>12979</v>
      </c>
      <c r="K450" s="639">
        <v>4.0</v>
      </c>
      <c r="L450" s="643"/>
    </row>
    <row r="451">
      <c r="A451" s="651">
        <v>45759.0</v>
      </c>
      <c r="B451" s="642">
        <v>0.5615162037037037</v>
      </c>
      <c r="C451" s="639" t="s">
        <v>12980</v>
      </c>
      <c r="D451" s="643"/>
      <c r="E451" s="639">
        <v>923030229817</v>
      </c>
      <c r="F451" s="633" t="s">
        <v>6939</v>
      </c>
      <c r="G451" s="639" t="s">
        <v>12811</v>
      </c>
      <c r="H451" s="639" t="s">
        <v>12981</v>
      </c>
      <c r="I451" s="639" t="s">
        <v>12982</v>
      </c>
      <c r="J451" s="639" t="s">
        <v>12983</v>
      </c>
      <c r="K451" s="639">
        <v>4.0</v>
      </c>
      <c r="L451" s="643"/>
    </row>
    <row r="452">
      <c r="A452" s="651">
        <v>45759.0</v>
      </c>
      <c r="B452" s="642">
        <v>0.5708449074074075</v>
      </c>
      <c r="C452" s="639" t="s">
        <v>12984</v>
      </c>
      <c r="D452" s="643"/>
      <c r="E452" s="639">
        <v>923108442979</v>
      </c>
      <c r="F452" s="633" t="s">
        <v>6939</v>
      </c>
      <c r="G452" s="639" t="s">
        <v>12811</v>
      </c>
      <c r="H452" s="639" t="s">
        <v>12985</v>
      </c>
      <c r="I452" s="639" t="s">
        <v>12986</v>
      </c>
      <c r="J452" s="639" t="s">
        <v>12987</v>
      </c>
      <c r="K452" s="639">
        <v>4.0</v>
      </c>
      <c r="L452" s="643"/>
    </row>
    <row r="453">
      <c r="A453" s="651">
        <v>45759.0</v>
      </c>
      <c r="B453" s="642">
        <v>0.5750694444444444</v>
      </c>
      <c r="C453" s="639" t="s">
        <v>12988</v>
      </c>
      <c r="D453" s="643"/>
      <c r="E453" s="639">
        <v>923132723386</v>
      </c>
      <c r="F453" s="633" t="s">
        <v>6939</v>
      </c>
      <c r="G453" s="639" t="s">
        <v>12811</v>
      </c>
      <c r="H453" s="639" t="s">
        <v>12989</v>
      </c>
      <c r="I453" s="639" t="s">
        <v>12990</v>
      </c>
      <c r="J453" s="639" t="s">
        <v>12991</v>
      </c>
      <c r="K453" s="639">
        <v>4.0</v>
      </c>
      <c r="L453" s="639" t="s">
        <v>12992</v>
      </c>
    </row>
    <row r="454">
      <c r="A454" s="651">
        <v>45759.0</v>
      </c>
      <c r="B454" s="642">
        <v>0.5809837962962963</v>
      </c>
      <c r="C454" s="639" t="s">
        <v>12993</v>
      </c>
      <c r="D454" s="643"/>
      <c r="E454" s="639">
        <v>923007312839</v>
      </c>
      <c r="F454" s="633" t="s">
        <v>7291</v>
      </c>
      <c r="G454" s="639" t="s">
        <v>12811</v>
      </c>
      <c r="H454" s="639" t="s">
        <v>12994</v>
      </c>
      <c r="I454" s="639" t="s">
        <v>12995</v>
      </c>
      <c r="J454" s="643"/>
      <c r="K454" s="639">
        <v>3.0</v>
      </c>
      <c r="L454" s="639" t="s">
        <v>6944</v>
      </c>
    </row>
    <row r="455">
      <c r="A455" s="651">
        <v>45759.0</v>
      </c>
      <c r="B455" s="642">
        <v>0.6121412037037037</v>
      </c>
      <c r="C455" s="639" t="s">
        <v>12996</v>
      </c>
      <c r="D455" s="643"/>
      <c r="E455" s="639">
        <v>923444756057</v>
      </c>
      <c r="F455" s="633" t="s">
        <v>6939</v>
      </c>
      <c r="G455" s="639" t="s">
        <v>12811</v>
      </c>
      <c r="H455" s="639" t="s">
        <v>12997</v>
      </c>
      <c r="I455" s="639" t="s">
        <v>12998</v>
      </c>
      <c r="J455" s="639" t="s">
        <v>12999</v>
      </c>
      <c r="K455" s="639">
        <v>4.0</v>
      </c>
      <c r="L455" s="653"/>
    </row>
    <row r="456">
      <c r="A456" s="652">
        <v>45759.0</v>
      </c>
      <c r="B456" s="634">
        <v>0.663449074074074</v>
      </c>
      <c r="C456" s="633" t="s">
        <v>13000</v>
      </c>
      <c r="D456" s="635"/>
      <c r="E456" s="639">
        <v>923142193398</v>
      </c>
      <c r="F456" s="633" t="s">
        <v>6875</v>
      </c>
      <c r="G456" s="635"/>
      <c r="H456" s="635"/>
      <c r="I456" s="635"/>
      <c r="J456" s="633" t="s">
        <v>13001</v>
      </c>
      <c r="K456" s="633">
        <v>1.0</v>
      </c>
      <c r="L456" s="633" t="s">
        <v>372</v>
      </c>
    </row>
    <row r="457">
      <c r="A457" s="652">
        <v>45759.0</v>
      </c>
      <c r="B457" s="634">
        <v>0.6842592592592592</v>
      </c>
      <c r="C457" s="633" t="s">
        <v>7892</v>
      </c>
      <c r="D457" s="635"/>
      <c r="E457" s="639">
        <v>923203132702</v>
      </c>
      <c r="F457" s="633" t="s">
        <v>6875</v>
      </c>
      <c r="G457" s="633" t="s">
        <v>12811</v>
      </c>
      <c r="H457" s="633" t="s">
        <v>12997</v>
      </c>
      <c r="I457" s="633" t="s">
        <v>13002</v>
      </c>
      <c r="J457" s="633" t="s">
        <v>13003</v>
      </c>
      <c r="K457" s="633">
        <v>4.0</v>
      </c>
      <c r="L457" s="633" t="s">
        <v>6944</v>
      </c>
    </row>
    <row r="458">
      <c r="A458" s="651">
        <v>45759.0</v>
      </c>
      <c r="B458" s="642">
        <v>0.7027893518518519</v>
      </c>
      <c r="C458" s="639" t="s">
        <v>13004</v>
      </c>
      <c r="D458" s="643"/>
      <c r="E458" s="639">
        <v>923323144843</v>
      </c>
      <c r="F458" s="633" t="s">
        <v>656</v>
      </c>
      <c r="G458" s="639" t="s">
        <v>12811</v>
      </c>
      <c r="H458" s="639" t="s">
        <v>13005</v>
      </c>
      <c r="I458" s="639" t="s">
        <v>13006</v>
      </c>
      <c r="J458" s="639" t="s">
        <v>13007</v>
      </c>
      <c r="K458" s="639">
        <v>4.0</v>
      </c>
      <c r="L458" s="639" t="s">
        <v>1153</v>
      </c>
    </row>
    <row r="459">
      <c r="A459" s="651">
        <v>45789.0</v>
      </c>
      <c r="B459" s="642">
        <v>0.441400462962963</v>
      </c>
      <c r="C459" s="639" t="s">
        <v>13008</v>
      </c>
      <c r="D459" s="643"/>
      <c r="E459" s="639">
        <v>923128136535</v>
      </c>
      <c r="F459" s="633" t="s">
        <v>656</v>
      </c>
      <c r="G459" s="643"/>
      <c r="H459" s="639" t="s">
        <v>13009</v>
      </c>
      <c r="I459" s="643"/>
      <c r="J459" s="639" t="s">
        <v>13010</v>
      </c>
      <c r="K459" s="639">
        <v>2.0</v>
      </c>
      <c r="L459" s="639" t="s">
        <v>13011</v>
      </c>
    </row>
    <row r="460">
      <c r="A460" s="652">
        <v>45789.0</v>
      </c>
      <c r="B460" s="634">
        <v>0.4450462962962963</v>
      </c>
      <c r="C460" s="633" t="s">
        <v>13012</v>
      </c>
      <c r="D460" s="635"/>
      <c r="E460" s="639">
        <v>923013810524</v>
      </c>
      <c r="F460" s="633" t="s">
        <v>6875</v>
      </c>
      <c r="G460" s="633" t="s">
        <v>12811</v>
      </c>
      <c r="H460" s="633" t="s">
        <v>13013</v>
      </c>
      <c r="I460" s="633" t="s">
        <v>13014</v>
      </c>
      <c r="J460" s="633" t="s">
        <v>13015</v>
      </c>
      <c r="K460" s="633">
        <v>4.0</v>
      </c>
      <c r="L460" s="636"/>
    </row>
    <row r="461">
      <c r="A461" s="652">
        <v>45789.0</v>
      </c>
      <c r="B461" s="634">
        <v>0.44538194444444446</v>
      </c>
      <c r="C461" s="633" t="s">
        <v>13016</v>
      </c>
      <c r="D461" s="635"/>
      <c r="E461" s="639">
        <v>923330166709</v>
      </c>
      <c r="F461" s="633" t="s">
        <v>6875</v>
      </c>
      <c r="G461" s="635"/>
      <c r="H461" s="633" t="s">
        <v>13017</v>
      </c>
      <c r="I461" s="635"/>
      <c r="J461" s="635"/>
      <c r="K461" s="633">
        <v>1.0</v>
      </c>
      <c r="L461" s="636"/>
    </row>
    <row r="462">
      <c r="A462" s="651">
        <v>45789.0</v>
      </c>
      <c r="B462" s="642">
        <v>0.4456597222222222</v>
      </c>
      <c r="C462" s="639" t="s">
        <v>13018</v>
      </c>
      <c r="D462" s="643"/>
      <c r="E462" s="639">
        <v>923333645110</v>
      </c>
      <c r="F462" s="633" t="s">
        <v>6939</v>
      </c>
      <c r="G462" s="639" t="s">
        <v>12811</v>
      </c>
      <c r="H462" s="639" t="s">
        <v>13019</v>
      </c>
      <c r="I462" s="639" t="s">
        <v>13020</v>
      </c>
      <c r="J462" s="639" t="s">
        <v>13021</v>
      </c>
      <c r="K462" s="639">
        <v>4.0</v>
      </c>
      <c r="L462" s="639" t="s">
        <v>8875</v>
      </c>
    </row>
    <row r="463">
      <c r="A463" s="651">
        <v>45789.0</v>
      </c>
      <c r="B463" s="642">
        <v>0.44582175925925926</v>
      </c>
      <c r="C463" s="639" t="s">
        <v>7897</v>
      </c>
      <c r="D463" s="643"/>
      <c r="E463" s="639">
        <v>923453006683</v>
      </c>
      <c r="F463" s="633" t="s">
        <v>6939</v>
      </c>
      <c r="G463" s="639" t="s">
        <v>12811</v>
      </c>
      <c r="H463" s="639" t="s">
        <v>13022</v>
      </c>
      <c r="I463" s="639" t="s">
        <v>13023</v>
      </c>
      <c r="J463" s="639" t="s">
        <v>13024</v>
      </c>
      <c r="K463" s="639">
        <v>4.0</v>
      </c>
      <c r="L463" s="653"/>
    </row>
    <row r="464">
      <c r="A464" s="652">
        <v>45789.0</v>
      </c>
      <c r="B464" s="634">
        <v>0.44608796296296294</v>
      </c>
      <c r="C464" s="633" t="s">
        <v>13025</v>
      </c>
      <c r="D464" s="635"/>
      <c r="E464" s="639">
        <v>923009277588</v>
      </c>
      <c r="F464" s="633" t="s">
        <v>6875</v>
      </c>
      <c r="G464" s="633" t="s">
        <v>12811</v>
      </c>
      <c r="H464" s="633" t="s">
        <v>13026</v>
      </c>
      <c r="I464" s="633" t="s">
        <v>13027</v>
      </c>
      <c r="J464" s="633" t="s">
        <v>13028</v>
      </c>
      <c r="K464" s="633">
        <v>4.0</v>
      </c>
      <c r="L464" s="633" t="s">
        <v>51</v>
      </c>
    </row>
    <row r="465">
      <c r="A465" s="652">
        <v>45789.0</v>
      </c>
      <c r="B465" s="634">
        <v>0.44634259259259257</v>
      </c>
      <c r="C465" s="633" t="s">
        <v>13029</v>
      </c>
      <c r="D465" s="635"/>
      <c r="E465" s="639">
        <v>923153750612</v>
      </c>
      <c r="F465" s="633" t="s">
        <v>6875</v>
      </c>
      <c r="G465" s="635"/>
      <c r="H465" s="633" t="s">
        <v>13030</v>
      </c>
      <c r="I465" s="635"/>
      <c r="J465" s="635"/>
      <c r="K465" s="633">
        <v>1.0</v>
      </c>
      <c r="L465" s="636"/>
    </row>
    <row r="466">
      <c r="A466" s="652">
        <v>45789.0</v>
      </c>
      <c r="B466" s="634">
        <v>0.4471412037037037</v>
      </c>
      <c r="C466" s="633" t="s">
        <v>13031</v>
      </c>
      <c r="D466" s="635"/>
      <c r="E466" s="639">
        <v>923178755480</v>
      </c>
      <c r="F466" s="633" t="s">
        <v>6875</v>
      </c>
      <c r="G466" s="633" t="s">
        <v>12811</v>
      </c>
      <c r="H466" s="633" t="s">
        <v>13032</v>
      </c>
      <c r="I466" s="633" t="s">
        <v>13033</v>
      </c>
      <c r="J466" s="633" t="s">
        <v>13034</v>
      </c>
      <c r="K466" s="633">
        <v>4.0</v>
      </c>
      <c r="L466" s="636"/>
    </row>
    <row r="467">
      <c r="A467" s="652">
        <v>45789.0</v>
      </c>
      <c r="B467" s="634">
        <v>0.44778935185185187</v>
      </c>
      <c r="C467" s="633" t="s">
        <v>5738</v>
      </c>
      <c r="D467" s="633" t="s">
        <v>6886</v>
      </c>
      <c r="E467" s="641" t="s">
        <v>13035</v>
      </c>
      <c r="F467" s="633" t="s">
        <v>6888</v>
      </c>
      <c r="G467" s="633" t="s">
        <v>13036</v>
      </c>
      <c r="H467" s="633" t="s">
        <v>13037</v>
      </c>
      <c r="I467" s="633" t="s">
        <v>13038</v>
      </c>
      <c r="J467" s="633" t="s">
        <v>13039</v>
      </c>
      <c r="K467" s="633">
        <v>4.0</v>
      </c>
      <c r="L467" s="633" t="s">
        <v>10694</v>
      </c>
    </row>
    <row r="468">
      <c r="A468" s="652">
        <v>45789.0</v>
      </c>
      <c r="B468" s="634">
        <v>0.44979166666666665</v>
      </c>
      <c r="C468" s="633" t="s">
        <v>13040</v>
      </c>
      <c r="D468" s="635"/>
      <c r="E468" s="639">
        <v>923234550786</v>
      </c>
      <c r="F468" s="633" t="s">
        <v>6875</v>
      </c>
      <c r="G468" s="635"/>
      <c r="H468" s="633" t="s">
        <v>13041</v>
      </c>
      <c r="I468" s="635"/>
      <c r="J468" s="635"/>
      <c r="K468" s="633">
        <v>1.0</v>
      </c>
      <c r="L468" s="633" t="s">
        <v>372</v>
      </c>
    </row>
    <row r="469">
      <c r="A469" s="651">
        <v>45789.0</v>
      </c>
      <c r="B469" s="642">
        <v>0.4517476851851852</v>
      </c>
      <c r="C469" s="639" t="s">
        <v>7902</v>
      </c>
      <c r="D469" s="643"/>
      <c r="E469" s="639">
        <v>923362414909</v>
      </c>
      <c r="F469" s="633" t="s">
        <v>6939</v>
      </c>
      <c r="G469" s="639" t="s">
        <v>12811</v>
      </c>
      <c r="H469" s="639" t="s">
        <v>13042</v>
      </c>
      <c r="I469" s="639" t="s">
        <v>13043</v>
      </c>
      <c r="J469" s="639" t="s">
        <v>13044</v>
      </c>
      <c r="K469" s="639">
        <v>4.0</v>
      </c>
      <c r="L469" s="653"/>
    </row>
    <row r="470">
      <c r="A470" s="652">
        <v>45789.0</v>
      </c>
      <c r="B470" s="634">
        <v>0.4520023148148148</v>
      </c>
      <c r="C470" s="633" t="s">
        <v>13045</v>
      </c>
      <c r="D470" s="635"/>
      <c r="E470" s="639">
        <v>923003833631</v>
      </c>
      <c r="F470" s="633" t="s">
        <v>6875</v>
      </c>
      <c r="G470" s="635"/>
      <c r="H470" s="633" t="s">
        <v>13046</v>
      </c>
      <c r="I470" s="633" t="s">
        <v>13047</v>
      </c>
      <c r="J470" s="635"/>
      <c r="K470" s="633">
        <v>2.0</v>
      </c>
      <c r="L470" s="636"/>
    </row>
    <row r="471">
      <c r="A471" s="651">
        <v>45789.0</v>
      </c>
      <c r="B471" s="642">
        <v>0.4522569444444444</v>
      </c>
      <c r="C471" s="639" t="s">
        <v>13048</v>
      </c>
      <c r="D471" s="643"/>
      <c r="E471" s="639">
        <v>923052607664</v>
      </c>
      <c r="F471" s="633" t="s">
        <v>7291</v>
      </c>
      <c r="G471" s="639" t="s">
        <v>12811</v>
      </c>
      <c r="H471" s="639" t="s">
        <v>13049</v>
      </c>
      <c r="I471" s="639" t="s">
        <v>13050</v>
      </c>
      <c r="J471" s="639" t="s">
        <v>13051</v>
      </c>
      <c r="K471" s="639">
        <v>4.0</v>
      </c>
      <c r="L471" s="639" t="s">
        <v>11891</v>
      </c>
    </row>
    <row r="472">
      <c r="A472" s="652">
        <v>45789.0</v>
      </c>
      <c r="B472" s="634">
        <v>0.45533564814814814</v>
      </c>
      <c r="C472" s="633" t="s">
        <v>13052</v>
      </c>
      <c r="D472" s="635"/>
      <c r="E472" s="639">
        <v>923230439099</v>
      </c>
      <c r="F472" s="633" t="s">
        <v>6875</v>
      </c>
      <c r="G472" s="635"/>
      <c r="H472" s="633" t="s">
        <v>13053</v>
      </c>
      <c r="I472" s="635"/>
      <c r="J472" s="635"/>
      <c r="K472" s="633">
        <v>1.0</v>
      </c>
      <c r="L472" s="633" t="s">
        <v>7851</v>
      </c>
    </row>
    <row r="473">
      <c r="A473" s="651">
        <v>45789.0</v>
      </c>
      <c r="B473" s="642">
        <v>0.4769212962962963</v>
      </c>
      <c r="C473" s="639" t="s">
        <v>13054</v>
      </c>
      <c r="D473" s="643"/>
      <c r="E473" s="639">
        <v>923200211600</v>
      </c>
      <c r="F473" s="633" t="s">
        <v>7291</v>
      </c>
      <c r="G473" s="639" t="s">
        <v>12811</v>
      </c>
      <c r="H473" s="639" t="s">
        <v>13055</v>
      </c>
      <c r="I473" s="639" t="s">
        <v>13056</v>
      </c>
      <c r="J473" s="643"/>
      <c r="K473" s="639">
        <v>3.0</v>
      </c>
      <c r="L473" s="639" t="s">
        <v>13057</v>
      </c>
    </row>
    <row r="474">
      <c r="A474" s="652">
        <v>45789.0</v>
      </c>
      <c r="B474" s="634">
        <v>0.5055902777777778</v>
      </c>
      <c r="C474" s="633" t="s">
        <v>13058</v>
      </c>
      <c r="D474" s="635"/>
      <c r="E474" s="639">
        <f>923365103935</f>
        <v>923365103935</v>
      </c>
      <c r="F474" s="633" t="s">
        <v>6875</v>
      </c>
      <c r="G474" s="635"/>
      <c r="H474" s="635"/>
      <c r="I474" s="633" t="s">
        <v>13059</v>
      </c>
      <c r="J474" s="633" t="s">
        <v>13060</v>
      </c>
      <c r="K474" s="633">
        <v>2.0</v>
      </c>
      <c r="L474" s="633" t="s">
        <v>13061</v>
      </c>
    </row>
    <row r="475">
      <c r="A475" s="651">
        <v>45789.0</v>
      </c>
      <c r="B475" s="642">
        <v>0.506087962962963</v>
      </c>
      <c r="C475" s="639" t="s">
        <v>13062</v>
      </c>
      <c r="D475" s="643"/>
      <c r="E475" s="639">
        <v>923214616577</v>
      </c>
      <c r="F475" s="633" t="s">
        <v>7291</v>
      </c>
      <c r="G475" s="643"/>
      <c r="H475" s="639" t="s">
        <v>13055</v>
      </c>
      <c r="I475" s="639" t="s">
        <v>13063</v>
      </c>
      <c r="J475" s="643"/>
      <c r="K475" s="639">
        <v>1.0</v>
      </c>
      <c r="L475" s="639" t="s">
        <v>13064</v>
      </c>
    </row>
    <row r="476">
      <c r="A476" s="652">
        <v>45789.0</v>
      </c>
      <c r="B476" s="634">
        <v>0.5135185185185185</v>
      </c>
      <c r="C476" s="633" t="s">
        <v>7925</v>
      </c>
      <c r="D476" s="635"/>
      <c r="E476" s="639">
        <v>923332257844</v>
      </c>
      <c r="F476" s="633" t="s">
        <v>6875</v>
      </c>
      <c r="G476" s="635"/>
      <c r="H476" s="635"/>
      <c r="I476" s="633" t="s">
        <v>13065</v>
      </c>
      <c r="J476" s="633" t="s">
        <v>13066</v>
      </c>
      <c r="K476" s="633">
        <v>2.0</v>
      </c>
      <c r="L476" s="633" t="s">
        <v>372</v>
      </c>
    </row>
    <row r="477">
      <c r="A477" s="652">
        <v>45789.0</v>
      </c>
      <c r="B477" s="634">
        <v>0.5366782407407408</v>
      </c>
      <c r="C477" s="633" t="s">
        <v>7930</v>
      </c>
      <c r="D477" s="635"/>
      <c r="E477" s="639">
        <v>923330280375</v>
      </c>
      <c r="F477" s="633" t="s">
        <v>6875</v>
      </c>
      <c r="G477" s="635"/>
      <c r="H477" s="635"/>
      <c r="I477" s="633" t="s">
        <v>13067</v>
      </c>
      <c r="J477" s="635"/>
      <c r="K477" s="633">
        <v>1.0</v>
      </c>
      <c r="L477" s="633" t="s">
        <v>372</v>
      </c>
    </row>
    <row r="478">
      <c r="A478" s="651">
        <v>45789.0</v>
      </c>
      <c r="B478" s="642">
        <v>0.6372916666666667</v>
      </c>
      <c r="C478" s="639" t="s">
        <v>13068</v>
      </c>
      <c r="D478" s="643"/>
      <c r="E478" s="639">
        <v>923337919419</v>
      </c>
      <c r="F478" s="633" t="s">
        <v>6939</v>
      </c>
      <c r="G478" s="639" t="s">
        <v>12811</v>
      </c>
      <c r="H478" s="639" t="s">
        <v>13049</v>
      </c>
      <c r="I478" s="639" t="s">
        <v>13069</v>
      </c>
      <c r="J478" s="639" t="s">
        <v>13070</v>
      </c>
      <c r="K478" s="639">
        <v>4.0</v>
      </c>
      <c r="L478" s="643"/>
    </row>
    <row r="479">
      <c r="A479" s="651">
        <v>45789.0</v>
      </c>
      <c r="B479" s="642">
        <v>0.6376736111111111</v>
      </c>
      <c r="C479" s="639" t="s">
        <v>7943</v>
      </c>
      <c r="D479" s="643"/>
      <c r="E479" s="639">
        <v>923337022001</v>
      </c>
      <c r="F479" s="633" t="s">
        <v>6939</v>
      </c>
      <c r="G479" s="639" t="s">
        <v>12811</v>
      </c>
      <c r="H479" s="639" t="s">
        <v>13049</v>
      </c>
      <c r="I479" s="639" t="s">
        <v>13071</v>
      </c>
      <c r="J479" s="639" t="s">
        <v>13072</v>
      </c>
      <c r="K479" s="639">
        <v>4.0</v>
      </c>
      <c r="L479" s="643"/>
    </row>
    <row r="480">
      <c r="A480" s="652">
        <v>45789.0</v>
      </c>
      <c r="B480" s="634">
        <v>0.6843865740740741</v>
      </c>
      <c r="C480" s="633" t="s">
        <v>13073</v>
      </c>
      <c r="D480" s="633" t="s">
        <v>6886</v>
      </c>
      <c r="E480" s="641" t="s">
        <v>13074</v>
      </c>
      <c r="F480" s="633" t="s">
        <v>6888</v>
      </c>
      <c r="G480" s="635"/>
      <c r="H480" s="633" t="s">
        <v>13075</v>
      </c>
      <c r="I480" s="635"/>
      <c r="J480" s="633" t="s">
        <v>13076</v>
      </c>
      <c r="K480" s="633">
        <v>2.0</v>
      </c>
      <c r="L480" s="633" t="s">
        <v>13077</v>
      </c>
    </row>
    <row r="481">
      <c r="A481" s="652">
        <v>45789.0</v>
      </c>
      <c r="B481" s="634">
        <v>0.7221875</v>
      </c>
      <c r="C481" s="633" t="s">
        <v>13078</v>
      </c>
      <c r="D481" s="635"/>
      <c r="E481" s="639">
        <v>923152351560</v>
      </c>
      <c r="F481" s="633" t="s">
        <v>6875</v>
      </c>
      <c r="G481" s="635"/>
      <c r="H481" s="633" t="s">
        <v>13079</v>
      </c>
      <c r="I481" s="633" t="s">
        <v>13080</v>
      </c>
      <c r="J481" s="635"/>
      <c r="K481" s="633">
        <v>2.0</v>
      </c>
      <c r="L481" s="633" t="s">
        <v>372</v>
      </c>
    </row>
    <row r="482">
      <c r="A482" s="652">
        <v>45789.0</v>
      </c>
      <c r="B482" s="634">
        <v>0.7306018518518519</v>
      </c>
      <c r="C482" s="633" t="s">
        <v>13081</v>
      </c>
      <c r="D482" s="635"/>
      <c r="E482" s="639">
        <v>923052135695</v>
      </c>
      <c r="F482" s="633" t="s">
        <v>6875</v>
      </c>
      <c r="G482" s="633" t="s">
        <v>12811</v>
      </c>
      <c r="H482" s="633" t="s">
        <v>13082</v>
      </c>
      <c r="I482" s="633" t="s">
        <v>13083</v>
      </c>
      <c r="J482" s="633" t="s">
        <v>13084</v>
      </c>
      <c r="K482" s="633">
        <v>4.0</v>
      </c>
      <c r="L482" s="633" t="s">
        <v>372</v>
      </c>
    </row>
    <row r="483">
      <c r="A483" s="652">
        <v>45820.0</v>
      </c>
      <c r="B483" s="634">
        <v>0.5053009259259259</v>
      </c>
      <c r="C483" s="633" t="s">
        <v>13085</v>
      </c>
      <c r="D483" s="633" t="s">
        <v>6886</v>
      </c>
      <c r="E483" s="641" t="s">
        <v>13086</v>
      </c>
      <c r="F483" s="633" t="s">
        <v>6888</v>
      </c>
      <c r="G483" s="635"/>
      <c r="H483" s="633" t="s">
        <v>13087</v>
      </c>
      <c r="I483" s="635"/>
      <c r="J483" s="635"/>
      <c r="K483" s="633">
        <v>1.0</v>
      </c>
      <c r="L483" s="633" t="s">
        <v>13088</v>
      </c>
    </row>
    <row r="484">
      <c r="A484" s="652">
        <v>45820.0</v>
      </c>
      <c r="B484" s="634">
        <v>0.5056828703703704</v>
      </c>
      <c r="C484" s="633" t="s">
        <v>13089</v>
      </c>
      <c r="D484" s="635"/>
      <c r="E484" s="639">
        <v>923337820618</v>
      </c>
      <c r="F484" s="633" t="s">
        <v>6875</v>
      </c>
      <c r="G484" s="635"/>
      <c r="H484" s="633" t="s">
        <v>13090</v>
      </c>
      <c r="I484" s="633" t="s">
        <v>13091</v>
      </c>
      <c r="J484" s="635"/>
      <c r="K484" s="633">
        <v>2.0</v>
      </c>
      <c r="L484" s="633" t="s">
        <v>13092</v>
      </c>
    </row>
    <row r="485">
      <c r="A485" s="651">
        <v>45820.0</v>
      </c>
      <c r="B485" s="642">
        <v>0.5058449074074074</v>
      </c>
      <c r="C485" s="639" t="s">
        <v>7953</v>
      </c>
      <c r="D485" s="643"/>
      <c r="E485" s="639">
        <v>923112863629</v>
      </c>
      <c r="F485" s="633" t="s">
        <v>6939</v>
      </c>
      <c r="G485" s="639" t="s">
        <v>12811</v>
      </c>
      <c r="H485" s="639" t="s">
        <v>13093</v>
      </c>
      <c r="I485" s="639" t="s">
        <v>13094</v>
      </c>
      <c r="J485" s="639" t="s">
        <v>13095</v>
      </c>
      <c r="K485" s="639">
        <v>4.0</v>
      </c>
      <c r="L485" s="639" t="s">
        <v>6944</v>
      </c>
    </row>
    <row r="486">
      <c r="A486" s="652">
        <v>45820.0</v>
      </c>
      <c r="B486" s="634">
        <v>0.5062615740740741</v>
      </c>
      <c r="C486" s="633" t="s">
        <v>7958</v>
      </c>
      <c r="D486" s="635"/>
      <c r="E486" s="639">
        <v>923366205383</v>
      </c>
      <c r="F486" s="633" t="s">
        <v>6875</v>
      </c>
      <c r="G486" s="635"/>
      <c r="H486" s="633" t="s">
        <v>13096</v>
      </c>
      <c r="I486" s="635"/>
      <c r="J486" s="635"/>
      <c r="K486" s="633">
        <v>1.0</v>
      </c>
      <c r="L486" s="633" t="s">
        <v>372</v>
      </c>
    </row>
    <row r="487">
      <c r="A487" s="651">
        <v>45820.0</v>
      </c>
      <c r="B487" s="642">
        <v>0.5064467592592593</v>
      </c>
      <c r="C487" s="639" t="s">
        <v>13097</v>
      </c>
      <c r="D487" s="643"/>
      <c r="E487" s="639">
        <v>923087660784</v>
      </c>
      <c r="F487" s="633" t="s">
        <v>7291</v>
      </c>
      <c r="G487" s="643"/>
      <c r="H487" s="639" t="s">
        <v>13098</v>
      </c>
      <c r="I487" s="639" t="s">
        <v>13099</v>
      </c>
      <c r="J487" s="643"/>
      <c r="K487" s="639">
        <v>2.0</v>
      </c>
      <c r="L487" s="639" t="s">
        <v>6944</v>
      </c>
    </row>
    <row r="488">
      <c r="A488" s="652">
        <v>45820.0</v>
      </c>
      <c r="B488" s="634">
        <v>0.506875</v>
      </c>
      <c r="C488" s="633" t="s">
        <v>13100</v>
      </c>
      <c r="D488" s="635"/>
      <c r="E488" s="639">
        <v>923222290880</v>
      </c>
      <c r="F488" s="633" t="s">
        <v>6875</v>
      </c>
      <c r="G488" s="635"/>
      <c r="H488" s="633" t="s">
        <v>13101</v>
      </c>
      <c r="I488" s="635"/>
      <c r="J488" s="635"/>
      <c r="K488" s="633">
        <v>1.0</v>
      </c>
      <c r="L488" s="633" t="s">
        <v>372</v>
      </c>
    </row>
    <row r="489">
      <c r="A489" s="652">
        <v>45820.0</v>
      </c>
      <c r="B489" s="634">
        <v>0.5071064814814815</v>
      </c>
      <c r="C489" s="633" t="s">
        <v>13102</v>
      </c>
      <c r="D489" s="635"/>
      <c r="E489" s="639">
        <v>923016557713</v>
      </c>
      <c r="F489" s="633" t="s">
        <v>6875</v>
      </c>
      <c r="G489" s="635"/>
      <c r="H489" s="633" t="s">
        <v>13103</v>
      </c>
      <c r="I489" s="633" t="s">
        <v>13104</v>
      </c>
      <c r="J489" s="635"/>
      <c r="K489" s="633">
        <v>2.0</v>
      </c>
      <c r="L489" s="633" t="s">
        <v>372</v>
      </c>
    </row>
    <row r="490">
      <c r="A490" s="651">
        <v>45820.0</v>
      </c>
      <c r="B490" s="642">
        <v>0.5072685185185185</v>
      </c>
      <c r="C490" s="639" t="s">
        <v>7963</v>
      </c>
      <c r="D490" s="643"/>
      <c r="E490" s="639">
        <v>923044473935</v>
      </c>
      <c r="F490" s="633" t="s">
        <v>6939</v>
      </c>
      <c r="G490" s="639" t="s">
        <v>12811</v>
      </c>
      <c r="H490" s="639" t="s">
        <v>13105</v>
      </c>
      <c r="I490" s="639" t="s">
        <v>13106</v>
      </c>
      <c r="J490" s="639" t="s">
        <v>13107</v>
      </c>
      <c r="K490" s="639">
        <v>4.0</v>
      </c>
      <c r="L490" s="643"/>
    </row>
    <row r="491">
      <c r="A491" s="652">
        <v>45820.0</v>
      </c>
      <c r="B491" s="634">
        <v>0.5074074074074074</v>
      </c>
      <c r="C491" s="633" t="s">
        <v>7968</v>
      </c>
      <c r="D491" s="635"/>
      <c r="E491" s="639">
        <v>923097287956</v>
      </c>
      <c r="F491" s="633" t="s">
        <v>6875</v>
      </c>
      <c r="G491" s="633" t="s">
        <v>12811</v>
      </c>
      <c r="H491" s="633" t="s">
        <v>13108</v>
      </c>
      <c r="I491" s="633" t="s">
        <v>13109</v>
      </c>
      <c r="J491" s="633" t="s">
        <v>13110</v>
      </c>
      <c r="K491" s="633">
        <v>4.0</v>
      </c>
      <c r="L491" s="633" t="s">
        <v>372</v>
      </c>
    </row>
    <row r="492">
      <c r="A492" s="651">
        <v>45820.0</v>
      </c>
      <c r="B492" s="642">
        <v>0.5075578703703704</v>
      </c>
      <c r="C492" s="639" t="s">
        <v>13111</v>
      </c>
      <c r="D492" s="643"/>
      <c r="E492" s="639">
        <v>923331235054</v>
      </c>
      <c r="F492" s="633" t="s">
        <v>6939</v>
      </c>
      <c r="G492" s="639" t="s">
        <v>12811</v>
      </c>
      <c r="H492" s="639" t="s">
        <v>13105</v>
      </c>
      <c r="I492" s="639" t="s">
        <v>13112</v>
      </c>
      <c r="J492" s="639" t="s">
        <v>13113</v>
      </c>
      <c r="K492" s="639">
        <v>4.0</v>
      </c>
      <c r="L492" s="639" t="s">
        <v>6944</v>
      </c>
    </row>
    <row r="493">
      <c r="A493" s="652">
        <v>45820.0</v>
      </c>
      <c r="B493" s="634">
        <v>0.5076967592592593</v>
      </c>
      <c r="C493" s="633" t="s">
        <v>13114</v>
      </c>
      <c r="D493" s="635"/>
      <c r="E493" s="639">
        <v>923332178352</v>
      </c>
      <c r="F493" s="633" t="s">
        <v>6875</v>
      </c>
      <c r="G493" s="635"/>
      <c r="H493" s="635"/>
      <c r="I493" s="633" t="s">
        <v>13115</v>
      </c>
      <c r="J493" s="635"/>
      <c r="K493" s="633">
        <v>1.0</v>
      </c>
      <c r="L493" s="633" t="s">
        <v>372</v>
      </c>
    </row>
    <row r="494">
      <c r="A494" s="652">
        <v>45820.0</v>
      </c>
      <c r="B494" s="634">
        <v>0.5077893518518518</v>
      </c>
      <c r="C494" s="633" t="s">
        <v>7972</v>
      </c>
      <c r="D494" s="635"/>
      <c r="E494" s="639">
        <v>923427428775</v>
      </c>
      <c r="F494" s="633" t="s">
        <v>6875</v>
      </c>
      <c r="G494" s="635"/>
      <c r="H494" s="635"/>
      <c r="I494" s="633" t="s">
        <v>13116</v>
      </c>
      <c r="J494" s="635"/>
      <c r="K494" s="633">
        <v>1.0</v>
      </c>
      <c r="L494" s="633" t="s">
        <v>372</v>
      </c>
    </row>
    <row r="495">
      <c r="A495" s="651">
        <v>45820.0</v>
      </c>
      <c r="B495" s="642">
        <v>0.508125</v>
      </c>
      <c r="C495" s="639" t="s">
        <v>7974</v>
      </c>
      <c r="D495" s="643"/>
      <c r="E495" s="639">
        <v>923103882453</v>
      </c>
      <c r="F495" s="633" t="s">
        <v>6939</v>
      </c>
      <c r="G495" s="639" t="s">
        <v>12811</v>
      </c>
      <c r="H495" s="639" t="s">
        <v>13108</v>
      </c>
      <c r="I495" s="639" t="s">
        <v>13117</v>
      </c>
      <c r="J495" s="639" t="s">
        <v>13118</v>
      </c>
      <c r="K495" s="639">
        <v>4.0</v>
      </c>
      <c r="L495" s="643"/>
    </row>
    <row r="496">
      <c r="A496" s="652">
        <v>45820.0</v>
      </c>
      <c r="B496" s="634">
        <v>0.508287037037037</v>
      </c>
      <c r="C496" s="633" t="s">
        <v>7979</v>
      </c>
      <c r="D496" s="635"/>
      <c r="E496" s="639">
        <v>923347522681</v>
      </c>
      <c r="F496" s="633" t="s">
        <v>6875</v>
      </c>
      <c r="G496" s="635"/>
      <c r="H496" s="635"/>
      <c r="I496" s="633" t="s">
        <v>13119</v>
      </c>
      <c r="J496" s="635"/>
      <c r="K496" s="633">
        <v>1.0</v>
      </c>
      <c r="L496" s="633" t="s">
        <v>372</v>
      </c>
    </row>
    <row r="497">
      <c r="A497" s="651">
        <v>45820.0</v>
      </c>
      <c r="B497" s="642">
        <v>0.5084027777777778</v>
      </c>
      <c r="C497" s="639" t="s">
        <v>7985</v>
      </c>
      <c r="D497" s="643"/>
      <c r="E497" s="639">
        <v>923366027849</v>
      </c>
      <c r="F497" s="633" t="s">
        <v>6939</v>
      </c>
      <c r="G497" s="639" t="s">
        <v>12811</v>
      </c>
      <c r="H497" s="639" t="s">
        <v>13108</v>
      </c>
      <c r="I497" s="639" t="s">
        <v>13120</v>
      </c>
      <c r="J497" s="639" t="s">
        <v>13121</v>
      </c>
      <c r="K497" s="639">
        <v>4.0</v>
      </c>
      <c r="L497" s="643"/>
    </row>
    <row r="498">
      <c r="A498" s="652">
        <v>45820.0</v>
      </c>
      <c r="B498" s="634">
        <v>0.5084953703703704</v>
      </c>
      <c r="C498" s="633" t="s">
        <v>7990</v>
      </c>
      <c r="D498" s="635"/>
      <c r="E498" s="639">
        <v>923482165053</v>
      </c>
      <c r="F498" s="633" t="s">
        <v>6875</v>
      </c>
      <c r="G498" s="633" t="s">
        <v>12811</v>
      </c>
      <c r="H498" s="633" t="s">
        <v>13108</v>
      </c>
      <c r="I498" s="633" t="s">
        <v>13122</v>
      </c>
      <c r="J498" s="633" t="s">
        <v>13123</v>
      </c>
      <c r="K498" s="633">
        <v>4.0</v>
      </c>
      <c r="L498" s="635"/>
    </row>
    <row r="499">
      <c r="A499" s="652">
        <v>45820.0</v>
      </c>
      <c r="B499" s="634">
        <v>0.5085879629629629</v>
      </c>
      <c r="C499" s="633" t="s">
        <v>7995</v>
      </c>
      <c r="D499" s="635"/>
      <c r="E499" s="639">
        <v>923042699319</v>
      </c>
      <c r="F499" s="633" t="s">
        <v>6875</v>
      </c>
      <c r="G499" s="633" t="s">
        <v>12811</v>
      </c>
      <c r="H499" s="633" t="s">
        <v>13108</v>
      </c>
      <c r="I499" s="633" t="s">
        <v>13124</v>
      </c>
      <c r="J499" s="633" t="s">
        <v>13125</v>
      </c>
      <c r="K499" s="633">
        <v>4.0</v>
      </c>
      <c r="L499" s="633" t="s">
        <v>372</v>
      </c>
    </row>
    <row r="500">
      <c r="A500" s="652">
        <v>45820.0</v>
      </c>
      <c r="B500" s="634">
        <v>0.5087731481481481</v>
      </c>
      <c r="C500" s="633" t="s">
        <v>13126</v>
      </c>
      <c r="D500" s="635"/>
      <c r="E500" s="639">
        <v>923053965467</v>
      </c>
      <c r="F500" s="633" t="s">
        <v>6875</v>
      </c>
      <c r="G500" s="633" t="s">
        <v>12811</v>
      </c>
      <c r="H500" s="633" t="s">
        <v>13108</v>
      </c>
      <c r="I500" s="633" t="s">
        <v>13127</v>
      </c>
      <c r="J500" s="633" t="s">
        <v>13128</v>
      </c>
      <c r="K500" s="633">
        <v>4.0</v>
      </c>
      <c r="L500" s="633" t="s">
        <v>372</v>
      </c>
    </row>
    <row r="501">
      <c r="A501" s="651">
        <v>45820.0</v>
      </c>
      <c r="B501" s="642">
        <v>0.5100925925925925</v>
      </c>
      <c r="C501" s="639" t="s">
        <v>13129</v>
      </c>
      <c r="D501" s="643"/>
      <c r="E501" s="639">
        <v>923161494735</v>
      </c>
      <c r="F501" s="633" t="s">
        <v>6939</v>
      </c>
      <c r="G501" s="639" t="s">
        <v>12811</v>
      </c>
      <c r="H501" s="639" t="s">
        <v>13108</v>
      </c>
      <c r="I501" s="639" t="s">
        <v>13130</v>
      </c>
      <c r="J501" s="639" t="s">
        <v>13131</v>
      </c>
      <c r="K501" s="639">
        <v>4.0</v>
      </c>
      <c r="L501" s="643"/>
    </row>
    <row r="502">
      <c r="A502" s="651">
        <v>45820.0</v>
      </c>
      <c r="B502" s="642">
        <v>0.5101967592592592</v>
      </c>
      <c r="C502" s="639" t="s">
        <v>8001</v>
      </c>
      <c r="D502" s="643"/>
      <c r="E502" s="639">
        <v>923182078850</v>
      </c>
      <c r="F502" s="633" t="s">
        <v>6939</v>
      </c>
      <c r="G502" s="639" t="s">
        <v>12811</v>
      </c>
      <c r="H502" s="639" t="s">
        <v>13108</v>
      </c>
      <c r="I502" s="639" t="s">
        <v>13132</v>
      </c>
      <c r="J502" s="639" t="s">
        <v>13133</v>
      </c>
      <c r="K502" s="639">
        <v>4.0</v>
      </c>
      <c r="L502" s="643"/>
    </row>
    <row r="503">
      <c r="A503" s="652">
        <v>45820.0</v>
      </c>
      <c r="B503" s="634">
        <v>0.5113194444444444</v>
      </c>
      <c r="C503" s="633" t="s">
        <v>8004</v>
      </c>
      <c r="D503" s="635"/>
      <c r="E503" s="639">
        <v>923213913483</v>
      </c>
      <c r="F503" s="633" t="s">
        <v>6875</v>
      </c>
      <c r="G503" s="635"/>
      <c r="H503" s="635"/>
      <c r="I503" s="633" t="s">
        <v>13134</v>
      </c>
      <c r="J503" s="635"/>
      <c r="K503" s="633">
        <v>1.0</v>
      </c>
      <c r="L503" s="633" t="s">
        <v>372</v>
      </c>
    </row>
    <row r="504">
      <c r="A504" s="651">
        <v>45820.0</v>
      </c>
      <c r="B504" s="642">
        <v>0.5115277777777778</v>
      </c>
      <c r="C504" s="639" t="s">
        <v>13135</v>
      </c>
      <c r="D504" s="643"/>
      <c r="E504" s="639">
        <v>923303061197</v>
      </c>
      <c r="F504" s="633" t="s">
        <v>7291</v>
      </c>
      <c r="G504" s="643"/>
      <c r="H504" s="643"/>
      <c r="I504" s="639" t="s">
        <v>13136</v>
      </c>
      <c r="J504" s="643"/>
      <c r="K504" s="639">
        <v>1.0</v>
      </c>
      <c r="L504" s="639" t="s">
        <v>6944</v>
      </c>
    </row>
    <row r="505">
      <c r="A505" s="652">
        <v>45820.0</v>
      </c>
      <c r="B505" s="634">
        <v>0.5118055555555555</v>
      </c>
      <c r="C505" s="633" t="s">
        <v>13137</v>
      </c>
      <c r="D505" s="635"/>
      <c r="E505" s="639">
        <v>923322186843</v>
      </c>
      <c r="F505" s="633" t="s">
        <v>6875</v>
      </c>
      <c r="G505" s="635"/>
      <c r="H505" s="635"/>
      <c r="I505" s="633" t="s">
        <v>13138</v>
      </c>
      <c r="J505" s="635"/>
      <c r="K505" s="633">
        <v>1.0</v>
      </c>
      <c r="L505" s="633" t="s">
        <v>372</v>
      </c>
    </row>
    <row r="506">
      <c r="A506" s="652">
        <v>45820.0</v>
      </c>
      <c r="B506" s="634">
        <v>0.5122337962962963</v>
      </c>
      <c r="C506" s="633" t="s">
        <v>13139</v>
      </c>
      <c r="D506" s="635"/>
      <c r="E506" s="639">
        <v>923357409615</v>
      </c>
      <c r="F506" s="633" t="s">
        <v>6875</v>
      </c>
      <c r="G506" s="635"/>
      <c r="H506" s="635"/>
      <c r="I506" s="633" t="s">
        <v>13140</v>
      </c>
      <c r="J506" s="635"/>
      <c r="K506" s="633">
        <v>1.0</v>
      </c>
      <c r="L506" s="633" t="s">
        <v>51</v>
      </c>
    </row>
    <row r="507">
      <c r="A507" s="652">
        <v>45820.0</v>
      </c>
      <c r="B507" s="634">
        <v>0.5123611111111112</v>
      </c>
      <c r="C507" s="633" t="s">
        <v>13141</v>
      </c>
      <c r="D507" s="635"/>
      <c r="E507" s="639">
        <f>9203452003896</f>
        <v>9203452003896</v>
      </c>
      <c r="F507" s="633" t="s">
        <v>6875</v>
      </c>
      <c r="G507" s="635"/>
      <c r="H507" s="635"/>
      <c r="I507" s="633" t="s">
        <v>13142</v>
      </c>
      <c r="J507" s="633" t="s">
        <v>13143</v>
      </c>
      <c r="K507" s="633">
        <v>2.0</v>
      </c>
      <c r="L507" s="633" t="s">
        <v>13144</v>
      </c>
    </row>
    <row r="508">
      <c r="A508" s="651">
        <v>45820.0</v>
      </c>
      <c r="B508" s="642">
        <v>0.5125810185185186</v>
      </c>
      <c r="C508" s="639" t="s">
        <v>13145</v>
      </c>
      <c r="D508" s="643"/>
      <c r="E508" s="639">
        <v>923018208344</v>
      </c>
      <c r="F508" s="633" t="s">
        <v>6939</v>
      </c>
      <c r="G508" s="639" t="s">
        <v>12811</v>
      </c>
      <c r="H508" s="639" t="s">
        <v>13146</v>
      </c>
      <c r="I508" s="639" t="s">
        <v>13147</v>
      </c>
      <c r="J508" s="639" t="s">
        <v>13148</v>
      </c>
      <c r="K508" s="639">
        <v>4.0</v>
      </c>
      <c r="L508" s="643"/>
    </row>
    <row r="509">
      <c r="A509" s="652">
        <v>45820.0</v>
      </c>
      <c r="B509" s="634">
        <v>0.5128125</v>
      </c>
      <c r="C509" s="633" t="s">
        <v>306</v>
      </c>
      <c r="D509" s="635"/>
      <c r="E509" s="639">
        <v>923034783896</v>
      </c>
      <c r="F509" s="633" t="s">
        <v>6875</v>
      </c>
      <c r="G509" s="635"/>
      <c r="H509" s="635"/>
      <c r="I509" s="633" t="s">
        <v>13149</v>
      </c>
      <c r="J509" s="635"/>
      <c r="K509" s="633">
        <v>1.0</v>
      </c>
      <c r="L509" s="633" t="s">
        <v>372</v>
      </c>
    </row>
    <row r="510">
      <c r="A510" s="652">
        <v>45820.0</v>
      </c>
      <c r="B510" s="634">
        <v>0.5130208333333334</v>
      </c>
      <c r="C510" s="633" t="s">
        <v>13150</v>
      </c>
      <c r="D510" s="635"/>
      <c r="E510" s="639">
        <v>923037444286</v>
      </c>
      <c r="F510" s="633" t="s">
        <v>6875</v>
      </c>
      <c r="G510" s="633" t="s">
        <v>12811</v>
      </c>
      <c r="H510" s="633" t="s">
        <v>13108</v>
      </c>
      <c r="I510" s="633" t="s">
        <v>13151</v>
      </c>
      <c r="J510" s="633" t="s">
        <v>13152</v>
      </c>
      <c r="K510" s="633">
        <v>4.0</v>
      </c>
      <c r="L510" s="633" t="s">
        <v>372</v>
      </c>
    </row>
    <row r="511">
      <c r="A511" s="652">
        <v>45820.0</v>
      </c>
      <c r="B511" s="634">
        <v>0.5133333333333333</v>
      </c>
      <c r="C511" s="633" t="s">
        <v>13153</v>
      </c>
      <c r="D511" s="635"/>
      <c r="E511" s="639">
        <v>923073427542</v>
      </c>
      <c r="F511" s="633" t="s">
        <v>6875</v>
      </c>
      <c r="G511" s="635"/>
      <c r="H511" s="635"/>
      <c r="I511" s="633" t="s">
        <v>13154</v>
      </c>
      <c r="J511" s="635"/>
      <c r="K511" s="633">
        <v>1.0</v>
      </c>
      <c r="L511" s="633" t="s">
        <v>372</v>
      </c>
    </row>
    <row r="512">
      <c r="A512" s="652">
        <v>45820.0</v>
      </c>
      <c r="B512" s="634">
        <v>0.5137384259259259</v>
      </c>
      <c r="C512" s="633" t="s">
        <v>8014</v>
      </c>
      <c r="D512" s="635"/>
      <c r="E512" s="639">
        <v>923354422801</v>
      </c>
      <c r="F512" s="633" t="s">
        <v>6875</v>
      </c>
      <c r="G512" s="635"/>
      <c r="H512" s="635"/>
      <c r="I512" s="633" t="s">
        <v>13155</v>
      </c>
      <c r="J512" s="635"/>
      <c r="K512" s="633">
        <v>1.0</v>
      </c>
      <c r="L512" s="633" t="s">
        <v>11758</v>
      </c>
    </row>
    <row r="513">
      <c r="A513" s="652">
        <v>45820.0</v>
      </c>
      <c r="B513" s="634">
        <v>0.5137847222222223</v>
      </c>
      <c r="C513" s="633" t="s">
        <v>8019</v>
      </c>
      <c r="D513" s="635"/>
      <c r="E513" s="639">
        <v>923186260051</v>
      </c>
      <c r="F513" s="633" t="s">
        <v>6875</v>
      </c>
      <c r="G513" s="633" t="s">
        <v>12811</v>
      </c>
      <c r="H513" s="633" t="s">
        <v>13108</v>
      </c>
      <c r="I513" s="633" t="s">
        <v>13156</v>
      </c>
      <c r="J513" s="633" t="s">
        <v>13157</v>
      </c>
      <c r="K513" s="633">
        <v>4.0</v>
      </c>
      <c r="L513" s="633" t="s">
        <v>51</v>
      </c>
    </row>
    <row r="514">
      <c r="A514" s="652">
        <v>45820.0</v>
      </c>
      <c r="B514" s="634">
        <v>0.513900462962963</v>
      </c>
      <c r="C514" s="633" t="s">
        <v>8025</v>
      </c>
      <c r="D514" s="635"/>
      <c r="E514" s="639">
        <v>923192659627</v>
      </c>
      <c r="F514" s="633" t="s">
        <v>6875</v>
      </c>
      <c r="G514" s="635"/>
      <c r="H514" s="635"/>
      <c r="I514" s="633" t="s">
        <v>13158</v>
      </c>
      <c r="J514" s="635"/>
      <c r="K514" s="633">
        <v>1.0</v>
      </c>
      <c r="L514" s="633" t="s">
        <v>372</v>
      </c>
    </row>
    <row r="515">
      <c r="A515" s="652">
        <v>45820.0</v>
      </c>
      <c r="B515" s="634">
        <v>0.5140162037037037</v>
      </c>
      <c r="C515" s="633" t="s">
        <v>13159</v>
      </c>
      <c r="D515" s="635"/>
      <c r="E515" s="639">
        <v>923200840381</v>
      </c>
      <c r="F515" s="633" t="s">
        <v>6875</v>
      </c>
      <c r="G515" s="635"/>
      <c r="H515" s="635"/>
      <c r="I515" s="633" t="s">
        <v>13160</v>
      </c>
      <c r="J515" s="635"/>
      <c r="K515" s="633">
        <v>1.0</v>
      </c>
      <c r="L515" s="635"/>
    </row>
    <row r="516">
      <c r="A516" s="652">
        <v>45820.0</v>
      </c>
      <c r="B516" s="634">
        <v>0.5141087962962962</v>
      </c>
      <c r="C516" s="633" t="s">
        <v>8037</v>
      </c>
      <c r="D516" s="635"/>
      <c r="E516" s="639">
        <v>923294979939</v>
      </c>
      <c r="F516" s="633" t="s">
        <v>6875</v>
      </c>
      <c r="G516" s="633" t="s">
        <v>12811</v>
      </c>
      <c r="H516" s="633" t="s">
        <v>13108</v>
      </c>
      <c r="I516" s="633" t="s">
        <v>13161</v>
      </c>
      <c r="J516" s="633" t="s">
        <v>13162</v>
      </c>
      <c r="K516" s="633">
        <v>4.0</v>
      </c>
      <c r="L516" s="633" t="s">
        <v>372</v>
      </c>
    </row>
    <row r="517">
      <c r="A517" s="652">
        <v>45820.0</v>
      </c>
      <c r="B517" s="634">
        <v>0.6135648148148148</v>
      </c>
      <c r="C517" s="633" t="s">
        <v>8043</v>
      </c>
      <c r="D517" s="635"/>
      <c r="E517" s="639">
        <v>923412730683</v>
      </c>
      <c r="F517" s="633" t="s">
        <v>6875</v>
      </c>
      <c r="G517" s="633" t="s">
        <v>12811</v>
      </c>
      <c r="H517" s="633" t="s">
        <v>13108</v>
      </c>
      <c r="I517" s="633" t="s">
        <v>13163</v>
      </c>
      <c r="J517" s="633" t="s">
        <v>13164</v>
      </c>
      <c r="K517" s="633">
        <v>4.0</v>
      </c>
      <c r="L517" s="635"/>
    </row>
    <row r="518">
      <c r="A518" s="652">
        <v>45820.0</v>
      </c>
      <c r="B518" s="634">
        <v>0.6149421296296296</v>
      </c>
      <c r="C518" s="633" t="s">
        <v>13165</v>
      </c>
      <c r="D518" s="635"/>
      <c r="E518" s="639">
        <v>923333299880</v>
      </c>
      <c r="F518" s="633" t="s">
        <v>6875</v>
      </c>
      <c r="G518" s="635"/>
      <c r="H518" s="633" t="s">
        <v>13166</v>
      </c>
      <c r="I518" s="635"/>
      <c r="J518" s="635"/>
      <c r="K518" s="633">
        <v>1.0</v>
      </c>
      <c r="L518" s="633" t="s">
        <v>372</v>
      </c>
    </row>
    <row r="519">
      <c r="A519" s="651">
        <v>45820.0</v>
      </c>
      <c r="B519" s="642">
        <v>0.6309837962962963</v>
      </c>
      <c r="C519" s="639" t="s">
        <v>13167</v>
      </c>
      <c r="D519" s="643"/>
      <c r="E519" s="639">
        <v>923326864626</v>
      </c>
      <c r="F519" s="633" t="s">
        <v>6939</v>
      </c>
      <c r="G519" s="639" t="s">
        <v>12811</v>
      </c>
      <c r="H519" s="639" t="s">
        <v>13168</v>
      </c>
      <c r="I519" s="639" t="s">
        <v>13163</v>
      </c>
      <c r="J519" s="639" t="s">
        <v>13169</v>
      </c>
      <c r="K519" s="639">
        <v>4.0</v>
      </c>
      <c r="L519" s="643"/>
    </row>
    <row r="520">
      <c r="A520" s="652">
        <v>45820.0</v>
      </c>
      <c r="B520" s="634">
        <v>0.6445138888888889</v>
      </c>
      <c r="C520" s="633" t="s">
        <v>13170</v>
      </c>
      <c r="D520" s="635"/>
      <c r="E520" s="639">
        <v>923162114116</v>
      </c>
      <c r="F520" s="633" t="s">
        <v>6875</v>
      </c>
      <c r="G520" s="635"/>
      <c r="H520" s="633" t="s">
        <v>13171</v>
      </c>
      <c r="I520" s="635"/>
      <c r="J520" s="635"/>
      <c r="K520" s="633">
        <v>1.0</v>
      </c>
      <c r="L520" s="633" t="s">
        <v>372</v>
      </c>
    </row>
    <row r="521">
      <c r="A521" s="651">
        <v>45820.0</v>
      </c>
      <c r="B521" s="642">
        <v>0.6509837962962963</v>
      </c>
      <c r="C521" s="639" t="s">
        <v>13172</v>
      </c>
      <c r="D521" s="643"/>
      <c r="E521" s="639">
        <v>923378026668</v>
      </c>
      <c r="F521" s="633" t="s">
        <v>6939</v>
      </c>
      <c r="G521" s="639" t="s">
        <v>12811</v>
      </c>
      <c r="H521" s="639" t="s">
        <v>13173</v>
      </c>
      <c r="I521" s="639" t="s">
        <v>13174</v>
      </c>
      <c r="J521" s="639" t="s">
        <v>13175</v>
      </c>
      <c r="K521" s="639">
        <v>4.0</v>
      </c>
      <c r="L521" s="639" t="s">
        <v>6944</v>
      </c>
    </row>
    <row r="522">
      <c r="A522" s="651">
        <v>45820.0</v>
      </c>
      <c r="B522" s="642">
        <v>0.6831481481481482</v>
      </c>
      <c r="C522" s="639" t="s">
        <v>6741</v>
      </c>
      <c r="D522" s="639" t="s">
        <v>6886</v>
      </c>
      <c r="E522" s="641" t="s">
        <v>13176</v>
      </c>
      <c r="F522" s="633" t="s">
        <v>656</v>
      </c>
      <c r="G522" s="639" t="s">
        <v>12811</v>
      </c>
      <c r="H522" s="639" t="s">
        <v>13177</v>
      </c>
      <c r="I522" s="643"/>
      <c r="J522" s="639" t="s">
        <v>13178</v>
      </c>
      <c r="K522" s="639">
        <v>3.0</v>
      </c>
      <c r="L522" s="639" t="s">
        <v>13179</v>
      </c>
    </row>
    <row r="523">
      <c r="A523" s="652">
        <v>45820.0</v>
      </c>
      <c r="B523" s="634">
        <v>0.7401967592592592</v>
      </c>
      <c r="C523" s="633" t="s">
        <v>2585</v>
      </c>
      <c r="D523" s="635"/>
      <c r="E523" s="639">
        <v>923364050797</v>
      </c>
      <c r="F523" s="633" t="s">
        <v>6875</v>
      </c>
      <c r="G523" s="635"/>
      <c r="H523" s="633" t="s">
        <v>13180</v>
      </c>
      <c r="I523" s="635"/>
      <c r="J523" s="635"/>
      <c r="K523" s="633">
        <v>1.0</v>
      </c>
      <c r="L523" s="633" t="s">
        <v>13181</v>
      </c>
    </row>
    <row r="524">
      <c r="A524" s="651">
        <v>45820.0</v>
      </c>
      <c r="B524" s="642">
        <v>0.7408912037037036</v>
      </c>
      <c r="C524" s="639" t="s">
        <v>5708</v>
      </c>
      <c r="D524" s="643"/>
      <c r="E524" s="639">
        <v>923396010205</v>
      </c>
      <c r="F524" s="633" t="s">
        <v>7291</v>
      </c>
      <c r="G524" s="643"/>
      <c r="H524" s="639" t="s">
        <v>13182</v>
      </c>
      <c r="I524" s="639" t="s">
        <v>13183</v>
      </c>
      <c r="J524" s="643"/>
      <c r="K524" s="639">
        <v>2.0</v>
      </c>
      <c r="L524" s="639" t="s">
        <v>6944</v>
      </c>
    </row>
    <row r="525">
      <c r="A525" s="652">
        <v>45820.0</v>
      </c>
      <c r="B525" s="634">
        <v>0.7410532407407407</v>
      </c>
      <c r="C525" s="633" t="s">
        <v>8059</v>
      </c>
      <c r="D525" s="635"/>
      <c r="E525" s="639">
        <v>923243617513</v>
      </c>
      <c r="F525" s="633" t="s">
        <v>6875</v>
      </c>
      <c r="G525" s="633" t="s">
        <v>12811</v>
      </c>
      <c r="H525" s="633" t="s">
        <v>13184</v>
      </c>
      <c r="I525" s="635"/>
      <c r="J525" s="633" t="s">
        <v>13185</v>
      </c>
      <c r="K525" s="633">
        <v>3.0</v>
      </c>
      <c r="L525" s="633" t="s">
        <v>372</v>
      </c>
    </row>
    <row r="526">
      <c r="A526" s="651">
        <v>45881.0</v>
      </c>
      <c r="B526" s="642">
        <v>0.4341435185185185</v>
      </c>
      <c r="C526" s="639" t="s">
        <v>13186</v>
      </c>
      <c r="D526" s="643"/>
      <c r="E526" s="639">
        <v>923328062097</v>
      </c>
      <c r="F526" s="633" t="s">
        <v>656</v>
      </c>
      <c r="G526" s="643"/>
      <c r="H526" s="639" t="s">
        <v>13187</v>
      </c>
      <c r="I526" s="639" t="s">
        <v>13188</v>
      </c>
      <c r="J526" s="639" t="s">
        <v>13189</v>
      </c>
      <c r="K526" s="639">
        <v>3.0</v>
      </c>
      <c r="L526" s="639" t="s">
        <v>727</v>
      </c>
    </row>
    <row r="527">
      <c r="A527" s="652">
        <v>45881.0</v>
      </c>
      <c r="B527" s="634">
        <v>0.4350810185185185</v>
      </c>
      <c r="C527" s="633" t="s">
        <v>8061</v>
      </c>
      <c r="D527" s="635"/>
      <c r="E527" s="639">
        <v>923702279565</v>
      </c>
      <c r="F527" s="633" t="s">
        <v>6875</v>
      </c>
      <c r="G527" s="633" t="s">
        <v>12811</v>
      </c>
      <c r="H527" s="633" t="s">
        <v>13190</v>
      </c>
      <c r="I527" s="635"/>
      <c r="J527" s="633" t="s">
        <v>13191</v>
      </c>
      <c r="K527" s="633">
        <v>3.0</v>
      </c>
      <c r="L527" s="633" t="s">
        <v>372</v>
      </c>
    </row>
    <row r="528">
      <c r="A528" s="651">
        <v>45881.0</v>
      </c>
      <c r="B528" s="642">
        <v>0.4352662037037037</v>
      </c>
      <c r="C528" s="639" t="s">
        <v>13192</v>
      </c>
      <c r="D528" s="643"/>
      <c r="E528" s="639">
        <v>923481332156</v>
      </c>
      <c r="F528" s="633" t="s">
        <v>6939</v>
      </c>
      <c r="G528" s="639" t="s">
        <v>12811</v>
      </c>
      <c r="H528" s="639" t="s">
        <v>13193</v>
      </c>
      <c r="I528" s="639" t="s">
        <v>13194</v>
      </c>
      <c r="J528" s="639" t="s">
        <v>13195</v>
      </c>
      <c r="K528" s="639">
        <v>4.0</v>
      </c>
      <c r="L528" s="639" t="s">
        <v>6944</v>
      </c>
    </row>
    <row r="529">
      <c r="A529" s="652">
        <v>45881.0</v>
      </c>
      <c r="B529" s="634">
        <v>0.43537037037037035</v>
      </c>
      <c r="C529" s="633" t="s">
        <v>13196</v>
      </c>
      <c r="D529" s="633" t="s">
        <v>7725</v>
      </c>
      <c r="E529" s="641" t="s">
        <v>13197</v>
      </c>
      <c r="F529" s="633" t="s">
        <v>6875</v>
      </c>
      <c r="G529" s="633" t="s">
        <v>13198</v>
      </c>
      <c r="H529" s="633" t="s">
        <v>13199</v>
      </c>
      <c r="I529" s="633" t="s">
        <v>13200</v>
      </c>
      <c r="J529" s="635"/>
      <c r="K529" s="633">
        <v>3.0</v>
      </c>
      <c r="L529" s="633" t="s">
        <v>372</v>
      </c>
    </row>
    <row r="530">
      <c r="A530" s="651">
        <v>45881.0</v>
      </c>
      <c r="B530" s="642">
        <v>0.43547453703703703</v>
      </c>
      <c r="C530" s="639" t="s">
        <v>13201</v>
      </c>
      <c r="D530" s="643"/>
      <c r="E530" s="639">
        <v>923215024909</v>
      </c>
      <c r="F530" s="633" t="s">
        <v>6939</v>
      </c>
      <c r="G530" s="639" t="s">
        <v>12811</v>
      </c>
      <c r="H530" s="639" t="s">
        <v>13202</v>
      </c>
      <c r="I530" s="639" t="s">
        <v>13194</v>
      </c>
      <c r="J530" s="639" t="s">
        <v>13203</v>
      </c>
      <c r="K530" s="639">
        <v>4.0</v>
      </c>
      <c r="L530" s="643"/>
    </row>
    <row r="531">
      <c r="A531" s="651">
        <v>45881.0</v>
      </c>
      <c r="B531" s="642">
        <v>0.43559027777777776</v>
      </c>
      <c r="C531" s="639" t="s">
        <v>8071</v>
      </c>
      <c r="D531" s="643"/>
      <c r="E531" s="639">
        <v>923226451585</v>
      </c>
      <c r="F531" s="633" t="s">
        <v>7291</v>
      </c>
      <c r="G531" s="639" t="s">
        <v>12811</v>
      </c>
      <c r="H531" s="639" t="s">
        <v>13204</v>
      </c>
      <c r="I531" s="643"/>
      <c r="J531" s="639" t="s">
        <v>13205</v>
      </c>
      <c r="K531" s="639">
        <v>3.0</v>
      </c>
      <c r="L531" s="639" t="s">
        <v>6944</v>
      </c>
    </row>
    <row r="532">
      <c r="A532" s="651">
        <v>45881.0</v>
      </c>
      <c r="B532" s="642">
        <v>0.43574074074074076</v>
      </c>
      <c r="C532" s="639" t="s">
        <v>13206</v>
      </c>
      <c r="D532" s="643"/>
      <c r="E532" s="639">
        <v>923224773832</v>
      </c>
      <c r="F532" s="633" t="s">
        <v>7291</v>
      </c>
      <c r="G532" s="639" t="s">
        <v>12811</v>
      </c>
      <c r="H532" s="639" t="s">
        <v>13207</v>
      </c>
      <c r="I532" s="643"/>
      <c r="J532" s="639" t="s">
        <v>13208</v>
      </c>
      <c r="K532" s="639">
        <v>3.0</v>
      </c>
      <c r="L532" s="639" t="s">
        <v>10937</v>
      </c>
    </row>
    <row r="533">
      <c r="A533" s="652">
        <v>45881.0</v>
      </c>
      <c r="B533" s="634">
        <v>0.4363310185185185</v>
      </c>
      <c r="C533" s="633" t="s">
        <v>13209</v>
      </c>
      <c r="D533" s="635"/>
      <c r="E533" s="639">
        <v>923023941932</v>
      </c>
      <c r="F533" s="633" t="s">
        <v>6875</v>
      </c>
      <c r="G533" s="635"/>
      <c r="H533" s="633" t="s">
        <v>13210</v>
      </c>
      <c r="I533" s="635"/>
      <c r="J533" s="635"/>
      <c r="K533" s="633">
        <v>1.0</v>
      </c>
      <c r="L533" s="633" t="s">
        <v>372</v>
      </c>
    </row>
    <row r="534">
      <c r="A534" s="651">
        <v>45881.0</v>
      </c>
      <c r="B534" s="642">
        <v>0.4368402777777778</v>
      </c>
      <c r="C534" s="639" t="s">
        <v>8076</v>
      </c>
      <c r="D534" s="643"/>
      <c r="E534" s="639">
        <v>923708409523</v>
      </c>
      <c r="F534" s="633" t="s">
        <v>9302</v>
      </c>
      <c r="G534" s="639" t="s">
        <v>12811</v>
      </c>
      <c r="H534" s="639" t="s">
        <v>13211</v>
      </c>
      <c r="I534" s="643"/>
      <c r="J534" s="639" t="s">
        <v>13212</v>
      </c>
      <c r="K534" s="639">
        <v>3.0</v>
      </c>
      <c r="L534" s="639" t="s">
        <v>7312</v>
      </c>
    </row>
    <row r="535">
      <c r="A535" s="651">
        <v>45881.0</v>
      </c>
      <c r="B535" s="642">
        <v>0.43694444444444447</v>
      </c>
      <c r="C535" s="639" t="s">
        <v>8078</v>
      </c>
      <c r="D535" s="643"/>
      <c r="E535" s="639">
        <v>923312094466</v>
      </c>
      <c r="F535" s="633" t="s">
        <v>6939</v>
      </c>
      <c r="G535" s="639" t="s">
        <v>12811</v>
      </c>
      <c r="H535" s="639" t="s">
        <v>13213</v>
      </c>
      <c r="I535" s="639" t="s">
        <v>13194</v>
      </c>
      <c r="J535" s="639" t="s">
        <v>13214</v>
      </c>
      <c r="K535" s="639">
        <v>3.0</v>
      </c>
      <c r="L535" s="643"/>
    </row>
    <row r="536">
      <c r="A536" s="651">
        <v>45881.0</v>
      </c>
      <c r="B536" s="642">
        <v>0.43710648148148146</v>
      </c>
      <c r="C536" s="639" t="s">
        <v>8083</v>
      </c>
      <c r="D536" s="643"/>
      <c r="E536" s="639">
        <v>923308598801</v>
      </c>
      <c r="F536" s="633" t="s">
        <v>7291</v>
      </c>
      <c r="G536" s="639" t="s">
        <v>13215</v>
      </c>
      <c r="H536" s="639" t="s">
        <v>13216</v>
      </c>
      <c r="I536" s="643"/>
      <c r="J536" s="639" t="s">
        <v>13217</v>
      </c>
      <c r="K536" s="639">
        <v>3.0</v>
      </c>
      <c r="L536" s="639" t="s">
        <v>11891</v>
      </c>
    </row>
    <row r="537">
      <c r="A537" s="652">
        <v>45881.0</v>
      </c>
      <c r="B537" s="634">
        <v>0.43721064814814814</v>
      </c>
      <c r="C537" s="633" t="s">
        <v>8089</v>
      </c>
      <c r="D537" s="635"/>
      <c r="E537" s="639">
        <v>923308525365</v>
      </c>
      <c r="F537" s="633" t="s">
        <v>6875</v>
      </c>
      <c r="G537" s="635"/>
      <c r="H537" s="633" t="s">
        <v>13218</v>
      </c>
      <c r="I537" s="635"/>
      <c r="J537" s="635"/>
      <c r="K537" s="633">
        <v>1.0</v>
      </c>
      <c r="L537" s="633" t="s">
        <v>11758</v>
      </c>
    </row>
    <row r="538">
      <c r="A538" s="652">
        <v>45881.0</v>
      </c>
      <c r="B538" s="634">
        <v>0.4373611111111111</v>
      </c>
      <c r="C538" s="633" t="s">
        <v>8094</v>
      </c>
      <c r="D538" s="635"/>
      <c r="E538" s="639">
        <v>923453746895</v>
      </c>
      <c r="F538" s="633" t="s">
        <v>6875</v>
      </c>
      <c r="G538" s="635"/>
      <c r="H538" s="633" t="s">
        <v>13219</v>
      </c>
      <c r="I538" s="635"/>
      <c r="J538" s="635"/>
      <c r="K538" s="633">
        <v>1.0</v>
      </c>
      <c r="L538" s="633" t="s">
        <v>372</v>
      </c>
    </row>
    <row r="539">
      <c r="A539" s="651">
        <v>45881.0</v>
      </c>
      <c r="B539" s="642">
        <v>0.4376157407407407</v>
      </c>
      <c r="C539" s="639" t="s">
        <v>8097</v>
      </c>
      <c r="D539" s="643"/>
      <c r="E539" s="639">
        <v>923044568084</v>
      </c>
      <c r="F539" s="633" t="s">
        <v>6939</v>
      </c>
      <c r="G539" s="639" t="s">
        <v>13220</v>
      </c>
      <c r="H539" s="639" t="s">
        <v>13221</v>
      </c>
      <c r="I539" s="639" t="s">
        <v>13194</v>
      </c>
      <c r="J539" s="639" t="s">
        <v>13222</v>
      </c>
      <c r="K539" s="639">
        <v>3.0</v>
      </c>
      <c r="L539" s="643"/>
    </row>
    <row r="540">
      <c r="A540" s="651">
        <v>45881.0</v>
      </c>
      <c r="B540" s="642">
        <v>0.43789351851851854</v>
      </c>
      <c r="C540" s="639" t="s">
        <v>13223</v>
      </c>
      <c r="D540" s="643"/>
      <c r="E540" s="639">
        <v>923449100179</v>
      </c>
      <c r="F540" s="633" t="s">
        <v>6939</v>
      </c>
      <c r="G540" s="639" t="s">
        <v>13224</v>
      </c>
      <c r="H540" s="639" t="s">
        <v>13225</v>
      </c>
      <c r="I540" s="639" t="s">
        <v>13194</v>
      </c>
      <c r="J540" s="639" t="s">
        <v>13226</v>
      </c>
      <c r="K540" s="639">
        <v>3.0</v>
      </c>
      <c r="L540" s="643"/>
    </row>
    <row r="541">
      <c r="A541" s="652">
        <v>45881.0</v>
      </c>
      <c r="B541" s="634">
        <v>0.43811342592592595</v>
      </c>
      <c r="C541" s="633" t="s">
        <v>13227</v>
      </c>
      <c r="D541" s="635"/>
      <c r="E541" s="639">
        <v>923297597725</v>
      </c>
      <c r="F541" s="633" t="s">
        <v>6875</v>
      </c>
      <c r="G541" s="635"/>
      <c r="H541" s="633" t="s">
        <v>13228</v>
      </c>
      <c r="I541" s="635"/>
      <c r="J541" s="635"/>
      <c r="K541" s="633">
        <v>1.0</v>
      </c>
      <c r="L541" s="633" t="s">
        <v>372</v>
      </c>
    </row>
    <row r="542">
      <c r="A542" s="651">
        <v>45881.0</v>
      </c>
      <c r="B542" s="642">
        <v>0.4385763888888889</v>
      </c>
      <c r="C542" s="639" t="s">
        <v>8107</v>
      </c>
      <c r="D542" s="643"/>
      <c r="E542" s="639">
        <v>923414286415</v>
      </c>
      <c r="F542" s="633" t="s">
        <v>6939</v>
      </c>
      <c r="G542" s="639" t="s">
        <v>13224</v>
      </c>
      <c r="H542" s="639" t="s">
        <v>13229</v>
      </c>
      <c r="I542" s="639" t="s">
        <v>13230</v>
      </c>
      <c r="J542" s="643"/>
      <c r="K542" s="639">
        <v>3.0</v>
      </c>
      <c r="L542" s="643"/>
    </row>
    <row r="543">
      <c r="A543" s="651">
        <v>45881.0</v>
      </c>
      <c r="B543" s="642">
        <v>0.4386689814814815</v>
      </c>
      <c r="C543" s="639" t="s">
        <v>8109</v>
      </c>
      <c r="D543" s="643"/>
      <c r="E543" s="639">
        <v>923008736500</v>
      </c>
      <c r="F543" s="633" t="s">
        <v>6939</v>
      </c>
      <c r="G543" s="639" t="s">
        <v>13224</v>
      </c>
      <c r="H543" s="639" t="s">
        <v>13231</v>
      </c>
      <c r="I543" s="639" t="s">
        <v>13194</v>
      </c>
      <c r="J543" s="643"/>
      <c r="K543" s="639">
        <v>3.0</v>
      </c>
      <c r="L543" s="643"/>
    </row>
    <row r="544">
      <c r="A544" s="651">
        <v>45881.0</v>
      </c>
      <c r="B544" s="642">
        <v>0.43929398148148147</v>
      </c>
      <c r="C544" s="639" t="s">
        <v>8111</v>
      </c>
      <c r="D544" s="643"/>
      <c r="E544" s="639">
        <v>923331300085</v>
      </c>
      <c r="F544" s="633" t="s">
        <v>6939</v>
      </c>
      <c r="G544" s="639" t="s">
        <v>13224</v>
      </c>
      <c r="H544" s="639" t="s">
        <v>13232</v>
      </c>
      <c r="I544" s="639" t="s">
        <v>13194</v>
      </c>
      <c r="J544" s="643"/>
      <c r="K544" s="639">
        <v>3.0</v>
      </c>
      <c r="L544" s="643"/>
    </row>
    <row r="545">
      <c r="A545" s="652">
        <v>45881.0</v>
      </c>
      <c r="B545" s="634">
        <v>0.4394212962962963</v>
      </c>
      <c r="C545" s="633" t="s">
        <v>4380</v>
      </c>
      <c r="D545" s="633" t="s">
        <v>7725</v>
      </c>
      <c r="E545" s="641" t="s">
        <v>13233</v>
      </c>
      <c r="F545" s="633" t="s">
        <v>6888</v>
      </c>
      <c r="G545" s="635"/>
      <c r="H545" s="633" t="s">
        <v>13234</v>
      </c>
      <c r="I545" s="633" t="s">
        <v>13235</v>
      </c>
      <c r="J545" s="633" t="s">
        <v>13236</v>
      </c>
      <c r="K545" s="633">
        <v>3.0</v>
      </c>
      <c r="L545" s="633" t="s">
        <v>13237</v>
      </c>
    </row>
    <row r="546">
      <c r="A546" s="651">
        <v>45881.0</v>
      </c>
      <c r="B546" s="642">
        <v>0.43952546296296297</v>
      </c>
      <c r="C546" s="639" t="s">
        <v>8116</v>
      </c>
      <c r="D546" s="643"/>
      <c r="E546" s="639">
        <v>923021980952</v>
      </c>
      <c r="F546" s="633" t="s">
        <v>6939</v>
      </c>
      <c r="G546" s="639" t="s">
        <v>13224</v>
      </c>
      <c r="H546" s="639" t="s">
        <v>13238</v>
      </c>
      <c r="I546" s="639" t="s">
        <v>13194</v>
      </c>
      <c r="J546" s="643"/>
      <c r="K546" s="639">
        <v>3.0</v>
      </c>
      <c r="L546" s="643"/>
    </row>
    <row r="547">
      <c r="A547" s="651">
        <v>45881.0</v>
      </c>
      <c r="B547" s="642">
        <v>0.4406597222222222</v>
      </c>
      <c r="C547" s="639" t="s">
        <v>8120</v>
      </c>
      <c r="D547" s="643"/>
      <c r="E547" s="639">
        <v>923003716933</v>
      </c>
      <c r="F547" s="633" t="s">
        <v>6939</v>
      </c>
      <c r="G547" s="639" t="s">
        <v>13224</v>
      </c>
      <c r="H547" s="639" t="s">
        <v>13239</v>
      </c>
      <c r="I547" s="639" t="s">
        <v>13194</v>
      </c>
      <c r="J547" s="643"/>
      <c r="K547" s="639">
        <v>3.0</v>
      </c>
      <c r="L547" s="643"/>
    </row>
    <row r="548">
      <c r="A548" s="651">
        <v>45881.0</v>
      </c>
      <c r="B548" s="642">
        <v>0.4407523148148148</v>
      </c>
      <c r="C548" s="639" t="s">
        <v>8125</v>
      </c>
      <c r="D548" s="643"/>
      <c r="E548" s="639">
        <v>923089044043</v>
      </c>
      <c r="F548" s="633" t="s">
        <v>6939</v>
      </c>
      <c r="G548" s="639" t="s">
        <v>13224</v>
      </c>
      <c r="H548" s="639" t="s">
        <v>13240</v>
      </c>
      <c r="I548" s="639" t="s">
        <v>13194</v>
      </c>
      <c r="J548" s="643"/>
      <c r="K548" s="639">
        <v>3.0</v>
      </c>
      <c r="L548" s="643"/>
    </row>
    <row r="549">
      <c r="A549" s="651">
        <v>45881.0</v>
      </c>
      <c r="B549" s="642">
        <v>0.44149305555555557</v>
      </c>
      <c r="C549" s="639" t="s">
        <v>10700</v>
      </c>
      <c r="D549" s="643"/>
      <c r="E549" s="639">
        <v>923333653553</v>
      </c>
      <c r="F549" s="633" t="s">
        <v>656</v>
      </c>
      <c r="G549" s="643"/>
      <c r="H549" s="639" t="s">
        <v>13241</v>
      </c>
      <c r="I549" s="643"/>
      <c r="J549" s="639" t="s">
        <v>13242</v>
      </c>
      <c r="K549" s="639">
        <v>2.0</v>
      </c>
      <c r="L549" s="639" t="s">
        <v>6944</v>
      </c>
    </row>
    <row r="550">
      <c r="A550" s="652">
        <v>45881.0</v>
      </c>
      <c r="B550" s="634">
        <v>0.44188657407407406</v>
      </c>
      <c r="C550" s="633" t="s">
        <v>13243</v>
      </c>
      <c r="D550" s="635"/>
      <c r="E550" s="639">
        <v>923041877695</v>
      </c>
      <c r="F550" s="633" t="s">
        <v>6875</v>
      </c>
      <c r="G550" s="633" t="s">
        <v>13224</v>
      </c>
      <c r="H550" s="633" t="s">
        <v>13244</v>
      </c>
      <c r="I550" s="633" t="s">
        <v>13194</v>
      </c>
      <c r="J550" s="635"/>
      <c r="K550" s="633">
        <v>3.0</v>
      </c>
      <c r="L550" s="633" t="s">
        <v>372</v>
      </c>
    </row>
    <row r="551">
      <c r="A551" s="652">
        <v>45881.0</v>
      </c>
      <c r="B551" s="634">
        <v>0.4420486111111111</v>
      </c>
      <c r="C551" s="633" t="s">
        <v>13245</v>
      </c>
      <c r="D551" s="635"/>
      <c r="E551" s="639">
        <v>923078876971</v>
      </c>
      <c r="F551" s="633" t="s">
        <v>6875</v>
      </c>
      <c r="G551" s="635"/>
      <c r="H551" s="633" t="s">
        <v>13246</v>
      </c>
      <c r="I551" s="635"/>
      <c r="J551" s="635"/>
      <c r="K551" s="633">
        <v>1.0</v>
      </c>
      <c r="L551" s="633" t="s">
        <v>372</v>
      </c>
    </row>
    <row r="552">
      <c r="A552" s="651">
        <v>45881.0</v>
      </c>
      <c r="B552" s="642">
        <v>0.4433449074074074</v>
      </c>
      <c r="C552" s="639" t="s">
        <v>13247</v>
      </c>
      <c r="D552" s="643"/>
      <c r="E552" s="639">
        <v>923453090903</v>
      </c>
      <c r="F552" s="633" t="s">
        <v>6939</v>
      </c>
      <c r="G552" s="639" t="s">
        <v>13224</v>
      </c>
      <c r="H552" s="639" t="s">
        <v>13248</v>
      </c>
      <c r="I552" s="639" t="s">
        <v>13194</v>
      </c>
      <c r="J552" s="643"/>
      <c r="K552" s="639">
        <v>3.0</v>
      </c>
      <c r="L552" s="643"/>
    </row>
    <row r="553">
      <c r="A553" s="652">
        <v>45881.0</v>
      </c>
      <c r="B553" s="634">
        <v>0.443587962962963</v>
      </c>
      <c r="C553" s="633" t="s">
        <v>8130</v>
      </c>
      <c r="D553" s="635"/>
      <c r="E553" s="639">
        <v>923235439146</v>
      </c>
      <c r="F553" s="633" t="s">
        <v>6875</v>
      </c>
      <c r="G553" s="633" t="s">
        <v>13224</v>
      </c>
      <c r="H553" s="633" t="s">
        <v>13249</v>
      </c>
      <c r="I553" s="633" t="s">
        <v>13194</v>
      </c>
      <c r="J553" s="635"/>
      <c r="K553" s="633">
        <v>3.0</v>
      </c>
      <c r="L553" s="633" t="s">
        <v>372</v>
      </c>
    </row>
    <row r="554">
      <c r="A554" s="651">
        <v>45881.0</v>
      </c>
      <c r="B554" s="642">
        <v>0.44371527777777775</v>
      </c>
      <c r="C554" s="639" t="s">
        <v>8133</v>
      </c>
      <c r="D554" s="643"/>
      <c r="E554" s="639">
        <v>923078856704</v>
      </c>
      <c r="F554" s="633" t="s">
        <v>6939</v>
      </c>
      <c r="G554" s="639" t="s">
        <v>13224</v>
      </c>
      <c r="H554" s="639" t="s">
        <v>13250</v>
      </c>
      <c r="I554" s="639" t="s">
        <v>13194</v>
      </c>
      <c r="J554" s="643"/>
      <c r="K554" s="639">
        <v>3.0</v>
      </c>
      <c r="L554" s="643"/>
    </row>
    <row r="555">
      <c r="A555" s="652">
        <v>45881.0</v>
      </c>
      <c r="B555" s="634">
        <v>0.44385416666666666</v>
      </c>
      <c r="C555" s="633" t="s">
        <v>4934</v>
      </c>
      <c r="D555" s="635"/>
      <c r="E555" s="639">
        <v>923077296424</v>
      </c>
      <c r="F555" s="633" t="s">
        <v>6875</v>
      </c>
      <c r="G555" s="635"/>
      <c r="H555" s="633" t="s">
        <v>13251</v>
      </c>
      <c r="I555" s="635"/>
      <c r="J555" s="633" t="s">
        <v>13252</v>
      </c>
      <c r="K555" s="633">
        <v>2.0</v>
      </c>
      <c r="L555" s="633" t="s">
        <v>51</v>
      </c>
    </row>
    <row r="556">
      <c r="A556" s="651">
        <v>45881.0</v>
      </c>
      <c r="B556" s="642">
        <v>0.4443171296296296</v>
      </c>
      <c r="C556" s="639" t="s">
        <v>4821</v>
      </c>
      <c r="D556" s="643"/>
      <c r="E556" s="639">
        <v>923338824144</v>
      </c>
      <c r="F556" s="633" t="s">
        <v>6939</v>
      </c>
      <c r="G556" s="639" t="s">
        <v>13224</v>
      </c>
      <c r="H556" s="639" t="s">
        <v>13253</v>
      </c>
      <c r="I556" s="639" t="s">
        <v>13194</v>
      </c>
      <c r="J556" s="643"/>
      <c r="K556" s="639">
        <v>3.0</v>
      </c>
      <c r="L556" s="643"/>
    </row>
    <row r="557">
      <c r="A557" s="651">
        <v>45881.0</v>
      </c>
      <c r="B557" s="642">
        <v>0.44457175925925924</v>
      </c>
      <c r="C557" s="639" t="s">
        <v>13254</v>
      </c>
      <c r="D557" s="643"/>
      <c r="E557" s="639">
        <v>923134320623</v>
      </c>
      <c r="F557" s="633" t="s">
        <v>6939</v>
      </c>
      <c r="G557" s="639" t="s">
        <v>13224</v>
      </c>
      <c r="H557" s="639" t="s">
        <v>13255</v>
      </c>
      <c r="I557" s="639" t="s">
        <v>13256</v>
      </c>
      <c r="J557" s="639" t="s">
        <v>13257</v>
      </c>
      <c r="K557" s="639">
        <v>3.0</v>
      </c>
      <c r="L557" s="639" t="s">
        <v>11891</v>
      </c>
    </row>
    <row r="558">
      <c r="A558" s="651">
        <v>45881.0</v>
      </c>
      <c r="B558" s="642">
        <v>0.4530787037037037</v>
      </c>
      <c r="C558" s="639" t="s">
        <v>5800</v>
      </c>
      <c r="D558" s="639" t="s">
        <v>6886</v>
      </c>
      <c r="E558" s="641" t="s">
        <v>13258</v>
      </c>
      <c r="F558" s="633" t="s">
        <v>7291</v>
      </c>
      <c r="G558" s="643"/>
      <c r="H558" s="639" t="s">
        <v>13259</v>
      </c>
      <c r="I558" s="643"/>
      <c r="J558" s="639" t="s">
        <v>13260</v>
      </c>
      <c r="K558" s="639">
        <v>2.0</v>
      </c>
      <c r="L558" s="639" t="s">
        <v>6944</v>
      </c>
    </row>
    <row r="559">
      <c r="A559" s="651">
        <v>45881.0</v>
      </c>
      <c r="B559" s="642">
        <v>0.45319444444444446</v>
      </c>
      <c r="C559" s="639" t="s">
        <v>8142</v>
      </c>
      <c r="D559" s="643"/>
      <c r="E559" s="639">
        <v>923343429668</v>
      </c>
      <c r="F559" s="633" t="s">
        <v>7291</v>
      </c>
      <c r="G559" s="639" t="s">
        <v>13224</v>
      </c>
      <c r="H559" s="639" t="s">
        <v>13261</v>
      </c>
      <c r="I559" s="639" t="s">
        <v>13256</v>
      </c>
      <c r="J559" s="643"/>
      <c r="K559" s="639">
        <v>1.0</v>
      </c>
      <c r="L559" s="639" t="s">
        <v>11891</v>
      </c>
    </row>
    <row r="560">
      <c r="A560" s="652">
        <v>45881.0</v>
      </c>
      <c r="B560" s="634">
        <v>0.4535532407407407</v>
      </c>
      <c r="C560" s="633" t="s">
        <v>10717</v>
      </c>
      <c r="D560" s="635"/>
      <c r="E560" s="639">
        <v>923089230289</v>
      </c>
      <c r="F560" s="633" t="s">
        <v>6875</v>
      </c>
      <c r="G560" s="633" t="s">
        <v>13224</v>
      </c>
      <c r="H560" s="633" t="s">
        <v>13262</v>
      </c>
      <c r="I560" s="633" t="s">
        <v>13256</v>
      </c>
      <c r="J560" s="633" t="s">
        <v>13263</v>
      </c>
      <c r="K560" s="633">
        <v>2.0</v>
      </c>
      <c r="L560" s="633" t="s">
        <v>51</v>
      </c>
    </row>
    <row r="561">
      <c r="A561" s="651">
        <v>45881.0</v>
      </c>
      <c r="B561" s="642">
        <v>0.45375</v>
      </c>
      <c r="C561" s="639" t="s">
        <v>13264</v>
      </c>
      <c r="D561" s="643"/>
      <c r="E561" s="639">
        <v>923412383809</v>
      </c>
      <c r="F561" s="633" t="s">
        <v>6939</v>
      </c>
      <c r="G561" s="639" t="s">
        <v>13224</v>
      </c>
      <c r="H561" s="639" t="s">
        <v>13265</v>
      </c>
      <c r="I561" s="639" t="s">
        <v>13256</v>
      </c>
      <c r="J561" s="643"/>
      <c r="K561" s="639">
        <v>1.0</v>
      </c>
      <c r="L561" s="643"/>
    </row>
    <row r="562">
      <c r="A562" s="652">
        <v>45881.0</v>
      </c>
      <c r="B562" s="634">
        <v>0.4538888888888889</v>
      </c>
      <c r="C562" s="633" t="s">
        <v>13266</v>
      </c>
      <c r="D562" s="635"/>
      <c r="E562" s="639">
        <v>923330378884</v>
      </c>
      <c r="F562" s="633" t="s">
        <v>6875</v>
      </c>
      <c r="G562" s="633" t="s">
        <v>13224</v>
      </c>
      <c r="H562" s="633" t="s">
        <v>13267</v>
      </c>
      <c r="I562" s="633" t="s">
        <v>13256</v>
      </c>
      <c r="J562" s="635"/>
      <c r="K562" s="633">
        <v>2.0</v>
      </c>
      <c r="L562" s="633" t="s">
        <v>372</v>
      </c>
    </row>
    <row r="563">
      <c r="A563" s="652">
        <v>45881.0</v>
      </c>
      <c r="B563" s="634">
        <v>0.45403935185185185</v>
      </c>
      <c r="C563" s="633" t="s">
        <v>13268</v>
      </c>
      <c r="D563" s="635"/>
      <c r="E563" s="639">
        <v>923218584936</v>
      </c>
      <c r="F563" s="633" t="s">
        <v>6875</v>
      </c>
      <c r="G563" s="635"/>
      <c r="H563" s="633" t="s">
        <v>13269</v>
      </c>
      <c r="I563" s="635"/>
      <c r="J563" s="635"/>
      <c r="K563" s="633">
        <v>1.0</v>
      </c>
      <c r="L563" s="633" t="s">
        <v>372</v>
      </c>
    </row>
    <row r="564">
      <c r="A564" s="652">
        <v>45881.0</v>
      </c>
      <c r="B564" s="634">
        <v>0.4542824074074074</v>
      </c>
      <c r="C564" s="633" t="s">
        <v>8147</v>
      </c>
      <c r="D564" s="635"/>
      <c r="E564" s="639">
        <v>923463360454</v>
      </c>
      <c r="F564" s="633" t="s">
        <v>6875</v>
      </c>
      <c r="G564" s="635"/>
      <c r="H564" s="633" t="s">
        <v>13270</v>
      </c>
      <c r="I564" s="635"/>
      <c r="J564" s="635"/>
      <c r="K564" s="633">
        <v>1.0</v>
      </c>
      <c r="L564" s="633" t="s">
        <v>372</v>
      </c>
    </row>
    <row r="565">
      <c r="A565" s="651">
        <v>45881.0</v>
      </c>
      <c r="B565" s="642">
        <v>0.45458333333333334</v>
      </c>
      <c r="C565" s="639" t="s">
        <v>8152</v>
      </c>
      <c r="D565" s="643"/>
      <c r="E565" s="639">
        <v>923148651744</v>
      </c>
      <c r="F565" s="633" t="s">
        <v>6939</v>
      </c>
      <c r="G565" s="639" t="s">
        <v>13224</v>
      </c>
      <c r="H565" s="639" t="s">
        <v>13271</v>
      </c>
      <c r="I565" s="639" t="s">
        <v>13256</v>
      </c>
      <c r="J565" s="643"/>
      <c r="K565" s="639">
        <v>2.0</v>
      </c>
      <c r="L565" s="643"/>
    </row>
    <row r="566">
      <c r="A566" s="652">
        <v>45881.0</v>
      </c>
      <c r="B566" s="634">
        <v>0.45471064814814816</v>
      </c>
      <c r="C566" s="633" t="s">
        <v>13272</v>
      </c>
      <c r="D566" s="635"/>
      <c r="E566" s="639">
        <v>923082766329</v>
      </c>
      <c r="F566" s="633" t="s">
        <v>6875</v>
      </c>
      <c r="G566" s="635"/>
      <c r="H566" s="633" t="s">
        <v>13273</v>
      </c>
      <c r="I566" s="635"/>
      <c r="J566" s="635"/>
      <c r="K566" s="633">
        <v>1.0</v>
      </c>
      <c r="L566" s="633" t="s">
        <v>372</v>
      </c>
    </row>
    <row r="567">
      <c r="A567" s="652">
        <v>45881.0</v>
      </c>
      <c r="B567" s="634">
        <v>0.455</v>
      </c>
      <c r="C567" s="633" t="s">
        <v>13274</v>
      </c>
      <c r="D567" s="635"/>
      <c r="E567" s="639">
        <v>923002730262</v>
      </c>
      <c r="F567" s="633" t="s">
        <v>6875</v>
      </c>
      <c r="G567" s="635"/>
      <c r="H567" s="633" t="s">
        <v>13275</v>
      </c>
      <c r="I567" s="635"/>
      <c r="J567" s="633" t="s">
        <v>13276</v>
      </c>
      <c r="K567" s="633">
        <v>2.0</v>
      </c>
      <c r="L567" s="633" t="s">
        <v>13277</v>
      </c>
    </row>
    <row r="568">
      <c r="A568" s="651">
        <v>45881.0</v>
      </c>
      <c r="B568" s="642">
        <v>0.45578703703703705</v>
      </c>
      <c r="C568" s="639" t="s">
        <v>13278</v>
      </c>
      <c r="D568" s="643"/>
      <c r="E568" s="639">
        <v>923493934538</v>
      </c>
      <c r="F568" s="633" t="s">
        <v>6939</v>
      </c>
      <c r="G568" s="639" t="s">
        <v>13224</v>
      </c>
      <c r="H568" s="639" t="s">
        <v>13279</v>
      </c>
      <c r="I568" s="639" t="s">
        <v>13256</v>
      </c>
      <c r="J568" s="643"/>
      <c r="K568" s="639">
        <v>3.0</v>
      </c>
      <c r="L568" s="643"/>
    </row>
    <row r="569">
      <c r="A569" s="652">
        <v>45881.0</v>
      </c>
      <c r="B569" s="634">
        <v>0.45587962962962963</v>
      </c>
      <c r="C569" s="633" t="s">
        <v>13280</v>
      </c>
      <c r="D569" s="633" t="s">
        <v>6886</v>
      </c>
      <c r="E569" s="641" t="s">
        <v>13281</v>
      </c>
      <c r="F569" s="633" t="s">
        <v>6875</v>
      </c>
      <c r="G569" s="633" t="s">
        <v>13224</v>
      </c>
      <c r="H569" s="633" t="s">
        <v>13282</v>
      </c>
      <c r="I569" s="633" t="s">
        <v>13256</v>
      </c>
      <c r="J569" s="633" t="s">
        <v>13283</v>
      </c>
      <c r="K569" s="633">
        <v>4.0</v>
      </c>
      <c r="L569" s="633" t="s">
        <v>372</v>
      </c>
    </row>
    <row r="570">
      <c r="A570" s="652">
        <v>45881.0</v>
      </c>
      <c r="B570" s="634">
        <v>0.45600694444444445</v>
      </c>
      <c r="C570" s="633" t="s">
        <v>5775</v>
      </c>
      <c r="D570" s="633" t="s">
        <v>6886</v>
      </c>
      <c r="E570" s="641" t="s">
        <v>13284</v>
      </c>
      <c r="F570" s="633" t="s">
        <v>6888</v>
      </c>
      <c r="G570" s="635"/>
      <c r="H570" s="633" t="s">
        <v>13285</v>
      </c>
      <c r="I570" s="633" t="s">
        <v>13286</v>
      </c>
      <c r="J570" s="633" t="s">
        <v>13287</v>
      </c>
      <c r="K570" s="633">
        <v>3.0</v>
      </c>
      <c r="L570" s="633" t="s">
        <v>12783</v>
      </c>
    </row>
    <row r="571">
      <c r="A571" s="652">
        <v>45881.0</v>
      </c>
      <c r="B571" s="634">
        <v>0.46542824074074074</v>
      </c>
      <c r="C571" s="633" t="s">
        <v>13288</v>
      </c>
      <c r="D571" s="635"/>
      <c r="E571" s="639">
        <v>923411282810</v>
      </c>
      <c r="F571" s="633" t="s">
        <v>6875</v>
      </c>
      <c r="G571" s="633" t="s">
        <v>13224</v>
      </c>
      <c r="H571" s="633" t="s">
        <v>13289</v>
      </c>
      <c r="I571" s="633" t="s">
        <v>13256</v>
      </c>
      <c r="J571" s="633" t="s">
        <v>13290</v>
      </c>
      <c r="K571" s="633">
        <v>4.0</v>
      </c>
      <c r="L571" s="633" t="s">
        <v>6944</v>
      </c>
    </row>
    <row r="572">
      <c r="A572" s="652">
        <v>45881.0</v>
      </c>
      <c r="B572" s="634">
        <v>0.4856828703703704</v>
      </c>
      <c r="C572" s="633" t="s">
        <v>3876</v>
      </c>
      <c r="D572" s="635"/>
      <c r="E572" s="639">
        <f>923156678607</f>
        <v>923156678607</v>
      </c>
      <c r="F572" s="633" t="s">
        <v>6888</v>
      </c>
      <c r="G572" s="635"/>
      <c r="H572" s="633" t="s">
        <v>13291</v>
      </c>
      <c r="I572" s="633" t="s">
        <v>13292</v>
      </c>
      <c r="J572" s="635"/>
      <c r="K572" s="633">
        <v>2.0</v>
      </c>
      <c r="L572" s="633" t="s">
        <v>8833</v>
      </c>
    </row>
    <row r="573">
      <c r="A573" s="651">
        <v>45881.0</v>
      </c>
      <c r="B573" s="642">
        <v>0.48606481481481484</v>
      </c>
      <c r="C573" s="639" t="s">
        <v>8158</v>
      </c>
      <c r="D573" s="643"/>
      <c r="E573" s="639">
        <v>923244441600</v>
      </c>
      <c r="F573" s="633" t="s">
        <v>6939</v>
      </c>
      <c r="G573" s="639" t="s">
        <v>13224</v>
      </c>
      <c r="H573" s="639" t="s">
        <v>13293</v>
      </c>
      <c r="I573" s="639" t="s">
        <v>13256</v>
      </c>
      <c r="J573" s="643"/>
      <c r="K573" s="639">
        <v>3.0</v>
      </c>
      <c r="L573" s="643"/>
    </row>
    <row r="574">
      <c r="A574" s="652">
        <v>45881.0</v>
      </c>
      <c r="B574" s="634">
        <v>0.5291898148148149</v>
      </c>
      <c r="C574" s="633" t="s">
        <v>13294</v>
      </c>
      <c r="D574" s="635"/>
      <c r="E574" s="639">
        <v>923229161121</v>
      </c>
      <c r="F574" s="633" t="s">
        <v>6875</v>
      </c>
      <c r="G574" s="635"/>
      <c r="H574" s="633" t="s">
        <v>13295</v>
      </c>
      <c r="I574" s="635"/>
      <c r="J574" s="635"/>
      <c r="K574" s="633">
        <v>1.0</v>
      </c>
      <c r="L574" s="633" t="s">
        <v>372</v>
      </c>
    </row>
    <row r="575">
      <c r="A575" s="652">
        <v>45881.0</v>
      </c>
      <c r="B575" s="634">
        <v>0.5562268518518518</v>
      </c>
      <c r="C575" s="633" t="s">
        <v>8168</v>
      </c>
      <c r="D575" s="635"/>
      <c r="E575" s="639">
        <v>923119703639</v>
      </c>
      <c r="F575" s="633" t="s">
        <v>6875</v>
      </c>
      <c r="G575" s="635"/>
      <c r="H575" s="633" t="s">
        <v>13296</v>
      </c>
      <c r="I575" s="633" t="s">
        <v>13297</v>
      </c>
      <c r="J575" s="635"/>
      <c r="K575" s="633">
        <v>2.0</v>
      </c>
      <c r="L575" s="635"/>
    </row>
    <row r="576">
      <c r="A576" s="652">
        <v>45881.0</v>
      </c>
      <c r="B576" s="634">
        <v>0.5567824074074074</v>
      </c>
      <c r="C576" s="633" t="s">
        <v>11842</v>
      </c>
      <c r="D576" s="635"/>
      <c r="E576" s="639">
        <v>923343471204</v>
      </c>
      <c r="F576" s="633" t="s">
        <v>6875</v>
      </c>
      <c r="G576" s="635"/>
      <c r="H576" s="633" t="s">
        <v>13298</v>
      </c>
      <c r="I576" s="633" t="s">
        <v>13299</v>
      </c>
      <c r="J576" s="635"/>
      <c r="K576" s="633">
        <v>2.0</v>
      </c>
      <c r="L576" s="633" t="s">
        <v>13300</v>
      </c>
    </row>
    <row r="577">
      <c r="A577" s="651">
        <v>45881.0</v>
      </c>
      <c r="B577" s="642">
        <v>0.6272685185185185</v>
      </c>
      <c r="C577" s="639" t="s">
        <v>4200</v>
      </c>
      <c r="D577" s="643"/>
      <c r="E577" s="639">
        <v>923138849998</v>
      </c>
      <c r="F577" s="633" t="s">
        <v>7291</v>
      </c>
      <c r="G577" s="643"/>
      <c r="H577" s="643"/>
      <c r="I577" s="643"/>
      <c r="J577" s="639" t="s">
        <v>13301</v>
      </c>
      <c r="K577" s="639">
        <v>1.0</v>
      </c>
      <c r="L577" s="639" t="s">
        <v>13302</v>
      </c>
    </row>
    <row r="578">
      <c r="A578" s="652">
        <v>45881.0</v>
      </c>
      <c r="B578" s="634">
        <v>0.6275115740740741</v>
      </c>
      <c r="C578" s="633" t="s">
        <v>13303</v>
      </c>
      <c r="D578" s="635"/>
      <c r="E578" s="639">
        <v>923457441042</v>
      </c>
      <c r="F578" s="633" t="s">
        <v>6875</v>
      </c>
      <c r="G578" s="635"/>
      <c r="H578" s="635"/>
      <c r="I578" s="635"/>
      <c r="J578" s="633" t="s">
        <v>13304</v>
      </c>
      <c r="K578" s="633">
        <v>1.0</v>
      </c>
      <c r="L578" s="633" t="s">
        <v>6944</v>
      </c>
    </row>
    <row r="579">
      <c r="A579" s="652">
        <v>45881.0</v>
      </c>
      <c r="B579" s="634">
        <v>0.6851273148148148</v>
      </c>
      <c r="C579" s="633" t="s">
        <v>8171</v>
      </c>
      <c r="D579" s="635"/>
      <c r="E579" s="639">
        <v>923117611542</v>
      </c>
      <c r="F579" s="633" t="s">
        <v>6875</v>
      </c>
      <c r="G579" s="635"/>
      <c r="H579" s="633" t="s">
        <v>13305</v>
      </c>
      <c r="I579" s="635"/>
      <c r="J579" s="633" t="s">
        <v>13306</v>
      </c>
      <c r="K579" s="633">
        <v>2.0</v>
      </c>
      <c r="L579" s="633" t="s">
        <v>372</v>
      </c>
    </row>
    <row r="580">
      <c r="A580" s="652">
        <v>45881.0</v>
      </c>
      <c r="B580" s="634">
        <v>0.6852662037037037</v>
      </c>
      <c r="C580" s="633" t="s">
        <v>13307</v>
      </c>
      <c r="D580" s="635"/>
      <c r="E580" s="639">
        <v>923366216587</v>
      </c>
      <c r="F580" s="633" t="s">
        <v>6875</v>
      </c>
      <c r="G580" s="635"/>
      <c r="H580" s="633" t="s">
        <v>13308</v>
      </c>
      <c r="I580" s="635"/>
      <c r="J580" s="633" t="s">
        <v>13309</v>
      </c>
      <c r="K580" s="633">
        <v>2.0</v>
      </c>
      <c r="L580" s="635"/>
    </row>
    <row r="581">
      <c r="A581" s="652">
        <v>45912.0</v>
      </c>
      <c r="B581" s="634">
        <v>0.6248958333333333</v>
      </c>
      <c r="C581" s="633" t="s">
        <v>13310</v>
      </c>
      <c r="D581" s="635"/>
      <c r="E581" s="639">
        <v>923112066554</v>
      </c>
      <c r="F581" s="633" t="s">
        <v>6875</v>
      </c>
      <c r="G581" s="635"/>
      <c r="H581" s="635"/>
      <c r="I581" s="633" t="s">
        <v>13311</v>
      </c>
      <c r="J581" s="635"/>
      <c r="K581" s="633">
        <v>1.0</v>
      </c>
      <c r="L581" s="633" t="s">
        <v>13312</v>
      </c>
    </row>
  </sheetData>
  <dataValidations>
    <dataValidation type="list" allowBlank="1" showErrorMessage="1" sqref="F2:F581">
      <formula1>"Call Received,Not Received,Call Later,Client Lost,Confirmation,Paid,Demo,Form Filled"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0</v>
      </c>
      <c r="B1" s="138" t="s">
        <v>1</v>
      </c>
      <c r="C1" s="138" t="s">
        <v>4</v>
      </c>
      <c r="D1" s="283" t="s">
        <v>13313</v>
      </c>
      <c r="E1" s="283" t="s">
        <v>13</v>
      </c>
      <c r="F1" s="283" t="s">
        <v>628</v>
      </c>
    </row>
    <row r="2" ht="22.5" customHeight="1">
      <c r="A2" s="654"/>
      <c r="B2" s="655" t="s">
        <v>13314</v>
      </c>
      <c r="C2" s="656" t="s">
        <v>49</v>
      </c>
      <c r="D2" s="655" t="s">
        <v>11388</v>
      </c>
      <c r="E2" s="655" t="s">
        <v>13315</v>
      </c>
      <c r="F2" s="657"/>
    </row>
    <row r="3" ht="22.5" customHeight="1">
      <c r="A3" s="658" t="s">
        <v>637</v>
      </c>
      <c r="B3" s="659" t="s">
        <v>13316</v>
      </c>
      <c r="C3" s="660" t="s">
        <v>17</v>
      </c>
      <c r="D3" s="659" t="s">
        <v>13317</v>
      </c>
      <c r="E3" s="196"/>
      <c r="F3" s="155"/>
    </row>
    <row r="4" ht="22.5" customHeight="1">
      <c r="A4" s="140" t="s">
        <v>13318</v>
      </c>
      <c r="B4" s="661" t="s">
        <v>13319</v>
      </c>
      <c r="C4" s="662" t="s">
        <v>727</v>
      </c>
      <c r="D4" s="663" t="s">
        <v>13317</v>
      </c>
      <c r="E4" s="197"/>
      <c r="F4" s="147"/>
    </row>
    <row r="5" ht="22.5" customHeight="1">
      <c r="A5" s="658" t="s">
        <v>637</v>
      </c>
      <c r="B5" s="659" t="s">
        <v>13320</v>
      </c>
      <c r="C5" s="152" t="s">
        <v>49</v>
      </c>
      <c r="D5" s="659" t="s">
        <v>13317</v>
      </c>
      <c r="E5" s="659" t="s">
        <v>12103</v>
      </c>
      <c r="F5" s="155"/>
    </row>
    <row r="6" ht="22.5" customHeight="1">
      <c r="A6" s="664" t="s">
        <v>637</v>
      </c>
      <c r="B6" s="661" t="s">
        <v>13321</v>
      </c>
      <c r="C6" s="665" t="s">
        <v>17</v>
      </c>
      <c r="D6" s="663" t="s">
        <v>13317</v>
      </c>
      <c r="E6" s="197"/>
      <c r="F6" s="147"/>
    </row>
    <row r="7" ht="22.5" customHeight="1">
      <c r="A7" s="666" t="s">
        <v>13322</v>
      </c>
      <c r="B7" s="659" t="s">
        <v>13323</v>
      </c>
      <c r="C7" s="660" t="s">
        <v>17</v>
      </c>
      <c r="D7" s="659" t="s">
        <v>13317</v>
      </c>
      <c r="E7" s="196"/>
      <c r="F7" s="155"/>
    </row>
    <row r="8" ht="22.5" customHeight="1">
      <c r="A8" s="664" t="s">
        <v>637</v>
      </c>
      <c r="B8" s="661" t="s">
        <v>13324</v>
      </c>
      <c r="C8" s="662" t="s">
        <v>727</v>
      </c>
      <c r="D8" s="663" t="s">
        <v>13325</v>
      </c>
      <c r="E8" s="197"/>
      <c r="F8" s="147"/>
    </row>
    <row r="9" ht="22.5" customHeight="1">
      <c r="A9" s="666" t="s">
        <v>13326</v>
      </c>
      <c r="B9" s="659" t="s">
        <v>13327</v>
      </c>
      <c r="C9" s="660" t="s">
        <v>17</v>
      </c>
      <c r="D9" s="659" t="s">
        <v>13317</v>
      </c>
      <c r="E9" s="196"/>
      <c r="F9" s="155"/>
    </row>
    <row r="10" ht="22.5" customHeight="1">
      <c r="A10" s="664" t="s">
        <v>13328</v>
      </c>
      <c r="B10" s="661" t="s">
        <v>13329</v>
      </c>
      <c r="C10" s="667" t="s">
        <v>635</v>
      </c>
      <c r="D10" s="663" t="s">
        <v>13330</v>
      </c>
      <c r="E10" s="197"/>
      <c r="F10" s="147"/>
    </row>
    <row r="11" ht="22.5" customHeight="1">
      <c r="A11" s="666" t="s">
        <v>13331</v>
      </c>
      <c r="B11" s="659" t="s">
        <v>13332</v>
      </c>
      <c r="C11" s="660" t="s">
        <v>17</v>
      </c>
      <c r="D11" s="659" t="s">
        <v>13317</v>
      </c>
      <c r="E11" s="196"/>
      <c r="F11" s="155"/>
    </row>
    <row r="12" ht="22.5" customHeight="1">
      <c r="A12" s="140" t="s">
        <v>13333</v>
      </c>
      <c r="B12" s="159" t="s">
        <v>13334</v>
      </c>
      <c r="C12" s="144" t="s">
        <v>49</v>
      </c>
      <c r="D12" s="663" t="s">
        <v>13335</v>
      </c>
      <c r="E12" s="197"/>
      <c r="F12" s="147"/>
    </row>
    <row r="13" ht="22.5" customHeight="1">
      <c r="A13" s="666" t="s">
        <v>637</v>
      </c>
      <c r="B13" s="659" t="s">
        <v>13336</v>
      </c>
      <c r="C13" s="660" t="s">
        <v>17</v>
      </c>
      <c r="D13" s="659" t="s">
        <v>13317</v>
      </c>
      <c r="E13" s="196"/>
      <c r="F13" s="155"/>
    </row>
    <row r="14" ht="22.5" customHeight="1">
      <c r="A14" s="668" t="s">
        <v>637</v>
      </c>
      <c r="B14" s="661" t="s">
        <v>13337</v>
      </c>
      <c r="C14" s="669" t="s">
        <v>3955</v>
      </c>
      <c r="D14" s="663" t="s">
        <v>13338</v>
      </c>
      <c r="E14" s="197"/>
      <c r="F14" s="147"/>
    </row>
    <row r="15" ht="22.5" customHeight="1">
      <c r="A15" s="658" t="s">
        <v>6700</v>
      </c>
      <c r="B15" s="670" t="s">
        <v>13339</v>
      </c>
      <c r="C15" s="671" t="s">
        <v>40</v>
      </c>
      <c r="D15" s="659" t="s">
        <v>13317</v>
      </c>
      <c r="E15" s="670" t="s">
        <v>13340</v>
      </c>
      <c r="F15" s="672"/>
    </row>
    <row r="16" ht="22.5" customHeight="1">
      <c r="A16" s="668" t="s">
        <v>637</v>
      </c>
      <c r="B16" s="663" t="s">
        <v>13341</v>
      </c>
      <c r="C16" s="673" t="s">
        <v>17</v>
      </c>
      <c r="D16" s="663" t="s">
        <v>13317</v>
      </c>
      <c r="E16" s="418"/>
      <c r="F16" s="674"/>
    </row>
    <row r="17" ht="22.5" customHeight="1">
      <c r="A17" s="658" t="s">
        <v>13342</v>
      </c>
      <c r="B17" s="670" t="s">
        <v>13343</v>
      </c>
      <c r="C17" s="675" t="s">
        <v>17</v>
      </c>
      <c r="D17" s="659" t="s">
        <v>13317</v>
      </c>
      <c r="E17" s="415"/>
      <c r="F17" s="672"/>
    </row>
    <row r="18" ht="22.5" customHeight="1">
      <c r="A18" s="668" t="s">
        <v>13344</v>
      </c>
      <c r="B18" s="663" t="s">
        <v>13345</v>
      </c>
      <c r="C18" s="673" t="s">
        <v>17</v>
      </c>
      <c r="D18" s="663" t="s">
        <v>13317</v>
      </c>
      <c r="E18" s="418"/>
      <c r="F18" s="674"/>
    </row>
    <row r="19" ht="22.5" customHeight="1">
      <c r="A19" s="658" t="s">
        <v>257</v>
      </c>
      <c r="B19" s="670" t="s">
        <v>13346</v>
      </c>
      <c r="C19" s="675" t="s">
        <v>17</v>
      </c>
      <c r="D19" s="659" t="s">
        <v>13317</v>
      </c>
      <c r="E19" s="415"/>
      <c r="F19" s="672"/>
    </row>
    <row r="20" ht="22.5" customHeight="1">
      <c r="A20" s="668" t="s">
        <v>637</v>
      </c>
      <c r="B20" s="663" t="s">
        <v>13347</v>
      </c>
      <c r="C20" s="673" t="s">
        <v>17</v>
      </c>
      <c r="D20" s="663" t="s">
        <v>13317</v>
      </c>
      <c r="E20" s="418"/>
      <c r="F20" s="674"/>
    </row>
    <row r="21" ht="22.5" customHeight="1">
      <c r="A21" s="148" t="s">
        <v>13348</v>
      </c>
      <c r="B21" s="670" t="s">
        <v>13349</v>
      </c>
      <c r="C21" s="181" t="s">
        <v>49</v>
      </c>
      <c r="D21" s="659" t="s">
        <v>51</v>
      </c>
      <c r="E21" s="415"/>
      <c r="F21" s="672"/>
    </row>
    <row r="22" ht="22.5" customHeight="1">
      <c r="A22" s="668" t="s">
        <v>13350</v>
      </c>
      <c r="B22" s="663" t="s">
        <v>13351</v>
      </c>
      <c r="C22" s="402" t="s">
        <v>49</v>
      </c>
      <c r="D22" s="663" t="s">
        <v>51</v>
      </c>
      <c r="E22" s="418"/>
      <c r="F22" s="674"/>
    </row>
    <row r="23" ht="22.5" customHeight="1">
      <c r="A23" s="658" t="s">
        <v>10183</v>
      </c>
      <c r="B23" s="670" t="s">
        <v>13352</v>
      </c>
      <c r="C23" s="675" t="s">
        <v>17</v>
      </c>
      <c r="D23" s="659" t="s">
        <v>13317</v>
      </c>
      <c r="E23" s="415"/>
      <c r="F23" s="672"/>
    </row>
    <row r="24" ht="22.5" customHeight="1">
      <c r="A24" s="668" t="s">
        <v>637</v>
      </c>
      <c r="B24" s="663" t="s">
        <v>13353</v>
      </c>
      <c r="C24" s="673" t="s">
        <v>17</v>
      </c>
      <c r="D24" s="663" t="s">
        <v>13317</v>
      </c>
      <c r="E24" s="418"/>
      <c r="F24" s="674"/>
    </row>
    <row r="25" ht="22.5" customHeight="1">
      <c r="A25" s="658" t="s">
        <v>13354</v>
      </c>
      <c r="B25" s="661" t="s">
        <v>13355</v>
      </c>
      <c r="C25" s="181" t="s">
        <v>49</v>
      </c>
      <c r="D25" s="659" t="s">
        <v>1189</v>
      </c>
      <c r="E25" s="670" t="s">
        <v>8861</v>
      </c>
      <c r="F25" s="672"/>
    </row>
    <row r="26" ht="22.5" customHeight="1">
      <c r="A26" s="668" t="s">
        <v>637</v>
      </c>
      <c r="B26" s="663" t="s">
        <v>13356</v>
      </c>
      <c r="C26" s="673" t="s">
        <v>17</v>
      </c>
      <c r="D26" s="663" t="s">
        <v>13317</v>
      </c>
      <c r="E26" s="418"/>
      <c r="F26" s="674"/>
    </row>
    <row r="27" ht="22.5" customHeight="1">
      <c r="A27" s="658" t="s">
        <v>13357</v>
      </c>
      <c r="B27" s="670" t="s">
        <v>13358</v>
      </c>
      <c r="C27" s="675" t="s">
        <v>17</v>
      </c>
      <c r="D27" s="659" t="s">
        <v>13317</v>
      </c>
      <c r="E27" s="415"/>
      <c r="F27" s="672"/>
    </row>
    <row r="28" ht="22.5" customHeight="1">
      <c r="A28" s="668" t="s">
        <v>637</v>
      </c>
      <c r="B28" s="661" t="s">
        <v>13359</v>
      </c>
      <c r="C28" s="144" t="s">
        <v>49</v>
      </c>
      <c r="D28" s="663" t="s">
        <v>13317</v>
      </c>
      <c r="E28" s="197"/>
      <c r="F28" s="147"/>
    </row>
    <row r="29" ht="22.5" customHeight="1">
      <c r="A29" s="666" t="s">
        <v>13360</v>
      </c>
      <c r="B29" s="659" t="s">
        <v>13361</v>
      </c>
      <c r="C29" s="366" t="s">
        <v>40</v>
      </c>
      <c r="D29" s="659" t="s">
        <v>13317</v>
      </c>
      <c r="E29" s="196"/>
      <c r="F29" s="155"/>
    </row>
    <row r="30" ht="22.5" customHeight="1">
      <c r="A30" s="668" t="s">
        <v>637</v>
      </c>
      <c r="B30" s="661" t="s">
        <v>13362</v>
      </c>
      <c r="C30" s="665" t="s">
        <v>17</v>
      </c>
      <c r="D30" s="663" t="s">
        <v>13317</v>
      </c>
      <c r="E30" s="197"/>
      <c r="F30" s="147"/>
    </row>
    <row r="31" ht="22.5" customHeight="1">
      <c r="A31" s="666" t="s">
        <v>1135</v>
      </c>
      <c r="B31" s="659" t="s">
        <v>13363</v>
      </c>
      <c r="C31" s="152" t="s">
        <v>49</v>
      </c>
      <c r="D31" s="659" t="s">
        <v>51</v>
      </c>
      <c r="E31" s="196"/>
      <c r="F31" s="155"/>
    </row>
    <row r="32" ht="22.5" customHeight="1">
      <c r="A32" s="668" t="s">
        <v>637</v>
      </c>
      <c r="B32" s="661" t="s">
        <v>13364</v>
      </c>
      <c r="C32" s="144" t="s">
        <v>49</v>
      </c>
      <c r="D32" s="663" t="s">
        <v>13317</v>
      </c>
      <c r="E32" s="197"/>
      <c r="F32" s="147"/>
    </row>
    <row r="33" ht="22.5" customHeight="1">
      <c r="A33" s="666" t="s">
        <v>637</v>
      </c>
      <c r="B33" s="659" t="s">
        <v>13365</v>
      </c>
      <c r="C33" s="660" t="s">
        <v>17</v>
      </c>
      <c r="D33" s="659" t="s">
        <v>13317</v>
      </c>
      <c r="E33" s="196"/>
      <c r="F33" s="155"/>
    </row>
    <row r="34" ht="22.5" customHeight="1">
      <c r="A34" s="664" t="s">
        <v>13366</v>
      </c>
      <c r="B34" s="661" t="s">
        <v>13367</v>
      </c>
      <c r="C34" s="144" t="s">
        <v>49</v>
      </c>
      <c r="D34" s="663" t="s">
        <v>12441</v>
      </c>
      <c r="E34" s="197"/>
      <c r="F34" s="147"/>
    </row>
    <row r="35" ht="22.5" customHeight="1">
      <c r="A35" s="666" t="s">
        <v>13368</v>
      </c>
      <c r="B35" s="659" t="s">
        <v>13351</v>
      </c>
      <c r="C35" s="660" t="s">
        <v>17</v>
      </c>
      <c r="D35" s="659" t="s">
        <v>13317</v>
      </c>
      <c r="E35" s="196"/>
      <c r="F35" s="155"/>
    </row>
    <row r="36" ht="22.5" customHeight="1">
      <c r="A36" s="664" t="s">
        <v>193</v>
      </c>
      <c r="B36" s="661" t="s">
        <v>13369</v>
      </c>
      <c r="C36" s="144" t="s">
        <v>49</v>
      </c>
      <c r="D36" s="663" t="s">
        <v>152</v>
      </c>
      <c r="E36" s="197"/>
      <c r="F36" s="147"/>
    </row>
    <row r="37" ht="22.5" customHeight="1">
      <c r="A37" s="666" t="s">
        <v>13370</v>
      </c>
      <c r="B37" s="659" t="s">
        <v>13371</v>
      </c>
      <c r="C37" s="152" t="s">
        <v>49</v>
      </c>
      <c r="D37" s="659" t="s">
        <v>152</v>
      </c>
      <c r="E37" s="196"/>
      <c r="F37" s="155"/>
    </row>
    <row r="38" ht="22.5" customHeight="1">
      <c r="A38" s="664" t="s">
        <v>13372</v>
      </c>
      <c r="B38" s="661" t="s">
        <v>13373</v>
      </c>
      <c r="C38" s="144" t="s">
        <v>49</v>
      </c>
      <c r="D38" s="663" t="s">
        <v>152</v>
      </c>
      <c r="E38" s="197"/>
      <c r="F38" s="147"/>
    </row>
    <row r="39" ht="22.5" customHeight="1">
      <c r="A39" s="658" t="s">
        <v>637</v>
      </c>
      <c r="B39" s="659" t="s">
        <v>13353</v>
      </c>
      <c r="C39" s="152" t="s">
        <v>49</v>
      </c>
      <c r="D39" s="659" t="s">
        <v>152</v>
      </c>
      <c r="E39" s="196"/>
      <c r="F39" s="155"/>
    </row>
    <row r="40" ht="22.5" customHeight="1">
      <c r="A40" s="664" t="s">
        <v>637</v>
      </c>
      <c r="B40" s="661" t="s">
        <v>13374</v>
      </c>
      <c r="C40" s="665" t="s">
        <v>17</v>
      </c>
      <c r="D40" s="663" t="s">
        <v>13317</v>
      </c>
      <c r="E40" s="197"/>
      <c r="F40" s="147"/>
    </row>
    <row r="41" ht="22.5" customHeight="1">
      <c r="A41" s="666" t="s">
        <v>1135</v>
      </c>
      <c r="B41" s="659" t="s">
        <v>13375</v>
      </c>
      <c r="C41" s="660" t="s">
        <v>17</v>
      </c>
      <c r="D41" s="659" t="s">
        <v>13317</v>
      </c>
      <c r="E41" s="196"/>
      <c r="F41" s="155"/>
    </row>
    <row r="42" ht="22.5" customHeight="1">
      <c r="A42" s="664" t="s">
        <v>637</v>
      </c>
      <c r="B42" s="661" t="s">
        <v>13376</v>
      </c>
      <c r="C42" s="665" t="s">
        <v>17</v>
      </c>
      <c r="D42" s="197"/>
      <c r="E42" s="197"/>
      <c r="F42" s="147"/>
    </row>
    <row r="43" ht="22.5" customHeight="1">
      <c r="A43" s="658" t="s">
        <v>637</v>
      </c>
      <c r="B43" s="659" t="s">
        <v>13377</v>
      </c>
      <c r="C43" s="152" t="s">
        <v>49</v>
      </c>
      <c r="D43" s="196"/>
      <c r="E43" s="196"/>
      <c r="F43" s="155"/>
    </row>
    <row r="44" ht="22.5" customHeight="1">
      <c r="A44" s="664" t="s">
        <v>13378</v>
      </c>
      <c r="B44" s="661" t="s">
        <v>13379</v>
      </c>
      <c r="C44" s="676" t="s">
        <v>927</v>
      </c>
      <c r="D44" s="661" t="s">
        <v>204</v>
      </c>
      <c r="E44" s="197"/>
      <c r="F44" s="147"/>
    </row>
    <row r="45" ht="22.5" customHeight="1">
      <c r="A45" s="658" t="s">
        <v>637</v>
      </c>
      <c r="B45" s="659" t="s">
        <v>13380</v>
      </c>
      <c r="C45" s="660" t="s">
        <v>17</v>
      </c>
      <c r="D45" s="196"/>
      <c r="E45" s="196"/>
      <c r="F45" s="155"/>
    </row>
    <row r="46" ht="22.5" customHeight="1">
      <c r="A46" s="664" t="s">
        <v>13381</v>
      </c>
      <c r="B46" s="661" t="s">
        <v>13382</v>
      </c>
      <c r="C46" s="367" t="s">
        <v>40</v>
      </c>
      <c r="D46" s="661" t="s">
        <v>685</v>
      </c>
      <c r="E46" s="197"/>
      <c r="F46" s="147"/>
    </row>
    <row r="47" ht="22.5" customHeight="1">
      <c r="A47" s="666" t="s">
        <v>13383</v>
      </c>
      <c r="B47" s="659" t="s">
        <v>13384</v>
      </c>
      <c r="C47" s="152" t="s">
        <v>49</v>
      </c>
      <c r="D47" s="196"/>
      <c r="E47" s="196"/>
      <c r="F47" s="155"/>
    </row>
    <row r="48" ht="22.5" customHeight="1">
      <c r="A48" s="664" t="s">
        <v>13385</v>
      </c>
      <c r="B48" s="661" t="s">
        <v>13386</v>
      </c>
      <c r="C48" s="665" t="s">
        <v>17</v>
      </c>
      <c r="D48" s="197"/>
      <c r="E48" s="197"/>
      <c r="F48" s="147"/>
    </row>
    <row r="49" ht="22.5" customHeight="1">
      <c r="A49" s="666" t="s">
        <v>13387</v>
      </c>
      <c r="B49" s="659" t="s">
        <v>13388</v>
      </c>
      <c r="C49" s="152" t="s">
        <v>49</v>
      </c>
      <c r="D49" s="659" t="s">
        <v>1081</v>
      </c>
      <c r="E49" s="196"/>
      <c r="F49" s="155"/>
    </row>
    <row r="50" ht="22.5" customHeight="1">
      <c r="A50" s="664" t="s">
        <v>13389</v>
      </c>
      <c r="B50" s="661" t="s">
        <v>13390</v>
      </c>
      <c r="C50" s="662" t="s">
        <v>727</v>
      </c>
      <c r="D50" s="197"/>
      <c r="E50" s="197"/>
      <c r="F50" s="147"/>
    </row>
    <row r="51" ht="22.5" customHeight="1">
      <c r="A51" s="250"/>
      <c r="B51" s="659" t="s">
        <v>13391</v>
      </c>
      <c r="C51" s="660" t="s">
        <v>17</v>
      </c>
      <c r="D51" s="196"/>
      <c r="E51" s="196"/>
      <c r="F51" s="155"/>
    </row>
    <row r="52" ht="22.5" customHeight="1">
      <c r="A52" s="664" t="s">
        <v>13392</v>
      </c>
      <c r="B52" s="661" t="s">
        <v>13334</v>
      </c>
      <c r="C52" s="665" t="s">
        <v>17</v>
      </c>
      <c r="D52" s="197"/>
      <c r="E52" s="197"/>
      <c r="F52" s="147"/>
    </row>
    <row r="53" ht="22.5" customHeight="1">
      <c r="A53" s="666" t="s">
        <v>13393</v>
      </c>
      <c r="B53" s="659" t="s">
        <v>13394</v>
      </c>
      <c r="C53" s="366" t="s">
        <v>40</v>
      </c>
      <c r="D53" s="659" t="s">
        <v>685</v>
      </c>
      <c r="E53" s="196"/>
      <c r="F53" s="155"/>
    </row>
    <row r="54" ht="22.5" customHeight="1">
      <c r="A54" s="179" t="s">
        <v>13395</v>
      </c>
      <c r="B54" s="159" t="s">
        <v>13396</v>
      </c>
      <c r="C54" s="144"/>
      <c r="D54" s="197"/>
      <c r="E54" s="197"/>
      <c r="F54" s="147"/>
    </row>
    <row r="55" ht="22.5" customHeight="1">
      <c r="A55" s="250"/>
      <c r="B55" s="659" t="s">
        <v>13397</v>
      </c>
      <c r="C55" s="660" t="s">
        <v>17</v>
      </c>
      <c r="D55" s="196"/>
      <c r="E55" s="196"/>
      <c r="F55" s="155"/>
    </row>
    <row r="56" ht="22.5" customHeight="1">
      <c r="A56" s="664" t="s">
        <v>13398</v>
      </c>
      <c r="B56" s="661" t="s">
        <v>13399</v>
      </c>
      <c r="C56" s="665" t="s">
        <v>17</v>
      </c>
      <c r="D56" s="197"/>
      <c r="E56" s="197"/>
      <c r="F56" s="147"/>
    </row>
    <row r="57" ht="22.5" customHeight="1">
      <c r="A57" s="666" t="s">
        <v>13400</v>
      </c>
      <c r="B57" s="659" t="s">
        <v>13401</v>
      </c>
      <c r="C57" s="366" t="s">
        <v>40</v>
      </c>
      <c r="D57" s="659" t="s">
        <v>1838</v>
      </c>
      <c r="E57" s="196"/>
      <c r="F57" s="155"/>
    </row>
    <row r="58" ht="22.5" customHeight="1">
      <c r="A58" s="664" t="s">
        <v>13402</v>
      </c>
      <c r="B58" s="661" t="s">
        <v>13403</v>
      </c>
      <c r="C58" s="144" t="s">
        <v>49</v>
      </c>
      <c r="D58" s="661" t="s">
        <v>8833</v>
      </c>
      <c r="E58" s="197"/>
      <c r="F58" s="147"/>
    </row>
    <row r="59" ht="22.5" customHeight="1">
      <c r="A59" s="666" t="s">
        <v>13404</v>
      </c>
      <c r="B59" s="659" t="s">
        <v>13405</v>
      </c>
      <c r="C59" s="152" t="s">
        <v>49</v>
      </c>
      <c r="D59" s="196"/>
      <c r="E59" s="196"/>
      <c r="F59" s="155"/>
    </row>
    <row r="60" ht="22.5" customHeight="1">
      <c r="A60" s="202"/>
      <c r="B60" s="661" t="s">
        <v>13406</v>
      </c>
      <c r="C60" s="665" t="s">
        <v>17</v>
      </c>
      <c r="D60" s="197"/>
      <c r="E60" s="197"/>
      <c r="F60" s="147"/>
    </row>
    <row r="61" ht="22.5" customHeight="1">
      <c r="A61" s="250"/>
      <c r="B61" s="659" t="s">
        <v>13407</v>
      </c>
      <c r="C61" s="660" t="s">
        <v>17</v>
      </c>
      <c r="D61" s="196"/>
      <c r="E61" s="196"/>
      <c r="F61" s="155"/>
    </row>
    <row r="62" ht="22.5" customHeight="1">
      <c r="A62" s="664" t="s">
        <v>13408</v>
      </c>
      <c r="B62" s="661" t="s">
        <v>13409</v>
      </c>
      <c r="C62" s="665" t="s">
        <v>17</v>
      </c>
      <c r="D62" s="197"/>
      <c r="E62" s="197"/>
      <c r="F62" s="147"/>
    </row>
    <row r="63" ht="22.5" customHeight="1">
      <c r="A63" s="666" t="s">
        <v>4028</v>
      </c>
      <c r="B63" s="659" t="s">
        <v>13410</v>
      </c>
      <c r="C63" s="152" t="s">
        <v>49</v>
      </c>
      <c r="D63" s="659" t="s">
        <v>763</v>
      </c>
      <c r="E63" s="196"/>
      <c r="F63" s="155"/>
    </row>
    <row r="64" ht="22.5" customHeight="1">
      <c r="A64" s="664" t="s">
        <v>13411</v>
      </c>
      <c r="B64" s="661" t="s">
        <v>13412</v>
      </c>
      <c r="C64" s="665" t="s">
        <v>17</v>
      </c>
      <c r="D64" s="197"/>
      <c r="E64" s="197"/>
      <c r="F64" s="147"/>
    </row>
    <row r="65" ht="22.5" customHeight="1">
      <c r="A65" s="666" t="s">
        <v>13413</v>
      </c>
      <c r="B65" s="659" t="s">
        <v>13414</v>
      </c>
      <c r="C65" s="660" t="s">
        <v>17</v>
      </c>
      <c r="D65" s="196"/>
      <c r="E65" s="196"/>
      <c r="F65" s="155"/>
    </row>
    <row r="66" ht="22.5" customHeight="1">
      <c r="A66" s="664" t="s">
        <v>13415</v>
      </c>
      <c r="B66" s="661" t="s">
        <v>13416</v>
      </c>
      <c r="C66" s="665" t="s">
        <v>17</v>
      </c>
      <c r="D66" s="197"/>
      <c r="E66" s="197"/>
      <c r="F66" s="147"/>
    </row>
    <row r="67" ht="22.5" customHeight="1">
      <c r="A67" s="250"/>
      <c r="B67" s="677">
        <v>9.23337947625E11</v>
      </c>
      <c r="C67" s="660" t="s">
        <v>17</v>
      </c>
      <c r="D67" s="196"/>
      <c r="E67" s="196"/>
      <c r="F67" s="155"/>
    </row>
    <row r="68" ht="22.5" customHeight="1">
      <c r="A68" s="202"/>
      <c r="B68" s="661" t="s">
        <v>13417</v>
      </c>
      <c r="C68" s="665" t="s">
        <v>17</v>
      </c>
      <c r="D68" s="197"/>
      <c r="E68" s="197"/>
      <c r="F68" s="147"/>
    </row>
    <row r="69" ht="22.5" customHeight="1">
      <c r="A69" s="666" t="s">
        <v>309</v>
      </c>
      <c r="B69" s="659" t="s">
        <v>13418</v>
      </c>
      <c r="C69" s="152" t="s">
        <v>49</v>
      </c>
      <c r="D69" s="659" t="s">
        <v>1743</v>
      </c>
      <c r="E69" s="196"/>
      <c r="F69" s="155"/>
    </row>
    <row r="70" ht="22.5" customHeight="1">
      <c r="A70" s="664" t="s">
        <v>201</v>
      </c>
      <c r="B70" s="661" t="s">
        <v>13419</v>
      </c>
      <c r="C70" s="367" t="s">
        <v>40</v>
      </c>
      <c r="D70" s="661" t="s">
        <v>6944</v>
      </c>
      <c r="E70" s="197"/>
      <c r="F70" s="147"/>
    </row>
    <row r="71" ht="22.5" customHeight="1">
      <c r="A71" s="666" t="s">
        <v>2044</v>
      </c>
      <c r="B71" s="659" t="s">
        <v>13420</v>
      </c>
      <c r="C71" s="660" t="s">
        <v>17</v>
      </c>
      <c r="D71" s="196"/>
      <c r="E71" s="196"/>
      <c r="F71" s="155"/>
    </row>
    <row r="72" ht="22.5" customHeight="1">
      <c r="A72" s="664" t="s">
        <v>13421</v>
      </c>
      <c r="B72" s="661" t="s">
        <v>13422</v>
      </c>
      <c r="C72" s="667" t="s">
        <v>635</v>
      </c>
      <c r="D72" s="197"/>
      <c r="E72" s="197"/>
      <c r="F72" s="147"/>
    </row>
    <row r="73" ht="22.5" customHeight="1">
      <c r="A73" s="250"/>
      <c r="B73" s="659" t="s">
        <v>13423</v>
      </c>
      <c r="C73" s="660" t="s">
        <v>17</v>
      </c>
      <c r="D73" s="196"/>
      <c r="E73" s="196"/>
      <c r="F73" s="155"/>
    </row>
    <row r="74" ht="22.5" customHeight="1">
      <c r="A74" s="664" t="s">
        <v>13424</v>
      </c>
      <c r="B74" s="661" t="s">
        <v>13425</v>
      </c>
      <c r="C74" s="665" t="s">
        <v>17</v>
      </c>
      <c r="D74" s="197"/>
      <c r="E74" s="197"/>
      <c r="F74" s="147"/>
    </row>
    <row r="75" ht="22.5" customHeight="1">
      <c r="A75" s="666" t="s">
        <v>4453</v>
      </c>
      <c r="B75" s="659" t="s">
        <v>13426</v>
      </c>
      <c r="C75" s="152" t="s">
        <v>49</v>
      </c>
      <c r="D75" s="659" t="s">
        <v>152</v>
      </c>
      <c r="E75" s="196"/>
      <c r="F75" s="155"/>
    </row>
    <row r="76" ht="22.5" customHeight="1">
      <c r="A76" s="664" t="s">
        <v>637</v>
      </c>
      <c r="B76" s="661" t="s">
        <v>13427</v>
      </c>
      <c r="C76" s="144" t="s">
        <v>49</v>
      </c>
      <c r="D76" s="661" t="s">
        <v>674</v>
      </c>
      <c r="E76" s="197"/>
      <c r="F76" s="147"/>
    </row>
    <row r="77" ht="22.5" customHeight="1">
      <c r="A77" s="658" t="s">
        <v>13428</v>
      </c>
      <c r="B77" s="659" t="s">
        <v>13429</v>
      </c>
      <c r="C77" s="152" t="s">
        <v>49</v>
      </c>
      <c r="D77" s="659" t="s">
        <v>152</v>
      </c>
      <c r="E77" s="196"/>
      <c r="F77" s="155"/>
    </row>
    <row r="78" ht="22.5" customHeight="1">
      <c r="A78" s="664" t="s">
        <v>637</v>
      </c>
      <c r="B78" s="661" t="s">
        <v>13430</v>
      </c>
      <c r="C78" s="367" t="s">
        <v>40</v>
      </c>
      <c r="D78" s="661" t="s">
        <v>685</v>
      </c>
      <c r="E78" s="197"/>
      <c r="F78" s="147"/>
    </row>
    <row r="79" ht="22.5" customHeight="1">
      <c r="A79" s="658" t="s">
        <v>637</v>
      </c>
      <c r="B79" s="659" t="s">
        <v>13431</v>
      </c>
      <c r="C79" s="678" t="s">
        <v>635</v>
      </c>
      <c r="D79" s="196"/>
      <c r="E79" s="196"/>
      <c r="F79" s="155"/>
    </row>
    <row r="80" ht="22.5" customHeight="1">
      <c r="A80" s="664" t="s">
        <v>5128</v>
      </c>
      <c r="B80" s="661" t="s">
        <v>13432</v>
      </c>
      <c r="C80" s="665" t="s">
        <v>17</v>
      </c>
      <c r="D80" s="197"/>
      <c r="E80" s="197"/>
      <c r="F80" s="147"/>
    </row>
    <row r="81" ht="22.5" customHeight="1">
      <c r="A81" s="666" t="s">
        <v>6156</v>
      </c>
      <c r="B81" s="659" t="s">
        <v>13433</v>
      </c>
      <c r="C81" s="366" t="s">
        <v>40</v>
      </c>
      <c r="D81" s="659" t="s">
        <v>13434</v>
      </c>
      <c r="E81" s="196"/>
      <c r="F81" s="155"/>
    </row>
    <row r="82" ht="22.5" customHeight="1">
      <c r="A82" s="664" t="s">
        <v>197</v>
      </c>
      <c r="B82" s="679" t="s">
        <v>13435</v>
      </c>
      <c r="C82" s="665" t="s">
        <v>17</v>
      </c>
      <c r="D82" s="197"/>
      <c r="E82" s="197"/>
      <c r="F82" s="147"/>
    </row>
    <row r="83" ht="22.5" customHeight="1">
      <c r="A83" s="250"/>
      <c r="B83" s="659" t="s">
        <v>13436</v>
      </c>
      <c r="C83" s="660" t="s">
        <v>17</v>
      </c>
      <c r="D83" s="196"/>
      <c r="E83" s="196"/>
      <c r="F83" s="155"/>
    </row>
    <row r="84" ht="22.5" customHeight="1">
      <c r="A84" s="664" t="s">
        <v>13437</v>
      </c>
      <c r="B84" s="661" t="s">
        <v>13438</v>
      </c>
      <c r="C84" s="144" t="s">
        <v>49</v>
      </c>
      <c r="D84" s="197"/>
      <c r="E84" s="197"/>
      <c r="F84" s="147"/>
    </row>
    <row r="85" ht="22.5" customHeight="1">
      <c r="A85" s="666" t="s">
        <v>13439</v>
      </c>
      <c r="B85" s="659" t="s">
        <v>13440</v>
      </c>
      <c r="C85" s="366" t="s">
        <v>40</v>
      </c>
      <c r="D85" s="659" t="s">
        <v>1308</v>
      </c>
      <c r="E85" s="196"/>
      <c r="F85" s="155"/>
    </row>
    <row r="86" ht="22.5" customHeight="1">
      <c r="A86" s="664" t="s">
        <v>637</v>
      </c>
      <c r="B86" s="661" t="s">
        <v>13441</v>
      </c>
      <c r="C86" s="144" t="s">
        <v>49</v>
      </c>
      <c r="D86" s="661" t="s">
        <v>372</v>
      </c>
      <c r="E86" s="197"/>
      <c r="F86" s="147"/>
    </row>
    <row r="87" ht="22.5" customHeight="1">
      <c r="A87" s="658" t="s">
        <v>13442</v>
      </c>
      <c r="B87" s="659" t="s">
        <v>13443</v>
      </c>
      <c r="C87" s="660" t="s">
        <v>17</v>
      </c>
      <c r="D87" s="196"/>
      <c r="E87" s="196"/>
      <c r="F87" s="155"/>
    </row>
    <row r="88" ht="22.5" customHeight="1">
      <c r="A88" s="664" t="s">
        <v>2596</v>
      </c>
      <c r="B88" s="661" t="s">
        <v>13444</v>
      </c>
      <c r="C88" s="367" t="s">
        <v>40</v>
      </c>
      <c r="D88" s="661" t="s">
        <v>13445</v>
      </c>
      <c r="E88" s="197"/>
      <c r="F88" s="147"/>
    </row>
    <row r="89" ht="22.5" customHeight="1">
      <c r="A89" s="666" t="s">
        <v>13446</v>
      </c>
      <c r="B89" s="659" t="s">
        <v>13447</v>
      </c>
      <c r="C89" s="152" t="s">
        <v>49</v>
      </c>
      <c r="D89" s="659" t="s">
        <v>152</v>
      </c>
      <c r="E89" s="196"/>
      <c r="F89" s="155"/>
    </row>
    <row r="90" ht="22.5" customHeight="1">
      <c r="A90" s="664" t="s">
        <v>13448</v>
      </c>
      <c r="B90" s="661" t="s">
        <v>13449</v>
      </c>
      <c r="C90" s="667" t="s">
        <v>635</v>
      </c>
      <c r="D90" s="661" t="s">
        <v>13450</v>
      </c>
      <c r="E90" s="197"/>
      <c r="F90" s="147"/>
    </row>
    <row r="91" ht="22.5" customHeight="1">
      <c r="A91" s="666" t="s">
        <v>13451</v>
      </c>
      <c r="B91" s="659" t="s">
        <v>13452</v>
      </c>
      <c r="C91" s="680" t="s">
        <v>35</v>
      </c>
      <c r="D91" s="670" t="s">
        <v>13450</v>
      </c>
      <c r="E91" s="196"/>
      <c r="F91" s="155"/>
    </row>
    <row r="92" ht="22.5" customHeight="1">
      <c r="A92" s="664" t="s">
        <v>4157</v>
      </c>
      <c r="B92" s="661" t="s">
        <v>13453</v>
      </c>
      <c r="C92" s="367" t="s">
        <v>40</v>
      </c>
      <c r="D92" s="661" t="s">
        <v>13454</v>
      </c>
      <c r="E92" s="197"/>
      <c r="F92" s="147"/>
    </row>
    <row r="93" ht="22.5" customHeight="1">
      <c r="A93" s="666" t="s">
        <v>637</v>
      </c>
      <c r="B93" s="659" t="s">
        <v>13455</v>
      </c>
      <c r="C93" s="152" t="s">
        <v>49</v>
      </c>
      <c r="D93" s="659" t="s">
        <v>1985</v>
      </c>
      <c r="E93" s="196"/>
      <c r="F93" s="155"/>
    </row>
    <row r="94" ht="22.5" customHeight="1">
      <c r="A94" s="664" t="s">
        <v>13456</v>
      </c>
      <c r="B94" s="661" t="s">
        <v>13457</v>
      </c>
      <c r="C94" s="367" t="s">
        <v>40</v>
      </c>
      <c r="D94" s="661" t="s">
        <v>6944</v>
      </c>
      <c r="E94" s="197"/>
      <c r="F94" s="147"/>
    </row>
    <row r="95" ht="22.5" customHeight="1">
      <c r="A95" s="666" t="s">
        <v>13458</v>
      </c>
      <c r="B95" s="659" t="s">
        <v>13459</v>
      </c>
      <c r="C95" s="366" t="s">
        <v>40</v>
      </c>
      <c r="D95" s="659" t="s">
        <v>6944</v>
      </c>
      <c r="E95" s="196"/>
      <c r="F95" s="155"/>
    </row>
    <row r="96" ht="22.5" customHeight="1">
      <c r="A96" s="664" t="s">
        <v>6914</v>
      </c>
      <c r="B96" s="661" t="s">
        <v>13460</v>
      </c>
      <c r="C96" s="667" t="s">
        <v>635</v>
      </c>
      <c r="D96" s="197"/>
      <c r="E96" s="197"/>
      <c r="F96" s="147"/>
    </row>
    <row r="97" ht="22.5" customHeight="1">
      <c r="A97" s="681" t="s">
        <v>4263</v>
      </c>
      <c r="B97" s="659" t="s">
        <v>13461</v>
      </c>
      <c r="C97" s="152" t="s">
        <v>49</v>
      </c>
      <c r="D97" s="196"/>
      <c r="E97" s="196"/>
      <c r="F97" s="155"/>
    </row>
    <row r="98" ht="22.5" customHeight="1">
      <c r="A98" s="664" t="s">
        <v>201</v>
      </c>
      <c r="B98" s="661" t="s">
        <v>13462</v>
      </c>
      <c r="C98" s="665" t="s">
        <v>17</v>
      </c>
      <c r="D98" s="197"/>
      <c r="E98" s="197"/>
      <c r="F98" s="147"/>
    </row>
    <row r="99" ht="22.5" customHeight="1">
      <c r="A99" s="666" t="s">
        <v>13463</v>
      </c>
      <c r="B99" s="659" t="s">
        <v>13464</v>
      </c>
      <c r="C99" s="152" t="s">
        <v>49</v>
      </c>
      <c r="D99" s="659" t="s">
        <v>51</v>
      </c>
      <c r="E99" s="196"/>
      <c r="F99" s="155"/>
    </row>
    <row r="100" ht="22.5" customHeight="1">
      <c r="A100" s="664" t="s">
        <v>13465</v>
      </c>
      <c r="B100" s="661" t="s">
        <v>13466</v>
      </c>
      <c r="C100" s="144" t="s">
        <v>49</v>
      </c>
      <c r="D100" s="661" t="s">
        <v>11234</v>
      </c>
      <c r="E100" s="197"/>
      <c r="F100" s="147"/>
    </row>
    <row r="101" ht="22.5" customHeight="1">
      <c r="A101" s="666" t="s">
        <v>13467</v>
      </c>
      <c r="B101" s="659" t="s">
        <v>13468</v>
      </c>
      <c r="C101" s="660" t="s">
        <v>17</v>
      </c>
      <c r="D101" s="196"/>
      <c r="E101" s="196"/>
      <c r="F101" s="155"/>
    </row>
    <row r="102" ht="22.5" customHeight="1">
      <c r="A102" s="664" t="s">
        <v>13469</v>
      </c>
      <c r="B102" s="661" t="s">
        <v>13470</v>
      </c>
      <c r="C102" s="665" t="s">
        <v>17</v>
      </c>
      <c r="D102" s="197"/>
      <c r="E102" s="197"/>
      <c r="F102" s="147"/>
    </row>
    <row r="103" ht="22.5" customHeight="1">
      <c r="A103" s="666" t="s">
        <v>13471</v>
      </c>
      <c r="B103" s="663" t="s">
        <v>13472</v>
      </c>
      <c r="C103" s="660" t="s">
        <v>17</v>
      </c>
      <c r="D103" s="196"/>
      <c r="E103" s="196"/>
      <c r="F103" s="155"/>
    </row>
    <row r="104" ht="22.5" customHeight="1">
      <c r="A104" s="664" t="s">
        <v>13473</v>
      </c>
      <c r="B104" s="661" t="s">
        <v>13474</v>
      </c>
      <c r="C104" s="665" t="s">
        <v>17</v>
      </c>
      <c r="D104" s="197"/>
      <c r="E104" s="197"/>
      <c r="F104" s="147"/>
    </row>
    <row r="105" ht="22.5" customHeight="1">
      <c r="A105" s="666" t="s">
        <v>13475</v>
      </c>
      <c r="B105" s="659" t="s">
        <v>13476</v>
      </c>
      <c r="C105" s="152" t="s">
        <v>49</v>
      </c>
      <c r="D105" s="196"/>
      <c r="E105" s="196"/>
      <c r="F105" s="155"/>
    </row>
    <row r="106" ht="22.5" customHeight="1">
      <c r="A106" s="664" t="s">
        <v>13477</v>
      </c>
      <c r="B106" s="661" t="s">
        <v>13478</v>
      </c>
      <c r="C106" s="667" t="s">
        <v>635</v>
      </c>
      <c r="D106" s="661" t="s">
        <v>13479</v>
      </c>
      <c r="E106" s="197"/>
      <c r="F106" s="147"/>
    </row>
    <row r="107" ht="22.5" customHeight="1">
      <c r="A107" s="658" t="s">
        <v>637</v>
      </c>
      <c r="B107" s="663" t="s">
        <v>13480</v>
      </c>
      <c r="C107" s="660" t="s">
        <v>17</v>
      </c>
      <c r="D107" s="196"/>
      <c r="E107" s="196"/>
      <c r="F107" s="155"/>
    </row>
    <row r="108" ht="22.5" customHeight="1">
      <c r="A108" s="664" t="s">
        <v>13481</v>
      </c>
      <c r="B108" s="661" t="s">
        <v>13482</v>
      </c>
      <c r="C108" s="665" t="s">
        <v>17</v>
      </c>
      <c r="D108" s="197"/>
      <c r="E108" s="197"/>
      <c r="F108" s="147"/>
    </row>
    <row r="109" ht="22.5" customHeight="1">
      <c r="A109" s="658" t="s">
        <v>637</v>
      </c>
      <c r="B109" s="659" t="s">
        <v>13483</v>
      </c>
      <c r="C109" s="152" t="s">
        <v>49</v>
      </c>
      <c r="D109" s="659" t="s">
        <v>152</v>
      </c>
      <c r="E109" s="196"/>
      <c r="F109" s="155"/>
    </row>
    <row r="110" ht="22.5" customHeight="1">
      <c r="A110" s="668" t="s">
        <v>13484</v>
      </c>
      <c r="B110" s="663" t="s">
        <v>13485</v>
      </c>
      <c r="C110" s="673" t="s">
        <v>17</v>
      </c>
      <c r="D110" s="418"/>
      <c r="E110" s="418"/>
      <c r="F110" s="674"/>
    </row>
    <row r="111" ht="22.5" customHeight="1">
      <c r="A111" s="658" t="s">
        <v>13486</v>
      </c>
      <c r="B111" s="661" t="s">
        <v>13487</v>
      </c>
      <c r="C111" s="675" t="s">
        <v>17</v>
      </c>
      <c r="D111" s="415"/>
      <c r="E111" s="415"/>
      <c r="F111" s="672"/>
    </row>
    <row r="112" ht="22.5" customHeight="1">
      <c r="A112" s="664" t="s">
        <v>637</v>
      </c>
      <c r="B112" s="663" t="s">
        <v>13488</v>
      </c>
      <c r="C112" s="402" t="s">
        <v>49</v>
      </c>
      <c r="D112" s="663" t="s">
        <v>674</v>
      </c>
      <c r="E112" s="418"/>
      <c r="F112" s="674"/>
    </row>
    <row r="113" ht="22.5" customHeight="1">
      <c r="A113" s="658" t="s">
        <v>8468</v>
      </c>
      <c r="B113" s="670" t="s">
        <v>13489</v>
      </c>
      <c r="C113" s="181" t="s">
        <v>49</v>
      </c>
      <c r="D113" s="670" t="s">
        <v>1743</v>
      </c>
      <c r="E113" s="415"/>
      <c r="F113" s="672"/>
    </row>
    <row r="114" ht="22.5" customHeight="1">
      <c r="A114" s="668" t="s">
        <v>637</v>
      </c>
      <c r="B114" s="663" t="s">
        <v>13490</v>
      </c>
      <c r="C114" s="682" t="s">
        <v>40</v>
      </c>
      <c r="D114" s="663" t="s">
        <v>6944</v>
      </c>
      <c r="E114" s="418"/>
      <c r="F114" s="674"/>
    </row>
    <row r="115" ht="22.5" customHeight="1">
      <c r="A115" s="658" t="s">
        <v>4453</v>
      </c>
      <c r="B115" s="670" t="s">
        <v>13491</v>
      </c>
      <c r="C115" s="683" t="s">
        <v>35</v>
      </c>
      <c r="D115" s="670" t="s">
        <v>11516</v>
      </c>
      <c r="E115" s="415"/>
      <c r="F115" s="672"/>
    </row>
    <row r="116" ht="22.5" customHeight="1">
      <c r="A116" s="668" t="s">
        <v>637</v>
      </c>
      <c r="B116" s="663" t="s">
        <v>13492</v>
      </c>
      <c r="C116" s="402" t="s">
        <v>49</v>
      </c>
      <c r="D116" s="418"/>
      <c r="E116" s="418"/>
      <c r="F116" s="674"/>
    </row>
    <row r="117" ht="22.5" customHeight="1">
      <c r="A117" s="666" t="s">
        <v>637</v>
      </c>
      <c r="B117" s="670" t="s">
        <v>13493</v>
      </c>
      <c r="C117" s="671" t="s">
        <v>40</v>
      </c>
      <c r="D117" s="670" t="s">
        <v>13494</v>
      </c>
      <c r="E117" s="415"/>
      <c r="F117" s="672"/>
    </row>
    <row r="118" ht="22.5" customHeight="1">
      <c r="A118" s="668" t="s">
        <v>13495</v>
      </c>
      <c r="B118" s="663" t="s">
        <v>13496</v>
      </c>
      <c r="C118" s="684" t="s">
        <v>35</v>
      </c>
      <c r="D118" s="663" t="s">
        <v>12441</v>
      </c>
      <c r="E118" s="418"/>
      <c r="F118" s="674"/>
    </row>
    <row r="119" ht="22.5" customHeight="1">
      <c r="A119" s="658" t="s">
        <v>4772</v>
      </c>
      <c r="B119" s="661" t="s">
        <v>13497</v>
      </c>
      <c r="C119" s="675" t="s">
        <v>17</v>
      </c>
      <c r="D119" s="415"/>
      <c r="E119" s="415"/>
      <c r="F119" s="672"/>
    </row>
    <row r="120" ht="22.5" customHeight="1">
      <c r="A120" s="668" t="s">
        <v>3876</v>
      </c>
      <c r="B120" s="663" t="s">
        <v>13498</v>
      </c>
      <c r="C120" s="673" t="s">
        <v>17</v>
      </c>
      <c r="D120" s="418"/>
      <c r="E120" s="418"/>
      <c r="F120" s="674"/>
    </row>
    <row r="121" ht="22.5" customHeight="1">
      <c r="A121" s="658" t="s">
        <v>13499</v>
      </c>
      <c r="B121" s="670" t="s">
        <v>13500</v>
      </c>
      <c r="C121" s="181" t="s">
        <v>49</v>
      </c>
      <c r="D121" s="670" t="s">
        <v>1158</v>
      </c>
      <c r="E121" s="415"/>
      <c r="F121" s="672"/>
    </row>
    <row r="122" ht="22.5" customHeight="1">
      <c r="A122" s="668" t="s">
        <v>4132</v>
      </c>
      <c r="B122" s="663" t="s">
        <v>13501</v>
      </c>
      <c r="C122" s="673" t="s">
        <v>17</v>
      </c>
      <c r="D122" s="418"/>
      <c r="E122" s="418"/>
      <c r="F122" s="674"/>
    </row>
    <row r="123" ht="22.5" customHeight="1">
      <c r="A123" s="666" t="s">
        <v>637</v>
      </c>
      <c r="B123" s="661" t="s">
        <v>13502</v>
      </c>
      <c r="C123" s="675" t="s">
        <v>17</v>
      </c>
      <c r="D123" s="415"/>
      <c r="E123" s="415"/>
      <c r="F123" s="672"/>
    </row>
    <row r="124" ht="22.5" customHeight="1">
      <c r="A124" s="668" t="s">
        <v>13503</v>
      </c>
      <c r="B124" s="661" t="s">
        <v>13504</v>
      </c>
      <c r="C124" s="144" t="s">
        <v>49</v>
      </c>
      <c r="D124" s="197"/>
      <c r="E124" s="197"/>
      <c r="F124" s="147"/>
    </row>
    <row r="125" ht="22.5" customHeight="1">
      <c r="A125" s="666" t="s">
        <v>13505</v>
      </c>
      <c r="B125" s="663" t="s">
        <v>13506</v>
      </c>
      <c r="C125" s="660" t="s">
        <v>17</v>
      </c>
      <c r="D125" s="196"/>
      <c r="E125" s="196"/>
      <c r="F125" s="155"/>
    </row>
    <row r="126" ht="22.5" customHeight="1">
      <c r="A126" s="664" t="s">
        <v>13507</v>
      </c>
      <c r="B126" s="661" t="s">
        <v>13508</v>
      </c>
      <c r="C126" s="665" t="s">
        <v>17</v>
      </c>
      <c r="D126" s="197"/>
      <c r="E126" s="197"/>
      <c r="F126" s="147"/>
    </row>
    <row r="127" ht="22.5" customHeight="1">
      <c r="A127" s="666" t="s">
        <v>637</v>
      </c>
      <c r="B127" s="663" t="s">
        <v>13509</v>
      </c>
      <c r="C127" s="152" t="s">
        <v>49</v>
      </c>
      <c r="D127" s="196"/>
      <c r="E127" s="196"/>
      <c r="F127" s="155"/>
    </row>
    <row r="128" ht="22.5" customHeight="1">
      <c r="A128" s="668" t="s">
        <v>637</v>
      </c>
      <c r="B128" s="661" t="s">
        <v>13510</v>
      </c>
      <c r="C128" s="367" t="s">
        <v>40</v>
      </c>
      <c r="D128" s="661" t="s">
        <v>13511</v>
      </c>
      <c r="E128" s="197"/>
      <c r="F128" s="147"/>
    </row>
    <row r="129" ht="22.5" customHeight="1">
      <c r="A129" s="666" t="s">
        <v>3784</v>
      </c>
      <c r="B129" s="659" t="s">
        <v>13512</v>
      </c>
      <c r="C129" s="152" t="s">
        <v>49</v>
      </c>
      <c r="D129" s="659" t="s">
        <v>152</v>
      </c>
      <c r="E129" s="196"/>
      <c r="F129" s="155"/>
    </row>
    <row r="130" ht="22.5" customHeight="1">
      <c r="A130" s="668" t="s">
        <v>637</v>
      </c>
      <c r="B130" s="661" t="s">
        <v>13513</v>
      </c>
      <c r="C130" s="665" t="s">
        <v>17</v>
      </c>
      <c r="D130" s="197"/>
      <c r="E130" s="197"/>
      <c r="F130" s="147"/>
    </row>
    <row r="131" ht="22.5" customHeight="1">
      <c r="A131" s="666" t="s">
        <v>4632</v>
      </c>
      <c r="B131" s="663" t="s">
        <v>13514</v>
      </c>
      <c r="C131" s="660" t="s">
        <v>17</v>
      </c>
      <c r="D131" s="196"/>
      <c r="E131" s="196"/>
      <c r="F131" s="155"/>
    </row>
    <row r="132" ht="22.5" customHeight="1">
      <c r="A132" s="140" t="s">
        <v>13515</v>
      </c>
      <c r="B132" s="661" t="s">
        <v>13516</v>
      </c>
      <c r="C132" s="685" t="s">
        <v>35</v>
      </c>
      <c r="D132" s="663" t="s">
        <v>12441</v>
      </c>
      <c r="E132" s="197"/>
      <c r="F132" s="147"/>
    </row>
    <row r="133" ht="22.5" customHeight="1">
      <c r="A133" s="250"/>
      <c r="B133" s="663" t="s">
        <v>13517</v>
      </c>
      <c r="C133" s="660" t="s">
        <v>17</v>
      </c>
      <c r="D133" s="196"/>
      <c r="E133" s="196"/>
      <c r="F133" s="155"/>
    </row>
    <row r="134" ht="22.5" customHeight="1">
      <c r="A134" s="202"/>
      <c r="B134" s="661" t="s">
        <v>13518</v>
      </c>
      <c r="C134" s="367" t="s">
        <v>40</v>
      </c>
      <c r="D134" s="661" t="s">
        <v>13519</v>
      </c>
      <c r="E134" s="197"/>
      <c r="F134" s="147"/>
    </row>
    <row r="135" ht="22.5" customHeight="1">
      <c r="A135" s="666" t="s">
        <v>13520</v>
      </c>
      <c r="B135" s="663" t="s">
        <v>13521</v>
      </c>
      <c r="C135" s="660" t="s">
        <v>17</v>
      </c>
      <c r="D135" s="196"/>
      <c r="E135" s="196"/>
      <c r="F135" s="155"/>
    </row>
    <row r="136" ht="22.5" customHeight="1">
      <c r="A136" s="664" t="s">
        <v>201</v>
      </c>
      <c r="B136" s="661" t="s">
        <v>13522</v>
      </c>
      <c r="C136" s="665" t="s">
        <v>17</v>
      </c>
      <c r="D136" s="197"/>
      <c r="E136" s="197"/>
      <c r="F136" s="147"/>
    </row>
    <row r="137" ht="22.5" customHeight="1">
      <c r="A137" s="250"/>
      <c r="B137" s="659" t="s">
        <v>13523</v>
      </c>
      <c r="C137" s="366" t="s">
        <v>40</v>
      </c>
      <c r="D137" s="659" t="s">
        <v>13524</v>
      </c>
      <c r="E137" s="196"/>
      <c r="F137" s="155"/>
    </row>
    <row r="138" ht="22.5" customHeight="1">
      <c r="A138" s="664" t="s">
        <v>13525</v>
      </c>
      <c r="B138" s="661" t="s">
        <v>13526</v>
      </c>
      <c r="C138" s="665" t="s">
        <v>17</v>
      </c>
      <c r="D138" s="197"/>
      <c r="E138" s="197"/>
      <c r="F138" s="147"/>
    </row>
    <row r="139" ht="22.5" customHeight="1">
      <c r="A139" s="666" t="s">
        <v>13527</v>
      </c>
      <c r="B139" s="659" t="s">
        <v>13528</v>
      </c>
      <c r="C139" s="152" t="s">
        <v>49</v>
      </c>
      <c r="D139" s="196"/>
      <c r="E139" s="196"/>
      <c r="F139" s="155"/>
    </row>
    <row r="140" ht="22.5" customHeight="1">
      <c r="A140" s="664" t="s">
        <v>5814</v>
      </c>
      <c r="B140" s="661" t="s">
        <v>13529</v>
      </c>
      <c r="C140" s="367" t="s">
        <v>40</v>
      </c>
      <c r="D140" s="661" t="s">
        <v>13524</v>
      </c>
      <c r="E140" s="197"/>
      <c r="F140" s="147"/>
    </row>
    <row r="141" ht="22.5" customHeight="1">
      <c r="A141" s="666" t="s">
        <v>13530</v>
      </c>
      <c r="B141" s="659" t="s">
        <v>13531</v>
      </c>
      <c r="C141" s="366" t="s">
        <v>40</v>
      </c>
      <c r="D141" s="659" t="s">
        <v>13532</v>
      </c>
      <c r="E141" s="196"/>
      <c r="F141" s="155"/>
    </row>
    <row r="142" ht="22.5" customHeight="1">
      <c r="A142" s="664" t="s">
        <v>13533</v>
      </c>
      <c r="B142" s="661" t="s">
        <v>13534</v>
      </c>
      <c r="C142" s="665" t="s">
        <v>17</v>
      </c>
      <c r="D142" s="197"/>
      <c r="E142" s="197"/>
      <c r="F142" s="147"/>
    </row>
    <row r="143" ht="22.5" customHeight="1">
      <c r="A143" s="666" t="s">
        <v>13535</v>
      </c>
      <c r="B143" s="659" t="s">
        <v>13536</v>
      </c>
      <c r="C143" s="152" t="s">
        <v>49</v>
      </c>
      <c r="D143" s="196"/>
      <c r="E143" s="196"/>
      <c r="F143" s="155"/>
    </row>
    <row r="144" ht="22.5" customHeight="1">
      <c r="A144" s="664" t="s">
        <v>6914</v>
      </c>
      <c r="B144" s="661" t="s">
        <v>13537</v>
      </c>
      <c r="C144" s="144" t="s">
        <v>49</v>
      </c>
      <c r="D144" s="661" t="s">
        <v>1985</v>
      </c>
      <c r="E144" s="197"/>
      <c r="F144" s="147"/>
    </row>
    <row r="145" ht="22.5" customHeight="1">
      <c r="A145" s="666" t="s">
        <v>13538</v>
      </c>
      <c r="B145" s="659" t="s">
        <v>13539</v>
      </c>
      <c r="C145" s="686" t="s">
        <v>927</v>
      </c>
      <c r="D145" s="659" t="s">
        <v>13540</v>
      </c>
      <c r="E145" s="196"/>
      <c r="F145" s="155"/>
    </row>
    <row r="146" ht="22.5" customHeight="1">
      <c r="A146" s="664" t="s">
        <v>13541</v>
      </c>
      <c r="B146" s="661" t="s">
        <v>13542</v>
      </c>
      <c r="C146" s="662" t="s">
        <v>727</v>
      </c>
      <c r="D146" s="661" t="s">
        <v>13543</v>
      </c>
      <c r="E146" s="197"/>
      <c r="F146" s="147"/>
    </row>
    <row r="147" ht="22.5" customHeight="1">
      <c r="A147" s="666" t="s">
        <v>13544</v>
      </c>
      <c r="B147" s="659" t="s">
        <v>13545</v>
      </c>
      <c r="C147" s="680" t="s">
        <v>35</v>
      </c>
      <c r="D147" s="659" t="s">
        <v>13546</v>
      </c>
      <c r="E147" s="196"/>
      <c r="F147" s="155"/>
    </row>
    <row r="148" ht="22.5" customHeight="1">
      <c r="A148" s="664" t="s">
        <v>13547</v>
      </c>
      <c r="B148" s="661" t="s">
        <v>13548</v>
      </c>
      <c r="C148" s="665" t="s">
        <v>17</v>
      </c>
      <c r="D148" s="197"/>
      <c r="E148" s="197"/>
      <c r="F148" s="147"/>
    </row>
    <row r="149" ht="22.5" customHeight="1">
      <c r="A149" s="666" t="s">
        <v>13549</v>
      </c>
      <c r="B149" s="663" t="s">
        <v>13550</v>
      </c>
      <c r="C149" s="660" t="s">
        <v>17</v>
      </c>
      <c r="D149" s="196"/>
      <c r="E149" s="196"/>
      <c r="F149" s="155"/>
    </row>
    <row r="150" ht="22.5" customHeight="1">
      <c r="A150" s="664" t="s">
        <v>13551</v>
      </c>
      <c r="B150" s="661" t="s">
        <v>13552</v>
      </c>
      <c r="C150" s="144" t="s">
        <v>49</v>
      </c>
      <c r="D150" s="661" t="s">
        <v>1802</v>
      </c>
      <c r="E150" s="197"/>
      <c r="F150" s="147"/>
    </row>
    <row r="151" ht="22.5" customHeight="1">
      <c r="A151" s="250"/>
      <c r="B151" s="663" t="s">
        <v>13553</v>
      </c>
      <c r="C151" s="660" t="s">
        <v>17</v>
      </c>
      <c r="D151" s="196"/>
      <c r="E151" s="196"/>
      <c r="F151" s="155"/>
    </row>
    <row r="152" ht="22.5" customHeight="1">
      <c r="A152" s="664" t="s">
        <v>13554</v>
      </c>
      <c r="B152" s="661" t="s">
        <v>13555</v>
      </c>
      <c r="C152" s="667" t="s">
        <v>635</v>
      </c>
      <c r="D152" s="661" t="s">
        <v>13556</v>
      </c>
      <c r="E152" s="197"/>
      <c r="F152" s="147"/>
    </row>
    <row r="153" ht="22.5" customHeight="1">
      <c r="A153" s="666" t="s">
        <v>4333</v>
      </c>
      <c r="B153" s="659" t="s">
        <v>13557</v>
      </c>
      <c r="C153" s="152" t="s">
        <v>49</v>
      </c>
      <c r="D153" s="196"/>
      <c r="E153" s="196"/>
      <c r="F153" s="155"/>
    </row>
    <row r="154" ht="22.5" customHeight="1">
      <c r="A154" s="664" t="s">
        <v>201</v>
      </c>
      <c r="B154" s="661" t="s">
        <v>13558</v>
      </c>
      <c r="C154" s="665" t="s">
        <v>17</v>
      </c>
      <c r="D154" s="197"/>
      <c r="E154" s="197"/>
      <c r="F154" s="147"/>
    </row>
    <row r="155" ht="22.5" customHeight="1">
      <c r="A155" s="666" t="s">
        <v>13559</v>
      </c>
      <c r="B155" s="663" t="s">
        <v>13560</v>
      </c>
      <c r="C155" s="660" t="s">
        <v>17</v>
      </c>
      <c r="D155" s="196"/>
      <c r="E155" s="196"/>
      <c r="F155" s="155"/>
    </row>
    <row r="156" ht="22.5" customHeight="1">
      <c r="A156" s="664" t="s">
        <v>13561</v>
      </c>
      <c r="B156" s="661" t="s">
        <v>13562</v>
      </c>
      <c r="C156" s="144" t="s">
        <v>49</v>
      </c>
      <c r="D156" s="197"/>
      <c r="E156" s="197"/>
      <c r="F156" s="147"/>
    </row>
    <row r="157" ht="22.5" customHeight="1">
      <c r="A157" s="666" t="s">
        <v>13563</v>
      </c>
      <c r="B157" s="687" t="s">
        <v>13564</v>
      </c>
      <c r="C157" s="660" t="s">
        <v>17</v>
      </c>
      <c r="D157" s="659" t="s">
        <v>703</v>
      </c>
      <c r="E157" s="196"/>
      <c r="F157" s="155"/>
    </row>
    <row r="158" ht="22.5" customHeight="1">
      <c r="A158" s="202"/>
      <c r="B158" s="661" t="s">
        <v>13565</v>
      </c>
      <c r="C158" s="665" t="s">
        <v>17</v>
      </c>
      <c r="D158" s="197"/>
      <c r="E158" s="197"/>
      <c r="F158" s="147"/>
    </row>
    <row r="159" ht="22.5" customHeight="1">
      <c r="A159" s="250"/>
      <c r="B159" s="659" t="s">
        <v>13566</v>
      </c>
      <c r="C159" s="366" t="s">
        <v>40</v>
      </c>
      <c r="D159" s="659" t="s">
        <v>6944</v>
      </c>
      <c r="E159" s="196"/>
      <c r="F159" s="155"/>
    </row>
    <row r="160" ht="22.5" customHeight="1">
      <c r="A160" s="664" t="s">
        <v>13567</v>
      </c>
      <c r="B160" s="661" t="s">
        <v>13568</v>
      </c>
      <c r="C160" s="667" t="s">
        <v>635</v>
      </c>
      <c r="D160" s="661" t="s">
        <v>13569</v>
      </c>
      <c r="E160" s="197"/>
      <c r="F160" s="147"/>
    </row>
    <row r="161" ht="22.5" customHeight="1">
      <c r="A161" s="666" t="s">
        <v>13570</v>
      </c>
      <c r="B161" s="663" t="s">
        <v>13571</v>
      </c>
      <c r="C161" s="660" t="s">
        <v>17</v>
      </c>
      <c r="D161" s="196"/>
      <c r="E161" s="196"/>
      <c r="F161" s="155"/>
    </row>
    <row r="162" ht="22.5" customHeight="1">
      <c r="A162" s="202"/>
      <c r="B162" s="661" t="s">
        <v>13572</v>
      </c>
      <c r="C162" s="144" t="s">
        <v>49</v>
      </c>
      <c r="D162" s="661" t="s">
        <v>674</v>
      </c>
      <c r="E162" s="197"/>
      <c r="F162" s="147"/>
    </row>
    <row r="163" ht="22.5" customHeight="1">
      <c r="A163" s="666" t="s">
        <v>13573</v>
      </c>
      <c r="B163" s="663" t="s">
        <v>13574</v>
      </c>
      <c r="C163" s="660" t="s">
        <v>17</v>
      </c>
      <c r="D163" s="196"/>
      <c r="E163" s="196"/>
      <c r="F163" s="155"/>
    </row>
    <row r="164" ht="22.5" customHeight="1">
      <c r="A164" s="664" t="s">
        <v>3232</v>
      </c>
      <c r="B164" s="661" t="s">
        <v>13575</v>
      </c>
      <c r="C164" s="144" t="s">
        <v>49</v>
      </c>
      <c r="D164" s="661" t="s">
        <v>152</v>
      </c>
      <c r="E164" s="197"/>
      <c r="F164" s="147"/>
    </row>
    <row r="165" ht="22.5" customHeight="1">
      <c r="A165" s="666" t="s">
        <v>13576</v>
      </c>
      <c r="B165" s="659" t="s">
        <v>13577</v>
      </c>
      <c r="C165" s="686" t="s">
        <v>927</v>
      </c>
      <c r="D165" s="659" t="s">
        <v>13578</v>
      </c>
      <c r="E165" s="196"/>
      <c r="F165" s="155"/>
    </row>
    <row r="166" ht="22.5" customHeight="1">
      <c r="A166" s="202"/>
      <c r="B166" s="661" t="s">
        <v>13579</v>
      </c>
      <c r="C166" s="367" t="s">
        <v>40</v>
      </c>
      <c r="D166" s="661" t="s">
        <v>685</v>
      </c>
      <c r="E166" s="197"/>
      <c r="F166" s="147"/>
    </row>
    <row r="167" ht="22.5" customHeight="1">
      <c r="A167" s="666" t="s">
        <v>13580</v>
      </c>
      <c r="B167" s="659" t="s">
        <v>13581</v>
      </c>
      <c r="C167" s="152" t="s">
        <v>49</v>
      </c>
      <c r="D167" s="659" t="s">
        <v>1158</v>
      </c>
      <c r="E167" s="196"/>
      <c r="F167" s="155"/>
    </row>
    <row r="168" ht="22.5" customHeight="1">
      <c r="A168" s="664" t="s">
        <v>13582</v>
      </c>
      <c r="B168" s="661" t="s">
        <v>13583</v>
      </c>
      <c r="C168" s="144" t="s">
        <v>49</v>
      </c>
      <c r="D168" s="663" t="s">
        <v>1158</v>
      </c>
      <c r="E168" s="197"/>
      <c r="F168" s="147"/>
    </row>
    <row r="169" ht="22.5" customHeight="1">
      <c r="A169" s="666" t="s">
        <v>13584</v>
      </c>
      <c r="B169" s="663" t="s">
        <v>13585</v>
      </c>
      <c r="C169" s="660" t="s">
        <v>17</v>
      </c>
      <c r="D169" s="196"/>
      <c r="E169" s="196"/>
      <c r="F169" s="155"/>
    </row>
    <row r="170" ht="22.5" customHeight="1">
      <c r="A170" s="664" t="s">
        <v>13586</v>
      </c>
      <c r="B170" s="661" t="s">
        <v>13587</v>
      </c>
      <c r="C170" s="144" t="s">
        <v>49</v>
      </c>
      <c r="D170" s="661" t="s">
        <v>11599</v>
      </c>
      <c r="E170" s="197"/>
      <c r="F170" s="147"/>
    </row>
    <row r="171" ht="22.5" customHeight="1">
      <c r="A171" s="250"/>
      <c r="B171" s="659" t="s">
        <v>13588</v>
      </c>
      <c r="C171" s="366" t="s">
        <v>40</v>
      </c>
      <c r="D171" s="659" t="s">
        <v>13589</v>
      </c>
      <c r="E171" s="196"/>
      <c r="F171" s="155"/>
    </row>
    <row r="172" ht="22.5" customHeight="1">
      <c r="A172" s="664" t="s">
        <v>13590</v>
      </c>
      <c r="B172" s="661" t="s">
        <v>13591</v>
      </c>
      <c r="C172" s="665" t="s">
        <v>17</v>
      </c>
      <c r="D172" s="197"/>
      <c r="E172" s="197"/>
      <c r="F172" s="147"/>
    </row>
    <row r="173" ht="22.5" customHeight="1">
      <c r="A173" s="666" t="s">
        <v>5800</v>
      </c>
      <c r="B173" s="688" t="s">
        <v>13592</v>
      </c>
      <c r="C173" s="660" t="s">
        <v>17</v>
      </c>
      <c r="D173" s="196"/>
      <c r="E173" s="196"/>
      <c r="F173" s="155"/>
    </row>
    <row r="174" ht="22.5" customHeight="1">
      <c r="A174" s="664" t="s">
        <v>13593</v>
      </c>
      <c r="B174" s="679" t="s">
        <v>13594</v>
      </c>
      <c r="C174" s="665" t="s">
        <v>17</v>
      </c>
      <c r="D174" s="197"/>
      <c r="E174" s="197"/>
      <c r="F174" s="147"/>
    </row>
    <row r="175" ht="22.5" customHeight="1">
      <c r="A175" s="666" t="s">
        <v>13595</v>
      </c>
      <c r="B175" s="659" t="s">
        <v>13596</v>
      </c>
      <c r="C175" s="152" t="s">
        <v>49</v>
      </c>
      <c r="D175" s="196"/>
      <c r="E175" s="196"/>
      <c r="F175" s="155"/>
    </row>
    <row r="176" ht="22.5" customHeight="1">
      <c r="A176" s="664" t="s">
        <v>13597</v>
      </c>
      <c r="B176" s="661" t="s">
        <v>13598</v>
      </c>
      <c r="C176" s="144" t="s">
        <v>49</v>
      </c>
      <c r="D176" s="661" t="s">
        <v>1802</v>
      </c>
      <c r="E176" s="197"/>
      <c r="F176" s="147"/>
    </row>
    <row r="177" ht="22.5" customHeight="1">
      <c r="A177" s="250"/>
      <c r="B177" s="659" t="s">
        <v>13599</v>
      </c>
      <c r="C177" s="660" t="s">
        <v>17</v>
      </c>
      <c r="D177" s="196"/>
      <c r="E177" s="196"/>
      <c r="F177" s="155"/>
    </row>
    <row r="178" ht="22.5" customHeight="1">
      <c r="A178" s="202"/>
      <c r="B178" s="661" t="s">
        <v>13600</v>
      </c>
      <c r="C178" s="144"/>
      <c r="D178" s="197"/>
      <c r="E178" s="197"/>
      <c r="F178" s="147"/>
    </row>
    <row r="179" ht="22.5" customHeight="1">
      <c r="A179" s="250"/>
      <c r="B179" s="659" t="s">
        <v>13601</v>
      </c>
      <c r="C179" s="152"/>
      <c r="D179" s="196"/>
      <c r="E179" s="196"/>
      <c r="F179" s="155"/>
    </row>
    <row r="180" ht="22.5" customHeight="1">
      <c r="A180" s="202"/>
      <c r="B180" s="661" t="s">
        <v>13602</v>
      </c>
      <c r="C180" s="144"/>
      <c r="D180" s="197"/>
      <c r="E180" s="197"/>
      <c r="F180" s="147"/>
    </row>
    <row r="181" ht="22.5" customHeight="1">
      <c r="A181" s="666" t="s">
        <v>13603</v>
      </c>
      <c r="B181" s="659" t="s">
        <v>13604</v>
      </c>
      <c r="C181" s="152"/>
      <c r="D181" s="196"/>
      <c r="E181" s="196"/>
      <c r="F181" s="155"/>
    </row>
    <row r="182" ht="22.5" customHeight="1">
      <c r="A182" s="202"/>
      <c r="B182" s="661" t="s">
        <v>13605</v>
      </c>
      <c r="C182" s="144"/>
      <c r="D182" s="197"/>
      <c r="E182" s="197"/>
      <c r="F182" s="147"/>
    </row>
    <row r="183" ht="22.5" customHeight="1">
      <c r="A183" s="250"/>
      <c r="B183" s="659" t="s">
        <v>13606</v>
      </c>
      <c r="C183" s="152"/>
      <c r="D183" s="196"/>
      <c r="E183" s="196"/>
      <c r="F183" s="155"/>
    </row>
    <row r="184" ht="22.5" customHeight="1">
      <c r="A184" s="202"/>
      <c r="B184" s="661" t="s">
        <v>13607</v>
      </c>
      <c r="C184" s="144"/>
      <c r="D184" s="197"/>
      <c r="E184" s="197"/>
      <c r="F184" s="147"/>
    </row>
    <row r="185" ht="22.5" customHeight="1">
      <c r="A185" s="666" t="s">
        <v>13608</v>
      </c>
      <c r="B185" s="659" t="s">
        <v>13609</v>
      </c>
      <c r="C185" s="152"/>
      <c r="D185" s="196"/>
      <c r="E185" s="196"/>
      <c r="F185" s="155"/>
    </row>
    <row r="186" ht="22.5" customHeight="1">
      <c r="A186" s="664" t="s">
        <v>13610</v>
      </c>
      <c r="B186" s="661" t="s">
        <v>13611</v>
      </c>
      <c r="C186" s="144"/>
      <c r="D186" s="197"/>
      <c r="E186" s="197"/>
      <c r="F186" s="147"/>
    </row>
    <row r="187" ht="22.5" customHeight="1">
      <c r="A187" s="250"/>
      <c r="B187" s="659" t="s">
        <v>13612</v>
      </c>
      <c r="C187" s="152"/>
      <c r="D187" s="196"/>
      <c r="E187" s="196"/>
      <c r="F187" s="155"/>
    </row>
    <row r="188" ht="22.5" customHeight="1">
      <c r="A188" s="664" t="s">
        <v>330</v>
      </c>
      <c r="B188" s="661" t="s">
        <v>13613</v>
      </c>
      <c r="C188" s="144"/>
      <c r="D188" s="197"/>
      <c r="E188" s="197"/>
      <c r="F188" s="147"/>
    </row>
    <row r="189" ht="22.5" customHeight="1">
      <c r="A189" s="666" t="s">
        <v>13614</v>
      </c>
      <c r="B189" s="659" t="s">
        <v>13615</v>
      </c>
      <c r="C189" s="152"/>
      <c r="D189" s="196"/>
      <c r="E189" s="196"/>
      <c r="F189" s="155"/>
    </row>
    <row r="190" ht="22.5" customHeight="1">
      <c r="A190" s="202"/>
      <c r="B190" s="661" t="s">
        <v>13616</v>
      </c>
      <c r="C190" s="144"/>
      <c r="D190" s="197"/>
      <c r="E190" s="197"/>
      <c r="F190" s="147"/>
    </row>
    <row r="191" ht="22.5" customHeight="1">
      <c r="A191" s="250"/>
      <c r="B191" s="659" t="s">
        <v>13617</v>
      </c>
      <c r="C191" s="152"/>
      <c r="D191" s="196"/>
      <c r="E191" s="196"/>
      <c r="F191" s="155"/>
    </row>
    <row r="192" ht="22.5" customHeight="1">
      <c r="A192" s="664" t="s">
        <v>12777</v>
      </c>
      <c r="B192" s="661" t="s">
        <v>13618</v>
      </c>
      <c r="C192" s="667" t="s">
        <v>635</v>
      </c>
      <c r="D192" s="197"/>
      <c r="E192" s="197"/>
      <c r="F192" s="147"/>
    </row>
    <row r="193" ht="22.5" customHeight="1">
      <c r="A193" s="250"/>
      <c r="B193" s="659" t="s">
        <v>13619</v>
      </c>
      <c r="C193" s="152"/>
      <c r="D193" s="196"/>
      <c r="E193" s="196"/>
      <c r="F193" s="155"/>
    </row>
    <row r="194" ht="22.5" customHeight="1">
      <c r="A194" s="664" t="s">
        <v>13620</v>
      </c>
      <c r="B194" s="661" t="s">
        <v>13621</v>
      </c>
      <c r="C194" s="144"/>
      <c r="D194" s="197"/>
      <c r="E194" s="197"/>
      <c r="F194" s="147"/>
    </row>
    <row r="195" ht="22.5" customHeight="1">
      <c r="A195" s="666" t="s">
        <v>13622</v>
      </c>
      <c r="B195" s="659" t="s">
        <v>13623</v>
      </c>
      <c r="C195" s="152"/>
      <c r="D195" s="196"/>
      <c r="E195" s="196"/>
      <c r="F195" s="155"/>
    </row>
    <row r="196" ht="22.5" customHeight="1">
      <c r="A196" s="664" t="s">
        <v>13624</v>
      </c>
      <c r="B196" s="661" t="s">
        <v>13625</v>
      </c>
      <c r="C196" s="144"/>
      <c r="D196" s="197"/>
      <c r="E196" s="197"/>
      <c r="F196" s="147"/>
    </row>
    <row r="197" ht="22.5" customHeight="1">
      <c r="A197" s="666" t="s">
        <v>13626</v>
      </c>
      <c r="B197" s="659" t="s">
        <v>13627</v>
      </c>
      <c r="C197" s="152"/>
      <c r="D197" s="196"/>
      <c r="E197" s="196"/>
      <c r="F197" s="155"/>
    </row>
    <row r="198" ht="22.5" customHeight="1">
      <c r="A198" s="664" t="s">
        <v>5790</v>
      </c>
      <c r="B198" s="661" t="s">
        <v>13628</v>
      </c>
      <c r="C198" s="144"/>
      <c r="D198" s="197"/>
      <c r="E198" s="197"/>
      <c r="F198" s="147"/>
    </row>
    <row r="199" ht="22.5" customHeight="1">
      <c r="A199" s="250"/>
      <c r="B199" s="659" t="s">
        <v>13629</v>
      </c>
      <c r="C199" s="152"/>
      <c r="D199" s="196"/>
      <c r="E199" s="196"/>
      <c r="F199" s="155"/>
    </row>
    <row r="200" ht="22.5" customHeight="1">
      <c r="A200" s="664" t="s">
        <v>13630</v>
      </c>
      <c r="B200" s="661" t="s">
        <v>13631</v>
      </c>
      <c r="C200" s="662" t="s">
        <v>727</v>
      </c>
      <c r="D200" s="197"/>
      <c r="E200" s="197"/>
      <c r="F200" s="147"/>
    </row>
    <row r="201" ht="22.5" customHeight="1">
      <c r="A201" s="666" t="s">
        <v>13632</v>
      </c>
      <c r="B201" s="659" t="s">
        <v>13633</v>
      </c>
      <c r="C201" s="152"/>
      <c r="D201" s="196"/>
      <c r="E201" s="196"/>
      <c r="F201" s="155"/>
    </row>
    <row r="202" ht="22.5" customHeight="1">
      <c r="A202" s="202"/>
      <c r="B202" s="661" t="s">
        <v>13634</v>
      </c>
      <c r="C202" s="144"/>
      <c r="D202" s="197"/>
      <c r="E202" s="197"/>
      <c r="F202" s="147"/>
    </row>
    <row r="203" ht="22.5" customHeight="1">
      <c r="A203" s="666" t="s">
        <v>13635</v>
      </c>
      <c r="B203" s="659" t="s">
        <v>13636</v>
      </c>
      <c r="C203" s="152"/>
      <c r="D203" s="196"/>
      <c r="E203" s="196"/>
      <c r="F203" s="155"/>
    </row>
    <row r="204" ht="22.5" customHeight="1">
      <c r="A204" s="664" t="s">
        <v>13637</v>
      </c>
      <c r="B204" s="661" t="s">
        <v>5714</v>
      </c>
      <c r="C204" s="144"/>
      <c r="D204" s="197"/>
      <c r="E204" s="197"/>
      <c r="F204" s="147"/>
    </row>
    <row r="205" ht="22.5" customHeight="1">
      <c r="A205" s="250"/>
      <c r="B205" s="659" t="s">
        <v>13638</v>
      </c>
      <c r="C205" s="152" t="s">
        <v>49</v>
      </c>
      <c r="D205" s="196"/>
      <c r="E205" s="196"/>
      <c r="F205" s="155"/>
    </row>
    <row r="206" ht="22.5" customHeight="1">
      <c r="A206" s="664" t="s">
        <v>13639</v>
      </c>
      <c r="B206" s="661" t="s">
        <v>13640</v>
      </c>
      <c r="C206" s="144"/>
      <c r="D206" s="197"/>
      <c r="E206" s="197"/>
      <c r="F206" s="147"/>
    </row>
    <row r="207" ht="22.5" customHeight="1">
      <c r="A207" s="250"/>
      <c r="B207" s="659" t="s">
        <v>13641</v>
      </c>
      <c r="C207" s="152"/>
      <c r="D207" s="196"/>
      <c r="E207" s="196"/>
      <c r="F207" s="155"/>
    </row>
    <row r="208" ht="22.5" customHeight="1">
      <c r="A208" s="664" t="s">
        <v>13642</v>
      </c>
      <c r="B208" s="661" t="s">
        <v>13643</v>
      </c>
      <c r="C208" s="144"/>
      <c r="D208" s="197"/>
      <c r="E208" s="197"/>
      <c r="F208" s="147"/>
    </row>
    <row r="209" ht="22.5" customHeight="1">
      <c r="A209" s="666" t="s">
        <v>13644</v>
      </c>
      <c r="B209" s="659" t="s">
        <v>13645</v>
      </c>
      <c r="C209" s="152"/>
      <c r="D209" s="196"/>
      <c r="E209" s="196"/>
      <c r="F209" s="155"/>
    </row>
    <row r="210" ht="22.5" customHeight="1">
      <c r="A210" s="664" t="s">
        <v>13646</v>
      </c>
      <c r="B210" s="661" t="s">
        <v>13647</v>
      </c>
      <c r="C210" s="144"/>
      <c r="D210" s="197"/>
      <c r="E210" s="197"/>
      <c r="F210" s="147"/>
    </row>
    <row r="211" ht="22.5" customHeight="1">
      <c r="A211" s="250"/>
      <c r="B211" s="659" t="s">
        <v>13648</v>
      </c>
      <c r="C211" s="152"/>
      <c r="D211" s="196"/>
      <c r="E211" s="196"/>
      <c r="F211" s="155"/>
    </row>
    <row r="212" ht="22.5" customHeight="1">
      <c r="A212" s="664" t="s">
        <v>13649</v>
      </c>
      <c r="B212" s="661" t="s">
        <v>13650</v>
      </c>
      <c r="C212" s="144"/>
      <c r="D212" s="197"/>
      <c r="E212" s="197"/>
      <c r="F212" s="147"/>
    </row>
    <row r="213" ht="22.5" customHeight="1">
      <c r="A213" s="250"/>
      <c r="B213" s="659" t="s">
        <v>13651</v>
      </c>
      <c r="C213" s="152"/>
      <c r="D213" s="196"/>
      <c r="E213" s="196"/>
      <c r="F213" s="155"/>
    </row>
    <row r="214" ht="22.5" customHeight="1">
      <c r="A214" s="664" t="s">
        <v>5806</v>
      </c>
      <c r="B214" s="661" t="s">
        <v>13652</v>
      </c>
      <c r="C214" s="144"/>
      <c r="D214" s="197"/>
      <c r="E214" s="197"/>
      <c r="F214" s="147"/>
    </row>
    <row r="215" ht="22.5" customHeight="1">
      <c r="A215" s="666" t="s">
        <v>13653</v>
      </c>
      <c r="B215" s="659" t="s">
        <v>13654</v>
      </c>
      <c r="C215" s="152"/>
      <c r="D215" s="196"/>
      <c r="E215" s="196"/>
      <c r="F215" s="155"/>
    </row>
    <row r="216" ht="22.5" customHeight="1">
      <c r="A216" s="202"/>
      <c r="B216" s="661" t="s">
        <v>13655</v>
      </c>
      <c r="C216" s="144"/>
      <c r="D216" s="197"/>
      <c r="E216" s="197"/>
      <c r="F216" s="147"/>
    </row>
    <row r="217" ht="22.5" customHeight="1">
      <c r="A217" s="666" t="s">
        <v>13656</v>
      </c>
      <c r="B217" s="659" t="s">
        <v>13657</v>
      </c>
      <c r="C217" s="152"/>
      <c r="D217" s="196"/>
      <c r="E217" s="196"/>
      <c r="F217" s="155"/>
    </row>
    <row r="218" ht="22.5" customHeight="1">
      <c r="A218" s="664" t="s">
        <v>13658</v>
      </c>
      <c r="B218" s="661" t="s">
        <v>13659</v>
      </c>
      <c r="C218" s="144"/>
      <c r="D218" s="197"/>
      <c r="E218" s="197"/>
      <c r="F218" s="147"/>
    </row>
    <row r="219" ht="22.5" customHeight="1">
      <c r="A219" s="666" t="s">
        <v>13660</v>
      </c>
      <c r="B219" s="659" t="s">
        <v>13661</v>
      </c>
      <c r="C219" s="152"/>
      <c r="D219" s="196"/>
      <c r="E219" s="196"/>
      <c r="F219" s="155"/>
    </row>
    <row r="220" ht="22.5" customHeight="1">
      <c r="A220" s="664" t="s">
        <v>13662</v>
      </c>
      <c r="B220" s="661" t="s">
        <v>13663</v>
      </c>
      <c r="C220" s="144"/>
      <c r="D220" s="197"/>
      <c r="E220" s="197"/>
      <c r="F220" s="147"/>
    </row>
    <row r="221" ht="22.5" customHeight="1">
      <c r="A221" s="666" t="s">
        <v>13664</v>
      </c>
      <c r="B221" s="659" t="s">
        <v>13665</v>
      </c>
      <c r="C221" s="152"/>
      <c r="D221" s="196"/>
      <c r="E221" s="196"/>
      <c r="F221" s="155"/>
    </row>
    <row r="222" ht="22.5" customHeight="1">
      <c r="A222" s="202"/>
      <c r="B222" s="661" t="s">
        <v>13666</v>
      </c>
      <c r="C222" s="144"/>
      <c r="D222" s="197"/>
      <c r="E222" s="197"/>
      <c r="F222" s="147"/>
    </row>
    <row r="223" ht="22.5" customHeight="1">
      <c r="A223" s="666" t="s">
        <v>2044</v>
      </c>
      <c r="B223" s="659" t="s">
        <v>13667</v>
      </c>
      <c r="C223" s="152"/>
      <c r="D223" s="196"/>
      <c r="E223" s="196"/>
      <c r="F223" s="155"/>
    </row>
    <row r="224" ht="22.5" customHeight="1">
      <c r="A224" s="664" t="s">
        <v>13668</v>
      </c>
      <c r="B224" s="661" t="s">
        <v>13669</v>
      </c>
      <c r="C224" s="144"/>
      <c r="D224" s="197"/>
      <c r="E224" s="197"/>
      <c r="F224" s="147"/>
    </row>
    <row r="225" ht="22.5" customHeight="1">
      <c r="A225" s="250"/>
      <c r="B225" s="659" t="s">
        <v>13670</v>
      </c>
      <c r="C225" s="152"/>
      <c r="D225" s="196"/>
      <c r="E225" s="196"/>
      <c r="F225" s="155"/>
    </row>
    <row r="226" ht="22.5" customHeight="1">
      <c r="A226" s="664" t="s">
        <v>4772</v>
      </c>
      <c r="B226" s="661" t="s">
        <v>13671</v>
      </c>
      <c r="C226" s="144"/>
      <c r="D226" s="197"/>
      <c r="E226" s="197"/>
      <c r="F226" s="147"/>
    </row>
    <row r="227" ht="22.5" customHeight="1">
      <c r="A227" s="666" t="s">
        <v>13672</v>
      </c>
      <c r="B227" s="659" t="s">
        <v>13673</v>
      </c>
      <c r="C227" s="152"/>
      <c r="D227" s="196"/>
      <c r="E227" s="196"/>
      <c r="F227" s="155"/>
    </row>
    <row r="228" ht="22.5" customHeight="1">
      <c r="A228" s="202"/>
      <c r="B228" s="197"/>
      <c r="C228" s="144"/>
      <c r="D228" s="197"/>
      <c r="E228" s="197"/>
      <c r="F228" s="147"/>
    </row>
    <row r="229" ht="22.5" customHeight="1">
      <c r="A229" s="250"/>
      <c r="B229" s="196"/>
      <c r="C229" s="152"/>
      <c r="D229" s="196"/>
      <c r="E229" s="196"/>
      <c r="F229" s="155"/>
    </row>
    <row r="230" ht="22.5" customHeight="1">
      <c r="A230" s="202"/>
      <c r="B230" s="197"/>
      <c r="C230" s="144"/>
      <c r="D230" s="197"/>
      <c r="E230" s="197"/>
      <c r="F230" s="147"/>
    </row>
    <row r="231" ht="22.5" customHeight="1">
      <c r="A231" s="250"/>
      <c r="B231" s="196"/>
      <c r="C231" s="152"/>
      <c r="D231" s="196"/>
      <c r="E231" s="196"/>
      <c r="F231" s="155"/>
    </row>
    <row r="232" ht="22.5" customHeight="1">
      <c r="A232" s="202"/>
      <c r="B232" s="197"/>
      <c r="C232" s="144"/>
      <c r="D232" s="197"/>
      <c r="E232" s="197"/>
      <c r="F232" s="147"/>
    </row>
    <row r="233" ht="22.5" customHeight="1">
      <c r="A233" s="250"/>
      <c r="B233" s="196"/>
      <c r="C233" s="152"/>
      <c r="D233" s="196"/>
      <c r="E233" s="196"/>
      <c r="F233" s="155"/>
    </row>
    <row r="234" ht="22.5" customHeight="1">
      <c r="A234" s="202"/>
      <c r="B234" s="197"/>
      <c r="C234" s="144"/>
      <c r="D234" s="197"/>
      <c r="E234" s="197"/>
      <c r="F234" s="147"/>
    </row>
    <row r="235" ht="22.5" customHeight="1">
      <c r="A235" s="250"/>
      <c r="B235" s="196"/>
      <c r="C235" s="152"/>
      <c r="D235" s="196"/>
      <c r="E235" s="196"/>
      <c r="F235" s="155"/>
    </row>
    <row r="236" ht="22.5" customHeight="1">
      <c r="A236" s="202"/>
      <c r="B236" s="197"/>
      <c r="C236" s="144"/>
      <c r="D236" s="197"/>
      <c r="E236" s="197"/>
      <c r="F236" s="147"/>
    </row>
    <row r="237" ht="22.5" customHeight="1">
      <c r="A237" s="250"/>
      <c r="B237" s="689"/>
      <c r="C237" s="152"/>
      <c r="D237" s="196"/>
      <c r="E237" s="196"/>
      <c r="F237" s="155"/>
    </row>
    <row r="238" ht="22.5" customHeight="1">
      <c r="A238" s="202"/>
      <c r="B238" s="197"/>
      <c r="C238" s="144"/>
      <c r="D238" s="197"/>
      <c r="E238" s="197"/>
      <c r="F238" s="147"/>
    </row>
    <row r="239" ht="22.5" customHeight="1">
      <c r="A239" s="250"/>
      <c r="B239" s="196"/>
      <c r="C239" s="152"/>
      <c r="D239" s="196"/>
      <c r="E239" s="196"/>
      <c r="F239" s="155"/>
    </row>
    <row r="240" ht="22.5" customHeight="1">
      <c r="A240" s="202"/>
      <c r="B240" s="197"/>
      <c r="C240" s="144"/>
      <c r="D240" s="197"/>
      <c r="E240" s="197"/>
      <c r="F240" s="147"/>
    </row>
    <row r="241" ht="22.5" customHeight="1">
      <c r="A241" s="250"/>
      <c r="B241" s="196"/>
      <c r="C241" s="152"/>
      <c r="D241" s="196"/>
      <c r="E241" s="196"/>
      <c r="F241" s="155"/>
    </row>
    <row r="242" ht="22.5" customHeight="1">
      <c r="A242" s="202"/>
      <c r="B242" s="197"/>
      <c r="C242" s="144"/>
      <c r="D242" s="197"/>
      <c r="E242" s="197"/>
      <c r="F242" s="147"/>
    </row>
    <row r="243" ht="22.5" customHeight="1">
      <c r="A243" s="250"/>
      <c r="B243" s="196"/>
      <c r="C243" s="152"/>
      <c r="D243" s="196"/>
      <c r="E243" s="196"/>
      <c r="F243" s="155"/>
    </row>
    <row r="244" ht="22.5" customHeight="1">
      <c r="A244" s="202"/>
      <c r="B244" s="197"/>
      <c r="C244" s="144"/>
      <c r="D244" s="197"/>
      <c r="E244" s="197"/>
      <c r="F244" s="147"/>
    </row>
    <row r="245" ht="22.5" customHeight="1">
      <c r="A245" s="250"/>
      <c r="B245" s="196"/>
      <c r="C245" s="152"/>
      <c r="D245" s="196"/>
      <c r="E245" s="196"/>
      <c r="F245" s="155"/>
    </row>
    <row r="246" ht="22.5" customHeight="1">
      <c r="A246" s="202"/>
      <c r="B246" s="197"/>
      <c r="C246" s="144"/>
      <c r="D246" s="197"/>
      <c r="E246" s="197"/>
      <c r="F246" s="147"/>
    </row>
    <row r="247" ht="22.5" customHeight="1">
      <c r="A247" s="250"/>
      <c r="B247" s="196"/>
      <c r="C247" s="152"/>
      <c r="D247" s="196"/>
      <c r="E247" s="196"/>
      <c r="F247" s="155"/>
    </row>
    <row r="248" ht="22.5" customHeight="1">
      <c r="A248" s="202"/>
      <c r="B248" s="197"/>
      <c r="C248" s="144"/>
      <c r="D248" s="197"/>
      <c r="E248" s="197"/>
      <c r="F248" s="147"/>
    </row>
    <row r="249" ht="22.5" customHeight="1">
      <c r="A249" s="250"/>
      <c r="B249" s="196"/>
      <c r="C249" s="152"/>
      <c r="D249" s="196"/>
      <c r="E249" s="196"/>
      <c r="F249" s="155"/>
    </row>
    <row r="250" ht="22.5" customHeight="1">
      <c r="A250" s="202"/>
      <c r="B250" s="197"/>
      <c r="C250" s="144"/>
      <c r="D250" s="197"/>
      <c r="E250" s="197"/>
      <c r="F250" s="147"/>
    </row>
    <row r="251" ht="22.5" customHeight="1">
      <c r="A251" s="250"/>
      <c r="B251" s="196"/>
      <c r="C251" s="152"/>
      <c r="D251" s="196"/>
      <c r="E251" s="196"/>
      <c r="F251" s="155"/>
    </row>
    <row r="252" ht="22.5" customHeight="1">
      <c r="A252" s="202"/>
      <c r="B252" s="197"/>
      <c r="C252" s="144"/>
      <c r="D252" s="197"/>
      <c r="E252" s="197"/>
      <c r="F252" s="147"/>
    </row>
    <row r="253" ht="22.5" customHeight="1">
      <c r="A253" s="250"/>
      <c r="B253" s="196"/>
      <c r="C253" s="152"/>
      <c r="D253" s="196"/>
      <c r="E253" s="196"/>
      <c r="F253" s="155"/>
    </row>
    <row r="254" ht="22.5" customHeight="1">
      <c r="A254" s="202"/>
      <c r="B254" s="197"/>
      <c r="C254" s="144"/>
      <c r="D254" s="197"/>
      <c r="E254" s="197"/>
      <c r="F254" s="147"/>
    </row>
    <row r="255" ht="22.5" customHeight="1">
      <c r="A255" s="250"/>
      <c r="B255" s="196"/>
      <c r="C255" s="152"/>
      <c r="D255" s="196"/>
      <c r="E255" s="196"/>
      <c r="F255" s="155"/>
    </row>
    <row r="256" ht="22.5" customHeight="1">
      <c r="A256" s="202"/>
      <c r="B256" s="197"/>
      <c r="C256" s="144"/>
      <c r="D256" s="197"/>
      <c r="E256" s="197"/>
      <c r="F256" s="147"/>
    </row>
    <row r="257" ht="22.5" customHeight="1">
      <c r="A257" s="250"/>
      <c r="B257" s="196"/>
      <c r="C257" s="152"/>
      <c r="D257" s="196"/>
      <c r="E257" s="196"/>
      <c r="F257" s="155"/>
    </row>
    <row r="258" ht="22.5" customHeight="1">
      <c r="A258" s="202"/>
      <c r="B258" s="197"/>
      <c r="C258" s="144"/>
      <c r="D258" s="197"/>
      <c r="E258" s="197"/>
      <c r="F258" s="147"/>
    </row>
    <row r="259" ht="22.5" customHeight="1">
      <c r="A259" s="250"/>
      <c r="B259" s="196"/>
      <c r="C259" s="152"/>
      <c r="D259" s="196"/>
      <c r="E259" s="196"/>
      <c r="F259" s="155"/>
    </row>
    <row r="260" ht="22.5" customHeight="1">
      <c r="A260" s="202"/>
      <c r="B260" s="197"/>
      <c r="C260" s="144"/>
      <c r="D260" s="197"/>
      <c r="E260" s="197"/>
      <c r="F260" s="147"/>
    </row>
    <row r="261" ht="22.5" customHeight="1">
      <c r="A261" s="250"/>
      <c r="B261" s="196"/>
      <c r="C261" s="152"/>
      <c r="D261" s="196"/>
      <c r="E261" s="196"/>
      <c r="F261" s="155"/>
    </row>
    <row r="262" ht="22.5" customHeight="1">
      <c r="A262" s="202"/>
      <c r="B262" s="197"/>
      <c r="C262" s="144"/>
      <c r="D262" s="197"/>
      <c r="E262" s="197"/>
      <c r="F262" s="147"/>
    </row>
    <row r="263" ht="22.5" customHeight="1">
      <c r="A263" s="250"/>
      <c r="B263" s="196"/>
      <c r="C263" s="152"/>
      <c r="D263" s="196"/>
      <c r="E263" s="196"/>
      <c r="F263" s="155"/>
    </row>
    <row r="264" ht="22.5" customHeight="1">
      <c r="A264" s="202"/>
      <c r="B264" s="197"/>
      <c r="C264" s="144"/>
      <c r="D264" s="197"/>
      <c r="E264" s="197"/>
      <c r="F264" s="147"/>
    </row>
    <row r="265" ht="22.5" customHeight="1">
      <c r="A265" s="250"/>
      <c r="B265" s="196"/>
      <c r="C265" s="152"/>
      <c r="D265" s="196"/>
      <c r="E265" s="196"/>
      <c r="F265" s="155"/>
    </row>
    <row r="266" ht="22.5" customHeight="1">
      <c r="A266" s="202"/>
      <c r="B266" s="197"/>
      <c r="C266" s="144"/>
      <c r="D266" s="197"/>
      <c r="E266" s="197"/>
      <c r="F266" s="147"/>
    </row>
    <row r="267" ht="22.5" customHeight="1">
      <c r="A267" s="250"/>
      <c r="B267" s="196"/>
      <c r="C267" s="152"/>
      <c r="D267" s="196"/>
      <c r="E267" s="196"/>
      <c r="F267" s="155"/>
    </row>
    <row r="268" ht="22.5" customHeight="1">
      <c r="A268" s="202"/>
      <c r="B268" s="197"/>
      <c r="C268" s="144"/>
      <c r="D268" s="197"/>
      <c r="E268" s="197"/>
      <c r="F268" s="147"/>
    </row>
    <row r="269" ht="22.5" customHeight="1">
      <c r="A269" s="250"/>
      <c r="B269" s="196"/>
      <c r="C269" s="152"/>
      <c r="D269" s="196"/>
      <c r="E269" s="196"/>
      <c r="F269" s="155"/>
    </row>
    <row r="270" ht="22.5" customHeight="1">
      <c r="A270" s="202"/>
      <c r="B270" s="197"/>
      <c r="C270" s="144"/>
      <c r="D270" s="197"/>
      <c r="E270" s="197"/>
      <c r="F270" s="147"/>
    </row>
    <row r="271" ht="22.5" customHeight="1">
      <c r="A271" s="250"/>
      <c r="B271" s="196"/>
      <c r="C271" s="152"/>
      <c r="D271" s="196"/>
      <c r="E271" s="196"/>
      <c r="F271" s="155"/>
    </row>
    <row r="272" ht="22.5" customHeight="1">
      <c r="A272" s="202"/>
      <c r="B272" s="197"/>
      <c r="C272" s="144"/>
      <c r="D272" s="197"/>
      <c r="E272" s="197"/>
      <c r="F272" s="147"/>
    </row>
    <row r="273" ht="22.5" customHeight="1">
      <c r="A273" s="250"/>
      <c r="B273" s="196"/>
      <c r="C273" s="152"/>
      <c r="D273" s="196"/>
      <c r="E273" s="196"/>
      <c r="F273" s="155"/>
    </row>
    <row r="274" ht="22.5" customHeight="1">
      <c r="A274" s="202"/>
      <c r="B274" s="197"/>
      <c r="C274" s="144"/>
      <c r="D274" s="197"/>
      <c r="E274" s="197"/>
      <c r="F274" s="147"/>
    </row>
    <row r="275" ht="22.5" customHeight="1">
      <c r="A275" s="250"/>
      <c r="B275" s="196"/>
      <c r="C275" s="152"/>
      <c r="D275" s="196"/>
      <c r="E275" s="196"/>
      <c r="F275" s="155"/>
    </row>
    <row r="276" ht="22.5" customHeight="1">
      <c r="A276" s="202"/>
      <c r="B276" s="197"/>
      <c r="C276" s="144"/>
      <c r="D276" s="197"/>
      <c r="E276" s="197"/>
      <c r="F276" s="147"/>
    </row>
    <row r="277" ht="22.5" customHeight="1">
      <c r="A277" s="250"/>
      <c r="B277" s="196"/>
      <c r="C277" s="152"/>
      <c r="D277" s="196"/>
      <c r="E277" s="196"/>
      <c r="F277" s="155"/>
    </row>
    <row r="278" ht="22.5" customHeight="1">
      <c r="A278" s="202"/>
      <c r="B278" s="197"/>
      <c r="C278" s="144"/>
      <c r="D278" s="197"/>
      <c r="E278" s="197"/>
      <c r="F278" s="147"/>
    </row>
    <row r="279" ht="22.5" customHeight="1">
      <c r="A279" s="250"/>
      <c r="B279" s="196"/>
      <c r="C279" s="152"/>
      <c r="D279" s="196"/>
      <c r="E279" s="196"/>
      <c r="F279" s="155"/>
    </row>
    <row r="280" ht="22.5" customHeight="1">
      <c r="A280" s="202"/>
      <c r="B280" s="197"/>
      <c r="C280" s="144"/>
      <c r="D280" s="197"/>
      <c r="E280" s="197"/>
      <c r="F280" s="147"/>
    </row>
    <row r="281" ht="22.5" customHeight="1">
      <c r="A281" s="250"/>
      <c r="B281" s="196"/>
      <c r="C281" s="152"/>
      <c r="D281" s="196"/>
      <c r="E281" s="196"/>
      <c r="F281" s="155"/>
    </row>
    <row r="282" ht="22.5" customHeight="1">
      <c r="A282" s="202"/>
      <c r="B282" s="197"/>
      <c r="C282" s="144"/>
      <c r="D282" s="197"/>
      <c r="E282" s="197"/>
      <c r="F282" s="147"/>
    </row>
    <row r="283" ht="22.5" customHeight="1">
      <c r="A283" s="250"/>
      <c r="B283" s="196"/>
      <c r="C283" s="152"/>
      <c r="D283" s="196"/>
      <c r="E283" s="196"/>
      <c r="F283" s="155"/>
    </row>
    <row r="284" ht="22.5" customHeight="1">
      <c r="A284" s="202"/>
      <c r="B284" s="197"/>
      <c r="C284" s="144"/>
      <c r="D284" s="197"/>
      <c r="E284" s="197"/>
      <c r="F284" s="147"/>
    </row>
    <row r="285" ht="22.5" customHeight="1">
      <c r="A285" s="250"/>
      <c r="B285" s="196"/>
      <c r="C285" s="152"/>
      <c r="D285" s="196"/>
      <c r="E285" s="196"/>
      <c r="F285" s="155"/>
    </row>
    <row r="286" ht="22.5" customHeight="1">
      <c r="A286" s="202"/>
      <c r="B286" s="197"/>
      <c r="C286" s="144"/>
      <c r="D286" s="197"/>
      <c r="E286" s="197"/>
      <c r="F286" s="147"/>
    </row>
    <row r="287" ht="22.5" customHeight="1">
      <c r="A287" s="250"/>
      <c r="B287" s="196"/>
      <c r="C287" s="152"/>
      <c r="D287" s="196"/>
      <c r="E287" s="196"/>
      <c r="F287" s="155"/>
    </row>
    <row r="288" ht="22.5" customHeight="1">
      <c r="A288" s="202"/>
      <c r="B288" s="197"/>
      <c r="C288" s="144"/>
      <c r="D288" s="197"/>
      <c r="E288" s="197"/>
      <c r="F288" s="147"/>
    </row>
    <row r="289" ht="22.5" customHeight="1">
      <c r="A289" s="250"/>
      <c r="B289" s="196"/>
      <c r="C289" s="152"/>
      <c r="D289" s="196"/>
      <c r="E289" s="196"/>
      <c r="F289" s="155"/>
    </row>
    <row r="290" ht="22.5" customHeight="1">
      <c r="A290" s="202"/>
      <c r="B290" s="197"/>
      <c r="C290" s="144"/>
      <c r="D290" s="197"/>
      <c r="E290" s="197"/>
      <c r="F290" s="147"/>
    </row>
    <row r="291" ht="22.5" customHeight="1">
      <c r="A291" s="250"/>
      <c r="B291" s="196"/>
      <c r="C291" s="152"/>
      <c r="D291" s="196"/>
      <c r="E291" s="196"/>
      <c r="F291" s="155"/>
    </row>
    <row r="292" ht="22.5" customHeight="1">
      <c r="A292" s="202"/>
      <c r="B292" s="197"/>
      <c r="C292" s="144"/>
      <c r="D292" s="197"/>
      <c r="E292" s="197"/>
      <c r="F292" s="147"/>
    </row>
    <row r="293" ht="22.5" customHeight="1">
      <c r="A293" s="250"/>
      <c r="B293" s="196"/>
      <c r="C293" s="152"/>
      <c r="D293" s="196"/>
      <c r="E293" s="196"/>
      <c r="F293" s="155"/>
    </row>
    <row r="294" ht="22.5" customHeight="1">
      <c r="A294" s="202"/>
      <c r="B294" s="197"/>
      <c r="C294" s="144"/>
      <c r="D294" s="197"/>
      <c r="E294" s="197"/>
      <c r="F294" s="147"/>
    </row>
    <row r="295" ht="22.5" customHeight="1">
      <c r="A295" s="250"/>
      <c r="B295" s="196"/>
      <c r="C295" s="152"/>
      <c r="D295" s="196"/>
      <c r="E295" s="196"/>
      <c r="F295" s="155"/>
    </row>
    <row r="296" ht="22.5" customHeight="1">
      <c r="A296" s="202"/>
      <c r="B296" s="197"/>
      <c r="C296" s="144"/>
      <c r="D296" s="197"/>
      <c r="E296" s="197"/>
      <c r="F296" s="147"/>
    </row>
    <row r="297" ht="22.5" customHeight="1">
      <c r="A297" s="250"/>
      <c r="B297" s="196"/>
      <c r="C297" s="152"/>
      <c r="D297" s="196"/>
      <c r="E297" s="196"/>
      <c r="F297" s="155"/>
    </row>
    <row r="298" ht="22.5" customHeight="1">
      <c r="A298" s="202"/>
      <c r="B298" s="197"/>
      <c r="C298" s="144"/>
      <c r="D298" s="197"/>
      <c r="E298" s="197"/>
      <c r="F298" s="147"/>
    </row>
    <row r="299" ht="22.5" customHeight="1">
      <c r="A299" s="250"/>
      <c r="B299" s="196"/>
      <c r="C299" s="152"/>
      <c r="D299" s="196"/>
      <c r="E299" s="196"/>
      <c r="F299" s="155"/>
    </row>
    <row r="300" ht="22.5" customHeight="1">
      <c r="A300" s="202"/>
      <c r="B300" s="197"/>
      <c r="C300" s="144"/>
      <c r="D300" s="197"/>
      <c r="E300" s="197"/>
      <c r="F300" s="147"/>
    </row>
    <row r="301" ht="22.5" customHeight="1">
      <c r="A301" s="250"/>
      <c r="B301" s="196"/>
      <c r="C301" s="152"/>
      <c r="D301" s="196"/>
      <c r="E301" s="196"/>
      <c r="F301" s="155"/>
    </row>
    <row r="302" ht="22.5" customHeight="1">
      <c r="A302" s="202"/>
      <c r="B302" s="197"/>
      <c r="C302" s="144"/>
      <c r="D302" s="197"/>
      <c r="E302" s="197"/>
      <c r="F302" s="147"/>
    </row>
    <row r="303" ht="22.5" customHeight="1">
      <c r="A303" s="250"/>
      <c r="B303" s="196"/>
      <c r="C303" s="152"/>
      <c r="D303" s="196"/>
      <c r="E303" s="196"/>
      <c r="F303" s="155"/>
    </row>
    <row r="304" ht="22.5" customHeight="1">
      <c r="A304" s="202"/>
      <c r="B304" s="197"/>
      <c r="C304" s="144"/>
      <c r="D304" s="197"/>
      <c r="E304" s="197"/>
      <c r="F304" s="147"/>
    </row>
    <row r="305" ht="22.5" customHeight="1">
      <c r="A305" s="250"/>
      <c r="B305" s="196"/>
      <c r="C305" s="152"/>
      <c r="D305" s="196"/>
      <c r="E305" s="196"/>
      <c r="F305" s="155"/>
    </row>
    <row r="306" ht="22.5" customHeight="1">
      <c r="A306" s="202"/>
      <c r="B306" s="197"/>
      <c r="C306" s="144"/>
      <c r="D306" s="197"/>
      <c r="E306" s="197"/>
      <c r="F306" s="147"/>
    </row>
    <row r="307" ht="22.5" customHeight="1">
      <c r="A307" s="250"/>
      <c r="B307" s="196"/>
      <c r="C307" s="152"/>
      <c r="D307" s="196"/>
      <c r="E307" s="196"/>
      <c r="F307" s="155"/>
    </row>
    <row r="308" ht="22.5" customHeight="1">
      <c r="A308" s="202"/>
      <c r="B308" s="197"/>
      <c r="C308" s="144"/>
      <c r="D308" s="197"/>
      <c r="E308" s="197"/>
      <c r="F308" s="147"/>
    </row>
    <row r="309" ht="22.5" customHeight="1">
      <c r="A309" s="250"/>
      <c r="B309" s="196"/>
      <c r="C309" s="152"/>
      <c r="D309" s="196"/>
      <c r="E309" s="196"/>
      <c r="F309" s="155"/>
    </row>
    <row r="310" ht="22.5" customHeight="1">
      <c r="A310" s="202"/>
      <c r="B310" s="197"/>
      <c r="C310" s="144"/>
      <c r="D310" s="197"/>
      <c r="E310" s="197"/>
      <c r="F310" s="147"/>
    </row>
    <row r="311" ht="22.5" customHeight="1">
      <c r="A311" s="250"/>
      <c r="B311" s="196"/>
      <c r="C311" s="152"/>
      <c r="D311" s="196"/>
      <c r="E311" s="196"/>
      <c r="F311" s="155"/>
    </row>
    <row r="312" ht="22.5" customHeight="1">
      <c r="A312" s="202"/>
      <c r="B312" s="197"/>
      <c r="C312" s="144"/>
      <c r="D312" s="197"/>
      <c r="E312" s="197"/>
      <c r="F312" s="147"/>
    </row>
    <row r="313" ht="22.5" customHeight="1">
      <c r="A313" s="250"/>
      <c r="B313" s="196"/>
      <c r="C313" s="152"/>
      <c r="D313" s="196"/>
      <c r="E313" s="196"/>
      <c r="F313" s="155"/>
    </row>
    <row r="314" ht="22.5" customHeight="1">
      <c r="A314" s="202"/>
      <c r="B314" s="197"/>
      <c r="C314" s="144"/>
      <c r="D314" s="197"/>
      <c r="E314" s="197"/>
      <c r="F314" s="147"/>
    </row>
    <row r="315" ht="22.5" customHeight="1">
      <c r="A315" s="250"/>
      <c r="B315" s="196"/>
      <c r="C315" s="152"/>
      <c r="D315" s="196"/>
      <c r="E315" s="196"/>
      <c r="F315" s="155"/>
    </row>
    <row r="316" ht="22.5" customHeight="1">
      <c r="A316" s="202"/>
      <c r="B316" s="197"/>
      <c r="C316" s="144"/>
      <c r="D316" s="197"/>
      <c r="E316" s="197"/>
      <c r="F316" s="147"/>
    </row>
    <row r="317" ht="22.5" customHeight="1">
      <c r="A317" s="250"/>
      <c r="B317" s="196"/>
      <c r="C317" s="152"/>
      <c r="D317" s="196"/>
      <c r="E317" s="196"/>
      <c r="F317" s="155"/>
    </row>
    <row r="318" ht="22.5" customHeight="1">
      <c r="A318" s="202"/>
      <c r="B318" s="197"/>
      <c r="C318" s="144"/>
      <c r="D318" s="197"/>
      <c r="E318" s="197"/>
      <c r="F318" s="147"/>
    </row>
    <row r="319" ht="22.5" customHeight="1">
      <c r="A319" s="250"/>
      <c r="B319" s="196"/>
      <c r="C319" s="152"/>
      <c r="D319" s="196"/>
      <c r="E319" s="196"/>
      <c r="F319" s="155"/>
    </row>
    <row r="320" ht="22.5" customHeight="1">
      <c r="A320" s="202"/>
      <c r="B320" s="197"/>
      <c r="C320" s="144"/>
      <c r="D320" s="197"/>
      <c r="E320" s="197"/>
      <c r="F320" s="147"/>
    </row>
    <row r="321" ht="22.5" customHeight="1">
      <c r="A321" s="250"/>
      <c r="B321" s="196"/>
      <c r="C321" s="152"/>
      <c r="D321" s="196"/>
      <c r="E321" s="196"/>
      <c r="F321" s="155"/>
    </row>
    <row r="322" ht="22.5" customHeight="1">
      <c r="A322" s="202"/>
      <c r="B322" s="197"/>
      <c r="C322" s="144"/>
      <c r="D322" s="197"/>
      <c r="E322" s="197"/>
      <c r="F322" s="147"/>
    </row>
    <row r="323" ht="22.5" customHeight="1">
      <c r="A323" s="250"/>
      <c r="B323" s="196"/>
      <c r="C323" s="152"/>
      <c r="D323" s="196"/>
      <c r="E323" s="196"/>
      <c r="F323" s="155"/>
    </row>
    <row r="324" ht="22.5" customHeight="1">
      <c r="A324" s="202"/>
      <c r="B324" s="197"/>
      <c r="C324" s="144"/>
      <c r="D324" s="197"/>
      <c r="E324" s="197"/>
      <c r="F324" s="147"/>
    </row>
    <row r="325" ht="22.5" customHeight="1">
      <c r="A325" s="250"/>
      <c r="B325" s="196"/>
      <c r="C325" s="152"/>
      <c r="D325" s="196"/>
      <c r="E325" s="196"/>
      <c r="F325" s="155"/>
    </row>
    <row r="326" ht="22.5" customHeight="1">
      <c r="A326" s="202"/>
      <c r="B326" s="197"/>
      <c r="C326" s="144"/>
      <c r="D326" s="197"/>
      <c r="E326" s="197"/>
      <c r="F326" s="147"/>
    </row>
    <row r="327" ht="22.5" customHeight="1">
      <c r="A327" s="250"/>
      <c r="B327" s="196"/>
      <c r="C327" s="152"/>
      <c r="D327" s="196"/>
      <c r="E327" s="196"/>
      <c r="F327" s="155"/>
    </row>
    <row r="328" ht="22.5" customHeight="1">
      <c r="A328" s="202"/>
      <c r="B328" s="197"/>
      <c r="C328" s="144"/>
      <c r="D328" s="197"/>
      <c r="E328" s="197"/>
      <c r="F328" s="147"/>
    </row>
    <row r="329" ht="22.5" customHeight="1">
      <c r="A329" s="250"/>
      <c r="B329" s="196"/>
      <c r="C329" s="152"/>
      <c r="D329" s="196"/>
      <c r="E329" s="196"/>
      <c r="F329" s="155"/>
    </row>
    <row r="330" ht="22.5" customHeight="1">
      <c r="A330" s="202"/>
      <c r="B330" s="197"/>
      <c r="C330" s="144"/>
      <c r="D330" s="197"/>
      <c r="E330" s="197"/>
      <c r="F330" s="147"/>
    </row>
    <row r="331" ht="22.5" customHeight="1">
      <c r="A331" s="250"/>
      <c r="B331" s="196"/>
      <c r="C331" s="152"/>
      <c r="D331" s="196"/>
      <c r="E331" s="196"/>
      <c r="F331" s="155"/>
    </row>
    <row r="332" ht="22.5" customHeight="1">
      <c r="A332" s="202"/>
      <c r="B332" s="197"/>
      <c r="C332" s="144"/>
      <c r="D332" s="197"/>
      <c r="E332" s="197"/>
      <c r="F332" s="147"/>
    </row>
    <row r="333" ht="22.5" customHeight="1">
      <c r="A333" s="250"/>
      <c r="B333" s="196"/>
      <c r="C333" s="152"/>
      <c r="D333" s="196"/>
      <c r="E333" s="196"/>
      <c r="F333" s="155"/>
    </row>
    <row r="334" ht="22.5" customHeight="1">
      <c r="A334" s="202"/>
      <c r="B334" s="197"/>
      <c r="C334" s="144"/>
      <c r="D334" s="197"/>
      <c r="E334" s="197"/>
      <c r="F334" s="147"/>
    </row>
    <row r="335" ht="22.5" customHeight="1">
      <c r="A335" s="250"/>
      <c r="B335" s="196"/>
      <c r="C335" s="152"/>
      <c r="D335" s="196"/>
      <c r="E335" s="196"/>
      <c r="F335" s="155"/>
    </row>
    <row r="336" ht="22.5" customHeight="1">
      <c r="A336" s="202"/>
      <c r="B336" s="197"/>
      <c r="C336" s="144"/>
      <c r="D336" s="197"/>
      <c r="E336" s="197"/>
      <c r="F336" s="147"/>
    </row>
    <row r="337" ht="22.5" customHeight="1">
      <c r="A337" s="250"/>
      <c r="B337" s="196"/>
      <c r="C337" s="152"/>
      <c r="D337" s="196"/>
      <c r="E337" s="196"/>
      <c r="F337" s="155"/>
    </row>
    <row r="338" ht="22.5" customHeight="1">
      <c r="A338" s="202"/>
      <c r="B338" s="197"/>
      <c r="C338" s="144"/>
      <c r="D338" s="197"/>
      <c r="E338" s="197"/>
      <c r="F338" s="147"/>
    </row>
    <row r="339" ht="22.5" customHeight="1">
      <c r="A339" s="250"/>
      <c r="B339" s="196"/>
      <c r="C339" s="152"/>
      <c r="D339" s="196"/>
      <c r="E339" s="196"/>
      <c r="F339" s="155"/>
    </row>
    <row r="340" ht="22.5" customHeight="1">
      <c r="A340" s="202"/>
      <c r="B340" s="197"/>
      <c r="C340" s="144"/>
      <c r="D340" s="197"/>
      <c r="E340" s="197"/>
      <c r="F340" s="147"/>
    </row>
    <row r="341" ht="22.5" customHeight="1">
      <c r="A341" s="250"/>
      <c r="B341" s="196"/>
      <c r="C341" s="152"/>
      <c r="D341" s="196"/>
      <c r="E341" s="196"/>
      <c r="F341" s="155"/>
    </row>
    <row r="342" ht="22.5" customHeight="1">
      <c r="A342" s="202"/>
      <c r="B342" s="197"/>
      <c r="C342" s="144"/>
      <c r="D342" s="197"/>
      <c r="E342" s="197"/>
      <c r="F342" s="147"/>
    </row>
    <row r="343" ht="22.5" customHeight="1">
      <c r="A343" s="250"/>
      <c r="B343" s="196"/>
      <c r="C343" s="152"/>
      <c r="D343" s="196"/>
      <c r="E343" s="196"/>
      <c r="F343" s="155"/>
    </row>
    <row r="344" ht="22.5" customHeight="1">
      <c r="A344" s="202"/>
      <c r="B344" s="197"/>
      <c r="C344" s="144"/>
      <c r="D344" s="197"/>
      <c r="E344" s="197"/>
      <c r="F344" s="147"/>
    </row>
    <row r="345" ht="22.5" customHeight="1">
      <c r="A345" s="250"/>
      <c r="B345" s="196"/>
      <c r="C345" s="152"/>
      <c r="D345" s="196"/>
      <c r="E345" s="196"/>
      <c r="F345" s="155"/>
    </row>
    <row r="346" ht="22.5" customHeight="1">
      <c r="A346" s="202"/>
      <c r="B346" s="197"/>
      <c r="C346" s="144"/>
      <c r="D346" s="197"/>
      <c r="E346" s="197"/>
      <c r="F346" s="147"/>
    </row>
    <row r="347" ht="22.5" customHeight="1">
      <c r="A347" s="250"/>
      <c r="B347" s="196"/>
      <c r="C347" s="152"/>
      <c r="D347" s="196"/>
      <c r="E347" s="196"/>
      <c r="F347" s="155"/>
    </row>
    <row r="348" ht="22.5" customHeight="1">
      <c r="A348" s="202"/>
      <c r="B348" s="197"/>
      <c r="C348" s="144"/>
      <c r="D348" s="197"/>
      <c r="E348" s="197"/>
      <c r="F348" s="147"/>
    </row>
    <row r="349" ht="22.5" customHeight="1">
      <c r="A349" s="250"/>
      <c r="B349" s="196"/>
      <c r="C349" s="152"/>
      <c r="D349" s="196"/>
      <c r="E349" s="196"/>
      <c r="F349" s="155"/>
    </row>
    <row r="350" ht="22.5" customHeight="1">
      <c r="A350" s="202"/>
      <c r="B350" s="197"/>
      <c r="C350" s="144"/>
      <c r="D350" s="197"/>
      <c r="E350" s="197"/>
      <c r="F350" s="147"/>
    </row>
    <row r="351" ht="22.5" customHeight="1">
      <c r="A351" s="250"/>
      <c r="B351" s="196"/>
      <c r="C351" s="152"/>
      <c r="D351" s="196"/>
      <c r="E351" s="196"/>
      <c r="F351" s="155"/>
    </row>
    <row r="352" ht="22.5" customHeight="1">
      <c r="A352" s="202"/>
      <c r="B352" s="197"/>
      <c r="C352" s="144"/>
      <c r="D352" s="197"/>
      <c r="E352" s="197"/>
      <c r="F352" s="147"/>
    </row>
    <row r="353" ht="22.5" customHeight="1">
      <c r="A353" s="250"/>
      <c r="B353" s="196"/>
      <c r="C353" s="152"/>
      <c r="D353" s="196"/>
      <c r="E353" s="196"/>
      <c r="F353" s="155"/>
    </row>
    <row r="354" ht="22.5" customHeight="1">
      <c r="A354" s="202"/>
      <c r="B354" s="197"/>
      <c r="C354" s="144"/>
      <c r="D354" s="197"/>
      <c r="E354" s="197"/>
      <c r="F354" s="147"/>
    </row>
    <row r="355" ht="22.5" customHeight="1">
      <c r="A355" s="250"/>
      <c r="B355" s="196"/>
      <c r="C355" s="152"/>
      <c r="D355" s="196"/>
      <c r="E355" s="196"/>
      <c r="F355" s="155"/>
    </row>
    <row r="356" ht="22.5" customHeight="1">
      <c r="A356" s="202"/>
      <c r="B356" s="197"/>
      <c r="C356" s="144"/>
      <c r="D356" s="197"/>
      <c r="E356" s="197"/>
      <c r="F356" s="147"/>
    </row>
    <row r="357" ht="22.5" customHeight="1">
      <c r="A357" s="250"/>
      <c r="B357" s="196"/>
      <c r="C357" s="152"/>
      <c r="D357" s="196"/>
      <c r="E357" s="196"/>
      <c r="F357" s="155"/>
    </row>
    <row r="358" ht="22.5" customHeight="1">
      <c r="A358" s="202"/>
      <c r="B358" s="197"/>
      <c r="C358" s="144"/>
      <c r="D358" s="197"/>
      <c r="E358" s="197"/>
      <c r="F358" s="147"/>
    </row>
    <row r="359" ht="22.5" customHeight="1">
      <c r="A359" s="250"/>
      <c r="B359" s="196"/>
      <c r="C359" s="152"/>
      <c r="D359" s="196"/>
      <c r="E359" s="196"/>
      <c r="F359" s="155"/>
    </row>
    <row r="360" ht="22.5" customHeight="1">
      <c r="A360" s="202"/>
      <c r="B360" s="197"/>
      <c r="C360" s="144"/>
      <c r="D360" s="197"/>
      <c r="E360" s="197"/>
      <c r="F360" s="147"/>
    </row>
    <row r="361" ht="22.5" customHeight="1">
      <c r="A361" s="250"/>
      <c r="B361" s="196"/>
      <c r="C361" s="152"/>
      <c r="D361" s="196"/>
      <c r="E361" s="196"/>
      <c r="F361" s="155"/>
    </row>
    <row r="362" ht="22.5" customHeight="1">
      <c r="A362" s="202"/>
      <c r="B362" s="197"/>
      <c r="C362" s="144"/>
      <c r="D362" s="197"/>
      <c r="E362" s="197"/>
      <c r="F362" s="147"/>
    </row>
    <row r="363" ht="22.5" customHeight="1">
      <c r="A363" s="250"/>
      <c r="B363" s="196"/>
      <c r="C363" s="152"/>
      <c r="D363" s="196"/>
      <c r="E363" s="196"/>
      <c r="F363" s="155"/>
    </row>
    <row r="364" ht="22.5" customHeight="1">
      <c r="A364" s="202"/>
      <c r="B364" s="197"/>
      <c r="C364" s="144"/>
      <c r="D364" s="197"/>
      <c r="E364" s="197"/>
      <c r="F364" s="147"/>
    </row>
    <row r="365" ht="22.5" customHeight="1">
      <c r="A365" s="250"/>
      <c r="B365" s="196"/>
      <c r="C365" s="152"/>
      <c r="D365" s="196"/>
      <c r="E365" s="196"/>
      <c r="F365" s="155"/>
    </row>
    <row r="366" ht="22.5" customHeight="1">
      <c r="A366" s="202"/>
      <c r="B366" s="197"/>
      <c r="C366" s="144"/>
      <c r="D366" s="197"/>
      <c r="E366" s="197"/>
      <c r="F366" s="147"/>
    </row>
    <row r="367" ht="22.5" customHeight="1">
      <c r="A367" s="250"/>
      <c r="B367" s="196"/>
      <c r="C367" s="152"/>
      <c r="D367" s="196"/>
      <c r="E367" s="196"/>
      <c r="F367" s="155"/>
    </row>
    <row r="368" ht="22.5" customHeight="1">
      <c r="A368" s="202"/>
      <c r="B368" s="197"/>
      <c r="C368" s="144"/>
      <c r="D368" s="197"/>
      <c r="E368" s="197"/>
      <c r="F368" s="147"/>
    </row>
    <row r="369" ht="22.5" customHeight="1">
      <c r="A369" s="250"/>
      <c r="B369" s="196"/>
      <c r="C369" s="152"/>
      <c r="D369" s="196"/>
      <c r="E369" s="196"/>
      <c r="F369" s="155"/>
    </row>
    <row r="370" ht="22.5" customHeight="1">
      <c r="A370" s="202"/>
      <c r="B370" s="197"/>
      <c r="C370" s="144"/>
      <c r="D370" s="197"/>
      <c r="E370" s="197"/>
      <c r="F370" s="147"/>
    </row>
    <row r="371" ht="22.5" customHeight="1">
      <c r="A371" s="250"/>
      <c r="B371" s="196"/>
      <c r="C371" s="152"/>
      <c r="D371" s="196"/>
      <c r="E371" s="196"/>
      <c r="F371" s="155"/>
    </row>
    <row r="372" ht="22.5" customHeight="1">
      <c r="A372" s="202"/>
      <c r="B372" s="197"/>
      <c r="C372" s="144"/>
      <c r="D372" s="197"/>
      <c r="E372" s="197"/>
      <c r="F372" s="147"/>
    </row>
    <row r="373" ht="22.5" customHeight="1">
      <c r="A373" s="250"/>
      <c r="B373" s="196"/>
      <c r="C373" s="152"/>
      <c r="D373" s="196"/>
      <c r="E373" s="196"/>
      <c r="F373" s="155"/>
    </row>
    <row r="374" ht="22.5" customHeight="1">
      <c r="A374" s="202"/>
      <c r="B374" s="197"/>
      <c r="C374" s="144"/>
      <c r="D374" s="197"/>
      <c r="E374" s="197"/>
      <c r="F374" s="147"/>
    </row>
    <row r="375" ht="22.5" customHeight="1">
      <c r="A375" s="250"/>
      <c r="B375" s="196"/>
      <c r="C375" s="152"/>
      <c r="D375" s="196"/>
      <c r="E375" s="196"/>
      <c r="F375" s="155"/>
    </row>
    <row r="376" ht="22.5" customHeight="1">
      <c r="A376" s="202"/>
      <c r="B376" s="197"/>
      <c r="C376" s="144"/>
      <c r="D376" s="197"/>
      <c r="E376" s="197"/>
      <c r="F376" s="147"/>
    </row>
    <row r="377" ht="22.5" customHeight="1">
      <c r="A377" s="250"/>
      <c r="B377" s="196"/>
      <c r="C377" s="152"/>
      <c r="D377" s="196"/>
      <c r="E377" s="196"/>
      <c r="F377" s="155"/>
    </row>
    <row r="378" ht="22.5" customHeight="1">
      <c r="A378" s="202"/>
      <c r="B378" s="197"/>
      <c r="C378" s="144"/>
      <c r="D378" s="197"/>
      <c r="E378" s="197"/>
      <c r="F378" s="147"/>
    </row>
    <row r="379" ht="22.5" customHeight="1">
      <c r="A379" s="250"/>
      <c r="B379" s="196"/>
      <c r="C379" s="152"/>
      <c r="D379" s="196"/>
      <c r="E379" s="196"/>
      <c r="F379" s="155"/>
    </row>
    <row r="380" ht="22.5" customHeight="1">
      <c r="A380" s="202"/>
      <c r="B380" s="197"/>
      <c r="C380" s="144"/>
      <c r="D380" s="197"/>
      <c r="E380" s="197"/>
      <c r="F380" s="147"/>
    </row>
    <row r="381" ht="22.5" customHeight="1">
      <c r="A381" s="250"/>
      <c r="B381" s="196"/>
      <c r="C381" s="152"/>
      <c r="D381" s="196"/>
      <c r="E381" s="196"/>
      <c r="F381" s="155"/>
    </row>
    <row r="382" ht="22.5" customHeight="1">
      <c r="A382" s="202"/>
      <c r="B382" s="197"/>
      <c r="C382" s="144"/>
      <c r="D382" s="197"/>
      <c r="E382" s="197"/>
      <c r="F382" s="147"/>
    </row>
    <row r="383" ht="22.5" customHeight="1">
      <c r="A383" s="250"/>
      <c r="B383" s="196"/>
      <c r="C383" s="152"/>
      <c r="D383" s="196"/>
      <c r="E383" s="196"/>
      <c r="F383" s="155"/>
    </row>
    <row r="384" ht="22.5" customHeight="1">
      <c r="A384" s="202"/>
      <c r="B384" s="197"/>
      <c r="C384" s="144"/>
      <c r="D384" s="197"/>
      <c r="E384" s="197"/>
      <c r="F384" s="147"/>
    </row>
    <row r="385" ht="22.5" customHeight="1">
      <c r="A385" s="250"/>
      <c r="B385" s="196"/>
      <c r="C385" s="152"/>
      <c r="D385" s="196"/>
      <c r="E385" s="196"/>
      <c r="F385" s="155"/>
    </row>
    <row r="386" ht="22.5" customHeight="1">
      <c r="A386" s="202"/>
      <c r="B386" s="197"/>
      <c r="C386" s="144"/>
      <c r="D386" s="197"/>
      <c r="E386" s="197"/>
      <c r="F386" s="147"/>
    </row>
    <row r="387" ht="22.5" customHeight="1">
      <c r="A387" s="250"/>
      <c r="B387" s="196"/>
      <c r="C387" s="152"/>
      <c r="D387" s="196"/>
      <c r="E387" s="196"/>
      <c r="F387" s="155"/>
    </row>
    <row r="388" ht="22.5" customHeight="1">
      <c r="A388" s="202"/>
      <c r="B388" s="197"/>
      <c r="C388" s="144"/>
      <c r="D388" s="197"/>
      <c r="E388" s="197"/>
      <c r="F388" s="147"/>
    </row>
    <row r="389" ht="22.5" customHeight="1">
      <c r="A389" s="250"/>
      <c r="B389" s="196"/>
      <c r="C389" s="152"/>
      <c r="D389" s="196"/>
      <c r="E389" s="196"/>
      <c r="F389" s="155"/>
    </row>
    <row r="390" ht="22.5" customHeight="1">
      <c r="A390" s="202"/>
      <c r="B390" s="197"/>
      <c r="C390" s="144"/>
      <c r="D390" s="197"/>
      <c r="E390" s="197"/>
      <c r="F390" s="147"/>
    </row>
    <row r="391" ht="22.5" customHeight="1">
      <c r="A391" s="250"/>
      <c r="B391" s="196"/>
      <c r="C391" s="152"/>
      <c r="D391" s="196"/>
      <c r="E391" s="196"/>
      <c r="F391" s="155"/>
    </row>
    <row r="392" ht="22.5" customHeight="1">
      <c r="A392" s="202"/>
      <c r="B392" s="197"/>
      <c r="C392" s="144"/>
      <c r="D392" s="197"/>
      <c r="E392" s="197"/>
      <c r="F392" s="147"/>
    </row>
    <row r="393" ht="22.5" customHeight="1">
      <c r="A393" s="250"/>
      <c r="B393" s="196"/>
      <c r="C393" s="152"/>
      <c r="D393" s="196"/>
      <c r="E393" s="196"/>
      <c r="F393" s="155"/>
    </row>
    <row r="394" ht="22.5" customHeight="1">
      <c r="A394" s="202"/>
      <c r="B394" s="197"/>
      <c r="C394" s="144"/>
      <c r="D394" s="197"/>
      <c r="E394" s="197"/>
      <c r="F394" s="147"/>
    </row>
    <row r="395" ht="22.5" customHeight="1">
      <c r="A395" s="250"/>
      <c r="B395" s="196"/>
      <c r="C395" s="152"/>
      <c r="D395" s="196"/>
      <c r="E395" s="196"/>
      <c r="F395" s="155"/>
    </row>
    <row r="396" ht="22.5" customHeight="1">
      <c r="A396" s="202"/>
      <c r="B396" s="197"/>
      <c r="C396" s="144"/>
      <c r="D396" s="197"/>
      <c r="E396" s="197"/>
      <c r="F396" s="147"/>
    </row>
    <row r="397" ht="22.5" customHeight="1">
      <c r="A397" s="250"/>
      <c r="B397" s="196"/>
      <c r="C397" s="152"/>
      <c r="D397" s="196"/>
      <c r="E397" s="196"/>
      <c r="F397" s="155"/>
    </row>
    <row r="398" ht="22.5" customHeight="1">
      <c r="A398" s="202"/>
      <c r="B398" s="197"/>
      <c r="C398" s="144"/>
      <c r="D398" s="197"/>
      <c r="E398" s="197"/>
      <c r="F398" s="147"/>
    </row>
    <row r="399" ht="22.5" customHeight="1">
      <c r="A399" s="250"/>
      <c r="B399" s="196"/>
      <c r="C399" s="152"/>
      <c r="D399" s="196"/>
      <c r="E399" s="196"/>
      <c r="F399" s="155"/>
    </row>
    <row r="400" ht="22.5" customHeight="1">
      <c r="A400" s="202"/>
      <c r="B400" s="197"/>
      <c r="C400" s="144"/>
      <c r="D400" s="197"/>
      <c r="E400" s="197"/>
      <c r="F400" s="147"/>
    </row>
    <row r="401" ht="22.5" customHeight="1">
      <c r="A401" s="250"/>
      <c r="B401" s="196"/>
      <c r="C401" s="152"/>
      <c r="D401" s="196"/>
      <c r="E401" s="196"/>
      <c r="F401" s="155"/>
    </row>
    <row r="402" ht="22.5" customHeight="1">
      <c r="A402" s="202"/>
      <c r="B402" s="197"/>
      <c r="C402" s="144"/>
      <c r="D402" s="197"/>
      <c r="E402" s="197"/>
      <c r="F402" s="147"/>
    </row>
    <row r="403" ht="22.5" customHeight="1">
      <c r="A403" s="250"/>
      <c r="B403" s="196"/>
      <c r="C403" s="152"/>
      <c r="D403" s="196"/>
      <c r="E403" s="196"/>
      <c r="F403" s="155"/>
    </row>
    <row r="404" ht="22.5" customHeight="1">
      <c r="A404" s="202"/>
      <c r="B404" s="197"/>
      <c r="C404" s="144"/>
      <c r="D404" s="197"/>
      <c r="E404" s="197"/>
      <c r="F404" s="147"/>
    </row>
    <row r="405" ht="22.5" customHeight="1">
      <c r="A405" s="250"/>
      <c r="B405" s="196"/>
      <c r="C405" s="152"/>
      <c r="D405" s="196"/>
      <c r="E405" s="196"/>
      <c r="F405" s="155"/>
    </row>
    <row r="406" ht="22.5" customHeight="1">
      <c r="A406" s="202"/>
      <c r="B406" s="197"/>
      <c r="C406" s="144"/>
      <c r="D406" s="197"/>
      <c r="E406" s="197"/>
      <c r="F406" s="147"/>
    </row>
    <row r="407" ht="22.5" customHeight="1">
      <c r="A407" s="250"/>
      <c r="B407" s="196"/>
      <c r="C407" s="152"/>
      <c r="D407" s="196"/>
      <c r="E407" s="196"/>
      <c r="F407" s="155"/>
    </row>
    <row r="408" ht="22.5" customHeight="1">
      <c r="A408" s="202"/>
      <c r="B408" s="197"/>
      <c r="C408" s="144"/>
      <c r="D408" s="197"/>
      <c r="E408" s="197"/>
      <c r="F408" s="147"/>
    </row>
    <row r="409" ht="22.5" customHeight="1">
      <c r="A409" s="250"/>
      <c r="B409" s="196"/>
      <c r="C409" s="152"/>
      <c r="D409" s="196"/>
      <c r="E409" s="196"/>
      <c r="F409" s="155"/>
    </row>
    <row r="410" ht="22.5" customHeight="1">
      <c r="A410" s="202"/>
      <c r="B410" s="197"/>
      <c r="C410" s="144"/>
      <c r="D410" s="197"/>
      <c r="E410" s="197"/>
      <c r="F410" s="147"/>
    </row>
    <row r="411" ht="22.5" customHeight="1">
      <c r="A411" s="250"/>
      <c r="B411" s="196"/>
      <c r="C411" s="152"/>
      <c r="D411" s="196"/>
      <c r="E411" s="196"/>
      <c r="F411" s="155"/>
    </row>
    <row r="412" ht="22.5" customHeight="1">
      <c r="A412" s="202"/>
      <c r="B412" s="197"/>
      <c r="C412" s="144"/>
      <c r="D412" s="197"/>
      <c r="E412" s="197"/>
      <c r="F412" s="147"/>
    </row>
    <row r="413" ht="22.5" customHeight="1">
      <c r="A413" s="250"/>
      <c r="B413" s="196"/>
      <c r="C413" s="152"/>
      <c r="D413" s="196"/>
      <c r="E413" s="196"/>
      <c r="F413" s="155"/>
    </row>
    <row r="414" ht="22.5" customHeight="1">
      <c r="A414" s="202"/>
      <c r="B414" s="197"/>
      <c r="C414" s="144"/>
      <c r="D414" s="197"/>
      <c r="E414" s="197"/>
      <c r="F414" s="147"/>
    </row>
    <row r="415" ht="22.5" customHeight="1">
      <c r="A415" s="250"/>
      <c r="B415" s="196"/>
      <c r="C415" s="152"/>
      <c r="D415" s="196"/>
      <c r="E415" s="196"/>
      <c r="F415" s="155"/>
    </row>
    <row r="416" ht="22.5" customHeight="1">
      <c r="A416" s="202"/>
      <c r="B416" s="197"/>
      <c r="C416" s="144"/>
      <c r="D416" s="197"/>
      <c r="E416" s="197"/>
      <c r="F416" s="147"/>
    </row>
    <row r="417" ht="22.5" customHeight="1">
      <c r="A417" s="250"/>
      <c r="B417" s="196"/>
      <c r="C417" s="152"/>
      <c r="D417" s="196"/>
      <c r="E417" s="196"/>
      <c r="F417" s="155"/>
    </row>
    <row r="418" ht="22.5" customHeight="1">
      <c r="A418" s="202"/>
      <c r="B418" s="197"/>
      <c r="C418" s="144"/>
      <c r="D418" s="197"/>
      <c r="E418" s="197"/>
      <c r="F418" s="147"/>
    </row>
    <row r="419" ht="22.5" customHeight="1">
      <c r="A419" s="250"/>
      <c r="B419" s="196"/>
      <c r="C419" s="152"/>
      <c r="D419" s="196"/>
      <c r="E419" s="196"/>
      <c r="F419" s="155"/>
    </row>
    <row r="420" ht="22.5" customHeight="1">
      <c r="A420" s="202"/>
      <c r="B420" s="197"/>
      <c r="C420" s="144"/>
      <c r="D420" s="197"/>
      <c r="E420" s="197"/>
      <c r="F420" s="147"/>
    </row>
    <row r="421" ht="22.5" customHeight="1">
      <c r="A421" s="250"/>
      <c r="B421" s="196"/>
      <c r="C421" s="152"/>
      <c r="D421" s="196"/>
      <c r="E421" s="196"/>
      <c r="F421" s="155"/>
    </row>
    <row r="422" ht="22.5" customHeight="1">
      <c r="A422" s="202"/>
      <c r="B422" s="197"/>
      <c r="C422" s="144"/>
      <c r="D422" s="197"/>
      <c r="E422" s="197"/>
      <c r="F422" s="147"/>
    </row>
    <row r="423" ht="22.5" customHeight="1">
      <c r="A423" s="250"/>
      <c r="B423" s="196"/>
      <c r="C423" s="152"/>
      <c r="D423" s="196"/>
      <c r="E423" s="196"/>
      <c r="F423" s="155"/>
    </row>
    <row r="424" ht="22.5" customHeight="1">
      <c r="A424" s="202"/>
      <c r="B424" s="197"/>
      <c r="C424" s="144"/>
      <c r="D424" s="197"/>
      <c r="E424" s="197"/>
      <c r="F424" s="147"/>
    </row>
    <row r="425" ht="22.5" customHeight="1">
      <c r="A425" s="250"/>
      <c r="B425" s="196"/>
      <c r="C425" s="152"/>
      <c r="D425" s="196"/>
      <c r="E425" s="196"/>
      <c r="F425" s="155"/>
    </row>
    <row r="426" ht="22.5" customHeight="1">
      <c r="A426" s="202"/>
      <c r="B426" s="197"/>
      <c r="C426" s="144"/>
      <c r="D426" s="197"/>
      <c r="E426" s="197"/>
      <c r="F426" s="147"/>
    </row>
    <row r="427" ht="22.5" customHeight="1">
      <c r="A427" s="250"/>
      <c r="B427" s="196"/>
      <c r="C427" s="152"/>
      <c r="D427" s="196"/>
      <c r="E427" s="196"/>
      <c r="F427" s="155"/>
    </row>
    <row r="428" ht="22.5" customHeight="1">
      <c r="A428" s="202"/>
      <c r="B428" s="197"/>
      <c r="C428" s="144"/>
      <c r="D428" s="197"/>
      <c r="E428" s="197"/>
      <c r="F428" s="147"/>
    </row>
    <row r="429" ht="22.5" customHeight="1">
      <c r="A429" s="250"/>
      <c r="B429" s="196"/>
      <c r="C429" s="152"/>
      <c r="D429" s="196"/>
      <c r="E429" s="196"/>
      <c r="F429" s="155"/>
    </row>
    <row r="430" ht="22.5" customHeight="1">
      <c r="A430" s="202"/>
      <c r="B430" s="197"/>
      <c r="C430" s="144"/>
      <c r="D430" s="197"/>
      <c r="E430" s="197"/>
      <c r="F430" s="147"/>
    </row>
    <row r="431" ht="22.5" customHeight="1">
      <c r="A431" s="250"/>
      <c r="B431" s="196"/>
      <c r="C431" s="152"/>
      <c r="D431" s="196"/>
      <c r="E431" s="196"/>
      <c r="F431" s="155"/>
    </row>
    <row r="432" ht="22.5" customHeight="1">
      <c r="A432" s="202"/>
      <c r="B432" s="197"/>
      <c r="C432" s="144"/>
      <c r="D432" s="197"/>
      <c r="E432" s="197"/>
      <c r="F432" s="147"/>
    </row>
    <row r="433" ht="22.5" customHeight="1">
      <c r="A433" s="250"/>
      <c r="B433" s="196"/>
      <c r="C433" s="152"/>
      <c r="D433" s="196"/>
      <c r="E433" s="196"/>
      <c r="F433" s="155"/>
    </row>
    <row r="434" ht="22.5" customHeight="1">
      <c r="A434" s="202"/>
      <c r="B434" s="197"/>
      <c r="C434" s="144"/>
      <c r="D434" s="197"/>
      <c r="E434" s="197"/>
      <c r="F434" s="147"/>
    </row>
    <row r="435" ht="22.5" customHeight="1">
      <c r="A435" s="250"/>
      <c r="B435" s="196"/>
      <c r="C435" s="152"/>
      <c r="D435" s="196"/>
      <c r="E435" s="196"/>
      <c r="F435" s="155"/>
    </row>
    <row r="436" ht="22.5" customHeight="1">
      <c r="A436" s="202"/>
      <c r="B436" s="197"/>
      <c r="C436" s="144"/>
      <c r="D436" s="197"/>
      <c r="E436" s="197"/>
      <c r="F436" s="147"/>
    </row>
    <row r="437" ht="22.5" customHeight="1">
      <c r="A437" s="250"/>
      <c r="B437" s="196"/>
      <c r="C437" s="152"/>
      <c r="D437" s="196"/>
      <c r="E437" s="196"/>
      <c r="F437" s="155"/>
    </row>
    <row r="438" ht="22.5" customHeight="1">
      <c r="A438" s="202"/>
      <c r="B438" s="197"/>
      <c r="C438" s="144"/>
      <c r="D438" s="197"/>
      <c r="E438" s="197"/>
      <c r="F438" s="147"/>
    </row>
    <row r="439" ht="22.5" customHeight="1">
      <c r="A439" s="250"/>
      <c r="B439" s="196"/>
      <c r="C439" s="152"/>
      <c r="D439" s="196"/>
      <c r="E439" s="196"/>
      <c r="F439" s="155"/>
    </row>
    <row r="440" ht="22.5" customHeight="1">
      <c r="A440" s="202"/>
      <c r="B440" s="197"/>
      <c r="C440" s="144"/>
      <c r="D440" s="197"/>
      <c r="E440" s="197"/>
      <c r="F440" s="147"/>
    </row>
    <row r="441" ht="22.5" customHeight="1">
      <c r="A441" s="250"/>
      <c r="B441" s="196"/>
      <c r="C441" s="152"/>
      <c r="D441" s="196"/>
      <c r="E441" s="196"/>
      <c r="F441" s="155"/>
    </row>
    <row r="442" ht="22.5" customHeight="1">
      <c r="A442" s="202"/>
      <c r="B442" s="197"/>
      <c r="C442" s="144"/>
      <c r="D442" s="197"/>
      <c r="E442" s="197"/>
      <c r="F442" s="147"/>
    </row>
    <row r="443" ht="22.5" customHeight="1">
      <c r="A443" s="250"/>
      <c r="B443" s="196"/>
      <c r="C443" s="152"/>
      <c r="D443" s="196"/>
      <c r="E443" s="196"/>
      <c r="F443" s="155"/>
    </row>
    <row r="444" ht="22.5" customHeight="1">
      <c r="A444" s="202"/>
      <c r="B444" s="197"/>
      <c r="C444" s="144"/>
      <c r="D444" s="197"/>
      <c r="E444" s="197"/>
      <c r="F444" s="147"/>
    </row>
    <row r="445" ht="22.5" customHeight="1">
      <c r="A445" s="250"/>
      <c r="B445" s="196"/>
      <c r="C445" s="152"/>
      <c r="D445" s="196"/>
      <c r="E445" s="196"/>
      <c r="F445" s="155"/>
    </row>
    <row r="446" ht="22.5" customHeight="1">
      <c r="A446" s="202"/>
      <c r="B446" s="197"/>
      <c r="C446" s="144"/>
      <c r="D446" s="197"/>
      <c r="E446" s="197"/>
      <c r="F446" s="147"/>
    </row>
    <row r="447" ht="22.5" customHeight="1">
      <c r="A447" s="250"/>
      <c r="B447" s="196"/>
      <c r="C447" s="152"/>
      <c r="D447" s="196"/>
      <c r="E447" s="196"/>
      <c r="F447" s="155"/>
    </row>
    <row r="448" ht="22.5" customHeight="1">
      <c r="A448" s="202"/>
      <c r="B448" s="197"/>
      <c r="C448" s="144"/>
      <c r="D448" s="197"/>
      <c r="E448" s="197"/>
      <c r="F448" s="147"/>
    </row>
    <row r="449" ht="22.5" customHeight="1">
      <c r="A449" s="250"/>
      <c r="B449" s="196"/>
      <c r="C449" s="152"/>
      <c r="D449" s="196"/>
      <c r="E449" s="196"/>
      <c r="F449" s="155"/>
    </row>
    <row r="450" ht="22.5" customHeight="1">
      <c r="A450" s="202"/>
      <c r="B450" s="197"/>
      <c r="C450" s="144"/>
      <c r="D450" s="197"/>
      <c r="E450" s="197"/>
      <c r="F450" s="147"/>
    </row>
    <row r="451" ht="22.5" customHeight="1">
      <c r="A451" s="250"/>
      <c r="B451" s="196"/>
      <c r="C451" s="152"/>
      <c r="D451" s="196"/>
      <c r="E451" s="196"/>
      <c r="F451" s="155"/>
    </row>
    <row r="452" ht="22.5" customHeight="1">
      <c r="A452" s="202"/>
      <c r="B452" s="197"/>
      <c r="C452" s="144"/>
      <c r="D452" s="197"/>
      <c r="E452" s="197"/>
      <c r="F452" s="147"/>
    </row>
    <row r="453" ht="22.5" customHeight="1">
      <c r="A453" s="250"/>
      <c r="B453" s="196"/>
      <c r="C453" s="152"/>
      <c r="D453" s="196"/>
      <c r="E453" s="196"/>
      <c r="F453" s="155"/>
    </row>
    <row r="454" ht="22.5" customHeight="1">
      <c r="A454" s="202"/>
      <c r="B454" s="197"/>
      <c r="C454" s="144"/>
      <c r="D454" s="197"/>
      <c r="E454" s="197"/>
      <c r="F454" s="147"/>
    </row>
    <row r="455" ht="22.5" customHeight="1">
      <c r="A455" s="250"/>
      <c r="B455" s="196"/>
      <c r="C455" s="152"/>
      <c r="D455" s="196"/>
      <c r="E455" s="196"/>
      <c r="F455" s="155"/>
    </row>
    <row r="456" ht="22.5" customHeight="1">
      <c r="A456" s="202"/>
      <c r="B456" s="197"/>
      <c r="C456" s="144"/>
      <c r="D456" s="197"/>
      <c r="E456" s="197"/>
      <c r="F456" s="147"/>
    </row>
    <row r="457" ht="22.5" customHeight="1">
      <c r="A457" s="250"/>
      <c r="B457" s="196"/>
      <c r="C457" s="152"/>
      <c r="D457" s="196"/>
      <c r="E457" s="196"/>
      <c r="F457" s="155"/>
    </row>
    <row r="458" ht="22.5" customHeight="1">
      <c r="A458" s="202"/>
      <c r="B458" s="197"/>
      <c r="C458" s="144"/>
      <c r="D458" s="197"/>
      <c r="E458" s="197"/>
      <c r="F458" s="147"/>
    </row>
    <row r="459" ht="22.5" customHeight="1">
      <c r="A459" s="250"/>
      <c r="B459" s="196"/>
      <c r="C459" s="152"/>
      <c r="D459" s="196"/>
      <c r="E459" s="196"/>
      <c r="F459" s="155"/>
    </row>
    <row r="460" ht="22.5" customHeight="1">
      <c r="A460" s="202"/>
      <c r="B460" s="197"/>
      <c r="C460" s="144"/>
      <c r="D460" s="197"/>
      <c r="E460" s="197"/>
      <c r="F460" s="147"/>
    </row>
    <row r="461" ht="22.5" customHeight="1">
      <c r="A461" s="250"/>
      <c r="B461" s="196"/>
      <c r="C461" s="152"/>
      <c r="D461" s="196"/>
      <c r="E461" s="196"/>
      <c r="F461" s="155"/>
    </row>
    <row r="462" ht="22.5" customHeight="1">
      <c r="A462" s="202"/>
      <c r="B462" s="197"/>
      <c r="C462" s="144"/>
      <c r="D462" s="197"/>
      <c r="E462" s="197"/>
      <c r="F462" s="147"/>
    </row>
    <row r="463" ht="22.5" customHeight="1">
      <c r="A463" s="250"/>
      <c r="B463" s="196"/>
      <c r="C463" s="152"/>
      <c r="D463" s="196"/>
      <c r="E463" s="196"/>
      <c r="F463" s="155"/>
    </row>
    <row r="464" ht="22.5" customHeight="1">
      <c r="A464" s="202"/>
      <c r="B464" s="197"/>
      <c r="C464" s="144"/>
      <c r="D464" s="197"/>
      <c r="E464" s="197"/>
      <c r="F464" s="147"/>
    </row>
    <row r="465" ht="22.5" customHeight="1">
      <c r="A465" s="250"/>
      <c r="B465" s="196"/>
      <c r="C465" s="152"/>
      <c r="D465" s="196"/>
      <c r="E465" s="196"/>
      <c r="F465" s="155"/>
    </row>
    <row r="466" ht="22.5" customHeight="1">
      <c r="A466" s="202"/>
      <c r="B466" s="197"/>
      <c r="C466" s="144"/>
      <c r="D466" s="197"/>
      <c r="E466" s="197"/>
      <c r="F466" s="147"/>
    </row>
    <row r="467" ht="22.5" customHeight="1">
      <c r="A467" s="250"/>
      <c r="B467" s="196"/>
      <c r="C467" s="152"/>
      <c r="D467" s="196"/>
      <c r="E467" s="196"/>
      <c r="F467" s="155"/>
    </row>
    <row r="468" ht="22.5" customHeight="1">
      <c r="A468" s="202"/>
      <c r="B468" s="197"/>
      <c r="C468" s="144"/>
      <c r="D468" s="197"/>
      <c r="E468" s="197"/>
      <c r="F468" s="147"/>
    </row>
    <row r="469" ht="22.5" customHeight="1">
      <c r="A469" s="250"/>
      <c r="B469" s="196"/>
      <c r="C469" s="152"/>
      <c r="D469" s="196"/>
      <c r="E469" s="196"/>
      <c r="F469" s="155"/>
    </row>
    <row r="470" ht="22.5" customHeight="1">
      <c r="A470" s="202"/>
      <c r="B470" s="197"/>
      <c r="C470" s="144"/>
      <c r="D470" s="197"/>
      <c r="E470" s="197"/>
      <c r="F470" s="147"/>
    </row>
    <row r="471" ht="22.5" customHeight="1">
      <c r="A471" s="250"/>
      <c r="B471" s="196"/>
      <c r="C471" s="152"/>
      <c r="D471" s="196"/>
      <c r="E471" s="196"/>
      <c r="F471" s="155"/>
    </row>
    <row r="472" ht="22.5" customHeight="1">
      <c r="A472" s="202"/>
      <c r="B472" s="197"/>
      <c r="C472" s="144"/>
      <c r="D472" s="197"/>
      <c r="E472" s="197"/>
      <c r="F472" s="147"/>
    </row>
    <row r="473" ht="22.5" customHeight="1">
      <c r="A473" s="250"/>
      <c r="B473" s="196"/>
      <c r="C473" s="152"/>
      <c r="D473" s="196"/>
      <c r="E473" s="196"/>
      <c r="F473" s="155"/>
    </row>
    <row r="474" ht="22.5" customHeight="1">
      <c r="A474" s="202"/>
      <c r="B474" s="197"/>
      <c r="C474" s="144"/>
      <c r="D474" s="197"/>
      <c r="E474" s="197"/>
      <c r="F474" s="147"/>
    </row>
    <row r="475" ht="22.5" customHeight="1">
      <c r="A475" s="250"/>
      <c r="B475" s="196"/>
      <c r="C475" s="152"/>
      <c r="D475" s="196"/>
      <c r="E475" s="196"/>
      <c r="F475" s="155"/>
    </row>
    <row r="476" ht="22.5" customHeight="1">
      <c r="A476" s="202"/>
      <c r="B476" s="197"/>
      <c r="C476" s="144"/>
      <c r="D476" s="197"/>
      <c r="E476" s="197"/>
      <c r="F476" s="147"/>
    </row>
    <row r="477" ht="22.5" customHeight="1">
      <c r="A477" s="250"/>
      <c r="B477" s="196"/>
      <c r="C477" s="152"/>
      <c r="D477" s="196"/>
      <c r="E477" s="196"/>
      <c r="F477" s="155"/>
    </row>
    <row r="478" ht="22.5" customHeight="1">
      <c r="A478" s="202"/>
      <c r="B478" s="197"/>
      <c r="C478" s="144"/>
      <c r="D478" s="197"/>
      <c r="E478" s="197"/>
      <c r="F478" s="147"/>
    </row>
    <row r="479" ht="22.5" customHeight="1">
      <c r="A479" s="250"/>
      <c r="B479" s="196"/>
      <c r="C479" s="152"/>
      <c r="D479" s="196"/>
      <c r="E479" s="196"/>
      <c r="F479" s="155"/>
    </row>
    <row r="480" ht="22.5" customHeight="1">
      <c r="A480" s="202"/>
      <c r="B480" s="197"/>
      <c r="C480" s="144"/>
      <c r="D480" s="197"/>
      <c r="E480" s="197"/>
      <c r="F480" s="147"/>
    </row>
    <row r="481" ht="22.5" customHeight="1">
      <c r="A481" s="250"/>
      <c r="B481" s="196"/>
      <c r="C481" s="152"/>
      <c r="D481" s="196"/>
      <c r="E481" s="196"/>
      <c r="F481" s="155"/>
    </row>
    <row r="482" ht="22.5" customHeight="1">
      <c r="A482" s="202"/>
      <c r="B482" s="197"/>
      <c r="C482" s="144"/>
      <c r="D482" s="197"/>
      <c r="E482" s="197"/>
      <c r="F482" s="147"/>
    </row>
    <row r="483" ht="22.5" customHeight="1">
      <c r="A483" s="250"/>
      <c r="B483" s="196"/>
      <c r="C483" s="152"/>
      <c r="D483" s="196"/>
      <c r="E483" s="196"/>
      <c r="F483" s="155"/>
    </row>
    <row r="484" ht="22.5" customHeight="1">
      <c r="A484" s="202"/>
      <c r="B484" s="197"/>
      <c r="C484" s="144"/>
      <c r="D484" s="197"/>
      <c r="E484" s="197"/>
      <c r="F484" s="147"/>
    </row>
    <row r="485" ht="22.5" customHeight="1">
      <c r="A485" s="250"/>
      <c r="B485" s="196"/>
      <c r="C485" s="152"/>
      <c r="D485" s="196"/>
      <c r="E485" s="196"/>
      <c r="F485" s="155"/>
    </row>
    <row r="486" ht="22.5" customHeight="1">
      <c r="A486" s="202"/>
      <c r="B486" s="197"/>
      <c r="C486" s="144"/>
      <c r="D486" s="197"/>
      <c r="E486" s="197"/>
      <c r="F486" s="147"/>
    </row>
    <row r="487" ht="22.5" customHeight="1">
      <c r="A487" s="250"/>
      <c r="B487" s="196"/>
      <c r="C487" s="152"/>
      <c r="D487" s="196"/>
      <c r="E487" s="196"/>
      <c r="F487" s="155"/>
    </row>
    <row r="488" ht="22.5" customHeight="1">
      <c r="A488" s="202"/>
      <c r="B488" s="197"/>
      <c r="C488" s="144"/>
      <c r="D488" s="197"/>
      <c r="E488" s="197"/>
      <c r="F488" s="147"/>
    </row>
    <row r="489" ht="22.5" customHeight="1">
      <c r="A489" s="250"/>
      <c r="B489" s="196"/>
      <c r="C489" s="152"/>
      <c r="D489" s="196"/>
      <c r="E489" s="196"/>
      <c r="F489" s="155"/>
    </row>
    <row r="490" ht="22.5" customHeight="1">
      <c r="A490" s="202"/>
      <c r="B490" s="197"/>
      <c r="C490" s="144"/>
      <c r="D490" s="197"/>
      <c r="E490" s="197"/>
      <c r="F490" s="147"/>
    </row>
    <row r="491" ht="22.5" customHeight="1">
      <c r="A491" s="250"/>
      <c r="B491" s="196"/>
      <c r="C491" s="152"/>
      <c r="D491" s="196"/>
      <c r="E491" s="196"/>
      <c r="F491" s="155"/>
    </row>
    <row r="492" ht="22.5" customHeight="1">
      <c r="A492" s="202"/>
      <c r="B492" s="197"/>
      <c r="C492" s="144"/>
      <c r="D492" s="197"/>
      <c r="E492" s="197"/>
      <c r="F492" s="147"/>
    </row>
    <row r="493" ht="22.5" customHeight="1">
      <c r="A493" s="250"/>
      <c r="B493" s="196"/>
      <c r="C493" s="152"/>
      <c r="D493" s="196"/>
      <c r="E493" s="196"/>
      <c r="F493" s="155"/>
    </row>
    <row r="494" ht="22.5" customHeight="1">
      <c r="A494" s="202"/>
      <c r="B494" s="197"/>
      <c r="C494" s="144"/>
      <c r="D494" s="197"/>
      <c r="E494" s="197"/>
      <c r="F494" s="147"/>
    </row>
    <row r="495" ht="22.5" customHeight="1">
      <c r="A495" s="250"/>
      <c r="B495" s="196"/>
      <c r="C495" s="152"/>
      <c r="D495" s="196"/>
      <c r="E495" s="196"/>
      <c r="F495" s="155"/>
    </row>
    <row r="496" ht="22.5" customHeight="1">
      <c r="A496" s="202"/>
      <c r="B496" s="197"/>
      <c r="C496" s="144"/>
      <c r="D496" s="197"/>
      <c r="E496" s="197"/>
      <c r="F496" s="147"/>
    </row>
    <row r="497" ht="22.5" customHeight="1">
      <c r="A497" s="250"/>
      <c r="B497" s="196"/>
      <c r="C497" s="152"/>
      <c r="D497" s="196"/>
      <c r="E497" s="196"/>
      <c r="F497" s="155"/>
    </row>
    <row r="498" ht="22.5" customHeight="1">
      <c r="A498" s="202"/>
      <c r="B498" s="197"/>
      <c r="C498" s="144"/>
      <c r="D498" s="197"/>
      <c r="E498" s="197"/>
      <c r="F498" s="147"/>
    </row>
    <row r="499" ht="22.5" customHeight="1">
      <c r="A499" s="250"/>
      <c r="B499" s="196"/>
      <c r="C499" s="152"/>
      <c r="D499" s="196"/>
      <c r="E499" s="196"/>
      <c r="F499" s="155"/>
    </row>
    <row r="500" ht="22.5" customHeight="1">
      <c r="A500" s="202"/>
      <c r="B500" s="197"/>
      <c r="C500" s="144"/>
      <c r="D500" s="197"/>
      <c r="E500" s="197"/>
      <c r="F500" s="147"/>
    </row>
    <row r="501" ht="22.5" customHeight="1">
      <c r="A501" s="250"/>
      <c r="B501" s="196"/>
      <c r="C501" s="152"/>
      <c r="D501" s="196"/>
      <c r="E501" s="196"/>
      <c r="F501" s="155"/>
    </row>
    <row r="502" ht="22.5" customHeight="1">
      <c r="A502" s="202"/>
      <c r="B502" s="197"/>
      <c r="C502" s="144"/>
      <c r="D502" s="197"/>
      <c r="E502" s="197"/>
      <c r="F502" s="147"/>
    </row>
    <row r="503" ht="22.5" customHeight="1">
      <c r="A503" s="250"/>
      <c r="B503" s="196"/>
      <c r="C503" s="152"/>
      <c r="D503" s="196"/>
      <c r="E503" s="196"/>
      <c r="F503" s="155"/>
    </row>
    <row r="504" ht="22.5" customHeight="1">
      <c r="A504" s="202"/>
      <c r="B504" s="197"/>
      <c r="C504" s="144"/>
      <c r="D504" s="197"/>
      <c r="E504" s="197"/>
      <c r="F504" s="147"/>
    </row>
    <row r="505" ht="22.5" customHeight="1">
      <c r="A505" s="250"/>
      <c r="B505" s="196"/>
      <c r="C505" s="152"/>
      <c r="D505" s="196"/>
      <c r="E505" s="196"/>
      <c r="F505" s="155"/>
    </row>
    <row r="506" ht="22.5" customHeight="1">
      <c r="A506" s="202"/>
      <c r="B506" s="197"/>
      <c r="C506" s="144"/>
      <c r="D506" s="197"/>
      <c r="E506" s="197"/>
      <c r="F506" s="147"/>
    </row>
    <row r="507" ht="22.5" customHeight="1">
      <c r="A507" s="250"/>
      <c r="B507" s="196"/>
      <c r="C507" s="152"/>
      <c r="D507" s="196"/>
      <c r="E507" s="196"/>
      <c r="F507" s="155"/>
    </row>
    <row r="508" ht="22.5" customHeight="1">
      <c r="A508" s="202"/>
      <c r="B508" s="197"/>
      <c r="C508" s="144"/>
      <c r="D508" s="197"/>
      <c r="E508" s="197"/>
      <c r="F508" s="147"/>
    </row>
    <row r="509" ht="22.5" customHeight="1">
      <c r="A509" s="250"/>
      <c r="B509" s="196"/>
      <c r="C509" s="152"/>
      <c r="D509" s="196"/>
      <c r="E509" s="196"/>
      <c r="F509" s="155"/>
    </row>
    <row r="510" ht="22.5" customHeight="1">
      <c r="A510" s="202"/>
      <c r="B510" s="197"/>
      <c r="C510" s="144"/>
      <c r="D510" s="197"/>
      <c r="E510" s="197"/>
      <c r="F510" s="147"/>
    </row>
    <row r="511" ht="22.5" customHeight="1">
      <c r="A511" s="250"/>
      <c r="B511" s="196"/>
      <c r="C511" s="152"/>
      <c r="D511" s="196"/>
      <c r="E511" s="196"/>
      <c r="F511" s="155"/>
    </row>
    <row r="512" ht="22.5" customHeight="1">
      <c r="A512" s="202"/>
      <c r="B512" s="197"/>
      <c r="C512" s="144"/>
      <c r="D512" s="197"/>
      <c r="E512" s="197"/>
      <c r="F512" s="147"/>
    </row>
    <row r="513" ht="22.5" customHeight="1">
      <c r="A513" s="250"/>
      <c r="B513" s="196"/>
      <c r="C513" s="152"/>
      <c r="D513" s="196"/>
      <c r="E513" s="196"/>
      <c r="F513" s="155"/>
    </row>
    <row r="514" ht="22.5" customHeight="1">
      <c r="A514" s="202"/>
      <c r="B514" s="197"/>
      <c r="C514" s="144"/>
      <c r="D514" s="197"/>
      <c r="E514" s="197"/>
      <c r="F514" s="147"/>
    </row>
    <row r="515" ht="22.5" customHeight="1">
      <c r="A515" s="250"/>
      <c r="B515" s="196"/>
      <c r="C515" s="152"/>
      <c r="D515" s="196"/>
      <c r="E515" s="196"/>
      <c r="F515" s="155"/>
    </row>
    <row r="516" ht="22.5" customHeight="1">
      <c r="A516" s="202"/>
      <c r="B516" s="197"/>
      <c r="C516" s="144"/>
      <c r="D516" s="197"/>
      <c r="E516" s="197"/>
      <c r="F516" s="147"/>
    </row>
    <row r="517" ht="22.5" customHeight="1">
      <c r="A517" s="250"/>
      <c r="B517" s="196"/>
      <c r="C517" s="152"/>
      <c r="D517" s="196"/>
      <c r="E517" s="196"/>
      <c r="F517" s="155"/>
    </row>
    <row r="518" ht="22.5" customHeight="1">
      <c r="A518" s="202"/>
      <c r="B518" s="197"/>
      <c r="C518" s="144"/>
      <c r="D518" s="197"/>
      <c r="E518" s="197"/>
      <c r="F518" s="147"/>
    </row>
    <row r="519" ht="22.5" customHeight="1">
      <c r="A519" s="250"/>
      <c r="B519" s="196"/>
      <c r="C519" s="152"/>
      <c r="D519" s="196"/>
      <c r="E519" s="196"/>
      <c r="F519" s="155"/>
    </row>
    <row r="520" ht="22.5" customHeight="1">
      <c r="A520" s="202"/>
      <c r="B520" s="197"/>
      <c r="C520" s="144"/>
      <c r="D520" s="197"/>
      <c r="E520" s="197"/>
      <c r="F520" s="147"/>
    </row>
    <row r="521" ht="22.5" customHeight="1">
      <c r="A521" s="250"/>
      <c r="B521" s="196"/>
      <c r="C521" s="152"/>
      <c r="D521" s="196"/>
      <c r="E521" s="196"/>
      <c r="F521" s="155"/>
    </row>
    <row r="522" ht="22.5" customHeight="1">
      <c r="A522" s="202"/>
      <c r="B522" s="197"/>
      <c r="C522" s="144"/>
      <c r="D522" s="197"/>
      <c r="E522" s="197"/>
      <c r="F522" s="147"/>
    </row>
    <row r="523" ht="22.5" customHeight="1">
      <c r="A523" s="250"/>
      <c r="B523" s="196"/>
      <c r="C523" s="152"/>
      <c r="D523" s="196"/>
      <c r="E523" s="196"/>
      <c r="F523" s="155"/>
    </row>
    <row r="524" ht="22.5" customHeight="1">
      <c r="A524" s="202"/>
      <c r="B524" s="197"/>
      <c r="C524" s="144"/>
      <c r="D524" s="197"/>
      <c r="E524" s="197"/>
      <c r="F524" s="147"/>
    </row>
    <row r="525" ht="22.5" customHeight="1">
      <c r="A525" s="250"/>
      <c r="B525" s="196"/>
      <c r="C525" s="152"/>
      <c r="D525" s="196"/>
      <c r="E525" s="196"/>
      <c r="F525" s="155"/>
    </row>
    <row r="526" ht="22.5" customHeight="1">
      <c r="A526" s="202"/>
      <c r="B526" s="197"/>
      <c r="C526" s="144"/>
      <c r="D526" s="197"/>
      <c r="E526" s="197"/>
      <c r="F526" s="147"/>
    </row>
    <row r="527" ht="22.5" customHeight="1">
      <c r="A527" s="250"/>
      <c r="B527" s="196"/>
      <c r="C527" s="152"/>
      <c r="D527" s="196"/>
      <c r="E527" s="196"/>
      <c r="F527" s="155"/>
    </row>
    <row r="528" ht="22.5" customHeight="1">
      <c r="A528" s="202"/>
      <c r="B528" s="197"/>
      <c r="C528" s="144"/>
      <c r="D528" s="197"/>
      <c r="E528" s="197"/>
      <c r="F528" s="147"/>
    </row>
    <row r="529" ht="22.5" customHeight="1">
      <c r="A529" s="250"/>
      <c r="B529" s="196"/>
      <c r="C529" s="152"/>
      <c r="D529" s="196"/>
      <c r="E529" s="196"/>
      <c r="F529" s="155"/>
    </row>
    <row r="530" ht="22.5" customHeight="1">
      <c r="A530" s="202"/>
      <c r="B530" s="197"/>
      <c r="C530" s="144"/>
      <c r="D530" s="197"/>
      <c r="E530" s="197"/>
      <c r="F530" s="147"/>
    </row>
    <row r="531" ht="22.5" customHeight="1">
      <c r="A531" s="250"/>
      <c r="B531" s="196"/>
      <c r="C531" s="152"/>
      <c r="D531" s="196"/>
      <c r="E531" s="196"/>
      <c r="F531" s="155"/>
    </row>
    <row r="532" ht="22.5" customHeight="1">
      <c r="A532" s="202"/>
      <c r="B532" s="197"/>
      <c r="C532" s="144"/>
      <c r="D532" s="197"/>
      <c r="E532" s="197"/>
      <c r="F532" s="147"/>
    </row>
    <row r="533" ht="22.5" customHeight="1">
      <c r="A533" s="250"/>
      <c r="B533" s="196"/>
      <c r="C533" s="152"/>
      <c r="D533" s="196"/>
      <c r="E533" s="196"/>
      <c r="F533" s="155"/>
    </row>
    <row r="534" ht="22.5" customHeight="1">
      <c r="A534" s="202"/>
      <c r="B534" s="197"/>
      <c r="C534" s="144"/>
      <c r="D534" s="197"/>
      <c r="E534" s="197"/>
      <c r="F534" s="147"/>
    </row>
    <row r="535" ht="22.5" customHeight="1">
      <c r="A535" s="250"/>
      <c r="B535" s="196"/>
      <c r="C535" s="152"/>
      <c r="D535" s="196"/>
      <c r="E535" s="196"/>
      <c r="F535" s="155"/>
    </row>
    <row r="536" ht="22.5" customHeight="1">
      <c r="A536" s="202"/>
      <c r="B536" s="197"/>
      <c r="C536" s="144"/>
      <c r="D536" s="197"/>
      <c r="E536" s="197"/>
      <c r="F536" s="147"/>
    </row>
    <row r="537" ht="22.5" customHeight="1">
      <c r="A537" s="250"/>
      <c r="B537" s="196"/>
      <c r="C537" s="152"/>
      <c r="D537" s="196"/>
      <c r="E537" s="196"/>
      <c r="F537" s="155"/>
    </row>
    <row r="538" ht="22.5" customHeight="1">
      <c r="A538" s="202"/>
      <c r="B538" s="197"/>
      <c r="C538" s="144"/>
      <c r="D538" s="197"/>
      <c r="E538" s="197"/>
      <c r="F538" s="147"/>
    </row>
    <row r="539" ht="22.5" customHeight="1">
      <c r="A539" s="250"/>
      <c r="B539" s="196"/>
      <c r="C539" s="152"/>
      <c r="D539" s="196"/>
      <c r="E539" s="196"/>
      <c r="F539" s="155"/>
    </row>
    <row r="540" ht="22.5" customHeight="1">
      <c r="A540" s="202"/>
      <c r="B540" s="197"/>
      <c r="C540" s="144"/>
      <c r="D540" s="197"/>
      <c r="E540" s="197"/>
      <c r="F540" s="147"/>
    </row>
    <row r="541" ht="22.5" customHeight="1">
      <c r="A541" s="250"/>
      <c r="B541" s="196"/>
      <c r="C541" s="152"/>
      <c r="D541" s="196"/>
      <c r="E541" s="196"/>
      <c r="F541" s="155"/>
    </row>
    <row r="542" ht="22.5" customHeight="1">
      <c r="A542" s="202"/>
      <c r="B542" s="197"/>
      <c r="C542" s="144"/>
      <c r="D542" s="197"/>
      <c r="E542" s="197"/>
      <c r="F542" s="147"/>
    </row>
    <row r="543" ht="22.5" customHeight="1">
      <c r="A543" s="250"/>
      <c r="B543" s="196"/>
      <c r="C543" s="152"/>
      <c r="D543" s="196"/>
      <c r="E543" s="196"/>
      <c r="F543" s="155"/>
    </row>
    <row r="544" ht="22.5" customHeight="1">
      <c r="A544" s="202"/>
      <c r="B544" s="197"/>
      <c r="C544" s="144"/>
      <c r="D544" s="197"/>
      <c r="E544" s="197"/>
      <c r="F544" s="147"/>
    </row>
    <row r="545" ht="22.5" customHeight="1">
      <c r="A545" s="250"/>
      <c r="B545" s="196"/>
      <c r="C545" s="152"/>
      <c r="D545" s="196"/>
      <c r="E545" s="196"/>
      <c r="F545" s="155"/>
    </row>
    <row r="546" ht="22.5" customHeight="1">
      <c r="A546" s="202"/>
      <c r="B546" s="197"/>
      <c r="C546" s="144"/>
      <c r="D546" s="197"/>
      <c r="E546" s="197"/>
      <c r="F546" s="147"/>
    </row>
    <row r="547" ht="22.5" customHeight="1">
      <c r="A547" s="250"/>
      <c r="B547" s="196"/>
      <c r="C547" s="152"/>
      <c r="D547" s="196"/>
      <c r="E547" s="196"/>
      <c r="F547" s="155"/>
    </row>
    <row r="548" ht="22.5" customHeight="1">
      <c r="A548" s="202"/>
      <c r="B548" s="197"/>
      <c r="C548" s="144"/>
      <c r="D548" s="197"/>
      <c r="E548" s="197"/>
      <c r="F548" s="147"/>
    </row>
    <row r="549" ht="22.5" customHeight="1">
      <c r="A549" s="250"/>
      <c r="B549" s="196"/>
      <c r="C549" s="152"/>
      <c r="D549" s="196"/>
      <c r="E549" s="196"/>
      <c r="F549" s="155"/>
    </row>
    <row r="550" ht="22.5" customHeight="1">
      <c r="A550" s="202"/>
      <c r="B550" s="197"/>
      <c r="C550" s="144"/>
      <c r="D550" s="197"/>
      <c r="E550" s="197"/>
      <c r="F550" s="147"/>
    </row>
    <row r="551" ht="22.5" customHeight="1">
      <c r="A551" s="250"/>
      <c r="B551" s="196"/>
      <c r="C551" s="152"/>
      <c r="D551" s="196"/>
      <c r="E551" s="196"/>
      <c r="F551" s="155"/>
    </row>
    <row r="552" ht="22.5" customHeight="1">
      <c r="A552" s="202"/>
      <c r="B552" s="197"/>
      <c r="C552" s="144"/>
      <c r="D552" s="197"/>
      <c r="E552" s="197"/>
      <c r="F552" s="147"/>
    </row>
    <row r="553" ht="22.5" customHeight="1">
      <c r="A553" s="250"/>
      <c r="B553" s="196"/>
      <c r="C553" s="152"/>
      <c r="D553" s="196"/>
      <c r="E553" s="196"/>
      <c r="F553" s="155"/>
    </row>
    <row r="554" ht="22.5" customHeight="1">
      <c r="A554" s="202"/>
      <c r="B554" s="197"/>
      <c r="C554" s="144"/>
      <c r="D554" s="197"/>
      <c r="E554" s="197"/>
      <c r="F554" s="147"/>
    </row>
    <row r="555" ht="22.5" customHeight="1">
      <c r="A555" s="250"/>
      <c r="B555" s="196"/>
      <c r="C555" s="152"/>
      <c r="D555" s="196"/>
      <c r="E555" s="196"/>
      <c r="F555" s="155"/>
    </row>
    <row r="556" ht="22.5" customHeight="1">
      <c r="A556" s="202"/>
      <c r="B556" s="197"/>
      <c r="C556" s="144"/>
      <c r="D556" s="197"/>
      <c r="E556" s="197"/>
      <c r="F556" s="147"/>
    </row>
    <row r="557" ht="22.5" customHeight="1">
      <c r="A557" s="250"/>
      <c r="B557" s="196"/>
      <c r="C557" s="152"/>
      <c r="D557" s="196"/>
      <c r="E557" s="196"/>
      <c r="F557" s="155"/>
    </row>
    <row r="558" ht="22.5" customHeight="1">
      <c r="A558" s="202"/>
      <c r="B558" s="197"/>
      <c r="C558" s="144"/>
      <c r="D558" s="197"/>
      <c r="E558" s="197"/>
      <c r="F558" s="147"/>
    </row>
    <row r="559" ht="22.5" customHeight="1">
      <c r="A559" s="250"/>
      <c r="B559" s="196"/>
      <c r="C559" s="152"/>
      <c r="D559" s="196"/>
      <c r="E559" s="196"/>
      <c r="F559" s="155"/>
    </row>
    <row r="560" ht="22.5" customHeight="1">
      <c r="A560" s="202"/>
      <c r="B560" s="197"/>
      <c r="C560" s="144"/>
      <c r="D560" s="197"/>
      <c r="E560" s="197"/>
      <c r="F560" s="147"/>
    </row>
    <row r="561" ht="22.5" customHeight="1">
      <c r="A561" s="250"/>
      <c r="B561" s="196"/>
      <c r="C561" s="152"/>
      <c r="D561" s="196"/>
      <c r="E561" s="196"/>
      <c r="F561" s="155"/>
    </row>
    <row r="562" ht="22.5" customHeight="1">
      <c r="A562" s="202"/>
      <c r="B562" s="197"/>
      <c r="C562" s="144"/>
      <c r="D562" s="197"/>
      <c r="E562" s="197"/>
      <c r="F562" s="147"/>
    </row>
    <row r="563" ht="22.5" customHeight="1">
      <c r="A563" s="250"/>
      <c r="B563" s="196"/>
      <c r="C563" s="152"/>
      <c r="D563" s="196"/>
      <c r="E563" s="196"/>
      <c r="F563" s="155"/>
    </row>
    <row r="564" ht="22.5" customHeight="1">
      <c r="A564" s="202"/>
      <c r="B564" s="197"/>
      <c r="C564" s="144"/>
      <c r="D564" s="197"/>
      <c r="E564" s="197"/>
      <c r="F564" s="147"/>
    </row>
    <row r="565" ht="22.5" customHeight="1">
      <c r="A565" s="250"/>
      <c r="B565" s="196"/>
      <c r="C565" s="152"/>
      <c r="D565" s="196"/>
      <c r="E565" s="196"/>
      <c r="F565" s="155"/>
    </row>
    <row r="566" ht="22.5" customHeight="1">
      <c r="A566" s="202"/>
      <c r="B566" s="197"/>
      <c r="C566" s="144"/>
      <c r="D566" s="197"/>
      <c r="E566" s="197"/>
      <c r="F566" s="147"/>
    </row>
    <row r="567" ht="22.5" customHeight="1">
      <c r="A567" s="250"/>
      <c r="B567" s="196"/>
      <c r="C567" s="152"/>
      <c r="D567" s="196"/>
      <c r="E567" s="196"/>
      <c r="F567" s="155"/>
    </row>
    <row r="568" ht="22.5" customHeight="1">
      <c r="A568" s="202"/>
      <c r="B568" s="197"/>
      <c r="C568" s="144"/>
      <c r="D568" s="197"/>
      <c r="E568" s="197"/>
      <c r="F568" s="147"/>
    </row>
    <row r="569" ht="22.5" customHeight="1">
      <c r="A569" s="250"/>
      <c r="B569" s="196"/>
      <c r="C569" s="152"/>
      <c r="D569" s="196"/>
      <c r="E569" s="196"/>
      <c r="F569" s="155"/>
    </row>
    <row r="570" ht="22.5" customHeight="1">
      <c r="A570" s="202"/>
      <c r="B570" s="197"/>
      <c r="C570" s="144"/>
      <c r="D570" s="197"/>
      <c r="E570" s="197"/>
      <c r="F570" s="147"/>
    </row>
    <row r="571" ht="22.5" customHeight="1">
      <c r="A571" s="250"/>
      <c r="B571" s="196"/>
      <c r="C571" s="152"/>
      <c r="D571" s="196"/>
      <c r="E571" s="196"/>
      <c r="F571" s="155"/>
    </row>
    <row r="572" ht="22.5" customHeight="1">
      <c r="A572" s="202"/>
      <c r="B572" s="197"/>
      <c r="C572" s="144"/>
      <c r="D572" s="197"/>
      <c r="E572" s="197"/>
      <c r="F572" s="147"/>
    </row>
    <row r="573" ht="22.5" customHeight="1">
      <c r="A573" s="250"/>
      <c r="B573" s="196"/>
      <c r="C573" s="152"/>
      <c r="D573" s="196"/>
      <c r="E573" s="196"/>
      <c r="F573" s="155"/>
    </row>
    <row r="574" ht="22.5" customHeight="1">
      <c r="A574" s="202"/>
      <c r="B574" s="197"/>
      <c r="C574" s="144"/>
      <c r="D574" s="197"/>
      <c r="E574" s="197"/>
      <c r="F574" s="147"/>
    </row>
    <row r="575" ht="22.5" customHeight="1">
      <c r="A575" s="250"/>
      <c r="B575" s="196"/>
      <c r="C575" s="152"/>
      <c r="D575" s="196"/>
      <c r="E575" s="196"/>
      <c r="F575" s="155"/>
    </row>
    <row r="576" ht="22.5" customHeight="1">
      <c r="A576" s="202"/>
      <c r="B576" s="197"/>
      <c r="C576" s="144"/>
      <c r="D576" s="197"/>
      <c r="E576" s="197"/>
      <c r="F576" s="147"/>
    </row>
    <row r="577" ht="22.5" customHeight="1">
      <c r="A577" s="250"/>
      <c r="B577" s="196"/>
      <c r="C577" s="152"/>
      <c r="D577" s="196"/>
      <c r="E577" s="196"/>
      <c r="F577" s="155"/>
    </row>
    <row r="578" ht="22.5" customHeight="1">
      <c r="A578" s="202"/>
      <c r="B578" s="197"/>
      <c r="C578" s="144"/>
      <c r="D578" s="197"/>
      <c r="E578" s="197"/>
      <c r="F578" s="147"/>
    </row>
    <row r="579" ht="22.5" customHeight="1">
      <c r="A579" s="250"/>
      <c r="B579" s="196"/>
      <c r="C579" s="152"/>
      <c r="D579" s="196"/>
      <c r="E579" s="196"/>
      <c r="F579" s="155"/>
    </row>
    <row r="580" ht="22.5" customHeight="1">
      <c r="A580" s="202"/>
      <c r="B580" s="197"/>
      <c r="C580" s="144"/>
      <c r="D580" s="197"/>
      <c r="E580" s="197"/>
      <c r="F580" s="147"/>
    </row>
    <row r="581" ht="22.5" customHeight="1">
      <c r="A581" s="250"/>
      <c r="B581" s="196"/>
      <c r="C581" s="152"/>
      <c r="D581" s="196"/>
      <c r="E581" s="196"/>
      <c r="F581" s="155"/>
    </row>
    <row r="582" ht="22.5" customHeight="1">
      <c r="A582" s="202"/>
      <c r="B582" s="197"/>
      <c r="C582" s="144"/>
      <c r="D582" s="197"/>
      <c r="E582" s="197"/>
      <c r="F582" s="147"/>
    </row>
    <row r="583" ht="22.5" customHeight="1">
      <c r="A583" s="250"/>
      <c r="B583" s="196"/>
      <c r="C583" s="152"/>
      <c r="D583" s="196"/>
      <c r="E583" s="196"/>
      <c r="F583" s="155"/>
    </row>
    <row r="584" ht="22.5" customHeight="1">
      <c r="A584" s="202"/>
      <c r="B584" s="197"/>
      <c r="C584" s="144"/>
      <c r="D584" s="197"/>
      <c r="E584" s="197"/>
      <c r="F584" s="147"/>
    </row>
    <row r="585" ht="22.5" customHeight="1">
      <c r="A585" s="250"/>
      <c r="B585" s="196"/>
      <c r="C585" s="152"/>
      <c r="D585" s="196"/>
      <c r="E585" s="196"/>
      <c r="F585" s="155"/>
    </row>
    <row r="586" ht="22.5" customHeight="1">
      <c r="A586" s="202"/>
      <c r="B586" s="197"/>
      <c r="C586" s="144"/>
      <c r="D586" s="197"/>
      <c r="E586" s="197"/>
      <c r="F586" s="147"/>
    </row>
    <row r="587" ht="22.5" customHeight="1">
      <c r="A587" s="250"/>
      <c r="B587" s="196"/>
      <c r="C587" s="152"/>
      <c r="D587" s="196"/>
      <c r="E587" s="196"/>
      <c r="F587" s="155"/>
    </row>
    <row r="588" ht="22.5" customHeight="1">
      <c r="A588" s="202"/>
      <c r="B588" s="197"/>
      <c r="C588" s="144"/>
      <c r="D588" s="197"/>
      <c r="E588" s="197"/>
      <c r="F588" s="147"/>
    </row>
    <row r="589" ht="22.5" customHeight="1">
      <c r="A589" s="250"/>
      <c r="B589" s="196"/>
      <c r="C589" s="152"/>
      <c r="D589" s="196"/>
      <c r="E589" s="196"/>
      <c r="F589" s="155"/>
    </row>
    <row r="590" ht="22.5" customHeight="1">
      <c r="A590" s="202"/>
      <c r="B590" s="197"/>
      <c r="C590" s="144"/>
      <c r="D590" s="197"/>
      <c r="E590" s="197"/>
      <c r="F590" s="147"/>
    </row>
    <row r="591" ht="22.5" customHeight="1">
      <c r="A591" s="250"/>
      <c r="B591" s="196"/>
      <c r="C591" s="152"/>
      <c r="D591" s="196"/>
      <c r="E591" s="196"/>
      <c r="F591" s="155"/>
    </row>
    <row r="592" ht="22.5" customHeight="1">
      <c r="A592" s="202"/>
      <c r="B592" s="197"/>
      <c r="C592" s="144"/>
      <c r="D592" s="197"/>
      <c r="E592" s="197"/>
      <c r="F592" s="147"/>
    </row>
    <row r="593" ht="22.5" customHeight="1">
      <c r="A593" s="250"/>
      <c r="B593" s="196"/>
      <c r="C593" s="152"/>
      <c r="D593" s="196"/>
      <c r="E593" s="196"/>
      <c r="F593" s="155"/>
    </row>
    <row r="594" ht="22.5" customHeight="1">
      <c r="A594" s="202"/>
      <c r="B594" s="197"/>
      <c r="C594" s="144"/>
      <c r="D594" s="197"/>
      <c r="E594" s="197"/>
      <c r="F594" s="147"/>
    </row>
    <row r="595" ht="22.5" customHeight="1">
      <c r="A595" s="250"/>
      <c r="B595" s="196"/>
      <c r="C595" s="152"/>
      <c r="D595" s="196"/>
      <c r="E595" s="196"/>
      <c r="F595" s="155"/>
    </row>
    <row r="596" ht="22.5" customHeight="1">
      <c r="A596" s="202"/>
      <c r="B596" s="197"/>
      <c r="C596" s="144"/>
      <c r="D596" s="197"/>
      <c r="E596" s="197"/>
      <c r="F596" s="147"/>
    </row>
    <row r="597" ht="22.5" customHeight="1">
      <c r="A597" s="250"/>
      <c r="B597" s="196"/>
      <c r="C597" s="152"/>
      <c r="D597" s="196"/>
      <c r="E597" s="196"/>
      <c r="F597" s="155"/>
    </row>
    <row r="598" ht="22.5" customHeight="1">
      <c r="A598" s="202"/>
      <c r="B598" s="197"/>
      <c r="C598" s="144"/>
      <c r="D598" s="197"/>
      <c r="E598" s="197"/>
      <c r="F598" s="147"/>
    </row>
    <row r="599" ht="22.5" customHeight="1">
      <c r="A599" s="250"/>
      <c r="B599" s="196"/>
      <c r="C599" s="152"/>
      <c r="D599" s="196"/>
      <c r="E599" s="196"/>
      <c r="F599" s="155"/>
    </row>
    <row r="600" ht="22.5" customHeight="1">
      <c r="A600" s="202"/>
      <c r="B600" s="197"/>
      <c r="C600" s="144"/>
      <c r="D600" s="197"/>
      <c r="E600" s="197"/>
      <c r="F600" s="147"/>
    </row>
    <row r="601" ht="22.5" customHeight="1">
      <c r="A601" s="250"/>
      <c r="B601" s="196"/>
      <c r="C601" s="152"/>
      <c r="D601" s="196"/>
      <c r="E601" s="196"/>
      <c r="F601" s="155"/>
    </row>
    <row r="602" ht="22.5" customHeight="1">
      <c r="A602" s="202"/>
      <c r="B602" s="197"/>
      <c r="C602" s="144"/>
      <c r="D602" s="197"/>
      <c r="E602" s="197"/>
      <c r="F602" s="147"/>
    </row>
    <row r="603" ht="22.5" customHeight="1">
      <c r="A603" s="250"/>
      <c r="B603" s="196"/>
      <c r="C603" s="152"/>
      <c r="D603" s="196"/>
      <c r="E603" s="196"/>
      <c r="F603" s="155"/>
    </row>
    <row r="604" ht="22.5" customHeight="1">
      <c r="A604" s="202"/>
      <c r="B604" s="197"/>
      <c r="C604" s="144"/>
      <c r="D604" s="197"/>
      <c r="E604" s="197"/>
      <c r="F604" s="147"/>
    </row>
    <row r="605" ht="22.5" customHeight="1">
      <c r="A605" s="250"/>
      <c r="B605" s="196"/>
      <c r="C605" s="152"/>
      <c r="D605" s="196"/>
      <c r="E605" s="196"/>
      <c r="F605" s="155"/>
    </row>
    <row r="606" ht="22.5" customHeight="1">
      <c r="A606" s="202"/>
      <c r="B606" s="197"/>
      <c r="C606" s="144"/>
      <c r="D606" s="197"/>
      <c r="E606" s="197"/>
      <c r="F606" s="147"/>
    </row>
    <row r="607" ht="22.5" customHeight="1">
      <c r="A607" s="250"/>
      <c r="B607" s="196"/>
      <c r="C607" s="152"/>
      <c r="D607" s="196"/>
      <c r="E607" s="196"/>
      <c r="F607" s="155"/>
    </row>
    <row r="608" ht="22.5" customHeight="1">
      <c r="A608" s="202"/>
      <c r="B608" s="197"/>
      <c r="C608" s="144"/>
      <c r="D608" s="197"/>
      <c r="E608" s="197"/>
      <c r="F608" s="147"/>
    </row>
    <row r="609" ht="22.5" customHeight="1">
      <c r="A609" s="250"/>
      <c r="B609" s="196"/>
      <c r="C609" s="152"/>
      <c r="D609" s="196"/>
      <c r="E609" s="196"/>
      <c r="F609" s="155"/>
    </row>
    <row r="610" ht="22.5" customHeight="1">
      <c r="A610" s="202"/>
      <c r="B610" s="197"/>
      <c r="C610" s="144"/>
      <c r="D610" s="197"/>
      <c r="E610" s="197"/>
      <c r="F610" s="147"/>
    </row>
    <row r="611" ht="22.5" customHeight="1">
      <c r="A611" s="250"/>
      <c r="B611" s="196"/>
      <c r="C611" s="152"/>
      <c r="D611" s="196"/>
      <c r="E611" s="196"/>
      <c r="F611" s="155"/>
    </row>
    <row r="612" ht="22.5" customHeight="1">
      <c r="A612" s="202"/>
      <c r="B612" s="197"/>
      <c r="C612" s="144"/>
      <c r="D612" s="197"/>
      <c r="E612" s="197"/>
      <c r="F612" s="147"/>
    </row>
    <row r="613" ht="22.5" customHeight="1">
      <c r="A613" s="250"/>
      <c r="B613" s="196"/>
      <c r="C613" s="152"/>
      <c r="D613" s="196"/>
      <c r="E613" s="196"/>
      <c r="F613" s="155"/>
    </row>
    <row r="614" ht="22.5" customHeight="1">
      <c r="A614" s="202"/>
      <c r="B614" s="197"/>
      <c r="C614" s="144"/>
      <c r="D614" s="197"/>
      <c r="E614" s="197"/>
      <c r="F614" s="147"/>
    </row>
    <row r="615" ht="22.5" customHeight="1">
      <c r="A615" s="250"/>
      <c r="B615" s="196"/>
      <c r="C615" s="152"/>
      <c r="D615" s="196"/>
      <c r="E615" s="196"/>
      <c r="F615" s="155"/>
    </row>
    <row r="616" ht="22.5" customHeight="1">
      <c r="A616" s="202"/>
      <c r="B616" s="197"/>
      <c r="C616" s="144"/>
      <c r="D616" s="197"/>
      <c r="E616" s="197"/>
      <c r="F616" s="147"/>
    </row>
    <row r="617" ht="22.5" customHeight="1">
      <c r="A617" s="250"/>
      <c r="B617" s="196"/>
      <c r="C617" s="152"/>
      <c r="D617" s="196"/>
      <c r="E617" s="196"/>
      <c r="F617" s="155"/>
    </row>
    <row r="618" ht="22.5" customHeight="1">
      <c r="A618" s="202"/>
      <c r="B618" s="197"/>
      <c r="C618" s="144"/>
      <c r="D618" s="197"/>
      <c r="E618" s="197"/>
      <c r="F618" s="147"/>
    </row>
    <row r="619" ht="22.5" customHeight="1">
      <c r="A619" s="250"/>
      <c r="B619" s="196"/>
      <c r="C619" s="152"/>
      <c r="D619" s="196"/>
      <c r="E619" s="196"/>
      <c r="F619" s="155"/>
    </row>
    <row r="620" ht="22.5" customHeight="1">
      <c r="A620" s="202"/>
      <c r="B620" s="197"/>
      <c r="C620" s="144"/>
      <c r="D620" s="197"/>
      <c r="E620" s="197"/>
      <c r="F620" s="147"/>
    </row>
    <row r="621" ht="22.5" customHeight="1">
      <c r="A621" s="250"/>
      <c r="B621" s="196"/>
      <c r="C621" s="152"/>
      <c r="D621" s="196"/>
      <c r="E621" s="196"/>
      <c r="F621" s="155"/>
    </row>
    <row r="622" ht="22.5" customHeight="1">
      <c r="A622" s="202"/>
      <c r="B622" s="197"/>
      <c r="C622" s="144"/>
      <c r="D622" s="197"/>
      <c r="E622" s="197"/>
      <c r="F622" s="147"/>
    </row>
    <row r="623" ht="22.5" customHeight="1">
      <c r="A623" s="250"/>
      <c r="B623" s="196"/>
      <c r="C623" s="152"/>
      <c r="D623" s="196"/>
      <c r="E623" s="196"/>
      <c r="F623" s="155"/>
    </row>
    <row r="624" ht="22.5" customHeight="1">
      <c r="A624" s="202"/>
      <c r="B624" s="197"/>
      <c r="C624" s="144"/>
      <c r="D624" s="197"/>
      <c r="E624" s="197"/>
      <c r="F624" s="147"/>
    </row>
    <row r="625" ht="22.5" customHeight="1">
      <c r="A625" s="250"/>
      <c r="B625" s="196"/>
      <c r="C625" s="152"/>
      <c r="D625" s="196"/>
      <c r="E625" s="196"/>
      <c r="F625" s="155"/>
    </row>
    <row r="626" ht="22.5" customHeight="1">
      <c r="A626" s="202"/>
      <c r="B626" s="197"/>
      <c r="C626" s="144"/>
      <c r="D626" s="197"/>
      <c r="E626" s="197"/>
      <c r="F626" s="147"/>
    </row>
    <row r="627" ht="22.5" customHeight="1">
      <c r="A627" s="250"/>
      <c r="B627" s="196"/>
      <c r="C627" s="152"/>
      <c r="D627" s="196"/>
      <c r="E627" s="196"/>
      <c r="F627" s="155"/>
    </row>
    <row r="628" ht="22.5" customHeight="1">
      <c r="A628" s="202"/>
      <c r="B628" s="197"/>
      <c r="C628" s="144"/>
      <c r="D628" s="197"/>
      <c r="E628" s="197"/>
      <c r="F628" s="147"/>
    </row>
    <row r="629" ht="22.5" customHeight="1">
      <c r="A629" s="250"/>
      <c r="B629" s="196"/>
      <c r="C629" s="152"/>
      <c r="D629" s="196"/>
      <c r="E629" s="196"/>
      <c r="F629" s="155"/>
    </row>
    <row r="630" ht="22.5" customHeight="1">
      <c r="A630" s="202"/>
      <c r="B630" s="197"/>
      <c r="C630" s="144"/>
      <c r="D630" s="197"/>
      <c r="E630" s="197"/>
      <c r="F630" s="147"/>
    </row>
    <row r="631" ht="22.5" customHeight="1">
      <c r="A631" s="250"/>
      <c r="B631" s="196"/>
      <c r="C631" s="152"/>
      <c r="D631" s="196"/>
      <c r="E631" s="196"/>
      <c r="F631" s="155"/>
    </row>
    <row r="632" ht="22.5" customHeight="1">
      <c r="A632" s="202"/>
      <c r="B632" s="197"/>
      <c r="C632" s="144"/>
      <c r="D632" s="197"/>
      <c r="E632" s="197"/>
      <c r="F632" s="147"/>
    </row>
    <row r="633" ht="22.5" customHeight="1">
      <c r="A633" s="250"/>
      <c r="B633" s="196"/>
      <c r="C633" s="152"/>
      <c r="D633" s="196"/>
      <c r="E633" s="196"/>
      <c r="F633" s="155"/>
    </row>
    <row r="634" ht="22.5" customHeight="1">
      <c r="A634" s="202"/>
      <c r="B634" s="197"/>
      <c r="C634" s="144"/>
      <c r="D634" s="197"/>
      <c r="E634" s="197"/>
      <c r="F634" s="147"/>
    </row>
    <row r="635" ht="22.5" customHeight="1">
      <c r="A635" s="250"/>
      <c r="B635" s="196"/>
      <c r="C635" s="152"/>
      <c r="D635" s="196"/>
      <c r="E635" s="196"/>
      <c r="F635" s="155"/>
    </row>
    <row r="636" ht="22.5" customHeight="1">
      <c r="A636" s="202"/>
      <c r="B636" s="197"/>
      <c r="C636" s="144"/>
      <c r="D636" s="197"/>
      <c r="E636" s="197"/>
      <c r="F636" s="147"/>
    </row>
    <row r="637" ht="22.5" customHeight="1">
      <c r="A637" s="250"/>
      <c r="B637" s="196"/>
      <c r="C637" s="152"/>
      <c r="D637" s="196"/>
      <c r="E637" s="196"/>
      <c r="F637" s="155"/>
    </row>
    <row r="638" ht="22.5" customHeight="1">
      <c r="A638" s="202"/>
      <c r="B638" s="197"/>
      <c r="C638" s="144"/>
      <c r="D638" s="197"/>
      <c r="E638" s="197"/>
      <c r="F638" s="147"/>
    </row>
    <row r="639" ht="22.5" customHeight="1">
      <c r="A639" s="250"/>
      <c r="B639" s="196"/>
      <c r="C639" s="152"/>
      <c r="D639" s="196"/>
      <c r="E639" s="196"/>
      <c r="F639" s="155"/>
    </row>
    <row r="640" ht="22.5" customHeight="1">
      <c r="A640" s="202"/>
      <c r="B640" s="197"/>
      <c r="C640" s="144"/>
      <c r="D640" s="197"/>
      <c r="E640" s="197"/>
      <c r="F640" s="147"/>
    </row>
    <row r="641" ht="22.5" customHeight="1">
      <c r="A641" s="250"/>
      <c r="B641" s="196"/>
      <c r="C641" s="152"/>
      <c r="D641" s="196"/>
      <c r="E641" s="196"/>
      <c r="F641" s="155"/>
    </row>
    <row r="642" ht="22.5" customHeight="1">
      <c r="A642" s="202"/>
      <c r="B642" s="197"/>
      <c r="C642" s="144"/>
      <c r="D642" s="197"/>
      <c r="E642" s="197"/>
      <c r="F642" s="147"/>
    </row>
    <row r="643" ht="22.5" customHeight="1">
      <c r="A643" s="250"/>
      <c r="B643" s="196"/>
      <c r="C643" s="152"/>
      <c r="D643" s="196"/>
      <c r="E643" s="196"/>
      <c r="F643" s="155"/>
    </row>
    <row r="644" ht="22.5" customHeight="1">
      <c r="A644" s="202"/>
      <c r="B644" s="197"/>
      <c r="C644" s="144"/>
      <c r="D644" s="197"/>
      <c r="E644" s="197"/>
      <c r="F644" s="147"/>
    </row>
    <row r="645" ht="22.5" customHeight="1">
      <c r="A645" s="250"/>
      <c r="B645" s="196"/>
      <c r="C645" s="152"/>
      <c r="D645" s="196"/>
      <c r="E645" s="196"/>
      <c r="F645" s="155"/>
    </row>
    <row r="646" ht="22.5" customHeight="1">
      <c r="A646" s="202"/>
      <c r="B646" s="197"/>
      <c r="C646" s="144"/>
      <c r="D646" s="197"/>
      <c r="E646" s="197"/>
      <c r="F646" s="147"/>
    </row>
    <row r="647" ht="22.5" customHeight="1">
      <c r="A647" s="250"/>
      <c r="B647" s="196"/>
      <c r="C647" s="152"/>
      <c r="D647" s="196"/>
      <c r="E647" s="196"/>
      <c r="F647" s="155"/>
    </row>
    <row r="648" ht="22.5" customHeight="1">
      <c r="A648" s="202"/>
      <c r="B648" s="197"/>
      <c r="C648" s="144"/>
      <c r="D648" s="197"/>
      <c r="E648" s="197"/>
      <c r="F648" s="147"/>
    </row>
    <row r="649" ht="22.5" customHeight="1">
      <c r="A649" s="250"/>
      <c r="B649" s="196"/>
      <c r="C649" s="152"/>
      <c r="D649" s="196"/>
      <c r="E649" s="196"/>
      <c r="F649" s="155"/>
    </row>
    <row r="650" ht="22.5" customHeight="1">
      <c r="A650" s="202"/>
      <c r="B650" s="197"/>
      <c r="C650" s="144"/>
      <c r="D650" s="197"/>
      <c r="E650" s="197"/>
      <c r="F650" s="147"/>
    </row>
    <row r="651" ht="22.5" customHeight="1">
      <c r="A651" s="250"/>
      <c r="B651" s="196"/>
      <c r="C651" s="152"/>
      <c r="D651" s="196"/>
      <c r="E651" s="196"/>
      <c r="F651" s="155"/>
    </row>
    <row r="652" ht="22.5" customHeight="1">
      <c r="A652" s="202"/>
      <c r="B652" s="197"/>
      <c r="C652" s="144"/>
      <c r="D652" s="197"/>
      <c r="E652" s="197"/>
      <c r="F652" s="147"/>
    </row>
    <row r="653" ht="22.5" customHeight="1">
      <c r="A653" s="250"/>
      <c r="B653" s="196"/>
      <c r="C653" s="152"/>
      <c r="D653" s="196"/>
      <c r="E653" s="196"/>
      <c r="F653" s="155"/>
    </row>
    <row r="654" ht="22.5" customHeight="1">
      <c r="A654" s="202"/>
      <c r="B654" s="197"/>
      <c r="C654" s="144"/>
      <c r="D654" s="197"/>
      <c r="E654" s="197"/>
      <c r="F654" s="147"/>
    </row>
    <row r="655" ht="22.5" customHeight="1">
      <c r="A655" s="250"/>
      <c r="B655" s="196"/>
      <c r="C655" s="152"/>
      <c r="D655" s="196"/>
      <c r="E655" s="196"/>
      <c r="F655" s="155"/>
    </row>
    <row r="656" ht="22.5" customHeight="1">
      <c r="A656" s="202"/>
      <c r="B656" s="197"/>
      <c r="C656" s="144"/>
      <c r="D656" s="197"/>
      <c r="E656" s="197"/>
      <c r="F656" s="147"/>
    </row>
    <row r="657" ht="22.5" customHeight="1">
      <c r="A657" s="250"/>
      <c r="B657" s="196"/>
      <c r="C657" s="152"/>
      <c r="D657" s="196"/>
      <c r="E657" s="196"/>
      <c r="F657" s="155"/>
    </row>
    <row r="658" ht="22.5" customHeight="1">
      <c r="A658" s="202"/>
      <c r="B658" s="197"/>
      <c r="C658" s="144"/>
      <c r="D658" s="197"/>
      <c r="E658" s="197"/>
      <c r="F658" s="147"/>
    </row>
    <row r="659" ht="22.5" customHeight="1">
      <c r="A659" s="250"/>
      <c r="B659" s="196"/>
      <c r="C659" s="152"/>
      <c r="D659" s="196"/>
      <c r="E659" s="196"/>
      <c r="F659" s="155"/>
    </row>
    <row r="660" ht="22.5" customHeight="1">
      <c r="A660" s="202"/>
      <c r="B660" s="197"/>
      <c r="C660" s="144"/>
      <c r="D660" s="197"/>
      <c r="E660" s="197"/>
      <c r="F660" s="147"/>
    </row>
    <row r="661" ht="22.5" customHeight="1">
      <c r="A661" s="250"/>
      <c r="B661" s="196"/>
      <c r="C661" s="152"/>
      <c r="D661" s="196"/>
      <c r="E661" s="196"/>
      <c r="F661" s="155"/>
    </row>
    <row r="662" ht="22.5" customHeight="1">
      <c r="A662" s="202"/>
      <c r="B662" s="197"/>
      <c r="C662" s="144"/>
      <c r="D662" s="197"/>
      <c r="E662" s="197"/>
      <c r="F662" s="147"/>
    </row>
    <row r="663" ht="22.5" customHeight="1">
      <c r="A663" s="250"/>
      <c r="B663" s="196"/>
      <c r="C663" s="152"/>
      <c r="D663" s="196"/>
      <c r="E663" s="196"/>
      <c r="F663" s="155"/>
    </row>
    <row r="664" ht="22.5" customHeight="1">
      <c r="A664" s="202"/>
      <c r="B664" s="197"/>
      <c r="C664" s="144"/>
      <c r="D664" s="197"/>
      <c r="E664" s="197"/>
      <c r="F664" s="147"/>
    </row>
    <row r="665" ht="22.5" customHeight="1">
      <c r="A665" s="250"/>
      <c r="B665" s="196"/>
      <c r="C665" s="152"/>
      <c r="D665" s="196"/>
      <c r="E665" s="196"/>
      <c r="F665" s="155"/>
    </row>
    <row r="666" ht="22.5" customHeight="1">
      <c r="A666" s="202"/>
      <c r="B666" s="197"/>
      <c r="C666" s="144"/>
      <c r="D666" s="197"/>
      <c r="E666" s="197"/>
      <c r="F666" s="147"/>
    </row>
    <row r="667" ht="22.5" customHeight="1">
      <c r="A667" s="250"/>
      <c r="B667" s="196"/>
      <c r="C667" s="152"/>
      <c r="D667" s="196"/>
      <c r="E667" s="196"/>
      <c r="F667" s="155"/>
    </row>
    <row r="668" ht="22.5" customHeight="1">
      <c r="A668" s="202"/>
      <c r="B668" s="197"/>
      <c r="C668" s="144"/>
      <c r="D668" s="197"/>
      <c r="E668" s="197"/>
      <c r="F668" s="147"/>
    </row>
    <row r="669" ht="22.5" customHeight="1">
      <c r="A669" s="250"/>
      <c r="B669" s="196"/>
      <c r="C669" s="152"/>
      <c r="D669" s="196"/>
      <c r="E669" s="196"/>
      <c r="F669" s="155"/>
    </row>
    <row r="670" ht="22.5" customHeight="1">
      <c r="A670" s="202"/>
      <c r="B670" s="197"/>
      <c r="C670" s="144"/>
      <c r="D670" s="197"/>
      <c r="E670" s="197"/>
      <c r="F670" s="147"/>
    </row>
    <row r="671" ht="22.5" customHeight="1">
      <c r="A671" s="250"/>
      <c r="B671" s="196"/>
      <c r="C671" s="152"/>
      <c r="D671" s="196"/>
      <c r="E671" s="196"/>
      <c r="F671" s="155"/>
    </row>
    <row r="672" ht="22.5" customHeight="1">
      <c r="A672" s="202"/>
      <c r="B672" s="197"/>
      <c r="C672" s="144"/>
      <c r="D672" s="197"/>
      <c r="E672" s="197"/>
      <c r="F672" s="147"/>
    </row>
    <row r="673" ht="22.5" customHeight="1">
      <c r="A673" s="250"/>
      <c r="B673" s="196"/>
      <c r="C673" s="152"/>
      <c r="D673" s="196"/>
      <c r="E673" s="196"/>
      <c r="F673" s="155"/>
    </row>
    <row r="674" ht="22.5" customHeight="1">
      <c r="A674" s="202"/>
      <c r="B674" s="197"/>
      <c r="C674" s="144"/>
      <c r="D674" s="197"/>
      <c r="E674" s="197"/>
      <c r="F674" s="147"/>
    </row>
    <row r="675" ht="22.5" customHeight="1">
      <c r="A675" s="250"/>
      <c r="B675" s="196"/>
      <c r="C675" s="152"/>
      <c r="D675" s="196"/>
      <c r="E675" s="196"/>
      <c r="F675" s="155"/>
    </row>
    <row r="676" ht="22.5" customHeight="1">
      <c r="A676" s="202"/>
      <c r="B676" s="197"/>
      <c r="C676" s="144"/>
      <c r="D676" s="197"/>
      <c r="E676" s="197"/>
      <c r="F676" s="147"/>
    </row>
    <row r="677" ht="22.5" customHeight="1">
      <c r="A677" s="250"/>
      <c r="B677" s="196"/>
      <c r="C677" s="152"/>
      <c r="D677" s="196"/>
      <c r="E677" s="196"/>
      <c r="F677" s="155"/>
    </row>
    <row r="678" ht="22.5" customHeight="1">
      <c r="A678" s="202"/>
      <c r="B678" s="197"/>
      <c r="C678" s="144"/>
      <c r="D678" s="197"/>
      <c r="E678" s="197"/>
      <c r="F678" s="147"/>
    </row>
    <row r="679" ht="22.5" customHeight="1">
      <c r="A679" s="250"/>
      <c r="B679" s="196"/>
      <c r="C679" s="152"/>
      <c r="D679" s="196"/>
      <c r="E679" s="196"/>
      <c r="F679" s="155"/>
    </row>
    <row r="680" ht="22.5" customHeight="1">
      <c r="A680" s="202"/>
      <c r="B680" s="197"/>
      <c r="C680" s="144"/>
      <c r="D680" s="197"/>
      <c r="E680" s="197"/>
      <c r="F680" s="147"/>
    </row>
    <row r="681" ht="22.5" customHeight="1">
      <c r="A681" s="250"/>
      <c r="B681" s="196"/>
      <c r="C681" s="152"/>
      <c r="D681" s="196"/>
      <c r="E681" s="196"/>
      <c r="F681" s="155"/>
    </row>
    <row r="682" ht="22.5" customHeight="1">
      <c r="A682" s="202"/>
      <c r="B682" s="197"/>
      <c r="C682" s="144"/>
      <c r="D682" s="197"/>
      <c r="E682" s="197"/>
      <c r="F682" s="147"/>
    </row>
    <row r="683" ht="22.5" customHeight="1">
      <c r="A683" s="250"/>
      <c r="B683" s="196"/>
      <c r="C683" s="152"/>
      <c r="D683" s="196"/>
      <c r="E683" s="196"/>
      <c r="F683" s="155"/>
    </row>
    <row r="684" ht="22.5" customHeight="1">
      <c r="A684" s="202"/>
      <c r="B684" s="197"/>
      <c r="C684" s="144"/>
      <c r="D684" s="197"/>
      <c r="E684" s="197"/>
      <c r="F684" s="147"/>
    </row>
    <row r="685" ht="22.5" customHeight="1">
      <c r="A685" s="250"/>
      <c r="B685" s="196"/>
      <c r="C685" s="152"/>
      <c r="D685" s="196"/>
      <c r="E685" s="196"/>
      <c r="F685" s="155"/>
    </row>
    <row r="686" ht="22.5" customHeight="1">
      <c r="A686" s="202"/>
      <c r="B686" s="197"/>
      <c r="C686" s="144"/>
      <c r="D686" s="197"/>
      <c r="E686" s="197"/>
      <c r="F686" s="147"/>
    </row>
    <row r="687" ht="22.5" customHeight="1">
      <c r="A687" s="250"/>
      <c r="B687" s="196"/>
      <c r="C687" s="152"/>
      <c r="D687" s="196"/>
      <c r="E687" s="196"/>
      <c r="F687" s="155"/>
    </row>
    <row r="688" ht="22.5" customHeight="1">
      <c r="A688" s="202"/>
      <c r="B688" s="197"/>
      <c r="C688" s="144"/>
      <c r="D688" s="197"/>
      <c r="E688" s="197"/>
      <c r="F688" s="147"/>
    </row>
    <row r="689" ht="22.5" customHeight="1">
      <c r="A689" s="250"/>
      <c r="B689" s="196"/>
      <c r="C689" s="152"/>
      <c r="D689" s="196"/>
      <c r="E689" s="196"/>
      <c r="F689" s="155"/>
    </row>
    <row r="690" ht="22.5" customHeight="1">
      <c r="A690" s="202"/>
      <c r="B690" s="197"/>
      <c r="C690" s="144"/>
      <c r="D690" s="197"/>
      <c r="E690" s="197"/>
      <c r="F690" s="147"/>
    </row>
    <row r="691" ht="22.5" customHeight="1">
      <c r="A691" s="250"/>
      <c r="B691" s="196"/>
      <c r="C691" s="152"/>
      <c r="D691" s="196"/>
      <c r="E691" s="196"/>
      <c r="F691" s="155"/>
    </row>
    <row r="692" ht="22.5" customHeight="1">
      <c r="A692" s="202"/>
      <c r="B692" s="197"/>
      <c r="C692" s="144"/>
      <c r="D692" s="197"/>
      <c r="E692" s="197"/>
      <c r="F692" s="147"/>
    </row>
    <row r="693" ht="22.5" customHeight="1">
      <c r="A693" s="250"/>
      <c r="B693" s="196"/>
      <c r="C693" s="152"/>
      <c r="D693" s="196"/>
      <c r="E693" s="196"/>
      <c r="F693" s="155"/>
    </row>
    <row r="694" ht="22.5" customHeight="1">
      <c r="A694" s="202"/>
      <c r="B694" s="197"/>
      <c r="C694" s="144"/>
      <c r="D694" s="197"/>
      <c r="E694" s="197"/>
      <c r="F694" s="147"/>
    </row>
    <row r="695" ht="22.5" customHeight="1">
      <c r="A695" s="250"/>
      <c r="B695" s="196"/>
      <c r="C695" s="152"/>
      <c r="D695" s="196"/>
      <c r="E695" s="196"/>
      <c r="F695" s="155"/>
    </row>
    <row r="696" ht="22.5" customHeight="1">
      <c r="A696" s="202"/>
      <c r="B696" s="197"/>
      <c r="C696" s="144"/>
      <c r="D696" s="197"/>
      <c r="E696" s="197"/>
      <c r="F696" s="147"/>
    </row>
    <row r="697" ht="22.5" customHeight="1">
      <c r="A697" s="250"/>
      <c r="B697" s="196"/>
      <c r="C697" s="152"/>
      <c r="D697" s="196"/>
      <c r="E697" s="196"/>
      <c r="F697" s="155"/>
    </row>
    <row r="698" ht="22.5" customHeight="1">
      <c r="A698" s="202"/>
      <c r="B698" s="197"/>
      <c r="C698" s="144"/>
      <c r="D698" s="197"/>
      <c r="E698" s="197"/>
      <c r="F698" s="147"/>
    </row>
    <row r="699" ht="22.5" customHeight="1">
      <c r="A699" s="250"/>
      <c r="B699" s="196"/>
      <c r="C699" s="152"/>
      <c r="D699" s="196"/>
      <c r="E699" s="196"/>
      <c r="F699" s="155"/>
    </row>
    <row r="700" ht="22.5" customHeight="1">
      <c r="A700" s="202"/>
      <c r="B700" s="197"/>
      <c r="C700" s="144"/>
      <c r="D700" s="197"/>
      <c r="E700" s="197"/>
      <c r="F700" s="147"/>
    </row>
    <row r="701" ht="22.5" customHeight="1">
      <c r="A701" s="250"/>
      <c r="B701" s="196"/>
      <c r="C701" s="152"/>
      <c r="D701" s="196"/>
      <c r="E701" s="196"/>
      <c r="F701" s="155"/>
    </row>
    <row r="702" ht="22.5" customHeight="1">
      <c r="A702" s="202"/>
      <c r="B702" s="197"/>
      <c r="C702" s="144"/>
      <c r="D702" s="197"/>
      <c r="E702" s="197"/>
      <c r="F702" s="147"/>
    </row>
    <row r="703" ht="22.5" customHeight="1">
      <c r="A703" s="250"/>
      <c r="B703" s="196"/>
      <c r="C703" s="152"/>
      <c r="D703" s="196"/>
      <c r="E703" s="196"/>
      <c r="F703" s="155"/>
    </row>
    <row r="704" ht="22.5" customHeight="1">
      <c r="A704" s="202"/>
      <c r="B704" s="197"/>
      <c r="C704" s="144"/>
      <c r="D704" s="197"/>
      <c r="E704" s="197"/>
      <c r="F704" s="147"/>
    </row>
    <row r="705" ht="22.5" customHeight="1">
      <c r="A705" s="250"/>
      <c r="B705" s="196"/>
      <c r="C705" s="152"/>
      <c r="D705" s="196"/>
      <c r="E705" s="196"/>
      <c r="F705" s="155"/>
    </row>
    <row r="706" ht="22.5" customHeight="1">
      <c r="A706" s="202"/>
      <c r="B706" s="197"/>
      <c r="C706" s="144"/>
      <c r="D706" s="197"/>
      <c r="E706" s="197"/>
      <c r="F706" s="147"/>
    </row>
    <row r="707" ht="22.5" customHeight="1">
      <c r="A707" s="250"/>
      <c r="B707" s="196"/>
      <c r="C707" s="152"/>
      <c r="D707" s="196"/>
      <c r="E707" s="196"/>
      <c r="F707" s="155"/>
    </row>
    <row r="708" ht="22.5" customHeight="1">
      <c r="A708" s="202"/>
      <c r="B708" s="197"/>
      <c r="C708" s="144"/>
      <c r="D708" s="197"/>
      <c r="E708" s="197"/>
      <c r="F708" s="147"/>
    </row>
    <row r="709" ht="22.5" customHeight="1">
      <c r="A709" s="250"/>
      <c r="B709" s="196"/>
      <c r="C709" s="152"/>
      <c r="D709" s="196"/>
      <c r="E709" s="196"/>
      <c r="F709" s="155"/>
    </row>
    <row r="710" ht="22.5" customHeight="1">
      <c r="A710" s="202"/>
      <c r="B710" s="197"/>
      <c r="C710" s="144"/>
      <c r="D710" s="197"/>
      <c r="E710" s="197"/>
      <c r="F710" s="147"/>
    </row>
    <row r="711" ht="22.5" customHeight="1">
      <c r="A711" s="250"/>
      <c r="B711" s="196"/>
      <c r="C711" s="152"/>
      <c r="D711" s="196"/>
      <c r="E711" s="196"/>
      <c r="F711" s="155"/>
    </row>
    <row r="712" ht="22.5" customHeight="1">
      <c r="A712" s="202"/>
      <c r="B712" s="197"/>
      <c r="C712" s="144"/>
      <c r="D712" s="197"/>
      <c r="E712" s="197"/>
      <c r="F712" s="147"/>
    </row>
    <row r="713" ht="22.5" customHeight="1">
      <c r="A713" s="250"/>
      <c r="B713" s="196"/>
      <c r="C713" s="152"/>
      <c r="D713" s="196"/>
      <c r="E713" s="196"/>
      <c r="F713" s="155"/>
    </row>
    <row r="714" ht="22.5" customHeight="1">
      <c r="A714" s="202"/>
      <c r="B714" s="197"/>
      <c r="C714" s="144"/>
      <c r="D714" s="197"/>
      <c r="E714" s="197"/>
      <c r="F714" s="147"/>
    </row>
    <row r="715" ht="22.5" customHeight="1">
      <c r="A715" s="250"/>
      <c r="B715" s="196"/>
      <c r="C715" s="152"/>
      <c r="D715" s="196"/>
      <c r="E715" s="196"/>
      <c r="F715" s="155"/>
    </row>
    <row r="716" ht="22.5" customHeight="1">
      <c r="A716" s="202"/>
      <c r="B716" s="197"/>
      <c r="C716" s="144"/>
      <c r="D716" s="197"/>
      <c r="E716" s="197"/>
      <c r="F716" s="147"/>
    </row>
    <row r="717" ht="22.5" customHeight="1">
      <c r="A717" s="250"/>
      <c r="B717" s="196"/>
      <c r="C717" s="152"/>
      <c r="D717" s="196"/>
      <c r="E717" s="196"/>
      <c r="F717" s="155"/>
    </row>
    <row r="718" ht="22.5" customHeight="1">
      <c r="A718" s="202"/>
      <c r="B718" s="197"/>
      <c r="C718" s="144"/>
      <c r="D718" s="197"/>
      <c r="E718" s="197"/>
      <c r="F718" s="147"/>
    </row>
    <row r="719" ht="22.5" customHeight="1">
      <c r="A719" s="250"/>
      <c r="B719" s="196"/>
      <c r="C719" s="152"/>
      <c r="D719" s="196"/>
      <c r="E719" s="196"/>
      <c r="F719" s="155"/>
    </row>
    <row r="720" ht="22.5" customHeight="1">
      <c r="A720" s="202"/>
      <c r="B720" s="197"/>
      <c r="C720" s="144"/>
      <c r="D720" s="197"/>
      <c r="E720" s="197"/>
      <c r="F720" s="147"/>
    </row>
    <row r="721" ht="22.5" customHeight="1">
      <c r="A721" s="250"/>
      <c r="B721" s="196"/>
      <c r="C721" s="152"/>
      <c r="D721" s="196"/>
      <c r="E721" s="196"/>
      <c r="F721" s="155"/>
    </row>
    <row r="722" ht="22.5" customHeight="1">
      <c r="A722" s="202"/>
      <c r="B722" s="197"/>
      <c r="C722" s="144"/>
      <c r="D722" s="197"/>
      <c r="E722" s="197"/>
      <c r="F722" s="147"/>
    </row>
    <row r="723" ht="22.5" customHeight="1">
      <c r="A723" s="250"/>
      <c r="B723" s="196"/>
      <c r="C723" s="152"/>
      <c r="D723" s="196"/>
      <c r="E723" s="196"/>
      <c r="F723" s="155"/>
    </row>
    <row r="724" ht="22.5" customHeight="1">
      <c r="A724" s="202"/>
      <c r="B724" s="197"/>
      <c r="C724" s="144"/>
      <c r="D724" s="197"/>
      <c r="E724" s="197"/>
      <c r="F724" s="147"/>
    </row>
    <row r="725" ht="22.5" customHeight="1">
      <c r="A725" s="250"/>
      <c r="B725" s="196"/>
      <c r="C725" s="152"/>
      <c r="D725" s="196"/>
      <c r="E725" s="196"/>
      <c r="F725" s="155"/>
    </row>
    <row r="726" ht="22.5" customHeight="1">
      <c r="A726" s="202"/>
      <c r="B726" s="197"/>
      <c r="C726" s="144"/>
      <c r="D726" s="197"/>
      <c r="E726" s="197"/>
      <c r="F726" s="147"/>
    </row>
    <row r="727" ht="22.5" customHeight="1">
      <c r="A727" s="250"/>
      <c r="B727" s="196"/>
      <c r="C727" s="152"/>
      <c r="D727" s="196"/>
      <c r="E727" s="196"/>
      <c r="F727" s="155"/>
    </row>
    <row r="728" ht="22.5" customHeight="1">
      <c r="A728" s="202"/>
      <c r="B728" s="197"/>
      <c r="C728" s="144"/>
      <c r="D728" s="197"/>
      <c r="E728" s="197"/>
      <c r="F728" s="147"/>
    </row>
    <row r="729" ht="22.5" customHeight="1">
      <c r="A729" s="250"/>
      <c r="B729" s="196"/>
      <c r="C729" s="152"/>
      <c r="D729" s="196"/>
      <c r="E729" s="196"/>
      <c r="F729" s="155"/>
    </row>
    <row r="730" ht="22.5" customHeight="1">
      <c r="A730" s="202"/>
      <c r="B730" s="197"/>
      <c r="C730" s="144"/>
      <c r="D730" s="197"/>
      <c r="E730" s="197"/>
      <c r="F730" s="147"/>
    </row>
    <row r="731" ht="22.5" customHeight="1">
      <c r="A731" s="250"/>
      <c r="B731" s="196"/>
      <c r="C731" s="152"/>
      <c r="D731" s="196"/>
      <c r="E731" s="196"/>
      <c r="F731" s="155"/>
    </row>
    <row r="732" ht="22.5" customHeight="1">
      <c r="A732" s="202"/>
      <c r="B732" s="197"/>
      <c r="C732" s="144"/>
      <c r="D732" s="197"/>
      <c r="E732" s="197"/>
      <c r="F732" s="147"/>
    </row>
    <row r="733" ht="22.5" customHeight="1">
      <c r="A733" s="250"/>
      <c r="B733" s="196"/>
      <c r="C733" s="152"/>
      <c r="D733" s="196"/>
      <c r="E733" s="196"/>
      <c r="F733" s="155"/>
    </row>
    <row r="734" ht="22.5" customHeight="1">
      <c r="A734" s="202"/>
      <c r="B734" s="197"/>
      <c r="C734" s="144"/>
      <c r="D734" s="197"/>
      <c r="E734" s="197"/>
      <c r="F734" s="147"/>
    </row>
    <row r="735" ht="22.5" customHeight="1">
      <c r="A735" s="250"/>
      <c r="B735" s="196"/>
      <c r="C735" s="152"/>
      <c r="D735" s="196"/>
      <c r="E735" s="196"/>
      <c r="F735" s="155"/>
    </row>
    <row r="736" ht="22.5" customHeight="1">
      <c r="A736" s="202"/>
      <c r="B736" s="197"/>
      <c r="C736" s="144"/>
      <c r="D736" s="197"/>
      <c r="E736" s="197"/>
      <c r="F736" s="147"/>
    </row>
    <row r="737" ht="22.5" customHeight="1">
      <c r="A737" s="250"/>
      <c r="B737" s="196"/>
      <c r="C737" s="152"/>
      <c r="D737" s="196"/>
      <c r="E737" s="196"/>
      <c r="F737" s="155"/>
    </row>
    <row r="738" ht="22.5" customHeight="1">
      <c r="A738" s="202"/>
      <c r="B738" s="197"/>
      <c r="C738" s="144"/>
      <c r="D738" s="197"/>
      <c r="E738" s="197"/>
      <c r="F738" s="147"/>
    </row>
    <row r="739" ht="22.5" customHeight="1">
      <c r="A739" s="250"/>
      <c r="B739" s="196"/>
      <c r="C739" s="152"/>
      <c r="D739" s="196"/>
      <c r="E739" s="196"/>
      <c r="F739" s="155"/>
    </row>
    <row r="740" ht="22.5" customHeight="1">
      <c r="A740" s="202"/>
      <c r="B740" s="197"/>
      <c r="C740" s="144"/>
      <c r="D740" s="197"/>
      <c r="E740" s="197"/>
      <c r="F740" s="147"/>
    </row>
    <row r="741" ht="22.5" customHeight="1">
      <c r="A741" s="250"/>
      <c r="B741" s="196"/>
      <c r="C741" s="152"/>
      <c r="D741" s="196"/>
      <c r="E741" s="196"/>
      <c r="F741" s="155"/>
    </row>
    <row r="742" ht="22.5" customHeight="1">
      <c r="A742" s="202"/>
      <c r="B742" s="197"/>
      <c r="C742" s="144"/>
      <c r="D742" s="197"/>
      <c r="E742" s="197"/>
      <c r="F742" s="147"/>
    </row>
    <row r="743" ht="22.5" customHeight="1">
      <c r="A743" s="250"/>
      <c r="B743" s="196"/>
      <c r="C743" s="152"/>
      <c r="D743" s="196"/>
      <c r="E743" s="196"/>
      <c r="F743" s="155"/>
    </row>
    <row r="744" ht="22.5" customHeight="1">
      <c r="A744" s="202"/>
      <c r="B744" s="197"/>
      <c r="C744" s="144"/>
      <c r="D744" s="197"/>
      <c r="E744" s="197"/>
      <c r="F744" s="147"/>
    </row>
    <row r="745" ht="22.5" customHeight="1">
      <c r="A745" s="250"/>
      <c r="B745" s="196"/>
      <c r="C745" s="152"/>
      <c r="D745" s="196"/>
      <c r="E745" s="196"/>
      <c r="F745" s="155"/>
    </row>
    <row r="746" ht="22.5" customHeight="1">
      <c r="A746" s="202"/>
      <c r="B746" s="197"/>
      <c r="C746" s="144"/>
      <c r="D746" s="197"/>
      <c r="E746" s="197"/>
      <c r="F746" s="147"/>
    </row>
    <row r="747" ht="22.5" customHeight="1">
      <c r="A747" s="250"/>
      <c r="B747" s="196"/>
      <c r="C747" s="152"/>
      <c r="D747" s="196"/>
      <c r="E747" s="196"/>
      <c r="F747" s="155"/>
    </row>
    <row r="748" ht="22.5" customHeight="1">
      <c r="A748" s="202"/>
      <c r="B748" s="197"/>
      <c r="C748" s="144"/>
      <c r="D748" s="197"/>
      <c r="E748" s="197"/>
      <c r="F748" s="147"/>
    </row>
    <row r="749" ht="22.5" customHeight="1">
      <c r="A749" s="250"/>
      <c r="B749" s="196"/>
      <c r="C749" s="152"/>
      <c r="D749" s="196"/>
      <c r="E749" s="196"/>
      <c r="F749" s="155"/>
    </row>
    <row r="750" ht="22.5" customHeight="1">
      <c r="A750" s="202"/>
      <c r="B750" s="197"/>
      <c r="C750" s="144"/>
      <c r="D750" s="197"/>
      <c r="E750" s="197"/>
      <c r="F750" s="147"/>
    </row>
    <row r="751" ht="22.5" customHeight="1">
      <c r="A751" s="250"/>
      <c r="B751" s="196"/>
      <c r="C751" s="152"/>
      <c r="D751" s="196"/>
      <c r="E751" s="196"/>
      <c r="F751" s="155"/>
    </row>
    <row r="752" ht="22.5" customHeight="1">
      <c r="A752" s="202"/>
      <c r="B752" s="197"/>
      <c r="C752" s="144"/>
      <c r="D752" s="197"/>
      <c r="E752" s="197"/>
      <c r="F752" s="147"/>
    </row>
    <row r="753" ht="22.5" customHeight="1">
      <c r="A753" s="250"/>
      <c r="B753" s="196"/>
      <c r="C753" s="152"/>
      <c r="D753" s="196"/>
      <c r="E753" s="196"/>
      <c r="F753" s="155"/>
    </row>
    <row r="754" ht="22.5" customHeight="1">
      <c r="A754" s="202"/>
      <c r="B754" s="197"/>
      <c r="C754" s="144"/>
      <c r="D754" s="197"/>
      <c r="E754" s="197"/>
      <c r="F754" s="147"/>
    </row>
    <row r="755" ht="22.5" customHeight="1">
      <c r="A755" s="250"/>
      <c r="B755" s="196"/>
      <c r="C755" s="152"/>
      <c r="D755" s="196"/>
      <c r="E755" s="196"/>
      <c r="F755" s="155"/>
    </row>
    <row r="756" ht="22.5" customHeight="1">
      <c r="A756" s="202"/>
      <c r="B756" s="197"/>
      <c r="C756" s="144"/>
      <c r="D756" s="197"/>
      <c r="E756" s="197"/>
      <c r="F756" s="147"/>
    </row>
    <row r="757" ht="22.5" customHeight="1">
      <c r="A757" s="250"/>
      <c r="B757" s="196"/>
      <c r="C757" s="152"/>
      <c r="D757" s="196"/>
      <c r="E757" s="196"/>
      <c r="F757" s="155"/>
    </row>
    <row r="758" ht="22.5" customHeight="1">
      <c r="A758" s="202"/>
      <c r="B758" s="197"/>
      <c r="C758" s="144"/>
      <c r="D758" s="197"/>
      <c r="E758" s="197"/>
      <c r="F758" s="147"/>
    </row>
    <row r="759" ht="22.5" customHeight="1">
      <c r="A759" s="250"/>
      <c r="B759" s="196"/>
      <c r="C759" s="152"/>
      <c r="D759" s="196"/>
      <c r="E759" s="196"/>
      <c r="F759" s="155"/>
    </row>
    <row r="760" ht="22.5" customHeight="1">
      <c r="A760" s="202"/>
      <c r="B760" s="197"/>
      <c r="C760" s="144"/>
      <c r="D760" s="197"/>
      <c r="E760" s="197"/>
      <c r="F760" s="147"/>
    </row>
    <row r="761" ht="22.5" customHeight="1">
      <c r="A761" s="250"/>
      <c r="B761" s="196"/>
      <c r="C761" s="152"/>
      <c r="D761" s="196"/>
      <c r="E761" s="196"/>
      <c r="F761" s="155"/>
    </row>
    <row r="762" ht="22.5" customHeight="1">
      <c r="A762" s="202"/>
      <c r="B762" s="197"/>
      <c r="C762" s="144"/>
      <c r="D762" s="197"/>
      <c r="E762" s="197"/>
      <c r="F762" s="147"/>
    </row>
    <row r="763" ht="22.5" customHeight="1">
      <c r="A763" s="250"/>
      <c r="B763" s="196"/>
      <c r="C763" s="152"/>
      <c r="D763" s="196"/>
      <c r="E763" s="196"/>
      <c r="F763" s="155"/>
    </row>
    <row r="764" ht="22.5" customHeight="1">
      <c r="A764" s="202"/>
      <c r="B764" s="197"/>
      <c r="C764" s="144"/>
      <c r="D764" s="197"/>
      <c r="E764" s="197"/>
      <c r="F764" s="147"/>
    </row>
    <row r="765" ht="22.5" customHeight="1">
      <c r="A765" s="250"/>
      <c r="B765" s="196"/>
      <c r="C765" s="152"/>
      <c r="D765" s="196"/>
      <c r="E765" s="196"/>
      <c r="F765" s="155"/>
    </row>
    <row r="766" ht="22.5" customHeight="1">
      <c r="A766" s="202"/>
      <c r="B766" s="197"/>
      <c r="C766" s="144"/>
      <c r="D766" s="197"/>
      <c r="E766" s="197"/>
      <c r="F766" s="147"/>
    </row>
    <row r="767" ht="22.5" customHeight="1">
      <c r="A767" s="250"/>
      <c r="B767" s="196"/>
      <c r="C767" s="152"/>
      <c r="D767" s="196"/>
      <c r="E767" s="196"/>
      <c r="F767" s="155"/>
    </row>
    <row r="768" ht="22.5" customHeight="1">
      <c r="A768" s="202"/>
      <c r="B768" s="197"/>
      <c r="C768" s="144"/>
      <c r="D768" s="197"/>
      <c r="E768" s="197"/>
      <c r="F768" s="147"/>
    </row>
    <row r="769" ht="22.5" customHeight="1">
      <c r="A769" s="250"/>
      <c r="B769" s="196"/>
      <c r="C769" s="152"/>
      <c r="D769" s="196"/>
      <c r="E769" s="196"/>
      <c r="F769" s="155"/>
    </row>
    <row r="770" ht="22.5" customHeight="1">
      <c r="A770" s="202"/>
      <c r="B770" s="197"/>
      <c r="C770" s="144"/>
      <c r="D770" s="197"/>
      <c r="E770" s="197"/>
      <c r="F770" s="147"/>
    </row>
    <row r="771" ht="22.5" customHeight="1">
      <c r="A771" s="250"/>
      <c r="B771" s="196"/>
      <c r="C771" s="152"/>
      <c r="D771" s="196"/>
      <c r="E771" s="196"/>
      <c r="F771" s="155"/>
    </row>
    <row r="772" ht="22.5" customHeight="1">
      <c r="A772" s="202"/>
      <c r="B772" s="197"/>
      <c r="C772" s="144"/>
      <c r="D772" s="197"/>
      <c r="E772" s="197"/>
      <c r="F772" s="147"/>
    </row>
    <row r="773" ht="22.5" customHeight="1">
      <c r="A773" s="250"/>
      <c r="B773" s="196"/>
      <c r="C773" s="152"/>
      <c r="D773" s="196"/>
      <c r="E773" s="196"/>
      <c r="F773" s="155"/>
    </row>
    <row r="774" ht="22.5" customHeight="1">
      <c r="A774" s="202"/>
      <c r="B774" s="197"/>
      <c r="C774" s="144"/>
      <c r="D774" s="197"/>
      <c r="E774" s="197"/>
      <c r="F774" s="147"/>
    </row>
    <row r="775" ht="22.5" customHeight="1">
      <c r="A775" s="250"/>
      <c r="B775" s="196"/>
      <c r="C775" s="152"/>
      <c r="D775" s="196"/>
      <c r="E775" s="196"/>
      <c r="F775" s="155"/>
    </row>
    <row r="776" ht="22.5" customHeight="1">
      <c r="A776" s="202"/>
      <c r="B776" s="197"/>
      <c r="C776" s="144"/>
      <c r="D776" s="197"/>
      <c r="E776" s="197"/>
      <c r="F776" s="147"/>
    </row>
    <row r="777" ht="22.5" customHeight="1">
      <c r="A777" s="250"/>
      <c r="B777" s="196"/>
      <c r="C777" s="152"/>
      <c r="D777" s="196"/>
      <c r="E777" s="196"/>
      <c r="F777" s="155"/>
    </row>
    <row r="778" ht="22.5" customHeight="1">
      <c r="A778" s="202"/>
      <c r="B778" s="197"/>
      <c r="C778" s="144"/>
      <c r="D778" s="197"/>
      <c r="E778" s="197"/>
      <c r="F778" s="147"/>
    </row>
    <row r="779" ht="22.5" customHeight="1">
      <c r="A779" s="250"/>
      <c r="B779" s="196"/>
      <c r="C779" s="152"/>
      <c r="D779" s="196"/>
      <c r="E779" s="196"/>
      <c r="F779" s="155"/>
    </row>
    <row r="780" ht="22.5" customHeight="1">
      <c r="A780" s="202"/>
      <c r="B780" s="197"/>
      <c r="C780" s="144"/>
      <c r="D780" s="197"/>
      <c r="E780" s="197"/>
      <c r="F780" s="147"/>
    </row>
    <row r="781" ht="22.5" customHeight="1">
      <c r="A781" s="250"/>
      <c r="B781" s="196"/>
      <c r="C781" s="152"/>
      <c r="D781" s="196"/>
      <c r="E781" s="196"/>
      <c r="F781" s="155"/>
    </row>
    <row r="782" ht="22.5" customHeight="1">
      <c r="A782" s="202"/>
      <c r="B782" s="197"/>
      <c r="C782" s="144"/>
      <c r="D782" s="197"/>
      <c r="E782" s="197"/>
      <c r="F782" s="147"/>
    </row>
    <row r="783" ht="22.5" customHeight="1">
      <c r="A783" s="250"/>
      <c r="B783" s="196"/>
      <c r="C783" s="152"/>
      <c r="D783" s="196"/>
      <c r="E783" s="196"/>
      <c r="F783" s="155"/>
    </row>
    <row r="784" ht="22.5" customHeight="1">
      <c r="A784" s="202"/>
      <c r="B784" s="197"/>
      <c r="C784" s="144"/>
      <c r="D784" s="197"/>
      <c r="E784" s="197"/>
      <c r="F784" s="147"/>
    </row>
    <row r="785" ht="22.5" customHeight="1">
      <c r="A785" s="250"/>
      <c r="B785" s="196"/>
      <c r="C785" s="152"/>
      <c r="D785" s="196"/>
      <c r="E785" s="196"/>
      <c r="F785" s="155"/>
    </row>
    <row r="786" ht="22.5" customHeight="1">
      <c r="A786" s="202"/>
      <c r="B786" s="197"/>
      <c r="C786" s="144"/>
      <c r="D786" s="197"/>
      <c r="E786" s="197"/>
      <c r="F786" s="147"/>
    </row>
    <row r="787" ht="22.5" customHeight="1">
      <c r="A787" s="250"/>
      <c r="B787" s="196"/>
      <c r="C787" s="152"/>
      <c r="D787" s="196"/>
      <c r="E787" s="196"/>
      <c r="F787" s="155"/>
    </row>
    <row r="788" ht="22.5" customHeight="1">
      <c r="A788" s="202"/>
      <c r="B788" s="197"/>
      <c r="C788" s="144"/>
      <c r="D788" s="197"/>
      <c r="E788" s="197"/>
      <c r="F788" s="147"/>
    </row>
    <row r="789" ht="22.5" customHeight="1">
      <c r="A789" s="250"/>
      <c r="B789" s="196"/>
      <c r="C789" s="152"/>
      <c r="D789" s="196"/>
      <c r="E789" s="196"/>
      <c r="F789" s="155"/>
    </row>
    <row r="790" ht="22.5" customHeight="1">
      <c r="A790" s="202"/>
      <c r="B790" s="197"/>
      <c r="C790" s="144"/>
      <c r="D790" s="197"/>
      <c r="E790" s="197"/>
      <c r="F790" s="147"/>
    </row>
    <row r="791" ht="22.5" customHeight="1">
      <c r="A791" s="250"/>
      <c r="B791" s="196"/>
      <c r="C791" s="152"/>
      <c r="D791" s="196"/>
      <c r="E791" s="196"/>
      <c r="F791" s="155"/>
    </row>
    <row r="792" ht="22.5" customHeight="1">
      <c r="A792" s="202"/>
      <c r="B792" s="197"/>
      <c r="C792" s="144"/>
      <c r="D792" s="197"/>
      <c r="E792" s="197"/>
      <c r="F792" s="147"/>
    </row>
    <row r="793" ht="22.5" customHeight="1">
      <c r="A793" s="250"/>
      <c r="B793" s="196"/>
      <c r="C793" s="152"/>
      <c r="D793" s="196"/>
      <c r="E793" s="196"/>
      <c r="F793" s="155"/>
    </row>
    <row r="794" ht="22.5" customHeight="1">
      <c r="A794" s="202"/>
      <c r="B794" s="197"/>
      <c r="C794" s="144"/>
      <c r="D794" s="197"/>
      <c r="E794" s="197"/>
      <c r="F794" s="147"/>
    </row>
    <row r="795" ht="22.5" customHeight="1">
      <c r="A795" s="250"/>
      <c r="B795" s="196"/>
      <c r="C795" s="152"/>
      <c r="D795" s="196"/>
      <c r="E795" s="196"/>
      <c r="F795" s="155"/>
    </row>
    <row r="796" ht="22.5" customHeight="1">
      <c r="A796" s="202"/>
      <c r="B796" s="197"/>
      <c r="C796" s="144"/>
      <c r="D796" s="197"/>
      <c r="E796" s="197"/>
      <c r="F796" s="147"/>
    </row>
    <row r="797" ht="22.5" customHeight="1">
      <c r="A797" s="250"/>
      <c r="B797" s="196"/>
      <c r="C797" s="152"/>
      <c r="D797" s="196"/>
      <c r="E797" s="196"/>
      <c r="F797" s="155"/>
    </row>
    <row r="798" ht="22.5" customHeight="1">
      <c r="A798" s="202"/>
      <c r="B798" s="197"/>
      <c r="C798" s="144"/>
      <c r="D798" s="197"/>
      <c r="E798" s="197"/>
      <c r="F798" s="147"/>
    </row>
    <row r="799" ht="22.5" customHeight="1">
      <c r="A799" s="250"/>
      <c r="B799" s="196"/>
      <c r="C799" s="152"/>
      <c r="D799" s="196"/>
      <c r="E799" s="196"/>
      <c r="F799" s="155"/>
    </row>
    <row r="800" ht="22.5" customHeight="1">
      <c r="A800" s="202"/>
      <c r="B800" s="197"/>
      <c r="C800" s="144"/>
      <c r="D800" s="197"/>
      <c r="E800" s="197"/>
      <c r="F800" s="147"/>
    </row>
    <row r="801" ht="22.5" customHeight="1">
      <c r="A801" s="250"/>
      <c r="B801" s="196"/>
      <c r="C801" s="152"/>
      <c r="D801" s="196"/>
      <c r="E801" s="196"/>
      <c r="F801" s="155"/>
    </row>
    <row r="802" ht="22.5" customHeight="1">
      <c r="A802" s="202"/>
      <c r="B802" s="197"/>
      <c r="C802" s="144"/>
      <c r="D802" s="197"/>
      <c r="E802" s="197"/>
      <c r="F802" s="147"/>
    </row>
    <row r="803" ht="22.5" customHeight="1">
      <c r="A803" s="250"/>
      <c r="B803" s="196"/>
      <c r="C803" s="152"/>
      <c r="D803" s="196"/>
      <c r="E803" s="196"/>
      <c r="F803" s="155"/>
    </row>
    <row r="804" ht="22.5" customHeight="1">
      <c r="A804" s="202"/>
      <c r="B804" s="197"/>
      <c r="C804" s="144"/>
      <c r="D804" s="197"/>
      <c r="E804" s="197"/>
      <c r="F804" s="147"/>
    </row>
    <row r="805" ht="22.5" customHeight="1">
      <c r="A805" s="250"/>
      <c r="B805" s="196"/>
      <c r="C805" s="152"/>
      <c r="D805" s="196"/>
      <c r="E805" s="196"/>
      <c r="F805" s="155"/>
    </row>
    <row r="806" ht="22.5" customHeight="1">
      <c r="A806" s="202"/>
      <c r="B806" s="197"/>
      <c r="C806" s="144"/>
      <c r="D806" s="197"/>
      <c r="E806" s="197"/>
      <c r="F806" s="147"/>
    </row>
    <row r="807" ht="22.5" customHeight="1">
      <c r="A807" s="250"/>
      <c r="B807" s="196"/>
      <c r="C807" s="152"/>
      <c r="D807" s="196"/>
      <c r="E807" s="196"/>
      <c r="F807" s="155"/>
    </row>
    <row r="808" ht="22.5" customHeight="1">
      <c r="A808" s="202"/>
      <c r="B808" s="197"/>
      <c r="C808" s="144"/>
      <c r="D808" s="197"/>
      <c r="E808" s="197"/>
      <c r="F808" s="147"/>
    </row>
    <row r="809" ht="22.5" customHeight="1">
      <c r="A809" s="250"/>
      <c r="B809" s="196"/>
      <c r="C809" s="152"/>
      <c r="D809" s="196"/>
      <c r="E809" s="196"/>
      <c r="F809" s="155"/>
    </row>
    <row r="810" ht="22.5" customHeight="1">
      <c r="A810" s="202"/>
      <c r="B810" s="197"/>
      <c r="C810" s="144"/>
      <c r="D810" s="197"/>
      <c r="E810" s="197"/>
      <c r="F810" s="147"/>
    </row>
    <row r="811" ht="22.5" customHeight="1">
      <c r="A811" s="250"/>
      <c r="B811" s="196"/>
      <c r="C811" s="152"/>
      <c r="D811" s="196"/>
      <c r="E811" s="196"/>
      <c r="F811" s="155"/>
    </row>
    <row r="812" ht="22.5" customHeight="1">
      <c r="A812" s="202"/>
      <c r="B812" s="197"/>
      <c r="C812" s="144"/>
      <c r="D812" s="197"/>
      <c r="E812" s="197"/>
      <c r="F812" s="147"/>
    </row>
    <row r="813" ht="22.5" customHeight="1">
      <c r="A813" s="250"/>
      <c r="B813" s="196"/>
      <c r="C813" s="152"/>
      <c r="D813" s="196"/>
      <c r="E813" s="196"/>
      <c r="F813" s="155"/>
    </row>
    <row r="814" ht="22.5" customHeight="1">
      <c r="A814" s="202"/>
      <c r="B814" s="197"/>
      <c r="C814" s="144"/>
      <c r="D814" s="197"/>
      <c r="E814" s="197"/>
      <c r="F814" s="147"/>
    </row>
    <row r="815" ht="22.5" customHeight="1">
      <c r="A815" s="250"/>
      <c r="B815" s="196"/>
      <c r="C815" s="152"/>
      <c r="D815" s="196"/>
      <c r="E815" s="196"/>
      <c r="F815" s="155"/>
    </row>
    <row r="816" ht="22.5" customHeight="1">
      <c r="A816" s="202"/>
      <c r="B816" s="197"/>
      <c r="C816" s="144"/>
      <c r="D816" s="197"/>
      <c r="E816" s="197"/>
      <c r="F816" s="147"/>
    </row>
    <row r="817" ht="22.5" customHeight="1">
      <c r="A817" s="250"/>
      <c r="B817" s="196"/>
      <c r="C817" s="152"/>
      <c r="D817" s="196"/>
      <c r="E817" s="196"/>
      <c r="F817" s="155"/>
    </row>
    <row r="818" ht="22.5" customHeight="1">
      <c r="A818" s="202"/>
      <c r="B818" s="197"/>
      <c r="C818" s="144"/>
      <c r="D818" s="197"/>
      <c r="E818" s="197"/>
      <c r="F818" s="147"/>
    </row>
    <row r="819" ht="22.5" customHeight="1">
      <c r="A819" s="250"/>
      <c r="B819" s="196"/>
      <c r="C819" s="152"/>
      <c r="D819" s="196"/>
      <c r="E819" s="196"/>
      <c r="F819" s="155"/>
    </row>
    <row r="820" ht="22.5" customHeight="1">
      <c r="A820" s="202"/>
      <c r="B820" s="197"/>
      <c r="C820" s="144"/>
      <c r="D820" s="197"/>
      <c r="E820" s="197"/>
      <c r="F820" s="147"/>
    </row>
    <row r="821" ht="22.5" customHeight="1">
      <c r="A821" s="250"/>
      <c r="B821" s="196"/>
      <c r="C821" s="152"/>
      <c r="D821" s="196"/>
      <c r="E821" s="196"/>
      <c r="F821" s="155"/>
    </row>
    <row r="822" ht="22.5" customHeight="1">
      <c r="A822" s="202"/>
      <c r="B822" s="197"/>
      <c r="C822" s="144"/>
      <c r="D822" s="197"/>
      <c r="E822" s="197"/>
      <c r="F822" s="147"/>
    </row>
    <row r="823" ht="22.5" customHeight="1">
      <c r="A823" s="250"/>
      <c r="B823" s="196"/>
      <c r="C823" s="152"/>
      <c r="D823" s="196"/>
      <c r="E823" s="196"/>
      <c r="F823" s="155"/>
    </row>
    <row r="824" ht="22.5" customHeight="1">
      <c r="A824" s="202"/>
      <c r="B824" s="197"/>
      <c r="C824" s="144"/>
      <c r="D824" s="197"/>
      <c r="E824" s="197"/>
      <c r="F824" s="147"/>
    </row>
    <row r="825" ht="22.5" customHeight="1">
      <c r="A825" s="250"/>
      <c r="B825" s="196"/>
      <c r="C825" s="152"/>
      <c r="D825" s="196"/>
      <c r="E825" s="196"/>
      <c r="F825" s="155"/>
    </row>
    <row r="826" ht="22.5" customHeight="1">
      <c r="A826" s="202"/>
      <c r="B826" s="197"/>
      <c r="C826" s="144"/>
      <c r="D826" s="197"/>
      <c r="E826" s="197"/>
      <c r="F826" s="147"/>
    </row>
    <row r="827" ht="22.5" customHeight="1">
      <c r="A827" s="250"/>
      <c r="B827" s="196"/>
      <c r="C827" s="152"/>
      <c r="D827" s="196"/>
      <c r="E827" s="196"/>
      <c r="F827" s="155"/>
    </row>
    <row r="828" ht="22.5" customHeight="1">
      <c r="A828" s="202"/>
      <c r="B828" s="197"/>
      <c r="C828" s="144"/>
      <c r="D828" s="197"/>
      <c r="E828" s="197"/>
      <c r="F828" s="147"/>
    </row>
    <row r="829" ht="22.5" customHeight="1">
      <c r="A829" s="250"/>
      <c r="B829" s="196"/>
      <c r="C829" s="152"/>
      <c r="D829" s="196"/>
      <c r="E829" s="196"/>
      <c r="F829" s="155"/>
    </row>
    <row r="830" ht="22.5" customHeight="1">
      <c r="A830" s="202"/>
      <c r="B830" s="197"/>
      <c r="C830" s="144"/>
      <c r="D830" s="197"/>
      <c r="E830" s="197"/>
      <c r="F830" s="147"/>
    </row>
    <row r="831" ht="22.5" customHeight="1">
      <c r="A831" s="250"/>
      <c r="B831" s="196"/>
      <c r="C831" s="152"/>
      <c r="D831" s="196"/>
      <c r="E831" s="196"/>
      <c r="F831" s="155"/>
    </row>
    <row r="832" ht="22.5" customHeight="1">
      <c r="A832" s="202"/>
      <c r="B832" s="197"/>
      <c r="C832" s="144"/>
      <c r="D832" s="197"/>
      <c r="E832" s="197"/>
      <c r="F832" s="147"/>
    </row>
    <row r="833" ht="22.5" customHeight="1">
      <c r="A833" s="250"/>
      <c r="B833" s="196"/>
      <c r="C833" s="152"/>
      <c r="D833" s="196"/>
      <c r="E833" s="196"/>
      <c r="F833" s="155"/>
    </row>
    <row r="834" ht="22.5" customHeight="1">
      <c r="A834" s="202"/>
      <c r="B834" s="197"/>
      <c r="C834" s="144"/>
      <c r="D834" s="197"/>
      <c r="E834" s="197"/>
      <c r="F834" s="147"/>
    </row>
    <row r="835" ht="22.5" customHeight="1">
      <c r="A835" s="250"/>
      <c r="B835" s="196"/>
      <c r="C835" s="152"/>
      <c r="D835" s="196"/>
      <c r="E835" s="196"/>
      <c r="F835" s="155"/>
    </row>
    <row r="836" ht="22.5" customHeight="1">
      <c r="A836" s="202"/>
      <c r="B836" s="197"/>
      <c r="C836" s="144"/>
      <c r="D836" s="197"/>
      <c r="E836" s="197"/>
      <c r="F836" s="147"/>
    </row>
    <row r="837" ht="22.5" customHeight="1">
      <c r="A837" s="250"/>
      <c r="B837" s="196"/>
      <c r="C837" s="152"/>
      <c r="D837" s="196"/>
      <c r="E837" s="196"/>
      <c r="F837" s="155"/>
    </row>
    <row r="838" ht="22.5" customHeight="1">
      <c r="A838" s="202"/>
      <c r="B838" s="197"/>
      <c r="C838" s="144"/>
      <c r="D838" s="197"/>
      <c r="E838" s="197"/>
      <c r="F838" s="147"/>
    </row>
    <row r="839" ht="22.5" customHeight="1">
      <c r="A839" s="250"/>
      <c r="B839" s="196"/>
      <c r="C839" s="152"/>
      <c r="D839" s="196"/>
      <c r="E839" s="196"/>
      <c r="F839" s="155"/>
    </row>
    <row r="840" ht="22.5" customHeight="1">
      <c r="A840" s="202"/>
      <c r="B840" s="197"/>
      <c r="C840" s="144"/>
      <c r="D840" s="197"/>
      <c r="E840" s="197"/>
      <c r="F840" s="147"/>
    </row>
    <row r="841" ht="22.5" customHeight="1">
      <c r="A841" s="250"/>
      <c r="B841" s="196"/>
      <c r="C841" s="152"/>
      <c r="D841" s="196"/>
      <c r="E841" s="196"/>
      <c r="F841" s="155"/>
    </row>
    <row r="842" ht="22.5" customHeight="1">
      <c r="A842" s="202"/>
      <c r="B842" s="197"/>
      <c r="C842" s="144"/>
      <c r="D842" s="197"/>
      <c r="E842" s="197"/>
      <c r="F842" s="147"/>
    </row>
    <row r="843" ht="22.5" customHeight="1">
      <c r="A843" s="250"/>
      <c r="B843" s="196"/>
      <c r="C843" s="152"/>
      <c r="D843" s="196"/>
      <c r="E843" s="196"/>
      <c r="F843" s="155"/>
    </row>
    <row r="844" ht="22.5" customHeight="1">
      <c r="A844" s="202"/>
      <c r="B844" s="197"/>
      <c r="C844" s="144"/>
      <c r="D844" s="197"/>
      <c r="E844" s="197"/>
      <c r="F844" s="147"/>
    </row>
    <row r="845" ht="22.5" customHeight="1">
      <c r="A845" s="250"/>
      <c r="B845" s="196"/>
      <c r="C845" s="152"/>
      <c r="D845" s="196"/>
      <c r="E845" s="196"/>
      <c r="F845" s="155"/>
    </row>
    <row r="846" ht="22.5" customHeight="1">
      <c r="A846" s="202"/>
      <c r="B846" s="197"/>
      <c r="C846" s="144"/>
      <c r="D846" s="197"/>
      <c r="E846" s="197"/>
      <c r="F846" s="147"/>
    </row>
    <row r="847" ht="22.5" customHeight="1">
      <c r="A847" s="250"/>
      <c r="B847" s="196"/>
      <c r="C847" s="152"/>
      <c r="D847" s="196"/>
      <c r="E847" s="196"/>
      <c r="F847" s="155"/>
    </row>
    <row r="848" ht="22.5" customHeight="1">
      <c r="A848" s="202"/>
      <c r="B848" s="197"/>
      <c r="C848" s="144"/>
      <c r="D848" s="197"/>
      <c r="E848" s="197"/>
      <c r="F848" s="147"/>
    </row>
    <row r="849" ht="22.5" customHeight="1">
      <c r="A849" s="250"/>
      <c r="B849" s="196"/>
      <c r="C849" s="152"/>
      <c r="D849" s="196"/>
      <c r="E849" s="196"/>
      <c r="F849" s="155"/>
    </row>
    <row r="850" ht="22.5" customHeight="1">
      <c r="A850" s="202"/>
      <c r="B850" s="197"/>
      <c r="C850" s="144"/>
      <c r="D850" s="197"/>
      <c r="E850" s="197"/>
      <c r="F850" s="147"/>
    </row>
    <row r="851" ht="22.5" customHeight="1">
      <c r="A851" s="250"/>
      <c r="B851" s="196"/>
      <c r="C851" s="152"/>
      <c r="D851" s="196"/>
      <c r="E851" s="196"/>
      <c r="F851" s="155"/>
    </row>
    <row r="852" ht="22.5" customHeight="1">
      <c r="A852" s="202"/>
      <c r="B852" s="197"/>
      <c r="C852" s="144"/>
      <c r="D852" s="197"/>
      <c r="E852" s="197"/>
      <c r="F852" s="147"/>
    </row>
    <row r="853" ht="22.5" customHeight="1">
      <c r="A853" s="250"/>
      <c r="B853" s="196"/>
      <c r="C853" s="152"/>
      <c r="D853" s="196"/>
      <c r="E853" s="196"/>
      <c r="F853" s="155"/>
    </row>
    <row r="854" ht="22.5" customHeight="1">
      <c r="A854" s="202"/>
      <c r="B854" s="197"/>
      <c r="C854" s="144"/>
      <c r="D854" s="197"/>
      <c r="E854" s="197"/>
      <c r="F854" s="147"/>
    </row>
    <row r="855" ht="22.5" customHeight="1">
      <c r="A855" s="250"/>
      <c r="B855" s="196"/>
      <c r="C855" s="152"/>
      <c r="D855" s="196"/>
      <c r="E855" s="196"/>
      <c r="F855" s="155"/>
    </row>
    <row r="856" ht="22.5" customHeight="1">
      <c r="A856" s="202"/>
      <c r="B856" s="197"/>
      <c r="C856" s="144"/>
      <c r="D856" s="197"/>
      <c r="E856" s="197"/>
      <c r="F856" s="147"/>
    </row>
    <row r="857" ht="22.5" customHeight="1">
      <c r="A857" s="250"/>
      <c r="B857" s="196"/>
      <c r="C857" s="152"/>
      <c r="D857" s="196"/>
      <c r="E857" s="196"/>
      <c r="F857" s="155"/>
    </row>
    <row r="858" ht="22.5" customHeight="1">
      <c r="A858" s="202"/>
      <c r="B858" s="197"/>
      <c r="C858" s="144"/>
      <c r="D858" s="197"/>
      <c r="E858" s="197"/>
      <c r="F858" s="147"/>
    </row>
    <row r="859" ht="22.5" customHeight="1">
      <c r="A859" s="250"/>
      <c r="B859" s="196"/>
      <c r="C859" s="152"/>
      <c r="D859" s="196"/>
      <c r="E859" s="196"/>
      <c r="F859" s="155"/>
    </row>
    <row r="860" ht="22.5" customHeight="1">
      <c r="A860" s="202"/>
      <c r="B860" s="197"/>
      <c r="C860" s="144"/>
      <c r="D860" s="197"/>
      <c r="E860" s="197"/>
      <c r="F860" s="147"/>
    </row>
    <row r="861" ht="22.5" customHeight="1">
      <c r="A861" s="250"/>
      <c r="B861" s="196"/>
      <c r="C861" s="152"/>
      <c r="D861" s="196"/>
      <c r="E861" s="196"/>
      <c r="F861" s="155"/>
    </row>
    <row r="862" ht="22.5" customHeight="1">
      <c r="A862" s="202"/>
      <c r="B862" s="197"/>
      <c r="C862" s="144"/>
      <c r="D862" s="197"/>
      <c r="E862" s="197"/>
      <c r="F862" s="147"/>
    </row>
    <row r="863" ht="22.5" customHeight="1">
      <c r="A863" s="250"/>
      <c r="B863" s="196"/>
      <c r="C863" s="152"/>
      <c r="D863" s="196"/>
      <c r="E863" s="196"/>
      <c r="F863" s="155"/>
    </row>
    <row r="864" ht="22.5" customHeight="1">
      <c r="A864" s="202"/>
      <c r="B864" s="197"/>
      <c r="C864" s="144"/>
      <c r="D864" s="197"/>
      <c r="E864" s="197"/>
      <c r="F864" s="147"/>
    </row>
    <row r="865" ht="22.5" customHeight="1">
      <c r="A865" s="250"/>
      <c r="B865" s="196"/>
      <c r="C865" s="152"/>
      <c r="D865" s="196"/>
      <c r="E865" s="196"/>
      <c r="F865" s="155"/>
    </row>
    <row r="866" ht="22.5" customHeight="1">
      <c r="A866" s="202"/>
      <c r="B866" s="197"/>
      <c r="C866" s="144"/>
      <c r="D866" s="197"/>
      <c r="E866" s="197"/>
      <c r="F866" s="147"/>
    </row>
    <row r="867" ht="22.5" customHeight="1">
      <c r="A867" s="250"/>
      <c r="B867" s="196"/>
      <c r="C867" s="152"/>
      <c r="D867" s="196"/>
      <c r="E867" s="196"/>
      <c r="F867" s="155"/>
    </row>
    <row r="868" ht="22.5" customHeight="1">
      <c r="A868" s="202"/>
      <c r="B868" s="197"/>
      <c r="C868" s="144"/>
      <c r="D868" s="197"/>
      <c r="E868" s="197"/>
      <c r="F868" s="147"/>
    </row>
    <row r="869" ht="22.5" customHeight="1">
      <c r="A869" s="250"/>
      <c r="B869" s="196"/>
      <c r="C869" s="152"/>
      <c r="D869" s="196"/>
      <c r="E869" s="196"/>
      <c r="F869" s="155"/>
    </row>
    <row r="870" ht="22.5" customHeight="1">
      <c r="A870" s="202"/>
      <c r="B870" s="197"/>
      <c r="C870" s="144"/>
      <c r="D870" s="197"/>
      <c r="E870" s="197"/>
      <c r="F870" s="147"/>
    </row>
    <row r="871" ht="22.5" customHeight="1">
      <c r="A871" s="250"/>
      <c r="B871" s="196"/>
      <c r="C871" s="152"/>
      <c r="D871" s="196"/>
      <c r="E871" s="196"/>
      <c r="F871" s="155"/>
    </row>
    <row r="872" ht="22.5" customHeight="1">
      <c r="A872" s="202"/>
      <c r="B872" s="197"/>
      <c r="C872" s="144"/>
      <c r="D872" s="197"/>
      <c r="E872" s="197"/>
      <c r="F872" s="147"/>
    </row>
    <row r="873" ht="22.5" customHeight="1">
      <c r="A873" s="250"/>
      <c r="B873" s="196"/>
      <c r="C873" s="152"/>
      <c r="D873" s="196"/>
      <c r="E873" s="196"/>
      <c r="F873" s="155"/>
    </row>
    <row r="874" ht="22.5" customHeight="1">
      <c r="A874" s="202"/>
      <c r="B874" s="197"/>
      <c r="C874" s="144"/>
      <c r="D874" s="197"/>
      <c r="E874" s="197"/>
      <c r="F874" s="147"/>
    </row>
    <row r="875" ht="22.5" customHeight="1">
      <c r="A875" s="250"/>
      <c r="B875" s="196"/>
      <c r="C875" s="152"/>
      <c r="D875" s="196"/>
      <c r="E875" s="196"/>
      <c r="F875" s="155"/>
    </row>
    <row r="876" ht="22.5" customHeight="1">
      <c r="A876" s="202"/>
      <c r="B876" s="197"/>
      <c r="C876" s="144"/>
      <c r="D876" s="197"/>
      <c r="E876" s="197"/>
      <c r="F876" s="147"/>
    </row>
    <row r="877" ht="22.5" customHeight="1">
      <c r="A877" s="250"/>
      <c r="B877" s="196"/>
      <c r="C877" s="152"/>
      <c r="D877" s="196"/>
      <c r="E877" s="196"/>
      <c r="F877" s="155"/>
    </row>
    <row r="878" ht="22.5" customHeight="1">
      <c r="A878" s="202"/>
      <c r="B878" s="197"/>
      <c r="C878" s="144"/>
      <c r="D878" s="197"/>
      <c r="E878" s="197"/>
      <c r="F878" s="147"/>
    </row>
    <row r="879" ht="22.5" customHeight="1">
      <c r="A879" s="250"/>
      <c r="B879" s="196"/>
      <c r="C879" s="152"/>
      <c r="D879" s="196"/>
      <c r="E879" s="196"/>
      <c r="F879" s="155"/>
    </row>
    <row r="880" ht="22.5" customHeight="1">
      <c r="A880" s="202"/>
      <c r="B880" s="197"/>
      <c r="C880" s="144"/>
      <c r="D880" s="197"/>
      <c r="E880" s="197"/>
      <c r="F880" s="147"/>
    </row>
    <row r="881" ht="22.5" customHeight="1">
      <c r="A881" s="250"/>
      <c r="B881" s="196"/>
      <c r="C881" s="152"/>
      <c r="D881" s="196"/>
      <c r="E881" s="196"/>
      <c r="F881" s="155"/>
    </row>
    <row r="882" ht="22.5" customHeight="1">
      <c r="A882" s="202"/>
      <c r="B882" s="197"/>
      <c r="C882" s="144"/>
      <c r="D882" s="197"/>
      <c r="E882" s="197"/>
      <c r="F882" s="147"/>
    </row>
    <row r="883" ht="22.5" customHeight="1">
      <c r="A883" s="250"/>
      <c r="B883" s="196"/>
      <c r="C883" s="152"/>
      <c r="D883" s="196"/>
      <c r="E883" s="196"/>
      <c r="F883" s="155"/>
    </row>
    <row r="884" ht="22.5" customHeight="1">
      <c r="A884" s="202"/>
      <c r="B884" s="197"/>
      <c r="C884" s="144"/>
      <c r="D884" s="197"/>
      <c r="E884" s="197"/>
      <c r="F884" s="147"/>
    </row>
    <row r="885" ht="22.5" customHeight="1">
      <c r="A885" s="250"/>
      <c r="B885" s="196"/>
      <c r="C885" s="152"/>
      <c r="D885" s="196"/>
      <c r="E885" s="196"/>
      <c r="F885" s="155"/>
    </row>
    <row r="886" ht="22.5" customHeight="1">
      <c r="A886" s="202"/>
      <c r="B886" s="197"/>
      <c r="C886" s="144"/>
      <c r="D886" s="197"/>
      <c r="E886" s="197"/>
      <c r="F886" s="147"/>
    </row>
    <row r="887" ht="22.5" customHeight="1">
      <c r="A887" s="250"/>
      <c r="B887" s="196"/>
      <c r="C887" s="152"/>
      <c r="D887" s="196"/>
      <c r="E887" s="196"/>
      <c r="F887" s="155"/>
    </row>
    <row r="888" ht="22.5" customHeight="1">
      <c r="A888" s="202"/>
      <c r="B888" s="197"/>
      <c r="C888" s="144"/>
      <c r="D888" s="197"/>
      <c r="E888" s="197"/>
      <c r="F888" s="147"/>
    </row>
    <row r="889" ht="22.5" customHeight="1">
      <c r="A889" s="250"/>
      <c r="B889" s="196"/>
      <c r="C889" s="152"/>
      <c r="D889" s="196"/>
      <c r="E889" s="196"/>
      <c r="F889" s="155"/>
    </row>
    <row r="890" ht="22.5" customHeight="1">
      <c r="A890" s="202"/>
      <c r="B890" s="197"/>
      <c r="C890" s="144"/>
      <c r="D890" s="197"/>
      <c r="E890" s="197"/>
      <c r="F890" s="147"/>
    </row>
    <row r="891" ht="22.5" customHeight="1">
      <c r="A891" s="250"/>
      <c r="B891" s="196"/>
      <c r="C891" s="152"/>
      <c r="D891" s="196"/>
      <c r="E891" s="196"/>
      <c r="F891" s="155"/>
    </row>
    <row r="892" ht="22.5" customHeight="1">
      <c r="A892" s="202"/>
      <c r="B892" s="197"/>
      <c r="C892" s="144"/>
      <c r="D892" s="197"/>
      <c r="E892" s="197"/>
      <c r="F892" s="147"/>
    </row>
    <row r="893" ht="22.5" customHeight="1">
      <c r="A893" s="250"/>
      <c r="B893" s="196"/>
      <c r="C893" s="152"/>
      <c r="D893" s="196"/>
      <c r="E893" s="196"/>
      <c r="F893" s="155"/>
    </row>
    <row r="894" ht="22.5" customHeight="1">
      <c r="A894" s="202"/>
      <c r="B894" s="197"/>
      <c r="C894" s="144"/>
      <c r="D894" s="197"/>
      <c r="E894" s="197"/>
      <c r="F894" s="147"/>
    </row>
    <row r="895" ht="22.5" customHeight="1">
      <c r="A895" s="250"/>
      <c r="B895" s="196"/>
      <c r="C895" s="152"/>
      <c r="D895" s="196"/>
      <c r="E895" s="196"/>
      <c r="F895" s="155"/>
    </row>
    <row r="896" ht="22.5" customHeight="1">
      <c r="A896" s="202"/>
      <c r="B896" s="197"/>
      <c r="C896" s="144"/>
      <c r="D896" s="197"/>
      <c r="E896" s="197"/>
      <c r="F896" s="147"/>
    </row>
    <row r="897" ht="22.5" customHeight="1">
      <c r="A897" s="250"/>
      <c r="B897" s="196"/>
      <c r="C897" s="152"/>
      <c r="D897" s="196"/>
      <c r="E897" s="196"/>
      <c r="F897" s="155"/>
    </row>
    <row r="898" ht="22.5" customHeight="1">
      <c r="A898" s="202"/>
      <c r="B898" s="197"/>
      <c r="C898" s="144"/>
      <c r="D898" s="197"/>
      <c r="E898" s="197"/>
      <c r="F898" s="147"/>
    </row>
    <row r="899" ht="22.5" customHeight="1">
      <c r="A899" s="250"/>
      <c r="B899" s="196"/>
      <c r="C899" s="152"/>
      <c r="D899" s="196"/>
      <c r="E899" s="196"/>
      <c r="F899" s="155"/>
    </row>
    <row r="900" ht="22.5" customHeight="1">
      <c r="A900" s="202"/>
      <c r="B900" s="197"/>
      <c r="C900" s="144"/>
      <c r="D900" s="197"/>
      <c r="E900" s="197"/>
      <c r="F900" s="147"/>
    </row>
    <row r="901" ht="22.5" customHeight="1">
      <c r="A901" s="250"/>
      <c r="B901" s="196"/>
      <c r="C901" s="152"/>
      <c r="D901" s="196"/>
      <c r="E901" s="196"/>
      <c r="F901" s="155"/>
    </row>
    <row r="902" ht="22.5" customHeight="1">
      <c r="A902" s="202"/>
      <c r="B902" s="197"/>
      <c r="C902" s="144"/>
      <c r="D902" s="197"/>
      <c r="E902" s="197"/>
      <c r="F902" s="147"/>
    </row>
    <row r="903" ht="22.5" customHeight="1">
      <c r="A903" s="250"/>
      <c r="B903" s="196"/>
      <c r="C903" s="152"/>
      <c r="D903" s="196"/>
      <c r="E903" s="196"/>
      <c r="F903" s="155"/>
    </row>
    <row r="904" ht="22.5" customHeight="1">
      <c r="A904" s="202"/>
      <c r="B904" s="197"/>
      <c r="C904" s="144"/>
      <c r="D904" s="197"/>
      <c r="E904" s="197"/>
      <c r="F904" s="147"/>
    </row>
    <row r="905" ht="22.5" customHeight="1">
      <c r="A905" s="250"/>
      <c r="B905" s="196"/>
      <c r="C905" s="152"/>
      <c r="D905" s="196"/>
      <c r="E905" s="196"/>
      <c r="F905" s="155"/>
    </row>
    <row r="906" ht="22.5" customHeight="1">
      <c r="A906" s="202"/>
      <c r="B906" s="197"/>
      <c r="C906" s="144"/>
      <c r="D906" s="197"/>
      <c r="E906" s="197"/>
      <c r="F906" s="147"/>
    </row>
    <row r="907" ht="22.5" customHeight="1">
      <c r="A907" s="250"/>
      <c r="B907" s="196"/>
      <c r="C907" s="152"/>
      <c r="D907" s="196"/>
      <c r="E907" s="196"/>
      <c r="F907" s="155"/>
    </row>
    <row r="908" ht="22.5" customHeight="1">
      <c r="A908" s="202"/>
      <c r="B908" s="197"/>
      <c r="C908" s="144"/>
      <c r="D908" s="197"/>
      <c r="E908" s="197"/>
      <c r="F908" s="147"/>
    </row>
    <row r="909" ht="22.5" customHeight="1">
      <c r="A909" s="250"/>
      <c r="B909" s="196"/>
      <c r="C909" s="152"/>
      <c r="D909" s="196"/>
      <c r="E909" s="196"/>
      <c r="F909" s="155"/>
    </row>
    <row r="910" ht="22.5" customHeight="1">
      <c r="A910" s="202"/>
      <c r="B910" s="197"/>
      <c r="C910" s="144"/>
      <c r="D910" s="197"/>
      <c r="E910" s="197"/>
      <c r="F910" s="147"/>
    </row>
    <row r="911" ht="22.5" customHeight="1">
      <c r="A911" s="250"/>
      <c r="B911" s="196"/>
      <c r="C911" s="152"/>
      <c r="D911" s="196"/>
      <c r="E911" s="196"/>
      <c r="F911" s="155"/>
    </row>
    <row r="912" ht="22.5" customHeight="1">
      <c r="A912" s="202"/>
      <c r="B912" s="197"/>
      <c r="C912" s="144"/>
      <c r="D912" s="197"/>
      <c r="E912" s="197"/>
      <c r="F912" s="147"/>
    </row>
    <row r="913" ht="22.5" customHeight="1">
      <c r="A913" s="250"/>
      <c r="B913" s="196"/>
      <c r="C913" s="152"/>
      <c r="D913" s="196"/>
      <c r="E913" s="196"/>
      <c r="F913" s="155"/>
    </row>
    <row r="914" ht="22.5" customHeight="1">
      <c r="A914" s="202"/>
      <c r="B914" s="197"/>
      <c r="C914" s="144"/>
      <c r="D914" s="197"/>
      <c r="E914" s="197"/>
      <c r="F914" s="147"/>
    </row>
    <row r="915" ht="22.5" customHeight="1">
      <c r="A915" s="250"/>
      <c r="B915" s="196"/>
      <c r="C915" s="152"/>
      <c r="D915" s="196"/>
      <c r="E915" s="196"/>
      <c r="F915" s="155"/>
    </row>
    <row r="916" ht="22.5" customHeight="1">
      <c r="A916" s="202"/>
      <c r="B916" s="197"/>
      <c r="C916" s="144"/>
      <c r="D916" s="197"/>
      <c r="E916" s="197"/>
      <c r="F916" s="147"/>
    </row>
    <row r="917" ht="22.5" customHeight="1">
      <c r="A917" s="250"/>
      <c r="B917" s="196"/>
      <c r="C917" s="152"/>
      <c r="D917" s="196"/>
      <c r="E917" s="196"/>
      <c r="F917" s="155"/>
    </row>
    <row r="918" ht="22.5" customHeight="1">
      <c r="A918" s="202"/>
      <c r="B918" s="197"/>
      <c r="C918" s="144"/>
      <c r="D918" s="197"/>
      <c r="E918" s="197"/>
      <c r="F918" s="147"/>
    </row>
    <row r="919" ht="22.5" customHeight="1">
      <c r="A919" s="250"/>
      <c r="B919" s="196"/>
      <c r="C919" s="152"/>
      <c r="D919" s="196"/>
      <c r="E919" s="196"/>
      <c r="F919" s="155"/>
    </row>
    <row r="920" ht="22.5" customHeight="1">
      <c r="A920" s="202"/>
      <c r="B920" s="197"/>
      <c r="C920" s="144"/>
      <c r="D920" s="197"/>
      <c r="E920" s="197"/>
      <c r="F920" s="147"/>
    </row>
    <row r="921" ht="22.5" customHeight="1">
      <c r="A921" s="250"/>
      <c r="B921" s="196"/>
      <c r="C921" s="152"/>
      <c r="D921" s="196"/>
      <c r="E921" s="196"/>
      <c r="F921" s="155"/>
    </row>
    <row r="922" ht="22.5" customHeight="1">
      <c r="A922" s="202"/>
      <c r="B922" s="197"/>
      <c r="C922" s="144"/>
      <c r="D922" s="197"/>
      <c r="E922" s="197"/>
      <c r="F922" s="147"/>
    </row>
    <row r="923" ht="22.5" customHeight="1">
      <c r="A923" s="250"/>
      <c r="B923" s="196"/>
      <c r="C923" s="152"/>
      <c r="D923" s="196"/>
      <c r="E923" s="196"/>
      <c r="F923" s="155"/>
    </row>
    <row r="924" ht="22.5" customHeight="1">
      <c r="A924" s="202"/>
      <c r="B924" s="197"/>
      <c r="C924" s="144"/>
      <c r="D924" s="197"/>
      <c r="E924" s="197"/>
      <c r="F924" s="147"/>
    </row>
    <row r="925" ht="22.5" customHeight="1">
      <c r="A925" s="250"/>
      <c r="B925" s="196"/>
      <c r="C925" s="152"/>
      <c r="D925" s="196"/>
      <c r="E925" s="196"/>
      <c r="F925" s="155"/>
    </row>
    <row r="926" ht="22.5" customHeight="1">
      <c r="A926" s="202"/>
      <c r="B926" s="197"/>
      <c r="C926" s="144"/>
      <c r="D926" s="197"/>
      <c r="E926" s="197"/>
      <c r="F926" s="147"/>
    </row>
    <row r="927" ht="22.5" customHeight="1">
      <c r="A927" s="250"/>
      <c r="B927" s="196"/>
      <c r="C927" s="152"/>
      <c r="D927" s="196"/>
      <c r="E927" s="196"/>
      <c r="F927" s="155"/>
    </row>
    <row r="928" ht="22.5" customHeight="1">
      <c r="A928" s="202"/>
      <c r="B928" s="197"/>
      <c r="C928" s="144"/>
      <c r="D928" s="197"/>
      <c r="E928" s="197"/>
      <c r="F928" s="147"/>
    </row>
    <row r="929" ht="22.5" customHeight="1">
      <c r="A929" s="250"/>
      <c r="B929" s="196"/>
      <c r="C929" s="152"/>
      <c r="D929" s="196"/>
      <c r="E929" s="196"/>
      <c r="F929" s="155"/>
    </row>
    <row r="930" ht="22.5" customHeight="1">
      <c r="A930" s="202"/>
      <c r="B930" s="197"/>
      <c r="C930" s="144"/>
      <c r="D930" s="197"/>
      <c r="E930" s="197"/>
      <c r="F930" s="147"/>
    </row>
    <row r="931" ht="22.5" customHeight="1">
      <c r="A931" s="250"/>
      <c r="B931" s="196"/>
      <c r="C931" s="152"/>
      <c r="D931" s="196"/>
      <c r="E931" s="196"/>
      <c r="F931" s="155"/>
    </row>
    <row r="932" ht="22.5" customHeight="1">
      <c r="A932" s="202"/>
      <c r="B932" s="197"/>
      <c r="C932" s="144"/>
      <c r="D932" s="197"/>
      <c r="E932" s="197"/>
      <c r="F932" s="147"/>
    </row>
    <row r="933" ht="22.5" customHeight="1">
      <c r="A933" s="250"/>
      <c r="B933" s="196"/>
      <c r="C933" s="152"/>
      <c r="D933" s="196"/>
      <c r="E933" s="196"/>
      <c r="F933" s="155"/>
    </row>
    <row r="934" ht="22.5" customHeight="1">
      <c r="A934" s="202"/>
      <c r="B934" s="197"/>
      <c r="C934" s="144"/>
      <c r="D934" s="197"/>
      <c r="E934" s="197"/>
      <c r="F934" s="147"/>
    </row>
    <row r="935" ht="22.5" customHeight="1">
      <c r="A935" s="250"/>
      <c r="B935" s="196"/>
      <c r="C935" s="152"/>
      <c r="D935" s="196"/>
      <c r="E935" s="196"/>
      <c r="F935" s="155"/>
    </row>
    <row r="936" ht="22.5" customHeight="1">
      <c r="A936" s="202"/>
      <c r="B936" s="197"/>
      <c r="C936" s="144"/>
      <c r="D936" s="197"/>
      <c r="E936" s="197"/>
      <c r="F936" s="147"/>
    </row>
    <row r="937" ht="22.5" customHeight="1">
      <c r="A937" s="250"/>
      <c r="B937" s="196"/>
      <c r="C937" s="152"/>
      <c r="D937" s="196"/>
      <c r="E937" s="196"/>
      <c r="F937" s="155"/>
    </row>
    <row r="938" ht="22.5" customHeight="1">
      <c r="A938" s="202"/>
      <c r="B938" s="197"/>
      <c r="C938" s="144"/>
      <c r="D938" s="197"/>
      <c r="E938" s="197"/>
      <c r="F938" s="147"/>
    </row>
    <row r="939" ht="22.5" customHeight="1">
      <c r="A939" s="250"/>
      <c r="B939" s="196"/>
      <c r="C939" s="152"/>
      <c r="D939" s="196"/>
      <c r="E939" s="196"/>
      <c r="F939" s="155"/>
    </row>
    <row r="940" ht="22.5" customHeight="1">
      <c r="A940" s="202"/>
      <c r="B940" s="197"/>
      <c r="C940" s="144"/>
      <c r="D940" s="197"/>
      <c r="E940" s="197"/>
      <c r="F940" s="147"/>
    </row>
    <row r="941" ht="22.5" customHeight="1">
      <c r="A941" s="250"/>
      <c r="B941" s="196"/>
      <c r="C941" s="152"/>
      <c r="D941" s="196"/>
      <c r="E941" s="196"/>
      <c r="F941" s="155"/>
    </row>
    <row r="942" ht="22.5" customHeight="1">
      <c r="A942" s="202"/>
      <c r="B942" s="197"/>
      <c r="C942" s="144"/>
      <c r="D942" s="197"/>
      <c r="E942" s="197"/>
      <c r="F942" s="147"/>
    </row>
    <row r="943" ht="22.5" customHeight="1">
      <c r="A943" s="250"/>
      <c r="B943" s="196"/>
      <c r="C943" s="152"/>
      <c r="D943" s="196"/>
      <c r="E943" s="196"/>
      <c r="F943" s="155"/>
    </row>
    <row r="944" ht="22.5" customHeight="1">
      <c r="A944" s="202"/>
      <c r="B944" s="197"/>
      <c r="C944" s="144"/>
      <c r="D944" s="197"/>
      <c r="E944" s="197"/>
      <c r="F944" s="147"/>
    </row>
    <row r="945" ht="22.5" customHeight="1">
      <c r="A945" s="250"/>
      <c r="B945" s="196"/>
      <c r="C945" s="152"/>
      <c r="D945" s="196"/>
      <c r="E945" s="196"/>
      <c r="F945" s="155"/>
    </row>
    <row r="946" ht="22.5" customHeight="1">
      <c r="A946" s="202"/>
      <c r="B946" s="197"/>
      <c r="C946" s="144"/>
      <c r="D946" s="197"/>
      <c r="E946" s="197"/>
      <c r="F946" s="147"/>
    </row>
    <row r="947" ht="22.5" customHeight="1">
      <c r="A947" s="250"/>
      <c r="B947" s="196"/>
      <c r="C947" s="152"/>
      <c r="D947" s="196"/>
      <c r="E947" s="196"/>
      <c r="F947" s="155"/>
    </row>
    <row r="948" ht="22.5" customHeight="1">
      <c r="A948" s="202"/>
      <c r="B948" s="197"/>
      <c r="C948" s="144"/>
      <c r="D948" s="197"/>
      <c r="E948" s="197"/>
      <c r="F948" s="147"/>
    </row>
    <row r="949" ht="22.5" customHeight="1">
      <c r="A949" s="250"/>
      <c r="B949" s="196"/>
      <c r="C949" s="152"/>
      <c r="D949" s="196"/>
      <c r="E949" s="196"/>
      <c r="F949" s="155"/>
    </row>
    <row r="950" ht="22.5" customHeight="1">
      <c r="A950" s="202"/>
      <c r="B950" s="197"/>
      <c r="C950" s="144"/>
      <c r="D950" s="197"/>
      <c r="E950" s="197"/>
      <c r="F950" s="147"/>
    </row>
    <row r="951" ht="22.5" customHeight="1">
      <c r="A951" s="250"/>
      <c r="B951" s="196"/>
      <c r="C951" s="152"/>
      <c r="D951" s="196"/>
      <c r="E951" s="196"/>
      <c r="F951" s="155"/>
    </row>
    <row r="952" ht="22.5" customHeight="1">
      <c r="A952" s="202"/>
      <c r="B952" s="197"/>
      <c r="C952" s="144"/>
      <c r="D952" s="197"/>
      <c r="E952" s="197"/>
      <c r="F952" s="147"/>
    </row>
    <row r="953" ht="22.5" customHeight="1">
      <c r="A953" s="250"/>
      <c r="B953" s="196"/>
      <c r="C953" s="152"/>
      <c r="D953" s="196"/>
      <c r="E953" s="196"/>
      <c r="F953" s="155"/>
    </row>
    <row r="954" ht="22.5" customHeight="1">
      <c r="A954" s="202"/>
      <c r="B954" s="197"/>
      <c r="C954" s="144"/>
      <c r="D954" s="197"/>
      <c r="E954" s="197"/>
      <c r="F954" s="147"/>
    </row>
    <row r="955" ht="22.5" customHeight="1">
      <c r="A955" s="250"/>
      <c r="B955" s="196"/>
      <c r="C955" s="152"/>
      <c r="D955" s="196"/>
      <c r="E955" s="196"/>
      <c r="F955" s="155"/>
    </row>
    <row r="956" ht="22.5" customHeight="1">
      <c r="A956" s="202"/>
      <c r="B956" s="197"/>
      <c r="C956" s="144"/>
      <c r="D956" s="197"/>
      <c r="E956" s="197"/>
      <c r="F956" s="147"/>
    </row>
    <row r="957" ht="22.5" customHeight="1">
      <c r="A957" s="250"/>
      <c r="B957" s="196"/>
      <c r="C957" s="152"/>
      <c r="D957" s="196"/>
      <c r="E957" s="196"/>
      <c r="F957" s="155"/>
    </row>
    <row r="958" ht="22.5" customHeight="1">
      <c r="A958" s="202"/>
      <c r="B958" s="197"/>
      <c r="C958" s="144"/>
      <c r="D958" s="197"/>
      <c r="E958" s="197"/>
      <c r="F958" s="147"/>
    </row>
    <row r="959" ht="22.5" customHeight="1">
      <c r="A959" s="250"/>
      <c r="B959" s="196"/>
      <c r="C959" s="152"/>
      <c r="D959" s="196"/>
      <c r="E959" s="196"/>
      <c r="F959" s="155"/>
    </row>
    <row r="960" ht="22.5" customHeight="1">
      <c r="A960" s="202"/>
      <c r="B960" s="197"/>
      <c r="C960" s="144"/>
      <c r="D960" s="197"/>
      <c r="E960" s="197"/>
      <c r="F960" s="147"/>
    </row>
    <row r="961" ht="22.5" customHeight="1">
      <c r="A961" s="250"/>
      <c r="B961" s="196"/>
      <c r="C961" s="152"/>
      <c r="D961" s="196"/>
      <c r="E961" s="196"/>
      <c r="F961" s="155"/>
    </row>
    <row r="962" ht="22.5" customHeight="1">
      <c r="A962" s="202"/>
      <c r="B962" s="197"/>
      <c r="C962" s="144"/>
      <c r="D962" s="197"/>
      <c r="E962" s="197"/>
      <c r="F962" s="147"/>
    </row>
    <row r="963" ht="22.5" customHeight="1">
      <c r="A963" s="250"/>
      <c r="B963" s="196"/>
      <c r="C963" s="152"/>
      <c r="D963" s="196"/>
      <c r="E963" s="196"/>
      <c r="F963" s="155"/>
    </row>
    <row r="964" ht="22.5" customHeight="1">
      <c r="A964" s="202"/>
      <c r="B964" s="197"/>
      <c r="C964" s="144"/>
      <c r="D964" s="197"/>
      <c r="E964" s="197"/>
      <c r="F964" s="147"/>
    </row>
    <row r="965" ht="22.5" customHeight="1">
      <c r="A965" s="250"/>
      <c r="B965" s="196"/>
      <c r="C965" s="152"/>
      <c r="D965" s="196"/>
      <c r="E965" s="196"/>
      <c r="F965" s="155"/>
    </row>
    <row r="966" ht="22.5" customHeight="1">
      <c r="A966" s="202"/>
      <c r="B966" s="197"/>
      <c r="C966" s="144"/>
      <c r="D966" s="197"/>
      <c r="E966" s="197"/>
      <c r="F966" s="147"/>
    </row>
    <row r="967" ht="22.5" customHeight="1">
      <c r="A967" s="250"/>
      <c r="B967" s="196"/>
      <c r="C967" s="152"/>
      <c r="D967" s="196"/>
      <c r="E967" s="196"/>
      <c r="F967" s="155"/>
    </row>
    <row r="968" ht="22.5" customHeight="1">
      <c r="A968" s="202"/>
      <c r="B968" s="197"/>
      <c r="C968" s="144"/>
      <c r="D968" s="197"/>
      <c r="E968" s="197"/>
      <c r="F968" s="147"/>
    </row>
    <row r="969" ht="22.5" customHeight="1">
      <c r="A969" s="250"/>
      <c r="B969" s="196"/>
      <c r="C969" s="152"/>
      <c r="D969" s="196"/>
      <c r="E969" s="196"/>
      <c r="F969" s="155"/>
    </row>
    <row r="970" ht="22.5" customHeight="1">
      <c r="A970" s="202"/>
      <c r="B970" s="197"/>
      <c r="C970" s="144"/>
      <c r="D970" s="197"/>
      <c r="E970" s="197"/>
      <c r="F970" s="147"/>
    </row>
    <row r="971" ht="22.5" customHeight="1">
      <c r="A971" s="250"/>
      <c r="B971" s="196"/>
      <c r="C971" s="152"/>
      <c r="D971" s="196"/>
      <c r="E971" s="196"/>
      <c r="F971" s="155"/>
    </row>
    <row r="972" ht="22.5" customHeight="1">
      <c r="A972" s="202"/>
      <c r="B972" s="197"/>
      <c r="C972" s="144"/>
      <c r="D972" s="197"/>
      <c r="E972" s="197"/>
      <c r="F972" s="147"/>
    </row>
    <row r="973" ht="22.5" customHeight="1">
      <c r="A973" s="250"/>
      <c r="B973" s="196"/>
      <c r="C973" s="152"/>
      <c r="D973" s="196"/>
      <c r="E973" s="196"/>
      <c r="F973" s="155"/>
    </row>
    <row r="974" ht="22.5" customHeight="1">
      <c r="A974" s="202"/>
      <c r="B974" s="197"/>
      <c r="C974" s="144"/>
      <c r="D974" s="197"/>
      <c r="E974" s="197"/>
      <c r="F974" s="147"/>
    </row>
    <row r="975" ht="22.5" customHeight="1">
      <c r="A975" s="250"/>
      <c r="B975" s="196"/>
      <c r="C975" s="152"/>
      <c r="D975" s="196"/>
      <c r="E975" s="196"/>
      <c r="F975" s="155"/>
    </row>
    <row r="976" ht="22.5" customHeight="1">
      <c r="A976" s="202"/>
      <c r="B976" s="197"/>
      <c r="C976" s="144"/>
      <c r="D976" s="197"/>
      <c r="E976" s="197"/>
      <c r="F976" s="147"/>
    </row>
    <row r="977" ht="22.5" customHeight="1">
      <c r="A977" s="250"/>
      <c r="B977" s="196"/>
      <c r="C977" s="152"/>
      <c r="D977" s="196"/>
      <c r="E977" s="196"/>
      <c r="F977" s="155"/>
    </row>
    <row r="978" ht="22.5" customHeight="1">
      <c r="A978" s="202"/>
      <c r="B978" s="197"/>
      <c r="C978" s="144"/>
      <c r="D978" s="197"/>
      <c r="E978" s="197"/>
      <c r="F978" s="147"/>
    </row>
    <row r="979" ht="22.5" customHeight="1">
      <c r="A979" s="250"/>
      <c r="B979" s="196"/>
      <c r="C979" s="152"/>
      <c r="D979" s="196"/>
      <c r="E979" s="196"/>
      <c r="F979" s="155"/>
    </row>
    <row r="980" ht="22.5" customHeight="1">
      <c r="A980" s="202"/>
      <c r="B980" s="197"/>
      <c r="C980" s="144"/>
      <c r="D980" s="197"/>
      <c r="E980" s="197"/>
      <c r="F980" s="147"/>
    </row>
    <row r="981" ht="22.5" customHeight="1">
      <c r="A981" s="250"/>
      <c r="B981" s="196"/>
      <c r="C981" s="152"/>
      <c r="D981" s="196"/>
      <c r="E981" s="196"/>
      <c r="F981" s="155"/>
    </row>
    <row r="982" ht="22.5" customHeight="1">
      <c r="A982" s="202"/>
      <c r="B982" s="197"/>
      <c r="C982" s="144"/>
      <c r="D982" s="197"/>
      <c r="E982" s="197"/>
      <c r="F982" s="147"/>
    </row>
    <row r="983" ht="22.5" customHeight="1">
      <c r="A983" s="250"/>
      <c r="B983" s="196"/>
      <c r="C983" s="152"/>
      <c r="D983" s="196"/>
      <c r="E983" s="196"/>
      <c r="F983" s="155"/>
    </row>
    <row r="984" ht="22.5" customHeight="1">
      <c r="A984" s="202"/>
      <c r="B984" s="197"/>
      <c r="C984" s="144"/>
      <c r="D984" s="197"/>
      <c r="E984" s="197"/>
      <c r="F984" s="147"/>
    </row>
    <row r="985" ht="22.5" customHeight="1">
      <c r="A985" s="250"/>
      <c r="B985" s="196"/>
      <c r="C985" s="152"/>
      <c r="D985" s="196"/>
      <c r="E985" s="196"/>
      <c r="F985" s="155"/>
    </row>
    <row r="986" ht="22.5" customHeight="1">
      <c r="A986" s="202"/>
      <c r="B986" s="197"/>
      <c r="C986" s="144"/>
      <c r="D986" s="197"/>
      <c r="E986" s="197"/>
      <c r="F986" s="147"/>
    </row>
    <row r="987" ht="22.5" customHeight="1">
      <c r="A987" s="250"/>
      <c r="B987" s="196"/>
      <c r="C987" s="152"/>
      <c r="D987" s="196"/>
      <c r="E987" s="196"/>
      <c r="F987" s="155"/>
    </row>
    <row r="988" ht="22.5" customHeight="1">
      <c r="A988" s="202"/>
      <c r="B988" s="197"/>
      <c r="C988" s="144"/>
      <c r="D988" s="197"/>
      <c r="E988" s="197"/>
      <c r="F988" s="147"/>
    </row>
    <row r="989" ht="22.5" customHeight="1">
      <c r="A989" s="250"/>
      <c r="B989" s="196"/>
      <c r="C989" s="152"/>
      <c r="D989" s="196"/>
      <c r="E989" s="196"/>
      <c r="F989" s="155"/>
    </row>
    <row r="990" ht="22.5" customHeight="1">
      <c r="A990" s="202"/>
      <c r="B990" s="197"/>
      <c r="C990" s="144"/>
      <c r="D990" s="197"/>
      <c r="E990" s="197"/>
      <c r="F990" s="147"/>
    </row>
    <row r="991" ht="22.5" customHeight="1">
      <c r="A991" s="250"/>
      <c r="B991" s="196"/>
      <c r="C991" s="152"/>
      <c r="D991" s="196"/>
      <c r="E991" s="196"/>
      <c r="F991" s="155"/>
    </row>
    <row r="992" ht="22.5" customHeight="1">
      <c r="A992" s="202"/>
      <c r="B992" s="197"/>
      <c r="C992" s="144"/>
      <c r="D992" s="197"/>
      <c r="E992" s="197"/>
      <c r="F992" s="147"/>
    </row>
    <row r="993" ht="22.5" customHeight="1">
      <c r="A993" s="250"/>
      <c r="B993" s="196"/>
      <c r="C993" s="152"/>
      <c r="D993" s="196"/>
      <c r="E993" s="196"/>
      <c r="F993" s="155"/>
    </row>
    <row r="994" ht="22.5" customHeight="1">
      <c r="A994" s="202"/>
      <c r="B994" s="197"/>
      <c r="C994" s="144"/>
      <c r="D994" s="197"/>
      <c r="E994" s="197"/>
      <c r="F994" s="147"/>
    </row>
    <row r="995" ht="22.5" customHeight="1">
      <c r="A995" s="250"/>
      <c r="B995" s="196"/>
      <c r="C995" s="152"/>
      <c r="D995" s="196"/>
      <c r="E995" s="196"/>
      <c r="F995" s="155"/>
    </row>
    <row r="996" ht="22.5" customHeight="1">
      <c r="A996" s="202"/>
      <c r="B996" s="197"/>
      <c r="C996" s="144"/>
      <c r="D996" s="197"/>
      <c r="E996" s="197"/>
      <c r="F996" s="147"/>
    </row>
    <row r="997" ht="22.5" customHeight="1">
      <c r="A997" s="250"/>
      <c r="B997" s="196"/>
      <c r="C997" s="152"/>
      <c r="D997" s="196"/>
      <c r="E997" s="196"/>
      <c r="F997" s="155"/>
    </row>
    <row r="998" ht="22.5" customHeight="1">
      <c r="A998" s="202"/>
      <c r="B998" s="197"/>
      <c r="C998" s="144"/>
      <c r="D998" s="197"/>
      <c r="E998" s="197"/>
      <c r="F998" s="147"/>
    </row>
    <row r="999" ht="22.5" customHeight="1">
      <c r="A999" s="250"/>
      <c r="B999" s="196"/>
      <c r="C999" s="152"/>
      <c r="D999" s="196"/>
      <c r="E999" s="196"/>
      <c r="F999" s="155"/>
    </row>
    <row r="1000" ht="22.5" customHeight="1">
      <c r="A1000" s="202"/>
      <c r="B1000" s="197"/>
      <c r="C1000" s="144"/>
      <c r="D1000" s="197"/>
      <c r="E1000" s="197"/>
      <c r="F1000" s="147"/>
    </row>
    <row r="1001" ht="22.5" customHeight="1">
      <c r="A1001" s="250"/>
      <c r="B1001" s="196"/>
      <c r="C1001" s="152"/>
      <c r="D1001" s="196"/>
      <c r="E1001" s="196"/>
      <c r="F1001" s="155"/>
    </row>
    <row r="1002" ht="22.5" customHeight="1">
      <c r="A1002" s="202"/>
      <c r="B1002" s="197"/>
      <c r="C1002" s="144"/>
      <c r="D1002" s="197"/>
      <c r="E1002" s="197"/>
      <c r="F1002" s="147"/>
    </row>
    <row r="1003" ht="22.5" customHeight="1">
      <c r="A1003" s="250"/>
      <c r="B1003" s="196"/>
      <c r="C1003" s="152"/>
      <c r="D1003" s="196"/>
      <c r="E1003" s="196"/>
      <c r="F1003" s="155"/>
    </row>
    <row r="1004" ht="22.5" customHeight="1">
      <c r="A1004" s="202"/>
      <c r="B1004" s="197"/>
      <c r="C1004" s="144"/>
      <c r="D1004" s="197"/>
      <c r="E1004" s="197"/>
      <c r="F1004" s="147"/>
    </row>
    <row r="1005" ht="22.5" customHeight="1">
      <c r="A1005" s="250"/>
      <c r="B1005" s="196"/>
      <c r="C1005" s="152"/>
      <c r="D1005" s="196"/>
      <c r="E1005" s="196"/>
      <c r="F1005" s="155"/>
    </row>
    <row r="1006" ht="22.5" customHeight="1">
      <c r="A1006" s="202"/>
      <c r="B1006" s="197"/>
      <c r="C1006" s="144"/>
      <c r="D1006" s="197"/>
      <c r="E1006" s="197"/>
      <c r="F1006" s="147"/>
    </row>
    <row r="1007" ht="22.5" customHeight="1">
      <c r="A1007" s="250"/>
      <c r="B1007" s="196"/>
      <c r="C1007" s="152"/>
      <c r="D1007" s="196"/>
      <c r="E1007" s="196"/>
      <c r="F1007" s="155"/>
    </row>
    <row r="1008" ht="22.5" customHeight="1">
      <c r="A1008" s="202"/>
      <c r="B1008" s="197"/>
      <c r="C1008" s="144"/>
      <c r="D1008" s="197"/>
      <c r="E1008" s="197"/>
      <c r="F1008" s="147"/>
    </row>
    <row r="1009" ht="22.5" customHeight="1">
      <c r="A1009" s="250"/>
      <c r="B1009" s="196"/>
      <c r="C1009" s="152"/>
      <c r="D1009" s="196"/>
      <c r="E1009" s="196"/>
      <c r="F1009" s="155"/>
    </row>
    <row r="1010" ht="22.5" customHeight="1">
      <c r="A1010" s="202"/>
      <c r="B1010" s="197"/>
      <c r="C1010" s="144"/>
      <c r="D1010" s="197"/>
      <c r="E1010" s="197"/>
      <c r="F1010" s="147"/>
    </row>
    <row r="1011" ht="22.5" customHeight="1">
      <c r="A1011" s="250"/>
      <c r="B1011" s="196"/>
      <c r="C1011" s="152"/>
      <c r="D1011" s="196"/>
      <c r="E1011" s="196"/>
      <c r="F1011" s="155"/>
    </row>
    <row r="1012" ht="22.5" customHeight="1">
      <c r="A1012" s="202"/>
      <c r="B1012" s="197"/>
      <c r="C1012" s="144"/>
      <c r="D1012" s="197"/>
      <c r="E1012" s="197"/>
      <c r="F1012" s="147"/>
    </row>
    <row r="1013" ht="22.5" customHeight="1">
      <c r="A1013" s="250"/>
      <c r="B1013" s="196"/>
      <c r="C1013" s="152"/>
      <c r="D1013" s="196"/>
      <c r="E1013" s="196"/>
      <c r="F1013" s="155"/>
    </row>
    <row r="1014" ht="22.5" customHeight="1">
      <c r="A1014" s="202"/>
      <c r="B1014" s="197"/>
      <c r="C1014" s="144"/>
      <c r="D1014" s="197"/>
      <c r="E1014" s="197"/>
      <c r="F1014" s="147"/>
    </row>
    <row r="1015" ht="22.5" customHeight="1">
      <c r="A1015" s="250"/>
      <c r="B1015" s="196"/>
      <c r="C1015" s="152"/>
      <c r="D1015" s="196"/>
      <c r="E1015" s="196"/>
      <c r="F1015" s="155"/>
    </row>
    <row r="1016" ht="22.5" customHeight="1">
      <c r="A1016" s="202"/>
      <c r="B1016" s="197"/>
      <c r="C1016" s="144"/>
      <c r="D1016" s="197"/>
      <c r="E1016" s="197"/>
      <c r="F1016" s="147"/>
    </row>
    <row r="1017" ht="22.5" customHeight="1">
      <c r="A1017" s="250"/>
      <c r="B1017" s="196"/>
      <c r="C1017" s="152"/>
      <c r="D1017" s="196"/>
      <c r="E1017" s="196"/>
      <c r="F1017" s="155"/>
    </row>
    <row r="1018" ht="22.5" customHeight="1">
      <c r="A1018" s="202"/>
      <c r="B1018" s="197"/>
      <c r="C1018" s="144"/>
      <c r="D1018" s="197"/>
      <c r="E1018" s="197"/>
      <c r="F1018" s="147"/>
    </row>
    <row r="1019" ht="22.5" customHeight="1">
      <c r="A1019" s="250"/>
      <c r="B1019" s="196"/>
      <c r="C1019" s="152"/>
      <c r="D1019" s="196"/>
      <c r="E1019" s="196"/>
      <c r="F1019" s="155"/>
    </row>
    <row r="1020" ht="22.5" customHeight="1">
      <c r="A1020" s="202"/>
      <c r="B1020" s="197"/>
      <c r="C1020" s="144"/>
      <c r="D1020" s="197"/>
      <c r="E1020" s="197"/>
      <c r="F1020" s="147"/>
    </row>
    <row r="1021" ht="22.5" customHeight="1">
      <c r="A1021" s="250"/>
      <c r="B1021" s="196"/>
      <c r="C1021" s="152"/>
      <c r="D1021" s="196"/>
      <c r="E1021" s="196"/>
      <c r="F1021" s="155"/>
    </row>
    <row r="1022" ht="22.5" customHeight="1">
      <c r="A1022" s="202"/>
      <c r="B1022" s="197"/>
      <c r="C1022" s="144"/>
      <c r="D1022" s="197"/>
      <c r="E1022" s="197"/>
      <c r="F1022" s="147"/>
    </row>
    <row r="1023" ht="22.5" customHeight="1">
      <c r="A1023" s="250"/>
      <c r="B1023" s="196"/>
      <c r="C1023" s="152"/>
      <c r="D1023" s="196"/>
      <c r="E1023" s="196"/>
      <c r="F1023" s="155"/>
    </row>
    <row r="1024" ht="22.5" customHeight="1">
      <c r="A1024" s="202"/>
      <c r="B1024" s="197"/>
      <c r="C1024" s="144"/>
      <c r="D1024" s="197"/>
      <c r="E1024" s="197"/>
      <c r="F1024" s="147"/>
    </row>
    <row r="1025" ht="22.5" customHeight="1">
      <c r="A1025" s="250"/>
      <c r="B1025" s="196"/>
      <c r="C1025" s="152"/>
      <c r="D1025" s="196"/>
      <c r="E1025" s="196"/>
      <c r="F1025" s="155"/>
    </row>
    <row r="1026" ht="22.5" customHeight="1">
      <c r="A1026" s="202"/>
      <c r="B1026" s="197"/>
      <c r="C1026" s="144"/>
      <c r="D1026" s="197"/>
      <c r="E1026" s="197"/>
      <c r="F1026" s="147"/>
    </row>
    <row r="1027" ht="22.5" customHeight="1">
      <c r="A1027" s="250"/>
      <c r="B1027" s="196"/>
      <c r="C1027" s="152"/>
      <c r="D1027" s="196"/>
      <c r="E1027" s="196"/>
      <c r="F1027" s="155"/>
    </row>
    <row r="1028" ht="22.5" customHeight="1">
      <c r="A1028" s="202"/>
      <c r="B1028" s="197"/>
      <c r="C1028" s="144"/>
      <c r="D1028" s="197"/>
      <c r="E1028" s="197"/>
      <c r="F1028" s="147"/>
    </row>
    <row r="1029" ht="22.5" customHeight="1">
      <c r="A1029" s="250"/>
      <c r="B1029" s="196"/>
      <c r="C1029" s="152"/>
      <c r="D1029" s="196"/>
      <c r="E1029" s="196"/>
      <c r="F1029" s="155"/>
    </row>
    <row r="1030" ht="22.5" customHeight="1">
      <c r="A1030" s="202"/>
      <c r="B1030" s="197"/>
      <c r="C1030" s="144"/>
      <c r="D1030" s="197"/>
      <c r="E1030" s="197"/>
      <c r="F1030" s="147"/>
    </row>
    <row r="1031" ht="22.5" customHeight="1">
      <c r="A1031" s="250"/>
      <c r="B1031" s="196"/>
      <c r="C1031" s="152"/>
      <c r="D1031" s="196"/>
      <c r="E1031" s="196"/>
      <c r="F1031" s="155"/>
    </row>
    <row r="1032" ht="22.5" customHeight="1">
      <c r="A1032" s="202"/>
      <c r="B1032" s="197"/>
      <c r="C1032" s="144"/>
      <c r="D1032" s="197"/>
      <c r="E1032" s="197"/>
      <c r="F1032" s="147"/>
    </row>
    <row r="1033" ht="22.5" customHeight="1">
      <c r="A1033" s="250"/>
      <c r="B1033" s="196"/>
      <c r="C1033" s="152"/>
      <c r="D1033" s="196"/>
      <c r="E1033" s="196"/>
      <c r="F1033" s="155"/>
    </row>
    <row r="1034" ht="22.5" customHeight="1">
      <c r="A1034" s="202"/>
      <c r="B1034" s="197"/>
      <c r="C1034" s="144"/>
      <c r="D1034" s="197"/>
      <c r="E1034" s="197"/>
      <c r="F1034" s="147"/>
    </row>
    <row r="1035" ht="22.5" customHeight="1">
      <c r="A1035" s="250"/>
      <c r="B1035" s="196"/>
      <c r="C1035" s="152"/>
      <c r="D1035" s="196"/>
      <c r="E1035" s="196"/>
      <c r="F1035" s="155"/>
    </row>
    <row r="1036" ht="22.5" customHeight="1">
      <c r="A1036" s="202"/>
      <c r="B1036" s="197"/>
      <c r="C1036" s="144"/>
      <c r="D1036" s="197"/>
      <c r="E1036" s="197"/>
      <c r="F1036" s="147"/>
    </row>
    <row r="1037" ht="22.5" customHeight="1">
      <c r="A1037" s="250"/>
      <c r="B1037" s="196"/>
      <c r="C1037" s="152"/>
      <c r="D1037" s="196"/>
      <c r="E1037" s="196"/>
      <c r="F1037" s="155"/>
    </row>
    <row r="1038" ht="22.5" customHeight="1">
      <c r="A1038" s="202"/>
      <c r="B1038" s="197"/>
      <c r="C1038" s="144"/>
      <c r="D1038" s="197"/>
      <c r="E1038" s="197"/>
      <c r="F1038" s="147"/>
    </row>
    <row r="1039" ht="22.5" customHeight="1">
      <c r="A1039" s="250"/>
      <c r="B1039" s="196"/>
      <c r="C1039" s="152"/>
      <c r="D1039" s="196"/>
      <c r="E1039" s="196"/>
      <c r="F1039" s="155"/>
    </row>
    <row r="1040" ht="22.5" customHeight="1">
      <c r="A1040" s="202"/>
      <c r="B1040" s="197"/>
      <c r="C1040" s="144"/>
      <c r="D1040" s="197"/>
      <c r="E1040" s="197"/>
      <c r="F1040" s="147"/>
    </row>
    <row r="1041" ht="22.5" customHeight="1">
      <c r="A1041" s="250"/>
      <c r="B1041" s="196"/>
      <c r="C1041" s="152"/>
      <c r="D1041" s="196"/>
      <c r="E1041" s="196"/>
      <c r="F1041" s="155"/>
    </row>
    <row r="1042" ht="22.5" customHeight="1">
      <c r="A1042" s="202"/>
      <c r="B1042" s="197"/>
      <c r="C1042" s="144"/>
      <c r="D1042" s="197"/>
      <c r="E1042" s="197"/>
      <c r="F1042" s="147"/>
    </row>
    <row r="1043" ht="22.5" customHeight="1">
      <c r="A1043" s="250"/>
      <c r="B1043" s="196"/>
      <c r="C1043" s="152"/>
      <c r="D1043" s="196"/>
      <c r="E1043" s="196"/>
      <c r="F1043" s="155"/>
    </row>
    <row r="1044" ht="22.5" customHeight="1">
      <c r="A1044" s="202"/>
      <c r="B1044" s="197"/>
      <c r="C1044" s="144"/>
      <c r="D1044" s="197"/>
      <c r="E1044" s="197"/>
      <c r="F1044" s="147"/>
    </row>
    <row r="1045" ht="22.5" customHeight="1">
      <c r="A1045" s="250"/>
      <c r="B1045" s="196"/>
      <c r="C1045" s="152"/>
      <c r="D1045" s="196"/>
      <c r="E1045" s="196"/>
      <c r="F1045" s="155"/>
    </row>
    <row r="1046" ht="22.5" customHeight="1">
      <c r="A1046" s="202"/>
      <c r="B1046" s="197"/>
      <c r="C1046" s="144"/>
      <c r="D1046" s="197"/>
      <c r="E1046" s="197"/>
      <c r="F1046" s="147"/>
    </row>
    <row r="1047" ht="22.5" customHeight="1">
      <c r="A1047" s="250"/>
      <c r="B1047" s="196"/>
      <c r="C1047" s="152"/>
      <c r="D1047" s="196"/>
      <c r="E1047" s="196"/>
      <c r="F1047" s="155"/>
    </row>
    <row r="1048" ht="22.5" customHeight="1">
      <c r="A1048" s="202"/>
      <c r="B1048" s="197"/>
      <c r="C1048" s="144"/>
      <c r="D1048" s="197"/>
      <c r="E1048" s="197"/>
      <c r="F1048" s="147"/>
    </row>
    <row r="1049" ht="22.5" customHeight="1">
      <c r="A1049" s="250"/>
      <c r="B1049" s="196"/>
      <c r="C1049" s="152"/>
      <c r="D1049" s="196"/>
      <c r="E1049" s="196"/>
      <c r="F1049" s="155"/>
    </row>
    <row r="1050" ht="22.5" customHeight="1">
      <c r="A1050" s="202"/>
      <c r="B1050" s="197"/>
      <c r="C1050" s="144"/>
      <c r="D1050" s="197"/>
      <c r="E1050" s="197"/>
      <c r="F1050" s="147"/>
    </row>
    <row r="1051" ht="22.5" customHeight="1">
      <c r="A1051" s="250"/>
      <c r="B1051" s="196"/>
      <c r="C1051" s="152"/>
      <c r="D1051" s="196"/>
      <c r="E1051" s="196"/>
      <c r="F1051" s="155"/>
    </row>
    <row r="1052" ht="22.5" customHeight="1">
      <c r="A1052" s="202"/>
      <c r="B1052" s="197"/>
      <c r="C1052" s="144"/>
      <c r="D1052" s="197"/>
      <c r="E1052" s="197"/>
      <c r="F1052" s="147"/>
    </row>
    <row r="1053" ht="22.5" customHeight="1">
      <c r="A1053" s="250"/>
      <c r="B1053" s="196"/>
      <c r="C1053" s="152"/>
      <c r="D1053" s="196"/>
      <c r="E1053" s="196"/>
      <c r="F1053" s="155"/>
    </row>
    <row r="1054" ht="22.5" customHeight="1">
      <c r="A1054" s="202"/>
      <c r="B1054" s="197"/>
      <c r="C1054" s="144"/>
      <c r="D1054" s="197"/>
      <c r="E1054" s="197"/>
      <c r="F1054" s="147"/>
    </row>
    <row r="1055" ht="22.5" customHeight="1">
      <c r="A1055" s="250"/>
      <c r="B1055" s="196"/>
      <c r="C1055" s="152"/>
      <c r="D1055" s="196"/>
      <c r="E1055" s="196"/>
      <c r="F1055" s="155"/>
    </row>
    <row r="1056" ht="22.5" customHeight="1">
      <c r="A1056" s="202"/>
      <c r="B1056" s="197"/>
      <c r="C1056" s="144"/>
      <c r="D1056" s="197"/>
      <c r="E1056" s="197"/>
      <c r="F1056" s="147"/>
    </row>
    <row r="1057" ht="22.5" customHeight="1">
      <c r="A1057" s="250"/>
      <c r="B1057" s="196"/>
      <c r="C1057" s="152"/>
      <c r="D1057" s="196"/>
      <c r="E1057" s="196"/>
      <c r="F1057" s="155"/>
    </row>
    <row r="1058" ht="22.5" customHeight="1">
      <c r="A1058" s="202"/>
      <c r="B1058" s="197"/>
      <c r="C1058" s="144"/>
      <c r="D1058" s="197"/>
      <c r="E1058" s="197"/>
      <c r="F1058" s="147"/>
    </row>
    <row r="1059" ht="22.5" customHeight="1">
      <c r="A1059" s="250"/>
      <c r="B1059" s="196"/>
      <c r="C1059" s="152"/>
      <c r="D1059" s="196"/>
      <c r="E1059" s="196"/>
      <c r="F1059" s="155"/>
    </row>
    <row r="1060" ht="22.5" customHeight="1">
      <c r="A1060" s="202"/>
      <c r="B1060" s="197"/>
      <c r="C1060" s="144"/>
      <c r="D1060" s="197"/>
      <c r="E1060" s="197"/>
      <c r="F1060" s="147"/>
    </row>
    <row r="1061" ht="22.5" customHeight="1">
      <c r="A1061" s="250"/>
      <c r="B1061" s="196"/>
      <c r="C1061" s="152"/>
      <c r="D1061" s="196"/>
      <c r="E1061" s="196"/>
      <c r="F1061" s="155"/>
    </row>
    <row r="1062" ht="22.5" customHeight="1">
      <c r="A1062" s="202"/>
      <c r="B1062" s="197"/>
      <c r="C1062" s="144"/>
      <c r="D1062" s="197"/>
      <c r="E1062" s="197"/>
      <c r="F1062" s="147"/>
    </row>
    <row r="1063" ht="22.5" customHeight="1">
      <c r="A1063" s="250"/>
      <c r="B1063" s="196"/>
      <c r="C1063" s="152"/>
      <c r="D1063" s="196"/>
      <c r="E1063" s="196"/>
      <c r="F1063" s="155"/>
    </row>
    <row r="1064" ht="22.5" customHeight="1">
      <c r="A1064" s="202"/>
      <c r="B1064" s="197"/>
      <c r="C1064" s="144"/>
      <c r="D1064" s="197"/>
      <c r="E1064" s="197"/>
      <c r="F1064" s="147"/>
    </row>
    <row r="1065" ht="22.5" customHeight="1">
      <c r="A1065" s="250"/>
      <c r="B1065" s="196"/>
      <c r="C1065" s="152"/>
      <c r="D1065" s="196"/>
      <c r="E1065" s="196"/>
      <c r="F1065" s="155"/>
    </row>
    <row r="1066" ht="22.5" customHeight="1">
      <c r="A1066" s="202"/>
      <c r="B1066" s="197"/>
      <c r="C1066" s="144"/>
      <c r="D1066" s="197"/>
      <c r="E1066" s="197"/>
      <c r="F1066" s="147"/>
    </row>
    <row r="1067" ht="22.5" customHeight="1">
      <c r="A1067" s="250"/>
      <c r="B1067" s="196"/>
      <c r="C1067" s="152"/>
      <c r="D1067" s="196"/>
      <c r="E1067" s="196"/>
      <c r="F1067" s="155"/>
    </row>
    <row r="1068" ht="22.5" customHeight="1">
      <c r="A1068" s="202"/>
      <c r="B1068" s="197"/>
      <c r="C1068" s="144"/>
      <c r="D1068" s="197"/>
      <c r="E1068" s="197"/>
      <c r="F1068" s="147"/>
    </row>
    <row r="1069" ht="22.5" customHeight="1">
      <c r="A1069" s="250"/>
      <c r="B1069" s="196"/>
      <c r="C1069" s="152"/>
      <c r="D1069" s="196"/>
      <c r="E1069" s="196"/>
      <c r="F1069" s="155"/>
    </row>
    <row r="1070" ht="22.5" customHeight="1">
      <c r="A1070" s="202"/>
      <c r="B1070" s="197"/>
      <c r="C1070" s="144"/>
      <c r="D1070" s="197"/>
      <c r="E1070" s="197"/>
      <c r="F1070" s="147"/>
    </row>
    <row r="1071" ht="22.5" customHeight="1">
      <c r="A1071" s="250"/>
      <c r="B1071" s="196"/>
      <c r="C1071" s="152"/>
      <c r="D1071" s="196"/>
      <c r="E1071" s="196"/>
      <c r="F1071" s="155"/>
    </row>
    <row r="1072" ht="22.5" customHeight="1">
      <c r="A1072" s="202"/>
      <c r="B1072" s="197"/>
      <c r="C1072" s="144"/>
      <c r="D1072" s="197"/>
      <c r="E1072" s="197"/>
      <c r="F1072" s="147"/>
    </row>
    <row r="1073" ht="22.5" customHeight="1">
      <c r="A1073" s="250"/>
      <c r="B1073" s="196"/>
      <c r="C1073" s="152"/>
      <c r="D1073" s="196"/>
      <c r="E1073" s="196"/>
      <c r="F1073" s="155"/>
    </row>
    <row r="1074" ht="22.5" customHeight="1">
      <c r="A1074" s="202"/>
      <c r="B1074" s="197"/>
      <c r="C1074" s="144"/>
      <c r="D1074" s="197"/>
      <c r="E1074" s="197"/>
      <c r="F1074" s="147"/>
    </row>
    <row r="1075" ht="22.5" customHeight="1">
      <c r="A1075" s="250"/>
      <c r="B1075" s="196"/>
      <c r="C1075" s="152"/>
      <c r="D1075" s="196"/>
      <c r="E1075" s="196"/>
      <c r="F1075" s="155"/>
    </row>
    <row r="1076" ht="22.5" customHeight="1">
      <c r="A1076" s="202"/>
      <c r="B1076" s="197"/>
      <c r="C1076" s="144"/>
      <c r="D1076" s="197"/>
      <c r="E1076" s="197"/>
      <c r="F1076" s="147"/>
    </row>
    <row r="1077" ht="22.5" customHeight="1">
      <c r="A1077" s="250"/>
      <c r="B1077" s="196"/>
      <c r="C1077" s="152"/>
      <c r="D1077" s="196"/>
      <c r="E1077" s="196"/>
      <c r="F1077" s="155"/>
    </row>
    <row r="1078" ht="22.5" customHeight="1">
      <c r="A1078" s="202"/>
      <c r="B1078" s="197"/>
      <c r="C1078" s="144"/>
      <c r="D1078" s="197"/>
      <c r="E1078" s="197"/>
      <c r="F1078" s="147"/>
    </row>
    <row r="1079" ht="22.5" customHeight="1">
      <c r="A1079" s="250"/>
      <c r="B1079" s="196"/>
      <c r="C1079" s="152"/>
      <c r="D1079" s="196"/>
      <c r="E1079" s="196"/>
      <c r="F1079" s="155"/>
    </row>
    <row r="1080" ht="22.5" customHeight="1">
      <c r="A1080" s="202"/>
      <c r="B1080" s="197"/>
      <c r="C1080" s="144"/>
      <c r="D1080" s="197"/>
      <c r="E1080" s="197"/>
      <c r="F1080" s="147"/>
    </row>
    <row r="1081" ht="22.5" customHeight="1">
      <c r="A1081" s="250"/>
      <c r="B1081" s="196"/>
      <c r="C1081" s="152"/>
      <c r="D1081" s="196"/>
      <c r="E1081" s="196"/>
      <c r="F1081" s="155"/>
    </row>
    <row r="1082" ht="22.5" customHeight="1">
      <c r="A1082" s="202"/>
      <c r="B1082" s="197"/>
      <c r="C1082" s="144"/>
      <c r="D1082" s="197"/>
      <c r="E1082" s="197"/>
      <c r="F1082" s="147"/>
    </row>
    <row r="1083" ht="22.5" customHeight="1">
      <c r="A1083" s="250"/>
      <c r="B1083" s="196"/>
      <c r="C1083" s="152"/>
      <c r="D1083" s="196"/>
      <c r="E1083" s="196"/>
      <c r="F1083" s="155"/>
    </row>
    <row r="1084" ht="22.5" customHeight="1">
      <c r="A1084" s="202"/>
      <c r="B1084" s="197"/>
      <c r="C1084" s="144"/>
      <c r="D1084" s="197"/>
      <c r="E1084" s="197"/>
      <c r="F1084" s="147"/>
    </row>
    <row r="1085" ht="22.5" customHeight="1">
      <c r="A1085" s="250"/>
      <c r="B1085" s="196"/>
      <c r="C1085" s="152"/>
      <c r="D1085" s="196"/>
      <c r="E1085" s="196"/>
      <c r="F1085" s="155"/>
    </row>
    <row r="1086" ht="22.5" customHeight="1">
      <c r="A1086" s="202"/>
      <c r="B1086" s="197"/>
      <c r="C1086" s="144"/>
      <c r="D1086" s="197"/>
      <c r="E1086" s="197"/>
      <c r="F1086" s="147"/>
    </row>
    <row r="1087" ht="22.5" customHeight="1">
      <c r="A1087" s="250"/>
      <c r="B1087" s="196"/>
      <c r="C1087" s="152"/>
      <c r="D1087" s="196"/>
      <c r="E1087" s="196"/>
      <c r="F1087" s="155"/>
    </row>
    <row r="1088" ht="22.5" customHeight="1">
      <c r="A1088" s="202"/>
      <c r="B1088" s="197"/>
      <c r="C1088" s="144"/>
      <c r="D1088" s="197"/>
      <c r="E1088" s="197"/>
      <c r="F1088" s="147"/>
    </row>
    <row r="1089" ht="22.5" customHeight="1">
      <c r="A1089" s="250"/>
      <c r="B1089" s="196"/>
      <c r="C1089" s="152"/>
      <c r="D1089" s="196"/>
      <c r="E1089" s="196"/>
      <c r="F1089" s="155"/>
    </row>
    <row r="1090" ht="22.5" customHeight="1">
      <c r="A1090" s="202"/>
      <c r="B1090" s="197"/>
      <c r="C1090" s="144"/>
      <c r="D1090" s="197"/>
      <c r="E1090" s="197"/>
      <c r="F1090" s="147"/>
    </row>
    <row r="1091" ht="22.5" customHeight="1">
      <c r="A1091" s="250"/>
      <c r="B1091" s="196"/>
      <c r="C1091" s="152"/>
      <c r="D1091" s="196"/>
      <c r="E1091" s="196"/>
      <c r="F1091" s="155"/>
    </row>
    <row r="1092" ht="22.5" customHeight="1">
      <c r="A1092" s="202"/>
      <c r="B1092" s="197"/>
      <c r="C1092" s="144"/>
      <c r="D1092" s="197"/>
      <c r="E1092" s="197"/>
      <c r="F1092" s="147"/>
    </row>
    <row r="1093" ht="22.5" customHeight="1">
      <c r="A1093" s="250"/>
      <c r="B1093" s="196"/>
      <c r="C1093" s="152"/>
      <c r="D1093" s="196"/>
      <c r="E1093" s="196"/>
      <c r="F1093" s="155"/>
    </row>
    <row r="1094" ht="22.5" customHeight="1">
      <c r="A1094" s="202"/>
      <c r="B1094" s="197"/>
      <c r="C1094" s="144"/>
      <c r="D1094" s="197"/>
      <c r="E1094" s="197"/>
      <c r="F1094" s="147"/>
    </row>
    <row r="1095" ht="22.5" customHeight="1">
      <c r="A1095" s="250"/>
      <c r="B1095" s="196"/>
      <c r="C1095" s="152"/>
      <c r="D1095" s="196"/>
      <c r="E1095" s="196"/>
      <c r="F1095" s="155"/>
    </row>
    <row r="1096" ht="22.5" customHeight="1">
      <c r="A1096" s="202"/>
      <c r="B1096" s="197"/>
      <c r="C1096" s="144"/>
      <c r="D1096" s="197"/>
      <c r="E1096" s="197"/>
      <c r="F1096" s="147"/>
    </row>
    <row r="1097" ht="22.5" customHeight="1">
      <c r="A1097" s="250"/>
      <c r="B1097" s="196"/>
      <c r="C1097" s="152"/>
      <c r="D1097" s="196"/>
      <c r="E1097" s="196"/>
      <c r="F1097" s="155"/>
    </row>
    <row r="1098" ht="22.5" customHeight="1">
      <c r="A1098" s="202"/>
      <c r="B1098" s="197"/>
      <c r="C1098" s="144"/>
      <c r="D1098" s="197"/>
      <c r="E1098" s="197"/>
      <c r="F1098" s="147"/>
    </row>
    <row r="1099" ht="22.5" customHeight="1">
      <c r="A1099" s="250"/>
      <c r="B1099" s="196"/>
      <c r="C1099" s="152"/>
      <c r="D1099" s="196"/>
      <c r="E1099" s="196"/>
      <c r="F1099" s="155"/>
    </row>
    <row r="1100" ht="22.5" customHeight="1">
      <c r="A1100" s="202"/>
      <c r="B1100" s="197"/>
      <c r="C1100" s="144"/>
      <c r="D1100" s="197"/>
      <c r="E1100" s="197"/>
      <c r="F1100" s="147"/>
    </row>
    <row r="1101" ht="22.5" customHeight="1">
      <c r="A1101" s="250"/>
      <c r="B1101" s="196"/>
      <c r="C1101" s="152"/>
      <c r="D1101" s="196"/>
      <c r="E1101" s="196"/>
      <c r="F1101" s="155"/>
    </row>
    <row r="1102" ht="22.5" customHeight="1">
      <c r="A1102" s="202"/>
      <c r="B1102" s="197"/>
      <c r="C1102" s="144"/>
      <c r="D1102" s="197"/>
      <c r="E1102" s="197"/>
      <c r="F1102" s="147"/>
    </row>
    <row r="1103" ht="22.5" customHeight="1">
      <c r="A1103" s="250"/>
      <c r="B1103" s="196"/>
      <c r="C1103" s="152"/>
      <c r="D1103" s="196"/>
      <c r="E1103" s="196"/>
      <c r="F1103" s="155"/>
    </row>
    <row r="1104" ht="22.5" customHeight="1">
      <c r="A1104" s="202"/>
      <c r="B1104" s="197"/>
      <c r="C1104" s="144"/>
      <c r="D1104" s="197"/>
      <c r="E1104" s="197"/>
      <c r="F1104" s="147"/>
    </row>
    <row r="1105" ht="22.5" customHeight="1">
      <c r="A1105" s="250"/>
      <c r="B1105" s="196"/>
      <c r="C1105" s="152"/>
      <c r="D1105" s="196"/>
      <c r="E1105" s="196"/>
      <c r="F1105" s="155"/>
    </row>
    <row r="1106" ht="22.5" customHeight="1">
      <c r="A1106" s="202"/>
      <c r="B1106" s="197"/>
      <c r="C1106" s="144"/>
      <c r="D1106" s="197"/>
      <c r="E1106" s="197"/>
      <c r="F1106" s="147"/>
    </row>
    <row r="1107" ht="22.5" customHeight="1">
      <c r="A1107" s="250"/>
      <c r="B1107" s="196"/>
      <c r="C1107" s="152"/>
      <c r="D1107" s="196"/>
      <c r="E1107" s="196"/>
      <c r="F1107" s="155"/>
    </row>
    <row r="1108" ht="22.5" customHeight="1">
      <c r="A1108" s="202"/>
      <c r="B1108" s="197"/>
      <c r="C1108" s="144"/>
      <c r="D1108" s="197"/>
      <c r="E1108" s="197"/>
      <c r="F1108" s="147"/>
    </row>
    <row r="1109" ht="22.5" customHeight="1">
      <c r="A1109" s="250"/>
      <c r="B1109" s="196"/>
      <c r="C1109" s="152"/>
      <c r="D1109" s="196"/>
      <c r="E1109" s="196"/>
      <c r="F1109" s="155"/>
    </row>
    <row r="1110" ht="22.5" customHeight="1">
      <c r="A1110" s="202"/>
      <c r="B1110" s="197"/>
      <c r="C1110" s="144"/>
      <c r="D1110" s="197"/>
      <c r="E1110" s="197"/>
      <c r="F1110" s="147"/>
    </row>
    <row r="1111" ht="22.5" customHeight="1">
      <c r="A1111" s="250"/>
      <c r="B1111" s="196"/>
      <c r="C1111" s="152"/>
      <c r="D1111" s="196"/>
      <c r="E1111" s="196"/>
      <c r="F1111" s="155"/>
    </row>
    <row r="1112" ht="22.5" customHeight="1">
      <c r="A1112" s="202"/>
      <c r="B1112" s="197"/>
      <c r="C1112" s="144"/>
      <c r="D1112" s="197"/>
      <c r="E1112" s="197"/>
      <c r="F1112" s="147"/>
    </row>
    <row r="1113" ht="22.5" customHeight="1">
      <c r="A1113" s="250"/>
      <c r="B1113" s="196"/>
      <c r="C1113" s="152"/>
      <c r="D1113" s="196"/>
      <c r="E1113" s="196"/>
      <c r="F1113" s="155"/>
    </row>
    <row r="1114" ht="22.5" customHeight="1">
      <c r="A1114" s="202"/>
      <c r="B1114" s="197"/>
      <c r="C1114" s="144"/>
      <c r="D1114" s="197"/>
      <c r="E1114" s="197"/>
      <c r="F1114" s="147"/>
    </row>
    <row r="1115" ht="22.5" customHeight="1">
      <c r="A1115" s="250"/>
      <c r="B1115" s="196"/>
      <c r="C1115" s="152"/>
      <c r="D1115" s="196"/>
      <c r="E1115" s="196"/>
      <c r="F1115" s="155"/>
    </row>
    <row r="1116" ht="22.5" customHeight="1">
      <c r="A1116" s="202"/>
      <c r="B1116" s="197"/>
      <c r="C1116" s="144"/>
      <c r="D1116" s="197"/>
      <c r="E1116" s="197"/>
      <c r="F1116" s="147"/>
    </row>
    <row r="1117" ht="22.5" customHeight="1">
      <c r="A1117" s="250"/>
      <c r="B1117" s="196"/>
      <c r="C1117" s="152"/>
      <c r="D1117" s="196"/>
      <c r="E1117" s="196"/>
      <c r="F1117" s="155"/>
    </row>
    <row r="1118" ht="22.5" customHeight="1">
      <c r="A1118" s="202"/>
      <c r="B1118" s="197"/>
      <c r="C1118" s="144"/>
      <c r="D1118" s="197"/>
      <c r="E1118" s="197"/>
      <c r="F1118" s="147"/>
    </row>
    <row r="1119" ht="22.5" customHeight="1">
      <c r="A1119" s="250"/>
      <c r="B1119" s="196"/>
      <c r="C1119" s="152"/>
      <c r="D1119" s="196"/>
      <c r="E1119" s="196"/>
      <c r="F1119" s="155"/>
    </row>
    <row r="1120" ht="22.5" customHeight="1">
      <c r="A1120" s="202"/>
      <c r="B1120" s="197"/>
      <c r="C1120" s="144"/>
      <c r="D1120" s="197"/>
      <c r="E1120" s="197"/>
      <c r="F1120" s="147"/>
    </row>
    <row r="1121" ht="22.5" customHeight="1">
      <c r="A1121" s="250"/>
      <c r="B1121" s="196"/>
      <c r="C1121" s="152"/>
      <c r="D1121" s="196"/>
      <c r="E1121" s="196"/>
      <c r="F1121" s="155"/>
    </row>
    <row r="1122" ht="22.5" customHeight="1">
      <c r="A1122" s="202"/>
      <c r="B1122" s="197"/>
      <c r="C1122" s="144"/>
      <c r="D1122" s="197"/>
      <c r="E1122" s="197"/>
      <c r="F1122" s="147"/>
    </row>
    <row r="1123" ht="22.5" customHeight="1">
      <c r="A1123" s="250"/>
      <c r="B1123" s="196"/>
      <c r="C1123" s="152"/>
      <c r="D1123" s="196"/>
      <c r="E1123" s="196"/>
      <c r="F1123" s="155"/>
    </row>
    <row r="1124" ht="22.5" customHeight="1">
      <c r="A1124" s="202"/>
      <c r="B1124" s="197"/>
      <c r="C1124" s="144"/>
      <c r="D1124" s="197"/>
      <c r="E1124" s="197"/>
      <c r="F1124" s="147"/>
    </row>
    <row r="1125" ht="22.5" customHeight="1">
      <c r="A1125" s="250"/>
      <c r="B1125" s="196"/>
      <c r="C1125" s="152"/>
      <c r="D1125" s="196"/>
      <c r="E1125" s="196"/>
      <c r="F1125" s="155"/>
    </row>
    <row r="1126" ht="22.5" customHeight="1">
      <c r="A1126" s="202"/>
      <c r="B1126" s="197"/>
      <c r="C1126" s="144"/>
      <c r="D1126" s="197"/>
      <c r="E1126" s="197"/>
      <c r="F1126" s="147"/>
    </row>
    <row r="1127" ht="22.5" customHeight="1">
      <c r="A1127" s="250"/>
      <c r="B1127" s="196"/>
      <c r="C1127" s="152"/>
      <c r="D1127" s="196"/>
      <c r="E1127" s="196"/>
      <c r="F1127" s="155"/>
    </row>
    <row r="1128" ht="22.5" customHeight="1">
      <c r="A1128" s="202"/>
      <c r="B1128" s="197"/>
      <c r="C1128" s="144"/>
      <c r="D1128" s="197"/>
      <c r="E1128" s="197"/>
      <c r="F1128" s="147"/>
    </row>
    <row r="1129" ht="22.5" customHeight="1">
      <c r="A1129" s="250"/>
      <c r="B1129" s="196"/>
      <c r="C1129" s="152"/>
      <c r="D1129" s="196"/>
      <c r="E1129" s="196"/>
      <c r="F1129" s="155"/>
    </row>
    <row r="1130" ht="22.5" customHeight="1">
      <c r="A1130" s="202"/>
      <c r="B1130" s="197"/>
      <c r="C1130" s="144"/>
      <c r="D1130" s="197"/>
      <c r="E1130" s="197"/>
      <c r="F1130" s="147"/>
    </row>
    <row r="1131" ht="22.5" customHeight="1">
      <c r="A1131" s="250"/>
      <c r="B1131" s="196"/>
      <c r="C1131" s="152"/>
      <c r="D1131" s="196"/>
      <c r="E1131" s="196"/>
      <c r="F1131" s="155"/>
    </row>
    <row r="1132" ht="22.5" customHeight="1">
      <c r="A1132" s="202"/>
      <c r="B1132" s="197"/>
      <c r="C1132" s="144"/>
      <c r="D1132" s="197"/>
      <c r="E1132" s="197"/>
      <c r="F1132" s="147"/>
    </row>
    <row r="1133" ht="22.5" customHeight="1">
      <c r="A1133" s="250"/>
      <c r="B1133" s="196"/>
      <c r="C1133" s="152"/>
      <c r="D1133" s="196"/>
      <c r="E1133" s="196"/>
      <c r="F1133" s="155"/>
    </row>
    <row r="1134" ht="22.5" customHeight="1">
      <c r="A1134" s="202"/>
      <c r="B1134" s="197"/>
      <c r="C1134" s="144"/>
      <c r="D1134" s="197"/>
      <c r="E1134" s="197"/>
      <c r="F1134" s="147"/>
    </row>
    <row r="1135" ht="22.5" customHeight="1">
      <c r="A1135" s="250"/>
      <c r="B1135" s="196"/>
      <c r="C1135" s="152"/>
      <c r="D1135" s="196"/>
      <c r="E1135" s="196"/>
      <c r="F1135" s="155"/>
    </row>
    <row r="1136" ht="22.5" customHeight="1">
      <c r="A1136" s="202"/>
      <c r="B1136" s="197"/>
      <c r="C1136" s="144"/>
      <c r="D1136" s="197"/>
      <c r="E1136" s="197"/>
      <c r="F1136" s="147"/>
    </row>
    <row r="1137" ht="22.5" customHeight="1">
      <c r="A1137" s="250"/>
      <c r="B1137" s="196"/>
      <c r="C1137" s="152"/>
      <c r="D1137" s="196"/>
      <c r="E1137" s="196"/>
      <c r="F1137" s="155"/>
    </row>
    <row r="1138" ht="22.5" customHeight="1">
      <c r="A1138" s="202"/>
      <c r="B1138" s="197"/>
      <c r="C1138" s="144"/>
      <c r="D1138" s="197"/>
      <c r="E1138" s="197"/>
      <c r="F1138" s="147"/>
    </row>
    <row r="1139" ht="22.5" customHeight="1">
      <c r="A1139" s="250"/>
      <c r="B1139" s="196"/>
      <c r="C1139" s="152"/>
      <c r="D1139" s="196"/>
      <c r="E1139" s="196"/>
      <c r="F1139" s="155"/>
    </row>
    <row r="1140" ht="22.5" customHeight="1">
      <c r="A1140" s="202"/>
      <c r="B1140" s="197"/>
      <c r="C1140" s="144"/>
      <c r="D1140" s="197"/>
      <c r="E1140" s="197"/>
      <c r="F1140" s="147"/>
    </row>
    <row r="1141" ht="22.5" customHeight="1">
      <c r="A1141" s="250"/>
      <c r="B1141" s="196"/>
      <c r="C1141" s="152"/>
      <c r="D1141" s="196"/>
      <c r="E1141" s="196"/>
      <c r="F1141" s="155"/>
    </row>
    <row r="1142" ht="22.5" customHeight="1">
      <c r="A1142" s="202"/>
      <c r="B1142" s="197"/>
      <c r="C1142" s="144"/>
      <c r="D1142" s="197"/>
      <c r="E1142" s="197"/>
      <c r="F1142" s="147"/>
    </row>
    <row r="1143" ht="22.5" customHeight="1">
      <c r="A1143" s="250"/>
      <c r="B1143" s="196"/>
      <c r="C1143" s="152"/>
      <c r="D1143" s="196"/>
      <c r="E1143" s="196"/>
      <c r="F1143" s="155"/>
    </row>
    <row r="1144" ht="22.5" customHeight="1">
      <c r="A1144" s="202"/>
      <c r="B1144" s="197"/>
      <c r="C1144" s="144"/>
      <c r="D1144" s="197"/>
      <c r="E1144" s="197"/>
      <c r="F1144" s="147"/>
    </row>
    <row r="1145" ht="22.5" customHeight="1">
      <c r="A1145" s="250"/>
      <c r="B1145" s="196"/>
      <c r="C1145" s="152"/>
      <c r="D1145" s="196"/>
      <c r="E1145" s="196"/>
      <c r="F1145" s="155"/>
    </row>
    <row r="1146" ht="22.5" customHeight="1">
      <c r="A1146" s="202"/>
      <c r="B1146" s="197"/>
      <c r="C1146" s="144"/>
      <c r="D1146" s="197"/>
      <c r="E1146" s="197"/>
      <c r="F1146" s="147"/>
    </row>
    <row r="1147" ht="22.5" customHeight="1">
      <c r="A1147" s="250"/>
      <c r="B1147" s="196"/>
      <c r="C1147" s="152"/>
      <c r="D1147" s="196"/>
      <c r="E1147" s="196"/>
      <c r="F1147" s="155"/>
    </row>
    <row r="1148" ht="22.5" customHeight="1">
      <c r="A1148" s="202"/>
      <c r="B1148" s="197"/>
      <c r="C1148" s="144"/>
      <c r="D1148" s="197"/>
      <c r="E1148" s="197"/>
      <c r="F1148" s="147"/>
    </row>
    <row r="1149" ht="22.5" customHeight="1">
      <c r="A1149" s="250"/>
      <c r="B1149" s="196"/>
      <c r="C1149" s="152"/>
      <c r="D1149" s="196"/>
      <c r="E1149" s="196"/>
      <c r="F1149" s="155"/>
    </row>
    <row r="1150" ht="22.5" customHeight="1">
      <c r="A1150" s="202"/>
      <c r="B1150" s="197"/>
      <c r="C1150" s="144"/>
      <c r="D1150" s="197"/>
      <c r="E1150" s="197"/>
      <c r="F1150" s="147"/>
    </row>
    <row r="1151" ht="22.5" customHeight="1">
      <c r="A1151" s="250"/>
      <c r="B1151" s="196"/>
      <c r="C1151" s="152"/>
      <c r="D1151" s="196"/>
      <c r="E1151" s="196"/>
      <c r="F1151" s="155"/>
    </row>
    <row r="1152" ht="22.5" customHeight="1">
      <c r="A1152" s="202"/>
      <c r="B1152" s="197"/>
      <c r="C1152" s="144"/>
      <c r="D1152" s="197"/>
      <c r="E1152" s="197"/>
      <c r="F1152" s="147"/>
    </row>
    <row r="1153" ht="22.5" customHeight="1">
      <c r="A1153" s="250"/>
      <c r="B1153" s="196"/>
      <c r="C1153" s="152"/>
      <c r="D1153" s="196"/>
      <c r="E1153" s="196"/>
      <c r="F1153" s="155"/>
    </row>
    <row r="1154" ht="22.5" customHeight="1">
      <c r="A1154" s="202"/>
      <c r="B1154" s="197"/>
      <c r="C1154" s="144"/>
      <c r="D1154" s="197"/>
      <c r="E1154" s="197"/>
      <c r="F1154" s="147"/>
    </row>
    <row r="1155" ht="22.5" customHeight="1">
      <c r="A1155" s="250"/>
      <c r="B1155" s="196"/>
      <c r="C1155" s="152"/>
      <c r="D1155" s="196"/>
      <c r="E1155" s="196"/>
      <c r="F1155" s="155"/>
    </row>
    <row r="1156" ht="22.5" customHeight="1">
      <c r="A1156" s="202"/>
      <c r="B1156" s="197"/>
      <c r="C1156" s="144"/>
      <c r="D1156" s="197"/>
      <c r="E1156" s="197"/>
      <c r="F1156" s="147"/>
    </row>
    <row r="1157" ht="22.5" customHeight="1">
      <c r="A1157" s="250"/>
      <c r="B1157" s="196"/>
      <c r="C1157" s="152"/>
      <c r="D1157" s="196"/>
      <c r="E1157" s="196"/>
      <c r="F1157" s="155"/>
    </row>
    <row r="1158" ht="22.5" customHeight="1">
      <c r="A1158" s="202"/>
      <c r="B1158" s="197"/>
      <c r="C1158" s="144"/>
      <c r="D1158" s="197"/>
      <c r="E1158" s="197"/>
      <c r="F1158" s="147"/>
    </row>
    <row r="1159" ht="22.5" customHeight="1">
      <c r="A1159" s="250"/>
      <c r="B1159" s="196"/>
      <c r="C1159" s="152"/>
      <c r="D1159" s="196"/>
      <c r="E1159" s="196"/>
      <c r="F1159" s="155"/>
    </row>
    <row r="1160" ht="22.5" customHeight="1">
      <c r="A1160" s="202"/>
      <c r="B1160" s="197"/>
      <c r="C1160" s="144"/>
      <c r="D1160" s="197"/>
      <c r="E1160" s="197"/>
      <c r="F1160" s="147"/>
    </row>
    <row r="1161" ht="22.5" customHeight="1">
      <c r="A1161" s="250"/>
      <c r="B1161" s="196"/>
      <c r="C1161" s="152"/>
      <c r="D1161" s="196"/>
      <c r="E1161" s="196"/>
      <c r="F1161" s="155"/>
    </row>
    <row r="1162" ht="22.5" customHeight="1">
      <c r="A1162" s="202"/>
      <c r="B1162" s="197"/>
      <c r="C1162" s="144"/>
      <c r="D1162" s="197"/>
      <c r="E1162" s="197"/>
      <c r="F1162" s="147"/>
    </row>
    <row r="1163" ht="22.5" customHeight="1">
      <c r="A1163" s="250"/>
      <c r="B1163" s="196"/>
      <c r="C1163" s="152"/>
      <c r="D1163" s="196"/>
      <c r="E1163" s="196"/>
      <c r="F1163" s="155"/>
    </row>
    <row r="1164" ht="22.5" customHeight="1">
      <c r="A1164" s="202"/>
      <c r="B1164" s="197"/>
      <c r="C1164" s="144"/>
      <c r="D1164" s="197"/>
      <c r="E1164" s="197"/>
      <c r="F1164" s="147"/>
    </row>
    <row r="1165" ht="22.5" customHeight="1">
      <c r="A1165" s="250"/>
      <c r="B1165" s="196"/>
      <c r="C1165" s="152"/>
      <c r="D1165" s="196"/>
      <c r="E1165" s="196"/>
      <c r="F1165" s="155"/>
    </row>
    <row r="1166" ht="22.5" customHeight="1">
      <c r="A1166" s="202"/>
      <c r="B1166" s="197"/>
      <c r="C1166" s="144"/>
      <c r="D1166" s="197"/>
      <c r="E1166" s="197"/>
      <c r="F1166" s="147"/>
    </row>
    <row r="1167" ht="22.5" customHeight="1">
      <c r="A1167" s="250"/>
      <c r="B1167" s="196"/>
      <c r="C1167" s="152"/>
      <c r="D1167" s="196"/>
      <c r="E1167" s="196"/>
      <c r="F1167" s="155"/>
    </row>
    <row r="1168" ht="22.5" customHeight="1">
      <c r="A1168" s="202"/>
      <c r="B1168" s="197"/>
      <c r="C1168" s="144"/>
      <c r="D1168" s="197"/>
      <c r="E1168" s="197"/>
      <c r="F1168" s="147"/>
    </row>
    <row r="1169" ht="22.5" customHeight="1">
      <c r="A1169" s="250"/>
      <c r="B1169" s="196"/>
      <c r="C1169" s="152"/>
      <c r="D1169" s="196"/>
      <c r="E1169" s="196"/>
      <c r="F1169" s="155"/>
    </row>
    <row r="1170" ht="22.5" customHeight="1">
      <c r="A1170" s="202"/>
      <c r="B1170" s="197"/>
      <c r="C1170" s="144"/>
      <c r="D1170" s="197"/>
      <c r="E1170" s="197"/>
      <c r="F1170" s="147"/>
    </row>
    <row r="1171" ht="22.5" customHeight="1">
      <c r="A1171" s="250"/>
      <c r="B1171" s="196"/>
      <c r="C1171" s="152"/>
      <c r="D1171" s="196"/>
      <c r="E1171" s="196"/>
      <c r="F1171" s="155"/>
    </row>
    <row r="1172" ht="22.5" customHeight="1">
      <c r="A1172" s="202"/>
      <c r="B1172" s="197"/>
      <c r="C1172" s="144"/>
      <c r="D1172" s="197"/>
      <c r="E1172" s="197"/>
      <c r="F1172" s="147"/>
    </row>
    <row r="1173" ht="22.5" customHeight="1">
      <c r="A1173" s="250"/>
      <c r="B1173" s="196"/>
      <c r="C1173" s="152"/>
      <c r="D1173" s="196"/>
      <c r="E1173" s="196"/>
      <c r="F1173" s="155"/>
    </row>
    <row r="1174" ht="22.5" customHeight="1">
      <c r="A1174" s="202"/>
      <c r="B1174" s="197"/>
      <c r="C1174" s="144"/>
      <c r="D1174" s="197"/>
      <c r="E1174" s="197"/>
      <c r="F1174" s="147"/>
    </row>
    <row r="1175" ht="22.5" customHeight="1">
      <c r="A1175" s="250"/>
      <c r="B1175" s="196"/>
      <c r="C1175" s="152"/>
      <c r="D1175" s="196"/>
      <c r="E1175" s="196"/>
      <c r="F1175" s="155"/>
    </row>
    <row r="1176" ht="22.5" customHeight="1">
      <c r="A1176" s="202"/>
      <c r="B1176" s="197"/>
      <c r="C1176" s="144"/>
      <c r="D1176" s="197"/>
      <c r="E1176" s="197"/>
      <c r="F1176" s="147"/>
    </row>
    <row r="1177" ht="22.5" customHeight="1">
      <c r="A1177" s="250"/>
      <c r="B1177" s="196"/>
      <c r="C1177" s="152"/>
      <c r="D1177" s="196"/>
      <c r="E1177" s="196"/>
      <c r="F1177" s="155"/>
    </row>
    <row r="1178" ht="22.5" customHeight="1">
      <c r="A1178" s="202"/>
      <c r="B1178" s="197"/>
      <c r="C1178" s="144"/>
      <c r="D1178" s="197"/>
      <c r="E1178" s="197"/>
      <c r="F1178" s="147"/>
    </row>
    <row r="1179" ht="22.5" customHeight="1">
      <c r="A1179" s="250"/>
      <c r="B1179" s="196"/>
      <c r="C1179" s="152"/>
      <c r="D1179" s="196"/>
      <c r="E1179" s="196"/>
      <c r="F1179" s="155"/>
    </row>
    <row r="1180" ht="22.5" customHeight="1">
      <c r="A1180" s="202"/>
      <c r="B1180" s="197"/>
      <c r="C1180" s="144"/>
      <c r="D1180" s="197"/>
      <c r="E1180" s="197"/>
      <c r="F1180" s="147"/>
    </row>
    <row r="1181" ht="22.5" customHeight="1">
      <c r="A1181" s="250"/>
      <c r="B1181" s="196"/>
      <c r="C1181" s="152"/>
      <c r="D1181" s="196"/>
      <c r="E1181" s="196"/>
      <c r="F1181" s="155"/>
    </row>
    <row r="1182" ht="22.5" customHeight="1">
      <c r="A1182" s="202"/>
      <c r="B1182" s="197"/>
      <c r="C1182" s="144"/>
      <c r="D1182" s="197"/>
      <c r="E1182" s="197"/>
      <c r="F1182" s="147"/>
    </row>
    <row r="1183" ht="22.5" customHeight="1">
      <c r="A1183" s="250"/>
      <c r="B1183" s="196"/>
      <c r="C1183" s="152"/>
      <c r="D1183" s="196"/>
      <c r="E1183" s="196"/>
      <c r="F1183" s="155"/>
    </row>
    <row r="1184" ht="22.5" customHeight="1">
      <c r="A1184" s="202"/>
      <c r="B1184" s="197"/>
      <c r="C1184" s="144"/>
      <c r="D1184" s="197"/>
      <c r="E1184" s="197"/>
      <c r="F1184" s="147"/>
    </row>
    <row r="1185" ht="22.5" customHeight="1">
      <c r="A1185" s="250"/>
      <c r="B1185" s="196"/>
      <c r="C1185" s="152"/>
      <c r="D1185" s="196"/>
      <c r="E1185" s="196"/>
      <c r="F1185" s="155"/>
    </row>
    <row r="1186" ht="22.5" customHeight="1">
      <c r="A1186" s="202"/>
      <c r="B1186" s="197"/>
      <c r="C1186" s="144"/>
      <c r="D1186" s="197"/>
      <c r="E1186" s="197"/>
      <c r="F1186" s="147"/>
    </row>
    <row r="1187" ht="22.5" customHeight="1">
      <c r="A1187" s="250"/>
      <c r="B1187" s="196"/>
      <c r="C1187" s="152"/>
      <c r="D1187" s="196"/>
      <c r="E1187" s="196"/>
      <c r="F1187" s="155"/>
    </row>
    <row r="1188" ht="22.5" customHeight="1">
      <c r="A1188" s="202"/>
      <c r="B1188" s="197"/>
      <c r="C1188" s="144"/>
      <c r="D1188" s="197"/>
      <c r="E1188" s="197"/>
      <c r="F1188" s="147"/>
    </row>
    <row r="1189" ht="22.5" customHeight="1">
      <c r="A1189" s="250"/>
      <c r="B1189" s="196"/>
      <c r="C1189" s="152"/>
      <c r="D1189" s="196"/>
      <c r="E1189" s="196"/>
      <c r="F1189" s="155"/>
    </row>
    <row r="1190" ht="22.5" customHeight="1">
      <c r="A1190" s="202"/>
      <c r="B1190" s="197"/>
      <c r="C1190" s="144"/>
      <c r="D1190" s="197"/>
      <c r="E1190" s="197"/>
      <c r="F1190" s="147"/>
    </row>
    <row r="1191" ht="22.5" customHeight="1">
      <c r="A1191" s="250"/>
      <c r="B1191" s="196"/>
      <c r="C1191" s="152"/>
      <c r="D1191" s="196"/>
      <c r="E1191" s="196"/>
      <c r="F1191" s="155"/>
    </row>
    <row r="1192" ht="22.5" customHeight="1">
      <c r="A1192" s="202"/>
      <c r="B1192" s="197"/>
      <c r="C1192" s="144"/>
      <c r="D1192" s="197"/>
      <c r="E1192" s="197"/>
      <c r="F1192" s="147"/>
    </row>
    <row r="1193" ht="22.5" customHeight="1">
      <c r="A1193" s="250"/>
      <c r="B1193" s="196"/>
      <c r="C1193" s="152"/>
      <c r="D1193" s="196"/>
      <c r="E1193" s="196"/>
      <c r="F1193" s="155"/>
    </row>
    <row r="1194" ht="22.5" customHeight="1">
      <c r="A1194" s="202"/>
      <c r="B1194" s="197"/>
      <c r="C1194" s="144"/>
      <c r="D1194" s="197"/>
      <c r="E1194" s="197"/>
      <c r="F1194" s="147"/>
    </row>
    <row r="1195" ht="22.5" customHeight="1">
      <c r="A1195" s="250"/>
      <c r="B1195" s="196"/>
      <c r="C1195" s="152"/>
      <c r="D1195" s="196"/>
      <c r="E1195" s="196"/>
      <c r="F1195" s="155"/>
    </row>
    <row r="1196" ht="22.5" customHeight="1">
      <c r="A1196" s="202"/>
      <c r="B1196" s="197"/>
      <c r="C1196" s="144"/>
      <c r="D1196" s="197"/>
      <c r="E1196" s="197"/>
      <c r="F1196" s="147"/>
    </row>
    <row r="1197" ht="22.5" customHeight="1">
      <c r="A1197" s="250"/>
      <c r="B1197" s="196"/>
      <c r="C1197" s="152"/>
      <c r="D1197" s="196"/>
      <c r="E1197" s="196"/>
      <c r="F1197" s="155"/>
    </row>
    <row r="1198" ht="22.5" customHeight="1">
      <c r="A1198" s="202"/>
      <c r="B1198" s="197"/>
      <c r="C1198" s="144"/>
      <c r="D1198" s="197"/>
      <c r="E1198" s="197"/>
      <c r="F1198" s="147"/>
    </row>
    <row r="1199" ht="22.5" customHeight="1">
      <c r="A1199" s="250"/>
      <c r="B1199" s="196"/>
      <c r="C1199" s="152"/>
      <c r="D1199" s="196"/>
      <c r="E1199" s="196"/>
      <c r="F1199" s="155"/>
    </row>
    <row r="1200" ht="22.5" customHeight="1">
      <c r="A1200" s="202"/>
      <c r="B1200" s="197"/>
      <c r="C1200" s="144"/>
      <c r="D1200" s="197"/>
      <c r="E1200" s="197"/>
      <c r="F1200" s="147"/>
    </row>
    <row r="1201" ht="22.5" customHeight="1">
      <c r="A1201" s="250"/>
      <c r="B1201" s="196"/>
      <c r="C1201" s="152"/>
      <c r="D1201" s="196"/>
      <c r="E1201" s="196"/>
      <c r="F1201" s="155"/>
    </row>
    <row r="1202" ht="22.5" customHeight="1">
      <c r="A1202" s="202"/>
      <c r="B1202" s="197"/>
      <c r="C1202" s="144"/>
      <c r="D1202" s="197"/>
      <c r="E1202" s="197"/>
      <c r="F1202" s="147"/>
    </row>
    <row r="1203" ht="22.5" customHeight="1">
      <c r="A1203" s="250"/>
      <c r="B1203" s="196"/>
      <c r="C1203" s="152"/>
      <c r="D1203" s="196"/>
      <c r="E1203" s="196"/>
      <c r="F1203" s="155"/>
    </row>
    <row r="1204" ht="22.5" customHeight="1">
      <c r="A1204" s="202"/>
      <c r="B1204" s="197"/>
      <c r="C1204" s="144"/>
      <c r="D1204" s="197"/>
      <c r="E1204" s="197"/>
      <c r="F1204" s="147"/>
    </row>
    <row r="1205" ht="22.5" customHeight="1">
      <c r="A1205" s="250"/>
      <c r="B1205" s="196"/>
      <c r="C1205" s="152"/>
      <c r="D1205" s="196"/>
      <c r="E1205" s="196"/>
      <c r="F1205" s="155"/>
    </row>
    <row r="1206" ht="22.5" customHeight="1">
      <c r="A1206" s="202"/>
      <c r="B1206" s="197"/>
      <c r="C1206" s="144"/>
      <c r="D1206" s="197"/>
      <c r="E1206" s="197"/>
      <c r="F1206" s="147"/>
    </row>
    <row r="1207" ht="22.5" customHeight="1">
      <c r="A1207" s="250"/>
      <c r="B1207" s="196"/>
      <c r="C1207" s="152"/>
      <c r="D1207" s="196"/>
      <c r="E1207" s="196"/>
      <c r="F1207" s="155"/>
    </row>
    <row r="1208" ht="22.5" customHeight="1">
      <c r="A1208" s="202"/>
      <c r="B1208" s="197"/>
      <c r="C1208" s="144"/>
      <c r="D1208" s="197"/>
      <c r="E1208" s="197"/>
      <c r="F1208" s="147"/>
    </row>
    <row r="1209" ht="22.5" customHeight="1">
      <c r="A1209" s="250"/>
      <c r="B1209" s="196"/>
      <c r="C1209" s="152"/>
      <c r="D1209" s="196"/>
      <c r="E1209" s="196"/>
      <c r="F1209" s="155"/>
    </row>
    <row r="1210" ht="22.5" customHeight="1">
      <c r="A1210" s="202"/>
      <c r="B1210" s="197"/>
      <c r="C1210" s="144"/>
      <c r="D1210" s="197"/>
      <c r="E1210" s="197"/>
      <c r="F1210" s="147"/>
    </row>
    <row r="1211" ht="22.5" customHeight="1">
      <c r="A1211" s="250"/>
      <c r="B1211" s="196"/>
      <c r="C1211" s="152"/>
      <c r="D1211" s="196"/>
      <c r="E1211" s="196"/>
      <c r="F1211" s="155"/>
    </row>
    <row r="1212" ht="22.5" customHeight="1">
      <c r="A1212" s="202"/>
      <c r="B1212" s="197"/>
      <c r="C1212" s="144"/>
      <c r="D1212" s="197"/>
      <c r="E1212" s="197"/>
      <c r="F1212" s="147"/>
    </row>
    <row r="1213" ht="22.5" customHeight="1">
      <c r="A1213" s="250"/>
      <c r="B1213" s="196"/>
      <c r="C1213" s="152"/>
      <c r="D1213" s="196"/>
      <c r="E1213" s="196"/>
      <c r="F1213" s="155"/>
    </row>
    <row r="1214" ht="22.5" customHeight="1">
      <c r="A1214" s="202"/>
      <c r="B1214" s="197"/>
      <c r="C1214" s="144"/>
      <c r="D1214" s="197"/>
      <c r="E1214" s="197"/>
      <c r="F1214" s="147"/>
    </row>
    <row r="1215" ht="22.5" customHeight="1">
      <c r="A1215" s="250"/>
      <c r="B1215" s="196"/>
      <c r="C1215" s="152"/>
      <c r="D1215" s="196"/>
      <c r="E1215" s="196"/>
      <c r="F1215" s="155"/>
    </row>
    <row r="1216" ht="22.5" customHeight="1">
      <c r="A1216" s="202"/>
      <c r="B1216" s="197"/>
      <c r="C1216" s="144"/>
      <c r="D1216" s="197"/>
      <c r="E1216" s="197"/>
      <c r="F1216" s="147"/>
    </row>
    <row r="1217" ht="22.5" customHeight="1">
      <c r="A1217" s="250"/>
      <c r="B1217" s="196"/>
      <c r="C1217" s="152"/>
      <c r="D1217" s="196"/>
      <c r="E1217" s="196"/>
      <c r="F1217" s="155"/>
    </row>
    <row r="1218" ht="22.5" customHeight="1">
      <c r="A1218" s="202"/>
      <c r="B1218" s="197"/>
      <c r="C1218" s="144"/>
      <c r="D1218" s="197"/>
      <c r="E1218" s="197"/>
      <c r="F1218" s="147"/>
    </row>
    <row r="1219" ht="22.5" customHeight="1">
      <c r="A1219" s="250"/>
      <c r="B1219" s="196"/>
      <c r="C1219" s="152"/>
      <c r="D1219" s="196"/>
      <c r="E1219" s="196"/>
      <c r="F1219" s="155"/>
    </row>
    <row r="1220" ht="22.5" customHeight="1">
      <c r="A1220" s="202"/>
      <c r="B1220" s="197"/>
      <c r="C1220" s="144"/>
      <c r="D1220" s="197"/>
      <c r="E1220" s="197"/>
      <c r="F1220" s="147"/>
    </row>
    <row r="1221" ht="22.5" customHeight="1">
      <c r="A1221" s="250"/>
      <c r="B1221" s="196"/>
      <c r="C1221" s="152"/>
      <c r="D1221" s="196"/>
      <c r="E1221" s="196"/>
      <c r="F1221" s="155"/>
    </row>
    <row r="1222" ht="22.5" customHeight="1">
      <c r="A1222" s="202"/>
      <c r="B1222" s="197"/>
      <c r="C1222" s="144"/>
      <c r="D1222" s="197"/>
      <c r="E1222" s="197"/>
      <c r="F1222" s="147"/>
    </row>
    <row r="1223" ht="22.5" customHeight="1">
      <c r="A1223" s="250"/>
      <c r="B1223" s="196"/>
      <c r="C1223" s="152"/>
      <c r="D1223" s="196"/>
      <c r="E1223" s="196"/>
      <c r="F1223" s="155"/>
    </row>
    <row r="1224" ht="22.5" customHeight="1">
      <c r="A1224" s="202"/>
      <c r="B1224" s="197"/>
      <c r="C1224" s="144"/>
      <c r="D1224" s="197"/>
      <c r="E1224" s="197"/>
      <c r="F1224" s="147"/>
    </row>
    <row r="1225" ht="22.5" customHeight="1">
      <c r="A1225" s="250"/>
      <c r="B1225" s="196"/>
      <c r="C1225" s="152"/>
      <c r="D1225" s="196"/>
      <c r="E1225" s="196"/>
      <c r="F1225" s="155"/>
    </row>
    <row r="1226" ht="22.5" customHeight="1">
      <c r="A1226" s="202"/>
      <c r="B1226" s="197"/>
      <c r="C1226" s="144"/>
      <c r="D1226" s="197"/>
      <c r="E1226" s="197"/>
      <c r="F1226" s="147"/>
    </row>
    <row r="1227" ht="22.5" customHeight="1">
      <c r="A1227" s="250"/>
      <c r="B1227" s="196"/>
      <c r="C1227" s="152"/>
      <c r="D1227" s="196"/>
      <c r="E1227" s="196"/>
      <c r="F1227" s="155"/>
    </row>
    <row r="1228" ht="22.5" customHeight="1">
      <c r="A1228" s="202"/>
      <c r="B1228" s="197"/>
      <c r="C1228" s="144"/>
      <c r="D1228" s="197"/>
      <c r="E1228" s="197"/>
      <c r="F1228" s="147"/>
    </row>
    <row r="1229" ht="22.5" customHeight="1">
      <c r="A1229" s="250"/>
      <c r="B1229" s="196"/>
      <c r="C1229" s="152"/>
      <c r="D1229" s="196"/>
      <c r="E1229" s="196"/>
      <c r="F1229" s="155"/>
    </row>
    <row r="1230" ht="22.5" customHeight="1">
      <c r="A1230" s="202"/>
      <c r="B1230" s="197"/>
      <c r="C1230" s="144"/>
      <c r="D1230" s="197"/>
      <c r="E1230" s="197"/>
      <c r="F1230" s="147"/>
    </row>
    <row r="1231" ht="22.5" customHeight="1">
      <c r="A1231" s="250"/>
      <c r="B1231" s="196"/>
      <c r="C1231" s="152"/>
      <c r="D1231" s="196"/>
      <c r="E1231" s="196"/>
      <c r="F1231" s="155"/>
    </row>
    <row r="1232" ht="22.5" customHeight="1">
      <c r="A1232" s="202"/>
      <c r="B1232" s="197"/>
      <c r="C1232" s="144"/>
      <c r="D1232" s="197"/>
      <c r="E1232" s="197"/>
      <c r="F1232" s="147"/>
    </row>
    <row r="1233" ht="22.5" customHeight="1">
      <c r="A1233" s="250"/>
      <c r="B1233" s="196"/>
      <c r="C1233" s="152"/>
      <c r="D1233" s="196"/>
      <c r="E1233" s="196"/>
      <c r="F1233" s="155"/>
    </row>
    <row r="1234" ht="22.5" customHeight="1">
      <c r="A1234" s="202"/>
      <c r="B1234" s="197"/>
      <c r="C1234" s="144"/>
      <c r="D1234" s="197"/>
      <c r="E1234" s="197"/>
      <c r="F1234" s="147"/>
    </row>
    <row r="1235" ht="22.5" customHeight="1">
      <c r="A1235" s="250"/>
      <c r="B1235" s="196"/>
      <c r="C1235" s="152"/>
      <c r="D1235" s="196"/>
      <c r="E1235" s="196"/>
      <c r="F1235" s="155"/>
    </row>
    <row r="1236" ht="22.5" customHeight="1">
      <c r="A1236" s="202"/>
      <c r="B1236" s="197"/>
      <c r="C1236" s="144"/>
      <c r="D1236" s="197"/>
      <c r="E1236" s="197"/>
      <c r="F1236" s="147"/>
    </row>
    <row r="1237" ht="22.5" customHeight="1">
      <c r="A1237" s="250"/>
      <c r="B1237" s="196"/>
      <c r="C1237" s="152"/>
      <c r="D1237" s="196"/>
      <c r="E1237" s="196"/>
      <c r="F1237" s="155"/>
    </row>
    <row r="1238" ht="22.5" customHeight="1">
      <c r="A1238" s="202"/>
      <c r="B1238" s="197"/>
      <c r="C1238" s="144"/>
      <c r="D1238" s="197"/>
      <c r="E1238" s="197"/>
      <c r="F1238" s="147"/>
    </row>
    <row r="1239" ht="22.5" customHeight="1">
      <c r="A1239" s="250"/>
      <c r="B1239" s="196"/>
      <c r="C1239" s="152"/>
      <c r="D1239" s="196"/>
      <c r="E1239" s="196"/>
      <c r="F1239" s="155"/>
    </row>
    <row r="1240" ht="22.5" customHeight="1">
      <c r="A1240" s="202"/>
      <c r="B1240" s="197"/>
      <c r="C1240" s="144"/>
      <c r="D1240" s="197"/>
      <c r="E1240" s="197"/>
      <c r="F1240" s="147"/>
    </row>
    <row r="1241" ht="22.5" customHeight="1">
      <c r="A1241" s="250"/>
      <c r="B1241" s="196"/>
      <c r="C1241" s="152"/>
      <c r="D1241" s="196"/>
      <c r="E1241" s="196"/>
      <c r="F1241" s="155"/>
    </row>
    <row r="1242" ht="22.5" customHeight="1">
      <c r="A1242" s="202"/>
      <c r="B1242" s="197"/>
      <c r="C1242" s="144"/>
      <c r="D1242" s="197"/>
      <c r="E1242" s="197"/>
      <c r="F1242" s="147"/>
    </row>
    <row r="1243" ht="22.5" customHeight="1">
      <c r="A1243" s="250"/>
      <c r="B1243" s="196"/>
      <c r="C1243" s="152"/>
      <c r="D1243" s="196"/>
      <c r="E1243" s="196"/>
      <c r="F1243" s="155"/>
    </row>
    <row r="1244" ht="22.5" customHeight="1">
      <c r="A1244" s="202"/>
      <c r="B1244" s="197"/>
      <c r="C1244" s="144"/>
      <c r="D1244" s="197"/>
      <c r="E1244" s="197"/>
      <c r="F1244" s="147"/>
    </row>
    <row r="1245" ht="22.5" customHeight="1">
      <c r="A1245" s="250"/>
      <c r="B1245" s="196"/>
      <c r="C1245" s="152"/>
      <c r="D1245" s="196"/>
      <c r="E1245" s="196"/>
      <c r="F1245" s="155"/>
    </row>
    <row r="1246" ht="22.5" customHeight="1">
      <c r="A1246" s="202"/>
      <c r="B1246" s="197"/>
      <c r="C1246" s="144"/>
      <c r="D1246" s="197"/>
      <c r="E1246" s="197"/>
      <c r="F1246" s="147"/>
    </row>
    <row r="1247" ht="22.5" customHeight="1">
      <c r="A1247" s="250"/>
      <c r="B1247" s="196"/>
      <c r="C1247" s="152"/>
      <c r="D1247" s="196"/>
      <c r="E1247" s="196"/>
      <c r="F1247" s="155"/>
    </row>
    <row r="1248" ht="22.5" customHeight="1">
      <c r="A1248" s="202"/>
      <c r="B1248" s="197"/>
      <c r="C1248" s="144"/>
      <c r="D1248" s="197"/>
      <c r="E1248" s="197"/>
      <c r="F1248" s="147"/>
    </row>
    <row r="1249" ht="22.5" customHeight="1">
      <c r="A1249" s="250"/>
      <c r="B1249" s="196"/>
      <c r="C1249" s="152"/>
      <c r="D1249" s="196"/>
      <c r="E1249" s="196"/>
      <c r="F1249" s="155"/>
    </row>
    <row r="1250" ht="22.5" customHeight="1">
      <c r="A1250" s="202"/>
      <c r="B1250" s="197"/>
      <c r="C1250" s="144"/>
      <c r="D1250" s="197"/>
      <c r="E1250" s="197"/>
      <c r="F1250" s="147"/>
    </row>
    <row r="1251" ht="22.5" customHeight="1">
      <c r="A1251" s="250"/>
      <c r="B1251" s="196"/>
      <c r="C1251" s="152"/>
      <c r="D1251" s="196"/>
      <c r="E1251" s="196"/>
      <c r="F1251" s="155"/>
    </row>
    <row r="1252" ht="22.5" customHeight="1">
      <c r="A1252" s="202"/>
      <c r="B1252" s="197"/>
      <c r="C1252" s="144"/>
      <c r="D1252" s="197"/>
      <c r="E1252" s="197"/>
      <c r="F1252" s="147"/>
    </row>
    <row r="1253" ht="22.5" customHeight="1">
      <c r="A1253" s="250"/>
      <c r="B1253" s="196"/>
      <c r="C1253" s="152"/>
      <c r="D1253" s="196"/>
      <c r="E1253" s="196"/>
      <c r="F1253" s="155"/>
    </row>
    <row r="1254" ht="22.5" customHeight="1">
      <c r="A1254" s="202"/>
      <c r="B1254" s="197"/>
      <c r="C1254" s="144"/>
      <c r="D1254" s="197"/>
      <c r="E1254" s="197"/>
      <c r="F1254" s="147"/>
    </row>
    <row r="1255" ht="22.5" customHeight="1">
      <c r="A1255" s="250"/>
      <c r="B1255" s="196"/>
      <c r="C1255" s="152"/>
      <c r="D1255" s="196"/>
      <c r="E1255" s="196"/>
      <c r="F1255" s="155"/>
    </row>
    <row r="1256" ht="22.5" customHeight="1">
      <c r="A1256" s="202"/>
      <c r="B1256" s="197"/>
      <c r="C1256" s="144"/>
      <c r="D1256" s="197"/>
      <c r="E1256" s="197"/>
      <c r="F1256" s="147"/>
    </row>
    <row r="1257" ht="22.5" customHeight="1">
      <c r="A1257" s="250"/>
      <c r="B1257" s="196"/>
      <c r="C1257" s="152"/>
      <c r="D1257" s="196"/>
      <c r="E1257" s="196"/>
      <c r="F1257" s="155"/>
    </row>
    <row r="1258" ht="22.5" customHeight="1">
      <c r="A1258" s="202"/>
      <c r="B1258" s="197"/>
      <c r="C1258" s="144"/>
      <c r="D1258" s="197"/>
      <c r="E1258" s="197"/>
      <c r="F1258" s="147"/>
    </row>
    <row r="1259" ht="22.5" customHeight="1">
      <c r="A1259" s="250"/>
      <c r="B1259" s="196"/>
      <c r="C1259" s="152"/>
      <c r="D1259" s="196"/>
      <c r="E1259" s="196"/>
      <c r="F1259" s="155"/>
    </row>
    <row r="1260" ht="22.5" customHeight="1">
      <c r="A1260" s="202"/>
      <c r="B1260" s="197"/>
      <c r="C1260" s="144"/>
      <c r="D1260" s="197"/>
      <c r="E1260" s="197"/>
      <c r="F1260" s="147"/>
    </row>
    <row r="1261" ht="22.5" customHeight="1">
      <c r="A1261" s="250"/>
      <c r="B1261" s="196"/>
      <c r="C1261" s="152"/>
      <c r="D1261" s="196"/>
      <c r="E1261" s="196"/>
      <c r="F1261" s="155"/>
    </row>
    <row r="1262" ht="22.5" customHeight="1">
      <c r="A1262" s="202"/>
      <c r="B1262" s="197"/>
      <c r="C1262" s="144"/>
      <c r="D1262" s="197"/>
      <c r="E1262" s="197"/>
      <c r="F1262" s="147"/>
    </row>
    <row r="1263" ht="22.5" customHeight="1">
      <c r="A1263" s="250"/>
      <c r="B1263" s="196"/>
      <c r="C1263" s="152"/>
      <c r="D1263" s="196"/>
      <c r="E1263" s="196"/>
      <c r="F1263" s="155"/>
    </row>
    <row r="1264" ht="22.5" customHeight="1">
      <c r="A1264" s="202"/>
      <c r="B1264" s="197"/>
      <c r="C1264" s="144"/>
      <c r="D1264" s="197"/>
      <c r="E1264" s="197"/>
      <c r="F1264" s="147"/>
    </row>
    <row r="1265" ht="22.5" customHeight="1">
      <c r="A1265" s="250"/>
      <c r="B1265" s="196"/>
      <c r="C1265" s="152"/>
      <c r="D1265" s="196"/>
      <c r="E1265" s="196"/>
      <c r="F1265" s="155"/>
    </row>
    <row r="1266" ht="22.5" customHeight="1">
      <c r="A1266" s="202"/>
      <c r="B1266" s="197"/>
      <c r="C1266" s="144"/>
      <c r="D1266" s="197"/>
      <c r="E1266" s="197"/>
      <c r="F1266" s="147"/>
    </row>
    <row r="1267" ht="22.5" customHeight="1">
      <c r="A1267" s="250"/>
      <c r="B1267" s="196"/>
      <c r="C1267" s="152"/>
      <c r="D1267" s="196"/>
      <c r="E1267" s="196"/>
      <c r="F1267" s="155"/>
    </row>
    <row r="1268" ht="22.5" customHeight="1">
      <c r="A1268" s="202"/>
      <c r="B1268" s="197"/>
      <c r="C1268" s="144"/>
      <c r="D1268" s="197"/>
      <c r="E1268" s="197"/>
      <c r="F1268" s="147"/>
    </row>
    <row r="1269" ht="22.5" customHeight="1">
      <c r="A1269" s="250"/>
      <c r="B1269" s="196"/>
      <c r="C1269" s="152"/>
      <c r="D1269" s="196"/>
      <c r="E1269" s="196"/>
      <c r="F1269" s="155"/>
    </row>
    <row r="1270" ht="22.5" customHeight="1">
      <c r="A1270" s="202"/>
      <c r="B1270" s="197"/>
      <c r="C1270" s="144"/>
      <c r="D1270" s="197"/>
      <c r="E1270" s="197"/>
      <c r="F1270" s="147"/>
    </row>
    <row r="1271" ht="22.5" customHeight="1">
      <c r="A1271" s="250"/>
      <c r="B1271" s="196"/>
      <c r="C1271" s="152"/>
      <c r="D1271" s="196"/>
      <c r="E1271" s="196"/>
      <c r="F1271" s="155"/>
    </row>
    <row r="1272" ht="22.5" customHeight="1">
      <c r="A1272" s="202"/>
      <c r="B1272" s="197"/>
      <c r="C1272" s="144"/>
      <c r="D1272" s="197"/>
      <c r="E1272" s="197"/>
      <c r="F1272" s="147"/>
    </row>
    <row r="1273" ht="22.5" customHeight="1">
      <c r="A1273" s="250"/>
      <c r="B1273" s="196"/>
      <c r="C1273" s="152"/>
      <c r="D1273" s="196"/>
      <c r="E1273" s="196"/>
      <c r="F1273" s="155"/>
    </row>
    <row r="1274" ht="22.5" customHeight="1">
      <c r="A1274" s="202"/>
      <c r="B1274" s="197"/>
      <c r="C1274" s="144"/>
      <c r="D1274" s="197"/>
      <c r="E1274" s="197"/>
      <c r="F1274" s="147"/>
    </row>
    <row r="1275" ht="22.5" customHeight="1">
      <c r="A1275" s="250"/>
      <c r="B1275" s="196"/>
      <c r="C1275" s="152"/>
      <c r="D1275" s="196"/>
      <c r="E1275" s="196"/>
      <c r="F1275" s="155"/>
    </row>
    <row r="1276" ht="22.5" customHeight="1">
      <c r="A1276" s="202"/>
      <c r="B1276" s="197"/>
      <c r="C1276" s="144"/>
      <c r="D1276" s="197"/>
      <c r="E1276" s="197"/>
      <c r="F1276" s="147"/>
    </row>
    <row r="1277" ht="22.5" customHeight="1">
      <c r="A1277" s="250"/>
      <c r="B1277" s="196"/>
      <c r="C1277" s="152"/>
      <c r="D1277" s="196"/>
      <c r="E1277" s="196"/>
      <c r="F1277" s="155"/>
    </row>
    <row r="1278" ht="22.5" customHeight="1">
      <c r="A1278" s="202"/>
      <c r="B1278" s="197"/>
      <c r="C1278" s="144"/>
      <c r="D1278" s="197"/>
      <c r="E1278" s="197"/>
      <c r="F1278" s="147"/>
    </row>
    <row r="1279" ht="22.5" customHeight="1">
      <c r="A1279" s="250"/>
      <c r="B1279" s="196"/>
      <c r="C1279" s="152"/>
      <c r="D1279" s="196"/>
      <c r="E1279" s="196"/>
      <c r="F1279" s="155"/>
    </row>
    <row r="1280" ht="22.5" customHeight="1">
      <c r="A1280" s="202"/>
      <c r="B1280" s="197"/>
      <c r="C1280" s="144"/>
      <c r="D1280" s="197"/>
      <c r="E1280" s="197"/>
      <c r="F1280" s="147"/>
    </row>
    <row r="1281" ht="22.5" customHeight="1">
      <c r="A1281" s="250"/>
      <c r="B1281" s="196"/>
      <c r="C1281" s="152"/>
      <c r="D1281" s="196"/>
      <c r="E1281" s="196"/>
      <c r="F1281" s="155"/>
    </row>
    <row r="1282" ht="22.5" customHeight="1">
      <c r="A1282" s="202"/>
      <c r="B1282" s="197"/>
      <c r="C1282" s="144"/>
      <c r="D1282" s="197"/>
      <c r="E1282" s="197"/>
      <c r="F1282" s="147"/>
    </row>
    <row r="1283" ht="22.5" customHeight="1">
      <c r="A1283" s="250"/>
      <c r="B1283" s="196"/>
      <c r="C1283" s="152"/>
      <c r="D1283" s="196"/>
      <c r="E1283" s="196"/>
      <c r="F1283" s="155"/>
    </row>
    <row r="1284" ht="22.5" customHeight="1">
      <c r="A1284" s="202"/>
      <c r="B1284" s="197"/>
      <c r="C1284" s="144"/>
      <c r="D1284" s="197"/>
      <c r="E1284" s="197"/>
      <c r="F1284" s="147"/>
    </row>
    <row r="1285" ht="22.5" customHeight="1">
      <c r="A1285" s="250"/>
      <c r="B1285" s="196"/>
      <c r="C1285" s="152"/>
      <c r="D1285" s="196"/>
      <c r="E1285" s="196"/>
      <c r="F1285" s="155"/>
    </row>
    <row r="1286" ht="22.5" customHeight="1">
      <c r="A1286" s="202"/>
      <c r="B1286" s="197"/>
      <c r="C1286" s="144"/>
      <c r="D1286" s="197"/>
      <c r="E1286" s="197"/>
      <c r="F1286" s="147"/>
    </row>
    <row r="1287" ht="22.5" customHeight="1">
      <c r="A1287" s="250"/>
      <c r="B1287" s="196"/>
      <c r="C1287" s="152"/>
      <c r="D1287" s="196"/>
      <c r="E1287" s="196"/>
      <c r="F1287" s="155"/>
    </row>
    <row r="1288" ht="22.5" customHeight="1">
      <c r="A1288" s="202"/>
      <c r="B1288" s="197"/>
      <c r="C1288" s="144"/>
      <c r="D1288" s="197"/>
      <c r="E1288" s="197"/>
      <c r="F1288" s="147"/>
    </row>
    <row r="1289" ht="22.5" customHeight="1">
      <c r="A1289" s="250"/>
      <c r="B1289" s="196"/>
      <c r="C1289" s="152"/>
      <c r="D1289" s="196"/>
      <c r="E1289" s="196"/>
      <c r="F1289" s="155"/>
    </row>
    <row r="1290" ht="22.5" customHeight="1">
      <c r="A1290" s="202"/>
      <c r="B1290" s="197"/>
      <c r="C1290" s="144"/>
      <c r="D1290" s="197"/>
      <c r="E1290" s="197"/>
      <c r="F1290" s="147"/>
    </row>
    <row r="1291" ht="22.5" customHeight="1">
      <c r="A1291" s="250"/>
      <c r="B1291" s="196"/>
      <c r="C1291" s="152"/>
      <c r="D1291" s="196"/>
      <c r="E1291" s="196"/>
      <c r="F1291" s="155"/>
    </row>
    <row r="1292" ht="22.5" customHeight="1">
      <c r="A1292" s="202"/>
      <c r="B1292" s="197"/>
      <c r="C1292" s="144"/>
      <c r="D1292" s="197"/>
      <c r="E1292" s="197"/>
      <c r="F1292" s="147"/>
    </row>
    <row r="1293" ht="22.5" customHeight="1">
      <c r="A1293" s="250"/>
      <c r="B1293" s="196"/>
      <c r="C1293" s="152"/>
      <c r="D1293" s="196"/>
      <c r="E1293" s="196"/>
      <c r="F1293" s="155"/>
    </row>
    <row r="1294" ht="22.5" customHeight="1">
      <c r="A1294" s="202"/>
      <c r="B1294" s="197"/>
      <c r="C1294" s="144"/>
      <c r="D1294" s="197"/>
      <c r="E1294" s="197"/>
      <c r="F1294" s="147"/>
    </row>
    <row r="1295" ht="22.5" customHeight="1">
      <c r="A1295" s="250"/>
      <c r="B1295" s="196"/>
      <c r="C1295" s="152"/>
      <c r="D1295" s="196"/>
      <c r="E1295" s="196"/>
      <c r="F1295" s="155"/>
    </row>
    <row r="1296" ht="22.5" customHeight="1">
      <c r="A1296" s="202"/>
      <c r="B1296" s="197"/>
      <c r="C1296" s="144"/>
      <c r="D1296" s="197"/>
      <c r="E1296" s="197"/>
      <c r="F1296" s="147"/>
    </row>
    <row r="1297" ht="22.5" customHeight="1">
      <c r="A1297" s="250"/>
      <c r="B1297" s="196"/>
      <c r="C1297" s="152"/>
      <c r="D1297" s="196"/>
      <c r="E1297" s="196"/>
      <c r="F1297" s="155"/>
    </row>
    <row r="1298" ht="22.5" customHeight="1">
      <c r="A1298" s="202"/>
      <c r="B1298" s="197"/>
      <c r="C1298" s="144"/>
      <c r="D1298" s="197"/>
      <c r="E1298" s="197"/>
      <c r="F1298" s="147"/>
    </row>
    <row r="1299" ht="22.5" customHeight="1">
      <c r="A1299" s="250"/>
      <c r="B1299" s="196"/>
      <c r="C1299" s="152"/>
      <c r="D1299" s="196"/>
      <c r="E1299" s="196"/>
      <c r="F1299" s="155"/>
    </row>
    <row r="1300" ht="22.5" customHeight="1">
      <c r="A1300" s="202"/>
      <c r="B1300" s="197"/>
      <c r="C1300" s="144"/>
      <c r="D1300" s="197"/>
      <c r="E1300" s="197"/>
      <c r="F1300" s="147"/>
    </row>
    <row r="1301" ht="22.5" customHeight="1">
      <c r="A1301" s="250"/>
      <c r="B1301" s="196"/>
      <c r="C1301" s="152"/>
      <c r="D1301" s="196"/>
      <c r="E1301" s="196"/>
      <c r="F1301" s="155"/>
    </row>
    <row r="1302" ht="22.5" customHeight="1">
      <c r="A1302" s="202"/>
      <c r="B1302" s="197"/>
      <c r="C1302" s="144"/>
      <c r="D1302" s="197"/>
      <c r="E1302" s="197"/>
      <c r="F1302" s="147"/>
    </row>
    <row r="1303" ht="22.5" customHeight="1">
      <c r="A1303" s="250"/>
      <c r="B1303" s="196"/>
      <c r="C1303" s="152"/>
      <c r="D1303" s="196"/>
      <c r="E1303" s="196"/>
      <c r="F1303" s="155"/>
    </row>
    <row r="1304" ht="22.5" customHeight="1">
      <c r="A1304" s="202"/>
      <c r="B1304" s="197"/>
      <c r="C1304" s="144"/>
      <c r="D1304" s="197"/>
      <c r="E1304" s="197"/>
      <c r="F1304" s="147"/>
    </row>
    <row r="1305" ht="22.5" customHeight="1">
      <c r="A1305" s="251"/>
      <c r="B1305" s="253"/>
      <c r="C1305" s="254"/>
      <c r="D1305" s="253"/>
      <c r="E1305" s="253"/>
      <c r="F1305" s="256"/>
    </row>
  </sheetData>
  <dataValidations>
    <dataValidation allowBlank="1" showDropDown="1" sqref="A2:A1305"/>
    <dataValidation type="list" allowBlank="1" sqref="C2:C1305">
      <formula1>"Contacted,Awaiting Response,Closed - Won,Closed - Lost,Call not Recieved,Referred to,Awaiting payment,international num ,form filled,call later,demo"</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0</v>
      </c>
      <c r="B1" s="138" t="s">
        <v>1</v>
      </c>
      <c r="C1" s="138" t="s">
        <v>4</v>
      </c>
      <c r="D1" s="283" t="s">
        <v>13313</v>
      </c>
      <c r="E1" s="283" t="s">
        <v>13</v>
      </c>
      <c r="F1" s="283" t="s">
        <v>628</v>
      </c>
    </row>
    <row r="2" ht="22.5" customHeight="1">
      <c r="A2" s="303" t="s">
        <v>11144</v>
      </c>
      <c r="B2" s="159" t="s">
        <v>13674</v>
      </c>
      <c r="C2" s="156" t="s">
        <v>635</v>
      </c>
      <c r="D2" s="159" t="s">
        <v>13675</v>
      </c>
      <c r="E2" s="197"/>
      <c r="F2" s="147"/>
    </row>
    <row r="3" ht="22.5" customHeight="1">
      <c r="A3" s="690" t="s">
        <v>13676</v>
      </c>
      <c r="B3" s="313" t="s">
        <v>13677</v>
      </c>
      <c r="C3" s="194" t="s">
        <v>635</v>
      </c>
      <c r="D3" s="313" t="s">
        <v>10694</v>
      </c>
      <c r="E3" s="158" t="s">
        <v>11388</v>
      </c>
      <c r="F3" s="155"/>
    </row>
    <row r="4" ht="22.5" customHeight="1">
      <c r="A4" s="202"/>
      <c r="B4" s="159" t="s">
        <v>13678</v>
      </c>
      <c r="C4" s="169" t="s">
        <v>49</v>
      </c>
      <c r="D4" s="159" t="s">
        <v>10694</v>
      </c>
      <c r="E4" s="159" t="s">
        <v>11388</v>
      </c>
      <c r="F4" s="147"/>
    </row>
    <row r="5" ht="22.5" customHeight="1">
      <c r="A5" s="691"/>
      <c r="B5" s="313" t="s">
        <v>13679</v>
      </c>
      <c r="C5" s="192" t="s">
        <v>49</v>
      </c>
      <c r="D5" s="415"/>
      <c r="E5" s="196"/>
      <c r="F5" s="155"/>
    </row>
    <row r="6" ht="22.5" customHeight="1">
      <c r="A6" s="140" t="s">
        <v>13680</v>
      </c>
      <c r="B6" s="159" t="s">
        <v>13681</v>
      </c>
      <c r="C6" s="169" t="s">
        <v>49</v>
      </c>
      <c r="D6" s="159" t="s">
        <v>1985</v>
      </c>
      <c r="E6" s="197"/>
      <c r="F6" s="147"/>
    </row>
    <row r="7" ht="22.5" customHeight="1">
      <c r="A7" s="690" t="s">
        <v>13682</v>
      </c>
      <c r="B7" s="310" t="s">
        <v>13683</v>
      </c>
      <c r="C7" s="192" t="s">
        <v>49</v>
      </c>
      <c r="D7" s="313" t="s">
        <v>51</v>
      </c>
      <c r="E7" s="196"/>
      <c r="F7" s="155"/>
    </row>
    <row r="8" ht="22.5" customHeight="1">
      <c r="A8" s="140" t="s">
        <v>13684</v>
      </c>
      <c r="B8" s="159" t="s">
        <v>13685</v>
      </c>
      <c r="C8" s="169" t="s">
        <v>49</v>
      </c>
      <c r="D8" s="159" t="s">
        <v>27</v>
      </c>
      <c r="E8" s="197"/>
      <c r="F8" s="147"/>
    </row>
    <row r="9" ht="22.5" customHeight="1">
      <c r="A9" s="690" t="s">
        <v>13686</v>
      </c>
      <c r="B9" s="313" t="s">
        <v>13687</v>
      </c>
      <c r="C9" s="192" t="s">
        <v>49</v>
      </c>
      <c r="D9" s="313" t="s">
        <v>685</v>
      </c>
      <c r="E9" s="158" t="s">
        <v>13688</v>
      </c>
      <c r="F9" s="155"/>
    </row>
    <row r="10" ht="22.5" customHeight="1">
      <c r="A10" s="202"/>
      <c r="B10" s="159" t="s">
        <v>13689</v>
      </c>
      <c r="C10" s="169" t="s">
        <v>49</v>
      </c>
      <c r="D10" s="159" t="s">
        <v>11388</v>
      </c>
      <c r="E10" s="159" t="s">
        <v>11388</v>
      </c>
      <c r="F10" s="147"/>
    </row>
    <row r="11" ht="22.5" customHeight="1">
      <c r="A11" s="690" t="s">
        <v>11394</v>
      </c>
      <c r="B11" s="313" t="s">
        <v>13690</v>
      </c>
      <c r="C11" s="192" t="s">
        <v>49</v>
      </c>
      <c r="D11" s="415"/>
      <c r="E11" s="196"/>
      <c r="F11" s="155"/>
    </row>
    <row r="12" ht="22.5" customHeight="1">
      <c r="A12" s="140" t="s">
        <v>13691</v>
      </c>
      <c r="B12" s="141" t="s">
        <v>13692</v>
      </c>
      <c r="C12" s="169" t="s">
        <v>49</v>
      </c>
      <c r="D12" s="159" t="s">
        <v>13693</v>
      </c>
      <c r="E12" s="159" t="s">
        <v>13694</v>
      </c>
      <c r="F12" s="147"/>
    </row>
    <row r="13" ht="22.5" customHeight="1">
      <c r="A13" s="690" t="s">
        <v>13695</v>
      </c>
      <c r="B13" s="313" t="s">
        <v>13696</v>
      </c>
      <c r="C13" s="194" t="s">
        <v>635</v>
      </c>
      <c r="D13" s="313" t="s">
        <v>13697</v>
      </c>
      <c r="E13" s="196"/>
      <c r="F13" s="155"/>
    </row>
    <row r="14" ht="22.5" customHeight="1">
      <c r="A14" s="140" t="s">
        <v>13698</v>
      </c>
      <c r="B14" s="159" t="s">
        <v>13699</v>
      </c>
      <c r="C14" s="169" t="s">
        <v>49</v>
      </c>
      <c r="D14" s="197"/>
      <c r="E14" s="197"/>
      <c r="F14" s="147"/>
    </row>
    <row r="15" ht="22.5" customHeight="1">
      <c r="A15" s="691"/>
      <c r="B15" s="313" t="s">
        <v>13667</v>
      </c>
      <c r="C15" s="267" t="s">
        <v>17</v>
      </c>
      <c r="D15" s="313" t="s">
        <v>11388</v>
      </c>
      <c r="E15" s="158" t="s">
        <v>11388</v>
      </c>
      <c r="F15" s="155"/>
    </row>
    <row r="16" ht="22.5" customHeight="1">
      <c r="A16" s="140" t="s">
        <v>13700</v>
      </c>
      <c r="B16" s="159" t="s">
        <v>13701</v>
      </c>
      <c r="C16" s="212" t="s">
        <v>17</v>
      </c>
      <c r="D16" s="159" t="s">
        <v>11388</v>
      </c>
      <c r="E16" s="159" t="s">
        <v>11388</v>
      </c>
      <c r="F16" s="147"/>
    </row>
    <row r="17" ht="22.5" customHeight="1">
      <c r="A17" s="690" t="s">
        <v>13702</v>
      </c>
      <c r="B17" s="313" t="s">
        <v>13703</v>
      </c>
      <c r="C17" s="192" t="s">
        <v>49</v>
      </c>
      <c r="D17" s="313" t="s">
        <v>51</v>
      </c>
      <c r="E17" s="415"/>
      <c r="F17" s="155"/>
    </row>
    <row r="18" ht="22.5" customHeight="1">
      <c r="A18" s="202"/>
      <c r="B18" s="159" t="s">
        <v>13704</v>
      </c>
      <c r="C18" s="169" t="s">
        <v>49</v>
      </c>
      <c r="D18" s="197"/>
      <c r="E18" s="197"/>
      <c r="F18" s="147"/>
    </row>
    <row r="19" ht="22.5" customHeight="1">
      <c r="A19" s="691"/>
      <c r="B19" s="313" t="s">
        <v>13705</v>
      </c>
      <c r="C19" s="267" t="s">
        <v>17</v>
      </c>
      <c r="D19" s="313" t="s">
        <v>11388</v>
      </c>
      <c r="E19" s="158" t="s">
        <v>11388</v>
      </c>
      <c r="F19" s="155"/>
    </row>
    <row r="20" ht="22.5" customHeight="1">
      <c r="A20" s="140" t="s">
        <v>13706</v>
      </c>
      <c r="B20" s="159" t="s">
        <v>13707</v>
      </c>
      <c r="C20" s="212" t="s">
        <v>17</v>
      </c>
      <c r="D20" s="159" t="s">
        <v>11388</v>
      </c>
      <c r="E20" s="159" t="s">
        <v>11388</v>
      </c>
      <c r="F20" s="147"/>
    </row>
    <row r="21" ht="22.5" customHeight="1">
      <c r="A21" s="690" t="s">
        <v>13708</v>
      </c>
      <c r="B21" s="313" t="s">
        <v>13709</v>
      </c>
      <c r="C21" s="192" t="s">
        <v>49</v>
      </c>
      <c r="D21" s="313" t="s">
        <v>27</v>
      </c>
      <c r="E21" s="196"/>
      <c r="F21" s="155"/>
    </row>
    <row r="22" ht="22.5" customHeight="1">
      <c r="A22" s="140" t="s">
        <v>2279</v>
      </c>
      <c r="B22" s="159" t="s">
        <v>13710</v>
      </c>
      <c r="C22" s="212" t="s">
        <v>17</v>
      </c>
      <c r="D22" s="159" t="s">
        <v>13711</v>
      </c>
      <c r="E22" s="159" t="s">
        <v>11388</v>
      </c>
      <c r="F22" s="147"/>
    </row>
    <row r="23" ht="22.5" customHeight="1">
      <c r="A23" s="690" t="s">
        <v>13712</v>
      </c>
      <c r="B23" s="313" t="s">
        <v>13713</v>
      </c>
      <c r="C23" s="267" t="s">
        <v>17</v>
      </c>
      <c r="D23" s="313" t="s">
        <v>11388</v>
      </c>
      <c r="E23" s="158" t="s">
        <v>11388</v>
      </c>
      <c r="F23" s="155"/>
    </row>
    <row r="24" ht="22.5" customHeight="1">
      <c r="A24" s="140" t="s">
        <v>1135</v>
      </c>
      <c r="B24" s="159" t="s">
        <v>13714</v>
      </c>
      <c r="C24" s="169" t="s">
        <v>49</v>
      </c>
      <c r="D24" s="159" t="s">
        <v>1743</v>
      </c>
      <c r="E24" s="197"/>
      <c r="F24" s="147"/>
    </row>
    <row r="25" ht="22.5" customHeight="1">
      <c r="A25" s="690" t="s">
        <v>13715</v>
      </c>
      <c r="B25" s="313" t="s">
        <v>13716</v>
      </c>
      <c r="C25" s="192" t="s">
        <v>49</v>
      </c>
      <c r="D25" s="313" t="s">
        <v>11388</v>
      </c>
      <c r="E25" s="158" t="s">
        <v>1158</v>
      </c>
      <c r="F25" s="155"/>
    </row>
    <row r="26" ht="22.5" customHeight="1">
      <c r="A26" s="140" t="s">
        <v>13717</v>
      </c>
      <c r="B26" s="159" t="s">
        <v>13718</v>
      </c>
      <c r="C26" s="169" t="s">
        <v>49</v>
      </c>
      <c r="D26" s="197"/>
      <c r="E26" s="197"/>
      <c r="F26" s="147"/>
    </row>
    <row r="27" ht="22.5" customHeight="1">
      <c r="A27" s="690" t="s">
        <v>13719</v>
      </c>
      <c r="B27" s="313" t="s">
        <v>13720</v>
      </c>
      <c r="C27" s="192" t="s">
        <v>49</v>
      </c>
      <c r="D27" s="313" t="s">
        <v>13721</v>
      </c>
      <c r="E27" s="158" t="s">
        <v>11388</v>
      </c>
      <c r="F27" s="155"/>
    </row>
    <row r="28" ht="22.5" customHeight="1">
      <c r="A28" s="140" t="s">
        <v>13722</v>
      </c>
      <c r="B28" s="159" t="s">
        <v>13723</v>
      </c>
      <c r="C28" s="212" t="s">
        <v>17</v>
      </c>
      <c r="D28" s="159" t="s">
        <v>11388</v>
      </c>
      <c r="E28" s="159" t="s">
        <v>11388</v>
      </c>
      <c r="F28" s="147"/>
    </row>
    <row r="29" ht="22.5" customHeight="1">
      <c r="A29" s="691"/>
      <c r="B29" s="313" t="s">
        <v>13724</v>
      </c>
      <c r="C29" s="192" t="s">
        <v>49</v>
      </c>
      <c r="D29" s="415"/>
      <c r="E29" s="196"/>
      <c r="F29" s="155"/>
    </row>
    <row r="30" ht="22.5" customHeight="1">
      <c r="A30" s="140" t="s">
        <v>13725</v>
      </c>
      <c r="B30" s="159" t="s">
        <v>13726</v>
      </c>
      <c r="C30" s="212" t="s">
        <v>17</v>
      </c>
      <c r="D30" s="159" t="s">
        <v>11388</v>
      </c>
      <c r="E30" s="159" t="s">
        <v>11388</v>
      </c>
      <c r="F30" s="147"/>
    </row>
    <row r="31" ht="22.5" customHeight="1">
      <c r="A31" s="691"/>
      <c r="B31" s="313" t="s">
        <v>13727</v>
      </c>
      <c r="C31" s="267" t="s">
        <v>17</v>
      </c>
      <c r="D31" s="158" t="s">
        <v>13728</v>
      </c>
      <c r="E31" s="158" t="s">
        <v>11388</v>
      </c>
      <c r="F31" s="155"/>
    </row>
    <row r="32" ht="22.5" customHeight="1">
      <c r="A32" s="140" t="s">
        <v>13729</v>
      </c>
      <c r="B32" s="159" t="s">
        <v>13730</v>
      </c>
      <c r="C32" s="169" t="s">
        <v>49</v>
      </c>
      <c r="D32" s="159" t="s">
        <v>674</v>
      </c>
      <c r="E32" s="197"/>
      <c r="F32" s="147"/>
    </row>
    <row r="33" ht="22.5" customHeight="1">
      <c r="A33" s="690" t="s">
        <v>5639</v>
      </c>
      <c r="B33" s="313" t="s">
        <v>13731</v>
      </c>
      <c r="C33" s="267" t="s">
        <v>17</v>
      </c>
      <c r="D33" s="313" t="s">
        <v>11388</v>
      </c>
      <c r="E33" s="158" t="s">
        <v>11388</v>
      </c>
      <c r="F33" s="155"/>
    </row>
    <row r="34" ht="22.5" customHeight="1">
      <c r="A34" s="202"/>
      <c r="B34" s="159" t="s">
        <v>13732</v>
      </c>
      <c r="C34" s="169" t="s">
        <v>49</v>
      </c>
      <c r="D34" s="159" t="s">
        <v>13733</v>
      </c>
      <c r="E34" s="197"/>
      <c r="F34" s="147"/>
    </row>
    <row r="35" ht="22.5" customHeight="1">
      <c r="A35" s="690" t="s">
        <v>13734</v>
      </c>
      <c r="B35" s="313" t="s">
        <v>13735</v>
      </c>
      <c r="C35" s="161" t="s">
        <v>49</v>
      </c>
      <c r="D35" s="313" t="s">
        <v>13736</v>
      </c>
      <c r="E35" s="196"/>
      <c r="F35" s="155"/>
    </row>
    <row r="36" ht="22.5" customHeight="1">
      <c r="A36" s="140" t="s">
        <v>13737</v>
      </c>
      <c r="B36" s="159" t="s">
        <v>13738</v>
      </c>
      <c r="C36" s="169" t="s">
        <v>49</v>
      </c>
      <c r="D36" s="159" t="s">
        <v>51</v>
      </c>
      <c r="E36" s="197"/>
      <c r="F36" s="147"/>
    </row>
    <row r="37" ht="22.5" customHeight="1">
      <c r="A37" s="690" t="s">
        <v>5814</v>
      </c>
      <c r="B37" s="313" t="s">
        <v>13739</v>
      </c>
      <c r="C37" s="192" t="s">
        <v>49</v>
      </c>
      <c r="D37" s="415"/>
      <c r="E37" s="196"/>
      <c r="F37" s="155"/>
    </row>
    <row r="38" ht="22.5" customHeight="1">
      <c r="A38" s="303" t="s">
        <v>13740</v>
      </c>
      <c r="B38" s="159" t="s">
        <v>13741</v>
      </c>
      <c r="C38" s="156" t="s">
        <v>635</v>
      </c>
      <c r="D38" s="159" t="s">
        <v>13061</v>
      </c>
      <c r="E38" s="197"/>
      <c r="F38" s="147"/>
    </row>
    <row r="39" ht="22.5" customHeight="1">
      <c r="A39" s="690" t="s">
        <v>13742</v>
      </c>
      <c r="B39" s="195" t="s">
        <v>13743</v>
      </c>
      <c r="C39" s="194" t="s">
        <v>635</v>
      </c>
      <c r="D39" s="313" t="s">
        <v>1189</v>
      </c>
      <c r="E39" s="415"/>
      <c r="F39" s="672"/>
    </row>
    <row r="40" ht="22.5" customHeight="1">
      <c r="A40" s="140" t="s">
        <v>13744</v>
      </c>
      <c r="B40" s="159" t="s">
        <v>13745</v>
      </c>
      <c r="C40" s="332" t="s">
        <v>35</v>
      </c>
      <c r="D40" s="159" t="s">
        <v>13746</v>
      </c>
      <c r="E40" s="197"/>
      <c r="F40" s="147"/>
    </row>
    <row r="41" ht="22.5" customHeight="1">
      <c r="A41" s="690" t="s">
        <v>13747</v>
      </c>
      <c r="B41" s="313" t="s">
        <v>13748</v>
      </c>
      <c r="C41" s="194" t="s">
        <v>635</v>
      </c>
      <c r="D41" s="313" t="s">
        <v>12441</v>
      </c>
      <c r="E41" s="196"/>
      <c r="F41" s="155"/>
    </row>
    <row r="42" ht="22.5" customHeight="1">
      <c r="A42" s="303" t="s">
        <v>263</v>
      </c>
      <c r="B42" s="159" t="s">
        <v>13749</v>
      </c>
      <c r="C42" s="169" t="s">
        <v>49</v>
      </c>
      <c r="D42" s="159" t="s">
        <v>13750</v>
      </c>
      <c r="E42" s="197"/>
      <c r="F42" s="147"/>
    </row>
    <row r="43" ht="22.5" customHeight="1">
      <c r="A43" s="690" t="s">
        <v>13751</v>
      </c>
      <c r="B43" s="313" t="s">
        <v>13752</v>
      </c>
      <c r="C43" s="192" t="s">
        <v>49</v>
      </c>
      <c r="D43" s="313" t="s">
        <v>11388</v>
      </c>
      <c r="E43" s="158" t="s">
        <v>11388</v>
      </c>
      <c r="F43" s="155"/>
    </row>
    <row r="44" ht="22.5" customHeight="1">
      <c r="A44" s="202"/>
      <c r="B44" s="159" t="s">
        <v>13753</v>
      </c>
      <c r="C44" s="169" t="s">
        <v>49</v>
      </c>
      <c r="D44" s="159" t="s">
        <v>1743</v>
      </c>
      <c r="E44" s="197"/>
      <c r="F44" s="147"/>
    </row>
    <row r="45" ht="22.5" customHeight="1">
      <c r="A45" s="690" t="s">
        <v>13754</v>
      </c>
      <c r="B45" s="313" t="s">
        <v>13755</v>
      </c>
      <c r="C45" s="267" t="s">
        <v>17</v>
      </c>
      <c r="D45" s="313" t="s">
        <v>13756</v>
      </c>
      <c r="E45" s="158" t="s">
        <v>11388</v>
      </c>
      <c r="F45" s="155"/>
    </row>
    <row r="46" ht="22.5" customHeight="1">
      <c r="A46" s="140" t="s">
        <v>13757</v>
      </c>
      <c r="B46" s="159" t="s">
        <v>13758</v>
      </c>
      <c r="C46" s="169" t="s">
        <v>49</v>
      </c>
      <c r="D46" s="159" t="s">
        <v>1743</v>
      </c>
      <c r="E46" s="197"/>
      <c r="F46" s="147"/>
    </row>
    <row r="47" ht="22.5" customHeight="1">
      <c r="A47" s="690" t="s">
        <v>13759</v>
      </c>
      <c r="B47" s="313" t="s">
        <v>13760</v>
      </c>
      <c r="C47" s="192" t="s">
        <v>49</v>
      </c>
      <c r="D47" s="313" t="s">
        <v>27</v>
      </c>
      <c r="E47" s="196"/>
      <c r="F47" s="155"/>
    </row>
    <row r="48" ht="22.5" customHeight="1">
      <c r="A48" s="140" t="s">
        <v>13761</v>
      </c>
      <c r="B48" s="159" t="s">
        <v>13762</v>
      </c>
      <c r="C48" s="156" t="s">
        <v>635</v>
      </c>
      <c r="D48" s="159" t="s">
        <v>13061</v>
      </c>
      <c r="E48" s="197"/>
      <c r="F48" s="147"/>
    </row>
    <row r="49" ht="22.5" customHeight="1">
      <c r="A49" s="690" t="s">
        <v>4440</v>
      </c>
      <c r="B49" s="692">
        <v>9.23336481207E11</v>
      </c>
      <c r="C49" s="192" t="s">
        <v>49</v>
      </c>
      <c r="D49" s="415"/>
      <c r="E49" s="196"/>
      <c r="F49" s="155"/>
    </row>
    <row r="50" ht="22.5" customHeight="1">
      <c r="A50" s="693" t="s">
        <v>3940</v>
      </c>
      <c r="B50" s="694" t="s">
        <v>11431</v>
      </c>
      <c r="C50" s="156" t="s">
        <v>635</v>
      </c>
      <c r="D50" s="159" t="s">
        <v>1189</v>
      </c>
      <c r="E50" s="197"/>
      <c r="F50" s="147"/>
    </row>
    <row r="51" ht="22.5" customHeight="1">
      <c r="A51" s="695" t="s">
        <v>11546</v>
      </c>
      <c r="B51" s="692">
        <f>923267128299</f>
        <v>923267128299</v>
      </c>
      <c r="C51" s="194" t="s">
        <v>635</v>
      </c>
      <c r="D51" s="659" t="s">
        <v>13763</v>
      </c>
      <c r="E51" s="196"/>
      <c r="F51" s="155"/>
    </row>
    <row r="52" ht="22.5" customHeight="1">
      <c r="A52" s="693" t="s">
        <v>11818</v>
      </c>
      <c r="B52" s="606" t="s">
        <v>11819</v>
      </c>
      <c r="C52" s="169" t="s">
        <v>49</v>
      </c>
      <c r="D52" s="159" t="s">
        <v>51</v>
      </c>
      <c r="E52" s="197"/>
      <c r="F52" s="147"/>
    </row>
    <row r="53" ht="22.5" customHeight="1">
      <c r="A53" s="666" t="s">
        <v>4563</v>
      </c>
      <c r="B53" s="696" t="s">
        <v>13764</v>
      </c>
      <c r="C53" s="392" t="s">
        <v>35</v>
      </c>
      <c r="D53" s="313" t="s">
        <v>13765</v>
      </c>
      <c r="E53" s="196"/>
      <c r="F53" s="155"/>
    </row>
    <row r="54" ht="22.5" customHeight="1">
      <c r="A54" s="693" t="s">
        <v>5796</v>
      </c>
      <c r="B54" s="606" t="s">
        <v>12070</v>
      </c>
      <c r="C54" s="169" t="s">
        <v>49</v>
      </c>
      <c r="D54" s="159" t="s">
        <v>11388</v>
      </c>
      <c r="E54" s="159" t="s">
        <v>13766</v>
      </c>
      <c r="F54" s="147"/>
    </row>
    <row r="55" ht="22.5" customHeight="1">
      <c r="A55" s="690" t="s">
        <v>13767</v>
      </c>
      <c r="B55" s="313" t="s">
        <v>13768</v>
      </c>
      <c r="C55" s="192" t="s">
        <v>49</v>
      </c>
      <c r="D55" s="313" t="s">
        <v>1820</v>
      </c>
      <c r="E55" s="196"/>
      <c r="F55" s="155"/>
    </row>
    <row r="56" ht="22.5" customHeight="1">
      <c r="A56" s="697" t="s">
        <v>12336</v>
      </c>
      <c r="B56" s="584">
        <f>9203362210677</f>
        <v>9203362210677</v>
      </c>
      <c r="C56" s="212" t="s">
        <v>17</v>
      </c>
      <c r="D56" s="159" t="s">
        <v>11388</v>
      </c>
      <c r="E56" s="159" t="s">
        <v>11388</v>
      </c>
      <c r="F56" s="147"/>
    </row>
    <row r="57" ht="22.5" customHeight="1">
      <c r="A57" s="695" t="s">
        <v>12530</v>
      </c>
      <c r="B57" s="696" t="s">
        <v>12531</v>
      </c>
      <c r="C57" s="192" t="s">
        <v>49</v>
      </c>
      <c r="D57" s="313" t="s">
        <v>13769</v>
      </c>
      <c r="E57" s="196"/>
      <c r="F57" s="155"/>
    </row>
    <row r="58" ht="22.5" customHeight="1">
      <c r="A58" s="693" t="s">
        <v>5727</v>
      </c>
      <c r="B58" s="584">
        <v>923710147328</v>
      </c>
      <c r="C58" s="169" t="s">
        <v>49</v>
      </c>
      <c r="D58" s="159" t="s">
        <v>11388</v>
      </c>
      <c r="E58" s="159" t="s">
        <v>13766</v>
      </c>
      <c r="F58" s="147"/>
    </row>
    <row r="59" ht="22.5" customHeight="1">
      <c r="A59" s="666" t="s">
        <v>12707</v>
      </c>
      <c r="B59" s="692">
        <f>923347608981</f>
        <v>923347608981</v>
      </c>
      <c r="C59" s="392" t="s">
        <v>35</v>
      </c>
      <c r="D59" s="313" t="s">
        <v>13770</v>
      </c>
      <c r="E59" s="196"/>
      <c r="F59" s="155"/>
    </row>
    <row r="60" ht="22.5" customHeight="1">
      <c r="A60" s="693" t="s">
        <v>811</v>
      </c>
      <c r="B60" s="584">
        <f>923114395693</f>
        <v>923114395693</v>
      </c>
      <c r="C60" s="169" t="s">
        <v>49</v>
      </c>
      <c r="D60" s="159" t="s">
        <v>13750</v>
      </c>
      <c r="E60" s="159" t="s">
        <v>11388</v>
      </c>
      <c r="F60" s="147"/>
    </row>
    <row r="61" ht="22.5" customHeight="1">
      <c r="A61" s="698" t="s">
        <v>12829</v>
      </c>
      <c r="B61" s="696" t="s">
        <v>12830</v>
      </c>
      <c r="C61" s="192" t="s">
        <v>49</v>
      </c>
      <c r="D61" s="415"/>
      <c r="E61" s="196"/>
      <c r="F61" s="155"/>
    </row>
    <row r="62" ht="22.5" customHeight="1">
      <c r="A62" s="693" t="s">
        <v>4430</v>
      </c>
      <c r="B62" s="584">
        <v>923003055444</v>
      </c>
      <c r="C62" s="169" t="s">
        <v>49</v>
      </c>
      <c r="D62" s="159" t="s">
        <v>11388</v>
      </c>
      <c r="E62" s="159" t="s">
        <v>51</v>
      </c>
      <c r="F62" s="147"/>
    </row>
    <row r="63" ht="22.5" customHeight="1">
      <c r="A63" s="698" t="s">
        <v>12949</v>
      </c>
      <c r="B63" s="692">
        <v>923160778395</v>
      </c>
      <c r="C63" s="267" t="s">
        <v>17</v>
      </c>
      <c r="D63" s="313" t="s">
        <v>11388</v>
      </c>
      <c r="E63" s="313" t="s">
        <v>11388</v>
      </c>
      <c r="F63" s="155"/>
    </row>
    <row r="64" ht="22.5" customHeight="1">
      <c r="A64" s="693" t="s">
        <v>13058</v>
      </c>
      <c r="B64" s="584">
        <f>923365103935</f>
        <v>923365103935</v>
      </c>
      <c r="C64" s="169" t="s">
        <v>49</v>
      </c>
      <c r="D64" s="159" t="s">
        <v>51</v>
      </c>
      <c r="E64" s="197"/>
      <c r="F64" s="147"/>
    </row>
    <row r="65" ht="22.5" customHeight="1">
      <c r="A65" s="698" t="s">
        <v>13073</v>
      </c>
      <c r="B65" s="696" t="s">
        <v>13074</v>
      </c>
      <c r="C65" s="194" t="s">
        <v>635</v>
      </c>
      <c r="D65" s="313" t="s">
        <v>13771</v>
      </c>
      <c r="E65" s="196"/>
      <c r="F65" s="155"/>
    </row>
    <row r="66" ht="22.5" customHeight="1">
      <c r="A66" s="693" t="s">
        <v>13141</v>
      </c>
      <c r="B66" s="584">
        <f>9203452003896</f>
        <v>9203452003896</v>
      </c>
      <c r="C66" s="169" t="s">
        <v>49</v>
      </c>
      <c r="D66" s="159" t="s">
        <v>13772</v>
      </c>
      <c r="E66" s="197"/>
      <c r="F66" s="147"/>
    </row>
    <row r="67" ht="22.5" customHeight="1">
      <c r="A67" s="690" t="s">
        <v>13773</v>
      </c>
      <c r="B67" s="313" t="s">
        <v>13774</v>
      </c>
      <c r="C67" s="192" t="s">
        <v>49</v>
      </c>
      <c r="D67" s="313" t="s">
        <v>13750</v>
      </c>
      <c r="E67" s="196"/>
      <c r="F67" s="155"/>
    </row>
    <row r="68" ht="22.5" customHeight="1">
      <c r="A68" s="140" t="s">
        <v>3372</v>
      </c>
      <c r="B68" s="159" t="s">
        <v>13775</v>
      </c>
      <c r="C68" s="169" t="s">
        <v>49</v>
      </c>
      <c r="D68" s="159" t="s">
        <v>6918</v>
      </c>
      <c r="E68" s="159" t="s">
        <v>51</v>
      </c>
      <c r="F68" s="147"/>
    </row>
    <row r="69" ht="22.5" customHeight="1">
      <c r="A69" s="690" t="s">
        <v>13776</v>
      </c>
      <c r="B69" s="313" t="s">
        <v>5760</v>
      </c>
      <c r="C69" s="267" t="s">
        <v>17</v>
      </c>
      <c r="D69" s="313" t="s">
        <v>11388</v>
      </c>
      <c r="E69" s="313" t="s">
        <v>11388</v>
      </c>
      <c r="F69" s="155"/>
    </row>
    <row r="70" ht="22.5" customHeight="1">
      <c r="A70" s="140" t="s">
        <v>13777</v>
      </c>
      <c r="B70" s="159" t="s">
        <v>13778</v>
      </c>
      <c r="C70" s="169" t="s">
        <v>49</v>
      </c>
      <c r="D70" s="159" t="s">
        <v>11388</v>
      </c>
      <c r="E70" s="159" t="s">
        <v>11388</v>
      </c>
      <c r="F70" s="147"/>
    </row>
    <row r="71" ht="22.5" customHeight="1">
      <c r="A71" s="691"/>
      <c r="B71" s="313" t="s">
        <v>13779</v>
      </c>
      <c r="C71" s="192" t="s">
        <v>49</v>
      </c>
      <c r="D71" s="313" t="s">
        <v>51</v>
      </c>
      <c r="E71" s="196"/>
      <c r="F71" s="155"/>
    </row>
    <row r="72" ht="22.5" customHeight="1">
      <c r="A72" s="202"/>
      <c r="B72" s="159" t="s">
        <v>13780</v>
      </c>
      <c r="C72" s="212" t="s">
        <v>17</v>
      </c>
      <c r="D72" s="159" t="s">
        <v>11388</v>
      </c>
      <c r="E72" s="159" t="s">
        <v>11388</v>
      </c>
      <c r="F72" s="147"/>
    </row>
    <row r="73" ht="22.5" customHeight="1">
      <c r="A73" s="690" t="s">
        <v>5563</v>
      </c>
      <c r="B73" s="313" t="s">
        <v>13781</v>
      </c>
      <c r="C73" s="265" t="s">
        <v>40</v>
      </c>
      <c r="D73" s="313" t="s">
        <v>13750</v>
      </c>
      <c r="E73" s="313" t="s">
        <v>13782</v>
      </c>
      <c r="F73" s="672"/>
    </row>
    <row r="74" ht="22.5" customHeight="1">
      <c r="A74" s="202"/>
      <c r="B74" s="159" t="s">
        <v>13783</v>
      </c>
      <c r="C74" s="212" t="s">
        <v>17</v>
      </c>
      <c r="D74" s="159" t="s">
        <v>11388</v>
      </c>
      <c r="E74" s="159" t="s">
        <v>11388</v>
      </c>
      <c r="F74" s="147"/>
    </row>
    <row r="75" ht="22.5" customHeight="1">
      <c r="A75" s="691"/>
      <c r="B75" s="313" t="s">
        <v>13784</v>
      </c>
      <c r="C75" s="192" t="s">
        <v>49</v>
      </c>
      <c r="D75" s="313" t="s">
        <v>13785</v>
      </c>
      <c r="E75" s="158" t="s">
        <v>11388</v>
      </c>
      <c r="F75" s="155"/>
    </row>
    <row r="76" ht="22.5" customHeight="1">
      <c r="A76" s="202"/>
      <c r="B76" s="159" t="s">
        <v>13786</v>
      </c>
      <c r="C76" s="169" t="s">
        <v>49</v>
      </c>
      <c r="D76" s="159" t="s">
        <v>13787</v>
      </c>
      <c r="E76" s="197"/>
      <c r="F76" s="147"/>
    </row>
    <row r="77" ht="22.5" customHeight="1">
      <c r="A77" s="691"/>
      <c r="B77" s="313" t="s">
        <v>13788</v>
      </c>
      <c r="C77" s="267" t="s">
        <v>17</v>
      </c>
      <c r="D77" s="313" t="s">
        <v>11388</v>
      </c>
      <c r="E77" s="158" t="s">
        <v>11388</v>
      </c>
      <c r="F77" s="155"/>
    </row>
    <row r="78" ht="22.5" customHeight="1">
      <c r="A78" s="693" t="s">
        <v>13048</v>
      </c>
      <c r="B78" s="159" t="s">
        <v>13789</v>
      </c>
      <c r="C78" s="169" t="s">
        <v>49</v>
      </c>
      <c r="D78" s="159" t="s">
        <v>11388</v>
      </c>
      <c r="E78" s="159" t="s">
        <v>13790</v>
      </c>
      <c r="F78" s="147"/>
    </row>
    <row r="79" ht="22.5" customHeight="1">
      <c r="A79" s="690" t="s">
        <v>13791</v>
      </c>
      <c r="B79" s="313" t="s">
        <v>12551</v>
      </c>
      <c r="C79" s="192" t="s">
        <v>49</v>
      </c>
      <c r="D79" s="313" t="s">
        <v>11165</v>
      </c>
      <c r="E79" s="196"/>
      <c r="F79" s="155"/>
    </row>
    <row r="80" ht="22.5" customHeight="1">
      <c r="A80" s="140" t="s">
        <v>13792</v>
      </c>
      <c r="B80" s="159" t="s">
        <v>13793</v>
      </c>
      <c r="C80" s="212" t="s">
        <v>17</v>
      </c>
      <c r="D80" s="159" t="s">
        <v>11388</v>
      </c>
      <c r="E80" s="159" t="s">
        <v>11388</v>
      </c>
      <c r="F80" s="147"/>
    </row>
    <row r="81" ht="22.5" customHeight="1">
      <c r="A81" s="690" t="s">
        <v>11747</v>
      </c>
      <c r="B81" s="699" t="s">
        <v>11748</v>
      </c>
      <c r="C81" s="192" t="s">
        <v>49</v>
      </c>
      <c r="D81" s="313" t="s">
        <v>11388</v>
      </c>
      <c r="E81" s="313" t="s">
        <v>51</v>
      </c>
      <c r="F81" s="155"/>
    </row>
    <row r="82" ht="22.5" customHeight="1">
      <c r="A82" s="140" t="s">
        <v>5812</v>
      </c>
      <c r="B82" s="159" t="s">
        <v>13794</v>
      </c>
      <c r="C82" s="212" t="s">
        <v>17</v>
      </c>
      <c r="D82" s="159" t="s">
        <v>11388</v>
      </c>
      <c r="E82" s="159" t="s">
        <v>11388</v>
      </c>
      <c r="F82" s="147"/>
    </row>
    <row r="83" ht="22.5" customHeight="1">
      <c r="A83" s="691"/>
      <c r="B83" s="313" t="s">
        <v>13795</v>
      </c>
      <c r="C83" s="192" t="s">
        <v>49</v>
      </c>
      <c r="D83" s="313" t="s">
        <v>674</v>
      </c>
      <c r="E83" s="415"/>
      <c r="F83" s="672"/>
    </row>
    <row r="84" ht="22.5" customHeight="1">
      <c r="A84" s="202"/>
      <c r="B84" s="159" t="s">
        <v>13796</v>
      </c>
      <c r="C84" s="169" t="s">
        <v>49</v>
      </c>
      <c r="D84" s="159" t="s">
        <v>11388</v>
      </c>
      <c r="E84" s="159" t="s">
        <v>51</v>
      </c>
      <c r="F84" s="147"/>
    </row>
    <row r="85" ht="22.5" customHeight="1">
      <c r="A85" s="690" t="s">
        <v>13797</v>
      </c>
      <c r="B85" s="313" t="s">
        <v>13798</v>
      </c>
      <c r="C85" s="192" t="s">
        <v>49</v>
      </c>
      <c r="D85" s="313" t="s">
        <v>13750</v>
      </c>
      <c r="E85" s="313" t="s">
        <v>13524</v>
      </c>
      <c r="F85" s="672"/>
    </row>
    <row r="86" ht="22.5" customHeight="1">
      <c r="A86" s="202"/>
      <c r="B86" s="159" t="s">
        <v>13799</v>
      </c>
      <c r="C86" s="169" t="s">
        <v>49</v>
      </c>
      <c r="D86" s="197"/>
      <c r="E86" s="197"/>
      <c r="F86" s="147"/>
    </row>
    <row r="87" ht="22.5" customHeight="1">
      <c r="A87" s="690" t="s">
        <v>13800</v>
      </c>
      <c r="B87" s="313" t="s">
        <v>13801</v>
      </c>
      <c r="C87" s="265" t="s">
        <v>40</v>
      </c>
      <c r="D87" s="313" t="s">
        <v>13802</v>
      </c>
      <c r="E87" s="196"/>
      <c r="F87" s="155"/>
    </row>
    <row r="88" ht="22.5" customHeight="1">
      <c r="A88" s="140" t="s">
        <v>13803</v>
      </c>
      <c r="B88" s="159" t="s">
        <v>13804</v>
      </c>
      <c r="C88" s="169" t="s">
        <v>49</v>
      </c>
      <c r="D88" s="159" t="s">
        <v>13805</v>
      </c>
      <c r="E88" s="159" t="s">
        <v>13524</v>
      </c>
      <c r="F88" s="147"/>
    </row>
    <row r="89" ht="22.5" customHeight="1">
      <c r="A89" s="690" t="s">
        <v>13806</v>
      </c>
      <c r="B89" s="313" t="s">
        <v>13807</v>
      </c>
      <c r="C89" s="267" t="s">
        <v>17</v>
      </c>
      <c r="D89" s="313" t="s">
        <v>13750</v>
      </c>
      <c r="E89" s="196"/>
      <c r="F89" s="155"/>
    </row>
    <row r="90" ht="22.5" customHeight="1">
      <c r="A90" s="202"/>
      <c r="B90" s="159" t="s">
        <v>13808</v>
      </c>
      <c r="C90" s="169" t="s">
        <v>49</v>
      </c>
      <c r="D90" s="159" t="s">
        <v>11388</v>
      </c>
      <c r="E90" s="197"/>
      <c r="F90" s="147"/>
    </row>
    <row r="91" ht="22.5" customHeight="1">
      <c r="A91" s="690" t="s">
        <v>5667</v>
      </c>
      <c r="B91" s="313" t="s">
        <v>13809</v>
      </c>
      <c r="C91" s="192" t="s">
        <v>49</v>
      </c>
      <c r="D91" s="313" t="s">
        <v>11388</v>
      </c>
      <c r="E91" s="313" t="s">
        <v>51</v>
      </c>
      <c r="F91" s="155"/>
    </row>
    <row r="92" ht="22.5" customHeight="1">
      <c r="A92" s="140" t="s">
        <v>13810</v>
      </c>
      <c r="B92" s="159" t="s">
        <v>13811</v>
      </c>
      <c r="C92" s="169" t="s">
        <v>49</v>
      </c>
      <c r="D92" s="197"/>
      <c r="E92" s="197"/>
      <c r="F92" s="147"/>
    </row>
    <row r="93" ht="22.5" customHeight="1">
      <c r="A93" s="691"/>
      <c r="B93" s="313" t="s">
        <v>13812</v>
      </c>
      <c r="C93" s="267" t="s">
        <v>17</v>
      </c>
      <c r="D93" s="313" t="s">
        <v>11388</v>
      </c>
      <c r="E93" s="313" t="s">
        <v>11388</v>
      </c>
      <c r="F93" s="155"/>
    </row>
    <row r="94" ht="22.5" customHeight="1">
      <c r="A94" s="140" t="s">
        <v>13813</v>
      </c>
      <c r="B94" s="159" t="s">
        <v>13814</v>
      </c>
      <c r="C94" s="169" t="s">
        <v>49</v>
      </c>
      <c r="D94" s="159" t="s">
        <v>11388</v>
      </c>
      <c r="E94" s="159" t="s">
        <v>11388</v>
      </c>
      <c r="F94" s="147"/>
    </row>
    <row r="95" ht="22.5" customHeight="1">
      <c r="A95" s="690" t="s">
        <v>13815</v>
      </c>
      <c r="B95" s="313" t="s">
        <v>13816</v>
      </c>
      <c r="C95" s="192" t="s">
        <v>49</v>
      </c>
      <c r="D95" s="313" t="s">
        <v>13817</v>
      </c>
      <c r="E95" s="196"/>
      <c r="F95" s="155"/>
    </row>
    <row r="96" ht="22.5" customHeight="1">
      <c r="A96" s="202"/>
      <c r="B96" s="159" t="s">
        <v>13818</v>
      </c>
      <c r="C96" s="169" t="s">
        <v>49</v>
      </c>
      <c r="D96" s="159" t="s">
        <v>674</v>
      </c>
      <c r="E96" s="197"/>
      <c r="F96" s="147"/>
    </row>
    <row r="97" ht="22.5" customHeight="1">
      <c r="A97" s="690" t="s">
        <v>13819</v>
      </c>
      <c r="B97" s="313" t="s">
        <v>13820</v>
      </c>
      <c r="C97" s="192" t="s">
        <v>49</v>
      </c>
      <c r="D97" s="313" t="s">
        <v>1158</v>
      </c>
      <c r="E97" s="196"/>
      <c r="F97" s="155"/>
    </row>
    <row r="98" ht="22.5" customHeight="1">
      <c r="A98" s="202"/>
      <c r="B98" s="159" t="s">
        <v>13821</v>
      </c>
      <c r="C98" s="212" t="s">
        <v>17</v>
      </c>
      <c r="D98" s="159" t="s">
        <v>11388</v>
      </c>
      <c r="E98" s="159" t="s">
        <v>11388</v>
      </c>
      <c r="F98" s="147"/>
    </row>
    <row r="99" ht="22.5" customHeight="1">
      <c r="A99" s="691"/>
      <c r="B99" s="313" t="s">
        <v>13822</v>
      </c>
      <c r="C99" s="267" t="s">
        <v>17</v>
      </c>
      <c r="D99" s="313" t="s">
        <v>11388</v>
      </c>
      <c r="E99" s="158" t="s">
        <v>11388</v>
      </c>
      <c r="F99" s="155"/>
    </row>
    <row r="100" ht="22.5" customHeight="1">
      <c r="A100" s="140" t="s">
        <v>13823</v>
      </c>
      <c r="B100" s="159" t="s">
        <v>13824</v>
      </c>
      <c r="C100" s="169" t="s">
        <v>49</v>
      </c>
      <c r="D100" s="159" t="s">
        <v>13750</v>
      </c>
      <c r="E100" s="197"/>
      <c r="F100" s="147"/>
    </row>
    <row r="101" ht="22.5" customHeight="1">
      <c r="A101" s="690" t="s">
        <v>6741</v>
      </c>
      <c r="B101" s="313" t="s">
        <v>13825</v>
      </c>
      <c r="C101" s="192" t="s">
        <v>49</v>
      </c>
      <c r="D101" s="313" t="s">
        <v>12103</v>
      </c>
      <c r="E101" s="196"/>
      <c r="F101" s="155"/>
    </row>
    <row r="102" ht="22.5" customHeight="1">
      <c r="A102" s="202"/>
      <c r="B102" s="159" t="s">
        <v>13826</v>
      </c>
      <c r="C102" s="169" t="s">
        <v>49</v>
      </c>
      <c r="D102" s="159" t="s">
        <v>11388</v>
      </c>
      <c r="E102" s="159" t="s">
        <v>11388</v>
      </c>
      <c r="F102" s="147"/>
    </row>
    <row r="103" ht="22.5" customHeight="1">
      <c r="A103" s="691"/>
      <c r="B103" s="313" t="s">
        <v>13827</v>
      </c>
      <c r="C103" s="194" t="s">
        <v>635</v>
      </c>
      <c r="D103" s="313" t="s">
        <v>13828</v>
      </c>
      <c r="E103" s="196"/>
      <c r="F103" s="155"/>
    </row>
    <row r="104" ht="22.5" customHeight="1">
      <c r="A104" s="140" t="s">
        <v>13829</v>
      </c>
      <c r="B104" s="159" t="s">
        <v>13830</v>
      </c>
      <c r="C104" s="169" t="s">
        <v>49</v>
      </c>
      <c r="D104" s="197"/>
      <c r="E104" s="197"/>
      <c r="F104" s="147"/>
    </row>
    <row r="105" ht="22.5" customHeight="1">
      <c r="A105" s="691"/>
      <c r="B105" s="313" t="s">
        <v>13831</v>
      </c>
      <c r="C105" s="194" t="s">
        <v>635</v>
      </c>
      <c r="D105" s="313" t="s">
        <v>12441</v>
      </c>
      <c r="E105" s="196"/>
      <c r="F105" s="155"/>
    </row>
    <row r="106" ht="22.5" customHeight="1">
      <c r="A106" s="202"/>
      <c r="B106" s="159" t="s">
        <v>13832</v>
      </c>
      <c r="C106" s="156" t="s">
        <v>635</v>
      </c>
      <c r="D106" s="159" t="s">
        <v>13750</v>
      </c>
      <c r="E106" s="197"/>
      <c r="F106" s="147"/>
    </row>
    <row r="107" ht="22.5" customHeight="1">
      <c r="A107" s="691"/>
      <c r="B107" s="313" t="s">
        <v>13833</v>
      </c>
      <c r="C107" s="192" t="s">
        <v>49</v>
      </c>
      <c r="D107" s="313" t="s">
        <v>13834</v>
      </c>
      <c r="E107" s="196"/>
      <c r="F107" s="155"/>
    </row>
    <row r="108" ht="22.5" customHeight="1">
      <c r="A108" s="140" t="s">
        <v>13835</v>
      </c>
      <c r="B108" s="159" t="s">
        <v>13836</v>
      </c>
      <c r="C108" s="212" t="s">
        <v>17</v>
      </c>
      <c r="D108" s="159" t="s">
        <v>11388</v>
      </c>
      <c r="E108" s="159" t="s">
        <v>11388</v>
      </c>
      <c r="F108" s="147"/>
    </row>
    <row r="109" ht="22.5" customHeight="1">
      <c r="A109" s="690" t="s">
        <v>2089</v>
      </c>
      <c r="B109" s="313" t="s">
        <v>13837</v>
      </c>
      <c r="C109" s="392" t="s">
        <v>35</v>
      </c>
      <c r="D109" s="313" t="s">
        <v>13838</v>
      </c>
      <c r="E109" s="158" t="s">
        <v>10609</v>
      </c>
      <c r="F109" s="155"/>
    </row>
    <row r="110" ht="22.5" customHeight="1">
      <c r="A110" s="202"/>
      <c r="B110" s="159" t="s">
        <v>13839</v>
      </c>
      <c r="C110" s="169" t="s">
        <v>49</v>
      </c>
      <c r="D110" s="159" t="s">
        <v>13840</v>
      </c>
      <c r="E110" s="159" t="s">
        <v>11388</v>
      </c>
      <c r="F110" s="147"/>
    </row>
    <row r="111" ht="22.5" customHeight="1">
      <c r="A111" s="691"/>
      <c r="B111" s="313" t="s">
        <v>13841</v>
      </c>
      <c r="C111" s="192" t="s">
        <v>49</v>
      </c>
      <c r="D111" s="313" t="s">
        <v>11388</v>
      </c>
      <c r="E111" s="158" t="s">
        <v>11388</v>
      </c>
      <c r="F111" s="155"/>
    </row>
    <row r="112" ht="22.5" customHeight="1">
      <c r="A112" s="202"/>
      <c r="B112" s="159" t="s">
        <v>13842</v>
      </c>
      <c r="C112" s="169" t="s">
        <v>49</v>
      </c>
      <c r="D112" s="159" t="s">
        <v>11388</v>
      </c>
      <c r="E112" s="159" t="s">
        <v>11388</v>
      </c>
      <c r="F112" s="147"/>
    </row>
    <row r="113" ht="22.5" customHeight="1">
      <c r="A113" s="691"/>
      <c r="B113" s="313" t="s">
        <v>13843</v>
      </c>
      <c r="C113" s="267" t="s">
        <v>17</v>
      </c>
      <c r="D113" s="313" t="s">
        <v>11388</v>
      </c>
      <c r="E113" s="313" t="s">
        <v>11388</v>
      </c>
      <c r="F113" s="155"/>
    </row>
    <row r="114" ht="22.5" customHeight="1">
      <c r="A114" s="202"/>
      <c r="B114" s="159" t="s">
        <v>13844</v>
      </c>
      <c r="C114" s="169" t="s">
        <v>49</v>
      </c>
      <c r="D114" s="159" t="s">
        <v>11388</v>
      </c>
      <c r="E114" s="159" t="s">
        <v>372</v>
      </c>
      <c r="F114" s="147"/>
    </row>
    <row r="115" ht="22.5" customHeight="1">
      <c r="A115" s="690" t="s">
        <v>13845</v>
      </c>
      <c r="B115" s="313" t="s">
        <v>13846</v>
      </c>
      <c r="C115" s="194" t="s">
        <v>635</v>
      </c>
      <c r="D115" s="313" t="s">
        <v>11388</v>
      </c>
      <c r="E115" s="313" t="s">
        <v>10871</v>
      </c>
      <c r="F115" s="672"/>
    </row>
    <row r="116" ht="22.5" customHeight="1">
      <c r="A116" s="202"/>
      <c r="B116" s="159" t="s">
        <v>13847</v>
      </c>
      <c r="C116" s="169" t="s">
        <v>49</v>
      </c>
      <c r="D116" s="159" t="s">
        <v>11388</v>
      </c>
      <c r="E116" s="197"/>
      <c r="F116" s="147"/>
    </row>
    <row r="117" ht="22.5" customHeight="1">
      <c r="A117" s="691"/>
      <c r="B117" s="313" t="s">
        <v>13848</v>
      </c>
      <c r="C117" s="267" t="s">
        <v>17</v>
      </c>
      <c r="D117" s="313" t="s">
        <v>11388</v>
      </c>
      <c r="E117" s="313" t="s">
        <v>11388</v>
      </c>
      <c r="F117" s="155"/>
    </row>
    <row r="118" ht="22.5" customHeight="1">
      <c r="A118" s="202"/>
      <c r="B118" s="159" t="s">
        <v>13849</v>
      </c>
      <c r="C118" s="169" t="s">
        <v>49</v>
      </c>
      <c r="D118" s="159" t="s">
        <v>11388</v>
      </c>
      <c r="E118" s="159" t="s">
        <v>13850</v>
      </c>
      <c r="F118" s="147"/>
    </row>
    <row r="119" ht="22.5" customHeight="1">
      <c r="A119" s="690" t="s">
        <v>13851</v>
      </c>
      <c r="B119" s="313" t="s">
        <v>13852</v>
      </c>
      <c r="C119" s="392" t="s">
        <v>35</v>
      </c>
      <c r="D119" s="313" t="s">
        <v>11388</v>
      </c>
      <c r="E119" s="313" t="s">
        <v>913</v>
      </c>
      <c r="F119" s="155"/>
    </row>
    <row r="120" ht="22.5" customHeight="1">
      <c r="A120" s="140" t="s">
        <v>10225</v>
      </c>
      <c r="B120" s="159" t="s">
        <v>13853</v>
      </c>
      <c r="C120" s="169" t="s">
        <v>49</v>
      </c>
      <c r="D120" s="159" t="s">
        <v>11388</v>
      </c>
      <c r="E120" s="159" t="s">
        <v>51</v>
      </c>
      <c r="F120" s="147"/>
    </row>
    <row r="121" ht="22.5" customHeight="1">
      <c r="A121" s="250"/>
      <c r="B121" s="158" t="s">
        <v>13854</v>
      </c>
      <c r="C121" s="192" t="s">
        <v>49</v>
      </c>
      <c r="D121" s="313" t="s">
        <v>11388</v>
      </c>
      <c r="E121" s="313" t="s">
        <v>11388</v>
      </c>
      <c r="F121" s="155"/>
    </row>
    <row r="122" ht="22.5" customHeight="1">
      <c r="A122" s="202"/>
      <c r="B122" s="159" t="s">
        <v>13855</v>
      </c>
      <c r="C122" s="212" t="s">
        <v>17</v>
      </c>
      <c r="D122" s="159" t="s">
        <v>11388</v>
      </c>
      <c r="E122" s="159" t="s">
        <v>11388</v>
      </c>
      <c r="F122" s="147"/>
    </row>
    <row r="123" ht="22.5" customHeight="1">
      <c r="A123" s="250"/>
      <c r="B123" s="158" t="s">
        <v>13856</v>
      </c>
      <c r="C123" s="161" t="s">
        <v>49</v>
      </c>
      <c r="D123" s="313" t="s">
        <v>11388</v>
      </c>
      <c r="E123" s="158" t="s">
        <v>11388</v>
      </c>
      <c r="F123" s="155"/>
    </row>
    <row r="124" ht="22.5" customHeight="1">
      <c r="A124" s="140" t="s">
        <v>13857</v>
      </c>
      <c r="B124" s="700" t="s">
        <v>13858</v>
      </c>
      <c r="C124" s="332" t="s">
        <v>35</v>
      </c>
      <c r="D124" s="159" t="s">
        <v>11388</v>
      </c>
      <c r="E124" s="159" t="s">
        <v>13859</v>
      </c>
      <c r="F124" s="147"/>
    </row>
    <row r="125" ht="22.5" customHeight="1">
      <c r="A125" s="250"/>
      <c r="B125" s="158" t="s">
        <v>13860</v>
      </c>
      <c r="C125" s="214" t="s">
        <v>17</v>
      </c>
      <c r="D125" s="313" t="s">
        <v>11388</v>
      </c>
      <c r="E125" s="158" t="s">
        <v>11388</v>
      </c>
      <c r="F125" s="155"/>
    </row>
    <row r="126" ht="22.5" customHeight="1">
      <c r="A126" s="140" t="s">
        <v>12310</v>
      </c>
      <c r="B126" s="159" t="s">
        <v>13861</v>
      </c>
      <c r="C126" s="169" t="s">
        <v>49</v>
      </c>
      <c r="D126" s="159" t="s">
        <v>11388</v>
      </c>
      <c r="E126" s="197"/>
      <c r="F126" s="147"/>
    </row>
    <row r="127" ht="22.5" customHeight="1">
      <c r="A127" s="148" t="s">
        <v>13862</v>
      </c>
      <c r="B127" s="313" t="s">
        <v>13863</v>
      </c>
      <c r="C127" s="214" t="s">
        <v>17</v>
      </c>
      <c r="D127" s="313" t="s">
        <v>11388</v>
      </c>
      <c r="E127" s="158" t="s">
        <v>11388</v>
      </c>
      <c r="F127" s="155"/>
    </row>
    <row r="128" ht="22.5" customHeight="1">
      <c r="A128" s="140" t="s">
        <v>13864</v>
      </c>
      <c r="B128" s="159" t="s">
        <v>13865</v>
      </c>
      <c r="C128" s="212" t="s">
        <v>17</v>
      </c>
      <c r="D128" s="159" t="s">
        <v>11388</v>
      </c>
      <c r="E128" s="159" t="s">
        <v>11388</v>
      </c>
      <c r="F128" s="147"/>
    </row>
    <row r="129" ht="22.5" customHeight="1">
      <c r="A129" s="250"/>
      <c r="B129" s="158" t="s">
        <v>13866</v>
      </c>
      <c r="C129" s="161" t="s">
        <v>49</v>
      </c>
      <c r="D129" s="196"/>
      <c r="E129" s="196"/>
      <c r="F129" s="155"/>
    </row>
    <row r="130" ht="22.5" customHeight="1">
      <c r="A130" s="202"/>
      <c r="B130" s="159" t="s">
        <v>13867</v>
      </c>
      <c r="C130" s="212" t="s">
        <v>17</v>
      </c>
      <c r="D130" s="159" t="s">
        <v>11388</v>
      </c>
      <c r="E130" s="159" t="s">
        <v>11388</v>
      </c>
      <c r="F130" s="147"/>
    </row>
    <row r="131" ht="22.5" customHeight="1">
      <c r="A131" s="250"/>
      <c r="B131" s="158" t="s">
        <v>13868</v>
      </c>
      <c r="C131" s="161" t="s">
        <v>49</v>
      </c>
      <c r="D131" s="313" t="s">
        <v>11388</v>
      </c>
      <c r="E131" s="196"/>
      <c r="F131" s="155"/>
    </row>
    <row r="132" ht="22.5" customHeight="1">
      <c r="A132" s="202"/>
      <c r="B132" s="159" t="s">
        <v>13869</v>
      </c>
      <c r="C132" s="212" t="s">
        <v>17</v>
      </c>
      <c r="D132" s="159" t="s">
        <v>11388</v>
      </c>
      <c r="E132" s="159" t="s">
        <v>11388</v>
      </c>
      <c r="F132" s="147"/>
    </row>
    <row r="133" ht="22.5" customHeight="1">
      <c r="A133" s="250"/>
      <c r="B133" s="158" t="s">
        <v>13870</v>
      </c>
      <c r="C133" s="214" t="s">
        <v>17</v>
      </c>
      <c r="D133" s="158" t="s">
        <v>11388</v>
      </c>
      <c r="E133" s="158" t="s">
        <v>11388</v>
      </c>
      <c r="F133" s="155"/>
    </row>
    <row r="134" ht="22.5" customHeight="1">
      <c r="A134" s="202"/>
      <c r="B134" s="159" t="s">
        <v>13871</v>
      </c>
      <c r="C134" s="212" t="s">
        <v>17</v>
      </c>
      <c r="D134" s="159" t="s">
        <v>11388</v>
      </c>
      <c r="E134" s="159" t="s">
        <v>11388</v>
      </c>
      <c r="F134" s="147"/>
    </row>
    <row r="135" ht="22.5" customHeight="1">
      <c r="A135" s="250"/>
      <c r="B135" s="158" t="s">
        <v>13872</v>
      </c>
      <c r="C135" s="161" t="s">
        <v>49</v>
      </c>
      <c r="D135" s="158" t="s">
        <v>674</v>
      </c>
      <c r="E135" s="196"/>
      <c r="F135" s="155"/>
    </row>
    <row r="136" ht="22.5" customHeight="1">
      <c r="A136" s="202"/>
      <c r="B136" s="159" t="s">
        <v>13873</v>
      </c>
      <c r="C136" s="212" t="s">
        <v>17</v>
      </c>
      <c r="D136" s="159" t="s">
        <v>11388</v>
      </c>
      <c r="E136" s="159" t="s">
        <v>11388</v>
      </c>
      <c r="F136" s="147"/>
    </row>
    <row r="137" ht="22.5" customHeight="1">
      <c r="A137" s="148" t="s">
        <v>13874</v>
      </c>
      <c r="B137" s="313" t="s">
        <v>13875</v>
      </c>
      <c r="C137" s="167" t="s">
        <v>635</v>
      </c>
      <c r="D137" s="158" t="s">
        <v>13876</v>
      </c>
      <c r="E137" s="196"/>
      <c r="F137" s="155"/>
    </row>
    <row r="138" ht="22.5" customHeight="1">
      <c r="A138" s="140" t="s">
        <v>5708</v>
      </c>
      <c r="B138" s="159" t="s">
        <v>13877</v>
      </c>
      <c r="C138" s="169" t="s">
        <v>49</v>
      </c>
      <c r="D138" s="159" t="s">
        <v>13750</v>
      </c>
      <c r="E138" s="159" t="s">
        <v>674</v>
      </c>
      <c r="F138" s="147"/>
    </row>
    <row r="139" ht="22.5" customHeight="1">
      <c r="A139" s="250"/>
      <c r="B139" s="158" t="s">
        <v>13878</v>
      </c>
      <c r="C139" s="213" t="s">
        <v>40</v>
      </c>
      <c r="D139" s="158" t="s">
        <v>13750</v>
      </c>
      <c r="E139" s="158" t="s">
        <v>11388</v>
      </c>
      <c r="F139" s="155"/>
    </row>
    <row r="140" ht="22.5" customHeight="1">
      <c r="A140" s="202"/>
      <c r="B140" s="159" t="s">
        <v>13879</v>
      </c>
      <c r="C140" s="212" t="s">
        <v>17</v>
      </c>
      <c r="D140" s="159" t="s">
        <v>13750</v>
      </c>
      <c r="E140" s="159" t="s">
        <v>11388</v>
      </c>
      <c r="F140" s="147"/>
    </row>
    <row r="141" ht="22.5" customHeight="1">
      <c r="A141" s="250"/>
      <c r="B141" s="160">
        <v>9.23338244372E11</v>
      </c>
      <c r="C141" s="214" t="s">
        <v>17</v>
      </c>
      <c r="D141" s="158" t="s">
        <v>11388</v>
      </c>
      <c r="E141" s="158" t="s">
        <v>11388</v>
      </c>
      <c r="F141" s="155"/>
    </row>
    <row r="142" ht="22.5" customHeight="1">
      <c r="A142" s="202"/>
      <c r="B142" s="159" t="s">
        <v>13880</v>
      </c>
      <c r="C142" s="169" t="s">
        <v>49</v>
      </c>
      <c r="D142" s="197"/>
      <c r="E142" s="197"/>
      <c r="F142" s="147"/>
    </row>
    <row r="143" ht="22.5" customHeight="1">
      <c r="A143" s="250"/>
      <c r="B143" s="158" t="s">
        <v>13881</v>
      </c>
      <c r="C143" s="214" t="s">
        <v>17</v>
      </c>
      <c r="D143" s="158" t="s">
        <v>11388</v>
      </c>
      <c r="E143" s="158" t="s">
        <v>11388</v>
      </c>
      <c r="F143" s="155"/>
    </row>
    <row r="144" ht="22.5" customHeight="1">
      <c r="A144" s="202"/>
      <c r="B144" s="159" t="s">
        <v>13882</v>
      </c>
      <c r="C144" s="212" t="s">
        <v>17</v>
      </c>
      <c r="D144" s="159" t="s">
        <v>11388</v>
      </c>
      <c r="E144" s="159" t="s">
        <v>11388</v>
      </c>
      <c r="F144" s="147"/>
    </row>
    <row r="145" ht="22.5" customHeight="1">
      <c r="A145" s="250"/>
      <c r="B145" s="158" t="s">
        <v>13883</v>
      </c>
      <c r="C145" s="214" t="s">
        <v>17</v>
      </c>
      <c r="D145" s="158" t="s">
        <v>11388</v>
      </c>
      <c r="E145" s="158" t="s">
        <v>11388</v>
      </c>
      <c r="F145" s="155"/>
    </row>
    <row r="146" ht="22.5" customHeight="1">
      <c r="A146" s="202"/>
      <c r="B146" s="159" t="s">
        <v>13884</v>
      </c>
      <c r="C146" s="212" t="s">
        <v>17</v>
      </c>
      <c r="D146" s="159" t="s">
        <v>11388</v>
      </c>
      <c r="E146" s="159" t="s">
        <v>11388</v>
      </c>
      <c r="F146" s="147"/>
    </row>
    <row r="147" ht="22.5" customHeight="1">
      <c r="A147" s="250"/>
      <c r="B147" s="158" t="s">
        <v>13885</v>
      </c>
      <c r="C147" s="214" t="s">
        <v>17</v>
      </c>
      <c r="D147" s="158" t="s">
        <v>11388</v>
      </c>
      <c r="E147" s="158" t="s">
        <v>11388</v>
      </c>
      <c r="F147" s="155"/>
    </row>
    <row r="148" ht="22.5" customHeight="1">
      <c r="A148" s="202"/>
      <c r="B148" s="159" t="s">
        <v>13886</v>
      </c>
      <c r="C148" s="169" t="s">
        <v>49</v>
      </c>
      <c r="D148" s="159" t="s">
        <v>1158</v>
      </c>
      <c r="E148" s="197"/>
      <c r="F148" s="147"/>
    </row>
    <row r="149" ht="22.5" customHeight="1">
      <c r="A149" s="701"/>
      <c r="B149" s="702" t="s">
        <v>13887</v>
      </c>
      <c r="C149" s="703" t="s">
        <v>49</v>
      </c>
      <c r="D149" s="702" t="s">
        <v>13888</v>
      </c>
      <c r="E149" s="704"/>
      <c r="F149" s="705"/>
    </row>
    <row r="150" ht="22.5" customHeight="1">
      <c r="A150" s="693" t="s">
        <v>4380</v>
      </c>
      <c r="B150" s="606" t="s">
        <v>13233</v>
      </c>
      <c r="C150" s="156" t="s">
        <v>635</v>
      </c>
      <c r="D150" s="159" t="s">
        <v>13889</v>
      </c>
      <c r="E150" s="197"/>
      <c r="F150" s="147"/>
    </row>
    <row r="151" ht="22.5" customHeight="1">
      <c r="A151" s="250"/>
      <c r="B151" s="158" t="s">
        <v>13890</v>
      </c>
      <c r="C151" s="214" t="s">
        <v>17</v>
      </c>
      <c r="D151" s="158" t="s">
        <v>11388</v>
      </c>
      <c r="E151" s="158" t="s">
        <v>11388</v>
      </c>
      <c r="F151" s="155"/>
    </row>
    <row r="152" ht="22.5" customHeight="1">
      <c r="A152" s="202"/>
      <c r="B152" s="159" t="s">
        <v>13891</v>
      </c>
      <c r="C152" s="212" t="s">
        <v>17</v>
      </c>
      <c r="D152" s="159" t="s">
        <v>11388</v>
      </c>
      <c r="E152" s="159" t="s">
        <v>11388</v>
      </c>
      <c r="F152" s="147"/>
    </row>
    <row r="153" ht="22.5" customHeight="1">
      <c r="A153" s="250"/>
      <c r="B153" s="160">
        <v>9.23333264925E11</v>
      </c>
      <c r="C153" s="214" t="s">
        <v>17</v>
      </c>
      <c r="D153" s="158" t="s">
        <v>11388</v>
      </c>
      <c r="E153" s="158" t="s">
        <v>11388</v>
      </c>
      <c r="F153" s="155"/>
    </row>
    <row r="154" ht="22.5" customHeight="1">
      <c r="A154" s="202"/>
      <c r="B154" s="159" t="s">
        <v>13892</v>
      </c>
      <c r="C154" s="169" t="s">
        <v>49</v>
      </c>
      <c r="D154" s="159" t="s">
        <v>372</v>
      </c>
      <c r="E154" s="197"/>
      <c r="F154" s="147"/>
    </row>
    <row r="155" ht="22.5" customHeight="1">
      <c r="A155" s="250"/>
      <c r="B155" s="158" t="s">
        <v>13893</v>
      </c>
      <c r="C155" s="214" t="s">
        <v>17</v>
      </c>
      <c r="D155" s="158" t="s">
        <v>11388</v>
      </c>
      <c r="E155" s="158" t="s">
        <v>11388</v>
      </c>
      <c r="F155" s="155"/>
    </row>
    <row r="156" ht="22.5" customHeight="1">
      <c r="A156" s="202"/>
      <c r="B156" s="159" t="s">
        <v>13894</v>
      </c>
      <c r="C156" s="169" t="s">
        <v>49</v>
      </c>
      <c r="D156" s="159" t="s">
        <v>372</v>
      </c>
      <c r="E156" s="197"/>
      <c r="F156" s="147"/>
    </row>
    <row r="157" ht="22.5" customHeight="1">
      <c r="A157" s="250"/>
      <c r="B157" s="158" t="s">
        <v>13895</v>
      </c>
      <c r="C157" s="214" t="s">
        <v>17</v>
      </c>
      <c r="D157" s="158" t="s">
        <v>11388</v>
      </c>
      <c r="E157" s="158" t="s">
        <v>11388</v>
      </c>
      <c r="F157" s="155"/>
    </row>
    <row r="158" ht="22.5" customHeight="1">
      <c r="A158" s="202"/>
      <c r="B158" s="159" t="s">
        <v>13896</v>
      </c>
      <c r="C158" s="212" t="s">
        <v>17</v>
      </c>
      <c r="D158" s="159" t="s">
        <v>11388</v>
      </c>
      <c r="E158" s="159" t="s">
        <v>11388</v>
      </c>
      <c r="F158" s="147"/>
    </row>
    <row r="159" ht="22.5" customHeight="1">
      <c r="A159" s="250"/>
      <c r="B159" s="158" t="s">
        <v>13897</v>
      </c>
      <c r="C159" s="214" t="s">
        <v>17</v>
      </c>
      <c r="D159" s="158" t="s">
        <v>11388</v>
      </c>
      <c r="E159" s="158" t="s">
        <v>11388</v>
      </c>
      <c r="F159" s="155"/>
    </row>
    <row r="160" ht="22.5" customHeight="1">
      <c r="A160" s="202"/>
      <c r="B160" s="159" t="s">
        <v>13898</v>
      </c>
      <c r="C160" s="169" t="s">
        <v>49</v>
      </c>
      <c r="D160" s="159" t="s">
        <v>674</v>
      </c>
      <c r="E160" s="197"/>
      <c r="F160" s="147"/>
    </row>
    <row r="161" ht="22.5" customHeight="1">
      <c r="A161" s="148" t="s">
        <v>13899</v>
      </c>
      <c r="B161" s="158" t="s">
        <v>13900</v>
      </c>
      <c r="C161" s="214" t="s">
        <v>17</v>
      </c>
      <c r="D161" s="158" t="s">
        <v>13901</v>
      </c>
      <c r="E161" s="158" t="s">
        <v>11388</v>
      </c>
      <c r="F161" s="155"/>
    </row>
    <row r="162" ht="22.5" customHeight="1">
      <c r="A162" s="202"/>
      <c r="B162" s="159" t="s">
        <v>13902</v>
      </c>
      <c r="C162" s="169" t="s">
        <v>49</v>
      </c>
      <c r="D162" s="159" t="s">
        <v>11388</v>
      </c>
      <c r="E162" s="159" t="s">
        <v>13903</v>
      </c>
      <c r="F162" s="147"/>
    </row>
    <row r="163" ht="22.5" customHeight="1">
      <c r="A163" s="250"/>
      <c r="B163" s="158" t="s">
        <v>5621</v>
      </c>
      <c r="C163" s="161" t="s">
        <v>49</v>
      </c>
      <c r="D163" s="158" t="s">
        <v>13750</v>
      </c>
      <c r="E163" s="158" t="s">
        <v>674</v>
      </c>
      <c r="F163" s="155"/>
    </row>
    <row r="164" ht="22.5" customHeight="1">
      <c r="A164" s="202"/>
      <c r="B164" s="159" t="s">
        <v>13904</v>
      </c>
      <c r="C164" s="212" t="s">
        <v>17</v>
      </c>
      <c r="D164" s="159" t="s">
        <v>11388</v>
      </c>
      <c r="E164" s="159" t="s">
        <v>11388</v>
      </c>
      <c r="F164" s="147"/>
    </row>
    <row r="165" ht="22.5" customHeight="1">
      <c r="A165" s="250"/>
      <c r="B165" s="158" t="s">
        <v>13905</v>
      </c>
      <c r="C165" s="161" t="s">
        <v>49</v>
      </c>
      <c r="D165" s="158" t="s">
        <v>13906</v>
      </c>
      <c r="E165" s="196"/>
      <c r="F165" s="155"/>
    </row>
    <row r="166" ht="22.5" customHeight="1">
      <c r="A166" s="202"/>
      <c r="B166" s="159" t="s">
        <v>13907</v>
      </c>
      <c r="C166" s="169" t="s">
        <v>49</v>
      </c>
      <c r="D166" s="197"/>
      <c r="E166" s="197"/>
      <c r="F166" s="147"/>
    </row>
    <row r="167" ht="22.5" customHeight="1">
      <c r="A167" s="250"/>
      <c r="B167" s="158" t="s">
        <v>13908</v>
      </c>
      <c r="C167" s="214" t="s">
        <v>17</v>
      </c>
      <c r="D167" s="158" t="s">
        <v>11388</v>
      </c>
      <c r="E167" s="158" t="s">
        <v>11388</v>
      </c>
      <c r="F167" s="155"/>
    </row>
    <row r="168" ht="22.5" customHeight="1">
      <c r="A168" s="202"/>
      <c r="B168" s="159" t="s">
        <v>13909</v>
      </c>
      <c r="C168" s="212" t="s">
        <v>17</v>
      </c>
      <c r="D168" s="159" t="s">
        <v>11388</v>
      </c>
      <c r="E168" s="159" t="s">
        <v>11388</v>
      </c>
      <c r="F168" s="147"/>
    </row>
    <row r="169" ht="22.5" customHeight="1">
      <c r="A169" s="250"/>
      <c r="B169" s="158" t="s">
        <v>13910</v>
      </c>
      <c r="C169" s="161" t="s">
        <v>49</v>
      </c>
      <c r="D169" s="158" t="s">
        <v>13750</v>
      </c>
      <c r="E169" s="158" t="s">
        <v>674</v>
      </c>
      <c r="F169" s="155"/>
    </row>
    <row r="170" ht="22.5" customHeight="1">
      <c r="A170" s="202"/>
      <c r="B170" s="159" t="s">
        <v>13911</v>
      </c>
      <c r="C170" s="156" t="s">
        <v>635</v>
      </c>
      <c r="D170" s="159" t="s">
        <v>11388</v>
      </c>
      <c r="E170" s="159" t="s">
        <v>11388</v>
      </c>
      <c r="F170" s="147"/>
    </row>
    <row r="171" ht="22.5" customHeight="1">
      <c r="A171" s="250"/>
      <c r="B171" s="158" t="s">
        <v>13912</v>
      </c>
      <c r="C171" s="161" t="s">
        <v>49</v>
      </c>
      <c r="D171" s="158" t="s">
        <v>11388</v>
      </c>
      <c r="E171" s="196"/>
      <c r="F171" s="155"/>
    </row>
    <row r="172" ht="22.5" customHeight="1">
      <c r="A172" s="202"/>
      <c r="B172" s="159" t="s">
        <v>13913</v>
      </c>
      <c r="C172" s="212" t="s">
        <v>17</v>
      </c>
      <c r="D172" s="159" t="s">
        <v>11388</v>
      </c>
      <c r="E172" s="159" t="s">
        <v>11388</v>
      </c>
      <c r="F172" s="147"/>
    </row>
    <row r="173" ht="22.5" customHeight="1">
      <c r="A173" s="654"/>
      <c r="B173" s="655" t="s">
        <v>13314</v>
      </c>
      <c r="C173" s="656" t="s">
        <v>49</v>
      </c>
      <c r="D173" s="655" t="s">
        <v>11388</v>
      </c>
      <c r="E173" s="655" t="s">
        <v>13315</v>
      </c>
      <c r="F173" s="657"/>
    </row>
    <row r="174" ht="22.5" customHeight="1">
      <c r="A174" s="202"/>
      <c r="B174" s="197"/>
      <c r="C174" s="144"/>
      <c r="D174" s="197"/>
      <c r="E174" s="197"/>
      <c r="F174" s="147"/>
    </row>
    <row r="175" ht="22.5" customHeight="1">
      <c r="A175" s="691"/>
      <c r="B175" s="415"/>
      <c r="C175" s="181"/>
      <c r="D175" s="415"/>
      <c r="E175" s="196"/>
      <c r="F175" s="155"/>
    </row>
    <row r="176" ht="22.5" customHeight="1">
      <c r="A176" s="202"/>
      <c r="B176" s="197"/>
      <c r="C176" s="144"/>
      <c r="D176" s="197"/>
      <c r="E176" s="197"/>
      <c r="F176" s="147"/>
    </row>
    <row r="177" ht="22.5" customHeight="1">
      <c r="A177" s="691"/>
      <c r="B177" s="415"/>
      <c r="C177" s="181"/>
      <c r="D177" s="415"/>
      <c r="E177" s="196"/>
      <c r="F177" s="155"/>
    </row>
    <row r="178" ht="22.5" customHeight="1">
      <c r="A178" s="202"/>
      <c r="B178" s="197"/>
      <c r="C178" s="144"/>
      <c r="D178" s="197"/>
      <c r="E178" s="197"/>
      <c r="F178" s="147"/>
    </row>
    <row r="179" ht="22.5" customHeight="1">
      <c r="A179" s="691"/>
      <c r="B179" s="415"/>
      <c r="C179" s="181"/>
      <c r="D179" s="415"/>
      <c r="E179" s="196"/>
      <c r="F179" s="155"/>
    </row>
    <row r="180" ht="22.5" customHeight="1">
      <c r="A180" s="202"/>
      <c r="B180" s="197"/>
      <c r="C180" s="144"/>
      <c r="D180" s="197"/>
      <c r="E180" s="197"/>
      <c r="F180" s="147"/>
    </row>
    <row r="181" ht="22.5" customHeight="1">
      <c r="A181" s="691"/>
      <c r="B181" s="415"/>
      <c r="C181" s="181"/>
      <c r="D181" s="415"/>
      <c r="E181" s="196"/>
      <c r="F181" s="155"/>
    </row>
    <row r="182" ht="22.5" customHeight="1">
      <c r="A182" s="202"/>
      <c r="B182" s="197"/>
      <c r="C182" s="144"/>
      <c r="D182" s="197"/>
      <c r="E182" s="197"/>
      <c r="F182" s="147"/>
    </row>
    <row r="183" ht="22.5" customHeight="1">
      <c r="A183" s="691"/>
      <c r="B183" s="415"/>
      <c r="C183" s="181"/>
      <c r="D183" s="415"/>
      <c r="E183" s="196"/>
      <c r="F183" s="155"/>
    </row>
    <row r="184" ht="22.5" customHeight="1">
      <c r="A184" s="202"/>
      <c r="B184" s="197"/>
      <c r="C184" s="144"/>
      <c r="D184" s="197"/>
      <c r="E184" s="197"/>
      <c r="F184" s="147"/>
    </row>
    <row r="185" ht="22.5" customHeight="1">
      <c r="A185" s="691"/>
      <c r="B185" s="415"/>
      <c r="C185" s="181"/>
      <c r="D185" s="415"/>
      <c r="E185" s="196"/>
      <c r="F185" s="155"/>
    </row>
    <row r="186" ht="22.5" customHeight="1">
      <c r="A186" s="202"/>
      <c r="B186" s="197"/>
      <c r="C186" s="144"/>
      <c r="D186" s="197"/>
      <c r="E186" s="197"/>
      <c r="F186" s="147"/>
    </row>
    <row r="187" ht="22.5" customHeight="1">
      <c r="A187" s="691"/>
      <c r="B187" s="415"/>
      <c r="C187" s="181"/>
      <c r="D187" s="415"/>
      <c r="E187" s="196"/>
      <c r="F187" s="155"/>
    </row>
    <row r="188" ht="22.5" customHeight="1">
      <c r="A188" s="202"/>
      <c r="B188" s="197"/>
      <c r="C188" s="144"/>
      <c r="D188" s="197"/>
      <c r="E188" s="197"/>
      <c r="F188" s="147"/>
    </row>
    <row r="189" ht="22.5" customHeight="1">
      <c r="A189" s="691"/>
      <c r="B189" s="415"/>
      <c r="C189" s="181"/>
      <c r="D189" s="415"/>
      <c r="E189" s="196"/>
      <c r="F189" s="155"/>
    </row>
    <row r="190" ht="22.5" customHeight="1">
      <c r="A190" s="202"/>
      <c r="B190" s="197"/>
      <c r="C190" s="144"/>
      <c r="D190" s="197"/>
      <c r="E190" s="197"/>
      <c r="F190" s="147"/>
    </row>
    <row r="191" ht="22.5" customHeight="1">
      <c r="A191" s="691"/>
      <c r="B191" s="415"/>
      <c r="C191" s="181"/>
      <c r="D191" s="415"/>
      <c r="E191" s="196"/>
      <c r="F191" s="155"/>
    </row>
    <row r="192" ht="22.5" customHeight="1">
      <c r="A192" s="202"/>
      <c r="B192" s="197"/>
      <c r="C192" s="144"/>
      <c r="D192" s="197"/>
      <c r="E192" s="197"/>
      <c r="F192" s="147"/>
    </row>
    <row r="193" ht="22.5" customHeight="1">
      <c r="A193" s="691"/>
      <c r="B193" s="415"/>
      <c r="C193" s="181"/>
      <c r="D193" s="415"/>
      <c r="E193" s="196"/>
      <c r="F193" s="155"/>
    </row>
    <row r="194" ht="22.5" customHeight="1">
      <c r="A194" s="202"/>
      <c r="B194" s="197"/>
      <c r="C194" s="144"/>
      <c r="D194" s="197"/>
      <c r="E194" s="197"/>
      <c r="F194" s="147"/>
    </row>
    <row r="195" ht="22.5" customHeight="1">
      <c r="A195" s="691"/>
      <c r="B195" s="415"/>
      <c r="C195" s="181"/>
      <c r="D195" s="415"/>
      <c r="E195" s="196"/>
      <c r="F195" s="155"/>
    </row>
    <row r="196" ht="22.5" customHeight="1">
      <c r="A196" s="202"/>
      <c r="B196" s="197"/>
      <c r="C196" s="144"/>
      <c r="D196" s="197"/>
      <c r="E196" s="197"/>
      <c r="F196" s="147"/>
    </row>
    <row r="197" ht="22.5" customHeight="1">
      <c r="A197" s="691"/>
      <c r="B197" s="415"/>
      <c r="C197" s="181"/>
      <c r="D197" s="415"/>
      <c r="E197" s="196"/>
      <c r="F197" s="155"/>
    </row>
    <row r="198" ht="22.5" customHeight="1">
      <c r="A198" s="202"/>
      <c r="B198" s="197"/>
      <c r="C198" s="144"/>
      <c r="D198" s="197"/>
      <c r="E198" s="197"/>
      <c r="F198" s="147"/>
    </row>
    <row r="199" ht="22.5" customHeight="1">
      <c r="A199" s="691"/>
      <c r="B199" s="415"/>
      <c r="C199" s="181"/>
      <c r="D199" s="415"/>
      <c r="E199" s="196"/>
      <c r="F199" s="155"/>
    </row>
    <row r="200" ht="22.5" customHeight="1">
      <c r="A200" s="202"/>
      <c r="B200" s="197"/>
      <c r="C200" s="144"/>
      <c r="D200" s="197"/>
      <c r="E200" s="197"/>
      <c r="F200" s="147"/>
    </row>
    <row r="201" ht="22.5" customHeight="1">
      <c r="A201" s="691"/>
      <c r="B201" s="415"/>
      <c r="C201" s="181"/>
      <c r="D201" s="415"/>
      <c r="E201" s="196"/>
      <c r="F201" s="155"/>
    </row>
    <row r="202" ht="22.5" customHeight="1">
      <c r="A202" s="202"/>
      <c r="B202" s="197"/>
      <c r="C202" s="144"/>
      <c r="D202" s="197"/>
      <c r="E202" s="197"/>
      <c r="F202" s="147"/>
    </row>
    <row r="203" ht="22.5" customHeight="1">
      <c r="A203" s="691"/>
      <c r="B203" s="415"/>
      <c r="C203" s="181"/>
      <c r="D203" s="415"/>
      <c r="E203" s="196"/>
      <c r="F203" s="155"/>
    </row>
    <row r="204" ht="22.5" customHeight="1">
      <c r="A204" s="202"/>
      <c r="B204" s="197"/>
      <c r="C204" s="144"/>
      <c r="D204" s="197"/>
      <c r="E204" s="197"/>
      <c r="F204" s="147"/>
    </row>
    <row r="205" ht="22.5" customHeight="1">
      <c r="A205" s="691"/>
      <c r="B205" s="415"/>
      <c r="C205" s="181"/>
      <c r="D205" s="415"/>
      <c r="E205" s="196"/>
      <c r="F205" s="155"/>
    </row>
    <row r="206" ht="22.5" customHeight="1">
      <c r="A206" s="202"/>
      <c r="B206" s="197"/>
      <c r="C206" s="144"/>
      <c r="D206" s="197"/>
      <c r="E206" s="197"/>
      <c r="F206" s="147"/>
    </row>
    <row r="207" ht="22.5" customHeight="1">
      <c r="A207" s="691"/>
      <c r="B207" s="415"/>
      <c r="C207" s="181"/>
      <c r="D207" s="415"/>
      <c r="E207" s="196"/>
      <c r="F207" s="155"/>
    </row>
    <row r="208" ht="22.5" customHeight="1">
      <c r="A208" s="202"/>
      <c r="B208" s="197"/>
      <c r="C208" s="144"/>
      <c r="D208" s="197"/>
      <c r="E208" s="197"/>
      <c r="F208" s="147"/>
    </row>
    <row r="209" ht="22.5" customHeight="1">
      <c r="A209" s="691"/>
      <c r="B209" s="415"/>
      <c r="C209" s="181"/>
      <c r="D209" s="415"/>
      <c r="E209" s="196"/>
      <c r="F209" s="155"/>
    </row>
    <row r="210" ht="22.5" customHeight="1">
      <c r="A210" s="202"/>
      <c r="B210" s="197"/>
      <c r="C210" s="144"/>
      <c r="D210" s="197"/>
      <c r="E210" s="197"/>
      <c r="F210" s="147"/>
    </row>
    <row r="211" ht="22.5" customHeight="1">
      <c r="A211" s="691"/>
      <c r="B211" s="415"/>
      <c r="C211" s="181"/>
      <c r="D211" s="415"/>
      <c r="E211" s="196"/>
      <c r="F211" s="155"/>
    </row>
    <row r="212" ht="22.5" customHeight="1">
      <c r="A212" s="202"/>
      <c r="B212" s="197"/>
      <c r="C212" s="144"/>
      <c r="D212" s="197"/>
      <c r="E212" s="197"/>
      <c r="F212" s="147"/>
    </row>
    <row r="213" ht="22.5" customHeight="1">
      <c r="A213" s="691"/>
      <c r="B213" s="415"/>
      <c r="C213" s="181"/>
      <c r="D213" s="415"/>
      <c r="E213" s="196"/>
      <c r="F213" s="155"/>
    </row>
    <row r="214" ht="22.5" customHeight="1">
      <c r="A214" s="202"/>
      <c r="B214" s="197"/>
      <c r="C214" s="144"/>
      <c r="D214" s="197"/>
      <c r="E214" s="197"/>
      <c r="F214" s="147"/>
    </row>
    <row r="215" ht="22.5" customHeight="1">
      <c r="A215" s="691"/>
      <c r="B215" s="415"/>
      <c r="C215" s="181"/>
      <c r="D215" s="415"/>
      <c r="E215" s="196"/>
      <c r="F215" s="155"/>
    </row>
    <row r="216" ht="22.5" customHeight="1">
      <c r="A216" s="202"/>
      <c r="B216" s="197"/>
      <c r="C216" s="144"/>
      <c r="D216" s="197"/>
      <c r="E216" s="197"/>
      <c r="F216" s="147"/>
    </row>
    <row r="217" ht="22.5" customHeight="1">
      <c r="A217" s="691"/>
      <c r="B217" s="415"/>
      <c r="C217" s="181"/>
      <c r="D217" s="415"/>
      <c r="E217" s="196"/>
      <c r="F217" s="155"/>
    </row>
    <row r="218" ht="22.5" customHeight="1">
      <c r="A218" s="202"/>
      <c r="B218" s="197"/>
      <c r="C218" s="144"/>
      <c r="D218" s="197"/>
      <c r="E218" s="197"/>
      <c r="F218" s="147"/>
    </row>
    <row r="219" ht="22.5" customHeight="1">
      <c r="A219" s="250"/>
      <c r="B219" s="196"/>
      <c r="C219" s="152"/>
      <c r="D219" s="196"/>
      <c r="E219" s="196"/>
      <c r="F219" s="155"/>
    </row>
    <row r="220" ht="22.5" customHeight="1">
      <c r="A220" s="202"/>
      <c r="B220" s="197"/>
      <c r="C220" s="144"/>
      <c r="D220" s="197"/>
      <c r="E220" s="197"/>
      <c r="F220" s="147"/>
    </row>
    <row r="221" ht="22.5" customHeight="1">
      <c r="A221" s="250"/>
      <c r="B221" s="196"/>
      <c r="C221" s="152"/>
      <c r="D221" s="196"/>
      <c r="E221" s="196"/>
      <c r="F221" s="155"/>
    </row>
    <row r="222" ht="22.5" customHeight="1">
      <c r="A222" s="202"/>
      <c r="B222" s="197"/>
      <c r="C222" s="144"/>
      <c r="D222" s="197"/>
      <c r="E222" s="197"/>
      <c r="F222" s="147"/>
    </row>
    <row r="223" ht="22.5" customHeight="1">
      <c r="A223" s="250"/>
      <c r="B223" s="196"/>
      <c r="C223" s="152"/>
      <c r="D223" s="196"/>
      <c r="E223" s="196"/>
      <c r="F223" s="155"/>
    </row>
    <row r="224" ht="22.5" customHeight="1">
      <c r="A224" s="202"/>
      <c r="B224" s="197"/>
      <c r="C224" s="144"/>
      <c r="D224" s="197"/>
      <c r="E224" s="197"/>
      <c r="F224" s="147"/>
    </row>
    <row r="225" ht="22.5" customHeight="1">
      <c r="A225" s="250"/>
      <c r="B225" s="196"/>
      <c r="C225" s="152"/>
      <c r="D225" s="196"/>
      <c r="E225" s="196"/>
      <c r="F225" s="155"/>
    </row>
    <row r="226" ht="22.5" customHeight="1">
      <c r="A226" s="202"/>
      <c r="B226" s="197"/>
      <c r="C226" s="144"/>
      <c r="D226" s="197"/>
      <c r="E226" s="197"/>
      <c r="F226" s="147"/>
    </row>
    <row r="227" ht="22.5" customHeight="1">
      <c r="A227" s="250"/>
      <c r="B227" s="196"/>
      <c r="C227" s="152"/>
      <c r="D227" s="196"/>
      <c r="E227" s="196"/>
      <c r="F227" s="155"/>
    </row>
    <row r="228" ht="22.5" customHeight="1">
      <c r="A228" s="202"/>
      <c r="B228" s="197"/>
      <c r="C228" s="144"/>
      <c r="D228" s="197"/>
      <c r="E228" s="197"/>
      <c r="F228" s="147"/>
    </row>
    <row r="229" ht="22.5" customHeight="1">
      <c r="A229" s="250"/>
      <c r="B229" s="196"/>
      <c r="C229" s="152"/>
      <c r="D229" s="196"/>
      <c r="E229" s="196"/>
      <c r="F229" s="155"/>
    </row>
    <row r="230" ht="22.5" customHeight="1">
      <c r="A230" s="202"/>
      <c r="B230" s="197"/>
      <c r="C230" s="144"/>
      <c r="D230" s="197"/>
      <c r="E230" s="197"/>
      <c r="F230" s="147"/>
    </row>
    <row r="231" ht="22.5" customHeight="1">
      <c r="A231" s="250"/>
      <c r="B231" s="196"/>
      <c r="C231" s="152"/>
      <c r="D231" s="196"/>
      <c r="E231" s="196"/>
      <c r="F231" s="155"/>
    </row>
    <row r="232" ht="22.5" customHeight="1">
      <c r="A232" s="202"/>
      <c r="B232" s="197"/>
      <c r="C232" s="144"/>
      <c r="D232" s="197"/>
      <c r="E232" s="197"/>
      <c r="F232" s="147"/>
    </row>
    <row r="233" ht="22.5" customHeight="1">
      <c r="A233" s="250"/>
      <c r="B233" s="196"/>
      <c r="C233" s="152"/>
      <c r="D233" s="196"/>
      <c r="E233" s="196"/>
      <c r="F233" s="155"/>
    </row>
    <row r="234" ht="22.5" customHeight="1">
      <c r="A234" s="202"/>
      <c r="B234" s="197"/>
      <c r="C234" s="144"/>
      <c r="D234" s="197"/>
      <c r="E234" s="197"/>
      <c r="F234" s="147"/>
    </row>
    <row r="235" ht="22.5" customHeight="1">
      <c r="A235" s="250"/>
      <c r="B235" s="196"/>
      <c r="C235" s="152"/>
      <c r="D235" s="196"/>
      <c r="E235" s="196"/>
      <c r="F235" s="155"/>
    </row>
    <row r="236" ht="22.5" customHeight="1">
      <c r="A236" s="202"/>
      <c r="B236" s="197"/>
      <c r="C236" s="144"/>
      <c r="D236" s="197"/>
      <c r="E236" s="197"/>
      <c r="F236" s="147"/>
    </row>
    <row r="237" ht="22.5" customHeight="1">
      <c r="A237" s="250"/>
      <c r="B237" s="196"/>
      <c r="C237" s="152"/>
      <c r="D237" s="196"/>
      <c r="E237" s="196"/>
      <c r="F237" s="155"/>
    </row>
    <row r="238" ht="22.5" customHeight="1">
      <c r="A238" s="202"/>
      <c r="B238" s="197"/>
      <c r="C238" s="144"/>
      <c r="D238" s="197"/>
      <c r="E238" s="197"/>
      <c r="F238" s="147"/>
    </row>
    <row r="239" ht="22.5" customHeight="1">
      <c r="A239" s="250"/>
      <c r="B239" s="196"/>
      <c r="C239" s="152"/>
      <c r="D239" s="196"/>
      <c r="E239" s="196"/>
      <c r="F239" s="155"/>
    </row>
    <row r="240" ht="22.5" customHeight="1">
      <c r="A240" s="202"/>
      <c r="B240" s="197"/>
      <c r="C240" s="144"/>
      <c r="D240" s="197"/>
      <c r="E240" s="197"/>
      <c r="F240" s="147"/>
    </row>
    <row r="241" ht="22.5" customHeight="1">
      <c r="A241" s="250"/>
      <c r="B241" s="196"/>
      <c r="C241" s="152"/>
      <c r="D241" s="196"/>
      <c r="E241" s="196"/>
      <c r="F241" s="155"/>
    </row>
    <row r="242" ht="22.5" customHeight="1">
      <c r="A242" s="202"/>
      <c r="B242" s="197"/>
      <c r="C242" s="144"/>
      <c r="D242" s="197"/>
      <c r="E242" s="197"/>
      <c r="F242" s="147"/>
    </row>
    <row r="243" ht="22.5" customHeight="1">
      <c r="A243" s="250"/>
      <c r="B243" s="196"/>
      <c r="C243" s="152"/>
      <c r="D243" s="196"/>
      <c r="E243" s="196"/>
      <c r="F243" s="155"/>
    </row>
    <row r="244" ht="22.5" customHeight="1">
      <c r="A244" s="202"/>
      <c r="B244" s="197"/>
      <c r="C244" s="144"/>
      <c r="D244" s="197"/>
      <c r="E244" s="197"/>
      <c r="F244" s="147"/>
    </row>
    <row r="245" ht="22.5" customHeight="1">
      <c r="A245" s="250"/>
      <c r="B245" s="196"/>
      <c r="C245" s="152"/>
      <c r="D245" s="196"/>
      <c r="E245" s="196"/>
      <c r="F245" s="155"/>
    </row>
    <row r="246" ht="22.5" customHeight="1">
      <c r="A246" s="202"/>
      <c r="B246" s="197"/>
      <c r="C246" s="144"/>
      <c r="D246" s="197"/>
      <c r="E246" s="197"/>
      <c r="F246" s="147"/>
    </row>
    <row r="247" ht="22.5" customHeight="1">
      <c r="A247" s="250"/>
      <c r="B247" s="196"/>
      <c r="C247" s="152"/>
      <c r="D247" s="196"/>
      <c r="E247" s="196"/>
      <c r="F247" s="155"/>
    </row>
    <row r="248" ht="22.5" customHeight="1">
      <c r="A248" s="202"/>
      <c r="B248" s="197"/>
      <c r="C248" s="144"/>
      <c r="D248" s="197"/>
      <c r="E248" s="197"/>
      <c r="F248" s="147"/>
    </row>
    <row r="249" ht="22.5" customHeight="1">
      <c r="A249" s="250"/>
      <c r="B249" s="196"/>
      <c r="C249" s="152"/>
      <c r="D249" s="196"/>
      <c r="E249" s="196"/>
      <c r="F249" s="155"/>
    </row>
    <row r="250" ht="22.5" customHeight="1">
      <c r="A250" s="202"/>
      <c r="B250" s="197"/>
      <c r="C250" s="144"/>
      <c r="D250" s="197"/>
      <c r="E250" s="197"/>
      <c r="F250" s="147"/>
    </row>
    <row r="251" ht="22.5" customHeight="1">
      <c r="A251" s="250"/>
      <c r="B251" s="196"/>
      <c r="C251" s="152"/>
      <c r="D251" s="196"/>
      <c r="E251" s="196"/>
      <c r="F251" s="155"/>
    </row>
    <row r="252" ht="22.5" customHeight="1">
      <c r="A252" s="202"/>
      <c r="B252" s="197"/>
      <c r="C252" s="144"/>
      <c r="D252" s="197"/>
      <c r="E252" s="197"/>
      <c r="F252" s="147"/>
    </row>
    <row r="253" ht="22.5" customHeight="1">
      <c r="A253" s="250"/>
      <c r="B253" s="196"/>
      <c r="C253" s="152"/>
      <c r="D253" s="196"/>
      <c r="E253" s="196"/>
      <c r="F253" s="155"/>
    </row>
    <row r="254" ht="22.5" customHeight="1">
      <c r="A254" s="202"/>
      <c r="B254" s="197"/>
      <c r="C254" s="144"/>
      <c r="D254" s="197"/>
      <c r="E254" s="197"/>
      <c r="F254" s="147"/>
    </row>
    <row r="255" ht="22.5" customHeight="1">
      <c r="A255" s="250"/>
      <c r="B255" s="196"/>
      <c r="C255" s="152"/>
      <c r="D255" s="196"/>
      <c r="E255" s="196"/>
      <c r="F255" s="155"/>
    </row>
    <row r="256" ht="22.5" customHeight="1">
      <c r="A256" s="202"/>
      <c r="B256" s="197"/>
      <c r="C256" s="144"/>
      <c r="D256" s="197"/>
      <c r="E256" s="197"/>
      <c r="F256" s="147"/>
    </row>
    <row r="257" ht="22.5" customHeight="1">
      <c r="A257" s="250"/>
      <c r="B257" s="196"/>
      <c r="C257" s="152"/>
      <c r="D257" s="196"/>
      <c r="E257" s="196"/>
      <c r="F257" s="155"/>
    </row>
    <row r="258" ht="22.5" customHeight="1">
      <c r="A258" s="202"/>
      <c r="B258" s="197"/>
      <c r="C258" s="144"/>
      <c r="D258" s="197"/>
      <c r="E258" s="197"/>
      <c r="F258" s="147"/>
    </row>
    <row r="259" ht="22.5" customHeight="1">
      <c r="A259" s="250"/>
      <c r="B259" s="196"/>
      <c r="C259" s="152"/>
      <c r="D259" s="196"/>
      <c r="E259" s="196"/>
      <c r="F259" s="155"/>
    </row>
    <row r="260" ht="22.5" customHeight="1">
      <c r="A260" s="202"/>
      <c r="B260" s="197"/>
      <c r="C260" s="144"/>
      <c r="D260" s="197"/>
      <c r="E260" s="197"/>
      <c r="F260" s="147"/>
    </row>
    <row r="261" ht="22.5" customHeight="1">
      <c r="A261" s="250"/>
      <c r="B261" s="196"/>
      <c r="C261" s="152"/>
      <c r="D261" s="196"/>
      <c r="E261" s="196"/>
      <c r="F261" s="155"/>
    </row>
    <row r="262" ht="22.5" customHeight="1">
      <c r="A262" s="202"/>
      <c r="B262" s="197"/>
      <c r="C262" s="144"/>
      <c r="D262" s="197"/>
      <c r="E262" s="197"/>
      <c r="F262" s="147"/>
    </row>
    <row r="263" ht="22.5" customHeight="1">
      <c r="A263" s="250"/>
      <c r="B263" s="196"/>
      <c r="C263" s="152"/>
      <c r="D263" s="196"/>
      <c r="E263" s="196"/>
      <c r="F263" s="155"/>
    </row>
    <row r="264" ht="22.5" customHeight="1">
      <c r="A264" s="202"/>
      <c r="B264" s="197"/>
      <c r="C264" s="144"/>
      <c r="D264" s="197"/>
      <c r="E264" s="197"/>
      <c r="F264" s="147"/>
    </row>
    <row r="265" ht="22.5" customHeight="1">
      <c r="A265" s="250"/>
      <c r="B265" s="196"/>
      <c r="C265" s="152"/>
      <c r="D265" s="196"/>
      <c r="E265" s="196"/>
      <c r="F265" s="155"/>
    </row>
    <row r="266" ht="22.5" customHeight="1">
      <c r="A266" s="202"/>
      <c r="B266" s="197"/>
      <c r="C266" s="144"/>
      <c r="D266" s="197"/>
      <c r="E266" s="197"/>
      <c r="F266" s="147"/>
    </row>
    <row r="267" ht="22.5" customHeight="1">
      <c r="A267" s="250"/>
      <c r="B267" s="196"/>
      <c r="C267" s="152"/>
      <c r="D267" s="196"/>
      <c r="E267" s="196"/>
      <c r="F267" s="155"/>
    </row>
    <row r="268" ht="22.5" customHeight="1">
      <c r="A268" s="202"/>
      <c r="B268" s="197"/>
      <c r="C268" s="144"/>
      <c r="D268" s="197"/>
      <c r="E268" s="197"/>
      <c r="F268" s="147"/>
    </row>
    <row r="269" ht="22.5" customHeight="1">
      <c r="A269" s="250"/>
      <c r="B269" s="196"/>
      <c r="C269" s="152"/>
      <c r="D269" s="196"/>
      <c r="E269" s="196"/>
      <c r="F269" s="155"/>
    </row>
    <row r="270" ht="22.5" customHeight="1">
      <c r="A270" s="202"/>
      <c r="B270" s="197"/>
      <c r="C270" s="144"/>
      <c r="D270" s="197"/>
      <c r="E270" s="197"/>
      <c r="F270" s="147"/>
    </row>
    <row r="271" ht="22.5" customHeight="1">
      <c r="A271" s="250"/>
      <c r="B271" s="196"/>
      <c r="C271" s="152"/>
      <c r="D271" s="196"/>
      <c r="E271" s="196"/>
      <c r="F271" s="155"/>
    </row>
    <row r="272" ht="22.5" customHeight="1">
      <c r="A272" s="202"/>
      <c r="B272" s="197"/>
      <c r="C272" s="144"/>
      <c r="D272" s="197"/>
      <c r="E272" s="197"/>
      <c r="F272" s="147"/>
    </row>
    <row r="273" ht="22.5" customHeight="1">
      <c r="A273" s="250"/>
      <c r="B273" s="196"/>
      <c r="C273" s="152"/>
      <c r="D273" s="196"/>
      <c r="E273" s="196"/>
      <c r="F273" s="155"/>
    </row>
    <row r="274" ht="22.5" customHeight="1">
      <c r="A274" s="202"/>
      <c r="B274" s="197"/>
      <c r="C274" s="144"/>
      <c r="D274" s="197"/>
      <c r="E274" s="197"/>
      <c r="F274" s="147"/>
    </row>
    <row r="275" ht="22.5" customHeight="1">
      <c r="A275" s="250"/>
      <c r="B275" s="196"/>
      <c r="C275" s="152"/>
      <c r="D275" s="196"/>
      <c r="E275" s="196"/>
      <c r="F275" s="155"/>
    </row>
    <row r="276" ht="22.5" customHeight="1">
      <c r="A276" s="202"/>
      <c r="B276" s="197"/>
      <c r="C276" s="144"/>
      <c r="D276" s="197"/>
      <c r="E276" s="197"/>
      <c r="F276" s="147"/>
    </row>
    <row r="277" ht="22.5" customHeight="1">
      <c r="A277" s="250"/>
      <c r="B277" s="196"/>
      <c r="C277" s="152"/>
      <c r="D277" s="196"/>
      <c r="E277" s="196"/>
      <c r="F277" s="155"/>
    </row>
    <row r="278" ht="22.5" customHeight="1">
      <c r="A278" s="202"/>
      <c r="B278" s="197"/>
      <c r="C278" s="144"/>
      <c r="D278" s="197"/>
      <c r="E278" s="197"/>
      <c r="F278" s="147"/>
    </row>
    <row r="279" ht="22.5" customHeight="1">
      <c r="A279" s="250"/>
      <c r="B279" s="196"/>
      <c r="C279" s="152"/>
      <c r="D279" s="196"/>
      <c r="E279" s="196"/>
      <c r="F279" s="155"/>
    </row>
    <row r="280" ht="22.5" customHeight="1">
      <c r="A280" s="202"/>
      <c r="B280" s="197"/>
      <c r="C280" s="144"/>
      <c r="D280" s="197"/>
      <c r="E280" s="197"/>
      <c r="F280" s="147"/>
    </row>
    <row r="281" ht="22.5" customHeight="1">
      <c r="A281" s="250"/>
      <c r="B281" s="196"/>
      <c r="C281" s="152"/>
      <c r="D281" s="196"/>
      <c r="E281" s="196"/>
      <c r="F281" s="155"/>
    </row>
    <row r="282" ht="22.5" customHeight="1">
      <c r="A282" s="202"/>
      <c r="B282" s="197"/>
      <c r="C282" s="144"/>
      <c r="D282" s="197"/>
      <c r="E282" s="197"/>
      <c r="F282" s="147"/>
    </row>
    <row r="283" ht="22.5" customHeight="1">
      <c r="A283" s="250"/>
      <c r="B283" s="196"/>
      <c r="C283" s="152"/>
      <c r="D283" s="196"/>
      <c r="E283" s="196"/>
      <c r="F283" s="155"/>
    </row>
    <row r="284" ht="22.5" customHeight="1">
      <c r="A284" s="202"/>
      <c r="B284" s="197"/>
      <c r="C284" s="144"/>
      <c r="D284" s="197"/>
      <c r="E284" s="197"/>
      <c r="F284" s="147"/>
    </row>
    <row r="285" ht="22.5" customHeight="1">
      <c r="A285" s="250"/>
      <c r="B285" s="196"/>
      <c r="C285" s="152"/>
      <c r="D285" s="196"/>
      <c r="E285" s="196"/>
      <c r="F285" s="155"/>
    </row>
    <row r="286" ht="22.5" customHeight="1">
      <c r="A286" s="202"/>
      <c r="B286" s="197"/>
      <c r="C286" s="144"/>
      <c r="D286" s="197"/>
      <c r="E286" s="197"/>
      <c r="F286" s="147"/>
    </row>
    <row r="287" ht="22.5" customHeight="1">
      <c r="A287" s="250"/>
      <c r="B287" s="196"/>
      <c r="C287" s="152"/>
      <c r="D287" s="196"/>
      <c r="E287" s="196"/>
      <c r="F287" s="155"/>
    </row>
    <row r="288" ht="22.5" customHeight="1">
      <c r="A288" s="202"/>
      <c r="B288" s="197"/>
      <c r="C288" s="144"/>
      <c r="D288" s="197"/>
      <c r="E288" s="197"/>
      <c r="F288" s="147"/>
    </row>
    <row r="289" ht="22.5" customHeight="1">
      <c r="A289" s="250"/>
      <c r="B289" s="196"/>
      <c r="C289" s="152"/>
      <c r="D289" s="196"/>
      <c r="E289" s="196"/>
      <c r="F289" s="155"/>
    </row>
    <row r="290" ht="22.5" customHeight="1">
      <c r="A290" s="202"/>
      <c r="B290" s="197"/>
      <c r="C290" s="144"/>
      <c r="D290" s="197"/>
      <c r="E290" s="197"/>
      <c r="F290" s="147"/>
    </row>
    <row r="291" ht="22.5" customHeight="1">
      <c r="A291" s="250"/>
      <c r="B291" s="196"/>
      <c r="C291" s="152"/>
      <c r="D291" s="196"/>
      <c r="E291" s="196"/>
      <c r="F291" s="155"/>
    </row>
    <row r="292" ht="22.5" customHeight="1">
      <c r="A292" s="202"/>
      <c r="B292" s="197"/>
      <c r="C292" s="144"/>
      <c r="D292" s="197"/>
      <c r="E292" s="197"/>
      <c r="F292" s="147"/>
    </row>
    <row r="293" ht="22.5" customHeight="1">
      <c r="A293" s="250"/>
      <c r="B293" s="196"/>
      <c r="C293" s="152"/>
      <c r="D293" s="196"/>
      <c r="E293" s="196"/>
      <c r="F293" s="155"/>
    </row>
    <row r="294" ht="22.5" customHeight="1">
      <c r="A294" s="202"/>
      <c r="B294" s="197"/>
      <c r="C294" s="144"/>
      <c r="D294" s="197"/>
      <c r="E294" s="197"/>
      <c r="F294" s="147"/>
    </row>
    <row r="295" ht="22.5" customHeight="1">
      <c r="A295" s="250"/>
      <c r="B295" s="196"/>
      <c r="C295" s="152"/>
      <c r="D295" s="196"/>
      <c r="E295" s="196"/>
      <c r="F295" s="155"/>
    </row>
    <row r="296" ht="22.5" customHeight="1">
      <c r="A296" s="202"/>
      <c r="B296" s="197"/>
      <c r="C296" s="144"/>
      <c r="D296" s="197"/>
      <c r="E296" s="197"/>
      <c r="F296" s="147"/>
    </row>
    <row r="297" ht="22.5" customHeight="1">
      <c r="A297" s="250"/>
      <c r="B297" s="196"/>
      <c r="C297" s="152"/>
      <c r="D297" s="196"/>
      <c r="E297" s="196"/>
      <c r="F297" s="155"/>
    </row>
    <row r="298" ht="22.5" customHeight="1">
      <c r="A298" s="202"/>
      <c r="B298" s="197"/>
      <c r="C298" s="144"/>
      <c r="D298" s="197"/>
      <c r="E298" s="197"/>
      <c r="F298" s="147"/>
    </row>
    <row r="299" ht="22.5" customHeight="1">
      <c r="A299" s="250"/>
      <c r="B299" s="196"/>
      <c r="C299" s="152"/>
      <c r="D299" s="196"/>
      <c r="E299" s="196"/>
      <c r="F299" s="155"/>
    </row>
    <row r="300" ht="22.5" customHeight="1">
      <c r="A300" s="202"/>
      <c r="B300" s="197"/>
      <c r="C300" s="144"/>
      <c r="D300" s="197"/>
      <c r="E300" s="197"/>
      <c r="F300" s="147"/>
    </row>
    <row r="301" ht="22.5" customHeight="1">
      <c r="A301" s="250"/>
      <c r="B301" s="196"/>
      <c r="C301" s="152"/>
      <c r="D301" s="196"/>
      <c r="E301" s="196"/>
      <c r="F301" s="155"/>
    </row>
    <row r="302" ht="22.5" customHeight="1">
      <c r="A302" s="202"/>
      <c r="B302" s="197"/>
      <c r="C302" s="144"/>
      <c r="D302" s="197"/>
      <c r="E302" s="197"/>
      <c r="F302" s="147"/>
    </row>
    <row r="303" ht="22.5" customHeight="1">
      <c r="A303" s="250"/>
      <c r="B303" s="196"/>
      <c r="C303" s="152"/>
      <c r="D303" s="196"/>
      <c r="E303" s="196"/>
      <c r="F303" s="155"/>
    </row>
    <row r="304" ht="22.5" customHeight="1">
      <c r="A304" s="202"/>
      <c r="B304" s="197"/>
      <c r="C304" s="144"/>
      <c r="D304" s="197"/>
      <c r="E304" s="197"/>
      <c r="F304" s="147"/>
    </row>
    <row r="305" ht="22.5" customHeight="1">
      <c r="A305" s="250"/>
      <c r="B305" s="196"/>
      <c r="C305" s="152"/>
      <c r="D305" s="196"/>
      <c r="E305" s="196"/>
      <c r="F305" s="155"/>
    </row>
    <row r="306" ht="22.5" customHeight="1">
      <c r="A306" s="202"/>
      <c r="B306" s="197"/>
      <c r="C306" s="144"/>
      <c r="D306" s="197"/>
      <c r="E306" s="197"/>
      <c r="F306" s="147"/>
    </row>
    <row r="307" ht="22.5" customHeight="1">
      <c r="A307" s="250"/>
      <c r="B307" s="196"/>
      <c r="C307" s="152"/>
      <c r="D307" s="196"/>
      <c r="E307" s="196"/>
      <c r="F307" s="155"/>
    </row>
    <row r="308" ht="22.5" customHeight="1">
      <c r="A308" s="202"/>
      <c r="B308" s="197"/>
      <c r="C308" s="144"/>
      <c r="D308" s="197"/>
      <c r="E308" s="197"/>
      <c r="F308" s="147"/>
    </row>
    <row r="309" ht="22.5" customHeight="1">
      <c r="A309" s="250"/>
      <c r="B309" s="196"/>
      <c r="C309" s="152"/>
      <c r="D309" s="196"/>
      <c r="E309" s="196"/>
      <c r="F309" s="155"/>
    </row>
    <row r="310" ht="22.5" customHeight="1">
      <c r="A310" s="202"/>
      <c r="B310" s="197"/>
      <c r="C310" s="144"/>
      <c r="D310" s="197"/>
      <c r="E310" s="197"/>
      <c r="F310" s="147"/>
    </row>
    <row r="311" ht="22.5" customHeight="1">
      <c r="A311" s="250"/>
      <c r="B311" s="196"/>
      <c r="C311" s="152"/>
      <c r="D311" s="196"/>
      <c r="E311" s="196"/>
      <c r="F311" s="155"/>
    </row>
    <row r="312" ht="22.5" customHeight="1">
      <c r="A312" s="202"/>
      <c r="B312" s="197"/>
      <c r="C312" s="144"/>
      <c r="D312" s="197"/>
      <c r="E312" s="197"/>
      <c r="F312" s="147"/>
    </row>
    <row r="313" ht="22.5" customHeight="1">
      <c r="A313" s="250"/>
      <c r="B313" s="196"/>
      <c r="C313" s="152"/>
      <c r="D313" s="196"/>
      <c r="E313" s="196"/>
      <c r="F313" s="155"/>
    </row>
    <row r="314" ht="22.5" customHeight="1">
      <c r="A314" s="202"/>
      <c r="B314" s="197"/>
      <c r="C314" s="144"/>
      <c r="D314" s="197"/>
      <c r="E314" s="197"/>
      <c r="F314" s="147"/>
    </row>
    <row r="315" ht="22.5" customHeight="1">
      <c r="A315" s="250"/>
      <c r="B315" s="196"/>
      <c r="C315" s="152"/>
      <c r="D315" s="196"/>
      <c r="E315" s="196"/>
      <c r="F315" s="155"/>
    </row>
    <row r="316" ht="22.5" customHeight="1">
      <c r="A316" s="202"/>
      <c r="B316" s="197"/>
      <c r="C316" s="144"/>
      <c r="D316" s="197"/>
      <c r="E316" s="197"/>
      <c r="F316" s="147"/>
    </row>
    <row r="317" ht="22.5" customHeight="1">
      <c r="A317" s="250"/>
      <c r="B317" s="196"/>
      <c r="C317" s="152"/>
      <c r="D317" s="196"/>
      <c r="E317" s="196"/>
      <c r="F317" s="155"/>
    </row>
    <row r="318" ht="22.5" customHeight="1">
      <c r="A318" s="202"/>
      <c r="B318" s="197"/>
      <c r="C318" s="144"/>
      <c r="D318" s="197"/>
      <c r="E318" s="197"/>
      <c r="F318" s="147"/>
    </row>
    <row r="319" ht="22.5" customHeight="1">
      <c r="A319" s="250"/>
      <c r="B319" s="196"/>
      <c r="C319" s="152"/>
      <c r="D319" s="196"/>
      <c r="E319" s="196"/>
      <c r="F319" s="155"/>
    </row>
    <row r="320" ht="22.5" customHeight="1">
      <c r="A320" s="202"/>
      <c r="B320" s="197"/>
      <c r="C320" s="144"/>
      <c r="D320" s="197"/>
      <c r="E320" s="197"/>
      <c r="F320" s="147"/>
    </row>
    <row r="321" ht="22.5" customHeight="1">
      <c r="A321" s="250"/>
      <c r="B321" s="196"/>
      <c r="C321" s="152"/>
      <c r="D321" s="196"/>
      <c r="E321" s="196"/>
      <c r="F321" s="155"/>
    </row>
    <row r="322" ht="22.5" customHeight="1">
      <c r="A322" s="202"/>
      <c r="B322" s="197"/>
      <c r="C322" s="144"/>
      <c r="D322" s="197"/>
      <c r="E322" s="197"/>
      <c r="F322" s="147"/>
    </row>
    <row r="323" ht="22.5" customHeight="1">
      <c r="A323" s="250"/>
      <c r="B323" s="196"/>
      <c r="C323" s="152"/>
      <c r="D323" s="196"/>
      <c r="E323" s="196"/>
      <c r="F323" s="155"/>
    </row>
    <row r="324" ht="22.5" customHeight="1">
      <c r="A324" s="202"/>
      <c r="B324" s="197"/>
      <c r="C324" s="144"/>
      <c r="D324" s="197"/>
      <c r="E324" s="197"/>
      <c r="F324" s="147"/>
    </row>
    <row r="325" ht="22.5" customHeight="1">
      <c r="A325" s="250"/>
      <c r="B325" s="196"/>
      <c r="C325" s="152"/>
      <c r="D325" s="196"/>
      <c r="E325" s="196"/>
      <c r="F325" s="155"/>
    </row>
    <row r="326" ht="22.5" customHeight="1">
      <c r="A326" s="202"/>
      <c r="B326" s="197"/>
      <c r="C326" s="144"/>
      <c r="D326" s="197"/>
      <c r="E326" s="197"/>
      <c r="F326" s="147"/>
    </row>
    <row r="327" ht="22.5" customHeight="1">
      <c r="A327" s="250"/>
      <c r="B327" s="196"/>
      <c r="C327" s="152"/>
      <c r="D327" s="196"/>
      <c r="E327" s="196"/>
      <c r="F327" s="155"/>
    </row>
    <row r="328" ht="22.5" customHeight="1">
      <c r="A328" s="202"/>
      <c r="B328" s="197"/>
      <c r="C328" s="144"/>
      <c r="D328" s="197"/>
      <c r="E328" s="197"/>
      <c r="F328" s="147"/>
    </row>
    <row r="329" ht="22.5" customHeight="1">
      <c r="A329" s="250"/>
      <c r="B329" s="196"/>
      <c r="C329" s="152"/>
      <c r="D329" s="196"/>
      <c r="E329" s="196"/>
      <c r="F329" s="155"/>
    </row>
    <row r="330" ht="22.5" customHeight="1">
      <c r="A330" s="202"/>
      <c r="B330" s="197"/>
      <c r="C330" s="144"/>
      <c r="D330" s="197"/>
      <c r="E330" s="197"/>
      <c r="F330" s="147"/>
    </row>
    <row r="331" ht="22.5" customHeight="1">
      <c r="A331" s="250"/>
      <c r="B331" s="196"/>
      <c r="C331" s="152"/>
      <c r="D331" s="196"/>
      <c r="E331" s="196"/>
      <c r="F331" s="155"/>
    </row>
    <row r="332" ht="22.5" customHeight="1">
      <c r="A332" s="202"/>
      <c r="B332" s="197"/>
      <c r="C332" s="144"/>
      <c r="D332" s="197"/>
      <c r="E332" s="197"/>
      <c r="F332" s="147"/>
    </row>
    <row r="333" ht="22.5" customHeight="1">
      <c r="A333" s="250"/>
      <c r="B333" s="196"/>
      <c r="C333" s="152"/>
      <c r="D333" s="196"/>
      <c r="E333" s="196"/>
      <c r="F333" s="155"/>
    </row>
    <row r="334" ht="22.5" customHeight="1">
      <c r="A334" s="202"/>
      <c r="B334" s="197"/>
      <c r="C334" s="144"/>
      <c r="D334" s="197"/>
      <c r="E334" s="197"/>
      <c r="F334" s="147"/>
    </row>
    <row r="335" ht="22.5" customHeight="1">
      <c r="A335" s="250"/>
      <c r="B335" s="196"/>
      <c r="C335" s="152"/>
      <c r="D335" s="196"/>
      <c r="E335" s="196"/>
      <c r="F335" s="155"/>
    </row>
    <row r="336" ht="22.5" customHeight="1">
      <c r="A336" s="202"/>
      <c r="B336" s="197"/>
      <c r="C336" s="144"/>
      <c r="D336" s="197"/>
      <c r="E336" s="197"/>
      <c r="F336" s="147"/>
    </row>
    <row r="337" ht="22.5" customHeight="1">
      <c r="A337" s="250"/>
      <c r="B337" s="196"/>
      <c r="C337" s="152"/>
      <c r="D337" s="196"/>
      <c r="E337" s="196"/>
      <c r="F337" s="155"/>
    </row>
    <row r="338" ht="22.5" customHeight="1">
      <c r="A338" s="202"/>
      <c r="B338" s="197"/>
      <c r="C338" s="144"/>
      <c r="D338" s="197"/>
      <c r="E338" s="197"/>
      <c r="F338" s="147"/>
    </row>
    <row r="339" ht="22.5" customHeight="1">
      <c r="A339" s="250"/>
      <c r="B339" s="196"/>
      <c r="C339" s="152"/>
      <c r="D339" s="196"/>
      <c r="E339" s="196"/>
      <c r="F339" s="155"/>
    </row>
    <row r="340" ht="22.5" customHeight="1">
      <c r="A340" s="202"/>
      <c r="B340" s="197"/>
      <c r="C340" s="144"/>
      <c r="D340" s="197"/>
      <c r="E340" s="197"/>
      <c r="F340" s="147"/>
    </row>
    <row r="341" ht="22.5" customHeight="1">
      <c r="A341" s="250"/>
      <c r="B341" s="196"/>
      <c r="C341" s="152"/>
      <c r="D341" s="196"/>
      <c r="E341" s="196"/>
      <c r="F341" s="155"/>
    </row>
    <row r="342" ht="22.5" customHeight="1">
      <c r="A342" s="202"/>
      <c r="B342" s="197"/>
      <c r="C342" s="144"/>
      <c r="D342" s="197"/>
      <c r="E342" s="197"/>
      <c r="F342" s="147"/>
    </row>
    <row r="343" ht="22.5" customHeight="1">
      <c r="A343" s="250"/>
      <c r="B343" s="196"/>
      <c r="C343" s="152"/>
      <c r="D343" s="196"/>
      <c r="E343" s="196"/>
      <c r="F343" s="155"/>
    </row>
    <row r="344" ht="22.5" customHeight="1">
      <c r="A344" s="202"/>
      <c r="B344" s="197"/>
      <c r="C344" s="144"/>
      <c r="D344" s="197"/>
      <c r="E344" s="197"/>
      <c r="F344" s="147"/>
    </row>
    <row r="345" ht="22.5" customHeight="1">
      <c r="A345" s="250"/>
      <c r="B345" s="196"/>
      <c r="C345" s="152"/>
      <c r="D345" s="196"/>
      <c r="E345" s="196"/>
      <c r="F345" s="155"/>
    </row>
    <row r="346" ht="22.5" customHeight="1">
      <c r="A346" s="202"/>
      <c r="B346" s="197"/>
      <c r="C346" s="144"/>
      <c r="D346" s="197"/>
      <c r="E346" s="197"/>
      <c r="F346" s="147"/>
    </row>
    <row r="347" ht="22.5" customHeight="1">
      <c r="A347" s="250"/>
      <c r="B347" s="196"/>
      <c r="C347" s="152"/>
      <c r="D347" s="196"/>
      <c r="E347" s="196"/>
      <c r="F347" s="155"/>
    </row>
    <row r="348" ht="22.5" customHeight="1">
      <c r="A348" s="202"/>
      <c r="B348" s="197"/>
      <c r="C348" s="144"/>
      <c r="D348" s="197"/>
      <c r="E348" s="197"/>
      <c r="F348" s="147"/>
    </row>
    <row r="349" ht="22.5" customHeight="1">
      <c r="A349" s="250"/>
      <c r="B349" s="196"/>
      <c r="C349" s="152"/>
      <c r="D349" s="196"/>
      <c r="E349" s="196"/>
      <c r="F349" s="155"/>
    </row>
    <row r="350" ht="22.5" customHeight="1">
      <c r="A350" s="202"/>
      <c r="B350" s="197"/>
      <c r="C350" s="144"/>
      <c r="D350" s="197"/>
      <c r="E350" s="197"/>
      <c r="F350" s="147"/>
    </row>
    <row r="351" ht="22.5" customHeight="1">
      <c r="A351" s="250"/>
      <c r="B351" s="196"/>
      <c r="C351" s="152"/>
      <c r="D351" s="196"/>
      <c r="E351" s="196"/>
      <c r="F351" s="155"/>
    </row>
    <row r="352" ht="22.5" customHeight="1">
      <c r="A352" s="202"/>
      <c r="B352" s="197"/>
      <c r="C352" s="144"/>
      <c r="D352" s="197"/>
      <c r="E352" s="197"/>
      <c r="F352" s="147"/>
    </row>
    <row r="353" ht="22.5" customHeight="1">
      <c r="A353" s="250"/>
      <c r="B353" s="196"/>
      <c r="C353" s="152"/>
      <c r="D353" s="196"/>
      <c r="E353" s="196"/>
      <c r="F353" s="155"/>
    </row>
    <row r="354" ht="22.5" customHeight="1">
      <c r="A354" s="202"/>
      <c r="B354" s="197"/>
      <c r="C354" s="144"/>
      <c r="D354" s="197"/>
      <c r="E354" s="197"/>
      <c r="F354" s="147"/>
    </row>
    <row r="355" ht="22.5" customHeight="1">
      <c r="A355" s="250"/>
      <c r="B355" s="196"/>
      <c r="C355" s="152"/>
      <c r="D355" s="196"/>
      <c r="E355" s="196"/>
      <c r="F355" s="155"/>
    </row>
    <row r="356" ht="22.5" customHeight="1">
      <c r="A356" s="202"/>
      <c r="B356" s="197"/>
      <c r="C356" s="144"/>
      <c r="D356" s="197"/>
      <c r="E356" s="197"/>
      <c r="F356" s="147"/>
    </row>
    <row r="357" ht="22.5" customHeight="1">
      <c r="A357" s="250"/>
      <c r="B357" s="196"/>
      <c r="C357" s="152"/>
      <c r="D357" s="196"/>
      <c r="E357" s="196"/>
      <c r="F357" s="155"/>
    </row>
    <row r="358" ht="22.5" customHeight="1">
      <c r="A358" s="202"/>
      <c r="B358" s="197"/>
      <c r="C358" s="144"/>
      <c r="D358" s="197"/>
      <c r="E358" s="197"/>
      <c r="F358" s="147"/>
    </row>
    <row r="359" ht="22.5" customHeight="1">
      <c r="A359" s="250"/>
      <c r="B359" s="196"/>
      <c r="C359" s="152"/>
      <c r="D359" s="196"/>
      <c r="E359" s="196"/>
      <c r="F359" s="155"/>
    </row>
    <row r="360" ht="22.5" customHeight="1">
      <c r="A360" s="202"/>
      <c r="B360" s="197"/>
      <c r="C360" s="144"/>
      <c r="D360" s="197"/>
      <c r="E360" s="197"/>
      <c r="F360" s="147"/>
    </row>
    <row r="361" ht="22.5" customHeight="1">
      <c r="A361" s="250"/>
      <c r="B361" s="196"/>
      <c r="C361" s="152"/>
      <c r="D361" s="196"/>
      <c r="E361" s="196"/>
      <c r="F361" s="155"/>
    </row>
    <row r="362" ht="22.5" customHeight="1">
      <c r="A362" s="202"/>
      <c r="B362" s="197"/>
      <c r="C362" s="144"/>
      <c r="D362" s="197"/>
      <c r="E362" s="197"/>
      <c r="F362" s="147"/>
    </row>
    <row r="363" ht="22.5" customHeight="1">
      <c r="A363" s="250"/>
      <c r="B363" s="196"/>
      <c r="C363" s="152"/>
      <c r="D363" s="196"/>
      <c r="E363" s="196"/>
      <c r="F363" s="155"/>
    </row>
    <row r="364" ht="22.5" customHeight="1">
      <c r="A364" s="202"/>
      <c r="B364" s="197"/>
      <c r="C364" s="144"/>
      <c r="D364" s="197"/>
      <c r="E364" s="197"/>
      <c r="F364" s="147"/>
    </row>
    <row r="365" ht="22.5" customHeight="1">
      <c r="A365" s="250"/>
      <c r="B365" s="196"/>
      <c r="C365" s="152"/>
      <c r="D365" s="196"/>
      <c r="E365" s="196"/>
      <c r="F365" s="155"/>
    </row>
    <row r="366" ht="22.5" customHeight="1">
      <c r="A366" s="202"/>
      <c r="B366" s="197"/>
      <c r="C366" s="144"/>
      <c r="D366" s="197"/>
      <c r="E366" s="197"/>
      <c r="F366" s="147"/>
    </row>
    <row r="367" ht="22.5" customHeight="1">
      <c r="A367" s="250"/>
      <c r="B367" s="196"/>
      <c r="C367" s="152"/>
      <c r="D367" s="196"/>
      <c r="E367" s="196"/>
      <c r="F367" s="155"/>
    </row>
    <row r="368" ht="22.5" customHeight="1">
      <c r="A368" s="202"/>
      <c r="B368" s="197"/>
      <c r="C368" s="144"/>
      <c r="D368" s="197"/>
      <c r="E368" s="197"/>
      <c r="F368" s="147"/>
    </row>
    <row r="369" ht="22.5" customHeight="1">
      <c r="A369" s="250"/>
      <c r="B369" s="196"/>
      <c r="C369" s="152"/>
      <c r="D369" s="196"/>
      <c r="E369" s="196"/>
      <c r="F369" s="155"/>
    </row>
    <row r="370" ht="22.5" customHeight="1">
      <c r="A370" s="202"/>
      <c r="B370" s="197"/>
      <c r="C370" s="144"/>
      <c r="D370" s="197"/>
      <c r="E370" s="197"/>
      <c r="F370" s="147"/>
    </row>
    <row r="371" ht="22.5" customHeight="1">
      <c r="A371" s="250"/>
      <c r="B371" s="196"/>
      <c r="C371" s="152"/>
      <c r="D371" s="196"/>
      <c r="E371" s="196"/>
      <c r="F371" s="155"/>
    </row>
    <row r="372" ht="22.5" customHeight="1">
      <c r="A372" s="202"/>
      <c r="B372" s="197"/>
      <c r="C372" s="144"/>
      <c r="D372" s="197"/>
      <c r="E372" s="197"/>
      <c r="F372" s="147"/>
    </row>
    <row r="373" ht="22.5" customHeight="1">
      <c r="A373" s="250"/>
      <c r="B373" s="196"/>
      <c r="C373" s="152"/>
      <c r="D373" s="196"/>
      <c r="E373" s="196"/>
      <c r="F373" s="155"/>
    </row>
    <row r="374" ht="22.5" customHeight="1">
      <c r="A374" s="202"/>
      <c r="B374" s="197"/>
      <c r="C374" s="144"/>
      <c r="D374" s="197"/>
      <c r="E374" s="197"/>
      <c r="F374" s="147"/>
    </row>
    <row r="375" ht="22.5" customHeight="1">
      <c r="A375" s="250"/>
      <c r="B375" s="196"/>
      <c r="C375" s="152"/>
      <c r="D375" s="196"/>
      <c r="E375" s="196"/>
      <c r="F375" s="155"/>
    </row>
    <row r="376" ht="22.5" customHeight="1">
      <c r="A376" s="202"/>
      <c r="B376" s="197"/>
      <c r="C376" s="144"/>
      <c r="D376" s="197"/>
      <c r="E376" s="197"/>
      <c r="F376" s="147"/>
    </row>
    <row r="377" ht="22.5" customHeight="1">
      <c r="A377" s="250"/>
      <c r="B377" s="196"/>
      <c r="C377" s="152"/>
      <c r="D377" s="196"/>
      <c r="E377" s="196"/>
      <c r="F377" s="155"/>
    </row>
    <row r="378" ht="22.5" customHeight="1">
      <c r="A378" s="202"/>
      <c r="B378" s="197"/>
      <c r="C378" s="144"/>
      <c r="D378" s="197"/>
      <c r="E378" s="197"/>
      <c r="F378" s="147"/>
    </row>
    <row r="379" ht="22.5" customHeight="1">
      <c r="A379" s="250"/>
      <c r="B379" s="196"/>
      <c r="C379" s="152"/>
      <c r="D379" s="196"/>
      <c r="E379" s="196"/>
      <c r="F379" s="155"/>
    </row>
    <row r="380" ht="22.5" customHeight="1">
      <c r="A380" s="202"/>
      <c r="B380" s="197"/>
      <c r="C380" s="144"/>
      <c r="D380" s="197"/>
      <c r="E380" s="197"/>
      <c r="F380" s="147"/>
    </row>
    <row r="381" ht="22.5" customHeight="1">
      <c r="A381" s="250"/>
      <c r="B381" s="196"/>
      <c r="C381" s="152"/>
      <c r="D381" s="196"/>
      <c r="E381" s="196"/>
      <c r="F381" s="155"/>
    </row>
    <row r="382" ht="22.5" customHeight="1">
      <c r="A382" s="202"/>
      <c r="B382" s="197"/>
      <c r="C382" s="144"/>
      <c r="D382" s="197"/>
      <c r="E382" s="197"/>
      <c r="F382" s="147"/>
    </row>
    <row r="383" ht="22.5" customHeight="1">
      <c r="A383" s="250"/>
      <c r="B383" s="196"/>
      <c r="C383" s="152"/>
      <c r="D383" s="196"/>
      <c r="E383" s="196"/>
      <c r="F383" s="155"/>
    </row>
    <row r="384" ht="22.5" customHeight="1">
      <c r="A384" s="202"/>
      <c r="B384" s="197"/>
      <c r="C384" s="144"/>
      <c r="D384" s="197"/>
      <c r="E384" s="197"/>
      <c r="F384" s="147"/>
    </row>
    <row r="385" ht="22.5" customHeight="1">
      <c r="A385" s="250"/>
      <c r="B385" s="196"/>
      <c r="C385" s="152"/>
      <c r="D385" s="196"/>
      <c r="E385" s="196"/>
      <c r="F385" s="155"/>
    </row>
    <row r="386" ht="22.5" customHeight="1">
      <c r="A386" s="202"/>
      <c r="B386" s="197"/>
      <c r="C386" s="144"/>
      <c r="D386" s="197"/>
      <c r="E386" s="197"/>
      <c r="F386" s="147"/>
    </row>
    <row r="387" ht="22.5" customHeight="1">
      <c r="A387" s="250"/>
      <c r="B387" s="196"/>
      <c r="C387" s="152"/>
      <c r="D387" s="196"/>
      <c r="E387" s="196"/>
      <c r="F387" s="155"/>
    </row>
    <row r="388" ht="22.5" customHeight="1">
      <c r="A388" s="202"/>
      <c r="B388" s="197"/>
      <c r="C388" s="144"/>
      <c r="D388" s="197"/>
      <c r="E388" s="197"/>
      <c r="F388" s="147"/>
    </row>
    <row r="389" ht="22.5" customHeight="1">
      <c r="A389" s="250"/>
      <c r="B389" s="196"/>
      <c r="C389" s="152"/>
      <c r="D389" s="196"/>
      <c r="E389" s="196"/>
      <c r="F389" s="155"/>
    </row>
    <row r="390" ht="22.5" customHeight="1">
      <c r="A390" s="202"/>
      <c r="B390" s="197"/>
      <c r="C390" s="144"/>
      <c r="D390" s="197"/>
      <c r="E390" s="197"/>
      <c r="F390" s="147"/>
    </row>
    <row r="391" ht="22.5" customHeight="1">
      <c r="A391" s="250"/>
      <c r="B391" s="196"/>
      <c r="C391" s="152"/>
      <c r="D391" s="196"/>
      <c r="E391" s="196"/>
      <c r="F391" s="155"/>
    </row>
    <row r="392" ht="22.5" customHeight="1">
      <c r="A392" s="202"/>
      <c r="B392" s="197"/>
      <c r="C392" s="144"/>
      <c r="D392" s="197"/>
      <c r="E392" s="197"/>
      <c r="F392" s="147"/>
    </row>
    <row r="393" ht="22.5" customHeight="1">
      <c r="A393" s="250"/>
      <c r="B393" s="196"/>
      <c r="C393" s="152"/>
      <c r="D393" s="196"/>
      <c r="E393" s="196"/>
      <c r="F393" s="155"/>
    </row>
    <row r="394" ht="22.5" customHeight="1">
      <c r="A394" s="202"/>
      <c r="B394" s="197"/>
      <c r="C394" s="144"/>
      <c r="D394" s="197"/>
      <c r="E394" s="197"/>
      <c r="F394" s="147"/>
    </row>
    <row r="395" ht="22.5" customHeight="1">
      <c r="A395" s="250"/>
      <c r="B395" s="196"/>
      <c r="C395" s="152"/>
      <c r="D395" s="196"/>
      <c r="E395" s="196"/>
      <c r="F395" s="155"/>
    </row>
    <row r="396" ht="22.5" customHeight="1">
      <c r="A396" s="202"/>
      <c r="B396" s="197"/>
      <c r="C396" s="144"/>
      <c r="D396" s="197"/>
      <c r="E396" s="197"/>
      <c r="F396" s="147"/>
    </row>
    <row r="397" ht="22.5" customHeight="1">
      <c r="A397" s="250"/>
      <c r="B397" s="196"/>
      <c r="C397" s="152"/>
      <c r="D397" s="196"/>
      <c r="E397" s="196"/>
      <c r="F397" s="155"/>
    </row>
    <row r="398" ht="22.5" customHeight="1">
      <c r="A398" s="202"/>
      <c r="B398" s="197"/>
      <c r="C398" s="144"/>
      <c r="D398" s="197"/>
      <c r="E398" s="197"/>
      <c r="F398" s="147"/>
    </row>
    <row r="399" ht="22.5" customHeight="1">
      <c r="A399" s="250"/>
      <c r="B399" s="196"/>
      <c r="C399" s="152"/>
      <c r="D399" s="196"/>
      <c r="E399" s="196"/>
      <c r="F399" s="155"/>
    </row>
    <row r="400" ht="22.5" customHeight="1">
      <c r="A400" s="202"/>
      <c r="B400" s="197"/>
      <c r="C400" s="144"/>
      <c r="D400" s="197"/>
      <c r="E400" s="197"/>
      <c r="F400" s="147"/>
    </row>
    <row r="401" ht="22.5" customHeight="1">
      <c r="A401" s="250"/>
      <c r="B401" s="196"/>
      <c r="C401" s="152"/>
      <c r="D401" s="196"/>
      <c r="E401" s="196"/>
      <c r="F401" s="155"/>
    </row>
    <row r="402" ht="22.5" customHeight="1">
      <c r="A402" s="202"/>
      <c r="B402" s="197"/>
      <c r="C402" s="144"/>
      <c r="D402" s="197"/>
      <c r="E402" s="197"/>
      <c r="F402" s="147"/>
    </row>
    <row r="403" ht="22.5" customHeight="1">
      <c r="A403" s="250"/>
      <c r="B403" s="196"/>
      <c r="C403" s="152"/>
      <c r="D403" s="196"/>
      <c r="E403" s="196"/>
      <c r="F403" s="155"/>
    </row>
    <row r="404" ht="22.5" customHeight="1">
      <c r="A404" s="202"/>
      <c r="B404" s="197"/>
      <c r="C404" s="144"/>
      <c r="D404" s="197"/>
      <c r="E404" s="197"/>
      <c r="F404" s="147"/>
    </row>
    <row r="405" ht="22.5" customHeight="1">
      <c r="A405" s="250"/>
      <c r="B405" s="196"/>
      <c r="C405" s="152"/>
      <c r="D405" s="196"/>
      <c r="E405" s="196"/>
      <c r="F405" s="155"/>
    </row>
    <row r="406" ht="22.5" customHeight="1">
      <c r="A406" s="202"/>
      <c r="B406" s="197"/>
      <c r="C406" s="144"/>
      <c r="D406" s="197"/>
      <c r="E406" s="197"/>
      <c r="F406" s="147"/>
    </row>
    <row r="407" ht="22.5" customHeight="1">
      <c r="A407" s="250"/>
      <c r="B407" s="196"/>
      <c r="C407" s="152"/>
      <c r="D407" s="196"/>
      <c r="E407" s="196"/>
      <c r="F407" s="155"/>
    </row>
    <row r="408" ht="22.5" customHeight="1">
      <c r="A408" s="202"/>
      <c r="B408" s="197"/>
      <c r="C408" s="144"/>
      <c r="D408" s="197"/>
      <c r="E408" s="197"/>
      <c r="F408" s="147"/>
    </row>
    <row r="409" ht="22.5" customHeight="1">
      <c r="A409" s="250"/>
      <c r="B409" s="196"/>
      <c r="C409" s="152"/>
      <c r="D409" s="196"/>
      <c r="E409" s="196"/>
      <c r="F409" s="155"/>
    </row>
    <row r="410" ht="22.5" customHeight="1">
      <c r="A410" s="202"/>
      <c r="B410" s="197"/>
      <c r="C410" s="144"/>
      <c r="D410" s="197"/>
      <c r="E410" s="197"/>
      <c r="F410" s="147"/>
    </row>
    <row r="411" ht="22.5" customHeight="1">
      <c r="A411" s="250"/>
      <c r="B411" s="196"/>
      <c r="C411" s="152"/>
      <c r="D411" s="196"/>
      <c r="E411" s="196"/>
      <c r="F411" s="155"/>
    </row>
    <row r="412" ht="22.5" customHeight="1">
      <c r="A412" s="202"/>
      <c r="B412" s="197"/>
      <c r="C412" s="144"/>
      <c r="D412" s="197"/>
      <c r="E412" s="197"/>
      <c r="F412" s="147"/>
    </row>
    <row r="413" ht="22.5" customHeight="1">
      <c r="A413" s="250"/>
      <c r="B413" s="689"/>
      <c r="C413" s="152"/>
      <c r="D413" s="196"/>
      <c r="E413" s="196"/>
      <c r="F413" s="155"/>
    </row>
    <row r="414" ht="22.5" customHeight="1">
      <c r="A414" s="202"/>
      <c r="B414" s="197"/>
      <c r="C414" s="144"/>
      <c r="D414" s="197"/>
      <c r="E414" s="197"/>
      <c r="F414" s="147"/>
    </row>
    <row r="415" ht="22.5" customHeight="1">
      <c r="A415" s="250"/>
      <c r="B415" s="196"/>
      <c r="C415" s="152"/>
      <c r="D415" s="196"/>
      <c r="E415" s="196"/>
      <c r="F415" s="155"/>
    </row>
    <row r="416" ht="22.5" customHeight="1">
      <c r="A416" s="202"/>
      <c r="B416" s="197"/>
      <c r="C416" s="144"/>
      <c r="D416" s="197"/>
      <c r="E416" s="197"/>
      <c r="F416" s="147"/>
    </row>
    <row r="417" ht="22.5" customHeight="1">
      <c r="A417" s="250"/>
      <c r="B417" s="196"/>
      <c r="C417" s="152"/>
      <c r="D417" s="196"/>
      <c r="E417" s="196"/>
      <c r="F417" s="155"/>
    </row>
    <row r="418" ht="22.5" customHeight="1">
      <c r="A418" s="202"/>
      <c r="B418" s="197"/>
      <c r="C418" s="144"/>
      <c r="D418" s="197"/>
      <c r="E418" s="197"/>
      <c r="F418" s="147"/>
    </row>
    <row r="419" ht="22.5" customHeight="1">
      <c r="A419" s="250"/>
      <c r="B419" s="196"/>
      <c r="C419" s="152"/>
      <c r="D419" s="196"/>
      <c r="E419" s="196"/>
      <c r="F419" s="155"/>
    </row>
    <row r="420" ht="22.5" customHeight="1">
      <c r="A420" s="202"/>
      <c r="B420" s="197"/>
      <c r="C420" s="144"/>
      <c r="D420" s="197"/>
      <c r="E420" s="197"/>
      <c r="F420" s="147"/>
    </row>
    <row r="421" ht="22.5" customHeight="1">
      <c r="A421" s="250"/>
      <c r="B421" s="196"/>
      <c r="C421" s="152"/>
      <c r="D421" s="196"/>
      <c r="E421" s="196"/>
      <c r="F421" s="155"/>
    </row>
    <row r="422" ht="22.5" customHeight="1">
      <c r="A422" s="202"/>
      <c r="B422" s="197"/>
      <c r="C422" s="144"/>
      <c r="D422" s="197"/>
      <c r="E422" s="197"/>
      <c r="F422" s="147"/>
    </row>
    <row r="423" ht="22.5" customHeight="1">
      <c r="A423" s="250"/>
      <c r="B423" s="196"/>
      <c r="C423" s="152"/>
      <c r="D423" s="196"/>
      <c r="E423" s="196"/>
      <c r="F423" s="155"/>
    </row>
    <row r="424" ht="22.5" customHeight="1">
      <c r="A424" s="202"/>
      <c r="B424" s="197"/>
      <c r="C424" s="144"/>
      <c r="D424" s="197"/>
      <c r="E424" s="197"/>
      <c r="F424" s="147"/>
    </row>
    <row r="425" ht="22.5" customHeight="1">
      <c r="A425" s="250"/>
      <c r="B425" s="196"/>
      <c r="C425" s="152"/>
      <c r="D425" s="196"/>
      <c r="E425" s="196"/>
      <c r="F425" s="155"/>
    </row>
    <row r="426" ht="22.5" customHeight="1">
      <c r="A426" s="202"/>
      <c r="B426" s="197"/>
      <c r="C426" s="144"/>
      <c r="D426" s="197"/>
      <c r="E426" s="197"/>
      <c r="F426" s="147"/>
    </row>
    <row r="427" ht="22.5" customHeight="1">
      <c r="A427" s="250"/>
      <c r="B427" s="196"/>
      <c r="C427" s="152"/>
      <c r="D427" s="196"/>
      <c r="E427" s="196"/>
      <c r="F427" s="155"/>
    </row>
    <row r="428" ht="22.5" customHeight="1">
      <c r="A428" s="202"/>
      <c r="B428" s="197"/>
      <c r="C428" s="144"/>
      <c r="D428" s="197"/>
      <c r="E428" s="197"/>
      <c r="F428" s="147"/>
    </row>
    <row r="429" ht="22.5" customHeight="1">
      <c r="A429" s="250"/>
      <c r="B429" s="196"/>
      <c r="C429" s="152"/>
      <c r="D429" s="196"/>
      <c r="E429" s="196"/>
      <c r="F429" s="155"/>
    </row>
    <row r="430" ht="22.5" customHeight="1">
      <c r="A430" s="202"/>
      <c r="B430" s="197"/>
      <c r="C430" s="144"/>
      <c r="D430" s="197"/>
      <c r="E430" s="197"/>
      <c r="F430" s="147"/>
    </row>
    <row r="431" ht="22.5" customHeight="1">
      <c r="A431" s="250"/>
      <c r="B431" s="196"/>
      <c r="C431" s="152"/>
      <c r="D431" s="196"/>
      <c r="E431" s="196"/>
      <c r="F431" s="155"/>
    </row>
    <row r="432" ht="22.5" customHeight="1">
      <c r="A432" s="202"/>
      <c r="B432" s="197"/>
      <c r="C432" s="144"/>
      <c r="D432" s="197"/>
      <c r="E432" s="197"/>
      <c r="F432" s="147"/>
    </row>
    <row r="433" ht="22.5" customHeight="1">
      <c r="A433" s="250"/>
      <c r="B433" s="196"/>
      <c r="C433" s="152"/>
      <c r="D433" s="196"/>
      <c r="E433" s="196"/>
      <c r="F433" s="155"/>
    </row>
    <row r="434" ht="22.5" customHeight="1">
      <c r="A434" s="202"/>
      <c r="B434" s="197"/>
      <c r="C434" s="144"/>
      <c r="D434" s="197"/>
      <c r="E434" s="197"/>
      <c r="F434" s="147"/>
    </row>
    <row r="435" ht="22.5" customHeight="1">
      <c r="A435" s="250"/>
      <c r="B435" s="196"/>
      <c r="C435" s="152"/>
      <c r="D435" s="196"/>
      <c r="E435" s="196"/>
      <c r="F435" s="155"/>
    </row>
    <row r="436" ht="22.5" customHeight="1">
      <c r="A436" s="202"/>
      <c r="B436" s="197"/>
      <c r="C436" s="144"/>
      <c r="D436" s="197"/>
      <c r="E436" s="197"/>
      <c r="F436" s="147"/>
    </row>
    <row r="437" ht="22.5" customHeight="1">
      <c r="A437" s="250"/>
      <c r="B437" s="196"/>
      <c r="C437" s="152"/>
      <c r="D437" s="196"/>
      <c r="E437" s="196"/>
      <c r="F437" s="155"/>
    </row>
    <row r="438" ht="22.5" customHeight="1">
      <c r="A438" s="202"/>
      <c r="B438" s="197"/>
      <c r="C438" s="144"/>
      <c r="D438" s="197"/>
      <c r="E438" s="197"/>
      <c r="F438" s="147"/>
    </row>
    <row r="439" ht="22.5" customHeight="1">
      <c r="A439" s="250"/>
      <c r="B439" s="196"/>
      <c r="C439" s="152"/>
      <c r="D439" s="196"/>
      <c r="E439" s="196"/>
      <c r="F439" s="155"/>
    </row>
    <row r="440" ht="22.5" customHeight="1">
      <c r="A440" s="202"/>
      <c r="B440" s="197"/>
      <c r="C440" s="144"/>
      <c r="D440" s="197"/>
      <c r="E440" s="197"/>
      <c r="F440" s="147"/>
    </row>
    <row r="441" ht="22.5" customHeight="1">
      <c r="A441" s="250"/>
      <c r="B441" s="196"/>
      <c r="C441" s="152"/>
      <c r="D441" s="196"/>
      <c r="E441" s="196"/>
      <c r="F441" s="155"/>
    </row>
    <row r="442" ht="22.5" customHeight="1">
      <c r="A442" s="202"/>
      <c r="B442" s="197"/>
      <c r="C442" s="144"/>
      <c r="D442" s="197"/>
      <c r="E442" s="197"/>
      <c r="F442" s="147"/>
    </row>
    <row r="443" ht="22.5" customHeight="1">
      <c r="A443" s="250"/>
      <c r="B443" s="196"/>
      <c r="C443" s="152"/>
      <c r="D443" s="196"/>
      <c r="E443" s="196"/>
      <c r="F443" s="155"/>
    </row>
    <row r="444" ht="22.5" customHeight="1">
      <c r="A444" s="202"/>
      <c r="B444" s="197"/>
      <c r="C444" s="144"/>
      <c r="D444" s="197"/>
      <c r="E444" s="197"/>
      <c r="F444" s="147"/>
    </row>
    <row r="445" ht="22.5" customHeight="1">
      <c r="A445" s="250"/>
      <c r="B445" s="196"/>
      <c r="C445" s="152"/>
      <c r="D445" s="196"/>
      <c r="E445" s="196"/>
      <c r="F445" s="155"/>
    </row>
    <row r="446" ht="22.5" customHeight="1">
      <c r="A446" s="202"/>
      <c r="B446" s="197"/>
      <c r="C446" s="144"/>
      <c r="D446" s="197"/>
      <c r="E446" s="197"/>
      <c r="F446" s="147"/>
    </row>
    <row r="447" ht="22.5" customHeight="1">
      <c r="A447" s="250"/>
      <c r="B447" s="196"/>
      <c r="C447" s="152"/>
      <c r="D447" s="196"/>
      <c r="E447" s="196"/>
      <c r="F447" s="155"/>
    </row>
    <row r="448" ht="22.5" customHeight="1">
      <c r="A448" s="202"/>
      <c r="B448" s="197"/>
      <c r="C448" s="144"/>
      <c r="D448" s="197"/>
      <c r="E448" s="197"/>
      <c r="F448" s="147"/>
    </row>
    <row r="449" ht="22.5" customHeight="1">
      <c r="A449" s="250"/>
      <c r="B449" s="196"/>
      <c r="C449" s="152"/>
      <c r="D449" s="196"/>
      <c r="E449" s="196"/>
      <c r="F449" s="155"/>
    </row>
    <row r="450" ht="22.5" customHeight="1">
      <c r="A450" s="202"/>
      <c r="B450" s="197"/>
      <c r="C450" s="144"/>
      <c r="D450" s="197"/>
      <c r="E450" s="197"/>
      <c r="F450" s="147"/>
    </row>
    <row r="451" ht="22.5" customHeight="1">
      <c r="A451" s="250"/>
      <c r="B451" s="196"/>
      <c r="C451" s="152"/>
      <c r="D451" s="196"/>
      <c r="E451" s="196"/>
      <c r="F451" s="155"/>
    </row>
    <row r="452" ht="22.5" customHeight="1">
      <c r="A452" s="202"/>
      <c r="B452" s="197"/>
      <c r="C452" s="144"/>
      <c r="D452" s="197"/>
      <c r="E452" s="197"/>
      <c r="F452" s="147"/>
    </row>
    <row r="453" ht="22.5" customHeight="1">
      <c r="A453" s="250"/>
      <c r="B453" s="196"/>
      <c r="C453" s="152"/>
      <c r="D453" s="196"/>
      <c r="E453" s="196"/>
      <c r="F453" s="155"/>
    </row>
    <row r="454" ht="22.5" customHeight="1">
      <c r="A454" s="202"/>
      <c r="B454" s="197"/>
      <c r="C454" s="144"/>
      <c r="D454" s="197"/>
      <c r="E454" s="197"/>
      <c r="F454" s="147"/>
    </row>
    <row r="455" ht="22.5" customHeight="1">
      <c r="A455" s="250"/>
      <c r="B455" s="196"/>
      <c r="C455" s="152"/>
      <c r="D455" s="196"/>
      <c r="E455" s="196"/>
      <c r="F455" s="155"/>
    </row>
    <row r="456" ht="22.5" customHeight="1">
      <c r="A456" s="202"/>
      <c r="B456" s="197"/>
      <c r="C456" s="144"/>
      <c r="D456" s="197"/>
      <c r="E456" s="197"/>
      <c r="F456" s="147"/>
    </row>
    <row r="457" ht="22.5" customHeight="1">
      <c r="A457" s="250"/>
      <c r="B457" s="196"/>
      <c r="C457" s="152"/>
      <c r="D457" s="196"/>
      <c r="E457" s="196"/>
      <c r="F457" s="155"/>
    </row>
    <row r="458" ht="22.5" customHeight="1">
      <c r="A458" s="202"/>
      <c r="B458" s="197"/>
      <c r="C458" s="144"/>
      <c r="D458" s="197"/>
      <c r="E458" s="197"/>
      <c r="F458" s="147"/>
    </row>
    <row r="459" ht="22.5" customHeight="1">
      <c r="A459" s="250"/>
      <c r="B459" s="196"/>
      <c r="C459" s="152"/>
      <c r="D459" s="196"/>
      <c r="E459" s="196"/>
      <c r="F459" s="155"/>
    </row>
    <row r="460" ht="22.5" customHeight="1">
      <c r="A460" s="202"/>
      <c r="B460" s="197"/>
      <c r="C460" s="144"/>
      <c r="D460" s="197"/>
      <c r="E460" s="197"/>
      <c r="F460" s="147"/>
    </row>
    <row r="461" ht="22.5" customHeight="1">
      <c r="A461" s="250"/>
      <c r="B461" s="196"/>
      <c r="C461" s="152"/>
      <c r="D461" s="196"/>
      <c r="E461" s="196"/>
      <c r="F461" s="155"/>
    </row>
    <row r="462" ht="22.5" customHeight="1">
      <c r="A462" s="202"/>
      <c r="B462" s="197"/>
      <c r="C462" s="144"/>
      <c r="D462" s="197"/>
      <c r="E462" s="197"/>
      <c r="F462" s="147"/>
    </row>
    <row r="463" ht="22.5" customHeight="1">
      <c r="A463" s="250"/>
      <c r="B463" s="196"/>
      <c r="C463" s="152"/>
      <c r="D463" s="196"/>
      <c r="E463" s="196"/>
      <c r="F463" s="155"/>
    </row>
    <row r="464" ht="22.5" customHeight="1">
      <c r="A464" s="202"/>
      <c r="B464" s="197"/>
      <c r="C464" s="144"/>
      <c r="D464" s="197"/>
      <c r="E464" s="197"/>
      <c r="F464" s="147"/>
    </row>
    <row r="465" ht="22.5" customHeight="1">
      <c r="A465" s="250"/>
      <c r="B465" s="196"/>
      <c r="C465" s="152"/>
      <c r="D465" s="196"/>
      <c r="E465" s="196"/>
      <c r="F465" s="155"/>
    </row>
    <row r="466" ht="22.5" customHeight="1">
      <c r="A466" s="202"/>
      <c r="B466" s="197"/>
      <c r="C466" s="144"/>
      <c r="D466" s="197"/>
      <c r="E466" s="197"/>
      <c r="F466" s="147"/>
    </row>
    <row r="467" ht="22.5" customHeight="1">
      <c r="A467" s="250"/>
      <c r="B467" s="196"/>
      <c r="C467" s="152"/>
      <c r="D467" s="196"/>
      <c r="E467" s="196"/>
      <c r="F467" s="155"/>
    </row>
    <row r="468" ht="22.5" customHeight="1">
      <c r="A468" s="202"/>
      <c r="B468" s="197"/>
      <c r="C468" s="144"/>
      <c r="D468" s="197"/>
      <c r="E468" s="197"/>
      <c r="F468" s="147"/>
    </row>
    <row r="469" ht="22.5" customHeight="1">
      <c r="A469" s="250"/>
      <c r="B469" s="196"/>
      <c r="C469" s="152"/>
      <c r="D469" s="196"/>
      <c r="E469" s="196"/>
      <c r="F469" s="155"/>
    </row>
    <row r="470" ht="22.5" customHeight="1">
      <c r="A470" s="202"/>
      <c r="B470" s="197"/>
      <c r="C470" s="144"/>
      <c r="D470" s="197"/>
      <c r="E470" s="197"/>
      <c r="F470" s="147"/>
    </row>
    <row r="471" ht="22.5" customHeight="1">
      <c r="A471" s="250"/>
      <c r="B471" s="196"/>
      <c r="C471" s="152"/>
      <c r="D471" s="196"/>
      <c r="E471" s="196"/>
      <c r="F471" s="155"/>
    </row>
    <row r="472" ht="22.5" customHeight="1">
      <c r="A472" s="202"/>
      <c r="B472" s="197"/>
      <c r="C472" s="144"/>
      <c r="D472" s="197"/>
      <c r="E472" s="197"/>
      <c r="F472" s="147"/>
    </row>
    <row r="473" ht="22.5" customHeight="1">
      <c r="A473" s="250"/>
      <c r="B473" s="196"/>
      <c r="C473" s="152"/>
      <c r="D473" s="196"/>
      <c r="E473" s="196"/>
      <c r="F473" s="155"/>
    </row>
    <row r="474" ht="22.5" customHeight="1">
      <c r="A474" s="202"/>
      <c r="B474" s="197"/>
      <c r="C474" s="144"/>
      <c r="D474" s="197"/>
      <c r="E474" s="197"/>
      <c r="F474" s="147"/>
    </row>
    <row r="475" ht="22.5" customHeight="1">
      <c r="A475" s="250"/>
      <c r="B475" s="196"/>
      <c r="C475" s="152"/>
      <c r="D475" s="196"/>
      <c r="E475" s="196"/>
      <c r="F475" s="155"/>
    </row>
    <row r="476" ht="22.5" customHeight="1">
      <c r="A476" s="202"/>
      <c r="B476" s="197"/>
      <c r="C476" s="144"/>
      <c r="D476" s="197"/>
      <c r="E476" s="197"/>
      <c r="F476" s="147"/>
    </row>
    <row r="477" ht="22.5" customHeight="1">
      <c r="A477" s="250"/>
      <c r="B477" s="196"/>
      <c r="C477" s="152"/>
      <c r="D477" s="196"/>
      <c r="E477" s="196"/>
      <c r="F477" s="155"/>
    </row>
    <row r="478" ht="22.5" customHeight="1">
      <c r="A478" s="202"/>
      <c r="B478" s="197"/>
      <c r="C478" s="144"/>
      <c r="D478" s="197"/>
      <c r="E478" s="197"/>
      <c r="F478" s="147"/>
    </row>
    <row r="479" ht="22.5" customHeight="1">
      <c r="A479" s="250"/>
      <c r="B479" s="196"/>
      <c r="C479" s="152"/>
      <c r="D479" s="196"/>
      <c r="E479" s="196"/>
      <c r="F479" s="155"/>
    </row>
    <row r="480" ht="22.5" customHeight="1">
      <c r="A480" s="202"/>
      <c r="B480" s="197"/>
      <c r="C480" s="144"/>
      <c r="D480" s="197"/>
      <c r="E480" s="197"/>
      <c r="F480" s="147"/>
    </row>
    <row r="481" ht="22.5" customHeight="1">
      <c r="A481" s="250"/>
      <c r="B481" s="196"/>
      <c r="C481" s="152"/>
      <c r="D481" s="196"/>
      <c r="E481" s="196"/>
      <c r="F481" s="155"/>
    </row>
    <row r="482" ht="22.5" customHeight="1">
      <c r="A482" s="202"/>
      <c r="B482" s="197"/>
      <c r="C482" s="144"/>
      <c r="D482" s="197"/>
      <c r="E482" s="197"/>
      <c r="F482" s="147"/>
    </row>
    <row r="483" ht="22.5" customHeight="1">
      <c r="A483" s="250"/>
      <c r="B483" s="196"/>
      <c r="C483" s="152"/>
      <c r="D483" s="196"/>
      <c r="E483" s="196"/>
      <c r="F483" s="155"/>
    </row>
    <row r="484" ht="22.5" customHeight="1">
      <c r="A484" s="202"/>
      <c r="B484" s="197"/>
      <c r="C484" s="144"/>
      <c r="D484" s="197"/>
      <c r="E484" s="197"/>
      <c r="F484" s="147"/>
    </row>
    <row r="485" ht="22.5" customHeight="1">
      <c r="A485" s="250"/>
      <c r="B485" s="196"/>
      <c r="C485" s="152"/>
      <c r="D485" s="196"/>
      <c r="E485" s="196"/>
      <c r="F485" s="155"/>
    </row>
    <row r="486" ht="22.5" customHeight="1">
      <c r="A486" s="202"/>
      <c r="B486" s="197"/>
      <c r="C486" s="144"/>
      <c r="D486" s="197"/>
      <c r="E486" s="197"/>
      <c r="F486" s="147"/>
    </row>
    <row r="487" ht="22.5" customHeight="1">
      <c r="A487" s="250"/>
      <c r="B487" s="196"/>
      <c r="C487" s="152"/>
      <c r="D487" s="196"/>
      <c r="E487" s="196"/>
      <c r="F487" s="155"/>
    </row>
    <row r="488" ht="22.5" customHeight="1">
      <c r="A488" s="202"/>
      <c r="B488" s="197"/>
      <c r="C488" s="144"/>
      <c r="D488" s="197"/>
      <c r="E488" s="197"/>
      <c r="F488" s="147"/>
    </row>
    <row r="489" ht="22.5" customHeight="1">
      <c r="A489" s="250"/>
      <c r="B489" s="196"/>
      <c r="C489" s="152"/>
      <c r="D489" s="196"/>
      <c r="E489" s="196"/>
      <c r="F489" s="155"/>
    </row>
    <row r="490" ht="22.5" customHeight="1">
      <c r="A490" s="202"/>
      <c r="B490" s="197"/>
      <c r="C490" s="144"/>
      <c r="D490" s="197"/>
      <c r="E490" s="197"/>
      <c r="F490" s="147"/>
    </row>
    <row r="491" ht="22.5" customHeight="1">
      <c r="A491" s="250"/>
      <c r="B491" s="196"/>
      <c r="C491" s="152"/>
      <c r="D491" s="196"/>
      <c r="E491" s="196"/>
      <c r="F491" s="155"/>
    </row>
    <row r="492" ht="22.5" customHeight="1">
      <c r="A492" s="202"/>
      <c r="B492" s="197"/>
      <c r="C492" s="144"/>
      <c r="D492" s="197"/>
      <c r="E492" s="197"/>
      <c r="F492" s="147"/>
    </row>
    <row r="493" ht="22.5" customHeight="1">
      <c r="A493" s="250"/>
      <c r="B493" s="196"/>
      <c r="C493" s="152"/>
      <c r="D493" s="196"/>
      <c r="E493" s="196"/>
      <c r="F493" s="155"/>
    </row>
    <row r="494" ht="22.5" customHeight="1">
      <c r="A494" s="202"/>
      <c r="B494" s="197"/>
      <c r="C494" s="144"/>
      <c r="D494" s="197"/>
      <c r="E494" s="197"/>
      <c r="F494" s="147"/>
    </row>
    <row r="495" ht="22.5" customHeight="1">
      <c r="A495" s="250"/>
      <c r="B495" s="196"/>
      <c r="C495" s="152"/>
      <c r="D495" s="196"/>
      <c r="E495" s="196"/>
      <c r="F495" s="155"/>
    </row>
    <row r="496" ht="22.5" customHeight="1">
      <c r="A496" s="202"/>
      <c r="B496" s="197"/>
      <c r="C496" s="144"/>
      <c r="D496" s="197"/>
      <c r="E496" s="197"/>
      <c r="F496" s="147"/>
    </row>
    <row r="497" ht="22.5" customHeight="1">
      <c r="A497" s="250"/>
      <c r="B497" s="196"/>
      <c r="C497" s="152"/>
      <c r="D497" s="196"/>
      <c r="E497" s="196"/>
      <c r="F497" s="155"/>
    </row>
    <row r="498" ht="22.5" customHeight="1">
      <c r="A498" s="202"/>
      <c r="B498" s="197"/>
      <c r="C498" s="144"/>
      <c r="D498" s="197"/>
      <c r="E498" s="197"/>
      <c r="F498" s="147"/>
    </row>
    <row r="499" ht="22.5" customHeight="1">
      <c r="A499" s="250"/>
      <c r="B499" s="196"/>
      <c r="C499" s="152"/>
      <c r="D499" s="196"/>
      <c r="E499" s="196"/>
      <c r="F499" s="155"/>
    </row>
    <row r="500" ht="22.5" customHeight="1">
      <c r="A500" s="202"/>
      <c r="B500" s="197"/>
      <c r="C500" s="144"/>
      <c r="D500" s="197"/>
      <c r="E500" s="197"/>
      <c r="F500" s="147"/>
    </row>
    <row r="501" ht="22.5" customHeight="1">
      <c r="A501" s="250"/>
      <c r="B501" s="196"/>
      <c r="C501" s="152"/>
      <c r="D501" s="196"/>
      <c r="E501" s="196"/>
      <c r="F501" s="155"/>
    </row>
    <row r="502" ht="22.5" customHeight="1">
      <c r="A502" s="202"/>
      <c r="B502" s="197"/>
      <c r="C502" s="144"/>
      <c r="D502" s="197"/>
      <c r="E502" s="197"/>
      <c r="F502" s="147"/>
    </row>
    <row r="503" ht="22.5" customHeight="1">
      <c r="A503" s="250"/>
      <c r="B503" s="196"/>
      <c r="C503" s="152"/>
      <c r="D503" s="196"/>
      <c r="E503" s="196"/>
      <c r="F503" s="155"/>
    </row>
    <row r="504" ht="22.5" customHeight="1">
      <c r="A504" s="202"/>
      <c r="B504" s="197"/>
      <c r="C504" s="144"/>
      <c r="D504" s="197"/>
      <c r="E504" s="197"/>
      <c r="F504" s="147"/>
    </row>
    <row r="505" ht="22.5" customHeight="1">
      <c r="A505" s="250"/>
      <c r="B505" s="196"/>
      <c r="C505" s="152"/>
      <c r="D505" s="196"/>
      <c r="E505" s="196"/>
      <c r="F505" s="155"/>
    </row>
    <row r="506" ht="22.5" customHeight="1">
      <c r="A506" s="202"/>
      <c r="B506" s="197"/>
      <c r="C506" s="144"/>
      <c r="D506" s="197"/>
      <c r="E506" s="197"/>
      <c r="F506" s="147"/>
    </row>
    <row r="507" ht="22.5" customHeight="1">
      <c r="A507" s="250"/>
      <c r="B507" s="196"/>
      <c r="C507" s="152"/>
      <c r="D507" s="196"/>
      <c r="E507" s="196"/>
      <c r="F507" s="155"/>
    </row>
    <row r="508" ht="22.5" customHeight="1">
      <c r="A508" s="202"/>
      <c r="B508" s="197"/>
      <c r="C508" s="144"/>
      <c r="D508" s="197"/>
      <c r="E508" s="197"/>
      <c r="F508" s="147"/>
    </row>
    <row r="509" ht="22.5" customHeight="1">
      <c r="A509" s="250"/>
      <c r="B509" s="196"/>
      <c r="C509" s="152"/>
      <c r="D509" s="196"/>
      <c r="E509" s="196"/>
      <c r="F509" s="155"/>
    </row>
    <row r="510" ht="22.5" customHeight="1">
      <c r="A510" s="202"/>
      <c r="B510" s="197"/>
      <c r="C510" s="144"/>
      <c r="D510" s="197"/>
      <c r="E510" s="197"/>
      <c r="F510" s="147"/>
    </row>
    <row r="511" ht="22.5" customHeight="1">
      <c r="A511" s="250"/>
      <c r="B511" s="196"/>
      <c r="C511" s="152"/>
      <c r="D511" s="196"/>
      <c r="E511" s="196"/>
      <c r="F511" s="155"/>
    </row>
    <row r="512" ht="22.5" customHeight="1">
      <c r="A512" s="202"/>
      <c r="B512" s="197"/>
      <c r="C512" s="144"/>
      <c r="D512" s="197"/>
      <c r="E512" s="197"/>
      <c r="F512" s="147"/>
    </row>
    <row r="513" ht="22.5" customHeight="1">
      <c r="A513" s="250"/>
      <c r="B513" s="196"/>
      <c r="C513" s="152"/>
      <c r="D513" s="196"/>
      <c r="E513" s="196"/>
      <c r="F513" s="155"/>
    </row>
    <row r="514" ht="22.5" customHeight="1">
      <c r="A514" s="202"/>
      <c r="B514" s="197"/>
      <c r="C514" s="144"/>
      <c r="D514" s="197"/>
      <c r="E514" s="197"/>
      <c r="F514" s="147"/>
    </row>
    <row r="515" ht="22.5" customHeight="1">
      <c r="A515" s="250"/>
      <c r="B515" s="196"/>
      <c r="C515" s="152"/>
      <c r="D515" s="196"/>
      <c r="E515" s="196"/>
      <c r="F515" s="155"/>
    </row>
    <row r="516" ht="22.5" customHeight="1">
      <c r="A516" s="202"/>
      <c r="B516" s="197"/>
      <c r="C516" s="144"/>
      <c r="D516" s="197"/>
      <c r="E516" s="197"/>
      <c r="F516" s="147"/>
    </row>
    <row r="517" ht="22.5" customHeight="1">
      <c r="A517" s="250"/>
      <c r="B517" s="196"/>
      <c r="C517" s="152"/>
      <c r="D517" s="196"/>
      <c r="E517" s="196"/>
      <c r="F517" s="155"/>
    </row>
    <row r="518" ht="22.5" customHeight="1">
      <c r="A518" s="202"/>
      <c r="B518" s="197"/>
      <c r="C518" s="144"/>
      <c r="D518" s="197"/>
      <c r="E518" s="197"/>
      <c r="F518" s="147"/>
    </row>
    <row r="519" ht="22.5" customHeight="1">
      <c r="A519" s="250"/>
      <c r="B519" s="196"/>
      <c r="C519" s="152"/>
      <c r="D519" s="196"/>
      <c r="E519" s="196"/>
      <c r="F519" s="155"/>
    </row>
    <row r="520" ht="22.5" customHeight="1">
      <c r="A520" s="202"/>
      <c r="B520" s="197"/>
      <c r="C520" s="144"/>
      <c r="D520" s="197"/>
      <c r="E520" s="197"/>
      <c r="F520" s="147"/>
    </row>
    <row r="521" ht="22.5" customHeight="1">
      <c r="A521" s="250"/>
      <c r="B521" s="196"/>
      <c r="C521" s="152"/>
      <c r="D521" s="196"/>
      <c r="E521" s="196"/>
      <c r="F521" s="155"/>
    </row>
    <row r="522" ht="22.5" customHeight="1">
      <c r="A522" s="202"/>
      <c r="B522" s="197"/>
      <c r="C522" s="144"/>
      <c r="D522" s="197"/>
      <c r="E522" s="197"/>
      <c r="F522" s="147"/>
    </row>
    <row r="523" ht="22.5" customHeight="1">
      <c r="A523" s="250"/>
      <c r="B523" s="196"/>
      <c r="C523" s="152"/>
      <c r="D523" s="196"/>
      <c r="E523" s="196"/>
      <c r="F523" s="155"/>
    </row>
    <row r="524" ht="22.5" customHeight="1">
      <c r="A524" s="202"/>
      <c r="B524" s="197"/>
      <c r="C524" s="144"/>
      <c r="D524" s="197"/>
      <c r="E524" s="197"/>
      <c r="F524" s="147"/>
    </row>
    <row r="525" ht="22.5" customHeight="1">
      <c r="A525" s="250"/>
      <c r="B525" s="196"/>
      <c r="C525" s="152"/>
      <c r="D525" s="196"/>
      <c r="E525" s="196"/>
      <c r="F525" s="155"/>
    </row>
    <row r="526" ht="22.5" customHeight="1">
      <c r="A526" s="202"/>
      <c r="B526" s="197"/>
      <c r="C526" s="144"/>
      <c r="D526" s="197"/>
      <c r="E526" s="197"/>
      <c r="F526" s="147"/>
    </row>
    <row r="527" ht="22.5" customHeight="1">
      <c r="A527" s="250"/>
      <c r="B527" s="196"/>
      <c r="C527" s="152"/>
      <c r="D527" s="196"/>
      <c r="E527" s="196"/>
      <c r="F527" s="155"/>
    </row>
    <row r="528" ht="22.5" customHeight="1">
      <c r="A528" s="202"/>
      <c r="B528" s="197"/>
      <c r="C528" s="144"/>
      <c r="D528" s="197"/>
      <c r="E528" s="197"/>
      <c r="F528" s="147"/>
    </row>
    <row r="529" ht="22.5" customHeight="1">
      <c r="A529" s="250"/>
      <c r="B529" s="196"/>
      <c r="C529" s="152"/>
      <c r="D529" s="196"/>
      <c r="E529" s="196"/>
      <c r="F529" s="155"/>
    </row>
    <row r="530" ht="22.5" customHeight="1">
      <c r="A530" s="202"/>
      <c r="B530" s="197"/>
      <c r="C530" s="144"/>
      <c r="D530" s="197"/>
      <c r="E530" s="197"/>
      <c r="F530" s="147"/>
    </row>
    <row r="531" ht="22.5" customHeight="1">
      <c r="A531" s="250"/>
      <c r="B531" s="196"/>
      <c r="C531" s="152"/>
      <c r="D531" s="196"/>
      <c r="E531" s="196"/>
      <c r="F531" s="155"/>
    </row>
    <row r="532" ht="22.5" customHeight="1">
      <c r="A532" s="202"/>
      <c r="B532" s="197"/>
      <c r="C532" s="144"/>
      <c r="D532" s="197"/>
      <c r="E532" s="197"/>
      <c r="F532" s="147"/>
    </row>
    <row r="533" ht="22.5" customHeight="1">
      <c r="A533" s="250"/>
      <c r="B533" s="196"/>
      <c r="C533" s="152"/>
      <c r="D533" s="196"/>
      <c r="E533" s="196"/>
      <c r="F533" s="155"/>
    </row>
    <row r="534" ht="22.5" customHeight="1">
      <c r="A534" s="202"/>
      <c r="B534" s="197"/>
      <c r="C534" s="144"/>
      <c r="D534" s="197"/>
      <c r="E534" s="197"/>
      <c r="F534" s="147"/>
    </row>
    <row r="535" ht="22.5" customHeight="1">
      <c r="A535" s="250"/>
      <c r="B535" s="196"/>
      <c r="C535" s="152"/>
      <c r="D535" s="196"/>
      <c r="E535" s="196"/>
      <c r="F535" s="155"/>
    </row>
    <row r="536" ht="22.5" customHeight="1">
      <c r="A536" s="202"/>
      <c r="B536" s="197"/>
      <c r="C536" s="144"/>
      <c r="D536" s="197"/>
      <c r="E536" s="197"/>
      <c r="F536" s="147"/>
    </row>
    <row r="537" ht="22.5" customHeight="1">
      <c r="A537" s="250"/>
      <c r="B537" s="196"/>
      <c r="C537" s="152"/>
      <c r="D537" s="196"/>
      <c r="E537" s="196"/>
      <c r="F537" s="155"/>
    </row>
    <row r="538" ht="22.5" customHeight="1">
      <c r="A538" s="202"/>
      <c r="B538" s="197"/>
      <c r="C538" s="144"/>
      <c r="D538" s="197"/>
      <c r="E538" s="197"/>
      <c r="F538" s="147"/>
    </row>
    <row r="539" ht="22.5" customHeight="1">
      <c r="A539" s="250"/>
      <c r="B539" s="196"/>
      <c r="C539" s="152"/>
      <c r="D539" s="196"/>
      <c r="E539" s="196"/>
      <c r="F539" s="155"/>
    </row>
    <row r="540" ht="22.5" customHeight="1">
      <c r="A540" s="202"/>
      <c r="B540" s="197"/>
      <c r="C540" s="144"/>
      <c r="D540" s="197"/>
      <c r="E540" s="197"/>
      <c r="F540" s="147"/>
    </row>
    <row r="541" ht="22.5" customHeight="1">
      <c r="A541" s="250"/>
      <c r="B541" s="196"/>
      <c r="C541" s="152"/>
      <c r="D541" s="196"/>
      <c r="E541" s="196"/>
      <c r="F541" s="155"/>
    </row>
    <row r="542" ht="22.5" customHeight="1">
      <c r="A542" s="202"/>
      <c r="B542" s="197"/>
      <c r="C542" s="144"/>
      <c r="D542" s="197"/>
      <c r="E542" s="197"/>
      <c r="F542" s="147"/>
    </row>
    <row r="543" ht="22.5" customHeight="1">
      <c r="A543" s="250"/>
      <c r="B543" s="196"/>
      <c r="C543" s="152"/>
      <c r="D543" s="196"/>
      <c r="E543" s="196"/>
      <c r="F543" s="155"/>
    </row>
    <row r="544" ht="22.5" customHeight="1">
      <c r="A544" s="202"/>
      <c r="B544" s="197"/>
      <c r="C544" s="144"/>
      <c r="D544" s="197"/>
      <c r="E544" s="197"/>
      <c r="F544" s="147"/>
    </row>
    <row r="545" ht="22.5" customHeight="1">
      <c r="A545" s="250"/>
      <c r="B545" s="196"/>
      <c r="C545" s="152"/>
      <c r="D545" s="196"/>
      <c r="E545" s="196"/>
      <c r="F545" s="155"/>
    </row>
    <row r="546" ht="22.5" customHeight="1">
      <c r="A546" s="202"/>
      <c r="B546" s="197"/>
      <c r="C546" s="144"/>
      <c r="D546" s="197"/>
      <c r="E546" s="197"/>
      <c r="F546" s="147"/>
    </row>
    <row r="547" ht="22.5" customHeight="1">
      <c r="A547" s="250"/>
      <c r="B547" s="196"/>
      <c r="C547" s="152"/>
      <c r="D547" s="196"/>
      <c r="E547" s="196"/>
      <c r="F547" s="155"/>
    </row>
    <row r="548" ht="22.5" customHeight="1">
      <c r="A548" s="202"/>
      <c r="B548" s="197"/>
      <c r="C548" s="144"/>
      <c r="D548" s="197"/>
      <c r="E548" s="197"/>
      <c r="F548" s="147"/>
    </row>
    <row r="549" ht="22.5" customHeight="1">
      <c r="A549" s="250"/>
      <c r="B549" s="196"/>
      <c r="C549" s="152"/>
      <c r="D549" s="196"/>
      <c r="E549" s="196"/>
      <c r="F549" s="155"/>
    </row>
    <row r="550" ht="22.5" customHeight="1">
      <c r="A550" s="202"/>
      <c r="B550" s="197"/>
      <c r="C550" s="144"/>
      <c r="D550" s="197"/>
      <c r="E550" s="197"/>
      <c r="F550" s="147"/>
    </row>
    <row r="551" ht="22.5" customHeight="1">
      <c r="A551" s="250"/>
      <c r="B551" s="196"/>
      <c r="C551" s="152"/>
      <c r="D551" s="196"/>
      <c r="E551" s="196"/>
      <c r="F551" s="155"/>
    </row>
    <row r="552" ht="22.5" customHeight="1">
      <c r="A552" s="202"/>
      <c r="B552" s="197"/>
      <c r="C552" s="144"/>
      <c r="D552" s="197"/>
      <c r="E552" s="197"/>
      <c r="F552" s="147"/>
    </row>
    <row r="553" ht="22.5" customHeight="1">
      <c r="A553" s="250"/>
      <c r="B553" s="196"/>
      <c r="C553" s="152"/>
      <c r="D553" s="196"/>
      <c r="E553" s="196"/>
      <c r="F553" s="155"/>
    </row>
    <row r="554" ht="22.5" customHeight="1">
      <c r="A554" s="202"/>
      <c r="B554" s="197"/>
      <c r="C554" s="144"/>
      <c r="D554" s="197"/>
      <c r="E554" s="197"/>
      <c r="F554" s="147"/>
    </row>
    <row r="555" ht="22.5" customHeight="1">
      <c r="A555" s="250"/>
      <c r="B555" s="196"/>
      <c r="C555" s="152"/>
      <c r="D555" s="196"/>
      <c r="E555" s="196"/>
      <c r="F555" s="155"/>
    </row>
    <row r="556" ht="22.5" customHeight="1">
      <c r="A556" s="202"/>
      <c r="B556" s="197"/>
      <c r="C556" s="144"/>
      <c r="D556" s="197"/>
      <c r="E556" s="197"/>
      <c r="F556" s="147"/>
    </row>
    <row r="557" ht="22.5" customHeight="1">
      <c r="A557" s="250"/>
      <c r="B557" s="196"/>
      <c r="C557" s="152"/>
      <c r="D557" s="196"/>
      <c r="E557" s="196"/>
      <c r="F557" s="155"/>
    </row>
    <row r="558" ht="22.5" customHeight="1">
      <c r="A558" s="202"/>
      <c r="B558" s="197"/>
      <c r="C558" s="144"/>
      <c r="D558" s="197"/>
      <c r="E558" s="197"/>
      <c r="F558" s="147"/>
    </row>
    <row r="559" ht="22.5" customHeight="1">
      <c r="A559" s="250"/>
      <c r="B559" s="196"/>
      <c r="C559" s="152"/>
      <c r="D559" s="196"/>
      <c r="E559" s="196"/>
      <c r="F559" s="155"/>
    </row>
    <row r="560" ht="22.5" customHeight="1">
      <c r="A560" s="202"/>
      <c r="B560" s="197"/>
      <c r="C560" s="144"/>
      <c r="D560" s="197"/>
      <c r="E560" s="197"/>
      <c r="F560" s="147"/>
    </row>
    <row r="561" ht="22.5" customHeight="1">
      <c r="A561" s="250"/>
      <c r="B561" s="196"/>
      <c r="C561" s="152"/>
      <c r="D561" s="196"/>
      <c r="E561" s="196"/>
      <c r="F561" s="155"/>
    </row>
    <row r="562" ht="22.5" customHeight="1">
      <c r="A562" s="202"/>
      <c r="B562" s="197"/>
      <c r="C562" s="144"/>
      <c r="D562" s="197"/>
      <c r="E562" s="197"/>
      <c r="F562" s="147"/>
    </row>
    <row r="563" ht="22.5" customHeight="1">
      <c r="A563" s="250"/>
      <c r="B563" s="196"/>
      <c r="C563" s="152"/>
      <c r="D563" s="196"/>
      <c r="E563" s="196"/>
      <c r="F563" s="155"/>
    </row>
    <row r="564" ht="22.5" customHeight="1">
      <c r="A564" s="202"/>
      <c r="B564" s="197"/>
      <c r="C564" s="144"/>
      <c r="D564" s="197"/>
      <c r="E564" s="197"/>
      <c r="F564" s="147"/>
    </row>
    <row r="565" ht="22.5" customHeight="1">
      <c r="A565" s="250"/>
      <c r="B565" s="196"/>
      <c r="C565" s="152"/>
      <c r="D565" s="196"/>
      <c r="E565" s="196"/>
      <c r="F565" s="155"/>
    </row>
    <row r="566" ht="22.5" customHeight="1">
      <c r="A566" s="202"/>
      <c r="B566" s="197"/>
      <c r="C566" s="144"/>
      <c r="D566" s="197"/>
      <c r="E566" s="197"/>
      <c r="F566" s="147"/>
    </row>
    <row r="567" ht="22.5" customHeight="1">
      <c r="A567" s="250"/>
      <c r="B567" s="196"/>
      <c r="C567" s="152"/>
      <c r="D567" s="196"/>
      <c r="E567" s="196"/>
      <c r="F567" s="155"/>
    </row>
    <row r="568" ht="22.5" customHeight="1">
      <c r="A568" s="202"/>
      <c r="B568" s="197"/>
      <c r="C568" s="144"/>
      <c r="D568" s="197"/>
      <c r="E568" s="197"/>
      <c r="F568" s="147"/>
    </row>
    <row r="569" ht="22.5" customHeight="1">
      <c r="A569" s="250"/>
      <c r="B569" s="196"/>
      <c r="C569" s="152"/>
      <c r="D569" s="196"/>
      <c r="E569" s="196"/>
      <c r="F569" s="155"/>
    </row>
    <row r="570" ht="22.5" customHeight="1">
      <c r="A570" s="202"/>
      <c r="B570" s="197"/>
      <c r="C570" s="144"/>
      <c r="D570" s="197"/>
      <c r="E570" s="197"/>
      <c r="F570" s="147"/>
    </row>
    <row r="571" ht="22.5" customHeight="1">
      <c r="A571" s="250"/>
      <c r="B571" s="196"/>
      <c r="C571" s="152"/>
      <c r="D571" s="196"/>
      <c r="E571" s="196"/>
      <c r="F571" s="155"/>
    </row>
    <row r="572" ht="22.5" customHeight="1">
      <c r="A572" s="202"/>
      <c r="B572" s="197"/>
      <c r="C572" s="144"/>
      <c r="D572" s="197"/>
      <c r="E572" s="197"/>
      <c r="F572" s="147"/>
    </row>
    <row r="573" ht="22.5" customHeight="1">
      <c r="A573" s="250"/>
      <c r="B573" s="196"/>
      <c r="C573" s="152"/>
      <c r="D573" s="196"/>
      <c r="E573" s="196"/>
      <c r="F573" s="155"/>
    </row>
    <row r="574" ht="22.5" customHeight="1">
      <c r="A574" s="202"/>
      <c r="B574" s="197"/>
      <c r="C574" s="144"/>
      <c r="D574" s="197"/>
      <c r="E574" s="197"/>
      <c r="F574" s="147"/>
    </row>
    <row r="575" ht="22.5" customHeight="1">
      <c r="A575" s="250"/>
      <c r="B575" s="196"/>
      <c r="C575" s="152"/>
      <c r="D575" s="196"/>
      <c r="E575" s="196"/>
      <c r="F575" s="155"/>
    </row>
    <row r="576" ht="22.5" customHeight="1">
      <c r="A576" s="202"/>
      <c r="B576" s="197"/>
      <c r="C576" s="144"/>
      <c r="D576" s="197"/>
      <c r="E576" s="197"/>
      <c r="F576" s="147"/>
    </row>
    <row r="577" ht="22.5" customHeight="1">
      <c r="A577" s="250"/>
      <c r="B577" s="196"/>
      <c r="C577" s="152"/>
      <c r="D577" s="196"/>
      <c r="E577" s="196"/>
      <c r="F577" s="155"/>
    </row>
    <row r="578" ht="22.5" customHeight="1">
      <c r="A578" s="202"/>
      <c r="B578" s="197"/>
      <c r="C578" s="144"/>
      <c r="D578" s="197"/>
      <c r="E578" s="197"/>
      <c r="F578" s="147"/>
    </row>
    <row r="579" ht="22.5" customHeight="1">
      <c r="A579" s="250"/>
      <c r="B579" s="196"/>
      <c r="C579" s="152"/>
      <c r="D579" s="196"/>
      <c r="E579" s="196"/>
      <c r="F579" s="155"/>
    </row>
    <row r="580" ht="22.5" customHeight="1">
      <c r="A580" s="202"/>
      <c r="B580" s="197"/>
      <c r="C580" s="144"/>
      <c r="D580" s="197"/>
      <c r="E580" s="197"/>
      <c r="F580" s="147"/>
    </row>
    <row r="581" ht="22.5" customHeight="1">
      <c r="A581" s="250"/>
      <c r="B581" s="196"/>
      <c r="C581" s="152"/>
      <c r="D581" s="196"/>
      <c r="E581" s="196"/>
      <c r="F581" s="155"/>
    </row>
    <row r="582" ht="22.5" customHeight="1">
      <c r="A582" s="202"/>
      <c r="B582" s="197"/>
      <c r="C582" s="144"/>
      <c r="D582" s="197"/>
      <c r="E582" s="197"/>
      <c r="F582" s="147"/>
    </row>
    <row r="583" ht="22.5" customHeight="1">
      <c r="A583" s="250"/>
      <c r="B583" s="196"/>
      <c r="C583" s="152"/>
      <c r="D583" s="196"/>
      <c r="E583" s="196"/>
      <c r="F583" s="155"/>
    </row>
    <row r="584" ht="22.5" customHeight="1">
      <c r="A584" s="202"/>
      <c r="B584" s="197"/>
      <c r="C584" s="144"/>
      <c r="D584" s="197"/>
      <c r="E584" s="197"/>
      <c r="F584" s="147"/>
    </row>
    <row r="585" ht="22.5" customHeight="1">
      <c r="A585" s="250"/>
      <c r="B585" s="196"/>
      <c r="C585" s="152"/>
      <c r="D585" s="196"/>
      <c r="E585" s="196"/>
      <c r="F585" s="155"/>
    </row>
    <row r="586" ht="22.5" customHeight="1">
      <c r="A586" s="202"/>
      <c r="B586" s="197"/>
      <c r="C586" s="144"/>
      <c r="D586" s="197"/>
      <c r="E586" s="197"/>
      <c r="F586" s="147"/>
    </row>
    <row r="587" ht="22.5" customHeight="1">
      <c r="A587" s="250"/>
      <c r="B587" s="196"/>
      <c r="C587" s="152"/>
      <c r="D587" s="196"/>
      <c r="E587" s="196"/>
      <c r="F587" s="155"/>
    </row>
    <row r="588" ht="22.5" customHeight="1">
      <c r="A588" s="202"/>
      <c r="B588" s="197"/>
      <c r="C588" s="144"/>
      <c r="D588" s="197"/>
      <c r="E588" s="197"/>
      <c r="F588" s="147"/>
    </row>
    <row r="589" ht="22.5" customHeight="1">
      <c r="A589" s="250"/>
      <c r="B589" s="196"/>
      <c r="C589" s="152"/>
      <c r="D589" s="196"/>
      <c r="E589" s="196"/>
      <c r="F589" s="155"/>
    </row>
    <row r="590" ht="22.5" customHeight="1">
      <c r="A590" s="202"/>
      <c r="B590" s="197"/>
      <c r="C590" s="144"/>
      <c r="D590" s="197"/>
      <c r="E590" s="197"/>
      <c r="F590" s="147"/>
    </row>
    <row r="591" ht="22.5" customHeight="1">
      <c r="A591" s="250"/>
      <c r="B591" s="196"/>
      <c r="C591" s="152"/>
      <c r="D591" s="196"/>
      <c r="E591" s="196"/>
      <c r="F591" s="155"/>
    </row>
    <row r="592" ht="22.5" customHeight="1">
      <c r="A592" s="202"/>
      <c r="B592" s="197"/>
      <c r="C592" s="144"/>
      <c r="D592" s="197"/>
      <c r="E592" s="197"/>
      <c r="F592" s="147"/>
    </row>
    <row r="593" ht="22.5" customHeight="1">
      <c r="A593" s="250"/>
      <c r="B593" s="196"/>
      <c r="C593" s="152"/>
      <c r="D593" s="196"/>
      <c r="E593" s="196"/>
      <c r="F593" s="155"/>
    </row>
    <row r="594" ht="22.5" customHeight="1">
      <c r="A594" s="202"/>
      <c r="B594" s="197"/>
      <c r="C594" s="144"/>
      <c r="D594" s="197"/>
      <c r="E594" s="197"/>
      <c r="F594" s="147"/>
    </row>
    <row r="595" ht="22.5" customHeight="1">
      <c r="A595" s="250"/>
      <c r="B595" s="196"/>
      <c r="C595" s="152"/>
      <c r="D595" s="196"/>
      <c r="E595" s="196"/>
      <c r="F595" s="155"/>
    </row>
    <row r="596" ht="22.5" customHeight="1">
      <c r="A596" s="202"/>
      <c r="B596" s="197"/>
      <c r="C596" s="144"/>
      <c r="D596" s="197"/>
      <c r="E596" s="197"/>
      <c r="F596" s="147"/>
    </row>
    <row r="597" ht="22.5" customHeight="1">
      <c r="A597" s="250"/>
      <c r="B597" s="196"/>
      <c r="C597" s="152"/>
      <c r="D597" s="196"/>
      <c r="E597" s="196"/>
      <c r="F597" s="155"/>
    </row>
    <row r="598" ht="22.5" customHeight="1">
      <c r="A598" s="202"/>
      <c r="B598" s="197"/>
      <c r="C598" s="144"/>
      <c r="D598" s="197"/>
      <c r="E598" s="197"/>
      <c r="F598" s="147"/>
    </row>
    <row r="599" ht="22.5" customHeight="1">
      <c r="A599" s="250"/>
      <c r="B599" s="196"/>
      <c r="C599" s="152"/>
      <c r="D599" s="196"/>
      <c r="E599" s="196"/>
      <c r="F599" s="155"/>
    </row>
    <row r="600" ht="22.5" customHeight="1">
      <c r="A600" s="202"/>
      <c r="B600" s="197"/>
      <c r="C600" s="144"/>
      <c r="D600" s="197"/>
      <c r="E600" s="197"/>
      <c r="F600" s="147"/>
    </row>
    <row r="601" ht="22.5" customHeight="1">
      <c r="A601" s="250"/>
      <c r="B601" s="196"/>
      <c r="C601" s="152"/>
      <c r="D601" s="196"/>
      <c r="E601" s="196"/>
      <c r="F601" s="155"/>
    </row>
    <row r="602" ht="22.5" customHeight="1">
      <c r="A602" s="202"/>
      <c r="B602" s="197"/>
      <c r="C602" s="144"/>
      <c r="D602" s="197"/>
      <c r="E602" s="197"/>
      <c r="F602" s="147"/>
    </row>
    <row r="603" ht="22.5" customHeight="1">
      <c r="A603" s="250"/>
      <c r="B603" s="196"/>
      <c r="C603" s="152"/>
      <c r="D603" s="196"/>
      <c r="E603" s="196"/>
      <c r="F603" s="155"/>
    </row>
    <row r="604" ht="22.5" customHeight="1">
      <c r="A604" s="202"/>
      <c r="B604" s="197"/>
      <c r="C604" s="144"/>
      <c r="D604" s="197"/>
      <c r="E604" s="197"/>
      <c r="F604" s="147"/>
    </row>
    <row r="605" ht="22.5" customHeight="1">
      <c r="A605" s="250"/>
      <c r="B605" s="196"/>
      <c r="C605" s="152"/>
      <c r="D605" s="196"/>
      <c r="E605" s="196"/>
      <c r="F605" s="155"/>
    </row>
    <row r="606" ht="22.5" customHeight="1">
      <c r="A606" s="202"/>
      <c r="B606" s="197"/>
      <c r="C606" s="144"/>
      <c r="D606" s="197"/>
      <c r="E606" s="197"/>
      <c r="F606" s="147"/>
    </row>
    <row r="607" ht="22.5" customHeight="1">
      <c r="A607" s="250"/>
      <c r="B607" s="196"/>
      <c r="C607" s="152"/>
      <c r="D607" s="196"/>
      <c r="E607" s="196"/>
      <c r="F607" s="155"/>
    </row>
    <row r="608" ht="22.5" customHeight="1">
      <c r="A608" s="202"/>
      <c r="B608" s="197"/>
      <c r="C608" s="144"/>
      <c r="D608" s="197"/>
      <c r="E608" s="197"/>
      <c r="F608" s="147"/>
    </row>
    <row r="609" ht="22.5" customHeight="1">
      <c r="A609" s="250"/>
      <c r="B609" s="196"/>
      <c r="C609" s="152"/>
      <c r="D609" s="196"/>
      <c r="E609" s="196"/>
      <c r="F609" s="155"/>
    </row>
    <row r="610" ht="22.5" customHeight="1">
      <c r="A610" s="202"/>
      <c r="B610" s="197"/>
      <c r="C610" s="144"/>
      <c r="D610" s="197"/>
      <c r="E610" s="197"/>
      <c r="F610" s="147"/>
    </row>
    <row r="611" ht="22.5" customHeight="1">
      <c r="A611" s="250"/>
      <c r="B611" s="196"/>
      <c r="C611" s="152"/>
      <c r="D611" s="196"/>
      <c r="E611" s="196"/>
      <c r="F611" s="155"/>
    </row>
    <row r="612" ht="22.5" customHeight="1">
      <c r="A612" s="202"/>
      <c r="B612" s="197"/>
      <c r="C612" s="144"/>
      <c r="D612" s="197"/>
      <c r="E612" s="197"/>
      <c r="F612" s="147"/>
    </row>
    <row r="613" ht="22.5" customHeight="1">
      <c r="A613" s="250"/>
      <c r="B613" s="196"/>
      <c r="C613" s="152"/>
      <c r="D613" s="196"/>
      <c r="E613" s="196"/>
      <c r="F613" s="155"/>
    </row>
    <row r="614" ht="22.5" customHeight="1">
      <c r="A614" s="202"/>
      <c r="B614" s="197"/>
      <c r="C614" s="144"/>
      <c r="D614" s="197"/>
      <c r="E614" s="197"/>
      <c r="F614" s="147"/>
    </row>
    <row r="615" ht="22.5" customHeight="1">
      <c r="A615" s="250"/>
      <c r="B615" s="196"/>
      <c r="C615" s="152"/>
      <c r="D615" s="196"/>
      <c r="E615" s="196"/>
      <c r="F615" s="155"/>
    </row>
    <row r="616" ht="22.5" customHeight="1">
      <c r="A616" s="202"/>
      <c r="B616" s="197"/>
      <c r="C616" s="144"/>
      <c r="D616" s="197"/>
      <c r="E616" s="197"/>
      <c r="F616" s="147"/>
    </row>
    <row r="617" ht="22.5" customHeight="1">
      <c r="A617" s="250"/>
      <c r="B617" s="196"/>
      <c r="C617" s="152"/>
      <c r="D617" s="196"/>
      <c r="E617" s="196"/>
      <c r="F617" s="155"/>
    </row>
    <row r="618" ht="22.5" customHeight="1">
      <c r="A618" s="202"/>
      <c r="B618" s="197"/>
      <c r="C618" s="144"/>
      <c r="D618" s="197"/>
      <c r="E618" s="197"/>
      <c r="F618" s="147"/>
    </row>
    <row r="619" ht="22.5" customHeight="1">
      <c r="A619" s="250"/>
      <c r="B619" s="196"/>
      <c r="C619" s="152"/>
      <c r="D619" s="196"/>
      <c r="E619" s="196"/>
      <c r="F619" s="155"/>
    </row>
    <row r="620" ht="22.5" customHeight="1">
      <c r="A620" s="202"/>
      <c r="B620" s="197"/>
      <c r="C620" s="144"/>
      <c r="D620" s="197"/>
      <c r="E620" s="197"/>
      <c r="F620" s="147"/>
    </row>
    <row r="621" ht="22.5" customHeight="1">
      <c r="A621" s="250"/>
      <c r="B621" s="196"/>
      <c r="C621" s="152"/>
      <c r="D621" s="196"/>
      <c r="E621" s="196"/>
      <c r="F621" s="155"/>
    </row>
    <row r="622" ht="22.5" customHeight="1">
      <c r="A622" s="202"/>
      <c r="B622" s="197"/>
      <c r="C622" s="144"/>
      <c r="D622" s="197"/>
      <c r="E622" s="197"/>
      <c r="F622" s="147"/>
    </row>
    <row r="623" ht="22.5" customHeight="1">
      <c r="A623" s="250"/>
      <c r="B623" s="196"/>
      <c r="C623" s="152"/>
      <c r="D623" s="196"/>
      <c r="E623" s="196"/>
      <c r="F623" s="155"/>
    </row>
    <row r="624" ht="22.5" customHeight="1">
      <c r="A624" s="202"/>
      <c r="B624" s="197"/>
      <c r="C624" s="144"/>
      <c r="D624" s="197"/>
      <c r="E624" s="197"/>
      <c r="F624" s="147"/>
    </row>
    <row r="625" ht="22.5" customHeight="1">
      <c r="A625" s="250"/>
      <c r="B625" s="196"/>
      <c r="C625" s="152"/>
      <c r="D625" s="196"/>
      <c r="E625" s="196"/>
      <c r="F625" s="155"/>
    </row>
    <row r="626" ht="22.5" customHeight="1">
      <c r="A626" s="202"/>
      <c r="B626" s="197"/>
      <c r="C626" s="144"/>
      <c r="D626" s="197"/>
      <c r="E626" s="197"/>
      <c r="F626" s="147"/>
    </row>
    <row r="627" ht="22.5" customHeight="1">
      <c r="A627" s="250"/>
      <c r="B627" s="196"/>
      <c r="C627" s="152"/>
      <c r="D627" s="196"/>
      <c r="E627" s="196"/>
      <c r="F627" s="155"/>
    </row>
    <row r="628" ht="22.5" customHeight="1">
      <c r="A628" s="202"/>
      <c r="B628" s="197"/>
      <c r="C628" s="144"/>
      <c r="D628" s="197"/>
      <c r="E628" s="197"/>
      <c r="F628" s="147"/>
    </row>
    <row r="629" ht="22.5" customHeight="1">
      <c r="A629" s="250"/>
      <c r="B629" s="196"/>
      <c r="C629" s="152"/>
      <c r="D629" s="196"/>
      <c r="E629" s="196"/>
      <c r="F629" s="155"/>
    </row>
    <row r="630" ht="22.5" customHeight="1">
      <c r="A630" s="202"/>
      <c r="B630" s="197"/>
      <c r="C630" s="144"/>
      <c r="D630" s="197"/>
      <c r="E630" s="197"/>
      <c r="F630" s="147"/>
    </row>
    <row r="631" ht="22.5" customHeight="1">
      <c r="A631" s="250"/>
      <c r="B631" s="196"/>
      <c r="C631" s="152"/>
      <c r="D631" s="196"/>
      <c r="E631" s="196"/>
      <c r="F631" s="155"/>
    </row>
    <row r="632" ht="22.5" customHeight="1">
      <c r="A632" s="202"/>
      <c r="B632" s="197"/>
      <c r="C632" s="144"/>
      <c r="D632" s="197"/>
      <c r="E632" s="197"/>
      <c r="F632" s="147"/>
    </row>
    <row r="633" ht="22.5" customHeight="1">
      <c r="A633" s="250"/>
      <c r="B633" s="196"/>
      <c r="C633" s="152"/>
      <c r="D633" s="196"/>
      <c r="E633" s="196"/>
      <c r="F633" s="155"/>
    </row>
    <row r="634" ht="22.5" customHeight="1">
      <c r="A634" s="202"/>
      <c r="B634" s="197"/>
      <c r="C634" s="144"/>
      <c r="D634" s="197"/>
      <c r="E634" s="197"/>
      <c r="F634" s="147"/>
    </row>
    <row r="635" ht="22.5" customHeight="1">
      <c r="A635" s="250"/>
      <c r="B635" s="196"/>
      <c r="C635" s="152"/>
      <c r="D635" s="196"/>
      <c r="E635" s="196"/>
      <c r="F635" s="155"/>
    </row>
    <row r="636" ht="22.5" customHeight="1">
      <c r="A636" s="202"/>
      <c r="B636" s="197"/>
      <c r="C636" s="144"/>
      <c r="D636" s="197"/>
      <c r="E636" s="197"/>
      <c r="F636" s="147"/>
    </row>
    <row r="637" ht="22.5" customHeight="1">
      <c r="A637" s="250"/>
      <c r="B637" s="196"/>
      <c r="C637" s="152"/>
      <c r="D637" s="196"/>
      <c r="E637" s="196"/>
      <c r="F637" s="155"/>
    </row>
    <row r="638" ht="22.5" customHeight="1">
      <c r="A638" s="202"/>
      <c r="B638" s="197"/>
      <c r="C638" s="144"/>
      <c r="D638" s="197"/>
      <c r="E638" s="197"/>
      <c r="F638" s="147"/>
    </row>
    <row r="639" ht="22.5" customHeight="1">
      <c r="A639" s="250"/>
      <c r="B639" s="196"/>
      <c r="C639" s="152"/>
      <c r="D639" s="196"/>
      <c r="E639" s="196"/>
      <c r="F639" s="155"/>
    </row>
    <row r="640" ht="22.5" customHeight="1">
      <c r="A640" s="202"/>
      <c r="B640" s="197"/>
      <c r="C640" s="144"/>
      <c r="D640" s="197"/>
      <c r="E640" s="197"/>
      <c r="F640" s="147"/>
    </row>
    <row r="641" ht="22.5" customHeight="1">
      <c r="A641" s="250"/>
      <c r="B641" s="196"/>
      <c r="C641" s="152"/>
      <c r="D641" s="196"/>
      <c r="E641" s="196"/>
      <c r="F641" s="155"/>
    </row>
    <row r="642" ht="22.5" customHeight="1">
      <c r="A642" s="202"/>
      <c r="B642" s="197"/>
      <c r="C642" s="144"/>
      <c r="D642" s="197"/>
      <c r="E642" s="197"/>
      <c r="F642" s="147"/>
    </row>
    <row r="643" ht="22.5" customHeight="1">
      <c r="A643" s="250"/>
      <c r="B643" s="196"/>
      <c r="C643" s="152"/>
      <c r="D643" s="196"/>
      <c r="E643" s="196"/>
      <c r="F643" s="155"/>
    </row>
    <row r="644" ht="22.5" customHeight="1">
      <c r="A644" s="202"/>
      <c r="B644" s="197"/>
      <c r="C644" s="144"/>
      <c r="D644" s="197"/>
      <c r="E644" s="197"/>
      <c r="F644" s="147"/>
    </row>
    <row r="645" ht="22.5" customHeight="1">
      <c r="A645" s="250"/>
      <c r="B645" s="196"/>
      <c r="C645" s="152"/>
      <c r="D645" s="196"/>
      <c r="E645" s="196"/>
      <c r="F645" s="155"/>
    </row>
    <row r="646" ht="22.5" customHeight="1">
      <c r="A646" s="202"/>
      <c r="B646" s="197"/>
      <c r="C646" s="144"/>
      <c r="D646" s="197"/>
      <c r="E646" s="197"/>
      <c r="F646" s="147"/>
    </row>
    <row r="647" ht="22.5" customHeight="1">
      <c r="A647" s="250"/>
      <c r="B647" s="196"/>
      <c r="C647" s="152"/>
      <c r="D647" s="196"/>
      <c r="E647" s="196"/>
      <c r="F647" s="155"/>
    </row>
    <row r="648" ht="22.5" customHeight="1">
      <c r="A648" s="202"/>
      <c r="B648" s="197"/>
      <c r="C648" s="144"/>
      <c r="D648" s="197"/>
      <c r="E648" s="197"/>
      <c r="F648" s="147"/>
    </row>
    <row r="649" ht="22.5" customHeight="1">
      <c r="A649" s="250"/>
      <c r="B649" s="196"/>
      <c r="C649" s="152"/>
      <c r="D649" s="196"/>
      <c r="E649" s="196"/>
      <c r="F649" s="155"/>
    </row>
    <row r="650" ht="22.5" customHeight="1">
      <c r="A650" s="202"/>
      <c r="B650" s="197"/>
      <c r="C650" s="144"/>
      <c r="D650" s="197"/>
      <c r="E650" s="197"/>
      <c r="F650" s="147"/>
    </row>
    <row r="651" ht="22.5" customHeight="1">
      <c r="A651" s="250"/>
      <c r="B651" s="196"/>
      <c r="C651" s="152"/>
      <c r="D651" s="196"/>
      <c r="E651" s="196"/>
      <c r="F651" s="155"/>
    </row>
    <row r="652" ht="22.5" customHeight="1">
      <c r="A652" s="202"/>
      <c r="B652" s="197"/>
      <c r="C652" s="144"/>
      <c r="D652" s="197"/>
      <c r="E652" s="197"/>
      <c r="F652" s="147"/>
    </row>
    <row r="653" ht="22.5" customHeight="1">
      <c r="A653" s="250"/>
      <c r="B653" s="196"/>
      <c r="C653" s="152"/>
      <c r="D653" s="196"/>
      <c r="E653" s="196"/>
      <c r="F653" s="155"/>
    </row>
    <row r="654" ht="22.5" customHeight="1">
      <c r="A654" s="202"/>
      <c r="B654" s="197"/>
      <c r="C654" s="144"/>
      <c r="D654" s="197"/>
      <c r="E654" s="197"/>
      <c r="F654" s="147"/>
    </row>
    <row r="655" ht="22.5" customHeight="1">
      <c r="A655" s="250"/>
      <c r="B655" s="196"/>
      <c r="C655" s="152"/>
      <c r="D655" s="196"/>
      <c r="E655" s="196"/>
      <c r="F655" s="155"/>
    </row>
    <row r="656" ht="22.5" customHeight="1">
      <c r="A656" s="202"/>
      <c r="B656" s="197"/>
      <c r="C656" s="144"/>
      <c r="D656" s="197"/>
      <c r="E656" s="197"/>
      <c r="F656" s="147"/>
    </row>
    <row r="657" ht="22.5" customHeight="1">
      <c r="A657" s="250"/>
      <c r="B657" s="196"/>
      <c r="C657" s="152"/>
      <c r="D657" s="196"/>
      <c r="E657" s="196"/>
      <c r="F657" s="155"/>
    </row>
    <row r="658" ht="22.5" customHeight="1">
      <c r="A658" s="202"/>
      <c r="B658" s="197"/>
      <c r="C658" s="144"/>
      <c r="D658" s="197"/>
      <c r="E658" s="197"/>
      <c r="F658" s="147"/>
    </row>
    <row r="659" ht="22.5" customHeight="1">
      <c r="A659" s="250"/>
      <c r="B659" s="196"/>
      <c r="C659" s="152"/>
      <c r="D659" s="196"/>
      <c r="E659" s="196"/>
      <c r="F659" s="155"/>
    </row>
    <row r="660" ht="22.5" customHeight="1">
      <c r="A660" s="202"/>
      <c r="B660" s="197"/>
      <c r="C660" s="144"/>
      <c r="D660" s="197"/>
      <c r="E660" s="197"/>
      <c r="F660" s="147"/>
    </row>
    <row r="661" ht="22.5" customHeight="1">
      <c r="A661" s="250"/>
      <c r="B661" s="196"/>
      <c r="C661" s="152"/>
      <c r="D661" s="196"/>
      <c r="E661" s="196"/>
      <c r="F661" s="155"/>
    </row>
    <row r="662" ht="22.5" customHeight="1">
      <c r="A662" s="202"/>
      <c r="B662" s="197"/>
      <c r="C662" s="144"/>
      <c r="D662" s="197"/>
      <c r="E662" s="197"/>
      <c r="F662" s="147"/>
    </row>
    <row r="663" ht="22.5" customHeight="1">
      <c r="A663" s="250"/>
      <c r="B663" s="196"/>
      <c r="C663" s="152"/>
      <c r="D663" s="196"/>
      <c r="E663" s="196"/>
      <c r="F663" s="155"/>
    </row>
    <row r="664" ht="22.5" customHeight="1">
      <c r="A664" s="202"/>
      <c r="B664" s="197"/>
      <c r="C664" s="144"/>
      <c r="D664" s="197"/>
      <c r="E664" s="197"/>
      <c r="F664" s="147"/>
    </row>
    <row r="665" ht="22.5" customHeight="1">
      <c r="A665" s="250"/>
      <c r="B665" s="196"/>
      <c r="C665" s="152"/>
      <c r="D665" s="196"/>
      <c r="E665" s="196"/>
      <c r="F665" s="155"/>
    </row>
    <row r="666" ht="22.5" customHeight="1">
      <c r="A666" s="202"/>
      <c r="B666" s="197"/>
      <c r="C666" s="144"/>
      <c r="D666" s="197"/>
      <c r="E666" s="197"/>
      <c r="F666" s="147"/>
    </row>
    <row r="667" ht="22.5" customHeight="1">
      <c r="A667" s="250"/>
      <c r="B667" s="196"/>
      <c r="C667" s="152"/>
      <c r="D667" s="196"/>
      <c r="E667" s="196"/>
      <c r="F667" s="155"/>
    </row>
    <row r="668" ht="22.5" customHeight="1">
      <c r="A668" s="202"/>
      <c r="B668" s="197"/>
      <c r="C668" s="144"/>
      <c r="D668" s="197"/>
      <c r="E668" s="197"/>
      <c r="F668" s="147"/>
    </row>
    <row r="669" ht="22.5" customHeight="1">
      <c r="A669" s="250"/>
      <c r="B669" s="196"/>
      <c r="C669" s="152"/>
      <c r="D669" s="196"/>
      <c r="E669" s="196"/>
      <c r="F669" s="155"/>
    </row>
    <row r="670" ht="22.5" customHeight="1">
      <c r="A670" s="202"/>
      <c r="B670" s="197"/>
      <c r="C670" s="144"/>
      <c r="D670" s="197"/>
      <c r="E670" s="197"/>
      <c r="F670" s="147"/>
    </row>
    <row r="671" ht="22.5" customHeight="1">
      <c r="A671" s="250"/>
      <c r="B671" s="196"/>
      <c r="C671" s="152"/>
      <c r="D671" s="196"/>
      <c r="E671" s="196"/>
      <c r="F671" s="155"/>
    </row>
    <row r="672" ht="22.5" customHeight="1">
      <c r="A672" s="202"/>
      <c r="B672" s="197"/>
      <c r="C672" s="144"/>
      <c r="D672" s="197"/>
      <c r="E672" s="197"/>
      <c r="F672" s="147"/>
    </row>
    <row r="673" ht="22.5" customHeight="1">
      <c r="A673" s="250"/>
      <c r="B673" s="196"/>
      <c r="C673" s="152"/>
      <c r="D673" s="196"/>
      <c r="E673" s="196"/>
      <c r="F673" s="155"/>
    </row>
    <row r="674" ht="22.5" customHeight="1">
      <c r="A674" s="202"/>
      <c r="B674" s="197"/>
      <c r="C674" s="144"/>
      <c r="D674" s="197"/>
      <c r="E674" s="197"/>
      <c r="F674" s="147"/>
    </row>
    <row r="675" ht="22.5" customHeight="1">
      <c r="A675" s="250"/>
      <c r="B675" s="196"/>
      <c r="C675" s="152"/>
      <c r="D675" s="196"/>
      <c r="E675" s="196"/>
      <c r="F675" s="155"/>
    </row>
    <row r="676" ht="22.5" customHeight="1">
      <c r="A676" s="202"/>
      <c r="B676" s="197"/>
      <c r="C676" s="144"/>
      <c r="D676" s="197"/>
      <c r="E676" s="197"/>
      <c r="F676" s="147"/>
    </row>
    <row r="677" ht="22.5" customHeight="1">
      <c r="A677" s="250"/>
      <c r="B677" s="196"/>
      <c r="C677" s="152"/>
      <c r="D677" s="196"/>
      <c r="E677" s="196"/>
      <c r="F677" s="155"/>
    </row>
    <row r="678" ht="22.5" customHeight="1">
      <c r="A678" s="202"/>
      <c r="B678" s="197"/>
      <c r="C678" s="144"/>
      <c r="D678" s="197"/>
      <c r="E678" s="197"/>
      <c r="F678" s="147"/>
    </row>
    <row r="679" ht="22.5" customHeight="1">
      <c r="A679" s="250"/>
      <c r="B679" s="196"/>
      <c r="C679" s="152"/>
      <c r="D679" s="196"/>
      <c r="E679" s="196"/>
      <c r="F679" s="155"/>
    </row>
    <row r="680" ht="22.5" customHeight="1">
      <c r="A680" s="202"/>
      <c r="B680" s="197"/>
      <c r="C680" s="144"/>
      <c r="D680" s="197"/>
      <c r="E680" s="197"/>
      <c r="F680" s="147"/>
    </row>
    <row r="681" ht="22.5" customHeight="1">
      <c r="A681" s="250"/>
      <c r="B681" s="196"/>
      <c r="C681" s="152"/>
      <c r="D681" s="196"/>
      <c r="E681" s="196"/>
      <c r="F681" s="155"/>
    </row>
    <row r="682" ht="22.5" customHeight="1">
      <c r="A682" s="202"/>
      <c r="B682" s="197"/>
      <c r="C682" s="144"/>
      <c r="D682" s="197"/>
      <c r="E682" s="197"/>
      <c r="F682" s="147"/>
    </row>
    <row r="683" ht="22.5" customHeight="1">
      <c r="A683" s="250"/>
      <c r="B683" s="196"/>
      <c r="C683" s="152"/>
      <c r="D683" s="196"/>
      <c r="E683" s="196"/>
      <c r="F683" s="155"/>
    </row>
    <row r="684" ht="22.5" customHeight="1">
      <c r="A684" s="202"/>
      <c r="B684" s="197"/>
      <c r="C684" s="144"/>
      <c r="D684" s="197"/>
      <c r="E684" s="197"/>
      <c r="F684" s="147"/>
    </row>
    <row r="685" ht="22.5" customHeight="1">
      <c r="A685" s="250"/>
      <c r="B685" s="196"/>
      <c r="C685" s="152"/>
      <c r="D685" s="196"/>
      <c r="E685" s="196"/>
      <c r="F685" s="155"/>
    </row>
    <row r="686" ht="22.5" customHeight="1">
      <c r="A686" s="202"/>
      <c r="B686" s="197"/>
      <c r="C686" s="144"/>
      <c r="D686" s="197"/>
      <c r="E686" s="197"/>
      <c r="F686" s="147"/>
    </row>
    <row r="687" ht="22.5" customHeight="1">
      <c r="A687" s="250"/>
      <c r="B687" s="196"/>
      <c r="C687" s="152"/>
      <c r="D687" s="196"/>
      <c r="E687" s="196"/>
      <c r="F687" s="155"/>
    </row>
    <row r="688" ht="22.5" customHeight="1">
      <c r="A688" s="202"/>
      <c r="B688" s="197"/>
      <c r="C688" s="144"/>
      <c r="D688" s="197"/>
      <c r="E688" s="197"/>
      <c r="F688" s="147"/>
    </row>
    <row r="689" ht="22.5" customHeight="1">
      <c r="A689" s="250"/>
      <c r="B689" s="196"/>
      <c r="C689" s="152"/>
      <c r="D689" s="196"/>
      <c r="E689" s="196"/>
      <c r="F689" s="155"/>
    </row>
    <row r="690" ht="22.5" customHeight="1">
      <c r="A690" s="202"/>
      <c r="B690" s="197"/>
      <c r="C690" s="144"/>
      <c r="D690" s="197"/>
      <c r="E690" s="197"/>
      <c r="F690" s="147"/>
    </row>
    <row r="691" ht="22.5" customHeight="1">
      <c r="A691" s="250"/>
      <c r="B691" s="196"/>
      <c r="C691" s="152"/>
      <c r="D691" s="196"/>
      <c r="E691" s="196"/>
      <c r="F691" s="155"/>
    </row>
    <row r="692" ht="22.5" customHeight="1">
      <c r="A692" s="202"/>
      <c r="B692" s="197"/>
      <c r="C692" s="144"/>
      <c r="D692" s="197"/>
      <c r="E692" s="197"/>
      <c r="F692" s="147"/>
    </row>
    <row r="693" ht="22.5" customHeight="1">
      <c r="A693" s="250"/>
      <c r="B693" s="196"/>
      <c r="C693" s="152"/>
      <c r="D693" s="196"/>
      <c r="E693" s="196"/>
      <c r="F693" s="155"/>
    </row>
    <row r="694" ht="22.5" customHeight="1">
      <c r="A694" s="202"/>
      <c r="B694" s="197"/>
      <c r="C694" s="144"/>
      <c r="D694" s="197"/>
      <c r="E694" s="197"/>
      <c r="F694" s="147"/>
    </row>
    <row r="695" ht="22.5" customHeight="1">
      <c r="A695" s="250"/>
      <c r="B695" s="196"/>
      <c r="C695" s="152"/>
      <c r="D695" s="196"/>
      <c r="E695" s="196"/>
      <c r="F695" s="155"/>
    </row>
    <row r="696" ht="22.5" customHeight="1">
      <c r="A696" s="202"/>
      <c r="B696" s="197"/>
      <c r="C696" s="144"/>
      <c r="D696" s="197"/>
      <c r="E696" s="197"/>
      <c r="F696" s="147"/>
    </row>
    <row r="697" ht="22.5" customHeight="1">
      <c r="A697" s="250"/>
      <c r="B697" s="196"/>
      <c r="C697" s="152"/>
      <c r="D697" s="196"/>
      <c r="E697" s="196"/>
      <c r="F697" s="155"/>
    </row>
    <row r="698" ht="22.5" customHeight="1">
      <c r="A698" s="202"/>
      <c r="B698" s="197"/>
      <c r="C698" s="144"/>
      <c r="D698" s="197"/>
      <c r="E698" s="197"/>
      <c r="F698" s="147"/>
    </row>
    <row r="699" ht="22.5" customHeight="1">
      <c r="A699" s="250"/>
      <c r="B699" s="196"/>
      <c r="C699" s="152"/>
      <c r="D699" s="196"/>
      <c r="E699" s="196"/>
      <c r="F699" s="155"/>
    </row>
    <row r="700" ht="22.5" customHeight="1">
      <c r="A700" s="202"/>
      <c r="B700" s="197"/>
      <c r="C700" s="144"/>
      <c r="D700" s="197"/>
      <c r="E700" s="197"/>
      <c r="F700" s="147"/>
    </row>
    <row r="701" ht="22.5" customHeight="1">
      <c r="A701" s="250"/>
      <c r="B701" s="196"/>
      <c r="C701" s="152"/>
      <c r="D701" s="196"/>
      <c r="E701" s="196"/>
      <c r="F701" s="155"/>
    </row>
    <row r="702" ht="22.5" customHeight="1">
      <c r="A702" s="202"/>
      <c r="B702" s="197"/>
      <c r="C702" s="144"/>
      <c r="D702" s="197"/>
      <c r="E702" s="197"/>
      <c r="F702" s="147"/>
    </row>
    <row r="703" ht="22.5" customHeight="1">
      <c r="A703" s="250"/>
      <c r="B703" s="196"/>
      <c r="C703" s="152"/>
      <c r="D703" s="196"/>
      <c r="E703" s="196"/>
      <c r="F703" s="155"/>
    </row>
    <row r="704" ht="22.5" customHeight="1">
      <c r="A704" s="202"/>
      <c r="B704" s="197"/>
      <c r="C704" s="144"/>
      <c r="D704" s="197"/>
      <c r="E704" s="197"/>
      <c r="F704" s="147"/>
    </row>
    <row r="705" ht="22.5" customHeight="1">
      <c r="A705" s="250"/>
      <c r="B705" s="196"/>
      <c r="C705" s="152"/>
      <c r="D705" s="196"/>
      <c r="E705" s="196"/>
      <c r="F705" s="155"/>
    </row>
    <row r="706" ht="22.5" customHeight="1">
      <c r="A706" s="202"/>
      <c r="B706" s="197"/>
      <c r="C706" s="144"/>
      <c r="D706" s="197"/>
      <c r="E706" s="197"/>
      <c r="F706" s="147"/>
    </row>
    <row r="707" ht="22.5" customHeight="1">
      <c r="A707" s="250"/>
      <c r="B707" s="196"/>
      <c r="C707" s="152"/>
      <c r="D707" s="196"/>
      <c r="E707" s="196"/>
      <c r="F707" s="155"/>
    </row>
    <row r="708" ht="22.5" customHeight="1">
      <c r="A708" s="202"/>
      <c r="B708" s="197"/>
      <c r="C708" s="144"/>
      <c r="D708" s="197"/>
      <c r="E708" s="197"/>
      <c r="F708" s="147"/>
    </row>
    <row r="709" ht="22.5" customHeight="1">
      <c r="A709" s="250"/>
      <c r="B709" s="196"/>
      <c r="C709" s="152"/>
      <c r="D709" s="196"/>
      <c r="E709" s="196"/>
      <c r="F709" s="155"/>
    </row>
    <row r="710" ht="22.5" customHeight="1">
      <c r="A710" s="202"/>
      <c r="B710" s="197"/>
      <c r="C710" s="144"/>
      <c r="D710" s="197"/>
      <c r="E710" s="197"/>
      <c r="F710" s="147"/>
    </row>
    <row r="711" ht="22.5" customHeight="1">
      <c r="A711" s="250"/>
      <c r="B711" s="196"/>
      <c r="C711" s="152"/>
      <c r="D711" s="196"/>
      <c r="E711" s="196"/>
      <c r="F711" s="155"/>
    </row>
    <row r="712" ht="22.5" customHeight="1">
      <c r="A712" s="202"/>
      <c r="B712" s="197"/>
      <c r="C712" s="144"/>
      <c r="D712" s="197"/>
      <c r="E712" s="197"/>
      <c r="F712" s="147"/>
    </row>
    <row r="713" ht="22.5" customHeight="1">
      <c r="A713" s="250"/>
      <c r="B713" s="196"/>
      <c r="C713" s="152"/>
      <c r="D713" s="196"/>
      <c r="E713" s="196"/>
      <c r="F713" s="155"/>
    </row>
    <row r="714" ht="22.5" customHeight="1">
      <c r="A714" s="202"/>
      <c r="B714" s="197"/>
      <c r="C714" s="144"/>
      <c r="D714" s="197"/>
      <c r="E714" s="197"/>
      <c r="F714" s="147"/>
    </row>
    <row r="715" ht="22.5" customHeight="1">
      <c r="A715" s="250"/>
      <c r="B715" s="196"/>
      <c r="C715" s="152"/>
      <c r="D715" s="196"/>
      <c r="E715" s="196"/>
      <c r="F715" s="155"/>
    </row>
    <row r="716" ht="22.5" customHeight="1">
      <c r="A716" s="202"/>
      <c r="B716" s="197"/>
      <c r="C716" s="144"/>
      <c r="D716" s="197"/>
      <c r="E716" s="197"/>
      <c r="F716" s="147"/>
    </row>
    <row r="717" ht="22.5" customHeight="1">
      <c r="A717" s="250"/>
      <c r="B717" s="196"/>
      <c r="C717" s="152"/>
      <c r="D717" s="196"/>
      <c r="E717" s="196"/>
      <c r="F717" s="155"/>
    </row>
    <row r="718" ht="22.5" customHeight="1">
      <c r="A718" s="202"/>
      <c r="B718" s="197"/>
      <c r="C718" s="144"/>
      <c r="D718" s="197"/>
      <c r="E718" s="197"/>
      <c r="F718" s="147"/>
    </row>
    <row r="719" ht="22.5" customHeight="1">
      <c r="A719" s="250"/>
      <c r="B719" s="196"/>
      <c r="C719" s="152"/>
      <c r="D719" s="196"/>
      <c r="E719" s="196"/>
      <c r="F719" s="155"/>
    </row>
    <row r="720" ht="22.5" customHeight="1">
      <c r="A720" s="202"/>
      <c r="B720" s="197"/>
      <c r="C720" s="144"/>
      <c r="D720" s="197"/>
      <c r="E720" s="197"/>
      <c r="F720" s="147"/>
    </row>
    <row r="721" ht="22.5" customHeight="1">
      <c r="A721" s="250"/>
      <c r="B721" s="196"/>
      <c r="C721" s="152"/>
      <c r="D721" s="196"/>
      <c r="E721" s="196"/>
      <c r="F721" s="155"/>
    </row>
    <row r="722" ht="22.5" customHeight="1">
      <c r="A722" s="202"/>
      <c r="B722" s="197"/>
      <c r="C722" s="144"/>
      <c r="D722" s="197"/>
      <c r="E722" s="197"/>
      <c r="F722" s="147"/>
    </row>
    <row r="723" ht="22.5" customHeight="1">
      <c r="A723" s="250"/>
      <c r="B723" s="196"/>
      <c r="C723" s="152"/>
      <c r="D723" s="196"/>
      <c r="E723" s="196"/>
      <c r="F723" s="155"/>
    </row>
    <row r="724" ht="22.5" customHeight="1">
      <c r="A724" s="202"/>
      <c r="B724" s="197"/>
      <c r="C724" s="144"/>
      <c r="D724" s="197"/>
      <c r="E724" s="197"/>
      <c r="F724" s="147"/>
    </row>
    <row r="725" ht="22.5" customHeight="1">
      <c r="A725" s="250"/>
      <c r="B725" s="196"/>
      <c r="C725" s="152"/>
      <c r="D725" s="196"/>
      <c r="E725" s="196"/>
      <c r="F725" s="155"/>
    </row>
    <row r="726" ht="22.5" customHeight="1">
      <c r="A726" s="202"/>
      <c r="B726" s="197"/>
      <c r="C726" s="144"/>
      <c r="D726" s="197"/>
      <c r="E726" s="197"/>
      <c r="F726" s="147"/>
    </row>
    <row r="727" ht="22.5" customHeight="1">
      <c r="A727" s="250"/>
      <c r="B727" s="196"/>
      <c r="C727" s="152"/>
      <c r="D727" s="196"/>
      <c r="E727" s="196"/>
      <c r="F727" s="155"/>
    </row>
    <row r="728" ht="22.5" customHeight="1">
      <c r="A728" s="202"/>
      <c r="B728" s="197"/>
      <c r="C728" s="144"/>
      <c r="D728" s="197"/>
      <c r="E728" s="197"/>
      <c r="F728" s="147"/>
    </row>
    <row r="729" ht="22.5" customHeight="1">
      <c r="A729" s="250"/>
      <c r="B729" s="196"/>
      <c r="C729" s="152"/>
      <c r="D729" s="196"/>
      <c r="E729" s="196"/>
      <c r="F729" s="155"/>
    </row>
    <row r="730" ht="22.5" customHeight="1">
      <c r="A730" s="202"/>
      <c r="B730" s="197"/>
      <c r="C730" s="144"/>
      <c r="D730" s="197"/>
      <c r="E730" s="197"/>
      <c r="F730" s="147"/>
    </row>
    <row r="731" ht="22.5" customHeight="1">
      <c r="A731" s="250"/>
      <c r="B731" s="196"/>
      <c r="C731" s="152"/>
      <c r="D731" s="196"/>
      <c r="E731" s="196"/>
      <c r="F731" s="155"/>
    </row>
    <row r="732" ht="22.5" customHeight="1">
      <c r="A732" s="202"/>
      <c r="B732" s="197"/>
      <c r="C732" s="144"/>
      <c r="D732" s="197"/>
      <c r="E732" s="197"/>
      <c r="F732" s="147"/>
    </row>
    <row r="733" ht="22.5" customHeight="1">
      <c r="A733" s="250"/>
      <c r="B733" s="196"/>
      <c r="C733" s="152"/>
      <c r="D733" s="196"/>
      <c r="E733" s="196"/>
      <c r="F733" s="155"/>
    </row>
    <row r="734" ht="22.5" customHeight="1">
      <c r="A734" s="202"/>
      <c r="B734" s="197"/>
      <c r="C734" s="144"/>
      <c r="D734" s="197"/>
      <c r="E734" s="197"/>
      <c r="F734" s="147"/>
    </row>
    <row r="735" ht="22.5" customHeight="1">
      <c r="A735" s="250"/>
      <c r="B735" s="196"/>
      <c r="C735" s="152"/>
      <c r="D735" s="196"/>
      <c r="E735" s="196"/>
      <c r="F735" s="155"/>
    </row>
    <row r="736" ht="22.5" customHeight="1">
      <c r="A736" s="202"/>
      <c r="B736" s="197"/>
      <c r="C736" s="144"/>
      <c r="D736" s="197"/>
      <c r="E736" s="197"/>
      <c r="F736" s="147"/>
    </row>
    <row r="737" ht="22.5" customHeight="1">
      <c r="A737" s="250"/>
      <c r="B737" s="196"/>
      <c r="C737" s="152"/>
      <c r="D737" s="196"/>
      <c r="E737" s="196"/>
      <c r="F737" s="155"/>
    </row>
    <row r="738" ht="22.5" customHeight="1">
      <c r="A738" s="202"/>
      <c r="B738" s="197"/>
      <c r="C738" s="144"/>
      <c r="D738" s="197"/>
      <c r="E738" s="197"/>
      <c r="F738" s="147"/>
    </row>
    <row r="739" ht="22.5" customHeight="1">
      <c r="A739" s="250"/>
      <c r="B739" s="196"/>
      <c r="C739" s="152"/>
      <c r="D739" s="196"/>
      <c r="E739" s="196"/>
      <c r="F739" s="155"/>
    </row>
    <row r="740" ht="22.5" customHeight="1">
      <c r="A740" s="202"/>
      <c r="B740" s="197"/>
      <c r="C740" s="144"/>
      <c r="D740" s="197"/>
      <c r="E740" s="197"/>
      <c r="F740" s="147"/>
    </row>
    <row r="741" ht="22.5" customHeight="1">
      <c r="A741" s="250"/>
      <c r="B741" s="196"/>
      <c r="C741" s="152"/>
      <c r="D741" s="196"/>
      <c r="E741" s="196"/>
      <c r="F741" s="155"/>
    </row>
    <row r="742" ht="22.5" customHeight="1">
      <c r="A742" s="202"/>
      <c r="B742" s="197"/>
      <c r="C742" s="144"/>
      <c r="D742" s="197"/>
      <c r="E742" s="197"/>
      <c r="F742" s="147"/>
    </row>
    <row r="743" ht="22.5" customHeight="1">
      <c r="A743" s="250"/>
      <c r="B743" s="196"/>
      <c r="C743" s="152"/>
      <c r="D743" s="196"/>
      <c r="E743" s="196"/>
      <c r="F743" s="155"/>
    </row>
    <row r="744" ht="22.5" customHeight="1">
      <c r="A744" s="202"/>
      <c r="B744" s="197"/>
      <c r="C744" s="144"/>
      <c r="D744" s="197"/>
      <c r="E744" s="197"/>
      <c r="F744" s="147"/>
    </row>
    <row r="745" ht="22.5" customHeight="1">
      <c r="A745" s="250"/>
      <c r="B745" s="196"/>
      <c r="C745" s="152"/>
      <c r="D745" s="196"/>
      <c r="E745" s="196"/>
      <c r="F745" s="155"/>
    </row>
    <row r="746" ht="22.5" customHeight="1">
      <c r="A746" s="202"/>
      <c r="B746" s="197"/>
      <c r="C746" s="144"/>
      <c r="D746" s="197"/>
      <c r="E746" s="197"/>
      <c r="F746" s="147"/>
    </row>
    <row r="747" ht="22.5" customHeight="1">
      <c r="A747" s="250"/>
      <c r="B747" s="196"/>
      <c r="C747" s="152"/>
      <c r="D747" s="196"/>
      <c r="E747" s="196"/>
      <c r="F747" s="155"/>
    </row>
    <row r="748" ht="22.5" customHeight="1">
      <c r="A748" s="202"/>
      <c r="B748" s="197"/>
      <c r="C748" s="144"/>
      <c r="D748" s="197"/>
      <c r="E748" s="197"/>
      <c r="F748" s="147"/>
    </row>
    <row r="749" ht="22.5" customHeight="1">
      <c r="A749" s="250"/>
      <c r="B749" s="196"/>
      <c r="C749" s="152"/>
      <c r="D749" s="196"/>
      <c r="E749" s="196"/>
      <c r="F749" s="155"/>
    </row>
    <row r="750" ht="22.5" customHeight="1">
      <c r="A750" s="202"/>
      <c r="B750" s="197"/>
      <c r="C750" s="144"/>
      <c r="D750" s="197"/>
      <c r="E750" s="197"/>
      <c r="F750" s="147"/>
    </row>
    <row r="751" ht="22.5" customHeight="1">
      <c r="A751" s="250"/>
      <c r="B751" s="196"/>
      <c r="C751" s="152"/>
      <c r="D751" s="196"/>
      <c r="E751" s="196"/>
      <c r="F751" s="155"/>
    </row>
    <row r="752" ht="22.5" customHeight="1">
      <c r="A752" s="202"/>
      <c r="B752" s="197"/>
      <c r="C752" s="144"/>
      <c r="D752" s="197"/>
      <c r="E752" s="197"/>
      <c r="F752" s="147"/>
    </row>
    <row r="753" ht="22.5" customHeight="1">
      <c r="A753" s="250"/>
      <c r="B753" s="196"/>
      <c r="C753" s="152"/>
      <c r="D753" s="196"/>
      <c r="E753" s="196"/>
      <c r="F753" s="155"/>
    </row>
    <row r="754" ht="22.5" customHeight="1">
      <c r="A754" s="202"/>
      <c r="B754" s="197"/>
      <c r="C754" s="144"/>
      <c r="D754" s="197"/>
      <c r="E754" s="197"/>
      <c r="F754" s="147"/>
    </row>
    <row r="755" ht="22.5" customHeight="1">
      <c r="A755" s="250"/>
      <c r="B755" s="196"/>
      <c r="C755" s="152"/>
      <c r="D755" s="196"/>
      <c r="E755" s="196"/>
      <c r="F755" s="155"/>
    </row>
    <row r="756" ht="22.5" customHeight="1">
      <c r="A756" s="202"/>
      <c r="B756" s="197"/>
      <c r="C756" s="144"/>
      <c r="D756" s="197"/>
      <c r="E756" s="197"/>
      <c r="F756" s="147"/>
    </row>
    <row r="757" ht="22.5" customHeight="1">
      <c r="A757" s="250"/>
      <c r="B757" s="196"/>
      <c r="C757" s="152"/>
      <c r="D757" s="196"/>
      <c r="E757" s="196"/>
      <c r="F757" s="155"/>
    </row>
    <row r="758" ht="22.5" customHeight="1">
      <c r="A758" s="202"/>
      <c r="B758" s="197"/>
      <c r="C758" s="144"/>
      <c r="D758" s="197"/>
      <c r="E758" s="197"/>
      <c r="F758" s="147"/>
    </row>
    <row r="759" ht="22.5" customHeight="1">
      <c r="A759" s="250"/>
      <c r="B759" s="196"/>
      <c r="C759" s="152"/>
      <c r="D759" s="196"/>
      <c r="E759" s="196"/>
      <c r="F759" s="155"/>
    </row>
    <row r="760" ht="22.5" customHeight="1">
      <c r="A760" s="202"/>
      <c r="B760" s="197"/>
      <c r="C760" s="144"/>
      <c r="D760" s="197"/>
      <c r="E760" s="197"/>
      <c r="F760" s="147"/>
    </row>
    <row r="761" ht="22.5" customHeight="1">
      <c r="A761" s="250"/>
      <c r="B761" s="196"/>
      <c r="C761" s="152"/>
      <c r="D761" s="196"/>
      <c r="E761" s="196"/>
      <c r="F761" s="155"/>
    </row>
    <row r="762" ht="22.5" customHeight="1">
      <c r="A762" s="202"/>
      <c r="B762" s="197"/>
      <c r="C762" s="144"/>
      <c r="D762" s="197"/>
      <c r="E762" s="197"/>
      <c r="F762" s="147"/>
    </row>
    <row r="763" ht="22.5" customHeight="1">
      <c r="A763" s="250"/>
      <c r="B763" s="196"/>
      <c r="C763" s="152"/>
      <c r="D763" s="196"/>
      <c r="E763" s="196"/>
      <c r="F763" s="155"/>
    </row>
    <row r="764" ht="22.5" customHeight="1">
      <c r="A764" s="202"/>
      <c r="B764" s="197"/>
      <c r="C764" s="144"/>
      <c r="D764" s="197"/>
      <c r="E764" s="197"/>
      <c r="F764" s="147"/>
    </row>
    <row r="765" ht="22.5" customHeight="1">
      <c r="A765" s="250"/>
      <c r="B765" s="196"/>
      <c r="C765" s="152"/>
      <c r="D765" s="196"/>
      <c r="E765" s="196"/>
      <c r="F765" s="155"/>
    </row>
    <row r="766" ht="22.5" customHeight="1">
      <c r="A766" s="202"/>
      <c r="B766" s="197"/>
      <c r="C766" s="144"/>
      <c r="D766" s="197"/>
      <c r="E766" s="197"/>
      <c r="F766" s="147"/>
    </row>
    <row r="767" ht="22.5" customHeight="1">
      <c r="A767" s="250"/>
      <c r="B767" s="196"/>
      <c r="C767" s="152"/>
      <c r="D767" s="196"/>
      <c r="E767" s="196"/>
      <c r="F767" s="155"/>
    </row>
    <row r="768" ht="22.5" customHeight="1">
      <c r="A768" s="202"/>
      <c r="B768" s="197"/>
      <c r="C768" s="144"/>
      <c r="D768" s="197"/>
      <c r="E768" s="197"/>
      <c r="F768" s="147"/>
    </row>
    <row r="769" ht="22.5" customHeight="1">
      <c r="A769" s="250"/>
      <c r="B769" s="196"/>
      <c r="C769" s="152"/>
      <c r="D769" s="196"/>
      <c r="E769" s="196"/>
      <c r="F769" s="155"/>
    </row>
    <row r="770" ht="22.5" customHeight="1">
      <c r="A770" s="202"/>
      <c r="B770" s="197"/>
      <c r="C770" s="144"/>
      <c r="D770" s="197"/>
      <c r="E770" s="197"/>
      <c r="F770" s="147"/>
    </row>
    <row r="771" ht="22.5" customHeight="1">
      <c r="A771" s="250"/>
      <c r="B771" s="196"/>
      <c r="C771" s="152"/>
      <c r="D771" s="196"/>
      <c r="E771" s="196"/>
      <c r="F771" s="155"/>
    </row>
    <row r="772" ht="22.5" customHeight="1">
      <c r="A772" s="202"/>
      <c r="B772" s="197"/>
      <c r="C772" s="144"/>
      <c r="D772" s="197"/>
      <c r="E772" s="197"/>
      <c r="F772" s="147"/>
    </row>
    <row r="773" ht="22.5" customHeight="1">
      <c r="A773" s="250"/>
      <c r="B773" s="196"/>
      <c r="C773" s="152"/>
      <c r="D773" s="196"/>
      <c r="E773" s="196"/>
      <c r="F773" s="155"/>
    </row>
    <row r="774" ht="22.5" customHeight="1">
      <c r="A774" s="202"/>
      <c r="B774" s="197"/>
      <c r="C774" s="144"/>
      <c r="D774" s="197"/>
      <c r="E774" s="197"/>
      <c r="F774" s="147"/>
    </row>
    <row r="775" ht="22.5" customHeight="1">
      <c r="A775" s="250"/>
      <c r="B775" s="196"/>
      <c r="C775" s="152"/>
      <c r="D775" s="196"/>
      <c r="E775" s="196"/>
      <c r="F775" s="155"/>
    </row>
    <row r="776" ht="22.5" customHeight="1">
      <c r="A776" s="202"/>
      <c r="B776" s="197"/>
      <c r="C776" s="144"/>
      <c r="D776" s="197"/>
      <c r="E776" s="197"/>
      <c r="F776" s="147"/>
    </row>
    <row r="777" ht="22.5" customHeight="1">
      <c r="A777" s="250"/>
      <c r="B777" s="196"/>
      <c r="C777" s="152"/>
      <c r="D777" s="196"/>
      <c r="E777" s="196"/>
      <c r="F777" s="155"/>
    </row>
    <row r="778" ht="22.5" customHeight="1">
      <c r="A778" s="202"/>
      <c r="B778" s="197"/>
      <c r="C778" s="144"/>
      <c r="D778" s="197"/>
      <c r="E778" s="197"/>
      <c r="F778" s="147"/>
    </row>
    <row r="779" ht="22.5" customHeight="1">
      <c r="A779" s="250"/>
      <c r="B779" s="196"/>
      <c r="C779" s="152"/>
      <c r="D779" s="196"/>
      <c r="E779" s="196"/>
      <c r="F779" s="155"/>
    </row>
    <row r="780" ht="22.5" customHeight="1">
      <c r="A780" s="202"/>
      <c r="B780" s="197"/>
      <c r="C780" s="144"/>
      <c r="D780" s="197"/>
      <c r="E780" s="197"/>
      <c r="F780" s="147"/>
    </row>
    <row r="781" ht="22.5" customHeight="1">
      <c r="A781" s="250"/>
      <c r="B781" s="196"/>
      <c r="C781" s="152"/>
      <c r="D781" s="196"/>
      <c r="E781" s="196"/>
      <c r="F781" s="155"/>
    </row>
    <row r="782" ht="22.5" customHeight="1">
      <c r="A782" s="202"/>
      <c r="B782" s="197"/>
      <c r="C782" s="144"/>
      <c r="D782" s="197"/>
      <c r="E782" s="197"/>
      <c r="F782" s="147"/>
    </row>
    <row r="783" ht="22.5" customHeight="1">
      <c r="A783" s="250"/>
      <c r="B783" s="196"/>
      <c r="C783" s="152"/>
      <c r="D783" s="196"/>
      <c r="E783" s="196"/>
      <c r="F783" s="155"/>
    </row>
    <row r="784" ht="22.5" customHeight="1">
      <c r="A784" s="202"/>
      <c r="B784" s="197"/>
      <c r="C784" s="144"/>
      <c r="D784" s="197"/>
      <c r="E784" s="197"/>
      <c r="F784" s="147"/>
    </row>
    <row r="785" ht="22.5" customHeight="1">
      <c r="A785" s="250"/>
      <c r="B785" s="196"/>
      <c r="C785" s="152"/>
      <c r="D785" s="196"/>
      <c r="E785" s="196"/>
      <c r="F785" s="155"/>
    </row>
    <row r="786" ht="22.5" customHeight="1">
      <c r="A786" s="202"/>
      <c r="B786" s="197"/>
      <c r="C786" s="144"/>
      <c r="D786" s="197"/>
      <c r="E786" s="197"/>
      <c r="F786" s="147"/>
    </row>
    <row r="787" ht="22.5" customHeight="1">
      <c r="A787" s="250"/>
      <c r="B787" s="196"/>
      <c r="C787" s="152"/>
      <c r="D787" s="196"/>
      <c r="E787" s="196"/>
      <c r="F787" s="155"/>
    </row>
    <row r="788" ht="22.5" customHeight="1">
      <c r="A788" s="202"/>
      <c r="B788" s="197"/>
      <c r="C788" s="144"/>
      <c r="D788" s="197"/>
      <c r="E788" s="197"/>
      <c r="F788" s="147"/>
    </row>
    <row r="789" ht="22.5" customHeight="1">
      <c r="A789" s="250"/>
      <c r="B789" s="196"/>
      <c r="C789" s="152"/>
      <c r="D789" s="196"/>
      <c r="E789" s="196"/>
      <c r="F789" s="155"/>
    </row>
    <row r="790" ht="22.5" customHeight="1">
      <c r="A790" s="202"/>
      <c r="B790" s="197"/>
      <c r="C790" s="144"/>
      <c r="D790" s="197"/>
      <c r="E790" s="197"/>
      <c r="F790" s="147"/>
    </row>
    <row r="791" ht="22.5" customHeight="1">
      <c r="A791" s="250"/>
      <c r="B791" s="196"/>
      <c r="C791" s="152"/>
      <c r="D791" s="196"/>
      <c r="E791" s="196"/>
      <c r="F791" s="155"/>
    </row>
    <row r="792" ht="22.5" customHeight="1">
      <c r="A792" s="202"/>
      <c r="B792" s="197"/>
      <c r="C792" s="144"/>
      <c r="D792" s="197"/>
      <c r="E792" s="197"/>
      <c r="F792" s="147"/>
    </row>
    <row r="793" ht="22.5" customHeight="1">
      <c r="A793" s="250"/>
      <c r="B793" s="196"/>
      <c r="C793" s="152"/>
      <c r="D793" s="196"/>
      <c r="E793" s="196"/>
      <c r="F793" s="155"/>
    </row>
    <row r="794" ht="22.5" customHeight="1">
      <c r="A794" s="202"/>
      <c r="B794" s="197"/>
      <c r="C794" s="144"/>
      <c r="D794" s="197"/>
      <c r="E794" s="197"/>
      <c r="F794" s="147"/>
    </row>
    <row r="795" ht="22.5" customHeight="1">
      <c r="A795" s="250"/>
      <c r="B795" s="196"/>
      <c r="C795" s="152"/>
      <c r="D795" s="196"/>
      <c r="E795" s="196"/>
      <c r="F795" s="155"/>
    </row>
    <row r="796" ht="22.5" customHeight="1">
      <c r="A796" s="202"/>
      <c r="B796" s="197"/>
      <c r="C796" s="144"/>
      <c r="D796" s="197"/>
      <c r="E796" s="197"/>
      <c r="F796" s="147"/>
    </row>
    <row r="797" ht="22.5" customHeight="1">
      <c r="A797" s="250"/>
      <c r="B797" s="196"/>
      <c r="C797" s="152"/>
      <c r="D797" s="196"/>
      <c r="E797" s="196"/>
      <c r="F797" s="155"/>
    </row>
    <row r="798" ht="22.5" customHeight="1">
      <c r="A798" s="202"/>
      <c r="B798" s="197"/>
      <c r="C798" s="144"/>
      <c r="D798" s="197"/>
      <c r="E798" s="197"/>
      <c r="F798" s="147"/>
    </row>
    <row r="799" ht="22.5" customHeight="1">
      <c r="A799" s="250"/>
      <c r="B799" s="196"/>
      <c r="C799" s="152"/>
      <c r="D799" s="196"/>
      <c r="E799" s="196"/>
      <c r="F799" s="155"/>
    </row>
    <row r="800" ht="22.5" customHeight="1">
      <c r="A800" s="202"/>
      <c r="B800" s="197"/>
      <c r="C800" s="144"/>
      <c r="D800" s="197"/>
      <c r="E800" s="197"/>
      <c r="F800" s="147"/>
    </row>
    <row r="801" ht="22.5" customHeight="1">
      <c r="A801" s="250"/>
      <c r="B801" s="196"/>
      <c r="C801" s="152"/>
      <c r="D801" s="196"/>
      <c r="E801" s="196"/>
      <c r="F801" s="155"/>
    </row>
    <row r="802" ht="22.5" customHeight="1">
      <c r="A802" s="202"/>
      <c r="B802" s="197"/>
      <c r="C802" s="144"/>
      <c r="D802" s="197"/>
      <c r="E802" s="197"/>
      <c r="F802" s="147"/>
    </row>
    <row r="803" ht="22.5" customHeight="1">
      <c r="A803" s="250"/>
      <c r="B803" s="196"/>
      <c r="C803" s="152"/>
      <c r="D803" s="196"/>
      <c r="E803" s="196"/>
      <c r="F803" s="155"/>
    </row>
    <row r="804" ht="22.5" customHeight="1">
      <c r="A804" s="202"/>
      <c r="B804" s="197"/>
      <c r="C804" s="144"/>
      <c r="D804" s="197"/>
      <c r="E804" s="197"/>
      <c r="F804" s="147"/>
    </row>
    <row r="805" ht="22.5" customHeight="1">
      <c r="A805" s="250"/>
      <c r="B805" s="196"/>
      <c r="C805" s="152"/>
      <c r="D805" s="196"/>
      <c r="E805" s="196"/>
      <c r="F805" s="155"/>
    </row>
    <row r="806" ht="22.5" customHeight="1">
      <c r="A806" s="202"/>
      <c r="B806" s="197"/>
      <c r="C806" s="144"/>
      <c r="D806" s="197"/>
      <c r="E806" s="197"/>
      <c r="F806" s="147"/>
    </row>
    <row r="807" ht="22.5" customHeight="1">
      <c r="A807" s="250"/>
      <c r="B807" s="196"/>
      <c r="C807" s="152"/>
      <c r="D807" s="196"/>
      <c r="E807" s="196"/>
      <c r="F807" s="155"/>
    </row>
    <row r="808" ht="22.5" customHeight="1">
      <c r="A808" s="202"/>
      <c r="B808" s="197"/>
      <c r="C808" s="144"/>
      <c r="D808" s="197"/>
      <c r="E808" s="197"/>
      <c r="F808" s="147"/>
    </row>
    <row r="809" ht="22.5" customHeight="1">
      <c r="A809" s="250"/>
      <c r="B809" s="196"/>
      <c r="C809" s="152"/>
      <c r="D809" s="196"/>
      <c r="E809" s="196"/>
      <c r="F809" s="155"/>
    </row>
    <row r="810" ht="22.5" customHeight="1">
      <c r="A810" s="202"/>
      <c r="B810" s="197"/>
      <c r="C810" s="144"/>
      <c r="D810" s="197"/>
      <c r="E810" s="197"/>
      <c r="F810" s="147"/>
    </row>
    <row r="811" ht="22.5" customHeight="1">
      <c r="A811" s="250"/>
      <c r="B811" s="196"/>
      <c r="C811" s="152"/>
      <c r="D811" s="196"/>
      <c r="E811" s="196"/>
      <c r="F811" s="155"/>
    </row>
    <row r="812" ht="22.5" customHeight="1">
      <c r="A812" s="202"/>
      <c r="B812" s="197"/>
      <c r="C812" s="144"/>
      <c r="D812" s="197"/>
      <c r="E812" s="197"/>
      <c r="F812" s="147"/>
    </row>
    <row r="813" ht="22.5" customHeight="1">
      <c r="A813" s="250"/>
      <c r="B813" s="196"/>
      <c r="C813" s="152"/>
      <c r="D813" s="196"/>
      <c r="E813" s="196"/>
      <c r="F813" s="155"/>
    </row>
    <row r="814" ht="22.5" customHeight="1">
      <c r="A814" s="202"/>
      <c r="B814" s="197"/>
      <c r="C814" s="144"/>
      <c r="D814" s="197"/>
      <c r="E814" s="197"/>
      <c r="F814" s="147"/>
    </row>
    <row r="815" ht="22.5" customHeight="1">
      <c r="A815" s="250"/>
      <c r="B815" s="196"/>
      <c r="C815" s="152"/>
      <c r="D815" s="196"/>
      <c r="E815" s="196"/>
      <c r="F815" s="155"/>
    </row>
    <row r="816" ht="22.5" customHeight="1">
      <c r="A816" s="202"/>
      <c r="B816" s="197"/>
      <c r="C816" s="144"/>
      <c r="D816" s="197"/>
      <c r="E816" s="197"/>
      <c r="F816" s="147"/>
    </row>
    <row r="817" ht="22.5" customHeight="1">
      <c r="A817" s="250"/>
      <c r="B817" s="196"/>
      <c r="C817" s="152"/>
      <c r="D817" s="196"/>
      <c r="E817" s="196"/>
      <c r="F817" s="155"/>
    </row>
    <row r="818" ht="22.5" customHeight="1">
      <c r="A818" s="202"/>
      <c r="B818" s="197"/>
      <c r="C818" s="144"/>
      <c r="D818" s="197"/>
      <c r="E818" s="197"/>
      <c r="F818" s="147"/>
    </row>
    <row r="819" ht="22.5" customHeight="1">
      <c r="A819" s="250"/>
      <c r="B819" s="196"/>
      <c r="C819" s="152"/>
      <c r="D819" s="196"/>
      <c r="E819" s="196"/>
      <c r="F819" s="155"/>
    </row>
    <row r="820" ht="22.5" customHeight="1">
      <c r="A820" s="202"/>
      <c r="B820" s="197"/>
      <c r="C820" s="144"/>
      <c r="D820" s="197"/>
      <c r="E820" s="197"/>
      <c r="F820" s="147"/>
    </row>
    <row r="821" ht="22.5" customHeight="1">
      <c r="A821" s="250"/>
      <c r="B821" s="196"/>
      <c r="C821" s="152"/>
      <c r="D821" s="196"/>
      <c r="E821" s="196"/>
      <c r="F821" s="155"/>
    </row>
    <row r="822" ht="22.5" customHeight="1">
      <c r="A822" s="202"/>
      <c r="B822" s="197"/>
      <c r="C822" s="144"/>
      <c r="D822" s="197"/>
      <c r="E822" s="197"/>
      <c r="F822" s="147"/>
    </row>
    <row r="823" ht="22.5" customHeight="1">
      <c r="A823" s="250"/>
      <c r="B823" s="196"/>
      <c r="C823" s="152"/>
      <c r="D823" s="196"/>
      <c r="E823" s="196"/>
      <c r="F823" s="155"/>
    </row>
    <row r="824" ht="22.5" customHeight="1">
      <c r="A824" s="202"/>
      <c r="B824" s="197"/>
      <c r="C824" s="144"/>
      <c r="D824" s="197"/>
      <c r="E824" s="197"/>
      <c r="F824" s="147"/>
    </row>
    <row r="825" ht="22.5" customHeight="1">
      <c r="A825" s="250"/>
      <c r="B825" s="196"/>
      <c r="C825" s="152"/>
      <c r="D825" s="196"/>
      <c r="E825" s="196"/>
      <c r="F825" s="155"/>
    </row>
    <row r="826" ht="22.5" customHeight="1">
      <c r="A826" s="202"/>
      <c r="B826" s="197"/>
      <c r="C826" s="144"/>
      <c r="D826" s="197"/>
      <c r="E826" s="197"/>
      <c r="F826" s="147"/>
    </row>
    <row r="827" ht="22.5" customHeight="1">
      <c r="A827" s="250"/>
      <c r="B827" s="196"/>
      <c r="C827" s="152"/>
      <c r="D827" s="196"/>
      <c r="E827" s="196"/>
      <c r="F827" s="155"/>
    </row>
    <row r="828" ht="22.5" customHeight="1">
      <c r="A828" s="202"/>
      <c r="B828" s="197"/>
      <c r="C828" s="144"/>
      <c r="D828" s="197"/>
      <c r="E828" s="197"/>
      <c r="F828" s="147"/>
    </row>
    <row r="829" ht="22.5" customHeight="1">
      <c r="A829" s="250"/>
      <c r="B829" s="196"/>
      <c r="C829" s="152"/>
      <c r="D829" s="196"/>
      <c r="E829" s="196"/>
      <c r="F829" s="155"/>
    </row>
    <row r="830" ht="22.5" customHeight="1">
      <c r="A830" s="202"/>
      <c r="B830" s="197"/>
      <c r="C830" s="144"/>
      <c r="D830" s="197"/>
      <c r="E830" s="197"/>
      <c r="F830" s="147"/>
    </row>
    <row r="831" ht="22.5" customHeight="1">
      <c r="A831" s="250"/>
      <c r="B831" s="196"/>
      <c r="C831" s="152"/>
      <c r="D831" s="196"/>
      <c r="E831" s="196"/>
      <c r="F831" s="155"/>
    </row>
    <row r="832" ht="22.5" customHeight="1">
      <c r="A832" s="202"/>
      <c r="B832" s="197"/>
      <c r="C832" s="144"/>
      <c r="D832" s="197"/>
      <c r="E832" s="197"/>
      <c r="F832" s="147"/>
    </row>
    <row r="833" ht="22.5" customHeight="1">
      <c r="A833" s="250"/>
      <c r="B833" s="196"/>
      <c r="C833" s="152"/>
      <c r="D833" s="196"/>
      <c r="E833" s="196"/>
      <c r="F833" s="155"/>
    </row>
    <row r="834" ht="22.5" customHeight="1">
      <c r="A834" s="202"/>
      <c r="B834" s="197"/>
      <c r="C834" s="144"/>
      <c r="D834" s="197"/>
      <c r="E834" s="197"/>
      <c r="F834" s="147"/>
    </row>
    <row r="835" ht="22.5" customHeight="1">
      <c r="A835" s="250"/>
      <c r="B835" s="196"/>
      <c r="C835" s="152"/>
      <c r="D835" s="196"/>
      <c r="E835" s="196"/>
      <c r="F835" s="155"/>
    </row>
    <row r="836" ht="22.5" customHeight="1">
      <c r="A836" s="202"/>
      <c r="B836" s="197"/>
      <c r="C836" s="144"/>
      <c r="D836" s="197"/>
      <c r="E836" s="197"/>
      <c r="F836" s="147"/>
    </row>
    <row r="837" ht="22.5" customHeight="1">
      <c r="A837" s="250"/>
      <c r="B837" s="196"/>
      <c r="C837" s="152"/>
      <c r="D837" s="196"/>
      <c r="E837" s="196"/>
      <c r="F837" s="155"/>
    </row>
    <row r="838" ht="22.5" customHeight="1">
      <c r="A838" s="202"/>
      <c r="B838" s="197"/>
      <c r="C838" s="144"/>
      <c r="D838" s="197"/>
      <c r="E838" s="197"/>
      <c r="F838" s="147"/>
    </row>
    <row r="839" ht="22.5" customHeight="1">
      <c r="A839" s="250"/>
      <c r="B839" s="196"/>
      <c r="C839" s="152"/>
      <c r="D839" s="196"/>
      <c r="E839" s="196"/>
      <c r="F839" s="155"/>
    </row>
    <row r="840" ht="22.5" customHeight="1">
      <c r="A840" s="202"/>
      <c r="B840" s="197"/>
      <c r="C840" s="144"/>
      <c r="D840" s="197"/>
      <c r="E840" s="197"/>
      <c r="F840" s="147"/>
    </row>
    <row r="841" ht="22.5" customHeight="1">
      <c r="A841" s="250"/>
      <c r="B841" s="196"/>
      <c r="C841" s="152"/>
      <c r="D841" s="196"/>
      <c r="E841" s="196"/>
      <c r="F841" s="155"/>
    </row>
    <row r="842" ht="22.5" customHeight="1">
      <c r="A842" s="202"/>
      <c r="B842" s="197"/>
      <c r="C842" s="144"/>
      <c r="D842" s="197"/>
      <c r="E842" s="197"/>
      <c r="F842" s="147"/>
    </row>
    <row r="843" ht="22.5" customHeight="1">
      <c r="A843" s="250"/>
      <c r="B843" s="196"/>
      <c r="C843" s="152"/>
      <c r="D843" s="196"/>
      <c r="E843" s="196"/>
      <c r="F843" s="155"/>
    </row>
    <row r="844" ht="22.5" customHeight="1">
      <c r="A844" s="202"/>
      <c r="B844" s="197"/>
      <c r="C844" s="144"/>
      <c r="D844" s="197"/>
      <c r="E844" s="197"/>
      <c r="F844" s="147"/>
    </row>
    <row r="845" ht="22.5" customHeight="1">
      <c r="A845" s="250"/>
      <c r="B845" s="196"/>
      <c r="C845" s="152"/>
      <c r="D845" s="196"/>
      <c r="E845" s="196"/>
      <c r="F845" s="155"/>
    </row>
    <row r="846" ht="22.5" customHeight="1">
      <c r="A846" s="202"/>
      <c r="B846" s="197"/>
      <c r="C846" s="144"/>
      <c r="D846" s="197"/>
      <c r="E846" s="197"/>
      <c r="F846" s="147"/>
    </row>
    <row r="847" ht="22.5" customHeight="1">
      <c r="A847" s="250"/>
      <c r="B847" s="196"/>
      <c r="C847" s="152"/>
      <c r="D847" s="196"/>
      <c r="E847" s="196"/>
      <c r="F847" s="155"/>
    </row>
    <row r="848" ht="22.5" customHeight="1">
      <c r="A848" s="202"/>
      <c r="B848" s="197"/>
      <c r="C848" s="144"/>
      <c r="D848" s="197"/>
      <c r="E848" s="197"/>
      <c r="F848" s="147"/>
    </row>
    <row r="849" ht="22.5" customHeight="1">
      <c r="A849" s="250"/>
      <c r="B849" s="196"/>
      <c r="C849" s="152"/>
      <c r="D849" s="196"/>
      <c r="E849" s="196"/>
      <c r="F849" s="155"/>
    </row>
    <row r="850" ht="22.5" customHeight="1">
      <c r="A850" s="202"/>
      <c r="B850" s="197"/>
      <c r="C850" s="144"/>
      <c r="D850" s="197"/>
      <c r="E850" s="197"/>
      <c r="F850" s="147"/>
    </row>
    <row r="851" ht="22.5" customHeight="1">
      <c r="A851" s="250"/>
      <c r="B851" s="196"/>
      <c r="C851" s="152"/>
      <c r="D851" s="196"/>
      <c r="E851" s="196"/>
      <c r="F851" s="155"/>
    </row>
    <row r="852" ht="22.5" customHeight="1">
      <c r="A852" s="202"/>
      <c r="B852" s="197"/>
      <c r="C852" s="144"/>
      <c r="D852" s="197"/>
      <c r="E852" s="197"/>
      <c r="F852" s="147"/>
    </row>
    <row r="853" ht="22.5" customHeight="1">
      <c r="A853" s="250"/>
      <c r="B853" s="196"/>
      <c r="C853" s="152"/>
      <c r="D853" s="196"/>
      <c r="E853" s="196"/>
      <c r="F853" s="155"/>
    </row>
    <row r="854" ht="22.5" customHeight="1">
      <c r="A854" s="202"/>
      <c r="B854" s="197"/>
      <c r="C854" s="144"/>
      <c r="D854" s="197"/>
      <c r="E854" s="197"/>
      <c r="F854" s="147"/>
    </row>
    <row r="855" ht="22.5" customHeight="1">
      <c r="A855" s="250"/>
      <c r="B855" s="196"/>
      <c r="C855" s="152"/>
      <c r="D855" s="196"/>
      <c r="E855" s="196"/>
      <c r="F855" s="155"/>
    </row>
    <row r="856" ht="22.5" customHeight="1">
      <c r="A856" s="202"/>
      <c r="B856" s="197"/>
      <c r="C856" s="144"/>
      <c r="D856" s="197"/>
      <c r="E856" s="197"/>
      <c r="F856" s="147"/>
    </row>
    <row r="857" ht="22.5" customHeight="1">
      <c r="A857" s="250"/>
      <c r="B857" s="196"/>
      <c r="C857" s="152"/>
      <c r="D857" s="196"/>
      <c r="E857" s="196"/>
      <c r="F857" s="155"/>
    </row>
    <row r="858" ht="22.5" customHeight="1">
      <c r="A858" s="202"/>
      <c r="B858" s="197"/>
      <c r="C858" s="144"/>
      <c r="D858" s="197"/>
      <c r="E858" s="197"/>
      <c r="F858" s="147"/>
    </row>
    <row r="859" ht="22.5" customHeight="1">
      <c r="A859" s="250"/>
      <c r="B859" s="196"/>
      <c r="C859" s="152"/>
      <c r="D859" s="196"/>
      <c r="E859" s="196"/>
      <c r="F859" s="155"/>
    </row>
    <row r="860" ht="22.5" customHeight="1">
      <c r="A860" s="202"/>
      <c r="B860" s="197"/>
      <c r="C860" s="144"/>
      <c r="D860" s="197"/>
      <c r="E860" s="197"/>
      <c r="F860" s="147"/>
    </row>
    <row r="861" ht="22.5" customHeight="1">
      <c r="A861" s="250"/>
      <c r="B861" s="196"/>
      <c r="C861" s="152"/>
      <c r="D861" s="196"/>
      <c r="E861" s="196"/>
      <c r="F861" s="155"/>
    </row>
    <row r="862" ht="22.5" customHeight="1">
      <c r="A862" s="202"/>
      <c r="B862" s="197"/>
      <c r="C862" s="144"/>
      <c r="D862" s="197"/>
      <c r="E862" s="197"/>
      <c r="F862" s="147"/>
    </row>
    <row r="863" ht="22.5" customHeight="1">
      <c r="A863" s="250"/>
      <c r="B863" s="196"/>
      <c r="C863" s="152"/>
      <c r="D863" s="196"/>
      <c r="E863" s="196"/>
      <c r="F863" s="155"/>
    </row>
    <row r="864" ht="22.5" customHeight="1">
      <c r="A864" s="202"/>
      <c r="B864" s="197"/>
      <c r="C864" s="144"/>
      <c r="D864" s="197"/>
      <c r="E864" s="197"/>
      <c r="F864" s="147"/>
    </row>
    <row r="865" ht="22.5" customHeight="1">
      <c r="A865" s="250"/>
      <c r="B865" s="196"/>
      <c r="C865" s="152"/>
      <c r="D865" s="196"/>
      <c r="E865" s="196"/>
      <c r="F865" s="155"/>
    </row>
    <row r="866" ht="22.5" customHeight="1">
      <c r="A866" s="202"/>
      <c r="B866" s="197"/>
      <c r="C866" s="144"/>
      <c r="D866" s="197"/>
      <c r="E866" s="197"/>
      <c r="F866" s="147"/>
    </row>
    <row r="867" ht="22.5" customHeight="1">
      <c r="A867" s="250"/>
      <c r="B867" s="196"/>
      <c r="C867" s="152"/>
      <c r="D867" s="196"/>
      <c r="E867" s="196"/>
      <c r="F867" s="155"/>
    </row>
    <row r="868" ht="22.5" customHeight="1">
      <c r="A868" s="202"/>
      <c r="B868" s="197"/>
      <c r="C868" s="144"/>
      <c r="D868" s="197"/>
      <c r="E868" s="197"/>
      <c r="F868" s="147"/>
    </row>
    <row r="869" ht="22.5" customHeight="1">
      <c r="A869" s="250"/>
      <c r="B869" s="196"/>
      <c r="C869" s="152"/>
      <c r="D869" s="196"/>
      <c r="E869" s="196"/>
      <c r="F869" s="155"/>
    </row>
    <row r="870" ht="22.5" customHeight="1">
      <c r="A870" s="202"/>
      <c r="B870" s="197"/>
      <c r="C870" s="144"/>
      <c r="D870" s="197"/>
      <c r="E870" s="197"/>
      <c r="F870" s="147"/>
    </row>
    <row r="871" ht="22.5" customHeight="1">
      <c r="A871" s="250"/>
      <c r="B871" s="196"/>
      <c r="C871" s="152"/>
      <c r="D871" s="196"/>
      <c r="E871" s="196"/>
      <c r="F871" s="155"/>
    </row>
    <row r="872" ht="22.5" customHeight="1">
      <c r="A872" s="202"/>
      <c r="B872" s="197"/>
      <c r="C872" s="144"/>
      <c r="D872" s="197"/>
      <c r="E872" s="197"/>
      <c r="F872" s="147"/>
    </row>
    <row r="873" ht="22.5" customHeight="1">
      <c r="A873" s="250"/>
      <c r="B873" s="196"/>
      <c r="C873" s="152"/>
      <c r="D873" s="196"/>
      <c r="E873" s="196"/>
      <c r="F873" s="155"/>
    </row>
    <row r="874" ht="22.5" customHeight="1">
      <c r="A874" s="202"/>
      <c r="B874" s="197"/>
      <c r="C874" s="144"/>
      <c r="D874" s="197"/>
      <c r="E874" s="197"/>
      <c r="F874" s="147"/>
    </row>
    <row r="875" ht="22.5" customHeight="1">
      <c r="A875" s="250"/>
      <c r="B875" s="196"/>
      <c r="C875" s="152"/>
      <c r="D875" s="196"/>
      <c r="E875" s="196"/>
      <c r="F875" s="155"/>
    </row>
    <row r="876" ht="22.5" customHeight="1">
      <c r="A876" s="202"/>
      <c r="B876" s="197"/>
      <c r="C876" s="144"/>
      <c r="D876" s="197"/>
      <c r="E876" s="197"/>
      <c r="F876" s="147"/>
    </row>
    <row r="877" ht="22.5" customHeight="1">
      <c r="A877" s="250"/>
      <c r="B877" s="196"/>
      <c r="C877" s="152"/>
      <c r="D877" s="196"/>
      <c r="E877" s="196"/>
      <c r="F877" s="155"/>
    </row>
    <row r="878" ht="22.5" customHeight="1">
      <c r="A878" s="202"/>
      <c r="B878" s="197"/>
      <c r="C878" s="144"/>
      <c r="D878" s="197"/>
      <c r="E878" s="197"/>
      <c r="F878" s="147"/>
    </row>
    <row r="879" ht="22.5" customHeight="1">
      <c r="A879" s="250"/>
      <c r="B879" s="196"/>
      <c r="C879" s="152"/>
      <c r="D879" s="196"/>
      <c r="E879" s="196"/>
      <c r="F879" s="155"/>
    </row>
    <row r="880" ht="22.5" customHeight="1">
      <c r="A880" s="202"/>
      <c r="B880" s="197"/>
      <c r="C880" s="144"/>
      <c r="D880" s="197"/>
      <c r="E880" s="197"/>
      <c r="F880" s="147"/>
    </row>
    <row r="881" ht="22.5" customHeight="1">
      <c r="A881" s="250"/>
      <c r="B881" s="196"/>
      <c r="C881" s="152"/>
      <c r="D881" s="196"/>
      <c r="E881" s="196"/>
      <c r="F881" s="155"/>
    </row>
    <row r="882" ht="22.5" customHeight="1">
      <c r="A882" s="202"/>
      <c r="B882" s="197"/>
      <c r="C882" s="144"/>
      <c r="D882" s="197"/>
      <c r="E882" s="197"/>
      <c r="F882" s="147"/>
    </row>
    <row r="883" ht="22.5" customHeight="1">
      <c r="A883" s="250"/>
      <c r="B883" s="196"/>
      <c r="C883" s="152"/>
      <c r="D883" s="196"/>
      <c r="E883" s="196"/>
      <c r="F883" s="155"/>
    </row>
    <row r="884" ht="22.5" customHeight="1">
      <c r="A884" s="202"/>
      <c r="B884" s="197"/>
      <c r="C884" s="144"/>
      <c r="D884" s="197"/>
      <c r="E884" s="197"/>
      <c r="F884" s="147"/>
    </row>
    <row r="885" ht="22.5" customHeight="1">
      <c r="A885" s="250"/>
      <c r="B885" s="196"/>
      <c r="C885" s="152"/>
      <c r="D885" s="196"/>
      <c r="E885" s="196"/>
      <c r="F885" s="155"/>
    </row>
    <row r="886" ht="22.5" customHeight="1">
      <c r="A886" s="202"/>
      <c r="B886" s="197"/>
      <c r="C886" s="144"/>
      <c r="D886" s="197"/>
      <c r="E886" s="197"/>
      <c r="F886" s="147"/>
    </row>
    <row r="887" ht="22.5" customHeight="1">
      <c r="A887" s="250"/>
      <c r="B887" s="196"/>
      <c r="C887" s="152"/>
      <c r="D887" s="196"/>
      <c r="E887" s="196"/>
      <c r="F887" s="155"/>
    </row>
    <row r="888" ht="22.5" customHeight="1">
      <c r="A888" s="202"/>
      <c r="B888" s="197"/>
      <c r="C888" s="144"/>
      <c r="D888" s="197"/>
      <c r="E888" s="197"/>
      <c r="F888" s="147"/>
    </row>
    <row r="889" ht="22.5" customHeight="1">
      <c r="A889" s="250"/>
      <c r="B889" s="196"/>
      <c r="C889" s="152"/>
      <c r="D889" s="196"/>
      <c r="E889" s="196"/>
      <c r="F889" s="155"/>
    </row>
    <row r="890" ht="22.5" customHeight="1">
      <c r="A890" s="202"/>
      <c r="B890" s="197"/>
      <c r="C890" s="144"/>
      <c r="D890" s="197"/>
      <c r="E890" s="197"/>
      <c r="F890" s="147"/>
    </row>
    <row r="891" ht="22.5" customHeight="1">
      <c r="A891" s="250"/>
      <c r="B891" s="196"/>
      <c r="C891" s="152"/>
      <c r="D891" s="196"/>
      <c r="E891" s="196"/>
      <c r="F891" s="155"/>
    </row>
    <row r="892" ht="22.5" customHeight="1">
      <c r="A892" s="202"/>
      <c r="B892" s="197"/>
      <c r="C892" s="144"/>
      <c r="D892" s="197"/>
      <c r="E892" s="197"/>
      <c r="F892" s="147"/>
    </row>
    <row r="893" ht="22.5" customHeight="1">
      <c r="A893" s="250"/>
      <c r="B893" s="196"/>
      <c r="C893" s="152"/>
      <c r="D893" s="196"/>
      <c r="E893" s="196"/>
      <c r="F893" s="155"/>
    </row>
    <row r="894" ht="22.5" customHeight="1">
      <c r="A894" s="202"/>
      <c r="B894" s="197"/>
      <c r="C894" s="144"/>
      <c r="D894" s="197"/>
      <c r="E894" s="197"/>
      <c r="F894" s="147"/>
    </row>
    <row r="895" ht="22.5" customHeight="1">
      <c r="A895" s="250"/>
      <c r="B895" s="196"/>
      <c r="C895" s="152"/>
      <c r="D895" s="196"/>
      <c r="E895" s="196"/>
      <c r="F895" s="155"/>
    </row>
    <row r="896" ht="22.5" customHeight="1">
      <c r="A896" s="202"/>
      <c r="B896" s="197"/>
      <c r="C896" s="144"/>
      <c r="D896" s="197"/>
      <c r="E896" s="197"/>
      <c r="F896" s="147"/>
    </row>
    <row r="897" ht="22.5" customHeight="1">
      <c r="A897" s="250"/>
      <c r="B897" s="196"/>
      <c r="C897" s="152"/>
      <c r="D897" s="196"/>
      <c r="E897" s="196"/>
      <c r="F897" s="155"/>
    </row>
    <row r="898" ht="22.5" customHeight="1">
      <c r="A898" s="202"/>
      <c r="B898" s="197"/>
      <c r="C898" s="144"/>
      <c r="D898" s="197"/>
      <c r="E898" s="197"/>
      <c r="F898" s="147"/>
    </row>
    <row r="899" ht="22.5" customHeight="1">
      <c r="A899" s="250"/>
      <c r="B899" s="196"/>
      <c r="C899" s="152"/>
      <c r="D899" s="196"/>
      <c r="E899" s="196"/>
      <c r="F899" s="155"/>
    </row>
    <row r="900" ht="22.5" customHeight="1">
      <c r="A900" s="202"/>
      <c r="B900" s="197"/>
      <c r="C900" s="144"/>
      <c r="D900" s="197"/>
      <c r="E900" s="197"/>
      <c r="F900" s="147"/>
    </row>
    <row r="901" ht="22.5" customHeight="1">
      <c r="A901" s="250"/>
      <c r="B901" s="196"/>
      <c r="C901" s="152"/>
      <c r="D901" s="196"/>
      <c r="E901" s="196"/>
      <c r="F901" s="155"/>
    </row>
    <row r="902" ht="22.5" customHeight="1">
      <c r="A902" s="202"/>
      <c r="B902" s="197"/>
      <c r="C902" s="144"/>
      <c r="D902" s="197"/>
      <c r="E902" s="197"/>
      <c r="F902" s="147"/>
    </row>
    <row r="903" ht="22.5" customHeight="1">
      <c r="A903" s="250"/>
      <c r="B903" s="196"/>
      <c r="C903" s="152"/>
      <c r="D903" s="196"/>
      <c r="E903" s="196"/>
      <c r="F903" s="155"/>
    </row>
    <row r="904" ht="22.5" customHeight="1">
      <c r="A904" s="202"/>
      <c r="B904" s="197"/>
      <c r="C904" s="144"/>
      <c r="D904" s="197"/>
      <c r="E904" s="197"/>
      <c r="F904" s="147"/>
    </row>
    <row r="905" ht="22.5" customHeight="1">
      <c r="A905" s="250"/>
      <c r="B905" s="196"/>
      <c r="C905" s="152"/>
      <c r="D905" s="196"/>
      <c r="E905" s="196"/>
      <c r="F905" s="155"/>
    </row>
    <row r="906" ht="22.5" customHeight="1">
      <c r="A906" s="202"/>
      <c r="B906" s="197"/>
      <c r="C906" s="144"/>
      <c r="D906" s="197"/>
      <c r="E906" s="197"/>
      <c r="F906" s="147"/>
    </row>
    <row r="907" ht="22.5" customHeight="1">
      <c r="A907" s="250"/>
      <c r="B907" s="196"/>
      <c r="C907" s="152"/>
      <c r="D907" s="196"/>
      <c r="E907" s="196"/>
      <c r="F907" s="155"/>
    </row>
    <row r="908" ht="22.5" customHeight="1">
      <c r="A908" s="202"/>
      <c r="B908" s="197"/>
      <c r="C908" s="144"/>
      <c r="D908" s="197"/>
      <c r="E908" s="197"/>
      <c r="F908" s="147"/>
    </row>
    <row r="909" ht="22.5" customHeight="1">
      <c r="A909" s="250"/>
      <c r="B909" s="196"/>
      <c r="C909" s="152"/>
      <c r="D909" s="196"/>
      <c r="E909" s="196"/>
      <c r="F909" s="155"/>
    </row>
    <row r="910" ht="22.5" customHeight="1">
      <c r="A910" s="202"/>
      <c r="B910" s="197"/>
      <c r="C910" s="144"/>
      <c r="D910" s="197"/>
      <c r="E910" s="197"/>
      <c r="F910" s="147"/>
    </row>
    <row r="911" ht="22.5" customHeight="1">
      <c r="A911" s="250"/>
      <c r="B911" s="196"/>
      <c r="C911" s="152"/>
      <c r="D911" s="196"/>
      <c r="E911" s="196"/>
      <c r="F911" s="155"/>
    </row>
    <row r="912" ht="22.5" customHeight="1">
      <c r="A912" s="202"/>
      <c r="B912" s="197"/>
      <c r="C912" s="144"/>
      <c r="D912" s="197"/>
      <c r="E912" s="197"/>
      <c r="F912" s="147"/>
    </row>
    <row r="913" ht="22.5" customHeight="1">
      <c r="A913" s="250"/>
      <c r="B913" s="196"/>
      <c r="C913" s="152"/>
      <c r="D913" s="196"/>
      <c r="E913" s="196"/>
      <c r="F913" s="155"/>
    </row>
    <row r="914" ht="22.5" customHeight="1">
      <c r="A914" s="202"/>
      <c r="B914" s="197"/>
      <c r="C914" s="144"/>
      <c r="D914" s="197"/>
      <c r="E914" s="197"/>
      <c r="F914" s="147"/>
    </row>
    <row r="915" ht="22.5" customHeight="1">
      <c r="A915" s="250"/>
      <c r="B915" s="196"/>
      <c r="C915" s="152"/>
      <c r="D915" s="196"/>
      <c r="E915" s="196"/>
      <c r="F915" s="155"/>
    </row>
    <row r="916" ht="22.5" customHeight="1">
      <c r="A916" s="202"/>
      <c r="B916" s="197"/>
      <c r="C916" s="144"/>
      <c r="D916" s="197"/>
      <c r="E916" s="197"/>
      <c r="F916" s="147"/>
    </row>
    <row r="917" ht="22.5" customHeight="1">
      <c r="A917" s="250"/>
      <c r="B917" s="196"/>
      <c r="C917" s="152"/>
      <c r="D917" s="196"/>
      <c r="E917" s="196"/>
      <c r="F917" s="155"/>
    </row>
    <row r="918" ht="22.5" customHeight="1">
      <c r="A918" s="202"/>
      <c r="B918" s="197"/>
      <c r="C918" s="144"/>
      <c r="D918" s="197"/>
      <c r="E918" s="197"/>
      <c r="F918" s="147"/>
    </row>
    <row r="919" ht="22.5" customHeight="1">
      <c r="A919" s="250"/>
      <c r="B919" s="196"/>
      <c r="C919" s="152"/>
      <c r="D919" s="196"/>
      <c r="E919" s="196"/>
      <c r="F919" s="155"/>
    </row>
    <row r="920" ht="22.5" customHeight="1">
      <c r="A920" s="202"/>
      <c r="B920" s="197"/>
      <c r="C920" s="144"/>
      <c r="D920" s="197"/>
      <c r="E920" s="197"/>
      <c r="F920" s="147"/>
    </row>
    <row r="921" ht="22.5" customHeight="1">
      <c r="A921" s="250"/>
      <c r="B921" s="196"/>
      <c r="C921" s="152"/>
      <c r="D921" s="196"/>
      <c r="E921" s="196"/>
      <c r="F921" s="155"/>
    </row>
    <row r="922" ht="22.5" customHeight="1">
      <c r="A922" s="202"/>
      <c r="B922" s="197"/>
      <c r="C922" s="144"/>
      <c r="D922" s="197"/>
      <c r="E922" s="197"/>
      <c r="F922" s="147"/>
    </row>
    <row r="923" ht="22.5" customHeight="1">
      <c r="A923" s="250"/>
      <c r="B923" s="196"/>
      <c r="C923" s="152"/>
      <c r="D923" s="196"/>
      <c r="E923" s="196"/>
      <c r="F923" s="155"/>
    </row>
    <row r="924" ht="22.5" customHeight="1">
      <c r="A924" s="202"/>
      <c r="B924" s="197"/>
      <c r="C924" s="144"/>
      <c r="D924" s="197"/>
      <c r="E924" s="197"/>
      <c r="F924" s="147"/>
    </row>
    <row r="925" ht="22.5" customHeight="1">
      <c r="A925" s="250"/>
      <c r="B925" s="196"/>
      <c r="C925" s="152"/>
      <c r="D925" s="196"/>
      <c r="E925" s="196"/>
      <c r="F925" s="155"/>
    </row>
    <row r="926" ht="22.5" customHeight="1">
      <c r="A926" s="202"/>
      <c r="B926" s="197"/>
      <c r="C926" s="144"/>
      <c r="D926" s="197"/>
      <c r="E926" s="197"/>
      <c r="F926" s="147"/>
    </row>
    <row r="927" ht="22.5" customHeight="1">
      <c r="A927" s="250"/>
      <c r="B927" s="196"/>
      <c r="C927" s="152"/>
      <c r="D927" s="196"/>
      <c r="E927" s="196"/>
      <c r="F927" s="155"/>
    </row>
    <row r="928" ht="22.5" customHeight="1">
      <c r="A928" s="202"/>
      <c r="B928" s="197"/>
      <c r="C928" s="144"/>
      <c r="D928" s="197"/>
      <c r="E928" s="197"/>
      <c r="F928" s="147"/>
    </row>
    <row r="929" ht="22.5" customHeight="1">
      <c r="A929" s="250"/>
      <c r="B929" s="196"/>
      <c r="C929" s="152"/>
      <c r="D929" s="196"/>
      <c r="E929" s="196"/>
      <c r="F929" s="155"/>
    </row>
    <row r="930" ht="22.5" customHeight="1">
      <c r="A930" s="202"/>
      <c r="B930" s="197"/>
      <c r="C930" s="144"/>
      <c r="D930" s="197"/>
      <c r="E930" s="197"/>
      <c r="F930" s="147"/>
    </row>
    <row r="931" ht="22.5" customHeight="1">
      <c r="A931" s="250"/>
      <c r="B931" s="196"/>
      <c r="C931" s="152"/>
      <c r="D931" s="196"/>
      <c r="E931" s="196"/>
      <c r="F931" s="155"/>
    </row>
    <row r="932" ht="22.5" customHeight="1">
      <c r="A932" s="202"/>
      <c r="B932" s="197"/>
      <c r="C932" s="144"/>
      <c r="D932" s="197"/>
      <c r="E932" s="197"/>
      <c r="F932" s="147"/>
    </row>
    <row r="933" ht="22.5" customHeight="1">
      <c r="A933" s="250"/>
      <c r="B933" s="196"/>
      <c r="C933" s="152"/>
      <c r="D933" s="196"/>
      <c r="E933" s="196"/>
      <c r="F933" s="155"/>
    </row>
    <row r="934" ht="22.5" customHeight="1">
      <c r="A934" s="202"/>
      <c r="B934" s="197"/>
      <c r="C934" s="144"/>
      <c r="D934" s="197"/>
      <c r="E934" s="197"/>
      <c r="F934" s="147"/>
    </row>
    <row r="935" ht="22.5" customHeight="1">
      <c r="A935" s="250"/>
      <c r="B935" s="196"/>
      <c r="C935" s="152"/>
      <c r="D935" s="196"/>
      <c r="E935" s="196"/>
      <c r="F935" s="155"/>
    </row>
    <row r="936" ht="22.5" customHeight="1">
      <c r="A936" s="202"/>
      <c r="B936" s="197"/>
      <c r="C936" s="144"/>
      <c r="D936" s="197"/>
      <c r="E936" s="197"/>
      <c r="F936" s="147"/>
    </row>
    <row r="937" ht="22.5" customHeight="1">
      <c r="A937" s="250"/>
      <c r="B937" s="196"/>
      <c r="C937" s="152"/>
      <c r="D937" s="196"/>
      <c r="E937" s="196"/>
      <c r="F937" s="155"/>
    </row>
    <row r="938" ht="22.5" customHeight="1">
      <c r="A938" s="202"/>
      <c r="B938" s="197"/>
      <c r="C938" s="144"/>
      <c r="D938" s="197"/>
      <c r="E938" s="197"/>
      <c r="F938" s="147"/>
    </row>
    <row r="939" ht="22.5" customHeight="1">
      <c r="A939" s="250"/>
      <c r="B939" s="196"/>
      <c r="C939" s="152"/>
      <c r="D939" s="196"/>
      <c r="E939" s="196"/>
      <c r="F939" s="155"/>
    </row>
    <row r="940" ht="22.5" customHeight="1">
      <c r="A940" s="202"/>
      <c r="B940" s="197"/>
      <c r="C940" s="144"/>
      <c r="D940" s="197"/>
      <c r="E940" s="197"/>
      <c r="F940" s="147"/>
    </row>
    <row r="941" ht="22.5" customHeight="1">
      <c r="A941" s="250"/>
      <c r="B941" s="196"/>
      <c r="C941" s="152"/>
      <c r="D941" s="196"/>
      <c r="E941" s="196"/>
      <c r="F941" s="155"/>
    </row>
    <row r="942" ht="22.5" customHeight="1">
      <c r="A942" s="202"/>
      <c r="B942" s="197"/>
      <c r="C942" s="144"/>
      <c r="D942" s="197"/>
      <c r="E942" s="197"/>
      <c r="F942" s="147"/>
    </row>
    <row r="943" ht="22.5" customHeight="1">
      <c r="A943" s="250"/>
      <c r="B943" s="196"/>
      <c r="C943" s="152"/>
      <c r="D943" s="196"/>
      <c r="E943" s="196"/>
      <c r="F943" s="155"/>
    </row>
    <row r="944" ht="22.5" customHeight="1">
      <c r="A944" s="202"/>
      <c r="B944" s="197"/>
      <c r="C944" s="144"/>
      <c r="D944" s="197"/>
      <c r="E944" s="197"/>
      <c r="F944" s="147"/>
    </row>
    <row r="945" ht="22.5" customHeight="1">
      <c r="A945" s="250"/>
      <c r="B945" s="196"/>
      <c r="C945" s="152"/>
      <c r="D945" s="196"/>
      <c r="E945" s="196"/>
      <c r="F945" s="155"/>
    </row>
    <row r="946" ht="22.5" customHeight="1">
      <c r="A946" s="202"/>
      <c r="B946" s="197"/>
      <c r="C946" s="144"/>
      <c r="D946" s="197"/>
      <c r="E946" s="197"/>
      <c r="F946" s="147"/>
    </row>
    <row r="947" ht="22.5" customHeight="1">
      <c r="A947" s="250"/>
      <c r="B947" s="196"/>
      <c r="C947" s="152"/>
      <c r="D947" s="196"/>
      <c r="E947" s="196"/>
      <c r="F947" s="155"/>
    </row>
    <row r="948" ht="22.5" customHeight="1">
      <c r="A948" s="202"/>
      <c r="B948" s="197"/>
      <c r="C948" s="144"/>
      <c r="D948" s="197"/>
      <c r="E948" s="197"/>
      <c r="F948" s="147"/>
    </row>
    <row r="949" ht="22.5" customHeight="1">
      <c r="A949" s="250"/>
      <c r="B949" s="196"/>
      <c r="C949" s="152"/>
      <c r="D949" s="196"/>
      <c r="E949" s="196"/>
      <c r="F949" s="155"/>
    </row>
    <row r="950" ht="22.5" customHeight="1">
      <c r="A950" s="202"/>
      <c r="B950" s="197"/>
      <c r="C950" s="144"/>
      <c r="D950" s="197"/>
      <c r="E950" s="197"/>
      <c r="F950" s="147"/>
    </row>
    <row r="951" ht="22.5" customHeight="1">
      <c r="A951" s="250"/>
      <c r="B951" s="196"/>
      <c r="C951" s="152"/>
      <c r="D951" s="196"/>
      <c r="E951" s="196"/>
      <c r="F951" s="155"/>
    </row>
    <row r="952" ht="22.5" customHeight="1">
      <c r="A952" s="202"/>
      <c r="B952" s="197"/>
      <c r="C952" s="144"/>
      <c r="D952" s="197"/>
      <c r="E952" s="197"/>
      <c r="F952" s="147"/>
    </row>
    <row r="953" ht="22.5" customHeight="1">
      <c r="A953" s="250"/>
      <c r="B953" s="196"/>
      <c r="C953" s="152"/>
      <c r="D953" s="196"/>
      <c r="E953" s="196"/>
      <c r="F953" s="155"/>
    </row>
    <row r="954" ht="22.5" customHeight="1">
      <c r="A954" s="202"/>
      <c r="B954" s="197"/>
      <c r="C954" s="144"/>
      <c r="D954" s="197"/>
      <c r="E954" s="197"/>
      <c r="F954" s="147"/>
    </row>
    <row r="955" ht="22.5" customHeight="1">
      <c r="A955" s="250"/>
      <c r="B955" s="196"/>
      <c r="C955" s="152"/>
      <c r="D955" s="196"/>
      <c r="E955" s="196"/>
      <c r="F955" s="155"/>
    </row>
    <row r="956" ht="22.5" customHeight="1">
      <c r="A956" s="202"/>
      <c r="B956" s="197"/>
      <c r="C956" s="144"/>
      <c r="D956" s="197"/>
      <c r="E956" s="197"/>
      <c r="F956" s="147"/>
    </row>
    <row r="957" ht="22.5" customHeight="1">
      <c r="A957" s="250"/>
      <c r="B957" s="196"/>
      <c r="C957" s="152"/>
      <c r="D957" s="196"/>
      <c r="E957" s="196"/>
      <c r="F957" s="155"/>
    </row>
    <row r="958" ht="22.5" customHeight="1">
      <c r="A958" s="202"/>
      <c r="B958" s="197"/>
      <c r="C958" s="144"/>
      <c r="D958" s="197"/>
      <c r="E958" s="197"/>
      <c r="F958" s="147"/>
    </row>
    <row r="959" ht="22.5" customHeight="1">
      <c r="A959" s="250"/>
      <c r="B959" s="196"/>
      <c r="C959" s="152"/>
      <c r="D959" s="196"/>
      <c r="E959" s="196"/>
      <c r="F959" s="155"/>
    </row>
    <row r="960" ht="22.5" customHeight="1">
      <c r="A960" s="202"/>
      <c r="B960" s="197"/>
      <c r="C960" s="144"/>
      <c r="D960" s="197"/>
      <c r="E960" s="197"/>
      <c r="F960" s="147"/>
    </row>
    <row r="961" ht="22.5" customHeight="1">
      <c r="A961" s="250"/>
      <c r="B961" s="196"/>
      <c r="C961" s="152"/>
      <c r="D961" s="196"/>
      <c r="E961" s="196"/>
      <c r="F961" s="155"/>
    </row>
    <row r="962" ht="22.5" customHeight="1">
      <c r="A962" s="202"/>
      <c r="B962" s="197"/>
      <c r="C962" s="144"/>
      <c r="D962" s="197"/>
      <c r="E962" s="197"/>
      <c r="F962" s="147"/>
    </row>
    <row r="963" ht="22.5" customHeight="1">
      <c r="A963" s="250"/>
      <c r="B963" s="196"/>
      <c r="C963" s="152"/>
      <c r="D963" s="196"/>
      <c r="E963" s="196"/>
      <c r="F963" s="155"/>
    </row>
    <row r="964" ht="22.5" customHeight="1">
      <c r="A964" s="202"/>
      <c r="B964" s="197"/>
      <c r="C964" s="144"/>
      <c r="D964" s="197"/>
      <c r="E964" s="197"/>
      <c r="F964" s="147"/>
    </row>
    <row r="965" ht="22.5" customHeight="1">
      <c r="A965" s="250"/>
      <c r="B965" s="196"/>
      <c r="C965" s="152"/>
      <c r="D965" s="196"/>
      <c r="E965" s="196"/>
      <c r="F965" s="155"/>
    </row>
    <row r="966" ht="22.5" customHeight="1">
      <c r="A966" s="202"/>
      <c r="B966" s="197"/>
      <c r="C966" s="144"/>
      <c r="D966" s="197"/>
      <c r="E966" s="197"/>
      <c r="F966" s="147"/>
    </row>
    <row r="967" ht="22.5" customHeight="1">
      <c r="A967" s="250"/>
      <c r="B967" s="196"/>
      <c r="C967" s="152"/>
      <c r="D967" s="196"/>
      <c r="E967" s="196"/>
      <c r="F967" s="155"/>
    </row>
    <row r="968" ht="22.5" customHeight="1">
      <c r="A968" s="202"/>
      <c r="B968" s="197"/>
      <c r="C968" s="144"/>
      <c r="D968" s="197"/>
      <c r="E968" s="197"/>
      <c r="F968" s="147"/>
    </row>
    <row r="969" ht="22.5" customHeight="1">
      <c r="A969" s="250"/>
      <c r="B969" s="196"/>
      <c r="C969" s="152"/>
      <c r="D969" s="196"/>
      <c r="E969" s="196"/>
      <c r="F969" s="155"/>
    </row>
    <row r="970" ht="22.5" customHeight="1">
      <c r="A970" s="202"/>
      <c r="B970" s="197"/>
      <c r="C970" s="144"/>
      <c r="D970" s="197"/>
      <c r="E970" s="197"/>
      <c r="F970" s="147"/>
    </row>
    <row r="971" ht="22.5" customHeight="1">
      <c r="A971" s="250"/>
      <c r="B971" s="196"/>
      <c r="C971" s="152"/>
      <c r="D971" s="196"/>
      <c r="E971" s="196"/>
      <c r="F971" s="155"/>
    </row>
    <row r="972" ht="22.5" customHeight="1">
      <c r="A972" s="202"/>
      <c r="B972" s="197"/>
      <c r="C972" s="144"/>
      <c r="D972" s="197"/>
      <c r="E972" s="197"/>
      <c r="F972" s="147"/>
    </row>
    <row r="973" ht="22.5" customHeight="1">
      <c r="A973" s="250"/>
      <c r="B973" s="196"/>
      <c r="C973" s="152"/>
      <c r="D973" s="196"/>
      <c r="E973" s="196"/>
      <c r="F973" s="155"/>
    </row>
    <row r="974" ht="22.5" customHeight="1">
      <c r="A974" s="202"/>
      <c r="B974" s="197"/>
      <c r="C974" s="144"/>
      <c r="D974" s="197"/>
      <c r="E974" s="197"/>
      <c r="F974" s="147"/>
    </row>
    <row r="975" ht="22.5" customHeight="1">
      <c r="A975" s="250"/>
      <c r="B975" s="196"/>
      <c r="C975" s="152"/>
      <c r="D975" s="196"/>
      <c r="E975" s="196"/>
      <c r="F975" s="155"/>
    </row>
    <row r="976" ht="22.5" customHeight="1">
      <c r="A976" s="202"/>
      <c r="B976" s="197"/>
      <c r="C976" s="144"/>
      <c r="D976" s="197"/>
      <c r="E976" s="197"/>
      <c r="F976" s="147"/>
    </row>
    <row r="977" ht="22.5" customHeight="1">
      <c r="A977" s="250"/>
      <c r="B977" s="196"/>
      <c r="C977" s="152"/>
      <c r="D977" s="196"/>
      <c r="E977" s="196"/>
      <c r="F977" s="155"/>
    </row>
    <row r="978" ht="22.5" customHeight="1">
      <c r="A978" s="202"/>
      <c r="B978" s="197"/>
      <c r="C978" s="144"/>
      <c r="D978" s="197"/>
      <c r="E978" s="197"/>
      <c r="F978" s="147"/>
    </row>
    <row r="979" ht="22.5" customHeight="1">
      <c r="A979" s="250"/>
      <c r="B979" s="196"/>
      <c r="C979" s="152"/>
      <c r="D979" s="196"/>
      <c r="E979" s="196"/>
      <c r="F979" s="155"/>
    </row>
    <row r="980" ht="22.5" customHeight="1">
      <c r="A980" s="202"/>
      <c r="B980" s="197"/>
      <c r="C980" s="144"/>
      <c r="D980" s="197"/>
      <c r="E980" s="197"/>
      <c r="F980" s="147"/>
    </row>
    <row r="981" ht="22.5" customHeight="1">
      <c r="A981" s="250"/>
      <c r="B981" s="196"/>
      <c r="C981" s="152"/>
      <c r="D981" s="196"/>
      <c r="E981" s="196"/>
      <c r="F981" s="155"/>
    </row>
    <row r="982" ht="22.5" customHeight="1">
      <c r="A982" s="202"/>
      <c r="B982" s="197"/>
      <c r="C982" s="144"/>
      <c r="D982" s="197"/>
      <c r="E982" s="197"/>
      <c r="F982" s="147"/>
    </row>
    <row r="983" ht="22.5" customHeight="1">
      <c r="A983" s="250"/>
      <c r="B983" s="196"/>
      <c r="C983" s="152"/>
      <c r="D983" s="196"/>
      <c r="E983" s="196"/>
      <c r="F983" s="155"/>
    </row>
    <row r="984" ht="22.5" customHeight="1">
      <c r="A984" s="202"/>
      <c r="B984" s="197"/>
      <c r="C984" s="144"/>
      <c r="D984" s="197"/>
      <c r="E984" s="197"/>
      <c r="F984" s="147"/>
    </row>
    <row r="985" ht="22.5" customHeight="1">
      <c r="A985" s="250"/>
      <c r="B985" s="196"/>
      <c r="C985" s="152"/>
      <c r="D985" s="196"/>
      <c r="E985" s="196"/>
      <c r="F985" s="155"/>
    </row>
    <row r="986" ht="22.5" customHeight="1">
      <c r="A986" s="202"/>
      <c r="B986" s="197"/>
      <c r="C986" s="144"/>
      <c r="D986" s="197"/>
      <c r="E986" s="197"/>
      <c r="F986" s="147"/>
    </row>
    <row r="987" ht="22.5" customHeight="1">
      <c r="A987" s="250"/>
      <c r="B987" s="196"/>
      <c r="C987" s="152"/>
      <c r="D987" s="196"/>
      <c r="E987" s="196"/>
      <c r="F987" s="155"/>
    </row>
    <row r="988" ht="22.5" customHeight="1">
      <c r="A988" s="202"/>
      <c r="B988" s="197"/>
      <c r="C988" s="144"/>
      <c r="D988" s="197"/>
      <c r="E988" s="197"/>
      <c r="F988" s="147"/>
    </row>
    <row r="989" ht="22.5" customHeight="1">
      <c r="A989" s="250"/>
      <c r="B989" s="196"/>
      <c r="C989" s="152"/>
      <c r="D989" s="196"/>
      <c r="E989" s="196"/>
      <c r="F989" s="155"/>
    </row>
    <row r="990" ht="22.5" customHeight="1">
      <c r="A990" s="202"/>
      <c r="B990" s="197"/>
      <c r="C990" s="144"/>
      <c r="D990" s="197"/>
      <c r="E990" s="197"/>
      <c r="F990" s="147"/>
    </row>
    <row r="991" ht="22.5" customHeight="1">
      <c r="A991" s="250"/>
      <c r="B991" s="196"/>
      <c r="C991" s="152"/>
      <c r="D991" s="196"/>
      <c r="E991" s="196"/>
      <c r="F991" s="155"/>
    </row>
    <row r="992" ht="22.5" customHeight="1">
      <c r="A992" s="202"/>
      <c r="B992" s="197"/>
      <c r="C992" s="144"/>
      <c r="D992" s="197"/>
      <c r="E992" s="197"/>
      <c r="F992" s="147"/>
    </row>
    <row r="993" ht="22.5" customHeight="1">
      <c r="A993" s="250"/>
      <c r="B993" s="196"/>
      <c r="C993" s="152"/>
      <c r="D993" s="196"/>
      <c r="E993" s="196"/>
      <c r="F993" s="155"/>
    </row>
    <row r="994" ht="22.5" customHeight="1">
      <c r="A994" s="202"/>
      <c r="B994" s="197"/>
      <c r="C994" s="144"/>
      <c r="D994" s="197"/>
      <c r="E994" s="197"/>
      <c r="F994" s="147"/>
    </row>
    <row r="995" ht="22.5" customHeight="1">
      <c r="A995" s="250"/>
      <c r="B995" s="196"/>
      <c r="C995" s="152"/>
      <c r="D995" s="196"/>
      <c r="E995" s="196"/>
      <c r="F995" s="155"/>
    </row>
    <row r="996" ht="22.5" customHeight="1">
      <c r="A996" s="202"/>
      <c r="B996" s="197"/>
      <c r="C996" s="144"/>
      <c r="D996" s="197"/>
      <c r="E996" s="197"/>
      <c r="F996" s="147"/>
    </row>
    <row r="997" ht="22.5" customHeight="1">
      <c r="A997" s="250"/>
      <c r="B997" s="196"/>
      <c r="C997" s="152"/>
      <c r="D997" s="196"/>
      <c r="E997" s="196"/>
      <c r="F997" s="155"/>
    </row>
    <row r="998" ht="22.5" customHeight="1">
      <c r="A998" s="202"/>
      <c r="B998" s="197"/>
      <c r="C998" s="144"/>
      <c r="D998" s="197"/>
      <c r="E998" s="197"/>
      <c r="F998" s="147"/>
    </row>
    <row r="999" ht="22.5" customHeight="1">
      <c r="A999" s="250"/>
      <c r="B999" s="196"/>
      <c r="C999" s="152"/>
      <c r="D999" s="196"/>
      <c r="E999" s="196"/>
      <c r="F999" s="155"/>
    </row>
    <row r="1000" ht="22.5" customHeight="1">
      <c r="A1000" s="202"/>
      <c r="B1000" s="197"/>
      <c r="C1000" s="144"/>
      <c r="D1000" s="197"/>
      <c r="E1000" s="197"/>
      <c r="F1000" s="147"/>
    </row>
    <row r="1001" ht="22.5" customHeight="1">
      <c r="A1001" s="250"/>
      <c r="B1001" s="196"/>
      <c r="C1001" s="152"/>
      <c r="D1001" s="196"/>
      <c r="E1001" s="196"/>
      <c r="F1001" s="155"/>
    </row>
    <row r="1002" ht="22.5" customHeight="1">
      <c r="A1002" s="202"/>
      <c r="B1002" s="197"/>
      <c r="C1002" s="144"/>
      <c r="D1002" s="197"/>
      <c r="E1002" s="197"/>
      <c r="F1002" s="147"/>
    </row>
    <row r="1003" ht="22.5" customHeight="1">
      <c r="A1003" s="250"/>
      <c r="B1003" s="196"/>
      <c r="C1003" s="152"/>
      <c r="D1003" s="196"/>
      <c r="E1003" s="196"/>
      <c r="F1003" s="155"/>
    </row>
    <row r="1004" ht="22.5" customHeight="1">
      <c r="A1004" s="202"/>
      <c r="B1004" s="197"/>
      <c r="C1004" s="144"/>
      <c r="D1004" s="197"/>
      <c r="E1004" s="197"/>
      <c r="F1004" s="147"/>
    </row>
    <row r="1005" ht="22.5" customHeight="1">
      <c r="A1005" s="250"/>
      <c r="B1005" s="196"/>
      <c r="C1005" s="152"/>
      <c r="D1005" s="196"/>
      <c r="E1005" s="196"/>
      <c r="F1005" s="155"/>
    </row>
    <row r="1006" ht="22.5" customHeight="1">
      <c r="A1006" s="202"/>
      <c r="B1006" s="197"/>
      <c r="C1006" s="144"/>
      <c r="D1006" s="197"/>
      <c r="E1006" s="197"/>
      <c r="F1006" s="147"/>
    </row>
    <row r="1007" ht="22.5" customHeight="1">
      <c r="A1007" s="250"/>
      <c r="B1007" s="196"/>
      <c r="C1007" s="152"/>
      <c r="D1007" s="196"/>
      <c r="E1007" s="196"/>
      <c r="F1007" s="155"/>
    </row>
    <row r="1008" ht="22.5" customHeight="1">
      <c r="A1008" s="202"/>
      <c r="B1008" s="197"/>
      <c r="C1008" s="144"/>
      <c r="D1008" s="197"/>
      <c r="E1008" s="197"/>
      <c r="F1008" s="147"/>
    </row>
    <row r="1009" ht="22.5" customHeight="1">
      <c r="A1009" s="250"/>
      <c r="B1009" s="196"/>
      <c r="C1009" s="152"/>
      <c r="D1009" s="196"/>
      <c r="E1009" s="196"/>
      <c r="F1009" s="155"/>
    </row>
    <row r="1010" ht="22.5" customHeight="1">
      <c r="A1010" s="202"/>
      <c r="B1010" s="197"/>
      <c r="C1010" s="144"/>
      <c r="D1010" s="197"/>
      <c r="E1010" s="197"/>
      <c r="F1010" s="147"/>
    </row>
    <row r="1011" ht="22.5" customHeight="1">
      <c r="A1011" s="250"/>
      <c r="B1011" s="196"/>
      <c r="C1011" s="152"/>
      <c r="D1011" s="196"/>
      <c r="E1011" s="196"/>
      <c r="F1011" s="155"/>
    </row>
    <row r="1012" ht="22.5" customHeight="1">
      <c r="A1012" s="202"/>
      <c r="B1012" s="197"/>
      <c r="C1012" s="144"/>
      <c r="D1012" s="197"/>
      <c r="E1012" s="197"/>
      <c r="F1012" s="147"/>
    </row>
    <row r="1013" ht="22.5" customHeight="1">
      <c r="A1013" s="250"/>
      <c r="B1013" s="196"/>
      <c r="C1013" s="152"/>
      <c r="D1013" s="196"/>
      <c r="E1013" s="196"/>
      <c r="F1013" s="155"/>
    </row>
    <row r="1014" ht="22.5" customHeight="1">
      <c r="A1014" s="202"/>
      <c r="B1014" s="197"/>
      <c r="C1014" s="144"/>
      <c r="D1014" s="197"/>
      <c r="E1014" s="197"/>
      <c r="F1014" s="147"/>
    </row>
    <row r="1015" ht="22.5" customHeight="1">
      <c r="A1015" s="250"/>
      <c r="B1015" s="196"/>
      <c r="C1015" s="152"/>
      <c r="D1015" s="196"/>
      <c r="E1015" s="196"/>
      <c r="F1015" s="155"/>
    </row>
    <row r="1016" ht="22.5" customHeight="1">
      <c r="A1016" s="202"/>
      <c r="B1016" s="197"/>
      <c r="C1016" s="144"/>
      <c r="D1016" s="197"/>
      <c r="E1016" s="197"/>
      <c r="F1016" s="147"/>
    </row>
    <row r="1017" ht="22.5" customHeight="1">
      <c r="A1017" s="250"/>
      <c r="B1017" s="196"/>
      <c r="C1017" s="152"/>
      <c r="D1017" s="196"/>
      <c r="E1017" s="196"/>
      <c r="F1017" s="155"/>
    </row>
    <row r="1018" ht="22.5" customHeight="1">
      <c r="A1018" s="202"/>
      <c r="B1018" s="197"/>
      <c r="C1018" s="144"/>
      <c r="D1018" s="197"/>
      <c r="E1018" s="197"/>
      <c r="F1018" s="147"/>
    </row>
    <row r="1019" ht="22.5" customHeight="1">
      <c r="A1019" s="250"/>
      <c r="B1019" s="196"/>
      <c r="C1019" s="152"/>
      <c r="D1019" s="196"/>
      <c r="E1019" s="196"/>
      <c r="F1019" s="155"/>
    </row>
    <row r="1020" ht="22.5" customHeight="1">
      <c r="A1020" s="202"/>
      <c r="B1020" s="197"/>
      <c r="C1020" s="144"/>
      <c r="D1020" s="197"/>
      <c r="E1020" s="197"/>
      <c r="F1020" s="147"/>
    </row>
    <row r="1021" ht="22.5" customHeight="1">
      <c r="A1021" s="250"/>
      <c r="B1021" s="196"/>
      <c r="C1021" s="152"/>
      <c r="D1021" s="196"/>
      <c r="E1021" s="196"/>
      <c r="F1021" s="155"/>
    </row>
    <row r="1022" ht="22.5" customHeight="1">
      <c r="A1022" s="202"/>
      <c r="B1022" s="197"/>
      <c r="C1022" s="144"/>
      <c r="D1022" s="197"/>
      <c r="E1022" s="197"/>
      <c r="F1022" s="147"/>
    </row>
    <row r="1023" ht="22.5" customHeight="1">
      <c r="A1023" s="250"/>
      <c r="B1023" s="196"/>
      <c r="C1023" s="152"/>
      <c r="D1023" s="196"/>
      <c r="E1023" s="196"/>
      <c r="F1023" s="155"/>
    </row>
    <row r="1024" ht="22.5" customHeight="1">
      <c r="A1024" s="202"/>
      <c r="B1024" s="197"/>
      <c r="C1024" s="144"/>
      <c r="D1024" s="197"/>
      <c r="E1024" s="197"/>
      <c r="F1024" s="147"/>
    </row>
    <row r="1025" ht="22.5" customHeight="1">
      <c r="A1025" s="250"/>
      <c r="B1025" s="196"/>
      <c r="C1025" s="152"/>
      <c r="D1025" s="196"/>
      <c r="E1025" s="196"/>
      <c r="F1025" s="155"/>
    </row>
    <row r="1026" ht="22.5" customHeight="1">
      <c r="A1026" s="202"/>
      <c r="B1026" s="197"/>
      <c r="C1026" s="144"/>
      <c r="D1026" s="197"/>
      <c r="E1026" s="197"/>
      <c r="F1026" s="147"/>
    </row>
    <row r="1027" ht="22.5" customHeight="1">
      <c r="A1027" s="250"/>
      <c r="B1027" s="196"/>
      <c r="C1027" s="152"/>
      <c r="D1027" s="196"/>
      <c r="E1027" s="196"/>
      <c r="F1027" s="155"/>
    </row>
    <row r="1028" ht="22.5" customHeight="1">
      <c r="A1028" s="202"/>
      <c r="B1028" s="197"/>
      <c r="C1028" s="144"/>
      <c r="D1028" s="197"/>
      <c r="E1028" s="197"/>
      <c r="F1028" s="147"/>
    </row>
    <row r="1029" ht="22.5" customHeight="1">
      <c r="A1029" s="250"/>
      <c r="B1029" s="196"/>
      <c r="C1029" s="152"/>
      <c r="D1029" s="196"/>
      <c r="E1029" s="196"/>
      <c r="F1029" s="155"/>
    </row>
    <row r="1030" ht="22.5" customHeight="1">
      <c r="A1030" s="202"/>
      <c r="B1030" s="197"/>
      <c r="C1030" s="144"/>
      <c r="D1030" s="197"/>
      <c r="E1030" s="197"/>
      <c r="F1030" s="147"/>
    </row>
    <row r="1031" ht="22.5" customHeight="1">
      <c r="A1031" s="250"/>
      <c r="B1031" s="196"/>
      <c r="C1031" s="152"/>
      <c r="D1031" s="196"/>
      <c r="E1031" s="196"/>
      <c r="F1031" s="155"/>
    </row>
    <row r="1032" ht="22.5" customHeight="1">
      <c r="A1032" s="202"/>
      <c r="B1032" s="197"/>
      <c r="C1032" s="144"/>
      <c r="D1032" s="197"/>
      <c r="E1032" s="197"/>
      <c r="F1032" s="147"/>
    </row>
    <row r="1033" ht="22.5" customHeight="1">
      <c r="A1033" s="250"/>
      <c r="B1033" s="196"/>
      <c r="C1033" s="152"/>
      <c r="D1033" s="196"/>
      <c r="E1033" s="196"/>
      <c r="F1033" s="155"/>
    </row>
    <row r="1034" ht="22.5" customHeight="1">
      <c r="A1034" s="202"/>
      <c r="B1034" s="197"/>
      <c r="C1034" s="144"/>
      <c r="D1034" s="197"/>
      <c r="E1034" s="197"/>
      <c r="F1034" s="147"/>
    </row>
    <row r="1035" ht="22.5" customHeight="1">
      <c r="A1035" s="250"/>
      <c r="B1035" s="196"/>
      <c r="C1035" s="152"/>
      <c r="D1035" s="196"/>
      <c r="E1035" s="196"/>
      <c r="F1035" s="155"/>
    </row>
    <row r="1036" ht="22.5" customHeight="1">
      <c r="A1036" s="202"/>
      <c r="B1036" s="197"/>
      <c r="C1036" s="144"/>
      <c r="D1036" s="197"/>
      <c r="E1036" s="197"/>
      <c r="F1036" s="147"/>
    </row>
    <row r="1037" ht="22.5" customHeight="1">
      <c r="A1037" s="250"/>
      <c r="B1037" s="196"/>
      <c r="C1037" s="152"/>
      <c r="D1037" s="196"/>
      <c r="E1037" s="196"/>
      <c r="F1037" s="155"/>
    </row>
    <row r="1038" ht="22.5" customHeight="1">
      <c r="A1038" s="202"/>
      <c r="B1038" s="197"/>
      <c r="C1038" s="144"/>
      <c r="D1038" s="197"/>
      <c r="E1038" s="197"/>
      <c r="F1038" s="147"/>
    </row>
    <row r="1039" ht="22.5" customHeight="1">
      <c r="A1039" s="250"/>
      <c r="B1039" s="196"/>
      <c r="C1039" s="152"/>
      <c r="D1039" s="196"/>
      <c r="E1039" s="196"/>
      <c r="F1039" s="155"/>
    </row>
    <row r="1040" ht="22.5" customHeight="1">
      <c r="A1040" s="202"/>
      <c r="B1040" s="197"/>
      <c r="C1040" s="144"/>
      <c r="D1040" s="197"/>
      <c r="E1040" s="197"/>
      <c r="F1040" s="147"/>
    </row>
    <row r="1041" ht="22.5" customHeight="1">
      <c r="A1041" s="250"/>
      <c r="B1041" s="196"/>
      <c r="C1041" s="152"/>
      <c r="D1041" s="196"/>
      <c r="E1041" s="196"/>
      <c r="F1041" s="155"/>
    </row>
    <row r="1042" ht="22.5" customHeight="1">
      <c r="A1042" s="202"/>
      <c r="B1042" s="197"/>
      <c r="C1042" s="144"/>
      <c r="D1042" s="197"/>
      <c r="E1042" s="197"/>
      <c r="F1042" s="147"/>
    </row>
    <row r="1043" ht="22.5" customHeight="1">
      <c r="A1043" s="250"/>
      <c r="B1043" s="196"/>
      <c r="C1043" s="152"/>
      <c r="D1043" s="196"/>
      <c r="E1043" s="196"/>
      <c r="F1043" s="155"/>
    </row>
    <row r="1044" ht="22.5" customHeight="1">
      <c r="A1044" s="202"/>
      <c r="B1044" s="197"/>
      <c r="C1044" s="144"/>
      <c r="D1044" s="197"/>
      <c r="E1044" s="197"/>
      <c r="F1044" s="147"/>
    </row>
    <row r="1045" ht="22.5" customHeight="1">
      <c r="A1045" s="250"/>
      <c r="B1045" s="196"/>
      <c r="C1045" s="152"/>
      <c r="D1045" s="196"/>
      <c r="E1045" s="196"/>
      <c r="F1045" s="155"/>
    </row>
    <row r="1046" ht="22.5" customHeight="1">
      <c r="A1046" s="202"/>
      <c r="B1046" s="197"/>
      <c r="C1046" s="144"/>
      <c r="D1046" s="197"/>
      <c r="E1046" s="197"/>
      <c r="F1046" s="147"/>
    </row>
    <row r="1047" ht="22.5" customHeight="1">
      <c r="A1047" s="250"/>
      <c r="B1047" s="196"/>
      <c r="C1047" s="152"/>
      <c r="D1047" s="196"/>
      <c r="E1047" s="196"/>
      <c r="F1047" s="155"/>
    </row>
    <row r="1048" ht="22.5" customHeight="1">
      <c r="A1048" s="202"/>
      <c r="B1048" s="197"/>
      <c r="C1048" s="144"/>
      <c r="D1048" s="197"/>
      <c r="E1048" s="197"/>
      <c r="F1048" s="147"/>
    </row>
    <row r="1049" ht="22.5" customHeight="1">
      <c r="A1049" s="250"/>
      <c r="B1049" s="196"/>
      <c r="C1049" s="152"/>
      <c r="D1049" s="196"/>
      <c r="E1049" s="196"/>
      <c r="F1049" s="155"/>
    </row>
    <row r="1050" ht="22.5" customHeight="1">
      <c r="A1050" s="202"/>
      <c r="B1050" s="197"/>
      <c r="C1050" s="144"/>
      <c r="D1050" s="197"/>
      <c r="E1050" s="197"/>
      <c r="F1050" s="147"/>
    </row>
    <row r="1051" ht="22.5" customHeight="1">
      <c r="A1051" s="250"/>
      <c r="B1051" s="196"/>
      <c r="C1051" s="152"/>
      <c r="D1051" s="196"/>
      <c r="E1051" s="196"/>
      <c r="F1051" s="155"/>
    </row>
    <row r="1052" ht="22.5" customHeight="1">
      <c r="A1052" s="202"/>
      <c r="B1052" s="197"/>
      <c r="C1052" s="144"/>
      <c r="D1052" s="197"/>
      <c r="E1052" s="197"/>
      <c r="F1052" s="147"/>
    </row>
    <row r="1053" ht="22.5" customHeight="1">
      <c r="A1053" s="250"/>
      <c r="B1053" s="196"/>
      <c r="C1053" s="152"/>
      <c r="D1053" s="196"/>
      <c r="E1053" s="196"/>
      <c r="F1053" s="155"/>
    </row>
    <row r="1054" ht="22.5" customHeight="1">
      <c r="A1054" s="202"/>
      <c r="B1054" s="197"/>
      <c r="C1054" s="144"/>
      <c r="D1054" s="197"/>
      <c r="E1054" s="197"/>
      <c r="F1054" s="147"/>
    </row>
    <row r="1055" ht="22.5" customHeight="1">
      <c r="A1055" s="250"/>
      <c r="B1055" s="196"/>
      <c r="C1055" s="152"/>
      <c r="D1055" s="196"/>
      <c r="E1055" s="196"/>
      <c r="F1055" s="155"/>
    </row>
    <row r="1056" ht="22.5" customHeight="1">
      <c r="A1056" s="202"/>
      <c r="B1056" s="197"/>
      <c r="C1056" s="144"/>
      <c r="D1056" s="197"/>
      <c r="E1056" s="197"/>
      <c r="F1056" s="147"/>
    </row>
    <row r="1057" ht="22.5" customHeight="1">
      <c r="A1057" s="250"/>
      <c r="B1057" s="196"/>
      <c r="C1057" s="152"/>
      <c r="D1057" s="196"/>
      <c r="E1057" s="196"/>
      <c r="F1057" s="155"/>
    </row>
    <row r="1058" ht="22.5" customHeight="1">
      <c r="A1058" s="202"/>
      <c r="B1058" s="197"/>
      <c r="C1058" s="144"/>
      <c r="D1058" s="197"/>
      <c r="E1058" s="197"/>
      <c r="F1058" s="147"/>
    </row>
    <row r="1059" ht="22.5" customHeight="1">
      <c r="A1059" s="250"/>
      <c r="B1059" s="196"/>
      <c r="C1059" s="152"/>
      <c r="D1059" s="196"/>
      <c r="E1059" s="196"/>
      <c r="F1059" s="155"/>
    </row>
    <row r="1060" ht="22.5" customHeight="1">
      <c r="A1060" s="202"/>
      <c r="B1060" s="197"/>
      <c r="C1060" s="144"/>
      <c r="D1060" s="197"/>
      <c r="E1060" s="197"/>
      <c r="F1060" s="147"/>
    </row>
    <row r="1061" ht="22.5" customHeight="1">
      <c r="A1061" s="250"/>
      <c r="B1061" s="196"/>
      <c r="C1061" s="152"/>
      <c r="D1061" s="196"/>
      <c r="E1061" s="196"/>
      <c r="F1061" s="155"/>
    </row>
    <row r="1062" ht="22.5" customHeight="1">
      <c r="A1062" s="202"/>
      <c r="B1062" s="197"/>
      <c r="C1062" s="144"/>
      <c r="D1062" s="197"/>
      <c r="E1062" s="197"/>
      <c r="F1062" s="147"/>
    </row>
    <row r="1063" ht="22.5" customHeight="1">
      <c r="A1063" s="250"/>
      <c r="B1063" s="196"/>
      <c r="C1063" s="152"/>
      <c r="D1063" s="196"/>
      <c r="E1063" s="196"/>
      <c r="F1063" s="155"/>
    </row>
    <row r="1064" ht="22.5" customHeight="1">
      <c r="A1064" s="202"/>
      <c r="B1064" s="197"/>
      <c r="C1064" s="144"/>
      <c r="D1064" s="197"/>
      <c r="E1064" s="197"/>
      <c r="F1064" s="147"/>
    </row>
    <row r="1065" ht="22.5" customHeight="1">
      <c r="A1065" s="250"/>
      <c r="B1065" s="196"/>
      <c r="C1065" s="152"/>
      <c r="D1065" s="196"/>
      <c r="E1065" s="196"/>
      <c r="F1065" s="155"/>
    </row>
    <row r="1066" ht="22.5" customHeight="1">
      <c r="A1066" s="202"/>
      <c r="B1066" s="197"/>
      <c r="C1066" s="144"/>
      <c r="D1066" s="197"/>
      <c r="E1066" s="197"/>
      <c r="F1066" s="147"/>
    </row>
    <row r="1067" ht="22.5" customHeight="1">
      <c r="A1067" s="250"/>
      <c r="B1067" s="196"/>
      <c r="C1067" s="152"/>
      <c r="D1067" s="196"/>
      <c r="E1067" s="196"/>
      <c r="F1067" s="155"/>
    </row>
    <row r="1068" ht="22.5" customHeight="1">
      <c r="A1068" s="202"/>
      <c r="B1068" s="197"/>
      <c r="C1068" s="144"/>
      <c r="D1068" s="197"/>
      <c r="E1068" s="197"/>
      <c r="F1068" s="147"/>
    </row>
    <row r="1069" ht="22.5" customHeight="1">
      <c r="A1069" s="250"/>
      <c r="B1069" s="196"/>
      <c r="C1069" s="152"/>
      <c r="D1069" s="196"/>
      <c r="E1069" s="196"/>
      <c r="F1069" s="155"/>
    </row>
    <row r="1070" ht="22.5" customHeight="1">
      <c r="A1070" s="202"/>
      <c r="B1070" s="197"/>
      <c r="C1070" s="144"/>
      <c r="D1070" s="197"/>
      <c r="E1070" s="197"/>
      <c r="F1070" s="147"/>
    </row>
    <row r="1071" ht="22.5" customHeight="1">
      <c r="A1071" s="250"/>
      <c r="B1071" s="196"/>
      <c r="C1071" s="152"/>
      <c r="D1071" s="196"/>
      <c r="E1071" s="196"/>
      <c r="F1071" s="155"/>
    </row>
    <row r="1072" ht="22.5" customHeight="1">
      <c r="A1072" s="202"/>
      <c r="B1072" s="197"/>
      <c r="C1072" s="144"/>
      <c r="D1072" s="197"/>
      <c r="E1072" s="197"/>
      <c r="F1072" s="147"/>
    </row>
    <row r="1073" ht="22.5" customHeight="1">
      <c r="A1073" s="250"/>
      <c r="B1073" s="196"/>
      <c r="C1073" s="152"/>
      <c r="D1073" s="196"/>
      <c r="E1073" s="196"/>
      <c r="F1073" s="155"/>
    </row>
    <row r="1074" ht="22.5" customHeight="1">
      <c r="A1074" s="202"/>
      <c r="B1074" s="197"/>
      <c r="C1074" s="144"/>
      <c r="D1074" s="197"/>
      <c r="E1074" s="197"/>
      <c r="F1074" s="147"/>
    </row>
    <row r="1075" ht="22.5" customHeight="1">
      <c r="A1075" s="250"/>
      <c r="B1075" s="196"/>
      <c r="C1075" s="152"/>
      <c r="D1075" s="196"/>
      <c r="E1075" s="196"/>
      <c r="F1075" s="155"/>
    </row>
    <row r="1076" ht="22.5" customHeight="1">
      <c r="A1076" s="202"/>
      <c r="B1076" s="197"/>
      <c r="C1076" s="144"/>
      <c r="D1076" s="197"/>
      <c r="E1076" s="197"/>
      <c r="F1076" s="147"/>
    </row>
    <row r="1077" ht="22.5" customHeight="1">
      <c r="A1077" s="250"/>
      <c r="B1077" s="196"/>
      <c r="C1077" s="152"/>
      <c r="D1077" s="196"/>
      <c r="E1077" s="196"/>
      <c r="F1077" s="155"/>
    </row>
    <row r="1078" ht="22.5" customHeight="1">
      <c r="A1078" s="202"/>
      <c r="B1078" s="197"/>
      <c r="C1078" s="144"/>
      <c r="D1078" s="197"/>
      <c r="E1078" s="197"/>
      <c r="F1078" s="147"/>
    </row>
    <row r="1079" ht="22.5" customHeight="1">
      <c r="A1079" s="250"/>
      <c r="B1079" s="196"/>
      <c r="C1079" s="152"/>
      <c r="D1079" s="196"/>
      <c r="E1079" s="196"/>
      <c r="F1079" s="155"/>
    </row>
    <row r="1080" ht="22.5" customHeight="1">
      <c r="A1080" s="202"/>
      <c r="B1080" s="197"/>
      <c r="C1080" s="144"/>
      <c r="D1080" s="197"/>
      <c r="E1080" s="197"/>
      <c r="F1080" s="147"/>
    </row>
    <row r="1081" ht="22.5" customHeight="1">
      <c r="A1081" s="250"/>
      <c r="B1081" s="196"/>
      <c r="C1081" s="152"/>
      <c r="D1081" s="196"/>
      <c r="E1081" s="196"/>
      <c r="F1081" s="155"/>
    </row>
    <row r="1082" ht="22.5" customHeight="1">
      <c r="A1082" s="202"/>
      <c r="B1082" s="197"/>
      <c r="C1082" s="144"/>
      <c r="D1082" s="197"/>
      <c r="E1082" s="197"/>
      <c r="F1082" s="147"/>
    </row>
    <row r="1083" ht="22.5" customHeight="1">
      <c r="A1083" s="250"/>
      <c r="B1083" s="196"/>
      <c r="C1083" s="152"/>
      <c r="D1083" s="196"/>
      <c r="E1083" s="196"/>
      <c r="F1083" s="155"/>
    </row>
    <row r="1084" ht="22.5" customHeight="1">
      <c r="A1084" s="202"/>
      <c r="B1084" s="197"/>
      <c r="C1084" s="144"/>
      <c r="D1084" s="197"/>
      <c r="E1084" s="197"/>
      <c r="F1084" s="147"/>
    </row>
    <row r="1085" ht="22.5" customHeight="1">
      <c r="A1085" s="250"/>
      <c r="B1085" s="196"/>
      <c r="C1085" s="152"/>
      <c r="D1085" s="196"/>
      <c r="E1085" s="196"/>
      <c r="F1085" s="155"/>
    </row>
    <row r="1086" ht="22.5" customHeight="1">
      <c r="A1086" s="202"/>
      <c r="B1086" s="197"/>
      <c r="C1086" s="144"/>
      <c r="D1086" s="197"/>
      <c r="E1086" s="197"/>
      <c r="F1086" s="147"/>
    </row>
    <row r="1087" ht="22.5" customHeight="1">
      <c r="A1087" s="250"/>
      <c r="B1087" s="196"/>
      <c r="C1087" s="152"/>
      <c r="D1087" s="196"/>
      <c r="E1087" s="196"/>
      <c r="F1087" s="155"/>
    </row>
    <row r="1088" ht="22.5" customHeight="1">
      <c r="A1088" s="202"/>
      <c r="B1088" s="197"/>
      <c r="C1088" s="144"/>
      <c r="D1088" s="197"/>
      <c r="E1088" s="197"/>
      <c r="F1088" s="147"/>
    </row>
    <row r="1089" ht="22.5" customHeight="1">
      <c r="A1089" s="250"/>
      <c r="B1089" s="196"/>
      <c r="C1089" s="152"/>
      <c r="D1089" s="196"/>
      <c r="E1089" s="196"/>
      <c r="F1089" s="155"/>
    </row>
    <row r="1090" ht="22.5" customHeight="1">
      <c r="A1090" s="202"/>
      <c r="B1090" s="197"/>
      <c r="C1090" s="144"/>
      <c r="D1090" s="197"/>
      <c r="E1090" s="197"/>
      <c r="F1090" s="147"/>
    </row>
    <row r="1091" ht="22.5" customHeight="1">
      <c r="A1091" s="250"/>
      <c r="B1091" s="196"/>
      <c r="C1091" s="152"/>
      <c r="D1091" s="196"/>
      <c r="E1091" s="196"/>
      <c r="F1091" s="155"/>
    </row>
    <row r="1092" ht="22.5" customHeight="1">
      <c r="A1092" s="202"/>
      <c r="B1092" s="197"/>
      <c r="C1092" s="144"/>
      <c r="D1092" s="197"/>
      <c r="E1092" s="197"/>
      <c r="F1092" s="147"/>
    </row>
    <row r="1093" ht="22.5" customHeight="1">
      <c r="A1093" s="250"/>
      <c r="B1093" s="196"/>
      <c r="C1093" s="152"/>
      <c r="D1093" s="196"/>
      <c r="E1093" s="196"/>
      <c r="F1093" s="155"/>
    </row>
    <row r="1094" ht="22.5" customHeight="1">
      <c r="A1094" s="202"/>
      <c r="B1094" s="197"/>
      <c r="C1094" s="144"/>
      <c r="D1094" s="197"/>
      <c r="E1094" s="197"/>
      <c r="F1094" s="147"/>
    </row>
    <row r="1095" ht="22.5" customHeight="1">
      <c r="A1095" s="250"/>
      <c r="B1095" s="196"/>
      <c r="C1095" s="152"/>
      <c r="D1095" s="196"/>
      <c r="E1095" s="196"/>
      <c r="F1095" s="155"/>
    </row>
    <row r="1096" ht="22.5" customHeight="1">
      <c r="A1096" s="202"/>
      <c r="B1096" s="197"/>
      <c r="C1096" s="144"/>
      <c r="D1096" s="197"/>
      <c r="E1096" s="197"/>
      <c r="F1096" s="147"/>
    </row>
    <row r="1097" ht="22.5" customHeight="1">
      <c r="A1097" s="250"/>
      <c r="B1097" s="196"/>
      <c r="C1097" s="152"/>
      <c r="D1097" s="196"/>
      <c r="E1097" s="196"/>
      <c r="F1097" s="155"/>
    </row>
    <row r="1098" ht="22.5" customHeight="1">
      <c r="A1098" s="202"/>
      <c r="B1098" s="197"/>
      <c r="C1098" s="144"/>
      <c r="D1098" s="197"/>
      <c r="E1098" s="197"/>
      <c r="F1098" s="147"/>
    </row>
    <row r="1099" ht="22.5" customHeight="1">
      <c r="A1099" s="250"/>
      <c r="B1099" s="196"/>
      <c r="C1099" s="152"/>
      <c r="D1099" s="196"/>
      <c r="E1099" s="196"/>
      <c r="F1099" s="155"/>
    </row>
    <row r="1100" ht="22.5" customHeight="1">
      <c r="A1100" s="202"/>
      <c r="B1100" s="197"/>
      <c r="C1100" s="144"/>
      <c r="D1100" s="197"/>
      <c r="E1100" s="197"/>
      <c r="F1100" s="147"/>
    </row>
    <row r="1101" ht="22.5" customHeight="1">
      <c r="A1101" s="250"/>
      <c r="B1101" s="196"/>
      <c r="C1101" s="152"/>
      <c r="D1101" s="196"/>
      <c r="E1101" s="196"/>
      <c r="F1101" s="155"/>
    </row>
    <row r="1102" ht="22.5" customHeight="1">
      <c r="A1102" s="202"/>
      <c r="B1102" s="197"/>
      <c r="C1102" s="144"/>
      <c r="D1102" s="197"/>
      <c r="E1102" s="197"/>
      <c r="F1102" s="147"/>
    </row>
    <row r="1103" ht="22.5" customHeight="1">
      <c r="A1103" s="250"/>
      <c r="B1103" s="196"/>
      <c r="C1103" s="152"/>
      <c r="D1103" s="196"/>
      <c r="E1103" s="196"/>
      <c r="F1103" s="155"/>
    </row>
    <row r="1104" ht="22.5" customHeight="1">
      <c r="A1104" s="202"/>
      <c r="B1104" s="197"/>
      <c r="C1104" s="144"/>
      <c r="D1104" s="197"/>
      <c r="E1104" s="197"/>
      <c r="F1104" s="147"/>
    </row>
    <row r="1105" ht="22.5" customHeight="1">
      <c r="A1105" s="250"/>
      <c r="B1105" s="196"/>
      <c r="C1105" s="152"/>
      <c r="D1105" s="196"/>
      <c r="E1105" s="196"/>
      <c r="F1105" s="155"/>
    </row>
    <row r="1106" ht="22.5" customHeight="1">
      <c r="A1106" s="202"/>
      <c r="B1106" s="197"/>
      <c r="C1106" s="144"/>
      <c r="D1106" s="197"/>
      <c r="E1106" s="197"/>
      <c r="F1106" s="147"/>
    </row>
    <row r="1107" ht="22.5" customHeight="1">
      <c r="A1107" s="250"/>
      <c r="B1107" s="196"/>
      <c r="C1107" s="152"/>
      <c r="D1107" s="196"/>
      <c r="E1107" s="196"/>
      <c r="F1107" s="155"/>
    </row>
    <row r="1108" ht="22.5" customHeight="1">
      <c r="A1108" s="202"/>
      <c r="B1108" s="197"/>
      <c r="C1108" s="144"/>
      <c r="D1108" s="197"/>
      <c r="E1108" s="197"/>
      <c r="F1108" s="147"/>
    </row>
    <row r="1109" ht="22.5" customHeight="1">
      <c r="A1109" s="250"/>
      <c r="B1109" s="196"/>
      <c r="C1109" s="152"/>
      <c r="D1109" s="196"/>
      <c r="E1109" s="196"/>
      <c r="F1109" s="155"/>
    </row>
    <row r="1110" ht="22.5" customHeight="1">
      <c r="A1110" s="202"/>
      <c r="B1110" s="197"/>
      <c r="C1110" s="144"/>
      <c r="D1110" s="197"/>
      <c r="E1110" s="197"/>
      <c r="F1110" s="147"/>
    </row>
    <row r="1111" ht="22.5" customHeight="1">
      <c r="A1111" s="250"/>
      <c r="B1111" s="196"/>
      <c r="C1111" s="152"/>
      <c r="D1111" s="196"/>
      <c r="E1111" s="196"/>
      <c r="F1111" s="155"/>
    </row>
    <row r="1112" ht="22.5" customHeight="1">
      <c r="A1112" s="202"/>
      <c r="B1112" s="197"/>
      <c r="C1112" s="144"/>
      <c r="D1112" s="197"/>
      <c r="E1112" s="197"/>
      <c r="F1112" s="147"/>
    </row>
    <row r="1113" ht="22.5" customHeight="1">
      <c r="A1113" s="250"/>
      <c r="B1113" s="196"/>
      <c r="C1113" s="152"/>
      <c r="D1113" s="196"/>
      <c r="E1113" s="196"/>
      <c r="F1113" s="155"/>
    </row>
    <row r="1114" ht="22.5" customHeight="1">
      <c r="A1114" s="202"/>
      <c r="B1114" s="197"/>
      <c r="C1114" s="144"/>
      <c r="D1114" s="197"/>
      <c r="E1114" s="197"/>
      <c r="F1114" s="147"/>
    </row>
    <row r="1115" ht="22.5" customHeight="1">
      <c r="A1115" s="250"/>
      <c r="B1115" s="196"/>
      <c r="C1115" s="152"/>
      <c r="D1115" s="196"/>
      <c r="E1115" s="196"/>
      <c r="F1115" s="155"/>
    </row>
    <row r="1116" ht="22.5" customHeight="1">
      <c r="A1116" s="202"/>
      <c r="B1116" s="197"/>
      <c r="C1116" s="144"/>
      <c r="D1116" s="197"/>
      <c r="E1116" s="197"/>
      <c r="F1116" s="147"/>
    </row>
    <row r="1117" ht="22.5" customHeight="1">
      <c r="A1117" s="250"/>
      <c r="B1117" s="196"/>
      <c r="C1117" s="152"/>
      <c r="D1117" s="196"/>
      <c r="E1117" s="196"/>
      <c r="F1117" s="155"/>
    </row>
    <row r="1118" ht="22.5" customHeight="1">
      <c r="A1118" s="202"/>
      <c r="B1118" s="197"/>
      <c r="C1118" s="144"/>
      <c r="D1118" s="197"/>
      <c r="E1118" s="197"/>
      <c r="F1118" s="147"/>
    </row>
    <row r="1119" ht="22.5" customHeight="1">
      <c r="A1119" s="250"/>
      <c r="B1119" s="196"/>
      <c r="C1119" s="152"/>
      <c r="D1119" s="196"/>
      <c r="E1119" s="196"/>
      <c r="F1119" s="155"/>
    </row>
    <row r="1120" ht="22.5" customHeight="1">
      <c r="A1120" s="202"/>
      <c r="B1120" s="197"/>
      <c r="C1120" s="144"/>
      <c r="D1120" s="197"/>
      <c r="E1120" s="197"/>
      <c r="F1120" s="147"/>
    </row>
    <row r="1121" ht="22.5" customHeight="1">
      <c r="A1121" s="250"/>
      <c r="B1121" s="196"/>
      <c r="C1121" s="152"/>
      <c r="D1121" s="196"/>
      <c r="E1121" s="196"/>
      <c r="F1121" s="155"/>
    </row>
    <row r="1122" ht="22.5" customHeight="1">
      <c r="A1122" s="202"/>
      <c r="B1122" s="197"/>
      <c r="C1122" s="144"/>
      <c r="D1122" s="197"/>
      <c r="E1122" s="197"/>
      <c r="F1122" s="147"/>
    </row>
    <row r="1123" ht="22.5" customHeight="1">
      <c r="A1123" s="250"/>
      <c r="B1123" s="196"/>
      <c r="C1123" s="152"/>
      <c r="D1123" s="196"/>
      <c r="E1123" s="196"/>
      <c r="F1123" s="155"/>
    </row>
    <row r="1124" ht="22.5" customHeight="1">
      <c r="A1124" s="202"/>
      <c r="B1124" s="197"/>
      <c r="C1124" s="144"/>
      <c r="D1124" s="197"/>
      <c r="E1124" s="197"/>
      <c r="F1124" s="147"/>
    </row>
    <row r="1125" ht="22.5" customHeight="1">
      <c r="A1125" s="250"/>
      <c r="B1125" s="196"/>
      <c r="C1125" s="152"/>
      <c r="D1125" s="196"/>
      <c r="E1125" s="196"/>
      <c r="F1125" s="155"/>
    </row>
    <row r="1126" ht="22.5" customHeight="1">
      <c r="A1126" s="202"/>
      <c r="B1126" s="197"/>
      <c r="C1126" s="144"/>
      <c r="D1126" s="197"/>
      <c r="E1126" s="197"/>
      <c r="F1126" s="147"/>
    </row>
    <row r="1127" ht="22.5" customHeight="1">
      <c r="A1127" s="250"/>
      <c r="B1127" s="196"/>
      <c r="C1127" s="152"/>
      <c r="D1127" s="196"/>
      <c r="E1127" s="196"/>
      <c r="F1127" s="155"/>
    </row>
    <row r="1128" ht="22.5" customHeight="1">
      <c r="A1128" s="202"/>
      <c r="B1128" s="197"/>
      <c r="C1128" s="144"/>
      <c r="D1128" s="197"/>
      <c r="E1128" s="197"/>
      <c r="F1128" s="147"/>
    </row>
    <row r="1129" ht="22.5" customHeight="1">
      <c r="A1129" s="250"/>
      <c r="B1129" s="196"/>
      <c r="C1129" s="152"/>
      <c r="D1129" s="196"/>
      <c r="E1129" s="196"/>
      <c r="F1129" s="155"/>
    </row>
    <row r="1130" ht="22.5" customHeight="1">
      <c r="A1130" s="202"/>
      <c r="B1130" s="197"/>
      <c r="C1130" s="144"/>
      <c r="D1130" s="197"/>
      <c r="E1130" s="197"/>
      <c r="F1130" s="147"/>
    </row>
    <row r="1131" ht="22.5" customHeight="1">
      <c r="A1131" s="250"/>
      <c r="B1131" s="196"/>
      <c r="C1131" s="152"/>
      <c r="D1131" s="196"/>
      <c r="E1131" s="196"/>
      <c r="F1131" s="155"/>
    </row>
    <row r="1132" ht="22.5" customHeight="1">
      <c r="A1132" s="202"/>
      <c r="B1132" s="197"/>
      <c r="C1132" s="144"/>
      <c r="D1132" s="197"/>
      <c r="E1132" s="197"/>
      <c r="F1132" s="147"/>
    </row>
    <row r="1133" ht="22.5" customHeight="1">
      <c r="A1133" s="250"/>
      <c r="B1133" s="196"/>
      <c r="C1133" s="152"/>
      <c r="D1133" s="196"/>
      <c r="E1133" s="196"/>
      <c r="F1133" s="155"/>
    </row>
    <row r="1134" ht="22.5" customHeight="1">
      <c r="A1134" s="202"/>
      <c r="B1134" s="197"/>
      <c r="C1134" s="144"/>
      <c r="D1134" s="197"/>
      <c r="E1134" s="197"/>
      <c r="F1134" s="147"/>
    </row>
    <row r="1135" ht="22.5" customHeight="1">
      <c r="A1135" s="250"/>
      <c r="B1135" s="196"/>
      <c r="C1135" s="152"/>
      <c r="D1135" s="196"/>
      <c r="E1135" s="196"/>
      <c r="F1135" s="155"/>
    </row>
    <row r="1136" ht="22.5" customHeight="1">
      <c r="A1136" s="202"/>
      <c r="B1136" s="197"/>
      <c r="C1136" s="144"/>
      <c r="D1136" s="197"/>
      <c r="E1136" s="197"/>
      <c r="F1136" s="147"/>
    </row>
    <row r="1137" ht="22.5" customHeight="1">
      <c r="A1137" s="250"/>
      <c r="B1137" s="196"/>
      <c r="C1137" s="152"/>
      <c r="D1137" s="196"/>
      <c r="E1137" s="196"/>
      <c r="F1137" s="155"/>
    </row>
    <row r="1138" ht="22.5" customHeight="1">
      <c r="A1138" s="202"/>
      <c r="B1138" s="197"/>
      <c r="C1138" s="144"/>
      <c r="D1138" s="197"/>
      <c r="E1138" s="197"/>
      <c r="F1138" s="147"/>
    </row>
    <row r="1139" ht="22.5" customHeight="1">
      <c r="A1139" s="250"/>
      <c r="B1139" s="196"/>
      <c r="C1139" s="152"/>
      <c r="D1139" s="196"/>
      <c r="E1139" s="196"/>
      <c r="F1139" s="155"/>
    </row>
    <row r="1140" ht="22.5" customHeight="1">
      <c r="A1140" s="202"/>
      <c r="B1140" s="197"/>
      <c r="C1140" s="144"/>
      <c r="D1140" s="197"/>
      <c r="E1140" s="197"/>
      <c r="F1140" s="147"/>
    </row>
    <row r="1141" ht="22.5" customHeight="1">
      <c r="A1141" s="250"/>
      <c r="B1141" s="196"/>
      <c r="C1141" s="152"/>
      <c r="D1141" s="196"/>
      <c r="E1141" s="196"/>
      <c r="F1141" s="155"/>
    </row>
    <row r="1142" ht="22.5" customHeight="1">
      <c r="A1142" s="202"/>
      <c r="B1142" s="197"/>
      <c r="C1142" s="144"/>
      <c r="D1142" s="197"/>
      <c r="E1142" s="197"/>
      <c r="F1142" s="147"/>
    </row>
    <row r="1143" ht="22.5" customHeight="1">
      <c r="A1143" s="250"/>
      <c r="B1143" s="196"/>
      <c r="C1143" s="152"/>
      <c r="D1143" s="196"/>
      <c r="E1143" s="196"/>
      <c r="F1143" s="155"/>
    </row>
    <row r="1144" ht="22.5" customHeight="1">
      <c r="A1144" s="202"/>
      <c r="B1144" s="197"/>
      <c r="C1144" s="144"/>
      <c r="D1144" s="197"/>
      <c r="E1144" s="197"/>
      <c r="F1144" s="147"/>
    </row>
    <row r="1145" ht="22.5" customHeight="1">
      <c r="A1145" s="250"/>
      <c r="B1145" s="196"/>
      <c r="C1145" s="152"/>
      <c r="D1145" s="196"/>
      <c r="E1145" s="196"/>
      <c r="F1145" s="155"/>
    </row>
    <row r="1146" ht="22.5" customHeight="1">
      <c r="A1146" s="202"/>
      <c r="B1146" s="197"/>
      <c r="C1146" s="144"/>
      <c r="D1146" s="197"/>
      <c r="E1146" s="197"/>
      <c r="F1146" s="147"/>
    </row>
    <row r="1147" ht="22.5" customHeight="1">
      <c r="A1147" s="250"/>
      <c r="B1147" s="196"/>
      <c r="C1147" s="152"/>
      <c r="D1147" s="196"/>
      <c r="E1147" s="196"/>
      <c r="F1147" s="155"/>
    </row>
    <row r="1148" ht="22.5" customHeight="1">
      <c r="A1148" s="202"/>
      <c r="B1148" s="197"/>
      <c r="C1148" s="144"/>
      <c r="D1148" s="197"/>
      <c r="E1148" s="197"/>
      <c r="F1148" s="147"/>
    </row>
    <row r="1149" ht="22.5" customHeight="1">
      <c r="A1149" s="250"/>
      <c r="B1149" s="196"/>
      <c r="C1149" s="152"/>
      <c r="D1149" s="196"/>
      <c r="E1149" s="196"/>
      <c r="F1149" s="155"/>
    </row>
    <row r="1150" ht="22.5" customHeight="1">
      <c r="A1150" s="202"/>
      <c r="B1150" s="197"/>
      <c r="C1150" s="144"/>
      <c r="D1150" s="197"/>
      <c r="E1150" s="197"/>
      <c r="F1150" s="147"/>
    </row>
    <row r="1151" ht="22.5" customHeight="1">
      <c r="A1151" s="250"/>
      <c r="B1151" s="196"/>
      <c r="C1151" s="152"/>
      <c r="D1151" s="196"/>
      <c r="E1151" s="196"/>
      <c r="F1151" s="155"/>
    </row>
    <row r="1152" ht="22.5" customHeight="1">
      <c r="A1152" s="202"/>
      <c r="B1152" s="197"/>
      <c r="C1152" s="144"/>
      <c r="D1152" s="197"/>
      <c r="E1152" s="197"/>
      <c r="F1152" s="147"/>
    </row>
    <row r="1153" ht="22.5" customHeight="1">
      <c r="A1153" s="250"/>
      <c r="B1153" s="196"/>
      <c r="C1153" s="152"/>
      <c r="D1153" s="196"/>
      <c r="E1153" s="196"/>
      <c r="F1153" s="155"/>
    </row>
    <row r="1154" ht="22.5" customHeight="1">
      <c r="A1154" s="202"/>
      <c r="B1154" s="197"/>
      <c r="C1154" s="144"/>
      <c r="D1154" s="197"/>
      <c r="E1154" s="197"/>
      <c r="F1154" s="147"/>
    </row>
    <row r="1155" ht="22.5" customHeight="1">
      <c r="A1155" s="250"/>
      <c r="B1155" s="196"/>
      <c r="C1155" s="152"/>
      <c r="D1155" s="196"/>
      <c r="E1155" s="196"/>
      <c r="F1155" s="155"/>
    </row>
    <row r="1156" ht="22.5" customHeight="1">
      <c r="A1156" s="202"/>
      <c r="B1156" s="197"/>
      <c r="C1156" s="144"/>
      <c r="D1156" s="197"/>
      <c r="E1156" s="197"/>
      <c r="F1156" s="147"/>
    </row>
    <row r="1157" ht="22.5" customHeight="1">
      <c r="A1157" s="250"/>
      <c r="B1157" s="196"/>
      <c r="C1157" s="152"/>
      <c r="D1157" s="196"/>
      <c r="E1157" s="196"/>
      <c r="F1157" s="155"/>
    </row>
    <row r="1158" ht="22.5" customHeight="1">
      <c r="A1158" s="202"/>
      <c r="B1158" s="197"/>
      <c r="C1158" s="144"/>
      <c r="D1158" s="197"/>
      <c r="E1158" s="197"/>
      <c r="F1158" s="147"/>
    </row>
    <row r="1159" ht="22.5" customHeight="1">
      <c r="A1159" s="250"/>
      <c r="B1159" s="196"/>
      <c r="C1159" s="152"/>
      <c r="D1159" s="196"/>
      <c r="E1159" s="196"/>
      <c r="F1159" s="155"/>
    </row>
    <row r="1160" ht="22.5" customHeight="1">
      <c r="A1160" s="202"/>
      <c r="B1160" s="197"/>
      <c r="C1160" s="144"/>
      <c r="D1160" s="197"/>
      <c r="E1160" s="197"/>
      <c r="F1160" s="147"/>
    </row>
    <row r="1161" ht="22.5" customHeight="1">
      <c r="A1161" s="250"/>
      <c r="B1161" s="196"/>
      <c r="C1161" s="152"/>
      <c r="D1161" s="196"/>
      <c r="E1161" s="196"/>
      <c r="F1161" s="155"/>
    </row>
    <row r="1162" ht="22.5" customHeight="1">
      <c r="A1162" s="202"/>
      <c r="B1162" s="197"/>
      <c r="C1162" s="144"/>
      <c r="D1162" s="197"/>
      <c r="E1162" s="197"/>
      <c r="F1162" s="147"/>
    </row>
    <row r="1163" ht="22.5" customHeight="1">
      <c r="A1163" s="250"/>
      <c r="B1163" s="196"/>
      <c r="C1163" s="152"/>
      <c r="D1163" s="196"/>
      <c r="E1163" s="196"/>
      <c r="F1163" s="155"/>
    </row>
    <row r="1164" ht="22.5" customHeight="1">
      <c r="A1164" s="202"/>
      <c r="B1164" s="197"/>
      <c r="C1164" s="144"/>
      <c r="D1164" s="197"/>
      <c r="E1164" s="197"/>
      <c r="F1164" s="147"/>
    </row>
    <row r="1165" ht="22.5" customHeight="1">
      <c r="A1165" s="250"/>
      <c r="B1165" s="196"/>
      <c r="C1165" s="152"/>
      <c r="D1165" s="196"/>
      <c r="E1165" s="196"/>
      <c r="F1165" s="155"/>
    </row>
    <row r="1166" ht="22.5" customHeight="1">
      <c r="A1166" s="202"/>
      <c r="B1166" s="197"/>
      <c r="C1166" s="144"/>
      <c r="D1166" s="197"/>
      <c r="E1166" s="197"/>
      <c r="F1166" s="147"/>
    </row>
    <row r="1167" ht="22.5" customHeight="1">
      <c r="A1167" s="250"/>
      <c r="B1167" s="196"/>
      <c r="C1167" s="152"/>
      <c r="D1167" s="196"/>
      <c r="E1167" s="196"/>
      <c r="F1167" s="155"/>
    </row>
    <row r="1168" ht="22.5" customHeight="1">
      <c r="A1168" s="202"/>
      <c r="B1168" s="197"/>
      <c r="C1168" s="144"/>
      <c r="D1168" s="197"/>
      <c r="E1168" s="197"/>
      <c r="F1168" s="147"/>
    </row>
    <row r="1169" ht="22.5" customHeight="1">
      <c r="A1169" s="250"/>
      <c r="B1169" s="196"/>
      <c r="C1169" s="152"/>
      <c r="D1169" s="196"/>
      <c r="E1169" s="196"/>
      <c r="F1169" s="155"/>
    </row>
    <row r="1170" ht="22.5" customHeight="1">
      <c r="A1170" s="202"/>
      <c r="B1170" s="197"/>
      <c r="C1170" s="144"/>
      <c r="D1170" s="197"/>
      <c r="E1170" s="197"/>
      <c r="F1170" s="147"/>
    </row>
    <row r="1171" ht="22.5" customHeight="1">
      <c r="A1171" s="250"/>
      <c r="B1171" s="196"/>
      <c r="C1171" s="152"/>
      <c r="D1171" s="196"/>
      <c r="E1171" s="196"/>
      <c r="F1171" s="155"/>
    </row>
    <row r="1172" ht="22.5" customHeight="1">
      <c r="A1172" s="202"/>
      <c r="B1172" s="197"/>
      <c r="C1172" s="144"/>
      <c r="D1172" s="197"/>
      <c r="E1172" s="197"/>
      <c r="F1172" s="147"/>
    </row>
    <row r="1173" ht="22.5" customHeight="1">
      <c r="A1173" s="250"/>
      <c r="B1173" s="196"/>
      <c r="C1173" s="152"/>
      <c r="D1173" s="196"/>
      <c r="E1173" s="196"/>
      <c r="F1173" s="155"/>
    </row>
    <row r="1174" ht="22.5" customHeight="1">
      <c r="A1174" s="202"/>
      <c r="B1174" s="197"/>
      <c r="C1174" s="144"/>
      <c r="D1174" s="197"/>
      <c r="E1174" s="197"/>
      <c r="F1174" s="147"/>
    </row>
    <row r="1175" ht="22.5" customHeight="1">
      <c r="A1175" s="250"/>
      <c r="B1175" s="196"/>
      <c r="C1175" s="152"/>
      <c r="D1175" s="196"/>
      <c r="E1175" s="196"/>
      <c r="F1175" s="155"/>
    </row>
    <row r="1176" ht="22.5" customHeight="1">
      <c r="A1176" s="202"/>
      <c r="B1176" s="197"/>
      <c r="C1176" s="144"/>
      <c r="D1176" s="197"/>
      <c r="E1176" s="197"/>
      <c r="F1176" s="147"/>
    </row>
    <row r="1177" ht="22.5" customHeight="1">
      <c r="A1177" s="250"/>
      <c r="B1177" s="196"/>
      <c r="C1177" s="152"/>
      <c r="D1177" s="196"/>
      <c r="E1177" s="196"/>
      <c r="F1177" s="155"/>
    </row>
    <row r="1178" ht="22.5" customHeight="1">
      <c r="A1178" s="202"/>
      <c r="B1178" s="197"/>
      <c r="C1178" s="144"/>
      <c r="D1178" s="197"/>
      <c r="E1178" s="197"/>
      <c r="F1178" s="147"/>
    </row>
    <row r="1179" ht="22.5" customHeight="1">
      <c r="A1179" s="250"/>
      <c r="B1179" s="196"/>
      <c r="C1179" s="152"/>
      <c r="D1179" s="196"/>
      <c r="E1179" s="196"/>
      <c r="F1179" s="155"/>
    </row>
    <row r="1180" ht="22.5" customHeight="1">
      <c r="A1180" s="202"/>
      <c r="B1180" s="197"/>
      <c r="C1180" s="144"/>
      <c r="D1180" s="197"/>
      <c r="E1180" s="197"/>
      <c r="F1180" s="147"/>
    </row>
    <row r="1181" ht="22.5" customHeight="1">
      <c r="A1181" s="250"/>
      <c r="B1181" s="196"/>
      <c r="C1181" s="152"/>
      <c r="D1181" s="196"/>
      <c r="E1181" s="196"/>
      <c r="F1181" s="155"/>
    </row>
    <row r="1182" ht="22.5" customHeight="1">
      <c r="A1182" s="202"/>
      <c r="B1182" s="197"/>
      <c r="C1182" s="144"/>
      <c r="D1182" s="197"/>
      <c r="E1182" s="197"/>
      <c r="F1182" s="147"/>
    </row>
    <row r="1183" ht="22.5" customHeight="1">
      <c r="A1183" s="250"/>
      <c r="B1183" s="196"/>
      <c r="C1183" s="152"/>
      <c r="D1183" s="196"/>
      <c r="E1183" s="196"/>
      <c r="F1183" s="155"/>
    </row>
    <row r="1184" ht="22.5" customHeight="1">
      <c r="A1184" s="202"/>
      <c r="B1184" s="197"/>
      <c r="C1184" s="144"/>
      <c r="D1184" s="197"/>
      <c r="E1184" s="197"/>
      <c r="F1184" s="147"/>
    </row>
    <row r="1185" ht="22.5" customHeight="1">
      <c r="A1185" s="250"/>
      <c r="B1185" s="196"/>
      <c r="C1185" s="152"/>
      <c r="D1185" s="196"/>
      <c r="E1185" s="196"/>
      <c r="F1185" s="155"/>
    </row>
    <row r="1186" ht="22.5" customHeight="1">
      <c r="A1186" s="202"/>
      <c r="B1186" s="197"/>
      <c r="C1186" s="144"/>
      <c r="D1186" s="197"/>
      <c r="E1186" s="197"/>
      <c r="F1186" s="147"/>
    </row>
    <row r="1187" ht="22.5" customHeight="1">
      <c r="A1187" s="250"/>
      <c r="B1187" s="196"/>
      <c r="C1187" s="152"/>
      <c r="D1187" s="196"/>
      <c r="E1187" s="196"/>
      <c r="F1187" s="155"/>
    </row>
    <row r="1188" ht="22.5" customHeight="1">
      <c r="A1188" s="202"/>
      <c r="B1188" s="197"/>
      <c r="C1188" s="144"/>
      <c r="D1188" s="197"/>
      <c r="E1188" s="197"/>
      <c r="F1188" s="147"/>
    </row>
    <row r="1189" ht="22.5" customHeight="1">
      <c r="A1189" s="250"/>
      <c r="B1189" s="196"/>
      <c r="C1189" s="152"/>
      <c r="D1189" s="196"/>
      <c r="E1189" s="196"/>
      <c r="F1189" s="155"/>
    </row>
    <row r="1190" ht="22.5" customHeight="1">
      <c r="A1190" s="202"/>
      <c r="B1190" s="197"/>
      <c r="C1190" s="144"/>
      <c r="D1190" s="197"/>
      <c r="E1190" s="197"/>
      <c r="F1190" s="147"/>
    </row>
    <row r="1191" ht="22.5" customHeight="1">
      <c r="A1191" s="250"/>
      <c r="B1191" s="196"/>
      <c r="C1191" s="152"/>
      <c r="D1191" s="196"/>
      <c r="E1191" s="196"/>
      <c r="F1191" s="155"/>
    </row>
    <row r="1192" ht="22.5" customHeight="1">
      <c r="A1192" s="202"/>
      <c r="B1192" s="197"/>
      <c r="C1192" s="144"/>
      <c r="D1192" s="197"/>
      <c r="E1192" s="197"/>
      <c r="F1192" s="147"/>
    </row>
    <row r="1193" ht="22.5" customHeight="1">
      <c r="A1193" s="250"/>
      <c r="B1193" s="196"/>
      <c r="C1193" s="152"/>
      <c r="D1193" s="196"/>
      <c r="E1193" s="196"/>
      <c r="F1193" s="155"/>
    </row>
    <row r="1194" ht="22.5" customHeight="1">
      <c r="A1194" s="202"/>
      <c r="B1194" s="197"/>
      <c r="C1194" s="144"/>
      <c r="D1194" s="197"/>
      <c r="E1194" s="197"/>
      <c r="F1194" s="147"/>
    </row>
    <row r="1195" ht="22.5" customHeight="1">
      <c r="A1195" s="250"/>
      <c r="B1195" s="196"/>
      <c r="C1195" s="152"/>
      <c r="D1195" s="196"/>
      <c r="E1195" s="196"/>
      <c r="F1195" s="155"/>
    </row>
    <row r="1196" ht="22.5" customHeight="1">
      <c r="A1196" s="202"/>
      <c r="B1196" s="197"/>
      <c r="C1196" s="144"/>
      <c r="D1196" s="197"/>
      <c r="E1196" s="197"/>
      <c r="F1196" s="147"/>
    </row>
    <row r="1197" ht="22.5" customHeight="1">
      <c r="A1197" s="250"/>
      <c r="B1197" s="196"/>
      <c r="C1197" s="152"/>
      <c r="D1197" s="196"/>
      <c r="E1197" s="196"/>
      <c r="F1197" s="155"/>
    </row>
    <row r="1198" ht="22.5" customHeight="1">
      <c r="A1198" s="202"/>
      <c r="B1198" s="197"/>
      <c r="C1198" s="144"/>
      <c r="D1198" s="197"/>
      <c r="E1198" s="197"/>
      <c r="F1198" s="147"/>
    </row>
    <row r="1199" ht="22.5" customHeight="1">
      <c r="A1199" s="250"/>
      <c r="B1199" s="196"/>
      <c r="C1199" s="152"/>
      <c r="D1199" s="196"/>
      <c r="E1199" s="196"/>
      <c r="F1199" s="155"/>
    </row>
    <row r="1200" ht="22.5" customHeight="1">
      <c r="A1200" s="202"/>
      <c r="B1200" s="197"/>
      <c r="C1200" s="144"/>
      <c r="D1200" s="197"/>
      <c r="E1200" s="197"/>
      <c r="F1200" s="147"/>
    </row>
    <row r="1201" ht="22.5" customHeight="1">
      <c r="A1201" s="250"/>
      <c r="B1201" s="196"/>
      <c r="C1201" s="152"/>
      <c r="D1201" s="196"/>
      <c r="E1201" s="196"/>
      <c r="F1201" s="155"/>
    </row>
    <row r="1202" ht="22.5" customHeight="1">
      <c r="A1202" s="202"/>
      <c r="B1202" s="197"/>
      <c r="C1202" s="144"/>
      <c r="D1202" s="197"/>
      <c r="E1202" s="197"/>
      <c r="F1202" s="147"/>
    </row>
    <row r="1203" ht="22.5" customHeight="1">
      <c r="A1203" s="250"/>
      <c r="B1203" s="196"/>
      <c r="C1203" s="152"/>
      <c r="D1203" s="196"/>
      <c r="E1203" s="196"/>
      <c r="F1203" s="155"/>
    </row>
    <row r="1204" ht="22.5" customHeight="1">
      <c r="A1204" s="202"/>
      <c r="B1204" s="197"/>
      <c r="C1204" s="144"/>
      <c r="D1204" s="197"/>
      <c r="E1204" s="197"/>
      <c r="F1204" s="147"/>
    </row>
    <row r="1205" ht="22.5" customHeight="1">
      <c r="A1205" s="250"/>
      <c r="B1205" s="196"/>
      <c r="C1205" s="152"/>
      <c r="D1205" s="196"/>
      <c r="E1205" s="196"/>
      <c r="F1205" s="155"/>
    </row>
    <row r="1206" ht="22.5" customHeight="1">
      <c r="A1206" s="202"/>
      <c r="B1206" s="197"/>
      <c r="C1206" s="144"/>
      <c r="D1206" s="197"/>
      <c r="E1206" s="197"/>
      <c r="F1206" s="147"/>
    </row>
    <row r="1207" ht="22.5" customHeight="1">
      <c r="A1207" s="250"/>
      <c r="B1207" s="196"/>
      <c r="C1207" s="152"/>
      <c r="D1207" s="196"/>
      <c r="E1207" s="196"/>
      <c r="F1207" s="155"/>
    </row>
    <row r="1208" ht="22.5" customHeight="1">
      <c r="A1208" s="202"/>
      <c r="B1208" s="197"/>
      <c r="C1208" s="144"/>
      <c r="D1208" s="197"/>
      <c r="E1208" s="197"/>
      <c r="F1208" s="147"/>
    </row>
    <row r="1209" ht="22.5" customHeight="1">
      <c r="A1209" s="250"/>
      <c r="B1209" s="196"/>
      <c r="C1209" s="152"/>
      <c r="D1209" s="196"/>
      <c r="E1209" s="196"/>
      <c r="F1209" s="155"/>
    </row>
    <row r="1210" ht="22.5" customHeight="1">
      <c r="A1210" s="202"/>
      <c r="B1210" s="197"/>
      <c r="C1210" s="144"/>
      <c r="D1210" s="197"/>
      <c r="E1210" s="197"/>
      <c r="F1210" s="147"/>
    </row>
    <row r="1211" ht="22.5" customHeight="1">
      <c r="A1211" s="250"/>
      <c r="B1211" s="196"/>
      <c r="C1211" s="152"/>
      <c r="D1211" s="196"/>
      <c r="E1211" s="196"/>
      <c r="F1211" s="155"/>
    </row>
    <row r="1212" ht="22.5" customHeight="1">
      <c r="A1212" s="202"/>
      <c r="B1212" s="197"/>
      <c r="C1212" s="144"/>
      <c r="D1212" s="197"/>
      <c r="E1212" s="197"/>
      <c r="F1212" s="147"/>
    </row>
    <row r="1213" ht="22.5" customHeight="1">
      <c r="A1213" s="250"/>
      <c r="B1213" s="196"/>
      <c r="C1213" s="152"/>
      <c r="D1213" s="196"/>
      <c r="E1213" s="196"/>
      <c r="F1213" s="155"/>
    </row>
    <row r="1214" ht="22.5" customHeight="1">
      <c r="A1214" s="202"/>
      <c r="B1214" s="197"/>
      <c r="C1214" s="144"/>
      <c r="D1214" s="197"/>
      <c r="E1214" s="197"/>
      <c r="F1214" s="147"/>
    </row>
    <row r="1215" ht="22.5" customHeight="1">
      <c r="A1215" s="250"/>
      <c r="B1215" s="196"/>
      <c r="C1215" s="152"/>
      <c r="D1215" s="196"/>
      <c r="E1215" s="196"/>
      <c r="F1215" s="155"/>
    </row>
    <row r="1216" ht="22.5" customHeight="1">
      <c r="A1216" s="202"/>
      <c r="B1216" s="197"/>
      <c r="C1216" s="144"/>
      <c r="D1216" s="197"/>
      <c r="E1216" s="197"/>
      <c r="F1216" s="147"/>
    </row>
    <row r="1217" ht="22.5" customHeight="1">
      <c r="A1217" s="250"/>
      <c r="B1217" s="196"/>
      <c r="C1217" s="152"/>
      <c r="D1217" s="196"/>
      <c r="E1217" s="196"/>
      <c r="F1217" s="155"/>
    </row>
    <row r="1218" ht="22.5" customHeight="1">
      <c r="A1218" s="202"/>
      <c r="B1218" s="197"/>
      <c r="C1218" s="144"/>
      <c r="D1218" s="197"/>
      <c r="E1218" s="197"/>
      <c r="F1218" s="147"/>
    </row>
    <row r="1219" ht="22.5" customHeight="1">
      <c r="A1219" s="250"/>
      <c r="B1219" s="196"/>
      <c r="C1219" s="152"/>
      <c r="D1219" s="196"/>
      <c r="E1219" s="196"/>
      <c r="F1219" s="155"/>
    </row>
    <row r="1220" ht="22.5" customHeight="1">
      <c r="A1220" s="202"/>
      <c r="B1220" s="197"/>
      <c r="C1220" s="144"/>
      <c r="D1220" s="197"/>
      <c r="E1220" s="197"/>
      <c r="F1220" s="147"/>
    </row>
    <row r="1221" ht="22.5" customHeight="1">
      <c r="A1221" s="250"/>
      <c r="B1221" s="196"/>
      <c r="C1221" s="152"/>
      <c r="D1221" s="196"/>
      <c r="E1221" s="196"/>
      <c r="F1221" s="155"/>
    </row>
    <row r="1222" ht="22.5" customHeight="1">
      <c r="A1222" s="202"/>
      <c r="B1222" s="197"/>
      <c r="C1222" s="144"/>
      <c r="D1222" s="197"/>
      <c r="E1222" s="197"/>
      <c r="F1222" s="147"/>
    </row>
    <row r="1223" ht="22.5" customHeight="1">
      <c r="A1223" s="250"/>
      <c r="B1223" s="196"/>
      <c r="C1223" s="152"/>
      <c r="D1223" s="196"/>
      <c r="E1223" s="196"/>
      <c r="F1223" s="155"/>
    </row>
    <row r="1224" ht="22.5" customHeight="1">
      <c r="A1224" s="202"/>
      <c r="B1224" s="197"/>
      <c r="C1224" s="144"/>
      <c r="D1224" s="197"/>
      <c r="E1224" s="197"/>
      <c r="F1224" s="147"/>
    </row>
    <row r="1225" ht="22.5" customHeight="1">
      <c r="A1225" s="250"/>
      <c r="B1225" s="196"/>
      <c r="C1225" s="152"/>
      <c r="D1225" s="196"/>
      <c r="E1225" s="196"/>
      <c r="F1225" s="155"/>
    </row>
    <row r="1226" ht="22.5" customHeight="1">
      <c r="A1226" s="202"/>
      <c r="B1226" s="197"/>
      <c r="C1226" s="144"/>
      <c r="D1226" s="197"/>
      <c r="E1226" s="197"/>
      <c r="F1226" s="147"/>
    </row>
    <row r="1227" ht="22.5" customHeight="1">
      <c r="A1227" s="250"/>
      <c r="B1227" s="196"/>
      <c r="C1227" s="152"/>
      <c r="D1227" s="196"/>
      <c r="E1227" s="196"/>
      <c r="F1227" s="155"/>
    </row>
    <row r="1228" ht="22.5" customHeight="1">
      <c r="A1228" s="202"/>
      <c r="B1228" s="197"/>
      <c r="C1228" s="144"/>
      <c r="D1228" s="197"/>
      <c r="E1228" s="197"/>
      <c r="F1228" s="147"/>
    </row>
    <row r="1229" ht="22.5" customHeight="1">
      <c r="A1229" s="250"/>
      <c r="B1229" s="196"/>
      <c r="C1229" s="152"/>
      <c r="D1229" s="196"/>
      <c r="E1229" s="196"/>
      <c r="F1229" s="155"/>
    </row>
    <row r="1230" ht="22.5" customHeight="1">
      <c r="A1230" s="202"/>
      <c r="B1230" s="197"/>
      <c r="C1230" s="144"/>
      <c r="D1230" s="197"/>
      <c r="E1230" s="197"/>
      <c r="F1230" s="147"/>
    </row>
    <row r="1231" ht="22.5" customHeight="1">
      <c r="A1231" s="250"/>
      <c r="B1231" s="196"/>
      <c r="C1231" s="152"/>
      <c r="D1231" s="196"/>
      <c r="E1231" s="196"/>
      <c r="F1231" s="155"/>
    </row>
    <row r="1232" ht="22.5" customHeight="1">
      <c r="A1232" s="202"/>
      <c r="B1232" s="197"/>
      <c r="C1232" s="144"/>
      <c r="D1232" s="197"/>
      <c r="E1232" s="197"/>
      <c r="F1232" s="147"/>
    </row>
    <row r="1233" ht="22.5" customHeight="1">
      <c r="A1233" s="250"/>
      <c r="B1233" s="196"/>
      <c r="C1233" s="152"/>
      <c r="D1233" s="196"/>
      <c r="E1233" s="196"/>
      <c r="F1233" s="155"/>
    </row>
    <row r="1234" ht="22.5" customHeight="1">
      <c r="A1234" s="202"/>
      <c r="B1234" s="197"/>
      <c r="C1234" s="144"/>
      <c r="D1234" s="197"/>
      <c r="E1234" s="197"/>
      <c r="F1234" s="147"/>
    </row>
    <row r="1235" ht="22.5" customHeight="1">
      <c r="A1235" s="250"/>
      <c r="B1235" s="196"/>
      <c r="C1235" s="152"/>
      <c r="D1235" s="196"/>
      <c r="E1235" s="196"/>
      <c r="F1235" s="155"/>
    </row>
    <row r="1236" ht="22.5" customHeight="1">
      <c r="A1236" s="202"/>
      <c r="B1236" s="197"/>
      <c r="C1236" s="144"/>
      <c r="D1236" s="197"/>
      <c r="E1236" s="197"/>
      <c r="F1236" s="147"/>
    </row>
    <row r="1237" ht="22.5" customHeight="1">
      <c r="A1237" s="250"/>
      <c r="B1237" s="196"/>
      <c r="C1237" s="152"/>
      <c r="D1237" s="196"/>
      <c r="E1237" s="196"/>
      <c r="F1237" s="155"/>
    </row>
    <row r="1238" ht="22.5" customHeight="1">
      <c r="A1238" s="202"/>
      <c r="B1238" s="197"/>
      <c r="C1238" s="144"/>
      <c r="D1238" s="197"/>
      <c r="E1238" s="197"/>
      <c r="F1238" s="147"/>
    </row>
    <row r="1239" ht="22.5" customHeight="1">
      <c r="A1239" s="250"/>
      <c r="B1239" s="196"/>
      <c r="C1239" s="152"/>
      <c r="D1239" s="196"/>
      <c r="E1239" s="196"/>
      <c r="F1239" s="155"/>
    </row>
    <row r="1240" ht="22.5" customHeight="1">
      <c r="A1240" s="202"/>
      <c r="B1240" s="197"/>
      <c r="C1240" s="144"/>
      <c r="D1240" s="197"/>
      <c r="E1240" s="197"/>
      <c r="F1240" s="147"/>
    </row>
    <row r="1241" ht="22.5" customHeight="1">
      <c r="A1241" s="250"/>
      <c r="B1241" s="196"/>
      <c r="C1241" s="152"/>
      <c r="D1241" s="196"/>
      <c r="E1241" s="196"/>
      <c r="F1241" s="155"/>
    </row>
    <row r="1242" ht="22.5" customHeight="1">
      <c r="A1242" s="202"/>
      <c r="B1242" s="197"/>
      <c r="C1242" s="144"/>
      <c r="D1242" s="197"/>
      <c r="E1242" s="197"/>
      <c r="F1242" s="147"/>
    </row>
    <row r="1243" ht="22.5" customHeight="1">
      <c r="A1243" s="250"/>
      <c r="B1243" s="196"/>
      <c r="C1243" s="152"/>
      <c r="D1243" s="196"/>
      <c r="E1243" s="196"/>
      <c r="F1243" s="155"/>
    </row>
    <row r="1244" ht="22.5" customHeight="1">
      <c r="A1244" s="202"/>
      <c r="B1244" s="197"/>
      <c r="C1244" s="144"/>
      <c r="D1244" s="197"/>
      <c r="E1244" s="197"/>
      <c r="F1244" s="147"/>
    </row>
    <row r="1245" ht="22.5" customHeight="1">
      <c r="A1245" s="250"/>
      <c r="B1245" s="196"/>
      <c r="C1245" s="152"/>
      <c r="D1245" s="196"/>
      <c r="E1245" s="196"/>
      <c r="F1245" s="155"/>
    </row>
    <row r="1246" ht="22.5" customHeight="1">
      <c r="A1246" s="202"/>
      <c r="B1246" s="197"/>
      <c r="C1246" s="144"/>
      <c r="D1246" s="197"/>
      <c r="E1246" s="197"/>
      <c r="F1246" s="147"/>
    </row>
    <row r="1247" ht="22.5" customHeight="1">
      <c r="A1247" s="250"/>
      <c r="B1247" s="196"/>
      <c r="C1247" s="152"/>
      <c r="D1247" s="196"/>
      <c r="E1247" s="196"/>
      <c r="F1247" s="155"/>
    </row>
    <row r="1248" ht="22.5" customHeight="1">
      <c r="A1248" s="202"/>
      <c r="B1248" s="197"/>
      <c r="C1248" s="144"/>
      <c r="D1248" s="197"/>
      <c r="E1248" s="197"/>
      <c r="F1248" s="147"/>
    </row>
    <row r="1249" ht="22.5" customHeight="1">
      <c r="A1249" s="250"/>
      <c r="B1249" s="196"/>
      <c r="C1249" s="152"/>
      <c r="D1249" s="196"/>
      <c r="E1249" s="196"/>
      <c r="F1249" s="155"/>
    </row>
    <row r="1250" ht="22.5" customHeight="1">
      <c r="A1250" s="202"/>
      <c r="B1250" s="197"/>
      <c r="C1250" s="144"/>
      <c r="D1250" s="197"/>
      <c r="E1250" s="197"/>
      <c r="F1250" s="147"/>
    </row>
    <row r="1251" ht="22.5" customHeight="1">
      <c r="A1251" s="250"/>
      <c r="B1251" s="196"/>
      <c r="C1251" s="152"/>
      <c r="D1251" s="196"/>
      <c r="E1251" s="196"/>
      <c r="F1251" s="155"/>
    </row>
    <row r="1252" ht="22.5" customHeight="1">
      <c r="A1252" s="202"/>
      <c r="B1252" s="197"/>
      <c r="C1252" s="144"/>
      <c r="D1252" s="197"/>
      <c r="E1252" s="197"/>
      <c r="F1252" s="147"/>
    </row>
    <row r="1253" ht="22.5" customHeight="1">
      <c r="A1253" s="250"/>
      <c r="B1253" s="196"/>
      <c r="C1253" s="152"/>
      <c r="D1253" s="196"/>
      <c r="E1253" s="196"/>
      <c r="F1253" s="155"/>
    </row>
    <row r="1254" ht="22.5" customHeight="1">
      <c r="A1254" s="202"/>
      <c r="B1254" s="197"/>
      <c r="C1254" s="144"/>
      <c r="D1254" s="197"/>
      <c r="E1254" s="197"/>
      <c r="F1254" s="147"/>
    </row>
    <row r="1255" ht="22.5" customHeight="1">
      <c r="A1255" s="250"/>
      <c r="B1255" s="196"/>
      <c r="C1255" s="152"/>
      <c r="D1255" s="196"/>
      <c r="E1255" s="196"/>
      <c r="F1255" s="155"/>
    </row>
    <row r="1256" ht="22.5" customHeight="1">
      <c r="A1256" s="202"/>
      <c r="B1256" s="197"/>
      <c r="C1256" s="144"/>
      <c r="D1256" s="197"/>
      <c r="E1256" s="197"/>
      <c r="F1256" s="147"/>
    </row>
    <row r="1257" ht="22.5" customHeight="1">
      <c r="A1257" s="250"/>
      <c r="B1257" s="196"/>
      <c r="C1257" s="152"/>
      <c r="D1257" s="196"/>
      <c r="E1257" s="196"/>
      <c r="F1257" s="155"/>
    </row>
    <row r="1258" ht="22.5" customHeight="1">
      <c r="A1258" s="202"/>
      <c r="B1258" s="197"/>
      <c r="C1258" s="144"/>
      <c r="D1258" s="197"/>
      <c r="E1258" s="197"/>
      <c r="F1258" s="147"/>
    </row>
    <row r="1259" ht="22.5" customHeight="1">
      <c r="A1259" s="250"/>
      <c r="B1259" s="196"/>
      <c r="C1259" s="152"/>
      <c r="D1259" s="196"/>
      <c r="E1259" s="196"/>
      <c r="F1259" s="155"/>
    </row>
    <row r="1260" ht="22.5" customHeight="1">
      <c r="A1260" s="202"/>
      <c r="B1260" s="197"/>
      <c r="C1260" s="144"/>
      <c r="D1260" s="197"/>
      <c r="E1260" s="197"/>
      <c r="F1260" s="147"/>
    </row>
    <row r="1261" ht="22.5" customHeight="1">
      <c r="A1261" s="250"/>
      <c r="B1261" s="196"/>
      <c r="C1261" s="152"/>
      <c r="D1261" s="196"/>
      <c r="E1261" s="196"/>
      <c r="F1261" s="155"/>
    </row>
    <row r="1262" ht="22.5" customHeight="1">
      <c r="A1262" s="202"/>
      <c r="B1262" s="197"/>
      <c r="C1262" s="144"/>
      <c r="D1262" s="197"/>
      <c r="E1262" s="197"/>
      <c r="F1262" s="147"/>
    </row>
    <row r="1263" ht="22.5" customHeight="1">
      <c r="A1263" s="250"/>
      <c r="B1263" s="196"/>
      <c r="C1263" s="152"/>
      <c r="D1263" s="196"/>
      <c r="E1263" s="196"/>
      <c r="F1263" s="155"/>
    </row>
    <row r="1264" ht="22.5" customHeight="1">
      <c r="A1264" s="202"/>
      <c r="B1264" s="197"/>
      <c r="C1264" s="144"/>
      <c r="D1264" s="197"/>
      <c r="E1264" s="197"/>
      <c r="F1264" s="147"/>
    </row>
    <row r="1265" ht="22.5" customHeight="1">
      <c r="A1265" s="250"/>
      <c r="B1265" s="196"/>
      <c r="C1265" s="152"/>
      <c r="D1265" s="196"/>
      <c r="E1265" s="196"/>
      <c r="F1265" s="155"/>
    </row>
    <row r="1266" ht="22.5" customHeight="1">
      <c r="A1266" s="202"/>
      <c r="B1266" s="197"/>
      <c r="C1266" s="144"/>
      <c r="D1266" s="197"/>
      <c r="E1266" s="197"/>
      <c r="F1266" s="147"/>
    </row>
    <row r="1267" ht="22.5" customHeight="1">
      <c r="A1267" s="250"/>
      <c r="B1267" s="196"/>
      <c r="C1267" s="152"/>
      <c r="D1267" s="196"/>
      <c r="E1267" s="196"/>
      <c r="F1267" s="155"/>
    </row>
    <row r="1268" ht="22.5" customHeight="1">
      <c r="A1268" s="202"/>
      <c r="B1268" s="197"/>
      <c r="C1268" s="144"/>
      <c r="D1268" s="197"/>
      <c r="E1268" s="197"/>
      <c r="F1268" s="147"/>
    </row>
    <row r="1269" ht="22.5" customHeight="1">
      <c r="A1269" s="250"/>
      <c r="B1269" s="196"/>
      <c r="C1269" s="152"/>
      <c r="D1269" s="196"/>
      <c r="E1269" s="196"/>
      <c r="F1269" s="155"/>
    </row>
    <row r="1270" ht="22.5" customHeight="1">
      <c r="A1270" s="202"/>
      <c r="B1270" s="197"/>
      <c r="C1270" s="144"/>
      <c r="D1270" s="197"/>
      <c r="E1270" s="197"/>
      <c r="F1270" s="147"/>
    </row>
    <row r="1271" ht="22.5" customHeight="1">
      <c r="A1271" s="250"/>
      <c r="B1271" s="196"/>
      <c r="C1271" s="152"/>
      <c r="D1271" s="196"/>
      <c r="E1271" s="196"/>
      <c r="F1271" s="155"/>
    </row>
    <row r="1272" ht="22.5" customHeight="1">
      <c r="A1272" s="202"/>
      <c r="B1272" s="197"/>
      <c r="C1272" s="144"/>
      <c r="D1272" s="197"/>
      <c r="E1272" s="197"/>
      <c r="F1272" s="147"/>
    </row>
    <row r="1273" ht="22.5" customHeight="1">
      <c r="A1273" s="250"/>
      <c r="B1273" s="196"/>
      <c r="C1273" s="152"/>
      <c r="D1273" s="196"/>
      <c r="E1273" s="196"/>
      <c r="F1273" s="155"/>
    </row>
    <row r="1274" ht="22.5" customHeight="1">
      <c r="A1274" s="202"/>
      <c r="B1274" s="197"/>
      <c r="C1274" s="144"/>
      <c r="D1274" s="197"/>
      <c r="E1274" s="197"/>
      <c r="F1274" s="147"/>
    </row>
    <row r="1275" ht="22.5" customHeight="1">
      <c r="A1275" s="250"/>
      <c r="B1275" s="196"/>
      <c r="C1275" s="152"/>
      <c r="D1275" s="196"/>
      <c r="E1275" s="196"/>
      <c r="F1275" s="155"/>
    </row>
    <row r="1276" ht="22.5" customHeight="1">
      <c r="A1276" s="202"/>
      <c r="B1276" s="197"/>
      <c r="C1276" s="144"/>
      <c r="D1276" s="197"/>
      <c r="E1276" s="197"/>
      <c r="F1276" s="147"/>
    </row>
    <row r="1277" ht="22.5" customHeight="1">
      <c r="A1277" s="250"/>
      <c r="B1277" s="196"/>
      <c r="C1277" s="152"/>
      <c r="D1277" s="196"/>
      <c r="E1277" s="196"/>
      <c r="F1277" s="155"/>
    </row>
    <row r="1278" ht="22.5" customHeight="1">
      <c r="A1278" s="202"/>
      <c r="B1278" s="197"/>
      <c r="C1278" s="144"/>
      <c r="D1278" s="197"/>
      <c r="E1278" s="197"/>
      <c r="F1278" s="147"/>
    </row>
    <row r="1279" ht="22.5" customHeight="1">
      <c r="A1279" s="250"/>
      <c r="B1279" s="196"/>
      <c r="C1279" s="152"/>
      <c r="D1279" s="196"/>
      <c r="E1279" s="196"/>
      <c r="F1279" s="155"/>
    </row>
    <row r="1280" ht="22.5" customHeight="1">
      <c r="A1280" s="202"/>
      <c r="B1280" s="197"/>
      <c r="C1280" s="144"/>
      <c r="D1280" s="197"/>
      <c r="E1280" s="197"/>
      <c r="F1280" s="147"/>
    </row>
    <row r="1281" ht="22.5" customHeight="1">
      <c r="A1281" s="250"/>
      <c r="B1281" s="196"/>
      <c r="C1281" s="152"/>
      <c r="D1281" s="196"/>
      <c r="E1281" s="196"/>
      <c r="F1281" s="155"/>
    </row>
    <row r="1282" ht="22.5" customHeight="1">
      <c r="A1282" s="202"/>
      <c r="B1282" s="197"/>
      <c r="C1282" s="144"/>
      <c r="D1282" s="197"/>
      <c r="E1282" s="197"/>
      <c r="F1282" s="147"/>
    </row>
    <row r="1283" ht="22.5" customHeight="1">
      <c r="A1283" s="250"/>
      <c r="B1283" s="196"/>
      <c r="C1283" s="152"/>
      <c r="D1283" s="196"/>
      <c r="E1283" s="196"/>
      <c r="F1283" s="155"/>
    </row>
    <row r="1284" ht="22.5" customHeight="1">
      <c r="A1284" s="202"/>
      <c r="B1284" s="197"/>
      <c r="C1284" s="144"/>
      <c r="D1284" s="197"/>
      <c r="E1284" s="197"/>
      <c r="F1284" s="147"/>
    </row>
    <row r="1285" ht="22.5" customHeight="1">
      <c r="A1285" s="250"/>
      <c r="B1285" s="196"/>
      <c r="C1285" s="152"/>
      <c r="D1285" s="196"/>
      <c r="E1285" s="196"/>
      <c r="F1285" s="155"/>
    </row>
    <row r="1286" ht="22.5" customHeight="1">
      <c r="A1286" s="202"/>
      <c r="B1286" s="197"/>
      <c r="C1286" s="144"/>
      <c r="D1286" s="197"/>
      <c r="E1286" s="197"/>
      <c r="F1286" s="147"/>
    </row>
    <row r="1287" ht="22.5" customHeight="1">
      <c r="A1287" s="250"/>
      <c r="B1287" s="196"/>
      <c r="C1287" s="152"/>
      <c r="D1287" s="196"/>
      <c r="E1287" s="196"/>
      <c r="F1287" s="155"/>
    </row>
    <row r="1288" ht="22.5" customHeight="1">
      <c r="A1288" s="202"/>
      <c r="B1288" s="197"/>
      <c r="C1288" s="144"/>
      <c r="D1288" s="197"/>
      <c r="E1288" s="197"/>
      <c r="F1288" s="147"/>
    </row>
    <row r="1289" ht="22.5" customHeight="1">
      <c r="A1289" s="250"/>
      <c r="B1289" s="196"/>
      <c r="C1289" s="152"/>
      <c r="D1289" s="196"/>
      <c r="E1289" s="196"/>
      <c r="F1289" s="155"/>
    </row>
    <row r="1290" ht="22.5" customHeight="1">
      <c r="A1290" s="202"/>
      <c r="B1290" s="197"/>
      <c r="C1290" s="144"/>
      <c r="D1290" s="197"/>
      <c r="E1290" s="197"/>
      <c r="F1290" s="147"/>
    </row>
    <row r="1291" ht="22.5" customHeight="1">
      <c r="A1291" s="250"/>
      <c r="B1291" s="196"/>
      <c r="C1291" s="152"/>
      <c r="D1291" s="196"/>
      <c r="E1291" s="196"/>
      <c r="F1291" s="155"/>
    </row>
    <row r="1292" ht="22.5" customHeight="1">
      <c r="A1292" s="202"/>
      <c r="B1292" s="197"/>
      <c r="C1292" s="144"/>
      <c r="D1292" s="197"/>
      <c r="E1292" s="197"/>
      <c r="F1292" s="147"/>
    </row>
    <row r="1293" ht="22.5" customHeight="1">
      <c r="A1293" s="250"/>
      <c r="B1293" s="196"/>
      <c r="C1293" s="152"/>
      <c r="D1293" s="196"/>
      <c r="E1293" s="196"/>
      <c r="F1293" s="155"/>
    </row>
    <row r="1294" ht="22.5" customHeight="1">
      <c r="A1294" s="202"/>
      <c r="B1294" s="197"/>
      <c r="C1294" s="144"/>
      <c r="D1294" s="197"/>
      <c r="E1294" s="197"/>
      <c r="F1294" s="147"/>
    </row>
    <row r="1295" ht="22.5" customHeight="1">
      <c r="A1295" s="250"/>
      <c r="B1295" s="196"/>
      <c r="C1295" s="152"/>
      <c r="D1295" s="196"/>
      <c r="E1295" s="196"/>
      <c r="F1295" s="155"/>
    </row>
    <row r="1296" ht="22.5" customHeight="1">
      <c r="A1296" s="202"/>
      <c r="B1296" s="197"/>
      <c r="C1296" s="144"/>
      <c r="D1296" s="197"/>
      <c r="E1296" s="197"/>
      <c r="F1296" s="147"/>
    </row>
    <row r="1297" ht="22.5" customHeight="1">
      <c r="A1297" s="250"/>
      <c r="B1297" s="196"/>
      <c r="C1297" s="152"/>
      <c r="D1297" s="196"/>
      <c r="E1297" s="196"/>
      <c r="F1297" s="155"/>
    </row>
    <row r="1298" ht="22.5" customHeight="1">
      <c r="A1298" s="202"/>
      <c r="B1298" s="197"/>
      <c r="C1298" s="144"/>
      <c r="D1298" s="197"/>
      <c r="E1298" s="197"/>
      <c r="F1298" s="147"/>
    </row>
    <row r="1299" ht="22.5" customHeight="1">
      <c r="A1299" s="250"/>
      <c r="B1299" s="196"/>
      <c r="C1299" s="152"/>
      <c r="D1299" s="196"/>
      <c r="E1299" s="196"/>
      <c r="F1299" s="155"/>
    </row>
    <row r="1300" ht="22.5" customHeight="1">
      <c r="A1300" s="202"/>
      <c r="B1300" s="197"/>
      <c r="C1300" s="144"/>
      <c r="D1300" s="197"/>
      <c r="E1300" s="197"/>
      <c r="F1300" s="147"/>
    </row>
    <row r="1301" ht="22.5" customHeight="1">
      <c r="A1301" s="250"/>
      <c r="B1301" s="196"/>
      <c r="C1301" s="152"/>
      <c r="D1301" s="196"/>
      <c r="E1301" s="196"/>
      <c r="F1301" s="155"/>
    </row>
    <row r="1302" ht="22.5" customHeight="1">
      <c r="A1302" s="202"/>
      <c r="B1302" s="197"/>
      <c r="C1302" s="144"/>
      <c r="D1302" s="197"/>
      <c r="E1302" s="197"/>
      <c r="F1302" s="147"/>
    </row>
    <row r="1303" ht="22.5" customHeight="1">
      <c r="A1303" s="250"/>
      <c r="B1303" s="196"/>
      <c r="C1303" s="152"/>
      <c r="D1303" s="196"/>
      <c r="E1303" s="196"/>
      <c r="F1303" s="155"/>
    </row>
    <row r="1304" ht="22.5" customHeight="1">
      <c r="A1304" s="202"/>
      <c r="B1304" s="197"/>
      <c r="C1304" s="144"/>
      <c r="D1304" s="197"/>
      <c r="E1304" s="197"/>
      <c r="F1304" s="147"/>
    </row>
    <row r="1305" ht="22.5" customHeight="1">
      <c r="A1305" s="250"/>
      <c r="B1305" s="196"/>
      <c r="C1305" s="152"/>
      <c r="D1305" s="196"/>
      <c r="E1305" s="196"/>
      <c r="F1305" s="155"/>
    </row>
    <row r="1306" ht="22.5" customHeight="1">
      <c r="A1306" s="202"/>
      <c r="B1306" s="197"/>
      <c r="C1306" s="144"/>
      <c r="D1306" s="197"/>
      <c r="E1306" s="197"/>
      <c r="F1306" s="147"/>
    </row>
    <row r="1307" ht="22.5" customHeight="1">
      <c r="A1307" s="250"/>
      <c r="B1307" s="196"/>
      <c r="C1307" s="152"/>
      <c r="D1307" s="196"/>
      <c r="E1307" s="196"/>
      <c r="F1307" s="155"/>
    </row>
    <row r="1308" ht="22.5" customHeight="1">
      <c r="A1308" s="202"/>
      <c r="B1308" s="197"/>
      <c r="C1308" s="144"/>
      <c r="D1308" s="197"/>
      <c r="E1308" s="197"/>
      <c r="F1308" s="147"/>
    </row>
    <row r="1309" ht="22.5" customHeight="1">
      <c r="A1309" s="250"/>
      <c r="B1309" s="196"/>
      <c r="C1309" s="152"/>
      <c r="D1309" s="196"/>
      <c r="E1309" s="196"/>
      <c r="F1309" s="155"/>
    </row>
    <row r="1310" ht="22.5" customHeight="1">
      <c r="A1310" s="202"/>
      <c r="B1310" s="197"/>
      <c r="C1310" s="144"/>
      <c r="D1310" s="197"/>
      <c r="E1310" s="197"/>
      <c r="F1310" s="147"/>
    </row>
    <row r="1311" ht="22.5" customHeight="1">
      <c r="A1311" s="250"/>
      <c r="B1311" s="196"/>
      <c r="C1311" s="152"/>
      <c r="D1311" s="196"/>
      <c r="E1311" s="196"/>
      <c r="F1311" s="155"/>
    </row>
    <row r="1312" ht="22.5" customHeight="1">
      <c r="A1312" s="202"/>
      <c r="B1312" s="197"/>
      <c r="C1312" s="144"/>
      <c r="D1312" s="197"/>
      <c r="E1312" s="197"/>
      <c r="F1312" s="147"/>
    </row>
    <row r="1313" ht="22.5" customHeight="1">
      <c r="A1313" s="250"/>
      <c r="B1313" s="196"/>
      <c r="C1313" s="152"/>
      <c r="D1313" s="196"/>
      <c r="E1313" s="196"/>
      <c r="F1313" s="155"/>
    </row>
    <row r="1314" ht="22.5" customHeight="1">
      <c r="A1314" s="202"/>
      <c r="B1314" s="197"/>
      <c r="C1314" s="144"/>
      <c r="D1314" s="197"/>
      <c r="E1314" s="197"/>
      <c r="F1314" s="147"/>
    </row>
    <row r="1315" ht="22.5" customHeight="1">
      <c r="A1315" s="250"/>
      <c r="B1315" s="196"/>
      <c r="C1315" s="152"/>
      <c r="D1315" s="196"/>
      <c r="E1315" s="196"/>
      <c r="F1315" s="155"/>
    </row>
    <row r="1316" ht="22.5" customHeight="1">
      <c r="A1316" s="202"/>
      <c r="B1316" s="197"/>
      <c r="C1316" s="144"/>
      <c r="D1316" s="197"/>
      <c r="E1316" s="197"/>
      <c r="F1316" s="147"/>
    </row>
    <row r="1317" ht="22.5" customHeight="1">
      <c r="A1317" s="250"/>
      <c r="B1317" s="196"/>
      <c r="C1317" s="152"/>
      <c r="D1317" s="196"/>
      <c r="E1317" s="196"/>
      <c r="F1317" s="155"/>
    </row>
    <row r="1318" ht="22.5" customHeight="1">
      <c r="A1318" s="202"/>
      <c r="B1318" s="197"/>
      <c r="C1318" s="144"/>
      <c r="D1318" s="197"/>
      <c r="E1318" s="197"/>
      <c r="F1318" s="147"/>
    </row>
    <row r="1319" ht="22.5" customHeight="1">
      <c r="A1319" s="250"/>
      <c r="B1319" s="196"/>
      <c r="C1319" s="152"/>
      <c r="D1319" s="196"/>
      <c r="E1319" s="196"/>
      <c r="F1319" s="155"/>
    </row>
    <row r="1320" ht="22.5" customHeight="1">
      <c r="A1320" s="202"/>
      <c r="B1320" s="197"/>
      <c r="C1320" s="144"/>
      <c r="D1320" s="197"/>
      <c r="E1320" s="197"/>
      <c r="F1320" s="147"/>
    </row>
    <row r="1321" ht="22.5" customHeight="1">
      <c r="A1321" s="250"/>
      <c r="B1321" s="196"/>
      <c r="C1321" s="152"/>
      <c r="D1321" s="196"/>
      <c r="E1321" s="196"/>
      <c r="F1321" s="155"/>
    </row>
    <row r="1322" ht="22.5" customHeight="1">
      <c r="A1322" s="202"/>
      <c r="B1322" s="197"/>
      <c r="C1322" s="144"/>
      <c r="D1322" s="197"/>
      <c r="E1322" s="197"/>
      <c r="F1322" s="147"/>
    </row>
    <row r="1323" ht="22.5" customHeight="1">
      <c r="A1323" s="250"/>
      <c r="B1323" s="196"/>
      <c r="C1323" s="152"/>
      <c r="D1323" s="196"/>
      <c r="E1323" s="196"/>
      <c r="F1323" s="155"/>
    </row>
    <row r="1324" ht="22.5" customHeight="1">
      <c r="A1324" s="202"/>
      <c r="B1324" s="197"/>
      <c r="C1324" s="144"/>
      <c r="D1324" s="197"/>
      <c r="E1324" s="197"/>
      <c r="F1324" s="147"/>
    </row>
    <row r="1325" ht="22.5" customHeight="1">
      <c r="A1325" s="250"/>
      <c r="B1325" s="196"/>
      <c r="C1325" s="152"/>
      <c r="D1325" s="196"/>
      <c r="E1325" s="196"/>
      <c r="F1325" s="155"/>
    </row>
    <row r="1326" ht="22.5" customHeight="1">
      <c r="A1326" s="202"/>
      <c r="B1326" s="197"/>
      <c r="C1326" s="144"/>
      <c r="D1326" s="197"/>
      <c r="E1326" s="197"/>
      <c r="F1326" s="147"/>
    </row>
    <row r="1327" ht="22.5" customHeight="1">
      <c r="A1327" s="250"/>
      <c r="B1327" s="196"/>
      <c r="C1327" s="152"/>
      <c r="D1327" s="196"/>
      <c r="E1327" s="196"/>
      <c r="F1327" s="155"/>
    </row>
    <row r="1328" ht="22.5" customHeight="1">
      <c r="A1328" s="202"/>
      <c r="B1328" s="197"/>
      <c r="C1328" s="144"/>
      <c r="D1328" s="197"/>
      <c r="E1328" s="197"/>
      <c r="F1328" s="147"/>
    </row>
    <row r="1329" ht="22.5" customHeight="1">
      <c r="A1329" s="250"/>
      <c r="B1329" s="196"/>
      <c r="C1329" s="152"/>
      <c r="D1329" s="196"/>
      <c r="E1329" s="196"/>
      <c r="F1329" s="155"/>
    </row>
    <row r="1330" ht="22.5" customHeight="1">
      <c r="A1330" s="202"/>
      <c r="B1330" s="197"/>
      <c r="C1330" s="144"/>
      <c r="D1330" s="197"/>
      <c r="E1330" s="197"/>
      <c r="F1330" s="147"/>
    </row>
    <row r="1331" ht="22.5" customHeight="1">
      <c r="A1331" s="250"/>
      <c r="B1331" s="196"/>
      <c r="C1331" s="152"/>
      <c r="D1331" s="196"/>
      <c r="E1331" s="196"/>
      <c r="F1331" s="155"/>
    </row>
    <row r="1332" ht="22.5" customHeight="1">
      <c r="A1332" s="202"/>
      <c r="B1332" s="197"/>
      <c r="C1332" s="144"/>
      <c r="D1332" s="197"/>
      <c r="E1332" s="197"/>
      <c r="F1332" s="147"/>
    </row>
    <row r="1333" ht="22.5" customHeight="1">
      <c r="A1333" s="250"/>
      <c r="B1333" s="196"/>
      <c r="C1333" s="152"/>
      <c r="D1333" s="196"/>
      <c r="E1333" s="196"/>
      <c r="F1333" s="155"/>
    </row>
    <row r="1334" ht="22.5" customHeight="1">
      <c r="A1334" s="202"/>
      <c r="B1334" s="197"/>
      <c r="C1334" s="144"/>
      <c r="D1334" s="197"/>
      <c r="E1334" s="197"/>
      <c r="F1334" s="147"/>
    </row>
    <row r="1335" ht="22.5" customHeight="1">
      <c r="A1335" s="250"/>
      <c r="B1335" s="196"/>
      <c r="C1335" s="152"/>
      <c r="D1335" s="196"/>
      <c r="E1335" s="196"/>
      <c r="F1335" s="155"/>
    </row>
    <row r="1336" ht="22.5" customHeight="1">
      <c r="A1336" s="202"/>
      <c r="B1336" s="197"/>
      <c r="C1336" s="144"/>
      <c r="D1336" s="197"/>
      <c r="E1336" s="197"/>
      <c r="F1336" s="147"/>
    </row>
    <row r="1337" ht="22.5" customHeight="1">
      <c r="A1337" s="250"/>
      <c r="B1337" s="196"/>
      <c r="C1337" s="152"/>
      <c r="D1337" s="196"/>
      <c r="E1337" s="196"/>
      <c r="F1337" s="155"/>
    </row>
    <row r="1338" ht="22.5" customHeight="1">
      <c r="A1338" s="202"/>
      <c r="B1338" s="197"/>
      <c r="C1338" s="144"/>
      <c r="D1338" s="197"/>
      <c r="E1338" s="197"/>
      <c r="F1338" s="147"/>
    </row>
    <row r="1339" ht="22.5" customHeight="1">
      <c r="A1339" s="250"/>
      <c r="B1339" s="196"/>
      <c r="C1339" s="152"/>
      <c r="D1339" s="196"/>
      <c r="E1339" s="196"/>
      <c r="F1339" s="155"/>
    </row>
    <row r="1340" ht="22.5" customHeight="1">
      <c r="A1340" s="202"/>
      <c r="B1340" s="197"/>
      <c r="C1340" s="144"/>
      <c r="D1340" s="197"/>
      <c r="E1340" s="197"/>
      <c r="F1340" s="147"/>
    </row>
    <row r="1341" ht="22.5" customHeight="1">
      <c r="A1341" s="250"/>
      <c r="B1341" s="196"/>
      <c r="C1341" s="152"/>
      <c r="D1341" s="196"/>
      <c r="E1341" s="196"/>
      <c r="F1341" s="155"/>
    </row>
    <row r="1342" ht="22.5" customHeight="1">
      <c r="A1342" s="202"/>
      <c r="B1342" s="197"/>
      <c r="C1342" s="144"/>
      <c r="D1342" s="197"/>
      <c r="E1342" s="197"/>
      <c r="F1342" s="147"/>
    </row>
    <row r="1343" ht="22.5" customHeight="1">
      <c r="A1343" s="250"/>
      <c r="B1343" s="196"/>
      <c r="C1343" s="152"/>
      <c r="D1343" s="196"/>
      <c r="E1343" s="196"/>
      <c r="F1343" s="155"/>
    </row>
    <row r="1344" ht="22.5" customHeight="1">
      <c r="A1344" s="202"/>
      <c r="B1344" s="197"/>
      <c r="C1344" s="144"/>
      <c r="D1344" s="197"/>
      <c r="E1344" s="197"/>
      <c r="F1344" s="147"/>
    </row>
    <row r="1345" ht="22.5" customHeight="1">
      <c r="A1345" s="250"/>
      <c r="B1345" s="196"/>
      <c r="C1345" s="152"/>
      <c r="D1345" s="196"/>
      <c r="E1345" s="196"/>
      <c r="F1345" s="155"/>
    </row>
    <row r="1346" ht="22.5" customHeight="1">
      <c r="A1346" s="202"/>
      <c r="B1346" s="197"/>
      <c r="C1346" s="144"/>
      <c r="D1346" s="197"/>
      <c r="E1346" s="197"/>
      <c r="F1346" s="147"/>
    </row>
    <row r="1347" ht="22.5" customHeight="1">
      <c r="A1347" s="250"/>
      <c r="B1347" s="196"/>
      <c r="C1347" s="152"/>
      <c r="D1347" s="196"/>
      <c r="E1347" s="196"/>
      <c r="F1347" s="155"/>
    </row>
    <row r="1348" ht="22.5" customHeight="1">
      <c r="A1348" s="202"/>
      <c r="B1348" s="197"/>
      <c r="C1348" s="144"/>
      <c r="D1348" s="197"/>
      <c r="E1348" s="197"/>
      <c r="F1348" s="147"/>
    </row>
    <row r="1349" ht="22.5" customHeight="1">
      <c r="A1349" s="250"/>
      <c r="B1349" s="196"/>
      <c r="C1349" s="152"/>
      <c r="D1349" s="196"/>
      <c r="E1349" s="196"/>
      <c r="F1349" s="155"/>
    </row>
    <row r="1350" ht="22.5" customHeight="1">
      <c r="A1350" s="202"/>
      <c r="B1350" s="197"/>
      <c r="C1350" s="144"/>
      <c r="D1350" s="197"/>
      <c r="E1350" s="197"/>
      <c r="F1350" s="147"/>
    </row>
    <row r="1351" ht="22.5" customHeight="1">
      <c r="A1351" s="250"/>
      <c r="B1351" s="196"/>
      <c r="C1351" s="152"/>
      <c r="D1351" s="196"/>
      <c r="E1351" s="196"/>
      <c r="F1351" s="155"/>
    </row>
    <row r="1352" ht="22.5" customHeight="1">
      <c r="A1352" s="202"/>
      <c r="B1352" s="197"/>
      <c r="C1352" s="144"/>
      <c r="D1352" s="197"/>
      <c r="E1352" s="197"/>
      <c r="F1352" s="147"/>
    </row>
    <row r="1353" ht="22.5" customHeight="1">
      <c r="A1353" s="250"/>
      <c r="B1353" s="196"/>
      <c r="C1353" s="152"/>
      <c r="D1353" s="196"/>
      <c r="E1353" s="196"/>
      <c r="F1353" s="155"/>
    </row>
    <row r="1354" ht="22.5" customHeight="1">
      <c r="A1354" s="202"/>
      <c r="B1354" s="197"/>
      <c r="C1354" s="144"/>
      <c r="D1354" s="197"/>
      <c r="E1354" s="197"/>
      <c r="F1354" s="147"/>
    </row>
    <row r="1355" ht="22.5" customHeight="1">
      <c r="A1355" s="250"/>
      <c r="B1355" s="196"/>
      <c r="C1355" s="152"/>
      <c r="D1355" s="196"/>
      <c r="E1355" s="196"/>
      <c r="F1355" s="155"/>
    </row>
    <row r="1356" ht="22.5" customHeight="1">
      <c r="A1356" s="202"/>
      <c r="B1356" s="197"/>
      <c r="C1356" s="144"/>
      <c r="D1356" s="197"/>
      <c r="E1356" s="197"/>
      <c r="F1356" s="147"/>
    </row>
    <row r="1357" ht="22.5" customHeight="1">
      <c r="A1357" s="250"/>
      <c r="B1357" s="196"/>
      <c r="C1357" s="152"/>
      <c r="D1357" s="196"/>
      <c r="E1357" s="196"/>
      <c r="F1357" s="155"/>
    </row>
    <row r="1358" ht="22.5" customHeight="1">
      <c r="A1358" s="202"/>
      <c r="B1358" s="197"/>
      <c r="C1358" s="144"/>
      <c r="D1358" s="197"/>
      <c r="E1358" s="197"/>
      <c r="F1358" s="147"/>
    </row>
    <row r="1359" ht="22.5" customHeight="1">
      <c r="A1359" s="250"/>
      <c r="B1359" s="196"/>
      <c r="C1359" s="152"/>
      <c r="D1359" s="196"/>
      <c r="E1359" s="196"/>
      <c r="F1359" s="155"/>
    </row>
    <row r="1360" ht="22.5" customHeight="1">
      <c r="A1360" s="202"/>
      <c r="B1360" s="197"/>
      <c r="C1360" s="144"/>
      <c r="D1360" s="197"/>
      <c r="E1360" s="197"/>
      <c r="F1360" s="147"/>
    </row>
    <row r="1361" ht="22.5" customHeight="1">
      <c r="A1361" s="250"/>
      <c r="B1361" s="196"/>
      <c r="C1361" s="152"/>
      <c r="D1361" s="196"/>
      <c r="E1361" s="196"/>
      <c r="F1361" s="155"/>
    </row>
    <row r="1362" ht="22.5" customHeight="1">
      <c r="A1362" s="202"/>
      <c r="B1362" s="197"/>
      <c r="C1362" s="144"/>
      <c r="D1362" s="197"/>
      <c r="E1362" s="197"/>
      <c r="F1362" s="147"/>
    </row>
    <row r="1363" ht="22.5" customHeight="1">
      <c r="A1363" s="250"/>
      <c r="B1363" s="196"/>
      <c r="C1363" s="152"/>
      <c r="D1363" s="196"/>
      <c r="E1363" s="196"/>
      <c r="F1363" s="155"/>
    </row>
    <row r="1364" ht="22.5" customHeight="1">
      <c r="A1364" s="202"/>
      <c r="B1364" s="197"/>
      <c r="C1364" s="144"/>
      <c r="D1364" s="197"/>
      <c r="E1364" s="197"/>
      <c r="F1364" s="147"/>
    </row>
    <row r="1365" ht="22.5" customHeight="1">
      <c r="A1365" s="250"/>
      <c r="B1365" s="196"/>
      <c r="C1365" s="152"/>
      <c r="D1365" s="196"/>
      <c r="E1365" s="196"/>
      <c r="F1365" s="155"/>
    </row>
    <row r="1366" ht="22.5" customHeight="1">
      <c r="A1366" s="202"/>
      <c r="B1366" s="197"/>
      <c r="C1366" s="144"/>
      <c r="D1366" s="197"/>
      <c r="E1366" s="197"/>
      <c r="F1366" s="147"/>
    </row>
    <row r="1367" ht="22.5" customHeight="1">
      <c r="A1367" s="250"/>
      <c r="B1367" s="196"/>
      <c r="C1367" s="152"/>
      <c r="D1367" s="196"/>
      <c r="E1367" s="196"/>
      <c r="F1367" s="155"/>
    </row>
    <row r="1368" ht="22.5" customHeight="1">
      <c r="A1368" s="202"/>
      <c r="B1368" s="197"/>
      <c r="C1368" s="144"/>
      <c r="D1368" s="197"/>
      <c r="E1368" s="197"/>
      <c r="F1368" s="147"/>
    </row>
    <row r="1369" ht="22.5" customHeight="1">
      <c r="A1369" s="250"/>
      <c r="B1369" s="196"/>
      <c r="C1369" s="152"/>
      <c r="D1369" s="196"/>
      <c r="E1369" s="196"/>
      <c r="F1369" s="155"/>
    </row>
    <row r="1370" ht="22.5" customHeight="1">
      <c r="A1370" s="202"/>
      <c r="B1370" s="197"/>
      <c r="C1370" s="144"/>
      <c r="D1370" s="197"/>
      <c r="E1370" s="197"/>
      <c r="F1370" s="147"/>
    </row>
    <row r="1371" ht="22.5" customHeight="1">
      <c r="A1371" s="250"/>
      <c r="B1371" s="196"/>
      <c r="C1371" s="152"/>
      <c r="D1371" s="196"/>
      <c r="E1371" s="196"/>
      <c r="F1371" s="155"/>
    </row>
    <row r="1372" ht="22.5" customHeight="1">
      <c r="A1372" s="202"/>
      <c r="B1372" s="197"/>
      <c r="C1372" s="144"/>
      <c r="D1372" s="197"/>
      <c r="E1372" s="197"/>
      <c r="F1372" s="147"/>
    </row>
    <row r="1373" ht="22.5" customHeight="1">
      <c r="A1373" s="250"/>
      <c r="B1373" s="196"/>
      <c r="C1373" s="152"/>
      <c r="D1373" s="196"/>
      <c r="E1373" s="196"/>
      <c r="F1373" s="155"/>
    </row>
    <row r="1374" ht="22.5" customHeight="1">
      <c r="A1374" s="202"/>
      <c r="B1374" s="197"/>
      <c r="C1374" s="144"/>
      <c r="D1374" s="197"/>
      <c r="E1374" s="197"/>
      <c r="F1374" s="147"/>
    </row>
    <row r="1375" ht="22.5" customHeight="1">
      <c r="A1375" s="250"/>
      <c r="B1375" s="196"/>
      <c r="C1375" s="152"/>
      <c r="D1375" s="196"/>
      <c r="E1375" s="196"/>
      <c r="F1375" s="155"/>
    </row>
    <row r="1376" ht="22.5" customHeight="1">
      <c r="A1376" s="202"/>
      <c r="B1376" s="197"/>
      <c r="C1376" s="144"/>
      <c r="D1376" s="197"/>
      <c r="E1376" s="197"/>
      <c r="F1376" s="147"/>
    </row>
    <row r="1377" ht="22.5" customHeight="1">
      <c r="A1377" s="250"/>
      <c r="B1377" s="196"/>
      <c r="C1377" s="152"/>
      <c r="D1377" s="196"/>
      <c r="E1377" s="196"/>
      <c r="F1377" s="155"/>
    </row>
    <row r="1378" ht="22.5" customHeight="1">
      <c r="A1378" s="202"/>
      <c r="B1378" s="197"/>
      <c r="C1378" s="144"/>
      <c r="D1378" s="197"/>
      <c r="E1378" s="197"/>
      <c r="F1378" s="147"/>
    </row>
    <row r="1379" ht="22.5" customHeight="1">
      <c r="A1379" s="250"/>
      <c r="B1379" s="196"/>
      <c r="C1379" s="152"/>
      <c r="D1379" s="196"/>
      <c r="E1379" s="196"/>
      <c r="F1379" s="155"/>
    </row>
    <row r="1380" ht="22.5" customHeight="1">
      <c r="A1380" s="202"/>
      <c r="B1380" s="197"/>
      <c r="C1380" s="144"/>
      <c r="D1380" s="197"/>
      <c r="E1380" s="197"/>
      <c r="F1380" s="147"/>
    </row>
    <row r="1381" ht="22.5" customHeight="1">
      <c r="A1381" s="250"/>
      <c r="B1381" s="196"/>
      <c r="C1381" s="152"/>
      <c r="D1381" s="196"/>
      <c r="E1381" s="196"/>
      <c r="F1381" s="155"/>
    </row>
    <row r="1382" ht="22.5" customHeight="1">
      <c r="A1382" s="202"/>
      <c r="B1382" s="197"/>
      <c r="C1382" s="144"/>
      <c r="D1382" s="197"/>
      <c r="E1382" s="197"/>
      <c r="F1382" s="147"/>
    </row>
    <row r="1383" ht="22.5" customHeight="1">
      <c r="A1383" s="250"/>
      <c r="B1383" s="196"/>
      <c r="C1383" s="152"/>
      <c r="D1383" s="196"/>
      <c r="E1383" s="196"/>
      <c r="F1383" s="155"/>
    </row>
    <row r="1384" ht="22.5" customHeight="1">
      <c r="A1384" s="202"/>
      <c r="B1384" s="197"/>
      <c r="C1384" s="144"/>
      <c r="D1384" s="197"/>
      <c r="E1384" s="197"/>
      <c r="F1384" s="147"/>
    </row>
    <row r="1385" ht="22.5" customHeight="1">
      <c r="A1385" s="250"/>
      <c r="B1385" s="196"/>
      <c r="C1385" s="152"/>
      <c r="D1385" s="196"/>
      <c r="E1385" s="196"/>
      <c r="F1385" s="155"/>
    </row>
    <row r="1386" ht="22.5" customHeight="1">
      <c r="A1386" s="202"/>
      <c r="B1386" s="197"/>
      <c r="C1386" s="144"/>
      <c r="D1386" s="197"/>
      <c r="E1386" s="197"/>
      <c r="F1386" s="147"/>
    </row>
    <row r="1387" ht="22.5" customHeight="1">
      <c r="A1387" s="250"/>
      <c r="B1387" s="196"/>
      <c r="C1387" s="152"/>
      <c r="D1387" s="196"/>
      <c r="E1387" s="196"/>
      <c r="F1387" s="155"/>
    </row>
    <row r="1388" ht="22.5" customHeight="1">
      <c r="A1388" s="202"/>
      <c r="B1388" s="197"/>
      <c r="C1388" s="144"/>
      <c r="D1388" s="197"/>
      <c r="E1388" s="197"/>
      <c r="F1388" s="147"/>
    </row>
    <row r="1389" ht="22.5" customHeight="1">
      <c r="A1389" s="250"/>
      <c r="B1389" s="196"/>
      <c r="C1389" s="152"/>
      <c r="D1389" s="196"/>
      <c r="E1389" s="196"/>
      <c r="F1389" s="155"/>
    </row>
    <row r="1390" ht="22.5" customHeight="1">
      <c r="A1390" s="202"/>
      <c r="B1390" s="197"/>
      <c r="C1390" s="144"/>
      <c r="D1390" s="197"/>
      <c r="E1390" s="197"/>
      <c r="F1390" s="147"/>
    </row>
    <row r="1391" ht="22.5" customHeight="1">
      <c r="A1391" s="250"/>
      <c r="B1391" s="196"/>
      <c r="C1391" s="152"/>
      <c r="D1391" s="196"/>
      <c r="E1391" s="196"/>
      <c r="F1391" s="155"/>
    </row>
    <row r="1392" ht="22.5" customHeight="1">
      <c r="A1392" s="202"/>
      <c r="B1392" s="197"/>
      <c r="C1392" s="144"/>
      <c r="D1392" s="197"/>
      <c r="E1392" s="197"/>
      <c r="F1392" s="147"/>
    </row>
    <row r="1393" ht="22.5" customHeight="1">
      <c r="A1393" s="250"/>
      <c r="B1393" s="196"/>
      <c r="C1393" s="152"/>
      <c r="D1393" s="196"/>
      <c r="E1393" s="196"/>
      <c r="F1393" s="155"/>
    </row>
    <row r="1394" ht="22.5" customHeight="1">
      <c r="A1394" s="202"/>
      <c r="B1394" s="197"/>
      <c r="C1394" s="144"/>
      <c r="D1394" s="197"/>
      <c r="E1394" s="197"/>
      <c r="F1394" s="147"/>
    </row>
    <row r="1395" ht="22.5" customHeight="1">
      <c r="A1395" s="250"/>
      <c r="B1395" s="196"/>
      <c r="C1395" s="152"/>
      <c r="D1395" s="196"/>
      <c r="E1395" s="196"/>
      <c r="F1395" s="155"/>
    </row>
    <row r="1396" ht="22.5" customHeight="1">
      <c r="A1396" s="202"/>
      <c r="B1396" s="197"/>
      <c r="C1396" s="144"/>
      <c r="D1396" s="197"/>
      <c r="E1396" s="197"/>
      <c r="F1396" s="147"/>
    </row>
    <row r="1397" ht="22.5" customHeight="1">
      <c r="A1397" s="250"/>
      <c r="B1397" s="196"/>
      <c r="C1397" s="152"/>
      <c r="D1397" s="196"/>
      <c r="E1397" s="196"/>
      <c r="F1397" s="155"/>
    </row>
    <row r="1398" ht="22.5" customHeight="1">
      <c r="A1398" s="202"/>
      <c r="B1398" s="197"/>
      <c r="C1398" s="144"/>
      <c r="D1398" s="197"/>
      <c r="E1398" s="197"/>
      <c r="F1398" s="147"/>
    </row>
    <row r="1399" ht="22.5" customHeight="1">
      <c r="A1399" s="250"/>
      <c r="B1399" s="196"/>
      <c r="C1399" s="152"/>
      <c r="D1399" s="196"/>
      <c r="E1399" s="196"/>
      <c r="F1399" s="155"/>
    </row>
    <row r="1400" ht="22.5" customHeight="1">
      <c r="A1400" s="202"/>
      <c r="B1400" s="197"/>
      <c r="C1400" s="144"/>
      <c r="D1400" s="197"/>
      <c r="E1400" s="197"/>
      <c r="F1400" s="147"/>
    </row>
    <row r="1401" ht="22.5" customHeight="1">
      <c r="A1401" s="250"/>
      <c r="B1401" s="196"/>
      <c r="C1401" s="152"/>
      <c r="D1401" s="196"/>
      <c r="E1401" s="196"/>
      <c r="F1401" s="155"/>
    </row>
    <row r="1402" ht="22.5" customHeight="1">
      <c r="A1402" s="202"/>
      <c r="B1402" s="197"/>
      <c r="C1402" s="144"/>
      <c r="D1402" s="197"/>
      <c r="E1402" s="197"/>
      <c r="F1402" s="147"/>
    </row>
    <row r="1403" ht="22.5" customHeight="1">
      <c r="A1403" s="250"/>
      <c r="B1403" s="196"/>
      <c r="C1403" s="152"/>
      <c r="D1403" s="196"/>
      <c r="E1403" s="196"/>
      <c r="F1403" s="155"/>
    </row>
    <row r="1404" ht="22.5" customHeight="1">
      <c r="A1404" s="202"/>
      <c r="B1404" s="197"/>
      <c r="C1404" s="144"/>
      <c r="D1404" s="197"/>
      <c r="E1404" s="197"/>
      <c r="F1404" s="147"/>
    </row>
    <row r="1405" ht="22.5" customHeight="1">
      <c r="A1405" s="250"/>
      <c r="B1405" s="196"/>
      <c r="C1405" s="152"/>
      <c r="D1405" s="196"/>
      <c r="E1405" s="196"/>
      <c r="F1405" s="155"/>
    </row>
    <row r="1406" ht="22.5" customHeight="1">
      <c r="A1406" s="202"/>
      <c r="B1406" s="197"/>
      <c r="C1406" s="144"/>
      <c r="D1406" s="197"/>
      <c r="E1406" s="197"/>
      <c r="F1406" s="147"/>
    </row>
    <row r="1407" ht="22.5" customHeight="1">
      <c r="A1407" s="250"/>
      <c r="B1407" s="196"/>
      <c r="C1407" s="152"/>
      <c r="D1407" s="196"/>
      <c r="E1407" s="196"/>
      <c r="F1407" s="155"/>
    </row>
    <row r="1408" ht="22.5" customHeight="1">
      <c r="A1408" s="202"/>
      <c r="B1408" s="197"/>
      <c r="C1408" s="144"/>
      <c r="D1408" s="197"/>
      <c r="E1408" s="197"/>
      <c r="F1408" s="147"/>
    </row>
    <row r="1409" ht="22.5" customHeight="1">
      <c r="A1409" s="250"/>
      <c r="B1409" s="196"/>
      <c r="C1409" s="152"/>
      <c r="D1409" s="196"/>
      <c r="E1409" s="196"/>
      <c r="F1409" s="155"/>
    </row>
    <row r="1410" ht="22.5" customHeight="1">
      <c r="A1410" s="202"/>
      <c r="B1410" s="197"/>
      <c r="C1410" s="144"/>
      <c r="D1410" s="197"/>
      <c r="E1410" s="197"/>
      <c r="F1410" s="147"/>
    </row>
    <row r="1411" ht="22.5" customHeight="1">
      <c r="A1411" s="250"/>
      <c r="B1411" s="196"/>
      <c r="C1411" s="152"/>
      <c r="D1411" s="196"/>
      <c r="E1411" s="196"/>
      <c r="F1411" s="155"/>
    </row>
    <row r="1412" ht="22.5" customHeight="1">
      <c r="A1412" s="202"/>
      <c r="B1412" s="197"/>
      <c r="C1412" s="144"/>
      <c r="D1412" s="197"/>
      <c r="E1412" s="197"/>
      <c r="F1412" s="147"/>
    </row>
    <row r="1413" ht="22.5" customHeight="1">
      <c r="A1413" s="250"/>
      <c r="B1413" s="196"/>
      <c r="C1413" s="152"/>
      <c r="D1413" s="196"/>
      <c r="E1413" s="196"/>
      <c r="F1413" s="155"/>
    </row>
    <row r="1414" ht="22.5" customHeight="1">
      <c r="A1414" s="202"/>
      <c r="B1414" s="197"/>
      <c r="C1414" s="144"/>
      <c r="D1414" s="197"/>
      <c r="E1414" s="197"/>
      <c r="F1414" s="147"/>
    </row>
    <row r="1415" ht="22.5" customHeight="1">
      <c r="A1415" s="250"/>
      <c r="B1415" s="196"/>
      <c r="C1415" s="152"/>
      <c r="D1415" s="196"/>
      <c r="E1415" s="196"/>
      <c r="F1415" s="155"/>
    </row>
    <row r="1416" ht="22.5" customHeight="1">
      <c r="A1416" s="202"/>
      <c r="B1416" s="197"/>
      <c r="C1416" s="144"/>
      <c r="D1416" s="197"/>
      <c r="E1416" s="197"/>
      <c r="F1416" s="147"/>
    </row>
    <row r="1417" ht="22.5" customHeight="1">
      <c r="A1417" s="250"/>
      <c r="B1417" s="196"/>
      <c r="C1417" s="152"/>
      <c r="D1417" s="196"/>
      <c r="E1417" s="196"/>
      <c r="F1417" s="155"/>
    </row>
    <row r="1418" ht="22.5" customHeight="1">
      <c r="A1418" s="202"/>
      <c r="B1418" s="197"/>
      <c r="C1418" s="144"/>
      <c r="D1418" s="197"/>
      <c r="E1418" s="197"/>
      <c r="F1418" s="147"/>
    </row>
    <row r="1419" ht="22.5" customHeight="1">
      <c r="A1419" s="250"/>
      <c r="B1419" s="196"/>
      <c r="C1419" s="152"/>
      <c r="D1419" s="196"/>
      <c r="E1419" s="196"/>
      <c r="F1419" s="155"/>
    </row>
    <row r="1420" ht="22.5" customHeight="1">
      <c r="A1420" s="202"/>
      <c r="B1420" s="197"/>
      <c r="C1420" s="144"/>
      <c r="D1420" s="197"/>
      <c r="E1420" s="197"/>
      <c r="F1420" s="147"/>
    </row>
    <row r="1421" ht="22.5" customHeight="1">
      <c r="A1421" s="250"/>
      <c r="B1421" s="196"/>
      <c r="C1421" s="152"/>
      <c r="D1421" s="196"/>
      <c r="E1421" s="196"/>
      <c r="F1421" s="155"/>
    </row>
    <row r="1422" ht="22.5" customHeight="1">
      <c r="A1422" s="202"/>
      <c r="B1422" s="197"/>
      <c r="C1422" s="144"/>
      <c r="D1422" s="197"/>
      <c r="E1422" s="197"/>
      <c r="F1422" s="147"/>
    </row>
    <row r="1423" ht="22.5" customHeight="1">
      <c r="A1423" s="250"/>
      <c r="B1423" s="196"/>
      <c r="C1423" s="152"/>
      <c r="D1423" s="196"/>
      <c r="E1423" s="196"/>
      <c r="F1423" s="155"/>
    </row>
    <row r="1424" ht="22.5" customHeight="1">
      <c r="A1424" s="202"/>
      <c r="B1424" s="197"/>
      <c r="C1424" s="144"/>
      <c r="D1424" s="197"/>
      <c r="E1424" s="197"/>
      <c r="F1424" s="147"/>
    </row>
    <row r="1425" ht="22.5" customHeight="1">
      <c r="A1425" s="250"/>
      <c r="B1425" s="196"/>
      <c r="C1425" s="152"/>
      <c r="D1425" s="196"/>
      <c r="E1425" s="196"/>
      <c r="F1425" s="155"/>
    </row>
    <row r="1426" ht="22.5" customHeight="1">
      <c r="A1426" s="202"/>
      <c r="B1426" s="197"/>
      <c r="C1426" s="144"/>
      <c r="D1426" s="197"/>
      <c r="E1426" s="197"/>
      <c r="F1426" s="147"/>
    </row>
    <row r="1427" ht="22.5" customHeight="1">
      <c r="A1427" s="250"/>
      <c r="B1427" s="196"/>
      <c r="C1427" s="152"/>
      <c r="D1427" s="196"/>
      <c r="E1427" s="196"/>
      <c r="F1427" s="155"/>
    </row>
    <row r="1428" ht="22.5" customHeight="1">
      <c r="A1428" s="202"/>
      <c r="B1428" s="197"/>
      <c r="C1428" s="144"/>
      <c r="D1428" s="197"/>
      <c r="E1428" s="197"/>
      <c r="F1428" s="147"/>
    </row>
    <row r="1429" ht="22.5" customHeight="1">
      <c r="A1429" s="250"/>
      <c r="B1429" s="196"/>
      <c r="C1429" s="152"/>
      <c r="D1429" s="196"/>
      <c r="E1429" s="196"/>
      <c r="F1429" s="155"/>
    </row>
    <row r="1430" ht="22.5" customHeight="1">
      <c r="A1430" s="202"/>
      <c r="B1430" s="197"/>
      <c r="C1430" s="144"/>
      <c r="D1430" s="197"/>
      <c r="E1430" s="197"/>
      <c r="F1430" s="147"/>
    </row>
    <row r="1431" ht="22.5" customHeight="1">
      <c r="A1431" s="250"/>
      <c r="B1431" s="196"/>
      <c r="C1431" s="152"/>
      <c r="D1431" s="196"/>
      <c r="E1431" s="196"/>
      <c r="F1431" s="155"/>
    </row>
    <row r="1432" ht="22.5" customHeight="1">
      <c r="A1432" s="202"/>
      <c r="B1432" s="197"/>
      <c r="C1432" s="144"/>
      <c r="D1432" s="197"/>
      <c r="E1432" s="197"/>
      <c r="F1432" s="147"/>
    </row>
    <row r="1433" ht="22.5" customHeight="1">
      <c r="A1433" s="250"/>
      <c r="B1433" s="196"/>
      <c r="C1433" s="152"/>
      <c r="D1433" s="196"/>
      <c r="E1433" s="196"/>
      <c r="F1433" s="155"/>
    </row>
    <row r="1434" ht="22.5" customHeight="1">
      <c r="A1434" s="202"/>
      <c r="B1434" s="197"/>
      <c r="C1434" s="144"/>
      <c r="D1434" s="197"/>
      <c r="E1434" s="197"/>
      <c r="F1434" s="147"/>
    </row>
    <row r="1435" ht="22.5" customHeight="1">
      <c r="A1435" s="250"/>
      <c r="B1435" s="196"/>
      <c r="C1435" s="152"/>
      <c r="D1435" s="196"/>
      <c r="E1435" s="196"/>
      <c r="F1435" s="155"/>
    </row>
    <row r="1436" ht="22.5" customHeight="1">
      <c r="A1436" s="202"/>
      <c r="B1436" s="197"/>
      <c r="C1436" s="144"/>
      <c r="D1436" s="197"/>
      <c r="E1436" s="197"/>
      <c r="F1436" s="147"/>
    </row>
    <row r="1437" ht="22.5" customHeight="1">
      <c r="A1437" s="250"/>
      <c r="B1437" s="196"/>
      <c r="C1437" s="152"/>
      <c r="D1437" s="196"/>
      <c r="E1437" s="196"/>
      <c r="F1437" s="155"/>
    </row>
    <row r="1438" ht="22.5" customHeight="1">
      <c r="A1438" s="202"/>
      <c r="B1438" s="197"/>
      <c r="C1438" s="144"/>
      <c r="D1438" s="197"/>
      <c r="E1438" s="197"/>
      <c r="F1438" s="147"/>
    </row>
    <row r="1439" ht="22.5" customHeight="1">
      <c r="A1439" s="250"/>
      <c r="B1439" s="196"/>
      <c r="C1439" s="152"/>
      <c r="D1439" s="196"/>
      <c r="E1439" s="196"/>
      <c r="F1439" s="155"/>
    </row>
    <row r="1440" ht="22.5" customHeight="1">
      <c r="A1440" s="202"/>
      <c r="B1440" s="197"/>
      <c r="C1440" s="144"/>
      <c r="D1440" s="197"/>
      <c r="E1440" s="197"/>
      <c r="F1440" s="147"/>
    </row>
    <row r="1441" ht="22.5" customHeight="1">
      <c r="A1441" s="250"/>
      <c r="B1441" s="196"/>
      <c r="C1441" s="152"/>
      <c r="D1441" s="196"/>
      <c r="E1441" s="196"/>
      <c r="F1441" s="155"/>
    </row>
    <row r="1442" ht="22.5" customHeight="1">
      <c r="A1442" s="202"/>
      <c r="B1442" s="197"/>
      <c r="C1442" s="144"/>
      <c r="D1442" s="197"/>
      <c r="E1442" s="197"/>
      <c r="F1442" s="147"/>
    </row>
    <row r="1443" ht="22.5" customHeight="1">
      <c r="A1443" s="250"/>
      <c r="B1443" s="196"/>
      <c r="C1443" s="152"/>
      <c r="D1443" s="196"/>
      <c r="E1443" s="196"/>
      <c r="F1443" s="155"/>
    </row>
    <row r="1444" ht="22.5" customHeight="1">
      <c r="A1444" s="202"/>
      <c r="B1444" s="197"/>
      <c r="C1444" s="144"/>
      <c r="D1444" s="197"/>
      <c r="E1444" s="197"/>
      <c r="F1444" s="147"/>
    </row>
    <row r="1445" ht="22.5" customHeight="1">
      <c r="A1445" s="250"/>
      <c r="B1445" s="196"/>
      <c r="C1445" s="152"/>
      <c r="D1445" s="196"/>
      <c r="E1445" s="196"/>
      <c r="F1445" s="155"/>
    </row>
    <row r="1446" ht="22.5" customHeight="1">
      <c r="A1446" s="202"/>
      <c r="B1446" s="197"/>
      <c r="C1446" s="144"/>
      <c r="D1446" s="197"/>
      <c r="E1446" s="197"/>
      <c r="F1446" s="147"/>
    </row>
    <row r="1447" ht="22.5" customHeight="1">
      <c r="A1447" s="250"/>
      <c r="B1447" s="196"/>
      <c r="C1447" s="152"/>
      <c r="D1447" s="196"/>
      <c r="E1447" s="196"/>
      <c r="F1447" s="155"/>
    </row>
    <row r="1448" ht="22.5" customHeight="1">
      <c r="A1448" s="202"/>
      <c r="B1448" s="197"/>
      <c r="C1448" s="144"/>
      <c r="D1448" s="197"/>
      <c r="E1448" s="197"/>
      <c r="F1448" s="147"/>
    </row>
    <row r="1449" ht="22.5" customHeight="1">
      <c r="A1449" s="250"/>
      <c r="B1449" s="196"/>
      <c r="C1449" s="152"/>
      <c r="D1449" s="196"/>
      <c r="E1449" s="196"/>
      <c r="F1449" s="155"/>
    </row>
    <row r="1450" ht="22.5" customHeight="1">
      <c r="A1450" s="202"/>
      <c r="B1450" s="197"/>
      <c r="C1450" s="144"/>
      <c r="D1450" s="197"/>
      <c r="E1450" s="197"/>
      <c r="F1450" s="147"/>
    </row>
    <row r="1451" ht="22.5" customHeight="1">
      <c r="A1451" s="250"/>
      <c r="B1451" s="196"/>
      <c r="C1451" s="152"/>
      <c r="D1451" s="196"/>
      <c r="E1451" s="196"/>
      <c r="F1451" s="155"/>
    </row>
    <row r="1452" ht="22.5" customHeight="1">
      <c r="A1452" s="202"/>
      <c r="B1452" s="197"/>
      <c r="C1452" s="144"/>
      <c r="D1452" s="197"/>
      <c r="E1452" s="197"/>
      <c r="F1452" s="147"/>
    </row>
    <row r="1453" ht="22.5" customHeight="1">
      <c r="A1453" s="250"/>
      <c r="B1453" s="196"/>
      <c r="C1453" s="152"/>
      <c r="D1453" s="196"/>
      <c r="E1453" s="196"/>
      <c r="F1453" s="155"/>
    </row>
    <row r="1454" ht="22.5" customHeight="1">
      <c r="A1454" s="202"/>
      <c r="B1454" s="197"/>
      <c r="C1454" s="144"/>
      <c r="D1454" s="197"/>
      <c r="E1454" s="197"/>
      <c r="F1454" s="147"/>
    </row>
    <row r="1455" ht="22.5" customHeight="1">
      <c r="A1455" s="250"/>
      <c r="B1455" s="196"/>
      <c r="C1455" s="152"/>
      <c r="D1455" s="196"/>
      <c r="E1455" s="196"/>
      <c r="F1455" s="155"/>
    </row>
    <row r="1456" ht="22.5" customHeight="1">
      <c r="A1456" s="202"/>
      <c r="B1456" s="197"/>
      <c r="C1456" s="144"/>
      <c r="D1456" s="197"/>
      <c r="E1456" s="197"/>
      <c r="F1456" s="147"/>
    </row>
    <row r="1457" ht="22.5" customHeight="1">
      <c r="A1457" s="250"/>
      <c r="B1457" s="196"/>
      <c r="C1457" s="152"/>
      <c r="D1457" s="196"/>
      <c r="E1457" s="196"/>
      <c r="F1457" s="155"/>
    </row>
    <row r="1458" ht="22.5" customHeight="1">
      <c r="A1458" s="202"/>
      <c r="B1458" s="197"/>
      <c r="C1458" s="144"/>
      <c r="D1458" s="197"/>
      <c r="E1458" s="197"/>
      <c r="F1458" s="147"/>
    </row>
    <row r="1459" ht="22.5" customHeight="1">
      <c r="A1459" s="250"/>
      <c r="B1459" s="196"/>
      <c r="C1459" s="152"/>
      <c r="D1459" s="196"/>
      <c r="E1459" s="196"/>
      <c r="F1459" s="155"/>
    </row>
    <row r="1460" ht="22.5" customHeight="1">
      <c r="A1460" s="202"/>
      <c r="B1460" s="197"/>
      <c r="C1460" s="144"/>
      <c r="D1460" s="197"/>
      <c r="E1460" s="197"/>
      <c r="F1460" s="147"/>
    </row>
    <row r="1461" ht="22.5" customHeight="1">
      <c r="A1461" s="250"/>
      <c r="B1461" s="196"/>
      <c r="C1461" s="152"/>
      <c r="D1461" s="196"/>
      <c r="E1461" s="196"/>
      <c r="F1461" s="155"/>
    </row>
    <row r="1462" ht="22.5" customHeight="1">
      <c r="A1462" s="202"/>
      <c r="B1462" s="197"/>
      <c r="C1462" s="144"/>
      <c r="D1462" s="197"/>
      <c r="E1462" s="197"/>
      <c r="F1462" s="147"/>
    </row>
    <row r="1463" ht="22.5" customHeight="1">
      <c r="A1463" s="250"/>
      <c r="B1463" s="196"/>
      <c r="C1463" s="152"/>
      <c r="D1463" s="196"/>
      <c r="E1463" s="196"/>
      <c r="F1463" s="155"/>
    </row>
    <row r="1464" ht="22.5" customHeight="1">
      <c r="A1464" s="202"/>
      <c r="B1464" s="197"/>
      <c r="C1464" s="144"/>
      <c r="D1464" s="197"/>
      <c r="E1464" s="197"/>
      <c r="F1464" s="147"/>
    </row>
    <row r="1465" ht="22.5" customHeight="1">
      <c r="A1465" s="250"/>
      <c r="B1465" s="196"/>
      <c r="C1465" s="152"/>
      <c r="D1465" s="196"/>
      <c r="E1465" s="196"/>
      <c r="F1465" s="155"/>
    </row>
    <row r="1466" ht="22.5" customHeight="1">
      <c r="A1466" s="202"/>
      <c r="B1466" s="197"/>
      <c r="C1466" s="144"/>
      <c r="D1466" s="197"/>
      <c r="E1466" s="197"/>
      <c r="F1466" s="147"/>
    </row>
    <row r="1467" ht="22.5" customHeight="1">
      <c r="A1467" s="250"/>
      <c r="B1467" s="196"/>
      <c r="C1467" s="152"/>
      <c r="D1467" s="196"/>
      <c r="E1467" s="196"/>
      <c r="F1467" s="155"/>
    </row>
    <row r="1468" ht="22.5" customHeight="1">
      <c r="A1468" s="202"/>
      <c r="B1468" s="197"/>
      <c r="C1468" s="144"/>
      <c r="D1468" s="197"/>
      <c r="E1468" s="197"/>
      <c r="F1468" s="147"/>
    </row>
    <row r="1469" ht="22.5" customHeight="1">
      <c r="A1469" s="250"/>
      <c r="B1469" s="196"/>
      <c r="C1469" s="152"/>
      <c r="D1469" s="196"/>
      <c r="E1469" s="196"/>
      <c r="F1469" s="155"/>
    </row>
    <row r="1470" ht="22.5" customHeight="1">
      <c r="A1470" s="202"/>
      <c r="B1470" s="197"/>
      <c r="C1470" s="144"/>
      <c r="D1470" s="197"/>
      <c r="E1470" s="197"/>
      <c r="F1470" s="147"/>
    </row>
    <row r="1471" ht="22.5" customHeight="1">
      <c r="A1471" s="250"/>
      <c r="B1471" s="196"/>
      <c r="C1471" s="152"/>
      <c r="D1471" s="196"/>
      <c r="E1471" s="196"/>
      <c r="F1471" s="155"/>
    </row>
    <row r="1472" ht="22.5" customHeight="1">
      <c r="A1472" s="202"/>
      <c r="B1472" s="197"/>
      <c r="C1472" s="144"/>
      <c r="D1472" s="197"/>
      <c r="E1472" s="197"/>
      <c r="F1472" s="147"/>
    </row>
    <row r="1473" ht="22.5" customHeight="1">
      <c r="A1473" s="250"/>
      <c r="B1473" s="196"/>
      <c r="C1473" s="152"/>
      <c r="D1473" s="196"/>
      <c r="E1473" s="196"/>
      <c r="F1473" s="155"/>
    </row>
    <row r="1474" ht="22.5" customHeight="1">
      <c r="A1474" s="202"/>
      <c r="B1474" s="197"/>
      <c r="C1474" s="144"/>
      <c r="D1474" s="197"/>
      <c r="E1474" s="197"/>
      <c r="F1474" s="147"/>
    </row>
    <row r="1475" ht="22.5" customHeight="1">
      <c r="A1475" s="250"/>
      <c r="B1475" s="196"/>
      <c r="C1475" s="152"/>
      <c r="D1475" s="196"/>
      <c r="E1475" s="196"/>
      <c r="F1475" s="155"/>
    </row>
    <row r="1476" ht="22.5" customHeight="1">
      <c r="A1476" s="202"/>
      <c r="B1476" s="197"/>
      <c r="C1476" s="144"/>
      <c r="D1476" s="197"/>
      <c r="E1476" s="197"/>
      <c r="F1476" s="147"/>
    </row>
    <row r="1477" ht="22.5" customHeight="1">
      <c r="A1477" s="250"/>
      <c r="B1477" s="196"/>
      <c r="C1477" s="152"/>
      <c r="D1477" s="196"/>
      <c r="E1477" s="196"/>
      <c r="F1477" s="155"/>
    </row>
    <row r="1478" ht="22.5" customHeight="1">
      <c r="A1478" s="202"/>
      <c r="B1478" s="197"/>
      <c r="C1478" s="144"/>
      <c r="D1478" s="197"/>
      <c r="E1478" s="197"/>
      <c r="F1478" s="147"/>
    </row>
    <row r="1479" ht="22.5" customHeight="1">
      <c r="A1479" s="250"/>
      <c r="B1479" s="196"/>
      <c r="C1479" s="152"/>
      <c r="D1479" s="196"/>
      <c r="E1479" s="196"/>
      <c r="F1479" s="155"/>
    </row>
    <row r="1480" ht="22.5" customHeight="1">
      <c r="A1480" s="202"/>
      <c r="B1480" s="197"/>
      <c r="C1480" s="144"/>
      <c r="D1480" s="197"/>
      <c r="E1480" s="197"/>
      <c r="F1480" s="147"/>
    </row>
    <row r="1481" ht="22.5" customHeight="1">
      <c r="A1481" s="251"/>
      <c r="B1481" s="253"/>
      <c r="C1481" s="254"/>
      <c r="D1481" s="253"/>
      <c r="E1481" s="253"/>
      <c r="F1481" s="256"/>
    </row>
  </sheetData>
  <dataValidations>
    <dataValidation allowBlank="1" showDropDown="1" sqref="A2:A1481"/>
    <dataValidation type="list" allowBlank="1" sqref="C2:C1481">
      <formula1>"Contacted,Awaiting Response,Closed - Won,Closed - Lost,Call not Recieved,Referred to,Awaiting payment,international num ,form filled,call later,demo"</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38" t="s">
        <v>0</v>
      </c>
      <c r="B1" s="138" t="s">
        <v>1</v>
      </c>
      <c r="C1" s="138" t="s">
        <v>4</v>
      </c>
      <c r="D1" s="283" t="s">
        <v>13313</v>
      </c>
      <c r="E1" s="283" t="s">
        <v>13</v>
      </c>
      <c r="F1" s="283" t="s">
        <v>628</v>
      </c>
    </row>
    <row r="2" ht="22.5" customHeight="1">
      <c r="A2" s="303" t="s">
        <v>11144</v>
      </c>
      <c r="B2" s="159" t="s">
        <v>13674</v>
      </c>
      <c r="C2" s="156" t="s">
        <v>635</v>
      </c>
      <c r="D2" s="159" t="s">
        <v>13675</v>
      </c>
      <c r="E2" s="197"/>
      <c r="F2" s="147"/>
    </row>
    <row r="3" ht="22.5" customHeight="1">
      <c r="A3" s="690" t="s">
        <v>13676</v>
      </c>
      <c r="B3" s="313" t="s">
        <v>13677</v>
      </c>
      <c r="C3" s="194" t="s">
        <v>635</v>
      </c>
      <c r="D3" s="313" t="s">
        <v>10694</v>
      </c>
      <c r="E3" s="158" t="s">
        <v>11388</v>
      </c>
      <c r="F3" s="155"/>
    </row>
    <row r="4" ht="22.5" customHeight="1">
      <c r="A4" s="202"/>
      <c r="B4" s="159" t="s">
        <v>13678</v>
      </c>
      <c r="C4" s="169" t="s">
        <v>49</v>
      </c>
      <c r="D4" s="159" t="s">
        <v>10694</v>
      </c>
      <c r="E4" s="159" t="s">
        <v>11388</v>
      </c>
      <c r="F4" s="147"/>
    </row>
    <row r="5" ht="22.5" customHeight="1">
      <c r="A5" s="691"/>
      <c r="B5" s="313" t="s">
        <v>13679</v>
      </c>
      <c r="C5" s="192" t="s">
        <v>49</v>
      </c>
      <c r="D5" s="415"/>
      <c r="E5" s="196"/>
      <c r="F5" s="155"/>
    </row>
    <row r="6" ht="22.5" customHeight="1">
      <c r="A6" s="140" t="s">
        <v>13680</v>
      </c>
      <c r="B6" s="159" t="s">
        <v>13681</v>
      </c>
      <c r="C6" s="169" t="s">
        <v>49</v>
      </c>
      <c r="D6" s="159" t="s">
        <v>1985</v>
      </c>
      <c r="E6" s="197"/>
      <c r="F6" s="147"/>
    </row>
    <row r="7" ht="22.5" customHeight="1">
      <c r="A7" s="690" t="s">
        <v>13682</v>
      </c>
      <c r="B7" s="310" t="s">
        <v>13683</v>
      </c>
      <c r="C7" s="192" t="s">
        <v>49</v>
      </c>
      <c r="D7" s="313" t="s">
        <v>51</v>
      </c>
      <c r="E7" s="196"/>
      <c r="F7" s="155"/>
    </row>
    <row r="8" ht="22.5" customHeight="1">
      <c r="A8" s="140" t="s">
        <v>13684</v>
      </c>
      <c r="B8" s="159" t="s">
        <v>13685</v>
      </c>
      <c r="C8" s="169" t="s">
        <v>49</v>
      </c>
      <c r="D8" s="159" t="s">
        <v>27</v>
      </c>
      <c r="E8" s="197"/>
      <c r="F8" s="147"/>
    </row>
    <row r="9" ht="22.5" customHeight="1">
      <c r="A9" s="690" t="s">
        <v>13686</v>
      </c>
      <c r="B9" s="313" t="s">
        <v>13687</v>
      </c>
      <c r="C9" s="192" t="s">
        <v>49</v>
      </c>
      <c r="D9" s="313" t="s">
        <v>685</v>
      </c>
      <c r="E9" s="158" t="s">
        <v>13688</v>
      </c>
      <c r="F9" s="155"/>
    </row>
    <row r="10" ht="22.5" customHeight="1">
      <c r="A10" s="202"/>
      <c r="B10" s="159" t="s">
        <v>13689</v>
      </c>
      <c r="C10" s="169" t="s">
        <v>49</v>
      </c>
      <c r="D10" s="159" t="s">
        <v>11388</v>
      </c>
      <c r="E10" s="159" t="s">
        <v>11388</v>
      </c>
      <c r="F10" s="147"/>
    </row>
    <row r="11" ht="22.5" customHeight="1">
      <c r="A11" s="690" t="s">
        <v>11394</v>
      </c>
      <c r="B11" s="313" t="s">
        <v>13690</v>
      </c>
      <c r="C11" s="192" t="s">
        <v>49</v>
      </c>
      <c r="D11" s="415"/>
      <c r="E11" s="196"/>
      <c r="F11" s="155"/>
    </row>
    <row r="12" ht="22.5" customHeight="1">
      <c r="A12" s="140" t="s">
        <v>13691</v>
      </c>
      <c r="B12" s="141" t="s">
        <v>13692</v>
      </c>
      <c r="C12" s="169" t="s">
        <v>49</v>
      </c>
      <c r="D12" s="159" t="s">
        <v>13693</v>
      </c>
      <c r="E12" s="159" t="s">
        <v>13694</v>
      </c>
      <c r="F12" s="147"/>
    </row>
    <row r="13" ht="22.5" customHeight="1">
      <c r="A13" s="690" t="s">
        <v>13695</v>
      </c>
      <c r="B13" s="313" t="s">
        <v>13696</v>
      </c>
      <c r="C13" s="194" t="s">
        <v>635</v>
      </c>
      <c r="D13" s="313" t="s">
        <v>13697</v>
      </c>
      <c r="E13" s="196"/>
      <c r="F13" s="155"/>
    </row>
    <row r="14" ht="22.5" customHeight="1">
      <c r="A14" s="140" t="s">
        <v>13698</v>
      </c>
      <c r="B14" s="159" t="s">
        <v>13699</v>
      </c>
      <c r="C14" s="169" t="s">
        <v>49</v>
      </c>
      <c r="D14" s="197"/>
      <c r="E14" s="197"/>
      <c r="F14" s="147"/>
    </row>
    <row r="15" ht="22.5" customHeight="1">
      <c r="A15" s="691"/>
      <c r="B15" s="313" t="s">
        <v>13667</v>
      </c>
      <c r="C15" s="267" t="s">
        <v>17</v>
      </c>
      <c r="D15" s="313" t="s">
        <v>11388</v>
      </c>
      <c r="E15" s="158" t="s">
        <v>11388</v>
      </c>
      <c r="F15" s="155"/>
    </row>
    <row r="16" ht="22.5" customHeight="1">
      <c r="A16" s="140" t="s">
        <v>13700</v>
      </c>
      <c r="B16" s="159" t="s">
        <v>13701</v>
      </c>
      <c r="C16" s="212" t="s">
        <v>17</v>
      </c>
      <c r="D16" s="159" t="s">
        <v>11388</v>
      </c>
      <c r="E16" s="159" t="s">
        <v>11388</v>
      </c>
      <c r="F16" s="147"/>
    </row>
    <row r="17" ht="22.5" customHeight="1">
      <c r="A17" s="690" t="s">
        <v>13702</v>
      </c>
      <c r="B17" s="313" t="s">
        <v>13703</v>
      </c>
      <c r="C17" s="192" t="s">
        <v>49</v>
      </c>
      <c r="D17" s="313" t="s">
        <v>51</v>
      </c>
      <c r="E17" s="415"/>
      <c r="F17" s="155"/>
    </row>
    <row r="18" ht="22.5" customHeight="1">
      <c r="A18" s="202"/>
      <c r="B18" s="159" t="s">
        <v>13704</v>
      </c>
      <c r="C18" s="169" t="s">
        <v>49</v>
      </c>
      <c r="D18" s="197"/>
      <c r="E18" s="197"/>
      <c r="F18" s="147"/>
    </row>
    <row r="19" ht="22.5" customHeight="1">
      <c r="A19" s="691"/>
      <c r="B19" s="313" t="s">
        <v>13705</v>
      </c>
      <c r="C19" s="267" t="s">
        <v>17</v>
      </c>
      <c r="D19" s="313" t="s">
        <v>11388</v>
      </c>
      <c r="E19" s="158" t="s">
        <v>11388</v>
      </c>
      <c r="F19" s="155"/>
    </row>
    <row r="20" ht="22.5" customHeight="1">
      <c r="A20" s="140" t="s">
        <v>13706</v>
      </c>
      <c r="B20" s="159" t="s">
        <v>13707</v>
      </c>
      <c r="C20" s="212" t="s">
        <v>17</v>
      </c>
      <c r="D20" s="159" t="s">
        <v>11388</v>
      </c>
      <c r="E20" s="159" t="s">
        <v>11388</v>
      </c>
      <c r="F20" s="147"/>
    </row>
    <row r="21" ht="22.5" customHeight="1">
      <c r="A21" s="690" t="s">
        <v>13708</v>
      </c>
      <c r="B21" s="313" t="s">
        <v>13709</v>
      </c>
      <c r="C21" s="192" t="s">
        <v>49</v>
      </c>
      <c r="D21" s="313" t="s">
        <v>27</v>
      </c>
      <c r="E21" s="196"/>
      <c r="F21" s="155"/>
    </row>
    <row r="22" ht="22.5" customHeight="1">
      <c r="A22" s="140" t="s">
        <v>2279</v>
      </c>
      <c r="B22" s="159" t="s">
        <v>13710</v>
      </c>
      <c r="C22" s="212" t="s">
        <v>17</v>
      </c>
      <c r="D22" s="159" t="s">
        <v>13711</v>
      </c>
      <c r="E22" s="159" t="s">
        <v>11388</v>
      </c>
      <c r="F22" s="147"/>
    </row>
    <row r="23" ht="22.5" customHeight="1">
      <c r="A23" s="690" t="s">
        <v>13712</v>
      </c>
      <c r="B23" s="313" t="s">
        <v>13713</v>
      </c>
      <c r="C23" s="267" t="s">
        <v>17</v>
      </c>
      <c r="D23" s="313" t="s">
        <v>11388</v>
      </c>
      <c r="E23" s="158" t="s">
        <v>11388</v>
      </c>
      <c r="F23" s="155"/>
    </row>
    <row r="24" ht="22.5" customHeight="1">
      <c r="A24" s="140" t="s">
        <v>1135</v>
      </c>
      <c r="B24" s="159" t="s">
        <v>13714</v>
      </c>
      <c r="C24" s="169" t="s">
        <v>49</v>
      </c>
      <c r="D24" s="159" t="s">
        <v>1743</v>
      </c>
      <c r="E24" s="197"/>
      <c r="F24" s="147"/>
    </row>
    <row r="25" ht="22.5" customHeight="1">
      <c r="A25" s="690" t="s">
        <v>13715</v>
      </c>
      <c r="B25" s="313" t="s">
        <v>13716</v>
      </c>
      <c r="C25" s="192" t="s">
        <v>49</v>
      </c>
      <c r="D25" s="313" t="s">
        <v>11388</v>
      </c>
      <c r="E25" s="158" t="s">
        <v>1158</v>
      </c>
      <c r="F25" s="155"/>
    </row>
    <row r="26" ht="22.5" customHeight="1">
      <c r="A26" s="140" t="s">
        <v>13717</v>
      </c>
      <c r="B26" s="159" t="s">
        <v>13718</v>
      </c>
      <c r="C26" s="169" t="s">
        <v>49</v>
      </c>
      <c r="D26" s="197"/>
      <c r="E26" s="197"/>
      <c r="F26" s="147"/>
    </row>
    <row r="27" ht="22.5" customHeight="1">
      <c r="A27" s="690" t="s">
        <v>13719</v>
      </c>
      <c r="B27" s="313" t="s">
        <v>13720</v>
      </c>
      <c r="C27" s="192" t="s">
        <v>49</v>
      </c>
      <c r="D27" s="313" t="s">
        <v>13721</v>
      </c>
      <c r="E27" s="158" t="s">
        <v>11388</v>
      </c>
      <c r="F27" s="155"/>
    </row>
    <row r="28" ht="22.5" customHeight="1">
      <c r="A28" s="140" t="s">
        <v>13722</v>
      </c>
      <c r="B28" s="159" t="s">
        <v>13723</v>
      </c>
      <c r="C28" s="212" t="s">
        <v>17</v>
      </c>
      <c r="D28" s="159" t="s">
        <v>11388</v>
      </c>
      <c r="E28" s="159" t="s">
        <v>11388</v>
      </c>
      <c r="F28" s="147"/>
    </row>
    <row r="29" ht="22.5" customHeight="1">
      <c r="A29" s="691"/>
      <c r="B29" s="313" t="s">
        <v>13724</v>
      </c>
      <c r="C29" s="192" t="s">
        <v>49</v>
      </c>
      <c r="D29" s="415"/>
      <c r="E29" s="196"/>
      <c r="F29" s="155"/>
    </row>
    <row r="30" ht="22.5" customHeight="1">
      <c r="A30" s="140" t="s">
        <v>13725</v>
      </c>
      <c r="B30" s="159" t="s">
        <v>13726</v>
      </c>
      <c r="C30" s="212" t="s">
        <v>17</v>
      </c>
      <c r="D30" s="159" t="s">
        <v>11388</v>
      </c>
      <c r="E30" s="159" t="s">
        <v>11388</v>
      </c>
      <c r="F30" s="147"/>
    </row>
    <row r="31" ht="22.5" customHeight="1">
      <c r="A31" s="691"/>
      <c r="B31" s="313" t="s">
        <v>13727</v>
      </c>
      <c r="C31" s="267" t="s">
        <v>17</v>
      </c>
      <c r="D31" s="158" t="s">
        <v>13728</v>
      </c>
      <c r="E31" s="158" t="s">
        <v>11388</v>
      </c>
      <c r="F31" s="155"/>
    </row>
    <row r="32" ht="22.5" customHeight="1">
      <c r="A32" s="140" t="s">
        <v>13729</v>
      </c>
      <c r="B32" s="159" t="s">
        <v>13730</v>
      </c>
      <c r="C32" s="169" t="s">
        <v>49</v>
      </c>
      <c r="D32" s="159" t="s">
        <v>674</v>
      </c>
      <c r="E32" s="197"/>
      <c r="F32" s="147"/>
    </row>
    <row r="33" ht="22.5" customHeight="1">
      <c r="A33" s="690" t="s">
        <v>5639</v>
      </c>
      <c r="B33" s="313" t="s">
        <v>13731</v>
      </c>
      <c r="C33" s="267" t="s">
        <v>17</v>
      </c>
      <c r="D33" s="313" t="s">
        <v>11388</v>
      </c>
      <c r="E33" s="158" t="s">
        <v>11388</v>
      </c>
      <c r="F33" s="155"/>
    </row>
    <row r="34" ht="22.5" customHeight="1">
      <c r="A34" s="202"/>
      <c r="B34" s="159" t="s">
        <v>13732</v>
      </c>
      <c r="C34" s="169" t="s">
        <v>49</v>
      </c>
      <c r="D34" s="159" t="s">
        <v>13733</v>
      </c>
      <c r="E34" s="197"/>
      <c r="F34" s="147"/>
    </row>
    <row r="35" ht="22.5" customHeight="1">
      <c r="A35" s="690" t="s">
        <v>13734</v>
      </c>
      <c r="B35" s="313" t="s">
        <v>13735</v>
      </c>
      <c r="C35" s="161" t="s">
        <v>49</v>
      </c>
      <c r="D35" s="313" t="s">
        <v>13736</v>
      </c>
      <c r="E35" s="196"/>
      <c r="F35" s="155"/>
    </row>
    <row r="36" ht="22.5" customHeight="1">
      <c r="A36" s="140" t="s">
        <v>13737</v>
      </c>
      <c r="B36" s="159" t="s">
        <v>13738</v>
      </c>
      <c r="C36" s="169" t="s">
        <v>49</v>
      </c>
      <c r="D36" s="159" t="s">
        <v>51</v>
      </c>
      <c r="E36" s="197"/>
      <c r="F36" s="147"/>
    </row>
    <row r="37" ht="22.5" customHeight="1">
      <c r="A37" s="690" t="s">
        <v>5814</v>
      </c>
      <c r="B37" s="313" t="s">
        <v>13739</v>
      </c>
      <c r="C37" s="192" t="s">
        <v>49</v>
      </c>
      <c r="D37" s="415"/>
      <c r="E37" s="196"/>
      <c r="F37" s="155"/>
    </row>
    <row r="38" ht="22.5" customHeight="1">
      <c r="A38" s="303" t="s">
        <v>13740</v>
      </c>
      <c r="B38" s="159" t="s">
        <v>13741</v>
      </c>
      <c r="C38" s="156" t="s">
        <v>635</v>
      </c>
      <c r="D38" s="159" t="s">
        <v>13061</v>
      </c>
      <c r="E38" s="197"/>
      <c r="F38" s="147"/>
    </row>
    <row r="39" ht="22.5" customHeight="1">
      <c r="A39" s="690" t="s">
        <v>13742</v>
      </c>
      <c r="B39" s="195" t="s">
        <v>13743</v>
      </c>
      <c r="C39" s="194" t="s">
        <v>635</v>
      </c>
      <c r="D39" s="313" t="s">
        <v>1189</v>
      </c>
      <c r="E39" s="415"/>
      <c r="F39" s="672"/>
    </row>
    <row r="40" ht="22.5" customHeight="1">
      <c r="A40" s="140" t="s">
        <v>13744</v>
      </c>
      <c r="B40" s="159" t="s">
        <v>13745</v>
      </c>
      <c r="C40" s="332" t="s">
        <v>35</v>
      </c>
      <c r="D40" s="159" t="s">
        <v>13746</v>
      </c>
      <c r="E40" s="197"/>
      <c r="F40" s="147"/>
    </row>
    <row r="41" ht="22.5" customHeight="1">
      <c r="A41" s="690" t="s">
        <v>13747</v>
      </c>
      <c r="B41" s="313" t="s">
        <v>13748</v>
      </c>
      <c r="C41" s="194" t="s">
        <v>635</v>
      </c>
      <c r="D41" s="313" t="s">
        <v>12441</v>
      </c>
      <c r="E41" s="196"/>
      <c r="F41" s="155"/>
    </row>
    <row r="42" ht="22.5" customHeight="1">
      <c r="A42" s="303" t="s">
        <v>263</v>
      </c>
      <c r="B42" s="159" t="s">
        <v>13749</v>
      </c>
      <c r="C42" s="169" t="s">
        <v>49</v>
      </c>
      <c r="D42" s="159" t="s">
        <v>13750</v>
      </c>
      <c r="E42" s="197"/>
      <c r="F42" s="147"/>
    </row>
    <row r="43" ht="22.5" customHeight="1">
      <c r="A43" s="690" t="s">
        <v>13751</v>
      </c>
      <c r="B43" s="313" t="s">
        <v>13752</v>
      </c>
      <c r="C43" s="192" t="s">
        <v>49</v>
      </c>
      <c r="D43" s="313" t="s">
        <v>11388</v>
      </c>
      <c r="E43" s="158" t="s">
        <v>11388</v>
      </c>
      <c r="F43" s="155"/>
    </row>
    <row r="44" ht="22.5" customHeight="1">
      <c r="A44" s="202"/>
      <c r="B44" s="159" t="s">
        <v>13753</v>
      </c>
      <c r="C44" s="169" t="s">
        <v>49</v>
      </c>
      <c r="D44" s="159" t="s">
        <v>1743</v>
      </c>
      <c r="E44" s="197"/>
      <c r="F44" s="147"/>
    </row>
    <row r="45" ht="22.5" customHeight="1">
      <c r="A45" s="690" t="s">
        <v>13754</v>
      </c>
      <c r="B45" s="313" t="s">
        <v>13755</v>
      </c>
      <c r="C45" s="267" t="s">
        <v>17</v>
      </c>
      <c r="D45" s="313" t="s">
        <v>13756</v>
      </c>
      <c r="E45" s="158" t="s">
        <v>11388</v>
      </c>
      <c r="F45" s="155"/>
    </row>
    <row r="46" ht="22.5" customHeight="1">
      <c r="A46" s="140" t="s">
        <v>13757</v>
      </c>
      <c r="B46" s="159" t="s">
        <v>13758</v>
      </c>
      <c r="C46" s="169" t="s">
        <v>49</v>
      </c>
      <c r="D46" s="159" t="s">
        <v>1743</v>
      </c>
      <c r="E46" s="197"/>
      <c r="F46" s="147"/>
    </row>
    <row r="47" ht="22.5" customHeight="1">
      <c r="A47" s="690" t="s">
        <v>13759</v>
      </c>
      <c r="B47" s="313" t="s">
        <v>13760</v>
      </c>
      <c r="C47" s="192" t="s">
        <v>49</v>
      </c>
      <c r="D47" s="313" t="s">
        <v>27</v>
      </c>
      <c r="E47" s="196"/>
      <c r="F47" s="155"/>
    </row>
    <row r="48" ht="22.5" customHeight="1">
      <c r="A48" s="140" t="s">
        <v>13761</v>
      </c>
      <c r="B48" s="159" t="s">
        <v>13762</v>
      </c>
      <c r="C48" s="156" t="s">
        <v>635</v>
      </c>
      <c r="D48" s="159" t="s">
        <v>13061</v>
      </c>
      <c r="E48" s="197"/>
      <c r="F48" s="147"/>
    </row>
    <row r="49" ht="22.5" customHeight="1">
      <c r="A49" s="690" t="s">
        <v>4440</v>
      </c>
      <c r="B49" s="692">
        <v>9.23336481207E11</v>
      </c>
      <c r="C49" s="192" t="s">
        <v>49</v>
      </c>
      <c r="D49" s="415"/>
      <c r="E49" s="196"/>
      <c r="F49" s="155"/>
    </row>
    <row r="50" ht="22.5" customHeight="1">
      <c r="A50" s="693" t="s">
        <v>3940</v>
      </c>
      <c r="B50" s="694" t="s">
        <v>11431</v>
      </c>
      <c r="C50" s="156" t="s">
        <v>635</v>
      </c>
      <c r="D50" s="159" t="s">
        <v>1189</v>
      </c>
      <c r="E50" s="197"/>
      <c r="F50" s="147"/>
    </row>
    <row r="51" ht="22.5" customHeight="1">
      <c r="A51" s="695" t="s">
        <v>11546</v>
      </c>
      <c r="B51" s="692">
        <f>923267128299</f>
        <v>923267128299</v>
      </c>
      <c r="C51" s="194" t="s">
        <v>635</v>
      </c>
      <c r="D51" s="659" t="s">
        <v>13763</v>
      </c>
      <c r="E51" s="196"/>
      <c r="F51" s="155"/>
    </row>
    <row r="52" ht="22.5" customHeight="1">
      <c r="A52" s="693" t="s">
        <v>11818</v>
      </c>
      <c r="B52" s="606" t="s">
        <v>11819</v>
      </c>
      <c r="C52" s="169" t="s">
        <v>49</v>
      </c>
      <c r="D52" s="159" t="s">
        <v>51</v>
      </c>
      <c r="E52" s="197"/>
      <c r="F52" s="147"/>
    </row>
    <row r="53" ht="22.5" customHeight="1">
      <c r="A53" s="666" t="s">
        <v>4563</v>
      </c>
      <c r="B53" s="696" t="s">
        <v>13764</v>
      </c>
      <c r="C53" s="392" t="s">
        <v>35</v>
      </c>
      <c r="D53" s="313" t="s">
        <v>13765</v>
      </c>
      <c r="E53" s="196"/>
      <c r="F53" s="155"/>
    </row>
    <row r="54" ht="22.5" customHeight="1">
      <c r="A54" s="693" t="s">
        <v>5796</v>
      </c>
      <c r="B54" s="606" t="s">
        <v>12070</v>
      </c>
      <c r="C54" s="169" t="s">
        <v>49</v>
      </c>
      <c r="D54" s="159" t="s">
        <v>11388</v>
      </c>
      <c r="E54" s="159" t="s">
        <v>13766</v>
      </c>
      <c r="F54" s="147"/>
    </row>
    <row r="55" ht="22.5" customHeight="1">
      <c r="A55" s="690" t="s">
        <v>13767</v>
      </c>
      <c r="B55" s="313" t="s">
        <v>13768</v>
      </c>
      <c r="C55" s="192" t="s">
        <v>49</v>
      </c>
      <c r="D55" s="313" t="s">
        <v>1820</v>
      </c>
      <c r="E55" s="196"/>
      <c r="F55" s="155"/>
    </row>
    <row r="56" ht="22.5" customHeight="1">
      <c r="A56" s="697" t="s">
        <v>12336</v>
      </c>
      <c r="B56" s="584">
        <f>9203362210677</f>
        <v>9203362210677</v>
      </c>
      <c r="C56" s="212" t="s">
        <v>17</v>
      </c>
      <c r="D56" s="159" t="s">
        <v>11388</v>
      </c>
      <c r="E56" s="159" t="s">
        <v>11388</v>
      </c>
      <c r="F56" s="147"/>
    </row>
    <row r="57" ht="22.5" customHeight="1">
      <c r="A57" s="695" t="s">
        <v>12530</v>
      </c>
      <c r="B57" s="696" t="s">
        <v>12531</v>
      </c>
      <c r="C57" s="192" t="s">
        <v>49</v>
      </c>
      <c r="D57" s="313" t="s">
        <v>13769</v>
      </c>
      <c r="E57" s="196"/>
      <c r="F57" s="155"/>
    </row>
    <row r="58" ht="22.5" customHeight="1">
      <c r="A58" s="693" t="s">
        <v>5727</v>
      </c>
      <c r="B58" s="584">
        <v>923710147328</v>
      </c>
      <c r="C58" s="169" t="s">
        <v>49</v>
      </c>
      <c r="D58" s="159" t="s">
        <v>11388</v>
      </c>
      <c r="E58" s="159" t="s">
        <v>13766</v>
      </c>
      <c r="F58" s="147"/>
    </row>
    <row r="59" ht="22.5" customHeight="1">
      <c r="A59" s="666" t="s">
        <v>12707</v>
      </c>
      <c r="B59" s="692">
        <f>923347608981</f>
        <v>923347608981</v>
      </c>
      <c r="C59" s="392" t="s">
        <v>35</v>
      </c>
      <c r="D59" s="313" t="s">
        <v>13770</v>
      </c>
      <c r="E59" s="196"/>
      <c r="F59" s="155"/>
    </row>
    <row r="60" ht="22.5" customHeight="1">
      <c r="A60" s="693" t="s">
        <v>811</v>
      </c>
      <c r="B60" s="584">
        <f>923114395693</f>
        <v>923114395693</v>
      </c>
      <c r="C60" s="169" t="s">
        <v>49</v>
      </c>
      <c r="D60" s="159" t="s">
        <v>13750</v>
      </c>
      <c r="E60" s="159" t="s">
        <v>11388</v>
      </c>
      <c r="F60" s="147"/>
    </row>
    <row r="61" ht="22.5" customHeight="1">
      <c r="A61" s="698" t="s">
        <v>12829</v>
      </c>
      <c r="B61" s="696" t="s">
        <v>12830</v>
      </c>
      <c r="C61" s="192" t="s">
        <v>49</v>
      </c>
      <c r="D61" s="415"/>
      <c r="E61" s="196"/>
      <c r="F61" s="155"/>
    </row>
    <row r="62" ht="22.5" customHeight="1">
      <c r="A62" s="693" t="s">
        <v>4430</v>
      </c>
      <c r="B62" s="584">
        <v>923003055444</v>
      </c>
      <c r="C62" s="169" t="s">
        <v>49</v>
      </c>
      <c r="D62" s="159" t="s">
        <v>11388</v>
      </c>
      <c r="E62" s="159" t="s">
        <v>51</v>
      </c>
      <c r="F62" s="147"/>
    </row>
    <row r="63" ht="22.5" customHeight="1">
      <c r="A63" s="698" t="s">
        <v>12949</v>
      </c>
      <c r="B63" s="692">
        <v>923160778395</v>
      </c>
      <c r="C63" s="267" t="s">
        <v>17</v>
      </c>
      <c r="D63" s="313" t="s">
        <v>11388</v>
      </c>
      <c r="E63" s="313" t="s">
        <v>11388</v>
      </c>
      <c r="F63" s="155"/>
    </row>
    <row r="64" ht="22.5" customHeight="1">
      <c r="A64" s="693" t="s">
        <v>13058</v>
      </c>
      <c r="B64" s="584">
        <f>923365103935</f>
        <v>923365103935</v>
      </c>
      <c r="C64" s="169" t="s">
        <v>49</v>
      </c>
      <c r="D64" s="159" t="s">
        <v>51</v>
      </c>
      <c r="E64" s="197"/>
      <c r="F64" s="147"/>
    </row>
    <row r="65" ht="22.5" customHeight="1">
      <c r="A65" s="698" t="s">
        <v>13073</v>
      </c>
      <c r="B65" s="696" t="s">
        <v>13074</v>
      </c>
      <c r="C65" s="194" t="s">
        <v>635</v>
      </c>
      <c r="D65" s="313" t="s">
        <v>13771</v>
      </c>
      <c r="E65" s="196"/>
      <c r="F65" s="155"/>
    </row>
    <row r="66" ht="22.5" customHeight="1">
      <c r="A66" s="693" t="s">
        <v>13141</v>
      </c>
      <c r="B66" s="584">
        <f>9203452003896</f>
        <v>9203452003896</v>
      </c>
      <c r="C66" s="169" t="s">
        <v>49</v>
      </c>
      <c r="D66" s="159" t="s">
        <v>13772</v>
      </c>
      <c r="E66" s="197"/>
      <c r="F66" s="147"/>
    </row>
    <row r="67" ht="22.5" customHeight="1">
      <c r="A67" s="690" t="s">
        <v>13773</v>
      </c>
      <c r="B67" s="313" t="s">
        <v>13774</v>
      </c>
      <c r="C67" s="192" t="s">
        <v>49</v>
      </c>
      <c r="D67" s="313" t="s">
        <v>13750</v>
      </c>
      <c r="E67" s="196"/>
      <c r="F67" s="155"/>
    </row>
    <row r="68" ht="22.5" customHeight="1">
      <c r="A68" s="140" t="s">
        <v>3372</v>
      </c>
      <c r="B68" s="159" t="s">
        <v>13775</v>
      </c>
      <c r="C68" s="169" t="s">
        <v>49</v>
      </c>
      <c r="D68" s="159" t="s">
        <v>6918</v>
      </c>
      <c r="E68" s="159" t="s">
        <v>51</v>
      </c>
      <c r="F68" s="147"/>
    </row>
    <row r="69" ht="22.5" customHeight="1">
      <c r="A69" s="690" t="s">
        <v>13776</v>
      </c>
      <c r="B69" s="313" t="s">
        <v>5760</v>
      </c>
      <c r="C69" s="267" t="s">
        <v>17</v>
      </c>
      <c r="D69" s="313" t="s">
        <v>11388</v>
      </c>
      <c r="E69" s="313" t="s">
        <v>11388</v>
      </c>
      <c r="F69" s="155"/>
    </row>
    <row r="70" ht="22.5" customHeight="1">
      <c r="A70" s="140" t="s">
        <v>13777</v>
      </c>
      <c r="B70" s="159" t="s">
        <v>13778</v>
      </c>
      <c r="C70" s="169" t="s">
        <v>49</v>
      </c>
      <c r="D70" s="159" t="s">
        <v>11388</v>
      </c>
      <c r="E70" s="159" t="s">
        <v>11388</v>
      </c>
      <c r="F70" s="147"/>
    </row>
    <row r="71" ht="22.5" customHeight="1">
      <c r="A71" s="691"/>
      <c r="B71" s="313" t="s">
        <v>13779</v>
      </c>
      <c r="C71" s="192" t="s">
        <v>49</v>
      </c>
      <c r="D71" s="313" t="s">
        <v>51</v>
      </c>
      <c r="E71" s="196"/>
      <c r="F71" s="155"/>
    </row>
    <row r="72" ht="22.5" customHeight="1">
      <c r="A72" s="202"/>
      <c r="B72" s="159" t="s">
        <v>13780</v>
      </c>
      <c r="C72" s="212" t="s">
        <v>17</v>
      </c>
      <c r="D72" s="159" t="s">
        <v>11388</v>
      </c>
      <c r="E72" s="159" t="s">
        <v>11388</v>
      </c>
      <c r="F72" s="147"/>
    </row>
    <row r="73" ht="22.5" customHeight="1">
      <c r="A73" s="690" t="s">
        <v>5563</v>
      </c>
      <c r="B73" s="313" t="s">
        <v>13781</v>
      </c>
      <c r="C73" s="265" t="s">
        <v>40</v>
      </c>
      <c r="D73" s="313" t="s">
        <v>13750</v>
      </c>
      <c r="E73" s="313" t="s">
        <v>13782</v>
      </c>
      <c r="F73" s="672"/>
    </row>
    <row r="74" ht="22.5" customHeight="1">
      <c r="A74" s="202"/>
      <c r="B74" s="159" t="s">
        <v>13783</v>
      </c>
      <c r="C74" s="212" t="s">
        <v>17</v>
      </c>
      <c r="D74" s="159" t="s">
        <v>11388</v>
      </c>
      <c r="E74" s="159" t="s">
        <v>11388</v>
      </c>
      <c r="F74" s="147"/>
    </row>
    <row r="75" ht="22.5" customHeight="1">
      <c r="A75" s="691"/>
      <c r="B75" s="313" t="s">
        <v>13784</v>
      </c>
      <c r="C75" s="192" t="s">
        <v>49</v>
      </c>
      <c r="D75" s="313" t="s">
        <v>13785</v>
      </c>
      <c r="E75" s="158" t="s">
        <v>11388</v>
      </c>
      <c r="F75" s="155"/>
    </row>
    <row r="76" ht="22.5" customHeight="1">
      <c r="A76" s="202"/>
      <c r="B76" s="159" t="s">
        <v>13786</v>
      </c>
      <c r="C76" s="169" t="s">
        <v>49</v>
      </c>
      <c r="D76" s="159" t="s">
        <v>13787</v>
      </c>
      <c r="E76" s="197"/>
      <c r="F76" s="147"/>
    </row>
    <row r="77" ht="22.5" customHeight="1">
      <c r="A77" s="691"/>
      <c r="B77" s="313" t="s">
        <v>13788</v>
      </c>
      <c r="C77" s="267" t="s">
        <v>17</v>
      </c>
      <c r="D77" s="313" t="s">
        <v>11388</v>
      </c>
      <c r="E77" s="158" t="s">
        <v>11388</v>
      </c>
      <c r="F77" s="155"/>
    </row>
    <row r="78" ht="22.5" customHeight="1">
      <c r="A78" s="693" t="s">
        <v>13048</v>
      </c>
      <c r="B78" s="159" t="s">
        <v>13789</v>
      </c>
      <c r="C78" s="169" t="s">
        <v>49</v>
      </c>
      <c r="D78" s="159" t="s">
        <v>11388</v>
      </c>
      <c r="E78" s="159" t="s">
        <v>13790</v>
      </c>
      <c r="F78" s="147"/>
    </row>
    <row r="79" ht="22.5" customHeight="1">
      <c r="A79" s="690" t="s">
        <v>13791</v>
      </c>
      <c r="B79" s="313" t="s">
        <v>12551</v>
      </c>
      <c r="C79" s="192" t="s">
        <v>49</v>
      </c>
      <c r="D79" s="313" t="s">
        <v>11165</v>
      </c>
      <c r="E79" s="196"/>
      <c r="F79" s="155"/>
    </row>
    <row r="80" ht="22.5" customHeight="1">
      <c r="A80" s="140" t="s">
        <v>13792</v>
      </c>
      <c r="B80" s="159" t="s">
        <v>13793</v>
      </c>
      <c r="C80" s="212" t="s">
        <v>17</v>
      </c>
      <c r="D80" s="159" t="s">
        <v>11388</v>
      </c>
      <c r="E80" s="159" t="s">
        <v>11388</v>
      </c>
      <c r="F80" s="147"/>
    </row>
    <row r="81" ht="22.5" customHeight="1">
      <c r="A81" s="690" t="s">
        <v>11747</v>
      </c>
      <c r="B81" s="699" t="s">
        <v>11748</v>
      </c>
      <c r="C81" s="192" t="s">
        <v>49</v>
      </c>
      <c r="D81" s="313" t="s">
        <v>11388</v>
      </c>
      <c r="E81" s="313" t="s">
        <v>51</v>
      </c>
      <c r="F81" s="155"/>
    </row>
    <row r="82" ht="22.5" customHeight="1">
      <c r="A82" s="140" t="s">
        <v>5812</v>
      </c>
      <c r="B82" s="159" t="s">
        <v>13794</v>
      </c>
      <c r="C82" s="212" t="s">
        <v>17</v>
      </c>
      <c r="D82" s="159" t="s">
        <v>11388</v>
      </c>
      <c r="E82" s="159" t="s">
        <v>11388</v>
      </c>
      <c r="F82" s="147"/>
    </row>
    <row r="83" ht="22.5" customHeight="1">
      <c r="A83" s="691"/>
      <c r="B83" s="313" t="s">
        <v>13795</v>
      </c>
      <c r="C83" s="192" t="s">
        <v>49</v>
      </c>
      <c r="D83" s="313" t="s">
        <v>674</v>
      </c>
      <c r="E83" s="415"/>
      <c r="F83" s="672"/>
    </row>
    <row r="84" ht="22.5" customHeight="1">
      <c r="A84" s="202"/>
      <c r="B84" s="159" t="s">
        <v>13796</v>
      </c>
      <c r="C84" s="169" t="s">
        <v>49</v>
      </c>
      <c r="D84" s="159" t="s">
        <v>11388</v>
      </c>
      <c r="E84" s="159" t="s">
        <v>51</v>
      </c>
      <c r="F84" s="147"/>
    </row>
    <row r="85" ht="22.5" customHeight="1">
      <c r="A85" s="690" t="s">
        <v>13797</v>
      </c>
      <c r="B85" s="313" t="s">
        <v>13798</v>
      </c>
      <c r="C85" s="192" t="s">
        <v>49</v>
      </c>
      <c r="D85" s="313" t="s">
        <v>13750</v>
      </c>
      <c r="E85" s="313" t="s">
        <v>13524</v>
      </c>
      <c r="F85" s="672"/>
    </row>
    <row r="86" ht="22.5" customHeight="1">
      <c r="A86" s="202"/>
      <c r="B86" s="159" t="s">
        <v>13799</v>
      </c>
      <c r="C86" s="169" t="s">
        <v>49</v>
      </c>
      <c r="D86" s="197"/>
      <c r="E86" s="197"/>
      <c r="F86" s="147"/>
    </row>
    <row r="87" ht="22.5" customHeight="1">
      <c r="A87" s="690" t="s">
        <v>13800</v>
      </c>
      <c r="B87" s="313" t="s">
        <v>13801</v>
      </c>
      <c r="C87" s="265" t="s">
        <v>40</v>
      </c>
      <c r="D87" s="313" t="s">
        <v>13802</v>
      </c>
      <c r="E87" s="196"/>
      <c r="F87" s="155"/>
    </row>
    <row r="88" ht="22.5" customHeight="1">
      <c r="A88" s="140" t="s">
        <v>13803</v>
      </c>
      <c r="B88" s="159" t="s">
        <v>13804</v>
      </c>
      <c r="C88" s="169" t="s">
        <v>49</v>
      </c>
      <c r="D88" s="159" t="s">
        <v>13805</v>
      </c>
      <c r="E88" s="159" t="s">
        <v>13524</v>
      </c>
      <c r="F88" s="147"/>
    </row>
    <row r="89" ht="22.5" customHeight="1">
      <c r="A89" s="690" t="s">
        <v>13806</v>
      </c>
      <c r="B89" s="313" t="s">
        <v>13807</v>
      </c>
      <c r="C89" s="267" t="s">
        <v>17</v>
      </c>
      <c r="D89" s="313" t="s">
        <v>13750</v>
      </c>
      <c r="E89" s="196"/>
      <c r="F89" s="155"/>
    </row>
    <row r="90" ht="22.5" customHeight="1">
      <c r="A90" s="202"/>
      <c r="B90" s="159" t="s">
        <v>13808</v>
      </c>
      <c r="C90" s="169" t="s">
        <v>49</v>
      </c>
      <c r="D90" s="159" t="s">
        <v>11388</v>
      </c>
      <c r="E90" s="197"/>
      <c r="F90" s="147"/>
    </row>
    <row r="91" ht="22.5" customHeight="1">
      <c r="A91" s="690" t="s">
        <v>5667</v>
      </c>
      <c r="B91" s="313" t="s">
        <v>13809</v>
      </c>
      <c r="C91" s="192" t="s">
        <v>49</v>
      </c>
      <c r="D91" s="313" t="s">
        <v>11388</v>
      </c>
      <c r="E91" s="313" t="s">
        <v>51</v>
      </c>
      <c r="F91" s="155"/>
    </row>
    <row r="92" ht="22.5" customHeight="1">
      <c r="A92" s="140" t="s">
        <v>13810</v>
      </c>
      <c r="B92" s="159" t="s">
        <v>13811</v>
      </c>
      <c r="C92" s="169" t="s">
        <v>49</v>
      </c>
      <c r="D92" s="197"/>
      <c r="E92" s="197"/>
      <c r="F92" s="147"/>
    </row>
    <row r="93" ht="22.5" customHeight="1">
      <c r="A93" s="691"/>
      <c r="B93" s="313" t="s">
        <v>13812</v>
      </c>
      <c r="C93" s="267" t="s">
        <v>17</v>
      </c>
      <c r="D93" s="313" t="s">
        <v>11388</v>
      </c>
      <c r="E93" s="313" t="s">
        <v>11388</v>
      </c>
      <c r="F93" s="155"/>
    </row>
    <row r="94" ht="22.5" customHeight="1">
      <c r="A94" s="140" t="s">
        <v>13813</v>
      </c>
      <c r="B94" s="159" t="s">
        <v>13814</v>
      </c>
      <c r="C94" s="169" t="s">
        <v>49</v>
      </c>
      <c r="D94" s="159" t="s">
        <v>11388</v>
      </c>
      <c r="E94" s="159" t="s">
        <v>11388</v>
      </c>
      <c r="F94" s="147"/>
    </row>
    <row r="95" ht="22.5" customHeight="1">
      <c r="A95" s="690" t="s">
        <v>13815</v>
      </c>
      <c r="B95" s="313" t="s">
        <v>13816</v>
      </c>
      <c r="C95" s="192" t="s">
        <v>49</v>
      </c>
      <c r="D95" s="313" t="s">
        <v>13817</v>
      </c>
      <c r="E95" s="196"/>
      <c r="F95" s="155"/>
    </row>
    <row r="96" ht="22.5" customHeight="1">
      <c r="A96" s="202"/>
      <c r="B96" s="159" t="s">
        <v>13818</v>
      </c>
      <c r="C96" s="169" t="s">
        <v>49</v>
      </c>
      <c r="D96" s="159" t="s">
        <v>674</v>
      </c>
      <c r="E96" s="197"/>
      <c r="F96" s="147"/>
    </row>
    <row r="97" ht="22.5" customHeight="1">
      <c r="A97" s="690" t="s">
        <v>13819</v>
      </c>
      <c r="B97" s="313" t="s">
        <v>13820</v>
      </c>
      <c r="C97" s="192" t="s">
        <v>49</v>
      </c>
      <c r="D97" s="313" t="s">
        <v>1158</v>
      </c>
      <c r="E97" s="196"/>
      <c r="F97" s="155"/>
    </row>
    <row r="98" ht="22.5" customHeight="1">
      <c r="A98" s="202"/>
      <c r="B98" s="159" t="s">
        <v>13821</v>
      </c>
      <c r="C98" s="212" t="s">
        <v>17</v>
      </c>
      <c r="D98" s="159" t="s">
        <v>11388</v>
      </c>
      <c r="E98" s="159" t="s">
        <v>11388</v>
      </c>
      <c r="F98" s="147"/>
    </row>
    <row r="99" ht="22.5" customHeight="1">
      <c r="A99" s="691"/>
      <c r="B99" s="313" t="s">
        <v>13822</v>
      </c>
      <c r="C99" s="267" t="s">
        <v>17</v>
      </c>
      <c r="D99" s="313" t="s">
        <v>11388</v>
      </c>
      <c r="E99" s="158" t="s">
        <v>11388</v>
      </c>
      <c r="F99" s="155"/>
    </row>
    <row r="100" ht="22.5" customHeight="1">
      <c r="A100" s="140" t="s">
        <v>13823</v>
      </c>
      <c r="B100" s="159" t="s">
        <v>13824</v>
      </c>
      <c r="C100" s="169" t="s">
        <v>49</v>
      </c>
      <c r="D100" s="159" t="s">
        <v>13750</v>
      </c>
      <c r="E100" s="197"/>
      <c r="F100" s="147"/>
    </row>
    <row r="101" ht="22.5" customHeight="1">
      <c r="A101" s="690" t="s">
        <v>6741</v>
      </c>
      <c r="B101" s="313" t="s">
        <v>13825</v>
      </c>
      <c r="C101" s="192" t="s">
        <v>49</v>
      </c>
      <c r="D101" s="313" t="s">
        <v>12103</v>
      </c>
      <c r="E101" s="196"/>
      <c r="F101" s="155"/>
    </row>
    <row r="102" ht="22.5" customHeight="1">
      <c r="A102" s="202"/>
      <c r="B102" s="159" t="s">
        <v>13826</v>
      </c>
      <c r="C102" s="169" t="s">
        <v>49</v>
      </c>
      <c r="D102" s="159" t="s">
        <v>11388</v>
      </c>
      <c r="E102" s="159" t="s">
        <v>11388</v>
      </c>
      <c r="F102" s="147"/>
    </row>
    <row r="103" ht="22.5" customHeight="1">
      <c r="A103" s="691"/>
      <c r="B103" s="313" t="s">
        <v>13827</v>
      </c>
      <c r="C103" s="194" t="s">
        <v>635</v>
      </c>
      <c r="D103" s="313" t="s">
        <v>13828</v>
      </c>
      <c r="E103" s="196"/>
      <c r="F103" s="155"/>
    </row>
    <row r="104" ht="22.5" customHeight="1">
      <c r="A104" s="140" t="s">
        <v>13829</v>
      </c>
      <c r="B104" s="159" t="s">
        <v>13830</v>
      </c>
      <c r="C104" s="169" t="s">
        <v>49</v>
      </c>
      <c r="D104" s="197"/>
      <c r="E104" s="197"/>
      <c r="F104" s="147"/>
    </row>
    <row r="105" ht="22.5" customHeight="1">
      <c r="A105" s="691"/>
      <c r="B105" s="313" t="s">
        <v>13831</v>
      </c>
      <c r="C105" s="194" t="s">
        <v>635</v>
      </c>
      <c r="D105" s="313" t="s">
        <v>12441</v>
      </c>
      <c r="E105" s="196"/>
      <c r="F105" s="155"/>
    </row>
    <row r="106" ht="22.5" customHeight="1">
      <c r="A106" s="202"/>
      <c r="B106" s="159" t="s">
        <v>13832</v>
      </c>
      <c r="C106" s="156" t="s">
        <v>635</v>
      </c>
      <c r="D106" s="159" t="s">
        <v>13750</v>
      </c>
      <c r="E106" s="197"/>
      <c r="F106" s="147"/>
    </row>
    <row r="107" ht="22.5" customHeight="1">
      <c r="A107" s="691"/>
      <c r="B107" s="313" t="s">
        <v>13833</v>
      </c>
      <c r="C107" s="192" t="s">
        <v>49</v>
      </c>
      <c r="D107" s="313" t="s">
        <v>13834</v>
      </c>
      <c r="E107" s="196"/>
      <c r="F107" s="155"/>
    </row>
    <row r="108" ht="22.5" customHeight="1">
      <c r="A108" s="140" t="s">
        <v>13835</v>
      </c>
      <c r="B108" s="159" t="s">
        <v>13836</v>
      </c>
      <c r="C108" s="212" t="s">
        <v>17</v>
      </c>
      <c r="D108" s="159" t="s">
        <v>11388</v>
      </c>
      <c r="E108" s="159" t="s">
        <v>11388</v>
      </c>
      <c r="F108" s="147"/>
    </row>
    <row r="109" ht="22.5" customHeight="1">
      <c r="A109" s="690" t="s">
        <v>2089</v>
      </c>
      <c r="B109" s="313" t="s">
        <v>13837</v>
      </c>
      <c r="C109" s="392" t="s">
        <v>35</v>
      </c>
      <c r="D109" s="313" t="s">
        <v>13838</v>
      </c>
      <c r="E109" s="158" t="s">
        <v>10609</v>
      </c>
      <c r="F109" s="155"/>
    </row>
    <row r="110" ht="22.5" customHeight="1">
      <c r="A110" s="202"/>
      <c r="B110" s="159" t="s">
        <v>13839</v>
      </c>
      <c r="C110" s="169" t="s">
        <v>49</v>
      </c>
      <c r="D110" s="159" t="s">
        <v>13840</v>
      </c>
      <c r="E110" s="159" t="s">
        <v>11388</v>
      </c>
      <c r="F110" s="147"/>
    </row>
    <row r="111" ht="22.5" customHeight="1">
      <c r="A111" s="691"/>
      <c r="B111" s="313" t="s">
        <v>13841</v>
      </c>
      <c r="C111" s="192" t="s">
        <v>49</v>
      </c>
      <c r="D111" s="313" t="s">
        <v>11388</v>
      </c>
      <c r="E111" s="158" t="s">
        <v>11388</v>
      </c>
      <c r="F111" s="155"/>
    </row>
    <row r="112" ht="22.5" customHeight="1">
      <c r="A112" s="202"/>
      <c r="B112" s="159" t="s">
        <v>13842</v>
      </c>
      <c r="C112" s="169" t="s">
        <v>49</v>
      </c>
      <c r="D112" s="159" t="s">
        <v>11388</v>
      </c>
      <c r="E112" s="159" t="s">
        <v>11388</v>
      </c>
      <c r="F112" s="147"/>
    </row>
    <row r="113" ht="22.5" customHeight="1">
      <c r="A113" s="691"/>
      <c r="B113" s="313" t="s">
        <v>13843</v>
      </c>
      <c r="C113" s="267" t="s">
        <v>17</v>
      </c>
      <c r="D113" s="313" t="s">
        <v>11388</v>
      </c>
      <c r="E113" s="313" t="s">
        <v>11388</v>
      </c>
      <c r="F113" s="155"/>
    </row>
    <row r="114" ht="22.5" customHeight="1">
      <c r="A114" s="202"/>
      <c r="B114" s="159" t="s">
        <v>13844</v>
      </c>
      <c r="C114" s="169" t="s">
        <v>49</v>
      </c>
      <c r="D114" s="159" t="s">
        <v>11388</v>
      </c>
      <c r="E114" s="159" t="s">
        <v>372</v>
      </c>
      <c r="F114" s="147"/>
    </row>
    <row r="115" ht="22.5" customHeight="1">
      <c r="A115" s="690" t="s">
        <v>13845</v>
      </c>
      <c r="B115" s="313" t="s">
        <v>13846</v>
      </c>
      <c r="C115" s="194" t="s">
        <v>635</v>
      </c>
      <c r="D115" s="313" t="s">
        <v>11388</v>
      </c>
      <c r="E115" s="313" t="s">
        <v>10871</v>
      </c>
      <c r="F115" s="672"/>
    </row>
    <row r="116" ht="22.5" customHeight="1">
      <c r="A116" s="202"/>
      <c r="B116" s="159" t="s">
        <v>13847</v>
      </c>
      <c r="C116" s="169" t="s">
        <v>49</v>
      </c>
      <c r="D116" s="159" t="s">
        <v>11388</v>
      </c>
      <c r="E116" s="197"/>
      <c r="F116" s="147"/>
    </row>
    <row r="117" ht="22.5" customHeight="1">
      <c r="A117" s="691"/>
      <c r="B117" s="313" t="s">
        <v>13848</v>
      </c>
      <c r="C117" s="267" t="s">
        <v>17</v>
      </c>
      <c r="D117" s="313" t="s">
        <v>11388</v>
      </c>
      <c r="E117" s="313" t="s">
        <v>11388</v>
      </c>
      <c r="F117" s="155"/>
    </row>
    <row r="118" ht="22.5" customHeight="1">
      <c r="A118" s="202"/>
      <c r="B118" s="159" t="s">
        <v>13849</v>
      </c>
      <c r="C118" s="169" t="s">
        <v>49</v>
      </c>
      <c r="D118" s="159" t="s">
        <v>11388</v>
      </c>
      <c r="E118" s="159" t="s">
        <v>13850</v>
      </c>
      <c r="F118" s="147"/>
    </row>
    <row r="119" ht="22.5" customHeight="1">
      <c r="A119" s="690" t="s">
        <v>13851</v>
      </c>
      <c r="B119" s="313" t="s">
        <v>13852</v>
      </c>
      <c r="C119" s="392" t="s">
        <v>35</v>
      </c>
      <c r="D119" s="313" t="s">
        <v>11388</v>
      </c>
      <c r="E119" s="313" t="s">
        <v>913</v>
      </c>
      <c r="F119" s="155"/>
    </row>
    <row r="120" ht="22.5" customHeight="1">
      <c r="A120" s="140" t="s">
        <v>10225</v>
      </c>
      <c r="B120" s="159" t="s">
        <v>13853</v>
      </c>
      <c r="C120" s="169" t="s">
        <v>49</v>
      </c>
      <c r="D120" s="159" t="s">
        <v>11388</v>
      </c>
      <c r="E120" s="159" t="s">
        <v>51</v>
      </c>
      <c r="F120" s="147"/>
    </row>
    <row r="121" ht="22.5" customHeight="1">
      <c r="A121" s="250"/>
      <c r="B121" s="158" t="s">
        <v>13854</v>
      </c>
      <c r="C121" s="192" t="s">
        <v>49</v>
      </c>
      <c r="D121" s="313" t="s">
        <v>11388</v>
      </c>
      <c r="E121" s="313" t="s">
        <v>11388</v>
      </c>
      <c r="F121" s="155"/>
    </row>
    <row r="122" ht="22.5" customHeight="1">
      <c r="A122" s="202"/>
      <c r="B122" s="159" t="s">
        <v>13855</v>
      </c>
      <c r="C122" s="212" t="s">
        <v>17</v>
      </c>
      <c r="D122" s="159" t="s">
        <v>11388</v>
      </c>
      <c r="E122" s="159" t="s">
        <v>11388</v>
      </c>
      <c r="F122" s="147"/>
    </row>
    <row r="123" ht="22.5" customHeight="1">
      <c r="A123" s="250"/>
      <c r="B123" s="158" t="s">
        <v>13856</v>
      </c>
      <c r="C123" s="161" t="s">
        <v>49</v>
      </c>
      <c r="D123" s="313" t="s">
        <v>11388</v>
      </c>
      <c r="E123" s="158" t="s">
        <v>11388</v>
      </c>
      <c r="F123" s="155"/>
    </row>
    <row r="124" ht="22.5" customHeight="1">
      <c r="A124" s="140" t="s">
        <v>13857</v>
      </c>
      <c r="B124" s="700" t="s">
        <v>13858</v>
      </c>
      <c r="C124" s="332" t="s">
        <v>35</v>
      </c>
      <c r="D124" s="159" t="s">
        <v>11388</v>
      </c>
      <c r="E124" s="159" t="s">
        <v>13859</v>
      </c>
      <c r="F124" s="147"/>
    </row>
    <row r="125" ht="22.5" customHeight="1">
      <c r="A125" s="250"/>
      <c r="B125" s="158" t="s">
        <v>13860</v>
      </c>
      <c r="C125" s="214" t="s">
        <v>17</v>
      </c>
      <c r="D125" s="313" t="s">
        <v>11388</v>
      </c>
      <c r="E125" s="158" t="s">
        <v>11388</v>
      </c>
      <c r="F125" s="155"/>
    </row>
    <row r="126" ht="22.5" customHeight="1">
      <c r="A126" s="140" t="s">
        <v>12310</v>
      </c>
      <c r="B126" s="159" t="s">
        <v>13861</v>
      </c>
      <c r="C126" s="169" t="s">
        <v>49</v>
      </c>
      <c r="D126" s="159" t="s">
        <v>11388</v>
      </c>
      <c r="E126" s="197"/>
      <c r="F126" s="147"/>
    </row>
    <row r="127" ht="22.5" customHeight="1">
      <c r="A127" s="148" t="s">
        <v>13862</v>
      </c>
      <c r="B127" s="313" t="s">
        <v>13863</v>
      </c>
      <c r="C127" s="214" t="s">
        <v>17</v>
      </c>
      <c r="D127" s="313" t="s">
        <v>11388</v>
      </c>
      <c r="E127" s="158" t="s">
        <v>11388</v>
      </c>
      <c r="F127" s="155"/>
    </row>
    <row r="128" ht="22.5" customHeight="1">
      <c r="A128" s="140" t="s">
        <v>13864</v>
      </c>
      <c r="B128" s="159" t="s">
        <v>13865</v>
      </c>
      <c r="C128" s="212" t="s">
        <v>17</v>
      </c>
      <c r="D128" s="159" t="s">
        <v>11388</v>
      </c>
      <c r="E128" s="159" t="s">
        <v>11388</v>
      </c>
      <c r="F128" s="147"/>
    </row>
    <row r="129" ht="22.5" customHeight="1">
      <c r="A129" s="250"/>
      <c r="B129" s="158" t="s">
        <v>13866</v>
      </c>
      <c r="C129" s="161" t="s">
        <v>49</v>
      </c>
      <c r="D129" s="196"/>
      <c r="E129" s="196"/>
      <c r="F129" s="155"/>
    </row>
    <row r="130" ht="22.5" customHeight="1">
      <c r="A130" s="202"/>
      <c r="B130" s="159" t="s">
        <v>13867</v>
      </c>
      <c r="C130" s="212" t="s">
        <v>17</v>
      </c>
      <c r="D130" s="159" t="s">
        <v>11388</v>
      </c>
      <c r="E130" s="159" t="s">
        <v>11388</v>
      </c>
      <c r="F130" s="147"/>
    </row>
    <row r="131" ht="22.5" customHeight="1">
      <c r="A131" s="250"/>
      <c r="B131" s="158" t="s">
        <v>13868</v>
      </c>
      <c r="C131" s="161" t="s">
        <v>49</v>
      </c>
      <c r="D131" s="313" t="s">
        <v>11388</v>
      </c>
      <c r="E131" s="196"/>
      <c r="F131" s="155"/>
    </row>
    <row r="132" ht="22.5" customHeight="1">
      <c r="A132" s="202"/>
      <c r="B132" s="159" t="s">
        <v>13869</v>
      </c>
      <c r="C132" s="212" t="s">
        <v>17</v>
      </c>
      <c r="D132" s="159" t="s">
        <v>11388</v>
      </c>
      <c r="E132" s="159" t="s">
        <v>11388</v>
      </c>
      <c r="F132" s="147"/>
    </row>
    <row r="133" ht="22.5" customHeight="1">
      <c r="A133" s="250"/>
      <c r="B133" s="158" t="s">
        <v>13870</v>
      </c>
      <c r="C133" s="214" t="s">
        <v>17</v>
      </c>
      <c r="D133" s="158" t="s">
        <v>11388</v>
      </c>
      <c r="E133" s="158" t="s">
        <v>11388</v>
      </c>
      <c r="F133" s="155"/>
    </row>
    <row r="134" ht="22.5" customHeight="1">
      <c r="A134" s="202"/>
      <c r="B134" s="159" t="s">
        <v>13871</v>
      </c>
      <c r="C134" s="212" t="s">
        <v>17</v>
      </c>
      <c r="D134" s="159" t="s">
        <v>11388</v>
      </c>
      <c r="E134" s="159" t="s">
        <v>11388</v>
      </c>
      <c r="F134" s="147"/>
    </row>
    <row r="135" ht="22.5" customHeight="1">
      <c r="A135" s="250"/>
      <c r="B135" s="158" t="s">
        <v>13872</v>
      </c>
      <c r="C135" s="161" t="s">
        <v>49</v>
      </c>
      <c r="D135" s="158" t="s">
        <v>674</v>
      </c>
      <c r="E135" s="196"/>
      <c r="F135" s="155"/>
    </row>
    <row r="136" ht="22.5" customHeight="1">
      <c r="A136" s="202"/>
      <c r="B136" s="159" t="s">
        <v>13873</v>
      </c>
      <c r="C136" s="212" t="s">
        <v>17</v>
      </c>
      <c r="D136" s="159" t="s">
        <v>11388</v>
      </c>
      <c r="E136" s="159" t="s">
        <v>11388</v>
      </c>
      <c r="F136" s="147"/>
    </row>
    <row r="137" ht="22.5" customHeight="1">
      <c r="A137" s="148" t="s">
        <v>13874</v>
      </c>
      <c r="B137" s="313" t="s">
        <v>13875</v>
      </c>
      <c r="C137" s="167" t="s">
        <v>635</v>
      </c>
      <c r="D137" s="158" t="s">
        <v>13876</v>
      </c>
      <c r="E137" s="196"/>
      <c r="F137" s="155"/>
    </row>
    <row r="138" ht="22.5" customHeight="1">
      <c r="A138" s="140" t="s">
        <v>5708</v>
      </c>
      <c r="B138" s="159" t="s">
        <v>13877</v>
      </c>
      <c r="C138" s="169" t="s">
        <v>49</v>
      </c>
      <c r="D138" s="159" t="s">
        <v>13750</v>
      </c>
      <c r="E138" s="159" t="s">
        <v>674</v>
      </c>
      <c r="F138" s="147"/>
    </row>
    <row r="139" ht="22.5" customHeight="1">
      <c r="A139" s="250"/>
      <c r="B139" s="158" t="s">
        <v>13878</v>
      </c>
      <c r="C139" s="213" t="s">
        <v>40</v>
      </c>
      <c r="D139" s="158" t="s">
        <v>13750</v>
      </c>
      <c r="E139" s="158" t="s">
        <v>11388</v>
      </c>
      <c r="F139" s="155"/>
    </row>
    <row r="140" ht="22.5" customHeight="1">
      <c r="A140" s="202"/>
      <c r="B140" s="159" t="s">
        <v>13879</v>
      </c>
      <c r="C140" s="212" t="s">
        <v>17</v>
      </c>
      <c r="D140" s="159" t="s">
        <v>13750</v>
      </c>
      <c r="E140" s="159" t="s">
        <v>11388</v>
      </c>
      <c r="F140" s="147"/>
    </row>
    <row r="141" ht="22.5" customHeight="1">
      <c r="A141" s="250"/>
      <c r="B141" s="160">
        <v>9.23338244372E11</v>
      </c>
      <c r="C141" s="214" t="s">
        <v>17</v>
      </c>
      <c r="D141" s="158" t="s">
        <v>11388</v>
      </c>
      <c r="E141" s="158" t="s">
        <v>11388</v>
      </c>
      <c r="F141" s="155"/>
    </row>
    <row r="142" ht="22.5" customHeight="1">
      <c r="A142" s="202"/>
      <c r="B142" s="159" t="s">
        <v>13880</v>
      </c>
      <c r="C142" s="169" t="s">
        <v>49</v>
      </c>
      <c r="D142" s="197"/>
      <c r="E142" s="197"/>
      <c r="F142" s="147"/>
    </row>
    <row r="143" ht="22.5" customHeight="1">
      <c r="A143" s="250"/>
      <c r="B143" s="158" t="s">
        <v>13881</v>
      </c>
      <c r="C143" s="214" t="s">
        <v>17</v>
      </c>
      <c r="D143" s="158" t="s">
        <v>11388</v>
      </c>
      <c r="E143" s="158" t="s">
        <v>11388</v>
      </c>
      <c r="F143" s="155"/>
    </row>
    <row r="144" ht="22.5" customHeight="1">
      <c r="A144" s="202"/>
      <c r="B144" s="159" t="s">
        <v>13882</v>
      </c>
      <c r="C144" s="212" t="s">
        <v>17</v>
      </c>
      <c r="D144" s="159" t="s">
        <v>11388</v>
      </c>
      <c r="E144" s="159" t="s">
        <v>11388</v>
      </c>
      <c r="F144" s="147"/>
    </row>
    <row r="145" ht="22.5" customHeight="1">
      <c r="A145" s="250"/>
      <c r="B145" s="158" t="s">
        <v>13883</v>
      </c>
      <c r="C145" s="214" t="s">
        <v>17</v>
      </c>
      <c r="D145" s="158" t="s">
        <v>11388</v>
      </c>
      <c r="E145" s="158" t="s">
        <v>11388</v>
      </c>
      <c r="F145" s="155"/>
    </row>
    <row r="146" ht="22.5" customHeight="1">
      <c r="A146" s="202"/>
      <c r="B146" s="159" t="s">
        <v>13884</v>
      </c>
      <c r="C146" s="212" t="s">
        <v>17</v>
      </c>
      <c r="D146" s="159" t="s">
        <v>11388</v>
      </c>
      <c r="E146" s="159" t="s">
        <v>11388</v>
      </c>
      <c r="F146" s="147"/>
    </row>
    <row r="147" ht="22.5" customHeight="1">
      <c r="A147" s="250"/>
      <c r="B147" s="158" t="s">
        <v>13885</v>
      </c>
      <c r="C147" s="214" t="s">
        <v>17</v>
      </c>
      <c r="D147" s="158" t="s">
        <v>11388</v>
      </c>
      <c r="E147" s="158" t="s">
        <v>11388</v>
      </c>
      <c r="F147" s="155"/>
    </row>
    <row r="148" ht="22.5" customHeight="1">
      <c r="A148" s="202"/>
      <c r="B148" s="159" t="s">
        <v>13886</v>
      </c>
      <c r="C148" s="169" t="s">
        <v>49</v>
      </c>
      <c r="D148" s="159" t="s">
        <v>1158</v>
      </c>
      <c r="E148" s="197"/>
      <c r="F148" s="147"/>
    </row>
    <row r="149" ht="22.5" customHeight="1">
      <c r="A149" s="701"/>
      <c r="B149" s="702" t="s">
        <v>13887</v>
      </c>
      <c r="C149" s="703" t="s">
        <v>49</v>
      </c>
      <c r="D149" s="702" t="s">
        <v>13888</v>
      </c>
      <c r="E149" s="704"/>
      <c r="F149" s="705"/>
    </row>
    <row r="150" ht="22.5" customHeight="1">
      <c r="A150" s="693" t="s">
        <v>4380</v>
      </c>
      <c r="B150" s="606" t="s">
        <v>13233</v>
      </c>
      <c r="C150" s="156" t="s">
        <v>635</v>
      </c>
      <c r="D150" s="159" t="s">
        <v>13889</v>
      </c>
      <c r="E150" s="197"/>
      <c r="F150" s="147"/>
    </row>
    <row r="151" ht="22.5" customHeight="1">
      <c r="A151" s="250"/>
      <c r="B151" s="158" t="s">
        <v>13890</v>
      </c>
      <c r="C151" s="214" t="s">
        <v>17</v>
      </c>
      <c r="D151" s="158" t="s">
        <v>11388</v>
      </c>
      <c r="E151" s="158" t="s">
        <v>11388</v>
      </c>
      <c r="F151" s="155"/>
    </row>
    <row r="152" ht="22.5" customHeight="1">
      <c r="A152" s="202"/>
      <c r="B152" s="159" t="s">
        <v>13891</v>
      </c>
      <c r="C152" s="212" t="s">
        <v>17</v>
      </c>
      <c r="D152" s="159" t="s">
        <v>11388</v>
      </c>
      <c r="E152" s="159" t="s">
        <v>11388</v>
      </c>
      <c r="F152" s="147"/>
    </row>
    <row r="153" ht="22.5" customHeight="1">
      <c r="A153" s="250"/>
      <c r="B153" s="160">
        <v>9.23333264925E11</v>
      </c>
      <c r="C153" s="214" t="s">
        <v>17</v>
      </c>
      <c r="D153" s="158" t="s">
        <v>11388</v>
      </c>
      <c r="E153" s="158" t="s">
        <v>11388</v>
      </c>
      <c r="F153" s="155"/>
    </row>
    <row r="154" ht="22.5" customHeight="1">
      <c r="A154" s="202"/>
      <c r="B154" s="159" t="s">
        <v>13892</v>
      </c>
      <c r="C154" s="169" t="s">
        <v>49</v>
      </c>
      <c r="D154" s="159" t="s">
        <v>372</v>
      </c>
      <c r="E154" s="197"/>
      <c r="F154" s="147"/>
    </row>
    <row r="155" ht="22.5" customHeight="1">
      <c r="A155" s="250"/>
      <c r="B155" s="158" t="s">
        <v>13893</v>
      </c>
      <c r="C155" s="214" t="s">
        <v>17</v>
      </c>
      <c r="D155" s="158" t="s">
        <v>11388</v>
      </c>
      <c r="E155" s="158" t="s">
        <v>11388</v>
      </c>
      <c r="F155" s="155"/>
    </row>
    <row r="156" ht="22.5" customHeight="1">
      <c r="A156" s="202"/>
      <c r="B156" s="159" t="s">
        <v>13894</v>
      </c>
      <c r="C156" s="169" t="s">
        <v>49</v>
      </c>
      <c r="D156" s="159" t="s">
        <v>372</v>
      </c>
      <c r="E156" s="197"/>
      <c r="F156" s="147"/>
    </row>
    <row r="157" ht="22.5" customHeight="1">
      <c r="A157" s="250"/>
      <c r="B157" s="158" t="s">
        <v>13895</v>
      </c>
      <c r="C157" s="214" t="s">
        <v>17</v>
      </c>
      <c r="D157" s="158" t="s">
        <v>11388</v>
      </c>
      <c r="E157" s="158" t="s">
        <v>11388</v>
      </c>
      <c r="F157" s="155"/>
    </row>
    <row r="158" ht="22.5" customHeight="1">
      <c r="A158" s="202"/>
      <c r="B158" s="159" t="s">
        <v>13896</v>
      </c>
      <c r="C158" s="212" t="s">
        <v>17</v>
      </c>
      <c r="D158" s="159" t="s">
        <v>11388</v>
      </c>
      <c r="E158" s="159" t="s">
        <v>11388</v>
      </c>
      <c r="F158" s="147"/>
    </row>
    <row r="159" ht="22.5" customHeight="1">
      <c r="A159" s="250"/>
      <c r="B159" s="158" t="s">
        <v>13897</v>
      </c>
      <c r="C159" s="214" t="s">
        <v>17</v>
      </c>
      <c r="D159" s="158" t="s">
        <v>11388</v>
      </c>
      <c r="E159" s="158" t="s">
        <v>11388</v>
      </c>
      <c r="F159" s="155"/>
    </row>
    <row r="160" ht="22.5" customHeight="1">
      <c r="A160" s="202"/>
      <c r="B160" s="159" t="s">
        <v>13898</v>
      </c>
      <c r="C160" s="169" t="s">
        <v>49</v>
      </c>
      <c r="D160" s="159" t="s">
        <v>674</v>
      </c>
      <c r="E160" s="197"/>
      <c r="F160" s="147"/>
    </row>
    <row r="161" ht="22.5" customHeight="1">
      <c r="A161" s="148" t="s">
        <v>13899</v>
      </c>
      <c r="B161" s="158" t="s">
        <v>13900</v>
      </c>
      <c r="C161" s="214" t="s">
        <v>17</v>
      </c>
      <c r="D161" s="158" t="s">
        <v>13901</v>
      </c>
      <c r="E161" s="158" t="s">
        <v>11388</v>
      </c>
      <c r="F161" s="155"/>
    </row>
    <row r="162" ht="22.5" customHeight="1">
      <c r="A162" s="202"/>
      <c r="B162" s="159" t="s">
        <v>13902</v>
      </c>
      <c r="C162" s="169" t="s">
        <v>49</v>
      </c>
      <c r="D162" s="159" t="s">
        <v>11388</v>
      </c>
      <c r="E162" s="159" t="s">
        <v>13903</v>
      </c>
      <c r="F162" s="147"/>
    </row>
    <row r="163" ht="22.5" customHeight="1">
      <c r="A163" s="250"/>
      <c r="B163" s="158" t="s">
        <v>5621</v>
      </c>
      <c r="C163" s="161" t="s">
        <v>49</v>
      </c>
      <c r="D163" s="158" t="s">
        <v>13750</v>
      </c>
      <c r="E163" s="158" t="s">
        <v>674</v>
      </c>
      <c r="F163" s="155"/>
    </row>
    <row r="164" ht="22.5" customHeight="1">
      <c r="A164" s="202"/>
      <c r="B164" s="159" t="s">
        <v>13904</v>
      </c>
      <c r="C164" s="212" t="s">
        <v>17</v>
      </c>
      <c r="D164" s="159" t="s">
        <v>11388</v>
      </c>
      <c r="E164" s="159" t="s">
        <v>11388</v>
      </c>
      <c r="F164" s="147"/>
    </row>
    <row r="165" ht="22.5" customHeight="1">
      <c r="A165" s="250"/>
      <c r="B165" s="158" t="s">
        <v>13905</v>
      </c>
      <c r="C165" s="161" t="s">
        <v>49</v>
      </c>
      <c r="D165" s="158" t="s">
        <v>13906</v>
      </c>
      <c r="E165" s="196"/>
      <c r="F165" s="155"/>
    </row>
    <row r="166" ht="22.5" customHeight="1">
      <c r="A166" s="202"/>
      <c r="B166" s="159" t="s">
        <v>13907</v>
      </c>
      <c r="C166" s="169" t="s">
        <v>49</v>
      </c>
      <c r="D166" s="197"/>
      <c r="E166" s="197"/>
      <c r="F166" s="147"/>
    </row>
    <row r="167" ht="22.5" customHeight="1">
      <c r="A167" s="250"/>
      <c r="B167" s="158" t="s">
        <v>13908</v>
      </c>
      <c r="C167" s="214" t="s">
        <v>17</v>
      </c>
      <c r="D167" s="158" t="s">
        <v>11388</v>
      </c>
      <c r="E167" s="158" t="s">
        <v>11388</v>
      </c>
      <c r="F167" s="155"/>
    </row>
    <row r="168" ht="22.5" customHeight="1">
      <c r="A168" s="202"/>
      <c r="B168" s="159" t="s">
        <v>13909</v>
      </c>
      <c r="C168" s="212" t="s">
        <v>17</v>
      </c>
      <c r="D168" s="159" t="s">
        <v>11388</v>
      </c>
      <c r="E168" s="159" t="s">
        <v>11388</v>
      </c>
      <c r="F168" s="147"/>
    </row>
    <row r="169" ht="22.5" customHeight="1">
      <c r="A169" s="250"/>
      <c r="B169" s="158" t="s">
        <v>13910</v>
      </c>
      <c r="C169" s="161" t="s">
        <v>49</v>
      </c>
      <c r="D169" s="158" t="s">
        <v>13750</v>
      </c>
      <c r="E169" s="158" t="s">
        <v>674</v>
      </c>
      <c r="F169" s="155"/>
    </row>
    <row r="170" ht="22.5" customHeight="1">
      <c r="A170" s="202"/>
      <c r="B170" s="159" t="s">
        <v>13911</v>
      </c>
      <c r="C170" s="156" t="s">
        <v>635</v>
      </c>
      <c r="D170" s="159" t="s">
        <v>11388</v>
      </c>
      <c r="E170" s="159" t="s">
        <v>11388</v>
      </c>
      <c r="F170" s="147"/>
    </row>
    <row r="171" ht="22.5" customHeight="1">
      <c r="A171" s="250"/>
      <c r="B171" s="158" t="s">
        <v>13912</v>
      </c>
      <c r="C171" s="161" t="s">
        <v>49</v>
      </c>
      <c r="D171" s="158" t="s">
        <v>11388</v>
      </c>
      <c r="E171" s="196"/>
      <c r="F171" s="155"/>
    </row>
    <row r="172" ht="22.5" customHeight="1">
      <c r="A172" s="202"/>
      <c r="B172" s="159" t="s">
        <v>13913</v>
      </c>
      <c r="C172" s="212" t="s">
        <v>17</v>
      </c>
      <c r="D172" s="159" t="s">
        <v>11388</v>
      </c>
      <c r="E172" s="159" t="s">
        <v>11388</v>
      </c>
      <c r="F172" s="147"/>
    </row>
    <row r="173" ht="22.5" customHeight="1">
      <c r="A173" s="654"/>
      <c r="B173" s="655" t="s">
        <v>13314</v>
      </c>
      <c r="C173" s="656" t="s">
        <v>49</v>
      </c>
      <c r="D173" s="655" t="s">
        <v>11388</v>
      </c>
      <c r="E173" s="655" t="s">
        <v>13315</v>
      </c>
      <c r="F173" s="657"/>
    </row>
    <row r="174" ht="22.5" customHeight="1">
      <c r="A174" s="202"/>
      <c r="B174" s="197"/>
      <c r="C174" s="144"/>
      <c r="D174" s="197"/>
      <c r="E174" s="197"/>
      <c r="F174" s="147"/>
    </row>
    <row r="175" ht="22.5" customHeight="1">
      <c r="A175" s="691"/>
      <c r="B175" s="415"/>
      <c r="C175" s="181"/>
      <c r="D175" s="415"/>
      <c r="E175" s="196"/>
      <c r="F175" s="155"/>
    </row>
    <row r="176" ht="22.5" customHeight="1">
      <c r="A176" s="202"/>
      <c r="B176" s="197"/>
      <c r="C176" s="144"/>
      <c r="D176" s="197"/>
      <c r="E176" s="197"/>
      <c r="F176" s="147"/>
    </row>
    <row r="177" ht="22.5" customHeight="1">
      <c r="A177" s="691"/>
      <c r="B177" s="415"/>
      <c r="C177" s="181"/>
      <c r="D177" s="415"/>
      <c r="E177" s="196"/>
      <c r="F177" s="155"/>
    </row>
    <row r="178" ht="22.5" customHeight="1">
      <c r="A178" s="202"/>
      <c r="B178" s="197"/>
      <c r="C178" s="144"/>
      <c r="D178" s="197"/>
      <c r="E178" s="197"/>
      <c r="F178" s="147"/>
    </row>
    <row r="179" ht="22.5" customHeight="1">
      <c r="A179" s="691"/>
      <c r="B179" s="415"/>
      <c r="C179" s="181"/>
      <c r="D179" s="415"/>
      <c r="E179" s="196"/>
      <c r="F179" s="155"/>
    </row>
    <row r="180" ht="22.5" customHeight="1">
      <c r="A180" s="202"/>
      <c r="B180" s="197"/>
      <c r="C180" s="144"/>
      <c r="D180" s="197"/>
      <c r="E180" s="197"/>
      <c r="F180" s="147"/>
    </row>
    <row r="181" ht="22.5" customHeight="1">
      <c r="A181" s="691"/>
      <c r="B181" s="415"/>
      <c r="C181" s="181"/>
      <c r="D181" s="415"/>
      <c r="E181" s="196"/>
      <c r="F181" s="155"/>
    </row>
    <row r="182" ht="22.5" customHeight="1">
      <c r="A182" s="202"/>
      <c r="B182" s="197"/>
      <c r="C182" s="144"/>
      <c r="D182" s="197"/>
      <c r="E182" s="197"/>
      <c r="F182" s="147"/>
    </row>
    <row r="183" ht="22.5" customHeight="1">
      <c r="A183" s="691"/>
      <c r="B183" s="415"/>
      <c r="C183" s="181"/>
      <c r="D183" s="415"/>
      <c r="E183" s="196"/>
      <c r="F183" s="155"/>
    </row>
    <row r="184" ht="22.5" customHeight="1">
      <c r="A184" s="202"/>
      <c r="B184" s="197"/>
      <c r="C184" s="144"/>
      <c r="D184" s="197"/>
      <c r="E184" s="197"/>
      <c r="F184" s="147"/>
    </row>
    <row r="185" ht="22.5" customHeight="1">
      <c r="A185" s="691"/>
      <c r="B185" s="415"/>
      <c r="C185" s="181"/>
      <c r="D185" s="415"/>
      <c r="E185" s="196"/>
      <c r="F185" s="155"/>
    </row>
    <row r="186" ht="22.5" customHeight="1">
      <c r="A186" s="202"/>
      <c r="B186" s="197"/>
      <c r="C186" s="144"/>
      <c r="D186" s="197"/>
      <c r="E186" s="197"/>
      <c r="F186" s="147"/>
    </row>
    <row r="187" ht="22.5" customHeight="1">
      <c r="A187" s="691"/>
      <c r="B187" s="415"/>
      <c r="C187" s="181"/>
      <c r="D187" s="415"/>
      <c r="E187" s="196"/>
      <c r="F187" s="155"/>
    </row>
    <row r="188" ht="22.5" customHeight="1">
      <c r="A188" s="202"/>
      <c r="B188" s="197"/>
      <c r="C188" s="144"/>
      <c r="D188" s="197"/>
      <c r="E188" s="197"/>
      <c r="F188" s="147"/>
    </row>
    <row r="189" ht="22.5" customHeight="1">
      <c r="A189" s="691"/>
      <c r="B189" s="415"/>
      <c r="C189" s="181"/>
      <c r="D189" s="415"/>
      <c r="E189" s="196"/>
      <c r="F189" s="155"/>
    </row>
    <row r="190" ht="22.5" customHeight="1">
      <c r="A190" s="202"/>
      <c r="B190" s="197"/>
      <c r="C190" s="144"/>
      <c r="D190" s="197"/>
      <c r="E190" s="197"/>
      <c r="F190" s="147"/>
    </row>
    <row r="191" ht="22.5" customHeight="1">
      <c r="A191" s="691"/>
      <c r="B191" s="415"/>
      <c r="C191" s="181"/>
      <c r="D191" s="415"/>
      <c r="E191" s="196"/>
      <c r="F191" s="155"/>
    </row>
    <row r="192" ht="22.5" customHeight="1">
      <c r="A192" s="202"/>
      <c r="B192" s="197"/>
      <c r="C192" s="144"/>
      <c r="D192" s="197"/>
      <c r="E192" s="197"/>
      <c r="F192" s="147"/>
    </row>
    <row r="193" ht="22.5" customHeight="1">
      <c r="A193" s="691"/>
      <c r="B193" s="415"/>
      <c r="C193" s="181"/>
      <c r="D193" s="415"/>
      <c r="E193" s="196"/>
      <c r="F193" s="155"/>
    </row>
    <row r="194" ht="22.5" customHeight="1">
      <c r="A194" s="202"/>
      <c r="B194" s="197"/>
      <c r="C194" s="144"/>
      <c r="D194" s="197"/>
      <c r="E194" s="197"/>
      <c r="F194" s="147"/>
    </row>
    <row r="195" ht="22.5" customHeight="1">
      <c r="A195" s="691"/>
      <c r="B195" s="415"/>
      <c r="C195" s="181"/>
      <c r="D195" s="415"/>
      <c r="E195" s="196"/>
      <c r="F195" s="155"/>
    </row>
    <row r="196" ht="22.5" customHeight="1">
      <c r="A196" s="202"/>
      <c r="B196" s="197"/>
      <c r="C196" s="144"/>
      <c r="D196" s="197"/>
      <c r="E196" s="197"/>
      <c r="F196" s="147"/>
    </row>
    <row r="197" ht="22.5" customHeight="1">
      <c r="A197" s="691"/>
      <c r="B197" s="415"/>
      <c r="C197" s="181"/>
      <c r="D197" s="415"/>
      <c r="E197" s="196"/>
      <c r="F197" s="155"/>
    </row>
    <row r="198" ht="22.5" customHeight="1">
      <c r="A198" s="202"/>
      <c r="B198" s="197"/>
      <c r="C198" s="144"/>
      <c r="D198" s="197"/>
      <c r="E198" s="197"/>
      <c r="F198" s="147"/>
    </row>
    <row r="199" ht="22.5" customHeight="1">
      <c r="A199" s="691"/>
      <c r="B199" s="415"/>
      <c r="C199" s="181"/>
      <c r="D199" s="415"/>
      <c r="E199" s="196"/>
      <c r="F199" s="155"/>
    </row>
    <row r="200" ht="22.5" customHeight="1">
      <c r="A200" s="202"/>
      <c r="B200" s="197"/>
      <c r="C200" s="144"/>
      <c r="D200" s="197"/>
      <c r="E200" s="197"/>
      <c r="F200" s="147"/>
    </row>
    <row r="201" ht="22.5" customHeight="1">
      <c r="A201" s="691"/>
      <c r="B201" s="415"/>
      <c r="C201" s="181"/>
      <c r="D201" s="415"/>
      <c r="E201" s="196"/>
      <c r="F201" s="155"/>
    </row>
    <row r="202" ht="22.5" customHeight="1">
      <c r="A202" s="202"/>
      <c r="B202" s="197"/>
      <c r="C202" s="144"/>
      <c r="D202" s="197"/>
      <c r="E202" s="197"/>
      <c r="F202" s="147"/>
    </row>
    <row r="203" ht="22.5" customHeight="1">
      <c r="A203" s="691"/>
      <c r="B203" s="415"/>
      <c r="C203" s="181"/>
      <c r="D203" s="415"/>
      <c r="E203" s="196"/>
      <c r="F203" s="155"/>
    </row>
    <row r="204" ht="22.5" customHeight="1">
      <c r="A204" s="202"/>
      <c r="B204" s="197"/>
      <c r="C204" s="144"/>
      <c r="D204" s="197"/>
      <c r="E204" s="197"/>
      <c r="F204" s="147"/>
    </row>
    <row r="205" ht="22.5" customHeight="1">
      <c r="A205" s="691"/>
      <c r="B205" s="415"/>
      <c r="C205" s="181"/>
      <c r="D205" s="415"/>
      <c r="E205" s="196"/>
      <c r="F205" s="155"/>
    </row>
    <row r="206" ht="22.5" customHeight="1">
      <c r="A206" s="202"/>
      <c r="B206" s="197"/>
      <c r="C206" s="144"/>
      <c r="D206" s="197"/>
      <c r="E206" s="197"/>
      <c r="F206" s="147"/>
    </row>
    <row r="207" ht="22.5" customHeight="1">
      <c r="A207" s="691"/>
      <c r="B207" s="415"/>
      <c r="C207" s="181"/>
      <c r="D207" s="415"/>
      <c r="E207" s="196"/>
      <c r="F207" s="155"/>
    </row>
    <row r="208" ht="22.5" customHeight="1">
      <c r="A208" s="202"/>
      <c r="B208" s="197"/>
      <c r="C208" s="144"/>
      <c r="D208" s="197"/>
      <c r="E208" s="197"/>
      <c r="F208" s="147"/>
    </row>
    <row r="209" ht="22.5" customHeight="1">
      <c r="A209" s="691"/>
      <c r="B209" s="415"/>
      <c r="C209" s="181"/>
      <c r="D209" s="415"/>
      <c r="E209" s="196"/>
      <c r="F209" s="155"/>
    </row>
    <row r="210" ht="22.5" customHeight="1">
      <c r="A210" s="202"/>
      <c r="B210" s="197"/>
      <c r="C210" s="144"/>
      <c r="D210" s="197"/>
      <c r="E210" s="197"/>
      <c r="F210" s="147"/>
    </row>
    <row r="211" ht="22.5" customHeight="1">
      <c r="A211" s="691"/>
      <c r="B211" s="415"/>
      <c r="C211" s="181"/>
      <c r="D211" s="415"/>
      <c r="E211" s="196"/>
      <c r="F211" s="155"/>
    </row>
    <row r="212" ht="22.5" customHeight="1">
      <c r="A212" s="202"/>
      <c r="B212" s="197"/>
      <c r="C212" s="144"/>
      <c r="D212" s="197"/>
      <c r="E212" s="197"/>
      <c r="F212" s="147"/>
    </row>
    <row r="213" ht="22.5" customHeight="1">
      <c r="A213" s="691"/>
      <c r="B213" s="415"/>
      <c r="C213" s="181"/>
      <c r="D213" s="415"/>
      <c r="E213" s="196"/>
      <c r="F213" s="155"/>
    </row>
    <row r="214" ht="22.5" customHeight="1">
      <c r="A214" s="202"/>
      <c r="B214" s="197"/>
      <c r="C214" s="144"/>
      <c r="D214" s="197"/>
      <c r="E214" s="197"/>
      <c r="F214" s="147"/>
    </row>
    <row r="215" ht="22.5" customHeight="1">
      <c r="A215" s="691"/>
      <c r="B215" s="415"/>
      <c r="C215" s="181"/>
      <c r="D215" s="415"/>
      <c r="E215" s="196"/>
      <c r="F215" s="155"/>
    </row>
    <row r="216" ht="22.5" customHeight="1">
      <c r="A216" s="202"/>
      <c r="B216" s="197"/>
      <c r="C216" s="144"/>
      <c r="D216" s="197"/>
      <c r="E216" s="197"/>
      <c r="F216" s="147"/>
    </row>
    <row r="217" ht="22.5" customHeight="1">
      <c r="A217" s="691"/>
      <c r="B217" s="415"/>
      <c r="C217" s="181"/>
      <c r="D217" s="415"/>
      <c r="E217" s="196"/>
      <c r="F217" s="155"/>
    </row>
    <row r="218" ht="22.5" customHeight="1">
      <c r="A218" s="202"/>
      <c r="B218" s="197"/>
      <c r="C218" s="144"/>
      <c r="D218" s="197"/>
      <c r="E218" s="197"/>
      <c r="F218" s="147"/>
    </row>
    <row r="219" ht="22.5" customHeight="1">
      <c r="A219" s="250"/>
      <c r="B219" s="196"/>
      <c r="C219" s="152"/>
      <c r="D219" s="196"/>
      <c r="E219" s="196"/>
      <c r="F219" s="155"/>
    </row>
    <row r="220" ht="22.5" customHeight="1">
      <c r="A220" s="202"/>
      <c r="B220" s="197"/>
      <c r="C220" s="144"/>
      <c r="D220" s="197"/>
      <c r="E220" s="197"/>
      <c r="F220" s="147"/>
    </row>
    <row r="221" ht="22.5" customHeight="1">
      <c r="A221" s="250"/>
      <c r="B221" s="196"/>
      <c r="C221" s="152"/>
      <c r="D221" s="196"/>
      <c r="E221" s="196"/>
      <c r="F221" s="155"/>
    </row>
    <row r="222" ht="22.5" customHeight="1">
      <c r="A222" s="202"/>
      <c r="B222" s="197"/>
      <c r="C222" s="144"/>
      <c r="D222" s="197"/>
      <c r="E222" s="197"/>
      <c r="F222" s="147"/>
    </row>
    <row r="223" ht="22.5" customHeight="1">
      <c r="A223" s="250"/>
      <c r="B223" s="196"/>
      <c r="C223" s="152"/>
      <c r="D223" s="196"/>
      <c r="E223" s="196"/>
      <c r="F223" s="155"/>
    </row>
    <row r="224" ht="22.5" customHeight="1">
      <c r="A224" s="202"/>
      <c r="B224" s="197"/>
      <c r="C224" s="144"/>
      <c r="D224" s="197"/>
      <c r="E224" s="197"/>
      <c r="F224" s="147"/>
    </row>
    <row r="225" ht="22.5" customHeight="1">
      <c r="A225" s="250"/>
      <c r="B225" s="196"/>
      <c r="C225" s="152"/>
      <c r="D225" s="196"/>
      <c r="E225" s="196"/>
      <c r="F225" s="155"/>
    </row>
    <row r="226" ht="22.5" customHeight="1">
      <c r="A226" s="202"/>
      <c r="B226" s="197"/>
      <c r="C226" s="144"/>
      <c r="D226" s="197"/>
      <c r="E226" s="197"/>
      <c r="F226" s="147"/>
    </row>
    <row r="227" ht="22.5" customHeight="1">
      <c r="A227" s="250"/>
      <c r="B227" s="196"/>
      <c r="C227" s="152"/>
      <c r="D227" s="196"/>
      <c r="E227" s="196"/>
      <c r="F227" s="155"/>
    </row>
    <row r="228" ht="22.5" customHeight="1">
      <c r="A228" s="202"/>
      <c r="B228" s="197"/>
      <c r="C228" s="144"/>
      <c r="D228" s="197"/>
      <c r="E228" s="197"/>
      <c r="F228" s="147"/>
    </row>
    <row r="229" ht="22.5" customHeight="1">
      <c r="A229" s="250"/>
      <c r="B229" s="196"/>
      <c r="C229" s="152"/>
      <c r="D229" s="196"/>
      <c r="E229" s="196"/>
      <c r="F229" s="155"/>
    </row>
    <row r="230" ht="22.5" customHeight="1">
      <c r="A230" s="202"/>
      <c r="B230" s="197"/>
      <c r="C230" s="144"/>
      <c r="D230" s="197"/>
      <c r="E230" s="197"/>
      <c r="F230" s="147"/>
    </row>
    <row r="231" ht="22.5" customHeight="1">
      <c r="A231" s="250"/>
      <c r="B231" s="196"/>
      <c r="C231" s="152"/>
      <c r="D231" s="196"/>
      <c r="E231" s="196"/>
      <c r="F231" s="155"/>
    </row>
    <row r="232" ht="22.5" customHeight="1">
      <c r="A232" s="202"/>
      <c r="B232" s="197"/>
      <c r="C232" s="144"/>
      <c r="D232" s="197"/>
      <c r="E232" s="197"/>
      <c r="F232" s="147"/>
    </row>
    <row r="233" ht="22.5" customHeight="1">
      <c r="A233" s="250"/>
      <c r="B233" s="196"/>
      <c r="C233" s="152"/>
      <c r="D233" s="196"/>
      <c r="E233" s="196"/>
      <c r="F233" s="155"/>
    </row>
    <row r="234" ht="22.5" customHeight="1">
      <c r="A234" s="202"/>
      <c r="B234" s="197"/>
      <c r="C234" s="144"/>
      <c r="D234" s="197"/>
      <c r="E234" s="197"/>
      <c r="F234" s="147"/>
    </row>
    <row r="235" ht="22.5" customHeight="1">
      <c r="A235" s="250"/>
      <c r="B235" s="196"/>
      <c r="C235" s="152"/>
      <c r="D235" s="196"/>
      <c r="E235" s="196"/>
      <c r="F235" s="155"/>
    </row>
    <row r="236" ht="22.5" customHeight="1">
      <c r="A236" s="202"/>
      <c r="B236" s="197"/>
      <c r="C236" s="144"/>
      <c r="D236" s="197"/>
      <c r="E236" s="197"/>
      <c r="F236" s="147"/>
    </row>
    <row r="237" ht="22.5" customHeight="1">
      <c r="A237" s="250"/>
      <c r="B237" s="196"/>
      <c r="C237" s="152"/>
      <c r="D237" s="196"/>
      <c r="E237" s="196"/>
      <c r="F237" s="155"/>
    </row>
    <row r="238" ht="22.5" customHeight="1">
      <c r="A238" s="202"/>
      <c r="B238" s="197"/>
      <c r="C238" s="144"/>
      <c r="D238" s="197"/>
      <c r="E238" s="197"/>
      <c r="F238" s="147"/>
    </row>
    <row r="239" ht="22.5" customHeight="1">
      <c r="A239" s="250"/>
      <c r="B239" s="196"/>
      <c r="C239" s="152"/>
      <c r="D239" s="196"/>
      <c r="E239" s="196"/>
      <c r="F239" s="155"/>
    </row>
    <row r="240" ht="22.5" customHeight="1">
      <c r="A240" s="202"/>
      <c r="B240" s="197"/>
      <c r="C240" s="144"/>
      <c r="D240" s="197"/>
      <c r="E240" s="197"/>
      <c r="F240" s="147"/>
    </row>
    <row r="241" ht="22.5" customHeight="1">
      <c r="A241" s="250"/>
      <c r="B241" s="196"/>
      <c r="C241" s="152"/>
      <c r="D241" s="196"/>
      <c r="E241" s="196"/>
      <c r="F241" s="155"/>
    </row>
    <row r="242" ht="22.5" customHeight="1">
      <c r="A242" s="202"/>
      <c r="B242" s="197"/>
      <c r="C242" s="144"/>
      <c r="D242" s="197"/>
      <c r="E242" s="197"/>
      <c r="F242" s="147"/>
    </row>
    <row r="243" ht="22.5" customHeight="1">
      <c r="A243" s="250"/>
      <c r="B243" s="196"/>
      <c r="C243" s="152"/>
      <c r="D243" s="196"/>
      <c r="E243" s="196"/>
      <c r="F243" s="155"/>
    </row>
    <row r="244" ht="22.5" customHeight="1">
      <c r="A244" s="202"/>
      <c r="B244" s="197"/>
      <c r="C244" s="144"/>
      <c r="D244" s="197"/>
      <c r="E244" s="197"/>
      <c r="F244" s="147"/>
    </row>
    <row r="245" ht="22.5" customHeight="1">
      <c r="A245" s="250"/>
      <c r="B245" s="196"/>
      <c r="C245" s="152"/>
      <c r="D245" s="196"/>
      <c r="E245" s="196"/>
      <c r="F245" s="155"/>
    </row>
    <row r="246" ht="22.5" customHeight="1">
      <c r="A246" s="202"/>
      <c r="B246" s="197"/>
      <c r="C246" s="144"/>
      <c r="D246" s="197"/>
      <c r="E246" s="197"/>
      <c r="F246" s="147"/>
    </row>
    <row r="247" ht="22.5" customHeight="1">
      <c r="A247" s="250"/>
      <c r="B247" s="196"/>
      <c r="C247" s="152"/>
      <c r="D247" s="196"/>
      <c r="E247" s="196"/>
      <c r="F247" s="155"/>
    </row>
    <row r="248" ht="22.5" customHeight="1">
      <c r="A248" s="202"/>
      <c r="B248" s="197"/>
      <c r="C248" s="144"/>
      <c r="D248" s="197"/>
      <c r="E248" s="197"/>
      <c r="F248" s="147"/>
    </row>
    <row r="249" ht="22.5" customHeight="1">
      <c r="A249" s="250"/>
      <c r="B249" s="196"/>
      <c r="C249" s="152"/>
      <c r="D249" s="196"/>
      <c r="E249" s="196"/>
      <c r="F249" s="155"/>
    </row>
    <row r="250" ht="22.5" customHeight="1">
      <c r="A250" s="202"/>
      <c r="B250" s="197"/>
      <c r="C250" s="144"/>
      <c r="D250" s="197"/>
      <c r="E250" s="197"/>
      <c r="F250" s="147"/>
    </row>
    <row r="251" ht="22.5" customHeight="1">
      <c r="A251" s="250"/>
      <c r="B251" s="196"/>
      <c r="C251" s="152"/>
      <c r="D251" s="196"/>
      <c r="E251" s="196"/>
      <c r="F251" s="155"/>
    </row>
    <row r="252" ht="22.5" customHeight="1">
      <c r="A252" s="202"/>
      <c r="B252" s="197"/>
      <c r="C252" s="144"/>
      <c r="D252" s="197"/>
      <c r="E252" s="197"/>
      <c r="F252" s="147"/>
    </row>
    <row r="253" ht="22.5" customHeight="1">
      <c r="A253" s="250"/>
      <c r="B253" s="196"/>
      <c r="C253" s="152"/>
      <c r="D253" s="196"/>
      <c r="E253" s="196"/>
      <c r="F253" s="155"/>
    </row>
    <row r="254" ht="22.5" customHeight="1">
      <c r="A254" s="202"/>
      <c r="B254" s="197"/>
      <c r="C254" s="144"/>
      <c r="D254" s="197"/>
      <c r="E254" s="197"/>
      <c r="F254" s="147"/>
    </row>
    <row r="255" ht="22.5" customHeight="1">
      <c r="A255" s="250"/>
      <c r="B255" s="196"/>
      <c r="C255" s="152"/>
      <c r="D255" s="196"/>
      <c r="E255" s="196"/>
      <c r="F255" s="155"/>
    </row>
    <row r="256" ht="22.5" customHeight="1">
      <c r="A256" s="202"/>
      <c r="B256" s="197"/>
      <c r="C256" s="144"/>
      <c r="D256" s="197"/>
      <c r="E256" s="197"/>
      <c r="F256" s="147"/>
    </row>
    <row r="257" ht="22.5" customHeight="1">
      <c r="A257" s="250"/>
      <c r="B257" s="196"/>
      <c r="C257" s="152"/>
      <c r="D257" s="196"/>
      <c r="E257" s="196"/>
      <c r="F257" s="155"/>
    </row>
    <row r="258" ht="22.5" customHeight="1">
      <c r="A258" s="202"/>
      <c r="B258" s="197"/>
      <c r="C258" s="144"/>
      <c r="D258" s="197"/>
      <c r="E258" s="197"/>
      <c r="F258" s="147"/>
    </row>
    <row r="259" ht="22.5" customHeight="1">
      <c r="A259" s="250"/>
      <c r="B259" s="196"/>
      <c r="C259" s="152"/>
      <c r="D259" s="196"/>
      <c r="E259" s="196"/>
      <c r="F259" s="155"/>
    </row>
    <row r="260" ht="22.5" customHeight="1">
      <c r="A260" s="202"/>
      <c r="B260" s="197"/>
      <c r="C260" s="144"/>
      <c r="D260" s="197"/>
      <c r="E260" s="197"/>
      <c r="F260" s="147"/>
    </row>
    <row r="261" ht="22.5" customHeight="1">
      <c r="A261" s="250"/>
      <c r="B261" s="196"/>
      <c r="C261" s="152"/>
      <c r="D261" s="196"/>
      <c r="E261" s="196"/>
      <c r="F261" s="155"/>
    </row>
    <row r="262" ht="22.5" customHeight="1">
      <c r="A262" s="202"/>
      <c r="B262" s="197"/>
      <c r="C262" s="144"/>
      <c r="D262" s="197"/>
      <c r="E262" s="197"/>
      <c r="F262" s="147"/>
    </row>
    <row r="263" ht="22.5" customHeight="1">
      <c r="A263" s="250"/>
      <c r="B263" s="196"/>
      <c r="C263" s="152"/>
      <c r="D263" s="196"/>
      <c r="E263" s="196"/>
      <c r="F263" s="155"/>
    </row>
    <row r="264" ht="22.5" customHeight="1">
      <c r="A264" s="202"/>
      <c r="B264" s="197"/>
      <c r="C264" s="144"/>
      <c r="D264" s="197"/>
      <c r="E264" s="197"/>
      <c r="F264" s="147"/>
    </row>
    <row r="265" ht="22.5" customHeight="1">
      <c r="A265" s="250"/>
      <c r="B265" s="196"/>
      <c r="C265" s="152"/>
      <c r="D265" s="196"/>
      <c r="E265" s="196"/>
      <c r="F265" s="155"/>
    </row>
    <row r="266" ht="22.5" customHeight="1">
      <c r="A266" s="202"/>
      <c r="B266" s="197"/>
      <c r="C266" s="144"/>
      <c r="D266" s="197"/>
      <c r="E266" s="197"/>
      <c r="F266" s="147"/>
    </row>
    <row r="267" ht="22.5" customHeight="1">
      <c r="A267" s="250"/>
      <c r="B267" s="196"/>
      <c r="C267" s="152"/>
      <c r="D267" s="196"/>
      <c r="E267" s="196"/>
      <c r="F267" s="155"/>
    </row>
    <row r="268" ht="22.5" customHeight="1">
      <c r="A268" s="202"/>
      <c r="B268" s="197"/>
      <c r="C268" s="144"/>
      <c r="D268" s="197"/>
      <c r="E268" s="197"/>
      <c r="F268" s="147"/>
    </row>
    <row r="269" ht="22.5" customHeight="1">
      <c r="A269" s="250"/>
      <c r="B269" s="196"/>
      <c r="C269" s="152"/>
      <c r="D269" s="196"/>
      <c r="E269" s="196"/>
      <c r="F269" s="155"/>
    </row>
    <row r="270" ht="22.5" customHeight="1">
      <c r="A270" s="202"/>
      <c r="B270" s="197"/>
      <c r="C270" s="144"/>
      <c r="D270" s="197"/>
      <c r="E270" s="197"/>
      <c r="F270" s="147"/>
    </row>
    <row r="271" ht="22.5" customHeight="1">
      <c r="A271" s="250"/>
      <c r="B271" s="196"/>
      <c r="C271" s="152"/>
      <c r="D271" s="196"/>
      <c r="E271" s="196"/>
      <c r="F271" s="155"/>
    </row>
    <row r="272" ht="22.5" customHeight="1">
      <c r="A272" s="202"/>
      <c r="B272" s="197"/>
      <c r="C272" s="144"/>
      <c r="D272" s="197"/>
      <c r="E272" s="197"/>
      <c r="F272" s="147"/>
    </row>
    <row r="273" ht="22.5" customHeight="1">
      <c r="A273" s="250"/>
      <c r="B273" s="196"/>
      <c r="C273" s="152"/>
      <c r="D273" s="196"/>
      <c r="E273" s="196"/>
      <c r="F273" s="155"/>
    </row>
    <row r="274" ht="22.5" customHeight="1">
      <c r="A274" s="202"/>
      <c r="B274" s="197"/>
      <c r="C274" s="144"/>
      <c r="D274" s="197"/>
      <c r="E274" s="197"/>
      <c r="F274" s="147"/>
    </row>
    <row r="275" ht="22.5" customHeight="1">
      <c r="A275" s="250"/>
      <c r="B275" s="196"/>
      <c r="C275" s="152"/>
      <c r="D275" s="196"/>
      <c r="E275" s="196"/>
      <c r="F275" s="155"/>
    </row>
    <row r="276" ht="22.5" customHeight="1">
      <c r="A276" s="202"/>
      <c r="B276" s="197"/>
      <c r="C276" s="144"/>
      <c r="D276" s="197"/>
      <c r="E276" s="197"/>
      <c r="F276" s="147"/>
    </row>
    <row r="277" ht="22.5" customHeight="1">
      <c r="A277" s="250"/>
      <c r="B277" s="196"/>
      <c r="C277" s="152"/>
      <c r="D277" s="196"/>
      <c r="E277" s="196"/>
      <c r="F277" s="155"/>
    </row>
    <row r="278" ht="22.5" customHeight="1">
      <c r="A278" s="202"/>
      <c r="B278" s="197"/>
      <c r="C278" s="144"/>
      <c r="D278" s="197"/>
      <c r="E278" s="197"/>
      <c r="F278" s="147"/>
    </row>
    <row r="279" ht="22.5" customHeight="1">
      <c r="A279" s="250"/>
      <c r="B279" s="196"/>
      <c r="C279" s="152"/>
      <c r="D279" s="196"/>
      <c r="E279" s="196"/>
      <c r="F279" s="155"/>
    </row>
    <row r="280" ht="22.5" customHeight="1">
      <c r="A280" s="202"/>
      <c r="B280" s="197"/>
      <c r="C280" s="144"/>
      <c r="D280" s="197"/>
      <c r="E280" s="197"/>
      <c r="F280" s="147"/>
    </row>
    <row r="281" ht="22.5" customHeight="1">
      <c r="A281" s="250"/>
      <c r="B281" s="196"/>
      <c r="C281" s="152"/>
      <c r="D281" s="196"/>
      <c r="E281" s="196"/>
      <c r="F281" s="155"/>
    </row>
    <row r="282" ht="22.5" customHeight="1">
      <c r="A282" s="202"/>
      <c r="B282" s="197"/>
      <c r="C282" s="144"/>
      <c r="D282" s="197"/>
      <c r="E282" s="197"/>
      <c r="F282" s="147"/>
    </row>
    <row r="283" ht="22.5" customHeight="1">
      <c r="A283" s="250"/>
      <c r="B283" s="196"/>
      <c r="C283" s="152"/>
      <c r="D283" s="196"/>
      <c r="E283" s="196"/>
      <c r="F283" s="155"/>
    </row>
    <row r="284" ht="22.5" customHeight="1">
      <c r="A284" s="202"/>
      <c r="B284" s="197"/>
      <c r="C284" s="144"/>
      <c r="D284" s="197"/>
      <c r="E284" s="197"/>
      <c r="F284" s="147"/>
    </row>
    <row r="285" ht="22.5" customHeight="1">
      <c r="A285" s="250"/>
      <c r="B285" s="196"/>
      <c r="C285" s="152"/>
      <c r="D285" s="196"/>
      <c r="E285" s="196"/>
      <c r="F285" s="155"/>
    </row>
    <row r="286" ht="22.5" customHeight="1">
      <c r="A286" s="202"/>
      <c r="B286" s="197"/>
      <c r="C286" s="144"/>
      <c r="D286" s="197"/>
      <c r="E286" s="197"/>
      <c r="F286" s="147"/>
    </row>
    <row r="287" ht="22.5" customHeight="1">
      <c r="A287" s="250"/>
      <c r="B287" s="196"/>
      <c r="C287" s="152"/>
      <c r="D287" s="196"/>
      <c r="E287" s="196"/>
      <c r="F287" s="155"/>
    </row>
    <row r="288" ht="22.5" customHeight="1">
      <c r="A288" s="202"/>
      <c r="B288" s="197"/>
      <c r="C288" s="144"/>
      <c r="D288" s="197"/>
      <c r="E288" s="197"/>
      <c r="F288" s="147"/>
    </row>
    <row r="289" ht="22.5" customHeight="1">
      <c r="A289" s="250"/>
      <c r="B289" s="196"/>
      <c r="C289" s="152"/>
      <c r="D289" s="196"/>
      <c r="E289" s="196"/>
      <c r="F289" s="155"/>
    </row>
    <row r="290" ht="22.5" customHeight="1">
      <c r="A290" s="202"/>
      <c r="B290" s="197"/>
      <c r="C290" s="144"/>
      <c r="D290" s="197"/>
      <c r="E290" s="197"/>
      <c r="F290" s="147"/>
    </row>
    <row r="291" ht="22.5" customHeight="1">
      <c r="A291" s="250"/>
      <c r="B291" s="196"/>
      <c r="C291" s="152"/>
      <c r="D291" s="196"/>
      <c r="E291" s="196"/>
      <c r="F291" s="155"/>
    </row>
    <row r="292" ht="22.5" customHeight="1">
      <c r="A292" s="202"/>
      <c r="B292" s="197"/>
      <c r="C292" s="144"/>
      <c r="D292" s="197"/>
      <c r="E292" s="197"/>
      <c r="F292" s="147"/>
    </row>
    <row r="293" ht="22.5" customHeight="1">
      <c r="A293" s="250"/>
      <c r="B293" s="196"/>
      <c r="C293" s="152"/>
      <c r="D293" s="196"/>
      <c r="E293" s="196"/>
      <c r="F293" s="155"/>
    </row>
    <row r="294" ht="22.5" customHeight="1">
      <c r="A294" s="202"/>
      <c r="B294" s="197"/>
      <c r="C294" s="144"/>
      <c r="D294" s="197"/>
      <c r="E294" s="197"/>
      <c r="F294" s="147"/>
    </row>
    <row r="295" ht="22.5" customHeight="1">
      <c r="A295" s="250"/>
      <c r="B295" s="196"/>
      <c r="C295" s="152"/>
      <c r="D295" s="196"/>
      <c r="E295" s="196"/>
      <c r="F295" s="155"/>
    </row>
    <row r="296" ht="22.5" customHeight="1">
      <c r="A296" s="202"/>
      <c r="B296" s="197"/>
      <c r="C296" s="144"/>
      <c r="D296" s="197"/>
      <c r="E296" s="197"/>
      <c r="F296" s="147"/>
    </row>
    <row r="297" ht="22.5" customHeight="1">
      <c r="A297" s="250"/>
      <c r="B297" s="196"/>
      <c r="C297" s="152"/>
      <c r="D297" s="196"/>
      <c r="E297" s="196"/>
      <c r="F297" s="155"/>
    </row>
    <row r="298" ht="22.5" customHeight="1">
      <c r="A298" s="202"/>
      <c r="B298" s="197"/>
      <c r="C298" s="144"/>
      <c r="D298" s="197"/>
      <c r="E298" s="197"/>
      <c r="F298" s="147"/>
    </row>
    <row r="299" ht="22.5" customHeight="1">
      <c r="A299" s="250"/>
      <c r="B299" s="196"/>
      <c r="C299" s="152"/>
      <c r="D299" s="196"/>
      <c r="E299" s="196"/>
      <c r="F299" s="155"/>
    </row>
    <row r="300" ht="22.5" customHeight="1">
      <c r="A300" s="202"/>
      <c r="B300" s="197"/>
      <c r="C300" s="144"/>
      <c r="D300" s="197"/>
      <c r="E300" s="197"/>
      <c r="F300" s="147"/>
    </row>
    <row r="301" ht="22.5" customHeight="1">
      <c r="A301" s="250"/>
      <c r="B301" s="196"/>
      <c r="C301" s="152"/>
      <c r="D301" s="196"/>
      <c r="E301" s="196"/>
      <c r="F301" s="155"/>
    </row>
    <row r="302" ht="22.5" customHeight="1">
      <c r="A302" s="202"/>
      <c r="B302" s="197"/>
      <c r="C302" s="144"/>
      <c r="D302" s="197"/>
      <c r="E302" s="197"/>
      <c r="F302" s="147"/>
    </row>
    <row r="303" ht="22.5" customHeight="1">
      <c r="A303" s="250"/>
      <c r="B303" s="196"/>
      <c r="C303" s="152"/>
      <c r="D303" s="196"/>
      <c r="E303" s="196"/>
      <c r="F303" s="155"/>
    </row>
    <row r="304" ht="22.5" customHeight="1">
      <c r="A304" s="202"/>
      <c r="B304" s="197"/>
      <c r="C304" s="144"/>
      <c r="D304" s="197"/>
      <c r="E304" s="197"/>
      <c r="F304" s="147"/>
    </row>
    <row r="305" ht="22.5" customHeight="1">
      <c r="A305" s="250"/>
      <c r="B305" s="196"/>
      <c r="C305" s="152"/>
      <c r="D305" s="196"/>
      <c r="E305" s="196"/>
      <c r="F305" s="155"/>
    </row>
    <row r="306" ht="22.5" customHeight="1">
      <c r="A306" s="202"/>
      <c r="B306" s="197"/>
      <c r="C306" s="144"/>
      <c r="D306" s="197"/>
      <c r="E306" s="197"/>
      <c r="F306" s="147"/>
    </row>
    <row r="307" ht="22.5" customHeight="1">
      <c r="A307" s="250"/>
      <c r="B307" s="196"/>
      <c r="C307" s="152"/>
      <c r="D307" s="196"/>
      <c r="E307" s="196"/>
      <c r="F307" s="155"/>
    </row>
    <row r="308" ht="22.5" customHeight="1">
      <c r="A308" s="202"/>
      <c r="B308" s="197"/>
      <c r="C308" s="144"/>
      <c r="D308" s="197"/>
      <c r="E308" s="197"/>
      <c r="F308" s="147"/>
    </row>
    <row r="309" ht="22.5" customHeight="1">
      <c r="A309" s="250"/>
      <c r="B309" s="196"/>
      <c r="C309" s="152"/>
      <c r="D309" s="196"/>
      <c r="E309" s="196"/>
      <c r="F309" s="155"/>
    </row>
    <row r="310" ht="22.5" customHeight="1">
      <c r="A310" s="202"/>
      <c r="B310" s="197"/>
      <c r="C310" s="144"/>
      <c r="D310" s="197"/>
      <c r="E310" s="197"/>
      <c r="F310" s="147"/>
    </row>
    <row r="311" ht="22.5" customHeight="1">
      <c r="A311" s="250"/>
      <c r="B311" s="196"/>
      <c r="C311" s="152"/>
      <c r="D311" s="196"/>
      <c r="E311" s="196"/>
      <c r="F311" s="155"/>
    </row>
    <row r="312" ht="22.5" customHeight="1">
      <c r="A312" s="202"/>
      <c r="B312" s="197"/>
      <c r="C312" s="144"/>
      <c r="D312" s="197"/>
      <c r="E312" s="197"/>
      <c r="F312" s="147"/>
    </row>
    <row r="313" ht="22.5" customHeight="1">
      <c r="A313" s="250"/>
      <c r="B313" s="196"/>
      <c r="C313" s="152"/>
      <c r="D313" s="196"/>
      <c r="E313" s="196"/>
      <c r="F313" s="155"/>
    </row>
    <row r="314" ht="22.5" customHeight="1">
      <c r="A314" s="202"/>
      <c r="B314" s="197"/>
      <c r="C314" s="144"/>
      <c r="D314" s="197"/>
      <c r="E314" s="197"/>
      <c r="F314" s="147"/>
    </row>
    <row r="315" ht="22.5" customHeight="1">
      <c r="A315" s="250"/>
      <c r="B315" s="196"/>
      <c r="C315" s="152"/>
      <c r="D315" s="196"/>
      <c r="E315" s="196"/>
      <c r="F315" s="155"/>
    </row>
    <row r="316" ht="22.5" customHeight="1">
      <c r="A316" s="202"/>
      <c r="B316" s="197"/>
      <c r="C316" s="144"/>
      <c r="D316" s="197"/>
      <c r="E316" s="197"/>
      <c r="F316" s="147"/>
    </row>
    <row r="317" ht="22.5" customHeight="1">
      <c r="A317" s="250"/>
      <c r="B317" s="196"/>
      <c r="C317" s="152"/>
      <c r="D317" s="196"/>
      <c r="E317" s="196"/>
      <c r="F317" s="155"/>
    </row>
    <row r="318" ht="22.5" customHeight="1">
      <c r="A318" s="202"/>
      <c r="B318" s="197"/>
      <c r="C318" s="144"/>
      <c r="D318" s="197"/>
      <c r="E318" s="197"/>
      <c r="F318" s="147"/>
    </row>
    <row r="319" ht="22.5" customHeight="1">
      <c r="A319" s="250"/>
      <c r="B319" s="196"/>
      <c r="C319" s="152"/>
      <c r="D319" s="196"/>
      <c r="E319" s="196"/>
      <c r="F319" s="155"/>
    </row>
    <row r="320" ht="22.5" customHeight="1">
      <c r="A320" s="202"/>
      <c r="B320" s="197"/>
      <c r="C320" s="144"/>
      <c r="D320" s="197"/>
      <c r="E320" s="197"/>
      <c r="F320" s="147"/>
    </row>
    <row r="321" ht="22.5" customHeight="1">
      <c r="A321" s="250"/>
      <c r="B321" s="196"/>
      <c r="C321" s="152"/>
      <c r="D321" s="196"/>
      <c r="E321" s="196"/>
      <c r="F321" s="155"/>
    </row>
    <row r="322" ht="22.5" customHeight="1">
      <c r="A322" s="202"/>
      <c r="B322" s="197"/>
      <c r="C322" s="144"/>
      <c r="D322" s="197"/>
      <c r="E322" s="197"/>
      <c r="F322" s="147"/>
    </row>
    <row r="323" ht="22.5" customHeight="1">
      <c r="A323" s="250"/>
      <c r="B323" s="196"/>
      <c r="C323" s="152"/>
      <c r="D323" s="196"/>
      <c r="E323" s="196"/>
      <c r="F323" s="155"/>
    </row>
    <row r="324" ht="22.5" customHeight="1">
      <c r="A324" s="202"/>
      <c r="B324" s="197"/>
      <c r="C324" s="144"/>
      <c r="D324" s="197"/>
      <c r="E324" s="197"/>
      <c r="F324" s="147"/>
    </row>
    <row r="325" ht="22.5" customHeight="1">
      <c r="A325" s="250"/>
      <c r="B325" s="196"/>
      <c r="C325" s="152"/>
      <c r="D325" s="196"/>
      <c r="E325" s="196"/>
      <c r="F325" s="155"/>
    </row>
    <row r="326" ht="22.5" customHeight="1">
      <c r="A326" s="202"/>
      <c r="B326" s="197"/>
      <c r="C326" s="144"/>
      <c r="D326" s="197"/>
      <c r="E326" s="197"/>
      <c r="F326" s="147"/>
    </row>
    <row r="327" ht="22.5" customHeight="1">
      <c r="A327" s="250"/>
      <c r="B327" s="196"/>
      <c r="C327" s="152"/>
      <c r="D327" s="196"/>
      <c r="E327" s="196"/>
      <c r="F327" s="155"/>
    </row>
    <row r="328" ht="22.5" customHeight="1">
      <c r="A328" s="202"/>
      <c r="B328" s="197"/>
      <c r="C328" s="144"/>
      <c r="D328" s="197"/>
      <c r="E328" s="197"/>
      <c r="F328" s="147"/>
    </row>
    <row r="329" ht="22.5" customHeight="1">
      <c r="A329" s="250"/>
      <c r="B329" s="196"/>
      <c r="C329" s="152"/>
      <c r="D329" s="196"/>
      <c r="E329" s="196"/>
      <c r="F329" s="155"/>
    </row>
    <row r="330" ht="22.5" customHeight="1">
      <c r="A330" s="202"/>
      <c r="B330" s="197"/>
      <c r="C330" s="144"/>
      <c r="D330" s="197"/>
      <c r="E330" s="197"/>
      <c r="F330" s="147"/>
    </row>
    <row r="331" ht="22.5" customHeight="1">
      <c r="A331" s="250"/>
      <c r="B331" s="196"/>
      <c r="C331" s="152"/>
      <c r="D331" s="196"/>
      <c r="E331" s="196"/>
      <c r="F331" s="155"/>
    </row>
    <row r="332" ht="22.5" customHeight="1">
      <c r="A332" s="202"/>
      <c r="B332" s="197"/>
      <c r="C332" s="144"/>
      <c r="D332" s="197"/>
      <c r="E332" s="197"/>
      <c r="F332" s="147"/>
    </row>
    <row r="333" ht="22.5" customHeight="1">
      <c r="A333" s="250"/>
      <c r="B333" s="196"/>
      <c r="C333" s="152"/>
      <c r="D333" s="196"/>
      <c r="E333" s="196"/>
      <c r="F333" s="155"/>
    </row>
    <row r="334" ht="22.5" customHeight="1">
      <c r="A334" s="202"/>
      <c r="B334" s="197"/>
      <c r="C334" s="144"/>
      <c r="D334" s="197"/>
      <c r="E334" s="197"/>
      <c r="F334" s="147"/>
    </row>
    <row r="335" ht="22.5" customHeight="1">
      <c r="A335" s="250"/>
      <c r="B335" s="196"/>
      <c r="C335" s="152"/>
      <c r="D335" s="196"/>
      <c r="E335" s="196"/>
      <c r="F335" s="155"/>
    </row>
    <row r="336" ht="22.5" customHeight="1">
      <c r="A336" s="202"/>
      <c r="B336" s="197"/>
      <c r="C336" s="144"/>
      <c r="D336" s="197"/>
      <c r="E336" s="197"/>
      <c r="F336" s="147"/>
    </row>
    <row r="337" ht="22.5" customHeight="1">
      <c r="A337" s="250"/>
      <c r="B337" s="196"/>
      <c r="C337" s="152"/>
      <c r="D337" s="196"/>
      <c r="E337" s="196"/>
      <c r="F337" s="155"/>
    </row>
    <row r="338" ht="22.5" customHeight="1">
      <c r="A338" s="202"/>
      <c r="B338" s="197"/>
      <c r="C338" s="144"/>
      <c r="D338" s="197"/>
      <c r="E338" s="197"/>
      <c r="F338" s="147"/>
    </row>
    <row r="339" ht="22.5" customHeight="1">
      <c r="A339" s="250"/>
      <c r="B339" s="196"/>
      <c r="C339" s="152"/>
      <c r="D339" s="196"/>
      <c r="E339" s="196"/>
      <c r="F339" s="155"/>
    </row>
    <row r="340" ht="22.5" customHeight="1">
      <c r="A340" s="202"/>
      <c r="B340" s="197"/>
      <c r="C340" s="144"/>
      <c r="D340" s="197"/>
      <c r="E340" s="197"/>
      <c r="F340" s="147"/>
    </row>
    <row r="341" ht="22.5" customHeight="1">
      <c r="A341" s="250"/>
      <c r="B341" s="196"/>
      <c r="C341" s="152"/>
      <c r="D341" s="196"/>
      <c r="E341" s="196"/>
      <c r="F341" s="155"/>
    </row>
    <row r="342" ht="22.5" customHeight="1">
      <c r="A342" s="202"/>
      <c r="B342" s="197"/>
      <c r="C342" s="144"/>
      <c r="D342" s="197"/>
      <c r="E342" s="197"/>
      <c r="F342" s="147"/>
    </row>
    <row r="343" ht="22.5" customHeight="1">
      <c r="A343" s="250"/>
      <c r="B343" s="196"/>
      <c r="C343" s="152"/>
      <c r="D343" s="196"/>
      <c r="E343" s="196"/>
      <c r="F343" s="155"/>
    </row>
    <row r="344" ht="22.5" customHeight="1">
      <c r="A344" s="202"/>
      <c r="B344" s="197"/>
      <c r="C344" s="144"/>
      <c r="D344" s="197"/>
      <c r="E344" s="197"/>
      <c r="F344" s="147"/>
    </row>
    <row r="345" ht="22.5" customHeight="1">
      <c r="A345" s="250"/>
      <c r="B345" s="196"/>
      <c r="C345" s="152"/>
      <c r="D345" s="196"/>
      <c r="E345" s="196"/>
      <c r="F345" s="155"/>
    </row>
    <row r="346" ht="22.5" customHeight="1">
      <c r="A346" s="202"/>
      <c r="B346" s="197"/>
      <c r="C346" s="144"/>
      <c r="D346" s="197"/>
      <c r="E346" s="197"/>
      <c r="F346" s="147"/>
    </row>
    <row r="347" ht="22.5" customHeight="1">
      <c r="A347" s="250"/>
      <c r="B347" s="196"/>
      <c r="C347" s="152"/>
      <c r="D347" s="196"/>
      <c r="E347" s="196"/>
      <c r="F347" s="155"/>
    </row>
    <row r="348" ht="22.5" customHeight="1">
      <c r="A348" s="202"/>
      <c r="B348" s="197"/>
      <c r="C348" s="144"/>
      <c r="D348" s="197"/>
      <c r="E348" s="197"/>
      <c r="F348" s="147"/>
    </row>
    <row r="349" ht="22.5" customHeight="1">
      <c r="A349" s="250"/>
      <c r="B349" s="196"/>
      <c r="C349" s="152"/>
      <c r="D349" s="196"/>
      <c r="E349" s="196"/>
      <c r="F349" s="155"/>
    </row>
    <row r="350" ht="22.5" customHeight="1">
      <c r="A350" s="202"/>
      <c r="B350" s="197"/>
      <c r="C350" s="144"/>
      <c r="D350" s="197"/>
      <c r="E350" s="197"/>
      <c r="F350" s="147"/>
    </row>
    <row r="351" ht="22.5" customHeight="1">
      <c r="A351" s="250"/>
      <c r="B351" s="196"/>
      <c r="C351" s="152"/>
      <c r="D351" s="196"/>
      <c r="E351" s="196"/>
      <c r="F351" s="155"/>
    </row>
    <row r="352" ht="22.5" customHeight="1">
      <c r="A352" s="202"/>
      <c r="B352" s="197"/>
      <c r="C352" s="144"/>
      <c r="D352" s="197"/>
      <c r="E352" s="197"/>
      <c r="F352" s="147"/>
    </row>
    <row r="353" ht="22.5" customHeight="1">
      <c r="A353" s="250"/>
      <c r="B353" s="196"/>
      <c r="C353" s="152"/>
      <c r="D353" s="196"/>
      <c r="E353" s="196"/>
      <c r="F353" s="155"/>
    </row>
    <row r="354" ht="22.5" customHeight="1">
      <c r="A354" s="202"/>
      <c r="B354" s="197"/>
      <c r="C354" s="144"/>
      <c r="D354" s="197"/>
      <c r="E354" s="197"/>
      <c r="F354" s="147"/>
    </row>
    <row r="355" ht="22.5" customHeight="1">
      <c r="A355" s="250"/>
      <c r="B355" s="196"/>
      <c r="C355" s="152"/>
      <c r="D355" s="196"/>
      <c r="E355" s="196"/>
      <c r="F355" s="155"/>
    </row>
    <row r="356" ht="22.5" customHeight="1">
      <c r="A356" s="202"/>
      <c r="B356" s="197"/>
      <c r="C356" s="144"/>
      <c r="D356" s="197"/>
      <c r="E356" s="197"/>
      <c r="F356" s="147"/>
    </row>
    <row r="357" ht="22.5" customHeight="1">
      <c r="A357" s="250"/>
      <c r="B357" s="196"/>
      <c r="C357" s="152"/>
      <c r="D357" s="196"/>
      <c r="E357" s="196"/>
      <c r="F357" s="155"/>
    </row>
    <row r="358" ht="22.5" customHeight="1">
      <c r="A358" s="202"/>
      <c r="B358" s="197"/>
      <c r="C358" s="144"/>
      <c r="D358" s="197"/>
      <c r="E358" s="197"/>
      <c r="F358" s="147"/>
    </row>
    <row r="359" ht="22.5" customHeight="1">
      <c r="A359" s="250"/>
      <c r="B359" s="196"/>
      <c r="C359" s="152"/>
      <c r="D359" s="196"/>
      <c r="E359" s="196"/>
      <c r="F359" s="155"/>
    </row>
    <row r="360" ht="22.5" customHeight="1">
      <c r="A360" s="202"/>
      <c r="B360" s="197"/>
      <c r="C360" s="144"/>
      <c r="D360" s="197"/>
      <c r="E360" s="197"/>
      <c r="F360" s="147"/>
    </row>
    <row r="361" ht="22.5" customHeight="1">
      <c r="A361" s="250"/>
      <c r="B361" s="196"/>
      <c r="C361" s="152"/>
      <c r="D361" s="196"/>
      <c r="E361" s="196"/>
      <c r="F361" s="155"/>
    </row>
    <row r="362" ht="22.5" customHeight="1">
      <c r="A362" s="202"/>
      <c r="B362" s="197"/>
      <c r="C362" s="144"/>
      <c r="D362" s="197"/>
      <c r="E362" s="197"/>
      <c r="F362" s="147"/>
    </row>
    <row r="363" ht="22.5" customHeight="1">
      <c r="A363" s="250"/>
      <c r="B363" s="196"/>
      <c r="C363" s="152"/>
      <c r="D363" s="196"/>
      <c r="E363" s="196"/>
      <c r="F363" s="155"/>
    </row>
    <row r="364" ht="22.5" customHeight="1">
      <c r="A364" s="202"/>
      <c r="B364" s="197"/>
      <c r="C364" s="144"/>
      <c r="D364" s="197"/>
      <c r="E364" s="197"/>
      <c r="F364" s="147"/>
    </row>
    <row r="365" ht="22.5" customHeight="1">
      <c r="A365" s="250"/>
      <c r="B365" s="196"/>
      <c r="C365" s="152"/>
      <c r="D365" s="196"/>
      <c r="E365" s="196"/>
      <c r="F365" s="155"/>
    </row>
    <row r="366" ht="22.5" customHeight="1">
      <c r="A366" s="202"/>
      <c r="B366" s="197"/>
      <c r="C366" s="144"/>
      <c r="D366" s="197"/>
      <c r="E366" s="197"/>
      <c r="F366" s="147"/>
    </row>
    <row r="367" ht="22.5" customHeight="1">
      <c r="A367" s="250"/>
      <c r="B367" s="196"/>
      <c r="C367" s="152"/>
      <c r="D367" s="196"/>
      <c r="E367" s="196"/>
      <c r="F367" s="155"/>
    </row>
    <row r="368" ht="22.5" customHeight="1">
      <c r="A368" s="202"/>
      <c r="B368" s="197"/>
      <c r="C368" s="144"/>
      <c r="D368" s="197"/>
      <c r="E368" s="197"/>
      <c r="F368" s="147"/>
    </row>
    <row r="369" ht="22.5" customHeight="1">
      <c r="A369" s="250"/>
      <c r="B369" s="196"/>
      <c r="C369" s="152"/>
      <c r="D369" s="196"/>
      <c r="E369" s="196"/>
      <c r="F369" s="155"/>
    </row>
    <row r="370" ht="22.5" customHeight="1">
      <c r="A370" s="202"/>
      <c r="B370" s="197"/>
      <c r="C370" s="144"/>
      <c r="D370" s="197"/>
      <c r="E370" s="197"/>
      <c r="F370" s="147"/>
    </row>
    <row r="371" ht="22.5" customHeight="1">
      <c r="A371" s="250"/>
      <c r="B371" s="196"/>
      <c r="C371" s="152"/>
      <c r="D371" s="196"/>
      <c r="E371" s="196"/>
      <c r="F371" s="155"/>
    </row>
    <row r="372" ht="22.5" customHeight="1">
      <c r="A372" s="202"/>
      <c r="B372" s="197"/>
      <c r="C372" s="144"/>
      <c r="D372" s="197"/>
      <c r="E372" s="197"/>
      <c r="F372" s="147"/>
    </row>
    <row r="373" ht="22.5" customHeight="1">
      <c r="A373" s="250"/>
      <c r="B373" s="196"/>
      <c r="C373" s="152"/>
      <c r="D373" s="196"/>
      <c r="E373" s="196"/>
      <c r="F373" s="155"/>
    </row>
    <row r="374" ht="22.5" customHeight="1">
      <c r="A374" s="202"/>
      <c r="B374" s="197"/>
      <c r="C374" s="144"/>
      <c r="D374" s="197"/>
      <c r="E374" s="197"/>
      <c r="F374" s="147"/>
    </row>
    <row r="375" ht="22.5" customHeight="1">
      <c r="A375" s="250"/>
      <c r="B375" s="196"/>
      <c r="C375" s="152"/>
      <c r="D375" s="196"/>
      <c r="E375" s="196"/>
      <c r="F375" s="155"/>
    </row>
    <row r="376" ht="22.5" customHeight="1">
      <c r="A376" s="202"/>
      <c r="B376" s="197"/>
      <c r="C376" s="144"/>
      <c r="D376" s="197"/>
      <c r="E376" s="197"/>
      <c r="F376" s="147"/>
    </row>
    <row r="377" ht="22.5" customHeight="1">
      <c r="A377" s="250"/>
      <c r="B377" s="196"/>
      <c r="C377" s="152"/>
      <c r="D377" s="196"/>
      <c r="E377" s="196"/>
      <c r="F377" s="155"/>
    </row>
    <row r="378" ht="22.5" customHeight="1">
      <c r="A378" s="202"/>
      <c r="B378" s="197"/>
      <c r="C378" s="144"/>
      <c r="D378" s="197"/>
      <c r="E378" s="197"/>
      <c r="F378" s="147"/>
    </row>
    <row r="379" ht="22.5" customHeight="1">
      <c r="A379" s="250"/>
      <c r="B379" s="196"/>
      <c r="C379" s="152"/>
      <c r="D379" s="196"/>
      <c r="E379" s="196"/>
      <c r="F379" s="155"/>
    </row>
    <row r="380" ht="22.5" customHeight="1">
      <c r="A380" s="202"/>
      <c r="B380" s="197"/>
      <c r="C380" s="144"/>
      <c r="D380" s="197"/>
      <c r="E380" s="197"/>
      <c r="F380" s="147"/>
    </row>
    <row r="381" ht="22.5" customHeight="1">
      <c r="A381" s="250"/>
      <c r="B381" s="196"/>
      <c r="C381" s="152"/>
      <c r="D381" s="196"/>
      <c r="E381" s="196"/>
      <c r="F381" s="155"/>
    </row>
    <row r="382" ht="22.5" customHeight="1">
      <c r="A382" s="202"/>
      <c r="B382" s="197"/>
      <c r="C382" s="144"/>
      <c r="D382" s="197"/>
      <c r="E382" s="197"/>
      <c r="F382" s="147"/>
    </row>
    <row r="383" ht="22.5" customHeight="1">
      <c r="A383" s="250"/>
      <c r="B383" s="196"/>
      <c r="C383" s="152"/>
      <c r="D383" s="196"/>
      <c r="E383" s="196"/>
      <c r="F383" s="155"/>
    </row>
    <row r="384" ht="22.5" customHeight="1">
      <c r="A384" s="202"/>
      <c r="B384" s="197"/>
      <c r="C384" s="144"/>
      <c r="D384" s="197"/>
      <c r="E384" s="197"/>
      <c r="F384" s="147"/>
    </row>
    <row r="385" ht="22.5" customHeight="1">
      <c r="A385" s="250"/>
      <c r="B385" s="196"/>
      <c r="C385" s="152"/>
      <c r="D385" s="196"/>
      <c r="E385" s="196"/>
      <c r="F385" s="155"/>
    </row>
    <row r="386" ht="22.5" customHeight="1">
      <c r="A386" s="202"/>
      <c r="B386" s="197"/>
      <c r="C386" s="144"/>
      <c r="D386" s="197"/>
      <c r="E386" s="197"/>
      <c r="F386" s="147"/>
    </row>
    <row r="387" ht="22.5" customHeight="1">
      <c r="A387" s="250"/>
      <c r="B387" s="196"/>
      <c r="C387" s="152"/>
      <c r="D387" s="196"/>
      <c r="E387" s="196"/>
      <c r="F387" s="155"/>
    </row>
    <row r="388" ht="22.5" customHeight="1">
      <c r="A388" s="202"/>
      <c r="B388" s="197"/>
      <c r="C388" s="144"/>
      <c r="D388" s="197"/>
      <c r="E388" s="197"/>
      <c r="F388" s="147"/>
    </row>
    <row r="389" ht="22.5" customHeight="1">
      <c r="A389" s="250"/>
      <c r="B389" s="196"/>
      <c r="C389" s="152"/>
      <c r="D389" s="196"/>
      <c r="E389" s="196"/>
      <c r="F389" s="155"/>
    </row>
    <row r="390" ht="22.5" customHeight="1">
      <c r="A390" s="202"/>
      <c r="B390" s="197"/>
      <c r="C390" s="144"/>
      <c r="D390" s="197"/>
      <c r="E390" s="197"/>
      <c r="F390" s="147"/>
    </row>
    <row r="391" ht="22.5" customHeight="1">
      <c r="A391" s="250"/>
      <c r="B391" s="196"/>
      <c r="C391" s="152"/>
      <c r="D391" s="196"/>
      <c r="E391" s="196"/>
      <c r="F391" s="155"/>
    </row>
    <row r="392" ht="22.5" customHeight="1">
      <c r="A392" s="202"/>
      <c r="B392" s="197"/>
      <c r="C392" s="144"/>
      <c r="D392" s="197"/>
      <c r="E392" s="197"/>
      <c r="F392" s="147"/>
    </row>
    <row r="393" ht="22.5" customHeight="1">
      <c r="A393" s="250"/>
      <c r="B393" s="196"/>
      <c r="C393" s="152"/>
      <c r="D393" s="196"/>
      <c r="E393" s="196"/>
      <c r="F393" s="155"/>
    </row>
    <row r="394" ht="22.5" customHeight="1">
      <c r="A394" s="202"/>
      <c r="B394" s="197"/>
      <c r="C394" s="144"/>
      <c r="D394" s="197"/>
      <c r="E394" s="197"/>
      <c r="F394" s="147"/>
    </row>
    <row r="395" ht="22.5" customHeight="1">
      <c r="A395" s="250"/>
      <c r="B395" s="196"/>
      <c r="C395" s="152"/>
      <c r="D395" s="196"/>
      <c r="E395" s="196"/>
      <c r="F395" s="155"/>
    </row>
    <row r="396" ht="22.5" customHeight="1">
      <c r="A396" s="202"/>
      <c r="B396" s="197"/>
      <c r="C396" s="144"/>
      <c r="D396" s="197"/>
      <c r="E396" s="197"/>
      <c r="F396" s="147"/>
    </row>
    <row r="397" ht="22.5" customHeight="1">
      <c r="A397" s="250"/>
      <c r="B397" s="196"/>
      <c r="C397" s="152"/>
      <c r="D397" s="196"/>
      <c r="E397" s="196"/>
      <c r="F397" s="155"/>
    </row>
    <row r="398" ht="22.5" customHeight="1">
      <c r="A398" s="202"/>
      <c r="B398" s="197"/>
      <c r="C398" s="144"/>
      <c r="D398" s="197"/>
      <c r="E398" s="197"/>
      <c r="F398" s="147"/>
    </row>
    <row r="399" ht="22.5" customHeight="1">
      <c r="A399" s="250"/>
      <c r="B399" s="196"/>
      <c r="C399" s="152"/>
      <c r="D399" s="196"/>
      <c r="E399" s="196"/>
      <c r="F399" s="155"/>
    </row>
    <row r="400" ht="22.5" customHeight="1">
      <c r="A400" s="202"/>
      <c r="B400" s="197"/>
      <c r="C400" s="144"/>
      <c r="D400" s="197"/>
      <c r="E400" s="197"/>
      <c r="F400" s="147"/>
    </row>
    <row r="401" ht="22.5" customHeight="1">
      <c r="A401" s="250"/>
      <c r="B401" s="196"/>
      <c r="C401" s="152"/>
      <c r="D401" s="196"/>
      <c r="E401" s="196"/>
      <c r="F401" s="155"/>
    </row>
    <row r="402" ht="22.5" customHeight="1">
      <c r="A402" s="202"/>
      <c r="B402" s="197"/>
      <c r="C402" s="144"/>
      <c r="D402" s="197"/>
      <c r="E402" s="197"/>
      <c r="F402" s="147"/>
    </row>
    <row r="403" ht="22.5" customHeight="1">
      <c r="A403" s="250"/>
      <c r="B403" s="196"/>
      <c r="C403" s="152"/>
      <c r="D403" s="196"/>
      <c r="E403" s="196"/>
      <c r="F403" s="155"/>
    </row>
    <row r="404" ht="22.5" customHeight="1">
      <c r="A404" s="202"/>
      <c r="B404" s="197"/>
      <c r="C404" s="144"/>
      <c r="D404" s="197"/>
      <c r="E404" s="197"/>
      <c r="F404" s="147"/>
    </row>
    <row r="405" ht="22.5" customHeight="1">
      <c r="A405" s="250"/>
      <c r="B405" s="196"/>
      <c r="C405" s="152"/>
      <c r="D405" s="196"/>
      <c r="E405" s="196"/>
      <c r="F405" s="155"/>
    </row>
    <row r="406" ht="22.5" customHeight="1">
      <c r="A406" s="202"/>
      <c r="B406" s="197"/>
      <c r="C406" s="144"/>
      <c r="D406" s="197"/>
      <c r="E406" s="197"/>
      <c r="F406" s="147"/>
    </row>
    <row r="407" ht="22.5" customHeight="1">
      <c r="A407" s="250"/>
      <c r="B407" s="196"/>
      <c r="C407" s="152"/>
      <c r="D407" s="196"/>
      <c r="E407" s="196"/>
      <c r="F407" s="155"/>
    </row>
    <row r="408" ht="22.5" customHeight="1">
      <c r="A408" s="202"/>
      <c r="B408" s="197"/>
      <c r="C408" s="144"/>
      <c r="D408" s="197"/>
      <c r="E408" s="197"/>
      <c r="F408" s="147"/>
    </row>
    <row r="409" ht="22.5" customHeight="1">
      <c r="A409" s="250"/>
      <c r="B409" s="196"/>
      <c r="C409" s="152"/>
      <c r="D409" s="196"/>
      <c r="E409" s="196"/>
      <c r="F409" s="155"/>
    </row>
    <row r="410" ht="22.5" customHeight="1">
      <c r="A410" s="202"/>
      <c r="B410" s="197"/>
      <c r="C410" s="144"/>
      <c r="D410" s="197"/>
      <c r="E410" s="197"/>
      <c r="F410" s="147"/>
    </row>
    <row r="411" ht="22.5" customHeight="1">
      <c r="A411" s="250"/>
      <c r="B411" s="196"/>
      <c r="C411" s="152"/>
      <c r="D411" s="196"/>
      <c r="E411" s="196"/>
      <c r="F411" s="155"/>
    </row>
    <row r="412" ht="22.5" customHeight="1">
      <c r="A412" s="202"/>
      <c r="B412" s="197"/>
      <c r="C412" s="144"/>
      <c r="D412" s="197"/>
      <c r="E412" s="197"/>
      <c r="F412" s="147"/>
    </row>
    <row r="413" ht="22.5" customHeight="1">
      <c r="A413" s="250"/>
      <c r="B413" s="689"/>
      <c r="C413" s="152"/>
      <c r="D413" s="196"/>
      <c r="E413" s="196"/>
      <c r="F413" s="155"/>
    </row>
    <row r="414" ht="22.5" customHeight="1">
      <c r="A414" s="202"/>
      <c r="B414" s="197"/>
      <c r="C414" s="144"/>
      <c r="D414" s="197"/>
      <c r="E414" s="197"/>
      <c r="F414" s="147"/>
    </row>
    <row r="415" ht="22.5" customHeight="1">
      <c r="A415" s="250"/>
      <c r="B415" s="196"/>
      <c r="C415" s="152"/>
      <c r="D415" s="196"/>
      <c r="E415" s="196"/>
      <c r="F415" s="155"/>
    </row>
    <row r="416" ht="22.5" customHeight="1">
      <c r="A416" s="202"/>
      <c r="B416" s="197"/>
      <c r="C416" s="144"/>
      <c r="D416" s="197"/>
      <c r="E416" s="197"/>
      <c r="F416" s="147"/>
    </row>
    <row r="417" ht="22.5" customHeight="1">
      <c r="A417" s="250"/>
      <c r="B417" s="196"/>
      <c r="C417" s="152"/>
      <c r="D417" s="196"/>
      <c r="E417" s="196"/>
      <c r="F417" s="155"/>
    </row>
    <row r="418" ht="22.5" customHeight="1">
      <c r="A418" s="202"/>
      <c r="B418" s="197"/>
      <c r="C418" s="144"/>
      <c r="D418" s="197"/>
      <c r="E418" s="197"/>
      <c r="F418" s="147"/>
    </row>
    <row r="419" ht="22.5" customHeight="1">
      <c r="A419" s="250"/>
      <c r="B419" s="196"/>
      <c r="C419" s="152"/>
      <c r="D419" s="196"/>
      <c r="E419" s="196"/>
      <c r="F419" s="155"/>
    </row>
    <row r="420" ht="22.5" customHeight="1">
      <c r="A420" s="202"/>
      <c r="B420" s="197"/>
      <c r="C420" s="144"/>
      <c r="D420" s="197"/>
      <c r="E420" s="197"/>
      <c r="F420" s="147"/>
    </row>
    <row r="421" ht="22.5" customHeight="1">
      <c r="A421" s="250"/>
      <c r="B421" s="196"/>
      <c r="C421" s="152"/>
      <c r="D421" s="196"/>
      <c r="E421" s="196"/>
      <c r="F421" s="155"/>
    </row>
    <row r="422" ht="22.5" customHeight="1">
      <c r="A422" s="202"/>
      <c r="B422" s="197"/>
      <c r="C422" s="144"/>
      <c r="D422" s="197"/>
      <c r="E422" s="197"/>
      <c r="F422" s="147"/>
    </row>
    <row r="423" ht="22.5" customHeight="1">
      <c r="A423" s="250"/>
      <c r="B423" s="196"/>
      <c r="C423" s="152"/>
      <c r="D423" s="196"/>
      <c r="E423" s="196"/>
      <c r="F423" s="155"/>
    </row>
    <row r="424" ht="22.5" customHeight="1">
      <c r="A424" s="202"/>
      <c r="B424" s="197"/>
      <c r="C424" s="144"/>
      <c r="D424" s="197"/>
      <c r="E424" s="197"/>
      <c r="F424" s="147"/>
    </row>
    <row r="425" ht="22.5" customHeight="1">
      <c r="A425" s="250"/>
      <c r="B425" s="196"/>
      <c r="C425" s="152"/>
      <c r="D425" s="196"/>
      <c r="E425" s="196"/>
      <c r="F425" s="155"/>
    </row>
    <row r="426" ht="22.5" customHeight="1">
      <c r="A426" s="202"/>
      <c r="B426" s="197"/>
      <c r="C426" s="144"/>
      <c r="D426" s="197"/>
      <c r="E426" s="197"/>
      <c r="F426" s="147"/>
    </row>
    <row r="427" ht="22.5" customHeight="1">
      <c r="A427" s="250"/>
      <c r="B427" s="196"/>
      <c r="C427" s="152"/>
      <c r="D427" s="196"/>
      <c r="E427" s="196"/>
      <c r="F427" s="155"/>
    </row>
    <row r="428" ht="22.5" customHeight="1">
      <c r="A428" s="202"/>
      <c r="B428" s="197"/>
      <c r="C428" s="144"/>
      <c r="D428" s="197"/>
      <c r="E428" s="197"/>
      <c r="F428" s="147"/>
    </row>
    <row r="429" ht="22.5" customHeight="1">
      <c r="A429" s="250"/>
      <c r="B429" s="196"/>
      <c r="C429" s="152"/>
      <c r="D429" s="196"/>
      <c r="E429" s="196"/>
      <c r="F429" s="155"/>
    </row>
    <row r="430" ht="22.5" customHeight="1">
      <c r="A430" s="202"/>
      <c r="B430" s="197"/>
      <c r="C430" s="144"/>
      <c r="D430" s="197"/>
      <c r="E430" s="197"/>
      <c r="F430" s="147"/>
    </row>
    <row r="431" ht="22.5" customHeight="1">
      <c r="A431" s="250"/>
      <c r="B431" s="196"/>
      <c r="C431" s="152"/>
      <c r="D431" s="196"/>
      <c r="E431" s="196"/>
      <c r="F431" s="155"/>
    </row>
    <row r="432" ht="22.5" customHeight="1">
      <c r="A432" s="202"/>
      <c r="B432" s="197"/>
      <c r="C432" s="144"/>
      <c r="D432" s="197"/>
      <c r="E432" s="197"/>
      <c r="F432" s="147"/>
    </row>
    <row r="433" ht="22.5" customHeight="1">
      <c r="A433" s="250"/>
      <c r="B433" s="196"/>
      <c r="C433" s="152"/>
      <c r="D433" s="196"/>
      <c r="E433" s="196"/>
      <c r="F433" s="155"/>
    </row>
    <row r="434" ht="22.5" customHeight="1">
      <c r="A434" s="202"/>
      <c r="B434" s="197"/>
      <c r="C434" s="144"/>
      <c r="D434" s="197"/>
      <c r="E434" s="197"/>
      <c r="F434" s="147"/>
    </row>
    <row r="435" ht="22.5" customHeight="1">
      <c r="A435" s="250"/>
      <c r="B435" s="196"/>
      <c r="C435" s="152"/>
      <c r="D435" s="196"/>
      <c r="E435" s="196"/>
      <c r="F435" s="155"/>
    </row>
    <row r="436" ht="22.5" customHeight="1">
      <c r="A436" s="202"/>
      <c r="B436" s="197"/>
      <c r="C436" s="144"/>
      <c r="D436" s="197"/>
      <c r="E436" s="197"/>
      <c r="F436" s="147"/>
    </row>
    <row r="437" ht="22.5" customHeight="1">
      <c r="A437" s="250"/>
      <c r="B437" s="196"/>
      <c r="C437" s="152"/>
      <c r="D437" s="196"/>
      <c r="E437" s="196"/>
      <c r="F437" s="155"/>
    </row>
    <row r="438" ht="22.5" customHeight="1">
      <c r="A438" s="202"/>
      <c r="B438" s="197"/>
      <c r="C438" s="144"/>
      <c r="D438" s="197"/>
      <c r="E438" s="197"/>
      <c r="F438" s="147"/>
    </row>
    <row r="439" ht="22.5" customHeight="1">
      <c r="A439" s="250"/>
      <c r="B439" s="196"/>
      <c r="C439" s="152"/>
      <c r="D439" s="196"/>
      <c r="E439" s="196"/>
      <c r="F439" s="155"/>
    </row>
    <row r="440" ht="22.5" customHeight="1">
      <c r="A440" s="202"/>
      <c r="B440" s="197"/>
      <c r="C440" s="144"/>
      <c r="D440" s="197"/>
      <c r="E440" s="197"/>
      <c r="F440" s="147"/>
    </row>
    <row r="441" ht="22.5" customHeight="1">
      <c r="A441" s="250"/>
      <c r="B441" s="196"/>
      <c r="C441" s="152"/>
      <c r="D441" s="196"/>
      <c r="E441" s="196"/>
      <c r="F441" s="155"/>
    </row>
    <row r="442" ht="22.5" customHeight="1">
      <c r="A442" s="202"/>
      <c r="B442" s="197"/>
      <c r="C442" s="144"/>
      <c r="D442" s="197"/>
      <c r="E442" s="197"/>
      <c r="F442" s="147"/>
    </row>
    <row r="443" ht="22.5" customHeight="1">
      <c r="A443" s="250"/>
      <c r="B443" s="196"/>
      <c r="C443" s="152"/>
      <c r="D443" s="196"/>
      <c r="E443" s="196"/>
      <c r="F443" s="155"/>
    </row>
    <row r="444" ht="22.5" customHeight="1">
      <c r="A444" s="202"/>
      <c r="B444" s="197"/>
      <c r="C444" s="144"/>
      <c r="D444" s="197"/>
      <c r="E444" s="197"/>
      <c r="F444" s="147"/>
    </row>
    <row r="445" ht="22.5" customHeight="1">
      <c r="A445" s="250"/>
      <c r="B445" s="196"/>
      <c r="C445" s="152"/>
      <c r="D445" s="196"/>
      <c r="E445" s="196"/>
      <c r="F445" s="155"/>
    </row>
    <row r="446" ht="22.5" customHeight="1">
      <c r="A446" s="202"/>
      <c r="B446" s="197"/>
      <c r="C446" s="144"/>
      <c r="D446" s="197"/>
      <c r="E446" s="197"/>
      <c r="F446" s="147"/>
    </row>
    <row r="447" ht="22.5" customHeight="1">
      <c r="A447" s="250"/>
      <c r="B447" s="196"/>
      <c r="C447" s="152"/>
      <c r="D447" s="196"/>
      <c r="E447" s="196"/>
      <c r="F447" s="155"/>
    </row>
    <row r="448" ht="22.5" customHeight="1">
      <c r="A448" s="202"/>
      <c r="B448" s="197"/>
      <c r="C448" s="144"/>
      <c r="D448" s="197"/>
      <c r="E448" s="197"/>
      <c r="F448" s="147"/>
    </row>
    <row r="449" ht="22.5" customHeight="1">
      <c r="A449" s="250"/>
      <c r="B449" s="196"/>
      <c r="C449" s="152"/>
      <c r="D449" s="196"/>
      <c r="E449" s="196"/>
      <c r="F449" s="155"/>
    </row>
    <row r="450" ht="22.5" customHeight="1">
      <c r="A450" s="202"/>
      <c r="B450" s="197"/>
      <c r="C450" s="144"/>
      <c r="D450" s="197"/>
      <c r="E450" s="197"/>
      <c r="F450" s="147"/>
    </row>
    <row r="451" ht="22.5" customHeight="1">
      <c r="A451" s="250"/>
      <c r="B451" s="196"/>
      <c r="C451" s="152"/>
      <c r="D451" s="196"/>
      <c r="E451" s="196"/>
      <c r="F451" s="155"/>
    </row>
    <row r="452" ht="22.5" customHeight="1">
      <c r="A452" s="202"/>
      <c r="B452" s="197"/>
      <c r="C452" s="144"/>
      <c r="D452" s="197"/>
      <c r="E452" s="197"/>
      <c r="F452" s="147"/>
    </row>
    <row r="453" ht="22.5" customHeight="1">
      <c r="A453" s="250"/>
      <c r="B453" s="196"/>
      <c r="C453" s="152"/>
      <c r="D453" s="196"/>
      <c r="E453" s="196"/>
      <c r="F453" s="155"/>
    </row>
    <row r="454" ht="22.5" customHeight="1">
      <c r="A454" s="202"/>
      <c r="B454" s="197"/>
      <c r="C454" s="144"/>
      <c r="D454" s="197"/>
      <c r="E454" s="197"/>
      <c r="F454" s="147"/>
    </row>
    <row r="455" ht="22.5" customHeight="1">
      <c r="A455" s="250"/>
      <c r="B455" s="196"/>
      <c r="C455" s="152"/>
      <c r="D455" s="196"/>
      <c r="E455" s="196"/>
      <c r="F455" s="155"/>
    </row>
    <row r="456" ht="22.5" customHeight="1">
      <c r="A456" s="202"/>
      <c r="B456" s="197"/>
      <c r="C456" s="144"/>
      <c r="D456" s="197"/>
      <c r="E456" s="197"/>
      <c r="F456" s="147"/>
    </row>
    <row r="457" ht="22.5" customHeight="1">
      <c r="A457" s="250"/>
      <c r="B457" s="196"/>
      <c r="C457" s="152"/>
      <c r="D457" s="196"/>
      <c r="E457" s="196"/>
      <c r="F457" s="155"/>
    </row>
    <row r="458" ht="22.5" customHeight="1">
      <c r="A458" s="202"/>
      <c r="B458" s="197"/>
      <c r="C458" s="144"/>
      <c r="D458" s="197"/>
      <c r="E458" s="197"/>
      <c r="F458" s="147"/>
    </row>
    <row r="459" ht="22.5" customHeight="1">
      <c r="A459" s="250"/>
      <c r="B459" s="196"/>
      <c r="C459" s="152"/>
      <c r="D459" s="196"/>
      <c r="E459" s="196"/>
      <c r="F459" s="155"/>
    </row>
    <row r="460" ht="22.5" customHeight="1">
      <c r="A460" s="202"/>
      <c r="B460" s="197"/>
      <c r="C460" s="144"/>
      <c r="D460" s="197"/>
      <c r="E460" s="197"/>
      <c r="F460" s="147"/>
    </row>
    <row r="461" ht="22.5" customHeight="1">
      <c r="A461" s="250"/>
      <c r="B461" s="196"/>
      <c r="C461" s="152"/>
      <c r="D461" s="196"/>
      <c r="E461" s="196"/>
      <c r="F461" s="155"/>
    </row>
    <row r="462" ht="22.5" customHeight="1">
      <c r="A462" s="202"/>
      <c r="B462" s="197"/>
      <c r="C462" s="144"/>
      <c r="D462" s="197"/>
      <c r="E462" s="197"/>
      <c r="F462" s="147"/>
    </row>
    <row r="463" ht="22.5" customHeight="1">
      <c r="A463" s="250"/>
      <c r="B463" s="196"/>
      <c r="C463" s="152"/>
      <c r="D463" s="196"/>
      <c r="E463" s="196"/>
      <c r="F463" s="155"/>
    </row>
    <row r="464" ht="22.5" customHeight="1">
      <c r="A464" s="202"/>
      <c r="B464" s="197"/>
      <c r="C464" s="144"/>
      <c r="D464" s="197"/>
      <c r="E464" s="197"/>
      <c r="F464" s="147"/>
    </row>
    <row r="465" ht="22.5" customHeight="1">
      <c r="A465" s="250"/>
      <c r="B465" s="196"/>
      <c r="C465" s="152"/>
      <c r="D465" s="196"/>
      <c r="E465" s="196"/>
      <c r="F465" s="155"/>
    </row>
    <row r="466" ht="22.5" customHeight="1">
      <c r="A466" s="202"/>
      <c r="B466" s="197"/>
      <c r="C466" s="144"/>
      <c r="D466" s="197"/>
      <c r="E466" s="197"/>
      <c r="F466" s="147"/>
    </row>
    <row r="467" ht="22.5" customHeight="1">
      <c r="A467" s="250"/>
      <c r="B467" s="196"/>
      <c r="C467" s="152"/>
      <c r="D467" s="196"/>
      <c r="E467" s="196"/>
      <c r="F467" s="155"/>
    </row>
    <row r="468" ht="22.5" customHeight="1">
      <c r="A468" s="202"/>
      <c r="B468" s="197"/>
      <c r="C468" s="144"/>
      <c r="D468" s="197"/>
      <c r="E468" s="197"/>
      <c r="F468" s="147"/>
    </row>
    <row r="469" ht="22.5" customHeight="1">
      <c r="A469" s="250"/>
      <c r="B469" s="196"/>
      <c r="C469" s="152"/>
      <c r="D469" s="196"/>
      <c r="E469" s="196"/>
      <c r="F469" s="155"/>
    </row>
    <row r="470" ht="22.5" customHeight="1">
      <c r="A470" s="202"/>
      <c r="B470" s="197"/>
      <c r="C470" s="144"/>
      <c r="D470" s="197"/>
      <c r="E470" s="197"/>
      <c r="F470" s="147"/>
    </row>
    <row r="471" ht="22.5" customHeight="1">
      <c r="A471" s="250"/>
      <c r="B471" s="196"/>
      <c r="C471" s="152"/>
      <c r="D471" s="196"/>
      <c r="E471" s="196"/>
      <c r="F471" s="155"/>
    </row>
    <row r="472" ht="22.5" customHeight="1">
      <c r="A472" s="202"/>
      <c r="B472" s="197"/>
      <c r="C472" s="144"/>
      <c r="D472" s="197"/>
      <c r="E472" s="197"/>
      <c r="F472" s="147"/>
    </row>
    <row r="473" ht="22.5" customHeight="1">
      <c r="A473" s="250"/>
      <c r="B473" s="196"/>
      <c r="C473" s="152"/>
      <c r="D473" s="196"/>
      <c r="E473" s="196"/>
      <c r="F473" s="155"/>
    </row>
    <row r="474" ht="22.5" customHeight="1">
      <c r="A474" s="202"/>
      <c r="B474" s="197"/>
      <c r="C474" s="144"/>
      <c r="D474" s="197"/>
      <c r="E474" s="197"/>
      <c r="F474" s="147"/>
    </row>
    <row r="475" ht="22.5" customHeight="1">
      <c r="A475" s="250"/>
      <c r="B475" s="196"/>
      <c r="C475" s="152"/>
      <c r="D475" s="196"/>
      <c r="E475" s="196"/>
      <c r="F475" s="155"/>
    </row>
    <row r="476" ht="22.5" customHeight="1">
      <c r="A476" s="202"/>
      <c r="B476" s="197"/>
      <c r="C476" s="144"/>
      <c r="D476" s="197"/>
      <c r="E476" s="197"/>
      <c r="F476" s="147"/>
    </row>
    <row r="477" ht="22.5" customHeight="1">
      <c r="A477" s="250"/>
      <c r="B477" s="196"/>
      <c r="C477" s="152"/>
      <c r="D477" s="196"/>
      <c r="E477" s="196"/>
      <c r="F477" s="155"/>
    </row>
    <row r="478" ht="22.5" customHeight="1">
      <c r="A478" s="202"/>
      <c r="B478" s="197"/>
      <c r="C478" s="144"/>
      <c r="D478" s="197"/>
      <c r="E478" s="197"/>
      <c r="F478" s="147"/>
    </row>
    <row r="479" ht="22.5" customHeight="1">
      <c r="A479" s="250"/>
      <c r="B479" s="196"/>
      <c r="C479" s="152"/>
      <c r="D479" s="196"/>
      <c r="E479" s="196"/>
      <c r="F479" s="155"/>
    </row>
    <row r="480" ht="22.5" customHeight="1">
      <c r="A480" s="202"/>
      <c r="B480" s="197"/>
      <c r="C480" s="144"/>
      <c r="D480" s="197"/>
      <c r="E480" s="197"/>
      <c r="F480" s="147"/>
    </row>
    <row r="481" ht="22.5" customHeight="1">
      <c r="A481" s="250"/>
      <c r="B481" s="196"/>
      <c r="C481" s="152"/>
      <c r="D481" s="196"/>
      <c r="E481" s="196"/>
      <c r="F481" s="155"/>
    </row>
    <row r="482" ht="22.5" customHeight="1">
      <c r="A482" s="202"/>
      <c r="B482" s="197"/>
      <c r="C482" s="144"/>
      <c r="D482" s="197"/>
      <c r="E482" s="197"/>
      <c r="F482" s="147"/>
    </row>
    <row r="483" ht="22.5" customHeight="1">
      <c r="A483" s="250"/>
      <c r="B483" s="196"/>
      <c r="C483" s="152"/>
      <c r="D483" s="196"/>
      <c r="E483" s="196"/>
      <c r="F483" s="155"/>
    </row>
    <row r="484" ht="22.5" customHeight="1">
      <c r="A484" s="202"/>
      <c r="B484" s="197"/>
      <c r="C484" s="144"/>
      <c r="D484" s="197"/>
      <c r="E484" s="197"/>
      <c r="F484" s="147"/>
    </row>
    <row r="485" ht="22.5" customHeight="1">
      <c r="A485" s="250"/>
      <c r="B485" s="196"/>
      <c r="C485" s="152"/>
      <c r="D485" s="196"/>
      <c r="E485" s="196"/>
      <c r="F485" s="155"/>
    </row>
    <row r="486" ht="22.5" customHeight="1">
      <c r="A486" s="202"/>
      <c r="B486" s="197"/>
      <c r="C486" s="144"/>
      <c r="D486" s="197"/>
      <c r="E486" s="197"/>
      <c r="F486" s="147"/>
    </row>
    <row r="487" ht="22.5" customHeight="1">
      <c r="A487" s="250"/>
      <c r="B487" s="196"/>
      <c r="C487" s="152"/>
      <c r="D487" s="196"/>
      <c r="E487" s="196"/>
      <c r="F487" s="155"/>
    </row>
    <row r="488" ht="22.5" customHeight="1">
      <c r="A488" s="202"/>
      <c r="B488" s="197"/>
      <c r="C488" s="144"/>
      <c r="D488" s="197"/>
      <c r="E488" s="197"/>
      <c r="F488" s="147"/>
    </row>
    <row r="489" ht="22.5" customHeight="1">
      <c r="A489" s="250"/>
      <c r="B489" s="196"/>
      <c r="C489" s="152"/>
      <c r="D489" s="196"/>
      <c r="E489" s="196"/>
      <c r="F489" s="155"/>
    </row>
    <row r="490" ht="22.5" customHeight="1">
      <c r="A490" s="202"/>
      <c r="B490" s="197"/>
      <c r="C490" s="144"/>
      <c r="D490" s="197"/>
      <c r="E490" s="197"/>
      <c r="F490" s="147"/>
    </row>
    <row r="491" ht="22.5" customHeight="1">
      <c r="A491" s="250"/>
      <c r="B491" s="196"/>
      <c r="C491" s="152"/>
      <c r="D491" s="196"/>
      <c r="E491" s="196"/>
      <c r="F491" s="155"/>
    </row>
    <row r="492" ht="22.5" customHeight="1">
      <c r="A492" s="202"/>
      <c r="B492" s="197"/>
      <c r="C492" s="144"/>
      <c r="D492" s="197"/>
      <c r="E492" s="197"/>
      <c r="F492" s="147"/>
    </row>
    <row r="493" ht="22.5" customHeight="1">
      <c r="A493" s="250"/>
      <c r="B493" s="196"/>
      <c r="C493" s="152"/>
      <c r="D493" s="196"/>
      <c r="E493" s="196"/>
      <c r="F493" s="155"/>
    </row>
    <row r="494" ht="22.5" customHeight="1">
      <c r="A494" s="202"/>
      <c r="B494" s="197"/>
      <c r="C494" s="144"/>
      <c r="D494" s="197"/>
      <c r="E494" s="197"/>
      <c r="F494" s="147"/>
    </row>
    <row r="495" ht="22.5" customHeight="1">
      <c r="A495" s="250"/>
      <c r="B495" s="196"/>
      <c r="C495" s="152"/>
      <c r="D495" s="196"/>
      <c r="E495" s="196"/>
      <c r="F495" s="155"/>
    </row>
    <row r="496" ht="22.5" customHeight="1">
      <c r="A496" s="202"/>
      <c r="B496" s="197"/>
      <c r="C496" s="144"/>
      <c r="D496" s="197"/>
      <c r="E496" s="197"/>
      <c r="F496" s="147"/>
    </row>
    <row r="497" ht="22.5" customHeight="1">
      <c r="A497" s="250"/>
      <c r="B497" s="196"/>
      <c r="C497" s="152"/>
      <c r="D497" s="196"/>
      <c r="E497" s="196"/>
      <c r="F497" s="155"/>
    </row>
    <row r="498" ht="22.5" customHeight="1">
      <c r="A498" s="202"/>
      <c r="B498" s="197"/>
      <c r="C498" s="144"/>
      <c r="D498" s="197"/>
      <c r="E498" s="197"/>
      <c r="F498" s="147"/>
    </row>
    <row r="499" ht="22.5" customHeight="1">
      <c r="A499" s="250"/>
      <c r="B499" s="196"/>
      <c r="C499" s="152"/>
      <c r="D499" s="196"/>
      <c r="E499" s="196"/>
      <c r="F499" s="155"/>
    </row>
    <row r="500" ht="22.5" customHeight="1">
      <c r="A500" s="202"/>
      <c r="B500" s="197"/>
      <c r="C500" s="144"/>
      <c r="D500" s="197"/>
      <c r="E500" s="197"/>
      <c r="F500" s="147"/>
    </row>
    <row r="501" ht="22.5" customHeight="1">
      <c r="A501" s="250"/>
      <c r="B501" s="196"/>
      <c r="C501" s="152"/>
      <c r="D501" s="196"/>
      <c r="E501" s="196"/>
      <c r="F501" s="155"/>
    </row>
    <row r="502" ht="22.5" customHeight="1">
      <c r="A502" s="202"/>
      <c r="B502" s="197"/>
      <c r="C502" s="144"/>
      <c r="D502" s="197"/>
      <c r="E502" s="197"/>
      <c r="F502" s="147"/>
    </row>
    <row r="503" ht="22.5" customHeight="1">
      <c r="A503" s="250"/>
      <c r="B503" s="196"/>
      <c r="C503" s="152"/>
      <c r="D503" s="196"/>
      <c r="E503" s="196"/>
      <c r="F503" s="155"/>
    </row>
    <row r="504" ht="22.5" customHeight="1">
      <c r="A504" s="202"/>
      <c r="B504" s="197"/>
      <c r="C504" s="144"/>
      <c r="D504" s="197"/>
      <c r="E504" s="197"/>
      <c r="F504" s="147"/>
    </row>
    <row r="505" ht="22.5" customHeight="1">
      <c r="A505" s="250"/>
      <c r="B505" s="196"/>
      <c r="C505" s="152"/>
      <c r="D505" s="196"/>
      <c r="E505" s="196"/>
      <c r="F505" s="155"/>
    </row>
    <row r="506" ht="22.5" customHeight="1">
      <c r="A506" s="202"/>
      <c r="B506" s="197"/>
      <c r="C506" s="144"/>
      <c r="D506" s="197"/>
      <c r="E506" s="197"/>
      <c r="F506" s="147"/>
    </row>
    <row r="507" ht="22.5" customHeight="1">
      <c r="A507" s="250"/>
      <c r="B507" s="196"/>
      <c r="C507" s="152"/>
      <c r="D507" s="196"/>
      <c r="E507" s="196"/>
      <c r="F507" s="155"/>
    </row>
    <row r="508" ht="22.5" customHeight="1">
      <c r="A508" s="202"/>
      <c r="B508" s="197"/>
      <c r="C508" s="144"/>
      <c r="D508" s="197"/>
      <c r="E508" s="197"/>
      <c r="F508" s="147"/>
    </row>
    <row r="509" ht="22.5" customHeight="1">
      <c r="A509" s="250"/>
      <c r="B509" s="196"/>
      <c r="C509" s="152"/>
      <c r="D509" s="196"/>
      <c r="E509" s="196"/>
      <c r="F509" s="155"/>
    </row>
    <row r="510" ht="22.5" customHeight="1">
      <c r="A510" s="202"/>
      <c r="B510" s="197"/>
      <c r="C510" s="144"/>
      <c r="D510" s="197"/>
      <c r="E510" s="197"/>
      <c r="F510" s="147"/>
    </row>
    <row r="511" ht="22.5" customHeight="1">
      <c r="A511" s="250"/>
      <c r="B511" s="196"/>
      <c r="C511" s="152"/>
      <c r="D511" s="196"/>
      <c r="E511" s="196"/>
      <c r="F511" s="155"/>
    </row>
    <row r="512" ht="22.5" customHeight="1">
      <c r="A512" s="202"/>
      <c r="B512" s="197"/>
      <c r="C512" s="144"/>
      <c r="D512" s="197"/>
      <c r="E512" s="197"/>
      <c r="F512" s="147"/>
    </row>
    <row r="513" ht="22.5" customHeight="1">
      <c r="A513" s="250"/>
      <c r="B513" s="196"/>
      <c r="C513" s="152"/>
      <c r="D513" s="196"/>
      <c r="E513" s="196"/>
      <c r="F513" s="155"/>
    </row>
    <row r="514" ht="22.5" customHeight="1">
      <c r="A514" s="202"/>
      <c r="B514" s="197"/>
      <c r="C514" s="144"/>
      <c r="D514" s="197"/>
      <c r="E514" s="197"/>
      <c r="F514" s="147"/>
    </row>
    <row r="515" ht="22.5" customHeight="1">
      <c r="A515" s="250"/>
      <c r="B515" s="196"/>
      <c r="C515" s="152"/>
      <c r="D515" s="196"/>
      <c r="E515" s="196"/>
      <c r="F515" s="155"/>
    </row>
    <row r="516" ht="22.5" customHeight="1">
      <c r="A516" s="202"/>
      <c r="B516" s="197"/>
      <c r="C516" s="144"/>
      <c r="D516" s="197"/>
      <c r="E516" s="197"/>
      <c r="F516" s="147"/>
    </row>
    <row r="517" ht="22.5" customHeight="1">
      <c r="A517" s="250"/>
      <c r="B517" s="196"/>
      <c r="C517" s="152"/>
      <c r="D517" s="196"/>
      <c r="E517" s="196"/>
      <c r="F517" s="155"/>
    </row>
    <row r="518" ht="22.5" customHeight="1">
      <c r="A518" s="202"/>
      <c r="B518" s="197"/>
      <c r="C518" s="144"/>
      <c r="D518" s="197"/>
      <c r="E518" s="197"/>
      <c r="F518" s="147"/>
    </row>
    <row r="519" ht="22.5" customHeight="1">
      <c r="A519" s="250"/>
      <c r="B519" s="196"/>
      <c r="C519" s="152"/>
      <c r="D519" s="196"/>
      <c r="E519" s="196"/>
      <c r="F519" s="155"/>
    </row>
    <row r="520" ht="22.5" customHeight="1">
      <c r="A520" s="202"/>
      <c r="B520" s="197"/>
      <c r="C520" s="144"/>
      <c r="D520" s="197"/>
      <c r="E520" s="197"/>
      <c r="F520" s="147"/>
    </row>
    <row r="521" ht="22.5" customHeight="1">
      <c r="A521" s="250"/>
      <c r="B521" s="196"/>
      <c r="C521" s="152"/>
      <c r="D521" s="196"/>
      <c r="E521" s="196"/>
      <c r="F521" s="155"/>
    </row>
    <row r="522" ht="22.5" customHeight="1">
      <c r="A522" s="202"/>
      <c r="B522" s="197"/>
      <c r="C522" s="144"/>
      <c r="D522" s="197"/>
      <c r="E522" s="197"/>
      <c r="F522" s="147"/>
    </row>
    <row r="523" ht="22.5" customHeight="1">
      <c r="A523" s="250"/>
      <c r="B523" s="196"/>
      <c r="C523" s="152"/>
      <c r="D523" s="196"/>
      <c r="E523" s="196"/>
      <c r="F523" s="155"/>
    </row>
    <row r="524" ht="22.5" customHeight="1">
      <c r="A524" s="202"/>
      <c r="B524" s="197"/>
      <c r="C524" s="144"/>
      <c r="D524" s="197"/>
      <c r="E524" s="197"/>
      <c r="F524" s="147"/>
    </row>
    <row r="525" ht="22.5" customHeight="1">
      <c r="A525" s="250"/>
      <c r="B525" s="196"/>
      <c r="C525" s="152"/>
      <c r="D525" s="196"/>
      <c r="E525" s="196"/>
      <c r="F525" s="155"/>
    </row>
    <row r="526" ht="22.5" customHeight="1">
      <c r="A526" s="202"/>
      <c r="B526" s="197"/>
      <c r="C526" s="144"/>
      <c r="D526" s="197"/>
      <c r="E526" s="197"/>
      <c r="F526" s="147"/>
    </row>
    <row r="527" ht="22.5" customHeight="1">
      <c r="A527" s="250"/>
      <c r="B527" s="196"/>
      <c r="C527" s="152"/>
      <c r="D527" s="196"/>
      <c r="E527" s="196"/>
      <c r="F527" s="155"/>
    </row>
    <row r="528" ht="22.5" customHeight="1">
      <c r="A528" s="202"/>
      <c r="B528" s="197"/>
      <c r="C528" s="144"/>
      <c r="D528" s="197"/>
      <c r="E528" s="197"/>
      <c r="F528" s="147"/>
    </row>
    <row r="529" ht="22.5" customHeight="1">
      <c r="A529" s="250"/>
      <c r="B529" s="196"/>
      <c r="C529" s="152"/>
      <c r="D529" s="196"/>
      <c r="E529" s="196"/>
      <c r="F529" s="155"/>
    </row>
    <row r="530" ht="22.5" customHeight="1">
      <c r="A530" s="202"/>
      <c r="B530" s="197"/>
      <c r="C530" s="144"/>
      <c r="D530" s="197"/>
      <c r="E530" s="197"/>
      <c r="F530" s="147"/>
    </row>
    <row r="531" ht="22.5" customHeight="1">
      <c r="A531" s="250"/>
      <c r="B531" s="196"/>
      <c r="C531" s="152"/>
      <c r="D531" s="196"/>
      <c r="E531" s="196"/>
      <c r="F531" s="155"/>
    </row>
    <row r="532" ht="22.5" customHeight="1">
      <c r="A532" s="202"/>
      <c r="B532" s="197"/>
      <c r="C532" s="144"/>
      <c r="D532" s="197"/>
      <c r="E532" s="197"/>
      <c r="F532" s="147"/>
    </row>
    <row r="533" ht="22.5" customHeight="1">
      <c r="A533" s="250"/>
      <c r="B533" s="196"/>
      <c r="C533" s="152"/>
      <c r="D533" s="196"/>
      <c r="E533" s="196"/>
      <c r="F533" s="155"/>
    </row>
    <row r="534" ht="22.5" customHeight="1">
      <c r="A534" s="202"/>
      <c r="B534" s="197"/>
      <c r="C534" s="144"/>
      <c r="D534" s="197"/>
      <c r="E534" s="197"/>
      <c r="F534" s="147"/>
    </row>
    <row r="535" ht="22.5" customHeight="1">
      <c r="A535" s="250"/>
      <c r="B535" s="196"/>
      <c r="C535" s="152"/>
      <c r="D535" s="196"/>
      <c r="E535" s="196"/>
      <c r="F535" s="155"/>
    </row>
    <row r="536" ht="22.5" customHeight="1">
      <c r="A536" s="202"/>
      <c r="B536" s="197"/>
      <c r="C536" s="144"/>
      <c r="D536" s="197"/>
      <c r="E536" s="197"/>
      <c r="F536" s="147"/>
    </row>
    <row r="537" ht="22.5" customHeight="1">
      <c r="A537" s="250"/>
      <c r="B537" s="196"/>
      <c r="C537" s="152"/>
      <c r="D537" s="196"/>
      <c r="E537" s="196"/>
      <c r="F537" s="155"/>
    </row>
    <row r="538" ht="22.5" customHeight="1">
      <c r="A538" s="202"/>
      <c r="B538" s="197"/>
      <c r="C538" s="144"/>
      <c r="D538" s="197"/>
      <c r="E538" s="197"/>
      <c r="F538" s="147"/>
    </row>
    <row r="539" ht="22.5" customHeight="1">
      <c r="A539" s="250"/>
      <c r="B539" s="196"/>
      <c r="C539" s="152"/>
      <c r="D539" s="196"/>
      <c r="E539" s="196"/>
      <c r="F539" s="155"/>
    </row>
    <row r="540" ht="22.5" customHeight="1">
      <c r="A540" s="202"/>
      <c r="B540" s="197"/>
      <c r="C540" s="144"/>
      <c r="D540" s="197"/>
      <c r="E540" s="197"/>
      <c r="F540" s="147"/>
    </row>
    <row r="541" ht="22.5" customHeight="1">
      <c r="A541" s="250"/>
      <c r="B541" s="196"/>
      <c r="C541" s="152"/>
      <c r="D541" s="196"/>
      <c r="E541" s="196"/>
      <c r="F541" s="155"/>
    </row>
    <row r="542" ht="22.5" customHeight="1">
      <c r="A542" s="202"/>
      <c r="B542" s="197"/>
      <c r="C542" s="144"/>
      <c r="D542" s="197"/>
      <c r="E542" s="197"/>
      <c r="F542" s="147"/>
    </row>
    <row r="543" ht="22.5" customHeight="1">
      <c r="A543" s="250"/>
      <c r="B543" s="196"/>
      <c r="C543" s="152"/>
      <c r="D543" s="196"/>
      <c r="E543" s="196"/>
      <c r="F543" s="155"/>
    </row>
    <row r="544" ht="22.5" customHeight="1">
      <c r="A544" s="202"/>
      <c r="B544" s="197"/>
      <c r="C544" s="144"/>
      <c r="D544" s="197"/>
      <c r="E544" s="197"/>
      <c r="F544" s="147"/>
    </row>
    <row r="545" ht="22.5" customHeight="1">
      <c r="A545" s="250"/>
      <c r="B545" s="196"/>
      <c r="C545" s="152"/>
      <c r="D545" s="196"/>
      <c r="E545" s="196"/>
      <c r="F545" s="155"/>
    </row>
    <row r="546" ht="22.5" customHeight="1">
      <c r="A546" s="202"/>
      <c r="B546" s="197"/>
      <c r="C546" s="144"/>
      <c r="D546" s="197"/>
      <c r="E546" s="197"/>
      <c r="F546" s="147"/>
    </row>
    <row r="547" ht="22.5" customHeight="1">
      <c r="A547" s="250"/>
      <c r="B547" s="196"/>
      <c r="C547" s="152"/>
      <c r="D547" s="196"/>
      <c r="E547" s="196"/>
      <c r="F547" s="155"/>
    </row>
    <row r="548" ht="22.5" customHeight="1">
      <c r="A548" s="202"/>
      <c r="B548" s="197"/>
      <c r="C548" s="144"/>
      <c r="D548" s="197"/>
      <c r="E548" s="197"/>
      <c r="F548" s="147"/>
    </row>
    <row r="549" ht="22.5" customHeight="1">
      <c r="A549" s="250"/>
      <c r="B549" s="196"/>
      <c r="C549" s="152"/>
      <c r="D549" s="196"/>
      <c r="E549" s="196"/>
      <c r="F549" s="155"/>
    </row>
    <row r="550" ht="22.5" customHeight="1">
      <c r="A550" s="202"/>
      <c r="B550" s="197"/>
      <c r="C550" s="144"/>
      <c r="D550" s="197"/>
      <c r="E550" s="197"/>
      <c r="F550" s="147"/>
    </row>
    <row r="551" ht="22.5" customHeight="1">
      <c r="A551" s="250"/>
      <c r="B551" s="196"/>
      <c r="C551" s="152"/>
      <c r="D551" s="196"/>
      <c r="E551" s="196"/>
      <c r="F551" s="155"/>
    </row>
    <row r="552" ht="22.5" customHeight="1">
      <c r="A552" s="202"/>
      <c r="B552" s="197"/>
      <c r="C552" s="144"/>
      <c r="D552" s="197"/>
      <c r="E552" s="197"/>
      <c r="F552" s="147"/>
    </row>
    <row r="553" ht="22.5" customHeight="1">
      <c r="A553" s="250"/>
      <c r="B553" s="196"/>
      <c r="C553" s="152"/>
      <c r="D553" s="196"/>
      <c r="E553" s="196"/>
      <c r="F553" s="155"/>
    </row>
    <row r="554" ht="22.5" customHeight="1">
      <c r="A554" s="202"/>
      <c r="B554" s="197"/>
      <c r="C554" s="144"/>
      <c r="D554" s="197"/>
      <c r="E554" s="197"/>
      <c r="F554" s="147"/>
    </row>
    <row r="555" ht="22.5" customHeight="1">
      <c r="A555" s="250"/>
      <c r="B555" s="196"/>
      <c r="C555" s="152"/>
      <c r="D555" s="196"/>
      <c r="E555" s="196"/>
      <c r="F555" s="155"/>
    </row>
    <row r="556" ht="22.5" customHeight="1">
      <c r="A556" s="202"/>
      <c r="B556" s="197"/>
      <c r="C556" s="144"/>
      <c r="D556" s="197"/>
      <c r="E556" s="197"/>
      <c r="F556" s="147"/>
    </row>
    <row r="557" ht="22.5" customHeight="1">
      <c r="A557" s="250"/>
      <c r="B557" s="196"/>
      <c r="C557" s="152"/>
      <c r="D557" s="196"/>
      <c r="E557" s="196"/>
      <c r="F557" s="155"/>
    </row>
    <row r="558" ht="22.5" customHeight="1">
      <c r="A558" s="202"/>
      <c r="B558" s="197"/>
      <c r="C558" s="144"/>
      <c r="D558" s="197"/>
      <c r="E558" s="197"/>
      <c r="F558" s="147"/>
    </row>
    <row r="559" ht="22.5" customHeight="1">
      <c r="A559" s="250"/>
      <c r="B559" s="196"/>
      <c r="C559" s="152"/>
      <c r="D559" s="196"/>
      <c r="E559" s="196"/>
      <c r="F559" s="155"/>
    </row>
    <row r="560" ht="22.5" customHeight="1">
      <c r="A560" s="202"/>
      <c r="B560" s="197"/>
      <c r="C560" s="144"/>
      <c r="D560" s="197"/>
      <c r="E560" s="197"/>
      <c r="F560" s="147"/>
    </row>
    <row r="561" ht="22.5" customHeight="1">
      <c r="A561" s="250"/>
      <c r="B561" s="196"/>
      <c r="C561" s="152"/>
      <c r="D561" s="196"/>
      <c r="E561" s="196"/>
      <c r="F561" s="155"/>
    </row>
    <row r="562" ht="22.5" customHeight="1">
      <c r="A562" s="202"/>
      <c r="B562" s="197"/>
      <c r="C562" s="144"/>
      <c r="D562" s="197"/>
      <c r="E562" s="197"/>
      <c r="F562" s="147"/>
    </row>
    <row r="563" ht="22.5" customHeight="1">
      <c r="A563" s="250"/>
      <c r="B563" s="196"/>
      <c r="C563" s="152"/>
      <c r="D563" s="196"/>
      <c r="E563" s="196"/>
      <c r="F563" s="155"/>
    </row>
    <row r="564" ht="22.5" customHeight="1">
      <c r="A564" s="202"/>
      <c r="B564" s="197"/>
      <c r="C564" s="144"/>
      <c r="D564" s="197"/>
      <c r="E564" s="197"/>
      <c r="F564" s="147"/>
    </row>
    <row r="565" ht="22.5" customHeight="1">
      <c r="A565" s="250"/>
      <c r="B565" s="196"/>
      <c r="C565" s="152"/>
      <c r="D565" s="196"/>
      <c r="E565" s="196"/>
      <c r="F565" s="155"/>
    </row>
    <row r="566" ht="22.5" customHeight="1">
      <c r="A566" s="202"/>
      <c r="B566" s="197"/>
      <c r="C566" s="144"/>
      <c r="D566" s="197"/>
      <c r="E566" s="197"/>
      <c r="F566" s="147"/>
    </row>
    <row r="567" ht="22.5" customHeight="1">
      <c r="A567" s="250"/>
      <c r="B567" s="196"/>
      <c r="C567" s="152"/>
      <c r="D567" s="196"/>
      <c r="E567" s="196"/>
      <c r="F567" s="155"/>
    </row>
    <row r="568" ht="22.5" customHeight="1">
      <c r="A568" s="202"/>
      <c r="B568" s="197"/>
      <c r="C568" s="144"/>
      <c r="D568" s="197"/>
      <c r="E568" s="197"/>
      <c r="F568" s="147"/>
    </row>
    <row r="569" ht="22.5" customHeight="1">
      <c r="A569" s="250"/>
      <c r="B569" s="196"/>
      <c r="C569" s="152"/>
      <c r="D569" s="196"/>
      <c r="E569" s="196"/>
      <c r="F569" s="155"/>
    </row>
    <row r="570" ht="22.5" customHeight="1">
      <c r="A570" s="202"/>
      <c r="B570" s="197"/>
      <c r="C570" s="144"/>
      <c r="D570" s="197"/>
      <c r="E570" s="197"/>
      <c r="F570" s="147"/>
    </row>
    <row r="571" ht="22.5" customHeight="1">
      <c r="A571" s="250"/>
      <c r="B571" s="196"/>
      <c r="C571" s="152"/>
      <c r="D571" s="196"/>
      <c r="E571" s="196"/>
      <c r="F571" s="155"/>
    </row>
    <row r="572" ht="22.5" customHeight="1">
      <c r="A572" s="202"/>
      <c r="B572" s="197"/>
      <c r="C572" s="144"/>
      <c r="D572" s="197"/>
      <c r="E572" s="197"/>
      <c r="F572" s="147"/>
    </row>
    <row r="573" ht="22.5" customHeight="1">
      <c r="A573" s="250"/>
      <c r="B573" s="196"/>
      <c r="C573" s="152"/>
      <c r="D573" s="196"/>
      <c r="E573" s="196"/>
      <c r="F573" s="155"/>
    </row>
    <row r="574" ht="22.5" customHeight="1">
      <c r="A574" s="202"/>
      <c r="B574" s="197"/>
      <c r="C574" s="144"/>
      <c r="D574" s="197"/>
      <c r="E574" s="197"/>
      <c r="F574" s="147"/>
    </row>
    <row r="575" ht="22.5" customHeight="1">
      <c r="A575" s="250"/>
      <c r="B575" s="196"/>
      <c r="C575" s="152"/>
      <c r="D575" s="196"/>
      <c r="E575" s="196"/>
      <c r="F575" s="155"/>
    </row>
    <row r="576" ht="22.5" customHeight="1">
      <c r="A576" s="202"/>
      <c r="B576" s="197"/>
      <c r="C576" s="144"/>
      <c r="D576" s="197"/>
      <c r="E576" s="197"/>
      <c r="F576" s="147"/>
    </row>
    <row r="577" ht="22.5" customHeight="1">
      <c r="A577" s="250"/>
      <c r="B577" s="196"/>
      <c r="C577" s="152"/>
      <c r="D577" s="196"/>
      <c r="E577" s="196"/>
      <c r="F577" s="155"/>
    </row>
    <row r="578" ht="22.5" customHeight="1">
      <c r="A578" s="202"/>
      <c r="B578" s="197"/>
      <c r="C578" s="144"/>
      <c r="D578" s="197"/>
      <c r="E578" s="197"/>
      <c r="F578" s="147"/>
    </row>
    <row r="579" ht="22.5" customHeight="1">
      <c r="A579" s="250"/>
      <c r="B579" s="196"/>
      <c r="C579" s="152"/>
      <c r="D579" s="196"/>
      <c r="E579" s="196"/>
      <c r="F579" s="155"/>
    </row>
    <row r="580" ht="22.5" customHeight="1">
      <c r="A580" s="202"/>
      <c r="B580" s="197"/>
      <c r="C580" s="144"/>
      <c r="D580" s="197"/>
      <c r="E580" s="197"/>
      <c r="F580" s="147"/>
    </row>
    <row r="581" ht="22.5" customHeight="1">
      <c r="A581" s="250"/>
      <c r="B581" s="196"/>
      <c r="C581" s="152"/>
      <c r="D581" s="196"/>
      <c r="E581" s="196"/>
      <c r="F581" s="155"/>
    </row>
    <row r="582" ht="22.5" customHeight="1">
      <c r="A582" s="202"/>
      <c r="B582" s="197"/>
      <c r="C582" s="144"/>
      <c r="D582" s="197"/>
      <c r="E582" s="197"/>
      <c r="F582" s="147"/>
    </row>
    <row r="583" ht="22.5" customHeight="1">
      <c r="A583" s="250"/>
      <c r="B583" s="196"/>
      <c r="C583" s="152"/>
      <c r="D583" s="196"/>
      <c r="E583" s="196"/>
      <c r="F583" s="155"/>
    </row>
    <row r="584" ht="22.5" customHeight="1">
      <c r="A584" s="202"/>
      <c r="B584" s="197"/>
      <c r="C584" s="144"/>
      <c r="D584" s="197"/>
      <c r="E584" s="197"/>
      <c r="F584" s="147"/>
    </row>
    <row r="585" ht="22.5" customHeight="1">
      <c r="A585" s="250"/>
      <c r="B585" s="196"/>
      <c r="C585" s="152"/>
      <c r="D585" s="196"/>
      <c r="E585" s="196"/>
      <c r="F585" s="155"/>
    </row>
    <row r="586" ht="22.5" customHeight="1">
      <c r="A586" s="202"/>
      <c r="B586" s="197"/>
      <c r="C586" s="144"/>
      <c r="D586" s="197"/>
      <c r="E586" s="197"/>
      <c r="F586" s="147"/>
    </row>
    <row r="587" ht="22.5" customHeight="1">
      <c r="A587" s="250"/>
      <c r="B587" s="196"/>
      <c r="C587" s="152"/>
      <c r="D587" s="196"/>
      <c r="E587" s="196"/>
      <c r="F587" s="155"/>
    </row>
    <row r="588" ht="22.5" customHeight="1">
      <c r="A588" s="202"/>
      <c r="B588" s="197"/>
      <c r="C588" s="144"/>
      <c r="D588" s="197"/>
      <c r="E588" s="197"/>
      <c r="F588" s="147"/>
    </row>
    <row r="589" ht="22.5" customHeight="1">
      <c r="A589" s="250"/>
      <c r="B589" s="196"/>
      <c r="C589" s="152"/>
      <c r="D589" s="196"/>
      <c r="E589" s="196"/>
      <c r="F589" s="155"/>
    </row>
    <row r="590" ht="22.5" customHeight="1">
      <c r="A590" s="202"/>
      <c r="B590" s="197"/>
      <c r="C590" s="144"/>
      <c r="D590" s="197"/>
      <c r="E590" s="197"/>
      <c r="F590" s="147"/>
    </row>
    <row r="591" ht="22.5" customHeight="1">
      <c r="A591" s="250"/>
      <c r="B591" s="196"/>
      <c r="C591" s="152"/>
      <c r="D591" s="196"/>
      <c r="E591" s="196"/>
      <c r="F591" s="155"/>
    </row>
    <row r="592" ht="22.5" customHeight="1">
      <c r="A592" s="202"/>
      <c r="B592" s="197"/>
      <c r="C592" s="144"/>
      <c r="D592" s="197"/>
      <c r="E592" s="197"/>
      <c r="F592" s="147"/>
    </row>
    <row r="593" ht="22.5" customHeight="1">
      <c r="A593" s="250"/>
      <c r="B593" s="196"/>
      <c r="C593" s="152"/>
      <c r="D593" s="196"/>
      <c r="E593" s="196"/>
      <c r="F593" s="155"/>
    </row>
    <row r="594" ht="22.5" customHeight="1">
      <c r="A594" s="202"/>
      <c r="B594" s="197"/>
      <c r="C594" s="144"/>
      <c r="D594" s="197"/>
      <c r="E594" s="197"/>
      <c r="F594" s="147"/>
    </row>
    <row r="595" ht="22.5" customHeight="1">
      <c r="A595" s="250"/>
      <c r="B595" s="196"/>
      <c r="C595" s="152"/>
      <c r="D595" s="196"/>
      <c r="E595" s="196"/>
      <c r="F595" s="155"/>
    </row>
    <row r="596" ht="22.5" customHeight="1">
      <c r="A596" s="202"/>
      <c r="B596" s="197"/>
      <c r="C596" s="144"/>
      <c r="D596" s="197"/>
      <c r="E596" s="197"/>
      <c r="F596" s="147"/>
    </row>
    <row r="597" ht="22.5" customHeight="1">
      <c r="A597" s="250"/>
      <c r="B597" s="196"/>
      <c r="C597" s="152"/>
      <c r="D597" s="196"/>
      <c r="E597" s="196"/>
      <c r="F597" s="155"/>
    </row>
    <row r="598" ht="22.5" customHeight="1">
      <c r="A598" s="202"/>
      <c r="B598" s="197"/>
      <c r="C598" s="144"/>
      <c r="D598" s="197"/>
      <c r="E598" s="197"/>
      <c r="F598" s="147"/>
    </row>
    <row r="599" ht="22.5" customHeight="1">
      <c r="A599" s="250"/>
      <c r="B599" s="196"/>
      <c r="C599" s="152"/>
      <c r="D599" s="196"/>
      <c r="E599" s="196"/>
      <c r="F599" s="155"/>
    </row>
    <row r="600" ht="22.5" customHeight="1">
      <c r="A600" s="202"/>
      <c r="B600" s="197"/>
      <c r="C600" s="144"/>
      <c r="D600" s="197"/>
      <c r="E600" s="197"/>
      <c r="F600" s="147"/>
    </row>
    <row r="601" ht="22.5" customHeight="1">
      <c r="A601" s="250"/>
      <c r="B601" s="196"/>
      <c r="C601" s="152"/>
      <c r="D601" s="196"/>
      <c r="E601" s="196"/>
      <c r="F601" s="155"/>
    </row>
    <row r="602" ht="22.5" customHeight="1">
      <c r="A602" s="202"/>
      <c r="B602" s="197"/>
      <c r="C602" s="144"/>
      <c r="D602" s="197"/>
      <c r="E602" s="197"/>
      <c r="F602" s="147"/>
    </row>
    <row r="603" ht="22.5" customHeight="1">
      <c r="A603" s="250"/>
      <c r="B603" s="196"/>
      <c r="C603" s="152"/>
      <c r="D603" s="196"/>
      <c r="E603" s="196"/>
      <c r="F603" s="155"/>
    </row>
    <row r="604" ht="22.5" customHeight="1">
      <c r="A604" s="202"/>
      <c r="B604" s="197"/>
      <c r="C604" s="144"/>
      <c r="D604" s="197"/>
      <c r="E604" s="197"/>
      <c r="F604" s="147"/>
    </row>
    <row r="605" ht="22.5" customHeight="1">
      <c r="A605" s="250"/>
      <c r="B605" s="196"/>
      <c r="C605" s="152"/>
      <c r="D605" s="196"/>
      <c r="E605" s="196"/>
      <c r="F605" s="155"/>
    </row>
    <row r="606" ht="22.5" customHeight="1">
      <c r="A606" s="202"/>
      <c r="B606" s="197"/>
      <c r="C606" s="144"/>
      <c r="D606" s="197"/>
      <c r="E606" s="197"/>
      <c r="F606" s="147"/>
    </row>
    <row r="607" ht="22.5" customHeight="1">
      <c r="A607" s="250"/>
      <c r="B607" s="196"/>
      <c r="C607" s="152"/>
      <c r="D607" s="196"/>
      <c r="E607" s="196"/>
      <c r="F607" s="155"/>
    </row>
    <row r="608" ht="22.5" customHeight="1">
      <c r="A608" s="202"/>
      <c r="B608" s="197"/>
      <c r="C608" s="144"/>
      <c r="D608" s="197"/>
      <c r="E608" s="197"/>
      <c r="F608" s="147"/>
    </row>
    <row r="609" ht="22.5" customHeight="1">
      <c r="A609" s="250"/>
      <c r="B609" s="196"/>
      <c r="C609" s="152"/>
      <c r="D609" s="196"/>
      <c r="E609" s="196"/>
      <c r="F609" s="155"/>
    </row>
    <row r="610" ht="22.5" customHeight="1">
      <c r="A610" s="202"/>
      <c r="B610" s="197"/>
      <c r="C610" s="144"/>
      <c r="D610" s="197"/>
      <c r="E610" s="197"/>
      <c r="F610" s="147"/>
    </row>
    <row r="611" ht="22.5" customHeight="1">
      <c r="A611" s="250"/>
      <c r="B611" s="196"/>
      <c r="C611" s="152"/>
      <c r="D611" s="196"/>
      <c r="E611" s="196"/>
      <c r="F611" s="155"/>
    </row>
    <row r="612" ht="22.5" customHeight="1">
      <c r="A612" s="202"/>
      <c r="B612" s="197"/>
      <c r="C612" s="144"/>
      <c r="D612" s="197"/>
      <c r="E612" s="197"/>
      <c r="F612" s="147"/>
    </row>
    <row r="613" ht="22.5" customHeight="1">
      <c r="A613" s="250"/>
      <c r="B613" s="196"/>
      <c r="C613" s="152"/>
      <c r="D613" s="196"/>
      <c r="E613" s="196"/>
      <c r="F613" s="155"/>
    </row>
    <row r="614" ht="22.5" customHeight="1">
      <c r="A614" s="202"/>
      <c r="B614" s="197"/>
      <c r="C614" s="144"/>
      <c r="D614" s="197"/>
      <c r="E614" s="197"/>
      <c r="F614" s="147"/>
    </row>
    <row r="615" ht="22.5" customHeight="1">
      <c r="A615" s="250"/>
      <c r="B615" s="196"/>
      <c r="C615" s="152"/>
      <c r="D615" s="196"/>
      <c r="E615" s="196"/>
      <c r="F615" s="155"/>
    </row>
    <row r="616" ht="22.5" customHeight="1">
      <c r="A616" s="202"/>
      <c r="B616" s="197"/>
      <c r="C616" s="144"/>
      <c r="D616" s="197"/>
      <c r="E616" s="197"/>
      <c r="F616" s="147"/>
    </row>
    <row r="617" ht="22.5" customHeight="1">
      <c r="A617" s="250"/>
      <c r="B617" s="196"/>
      <c r="C617" s="152"/>
      <c r="D617" s="196"/>
      <c r="E617" s="196"/>
      <c r="F617" s="155"/>
    </row>
    <row r="618" ht="22.5" customHeight="1">
      <c r="A618" s="202"/>
      <c r="B618" s="197"/>
      <c r="C618" s="144"/>
      <c r="D618" s="197"/>
      <c r="E618" s="197"/>
      <c r="F618" s="147"/>
    </row>
    <row r="619" ht="22.5" customHeight="1">
      <c r="A619" s="250"/>
      <c r="B619" s="196"/>
      <c r="C619" s="152"/>
      <c r="D619" s="196"/>
      <c r="E619" s="196"/>
      <c r="F619" s="155"/>
    </row>
    <row r="620" ht="22.5" customHeight="1">
      <c r="A620" s="202"/>
      <c r="B620" s="197"/>
      <c r="C620" s="144"/>
      <c r="D620" s="197"/>
      <c r="E620" s="197"/>
      <c r="F620" s="147"/>
    </row>
    <row r="621" ht="22.5" customHeight="1">
      <c r="A621" s="250"/>
      <c r="B621" s="196"/>
      <c r="C621" s="152"/>
      <c r="D621" s="196"/>
      <c r="E621" s="196"/>
      <c r="F621" s="155"/>
    </row>
    <row r="622" ht="22.5" customHeight="1">
      <c r="A622" s="202"/>
      <c r="B622" s="197"/>
      <c r="C622" s="144"/>
      <c r="D622" s="197"/>
      <c r="E622" s="197"/>
      <c r="F622" s="147"/>
    </row>
    <row r="623" ht="22.5" customHeight="1">
      <c r="A623" s="250"/>
      <c r="B623" s="196"/>
      <c r="C623" s="152"/>
      <c r="D623" s="196"/>
      <c r="E623" s="196"/>
      <c r="F623" s="155"/>
    </row>
    <row r="624" ht="22.5" customHeight="1">
      <c r="A624" s="202"/>
      <c r="B624" s="197"/>
      <c r="C624" s="144"/>
      <c r="D624" s="197"/>
      <c r="E624" s="197"/>
      <c r="F624" s="147"/>
    </row>
    <row r="625" ht="22.5" customHeight="1">
      <c r="A625" s="250"/>
      <c r="B625" s="196"/>
      <c r="C625" s="152"/>
      <c r="D625" s="196"/>
      <c r="E625" s="196"/>
      <c r="F625" s="155"/>
    </row>
    <row r="626" ht="22.5" customHeight="1">
      <c r="A626" s="202"/>
      <c r="B626" s="197"/>
      <c r="C626" s="144"/>
      <c r="D626" s="197"/>
      <c r="E626" s="197"/>
      <c r="F626" s="147"/>
    </row>
    <row r="627" ht="22.5" customHeight="1">
      <c r="A627" s="250"/>
      <c r="B627" s="196"/>
      <c r="C627" s="152"/>
      <c r="D627" s="196"/>
      <c r="E627" s="196"/>
      <c r="F627" s="155"/>
    </row>
    <row r="628" ht="22.5" customHeight="1">
      <c r="A628" s="202"/>
      <c r="B628" s="197"/>
      <c r="C628" s="144"/>
      <c r="D628" s="197"/>
      <c r="E628" s="197"/>
      <c r="F628" s="147"/>
    </row>
    <row r="629" ht="22.5" customHeight="1">
      <c r="A629" s="250"/>
      <c r="B629" s="196"/>
      <c r="C629" s="152"/>
      <c r="D629" s="196"/>
      <c r="E629" s="196"/>
      <c r="F629" s="155"/>
    </row>
    <row r="630" ht="22.5" customHeight="1">
      <c r="A630" s="202"/>
      <c r="B630" s="197"/>
      <c r="C630" s="144"/>
      <c r="D630" s="197"/>
      <c r="E630" s="197"/>
      <c r="F630" s="147"/>
    </row>
    <row r="631" ht="22.5" customHeight="1">
      <c r="A631" s="250"/>
      <c r="B631" s="196"/>
      <c r="C631" s="152"/>
      <c r="D631" s="196"/>
      <c r="E631" s="196"/>
      <c r="F631" s="155"/>
    </row>
    <row r="632" ht="22.5" customHeight="1">
      <c r="A632" s="202"/>
      <c r="B632" s="197"/>
      <c r="C632" s="144"/>
      <c r="D632" s="197"/>
      <c r="E632" s="197"/>
      <c r="F632" s="147"/>
    </row>
    <row r="633" ht="22.5" customHeight="1">
      <c r="A633" s="250"/>
      <c r="B633" s="196"/>
      <c r="C633" s="152"/>
      <c r="D633" s="196"/>
      <c r="E633" s="196"/>
      <c r="F633" s="155"/>
    </row>
    <row r="634" ht="22.5" customHeight="1">
      <c r="A634" s="202"/>
      <c r="B634" s="197"/>
      <c r="C634" s="144"/>
      <c r="D634" s="197"/>
      <c r="E634" s="197"/>
      <c r="F634" s="147"/>
    </row>
    <row r="635" ht="22.5" customHeight="1">
      <c r="A635" s="250"/>
      <c r="B635" s="196"/>
      <c r="C635" s="152"/>
      <c r="D635" s="196"/>
      <c r="E635" s="196"/>
      <c r="F635" s="155"/>
    </row>
    <row r="636" ht="22.5" customHeight="1">
      <c r="A636" s="202"/>
      <c r="B636" s="197"/>
      <c r="C636" s="144"/>
      <c r="D636" s="197"/>
      <c r="E636" s="197"/>
      <c r="F636" s="147"/>
    </row>
    <row r="637" ht="22.5" customHeight="1">
      <c r="A637" s="250"/>
      <c r="B637" s="196"/>
      <c r="C637" s="152"/>
      <c r="D637" s="196"/>
      <c r="E637" s="196"/>
      <c r="F637" s="155"/>
    </row>
    <row r="638" ht="22.5" customHeight="1">
      <c r="A638" s="202"/>
      <c r="B638" s="197"/>
      <c r="C638" s="144"/>
      <c r="D638" s="197"/>
      <c r="E638" s="197"/>
      <c r="F638" s="147"/>
    </row>
    <row r="639" ht="22.5" customHeight="1">
      <c r="A639" s="250"/>
      <c r="B639" s="196"/>
      <c r="C639" s="152"/>
      <c r="D639" s="196"/>
      <c r="E639" s="196"/>
      <c r="F639" s="155"/>
    </row>
    <row r="640" ht="22.5" customHeight="1">
      <c r="A640" s="202"/>
      <c r="B640" s="197"/>
      <c r="C640" s="144"/>
      <c r="D640" s="197"/>
      <c r="E640" s="197"/>
      <c r="F640" s="147"/>
    </row>
    <row r="641" ht="22.5" customHeight="1">
      <c r="A641" s="250"/>
      <c r="B641" s="196"/>
      <c r="C641" s="152"/>
      <c r="D641" s="196"/>
      <c r="E641" s="196"/>
      <c r="F641" s="155"/>
    </row>
    <row r="642" ht="22.5" customHeight="1">
      <c r="A642" s="202"/>
      <c r="B642" s="197"/>
      <c r="C642" s="144"/>
      <c r="D642" s="197"/>
      <c r="E642" s="197"/>
      <c r="F642" s="147"/>
    </row>
    <row r="643" ht="22.5" customHeight="1">
      <c r="A643" s="250"/>
      <c r="B643" s="196"/>
      <c r="C643" s="152"/>
      <c r="D643" s="196"/>
      <c r="E643" s="196"/>
      <c r="F643" s="155"/>
    </row>
    <row r="644" ht="22.5" customHeight="1">
      <c r="A644" s="202"/>
      <c r="B644" s="197"/>
      <c r="C644" s="144"/>
      <c r="D644" s="197"/>
      <c r="E644" s="197"/>
      <c r="F644" s="147"/>
    </row>
    <row r="645" ht="22.5" customHeight="1">
      <c r="A645" s="250"/>
      <c r="B645" s="196"/>
      <c r="C645" s="152"/>
      <c r="D645" s="196"/>
      <c r="E645" s="196"/>
      <c r="F645" s="155"/>
    </row>
    <row r="646" ht="22.5" customHeight="1">
      <c r="A646" s="202"/>
      <c r="B646" s="197"/>
      <c r="C646" s="144"/>
      <c r="D646" s="197"/>
      <c r="E646" s="197"/>
      <c r="F646" s="147"/>
    </row>
    <row r="647" ht="22.5" customHeight="1">
      <c r="A647" s="250"/>
      <c r="B647" s="196"/>
      <c r="C647" s="152"/>
      <c r="D647" s="196"/>
      <c r="E647" s="196"/>
      <c r="F647" s="155"/>
    </row>
    <row r="648" ht="22.5" customHeight="1">
      <c r="A648" s="202"/>
      <c r="B648" s="197"/>
      <c r="C648" s="144"/>
      <c r="D648" s="197"/>
      <c r="E648" s="197"/>
      <c r="F648" s="147"/>
    </row>
    <row r="649" ht="22.5" customHeight="1">
      <c r="A649" s="250"/>
      <c r="B649" s="196"/>
      <c r="C649" s="152"/>
      <c r="D649" s="196"/>
      <c r="E649" s="196"/>
      <c r="F649" s="155"/>
    </row>
    <row r="650" ht="22.5" customHeight="1">
      <c r="A650" s="202"/>
      <c r="B650" s="197"/>
      <c r="C650" s="144"/>
      <c r="D650" s="197"/>
      <c r="E650" s="197"/>
      <c r="F650" s="147"/>
    </row>
    <row r="651" ht="22.5" customHeight="1">
      <c r="A651" s="250"/>
      <c r="B651" s="196"/>
      <c r="C651" s="152"/>
      <c r="D651" s="196"/>
      <c r="E651" s="196"/>
      <c r="F651" s="155"/>
    </row>
    <row r="652" ht="22.5" customHeight="1">
      <c r="A652" s="202"/>
      <c r="B652" s="197"/>
      <c r="C652" s="144"/>
      <c r="D652" s="197"/>
      <c r="E652" s="197"/>
      <c r="F652" s="147"/>
    </row>
    <row r="653" ht="22.5" customHeight="1">
      <c r="A653" s="250"/>
      <c r="B653" s="196"/>
      <c r="C653" s="152"/>
      <c r="D653" s="196"/>
      <c r="E653" s="196"/>
      <c r="F653" s="155"/>
    </row>
    <row r="654" ht="22.5" customHeight="1">
      <c r="A654" s="202"/>
      <c r="B654" s="197"/>
      <c r="C654" s="144"/>
      <c r="D654" s="197"/>
      <c r="E654" s="197"/>
      <c r="F654" s="147"/>
    </row>
    <row r="655" ht="22.5" customHeight="1">
      <c r="A655" s="250"/>
      <c r="B655" s="196"/>
      <c r="C655" s="152"/>
      <c r="D655" s="196"/>
      <c r="E655" s="196"/>
      <c r="F655" s="155"/>
    </row>
    <row r="656" ht="22.5" customHeight="1">
      <c r="A656" s="202"/>
      <c r="B656" s="197"/>
      <c r="C656" s="144"/>
      <c r="D656" s="197"/>
      <c r="E656" s="197"/>
      <c r="F656" s="147"/>
    </row>
    <row r="657" ht="22.5" customHeight="1">
      <c r="A657" s="250"/>
      <c r="B657" s="196"/>
      <c r="C657" s="152"/>
      <c r="D657" s="196"/>
      <c r="E657" s="196"/>
      <c r="F657" s="155"/>
    </row>
    <row r="658" ht="22.5" customHeight="1">
      <c r="A658" s="202"/>
      <c r="B658" s="197"/>
      <c r="C658" s="144"/>
      <c r="D658" s="197"/>
      <c r="E658" s="197"/>
      <c r="F658" s="147"/>
    </row>
    <row r="659" ht="22.5" customHeight="1">
      <c r="A659" s="250"/>
      <c r="B659" s="196"/>
      <c r="C659" s="152"/>
      <c r="D659" s="196"/>
      <c r="E659" s="196"/>
      <c r="F659" s="155"/>
    </row>
    <row r="660" ht="22.5" customHeight="1">
      <c r="A660" s="202"/>
      <c r="B660" s="197"/>
      <c r="C660" s="144"/>
      <c r="D660" s="197"/>
      <c r="E660" s="197"/>
      <c r="F660" s="147"/>
    </row>
    <row r="661" ht="22.5" customHeight="1">
      <c r="A661" s="250"/>
      <c r="B661" s="196"/>
      <c r="C661" s="152"/>
      <c r="D661" s="196"/>
      <c r="E661" s="196"/>
      <c r="F661" s="155"/>
    </row>
    <row r="662" ht="22.5" customHeight="1">
      <c r="A662" s="202"/>
      <c r="B662" s="197"/>
      <c r="C662" s="144"/>
      <c r="D662" s="197"/>
      <c r="E662" s="197"/>
      <c r="F662" s="147"/>
    </row>
    <row r="663" ht="22.5" customHeight="1">
      <c r="A663" s="250"/>
      <c r="B663" s="196"/>
      <c r="C663" s="152"/>
      <c r="D663" s="196"/>
      <c r="E663" s="196"/>
      <c r="F663" s="155"/>
    </row>
    <row r="664" ht="22.5" customHeight="1">
      <c r="A664" s="202"/>
      <c r="B664" s="197"/>
      <c r="C664" s="144"/>
      <c r="D664" s="197"/>
      <c r="E664" s="197"/>
      <c r="F664" s="147"/>
    </row>
    <row r="665" ht="22.5" customHeight="1">
      <c r="A665" s="250"/>
      <c r="B665" s="196"/>
      <c r="C665" s="152"/>
      <c r="D665" s="196"/>
      <c r="E665" s="196"/>
      <c r="F665" s="155"/>
    </row>
    <row r="666" ht="22.5" customHeight="1">
      <c r="A666" s="202"/>
      <c r="B666" s="197"/>
      <c r="C666" s="144"/>
      <c r="D666" s="197"/>
      <c r="E666" s="197"/>
      <c r="F666" s="147"/>
    </row>
    <row r="667" ht="22.5" customHeight="1">
      <c r="A667" s="250"/>
      <c r="B667" s="196"/>
      <c r="C667" s="152"/>
      <c r="D667" s="196"/>
      <c r="E667" s="196"/>
      <c r="F667" s="155"/>
    </row>
    <row r="668" ht="22.5" customHeight="1">
      <c r="A668" s="202"/>
      <c r="B668" s="197"/>
      <c r="C668" s="144"/>
      <c r="D668" s="197"/>
      <c r="E668" s="197"/>
      <c r="F668" s="147"/>
    </row>
    <row r="669" ht="22.5" customHeight="1">
      <c r="A669" s="250"/>
      <c r="B669" s="196"/>
      <c r="C669" s="152"/>
      <c r="D669" s="196"/>
      <c r="E669" s="196"/>
      <c r="F669" s="155"/>
    </row>
    <row r="670" ht="22.5" customHeight="1">
      <c r="A670" s="202"/>
      <c r="B670" s="197"/>
      <c r="C670" s="144"/>
      <c r="D670" s="197"/>
      <c r="E670" s="197"/>
      <c r="F670" s="147"/>
    </row>
    <row r="671" ht="22.5" customHeight="1">
      <c r="A671" s="250"/>
      <c r="B671" s="196"/>
      <c r="C671" s="152"/>
      <c r="D671" s="196"/>
      <c r="E671" s="196"/>
      <c r="F671" s="155"/>
    </row>
    <row r="672" ht="22.5" customHeight="1">
      <c r="A672" s="202"/>
      <c r="B672" s="197"/>
      <c r="C672" s="144"/>
      <c r="D672" s="197"/>
      <c r="E672" s="197"/>
      <c r="F672" s="147"/>
    </row>
    <row r="673" ht="22.5" customHeight="1">
      <c r="A673" s="250"/>
      <c r="B673" s="196"/>
      <c r="C673" s="152"/>
      <c r="D673" s="196"/>
      <c r="E673" s="196"/>
      <c r="F673" s="155"/>
    </row>
    <row r="674" ht="22.5" customHeight="1">
      <c r="A674" s="202"/>
      <c r="B674" s="197"/>
      <c r="C674" s="144"/>
      <c r="D674" s="197"/>
      <c r="E674" s="197"/>
      <c r="F674" s="147"/>
    </row>
    <row r="675" ht="22.5" customHeight="1">
      <c r="A675" s="250"/>
      <c r="B675" s="196"/>
      <c r="C675" s="152"/>
      <c r="D675" s="196"/>
      <c r="E675" s="196"/>
      <c r="F675" s="155"/>
    </row>
    <row r="676" ht="22.5" customHeight="1">
      <c r="A676" s="202"/>
      <c r="B676" s="197"/>
      <c r="C676" s="144"/>
      <c r="D676" s="197"/>
      <c r="E676" s="197"/>
      <c r="F676" s="147"/>
    </row>
    <row r="677" ht="22.5" customHeight="1">
      <c r="A677" s="250"/>
      <c r="B677" s="196"/>
      <c r="C677" s="152"/>
      <c r="D677" s="196"/>
      <c r="E677" s="196"/>
      <c r="F677" s="155"/>
    </row>
    <row r="678" ht="22.5" customHeight="1">
      <c r="A678" s="202"/>
      <c r="B678" s="197"/>
      <c r="C678" s="144"/>
      <c r="D678" s="197"/>
      <c r="E678" s="197"/>
      <c r="F678" s="147"/>
    </row>
    <row r="679" ht="22.5" customHeight="1">
      <c r="A679" s="250"/>
      <c r="B679" s="196"/>
      <c r="C679" s="152"/>
      <c r="D679" s="196"/>
      <c r="E679" s="196"/>
      <c r="F679" s="155"/>
    </row>
    <row r="680" ht="22.5" customHeight="1">
      <c r="A680" s="202"/>
      <c r="B680" s="197"/>
      <c r="C680" s="144"/>
      <c r="D680" s="197"/>
      <c r="E680" s="197"/>
      <c r="F680" s="147"/>
    </row>
    <row r="681" ht="22.5" customHeight="1">
      <c r="A681" s="250"/>
      <c r="B681" s="196"/>
      <c r="C681" s="152"/>
      <c r="D681" s="196"/>
      <c r="E681" s="196"/>
      <c r="F681" s="155"/>
    </row>
    <row r="682" ht="22.5" customHeight="1">
      <c r="A682" s="202"/>
      <c r="B682" s="197"/>
      <c r="C682" s="144"/>
      <c r="D682" s="197"/>
      <c r="E682" s="197"/>
      <c r="F682" s="147"/>
    </row>
    <row r="683" ht="22.5" customHeight="1">
      <c r="A683" s="250"/>
      <c r="B683" s="196"/>
      <c r="C683" s="152"/>
      <c r="D683" s="196"/>
      <c r="E683" s="196"/>
      <c r="F683" s="155"/>
    </row>
    <row r="684" ht="22.5" customHeight="1">
      <c r="A684" s="202"/>
      <c r="B684" s="197"/>
      <c r="C684" s="144"/>
      <c r="D684" s="197"/>
      <c r="E684" s="197"/>
      <c r="F684" s="147"/>
    </row>
    <row r="685" ht="22.5" customHeight="1">
      <c r="A685" s="250"/>
      <c r="B685" s="196"/>
      <c r="C685" s="152"/>
      <c r="D685" s="196"/>
      <c r="E685" s="196"/>
      <c r="F685" s="155"/>
    </row>
    <row r="686" ht="22.5" customHeight="1">
      <c r="A686" s="202"/>
      <c r="B686" s="197"/>
      <c r="C686" s="144"/>
      <c r="D686" s="197"/>
      <c r="E686" s="197"/>
      <c r="F686" s="147"/>
    </row>
    <row r="687" ht="22.5" customHeight="1">
      <c r="A687" s="250"/>
      <c r="B687" s="196"/>
      <c r="C687" s="152"/>
      <c r="D687" s="196"/>
      <c r="E687" s="196"/>
      <c r="F687" s="155"/>
    </row>
    <row r="688" ht="22.5" customHeight="1">
      <c r="A688" s="202"/>
      <c r="B688" s="197"/>
      <c r="C688" s="144"/>
      <c r="D688" s="197"/>
      <c r="E688" s="197"/>
      <c r="F688" s="147"/>
    </row>
    <row r="689" ht="22.5" customHeight="1">
      <c r="A689" s="250"/>
      <c r="B689" s="196"/>
      <c r="C689" s="152"/>
      <c r="D689" s="196"/>
      <c r="E689" s="196"/>
      <c r="F689" s="155"/>
    </row>
    <row r="690" ht="22.5" customHeight="1">
      <c r="A690" s="202"/>
      <c r="B690" s="197"/>
      <c r="C690" s="144"/>
      <c r="D690" s="197"/>
      <c r="E690" s="197"/>
      <c r="F690" s="147"/>
    </row>
    <row r="691" ht="22.5" customHeight="1">
      <c r="A691" s="250"/>
      <c r="B691" s="196"/>
      <c r="C691" s="152"/>
      <c r="D691" s="196"/>
      <c r="E691" s="196"/>
      <c r="F691" s="155"/>
    </row>
    <row r="692" ht="22.5" customHeight="1">
      <c r="A692" s="202"/>
      <c r="B692" s="197"/>
      <c r="C692" s="144"/>
      <c r="D692" s="197"/>
      <c r="E692" s="197"/>
      <c r="F692" s="147"/>
    </row>
    <row r="693" ht="22.5" customHeight="1">
      <c r="A693" s="250"/>
      <c r="B693" s="196"/>
      <c r="C693" s="152"/>
      <c r="D693" s="196"/>
      <c r="E693" s="196"/>
      <c r="F693" s="155"/>
    </row>
    <row r="694" ht="22.5" customHeight="1">
      <c r="A694" s="202"/>
      <c r="B694" s="197"/>
      <c r="C694" s="144"/>
      <c r="D694" s="197"/>
      <c r="E694" s="197"/>
      <c r="F694" s="147"/>
    </row>
    <row r="695" ht="22.5" customHeight="1">
      <c r="A695" s="250"/>
      <c r="B695" s="196"/>
      <c r="C695" s="152"/>
      <c r="D695" s="196"/>
      <c r="E695" s="196"/>
      <c r="F695" s="155"/>
    </row>
    <row r="696" ht="22.5" customHeight="1">
      <c r="A696" s="202"/>
      <c r="B696" s="197"/>
      <c r="C696" s="144"/>
      <c r="D696" s="197"/>
      <c r="E696" s="197"/>
      <c r="F696" s="147"/>
    </row>
    <row r="697" ht="22.5" customHeight="1">
      <c r="A697" s="250"/>
      <c r="B697" s="196"/>
      <c r="C697" s="152"/>
      <c r="D697" s="196"/>
      <c r="E697" s="196"/>
      <c r="F697" s="155"/>
    </row>
    <row r="698" ht="22.5" customHeight="1">
      <c r="A698" s="202"/>
      <c r="B698" s="197"/>
      <c r="C698" s="144"/>
      <c r="D698" s="197"/>
      <c r="E698" s="197"/>
      <c r="F698" s="147"/>
    </row>
    <row r="699" ht="22.5" customHeight="1">
      <c r="A699" s="250"/>
      <c r="B699" s="196"/>
      <c r="C699" s="152"/>
      <c r="D699" s="196"/>
      <c r="E699" s="196"/>
      <c r="F699" s="155"/>
    </row>
    <row r="700" ht="22.5" customHeight="1">
      <c r="A700" s="202"/>
      <c r="B700" s="197"/>
      <c r="C700" s="144"/>
      <c r="D700" s="197"/>
      <c r="E700" s="197"/>
      <c r="F700" s="147"/>
    </row>
    <row r="701" ht="22.5" customHeight="1">
      <c r="A701" s="250"/>
      <c r="B701" s="196"/>
      <c r="C701" s="152"/>
      <c r="D701" s="196"/>
      <c r="E701" s="196"/>
      <c r="F701" s="155"/>
    </row>
    <row r="702" ht="22.5" customHeight="1">
      <c r="A702" s="202"/>
      <c r="B702" s="197"/>
      <c r="C702" s="144"/>
      <c r="D702" s="197"/>
      <c r="E702" s="197"/>
      <c r="F702" s="147"/>
    </row>
    <row r="703" ht="22.5" customHeight="1">
      <c r="A703" s="250"/>
      <c r="B703" s="196"/>
      <c r="C703" s="152"/>
      <c r="D703" s="196"/>
      <c r="E703" s="196"/>
      <c r="F703" s="155"/>
    </row>
    <row r="704" ht="22.5" customHeight="1">
      <c r="A704" s="202"/>
      <c r="B704" s="197"/>
      <c r="C704" s="144"/>
      <c r="D704" s="197"/>
      <c r="E704" s="197"/>
      <c r="F704" s="147"/>
    </row>
    <row r="705" ht="22.5" customHeight="1">
      <c r="A705" s="250"/>
      <c r="B705" s="196"/>
      <c r="C705" s="152"/>
      <c r="D705" s="196"/>
      <c r="E705" s="196"/>
      <c r="F705" s="155"/>
    </row>
    <row r="706" ht="22.5" customHeight="1">
      <c r="A706" s="202"/>
      <c r="B706" s="197"/>
      <c r="C706" s="144"/>
      <c r="D706" s="197"/>
      <c r="E706" s="197"/>
      <c r="F706" s="147"/>
    </row>
    <row r="707" ht="22.5" customHeight="1">
      <c r="A707" s="250"/>
      <c r="B707" s="196"/>
      <c r="C707" s="152"/>
      <c r="D707" s="196"/>
      <c r="E707" s="196"/>
      <c r="F707" s="155"/>
    </row>
    <row r="708" ht="22.5" customHeight="1">
      <c r="A708" s="202"/>
      <c r="B708" s="197"/>
      <c r="C708" s="144"/>
      <c r="D708" s="197"/>
      <c r="E708" s="197"/>
      <c r="F708" s="147"/>
    </row>
    <row r="709" ht="22.5" customHeight="1">
      <c r="A709" s="250"/>
      <c r="B709" s="196"/>
      <c r="C709" s="152"/>
      <c r="D709" s="196"/>
      <c r="E709" s="196"/>
      <c r="F709" s="155"/>
    </row>
    <row r="710" ht="22.5" customHeight="1">
      <c r="A710" s="202"/>
      <c r="B710" s="197"/>
      <c r="C710" s="144"/>
      <c r="D710" s="197"/>
      <c r="E710" s="197"/>
      <c r="F710" s="147"/>
    </row>
    <row r="711" ht="22.5" customHeight="1">
      <c r="A711" s="250"/>
      <c r="B711" s="196"/>
      <c r="C711" s="152"/>
      <c r="D711" s="196"/>
      <c r="E711" s="196"/>
      <c r="F711" s="155"/>
    </row>
    <row r="712" ht="22.5" customHeight="1">
      <c r="A712" s="202"/>
      <c r="B712" s="197"/>
      <c r="C712" s="144"/>
      <c r="D712" s="197"/>
      <c r="E712" s="197"/>
      <c r="F712" s="147"/>
    </row>
    <row r="713" ht="22.5" customHeight="1">
      <c r="A713" s="250"/>
      <c r="B713" s="196"/>
      <c r="C713" s="152"/>
      <c r="D713" s="196"/>
      <c r="E713" s="196"/>
      <c r="F713" s="155"/>
    </row>
    <row r="714" ht="22.5" customHeight="1">
      <c r="A714" s="202"/>
      <c r="B714" s="197"/>
      <c r="C714" s="144"/>
      <c r="D714" s="197"/>
      <c r="E714" s="197"/>
      <c r="F714" s="147"/>
    </row>
    <row r="715" ht="22.5" customHeight="1">
      <c r="A715" s="250"/>
      <c r="B715" s="196"/>
      <c r="C715" s="152"/>
      <c r="D715" s="196"/>
      <c r="E715" s="196"/>
      <c r="F715" s="155"/>
    </row>
    <row r="716" ht="22.5" customHeight="1">
      <c r="A716" s="202"/>
      <c r="B716" s="197"/>
      <c r="C716" s="144"/>
      <c r="D716" s="197"/>
      <c r="E716" s="197"/>
      <c r="F716" s="147"/>
    </row>
    <row r="717" ht="22.5" customHeight="1">
      <c r="A717" s="250"/>
      <c r="B717" s="196"/>
      <c r="C717" s="152"/>
      <c r="D717" s="196"/>
      <c r="E717" s="196"/>
      <c r="F717" s="155"/>
    </row>
    <row r="718" ht="22.5" customHeight="1">
      <c r="A718" s="202"/>
      <c r="B718" s="197"/>
      <c r="C718" s="144"/>
      <c r="D718" s="197"/>
      <c r="E718" s="197"/>
      <c r="F718" s="147"/>
    </row>
    <row r="719" ht="22.5" customHeight="1">
      <c r="A719" s="250"/>
      <c r="B719" s="196"/>
      <c r="C719" s="152"/>
      <c r="D719" s="196"/>
      <c r="E719" s="196"/>
      <c r="F719" s="155"/>
    </row>
    <row r="720" ht="22.5" customHeight="1">
      <c r="A720" s="202"/>
      <c r="B720" s="197"/>
      <c r="C720" s="144"/>
      <c r="D720" s="197"/>
      <c r="E720" s="197"/>
      <c r="F720" s="147"/>
    </row>
    <row r="721" ht="22.5" customHeight="1">
      <c r="A721" s="250"/>
      <c r="B721" s="196"/>
      <c r="C721" s="152"/>
      <c r="D721" s="196"/>
      <c r="E721" s="196"/>
      <c r="F721" s="155"/>
    </row>
    <row r="722" ht="22.5" customHeight="1">
      <c r="A722" s="202"/>
      <c r="B722" s="197"/>
      <c r="C722" s="144"/>
      <c r="D722" s="197"/>
      <c r="E722" s="197"/>
      <c r="F722" s="147"/>
    </row>
    <row r="723" ht="22.5" customHeight="1">
      <c r="A723" s="250"/>
      <c r="B723" s="196"/>
      <c r="C723" s="152"/>
      <c r="D723" s="196"/>
      <c r="E723" s="196"/>
      <c r="F723" s="155"/>
    </row>
    <row r="724" ht="22.5" customHeight="1">
      <c r="A724" s="202"/>
      <c r="B724" s="197"/>
      <c r="C724" s="144"/>
      <c r="D724" s="197"/>
      <c r="E724" s="197"/>
      <c r="F724" s="147"/>
    </row>
    <row r="725" ht="22.5" customHeight="1">
      <c r="A725" s="250"/>
      <c r="B725" s="196"/>
      <c r="C725" s="152"/>
      <c r="D725" s="196"/>
      <c r="E725" s="196"/>
      <c r="F725" s="155"/>
    </row>
    <row r="726" ht="22.5" customHeight="1">
      <c r="A726" s="202"/>
      <c r="B726" s="197"/>
      <c r="C726" s="144"/>
      <c r="D726" s="197"/>
      <c r="E726" s="197"/>
      <c r="F726" s="147"/>
    </row>
    <row r="727" ht="22.5" customHeight="1">
      <c r="A727" s="250"/>
      <c r="B727" s="196"/>
      <c r="C727" s="152"/>
      <c r="D727" s="196"/>
      <c r="E727" s="196"/>
      <c r="F727" s="155"/>
    </row>
    <row r="728" ht="22.5" customHeight="1">
      <c r="A728" s="202"/>
      <c r="B728" s="197"/>
      <c r="C728" s="144"/>
      <c r="D728" s="197"/>
      <c r="E728" s="197"/>
      <c r="F728" s="147"/>
    </row>
    <row r="729" ht="22.5" customHeight="1">
      <c r="A729" s="250"/>
      <c r="B729" s="196"/>
      <c r="C729" s="152"/>
      <c r="D729" s="196"/>
      <c r="E729" s="196"/>
      <c r="F729" s="155"/>
    </row>
    <row r="730" ht="22.5" customHeight="1">
      <c r="A730" s="202"/>
      <c r="B730" s="197"/>
      <c r="C730" s="144"/>
      <c r="D730" s="197"/>
      <c r="E730" s="197"/>
      <c r="F730" s="147"/>
    </row>
    <row r="731" ht="22.5" customHeight="1">
      <c r="A731" s="250"/>
      <c r="B731" s="196"/>
      <c r="C731" s="152"/>
      <c r="D731" s="196"/>
      <c r="E731" s="196"/>
      <c r="F731" s="155"/>
    </row>
    <row r="732" ht="22.5" customHeight="1">
      <c r="A732" s="202"/>
      <c r="B732" s="197"/>
      <c r="C732" s="144"/>
      <c r="D732" s="197"/>
      <c r="E732" s="197"/>
      <c r="F732" s="147"/>
    </row>
    <row r="733" ht="22.5" customHeight="1">
      <c r="A733" s="250"/>
      <c r="B733" s="196"/>
      <c r="C733" s="152"/>
      <c r="D733" s="196"/>
      <c r="E733" s="196"/>
      <c r="F733" s="155"/>
    </row>
    <row r="734" ht="22.5" customHeight="1">
      <c r="A734" s="202"/>
      <c r="B734" s="197"/>
      <c r="C734" s="144"/>
      <c r="D734" s="197"/>
      <c r="E734" s="197"/>
      <c r="F734" s="147"/>
    </row>
    <row r="735" ht="22.5" customHeight="1">
      <c r="A735" s="250"/>
      <c r="B735" s="196"/>
      <c r="C735" s="152"/>
      <c r="D735" s="196"/>
      <c r="E735" s="196"/>
      <c r="F735" s="155"/>
    </row>
    <row r="736" ht="22.5" customHeight="1">
      <c r="A736" s="202"/>
      <c r="B736" s="197"/>
      <c r="C736" s="144"/>
      <c r="D736" s="197"/>
      <c r="E736" s="197"/>
      <c r="F736" s="147"/>
    </row>
    <row r="737" ht="22.5" customHeight="1">
      <c r="A737" s="250"/>
      <c r="B737" s="196"/>
      <c r="C737" s="152"/>
      <c r="D737" s="196"/>
      <c r="E737" s="196"/>
      <c r="F737" s="155"/>
    </row>
    <row r="738" ht="22.5" customHeight="1">
      <c r="A738" s="202"/>
      <c r="B738" s="197"/>
      <c r="C738" s="144"/>
      <c r="D738" s="197"/>
      <c r="E738" s="197"/>
      <c r="F738" s="147"/>
    </row>
    <row r="739" ht="22.5" customHeight="1">
      <c r="A739" s="250"/>
      <c r="B739" s="196"/>
      <c r="C739" s="152"/>
      <c r="D739" s="196"/>
      <c r="E739" s="196"/>
      <c r="F739" s="155"/>
    </row>
    <row r="740" ht="22.5" customHeight="1">
      <c r="A740" s="202"/>
      <c r="B740" s="197"/>
      <c r="C740" s="144"/>
      <c r="D740" s="197"/>
      <c r="E740" s="197"/>
      <c r="F740" s="147"/>
    </row>
    <row r="741" ht="22.5" customHeight="1">
      <c r="A741" s="250"/>
      <c r="B741" s="196"/>
      <c r="C741" s="152"/>
      <c r="D741" s="196"/>
      <c r="E741" s="196"/>
      <c r="F741" s="155"/>
    </row>
    <row r="742" ht="22.5" customHeight="1">
      <c r="A742" s="202"/>
      <c r="B742" s="197"/>
      <c r="C742" s="144"/>
      <c r="D742" s="197"/>
      <c r="E742" s="197"/>
      <c r="F742" s="147"/>
    </row>
    <row r="743" ht="22.5" customHeight="1">
      <c r="A743" s="250"/>
      <c r="B743" s="196"/>
      <c r="C743" s="152"/>
      <c r="D743" s="196"/>
      <c r="E743" s="196"/>
      <c r="F743" s="155"/>
    </row>
    <row r="744" ht="22.5" customHeight="1">
      <c r="A744" s="202"/>
      <c r="B744" s="197"/>
      <c r="C744" s="144"/>
      <c r="D744" s="197"/>
      <c r="E744" s="197"/>
      <c r="F744" s="147"/>
    </row>
    <row r="745" ht="22.5" customHeight="1">
      <c r="A745" s="250"/>
      <c r="B745" s="196"/>
      <c r="C745" s="152"/>
      <c r="D745" s="196"/>
      <c r="E745" s="196"/>
      <c r="F745" s="155"/>
    </row>
    <row r="746" ht="22.5" customHeight="1">
      <c r="A746" s="202"/>
      <c r="B746" s="197"/>
      <c r="C746" s="144"/>
      <c r="D746" s="197"/>
      <c r="E746" s="197"/>
      <c r="F746" s="147"/>
    </row>
    <row r="747" ht="22.5" customHeight="1">
      <c r="A747" s="250"/>
      <c r="B747" s="196"/>
      <c r="C747" s="152"/>
      <c r="D747" s="196"/>
      <c r="E747" s="196"/>
      <c r="F747" s="155"/>
    </row>
    <row r="748" ht="22.5" customHeight="1">
      <c r="A748" s="202"/>
      <c r="B748" s="197"/>
      <c r="C748" s="144"/>
      <c r="D748" s="197"/>
      <c r="E748" s="197"/>
      <c r="F748" s="147"/>
    </row>
    <row r="749" ht="22.5" customHeight="1">
      <c r="A749" s="250"/>
      <c r="B749" s="196"/>
      <c r="C749" s="152"/>
      <c r="D749" s="196"/>
      <c r="E749" s="196"/>
      <c r="F749" s="155"/>
    </row>
    <row r="750" ht="22.5" customHeight="1">
      <c r="A750" s="202"/>
      <c r="B750" s="197"/>
      <c r="C750" s="144"/>
      <c r="D750" s="197"/>
      <c r="E750" s="197"/>
      <c r="F750" s="147"/>
    </row>
    <row r="751" ht="22.5" customHeight="1">
      <c r="A751" s="250"/>
      <c r="B751" s="196"/>
      <c r="C751" s="152"/>
      <c r="D751" s="196"/>
      <c r="E751" s="196"/>
      <c r="F751" s="155"/>
    </row>
    <row r="752" ht="22.5" customHeight="1">
      <c r="A752" s="202"/>
      <c r="B752" s="197"/>
      <c r="C752" s="144"/>
      <c r="D752" s="197"/>
      <c r="E752" s="197"/>
      <c r="F752" s="147"/>
    </row>
    <row r="753" ht="22.5" customHeight="1">
      <c r="A753" s="250"/>
      <c r="B753" s="196"/>
      <c r="C753" s="152"/>
      <c r="D753" s="196"/>
      <c r="E753" s="196"/>
      <c r="F753" s="155"/>
    </row>
    <row r="754" ht="22.5" customHeight="1">
      <c r="A754" s="202"/>
      <c r="B754" s="197"/>
      <c r="C754" s="144"/>
      <c r="D754" s="197"/>
      <c r="E754" s="197"/>
      <c r="F754" s="147"/>
    </row>
    <row r="755" ht="22.5" customHeight="1">
      <c r="A755" s="250"/>
      <c r="B755" s="196"/>
      <c r="C755" s="152"/>
      <c r="D755" s="196"/>
      <c r="E755" s="196"/>
      <c r="F755" s="155"/>
    </row>
    <row r="756" ht="22.5" customHeight="1">
      <c r="A756" s="202"/>
      <c r="B756" s="197"/>
      <c r="C756" s="144"/>
      <c r="D756" s="197"/>
      <c r="E756" s="197"/>
      <c r="F756" s="147"/>
    </row>
    <row r="757" ht="22.5" customHeight="1">
      <c r="A757" s="250"/>
      <c r="B757" s="196"/>
      <c r="C757" s="152"/>
      <c r="D757" s="196"/>
      <c r="E757" s="196"/>
      <c r="F757" s="155"/>
    </row>
    <row r="758" ht="22.5" customHeight="1">
      <c r="A758" s="202"/>
      <c r="B758" s="197"/>
      <c r="C758" s="144"/>
      <c r="D758" s="197"/>
      <c r="E758" s="197"/>
      <c r="F758" s="147"/>
    </row>
    <row r="759" ht="22.5" customHeight="1">
      <c r="A759" s="250"/>
      <c r="B759" s="196"/>
      <c r="C759" s="152"/>
      <c r="D759" s="196"/>
      <c r="E759" s="196"/>
      <c r="F759" s="155"/>
    </row>
    <row r="760" ht="22.5" customHeight="1">
      <c r="A760" s="202"/>
      <c r="B760" s="197"/>
      <c r="C760" s="144"/>
      <c r="D760" s="197"/>
      <c r="E760" s="197"/>
      <c r="F760" s="147"/>
    </row>
    <row r="761" ht="22.5" customHeight="1">
      <c r="A761" s="250"/>
      <c r="B761" s="196"/>
      <c r="C761" s="152"/>
      <c r="D761" s="196"/>
      <c r="E761" s="196"/>
      <c r="F761" s="155"/>
    </row>
    <row r="762" ht="22.5" customHeight="1">
      <c r="A762" s="202"/>
      <c r="B762" s="197"/>
      <c r="C762" s="144"/>
      <c r="D762" s="197"/>
      <c r="E762" s="197"/>
      <c r="F762" s="147"/>
    </row>
    <row r="763" ht="22.5" customHeight="1">
      <c r="A763" s="250"/>
      <c r="B763" s="196"/>
      <c r="C763" s="152"/>
      <c r="D763" s="196"/>
      <c r="E763" s="196"/>
      <c r="F763" s="155"/>
    </row>
    <row r="764" ht="22.5" customHeight="1">
      <c r="A764" s="202"/>
      <c r="B764" s="197"/>
      <c r="C764" s="144"/>
      <c r="D764" s="197"/>
      <c r="E764" s="197"/>
      <c r="F764" s="147"/>
    </row>
    <row r="765" ht="22.5" customHeight="1">
      <c r="A765" s="250"/>
      <c r="B765" s="196"/>
      <c r="C765" s="152"/>
      <c r="D765" s="196"/>
      <c r="E765" s="196"/>
      <c r="F765" s="155"/>
    </row>
    <row r="766" ht="22.5" customHeight="1">
      <c r="A766" s="202"/>
      <c r="B766" s="197"/>
      <c r="C766" s="144"/>
      <c r="D766" s="197"/>
      <c r="E766" s="197"/>
      <c r="F766" s="147"/>
    </row>
    <row r="767" ht="22.5" customHeight="1">
      <c r="A767" s="250"/>
      <c r="B767" s="196"/>
      <c r="C767" s="152"/>
      <c r="D767" s="196"/>
      <c r="E767" s="196"/>
      <c r="F767" s="155"/>
    </row>
    <row r="768" ht="22.5" customHeight="1">
      <c r="A768" s="202"/>
      <c r="B768" s="197"/>
      <c r="C768" s="144"/>
      <c r="D768" s="197"/>
      <c r="E768" s="197"/>
      <c r="F768" s="147"/>
    </row>
    <row r="769" ht="22.5" customHeight="1">
      <c r="A769" s="250"/>
      <c r="B769" s="196"/>
      <c r="C769" s="152"/>
      <c r="D769" s="196"/>
      <c r="E769" s="196"/>
      <c r="F769" s="155"/>
    </row>
    <row r="770" ht="22.5" customHeight="1">
      <c r="A770" s="202"/>
      <c r="B770" s="197"/>
      <c r="C770" s="144"/>
      <c r="D770" s="197"/>
      <c r="E770" s="197"/>
      <c r="F770" s="147"/>
    </row>
    <row r="771" ht="22.5" customHeight="1">
      <c r="A771" s="250"/>
      <c r="B771" s="196"/>
      <c r="C771" s="152"/>
      <c r="D771" s="196"/>
      <c r="E771" s="196"/>
      <c r="F771" s="155"/>
    </row>
    <row r="772" ht="22.5" customHeight="1">
      <c r="A772" s="202"/>
      <c r="B772" s="197"/>
      <c r="C772" s="144"/>
      <c r="D772" s="197"/>
      <c r="E772" s="197"/>
      <c r="F772" s="147"/>
    </row>
    <row r="773" ht="22.5" customHeight="1">
      <c r="A773" s="250"/>
      <c r="B773" s="196"/>
      <c r="C773" s="152"/>
      <c r="D773" s="196"/>
      <c r="E773" s="196"/>
      <c r="F773" s="155"/>
    </row>
    <row r="774" ht="22.5" customHeight="1">
      <c r="A774" s="202"/>
      <c r="B774" s="197"/>
      <c r="C774" s="144"/>
      <c r="D774" s="197"/>
      <c r="E774" s="197"/>
      <c r="F774" s="147"/>
    </row>
    <row r="775" ht="22.5" customHeight="1">
      <c r="A775" s="250"/>
      <c r="B775" s="196"/>
      <c r="C775" s="152"/>
      <c r="D775" s="196"/>
      <c r="E775" s="196"/>
      <c r="F775" s="155"/>
    </row>
    <row r="776" ht="22.5" customHeight="1">
      <c r="A776" s="202"/>
      <c r="B776" s="197"/>
      <c r="C776" s="144"/>
      <c r="D776" s="197"/>
      <c r="E776" s="197"/>
      <c r="F776" s="147"/>
    </row>
    <row r="777" ht="22.5" customHeight="1">
      <c r="A777" s="250"/>
      <c r="B777" s="196"/>
      <c r="C777" s="152"/>
      <c r="D777" s="196"/>
      <c r="E777" s="196"/>
      <c r="F777" s="155"/>
    </row>
    <row r="778" ht="22.5" customHeight="1">
      <c r="A778" s="202"/>
      <c r="B778" s="197"/>
      <c r="C778" s="144"/>
      <c r="D778" s="197"/>
      <c r="E778" s="197"/>
      <c r="F778" s="147"/>
    </row>
    <row r="779" ht="22.5" customHeight="1">
      <c r="A779" s="250"/>
      <c r="B779" s="196"/>
      <c r="C779" s="152"/>
      <c r="D779" s="196"/>
      <c r="E779" s="196"/>
      <c r="F779" s="155"/>
    </row>
    <row r="780" ht="22.5" customHeight="1">
      <c r="A780" s="202"/>
      <c r="B780" s="197"/>
      <c r="C780" s="144"/>
      <c r="D780" s="197"/>
      <c r="E780" s="197"/>
      <c r="F780" s="147"/>
    </row>
    <row r="781" ht="22.5" customHeight="1">
      <c r="A781" s="250"/>
      <c r="B781" s="196"/>
      <c r="C781" s="152"/>
      <c r="D781" s="196"/>
      <c r="E781" s="196"/>
      <c r="F781" s="155"/>
    </row>
    <row r="782" ht="22.5" customHeight="1">
      <c r="A782" s="202"/>
      <c r="B782" s="197"/>
      <c r="C782" s="144"/>
      <c r="D782" s="197"/>
      <c r="E782" s="197"/>
      <c r="F782" s="147"/>
    </row>
    <row r="783" ht="22.5" customHeight="1">
      <c r="A783" s="250"/>
      <c r="B783" s="196"/>
      <c r="C783" s="152"/>
      <c r="D783" s="196"/>
      <c r="E783" s="196"/>
      <c r="F783" s="155"/>
    </row>
    <row r="784" ht="22.5" customHeight="1">
      <c r="A784" s="202"/>
      <c r="B784" s="197"/>
      <c r="C784" s="144"/>
      <c r="D784" s="197"/>
      <c r="E784" s="197"/>
      <c r="F784" s="147"/>
    </row>
    <row r="785" ht="22.5" customHeight="1">
      <c r="A785" s="250"/>
      <c r="B785" s="196"/>
      <c r="C785" s="152"/>
      <c r="D785" s="196"/>
      <c r="E785" s="196"/>
      <c r="F785" s="155"/>
    </row>
    <row r="786" ht="22.5" customHeight="1">
      <c r="A786" s="202"/>
      <c r="B786" s="197"/>
      <c r="C786" s="144"/>
      <c r="D786" s="197"/>
      <c r="E786" s="197"/>
      <c r="F786" s="147"/>
    </row>
    <row r="787" ht="22.5" customHeight="1">
      <c r="A787" s="250"/>
      <c r="B787" s="196"/>
      <c r="C787" s="152"/>
      <c r="D787" s="196"/>
      <c r="E787" s="196"/>
      <c r="F787" s="155"/>
    </row>
    <row r="788" ht="22.5" customHeight="1">
      <c r="A788" s="202"/>
      <c r="B788" s="197"/>
      <c r="C788" s="144"/>
      <c r="D788" s="197"/>
      <c r="E788" s="197"/>
      <c r="F788" s="147"/>
    </row>
    <row r="789" ht="22.5" customHeight="1">
      <c r="A789" s="250"/>
      <c r="B789" s="196"/>
      <c r="C789" s="152"/>
      <c r="D789" s="196"/>
      <c r="E789" s="196"/>
      <c r="F789" s="155"/>
    </row>
    <row r="790" ht="22.5" customHeight="1">
      <c r="A790" s="202"/>
      <c r="B790" s="197"/>
      <c r="C790" s="144"/>
      <c r="D790" s="197"/>
      <c r="E790" s="197"/>
      <c r="F790" s="147"/>
    </row>
    <row r="791" ht="22.5" customHeight="1">
      <c r="A791" s="250"/>
      <c r="B791" s="196"/>
      <c r="C791" s="152"/>
      <c r="D791" s="196"/>
      <c r="E791" s="196"/>
      <c r="F791" s="155"/>
    </row>
    <row r="792" ht="22.5" customHeight="1">
      <c r="A792" s="202"/>
      <c r="B792" s="197"/>
      <c r="C792" s="144"/>
      <c r="D792" s="197"/>
      <c r="E792" s="197"/>
      <c r="F792" s="147"/>
    </row>
    <row r="793" ht="22.5" customHeight="1">
      <c r="A793" s="250"/>
      <c r="B793" s="196"/>
      <c r="C793" s="152"/>
      <c r="D793" s="196"/>
      <c r="E793" s="196"/>
      <c r="F793" s="155"/>
    </row>
    <row r="794" ht="22.5" customHeight="1">
      <c r="A794" s="202"/>
      <c r="B794" s="197"/>
      <c r="C794" s="144"/>
      <c r="D794" s="197"/>
      <c r="E794" s="197"/>
      <c r="F794" s="147"/>
    </row>
    <row r="795" ht="22.5" customHeight="1">
      <c r="A795" s="250"/>
      <c r="B795" s="196"/>
      <c r="C795" s="152"/>
      <c r="D795" s="196"/>
      <c r="E795" s="196"/>
      <c r="F795" s="155"/>
    </row>
    <row r="796" ht="22.5" customHeight="1">
      <c r="A796" s="202"/>
      <c r="B796" s="197"/>
      <c r="C796" s="144"/>
      <c r="D796" s="197"/>
      <c r="E796" s="197"/>
      <c r="F796" s="147"/>
    </row>
    <row r="797" ht="22.5" customHeight="1">
      <c r="A797" s="250"/>
      <c r="B797" s="196"/>
      <c r="C797" s="152"/>
      <c r="D797" s="196"/>
      <c r="E797" s="196"/>
      <c r="F797" s="155"/>
    </row>
    <row r="798" ht="22.5" customHeight="1">
      <c r="A798" s="202"/>
      <c r="B798" s="197"/>
      <c r="C798" s="144"/>
      <c r="D798" s="197"/>
      <c r="E798" s="197"/>
      <c r="F798" s="147"/>
    </row>
    <row r="799" ht="22.5" customHeight="1">
      <c r="A799" s="250"/>
      <c r="B799" s="196"/>
      <c r="C799" s="152"/>
      <c r="D799" s="196"/>
      <c r="E799" s="196"/>
      <c r="F799" s="155"/>
    </row>
    <row r="800" ht="22.5" customHeight="1">
      <c r="A800" s="202"/>
      <c r="B800" s="197"/>
      <c r="C800" s="144"/>
      <c r="D800" s="197"/>
      <c r="E800" s="197"/>
      <c r="F800" s="147"/>
    </row>
    <row r="801" ht="22.5" customHeight="1">
      <c r="A801" s="250"/>
      <c r="B801" s="196"/>
      <c r="C801" s="152"/>
      <c r="D801" s="196"/>
      <c r="E801" s="196"/>
      <c r="F801" s="155"/>
    </row>
    <row r="802" ht="22.5" customHeight="1">
      <c r="A802" s="202"/>
      <c r="B802" s="197"/>
      <c r="C802" s="144"/>
      <c r="D802" s="197"/>
      <c r="E802" s="197"/>
      <c r="F802" s="147"/>
    </row>
    <row r="803" ht="22.5" customHeight="1">
      <c r="A803" s="250"/>
      <c r="B803" s="196"/>
      <c r="C803" s="152"/>
      <c r="D803" s="196"/>
      <c r="E803" s="196"/>
      <c r="F803" s="155"/>
    </row>
    <row r="804" ht="22.5" customHeight="1">
      <c r="A804" s="202"/>
      <c r="B804" s="197"/>
      <c r="C804" s="144"/>
      <c r="D804" s="197"/>
      <c r="E804" s="197"/>
      <c r="F804" s="147"/>
    </row>
    <row r="805" ht="22.5" customHeight="1">
      <c r="A805" s="250"/>
      <c r="B805" s="196"/>
      <c r="C805" s="152"/>
      <c r="D805" s="196"/>
      <c r="E805" s="196"/>
      <c r="F805" s="155"/>
    </row>
    <row r="806" ht="22.5" customHeight="1">
      <c r="A806" s="202"/>
      <c r="B806" s="197"/>
      <c r="C806" s="144"/>
      <c r="D806" s="197"/>
      <c r="E806" s="197"/>
      <c r="F806" s="147"/>
    </row>
    <row r="807" ht="22.5" customHeight="1">
      <c r="A807" s="250"/>
      <c r="B807" s="196"/>
      <c r="C807" s="152"/>
      <c r="D807" s="196"/>
      <c r="E807" s="196"/>
      <c r="F807" s="155"/>
    </row>
    <row r="808" ht="22.5" customHeight="1">
      <c r="A808" s="202"/>
      <c r="B808" s="197"/>
      <c r="C808" s="144"/>
      <c r="D808" s="197"/>
      <c r="E808" s="197"/>
      <c r="F808" s="147"/>
    </row>
    <row r="809" ht="22.5" customHeight="1">
      <c r="A809" s="250"/>
      <c r="B809" s="196"/>
      <c r="C809" s="152"/>
      <c r="D809" s="196"/>
      <c r="E809" s="196"/>
      <c r="F809" s="155"/>
    </row>
    <row r="810" ht="22.5" customHeight="1">
      <c r="A810" s="202"/>
      <c r="B810" s="197"/>
      <c r="C810" s="144"/>
      <c r="D810" s="197"/>
      <c r="E810" s="197"/>
      <c r="F810" s="147"/>
    </row>
    <row r="811" ht="22.5" customHeight="1">
      <c r="A811" s="250"/>
      <c r="B811" s="196"/>
      <c r="C811" s="152"/>
      <c r="D811" s="196"/>
      <c r="E811" s="196"/>
      <c r="F811" s="155"/>
    </row>
    <row r="812" ht="22.5" customHeight="1">
      <c r="A812" s="202"/>
      <c r="B812" s="197"/>
      <c r="C812" s="144"/>
      <c r="D812" s="197"/>
      <c r="E812" s="197"/>
      <c r="F812" s="147"/>
    </row>
    <row r="813" ht="22.5" customHeight="1">
      <c r="A813" s="250"/>
      <c r="B813" s="196"/>
      <c r="C813" s="152"/>
      <c r="D813" s="196"/>
      <c r="E813" s="196"/>
      <c r="F813" s="155"/>
    </row>
    <row r="814" ht="22.5" customHeight="1">
      <c r="A814" s="202"/>
      <c r="B814" s="197"/>
      <c r="C814" s="144"/>
      <c r="D814" s="197"/>
      <c r="E814" s="197"/>
      <c r="F814" s="147"/>
    </row>
    <row r="815" ht="22.5" customHeight="1">
      <c r="A815" s="250"/>
      <c r="B815" s="196"/>
      <c r="C815" s="152"/>
      <c r="D815" s="196"/>
      <c r="E815" s="196"/>
      <c r="F815" s="155"/>
    </row>
    <row r="816" ht="22.5" customHeight="1">
      <c r="A816" s="202"/>
      <c r="B816" s="197"/>
      <c r="C816" s="144"/>
      <c r="D816" s="197"/>
      <c r="E816" s="197"/>
      <c r="F816" s="147"/>
    </row>
    <row r="817" ht="22.5" customHeight="1">
      <c r="A817" s="250"/>
      <c r="B817" s="196"/>
      <c r="C817" s="152"/>
      <c r="D817" s="196"/>
      <c r="E817" s="196"/>
      <c r="F817" s="155"/>
    </row>
    <row r="818" ht="22.5" customHeight="1">
      <c r="A818" s="202"/>
      <c r="B818" s="197"/>
      <c r="C818" s="144"/>
      <c r="D818" s="197"/>
      <c r="E818" s="197"/>
      <c r="F818" s="147"/>
    </row>
    <row r="819" ht="22.5" customHeight="1">
      <c r="A819" s="250"/>
      <c r="B819" s="196"/>
      <c r="C819" s="152"/>
      <c r="D819" s="196"/>
      <c r="E819" s="196"/>
      <c r="F819" s="155"/>
    </row>
    <row r="820" ht="22.5" customHeight="1">
      <c r="A820" s="202"/>
      <c r="B820" s="197"/>
      <c r="C820" s="144"/>
      <c r="D820" s="197"/>
      <c r="E820" s="197"/>
      <c r="F820" s="147"/>
    </row>
    <row r="821" ht="22.5" customHeight="1">
      <c r="A821" s="250"/>
      <c r="B821" s="196"/>
      <c r="C821" s="152"/>
      <c r="D821" s="196"/>
      <c r="E821" s="196"/>
      <c r="F821" s="155"/>
    </row>
    <row r="822" ht="22.5" customHeight="1">
      <c r="A822" s="202"/>
      <c r="B822" s="197"/>
      <c r="C822" s="144"/>
      <c r="D822" s="197"/>
      <c r="E822" s="197"/>
      <c r="F822" s="147"/>
    </row>
    <row r="823" ht="22.5" customHeight="1">
      <c r="A823" s="250"/>
      <c r="B823" s="196"/>
      <c r="C823" s="152"/>
      <c r="D823" s="196"/>
      <c r="E823" s="196"/>
      <c r="F823" s="155"/>
    </row>
    <row r="824" ht="22.5" customHeight="1">
      <c r="A824" s="202"/>
      <c r="B824" s="197"/>
      <c r="C824" s="144"/>
      <c r="D824" s="197"/>
      <c r="E824" s="197"/>
      <c r="F824" s="147"/>
    </row>
    <row r="825" ht="22.5" customHeight="1">
      <c r="A825" s="250"/>
      <c r="B825" s="196"/>
      <c r="C825" s="152"/>
      <c r="D825" s="196"/>
      <c r="E825" s="196"/>
      <c r="F825" s="155"/>
    </row>
    <row r="826" ht="22.5" customHeight="1">
      <c r="A826" s="202"/>
      <c r="B826" s="197"/>
      <c r="C826" s="144"/>
      <c r="D826" s="197"/>
      <c r="E826" s="197"/>
      <c r="F826" s="147"/>
    </row>
    <row r="827" ht="22.5" customHeight="1">
      <c r="A827" s="250"/>
      <c r="B827" s="196"/>
      <c r="C827" s="152"/>
      <c r="D827" s="196"/>
      <c r="E827" s="196"/>
      <c r="F827" s="155"/>
    </row>
    <row r="828" ht="22.5" customHeight="1">
      <c r="A828" s="202"/>
      <c r="B828" s="197"/>
      <c r="C828" s="144"/>
      <c r="D828" s="197"/>
      <c r="E828" s="197"/>
      <c r="F828" s="147"/>
    </row>
    <row r="829" ht="22.5" customHeight="1">
      <c r="A829" s="250"/>
      <c r="B829" s="196"/>
      <c r="C829" s="152"/>
      <c r="D829" s="196"/>
      <c r="E829" s="196"/>
      <c r="F829" s="155"/>
    </row>
    <row r="830" ht="22.5" customHeight="1">
      <c r="A830" s="202"/>
      <c r="B830" s="197"/>
      <c r="C830" s="144"/>
      <c r="D830" s="197"/>
      <c r="E830" s="197"/>
      <c r="F830" s="147"/>
    </row>
    <row r="831" ht="22.5" customHeight="1">
      <c r="A831" s="250"/>
      <c r="B831" s="196"/>
      <c r="C831" s="152"/>
      <c r="D831" s="196"/>
      <c r="E831" s="196"/>
      <c r="F831" s="155"/>
    </row>
    <row r="832" ht="22.5" customHeight="1">
      <c r="A832" s="202"/>
      <c r="B832" s="197"/>
      <c r="C832" s="144"/>
      <c r="D832" s="197"/>
      <c r="E832" s="197"/>
      <c r="F832" s="147"/>
    </row>
    <row r="833" ht="22.5" customHeight="1">
      <c r="A833" s="250"/>
      <c r="B833" s="196"/>
      <c r="C833" s="152"/>
      <c r="D833" s="196"/>
      <c r="E833" s="196"/>
      <c r="F833" s="155"/>
    </row>
    <row r="834" ht="22.5" customHeight="1">
      <c r="A834" s="202"/>
      <c r="B834" s="197"/>
      <c r="C834" s="144"/>
      <c r="D834" s="197"/>
      <c r="E834" s="197"/>
      <c r="F834" s="147"/>
    </row>
    <row r="835" ht="22.5" customHeight="1">
      <c r="A835" s="250"/>
      <c r="B835" s="196"/>
      <c r="C835" s="152"/>
      <c r="D835" s="196"/>
      <c r="E835" s="196"/>
      <c r="F835" s="155"/>
    </row>
    <row r="836" ht="22.5" customHeight="1">
      <c r="A836" s="202"/>
      <c r="B836" s="197"/>
      <c r="C836" s="144"/>
      <c r="D836" s="197"/>
      <c r="E836" s="197"/>
      <c r="F836" s="147"/>
    </row>
    <row r="837" ht="22.5" customHeight="1">
      <c r="A837" s="250"/>
      <c r="B837" s="196"/>
      <c r="C837" s="152"/>
      <c r="D837" s="196"/>
      <c r="E837" s="196"/>
      <c r="F837" s="155"/>
    </row>
    <row r="838" ht="22.5" customHeight="1">
      <c r="A838" s="202"/>
      <c r="B838" s="197"/>
      <c r="C838" s="144"/>
      <c r="D838" s="197"/>
      <c r="E838" s="197"/>
      <c r="F838" s="147"/>
    </row>
    <row r="839" ht="22.5" customHeight="1">
      <c r="A839" s="250"/>
      <c r="B839" s="196"/>
      <c r="C839" s="152"/>
      <c r="D839" s="196"/>
      <c r="E839" s="196"/>
      <c r="F839" s="155"/>
    </row>
    <row r="840" ht="22.5" customHeight="1">
      <c r="A840" s="202"/>
      <c r="B840" s="197"/>
      <c r="C840" s="144"/>
      <c r="D840" s="197"/>
      <c r="E840" s="197"/>
      <c r="F840" s="147"/>
    </row>
    <row r="841" ht="22.5" customHeight="1">
      <c r="A841" s="250"/>
      <c r="B841" s="196"/>
      <c r="C841" s="152"/>
      <c r="D841" s="196"/>
      <c r="E841" s="196"/>
      <c r="F841" s="155"/>
    </row>
    <row r="842" ht="22.5" customHeight="1">
      <c r="A842" s="202"/>
      <c r="B842" s="197"/>
      <c r="C842" s="144"/>
      <c r="D842" s="197"/>
      <c r="E842" s="197"/>
      <c r="F842" s="147"/>
    </row>
    <row r="843" ht="22.5" customHeight="1">
      <c r="A843" s="250"/>
      <c r="B843" s="196"/>
      <c r="C843" s="152"/>
      <c r="D843" s="196"/>
      <c r="E843" s="196"/>
      <c r="F843" s="155"/>
    </row>
    <row r="844" ht="22.5" customHeight="1">
      <c r="A844" s="202"/>
      <c r="B844" s="197"/>
      <c r="C844" s="144"/>
      <c r="D844" s="197"/>
      <c r="E844" s="197"/>
      <c r="F844" s="147"/>
    </row>
    <row r="845" ht="22.5" customHeight="1">
      <c r="A845" s="250"/>
      <c r="B845" s="196"/>
      <c r="C845" s="152"/>
      <c r="D845" s="196"/>
      <c r="E845" s="196"/>
      <c r="F845" s="155"/>
    </row>
    <row r="846" ht="22.5" customHeight="1">
      <c r="A846" s="202"/>
      <c r="B846" s="197"/>
      <c r="C846" s="144"/>
      <c r="D846" s="197"/>
      <c r="E846" s="197"/>
      <c r="F846" s="147"/>
    </row>
    <row r="847" ht="22.5" customHeight="1">
      <c r="A847" s="250"/>
      <c r="B847" s="196"/>
      <c r="C847" s="152"/>
      <c r="D847" s="196"/>
      <c r="E847" s="196"/>
      <c r="F847" s="155"/>
    </row>
    <row r="848" ht="22.5" customHeight="1">
      <c r="A848" s="202"/>
      <c r="B848" s="197"/>
      <c r="C848" s="144"/>
      <c r="D848" s="197"/>
      <c r="E848" s="197"/>
      <c r="F848" s="147"/>
    </row>
    <row r="849" ht="22.5" customHeight="1">
      <c r="A849" s="250"/>
      <c r="B849" s="196"/>
      <c r="C849" s="152"/>
      <c r="D849" s="196"/>
      <c r="E849" s="196"/>
      <c r="F849" s="155"/>
    </row>
    <row r="850" ht="22.5" customHeight="1">
      <c r="A850" s="202"/>
      <c r="B850" s="197"/>
      <c r="C850" s="144"/>
      <c r="D850" s="197"/>
      <c r="E850" s="197"/>
      <c r="F850" s="147"/>
    </row>
    <row r="851" ht="22.5" customHeight="1">
      <c r="A851" s="250"/>
      <c r="B851" s="196"/>
      <c r="C851" s="152"/>
      <c r="D851" s="196"/>
      <c r="E851" s="196"/>
      <c r="F851" s="155"/>
    </row>
    <row r="852" ht="22.5" customHeight="1">
      <c r="A852" s="202"/>
      <c r="B852" s="197"/>
      <c r="C852" s="144"/>
      <c r="D852" s="197"/>
      <c r="E852" s="197"/>
      <c r="F852" s="147"/>
    </row>
    <row r="853" ht="22.5" customHeight="1">
      <c r="A853" s="250"/>
      <c r="B853" s="196"/>
      <c r="C853" s="152"/>
      <c r="D853" s="196"/>
      <c r="E853" s="196"/>
      <c r="F853" s="155"/>
    </row>
    <row r="854" ht="22.5" customHeight="1">
      <c r="A854" s="202"/>
      <c r="B854" s="197"/>
      <c r="C854" s="144"/>
      <c r="D854" s="197"/>
      <c r="E854" s="197"/>
      <c r="F854" s="147"/>
    </row>
    <row r="855" ht="22.5" customHeight="1">
      <c r="A855" s="250"/>
      <c r="B855" s="196"/>
      <c r="C855" s="152"/>
      <c r="D855" s="196"/>
      <c r="E855" s="196"/>
      <c r="F855" s="155"/>
    </row>
    <row r="856" ht="22.5" customHeight="1">
      <c r="A856" s="202"/>
      <c r="B856" s="197"/>
      <c r="C856" s="144"/>
      <c r="D856" s="197"/>
      <c r="E856" s="197"/>
      <c r="F856" s="147"/>
    </row>
    <row r="857" ht="22.5" customHeight="1">
      <c r="A857" s="250"/>
      <c r="B857" s="196"/>
      <c r="C857" s="152"/>
      <c r="D857" s="196"/>
      <c r="E857" s="196"/>
      <c r="F857" s="155"/>
    </row>
    <row r="858" ht="22.5" customHeight="1">
      <c r="A858" s="202"/>
      <c r="B858" s="197"/>
      <c r="C858" s="144"/>
      <c r="D858" s="197"/>
      <c r="E858" s="197"/>
      <c r="F858" s="147"/>
    </row>
    <row r="859" ht="22.5" customHeight="1">
      <c r="A859" s="250"/>
      <c r="B859" s="196"/>
      <c r="C859" s="152"/>
      <c r="D859" s="196"/>
      <c r="E859" s="196"/>
      <c r="F859" s="155"/>
    </row>
    <row r="860" ht="22.5" customHeight="1">
      <c r="A860" s="202"/>
      <c r="B860" s="197"/>
      <c r="C860" s="144"/>
      <c r="D860" s="197"/>
      <c r="E860" s="197"/>
      <c r="F860" s="147"/>
    </row>
    <row r="861" ht="22.5" customHeight="1">
      <c r="A861" s="250"/>
      <c r="B861" s="196"/>
      <c r="C861" s="152"/>
      <c r="D861" s="196"/>
      <c r="E861" s="196"/>
      <c r="F861" s="155"/>
    </row>
    <row r="862" ht="22.5" customHeight="1">
      <c r="A862" s="202"/>
      <c r="B862" s="197"/>
      <c r="C862" s="144"/>
      <c r="D862" s="197"/>
      <c r="E862" s="197"/>
      <c r="F862" s="147"/>
    </row>
    <row r="863" ht="22.5" customHeight="1">
      <c r="A863" s="250"/>
      <c r="B863" s="196"/>
      <c r="C863" s="152"/>
      <c r="D863" s="196"/>
      <c r="E863" s="196"/>
      <c r="F863" s="155"/>
    </row>
    <row r="864" ht="22.5" customHeight="1">
      <c r="A864" s="202"/>
      <c r="B864" s="197"/>
      <c r="C864" s="144"/>
      <c r="D864" s="197"/>
      <c r="E864" s="197"/>
      <c r="F864" s="147"/>
    </row>
    <row r="865" ht="22.5" customHeight="1">
      <c r="A865" s="250"/>
      <c r="B865" s="196"/>
      <c r="C865" s="152"/>
      <c r="D865" s="196"/>
      <c r="E865" s="196"/>
      <c r="F865" s="155"/>
    </row>
    <row r="866" ht="22.5" customHeight="1">
      <c r="A866" s="202"/>
      <c r="B866" s="197"/>
      <c r="C866" s="144"/>
      <c r="D866" s="197"/>
      <c r="E866" s="197"/>
      <c r="F866" s="147"/>
    </row>
    <row r="867" ht="22.5" customHeight="1">
      <c r="A867" s="250"/>
      <c r="B867" s="196"/>
      <c r="C867" s="152"/>
      <c r="D867" s="196"/>
      <c r="E867" s="196"/>
      <c r="F867" s="155"/>
    </row>
    <row r="868" ht="22.5" customHeight="1">
      <c r="A868" s="202"/>
      <c r="B868" s="197"/>
      <c r="C868" s="144"/>
      <c r="D868" s="197"/>
      <c r="E868" s="197"/>
      <c r="F868" s="147"/>
    </row>
    <row r="869" ht="22.5" customHeight="1">
      <c r="A869" s="250"/>
      <c r="B869" s="196"/>
      <c r="C869" s="152"/>
      <c r="D869" s="196"/>
      <c r="E869" s="196"/>
      <c r="F869" s="155"/>
    </row>
    <row r="870" ht="22.5" customHeight="1">
      <c r="A870" s="202"/>
      <c r="B870" s="197"/>
      <c r="C870" s="144"/>
      <c r="D870" s="197"/>
      <c r="E870" s="197"/>
      <c r="F870" s="147"/>
    </row>
    <row r="871" ht="22.5" customHeight="1">
      <c r="A871" s="250"/>
      <c r="B871" s="196"/>
      <c r="C871" s="152"/>
      <c r="D871" s="196"/>
      <c r="E871" s="196"/>
      <c r="F871" s="155"/>
    </row>
    <row r="872" ht="22.5" customHeight="1">
      <c r="A872" s="202"/>
      <c r="B872" s="197"/>
      <c r="C872" s="144"/>
      <c r="D872" s="197"/>
      <c r="E872" s="197"/>
      <c r="F872" s="147"/>
    </row>
    <row r="873" ht="22.5" customHeight="1">
      <c r="A873" s="250"/>
      <c r="B873" s="196"/>
      <c r="C873" s="152"/>
      <c r="D873" s="196"/>
      <c r="E873" s="196"/>
      <c r="F873" s="155"/>
    </row>
    <row r="874" ht="22.5" customHeight="1">
      <c r="A874" s="202"/>
      <c r="B874" s="197"/>
      <c r="C874" s="144"/>
      <c r="D874" s="197"/>
      <c r="E874" s="197"/>
      <c r="F874" s="147"/>
    </row>
    <row r="875" ht="22.5" customHeight="1">
      <c r="A875" s="250"/>
      <c r="B875" s="196"/>
      <c r="C875" s="152"/>
      <c r="D875" s="196"/>
      <c r="E875" s="196"/>
      <c r="F875" s="155"/>
    </row>
    <row r="876" ht="22.5" customHeight="1">
      <c r="A876" s="202"/>
      <c r="B876" s="197"/>
      <c r="C876" s="144"/>
      <c r="D876" s="197"/>
      <c r="E876" s="197"/>
      <c r="F876" s="147"/>
    </row>
    <row r="877" ht="22.5" customHeight="1">
      <c r="A877" s="250"/>
      <c r="B877" s="196"/>
      <c r="C877" s="152"/>
      <c r="D877" s="196"/>
      <c r="E877" s="196"/>
      <c r="F877" s="155"/>
    </row>
    <row r="878" ht="22.5" customHeight="1">
      <c r="A878" s="202"/>
      <c r="B878" s="197"/>
      <c r="C878" s="144"/>
      <c r="D878" s="197"/>
      <c r="E878" s="197"/>
      <c r="F878" s="147"/>
    </row>
    <row r="879" ht="22.5" customHeight="1">
      <c r="A879" s="250"/>
      <c r="B879" s="196"/>
      <c r="C879" s="152"/>
      <c r="D879" s="196"/>
      <c r="E879" s="196"/>
      <c r="F879" s="155"/>
    </row>
    <row r="880" ht="22.5" customHeight="1">
      <c r="A880" s="202"/>
      <c r="B880" s="197"/>
      <c r="C880" s="144"/>
      <c r="D880" s="197"/>
      <c r="E880" s="197"/>
      <c r="F880" s="147"/>
    </row>
    <row r="881" ht="22.5" customHeight="1">
      <c r="A881" s="250"/>
      <c r="B881" s="196"/>
      <c r="C881" s="152"/>
      <c r="D881" s="196"/>
      <c r="E881" s="196"/>
      <c r="F881" s="155"/>
    </row>
    <row r="882" ht="22.5" customHeight="1">
      <c r="A882" s="202"/>
      <c r="B882" s="197"/>
      <c r="C882" s="144"/>
      <c r="D882" s="197"/>
      <c r="E882" s="197"/>
      <c r="F882" s="147"/>
    </row>
    <row r="883" ht="22.5" customHeight="1">
      <c r="A883" s="250"/>
      <c r="B883" s="196"/>
      <c r="C883" s="152"/>
      <c r="D883" s="196"/>
      <c r="E883" s="196"/>
      <c r="F883" s="155"/>
    </row>
    <row r="884" ht="22.5" customHeight="1">
      <c r="A884" s="202"/>
      <c r="B884" s="197"/>
      <c r="C884" s="144"/>
      <c r="D884" s="197"/>
      <c r="E884" s="197"/>
      <c r="F884" s="147"/>
    </row>
    <row r="885" ht="22.5" customHeight="1">
      <c r="A885" s="250"/>
      <c r="B885" s="196"/>
      <c r="C885" s="152"/>
      <c r="D885" s="196"/>
      <c r="E885" s="196"/>
      <c r="F885" s="155"/>
    </row>
    <row r="886" ht="22.5" customHeight="1">
      <c r="A886" s="202"/>
      <c r="B886" s="197"/>
      <c r="C886" s="144"/>
      <c r="D886" s="197"/>
      <c r="E886" s="197"/>
      <c r="F886" s="147"/>
    </row>
    <row r="887" ht="22.5" customHeight="1">
      <c r="A887" s="250"/>
      <c r="B887" s="196"/>
      <c r="C887" s="152"/>
      <c r="D887" s="196"/>
      <c r="E887" s="196"/>
      <c r="F887" s="155"/>
    </row>
    <row r="888" ht="22.5" customHeight="1">
      <c r="A888" s="202"/>
      <c r="B888" s="197"/>
      <c r="C888" s="144"/>
      <c r="D888" s="197"/>
      <c r="E888" s="197"/>
      <c r="F888" s="147"/>
    </row>
    <row r="889" ht="22.5" customHeight="1">
      <c r="A889" s="250"/>
      <c r="B889" s="196"/>
      <c r="C889" s="152"/>
      <c r="D889" s="196"/>
      <c r="E889" s="196"/>
      <c r="F889" s="155"/>
    </row>
    <row r="890" ht="22.5" customHeight="1">
      <c r="A890" s="202"/>
      <c r="B890" s="197"/>
      <c r="C890" s="144"/>
      <c r="D890" s="197"/>
      <c r="E890" s="197"/>
      <c r="F890" s="147"/>
    </row>
    <row r="891" ht="22.5" customHeight="1">
      <c r="A891" s="250"/>
      <c r="B891" s="196"/>
      <c r="C891" s="152"/>
      <c r="D891" s="196"/>
      <c r="E891" s="196"/>
      <c r="F891" s="155"/>
    </row>
    <row r="892" ht="22.5" customHeight="1">
      <c r="A892" s="202"/>
      <c r="B892" s="197"/>
      <c r="C892" s="144"/>
      <c r="D892" s="197"/>
      <c r="E892" s="197"/>
      <c r="F892" s="147"/>
    </row>
    <row r="893" ht="22.5" customHeight="1">
      <c r="A893" s="250"/>
      <c r="B893" s="196"/>
      <c r="C893" s="152"/>
      <c r="D893" s="196"/>
      <c r="E893" s="196"/>
      <c r="F893" s="155"/>
    </row>
    <row r="894" ht="22.5" customHeight="1">
      <c r="A894" s="202"/>
      <c r="B894" s="197"/>
      <c r="C894" s="144"/>
      <c r="D894" s="197"/>
      <c r="E894" s="197"/>
      <c r="F894" s="147"/>
    </row>
    <row r="895" ht="22.5" customHeight="1">
      <c r="A895" s="250"/>
      <c r="B895" s="196"/>
      <c r="C895" s="152"/>
      <c r="D895" s="196"/>
      <c r="E895" s="196"/>
      <c r="F895" s="155"/>
    </row>
    <row r="896" ht="22.5" customHeight="1">
      <c r="A896" s="202"/>
      <c r="B896" s="197"/>
      <c r="C896" s="144"/>
      <c r="D896" s="197"/>
      <c r="E896" s="197"/>
      <c r="F896" s="147"/>
    </row>
    <row r="897" ht="22.5" customHeight="1">
      <c r="A897" s="250"/>
      <c r="B897" s="196"/>
      <c r="C897" s="152"/>
      <c r="D897" s="196"/>
      <c r="E897" s="196"/>
      <c r="F897" s="155"/>
    </row>
    <row r="898" ht="22.5" customHeight="1">
      <c r="A898" s="202"/>
      <c r="B898" s="197"/>
      <c r="C898" s="144"/>
      <c r="D898" s="197"/>
      <c r="E898" s="197"/>
      <c r="F898" s="147"/>
    </row>
    <row r="899" ht="22.5" customHeight="1">
      <c r="A899" s="250"/>
      <c r="B899" s="196"/>
      <c r="C899" s="152"/>
      <c r="D899" s="196"/>
      <c r="E899" s="196"/>
      <c r="F899" s="155"/>
    </row>
    <row r="900" ht="22.5" customHeight="1">
      <c r="A900" s="202"/>
      <c r="B900" s="197"/>
      <c r="C900" s="144"/>
      <c r="D900" s="197"/>
      <c r="E900" s="197"/>
      <c r="F900" s="147"/>
    </row>
    <row r="901" ht="22.5" customHeight="1">
      <c r="A901" s="250"/>
      <c r="B901" s="196"/>
      <c r="C901" s="152"/>
      <c r="D901" s="196"/>
      <c r="E901" s="196"/>
      <c r="F901" s="155"/>
    </row>
    <row r="902" ht="22.5" customHeight="1">
      <c r="A902" s="202"/>
      <c r="B902" s="197"/>
      <c r="C902" s="144"/>
      <c r="D902" s="197"/>
      <c r="E902" s="197"/>
      <c r="F902" s="147"/>
    </row>
    <row r="903" ht="22.5" customHeight="1">
      <c r="A903" s="250"/>
      <c r="B903" s="196"/>
      <c r="C903" s="152"/>
      <c r="D903" s="196"/>
      <c r="E903" s="196"/>
      <c r="F903" s="155"/>
    </row>
    <row r="904" ht="22.5" customHeight="1">
      <c r="A904" s="202"/>
      <c r="B904" s="197"/>
      <c r="C904" s="144"/>
      <c r="D904" s="197"/>
      <c r="E904" s="197"/>
      <c r="F904" s="147"/>
    </row>
    <row r="905" ht="22.5" customHeight="1">
      <c r="A905" s="250"/>
      <c r="B905" s="196"/>
      <c r="C905" s="152"/>
      <c r="D905" s="196"/>
      <c r="E905" s="196"/>
      <c r="F905" s="155"/>
    </row>
    <row r="906" ht="22.5" customHeight="1">
      <c r="A906" s="202"/>
      <c r="B906" s="197"/>
      <c r="C906" s="144"/>
      <c r="D906" s="197"/>
      <c r="E906" s="197"/>
      <c r="F906" s="147"/>
    </row>
    <row r="907" ht="22.5" customHeight="1">
      <c r="A907" s="250"/>
      <c r="B907" s="196"/>
      <c r="C907" s="152"/>
      <c r="D907" s="196"/>
      <c r="E907" s="196"/>
      <c r="F907" s="155"/>
    </row>
    <row r="908" ht="22.5" customHeight="1">
      <c r="A908" s="202"/>
      <c r="B908" s="197"/>
      <c r="C908" s="144"/>
      <c r="D908" s="197"/>
      <c r="E908" s="197"/>
      <c r="F908" s="147"/>
    </row>
    <row r="909" ht="22.5" customHeight="1">
      <c r="A909" s="250"/>
      <c r="B909" s="196"/>
      <c r="C909" s="152"/>
      <c r="D909" s="196"/>
      <c r="E909" s="196"/>
      <c r="F909" s="155"/>
    </row>
    <row r="910" ht="22.5" customHeight="1">
      <c r="A910" s="202"/>
      <c r="B910" s="197"/>
      <c r="C910" s="144"/>
      <c r="D910" s="197"/>
      <c r="E910" s="197"/>
      <c r="F910" s="147"/>
    </row>
    <row r="911" ht="22.5" customHeight="1">
      <c r="A911" s="250"/>
      <c r="B911" s="196"/>
      <c r="C911" s="152"/>
      <c r="D911" s="196"/>
      <c r="E911" s="196"/>
      <c r="F911" s="155"/>
    </row>
    <row r="912" ht="22.5" customHeight="1">
      <c r="A912" s="202"/>
      <c r="B912" s="197"/>
      <c r="C912" s="144"/>
      <c r="D912" s="197"/>
      <c r="E912" s="197"/>
      <c r="F912" s="147"/>
    </row>
    <row r="913" ht="22.5" customHeight="1">
      <c r="A913" s="250"/>
      <c r="B913" s="196"/>
      <c r="C913" s="152"/>
      <c r="D913" s="196"/>
      <c r="E913" s="196"/>
      <c r="F913" s="155"/>
    </row>
    <row r="914" ht="22.5" customHeight="1">
      <c r="A914" s="202"/>
      <c r="B914" s="197"/>
      <c r="C914" s="144"/>
      <c r="D914" s="197"/>
      <c r="E914" s="197"/>
      <c r="F914" s="147"/>
    </row>
    <row r="915" ht="22.5" customHeight="1">
      <c r="A915" s="250"/>
      <c r="B915" s="196"/>
      <c r="C915" s="152"/>
      <c r="D915" s="196"/>
      <c r="E915" s="196"/>
      <c r="F915" s="155"/>
    </row>
    <row r="916" ht="22.5" customHeight="1">
      <c r="A916" s="202"/>
      <c r="B916" s="197"/>
      <c r="C916" s="144"/>
      <c r="D916" s="197"/>
      <c r="E916" s="197"/>
      <c r="F916" s="147"/>
    </row>
    <row r="917" ht="22.5" customHeight="1">
      <c r="A917" s="250"/>
      <c r="B917" s="196"/>
      <c r="C917" s="152"/>
      <c r="D917" s="196"/>
      <c r="E917" s="196"/>
      <c r="F917" s="155"/>
    </row>
    <row r="918" ht="22.5" customHeight="1">
      <c r="A918" s="202"/>
      <c r="B918" s="197"/>
      <c r="C918" s="144"/>
      <c r="D918" s="197"/>
      <c r="E918" s="197"/>
      <c r="F918" s="147"/>
    </row>
    <row r="919" ht="22.5" customHeight="1">
      <c r="A919" s="250"/>
      <c r="B919" s="196"/>
      <c r="C919" s="152"/>
      <c r="D919" s="196"/>
      <c r="E919" s="196"/>
      <c r="F919" s="155"/>
    </row>
    <row r="920" ht="22.5" customHeight="1">
      <c r="A920" s="202"/>
      <c r="B920" s="197"/>
      <c r="C920" s="144"/>
      <c r="D920" s="197"/>
      <c r="E920" s="197"/>
      <c r="F920" s="147"/>
    </row>
    <row r="921" ht="22.5" customHeight="1">
      <c r="A921" s="250"/>
      <c r="B921" s="196"/>
      <c r="C921" s="152"/>
      <c r="D921" s="196"/>
      <c r="E921" s="196"/>
      <c r="F921" s="155"/>
    </row>
    <row r="922" ht="22.5" customHeight="1">
      <c r="A922" s="202"/>
      <c r="B922" s="197"/>
      <c r="C922" s="144"/>
      <c r="D922" s="197"/>
      <c r="E922" s="197"/>
      <c r="F922" s="147"/>
    </row>
    <row r="923" ht="22.5" customHeight="1">
      <c r="A923" s="250"/>
      <c r="B923" s="196"/>
      <c r="C923" s="152"/>
      <c r="D923" s="196"/>
      <c r="E923" s="196"/>
      <c r="F923" s="155"/>
    </row>
    <row r="924" ht="22.5" customHeight="1">
      <c r="A924" s="202"/>
      <c r="B924" s="197"/>
      <c r="C924" s="144"/>
      <c r="D924" s="197"/>
      <c r="E924" s="197"/>
      <c r="F924" s="147"/>
    </row>
    <row r="925" ht="22.5" customHeight="1">
      <c r="A925" s="250"/>
      <c r="B925" s="196"/>
      <c r="C925" s="152"/>
      <c r="D925" s="196"/>
      <c r="E925" s="196"/>
      <c r="F925" s="155"/>
    </row>
    <row r="926" ht="22.5" customHeight="1">
      <c r="A926" s="202"/>
      <c r="B926" s="197"/>
      <c r="C926" s="144"/>
      <c r="D926" s="197"/>
      <c r="E926" s="197"/>
      <c r="F926" s="147"/>
    </row>
    <row r="927" ht="22.5" customHeight="1">
      <c r="A927" s="250"/>
      <c r="B927" s="196"/>
      <c r="C927" s="152"/>
      <c r="D927" s="196"/>
      <c r="E927" s="196"/>
      <c r="F927" s="155"/>
    </row>
    <row r="928" ht="22.5" customHeight="1">
      <c r="A928" s="202"/>
      <c r="B928" s="197"/>
      <c r="C928" s="144"/>
      <c r="D928" s="197"/>
      <c r="E928" s="197"/>
      <c r="F928" s="147"/>
    </row>
    <row r="929" ht="22.5" customHeight="1">
      <c r="A929" s="250"/>
      <c r="B929" s="196"/>
      <c r="C929" s="152"/>
      <c r="D929" s="196"/>
      <c r="E929" s="196"/>
      <c r="F929" s="155"/>
    </row>
    <row r="930" ht="22.5" customHeight="1">
      <c r="A930" s="202"/>
      <c r="B930" s="197"/>
      <c r="C930" s="144"/>
      <c r="D930" s="197"/>
      <c r="E930" s="197"/>
      <c r="F930" s="147"/>
    </row>
    <row r="931" ht="22.5" customHeight="1">
      <c r="A931" s="250"/>
      <c r="B931" s="196"/>
      <c r="C931" s="152"/>
      <c r="D931" s="196"/>
      <c r="E931" s="196"/>
      <c r="F931" s="155"/>
    </row>
    <row r="932" ht="22.5" customHeight="1">
      <c r="A932" s="202"/>
      <c r="B932" s="197"/>
      <c r="C932" s="144"/>
      <c r="D932" s="197"/>
      <c r="E932" s="197"/>
      <c r="F932" s="147"/>
    </row>
    <row r="933" ht="22.5" customHeight="1">
      <c r="A933" s="250"/>
      <c r="B933" s="196"/>
      <c r="C933" s="152"/>
      <c r="D933" s="196"/>
      <c r="E933" s="196"/>
      <c r="F933" s="155"/>
    </row>
    <row r="934" ht="22.5" customHeight="1">
      <c r="A934" s="202"/>
      <c r="B934" s="197"/>
      <c r="C934" s="144"/>
      <c r="D934" s="197"/>
      <c r="E934" s="197"/>
      <c r="F934" s="147"/>
    </row>
    <row r="935" ht="22.5" customHeight="1">
      <c r="A935" s="250"/>
      <c r="B935" s="196"/>
      <c r="C935" s="152"/>
      <c r="D935" s="196"/>
      <c r="E935" s="196"/>
      <c r="F935" s="155"/>
    </row>
    <row r="936" ht="22.5" customHeight="1">
      <c r="A936" s="202"/>
      <c r="B936" s="197"/>
      <c r="C936" s="144"/>
      <c r="D936" s="197"/>
      <c r="E936" s="197"/>
      <c r="F936" s="147"/>
    </row>
    <row r="937" ht="22.5" customHeight="1">
      <c r="A937" s="250"/>
      <c r="B937" s="196"/>
      <c r="C937" s="152"/>
      <c r="D937" s="196"/>
      <c r="E937" s="196"/>
      <c r="F937" s="155"/>
    </row>
    <row r="938" ht="22.5" customHeight="1">
      <c r="A938" s="202"/>
      <c r="B938" s="197"/>
      <c r="C938" s="144"/>
      <c r="D938" s="197"/>
      <c r="E938" s="197"/>
      <c r="F938" s="147"/>
    </row>
    <row r="939" ht="22.5" customHeight="1">
      <c r="A939" s="250"/>
      <c r="B939" s="196"/>
      <c r="C939" s="152"/>
      <c r="D939" s="196"/>
      <c r="E939" s="196"/>
      <c r="F939" s="155"/>
    </row>
    <row r="940" ht="22.5" customHeight="1">
      <c r="A940" s="202"/>
      <c r="B940" s="197"/>
      <c r="C940" s="144"/>
      <c r="D940" s="197"/>
      <c r="E940" s="197"/>
      <c r="F940" s="147"/>
    </row>
    <row r="941" ht="22.5" customHeight="1">
      <c r="A941" s="250"/>
      <c r="B941" s="196"/>
      <c r="C941" s="152"/>
      <c r="D941" s="196"/>
      <c r="E941" s="196"/>
      <c r="F941" s="155"/>
    </row>
    <row r="942" ht="22.5" customHeight="1">
      <c r="A942" s="202"/>
      <c r="B942" s="197"/>
      <c r="C942" s="144"/>
      <c r="D942" s="197"/>
      <c r="E942" s="197"/>
      <c r="F942" s="147"/>
    </row>
    <row r="943" ht="22.5" customHeight="1">
      <c r="A943" s="250"/>
      <c r="B943" s="196"/>
      <c r="C943" s="152"/>
      <c r="D943" s="196"/>
      <c r="E943" s="196"/>
      <c r="F943" s="155"/>
    </row>
    <row r="944" ht="22.5" customHeight="1">
      <c r="A944" s="202"/>
      <c r="B944" s="197"/>
      <c r="C944" s="144"/>
      <c r="D944" s="197"/>
      <c r="E944" s="197"/>
      <c r="F944" s="147"/>
    </row>
    <row r="945" ht="22.5" customHeight="1">
      <c r="A945" s="250"/>
      <c r="B945" s="196"/>
      <c r="C945" s="152"/>
      <c r="D945" s="196"/>
      <c r="E945" s="196"/>
      <c r="F945" s="155"/>
    </row>
    <row r="946" ht="22.5" customHeight="1">
      <c r="A946" s="202"/>
      <c r="B946" s="197"/>
      <c r="C946" s="144"/>
      <c r="D946" s="197"/>
      <c r="E946" s="197"/>
      <c r="F946" s="147"/>
    </row>
    <row r="947" ht="22.5" customHeight="1">
      <c r="A947" s="250"/>
      <c r="B947" s="196"/>
      <c r="C947" s="152"/>
      <c r="D947" s="196"/>
      <c r="E947" s="196"/>
      <c r="F947" s="155"/>
    </row>
    <row r="948" ht="22.5" customHeight="1">
      <c r="A948" s="202"/>
      <c r="B948" s="197"/>
      <c r="C948" s="144"/>
      <c r="D948" s="197"/>
      <c r="E948" s="197"/>
      <c r="F948" s="147"/>
    </row>
    <row r="949" ht="22.5" customHeight="1">
      <c r="A949" s="250"/>
      <c r="B949" s="196"/>
      <c r="C949" s="152"/>
      <c r="D949" s="196"/>
      <c r="E949" s="196"/>
      <c r="F949" s="155"/>
    </row>
    <row r="950" ht="22.5" customHeight="1">
      <c r="A950" s="202"/>
      <c r="B950" s="197"/>
      <c r="C950" s="144"/>
      <c r="D950" s="197"/>
      <c r="E950" s="197"/>
      <c r="F950" s="147"/>
    </row>
    <row r="951" ht="22.5" customHeight="1">
      <c r="A951" s="250"/>
      <c r="B951" s="196"/>
      <c r="C951" s="152"/>
      <c r="D951" s="196"/>
      <c r="E951" s="196"/>
      <c r="F951" s="155"/>
    </row>
    <row r="952" ht="22.5" customHeight="1">
      <c r="A952" s="202"/>
      <c r="B952" s="197"/>
      <c r="C952" s="144"/>
      <c r="D952" s="197"/>
      <c r="E952" s="197"/>
      <c r="F952" s="147"/>
    </row>
    <row r="953" ht="22.5" customHeight="1">
      <c r="A953" s="250"/>
      <c r="B953" s="196"/>
      <c r="C953" s="152"/>
      <c r="D953" s="196"/>
      <c r="E953" s="196"/>
      <c r="F953" s="155"/>
    </row>
    <row r="954" ht="22.5" customHeight="1">
      <c r="A954" s="202"/>
      <c r="B954" s="197"/>
      <c r="C954" s="144"/>
      <c r="D954" s="197"/>
      <c r="E954" s="197"/>
      <c r="F954" s="147"/>
    </row>
    <row r="955" ht="22.5" customHeight="1">
      <c r="A955" s="250"/>
      <c r="B955" s="196"/>
      <c r="C955" s="152"/>
      <c r="D955" s="196"/>
      <c r="E955" s="196"/>
      <c r="F955" s="155"/>
    </row>
    <row r="956" ht="22.5" customHeight="1">
      <c r="A956" s="202"/>
      <c r="B956" s="197"/>
      <c r="C956" s="144"/>
      <c r="D956" s="197"/>
      <c r="E956" s="197"/>
      <c r="F956" s="147"/>
    </row>
    <row r="957" ht="22.5" customHeight="1">
      <c r="A957" s="250"/>
      <c r="B957" s="196"/>
      <c r="C957" s="152"/>
      <c r="D957" s="196"/>
      <c r="E957" s="196"/>
      <c r="F957" s="155"/>
    </row>
    <row r="958" ht="22.5" customHeight="1">
      <c r="A958" s="202"/>
      <c r="B958" s="197"/>
      <c r="C958" s="144"/>
      <c r="D958" s="197"/>
      <c r="E958" s="197"/>
      <c r="F958" s="147"/>
    </row>
    <row r="959" ht="22.5" customHeight="1">
      <c r="A959" s="250"/>
      <c r="B959" s="196"/>
      <c r="C959" s="152"/>
      <c r="D959" s="196"/>
      <c r="E959" s="196"/>
      <c r="F959" s="155"/>
    </row>
    <row r="960" ht="22.5" customHeight="1">
      <c r="A960" s="202"/>
      <c r="B960" s="197"/>
      <c r="C960" s="144"/>
      <c r="D960" s="197"/>
      <c r="E960" s="197"/>
      <c r="F960" s="147"/>
    </row>
    <row r="961" ht="22.5" customHeight="1">
      <c r="A961" s="250"/>
      <c r="B961" s="196"/>
      <c r="C961" s="152"/>
      <c r="D961" s="196"/>
      <c r="E961" s="196"/>
      <c r="F961" s="155"/>
    </row>
    <row r="962" ht="22.5" customHeight="1">
      <c r="A962" s="202"/>
      <c r="B962" s="197"/>
      <c r="C962" s="144"/>
      <c r="D962" s="197"/>
      <c r="E962" s="197"/>
      <c r="F962" s="147"/>
    </row>
    <row r="963" ht="22.5" customHeight="1">
      <c r="A963" s="250"/>
      <c r="B963" s="196"/>
      <c r="C963" s="152"/>
      <c r="D963" s="196"/>
      <c r="E963" s="196"/>
      <c r="F963" s="155"/>
    </row>
    <row r="964" ht="22.5" customHeight="1">
      <c r="A964" s="202"/>
      <c r="B964" s="197"/>
      <c r="C964" s="144"/>
      <c r="D964" s="197"/>
      <c r="E964" s="197"/>
      <c r="F964" s="147"/>
    </row>
    <row r="965" ht="22.5" customHeight="1">
      <c r="A965" s="250"/>
      <c r="B965" s="196"/>
      <c r="C965" s="152"/>
      <c r="D965" s="196"/>
      <c r="E965" s="196"/>
      <c r="F965" s="155"/>
    </row>
    <row r="966" ht="22.5" customHeight="1">
      <c r="A966" s="202"/>
      <c r="B966" s="197"/>
      <c r="C966" s="144"/>
      <c r="D966" s="197"/>
      <c r="E966" s="197"/>
      <c r="F966" s="147"/>
    </row>
    <row r="967" ht="22.5" customHeight="1">
      <c r="A967" s="250"/>
      <c r="B967" s="196"/>
      <c r="C967" s="152"/>
      <c r="D967" s="196"/>
      <c r="E967" s="196"/>
      <c r="F967" s="155"/>
    </row>
    <row r="968" ht="22.5" customHeight="1">
      <c r="A968" s="202"/>
      <c r="B968" s="197"/>
      <c r="C968" s="144"/>
      <c r="D968" s="197"/>
      <c r="E968" s="197"/>
      <c r="F968" s="147"/>
    </row>
    <row r="969" ht="22.5" customHeight="1">
      <c r="A969" s="250"/>
      <c r="B969" s="196"/>
      <c r="C969" s="152"/>
      <c r="D969" s="196"/>
      <c r="E969" s="196"/>
      <c r="F969" s="155"/>
    </row>
    <row r="970" ht="22.5" customHeight="1">
      <c r="A970" s="202"/>
      <c r="B970" s="197"/>
      <c r="C970" s="144"/>
      <c r="D970" s="197"/>
      <c r="E970" s="197"/>
      <c r="F970" s="147"/>
    </row>
    <row r="971" ht="22.5" customHeight="1">
      <c r="A971" s="250"/>
      <c r="B971" s="196"/>
      <c r="C971" s="152"/>
      <c r="D971" s="196"/>
      <c r="E971" s="196"/>
      <c r="F971" s="155"/>
    </row>
    <row r="972" ht="22.5" customHeight="1">
      <c r="A972" s="202"/>
      <c r="B972" s="197"/>
      <c r="C972" s="144"/>
      <c r="D972" s="197"/>
      <c r="E972" s="197"/>
      <c r="F972" s="147"/>
    </row>
    <row r="973" ht="22.5" customHeight="1">
      <c r="A973" s="250"/>
      <c r="B973" s="196"/>
      <c r="C973" s="152"/>
      <c r="D973" s="196"/>
      <c r="E973" s="196"/>
      <c r="F973" s="155"/>
    </row>
    <row r="974" ht="22.5" customHeight="1">
      <c r="A974" s="202"/>
      <c r="B974" s="197"/>
      <c r="C974" s="144"/>
      <c r="D974" s="197"/>
      <c r="E974" s="197"/>
      <c r="F974" s="147"/>
    </row>
    <row r="975" ht="22.5" customHeight="1">
      <c r="A975" s="250"/>
      <c r="B975" s="196"/>
      <c r="C975" s="152"/>
      <c r="D975" s="196"/>
      <c r="E975" s="196"/>
      <c r="F975" s="155"/>
    </row>
    <row r="976" ht="22.5" customHeight="1">
      <c r="A976" s="202"/>
      <c r="B976" s="197"/>
      <c r="C976" s="144"/>
      <c r="D976" s="197"/>
      <c r="E976" s="197"/>
      <c r="F976" s="147"/>
    </row>
    <row r="977" ht="22.5" customHeight="1">
      <c r="A977" s="250"/>
      <c r="B977" s="196"/>
      <c r="C977" s="152"/>
      <c r="D977" s="196"/>
      <c r="E977" s="196"/>
      <c r="F977" s="155"/>
    </row>
    <row r="978" ht="22.5" customHeight="1">
      <c r="A978" s="202"/>
      <c r="B978" s="197"/>
      <c r="C978" s="144"/>
      <c r="D978" s="197"/>
      <c r="E978" s="197"/>
      <c r="F978" s="147"/>
    </row>
    <row r="979" ht="22.5" customHeight="1">
      <c r="A979" s="250"/>
      <c r="B979" s="196"/>
      <c r="C979" s="152"/>
      <c r="D979" s="196"/>
      <c r="E979" s="196"/>
      <c r="F979" s="155"/>
    </row>
    <row r="980" ht="22.5" customHeight="1">
      <c r="A980" s="202"/>
      <c r="B980" s="197"/>
      <c r="C980" s="144"/>
      <c r="D980" s="197"/>
      <c r="E980" s="197"/>
      <c r="F980" s="147"/>
    </row>
    <row r="981" ht="22.5" customHeight="1">
      <c r="A981" s="250"/>
      <c r="B981" s="196"/>
      <c r="C981" s="152"/>
      <c r="D981" s="196"/>
      <c r="E981" s="196"/>
      <c r="F981" s="155"/>
    </row>
    <row r="982" ht="22.5" customHeight="1">
      <c r="A982" s="202"/>
      <c r="B982" s="197"/>
      <c r="C982" s="144"/>
      <c r="D982" s="197"/>
      <c r="E982" s="197"/>
      <c r="F982" s="147"/>
    </row>
    <row r="983" ht="22.5" customHeight="1">
      <c r="A983" s="250"/>
      <c r="B983" s="196"/>
      <c r="C983" s="152"/>
      <c r="D983" s="196"/>
      <c r="E983" s="196"/>
      <c r="F983" s="155"/>
    </row>
    <row r="984" ht="22.5" customHeight="1">
      <c r="A984" s="202"/>
      <c r="B984" s="197"/>
      <c r="C984" s="144"/>
      <c r="D984" s="197"/>
      <c r="E984" s="197"/>
      <c r="F984" s="147"/>
    </row>
    <row r="985" ht="22.5" customHeight="1">
      <c r="A985" s="250"/>
      <c r="B985" s="196"/>
      <c r="C985" s="152"/>
      <c r="D985" s="196"/>
      <c r="E985" s="196"/>
      <c r="F985" s="155"/>
    </row>
    <row r="986" ht="22.5" customHeight="1">
      <c r="A986" s="202"/>
      <c r="B986" s="197"/>
      <c r="C986" s="144"/>
      <c r="D986" s="197"/>
      <c r="E986" s="197"/>
      <c r="F986" s="147"/>
    </row>
    <row r="987" ht="22.5" customHeight="1">
      <c r="A987" s="250"/>
      <c r="B987" s="196"/>
      <c r="C987" s="152"/>
      <c r="D987" s="196"/>
      <c r="E987" s="196"/>
      <c r="F987" s="155"/>
    </row>
    <row r="988" ht="22.5" customHeight="1">
      <c r="A988" s="202"/>
      <c r="B988" s="197"/>
      <c r="C988" s="144"/>
      <c r="D988" s="197"/>
      <c r="E988" s="197"/>
      <c r="F988" s="147"/>
    </row>
    <row r="989" ht="22.5" customHeight="1">
      <c r="A989" s="250"/>
      <c r="B989" s="196"/>
      <c r="C989" s="152"/>
      <c r="D989" s="196"/>
      <c r="E989" s="196"/>
      <c r="F989" s="155"/>
    </row>
    <row r="990" ht="22.5" customHeight="1">
      <c r="A990" s="202"/>
      <c r="B990" s="197"/>
      <c r="C990" s="144"/>
      <c r="D990" s="197"/>
      <c r="E990" s="197"/>
      <c r="F990" s="147"/>
    </row>
    <row r="991" ht="22.5" customHeight="1">
      <c r="A991" s="250"/>
      <c r="B991" s="196"/>
      <c r="C991" s="152"/>
      <c r="D991" s="196"/>
      <c r="E991" s="196"/>
      <c r="F991" s="155"/>
    </row>
    <row r="992" ht="22.5" customHeight="1">
      <c r="A992" s="202"/>
      <c r="B992" s="197"/>
      <c r="C992" s="144"/>
      <c r="D992" s="197"/>
      <c r="E992" s="197"/>
      <c r="F992" s="147"/>
    </row>
    <row r="993" ht="22.5" customHeight="1">
      <c r="A993" s="250"/>
      <c r="B993" s="196"/>
      <c r="C993" s="152"/>
      <c r="D993" s="196"/>
      <c r="E993" s="196"/>
      <c r="F993" s="155"/>
    </row>
    <row r="994" ht="22.5" customHeight="1">
      <c r="A994" s="202"/>
      <c r="B994" s="197"/>
      <c r="C994" s="144"/>
      <c r="D994" s="197"/>
      <c r="E994" s="197"/>
      <c r="F994" s="147"/>
    </row>
    <row r="995" ht="22.5" customHeight="1">
      <c r="A995" s="250"/>
      <c r="B995" s="196"/>
      <c r="C995" s="152"/>
      <c r="D995" s="196"/>
      <c r="E995" s="196"/>
      <c r="F995" s="155"/>
    </row>
    <row r="996" ht="22.5" customHeight="1">
      <c r="A996" s="202"/>
      <c r="B996" s="197"/>
      <c r="C996" s="144"/>
      <c r="D996" s="197"/>
      <c r="E996" s="197"/>
      <c r="F996" s="147"/>
    </row>
    <row r="997" ht="22.5" customHeight="1">
      <c r="A997" s="250"/>
      <c r="B997" s="196"/>
      <c r="C997" s="152"/>
      <c r="D997" s="196"/>
      <c r="E997" s="196"/>
      <c r="F997" s="155"/>
    </row>
    <row r="998" ht="22.5" customHeight="1">
      <c r="A998" s="202"/>
      <c r="B998" s="197"/>
      <c r="C998" s="144"/>
      <c r="D998" s="197"/>
      <c r="E998" s="197"/>
      <c r="F998" s="147"/>
    </row>
    <row r="999" ht="22.5" customHeight="1">
      <c r="A999" s="250"/>
      <c r="B999" s="196"/>
      <c r="C999" s="152"/>
      <c r="D999" s="196"/>
      <c r="E999" s="196"/>
      <c r="F999" s="155"/>
    </row>
    <row r="1000" ht="22.5" customHeight="1">
      <c r="A1000" s="202"/>
      <c r="B1000" s="197"/>
      <c r="C1000" s="144"/>
      <c r="D1000" s="197"/>
      <c r="E1000" s="197"/>
      <c r="F1000" s="147"/>
    </row>
    <row r="1001" ht="22.5" customHeight="1">
      <c r="A1001" s="250"/>
      <c r="B1001" s="196"/>
      <c r="C1001" s="152"/>
      <c r="D1001" s="196"/>
      <c r="E1001" s="196"/>
      <c r="F1001" s="155"/>
    </row>
    <row r="1002" ht="22.5" customHeight="1">
      <c r="A1002" s="202"/>
      <c r="B1002" s="197"/>
      <c r="C1002" s="144"/>
      <c r="D1002" s="197"/>
      <c r="E1002" s="197"/>
      <c r="F1002" s="147"/>
    </row>
    <row r="1003" ht="22.5" customHeight="1">
      <c r="A1003" s="250"/>
      <c r="B1003" s="196"/>
      <c r="C1003" s="152"/>
      <c r="D1003" s="196"/>
      <c r="E1003" s="196"/>
      <c r="F1003" s="155"/>
    </row>
    <row r="1004" ht="22.5" customHeight="1">
      <c r="A1004" s="202"/>
      <c r="B1004" s="197"/>
      <c r="C1004" s="144"/>
      <c r="D1004" s="197"/>
      <c r="E1004" s="197"/>
      <c r="F1004" s="147"/>
    </row>
    <row r="1005" ht="22.5" customHeight="1">
      <c r="A1005" s="250"/>
      <c r="B1005" s="196"/>
      <c r="C1005" s="152"/>
      <c r="D1005" s="196"/>
      <c r="E1005" s="196"/>
      <c r="F1005" s="155"/>
    </row>
    <row r="1006" ht="22.5" customHeight="1">
      <c r="A1006" s="202"/>
      <c r="B1006" s="197"/>
      <c r="C1006" s="144"/>
      <c r="D1006" s="197"/>
      <c r="E1006" s="197"/>
      <c r="F1006" s="147"/>
    </row>
    <row r="1007" ht="22.5" customHeight="1">
      <c r="A1007" s="250"/>
      <c r="B1007" s="196"/>
      <c r="C1007" s="152"/>
      <c r="D1007" s="196"/>
      <c r="E1007" s="196"/>
      <c r="F1007" s="155"/>
    </row>
    <row r="1008" ht="22.5" customHeight="1">
      <c r="A1008" s="202"/>
      <c r="B1008" s="197"/>
      <c r="C1008" s="144"/>
      <c r="D1008" s="197"/>
      <c r="E1008" s="197"/>
      <c r="F1008" s="147"/>
    </row>
    <row r="1009" ht="22.5" customHeight="1">
      <c r="A1009" s="250"/>
      <c r="B1009" s="196"/>
      <c r="C1009" s="152"/>
      <c r="D1009" s="196"/>
      <c r="E1009" s="196"/>
      <c r="F1009" s="155"/>
    </row>
    <row r="1010" ht="22.5" customHeight="1">
      <c r="A1010" s="202"/>
      <c r="B1010" s="197"/>
      <c r="C1010" s="144"/>
      <c r="D1010" s="197"/>
      <c r="E1010" s="197"/>
      <c r="F1010" s="147"/>
    </row>
    <row r="1011" ht="22.5" customHeight="1">
      <c r="A1011" s="250"/>
      <c r="B1011" s="196"/>
      <c r="C1011" s="152"/>
      <c r="D1011" s="196"/>
      <c r="E1011" s="196"/>
      <c r="F1011" s="155"/>
    </row>
    <row r="1012" ht="22.5" customHeight="1">
      <c r="A1012" s="202"/>
      <c r="B1012" s="197"/>
      <c r="C1012" s="144"/>
      <c r="D1012" s="197"/>
      <c r="E1012" s="197"/>
      <c r="F1012" s="147"/>
    </row>
    <row r="1013" ht="22.5" customHeight="1">
      <c r="A1013" s="250"/>
      <c r="B1013" s="196"/>
      <c r="C1013" s="152"/>
      <c r="D1013" s="196"/>
      <c r="E1013" s="196"/>
      <c r="F1013" s="155"/>
    </row>
    <row r="1014" ht="22.5" customHeight="1">
      <c r="A1014" s="202"/>
      <c r="B1014" s="197"/>
      <c r="C1014" s="144"/>
      <c r="D1014" s="197"/>
      <c r="E1014" s="197"/>
      <c r="F1014" s="147"/>
    </row>
    <row r="1015" ht="22.5" customHeight="1">
      <c r="A1015" s="250"/>
      <c r="B1015" s="196"/>
      <c r="C1015" s="152"/>
      <c r="D1015" s="196"/>
      <c r="E1015" s="196"/>
      <c r="F1015" s="155"/>
    </row>
    <row r="1016" ht="22.5" customHeight="1">
      <c r="A1016" s="202"/>
      <c r="B1016" s="197"/>
      <c r="C1016" s="144"/>
      <c r="D1016" s="197"/>
      <c r="E1016" s="197"/>
      <c r="F1016" s="147"/>
    </row>
    <row r="1017" ht="22.5" customHeight="1">
      <c r="A1017" s="250"/>
      <c r="B1017" s="196"/>
      <c r="C1017" s="152"/>
      <c r="D1017" s="196"/>
      <c r="E1017" s="196"/>
      <c r="F1017" s="155"/>
    </row>
    <row r="1018" ht="22.5" customHeight="1">
      <c r="A1018" s="202"/>
      <c r="B1018" s="197"/>
      <c r="C1018" s="144"/>
      <c r="D1018" s="197"/>
      <c r="E1018" s="197"/>
      <c r="F1018" s="147"/>
    </row>
    <row r="1019" ht="22.5" customHeight="1">
      <c r="A1019" s="250"/>
      <c r="B1019" s="196"/>
      <c r="C1019" s="152"/>
      <c r="D1019" s="196"/>
      <c r="E1019" s="196"/>
      <c r="F1019" s="155"/>
    </row>
    <row r="1020" ht="22.5" customHeight="1">
      <c r="A1020" s="202"/>
      <c r="B1020" s="197"/>
      <c r="C1020" s="144"/>
      <c r="D1020" s="197"/>
      <c r="E1020" s="197"/>
      <c r="F1020" s="147"/>
    </row>
    <row r="1021" ht="22.5" customHeight="1">
      <c r="A1021" s="250"/>
      <c r="B1021" s="196"/>
      <c r="C1021" s="152"/>
      <c r="D1021" s="196"/>
      <c r="E1021" s="196"/>
      <c r="F1021" s="155"/>
    </row>
    <row r="1022" ht="22.5" customHeight="1">
      <c r="A1022" s="202"/>
      <c r="B1022" s="197"/>
      <c r="C1022" s="144"/>
      <c r="D1022" s="197"/>
      <c r="E1022" s="197"/>
      <c r="F1022" s="147"/>
    </row>
    <row r="1023" ht="22.5" customHeight="1">
      <c r="A1023" s="250"/>
      <c r="B1023" s="196"/>
      <c r="C1023" s="152"/>
      <c r="D1023" s="196"/>
      <c r="E1023" s="196"/>
      <c r="F1023" s="155"/>
    </row>
    <row r="1024" ht="22.5" customHeight="1">
      <c r="A1024" s="202"/>
      <c r="B1024" s="197"/>
      <c r="C1024" s="144"/>
      <c r="D1024" s="197"/>
      <c r="E1024" s="197"/>
      <c r="F1024" s="147"/>
    </row>
    <row r="1025" ht="22.5" customHeight="1">
      <c r="A1025" s="250"/>
      <c r="B1025" s="196"/>
      <c r="C1025" s="152"/>
      <c r="D1025" s="196"/>
      <c r="E1025" s="196"/>
      <c r="F1025" s="155"/>
    </row>
    <row r="1026" ht="22.5" customHeight="1">
      <c r="A1026" s="202"/>
      <c r="B1026" s="197"/>
      <c r="C1026" s="144"/>
      <c r="D1026" s="197"/>
      <c r="E1026" s="197"/>
      <c r="F1026" s="147"/>
    </row>
    <row r="1027" ht="22.5" customHeight="1">
      <c r="A1027" s="250"/>
      <c r="B1027" s="196"/>
      <c r="C1027" s="152"/>
      <c r="D1027" s="196"/>
      <c r="E1027" s="196"/>
      <c r="F1027" s="155"/>
    </row>
    <row r="1028" ht="22.5" customHeight="1">
      <c r="A1028" s="202"/>
      <c r="B1028" s="197"/>
      <c r="C1028" s="144"/>
      <c r="D1028" s="197"/>
      <c r="E1028" s="197"/>
      <c r="F1028" s="147"/>
    </row>
    <row r="1029" ht="22.5" customHeight="1">
      <c r="A1029" s="250"/>
      <c r="B1029" s="196"/>
      <c r="C1029" s="152"/>
      <c r="D1029" s="196"/>
      <c r="E1029" s="196"/>
      <c r="F1029" s="155"/>
    </row>
    <row r="1030" ht="22.5" customHeight="1">
      <c r="A1030" s="202"/>
      <c r="B1030" s="197"/>
      <c r="C1030" s="144"/>
      <c r="D1030" s="197"/>
      <c r="E1030" s="197"/>
      <c r="F1030" s="147"/>
    </row>
    <row r="1031" ht="22.5" customHeight="1">
      <c r="A1031" s="250"/>
      <c r="B1031" s="196"/>
      <c r="C1031" s="152"/>
      <c r="D1031" s="196"/>
      <c r="E1031" s="196"/>
      <c r="F1031" s="155"/>
    </row>
    <row r="1032" ht="22.5" customHeight="1">
      <c r="A1032" s="202"/>
      <c r="B1032" s="197"/>
      <c r="C1032" s="144"/>
      <c r="D1032" s="197"/>
      <c r="E1032" s="197"/>
      <c r="F1032" s="147"/>
    </row>
    <row r="1033" ht="22.5" customHeight="1">
      <c r="A1033" s="250"/>
      <c r="B1033" s="196"/>
      <c r="C1033" s="152"/>
      <c r="D1033" s="196"/>
      <c r="E1033" s="196"/>
      <c r="F1033" s="155"/>
    </row>
    <row r="1034" ht="22.5" customHeight="1">
      <c r="A1034" s="202"/>
      <c r="B1034" s="197"/>
      <c r="C1034" s="144"/>
      <c r="D1034" s="197"/>
      <c r="E1034" s="197"/>
      <c r="F1034" s="147"/>
    </row>
    <row r="1035" ht="22.5" customHeight="1">
      <c r="A1035" s="250"/>
      <c r="B1035" s="196"/>
      <c r="C1035" s="152"/>
      <c r="D1035" s="196"/>
      <c r="E1035" s="196"/>
      <c r="F1035" s="155"/>
    </row>
    <row r="1036" ht="22.5" customHeight="1">
      <c r="A1036" s="202"/>
      <c r="B1036" s="197"/>
      <c r="C1036" s="144"/>
      <c r="D1036" s="197"/>
      <c r="E1036" s="197"/>
      <c r="F1036" s="147"/>
    </row>
    <row r="1037" ht="22.5" customHeight="1">
      <c r="A1037" s="250"/>
      <c r="B1037" s="196"/>
      <c r="C1037" s="152"/>
      <c r="D1037" s="196"/>
      <c r="E1037" s="196"/>
      <c r="F1037" s="155"/>
    </row>
    <row r="1038" ht="22.5" customHeight="1">
      <c r="A1038" s="202"/>
      <c r="B1038" s="197"/>
      <c r="C1038" s="144"/>
      <c r="D1038" s="197"/>
      <c r="E1038" s="197"/>
      <c r="F1038" s="147"/>
    </row>
    <row r="1039" ht="22.5" customHeight="1">
      <c r="A1039" s="250"/>
      <c r="B1039" s="196"/>
      <c r="C1039" s="152"/>
      <c r="D1039" s="196"/>
      <c r="E1039" s="196"/>
      <c r="F1039" s="155"/>
    </row>
    <row r="1040" ht="22.5" customHeight="1">
      <c r="A1040" s="202"/>
      <c r="B1040" s="197"/>
      <c r="C1040" s="144"/>
      <c r="D1040" s="197"/>
      <c r="E1040" s="197"/>
      <c r="F1040" s="147"/>
    </row>
    <row r="1041" ht="22.5" customHeight="1">
      <c r="A1041" s="250"/>
      <c r="B1041" s="196"/>
      <c r="C1041" s="152"/>
      <c r="D1041" s="196"/>
      <c r="E1041" s="196"/>
      <c r="F1041" s="155"/>
    </row>
    <row r="1042" ht="22.5" customHeight="1">
      <c r="A1042" s="202"/>
      <c r="B1042" s="197"/>
      <c r="C1042" s="144"/>
      <c r="D1042" s="197"/>
      <c r="E1042" s="197"/>
      <c r="F1042" s="147"/>
    </row>
    <row r="1043" ht="22.5" customHeight="1">
      <c r="A1043" s="250"/>
      <c r="B1043" s="196"/>
      <c r="C1043" s="152"/>
      <c r="D1043" s="196"/>
      <c r="E1043" s="196"/>
      <c r="F1043" s="155"/>
    </row>
    <row r="1044" ht="22.5" customHeight="1">
      <c r="A1044" s="202"/>
      <c r="B1044" s="197"/>
      <c r="C1044" s="144"/>
      <c r="D1044" s="197"/>
      <c r="E1044" s="197"/>
      <c r="F1044" s="147"/>
    </row>
    <row r="1045" ht="22.5" customHeight="1">
      <c r="A1045" s="250"/>
      <c r="B1045" s="196"/>
      <c r="C1045" s="152"/>
      <c r="D1045" s="196"/>
      <c r="E1045" s="196"/>
      <c r="F1045" s="155"/>
    </row>
    <row r="1046" ht="22.5" customHeight="1">
      <c r="A1046" s="202"/>
      <c r="B1046" s="197"/>
      <c r="C1046" s="144"/>
      <c r="D1046" s="197"/>
      <c r="E1046" s="197"/>
      <c r="F1046" s="147"/>
    </row>
    <row r="1047" ht="22.5" customHeight="1">
      <c r="A1047" s="250"/>
      <c r="B1047" s="196"/>
      <c r="C1047" s="152"/>
      <c r="D1047" s="196"/>
      <c r="E1047" s="196"/>
      <c r="F1047" s="155"/>
    </row>
    <row r="1048" ht="22.5" customHeight="1">
      <c r="A1048" s="202"/>
      <c r="B1048" s="197"/>
      <c r="C1048" s="144"/>
      <c r="D1048" s="197"/>
      <c r="E1048" s="197"/>
      <c r="F1048" s="147"/>
    </row>
    <row r="1049" ht="22.5" customHeight="1">
      <c r="A1049" s="250"/>
      <c r="B1049" s="196"/>
      <c r="C1049" s="152"/>
      <c r="D1049" s="196"/>
      <c r="E1049" s="196"/>
      <c r="F1049" s="155"/>
    </row>
    <row r="1050" ht="22.5" customHeight="1">
      <c r="A1050" s="202"/>
      <c r="B1050" s="197"/>
      <c r="C1050" s="144"/>
      <c r="D1050" s="197"/>
      <c r="E1050" s="197"/>
      <c r="F1050" s="147"/>
    </row>
    <row r="1051" ht="22.5" customHeight="1">
      <c r="A1051" s="250"/>
      <c r="B1051" s="196"/>
      <c r="C1051" s="152"/>
      <c r="D1051" s="196"/>
      <c r="E1051" s="196"/>
      <c r="F1051" s="155"/>
    </row>
    <row r="1052" ht="22.5" customHeight="1">
      <c r="A1052" s="202"/>
      <c r="B1052" s="197"/>
      <c r="C1052" s="144"/>
      <c r="D1052" s="197"/>
      <c r="E1052" s="197"/>
      <c r="F1052" s="147"/>
    </row>
    <row r="1053" ht="22.5" customHeight="1">
      <c r="A1053" s="250"/>
      <c r="B1053" s="196"/>
      <c r="C1053" s="152"/>
      <c r="D1053" s="196"/>
      <c r="E1053" s="196"/>
      <c r="F1053" s="155"/>
    </row>
    <row r="1054" ht="22.5" customHeight="1">
      <c r="A1054" s="202"/>
      <c r="B1054" s="197"/>
      <c r="C1054" s="144"/>
      <c r="D1054" s="197"/>
      <c r="E1054" s="197"/>
      <c r="F1054" s="147"/>
    </row>
    <row r="1055" ht="22.5" customHeight="1">
      <c r="A1055" s="250"/>
      <c r="B1055" s="196"/>
      <c r="C1055" s="152"/>
      <c r="D1055" s="196"/>
      <c r="E1055" s="196"/>
      <c r="F1055" s="155"/>
    </row>
    <row r="1056" ht="22.5" customHeight="1">
      <c r="A1056" s="202"/>
      <c r="B1056" s="197"/>
      <c r="C1056" s="144"/>
      <c r="D1056" s="197"/>
      <c r="E1056" s="197"/>
      <c r="F1056" s="147"/>
    </row>
    <row r="1057" ht="22.5" customHeight="1">
      <c r="A1057" s="250"/>
      <c r="B1057" s="196"/>
      <c r="C1057" s="152"/>
      <c r="D1057" s="196"/>
      <c r="E1057" s="196"/>
      <c r="F1057" s="155"/>
    </row>
    <row r="1058" ht="22.5" customHeight="1">
      <c r="A1058" s="202"/>
      <c r="B1058" s="197"/>
      <c r="C1058" s="144"/>
      <c r="D1058" s="197"/>
      <c r="E1058" s="197"/>
      <c r="F1058" s="147"/>
    </row>
    <row r="1059" ht="22.5" customHeight="1">
      <c r="A1059" s="250"/>
      <c r="B1059" s="196"/>
      <c r="C1059" s="152"/>
      <c r="D1059" s="196"/>
      <c r="E1059" s="196"/>
      <c r="F1059" s="155"/>
    </row>
    <row r="1060" ht="22.5" customHeight="1">
      <c r="A1060" s="202"/>
      <c r="B1060" s="197"/>
      <c r="C1060" s="144"/>
      <c r="D1060" s="197"/>
      <c r="E1060" s="197"/>
      <c r="F1060" s="147"/>
    </row>
    <row r="1061" ht="22.5" customHeight="1">
      <c r="A1061" s="250"/>
      <c r="B1061" s="196"/>
      <c r="C1061" s="152"/>
      <c r="D1061" s="196"/>
      <c r="E1061" s="196"/>
      <c r="F1061" s="155"/>
    </row>
    <row r="1062" ht="22.5" customHeight="1">
      <c r="A1062" s="202"/>
      <c r="B1062" s="197"/>
      <c r="C1062" s="144"/>
      <c r="D1062" s="197"/>
      <c r="E1062" s="197"/>
      <c r="F1062" s="147"/>
    </row>
    <row r="1063" ht="22.5" customHeight="1">
      <c r="A1063" s="250"/>
      <c r="B1063" s="196"/>
      <c r="C1063" s="152"/>
      <c r="D1063" s="196"/>
      <c r="E1063" s="196"/>
      <c r="F1063" s="155"/>
    </row>
    <row r="1064" ht="22.5" customHeight="1">
      <c r="A1064" s="202"/>
      <c r="B1064" s="197"/>
      <c r="C1064" s="144"/>
      <c r="D1064" s="197"/>
      <c r="E1064" s="197"/>
      <c r="F1064" s="147"/>
    </row>
    <row r="1065" ht="22.5" customHeight="1">
      <c r="A1065" s="250"/>
      <c r="B1065" s="196"/>
      <c r="C1065" s="152"/>
      <c r="D1065" s="196"/>
      <c r="E1065" s="196"/>
      <c r="F1065" s="155"/>
    </row>
    <row r="1066" ht="22.5" customHeight="1">
      <c r="A1066" s="202"/>
      <c r="B1066" s="197"/>
      <c r="C1066" s="144"/>
      <c r="D1066" s="197"/>
      <c r="E1066" s="197"/>
      <c r="F1066" s="147"/>
    </row>
    <row r="1067" ht="22.5" customHeight="1">
      <c r="A1067" s="250"/>
      <c r="B1067" s="196"/>
      <c r="C1067" s="152"/>
      <c r="D1067" s="196"/>
      <c r="E1067" s="196"/>
      <c r="F1067" s="155"/>
    </row>
    <row r="1068" ht="22.5" customHeight="1">
      <c r="A1068" s="202"/>
      <c r="B1068" s="197"/>
      <c r="C1068" s="144"/>
      <c r="D1068" s="197"/>
      <c r="E1068" s="197"/>
      <c r="F1068" s="147"/>
    </row>
    <row r="1069" ht="22.5" customHeight="1">
      <c r="A1069" s="250"/>
      <c r="B1069" s="196"/>
      <c r="C1069" s="152"/>
      <c r="D1069" s="196"/>
      <c r="E1069" s="196"/>
      <c r="F1069" s="155"/>
    </row>
    <row r="1070" ht="22.5" customHeight="1">
      <c r="A1070" s="202"/>
      <c r="B1070" s="197"/>
      <c r="C1070" s="144"/>
      <c r="D1070" s="197"/>
      <c r="E1070" s="197"/>
      <c r="F1070" s="147"/>
    </row>
    <row r="1071" ht="22.5" customHeight="1">
      <c r="A1071" s="250"/>
      <c r="B1071" s="196"/>
      <c r="C1071" s="152"/>
      <c r="D1071" s="196"/>
      <c r="E1071" s="196"/>
      <c r="F1071" s="155"/>
    </row>
    <row r="1072" ht="22.5" customHeight="1">
      <c r="A1072" s="202"/>
      <c r="B1072" s="197"/>
      <c r="C1072" s="144"/>
      <c r="D1072" s="197"/>
      <c r="E1072" s="197"/>
      <c r="F1072" s="147"/>
    </row>
    <row r="1073" ht="22.5" customHeight="1">
      <c r="A1073" s="250"/>
      <c r="B1073" s="196"/>
      <c r="C1073" s="152"/>
      <c r="D1073" s="196"/>
      <c r="E1073" s="196"/>
      <c r="F1073" s="155"/>
    </row>
    <row r="1074" ht="22.5" customHeight="1">
      <c r="A1074" s="202"/>
      <c r="B1074" s="197"/>
      <c r="C1074" s="144"/>
      <c r="D1074" s="197"/>
      <c r="E1074" s="197"/>
      <c r="F1074" s="147"/>
    </row>
    <row r="1075" ht="22.5" customHeight="1">
      <c r="A1075" s="250"/>
      <c r="B1075" s="196"/>
      <c r="C1075" s="152"/>
      <c r="D1075" s="196"/>
      <c r="E1075" s="196"/>
      <c r="F1075" s="155"/>
    </row>
    <row r="1076" ht="22.5" customHeight="1">
      <c r="A1076" s="202"/>
      <c r="B1076" s="197"/>
      <c r="C1076" s="144"/>
      <c r="D1076" s="197"/>
      <c r="E1076" s="197"/>
      <c r="F1076" s="147"/>
    </row>
    <row r="1077" ht="22.5" customHeight="1">
      <c r="A1077" s="250"/>
      <c r="B1077" s="196"/>
      <c r="C1077" s="152"/>
      <c r="D1077" s="196"/>
      <c r="E1077" s="196"/>
      <c r="F1077" s="155"/>
    </row>
    <row r="1078" ht="22.5" customHeight="1">
      <c r="A1078" s="202"/>
      <c r="B1078" s="197"/>
      <c r="C1078" s="144"/>
      <c r="D1078" s="197"/>
      <c r="E1078" s="197"/>
      <c r="F1078" s="147"/>
    </row>
    <row r="1079" ht="22.5" customHeight="1">
      <c r="A1079" s="250"/>
      <c r="B1079" s="196"/>
      <c r="C1079" s="152"/>
      <c r="D1079" s="196"/>
      <c r="E1079" s="196"/>
      <c r="F1079" s="155"/>
    </row>
    <row r="1080" ht="22.5" customHeight="1">
      <c r="A1080" s="202"/>
      <c r="B1080" s="197"/>
      <c r="C1080" s="144"/>
      <c r="D1080" s="197"/>
      <c r="E1080" s="197"/>
      <c r="F1080" s="147"/>
    </row>
    <row r="1081" ht="22.5" customHeight="1">
      <c r="A1081" s="250"/>
      <c r="B1081" s="196"/>
      <c r="C1081" s="152"/>
      <c r="D1081" s="196"/>
      <c r="E1081" s="196"/>
      <c r="F1081" s="155"/>
    </row>
    <row r="1082" ht="22.5" customHeight="1">
      <c r="A1082" s="202"/>
      <c r="B1082" s="197"/>
      <c r="C1082" s="144"/>
      <c r="D1082" s="197"/>
      <c r="E1082" s="197"/>
      <c r="F1082" s="147"/>
    </row>
    <row r="1083" ht="22.5" customHeight="1">
      <c r="A1083" s="250"/>
      <c r="B1083" s="196"/>
      <c r="C1083" s="152"/>
      <c r="D1083" s="196"/>
      <c r="E1083" s="196"/>
      <c r="F1083" s="155"/>
    </row>
    <row r="1084" ht="22.5" customHeight="1">
      <c r="A1084" s="202"/>
      <c r="B1084" s="197"/>
      <c r="C1084" s="144"/>
      <c r="D1084" s="197"/>
      <c r="E1084" s="197"/>
      <c r="F1084" s="147"/>
    </row>
    <row r="1085" ht="22.5" customHeight="1">
      <c r="A1085" s="250"/>
      <c r="B1085" s="196"/>
      <c r="C1085" s="152"/>
      <c r="D1085" s="196"/>
      <c r="E1085" s="196"/>
      <c r="F1085" s="155"/>
    </row>
    <row r="1086" ht="22.5" customHeight="1">
      <c r="A1086" s="202"/>
      <c r="B1086" s="197"/>
      <c r="C1086" s="144"/>
      <c r="D1086" s="197"/>
      <c r="E1086" s="197"/>
      <c r="F1086" s="147"/>
    </row>
    <row r="1087" ht="22.5" customHeight="1">
      <c r="A1087" s="250"/>
      <c r="B1087" s="196"/>
      <c r="C1087" s="152"/>
      <c r="D1087" s="196"/>
      <c r="E1087" s="196"/>
      <c r="F1087" s="155"/>
    </row>
    <row r="1088" ht="22.5" customHeight="1">
      <c r="A1088" s="202"/>
      <c r="B1088" s="197"/>
      <c r="C1088" s="144"/>
      <c r="D1088" s="197"/>
      <c r="E1088" s="197"/>
      <c r="F1088" s="147"/>
    </row>
    <row r="1089" ht="22.5" customHeight="1">
      <c r="A1089" s="250"/>
      <c r="B1089" s="196"/>
      <c r="C1089" s="152"/>
      <c r="D1089" s="196"/>
      <c r="E1089" s="196"/>
      <c r="F1089" s="155"/>
    </row>
    <row r="1090" ht="22.5" customHeight="1">
      <c r="A1090" s="202"/>
      <c r="B1090" s="197"/>
      <c r="C1090" s="144"/>
      <c r="D1090" s="197"/>
      <c r="E1090" s="197"/>
      <c r="F1090" s="147"/>
    </row>
    <row r="1091" ht="22.5" customHeight="1">
      <c r="A1091" s="250"/>
      <c r="B1091" s="196"/>
      <c r="C1091" s="152"/>
      <c r="D1091" s="196"/>
      <c r="E1091" s="196"/>
      <c r="F1091" s="155"/>
    </row>
    <row r="1092" ht="22.5" customHeight="1">
      <c r="A1092" s="202"/>
      <c r="B1092" s="197"/>
      <c r="C1092" s="144"/>
      <c r="D1092" s="197"/>
      <c r="E1092" s="197"/>
      <c r="F1092" s="147"/>
    </row>
    <row r="1093" ht="22.5" customHeight="1">
      <c r="A1093" s="250"/>
      <c r="B1093" s="196"/>
      <c r="C1093" s="152"/>
      <c r="D1093" s="196"/>
      <c r="E1093" s="196"/>
      <c r="F1093" s="155"/>
    </row>
    <row r="1094" ht="22.5" customHeight="1">
      <c r="A1094" s="202"/>
      <c r="B1094" s="197"/>
      <c r="C1094" s="144"/>
      <c r="D1094" s="197"/>
      <c r="E1094" s="197"/>
      <c r="F1094" s="147"/>
    </row>
    <row r="1095" ht="22.5" customHeight="1">
      <c r="A1095" s="250"/>
      <c r="B1095" s="196"/>
      <c r="C1095" s="152"/>
      <c r="D1095" s="196"/>
      <c r="E1095" s="196"/>
      <c r="F1095" s="155"/>
    </row>
    <row r="1096" ht="22.5" customHeight="1">
      <c r="A1096" s="202"/>
      <c r="B1096" s="197"/>
      <c r="C1096" s="144"/>
      <c r="D1096" s="197"/>
      <c r="E1096" s="197"/>
      <c r="F1096" s="147"/>
    </row>
    <row r="1097" ht="22.5" customHeight="1">
      <c r="A1097" s="250"/>
      <c r="B1097" s="196"/>
      <c r="C1097" s="152"/>
      <c r="D1097" s="196"/>
      <c r="E1097" s="196"/>
      <c r="F1097" s="155"/>
    </row>
    <row r="1098" ht="22.5" customHeight="1">
      <c r="A1098" s="202"/>
      <c r="B1098" s="197"/>
      <c r="C1098" s="144"/>
      <c r="D1098" s="197"/>
      <c r="E1098" s="197"/>
      <c r="F1098" s="147"/>
    </row>
    <row r="1099" ht="22.5" customHeight="1">
      <c r="A1099" s="250"/>
      <c r="B1099" s="196"/>
      <c r="C1099" s="152"/>
      <c r="D1099" s="196"/>
      <c r="E1099" s="196"/>
      <c r="F1099" s="155"/>
    </row>
    <row r="1100" ht="22.5" customHeight="1">
      <c r="A1100" s="202"/>
      <c r="B1100" s="197"/>
      <c r="C1100" s="144"/>
      <c r="D1100" s="197"/>
      <c r="E1100" s="197"/>
      <c r="F1100" s="147"/>
    </row>
    <row r="1101" ht="22.5" customHeight="1">
      <c r="A1101" s="250"/>
      <c r="B1101" s="196"/>
      <c r="C1101" s="152"/>
      <c r="D1101" s="196"/>
      <c r="E1101" s="196"/>
      <c r="F1101" s="155"/>
    </row>
    <row r="1102" ht="22.5" customHeight="1">
      <c r="A1102" s="202"/>
      <c r="B1102" s="197"/>
      <c r="C1102" s="144"/>
      <c r="D1102" s="197"/>
      <c r="E1102" s="197"/>
      <c r="F1102" s="147"/>
    </row>
    <row r="1103" ht="22.5" customHeight="1">
      <c r="A1103" s="250"/>
      <c r="B1103" s="196"/>
      <c r="C1103" s="152"/>
      <c r="D1103" s="196"/>
      <c r="E1103" s="196"/>
      <c r="F1103" s="155"/>
    </row>
    <row r="1104" ht="22.5" customHeight="1">
      <c r="A1104" s="202"/>
      <c r="B1104" s="197"/>
      <c r="C1104" s="144"/>
      <c r="D1104" s="197"/>
      <c r="E1104" s="197"/>
      <c r="F1104" s="147"/>
    </row>
    <row r="1105" ht="22.5" customHeight="1">
      <c r="A1105" s="250"/>
      <c r="B1105" s="196"/>
      <c r="C1105" s="152"/>
      <c r="D1105" s="196"/>
      <c r="E1105" s="196"/>
      <c r="F1105" s="155"/>
    </row>
    <row r="1106" ht="22.5" customHeight="1">
      <c r="A1106" s="202"/>
      <c r="B1106" s="197"/>
      <c r="C1106" s="144"/>
      <c r="D1106" s="197"/>
      <c r="E1106" s="197"/>
      <c r="F1106" s="147"/>
    </row>
    <row r="1107" ht="22.5" customHeight="1">
      <c r="A1107" s="250"/>
      <c r="B1107" s="196"/>
      <c r="C1107" s="152"/>
      <c r="D1107" s="196"/>
      <c r="E1107" s="196"/>
      <c r="F1107" s="155"/>
    </row>
    <row r="1108" ht="22.5" customHeight="1">
      <c r="A1108" s="202"/>
      <c r="B1108" s="197"/>
      <c r="C1108" s="144"/>
      <c r="D1108" s="197"/>
      <c r="E1108" s="197"/>
      <c r="F1108" s="147"/>
    </row>
    <row r="1109" ht="22.5" customHeight="1">
      <c r="A1109" s="250"/>
      <c r="B1109" s="196"/>
      <c r="C1109" s="152"/>
      <c r="D1109" s="196"/>
      <c r="E1109" s="196"/>
      <c r="F1109" s="155"/>
    </row>
    <row r="1110" ht="22.5" customHeight="1">
      <c r="A1110" s="202"/>
      <c r="B1110" s="197"/>
      <c r="C1110" s="144"/>
      <c r="D1110" s="197"/>
      <c r="E1110" s="197"/>
      <c r="F1110" s="147"/>
    </row>
    <row r="1111" ht="22.5" customHeight="1">
      <c r="A1111" s="250"/>
      <c r="B1111" s="196"/>
      <c r="C1111" s="152"/>
      <c r="D1111" s="196"/>
      <c r="E1111" s="196"/>
      <c r="F1111" s="155"/>
    </row>
    <row r="1112" ht="22.5" customHeight="1">
      <c r="A1112" s="202"/>
      <c r="B1112" s="197"/>
      <c r="C1112" s="144"/>
      <c r="D1112" s="197"/>
      <c r="E1112" s="197"/>
      <c r="F1112" s="147"/>
    </row>
    <row r="1113" ht="22.5" customHeight="1">
      <c r="A1113" s="250"/>
      <c r="B1113" s="196"/>
      <c r="C1113" s="152"/>
      <c r="D1113" s="196"/>
      <c r="E1113" s="196"/>
      <c r="F1113" s="155"/>
    </row>
    <row r="1114" ht="22.5" customHeight="1">
      <c r="A1114" s="202"/>
      <c r="B1114" s="197"/>
      <c r="C1114" s="144"/>
      <c r="D1114" s="197"/>
      <c r="E1114" s="197"/>
      <c r="F1114" s="147"/>
    </row>
    <row r="1115" ht="22.5" customHeight="1">
      <c r="A1115" s="250"/>
      <c r="B1115" s="196"/>
      <c r="C1115" s="152"/>
      <c r="D1115" s="196"/>
      <c r="E1115" s="196"/>
      <c r="F1115" s="155"/>
    </row>
    <row r="1116" ht="22.5" customHeight="1">
      <c r="A1116" s="202"/>
      <c r="B1116" s="197"/>
      <c r="C1116" s="144"/>
      <c r="D1116" s="197"/>
      <c r="E1116" s="197"/>
      <c r="F1116" s="147"/>
    </row>
    <row r="1117" ht="22.5" customHeight="1">
      <c r="A1117" s="250"/>
      <c r="B1117" s="196"/>
      <c r="C1117" s="152"/>
      <c r="D1117" s="196"/>
      <c r="E1117" s="196"/>
      <c r="F1117" s="155"/>
    </row>
    <row r="1118" ht="22.5" customHeight="1">
      <c r="A1118" s="202"/>
      <c r="B1118" s="197"/>
      <c r="C1118" s="144"/>
      <c r="D1118" s="197"/>
      <c r="E1118" s="197"/>
      <c r="F1118" s="147"/>
    </row>
    <row r="1119" ht="22.5" customHeight="1">
      <c r="A1119" s="250"/>
      <c r="B1119" s="196"/>
      <c r="C1119" s="152"/>
      <c r="D1119" s="196"/>
      <c r="E1119" s="196"/>
      <c r="F1119" s="155"/>
    </row>
    <row r="1120" ht="22.5" customHeight="1">
      <c r="A1120" s="202"/>
      <c r="B1120" s="197"/>
      <c r="C1120" s="144"/>
      <c r="D1120" s="197"/>
      <c r="E1120" s="197"/>
      <c r="F1120" s="147"/>
    </row>
    <row r="1121" ht="22.5" customHeight="1">
      <c r="A1121" s="250"/>
      <c r="B1121" s="196"/>
      <c r="C1121" s="152"/>
      <c r="D1121" s="196"/>
      <c r="E1121" s="196"/>
      <c r="F1121" s="155"/>
    </row>
    <row r="1122" ht="22.5" customHeight="1">
      <c r="A1122" s="202"/>
      <c r="B1122" s="197"/>
      <c r="C1122" s="144"/>
      <c r="D1122" s="197"/>
      <c r="E1122" s="197"/>
      <c r="F1122" s="147"/>
    </row>
    <row r="1123" ht="22.5" customHeight="1">
      <c r="A1123" s="250"/>
      <c r="B1123" s="196"/>
      <c r="C1123" s="152"/>
      <c r="D1123" s="196"/>
      <c r="E1123" s="196"/>
      <c r="F1123" s="155"/>
    </row>
    <row r="1124" ht="22.5" customHeight="1">
      <c r="A1124" s="202"/>
      <c r="B1124" s="197"/>
      <c r="C1124" s="144"/>
      <c r="D1124" s="197"/>
      <c r="E1124" s="197"/>
      <c r="F1124" s="147"/>
    </row>
    <row r="1125" ht="22.5" customHeight="1">
      <c r="A1125" s="250"/>
      <c r="B1125" s="196"/>
      <c r="C1125" s="152"/>
      <c r="D1125" s="196"/>
      <c r="E1125" s="196"/>
      <c r="F1125" s="155"/>
    </row>
    <row r="1126" ht="22.5" customHeight="1">
      <c r="A1126" s="202"/>
      <c r="B1126" s="197"/>
      <c r="C1126" s="144"/>
      <c r="D1126" s="197"/>
      <c r="E1126" s="197"/>
      <c r="F1126" s="147"/>
    </row>
    <row r="1127" ht="22.5" customHeight="1">
      <c r="A1127" s="250"/>
      <c r="B1127" s="196"/>
      <c r="C1127" s="152"/>
      <c r="D1127" s="196"/>
      <c r="E1127" s="196"/>
      <c r="F1127" s="155"/>
    </row>
    <row r="1128" ht="22.5" customHeight="1">
      <c r="A1128" s="202"/>
      <c r="B1128" s="197"/>
      <c r="C1128" s="144"/>
      <c r="D1128" s="197"/>
      <c r="E1128" s="197"/>
      <c r="F1128" s="147"/>
    </row>
    <row r="1129" ht="22.5" customHeight="1">
      <c r="A1129" s="250"/>
      <c r="B1129" s="196"/>
      <c r="C1129" s="152"/>
      <c r="D1129" s="196"/>
      <c r="E1129" s="196"/>
      <c r="F1129" s="155"/>
    </row>
    <row r="1130" ht="22.5" customHeight="1">
      <c r="A1130" s="202"/>
      <c r="B1130" s="197"/>
      <c r="C1130" s="144"/>
      <c r="D1130" s="197"/>
      <c r="E1130" s="197"/>
      <c r="F1130" s="147"/>
    </row>
    <row r="1131" ht="22.5" customHeight="1">
      <c r="A1131" s="250"/>
      <c r="B1131" s="196"/>
      <c r="C1131" s="152"/>
      <c r="D1131" s="196"/>
      <c r="E1131" s="196"/>
      <c r="F1131" s="155"/>
    </row>
    <row r="1132" ht="22.5" customHeight="1">
      <c r="A1132" s="202"/>
      <c r="B1132" s="197"/>
      <c r="C1132" s="144"/>
      <c r="D1132" s="197"/>
      <c r="E1132" s="197"/>
      <c r="F1132" s="147"/>
    </row>
    <row r="1133" ht="22.5" customHeight="1">
      <c r="A1133" s="250"/>
      <c r="B1133" s="196"/>
      <c r="C1133" s="152"/>
      <c r="D1133" s="196"/>
      <c r="E1133" s="196"/>
      <c r="F1133" s="155"/>
    </row>
    <row r="1134" ht="22.5" customHeight="1">
      <c r="A1134" s="202"/>
      <c r="B1134" s="197"/>
      <c r="C1134" s="144"/>
      <c r="D1134" s="197"/>
      <c r="E1134" s="197"/>
      <c r="F1134" s="147"/>
    </row>
    <row r="1135" ht="22.5" customHeight="1">
      <c r="A1135" s="250"/>
      <c r="B1135" s="196"/>
      <c r="C1135" s="152"/>
      <c r="D1135" s="196"/>
      <c r="E1135" s="196"/>
      <c r="F1135" s="155"/>
    </row>
    <row r="1136" ht="22.5" customHeight="1">
      <c r="A1136" s="202"/>
      <c r="B1136" s="197"/>
      <c r="C1136" s="144"/>
      <c r="D1136" s="197"/>
      <c r="E1136" s="197"/>
      <c r="F1136" s="147"/>
    </row>
    <row r="1137" ht="22.5" customHeight="1">
      <c r="A1137" s="250"/>
      <c r="B1137" s="196"/>
      <c r="C1137" s="152"/>
      <c r="D1137" s="196"/>
      <c r="E1137" s="196"/>
      <c r="F1137" s="155"/>
    </row>
    <row r="1138" ht="22.5" customHeight="1">
      <c r="A1138" s="202"/>
      <c r="B1138" s="197"/>
      <c r="C1138" s="144"/>
      <c r="D1138" s="197"/>
      <c r="E1138" s="197"/>
      <c r="F1138" s="147"/>
    </row>
    <row r="1139" ht="22.5" customHeight="1">
      <c r="A1139" s="250"/>
      <c r="B1139" s="196"/>
      <c r="C1139" s="152"/>
      <c r="D1139" s="196"/>
      <c r="E1139" s="196"/>
      <c r="F1139" s="155"/>
    </row>
    <row r="1140" ht="22.5" customHeight="1">
      <c r="A1140" s="202"/>
      <c r="B1140" s="197"/>
      <c r="C1140" s="144"/>
      <c r="D1140" s="197"/>
      <c r="E1140" s="197"/>
      <c r="F1140" s="147"/>
    </row>
    <row r="1141" ht="22.5" customHeight="1">
      <c r="A1141" s="250"/>
      <c r="B1141" s="196"/>
      <c r="C1141" s="152"/>
      <c r="D1141" s="196"/>
      <c r="E1141" s="196"/>
      <c r="F1141" s="155"/>
    </row>
    <row r="1142" ht="22.5" customHeight="1">
      <c r="A1142" s="202"/>
      <c r="B1142" s="197"/>
      <c r="C1142" s="144"/>
      <c r="D1142" s="197"/>
      <c r="E1142" s="197"/>
      <c r="F1142" s="147"/>
    </row>
    <row r="1143" ht="22.5" customHeight="1">
      <c r="A1143" s="250"/>
      <c r="B1143" s="196"/>
      <c r="C1143" s="152"/>
      <c r="D1143" s="196"/>
      <c r="E1143" s="196"/>
      <c r="F1143" s="155"/>
    </row>
    <row r="1144" ht="22.5" customHeight="1">
      <c r="A1144" s="202"/>
      <c r="B1144" s="197"/>
      <c r="C1144" s="144"/>
      <c r="D1144" s="197"/>
      <c r="E1144" s="197"/>
      <c r="F1144" s="147"/>
    </row>
    <row r="1145" ht="22.5" customHeight="1">
      <c r="A1145" s="250"/>
      <c r="B1145" s="196"/>
      <c r="C1145" s="152"/>
      <c r="D1145" s="196"/>
      <c r="E1145" s="196"/>
      <c r="F1145" s="155"/>
    </row>
    <row r="1146" ht="22.5" customHeight="1">
      <c r="A1146" s="202"/>
      <c r="B1146" s="197"/>
      <c r="C1146" s="144"/>
      <c r="D1146" s="197"/>
      <c r="E1146" s="197"/>
      <c r="F1146" s="147"/>
    </row>
    <row r="1147" ht="22.5" customHeight="1">
      <c r="A1147" s="250"/>
      <c r="B1147" s="196"/>
      <c r="C1147" s="152"/>
      <c r="D1147" s="196"/>
      <c r="E1147" s="196"/>
      <c r="F1147" s="155"/>
    </row>
    <row r="1148" ht="22.5" customHeight="1">
      <c r="A1148" s="202"/>
      <c r="B1148" s="197"/>
      <c r="C1148" s="144"/>
      <c r="D1148" s="197"/>
      <c r="E1148" s="197"/>
      <c r="F1148" s="147"/>
    </row>
    <row r="1149" ht="22.5" customHeight="1">
      <c r="A1149" s="250"/>
      <c r="B1149" s="196"/>
      <c r="C1149" s="152"/>
      <c r="D1149" s="196"/>
      <c r="E1149" s="196"/>
      <c r="F1149" s="155"/>
    </row>
    <row r="1150" ht="22.5" customHeight="1">
      <c r="A1150" s="202"/>
      <c r="B1150" s="197"/>
      <c r="C1150" s="144"/>
      <c r="D1150" s="197"/>
      <c r="E1150" s="197"/>
      <c r="F1150" s="147"/>
    </row>
    <row r="1151" ht="22.5" customHeight="1">
      <c r="A1151" s="250"/>
      <c r="B1151" s="196"/>
      <c r="C1151" s="152"/>
      <c r="D1151" s="196"/>
      <c r="E1151" s="196"/>
      <c r="F1151" s="155"/>
    </row>
    <row r="1152" ht="22.5" customHeight="1">
      <c r="A1152" s="202"/>
      <c r="B1152" s="197"/>
      <c r="C1152" s="144"/>
      <c r="D1152" s="197"/>
      <c r="E1152" s="197"/>
      <c r="F1152" s="147"/>
    </row>
    <row r="1153" ht="22.5" customHeight="1">
      <c r="A1153" s="250"/>
      <c r="B1153" s="196"/>
      <c r="C1153" s="152"/>
      <c r="D1153" s="196"/>
      <c r="E1153" s="196"/>
      <c r="F1153" s="155"/>
    </row>
    <row r="1154" ht="22.5" customHeight="1">
      <c r="A1154" s="202"/>
      <c r="B1154" s="197"/>
      <c r="C1154" s="144"/>
      <c r="D1154" s="197"/>
      <c r="E1154" s="197"/>
      <c r="F1154" s="147"/>
    </row>
    <row r="1155" ht="22.5" customHeight="1">
      <c r="A1155" s="250"/>
      <c r="B1155" s="196"/>
      <c r="C1155" s="152"/>
      <c r="D1155" s="196"/>
      <c r="E1155" s="196"/>
      <c r="F1155" s="155"/>
    </row>
    <row r="1156" ht="22.5" customHeight="1">
      <c r="A1156" s="202"/>
      <c r="B1156" s="197"/>
      <c r="C1156" s="144"/>
      <c r="D1156" s="197"/>
      <c r="E1156" s="197"/>
      <c r="F1156" s="147"/>
    </row>
    <row r="1157" ht="22.5" customHeight="1">
      <c r="A1157" s="250"/>
      <c r="B1157" s="196"/>
      <c r="C1157" s="152"/>
      <c r="D1157" s="196"/>
      <c r="E1157" s="196"/>
      <c r="F1157" s="155"/>
    </row>
    <row r="1158" ht="22.5" customHeight="1">
      <c r="A1158" s="202"/>
      <c r="B1158" s="197"/>
      <c r="C1158" s="144"/>
      <c r="D1158" s="197"/>
      <c r="E1158" s="197"/>
      <c r="F1158" s="147"/>
    </row>
    <row r="1159" ht="22.5" customHeight="1">
      <c r="A1159" s="250"/>
      <c r="B1159" s="196"/>
      <c r="C1159" s="152"/>
      <c r="D1159" s="196"/>
      <c r="E1159" s="196"/>
      <c r="F1159" s="155"/>
    </row>
    <row r="1160" ht="22.5" customHeight="1">
      <c r="A1160" s="202"/>
      <c r="B1160" s="197"/>
      <c r="C1160" s="144"/>
      <c r="D1160" s="197"/>
      <c r="E1160" s="197"/>
      <c r="F1160" s="147"/>
    </row>
    <row r="1161" ht="22.5" customHeight="1">
      <c r="A1161" s="250"/>
      <c r="B1161" s="196"/>
      <c r="C1161" s="152"/>
      <c r="D1161" s="196"/>
      <c r="E1161" s="196"/>
      <c r="F1161" s="155"/>
    </row>
    <row r="1162" ht="22.5" customHeight="1">
      <c r="A1162" s="202"/>
      <c r="B1162" s="197"/>
      <c r="C1162" s="144"/>
      <c r="D1162" s="197"/>
      <c r="E1162" s="197"/>
      <c r="F1162" s="147"/>
    </row>
    <row r="1163" ht="22.5" customHeight="1">
      <c r="A1163" s="250"/>
      <c r="B1163" s="196"/>
      <c r="C1163" s="152"/>
      <c r="D1163" s="196"/>
      <c r="E1163" s="196"/>
      <c r="F1163" s="155"/>
    </row>
    <row r="1164" ht="22.5" customHeight="1">
      <c r="A1164" s="202"/>
      <c r="B1164" s="197"/>
      <c r="C1164" s="144"/>
      <c r="D1164" s="197"/>
      <c r="E1164" s="197"/>
      <c r="F1164" s="147"/>
    </row>
    <row r="1165" ht="22.5" customHeight="1">
      <c r="A1165" s="250"/>
      <c r="B1165" s="196"/>
      <c r="C1165" s="152"/>
      <c r="D1165" s="196"/>
      <c r="E1165" s="196"/>
      <c r="F1165" s="155"/>
    </row>
    <row r="1166" ht="22.5" customHeight="1">
      <c r="A1166" s="202"/>
      <c r="B1166" s="197"/>
      <c r="C1166" s="144"/>
      <c r="D1166" s="197"/>
      <c r="E1166" s="197"/>
      <c r="F1166" s="147"/>
    </row>
    <row r="1167" ht="22.5" customHeight="1">
      <c r="A1167" s="250"/>
      <c r="B1167" s="196"/>
      <c r="C1167" s="152"/>
      <c r="D1167" s="196"/>
      <c r="E1167" s="196"/>
      <c r="F1167" s="155"/>
    </row>
    <row r="1168" ht="22.5" customHeight="1">
      <c r="A1168" s="202"/>
      <c r="B1168" s="197"/>
      <c r="C1168" s="144"/>
      <c r="D1168" s="197"/>
      <c r="E1168" s="197"/>
      <c r="F1168" s="147"/>
    </row>
    <row r="1169" ht="22.5" customHeight="1">
      <c r="A1169" s="250"/>
      <c r="B1169" s="196"/>
      <c r="C1169" s="152"/>
      <c r="D1169" s="196"/>
      <c r="E1169" s="196"/>
      <c r="F1169" s="155"/>
    </row>
    <row r="1170" ht="22.5" customHeight="1">
      <c r="A1170" s="202"/>
      <c r="B1170" s="197"/>
      <c r="C1170" s="144"/>
      <c r="D1170" s="197"/>
      <c r="E1170" s="197"/>
      <c r="F1170" s="147"/>
    </row>
    <row r="1171" ht="22.5" customHeight="1">
      <c r="A1171" s="250"/>
      <c r="B1171" s="196"/>
      <c r="C1171" s="152"/>
      <c r="D1171" s="196"/>
      <c r="E1171" s="196"/>
      <c r="F1171" s="155"/>
    </row>
    <row r="1172" ht="22.5" customHeight="1">
      <c r="A1172" s="202"/>
      <c r="B1172" s="197"/>
      <c r="C1172" s="144"/>
      <c r="D1172" s="197"/>
      <c r="E1172" s="197"/>
      <c r="F1172" s="147"/>
    </row>
    <row r="1173" ht="22.5" customHeight="1">
      <c r="A1173" s="250"/>
      <c r="B1173" s="196"/>
      <c r="C1173" s="152"/>
      <c r="D1173" s="196"/>
      <c r="E1173" s="196"/>
      <c r="F1173" s="155"/>
    </row>
    <row r="1174" ht="22.5" customHeight="1">
      <c r="A1174" s="202"/>
      <c r="B1174" s="197"/>
      <c r="C1174" s="144"/>
      <c r="D1174" s="197"/>
      <c r="E1174" s="197"/>
      <c r="F1174" s="147"/>
    </row>
    <row r="1175" ht="22.5" customHeight="1">
      <c r="A1175" s="250"/>
      <c r="B1175" s="196"/>
      <c r="C1175" s="152"/>
      <c r="D1175" s="196"/>
      <c r="E1175" s="196"/>
      <c r="F1175" s="155"/>
    </row>
    <row r="1176" ht="22.5" customHeight="1">
      <c r="A1176" s="202"/>
      <c r="B1176" s="197"/>
      <c r="C1176" s="144"/>
      <c r="D1176" s="197"/>
      <c r="E1176" s="197"/>
      <c r="F1176" s="147"/>
    </row>
    <row r="1177" ht="22.5" customHeight="1">
      <c r="A1177" s="250"/>
      <c r="B1177" s="196"/>
      <c r="C1177" s="152"/>
      <c r="D1177" s="196"/>
      <c r="E1177" s="196"/>
      <c r="F1177" s="155"/>
    </row>
    <row r="1178" ht="22.5" customHeight="1">
      <c r="A1178" s="202"/>
      <c r="B1178" s="197"/>
      <c r="C1178" s="144"/>
      <c r="D1178" s="197"/>
      <c r="E1178" s="197"/>
      <c r="F1178" s="147"/>
    </row>
    <row r="1179" ht="22.5" customHeight="1">
      <c r="A1179" s="250"/>
      <c r="B1179" s="196"/>
      <c r="C1179" s="152"/>
      <c r="D1179" s="196"/>
      <c r="E1179" s="196"/>
      <c r="F1179" s="155"/>
    </row>
    <row r="1180" ht="22.5" customHeight="1">
      <c r="A1180" s="202"/>
      <c r="B1180" s="197"/>
      <c r="C1180" s="144"/>
      <c r="D1180" s="197"/>
      <c r="E1180" s="197"/>
      <c r="F1180" s="147"/>
    </row>
    <row r="1181" ht="22.5" customHeight="1">
      <c r="A1181" s="250"/>
      <c r="B1181" s="196"/>
      <c r="C1181" s="152"/>
      <c r="D1181" s="196"/>
      <c r="E1181" s="196"/>
      <c r="F1181" s="155"/>
    </row>
    <row r="1182" ht="22.5" customHeight="1">
      <c r="A1182" s="202"/>
      <c r="B1182" s="197"/>
      <c r="C1182" s="144"/>
      <c r="D1182" s="197"/>
      <c r="E1182" s="197"/>
      <c r="F1182" s="147"/>
    </row>
    <row r="1183" ht="22.5" customHeight="1">
      <c r="A1183" s="250"/>
      <c r="B1183" s="196"/>
      <c r="C1183" s="152"/>
      <c r="D1183" s="196"/>
      <c r="E1183" s="196"/>
      <c r="F1183" s="155"/>
    </row>
    <row r="1184" ht="22.5" customHeight="1">
      <c r="A1184" s="202"/>
      <c r="B1184" s="197"/>
      <c r="C1184" s="144"/>
      <c r="D1184" s="197"/>
      <c r="E1184" s="197"/>
      <c r="F1184" s="147"/>
    </row>
    <row r="1185" ht="22.5" customHeight="1">
      <c r="A1185" s="250"/>
      <c r="B1185" s="196"/>
      <c r="C1185" s="152"/>
      <c r="D1185" s="196"/>
      <c r="E1185" s="196"/>
      <c r="F1185" s="155"/>
    </row>
    <row r="1186" ht="22.5" customHeight="1">
      <c r="A1186" s="202"/>
      <c r="B1186" s="197"/>
      <c r="C1186" s="144"/>
      <c r="D1186" s="197"/>
      <c r="E1186" s="197"/>
      <c r="F1186" s="147"/>
    </row>
    <row r="1187" ht="22.5" customHeight="1">
      <c r="A1187" s="250"/>
      <c r="B1187" s="196"/>
      <c r="C1187" s="152"/>
      <c r="D1187" s="196"/>
      <c r="E1187" s="196"/>
      <c r="F1187" s="155"/>
    </row>
    <row r="1188" ht="22.5" customHeight="1">
      <c r="A1188" s="202"/>
      <c r="B1188" s="197"/>
      <c r="C1188" s="144"/>
      <c r="D1188" s="197"/>
      <c r="E1188" s="197"/>
      <c r="F1188" s="147"/>
    </row>
    <row r="1189" ht="22.5" customHeight="1">
      <c r="A1189" s="250"/>
      <c r="B1189" s="196"/>
      <c r="C1189" s="152"/>
      <c r="D1189" s="196"/>
      <c r="E1189" s="196"/>
      <c r="F1189" s="155"/>
    </row>
    <row r="1190" ht="22.5" customHeight="1">
      <c r="A1190" s="202"/>
      <c r="B1190" s="197"/>
      <c r="C1190" s="144"/>
      <c r="D1190" s="197"/>
      <c r="E1190" s="197"/>
      <c r="F1190" s="147"/>
    </row>
    <row r="1191" ht="22.5" customHeight="1">
      <c r="A1191" s="250"/>
      <c r="B1191" s="196"/>
      <c r="C1191" s="152"/>
      <c r="D1191" s="196"/>
      <c r="E1191" s="196"/>
      <c r="F1191" s="155"/>
    </row>
    <row r="1192" ht="22.5" customHeight="1">
      <c r="A1192" s="202"/>
      <c r="B1192" s="197"/>
      <c r="C1192" s="144"/>
      <c r="D1192" s="197"/>
      <c r="E1192" s="197"/>
      <c r="F1192" s="147"/>
    </row>
    <row r="1193" ht="22.5" customHeight="1">
      <c r="A1193" s="250"/>
      <c r="B1193" s="196"/>
      <c r="C1193" s="152"/>
      <c r="D1193" s="196"/>
      <c r="E1193" s="196"/>
      <c r="F1193" s="155"/>
    </row>
    <row r="1194" ht="22.5" customHeight="1">
      <c r="A1194" s="202"/>
      <c r="B1194" s="197"/>
      <c r="C1194" s="144"/>
      <c r="D1194" s="197"/>
      <c r="E1194" s="197"/>
      <c r="F1194" s="147"/>
    </row>
    <row r="1195" ht="22.5" customHeight="1">
      <c r="A1195" s="250"/>
      <c r="B1195" s="196"/>
      <c r="C1195" s="152"/>
      <c r="D1195" s="196"/>
      <c r="E1195" s="196"/>
      <c r="F1195" s="155"/>
    </row>
    <row r="1196" ht="22.5" customHeight="1">
      <c r="A1196" s="202"/>
      <c r="B1196" s="197"/>
      <c r="C1196" s="144"/>
      <c r="D1196" s="197"/>
      <c r="E1196" s="197"/>
      <c r="F1196" s="147"/>
    </row>
    <row r="1197" ht="22.5" customHeight="1">
      <c r="A1197" s="250"/>
      <c r="B1197" s="196"/>
      <c r="C1197" s="152"/>
      <c r="D1197" s="196"/>
      <c r="E1197" s="196"/>
      <c r="F1197" s="155"/>
    </row>
    <row r="1198" ht="22.5" customHeight="1">
      <c r="A1198" s="202"/>
      <c r="B1198" s="197"/>
      <c r="C1198" s="144"/>
      <c r="D1198" s="197"/>
      <c r="E1198" s="197"/>
      <c r="F1198" s="147"/>
    </row>
    <row r="1199" ht="22.5" customHeight="1">
      <c r="A1199" s="250"/>
      <c r="B1199" s="196"/>
      <c r="C1199" s="152"/>
      <c r="D1199" s="196"/>
      <c r="E1199" s="196"/>
      <c r="F1199" s="155"/>
    </row>
    <row r="1200" ht="22.5" customHeight="1">
      <c r="A1200" s="202"/>
      <c r="B1200" s="197"/>
      <c r="C1200" s="144"/>
      <c r="D1200" s="197"/>
      <c r="E1200" s="197"/>
      <c r="F1200" s="147"/>
    </row>
    <row r="1201" ht="22.5" customHeight="1">
      <c r="A1201" s="250"/>
      <c r="B1201" s="196"/>
      <c r="C1201" s="152"/>
      <c r="D1201" s="196"/>
      <c r="E1201" s="196"/>
      <c r="F1201" s="155"/>
    </row>
    <row r="1202" ht="22.5" customHeight="1">
      <c r="A1202" s="202"/>
      <c r="B1202" s="197"/>
      <c r="C1202" s="144"/>
      <c r="D1202" s="197"/>
      <c r="E1202" s="197"/>
      <c r="F1202" s="147"/>
    </row>
    <row r="1203" ht="22.5" customHeight="1">
      <c r="A1203" s="250"/>
      <c r="B1203" s="196"/>
      <c r="C1203" s="152"/>
      <c r="D1203" s="196"/>
      <c r="E1203" s="196"/>
      <c r="F1203" s="155"/>
    </row>
    <row r="1204" ht="22.5" customHeight="1">
      <c r="A1204" s="202"/>
      <c r="B1204" s="197"/>
      <c r="C1204" s="144"/>
      <c r="D1204" s="197"/>
      <c r="E1204" s="197"/>
      <c r="F1204" s="147"/>
    </row>
    <row r="1205" ht="22.5" customHeight="1">
      <c r="A1205" s="250"/>
      <c r="B1205" s="196"/>
      <c r="C1205" s="152"/>
      <c r="D1205" s="196"/>
      <c r="E1205" s="196"/>
      <c r="F1205" s="155"/>
    </row>
    <row r="1206" ht="22.5" customHeight="1">
      <c r="A1206" s="202"/>
      <c r="B1206" s="197"/>
      <c r="C1206" s="144"/>
      <c r="D1206" s="197"/>
      <c r="E1206" s="197"/>
      <c r="F1206" s="147"/>
    </row>
    <row r="1207" ht="22.5" customHeight="1">
      <c r="A1207" s="250"/>
      <c r="B1207" s="196"/>
      <c r="C1207" s="152"/>
      <c r="D1207" s="196"/>
      <c r="E1207" s="196"/>
      <c r="F1207" s="155"/>
    </row>
    <row r="1208" ht="22.5" customHeight="1">
      <c r="A1208" s="202"/>
      <c r="B1208" s="197"/>
      <c r="C1208" s="144"/>
      <c r="D1208" s="197"/>
      <c r="E1208" s="197"/>
      <c r="F1208" s="147"/>
    </row>
    <row r="1209" ht="22.5" customHeight="1">
      <c r="A1209" s="250"/>
      <c r="B1209" s="196"/>
      <c r="C1209" s="152"/>
      <c r="D1209" s="196"/>
      <c r="E1209" s="196"/>
      <c r="F1209" s="155"/>
    </row>
    <row r="1210" ht="22.5" customHeight="1">
      <c r="A1210" s="202"/>
      <c r="B1210" s="197"/>
      <c r="C1210" s="144"/>
      <c r="D1210" s="197"/>
      <c r="E1210" s="197"/>
      <c r="F1210" s="147"/>
    </row>
    <row r="1211" ht="22.5" customHeight="1">
      <c r="A1211" s="250"/>
      <c r="B1211" s="196"/>
      <c r="C1211" s="152"/>
      <c r="D1211" s="196"/>
      <c r="E1211" s="196"/>
      <c r="F1211" s="155"/>
    </row>
    <row r="1212" ht="22.5" customHeight="1">
      <c r="A1212" s="202"/>
      <c r="B1212" s="197"/>
      <c r="C1212" s="144"/>
      <c r="D1212" s="197"/>
      <c r="E1212" s="197"/>
      <c r="F1212" s="147"/>
    </row>
    <row r="1213" ht="22.5" customHeight="1">
      <c r="A1213" s="250"/>
      <c r="B1213" s="196"/>
      <c r="C1213" s="152"/>
      <c r="D1213" s="196"/>
      <c r="E1213" s="196"/>
      <c r="F1213" s="155"/>
    </row>
    <row r="1214" ht="22.5" customHeight="1">
      <c r="A1214" s="202"/>
      <c r="B1214" s="197"/>
      <c r="C1214" s="144"/>
      <c r="D1214" s="197"/>
      <c r="E1214" s="197"/>
      <c r="F1214" s="147"/>
    </row>
    <row r="1215" ht="22.5" customHeight="1">
      <c r="A1215" s="250"/>
      <c r="B1215" s="196"/>
      <c r="C1215" s="152"/>
      <c r="D1215" s="196"/>
      <c r="E1215" s="196"/>
      <c r="F1215" s="155"/>
    </row>
    <row r="1216" ht="22.5" customHeight="1">
      <c r="A1216" s="202"/>
      <c r="B1216" s="197"/>
      <c r="C1216" s="144"/>
      <c r="D1216" s="197"/>
      <c r="E1216" s="197"/>
      <c r="F1216" s="147"/>
    </row>
    <row r="1217" ht="22.5" customHeight="1">
      <c r="A1217" s="250"/>
      <c r="B1217" s="196"/>
      <c r="C1217" s="152"/>
      <c r="D1217" s="196"/>
      <c r="E1217" s="196"/>
      <c r="F1217" s="155"/>
    </row>
    <row r="1218" ht="22.5" customHeight="1">
      <c r="A1218" s="202"/>
      <c r="B1218" s="197"/>
      <c r="C1218" s="144"/>
      <c r="D1218" s="197"/>
      <c r="E1218" s="197"/>
      <c r="F1218" s="147"/>
    </row>
    <row r="1219" ht="22.5" customHeight="1">
      <c r="A1219" s="250"/>
      <c r="B1219" s="196"/>
      <c r="C1219" s="152"/>
      <c r="D1219" s="196"/>
      <c r="E1219" s="196"/>
      <c r="F1219" s="155"/>
    </row>
    <row r="1220" ht="22.5" customHeight="1">
      <c r="A1220" s="202"/>
      <c r="B1220" s="197"/>
      <c r="C1220" s="144"/>
      <c r="D1220" s="197"/>
      <c r="E1220" s="197"/>
      <c r="F1220" s="147"/>
    </row>
    <row r="1221" ht="22.5" customHeight="1">
      <c r="A1221" s="250"/>
      <c r="B1221" s="196"/>
      <c r="C1221" s="152"/>
      <c r="D1221" s="196"/>
      <c r="E1221" s="196"/>
      <c r="F1221" s="155"/>
    </row>
    <row r="1222" ht="22.5" customHeight="1">
      <c r="A1222" s="202"/>
      <c r="B1222" s="197"/>
      <c r="C1222" s="144"/>
      <c r="D1222" s="197"/>
      <c r="E1222" s="197"/>
      <c r="F1222" s="147"/>
    </row>
    <row r="1223" ht="22.5" customHeight="1">
      <c r="A1223" s="250"/>
      <c r="B1223" s="196"/>
      <c r="C1223" s="152"/>
      <c r="D1223" s="196"/>
      <c r="E1223" s="196"/>
      <c r="F1223" s="155"/>
    </row>
    <row r="1224" ht="22.5" customHeight="1">
      <c r="A1224" s="202"/>
      <c r="B1224" s="197"/>
      <c r="C1224" s="144"/>
      <c r="D1224" s="197"/>
      <c r="E1224" s="197"/>
      <c r="F1224" s="147"/>
    </row>
    <row r="1225" ht="22.5" customHeight="1">
      <c r="A1225" s="250"/>
      <c r="B1225" s="196"/>
      <c r="C1225" s="152"/>
      <c r="D1225" s="196"/>
      <c r="E1225" s="196"/>
      <c r="F1225" s="155"/>
    </row>
    <row r="1226" ht="22.5" customHeight="1">
      <c r="A1226" s="202"/>
      <c r="B1226" s="197"/>
      <c r="C1226" s="144"/>
      <c r="D1226" s="197"/>
      <c r="E1226" s="197"/>
      <c r="F1226" s="147"/>
    </row>
    <row r="1227" ht="22.5" customHeight="1">
      <c r="A1227" s="250"/>
      <c r="B1227" s="196"/>
      <c r="C1227" s="152"/>
      <c r="D1227" s="196"/>
      <c r="E1227" s="196"/>
      <c r="F1227" s="155"/>
    </row>
    <row r="1228" ht="22.5" customHeight="1">
      <c r="A1228" s="202"/>
      <c r="B1228" s="197"/>
      <c r="C1228" s="144"/>
      <c r="D1228" s="197"/>
      <c r="E1228" s="197"/>
      <c r="F1228" s="147"/>
    </row>
    <row r="1229" ht="22.5" customHeight="1">
      <c r="A1229" s="250"/>
      <c r="B1229" s="196"/>
      <c r="C1229" s="152"/>
      <c r="D1229" s="196"/>
      <c r="E1229" s="196"/>
      <c r="F1229" s="155"/>
    </row>
    <row r="1230" ht="22.5" customHeight="1">
      <c r="A1230" s="202"/>
      <c r="B1230" s="197"/>
      <c r="C1230" s="144"/>
      <c r="D1230" s="197"/>
      <c r="E1230" s="197"/>
      <c r="F1230" s="147"/>
    </row>
    <row r="1231" ht="22.5" customHeight="1">
      <c r="A1231" s="250"/>
      <c r="B1231" s="196"/>
      <c r="C1231" s="152"/>
      <c r="D1231" s="196"/>
      <c r="E1231" s="196"/>
      <c r="F1231" s="155"/>
    </row>
    <row r="1232" ht="22.5" customHeight="1">
      <c r="A1232" s="202"/>
      <c r="B1232" s="197"/>
      <c r="C1232" s="144"/>
      <c r="D1232" s="197"/>
      <c r="E1232" s="197"/>
      <c r="F1232" s="147"/>
    </row>
    <row r="1233" ht="22.5" customHeight="1">
      <c r="A1233" s="250"/>
      <c r="B1233" s="196"/>
      <c r="C1233" s="152"/>
      <c r="D1233" s="196"/>
      <c r="E1233" s="196"/>
      <c r="F1233" s="155"/>
    </row>
    <row r="1234" ht="22.5" customHeight="1">
      <c r="A1234" s="202"/>
      <c r="B1234" s="197"/>
      <c r="C1234" s="144"/>
      <c r="D1234" s="197"/>
      <c r="E1234" s="197"/>
      <c r="F1234" s="147"/>
    </row>
    <row r="1235" ht="22.5" customHeight="1">
      <c r="A1235" s="250"/>
      <c r="B1235" s="196"/>
      <c r="C1235" s="152"/>
      <c r="D1235" s="196"/>
      <c r="E1235" s="196"/>
      <c r="F1235" s="155"/>
    </row>
    <row r="1236" ht="22.5" customHeight="1">
      <c r="A1236" s="202"/>
      <c r="B1236" s="197"/>
      <c r="C1236" s="144"/>
      <c r="D1236" s="197"/>
      <c r="E1236" s="197"/>
      <c r="F1236" s="147"/>
    </row>
    <row r="1237" ht="22.5" customHeight="1">
      <c r="A1237" s="250"/>
      <c r="B1237" s="196"/>
      <c r="C1237" s="152"/>
      <c r="D1237" s="196"/>
      <c r="E1237" s="196"/>
      <c r="F1237" s="155"/>
    </row>
    <row r="1238" ht="22.5" customHeight="1">
      <c r="A1238" s="202"/>
      <c r="B1238" s="197"/>
      <c r="C1238" s="144"/>
      <c r="D1238" s="197"/>
      <c r="E1238" s="197"/>
      <c r="F1238" s="147"/>
    </row>
    <row r="1239" ht="22.5" customHeight="1">
      <c r="A1239" s="250"/>
      <c r="B1239" s="196"/>
      <c r="C1239" s="152"/>
      <c r="D1239" s="196"/>
      <c r="E1239" s="196"/>
      <c r="F1239" s="155"/>
    </row>
    <row r="1240" ht="22.5" customHeight="1">
      <c r="A1240" s="202"/>
      <c r="B1240" s="197"/>
      <c r="C1240" s="144"/>
      <c r="D1240" s="197"/>
      <c r="E1240" s="197"/>
      <c r="F1240" s="147"/>
    </row>
    <row r="1241" ht="22.5" customHeight="1">
      <c r="A1241" s="250"/>
      <c r="B1241" s="196"/>
      <c r="C1241" s="152"/>
      <c r="D1241" s="196"/>
      <c r="E1241" s="196"/>
      <c r="F1241" s="155"/>
    </row>
    <row r="1242" ht="22.5" customHeight="1">
      <c r="A1242" s="202"/>
      <c r="B1242" s="197"/>
      <c r="C1242" s="144"/>
      <c r="D1242" s="197"/>
      <c r="E1242" s="197"/>
      <c r="F1242" s="147"/>
    </row>
    <row r="1243" ht="22.5" customHeight="1">
      <c r="A1243" s="250"/>
      <c r="B1243" s="196"/>
      <c r="C1243" s="152"/>
      <c r="D1243" s="196"/>
      <c r="E1243" s="196"/>
      <c r="F1243" s="155"/>
    </row>
    <row r="1244" ht="22.5" customHeight="1">
      <c r="A1244" s="202"/>
      <c r="B1244" s="197"/>
      <c r="C1244" s="144"/>
      <c r="D1244" s="197"/>
      <c r="E1244" s="197"/>
      <c r="F1244" s="147"/>
    </row>
    <row r="1245" ht="22.5" customHeight="1">
      <c r="A1245" s="250"/>
      <c r="B1245" s="196"/>
      <c r="C1245" s="152"/>
      <c r="D1245" s="196"/>
      <c r="E1245" s="196"/>
      <c r="F1245" s="155"/>
    </row>
    <row r="1246" ht="22.5" customHeight="1">
      <c r="A1246" s="202"/>
      <c r="B1246" s="197"/>
      <c r="C1246" s="144"/>
      <c r="D1246" s="197"/>
      <c r="E1246" s="197"/>
      <c r="F1246" s="147"/>
    </row>
    <row r="1247" ht="22.5" customHeight="1">
      <c r="A1247" s="250"/>
      <c r="B1247" s="196"/>
      <c r="C1247" s="152"/>
      <c r="D1247" s="196"/>
      <c r="E1247" s="196"/>
      <c r="F1247" s="155"/>
    </row>
    <row r="1248" ht="22.5" customHeight="1">
      <c r="A1248" s="202"/>
      <c r="B1248" s="197"/>
      <c r="C1248" s="144"/>
      <c r="D1248" s="197"/>
      <c r="E1248" s="197"/>
      <c r="F1248" s="147"/>
    </row>
    <row r="1249" ht="22.5" customHeight="1">
      <c r="A1249" s="250"/>
      <c r="B1249" s="196"/>
      <c r="C1249" s="152"/>
      <c r="D1249" s="196"/>
      <c r="E1249" s="196"/>
      <c r="F1249" s="155"/>
    </row>
    <row r="1250" ht="22.5" customHeight="1">
      <c r="A1250" s="202"/>
      <c r="B1250" s="197"/>
      <c r="C1250" s="144"/>
      <c r="D1250" s="197"/>
      <c r="E1250" s="197"/>
      <c r="F1250" s="147"/>
    </row>
    <row r="1251" ht="22.5" customHeight="1">
      <c r="A1251" s="250"/>
      <c r="B1251" s="196"/>
      <c r="C1251" s="152"/>
      <c r="D1251" s="196"/>
      <c r="E1251" s="196"/>
      <c r="F1251" s="155"/>
    </row>
    <row r="1252" ht="22.5" customHeight="1">
      <c r="A1252" s="202"/>
      <c r="B1252" s="197"/>
      <c r="C1252" s="144"/>
      <c r="D1252" s="197"/>
      <c r="E1252" s="197"/>
      <c r="F1252" s="147"/>
    </row>
    <row r="1253" ht="22.5" customHeight="1">
      <c r="A1253" s="250"/>
      <c r="B1253" s="196"/>
      <c r="C1253" s="152"/>
      <c r="D1253" s="196"/>
      <c r="E1253" s="196"/>
      <c r="F1253" s="155"/>
    </row>
    <row r="1254" ht="22.5" customHeight="1">
      <c r="A1254" s="202"/>
      <c r="B1254" s="197"/>
      <c r="C1254" s="144"/>
      <c r="D1254" s="197"/>
      <c r="E1254" s="197"/>
      <c r="F1254" s="147"/>
    </row>
    <row r="1255" ht="22.5" customHeight="1">
      <c r="A1255" s="250"/>
      <c r="B1255" s="196"/>
      <c r="C1255" s="152"/>
      <c r="D1255" s="196"/>
      <c r="E1255" s="196"/>
      <c r="F1255" s="155"/>
    </row>
    <row r="1256" ht="22.5" customHeight="1">
      <c r="A1256" s="202"/>
      <c r="B1256" s="197"/>
      <c r="C1256" s="144"/>
      <c r="D1256" s="197"/>
      <c r="E1256" s="197"/>
      <c r="F1256" s="147"/>
    </row>
    <row r="1257" ht="22.5" customHeight="1">
      <c r="A1257" s="250"/>
      <c r="B1257" s="196"/>
      <c r="C1257" s="152"/>
      <c r="D1257" s="196"/>
      <c r="E1257" s="196"/>
      <c r="F1257" s="155"/>
    </row>
    <row r="1258" ht="22.5" customHeight="1">
      <c r="A1258" s="202"/>
      <c r="B1258" s="197"/>
      <c r="C1258" s="144"/>
      <c r="D1258" s="197"/>
      <c r="E1258" s="197"/>
      <c r="F1258" s="147"/>
    </row>
    <row r="1259" ht="22.5" customHeight="1">
      <c r="A1259" s="250"/>
      <c r="B1259" s="196"/>
      <c r="C1259" s="152"/>
      <c r="D1259" s="196"/>
      <c r="E1259" s="196"/>
      <c r="F1259" s="155"/>
    </row>
    <row r="1260" ht="22.5" customHeight="1">
      <c r="A1260" s="202"/>
      <c r="B1260" s="197"/>
      <c r="C1260" s="144"/>
      <c r="D1260" s="197"/>
      <c r="E1260" s="197"/>
      <c r="F1260" s="147"/>
    </row>
    <row r="1261" ht="22.5" customHeight="1">
      <c r="A1261" s="250"/>
      <c r="B1261" s="196"/>
      <c r="C1261" s="152"/>
      <c r="D1261" s="196"/>
      <c r="E1261" s="196"/>
      <c r="F1261" s="155"/>
    </row>
    <row r="1262" ht="22.5" customHeight="1">
      <c r="A1262" s="202"/>
      <c r="B1262" s="197"/>
      <c r="C1262" s="144"/>
      <c r="D1262" s="197"/>
      <c r="E1262" s="197"/>
      <c r="F1262" s="147"/>
    </row>
    <row r="1263" ht="22.5" customHeight="1">
      <c r="A1263" s="250"/>
      <c r="B1263" s="196"/>
      <c r="C1263" s="152"/>
      <c r="D1263" s="196"/>
      <c r="E1263" s="196"/>
      <c r="F1263" s="155"/>
    </row>
    <row r="1264" ht="22.5" customHeight="1">
      <c r="A1264" s="202"/>
      <c r="B1264" s="197"/>
      <c r="C1264" s="144"/>
      <c r="D1264" s="197"/>
      <c r="E1264" s="197"/>
      <c r="F1264" s="147"/>
    </row>
    <row r="1265" ht="22.5" customHeight="1">
      <c r="A1265" s="250"/>
      <c r="B1265" s="196"/>
      <c r="C1265" s="152"/>
      <c r="D1265" s="196"/>
      <c r="E1265" s="196"/>
      <c r="F1265" s="155"/>
    </row>
    <row r="1266" ht="22.5" customHeight="1">
      <c r="A1266" s="202"/>
      <c r="B1266" s="197"/>
      <c r="C1266" s="144"/>
      <c r="D1266" s="197"/>
      <c r="E1266" s="197"/>
      <c r="F1266" s="147"/>
    </row>
    <row r="1267" ht="22.5" customHeight="1">
      <c r="A1267" s="250"/>
      <c r="B1267" s="196"/>
      <c r="C1267" s="152"/>
      <c r="D1267" s="196"/>
      <c r="E1267" s="196"/>
      <c r="F1267" s="155"/>
    </row>
    <row r="1268" ht="22.5" customHeight="1">
      <c r="A1268" s="202"/>
      <c r="B1268" s="197"/>
      <c r="C1268" s="144"/>
      <c r="D1268" s="197"/>
      <c r="E1268" s="197"/>
      <c r="F1268" s="147"/>
    </row>
    <row r="1269" ht="22.5" customHeight="1">
      <c r="A1269" s="250"/>
      <c r="B1269" s="196"/>
      <c r="C1269" s="152"/>
      <c r="D1269" s="196"/>
      <c r="E1269" s="196"/>
      <c r="F1269" s="155"/>
    </row>
    <row r="1270" ht="22.5" customHeight="1">
      <c r="A1270" s="202"/>
      <c r="B1270" s="197"/>
      <c r="C1270" s="144"/>
      <c r="D1270" s="197"/>
      <c r="E1270" s="197"/>
      <c r="F1270" s="147"/>
    </row>
    <row r="1271" ht="22.5" customHeight="1">
      <c r="A1271" s="250"/>
      <c r="B1271" s="196"/>
      <c r="C1271" s="152"/>
      <c r="D1271" s="196"/>
      <c r="E1271" s="196"/>
      <c r="F1271" s="155"/>
    </row>
    <row r="1272" ht="22.5" customHeight="1">
      <c r="A1272" s="202"/>
      <c r="B1272" s="197"/>
      <c r="C1272" s="144"/>
      <c r="D1272" s="197"/>
      <c r="E1272" s="197"/>
      <c r="F1272" s="147"/>
    </row>
    <row r="1273" ht="22.5" customHeight="1">
      <c r="A1273" s="250"/>
      <c r="B1273" s="196"/>
      <c r="C1273" s="152"/>
      <c r="D1273" s="196"/>
      <c r="E1273" s="196"/>
      <c r="F1273" s="155"/>
    </row>
    <row r="1274" ht="22.5" customHeight="1">
      <c r="A1274" s="202"/>
      <c r="B1274" s="197"/>
      <c r="C1274" s="144"/>
      <c r="D1274" s="197"/>
      <c r="E1274" s="197"/>
      <c r="F1274" s="147"/>
    </row>
    <row r="1275" ht="22.5" customHeight="1">
      <c r="A1275" s="250"/>
      <c r="B1275" s="196"/>
      <c r="C1275" s="152"/>
      <c r="D1275" s="196"/>
      <c r="E1275" s="196"/>
      <c r="F1275" s="155"/>
    </row>
    <row r="1276" ht="22.5" customHeight="1">
      <c r="A1276" s="202"/>
      <c r="B1276" s="197"/>
      <c r="C1276" s="144"/>
      <c r="D1276" s="197"/>
      <c r="E1276" s="197"/>
      <c r="F1276" s="147"/>
    </row>
    <row r="1277" ht="22.5" customHeight="1">
      <c r="A1277" s="250"/>
      <c r="B1277" s="196"/>
      <c r="C1277" s="152"/>
      <c r="D1277" s="196"/>
      <c r="E1277" s="196"/>
      <c r="F1277" s="155"/>
    </row>
    <row r="1278" ht="22.5" customHeight="1">
      <c r="A1278" s="202"/>
      <c r="B1278" s="197"/>
      <c r="C1278" s="144"/>
      <c r="D1278" s="197"/>
      <c r="E1278" s="197"/>
      <c r="F1278" s="147"/>
    </row>
    <row r="1279" ht="22.5" customHeight="1">
      <c r="A1279" s="250"/>
      <c r="B1279" s="196"/>
      <c r="C1279" s="152"/>
      <c r="D1279" s="196"/>
      <c r="E1279" s="196"/>
      <c r="F1279" s="155"/>
    </row>
    <row r="1280" ht="22.5" customHeight="1">
      <c r="A1280" s="202"/>
      <c r="B1280" s="197"/>
      <c r="C1280" s="144"/>
      <c r="D1280" s="197"/>
      <c r="E1280" s="197"/>
      <c r="F1280" s="147"/>
    </row>
    <row r="1281" ht="22.5" customHeight="1">
      <c r="A1281" s="250"/>
      <c r="B1281" s="196"/>
      <c r="C1281" s="152"/>
      <c r="D1281" s="196"/>
      <c r="E1281" s="196"/>
      <c r="F1281" s="155"/>
    </row>
    <row r="1282" ht="22.5" customHeight="1">
      <c r="A1282" s="202"/>
      <c r="B1282" s="197"/>
      <c r="C1282" s="144"/>
      <c r="D1282" s="197"/>
      <c r="E1282" s="197"/>
      <c r="F1282" s="147"/>
    </row>
    <row r="1283" ht="22.5" customHeight="1">
      <c r="A1283" s="250"/>
      <c r="B1283" s="196"/>
      <c r="C1283" s="152"/>
      <c r="D1283" s="196"/>
      <c r="E1283" s="196"/>
      <c r="F1283" s="155"/>
    </row>
    <row r="1284" ht="22.5" customHeight="1">
      <c r="A1284" s="202"/>
      <c r="B1284" s="197"/>
      <c r="C1284" s="144"/>
      <c r="D1284" s="197"/>
      <c r="E1284" s="197"/>
      <c r="F1284" s="147"/>
    </row>
    <row r="1285" ht="22.5" customHeight="1">
      <c r="A1285" s="250"/>
      <c r="B1285" s="196"/>
      <c r="C1285" s="152"/>
      <c r="D1285" s="196"/>
      <c r="E1285" s="196"/>
      <c r="F1285" s="155"/>
    </row>
    <row r="1286" ht="22.5" customHeight="1">
      <c r="A1286" s="202"/>
      <c r="B1286" s="197"/>
      <c r="C1286" s="144"/>
      <c r="D1286" s="197"/>
      <c r="E1286" s="197"/>
      <c r="F1286" s="147"/>
    </row>
    <row r="1287" ht="22.5" customHeight="1">
      <c r="A1287" s="250"/>
      <c r="B1287" s="196"/>
      <c r="C1287" s="152"/>
      <c r="D1287" s="196"/>
      <c r="E1287" s="196"/>
      <c r="F1287" s="155"/>
    </row>
    <row r="1288" ht="22.5" customHeight="1">
      <c r="A1288" s="202"/>
      <c r="B1288" s="197"/>
      <c r="C1288" s="144"/>
      <c r="D1288" s="197"/>
      <c r="E1288" s="197"/>
      <c r="F1288" s="147"/>
    </row>
    <row r="1289" ht="22.5" customHeight="1">
      <c r="A1289" s="250"/>
      <c r="B1289" s="196"/>
      <c r="C1289" s="152"/>
      <c r="D1289" s="196"/>
      <c r="E1289" s="196"/>
      <c r="F1289" s="155"/>
    </row>
    <row r="1290" ht="22.5" customHeight="1">
      <c r="A1290" s="202"/>
      <c r="B1290" s="197"/>
      <c r="C1290" s="144"/>
      <c r="D1290" s="197"/>
      <c r="E1290" s="197"/>
      <c r="F1290" s="147"/>
    </row>
    <row r="1291" ht="22.5" customHeight="1">
      <c r="A1291" s="250"/>
      <c r="B1291" s="196"/>
      <c r="C1291" s="152"/>
      <c r="D1291" s="196"/>
      <c r="E1291" s="196"/>
      <c r="F1291" s="155"/>
    </row>
    <row r="1292" ht="22.5" customHeight="1">
      <c r="A1292" s="202"/>
      <c r="B1292" s="197"/>
      <c r="C1292" s="144"/>
      <c r="D1292" s="197"/>
      <c r="E1292" s="197"/>
      <c r="F1292" s="147"/>
    </row>
    <row r="1293" ht="22.5" customHeight="1">
      <c r="A1293" s="250"/>
      <c r="B1293" s="196"/>
      <c r="C1293" s="152"/>
      <c r="D1293" s="196"/>
      <c r="E1293" s="196"/>
      <c r="F1293" s="155"/>
    </row>
    <row r="1294" ht="22.5" customHeight="1">
      <c r="A1294" s="202"/>
      <c r="B1294" s="197"/>
      <c r="C1294" s="144"/>
      <c r="D1294" s="197"/>
      <c r="E1294" s="197"/>
      <c r="F1294" s="147"/>
    </row>
    <row r="1295" ht="22.5" customHeight="1">
      <c r="A1295" s="250"/>
      <c r="B1295" s="196"/>
      <c r="C1295" s="152"/>
      <c r="D1295" s="196"/>
      <c r="E1295" s="196"/>
      <c r="F1295" s="155"/>
    </row>
    <row r="1296" ht="22.5" customHeight="1">
      <c r="A1296" s="202"/>
      <c r="B1296" s="197"/>
      <c r="C1296" s="144"/>
      <c r="D1296" s="197"/>
      <c r="E1296" s="197"/>
      <c r="F1296" s="147"/>
    </row>
    <row r="1297" ht="22.5" customHeight="1">
      <c r="A1297" s="250"/>
      <c r="B1297" s="196"/>
      <c r="C1297" s="152"/>
      <c r="D1297" s="196"/>
      <c r="E1297" s="196"/>
      <c r="F1297" s="155"/>
    </row>
    <row r="1298" ht="22.5" customHeight="1">
      <c r="A1298" s="202"/>
      <c r="B1298" s="197"/>
      <c r="C1298" s="144"/>
      <c r="D1298" s="197"/>
      <c r="E1298" s="197"/>
      <c r="F1298" s="147"/>
    </row>
    <row r="1299" ht="22.5" customHeight="1">
      <c r="A1299" s="250"/>
      <c r="B1299" s="196"/>
      <c r="C1299" s="152"/>
      <c r="D1299" s="196"/>
      <c r="E1299" s="196"/>
      <c r="F1299" s="155"/>
    </row>
    <row r="1300" ht="22.5" customHeight="1">
      <c r="A1300" s="202"/>
      <c r="B1300" s="197"/>
      <c r="C1300" s="144"/>
      <c r="D1300" s="197"/>
      <c r="E1300" s="197"/>
      <c r="F1300" s="147"/>
    </row>
    <row r="1301" ht="22.5" customHeight="1">
      <c r="A1301" s="250"/>
      <c r="B1301" s="196"/>
      <c r="C1301" s="152"/>
      <c r="D1301" s="196"/>
      <c r="E1301" s="196"/>
      <c r="F1301" s="155"/>
    </row>
    <row r="1302" ht="22.5" customHeight="1">
      <c r="A1302" s="202"/>
      <c r="B1302" s="197"/>
      <c r="C1302" s="144"/>
      <c r="D1302" s="197"/>
      <c r="E1302" s="197"/>
      <c r="F1302" s="147"/>
    </row>
    <row r="1303" ht="22.5" customHeight="1">
      <c r="A1303" s="250"/>
      <c r="B1303" s="196"/>
      <c r="C1303" s="152"/>
      <c r="D1303" s="196"/>
      <c r="E1303" s="196"/>
      <c r="F1303" s="155"/>
    </row>
    <row r="1304" ht="22.5" customHeight="1">
      <c r="A1304" s="202"/>
      <c r="B1304" s="197"/>
      <c r="C1304" s="144"/>
      <c r="D1304" s="197"/>
      <c r="E1304" s="197"/>
      <c r="F1304" s="147"/>
    </row>
    <row r="1305" ht="22.5" customHeight="1">
      <c r="A1305" s="250"/>
      <c r="B1305" s="196"/>
      <c r="C1305" s="152"/>
      <c r="D1305" s="196"/>
      <c r="E1305" s="196"/>
      <c r="F1305" s="155"/>
    </row>
    <row r="1306" ht="22.5" customHeight="1">
      <c r="A1306" s="202"/>
      <c r="B1306" s="197"/>
      <c r="C1306" s="144"/>
      <c r="D1306" s="197"/>
      <c r="E1306" s="197"/>
      <c r="F1306" s="147"/>
    </row>
    <row r="1307" ht="22.5" customHeight="1">
      <c r="A1307" s="250"/>
      <c r="B1307" s="196"/>
      <c r="C1307" s="152"/>
      <c r="D1307" s="196"/>
      <c r="E1307" s="196"/>
      <c r="F1307" s="155"/>
    </row>
    <row r="1308" ht="22.5" customHeight="1">
      <c r="A1308" s="202"/>
      <c r="B1308" s="197"/>
      <c r="C1308" s="144"/>
      <c r="D1308" s="197"/>
      <c r="E1308" s="197"/>
      <c r="F1308" s="147"/>
    </row>
    <row r="1309" ht="22.5" customHeight="1">
      <c r="A1309" s="250"/>
      <c r="B1309" s="196"/>
      <c r="C1309" s="152"/>
      <c r="D1309" s="196"/>
      <c r="E1309" s="196"/>
      <c r="F1309" s="155"/>
    </row>
    <row r="1310" ht="22.5" customHeight="1">
      <c r="A1310" s="202"/>
      <c r="B1310" s="197"/>
      <c r="C1310" s="144"/>
      <c r="D1310" s="197"/>
      <c r="E1310" s="197"/>
      <c r="F1310" s="147"/>
    </row>
    <row r="1311" ht="22.5" customHeight="1">
      <c r="A1311" s="250"/>
      <c r="B1311" s="196"/>
      <c r="C1311" s="152"/>
      <c r="D1311" s="196"/>
      <c r="E1311" s="196"/>
      <c r="F1311" s="155"/>
    </row>
    <row r="1312" ht="22.5" customHeight="1">
      <c r="A1312" s="202"/>
      <c r="B1312" s="197"/>
      <c r="C1312" s="144"/>
      <c r="D1312" s="197"/>
      <c r="E1312" s="197"/>
      <c r="F1312" s="147"/>
    </row>
    <row r="1313" ht="22.5" customHeight="1">
      <c r="A1313" s="250"/>
      <c r="B1313" s="196"/>
      <c r="C1313" s="152"/>
      <c r="D1313" s="196"/>
      <c r="E1313" s="196"/>
      <c r="F1313" s="155"/>
    </row>
    <row r="1314" ht="22.5" customHeight="1">
      <c r="A1314" s="202"/>
      <c r="B1314" s="197"/>
      <c r="C1314" s="144"/>
      <c r="D1314" s="197"/>
      <c r="E1314" s="197"/>
      <c r="F1314" s="147"/>
    </row>
    <row r="1315" ht="22.5" customHeight="1">
      <c r="A1315" s="250"/>
      <c r="B1315" s="196"/>
      <c r="C1315" s="152"/>
      <c r="D1315" s="196"/>
      <c r="E1315" s="196"/>
      <c r="F1315" s="155"/>
    </row>
    <row r="1316" ht="22.5" customHeight="1">
      <c r="A1316" s="202"/>
      <c r="B1316" s="197"/>
      <c r="C1316" s="144"/>
      <c r="D1316" s="197"/>
      <c r="E1316" s="197"/>
      <c r="F1316" s="147"/>
    </row>
    <row r="1317" ht="22.5" customHeight="1">
      <c r="A1317" s="250"/>
      <c r="B1317" s="196"/>
      <c r="C1317" s="152"/>
      <c r="D1317" s="196"/>
      <c r="E1317" s="196"/>
      <c r="F1317" s="155"/>
    </row>
    <row r="1318" ht="22.5" customHeight="1">
      <c r="A1318" s="202"/>
      <c r="B1318" s="197"/>
      <c r="C1318" s="144"/>
      <c r="D1318" s="197"/>
      <c r="E1318" s="197"/>
      <c r="F1318" s="147"/>
    </row>
    <row r="1319" ht="22.5" customHeight="1">
      <c r="A1319" s="250"/>
      <c r="B1319" s="196"/>
      <c r="C1319" s="152"/>
      <c r="D1319" s="196"/>
      <c r="E1319" s="196"/>
      <c r="F1319" s="155"/>
    </row>
    <row r="1320" ht="22.5" customHeight="1">
      <c r="A1320" s="202"/>
      <c r="B1320" s="197"/>
      <c r="C1320" s="144"/>
      <c r="D1320" s="197"/>
      <c r="E1320" s="197"/>
      <c r="F1320" s="147"/>
    </row>
    <row r="1321" ht="22.5" customHeight="1">
      <c r="A1321" s="250"/>
      <c r="B1321" s="196"/>
      <c r="C1321" s="152"/>
      <c r="D1321" s="196"/>
      <c r="E1321" s="196"/>
      <c r="F1321" s="155"/>
    </row>
    <row r="1322" ht="22.5" customHeight="1">
      <c r="A1322" s="202"/>
      <c r="B1322" s="197"/>
      <c r="C1322" s="144"/>
      <c r="D1322" s="197"/>
      <c r="E1322" s="197"/>
      <c r="F1322" s="147"/>
    </row>
    <row r="1323" ht="22.5" customHeight="1">
      <c r="A1323" s="250"/>
      <c r="B1323" s="196"/>
      <c r="C1323" s="152"/>
      <c r="D1323" s="196"/>
      <c r="E1323" s="196"/>
      <c r="F1323" s="155"/>
    </row>
    <row r="1324" ht="22.5" customHeight="1">
      <c r="A1324" s="202"/>
      <c r="B1324" s="197"/>
      <c r="C1324" s="144"/>
      <c r="D1324" s="197"/>
      <c r="E1324" s="197"/>
      <c r="F1324" s="147"/>
    </row>
    <row r="1325" ht="22.5" customHeight="1">
      <c r="A1325" s="250"/>
      <c r="B1325" s="196"/>
      <c r="C1325" s="152"/>
      <c r="D1325" s="196"/>
      <c r="E1325" s="196"/>
      <c r="F1325" s="155"/>
    </row>
    <row r="1326" ht="22.5" customHeight="1">
      <c r="A1326" s="202"/>
      <c r="B1326" s="197"/>
      <c r="C1326" s="144"/>
      <c r="D1326" s="197"/>
      <c r="E1326" s="197"/>
      <c r="F1326" s="147"/>
    </row>
    <row r="1327" ht="22.5" customHeight="1">
      <c r="A1327" s="250"/>
      <c r="B1327" s="196"/>
      <c r="C1327" s="152"/>
      <c r="D1327" s="196"/>
      <c r="E1327" s="196"/>
      <c r="F1327" s="155"/>
    </row>
    <row r="1328" ht="22.5" customHeight="1">
      <c r="A1328" s="202"/>
      <c r="B1328" s="197"/>
      <c r="C1328" s="144"/>
      <c r="D1328" s="197"/>
      <c r="E1328" s="197"/>
      <c r="F1328" s="147"/>
    </row>
    <row r="1329" ht="22.5" customHeight="1">
      <c r="A1329" s="250"/>
      <c r="B1329" s="196"/>
      <c r="C1329" s="152"/>
      <c r="D1329" s="196"/>
      <c r="E1329" s="196"/>
      <c r="F1329" s="155"/>
    </row>
    <row r="1330" ht="22.5" customHeight="1">
      <c r="A1330" s="202"/>
      <c r="B1330" s="197"/>
      <c r="C1330" s="144"/>
      <c r="D1330" s="197"/>
      <c r="E1330" s="197"/>
      <c r="F1330" s="147"/>
    </row>
    <row r="1331" ht="22.5" customHeight="1">
      <c r="A1331" s="250"/>
      <c r="B1331" s="196"/>
      <c r="C1331" s="152"/>
      <c r="D1331" s="196"/>
      <c r="E1331" s="196"/>
      <c r="F1331" s="155"/>
    </row>
    <row r="1332" ht="22.5" customHeight="1">
      <c r="A1332" s="202"/>
      <c r="B1332" s="197"/>
      <c r="C1332" s="144"/>
      <c r="D1332" s="197"/>
      <c r="E1332" s="197"/>
      <c r="F1332" s="147"/>
    </row>
    <row r="1333" ht="22.5" customHeight="1">
      <c r="A1333" s="250"/>
      <c r="B1333" s="196"/>
      <c r="C1333" s="152"/>
      <c r="D1333" s="196"/>
      <c r="E1333" s="196"/>
      <c r="F1333" s="155"/>
    </row>
    <row r="1334" ht="22.5" customHeight="1">
      <c r="A1334" s="202"/>
      <c r="B1334" s="197"/>
      <c r="C1334" s="144"/>
      <c r="D1334" s="197"/>
      <c r="E1334" s="197"/>
      <c r="F1334" s="147"/>
    </row>
    <row r="1335" ht="22.5" customHeight="1">
      <c r="A1335" s="250"/>
      <c r="B1335" s="196"/>
      <c r="C1335" s="152"/>
      <c r="D1335" s="196"/>
      <c r="E1335" s="196"/>
      <c r="F1335" s="155"/>
    </row>
    <row r="1336" ht="22.5" customHeight="1">
      <c r="A1336" s="202"/>
      <c r="B1336" s="197"/>
      <c r="C1336" s="144"/>
      <c r="D1336" s="197"/>
      <c r="E1336" s="197"/>
      <c r="F1336" s="147"/>
    </row>
    <row r="1337" ht="22.5" customHeight="1">
      <c r="A1337" s="250"/>
      <c r="B1337" s="196"/>
      <c r="C1337" s="152"/>
      <c r="D1337" s="196"/>
      <c r="E1337" s="196"/>
      <c r="F1337" s="155"/>
    </row>
    <row r="1338" ht="22.5" customHeight="1">
      <c r="A1338" s="202"/>
      <c r="B1338" s="197"/>
      <c r="C1338" s="144"/>
      <c r="D1338" s="197"/>
      <c r="E1338" s="197"/>
      <c r="F1338" s="147"/>
    </row>
    <row r="1339" ht="22.5" customHeight="1">
      <c r="A1339" s="250"/>
      <c r="B1339" s="196"/>
      <c r="C1339" s="152"/>
      <c r="D1339" s="196"/>
      <c r="E1339" s="196"/>
      <c r="F1339" s="155"/>
    </row>
    <row r="1340" ht="22.5" customHeight="1">
      <c r="A1340" s="202"/>
      <c r="B1340" s="197"/>
      <c r="C1340" s="144"/>
      <c r="D1340" s="197"/>
      <c r="E1340" s="197"/>
      <c r="F1340" s="147"/>
    </row>
    <row r="1341" ht="22.5" customHeight="1">
      <c r="A1341" s="250"/>
      <c r="B1341" s="196"/>
      <c r="C1341" s="152"/>
      <c r="D1341" s="196"/>
      <c r="E1341" s="196"/>
      <c r="F1341" s="155"/>
    </row>
    <row r="1342" ht="22.5" customHeight="1">
      <c r="A1342" s="202"/>
      <c r="B1342" s="197"/>
      <c r="C1342" s="144"/>
      <c r="D1342" s="197"/>
      <c r="E1342" s="197"/>
      <c r="F1342" s="147"/>
    </row>
    <row r="1343" ht="22.5" customHeight="1">
      <c r="A1343" s="250"/>
      <c r="B1343" s="196"/>
      <c r="C1343" s="152"/>
      <c r="D1343" s="196"/>
      <c r="E1343" s="196"/>
      <c r="F1343" s="155"/>
    </row>
    <row r="1344" ht="22.5" customHeight="1">
      <c r="A1344" s="202"/>
      <c r="B1344" s="197"/>
      <c r="C1344" s="144"/>
      <c r="D1344" s="197"/>
      <c r="E1344" s="197"/>
      <c r="F1344" s="147"/>
    </row>
    <row r="1345" ht="22.5" customHeight="1">
      <c r="A1345" s="250"/>
      <c r="B1345" s="196"/>
      <c r="C1345" s="152"/>
      <c r="D1345" s="196"/>
      <c r="E1345" s="196"/>
      <c r="F1345" s="155"/>
    </row>
    <row r="1346" ht="22.5" customHeight="1">
      <c r="A1346" s="202"/>
      <c r="B1346" s="197"/>
      <c r="C1346" s="144"/>
      <c r="D1346" s="197"/>
      <c r="E1346" s="197"/>
      <c r="F1346" s="147"/>
    </row>
    <row r="1347" ht="22.5" customHeight="1">
      <c r="A1347" s="250"/>
      <c r="B1347" s="196"/>
      <c r="C1347" s="152"/>
      <c r="D1347" s="196"/>
      <c r="E1347" s="196"/>
      <c r="F1347" s="155"/>
    </row>
    <row r="1348" ht="22.5" customHeight="1">
      <c r="A1348" s="202"/>
      <c r="B1348" s="197"/>
      <c r="C1348" s="144"/>
      <c r="D1348" s="197"/>
      <c r="E1348" s="197"/>
      <c r="F1348" s="147"/>
    </row>
    <row r="1349" ht="22.5" customHeight="1">
      <c r="A1349" s="250"/>
      <c r="B1349" s="196"/>
      <c r="C1349" s="152"/>
      <c r="D1349" s="196"/>
      <c r="E1349" s="196"/>
      <c r="F1349" s="155"/>
    </row>
    <row r="1350" ht="22.5" customHeight="1">
      <c r="A1350" s="202"/>
      <c r="B1350" s="197"/>
      <c r="C1350" s="144"/>
      <c r="D1350" s="197"/>
      <c r="E1350" s="197"/>
      <c r="F1350" s="147"/>
    </row>
    <row r="1351" ht="22.5" customHeight="1">
      <c r="A1351" s="250"/>
      <c r="B1351" s="196"/>
      <c r="C1351" s="152"/>
      <c r="D1351" s="196"/>
      <c r="E1351" s="196"/>
      <c r="F1351" s="155"/>
    </row>
    <row r="1352" ht="22.5" customHeight="1">
      <c r="A1352" s="202"/>
      <c r="B1352" s="197"/>
      <c r="C1352" s="144"/>
      <c r="D1352" s="197"/>
      <c r="E1352" s="197"/>
      <c r="F1352" s="147"/>
    </row>
    <row r="1353" ht="22.5" customHeight="1">
      <c r="A1353" s="250"/>
      <c r="B1353" s="196"/>
      <c r="C1353" s="152"/>
      <c r="D1353" s="196"/>
      <c r="E1353" s="196"/>
      <c r="F1353" s="155"/>
    </row>
    <row r="1354" ht="22.5" customHeight="1">
      <c r="A1354" s="202"/>
      <c r="B1354" s="197"/>
      <c r="C1354" s="144"/>
      <c r="D1354" s="197"/>
      <c r="E1354" s="197"/>
      <c r="F1354" s="147"/>
    </row>
    <row r="1355" ht="22.5" customHeight="1">
      <c r="A1355" s="250"/>
      <c r="B1355" s="196"/>
      <c r="C1355" s="152"/>
      <c r="D1355" s="196"/>
      <c r="E1355" s="196"/>
      <c r="F1355" s="155"/>
    </row>
    <row r="1356" ht="22.5" customHeight="1">
      <c r="A1356" s="202"/>
      <c r="B1356" s="197"/>
      <c r="C1356" s="144"/>
      <c r="D1356" s="197"/>
      <c r="E1356" s="197"/>
      <c r="F1356" s="147"/>
    </row>
    <row r="1357" ht="22.5" customHeight="1">
      <c r="A1357" s="250"/>
      <c r="B1357" s="196"/>
      <c r="C1357" s="152"/>
      <c r="D1357" s="196"/>
      <c r="E1357" s="196"/>
      <c r="F1357" s="155"/>
    </row>
    <row r="1358" ht="22.5" customHeight="1">
      <c r="A1358" s="202"/>
      <c r="B1358" s="197"/>
      <c r="C1358" s="144"/>
      <c r="D1358" s="197"/>
      <c r="E1358" s="197"/>
      <c r="F1358" s="147"/>
    </row>
    <row r="1359" ht="22.5" customHeight="1">
      <c r="A1359" s="250"/>
      <c r="B1359" s="196"/>
      <c r="C1359" s="152"/>
      <c r="D1359" s="196"/>
      <c r="E1359" s="196"/>
      <c r="F1359" s="155"/>
    </row>
    <row r="1360" ht="22.5" customHeight="1">
      <c r="A1360" s="202"/>
      <c r="B1360" s="197"/>
      <c r="C1360" s="144"/>
      <c r="D1360" s="197"/>
      <c r="E1360" s="197"/>
      <c r="F1360" s="147"/>
    </row>
    <row r="1361" ht="22.5" customHeight="1">
      <c r="A1361" s="250"/>
      <c r="B1361" s="196"/>
      <c r="C1361" s="152"/>
      <c r="D1361" s="196"/>
      <c r="E1361" s="196"/>
      <c r="F1361" s="155"/>
    </row>
    <row r="1362" ht="22.5" customHeight="1">
      <c r="A1362" s="202"/>
      <c r="B1362" s="197"/>
      <c r="C1362" s="144"/>
      <c r="D1362" s="197"/>
      <c r="E1362" s="197"/>
      <c r="F1362" s="147"/>
    </row>
    <row r="1363" ht="22.5" customHeight="1">
      <c r="A1363" s="250"/>
      <c r="B1363" s="196"/>
      <c r="C1363" s="152"/>
      <c r="D1363" s="196"/>
      <c r="E1363" s="196"/>
      <c r="F1363" s="155"/>
    </row>
    <row r="1364" ht="22.5" customHeight="1">
      <c r="A1364" s="202"/>
      <c r="B1364" s="197"/>
      <c r="C1364" s="144"/>
      <c r="D1364" s="197"/>
      <c r="E1364" s="197"/>
      <c r="F1364" s="147"/>
    </row>
    <row r="1365" ht="22.5" customHeight="1">
      <c r="A1365" s="250"/>
      <c r="B1365" s="196"/>
      <c r="C1365" s="152"/>
      <c r="D1365" s="196"/>
      <c r="E1365" s="196"/>
      <c r="F1365" s="155"/>
    </row>
    <row r="1366" ht="22.5" customHeight="1">
      <c r="A1366" s="202"/>
      <c r="B1366" s="197"/>
      <c r="C1366" s="144"/>
      <c r="D1366" s="197"/>
      <c r="E1366" s="197"/>
      <c r="F1366" s="147"/>
    </row>
    <row r="1367" ht="22.5" customHeight="1">
      <c r="A1367" s="250"/>
      <c r="B1367" s="196"/>
      <c r="C1367" s="152"/>
      <c r="D1367" s="196"/>
      <c r="E1367" s="196"/>
      <c r="F1367" s="155"/>
    </row>
    <row r="1368" ht="22.5" customHeight="1">
      <c r="A1368" s="202"/>
      <c r="B1368" s="197"/>
      <c r="C1368" s="144"/>
      <c r="D1368" s="197"/>
      <c r="E1368" s="197"/>
      <c r="F1368" s="147"/>
    </row>
    <row r="1369" ht="22.5" customHeight="1">
      <c r="A1369" s="250"/>
      <c r="B1369" s="196"/>
      <c r="C1369" s="152"/>
      <c r="D1369" s="196"/>
      <c r="E1369" s="196"/>
      <c r="F1369" s="155"/>
    </row>
    <row r="1370" ht="22.5" customHeight="1">
      <c r="A1370" s="202"/>
      <c r="B1370" s="197"/>
      <c r="C1370" s="144"/>
      <c r="D1370" s="197"/>
      <c r="E1370" s="197"/>
      <c r="F1370" s="147"/>
    </row>
    <row r="1371" ht="22.5" customHeight="1">
      <c r="A1371" s="250"/>
      <c r="B1371" s="196"/>
      <c r="C1371" s="152"/>
      <c r="D1371" s="196"/>
      <c r="E1371" s="196"/>
      <c r="F1371" s="155"/>
    </row>
    <row r="1372" ht="22.5" customHeight="1">
      <c r="A1372" s="202"/>
      <c r="B1372" s="197"/>
      <c r="C1372" s="144"/>
      <c r="D1372" s="197"/>
      <c r="E1372" s="197"/>
      <c r="F1372" s="147"/>
    </row>
    <row r="1373" ht="22.5" customHeight="1">
      <c r="A1373" s="250"/>
      <c r="B1373" s="196"/>
      <c r="C1373" s="152"/>
      <c r="D1373" s="196"/>
      <c r="E1373" s="196"/>
      <c r="F1373" s="155"/>
    </row>
    <row r="1374" ht="22.5" customHeight="1">
      <c r="A1374" s="202"/>
      <c r="B1374" s="197"/>
      <c r="C1374" s="144"/>
      <c r="D1374" s="197"/>
      <c r="E1374" s="197"/>
      <c r="F1374" s="147"/>
    </row>
    <row r="1375" ht="22.5" customHeight="1">
      <c r="A1375" s="250"/>
      <c r="B1375" s="196"/>
      <c r="C1375" s="152"/>
      <c r="D1375" s="196"/>
      <c r="E1375" s="196"/>
      <c r="F1375" s="155"/>
    </row>
    <row r="1376" ht="22.5" customHeight="1">
      <c r="A1376" s="202"/>
      <c r="B1376" s="197"/>
      <c r="C1376" s="144"/>
      <c r="D1376" s="197"/>
      <c r="E1376" s="197"/>
      <c r="F1376" s="147"/>
    </row>
    <row r="1377" ht="22.5" customHeight="1">
      <c r="A1377" s="250"/>
      <c r="B1377" s="196"/>
      <c r="C1377" s="152"/>
      <c r="D1377" s="196"/>
      <c r="E1377" s="196"/>
      <c r="F1377" s="155"/>
    </row>
    <row r="1378" ht="22.5" customHeight="1">
      <c r="A1378" s="202"/>
      <c r="B1378" s="197"/>
      <c r="C1378" s="144"/>
      <c r="D1378" s="197"/>
      <c r="E1378" s="197"/>
      <c r="F1378" s="147"/>
    </row>
    <row r="1379" ht="22.5" customHeight="1">
      <c r="A1379" s="250"/>
      <c r="B1379" s="196"/>
      <c r="C1379" s="152"/>
      <c r="D1379" s="196"/>
      <c r="E1379" s="196"/>
      <c r="F1379" s="155"/>
    </row>
    <row r="1380" ht="22.5" customHeight="1">
      <c r="A1380" s="202"/>
      <c r="B1380" s="197"/>
      <c r="C1380" s="144"/>
      <c r="D1380" s="197"/>
      <c r="E1380" s="197"/>
      <c r="F1380" s="147"/>
    </row>
    <row r="1381" ht="22.5" customHeight="1">
      <c r="A1381" s="250"/>
      <c r="B1381" s="196"/>
      <c r="C1381" s="152"/>
      <c r="D1381" s="196"/>
      <c r="E1381" s="196"/>
      <c r="F1381" s="155"/>
    </row>
    <row r="1382" ht="22.5" customHeight="1">
      <c r="A1382" s="202"/>
      <c r="B1382" s="197"/>
      <c r="C1382" s="144"/>
      <c r="D1382" s="197"/>
      <c r="E1382" s="197"/>
      <c r="F1382" s="147"/>
    </row>
    <row r="1383" ht="22.5" customHeight="1">
      <c r="A1383" s="250"/>
      <c r="B1383" s="196"/>
      <c r="C1383" s="152"/>
      <c r="D1383" s="196"/>
      <c r="E1383" s="196"/>
      <c r="F1383" s="155"/>
    </row>
    <row r="1384" ht="22.5" customHeight="1">
      <c r="A1384" s="202"/>
      <c r="B1384" s="197"/>
      <c r="C1384" s="144"/>
      <c r="D1384" s="197"/>
      <c r="E1384" s="197"/>
      <c r="F1384" s="147"/>
    </row>
    <row r="1385" ht="22.5" customHeight="1">
      <c r="A1385" s="250"/>
      <c r="B1385" s="196"/>
      <c r="C1385" s="152"/>
      <c r="D1385" s="196"/>
      <c r="E1385" s="196"/>
      <c r="F1385" s="155"/>
    </row>
    <row r="1386" ht="22.5" customHeight="1">
      <c r="A1386" s="202"/>
      <c r="B1386" s="197"/>
      <c r="C1386" s="144"/>
      <c r="D1386" s="197"/>
      <c r="E1386" s="197"/>
      <c r="F1386" s="147"/>
    </row>
    <row r="1387" ht="22.5" customHeight="1">
      <c r="A1387" s="250"/>
      <c r="B1387" s="196"/>
      <c r="C1387" s="152"/>
      <c r="D1387" s="196"/>
      <c r="E1387" s="196"/>
      <c r="F1387" s="155"/>
    </row>
    <row r="1388" ht="22.5" customHeight="1">
      <c r="A1388" s="202"/>
      <c r="B1388" s="197"/>
      <c r="C1388" s="144"/>
      <c r="D1388" s="197"/>
      <c r="E1388" s="197"/>
      <c r="F1388" s="147"/>
    </row>
    <row r="1389" ht="22.5" customHeight="1">
      <c r="A1389" s="250"/>
      <c r="B1389" s="196"/>
      <c r="C1389" s="152"/>
      <c r="D1389" s="196"/>
      <c r="E1389" s="196"/>
      <c r="F1389" s="155"/>
    </row>
    <row r="1390" ht="22.5" customHeight="1">
      <c r="A1390" s="202"/>
      <c r="B1390" s="197"/>
      <c r="C1390" s="144"/>
      <c r="D1390" s="197"/>
      <c r="E1390" s="197"/>
      <c r="F1390" s="147"/>
    </row>
    <row r="1391" ht="22.5" customHeight="1">
      <c r="A1391" s="250"/>
      <c r="B1391" s="196"/>
      <c r="C1391" s="152"/>
      <c r="D1391" s="196"/>
      <c r="E1391" s="196"/>
      <c r="F1391" s="155"/>
    </row>
    <row r="1392" ht="22.5" customHeight="1">
      <c r="A1392" s="202"/>
      <c r="B1392" s="197"/>
      <c r="C1392" s="144"/>
      <c r="D1392" s="197"/>
      <c r="E1392" s="197"/>
      <c r="F1392" s="147"/>
    </row>
    <row r="1393" ht="22.5" customHeight="1">
      <c r="A1393" s="250"/>
      <c r="B1393" s="196"/>
      <c r="C1393" s="152"/>
      <c r="D1393" s="196"/>
      <c r="E1393" s="196"/>
      <c r="F1393" s="155"/>
    </row>
    <row r="1394" ht="22.5" customHeight="1">
      <c r="A1394" s="202"/>
      <c r="B1394" s="197"/>
      <c r="C1394" s="144"/>
      <c r="D1394" s="197"/>
      <c r="E1394" s="197"/>
      <c r="F1394" s="147"/>
    </row>
    <row r="1395" ht="22.5" customHeight="1">
      <c r="A1395" s="250"/>
      <c r="B1395" s="196"/>
      <c r="C1395" s="152"/>
      <c r="D1395" s="196"/>
      <c r="E1395" s="196"/>
      <c r="F1395" s="155"/>
    </row>
    <row r="1396" ht="22.5" customHeight="1">
      <c r="A1396" s="202"/>
      <c r="B1396" s="197"/>
      <c r="C1396" s="144"/>
      <c r="D1396" s="197"/>
      <c r="E1396" s="197"/>
      <c r="F1396" s="147"/>
    </row>
    <row r="1397" ht="22.5" customHeight="1">
      <c r="A1397" s="250"/>
      <c r="B1397" s="196"/>
      <c r="C1397" s="152"/>
      <c r="D1397" s="196"/>
      <c r="E1397" s="196"/>
      <c r="F1397" s="155"/>
    </row>
    <row r="1398" ht="22.5" customHeight="1">
      <c r="A1398" s="202"/>
      <c r="B1398" s="197"/>
      <c r="C1398" s="144"/>
      <c r="D1398" s="197"/>
      <c r="E1398" s="197"/>
      <c r="F1398" s="147"/>
    </row>
    <row r="1399" ht="22.5" customHeight="1">
      <c r="A1399" s="250"/>
      <c r="B1399" s="196"/>
      <c r="C1399" s="152"/>
      <c r="D1399" s="196"/>
      <c r="E1399" s="196"/>
      <c r="F1399" s="155"/>
    </row>
    <row r="1400" ht="22.5" customHeight="1">
      <c r="A1400" s="202"/>
      <c r="B1400" s="197"/>
      <c r="C1400" s="144"/>
      <c r="D1400" s="197"/>
      <c r="E1400" s="197"/>
      <c r="F1400" s="147"/>
    </row>
    <row r="1401" ht="22.5" customHeight="1">
      <c r="A1401" s="250"/>
      <c r="B1401" s="196"/>
      <c r="C1401" s="152"/>
      <c r="D1401" s="196"/>
      <c r="E1401" s="196"/>
      <c r="F1401" s="155"/>
    </row>
    <row r="1402" ht="22.5" customHeight="1">
      <c r="A1402" s="202"/>
      <c r="B1402" s="197"/>
      <c r="C1402" s="144"/>
      <c r="D1402" s="197"/>
      <c r="E1402" s="197"/>
      <c r="F1402" s="147"/>
    </row>
    <row r="1403" ht="22.5" customHeight="1">
      <c r="A1403" s="250"/>
      <c r="B1403" s="196"/>
      <c r="C1403" s="152"/>
      <c r="D1403" s="196"/>
      <c r="E1403" s="196"/>
      <c r="F1403" s="155"/>
    </row>
    <row r="1404" ht="22.5" customHeight="1">
      <c r="A1404" s="202"/>
      <c r="B1404" s="197"/>
      <c r="C1404" s="144"/>
      <c r="D1404" s="197"/>
      <c r="E1404" s="197"/>
      <c r="F1404" s="147"/>
    </row>
    <row r="1405" ht="22.5" customHeight="1">
      <c r="A1405" s="250"/>
      <c r="B1405" s="196"/>
      <c r="C1405" s="152"/>
      <c r="D1405" s="196"/>
      <c r="E1405" s="196"/>
      <c r="F1405" s="155"/>
    </row>
    <row r="1406" ht="22.5" customHeight="1">
      <c r="A1406" s="202"/>
      <c r="B1406" s="197"/>
      <c r="C1406" s="144"/>
      <c r="D1406" s="197"/>
      <c r="E1406" s="197"/>
      <c r="F1406" s="147"/>
    </row>
    <row r="1407" ht="22.5" customHeight="1">
      <c r="A1407" s="250"/>
      <c r="B1407" s="196"/>
      <c r="C1407" s="152"/>
      <c r="D1407" s="196"/>
      <c r="E1407" s="196"/>
      <c r="F1407" s="155"/>
    </row>
    <row r="1408" ht="22.5" customHeight="1">
      <c r="A1408" s="202"/>
      <c r="B1408" s="197"/>
      <c r="C1408" s="144"/>
      <c r="D1408" s="197"/>
      <c r="E1408" s="197"/>
      <c r="F1408" s="147"/>
    </row>
    <row r="1409" ht="22.5" customHeight="1">
      <c r="A1409" s="250"/>
      <c r="B1409" s="196"/>
      <c r="C1409" s="152"/>
      <c r="D1409" s="196"/>
      <c r="E1409" s="196"/>
      <c r="F1409" s="155"/>
    </row>
    <row r="1410" ht="22.5" customHeight="1">
      <c r="A1410" s="202"/>
      <c r="B1410" s="197"/>
      <c r="C1410" s="144"/>
      <c r="D1410" s="197"/>
      <c r="E1410" s="197"/>
      <c r="F1410" s="147"/>
    </row>
    <row r="1411" ht="22.5" customHeight="1">
      <c r="A1411" s="250"/>
      <c r="B1411" s="196"/>
      <c r="C1411" s="152"/>
      <c r="D1411" s="196"/>
      <c r="E1411" s="196"/>
      <c r="F1411" s="155"/>
    </row>
    <row r="1412" ht="22.5" customHeight="1">
      <c r="A1412" s="202"/>
      <c r="B1412" s="197"/>
      <c r="C1412" s="144"/>
      <c r="D1412" s="197"/>
      <c r="E1412" s="197"/>
      <c r="F1412" s="147"/>
    </row>
    <row r="1413" ht="22.5" customHeight="1">
      <c r="A1413" s="250"/>
      <c r="B1413" s="196"/>
      <c r="C1413" s="152"/>
      <c r="D1413" s="196"/>
      <c r="E1413" s="196"/>
      <c r="F1413" s="155"/>
    </row>
    <row r="1414" ht="22.5" customHeight="1">
      <c r="A1414" s="202"/>
      <c r="B1414" s="197"/>
      <c r="C1414" s="144"/>
      <c r="D1414" s="197"/>
      <c r="E1414" s="197"/>
      <c r="F1414" s="147"/>
    </row>
    <row r="1415" ht="22.5" customHeight="1">
      <c r="A1415" s="250"/>
      <c r="B1415" s="196"/>
      <c r="C1415" s="152"/>
      <c r="D1415" s="196"/>
      <c r="E1415" s="196"/>
      <c r="F1415" s="155"/>
    </row>
    <row r="1416" ht="22.5" customHeight="1">
      <c r="A1416" s="202"/>
      <c r="B1416" s="197"/>
      <c r="C1416" s="144"/>
      <c r="D1416" s="197"/>
      <c r="E1416" s="197"/>
      <c r="F1416" s="147"/>
    </row>
    <row r="1417" ht="22.5" customHeight="1">
      <c r="A1417" s="250"/>
      <c r="B1417" s="196"/>
      <c r="C1417" s="152"/>
      <c r="D1417" s="196"/>
      <c r="E1417" s="196"/>
      <c r="F1417" s="155"/>
    </row>
    <row r="1418" ht="22.5" customHeight="1">
      <c r="A1418" s="202"/>
      <c r="B1418" s="197"/>
      <c r="C1418" s="144"/>
      <c r="D1418" s="197"/>
      <c r="E1418" s="197"/>
      <c r="F1418" s="147"/>
    </row>
    <row r="1419" ht="22.5" customHeight="1">
      <c r="A1419" s="250"/>
      <c r="B1419" s="196"/>
      <c r="C1419" s="152"/>
      <c r="D1419" s="196"/>
      <c r="E1419" s="196"/>
      <c r="F1419" s="155"/>
    </row>
    <row r="1420" ht="22.5" customHeight="1">
      <c r="A1420" s="202"/>
      <c r="B1420" s="197"/>
      <c r="C1420" s="144"/>
      <c r="D1420" s="197"/>
      <c r="E1420" s="197"/>
      <c r="F1420" s="147"/>
    </row>
    <row r="1421" ht="22.5" customHeight="1">
      <c r="A1421" s="250"/>
      <c r="B1421" s="196"/>
      <c r="C1421" s="152"/>
      <c r="D1421" s="196"/>
      <c r="E1421" s="196"/>
      <c r="F1421" s="155"/>
    </row>
    <row r="1422" ht="22.5" customHeight="1">
      <c r="A1422" s="202"/>
      <c r="B1422" s="197"/>
      <c r="C1422" s="144"/>
      <c r="D1422" s="197"/>
      <c r="E1422" s="197"/>
      <c r="F1422" s="147"/>
    </row>
    <row r="1423" ht="22.5" customHeight="1">
      <c r="A1423" s="250"/>
      <c r="B1423" s="196"/>
      <c r="C1423" s="152"/>
      <c r="D1423" s="196"/>
      <c r="E1423" s="196"/>
      <c r="F1423" s="155"/>
    </row>
    <row r="1424" ht="22.5" customHeight="1">
      <c r="A1424" s="202"/>
      <c r="B1424" s="197"/>
      <c r="C1424" s="144"/>
      <c r="D1424" s="197"/>
      <c r="E1424" s="197"/>
      <c r="F1424" s="147"/>
    </row>
    <row r="1425" ht="22.5" customHeight="1">
      <c r="A1425" s="250"/>
      <c r="B1425" s="196"/>
      <c r="C1425" s="152"/>
      <c r="D1425" s="196"/>
      <c r="E1425" s="196"/>
      <c r="F1425" s="155"/>
    </row>
    <row r="1426" ht="22.5" customHeight="1">
      <c r="A1426" s="202"/>
      <c r="B1426" s="197"/>
      <c r="C1426" s="144"/>
      <c r="D1426" s="197"/>
      <c r="E1426" s="197"/>
      <c r="F1426" s="147"/>
    </row>
    <row r="1427" ht="22.5" customHeight="1">
      <c r="A1427" s="250"/>
      <c r="B1427" s="196"/>
      <c r="C1427" s="152"/>
      <c r="D1427" s="196"/>
      <c r="E1427" s="196"/>
      <c r="F1427" s="155"/>
    </row>
    <row r="1428" ht="22.5" customHeight="1">
      <c r="A1428" s="202"/>
      <c r="B1428" s="197"/>
      <c r="C1428" s="144"/>
      <c r="D1428" s="197"/>
      <c r="E1428" s="197"/>
      <c r="F1428" s="147"/>
    </row>
    <row r="1429" ht="22.5" customHeight="1">
      <c r="A1429" s="250"/>
      <c r="B1429" s="196"/>
      <c r="C1429" s="152"/>
      <c r="D1429" s="196"/>
      <c r="E1429" s="196"/>
      <c r="F1429" s="155"/>
    </row>
    <row r="1430" ht="22.5" customHeight="1">
      <c r="A1430" s="202"/>
      <c r="B1430" s="197"/>
      <c r="C1430" s="144"/>
      <c r="D1430" s="197"/>
      <c r="E1430" s="197"/>
      <c r="F1430" s="147"/>
    </row>
    <row r="1431" ht="22.5" customHeight="1">
      <c r="A1431" s="250"/>
      <c r="B1431" s="196"/>
      <c r="C1431" s="152"/>
      <c r="D1431" s="196"/>
      <c r="E1431" s="196"/>
      <c r="F1431" s="155"/>
    </row>
    <row r="1432" ht="22.5" customHeight="1">
      <c r="A1432" s="202"/>
      <c r="B1432" s="197"/>
      <c r="C1432" s="144"/>
      <c r="D1432" s="197"/>
      <c r="E1432" s="197"/>
      <c r="F1432" s="147"/>
    </row>
    <row r="1433" ht="22.5" customHeight="1">
      <c r="A1433" s="250"/>
      <c r="B1433" s="196"/>
      <c r="C1433" s="152"/>
      <c r="D1433" s="196"/>
      <c r="E1433" s="196"/>
      <c r="F1433" s="155"/>
    </row>
    <row r="1434" ht="22.5" customHeight="1">
      <c r="A1434" s="202"/>
      <c r="B1434" s="197"/>
      <c r="C1434" s="144"/>
      <c r="D1434" s="197"/>
      <c r="E1434" s="197"/>
      <c r="F1434" s="147"/>
    </row>
    <row r="1435" ht="22.5" customHeight="1">
      <c r="A1435" s="250"/>
      <c r="B1435" s="196"/>
      <c r="C1435" s="152"/>
      <c r="D1435" s="196"/>
      <c r="E1435" s="196"/>
      <c r="F1435" s="155"/>
    </row>
    <row r="1436" ht="22.5" customHeight="1">
      <c r="A1436" s="202"/>
      <c r="B1436" s="197"/>
      <c r="C1436" s="144"/>
      <c r="D1436" s="197"/>
      <c r="E1436" s="197"/>
      <c r="F1436" s="147"/>
    </row>
    <row r="1437" ht="22.5" customHeight="1">
      <c r="A1437" s="250"/>
      <c r="B1437" s="196"/>
      <c r="C1437" s="152"/>
      <c r="D1437" s="196"/>
      <c r="E1437" s="196"/>
      <c r="F1437" s="155"/>
    </row>
    <row r="1438" ht="22.5" customHeight="1">
      <c r="A1438" s="202"/>
      <c r="B1438" s="197"/>
      <c r="C1438" s="144"/>
      <c r="D1438" s="197"/>
      <c r="E1438" s="197"/>
      <c r="F1438" s="147"/>
    </row>
    <row r="1439" ht="22.5" customHeight="1">
      <c r="A1439" s="250"/>
      <c r="B1439" s="196"/>
      <c r="C1439" s="152"/>
      <c r="D1439" s="196"/>
      <c r="E1439" s="196"/>
      <c r="F1439" s="155"/>
    </row>
    <row r="1440" ht="22.5" customHeight="1">
      <c r="A1440" s="202"/>
      <c r="B1440" s="197"/>
      <c r="C1440" s="144"/>
      <c r="D1440" s="197"/>
      <c r="E1440" s="197"/>
      <c r="F1440" s="147"/>
    </row>
    <row r="1441" ht="22.5" customHeight="1">
      <c r="A1441" s="250"/>
      <c r="B1441" s="196"/>
      <c r="C1441" s="152"/>
      <c r="D1441" s="196"/>
      <c r="E1441" s="196"/>
      <c r="F1441" s="155"/>
    </row>
    <row r="1442" ht="22.5" customHeight="1">
      <c r="A1442" s="202"/>
      <c r="B1442" s="197"/>
      <c r="C1442" s="144"/>
      <c r="D1442" s="197"/>
      <c r="E1442" s="197"/>
      <c r="F1442" s="147"/>
    </row>
    <row r="1443" ht="22.5" customHeight="1">
      <c r="A1443" s="250"/>
      <c r="B1443" s="196"/>
      <c r="C1443" s="152"/>
      <c r="D1443" s="196"/>
      <c r="E1443" s="196"/>
      <c r="F1443" s="155"/>
    </row>
    <row r="1444" ht="22.5" customHeight="1">
      <c r="A1444" s="202"/>
      <c r="B1444" s="197"/>
      <c r="C1444" s="144"/>
      <c r="D1444" s="197"/>
      <c r="E1444" s="197"/>
      <c r="F1444" s="147"/>
    </row>
    <row r="1445" ht="22.5" customHeight="1">
      <c r="A1445" s="250"/>
      <c r="B1445" s="196"/>
      <c r="C1445" s="152"/>
      <c r="D1445" s="196"/>
      <c r="E1445" s="196"/>
      <c r="F1445" s="155"/>
    </row>
    <row r="1446" ht="22.5" customHeight="1">
      <c r="A1446" s="202"/>
      <c r="B1446" s="197"/>
      <c r="C1446" s="144"/>
      <c r="D1446" s="197"/>
      <c r="E1446" s="197"/>
      <c r="F1446" s="147"/>
    </row>
    <row r="1447" ht="22.5" customHeight="1">
      <c r="A1447" s="250"/>
      <c r="B1447" s="196"/>
      <c r="C1447" s="152"/>
      <c r="D1447" s="196"/>
      <c r="E1447" s="196"/>
      <c r="F1447" s="155"/>
    </row>
    <row r="1448" ht="22.5" customHeight="1">
      <c r="A1448" s="202"/>
      <c r="B1448" s="197"/>
      <c r="C1448" s="144"/>
      <c r="D1448" s="197"/>
      <c r="E1448" s="197"/>
      <c r="F1448" s="147"/>
    </row>
    <row r="1449" ht="22.5" customHeight="1">
      <c r="A1449" s="250"/>
      <c r="B1449" s="196"/>
      <c r="C1449" s="152"/>
      <c r="D1449" s="196"/>
      <c r="E1449" s="196"/>
      <c r="F1449" s="155"/>
    </row>
    <row r="1450" ht="22.5" customHeight="1">
      <c r="A1450" s="202"/>
      <c r="B1450" s="197"/>
      <c r="C1450" s="144"/>
      <c r="D1450" s="197"/>
      <c r="E1450" s="197"/>
      <c r="F1450" s="147"/>
    </row>
    <row r="1451" ht="22.5" customHeight="1">
      <c r="A1451" s="250"/>
      <c r="B1451" s="196"/>
      <c r="C1451" s="152"/>
      <c r="D1451" s="196"/>
      <c r="E1451" s="196"/>
      <c r="F1451" s="155"/>
    </row>
    <row r="1452" ht="22.5" customHeight="1">
      <c r="A1452" s="202"/>
      <c r="B1452" s="197"/>
      <c r="C1452" s="144"/>
      <c r="D1452" s="197"/>
      <c r="E1452" s="197"/>
      <c r="F1452" s="147"/>
    </row>
    <row r="1453" ht="22.5" customHeight="1">
      <c r="A1453" s="250"/>
      <c r="B1453" s="196"/>
      <c r="C1453" s="152"/>
      <c r="D1453" s="196"/>
      <c r="E1453" s="196"/>
      <c r="F1453" s="155"/>
    </row>
    <row r="1454" ht="22.5" customHeight="1">
      <c r="A1454" s="202"/>
      <c r="B1454" s="197"/>
      <c r="C1454" s="144"/>
      <c r="D1454" s="197"/>
      <c r="E1454" s="197"/>
      <c r="F1454" s="147"/>
    </row>
    <row r="1455" ht="22.5" customHeight="1">
      <c r="A1455" s="250"/>
      <c r="B1455" s="196"/>
      <c r="C1455" s="152"/>
      <c r="D1455" s="196"/>
      <c r="E1455" s="196"/>
      <c r="F1455" s="155"/>
    </row>
    <row r="1456" ht="22.5" customHeight="1">
      <c r="A1456" s="202"/>
      <c r="B1456" s="197"/>
      <c r="C1456" s="144"/>
      <c r="D1456" s="197"/>
      <c r="E1456" s="197"/>
      <c r="F1456" s="147"/>
    </row>
    <row r="1457" ht="22.5" customHeight="1">
      <c r="A1457" s="250"/>
      <c r="B1457" s="196"/>
      <c r="C1457" s="152"/>
      <c r="D1457" s="196"/>
      <c r="E1457" s="196"/>
      <c r="F1457" s="155"/>
    </row>
    <row r="1458" ht="22.5" customHeight="1">
      <c r="A1458" s="202"/>
      <c r="B1458" s="197"/>
      <c r="C1458" s="144"/>
      <c r="D1458" s="197"/>
      <c r="E1458" s="197"/>
      <c r="F1458" s="147"/>
    </row>
    <row r="1459" ht="22.5" customHeight="1">
      <c r="A1459" s="250"/>
      <c r="B1459" s="196"/>
      <c r="C1459" s="152"/>
      <c r="D1459" s="196"/>
      <c r="E1459" s="196"/>
      <c r="F1459" s="155"/>
    </row>
    <row r="1460" ht="22.5" customHeight="1">
      <c r="A1460" s="202"/>
      <c r="B1460" s="197"/>
      <c r="C1460" s="144"/>
      <c r="D1460" s="197"/>
      <c r="E1460" s="197"/>
      <c r="F1460" s="147"/>
    </row>
    <row r="1461" ht="22.5" customHeight="1">
      <c r="A1461" s="250"/>
      <c r="B1461" s="196"/>
      <c r="C1461" s="152"/>
      <c r="D1461" s="196"/>
      <c r="E1461" s="196"/>
      <c r="F1461" s="155"/>
    </row>
    <row r="1462" ht="22.5" customHeight="1">
      <c r="A1462" s="202"/>
      <c r="B1462" s="197"/>
      <c r="C1462" s="144"/>
      <c r="D1462" s="197"/>
      <c r="E1462" s="197"/>
      <c r="F1462" s="147"/>
    </row>
    <row r="1463" ht="22.5" customHeight="1">
      <c r="A1463" s="250"/>
      <c r="B1463" s="196"/>
      <c r="C1463" s="152"/>
      <c r="D1463" s="196"/>
      <c r="E1463" s="196"/>
      <c r="F1463" s="155"/>
    </row>
    <row r="1464" ht="22.5" customHeight="1">
      <c r="A1464" s="202"/>
      <c r="B1464" s="197"/>
      <c r="C1464" s="144"/>
      <c r="D1464" s="197"/>
      <c r="E1464" s="197"/>
      <c r="F1464" s="147"/>
    </row>
    <row r="1465" ht="22.5" customHeight="1">
      <c r="A1465" s="250"/>
      <c r="B1465" s="196"/>
      <c r="C1465" s="152"/>
      <c r="D1465" s="196"/>
      <c r="E1465" s="196"/>
      <c r="F1465" s="155"/>
    </row>
    <row r="1466" ht="22.5" customHeight="1">
      <c r="A1466" s="202"/>
      <c r="B1466" s="197"/>
      <c r="C1466" s="144"/>
      <c r="D1466" s="197"/>
      <c r="E1466" s="197"/>
      <c r="F1466" s="147"/>
    </row>
    <row r="1467" ht="22.5" customHeight="1">
      <c r="A1467" s="250"/>
      <c r="B1467" s="196"/>
      <c r="C1467" s="152"/>
      <c r="D1467" s="196"/>
      <c r="E1467" s="196"/>
      <c r="F1467" s="155"/>
    </row>
    <row r="1468" ht="22.5" customHeight="1">
      <c r="A1468" s="202"/>
      <c r="B1468" s="197"/>
      <c r="C1468" s="144"/>
      <c r="D1468" s="197"/>
      <c r="E1468" s="197"/>
      <c r="F1468" s="147"/>
    </row>
    <row r="1469" ht="22.5" customHeight="1">
      <c r="A1469" s="250"/>
      <c r="B1469" s="196"/>
      <c r="C1469" s="152"/>
      <c r="D1469" s="196"/>
      <c r="E1469" s="196"/>
      <c r="F1469" s="155"/>
    </row>
    <row r="1470" ht="22.5" customHeight="1">
      <c r="A1470" s="202"/>
      <c r="B1470" s="197"/>
      <c r="C1470" s="144"/>
      <c r="D1470" s="197"/>
      <c r="E1470" s="197"/>
      <c r="F1470" s="147"/>
    </row>
    <row r="1471" ht="22.5" customHeight="1">
      <c r="A1471" s="250"/>
      <c r="B1471" s="196"/>
      <c r="C1471" s="152"/>
      <c r="D1471" s="196"/>
      <c r="E1471" s="196"/>
      <c r="F1471" s="155"/>
    </row>
    <row r="1472" ht="22.5" customHeight="1">
      <c r="A1472" s="202"/>
      <c r="B1472" s="197"/>
      <c r="C1472" s="144"/>
      <c r="D1472" s="197"/>
      <c r="E1472" s="197"/>
      <c r="F1472" s="147"/>
    </row>
    <row r="1473" ht="22.5" customHeight="1">
      <c r="A1473" s="250"/>
      <c r="B1473" s="196"/>
      <c r="C1473" s="152"/>
      <c r="D1473" s="196"/>
      <c r="E1473" s="196"/>
      <c r="F1473" s="155"/>
    </row>
    <row r="1474" ht="22.5" customHeight="1">
      <c r="A1474" s="202"/>
      <c r="B1474" s="197"/>
      <c r="C1474" s="144"/>
      <c r="D1474" s="197"/>
      <c r="E1474" s="197"/>
      <c r="F1474" s="147"/>
    </row>
    <row r="1475" ht="22.5" customHeight="1">
      <c r="A1475" s="250"/>
      <c r="B1475" s="196"/>
      <c r="C1475" s="152"/>
      <c r="D1475" s="196"/>
      <c r="E1475" s="196"/>
      <c r="F1475" s="155"/>
    </row>
    <row r="1476" ht="22.5" customHeight="1">
      <c r="A1476" s="202"/>
      <c r="B1476" s="197"/>
      <c r="C1476" s="144"/>
      <c r="D1476" s="197"/>
      <c r="E1476" s="197"/>
      <c r="F1476" s="147"/>
    </row>
    <row r="1477" ht="22.5" customHeight="1">
      <c r="A1477" s="250"/>
      <c r="B1477" s="196"/>
      <c r="C1477" s="152"/>
      <c r="D1477" s="196"/>
      <c r="E1477" s="196"/>
      <c r="F1477" s="155"/>
    </row>
    <row r="1478" ht="22.5" customHeight="1">
      <c r="A1478" s="202"/>
      <c r="B1478" s="197"/>
      <c r="C1478" s="144"/>
      <c r="D1478" s="197"/>
      <c r="E1478" s="197"/>
      <c r="F1478" s="147"/>
    </row>
    <row r="1479" ht="22.5" customHeight="1">
      <c r="A1479" s="250"/>
      <c r="B1479" s="196"/>
      <c r="C1479" s="152"/>
      <c r="D1479" s="196"/>
      <c r="E1479" s="196"/>
      <c r="F1479" s="155"/>
    </row>
    <row r="1480" ht="22.5" customHeight="1">
      <c r="A1480" s="202"/>
      <c r="B1480" s="197"/>
      <c r="C1480" s="144"/>
      <c r="D1480" s="197"/>
      <c r="E1480" s="197"/>
      <c r="F1480" s="147"/>
    </row>
    <row r="1481" ht="22.5" customHeight="1">
      <c r="A1481" s="251"/>
      <c r="B1481" s="253"/>
      <c r="C1481" s="254"/>
      <c r="D1481" s="253"/>
      <c r="E1481" s="253"/>
      <c r="F1481" s="256"/>
    </row>
  </sheetData>
  <dataValidations>
    <dataValidation allowBlank="1" showDropDown="1" sqref="A2:A1481"/>
    <dataValidation type="list" allowBlank="1" sqref="C2:C1481">
      <formula1>"Contacted,Awaiting Response,Closed - Won,Closed - Lost,Call not Recieved,Referred to,Awaiting payment,international num ,form filled,call later,demo"</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0" t="s">
        <v>6864</v>
      </c>
      <c r="B1" s="560" t="s">
        <v>6865</v>
      </c>
      <c r="C1" s="561" t="s">
        <v>0</v>
      </c>
      <c r="D1" s="560" t="s">
        <v>6866</v>
      </c>
      <c r="E1" s="561" t="s">
        <v>1</v>
      </c>
      <c r="F1" s="561" t="s">
        <v>4</v>
      </c>
      <c r="G1" s="560" t="s">
        <v>6867</v>
      </c>
      <c r="H1" s="560" t="s">
        <v>6868</v>
      </c>
      <c r="I1" s="560" t="s">
        <v>6869</v>
      </c>
      <c r="J1" s="560" t="s">
        <v>6870</v>
      </c>
      <c r="K1" s="560" t="s">
        <v>6871</v>
      </c>
      <c r="L1" s="560" t="s">
        <v>6872</v>
      </c>
      <c r="M1" s="284"/>
    </row>
    <row r="2">
      <c r="A2" s="571">
        <v>45818.0</v>
      </c>
      <c r="B2" s="563">
        <v>0.5678935185185185</v>
      </c>
      <c r="C2" s="562" t="s">
        <v>7296</v>
      </c>
      <c r="D2" s="284"/>
      <c r="E2" s="638">
        <v>923075573458</v>
      </c>
      <c r="F2" s="562" t="s">
        <v>6875</v>
      </c>
      <c r="G2" s="284"/>
      <c r="H2" s="562" t="s">
        <v>13914</v>
      </c>
      <c r="I2" s="562" t="s">
        <v>13915</v>
      </c>
      <c r="J2" s="284"/>
      <c r="K2" s="562">
        <v>2.0</v>
      </c>
      <c r="L2" s="562" t="s">
        <v>372</v>
      </c>
      <c r="M2" s="284"/>
    </row>
    <row r="3">
      <c r="A3" s="571">
        <v>45818.0</v>
      </c>
      <c r="B3" s="563">
        <v>0.5682060185185185</v>
      </c>
      <c r="C3" s="562" t="s">
        <v>4328</v>
      </c>
      <c r="D3" s="284"/>
      <c r="E3" s="638">
        <v>923012222550</v>
      </c>
      <c r="F3" s="562" t="s">
        <v>6875</v>
      </c>
      <c r="G3" s="284"/>
      <c r="H3" s="562" t="s">
        <v>13916</v>
      </c>
      <c r="I3" s="562" t="s">
        <v>13917</v>
      </c>
      <c r="J3" s="562" t="s">
        <v>13918</v>
      </c>
      <c r="K3" s="562">
        <v>3.0</v>
      </c>
      <c r="L3" s="562" t="s">
        <v>152</v>
      </c>
      <c r="M3" s="284"/>
    </row>
    <row r="4">
      <c r="A4" s="571">
        <v>45818.0</v>
      </c>
      <c r="B4" s="563">
        <v>0.6673611111111111</v>
      </c>
      <c r="C4" s="562" t="s">
        <v>10575</v>
      </c>
      <c r="D4" s="284"/>
      <c r="E4" s="638">
        <v>923033354291</v>
      </c>
      <c r="F4" s="562" t="s">
        <v>6875</v>
      </c>
      <c r="G4" s="284"/>
      <c r="H4" s="284"/>
      <c r="I4" s="562" t="s">
        <v>13919</v>
      </c>
      <c r="J4" s="562" t="s">
        <v>13920</v>
      </c>
      <c r="K4" s="562">
        <v>2.0</v>
      </c>
      <c r="L4" s="562" t="s">
        <v>372</v>
      </c>
      <c r="M4" s="284"/>
    </row>
    <row r="5">
      <c r="A5" s="571">
        <v>45848.0</v>
      </c>
      <c r="B5" s="563">
        <v>0.4119097222222222</v>
      </c>
      <c r="C5" s="562" t="s">
        <v>13921</v>
      </c>
      <c r="D5" s="284"/>
      <c r="E5" s="562">
        <v>923002400959</v>
      </c>
      <c r="F5" s="562" t="s">
        <v>6939</v>
      </c>
      <c r="G5" s="562" t="s">
        <v>13922</v>
      </c>
      <c r="H5" s="562" t="s">
        <v>13923</v>
      </c>
      <c r="I5" s="562" t="s">
        <v>13924</v>
      </c>
      <c r="J5" s="562" t="s">
        <v>13925</v>
      </c>
      <c r="K5" s="562">
        <v>4.0</v>
      </c>
      <c r="L5" s="284"/>
      <c r="M5" s="284"/>
    </row>
    <row r="6">
      <c r="A6" s="571">
        <v>45848.0</v>
      </c>
      <c r="B6" s="563">
        <v>0.4120138888888889</v>
      </c>
      <c r="C6" s="562" t="s">
        <v>10576</v>
      </c>
      <c r="D6" s="284"/>
      <c r="E6" s="638">
        <v>923347544713</v>
      </c>
      <c r="F6" s="562" t="s">
        <v>6875</v>
      </c>
      <c r="G6" s="562" t="s">
        <v>13926</v>
      </c>
      <c r="H6" s="562" t="s">
        <v>13927</v>
      </c>
      <c r="I6" s="562" t="s">
        <v>13928</v>
      </c>
      <c r="J6" s="562" t="s">
        <v>13929</v>
      </c>
      <c r="K6" s="562">
        <v>4.0</v>
      </c>
      <c r="L6" s="284"/>
      <c r="M6" s="284"/>
    </row>
    <row r="7">
      <c r="A7" s="571">
        <v>45848.0</v>
      </c>
      <c r="B7" s="563">
        <v>0.41211805555555553</v>
      </c>
      <c r="C7" s="562" t="s">
        <v>13930</v>
      </c>
      <c r="D7" s="562" t="s">
        <v>6886</v>
      </c>
      <c r="E7" s="566" t="s">
        <v>13931</v>
      </c>
      <c r="F7" s="562" t="s">
        <v>6875</v>
      </c>
      <c r="G7" s="562" t="s">
        <v>13932</v>
      </c>
      <c r="H7" s="562" t="s">
        <v>13933</v>
      </c>
      <c r="I7" s="562" t="s">
        <v>13934</v>
      </c>
      <c r="J7" s="562" t="s">
        <v>13935</v>
      </c>
      <c r="K7" s="562">
        <v>4.0</v>
      </c>
      <c r="L7" s="562" t="s">
        <v>27</v>
      </c>
      <c r="M7" s="284"/>
    </row>
    <row r="8">
      <c r="A8" s="571">
        <v>45848.0</v>
      </c>
      <c r="B8" s="563">
        <v>0.41234953703703703</v>
      </c>
      <c r="C8" s="562" t="s">
        <v>13936</v>
      </c>
      <c r="D8" s="562" t="s">
        <v>6886</v>
      </c>
      <c r="E8" s="706" t="s">
        <v>13937</v>
      </c>
      <c r="F8" s="562" t="s">
        <v>6875</v>
      </c>
      <c r="G8" s="562" t="s">
        <v>13938</v>
      </c>
      <c r="H8" s="562" t="s">
        <v>13939</v>
      </c>
      <c r="I8" s="562" t="s">
        <v>13940</v>
      </c>
      <c r="J8" s="562" t="s">
        <v>13941</v>
      </c>
      <c r="K8" s="562">
        <v>4.0</v>
      </c>
      <c r="L8" s="562" t="s">
        <v>12497</v>
      </c>
      <c r="M8" s="284"/>
    </row>
    <row r="9">
      <c r="A9" s="571">
        <v>45848.0</v>
      </c>
      <c r="B9" s="563">
        <v>0.4127777777777778</v>
      </c>
      <c r="C9" s="562" t="s">
        <v>13942</v>
      </c>
      <c r="D9" s="284"/>
      <c r="E9" s="562">
        <v>923302264397</v>
      </c>
      <c r="F9" s="562" t="s">
        <v>6888</v>
      </c>
      <c r="G9" s="562" t="s">
        <v>13943</v>
      </c>
      <c r="H9" s="562" t="s">
        <v>13944</v>
      </c>
      <c r="I9" s="562" t="s">
        <v>13945</v>
      </c>
      <c r="J9" s="284"/>
      <c r="K9" s="562">
        <v>3.0</v>
      </c>
      <c r="L9" s="562" t="s">
        <v>13946</v>
      </c>
      <c r="M9" s="284"/>
    </row>
    <row r="10">
      <c r="A10" s="571">
        <v>45848.0</v>
      </c>
      <c r="B10" s="563">
        <v>0.41292824074074075</v>
      </c>
      <c r="C10" s="562" t="s">
        <v>13947</v>
      </c>
      <c r="D10" s="284"/>
      <c r="E10" s="638">
        <v>923334372529</v>
      </c>
      <c r="F10" s="562" t="s">
        <v>6875</v>
      </c>
      <c r="G10" s="562" t="s">
        <v>13948</v>
      </c>
      <c r="H10" s="562" t="s">
        <v>13949</v>
      </c>
      <c r="I10" s="562" t="s">
        <v>13950</v>
      </c>
      <c r="J10" s="562" t="s">
        <v>13951</v>
      </c>
      <c r="K10" s="562">
        <v>4.0</v>
      </c>
      <c r="L10" s="562" t="s">
        <v>13952</v>
      </c>
      <c r="M10" s="284"/>
    </row>
    <row r="11">
      <c r="A11" s="571">
        <v>45848.0</v>
      </c>
      <c r="B11" s="563">
        <v>0.4130671296296296</v>
      </c>
      <c r="C11" s="562" t="s">
        <v>13368</v>
      </c>
      <c r="D11" s="284"/>
      <c r="E11" s="638">
        <v>923126700565</v>
      </c>
      <c r="F11" s="562" t="s">
        <v>6875</v>
      </c>
      <c r="G11" s="562" t="s">
        <v>13953</v>
      </c>
      <c r="H11" s="562" t="s">
        <v>13954</v>
      </c>
      <c r="I11" s="562" t="s">
        <v>13955</v>
      </c>
      <c r="J11" s="562" t="s">
        <v>13956</v>
      </c>
      <c r="K11" s="562">
        <v>4.0</v>
      </c>
      <c r="L11" s="562" t="s">
        <v>51</v>
      </c>
      <c r="M11" s="284"/>
    </row>
    <row r="12">
      <c r="A12" s="571">
        <v>45848.0</v>
      </c>
      <c r="B12" s="563">
        <v>0.4132060185185185</v>
      </c>
      <c r="C12" s="562" t="s">
        <v>5796</v>
      </c>
      <c r="D12" s="284"/>
      <c r="E12" s="638">
        <v>923139344444</v>
      </c>
      <c r="F12" s="562" t="s">
        <v>6875</v>
      </c>
      <c r="G12" s="562" t="s">
        <v>13957</v>
      </c>
      <c r="H12" s="562" t="s">
        <v>13958</v>
      </c>
      <c r="I12" s="284"/>
      <c r="J12" s="562" t="s">
        <v>13959</v>
      </c>
      <c r="K12" s="562">
        <v>3.0</v>
      </c>
      <c r="L12" s="562" t="s">
        <v>13960</v>
      </c>
      <c r="M12" s="284"/>
    </row>
    <row r="13">
      <c r="A13" s="571">
        <v>45848.0</v>
      </c>
      <c r="B13" s="563">
        <v>0.4135185185185185</v>
      </c>
      <c r="C13" s="562" t="s">
        <v>13961</v>
      </c>
      <c r="D13" s="284"/>
      <c r="E13" s="562">
        <v>923367110619</v>
      </c>
      <c r="F13" s="562" t="s">
        <v>6939</v>
      </c>
      <c r="G13" s="562" t="s">
        <v>13962</v>
      </c>
      <c r="H13" s="562" t="s">
        <v>13963</v>
      </c>
      <c r="I13" s="562" t="s">
        <v>13950</v>
      </c>
      <c r="J13" s="562" t="s">
        <v>13964</v>
      </c>
      <c r="K13" s="562">
        <v>4.0</v>
      </c>
      <c r="L13" s="562" t="s">
        <v>13965</v>
      </c>
      <c r="M13" s="284"/>
    </row>
    <row r="14">
      <c r="A14" s="571">
        <v>45848.0</v>
      </c>
      <c r="B14" s="563">
        <v>0.41366898148148146</v>
      </c>
      <c r="C14" s="564" t="s">
        <v>5522</v>
      </c>
      <c r="D14" s="284"/>
      <c r="E14" s="562">
        <v>923312161605</v>
      </c>
      <c r="F14" s="562" t="s">
        <v>6939</v>
      </c>
      <c r="G14" s="562" t="s">
        <v>13966</v>
      </c>
      <c r="H14" s="562" t="s">
        <v>13967</v>
      </c>
      <c r="I14" s="562" t="s">
        <v>13968</v>
      </c>
      <c r="J14" s="562" t="s">
        <v>13969</v>
      </c>
      <c r="K14" s="562">
        <v>4.0</v>
      </c>
      <c r="L14" s="284"/>
      <c r="M14" s="284"/>
    </row>
    <row r="15">
      <c r="A15" s="571">
        <v>45848.0</v>
      </c>
      <c r="B15" s="563">
        <v>0.41399305555555554</v>
      </c>
      <c r="C15" s="562" t="s">
        <v>11394</v>
      </c>
      <c r="D15" s="284"/>
      <c r="E15" s="638">
        <v>923291466902</v>
      </c>
      <c r="F15" s="562" t="s">
        <v>6875</v>
      </c>
      <c r="G15" s="562" t="s">
        <v>13970</v>
      </c>
      <c r="H15" s="562" t="s">
        <v>13971</v>
      </c>
      <c r="I15" s="284"/>
      <c r="J15" s="284"/>
      <c r="K15" s="562">
        <v>2.0</v>
      </c>
      <c r="L15" s="562" t="s">
        <v>51</v>
      </c>
      <c r="M15" s="284"/>
    </row>
    <row r="16">
      <c r="A16" s="571">
        <v>45848.0</v>
      </c>
      <c r="B16" s="563">
        <v>0.4156944444444444</v>
      </c>
      <c r="C16" s="562" t="s">
        <v>6904</v>
      </c>
      <c r="D16" s="284"/>
      <c r="E16" s="638">
        <v>923352134788</v>
      </c>
      <c r="F16" s="562" t="s">
        <v>6875</v>
      </c>
      <c r="G16" s="562" t="s">
        <v>13972</v>
      </c>
      <c r="H16" s="562" t="s">
        <v>13973</v>
      </c>
      <c r="I16" s="284"/>
      <c r="J16" s="284"/>
      <c r="K16" s="562">
        <v>2.0</v>
      </c>
      <c r="L16" s="284"/>
      <c r="M16" s="284"/>
    </row>
    <row r="17">
      <c r="A17" s="571">
        <v>45848.0</v>
      </c>
      <c r="B17" s="563">
        <v>0.4919675925925926</v>
      </c>
      <c r="C17" s="562" t="s">
        <v>13974</v>
      </c>
      <c r="D17" s="284"/>
      <c r="E17" s="562">
        <f>D14 +923323344827</f>
        <v>923323344827</v>
      </c>
      <c r="F17" s="562" t="s">
        <v>6888</v>
      </c>
      <c r="G17" s="284"/>
      <c r="H17" s="562" t="s">
        <v>13975</v>
      </c>
      <c r="I17" s="284"/>
      <c r="J17" s="562" t="s">
        <v>13976</v>
      </c>
      <c r="K17" s="562">
        <v>2.0</v>
      </c>
      <c r="L17" s="562" t="s">
        <v>13946</v>
      </c>
      <c r="M17" s="284"/>
    </row>
    <row r="18">
      <c r="A18" s="571">
        <v>45848.0</v>
      </c>
      <c r="B18" s="563">
        <v>0.4926041666666667</v>
      </c>
      <c r="C18" s="562" t="s">
        <v>13977</v>
      </c>
      <c r="D18" s="284"/>
      <c r="E18" s="562">
        <v>923000200776</v>
      </c>
      <c r="F18" s="562" t="s">
        <v>6888</v>
      </c>
      <c r="G18" s="562" t="s">
        <v>13978</v>
      </c>
      <c r="H18" s="562" t="s">
        <v>13979</v>
      </c>
      <c r="I18" s="562" t="s">
        <v>13968</v>
      </c>
      <c r="J18" s="562" t="s">
        <v>13980</v>
      </c>
      <c r="K18" s="562">
        <v>4.0</v>
      </c>
      <c r="L18" s="562" t="s">
        <v>12497</v>
      </c>
      <c r="M18" s="284"/>
    </row>
    <row r="19">
      <c r="A19" s="571">
        <v>45848.0</v>
      </c>
      <c r="B19" s="563">
        <v>0.4996759259259259</v>
      </c>
      <c r="C19" s="562" t="s">
        <v>13981</v>
      </c>
      <c r="D19" s="284"/>
      <c r="E19" s="562">
        <v>923212069035</v>
      </c>
      <c r="F19" s="562" t="s">
        <v>6888</v>
      </c>
      <c r="G19" s="562" t="s">
        <v>13978</v>
      </c>
      <c r="H19" s="562" t="s">
        <v>13982</v>
      </c>
      <c r="I19" s="562" t="s">
        <v>13983</v>
      </c>
      <c r="J19" s="562" t="s">
        <v>13984</v>
      </c>
      <c r="K19" s="562">
        <v>4.0</v>
      </c>
      <c r="L19" s="562" t="s">
        <v>13985</v>
      </c>
      <c r="M19" s="284"/>
    </row>
    <row r="20">
      <c r="A20" s="571">
        <v>45848.0</v>
      </c>
      <c r="B20" s="563">
        <v>0.5029166666666667</v>
      </c>
      <c r="C20" s="562" t="s">
        <v>13986</v>
      </c>
      <c r="D20" s="562" t="s">
        <v>6886</v>
      </c>
      <c r="E20" s="566" t="s">
        <v>13987</v>
      </c>
      <c r="F20" s="562" t="s">
        <v>6939</v>
      </c>
      <c r="G20" s="562" t="s">
        <v>13988</v>
      </c>
      <c r="H20" s="562" t="s">
        <v>13989</v>
      </c>
      <c r="I20" s="562" t="s">
        <v>13990</v>
      </c>
      <c r="J20" s="562" t="s">
        <v>13991</v>
      </c>
      <c r="K20" s="562">
        <v>4.0</v>
      </c>
      <c r="L20" s="562" t="s">
        <v>11891</v>
      </c>
      <c r="M20" s="284"/>
    </row>
    <row r="21">
      <c r="A21" s="571">
        <v>45848.0</v>
      </c>
      <c r="B21" s="563">
        <v>0.5111226851851852</v>
      </c>
      <c r="C21" s="562" t="s">
        <v>13992</v>
      </c>
      <c r="D21" s="284"/>
      <c r="E21" s="562">
        <v>923090567206</v>
      </c>
      <c r="F21" s="562" t="s">
        <v>6888</v>
      </c>
      <c r="G21" s="562" t="s">
        <v>13993</v>
      </c>
      <c r="H21" s="562" t="s">
        <v>13994</v>
      </c>
      <c r="I21" s="562" t="s">
        <v>13995</v>
      </c>
      <c r="J21" s="562" t="s">
        <v>13996</v>
      </c>
      <c r="K21" s="562">
        <v>4.0</v>
      </c>
      <c r="L21" s="562" t="s">
        <v>13997</v>
      </c>
      <c r="M21" s="284"/>
    </row>
    <row r="22">
      <c r="A22" s="571">
        <v>45848.0</v>
      </c>
      <c r="B22" s="563">
        <v>0.5587615740740741</v>
      </c>
      <c r="C22" s="562" t="s">
        <v>13998</v>
      </c>
      <c r="D22" s="284"/>
      <c r="E22" s="638">
        <v>923260814395</v>
      </c>
      <c r="F22" s="562" t="s">
        <v>6875</v>
      </c>
      <c r="G22" s="284"/>
      <c r="H22" s="562" t="s">
        <v>13999</v>
      </c>
      <c r="I22" s="562" t="s">
        <v>14000</v>
      </c>
      <c r="J22" s="284"/>
      <c r="K22" s="562">
        <v>2.0</v>
      </c>
      <c r="L22" s="284"/>
      <c r="M22" s="284"/>
    </row>
    <row r="23">
      <c r="A23" s="571">
        <v>45848.0</v>
      </c>
      <c r="B23" s="563">
        <v>0.5589699074074074</v>
      </c>
      <c r="C23" s="562" t="s">
        <v>14001</v>
      </c>
      <c r="D23" s="284"/>
      <c r="E23" s="638">
        <v>923028499906</v>
      </c>
      <c r="F23" s="562" t="s">
        <v>6875</v>
      </c>
      <c r="G23" s="562" t="s">
        <v>14002</v>
      </c>
      <c r="H23" s="562" t="s">
        <v>14003</v>
      </c>
      <c r="I23" s="562" t="s">
        <v>14004</v>
      </c>
      <c r="J23" s="562" t="s">
        <v>14005</v>
      </c>
      <c r="K23" s="562">
        <v>4.0</v>
      </c>
      <c r="L23" s="562" t="s">
        <v>14006</v>
      </c>
      <c r="M23" s="284"/>
    </row>
    <row r="24">
      <c r="A24" s="571">
        <v>45848.0</v>
      </c>
      <c r="B24" s="563">
        <v>0.5745023148148148</v>
      </c>
      <c r="C24" s="562" t="s">
        <v>14007</v>
      </c>
      <c r="D24" s="284"/>
      <c r="E24" s="638">
        <v>923469027071</v>
      </c>
      <c r="F24" s="562" t="s">
        <v>6875</v>
      </c>
      <c r="G24" s="562" t="s">
        <v>14008</v>
      </c>
      <c r="H24" s="562" t="s">
        <v>14009</v>
      </c>
      <c r="I24" s="562" t="s">
        <v>14010</v>
      </c>
      <c r="J24" s="562" t="s">
        <v>14011</v>
      </c>
      <c r="K24" s="562">
        <v>4.0</v>
      </c>
      <c r="L24" s="562" t="s">
        <v>14012</v>
      </c>
      <c r="M24" s="284"/>
    </row>
    <row r="25">
      <c r="A25" s="571">
        <v>45848.0</v>
      </c>
      <c r="B25" s="563">
        <v>0.5847453703703703</v>
      </c>
      <c r="C25" s="562" t="s">
        <v>14013</v>
      </c>
      <c r="D25" s="284"/>
      <c r="E25" s="638">
        <v>923032310447</v>
      </c>
      <c r="F25" s="562" t="s">
        <v>6875</v>
      </c>
      <c r="G25" s="562" t="s">
        <v>14014</v>
      </c>
      <c r="H25" s="562" t="s">
        <v>14015</v>
      </c>
      <c r="I25" s="562" t="s">
        <v>14016</v>
      </c>
      <c r="J25" s="562" t="s">
        <v>14017</v>
      </c>
      <c r="K25" s="562">
        <v>4.0</v>
      </c>
      <c r="L25" s="562" t="s">
        <v>6944</v>
      </c>
      <c r="M25" s="284"/>
    </row>
    <row r="26">
      <c r="A26" s="571">
        <v>45848.0</v>
      </c>
      <c r="B26" s="563">
        <v>0.5890740740740741</v>
      </c>
      <c r="C26" s="562" t="s">
        <v>14018</v>
      </c>
      <c r="D26" s="284"/>
      <c r="E26" s="562">
        <v>923458046779</v>
      </c>
      <c r="F26" s="562" t="s">
        <v>6939</v>
      </c>
      <c r="G26" s="562" t="s">
        <v>14019</v>
      </c>
      <c r="H26" s="562" t="s">
        <v>14020</v>
      </c>
      <c r="I26" s="562" t="s">
        <v>14021</v>
      </c>
      <c r="J26" s="562" t="s">
        <v>14022</v>
      </c>
      <c r="K26" s="562">
        <v>4.0</v>
      </c>
      <c r="L26" s="562" t="s">
        <v>6944</v>
      </c>
      <c r="M26" s="284"/>
    </row>
    <row r="27">
      <c r="A27" s="571">
        <v>45848.0</v>
      </c>
      <c r="B27" s="563">
        <v>0.6107175925925926</v>
      </c>
      <c r="C27" s="562" t="s">
        <v>14023</v>
      </c>
      <c r="D27" s="284"/>
      <c r="E27" s="562">
        <v>923008510576</v>
      </c>
      <c r="F27" s="562" t="s">
        <v>6939</v>
      </c>
      <c r="G27" s="562" t="s">
        <v>14024</v>
      </c>
      <c r="H27" s="562" t="s">
        <v>14025</v>
      </c>
      <c r="I27" s="562" t="s">
        <v>14026</v>
      </c>
      <c r="J27" s="562" t="s">
        <v>14027</v>
      </c>
      <c r="K27" s="562">
        <v>4.0</v>
      </c>
      <c r="L27" s="284"/>
      <c r="M27" s="284"/>
    </row>
    <row r="28">
      <c r="A28" s="571">
        <v>45848.0</v>
      </c>
      <c r="B28" s="563">
        <v>0.6426967592592593</v>
      </c>
      <c r="C28" s="562" t="s">
        <v>14028</v>
      </c>
      <c r="D28" s="562" t="s">
        <v>14029</v>
      </c>
      <c r="E28" s="706" t="s">
        <v>14030</v>
      </c>
      <c r="F28" s="562" t="s">
        <v>6875</v>
      </c>
      <c r="G28" s="562" t="s">
        <v>14031</v>
      </c>
      <c r="H28" s="562" t="s">
        <v>14032</v>
      </c>
      <c r="I28" s="562" t="s">
        <v>14033</v>
      </c>
      <c r="J28" s="562" t="s">
        <v>14034</v>
      </c>
      <c r="K28" s="562">
        <v>4.0</v>
      </c>
      <c r="L28" s="562" t="s">
        <v>51</v>
      </c>
      <c r="M28" s="284"/>
    </row>
    <row r="29">
      <c r="A29" s="571">
        <v>45848.0</v>
      </c>
      <c r="B29" s="563">
        <v>0.6492476851851852</v>
      </c>
      <c r="C29" s="562" t="s">
        <v>12446</v>
      </c>
      <c r="D29" s="284"/>
      <c r="E29" s="562">
        <v>923422551970</v>
      </c>
      <c r="F29" s="562" t="s">
        <v>6939</v>
      </c>
      <c r="G29" s="562" t="s">
        <v>14035</v>
      </c>
      <c r="H29" s="562" t="s">
        <v>14036</v>
      </c>
      <c r="I29" s="562" t="s">
        <v>14037</v>
      </c>
      <c r="J29" s="562" t="s">
        <v>14038</v>
      </c>
      <c r="K29" s="562">
        <v>4.0</v>
      </c>
      <c r="L29" s="284"/>
      <c r="M29" s="284"/>
    </row>
    <row r="30">
      <c r="A30" s="571">
        <v>45848.0</v>
      </c>
      <c r="B30" s="563">
        <v>0.6701851851851852</v>
      </c>
      <c r="C30" s="562" t="s">
        <v>14039</v>
      </c>
      <c r="D30" s="284"/>
      <c r="E30" s="562">
        <v>923171101960</v>
      </c>
      <c r="F30" s="562" t="s">
        <v>6875</v>
      </c>
      <c r="G30" s="562" t="s">
        <v>14040</v>
      </c>
      <c r="H30" s="562" t="s">
        <v>14041</v>
      </c>
      <c r="I30" s="562" t="s">
        <v>14042</v>
      </c>
      <c r="J30" s="562" t="s">
        <v>14043</v>
      </c>
      <c r="K30" s="562">
        <v>4.0</v>
      </c>
      <c r="L30" s="562" t="s">
        <v>14044</v>
      </c>
      <c r="M30" s="284"/>
    </row>
    <row r="31">
      <c r="A31" s="571">
        <v>45879.0</v>
      </c>
      <c r="B31" s="563">
        <v>0.41336805555555556</v>
      </c>
      <c r="C31" s="562" t="s">
        <v>14045</v>
      </c>
      <c r="D31" s="284"/>
      <c r="E31" s="562">
        <v>923198983438</v>
      </c>
      <c r="F31" s="562" t="s">
        <v>6875</v>
      </c>
      <c r="G31" s="562" t="s">
        <v>14046</v>
      </c>
      <c r="H31" s="562" t="s">
        <v>14047</v>
      </c>
      <c r="I31" s="562" t="s">
        <v>14048</v>
      </c>
      <c r="J31" s="562" t="s">
        <v>14043</v>
      </c>
      <c r="K31" s="562">
        <v>4.0</v>
      </c>
      <c r="L31" s="562" t="s">
        <v>14049</v>
      </c>
      <c r="M31" s="284"/>
    </row>
    <row r="32">
      <c r="A32" s="571">
        <v>45879.0</v>
      </c>
      <c r="B32" s="563">
        <v>0.4175115740740741</v>
      </c>
      <c r="C32" s="562" t="s">
        <v>14050</v>
      </c>
      <c r="D32" s="284"/>
      <c r="E32" s="562">
        <v>923332277949</v>
      </c>
      <c r="F32" s="562" t="s">
        <v>6939</v>
      </c>
      <c r="G32" s="562" t="s">
        <v>14051</v>
      </c>
      <c r="H32" s="562" t="s">
        <v>14052</v>
      </c>
      <c r="I32" s="562" t="s">
        <v>14053</v>
      </c>
      <c r="J32" s="562" t="s">
        <v>14054</v>
      </c>
      <c r="K32" s="562">
        <v>4.0</v>
      </c>
      <c r="L32" s="562" t="s">
        <v>13302</v>
      </c>
      <c r="M32" s="284"/>
    </row>
    <row r="33">
      <c r="A33" s="571">
        <v>45879.0</v>
      </c>
      <c r="B33" s="563">
        <v>0.418275462962963</v>
      </c>
      <c r="C33" s="562" t="s">
        <v>14055</v>
      </c>
      <c r="D33" s="284"/>
      <c r="E33" s="562">
        <v>923158898977</v>
      </c>
      <c r="F33" s="562" t="s">
        <v>6875</v>
      </c>
      <c r="G33" s="562" t="s">
        <v>14056</v>
      </c>
      <c r="H33" s="562" t="s">
        <v>14057</v>
      </c>
      <c r="I33" s="562" t="s">
        <v>14058</v>
      </c>
      <c r="J33" s="562" t="s">
        <v>14059</v>
      </c>
      <c r="K33" s="562">
        <v>4.0</v>
      </c>
      <c r="L33" s="562" t="s">
        <v>14060</v>
      </c>
      <c r="M33" s="284"/>
    </row>
    <row r="34">
      <c r="A34" s="571">
        <v>45879.0</v>
      </c>
      <c r="B34" s="563">
        <v>0.4184259259259259</v>
      </c>
      <c r="C34" s="562" t="s">
        <v>12026</v>
      </c>
      <c r="D34" s="284"/>
      <c r="E34" s="562">
        <v>923181341177</v>
      </c>
      <c r="F34" s="562" t="s">
        <v>6939</v>
      </c>
      <c r="G34" s="562" t="s">
        <v>14061</v>
      </c>
      <c r="H34" s="562" t="s">
        <v>14062</v>
      </c>
      <c r="I34" s="562" t="s">
        <v>14037</v>
      </c>
      <c r="J34" s="562" t="s">
        <v>14063</v>
      </c>
      <c r="K34" s="562">
        <v>4.0</v>
      </c>
      <c r="L34" s="284"/>
      <c r="M34" s="284"/>
    </row>
    <row r="35">
      <c r="A35" s="571">
        <v>45879.0</v>
      </c>
      <c r="B35" s="563">
        <v>0.41859953703703706</v>
      </c>
      <c r="C35" s="562" t="s">
        <v>14064</v>
      </c>
      <c r="D35" s="284"/>
      <c r="E35" s="638">
        <v>923007447001</v>
      </c>
      <c r="F35" s="562" t="s">
        <v>6875</v>
      </c>
      <c r="G35" s="284"/>
      <c r="H35" s="562" t="s">
        <v>14065</v>
      </c>
      <c r="I35" s="562" t="s">
        <v>14066</v>
      </c>
      <c r="J35" s="562" t="s">
        <v>14067</v>
      </c>
      <c r="K35" s="562">
        <v>3.0</v>
      </c>
      <c r="L35" s="562" t="s">
        <v>27</v>
      </c>
      <c r="M35" s="284"/>
    </row>
    <row r="36">
      <c r="A36" s="571">
        <v>45879.0</v>
      </c>
      <c r="B36" s="563">
        <v>0.41881944444444447</v>
      </c>
      <c r="C36" s="562" t="s">
        <v>14068</v>
      </c>
      <c r="D36" s="284"/>
      <c r="E36" s="562">
        <v>923008912546</v>
      </c>
      <c r="F36" s="562" t="s">
        <v>6875</v>
      </c>
      <c r="G36" s="562" t="s">
        <v>14069</v>
      </c>
      <c r="H36" s="562" t="s">
        <v>14070</v>
      </c>
      <c r="I36" s="562" t="s">
        <v>14071</v>
      </c>
      <c r="J36" s="562" t="s">
        <v>14072</v>
      </c>
      <c r="K36" s="562">
        <v>4.0</v>
      </c>
      <c r="L36" s="562" t="s">
        <v>14073</v>
      </c>
      <c r="M36" s="284"/>
    </row>
    <row r="37">
      <c r="A37" s="571">
        <v>45879.0</v>
      </c>
      <c r="B37" s="563">
        <v>0.4190162037037037</v>
      </c>
      <c r="C37" s="562" t="s">
        <v>2612</v>
      </c>
      <c r="D37" s="284"/>
      <c r="E37" s="638">
        <v>923036257654</v>
      </c>
      <c r="F37" s="562" t="s">
        <v>6875</v>
      </c>
      <c r="G37" s="284"/>
      <c r="H37" s="562" t="s">
        <v>14074</v>
      </c>
      <c r="I37" s="562" t="s">
        <v>14075</v>
      </c>
      <c r="J37" s="562" t="s">
        <v>14076</v>
      </c>
      <c r="K37" s="562">
        <v>3.0</v>
      </c>
      <c r="L37" s="562" t="s">
        <v>14077</v>
      </c>
      <c r="M37" s="284"/>
    </row>
    <row r="38">
      <c r="A38" s="571">
        <v>45879.0</v>
      </c>
      <c r="B38" s="563">
        <v>0.4191782407407407</v>
      </c>
      <c r="C38" s="562" t="s">
        <v>14078</v>
      </c>
      <c r="D38" s="284"/>
      <c r="E38" s="638">
        <v>923040270403</v>
      </c>
      <c r="F38" s="562" t="s">
        <v>6875</v>
      </c>
      <c r="G38" s="284"/>
      <c r="H38" s="562" t="s">
        <v>14079</v>
      </c>
      <c r="I38" s="562" t="s">
        <v>14080</v>
      </c>
      <c r="J38" s="562" t="s">
        <v>14081</v>
      </c>
      <c r="K38" s="562">
        <v>3.0</v>
      </c>
      <c r="L38" s="562" t="s">
        <v>12587</v>
      </c>
      <c r="M38" s="284"/>
    </row>
    <row r="39">
      <c r="A39" s="571">
        <v>45879.0</v>
      </c>
      <c r="B39" s="563">
        <v>0.41939814814814813</v>
      </c>
      <c r="C39" s="562" t="s">
        <v>3316</v>
      </c>
      <c r="D39" s="284"/>
      <c r="E39" s="638">
        <v>923002942771</v>
      </c>
      <c r="F39" s="562" t="s">
        <v>6875</v>
      </c>
      <c r="G39" s="284"/>
      <c r="H39" s="562" t="s">
        <v>14082</v>
      </c>
      <c r="I39" s="562" t="s">
        <v>14083</v>
      </c>
      <c r="J39" s="562" t="s">
        <v>14084</v>
      </c>
      <c r="K39" s="562">
        <v>3.0</v>
      </c>
      <c r="L39" s="562" t="s">
        <v>6536</v>
      </c>
      <c r="M39" s="284"/>
    </row>
    <row r="40">
      <c r="A40" s="571">
        <v>45879.0</v>
      </c>
      <c r="B40" s="563">
        <v>0.46598379629629627</v>
      </c>
      <c r="C40" s="562" t="s">
        <v>14085</v>
      </c>
      <c r="D40" s="284"/>
      <c r="E40" s="638">
        <v>923007836749</v>
      </c>
      <c r="F40" s="562" t="s">
        <v>6875</v>
      </c>
      <c r="G40" s="562" t="s">
        <v>14086</v>
      </c>
      <c r="H40" s="562" t="s">
        <v>14087</v>
      </c>
      <c r="I40" s="562" t="s">
        <v>14037</v>
      </c>
      <c r="J40" s="562" t="s">
        <v>14088</v>
      </c>
      <c r="K40" s="562">
        <v>4.0</v>
      </c>
      <c r="L40" s="562" t="s">
        <v>11262</v>
      </c>
      <c r="M40" s="284"/>
    </row>
    <row r="41">
      <c r="A41" s="571">
        <v>45879.0</v>
      </c>
      <c r="B41" s="563">
        <v>0.4878125</v>
      </c>
      <c r="C41" s="562" t="s">
        <v>14089</v>
      </c>
      <c r="D41" s="562" t="s">
        <v>6886</v>
      </c>
      <c r="E41" s="706" t="s">
        <v>14090</v>
      </c>
      <c r="F41" s="562" t="s">
        <v>6875</v>
      </c>
      <c r="G41" s="562" t="s">
        <v>14069</v>
      </c>
      <c r="H41" s="562" t="s">
        <v>14091</v>
      </c>
      <c r="I41" s="562" t="s">
        <v>14092</v>
      </c>
      <c r="J41" s="562" t="s">
        <v>14093</v>
      </c>
      <c r="K41" s="562">
        <v>4.0</v>
      </c>
      <c r="L41" s="562" t="s">
        <v>51</v>
      </c>
      <c r="M41" s="284"/>
    </row>
    <row r="42">
      <c r="A42" s="571">
        <v>45879.0</v>
      </c>
      <c r="B42" s="563">
        <v>0.5452777777777778</v>
      </c>
      <c r="C42" s="562" t="s">
        <v>10587</v>
      </c>
      <c r="D42" s="284"/>
      <c r="E42" s="562">
        <v>923488961376</v>
      </c>
      <c r="F42" s="562" t="s">
        <v>6939</v>
      </c>
      <c r="G42" s="562" t="s">
        <v>14094</v>
      </c>
      <c r="H42" s="562" t="s">
        <v>14095</v>
      </c>
      <c r="I42" s="562" t="s">
        <v>14096</v>
      </c>
      <c r="J42" s="562" t="s">
        <v>14097</v>
      </c>
      <c r="K42" s="562">
        <v>4.0</v>
      </c>
      <c r="L42" s="284"/>
      <c r="M42" s="284"/>
    </row>
    <row r="43">
      <c r="A43" s="571">
        <v>45879.0</v>
      </c>
      <c r="B43" s="563">
        <v>0.5674421296296296</v>
      </c>
      <c r="C43" s="562" t="s">
        <v>14098</v>
      </c>
      <c r="D43" s="284"/>
      <c r="E43" s="562">
        <v>923441116009</v>
      </c>
      <c r="F43" s="562" t="s">
        <v>6939</v>
      </c>
      <c r="G43" s="562" t="s">
        <v>14099</v>
      </c>
      <c r="H43" s="562" t="s">
        <v>14100</v>
      </c>
      <c r="I43" s="562" t="s">
        <v>14101</v>
      </c>
      <c r="J43" s="562" t="s">
        <v>14102</v>
      </c>
      <c r="K43" s="562">
        <v>4.0</v>
      </c>
      <c r="L43" s="562" t="s">
        <v>14103</v>
      </c>
      <c r="M43" s="284"/>
    </row>
    <row r="44">
      <c r="A44" s="571">
        <v>45879.0</v>
      </c>
      <c r="B44" s="563">
        <v>0.5806365740740741</v>
      </c>
      <c r="C44" s="562" t="s">
        <v>14104</v>
      </c>
      <c r="D44" s="284"/>
      <c r="E44" s="638">
        <v>923002376652</v>
      </c>
      <c r="F44" s="562" t="s">
        <v>6875</v>
      </c>
      <c r="G44" s="284"/>
      <c r="H44" s="562" t="s">
        <v>14105</v>
      </c>
      <c r="I44" s="562" t="s">
        <v>14106</v>
      </c>
      <c r="J44" s="562" t="s">
        <v>14107</v>
      </c>
      <c r="K44" s="562">
        <v>3.0</v>
      </c>
      <c r="L44" s="562" t="s">
        <v>372</v>
      </c>
      <c r="M44" s="284"/>
    </row>
    <row r="45">
      <c r="A45" s="571">
        <v>45879.0</v>
      </c>
      <c r="B45" s="563">
        <v>0.6049305555555555</v>
      </c>
      <c r="C45" s="562" t="s">
        <v>6920</v>
      </c>
      <c r="D45" s="284"/>
      <c r="E45" s="707">
        <v>923282056923</v>
      </c>
      <c r="F45" s="562" t="s">
        <v>6875</v>
      </c>
      <c r="G45" s="284"/>
      <c r="H45" s="284"/>
      <c r="I45" s="562" t="s">
        <v>14108</v>
      </c>
      <c r="J45" s="562" t="s">
        <v>14109</v>
      </c>
      <c r="K45" s="562">
        <v>2.0</v>
      </c>
      <c r="L45" s="562" t="s">
        <v>14110</v>
      </c>
      <c r="M45" s="284"/>
    </row>
    <row r="46">
      <c r="A46" s="571">
        <v>45879.0</v>
      </c>
      <c r="B46" s="563">
        <v>0.6144097222222222</v>
      </c>
      <c r="C46" s="562" t="s">
        <v>14111</v>
      </c>
      <c r="D46" s="562" t="s">
        <v>6886</v>
      </c>
      <c r="E46" s="566" t="s">
        <v>14112</v>
      </c>
      <c r="F46" s="562" t="s">
        <v>6888</v>
      </c>
      <c r="G46" s="562" t="s">
        <v>14113</v>
      </c>
      <c r="H46" s="562" t="s">
        <v>14114</v>
      </c>
      <c r="I46" s="562" t="s">
        <v>14115</v>
      </c>
      <c r="J46" s="562" t="s">
        <v>14116</v>
      </c>
      <c r="K46" s="562">
        <v>4.0</v>
      </c>
      <c r="L46" s="562" t="s">
        <v>14117</v>
      </c>
      <c r="M46" s="284"/>
    </row>
    <row r="47">
      <c r="A47" s="571">
        <v>45879.0</v>
      </c>
      <c r="B47" s="563">
        <v>0.6603819444444444</v>
      </c>
      <c r="C47" s="562" t="s">
        <v>14118</v>
      </c>
      <c r="D47" s="284"/>
      <c r="E47" s="707">
        <v>923041742761</v>
      </c>
      <c r="F47" s="562" t="s">
        <v>6875</v>
      </c>
      <c r="G47" s="284"/>
      <c r="H47" s="562" t="s">
        <v>14119</v>
      </c>
      <c r="I47" s="562" t="s">
        <v>14120</v>
      </c>
      <c r="J47" s="562" t="s">
        <v>14121</v>
      </c>
      <c r="K47" s="562">
        <v>3.0</v>
      </c>
      <c r="L47" s="562" t="s">
        <v>1985</v>
      </c>
      <c r="M47" s="284"/>
    </row>
    <row r="48">
      <c r="A48" s="571">
        <v>45879.0</v>
      </c>
      <c r="B48" s="563">
        <v>0.6641898148148148</v>
      </c>
      <c r="C48" s="562" t="s">
        <v>10599</v>
      </c>
      <c r="D48" s="284"/>
      <c r="E48" s="707">
        <v>923426856102</v>
      </c>
      <c r="F48" s="562" t="s">
        <v>6875</v>
      </c>
      <c r="G48" s="284"/>
      <c r="H48" s="284"/>
      <c r="I48" s="284"/>
      <c r="J48" s="562" t="s">
        <v>14122</v>
      </c>
      <c r="K48" s="562">
        <v>1.0</v>
      </c>
      <c r="L48" s="562" t="s">
        <v>372</v>
      </c>
      <c r="M48" s="284"/>
    </row>
    <row r="49">
      <c r="A49" s="571">
        <v>45879.0</v>
      </c>
      <c r="B49" s="563">
        <v>0.6894444444444444</v>
      </c>
      <c r="C49" s="562" t="s">
        <v>14123</v>
      </c>
      <c r="D49" s="284"/>
      <c r="E49" s="562">
        <v>923147017726</v>
      </c>
      <c r="F49" s="562" t="s">
        <v>6875</v>
      </c>
      <c r="G49" s="562" t="s">
        <v>14124</v>
      </c>
      <c r="H49" s="562" t="s">
        <v>14125</v>
      </c>
      <c r="I49" s="284"/>
      <c r="J49" s="562" t="s">
        <v>14126</v>
      </c>
      <c r="K49" s="562">
        <v>3.0</v>
      </c>
      <c r="L49" s="562" t="s">
        <v>14127</v>
      </c>
      <c r="M49" s="284"/>
    </row>
    <row r="50">
      <c r="A50" s="571">
        <v>45879.0</v>
      </c>
      <c r="B50" s="563">
        <v>0.7059375</v>
      </c>
      <c r="C50" s="562" t="s">
        <v>6933</v>
      </c>
      <c r="D50" s="284"/>
      <c r="E50" s="562">
        <v>923162323149</v>
      </c>
      <c r="F50" s="562" t="s">
        <v>6939</v>
      </c>
      <c r="G50" s="562" t="s">
        <v>14128</v>
      </c>
      <c r="H50" s="562" t="s">
        <v>14129</v>
      </c>
      <c r="I50" s="562" t="s">
        <v>14130</v>
      </c>
      <c r="J50" s="562" t="s">
        <v>14131</v>
      </c>
      <c r="K50" s="562">
        <v>4.0</v>
      </c>
      <c r="L50" s="284"/>
      <c r="M50" s="284"/>
    </row>
    <row r="51">
      <c r="A51" s="571">
        <v>45879.0</v>
      </c>
      <c r="B51" s="563">
        <v>0.7225925925925926</v>
      </c>
      <c r="C51" s="562" t="s">
        <v>10604</v>
      </c>
      <c r="D51" s="284"/>
      <c r="E51" s="707">
        <v>923314888463</v>
      </c>
      <c r="F51" s="562" t="s">
        <v>6875</v>
      </c>
      <c r="G51" s="284"/>
      <c r="H51" s="562" t="s">
        <v>14132</v>
      </c>
      <c r="I51" s="284"/>
      <c r="J51" s="562" t="s">
        <v>14133</v>
      </c>
      <c r="K51" s="562">
        <v>2.0</v>
      </c>
      <c r="L51" s="562" t="s">
        <v>14134</v>
      </c>
      <c r="M51" s="284"/>
    </row>
    <row r="52">
      <c r="A52" s="571">
        <v>45879.0</v>
      </c>
      <c r="B52" s="563">
        <v>0.7284143518518519</v>
      </c>
      <c r="C52" s="562" t="s">
        <v>14135</v>
      </c>
      <c r="D52" s="284"/>
      <c r="E52" s="707">
        <v>923340136203</v>
      </c>
      <c r="F52" s="562" t="s">
        <v>6875</v>
      </c>
      <c r="G52" s="284"/>
      <c r="H52" s="562" t="s">
        <v>14136</v>
      </c>
      <c r="I52" s="284"/>
      <c r="J52" s="562" t="s">
        <v>14137</v>
      </c>
      <c r="K52" s="562">
        <v>2.0</v>
      </c>
      <c r="L52" s="562" t="s">
        <v>14138</v>
      </c>
      <c r="M52" s="284"/>
    </row>
    <row r="53">
      <c r="A53" s="571">
        <v>45910.0</v>
      </c>
      <c r="B53" s="563">
        <v>0.41986111111111113</v>
      </c>
      <c r="C53" s="562" t="s">
        <v>14139</v>
      </c>
      <c r="D53" s="284"/>
      <c r="E53" s="568">
        <v>923452003896</v>
      </c>
      <c r="F53" s="562" t="s">
        <v>6888</v>
      </c>
      <c r="G53" s="284"/>
      <c r="H53" s="562" t="s">
        <v>14140</v>
      </c>
      <c r="I53" s="562" t="s">
        <v>14141</v>
      </c>
      <c r="J53" s="284"/>
      <c r="K53" s="562">
        <v>2.0</v>
      </c>
      <c r="L53" s="562" t="s">
        <v>685</v>
      </c>
      <c r="M53" s="284"/>
    </row>
    <row r="54">
      <c r="A54" s="571">
        <v>45910.0</v>
      </c>
      <c r="B54" s="563">
        <v>0.42</v>
      </c>
      <c r="C54" s="562" t="s">
        <v>11454</v>
      </c>
      <c r="D54" s="284"/>
      <c r="E54" s="707">
        <v>923197302851</v>
      </c>
      <c r="F54" s="562" t="s">
        <v>6875</v>
      </c>
      <c r="G54" s="562" t="s">
        <v>14142</v>
      </c>
      <c r="H54" s="562" t="s">
        <v>14143</v>
      </c>
      <c r="I54" s="284"/>
      <c r="J54" s="562" t="s">
        <v>14144</v>
      </c>
      <c r="K54" s="562">
        <v>3.0</v>
      </c>
      <c r="L54" s="562" t="s">
        <v>372</v>
      </c>
      <c r="M54" s="284"/>
    </row>
    <row r="55">
      <c r="A55" s="571">
        <v>45910.0</v>
      </c>
      <c r="B55" s="563">
        <v>0.420150462962963</v>
      </c>
      <c r="C55" s="562" t="s">
        <v>14145</v>
      </c>
      <c r="D55" s="284"/>
      <c r="E55" s="707">
        <v>923005838444</v>
      </c>
      <c r="F55" s="562" t="s">
        <v>6875</v>
      </c>
      <c r="G55" s="562" t="s">
        <v>14146</v>
      </c>
      <c r="H55" s="562" t="s">
        <v>14147</v>
      </c>
      <c r="I55" s="284"/>
      <c r="J55" s="284"/>
      <c r="K55" s="562">
        <v>2.0</v>
      </c>
      <c r="L55" s="562" t="s">
        <v>372</v>
      </c>
      <c r="M55" s="284"/>
    </row>
    <row r="56">
      <c r="A56" s="571">
        <v>45910.0</v>
      </c>
      <c r="B56" s="563">
        <v>0.4202546296296296</v>
      </c>
      <c r="C56" s="562" t="s">
        <v>10610</v>
      </c>
      <c r="D56" s="284"/>
      <c r="E56" s="707">
        <v>923313373773</v>
      </c>
      <c r="F56" s="562" t="s">
        <v>6875</v>
      </c>
      <c r="G56" s="562" t="s">
        <v>14148</v>
      </c>
      <c r="H56" s="284"/>
      <c r="I56" s="284"/>
      <c r="J56" s="284"/>
      <c r="K56" s="562">
        <v>1.0</v>
      </c>
      <c r="L56" s="562" t="s">
        <v>372</v>
      </c>
      <c r="M56" s="284"/>
    </row>
    <row r="57">
      <c r="A57" s="571">
        <v>45910.0</v>
      </c>
      <c r="B57" s="563">
        <v>0.42042824074074076</v>
      </c>
      <c r="C57" s="562" t="s">
        <v>14149</v>
      </c>
      <c r="D57" s="284"/>
      <c r="E57" s="562">
        <v>923317537203</v>
      </c>
      <c r="F57" s="562" t="s">
        <v>6939</v>
      </c>
      <c r="G57" s="562" t="s">
        <v>14150</v>
      </c>
      <c r="H57" s="562" t="s">
        <v>14151</v>
      </c>
      <c r="I57" s="562" t="s">
        <v>14152</v>
      </c>
      <c r="J57" s="562" t="s">
        <v>14153</v>
      </c>
      <c r="K57" s="562">
        <v>4.0</v>
      </c>
      <c r="L57" s="284"/>
      <c r="M57" s="284"/>
    </row>
    <row r="58">
      <c r="A58" s="571">
        <v>45910.0</v>
      </c>
      <c r="B58" s="563">
        <v>0.4205324074074074</v>
      </c>
      <c r="C58" s="562" t="s">
        <v>10613</v>
      </c>
      <c r="D58" s="284"/>
      <c r="E58" s="574">
        <v>923313176382</v>
      </c>
      <c r="F58" s="562" t="s">
        <v>6888</v>
      </c>
      <c r="G58" s="562" t="s">
        <v>14154</v>
      </c>
      <c r="H58" s="562" t="s">
        <v>14155</v>
      </c>
      <c r="I58" s="562" t="s">
        <v>14156</v>
      </c>
      <c r="J58" s="562" t="s">
        <v>14157</v>
      </c>
      <c r="K58" s="562">
        <v>4.0</v>
      </c>
      <c r="L58" s="562" t="s">
        <v>14158</v>
      </c>
      <c r="M58" s="284"/>
    </row>
    <row r="59">
      <c r="A59" s="571">
        <v>45910.0</v>
      </c>
      <c r="B59" s="563">
        <v>0.420625</v>
      </c>
      <c r="C59" s="562" t="s">
        <v>10615</v>
      </c>
      <c r="D59" s="284"/>
      <c r="E59" s="562">
        <v>923161009089</v>
      </c>
      <c r="F59" s="562" t="s">
        <v>6939</v>
      </c>
      <c r="G59" s="562" t="s">
        <v>14159</v>
      </c>
      <c r="H59" s="562" t="s">
        <v>14160</v>
      </c>
      <c r="I59" s="562" t="s">
        <v>14161</v>
      </c>
      <c r="J59" s="562" t="s">
        <v>14162</v>
      </c>
      <c r="K59" s="562">
        <v>4.0</v>
      </c>
      <c r="L59" s="284"/>
      <c r="M59" s="284"/>
    </row>
    <row r="60">
      <c r="A60" s="571">
        <v>45910.0</v>
      </c>
      <c r="B60" s="563">
        <v>0.42083333333333334</v>
      </c>
      <c r="C60" s="562" t="s">
        <v>14163</v>
      </c>
      <c r="D60" s="284"/>
      <c r="E60" s="707">
        <v>923338763490</v>
      </c>
      <c r="F60" s="562" t="s">
        <v>6875</v>
      </c>
      <c r="G60" s="562" t="s">
        <v>14164</v>
      </c>
      <c r="H60" s="562" t="s">
        <v>14165</v>
      </c>
      <c r="I60" s="562" t="s">
        <v>14166</v>
      </c>
      <c r="J60" s="562" t="s">
        <v>14167</v>
      </c>
      <c r="K60" s="562">
        <v>4.0</v>
      </c>
      <c r="L60" s="284"/>
      <c r="M60" s="284"/>
    </row>
    <row r="61">
      <c r="A61" s="571">
        <v>45910.0</v>
      </c>
      <c r="B61" s="563">
        <v>0.4210300925925926</v>
      </c>
      <c r="C61" s="562" t="s">
        <v>14168</v>
      </c>
      <c r="D61" s="284"/>
      <c r="E61" s="562">
        <v>923352372164</v>
      </c>
      <c r="F61" s="562" t="s">
        <v>6939</v>
      </c>
      <c r="G61" s="562" t="s">
        <v>14169</v>
      </c>
      <c r="H61" s="562" t="s">
        <v>14170</v>
      </c>
      <c r="I61" s="562" t="s">
        <v>14171</v>
      </c>
      <c r="J61" s="562" t="s">
        <v>14167</v>
      </c>
      <c r="K61" s="562">
        <v>4.0</v>
      </c>
      <c r="L61" s="284"/>
      <c r="M61" s="284"/>
    </row>
    <row r="62">
      <c r="A62" s="571">
        <v>45910.0</v>
      </c>
      <c r="B62" s="563">
        <v>0.42125</v>
      </c>
      <c r="C62" s="562" t="s">
        <v>10616</v>
      </c>
      <c r="D62" s="284"/>
      <c r="E62" s="707">
        <v>923077794180</v>
      </c>
      <c r="F62" s="562" t="s">
        <v>6875</v>
      </c>
      <c r="G62" s="562" t="s">
        <v>14172</v>
      </c>
      <c r="H62" s="562" t="s">
        <v>14173</v>
      </c>
      <c r="I62" s="562" t="s">
        <v>14156</v>
      </c>
      <c r="J62" s="562" t="s">
        <v>14167</v>
      </c>
      <c r="K62" s="562">
        <v>4.0</v>
      </c>
      <c r="L62" s="284"/>
      <c r="M62" s="284"/>
    </row>
    <row r="63">
      <c r="A63" s="571">
        <v>45910.0</v>
      </c>
      <c r="B63" s="563">
        <v>0.4214351851851852</v>
      </c>
      <c r="C63" s="562" t="s">
        <v>14174</v>
      </c>
      <c r="D63" s="284"/>
      <c r="E63" s="707">
        <v>923112438732</v>
      </c>
      <c r="F63" s="562" t="s">
        <v>6875</v>
      </c>
      <c r="G63" s="284"/>
      <c r="H63" s="562" t="s">
        <v>14175</v>
      </c>
      <c r="I63" s="284"/>
      <c r="J63" s="562" t="s">
        <v>14176</v>
      </c>
      <c r="K63" s="562">
        <v>2.0</v>
      </c>
      <c r="L63" s="562" t="s">
        <v>372</v>
      </c>
      <c r="M63" s="284"/>
    </row>
    <row r="64">
      <c r="A64" s="571">
        <v>45910.0</v>
      </c>
      <c r="B64" s="563">
        <v>0.42167824074074073</v>
      </c>
      <c r="C64" s="562" t="s">
        <v>14177</v>
      </c>
      <c r="D64" s="284"/>
      <c r="E64" s="707">
        <v>923142767775</v>
      </c>
      <c r="F64" s="562" t="s">
        <v>6875</v>
      </c>
      <c r="G64" s="284"/>
      <c r="H64" s="562" t="s">
        <v>14178</v>
      </c>
      <c r="I64" s="562" t="s">
        <v>14179</v>
      </c>
      <c r="J64" s="284"/>
      <c r="K64" s="562">
        <v>2.0</v>
      </c>
      <c r="L64" s="562" t="s">
        <v>14180</v>
      </c>
      <c r="M64" s="284"/>
    </row>
    <row r="65">
      <c r="A65" s="571">
        <v>45910.0</v>
      </c>
      <c r="B65" s="563">
        <v>0.5140393518518519</v>
      </c>
      <c r="C65" s="562" t="s">
        <v>14181</v>
      </c>
      <c r="D65" s="284"/>
      <c r="E65" s="568">
        <v>923099206886</v>
      </c>
      <c r="F65" s="562" t="s">
        <v>6888</v>
      </c>
      <c r="G65" s="562" t="s">
        <v>14182</v>
      </c>
      <c r="H65" s="562" t="s">
        <v>14183</v>
      </c>
      <c r="I65" s="562" t="s">
        <v>14184</v>
      </c>
      <c r="J65" s="562" t="s">
        <v>14185</v>
      </c>
      <c r="K65" s="562">
        <v>4.0</v>
      </c>
      <c r="L65" s="562" t="s">
        <v>14186</v>
      </c>
      <c r="M65" s="284"/>
    </row>
    <row r="66">
      <c r="A66" s="571">
        <v>45910.0</v>
      </c>
      <c r="B66" s="563">
        <v>0.42193287037037036</v>
      </c>
      <c r="C66" s="562" t="s">
        <v>10623</v>
      </c>
      <c r="D66" s="284"/>
      <c r="E66" s="707">
        <v>923334240809</v>
      </c>
      <c r="F66" s="562" t="s">
        <v>6875</v>
      </c>
      <c r="G66" s="284"/>
      <c r="H66" s="562" t="s">
        <v>14187</v>
      </c>
      <c r="I66" s="284"/>
      <c r="J66" s="562" t="s">
        <v>14188</v>
      </c>
      <c r="K66" s="562">
        <v>2.0</v>
      </c>
      <c r="L66" s="562" t="s">
        <v>6944</v>
      </c>
      <c r="M66" s="284"/>
    </row>
    <row r="67">
      <c r="A67" s="571">
        <v>45910.0</v>
      </c>
      <c r="B67" s="563">
        <v>0.48346064814814815</v>
      </c>
      <c r="C67" s="562" t="s">
        <v>12502</v>
      </c>
      <c r="D67" s="284"/>
      <c r="E67" s="707">
        <v>923360700061</v>
      </c>
      <c r="F67" s="562" t="s">
        <v>6875</v>
      </c>
      <c r="G67" s="284"/>
      <c r="H67" s="562" t="s">
        <v>14189</v>
      </c>
      <c r="I67" s="284"/>
      <c r="J67" s="562" t="s">
        <v>14190</v>
      </c>
      <c r="K67" s="562">
        <v>2.0</v>
      </c>
      <c r="L67" s="562" t="s">
        <v>152</v>
      </c>
      <c r="M67" s="284"/>
    </row>
    <row r="68">
      <c r="A68" s="571">
        <v>45910.0</v>
      </c>
      <c r="B68" s="563">
        <v>0.5465046296296296</v>
      </c>
      <c r="C68" s="562" t="s">
        <v>14191</v>
      </c>
      <c r="D68" s="284"/>
      <c r="E68" s="707">
        <v>923105754156</v>
      </c>
      <c r="F68" s="562" t="s">
        <v>6875</v>
      </c>
      <c r="G68" s="562" t="s">
        <v>14192</v>
      </c>
      <c r="H68" s="562" t="s">
        <v>14193</v>
      </c>
      <c r="I68" s="562" t="s">
        <v>14194</v>
      </c>
      <c r="J68" s="284"/>
      <c r="K68" s="562">
        <v>3.0</v>
      </c>
      <c r="L68" s="562" t="s">
        <v>51</v>
      </c>
      <c r="M68" s="284"/>
    </row>
    <row r="69">
      <c r="A69" s="571">
        <v>45910.0</v>
      </c>
      <c r="B69" s="563">
        <v>0.5792592592592593</v>
      </c>
      <c r="C69" s="562" t="s">
        <v>6945</v>
      </c>
      <c r="D69" s="284"/>
      <c r="E69" s="562">
        <v>923443494833</v>
      </c>
      <c r="F69" s="562" t="s">
        <v>6939</v>
      </c>
      <c r="G69" s="562" t="s">
        <v>14195</v>
      </c>
      <c r="H69" s="562" t="s">
        <v>14196</v>
      </c>
      <c r="I69" s="562" t="s">
        <v>14197</v>
      </c>
      <c r="J69" s="562" t="s">
        <v>14167</v>
      </c>
      <c r="K69" s="562">
        <v>4.0</v>
      </c>
      <c r="L69" s="284"/>
      <c r="M69" s="284"/>
    </row>
    <row r="70">
      <c r="A70" s="571">
        <v>45910.0</v>
      </c>
      <c r="B70" s="563">
        <v>0.6578587962962963</v>
      </c>
      <c r="C70" s="562" t="s">
        <v>14198</v>
      </c>
      <c r="D70" s="284"/>
      <c r="E70" s="707">
        <v>923160348275</v>
      </c>
      <c r="F70" s="562" t="s">
        <v>6875</v>
      </c>
      <c r="G70" s="562" t="s">
        <v>14199</v>
      </c>
      <c r="H70" s="562" t="s">
        <v>14200</v>
      </c>
      <c r="I70" s="562" t="s">
        <v>14201</v>
      </c>
      <c r="J70" s="284"/>
      <c r="K70" s="562">
        <v>3.0</v>
      </c>
      <c r="L70" s="562" t="s">
        <v>51</v>
      </c>
      <c r="M70" s="284"/>
    </row>
    <row r="71">
      <c r="A71" s="571">
        <v>45910.0</v>
      </c>
      <c r="B71" s="563">
        <v>0.7271643518518518</v>
      </c>
      <c r="C71" s="562" t="s">
        <v>10635</v>
      </c>
      <c r="D71" s="284"/>
      <c r="E71" s="574">
        <v>923326167880</v>
      </c>
      <c r="F71" s="562" t="s">
        <v>6939</v>
      </c>
      <c r="G71" s="562" t="s">
        <v>14202</v>
      </c>
      <c r="H71" s="562" t="s">
        <v>14203</v>
      </c>
      <c r="I71" s="562" t="s">
        <v>14204</v>
      </c>
      <c r="J71" s="562" t="s">
        <v>14205</v>
      </c>
      <c r="K71" s="562">
        <v>4.0</v>
      </c>
      <c r="L71" s="562" t="s">
        <v>12497</v>
      </c>
      <c r="M71" s="284"/>
    </row>
    <row r="72">
      <c r="A72" s="708">
        <v>45940.0</v>
      </c>
      <c r="B72" s="563">
        <v>0.4263078703703704</v>
      </c>
      <c r="C72" s="562" t="s">
        <v>4599</v>
      </c>
      <c r="D72" s="562" t="s">
        <v>11511</v>
      </c>
      <c r="E72" s="568" t="s">
        <v>14206</v>
      </c>
      <c r="F72" s="562" t="s">
        <v>6875</v>
      </c>
      <c r="G72" s="562" t="s">
        <v>14207</v>
      </c>
      <c r="H72" s="562" t="s">
        <v>14208</v>
      </c>
      <c r="I72" s="562" t="s">
        <v>14209</v>
      </c>
      <c r="J72" s="562" t="s">
        <v>14210</v>
      </c>
      <c r="K72" s="562">
        <v>4.0</v>
      </c>
      <c r="L72" s="562" t="s">
        <v>14211</v>
      </c>
      <c r="M72" s="284"/>
    </row>
    <row r="73">
      <c r="A73" s="708">
        <v>45940.0</v>
      </c>
      <c r="B73" s="563">
        <v>0.42650462962962965</v>
      </c>
      <c r="C73" s="562" t="s">
        <v>14212</v>
      </c>
      <c r="D73" s="284"/>
      <c r="E73" s="562">
        <v>923412689344</v>
      </c>
      <c r="F73" s="562" t="s">
        <v>6875</v>
      </c>
      <c r="G73" s="562" t="s">
        <v>14213</v>
      </c>
      <c r="H73" s="562" t="s">
        <v>14214</v>
      </c>
      <c r="I73" s="562" t="s">
        <v>14215</v>
      </c>
      <c r="J73" s="562" t="s">
        <v>14216</v>
      </c>
      <c r="K73" s="562">
        <v>4.0</v>
      </c>
      <c r="L73" s="562" t="s">
        <v>6944</v>
      </c>
      <c r="M73" s="284"/>
    </row>
    <row r="74">
      <c r="A74" s="708">
        <v>45940.0</v>
      </c>
      <c r="B74" s="563">
        <v>0.4266550925925926</v>
      </c>
      <c r="C74" s="562" t="s">
        <v>14217</v>
      </c>
      <c r="D74" s="284"/>
      <c r="E74" s="562">
        <v>923204484464</v>
      </c>
      <c r="F74" s="562" t="s">
        <v>6939</v>
      </c>
      <c r="G74" s="562" t="s">
        <v>14218</v>
      </c>
      <c r="H74" s="562" t="s">
        <v>14219</v>
      </c>
      <c r="I74" s="562" t="s">
        <v>14220</v>
      </c>
      <c r="J74" s="562" t="s">
        <v>14221</v>
      </c>
      <c r="K74" s="562">
        <v>4.0</v>
      </c>
      <c r="L74" s="562" t="s">
        <v>685</v>
      </c>
      <c r="M74" s="284"/>
    </row>
    <row r="75">
      <c r="A75" s="708">
        <v>45940.0</v>
      </c>
      <c r="B75" s="563">
        <v>0.4273032407407407</v>
      </c>
      <c r="C75" s="562" t="s">
        <v>14222</v>
      </c>
      <c r="D75" s="284"/>
      <c r="E75" s="562">
        <v>923373216890</v>
      </c>
      <c r="F75" s="562" t="s">
        <v>6888</v>
      </c>
      <c r="G75" s="562" t="s">
        <v>14223</v>
      </c>
      <c r="H75" s="562" t="s">
        <v>14224</v>
      </c>
      <c r="I75" s="562" t="s">
        <v>14225</v>
      </c>
      <c r="J75" s="562" t="s">
        <v>14205</v>
      </c>
      <c r="K75" s="562">
        <v>4.0</v>
      </c>
      <c r="L75" s="562" t="s">
        <v>14226</v>
      </c>
      <c r="M75" s="284"/>
    </row>
    <row r="76">
      <c r="A76" s="708">
        <v>45940.0</v>
      </c>
      <c r="B76" s="563">
        <v>0.4278125</v>
      </c>
      <c r="C76" s="562" t="s">
        <v>14227</v>
      </c>
      <c r="D76" s="284"/>
      <c r="E76" s="562">
        <v>923000220758</v>
      </c>
      <c r="F76" s="562" t="s">
        <v>6875</v>
      </c>
      <c r="G76" s="562" t="s">
        <v>14228</v>
      </c>
      <c r="H76" s="562" t="s">
        <v>14229</v>
      </c>
      <c r="I76" s="562" t="s">
        <v>14230</v>
      </c>
      <c r="J76" s="562" t="s">
        <v>14231</v>
      </c>
      <c r="K76" s="562">
        <v>4.0</v>
      </c>
      <c r="L76" s="562" t="s">
        <v>14232</v>
      </c>
      <c r="M76" s="284"/>
    </row>
    <row r="77">
      <c r="A77" s="708">
        <v>45940.0</v>
      </c>
      <c r="B77" s="563">
        <v>0.4279050925925926</v>
      </c>
      <c r="C77" s="562" t="s">
        <v>6950</v>
      </c>
      <c r="D77" s="284"/>
      <c r="E77" s="562">
        <v>923152996246</v>
      </c>
      <c r="F77" s="562" t="s">
        <v>6939</v>
      </c>
      <c r="G77" s="562" t="s">
        <v>14213</v>
      </c>
      <c r="H77" s="562" t="s">
        <v>14233</v>
      </c>
      <c r="I77" s="562" t="s">
        <v>14234</v>
      </c>
      <c r="J77" s="562" t="s">
        <v>14235</v>
      </c>
      <c r="K77" s="562">
        <v>4.0</v>
      </c>
      <c r="L77" s="562" t="s">
        <v>6944</v>
      </c>
      <c r="M77" s="284"/>
    </row>
    <row r="78">
      <c r="A78" s="708">
        <v>45940.0</v>
      </c>
      <c r="B78" s="563">
        <v>0.42800925925925926</v>
      </c>
      <c r="C78" s="562" t="s">
        <v>14236</v>
      </c>
      <c r="D78" s="562" t="s">
        <v>6886</v>
      </c>
      <c r="E78" s="637" t="s">
        <v>14237</v>
      </c>
      <c r="F78" s="562" t="s">
        <v>6875</v>
      </c>
      <c r="G78" s="562" t="s">
        <v>14213</v>
      </c>
      <c r="H78" s="562" t="s">
        <v>14238</v>
      </c>
      <c r="I78" s="562" t="s">
        <v>14239</v>
      </c>
      <c r="J78" s="562" t="s">
        <v>14240</v>
      </c>
      <c r="K78" s="562">
        <v>4.0</v>
      </c>
      <c r="L78" s="562" t="s">
        <v>51</v>
      </c>
      <c r="M78" s="284"/>
    </row>
    <row r="79">
      <c r="A79" s="709">
        <v>45940.0</v>
      </c>
      <c r="B79" s="569">
        <v>0.428125</v>
      </c>
      <c r="C79" s="568" t="s">
        <v>6955</v>
      </c>
      <c r="D79" s="570"/>
      <c r="E79" s="568">
        <v>923144160484</v>
      </c>
      <c r="F79" s="562" t="s">
        <v>6939</v>
      </c>
      <c r="G79" s="568" t="s">
        <v>14241</v>
      </c>
      <c r="H79" s="568" t="s">
        <v>14242</v>
      </c>
      <c r="I79" s="568" t="s">
        <v>14243</v>
      </c>
      <c r="J79" s="568" t="s">
        <v>14205</v>
      </c>
      <c r="K79" s="568">
        <v>4.0</v>
      </c>
      <c r="L79" s="570"/>
      <c r="M79" s="284"/>
    </row>
    <row r="80">
      <c r="A80" s="708">
        <v>45940.0</v>
      </c>
      <c r="B80" s="563">
        <v>0.4300462962962963</v>
      </c>
      <c r="C80" s="562" t="s">
        <v>14244</v>
      </c>
      <c r="D80" s="284"/>
      <c r="E80" s="562">
        <v>923704000368</v>
      </c>
      <c r="F80" s="562" t="s">
        <v>6939</v>
      </c>
      <c r="G80" s="562" t="s">
        <v>14245</v>
      </c>
      <c r="H80" s="562" t="s">
        <v>14246</v>
      </c>
      <c r="I80" s="562" t="s">
        <v>14247</v>
      </c>
      <c r="J80" s="562" t="s">
        <v>14205</v>
      </c>
      <c r="K80" s="562">
        <v>4.0</v>
      </c>
      <c r="L80" s="284"/>
      <c r="M80" s="284"/>
    </row>
    <row r="81">
      <c r="A81" s="708">
        <v>45940.0</v>
      </c>
      <c r="B81" s="563">
        <v>0.4304050925925926</v>
      </c>
      <c r="C81" s="562" t="s">
        <v>4614</v>
      </c>
      <c r="D81" s="284"/>
      <c r="E81" s="568">
        <v>923224004698</v>
      </c>
      <c r="F81" s="562" t="s">
        <v>6875</v>
      </c>
      <c r="G81" s="284"/>
      <c r="H81" s="562" t="s">
        <v>14248</v>
      </c>
      <c r="I81" s="562" t="s">
        <v>14249</v>
      </c>
      <c r="J81" s="284"/>
      <c r="K81" s="562">
        <v>2.0</v>
      </c>
      <c r="L81" s="562" t="s">
        <v>372</v>
      </c>
      <c r="M81" s="284"/>
    </row>
    <row r="82">
      <c r="A82" s="708">
        <v>45940.0</v>
      </c>
      <c r="B82" s="563">
        <v>0.4305787037037037</v>
      </c>
      <c r="C82" s="562" t="s">
        <v>14250</v>
      </c>
      <c r="D82" s="284"/>
      <c r="E82" s="562">
        <v>923243298196</v>
      </c>
      <c r="F82" s="562" t="s">
        <v>6939</v>
      </c>
      <c r="G82" s="562" t="s">
        <v>14251</v>
      </c>
      <c r="H82" s="562" t="s">
        <v>14252</v>
      </c>
      <c r="I82" s="562" t="s">
        <v>14253</v>
      </c>
      <c r="J82" s="562" t="s">
        <v>14205</v>
      </c>
      <c r="K82" s="562">
        <v>4.0</v>
      </c>
      <c r="L82" s="284"/>
      <c r="M82" s="284"/>
    </row>
    <row r="83">
      <c r="A83" s="708">
        <v>45940.0</v>
      </c>
      <c r="B83" s="563">
        <v>0.430787037037037</v>
      </c>
      <c r="C83" s="710" t="s">
        <v>14254</v>
      </c>
      <c r="D83" s="284"/>
      <c r="E83" s="562">
        <v>923337261599</v>
      </c>
      <c r="F83" s="562" t="s">
        <v>6939</v>
      </c>
      <c r="G83" s="562" t="s">
        <v>14255</v>
      </c>
      <c r="H83" s="562" t="s">
        <v>14256</v>
      </c>
      <c r="I83" s="562" t="s">
        <v>14257</v>
      </c>
      <c r="J83" s="562" t="s">
        <v>14205</v>
      </c>
      <c r="K83" s="562">
        <v>4.0</v>
      </c>
      <c r="L83" s="284"/>
      <c r="M83" s="284"/>
    </row>
    <row r="84">
      <c r="A84" s="708">
        <v>45940.0</v>
      </c>
      <c r="B84" s="563">
        <v>0.43094907407407407</v>
      </c>
      <c r="C84" s="562" t="s">
        <v>14258</v>
      </c>
      <c r="D84" s="284"/>
      <c r="E84" s="568">
        <v>923412313227</v>
      </c>
      <c r="F84" s="562" t="s">
        <v>6875</v>
      </c>
      <c r="G84" s="562" t="s">
        <v>14255</v>
      </c>
      <c r="H84" s="562" t="s">
        <v>14259</v>
      </c>
      <c r="I84" s="562" t="s">
        <v>14260</v>
      </c>
      <c r="J84" s="562" t="s">
        <v>14261</v>
      </c>
      <c r="K84" s="562">
        <v>4.0</v>
      </c>
      <c r="L84" s="562" t="s">
        <v>11835</v>
      </c>
      <c r="M84" s="284"/>
    </row>
    <row r="85">
      <c r="A85" s="709">
        <v>45940.0</v>
      </c>
      <c r="B85" s="569">
        <v>0.4322685185185185</v>
      </c>
      <c r="C85" s="562" t="s">
        <v>6960</v>
      </c>
      <c r="D85" s="570"/>
      <c r="E85" s="568">
        <v>923014369129</v>
      </c>
      <c r="F85" s="562" t="s">
        <v>6875</v>
      </c>
      <c r="G85" s="562" t="s">
        <v>14255</v>
      </c>
      <c r="H85" s="568" t="s">
        <v>14262</v>
      </c>
      <c r="I85" s="562" t="s">
        <v>14263</v>
      </c>
      <c r="J85" s="568" t="s">
        <v>14264</v>
      </c>
      <c r="K85" s="562">
        <v>4.0</v>
      </c>
      <c r="L85" s="568" t="s">
        <v>14265</v>
      </c>
      <c r="M85" s="284"/>
    </row>
    <row r="86">
      <c r="A86" s="708">
        <v>45940.0</v>
      </c>
      <c r="B86" s="563">
        <v>0.4325115740740741</v>
      </c>
      <c r="C86" s="562" t="s">
        <v>14266</v>
      </c>
      <c r="D86" s="284"/>
      <c r="E86" s="562">
        <v>923038157902</v>
      </c>
      <c r="F86" s="562" t="s">
        <v>6875</v>
      </c>
      <c r="G86" s="562" t="s">
        <v>14255</v>
      </c>
      <c r="H86" s="562" t="s">
        <v>14267</v>
      </c>
      <c r="I86" s="562" t="s">
        <v>14268</v>
      </c>
      <c r="J86" s="562" t="s">
        <v>14269</v>
      </c>
      <c r="K86" s="562">
        <v>4.0</v>
      </c>
      <c r="L86" s="562" t="s">
        <v>14270</v>
      </c>
      <c r="M86" s="284"/>
    </row>
    <row r="87">
      <c r="A87" s="708">
        <v>45940.0</v>
      </c>
      <c r="B87" s="563">
        <v>0.48064814814814816</v>
      </c>
      <c r="C87" s="562" t="s">
        <v>11610</v>
      </c>
      <c r="D87" s="284"/>
      <c r="E87" s="562">
        <v>923448113478</v>
      </c>
      <c r="F87" s="562" t="s">
        <v>6875</v>
      </c>
      <c r="G87" s="562" t="s">
        <v>14271</v>
      </c>
      <c r="H87" s="562" t="s">
        <v>14272</v>
      </c>
      <c r="I87" s="284"/>
      <c r="J87" s="284"/>
      <c r="K87" s="562">
        <v>2.0</v>
      </c>
      <c r="L87" s="562" t="s">
        <v>372</v>
      </c>
      <c r="M87" s="284"/>
    </row>
    <row r="88">
      <c r="A88" s="708">
        <v>45940.0</v>
      </c>
      <c r="B88" s="563">
        <v>0.48347222222222225</v>
      </c>
      <c r="C88" s="562" t="s">
        <v>3510</v>
      </c>
      <c r="D88" s="284"/>
      <c r="E88" s="562">
        <v>923021491605</v>
      </c>
      <c r="F88" s="562" t="s">
        <v>6875</v>
      </c>
      <c r="G88" s="562" t="s">
        <v>14213</v>
      </c>
      <c r="H88" s="562" t="s">
        <v>14273</v>
      </c>
      <c r="I88" s="562" t="s">
        <v>14274</v>
      </c>
      <c r="J88" s="562" t="s">
        <v>14275</v>
      </c>
      <c r="K88" s="562">
        <v>4.0</v>
      </c>
      <c r="L88" s="562" t="s">
        <v>14276</v>
      </c>
      <c r="M88" s="284"/>
    </row>
    <row r="89">
      <c r="A89" s="708">
        <v>45940.0</v>
      </c>
      <c r="B89" s="563">
        <v>0.5213541666666667</v>
      </c>
      <c r="C89" s="562" t="s">
        <v>14277</v>
      </c>
      <c r="D89" s="284"/>
      <c r="E89" s="562">
        <v>923027668119</v>
      </c>
      <c r="F89" s="562" t="s">
        <v>6875</v>
      </c>
      <c r="G89" s="284"/>
      <c r="H89" s="284"/>
      <c r="I89" s="562" t="s">
        <v>14278</v>
      </c>
      <c r="J89" s="284"/>
      <c r="K89" s="562">
        <v>1.0</v>
      </c>
      <c r="L89" s="562" t="s">
        <v>372</v>
      </c>
      <c r="M89" s="284"/>
    </row>
    <row r="90">
      <c r="A90" s="708">
        <v>45940.0</v>
      </c>
      <c r="B90" s="563">
        <v>0.5853935185185185</v>
      </c>
      <c r="C90" s="562" t="s">
        <v>14279</v>
      </c>
      <c r="D90" s="562" t="s">
        <v>7725</v>
      </c>
      <c r="E90" s="566" t="s">
        <v>14280</v>
      </c>
      <c r="F90" s="562" t="s">
        <v>6875</v>
      </c>
      <c r="G90" s="562" t="s">
        <v>14281</v>
      </c>
      <c r="H90" s="562" t="s">
        <v>14282</v>
      </c>
      <c r="I90" s="562" t="s">
        <v>14283</v>
      </c>
      <c r="J90" s="562" t="s">
        <v>14284</v>
      </c>
      <c r="K90" s="562">
        <v>4.0</v>
      </c>
      <c r="L90" s="562" t="s">
        <v>685</v>
      </c>
      <c r="M90" s="284"/>
    </row>
    <row r="91">
      <c r="A91" s="708">
        <v>45940.0</v>
      </c>
      <c r="B91" s="563">
        <v>0.6435763888888889</v>
      </c>
      <c r="C91" s="562" t="s">
        <v>10667</v>
      </c>
      <c r="D91" s="284"/>
      <c r="E91" s="562">
        <v>923269804068</v>
      </c>
      <c r="F91" s="562" t="s">
        <v>6939</v>
      </c>
      <c r="G91" s="562" t="s">
        <v>14285</v>
      </c>
      <c r="H91" s="562" t="s">
        <v>14286</v>
      </c>
      <c r="I91" s="562" t="s">
        <v>14287</v>
      </c>
      <c r="J91" s="562" t="s">
        <v>14205</v>
      </c>
      <c r="K91" s="562">
        <v>4.0</v>
      </c>
      <c r="L91" s="284"/>
      <c r="M91" s="284"/>
    </row>
    <row r="92">
      <c r="A92" s="708">
        <v>45940.0</v>
      </c>
      <c r="B92" s="563">
        <v>0.6438541666666666</v>
      </c>
      <c r="C92" s="562" t="s">
        <v>14288</v>
      </c>
      <c r="D92" s="284"/>
      <c r="E92" s="562">
        <v>923333138387</v>
      </c>
      <c r="F92" s="562" t="s">
        <v>6875</v>
      </c>
      <c r="G92" s="562" t="s">
        <v>14289</v>
      </c>
      <c r="H92" s="562" t="s">
        <v>14290</v>
      </c>
      <c r="I92" s="562" t="s">
        <v>14291</v>
      </c>
      <c r="J92" s="562" t="s">
        <v>14292</v>
      </c>
      <c r="K92" s="562">
        <v>4.0</v>
      </c>
      <c r="L92" s="284"/>
      <c r="M92" s="284"/>
    </row>
    <row r="93">
      <c r="A93" s="708">
        <v>45940.0</v>
      </c>
      <c r="B93" s="563">
        <v>0.6471643518518518</v>
      </c>
      <c r="C93" s="562" t="s">
        <v>2279</v>
      </c>
      <c r="D93" s="284"/>
      <c r="E93" s="562">
        <v>923453583255</v>
      </c>
      <c r="F93" s="562" t="s">
        <v>6875</v>
      </c>
      <c r="G93" s="562" t="s">
        <v>14293</v>
      </c>
      <c r="H93" s="562" t="s">
        <v>14294</v>
      </c>
      <c r="I93" s="562" t="s">
        <v>14295</v>
      </c>
      <c r="J93" s="562" t="s">
        <v>14296</v>
      </c>
      <c r="K93" s="562">
        <v>4.0</v>
      </c>
      <c r="L93" s="562" t="s">
        <v>372</v>
      </c>
      <c r="M93" s="284"/>
    </row>
    <row r="94">
      <c r="A94" s="708">
        <v>45940.0</v>
      </c>
      <c r="B94" s="563">
        <v>0.6669907407407407</v>
      </c>
      <c r="C94" s="562" t="s">
        <v>10673</v>
      </c>
      <c r="D94" s="284"/>
      <c r="E94" s="562">
        <v>923444318182</v>
      </c>
      <c r="F94" s="562" t="s">
        <v>6875</v>
      </c>
      <c r="G94" s="562" t="s">
        <v>14297</v>
      </c>
      <c r="H94" s="284"/>
      <c r="I94" s="284"/>
      <c r="J94" s="562" t="s">
        <v>14298</v>
      </c>
      <c r="K94" s="562">
        <v>2.0</v>
      </c>
      <c r="L94" s="284"/>
      <c r="M94" s="284"/>
    </row>
    <row r="95">
      <c r="A95" s="708">
        <v>45971.0</v>
      </c>
      <c r="B95" s="563">
        <v>0.45306712962962964</v>
      </c>
      <c r="C95" s="562" t="s">
        <v>14299</v>
      </c>
      <c r="D95" s="284"/>
      <c r="E95" s="562">
        <v>923453136927</v>
      </c>
      <c r="F95" s="562" t="s">
        <v>6939</v>
      </c>
      <c r="G95" s="562" t="s">
        <v>14300</v>
      </c>
      <c r="H95" s="562" t="s">
        <v>14301</v>
      </c>
      <c r="I95" s="562" t="s">
        <v>14302</v>
      </c>
      <c r="J95" s="562" t="s">
        <v>14296</v>
      </c>
      <c r="K95" s="562">
        <v>4.0</v>
      </c>
      <c r="L95" s="284"/>
      <c r="M95" s="284"/>
    </row>
    <row r="96">
      <c r="A96" s="708">
        <v>45971.0</v>
      </c>
      <c r="B96" s="563">
        <v>0.4533449074074074</v>
      </c>
      <c r="C96" s="562" t="s">
        <v>14303</v>
      </c>
      <c r="D96" s="284"/>
      <c r="E96" s="562">
        <v>923044562336</v>
      </c>
      <c r="F96" s="562" t="s">
        <v>6982</v>
      </c>
      <c r="G96" s="562" t="s">
        <v>14213</v>
      </c>
      <c r="H96" s="562" t="s">
        <v>14304</v>
      </c>
      <c r="I96" s="562" t="s">
        <v>14305</v>
      </c>
      <c r="J96" s="562" t="s">
        <v>14306</v>
      </c>
      <c r="K96" s="562">
        <v>4.0</v>
      </c>
      <c r="L96" s="562" t="s">
        <v>14307</v>
      </c>
      <c r="M96" s="284"/>
    </row>
    <row r="97">
      <c r="A97" s="708">
        <v>45971.0</v>
      </c>
      <c r="B97" s="563">
        <v>0.4538773148148148</v>
      </c>
      <c r="C97" s="562" t="s">
        <v>14308</v>
      </c>
      <c r="D97" s="284"/>
      <c r="E97" s="562">
        <v>923332774545</v>
      </c>
      <c r="F97" s="562" t="s">
        <v>6875</v>
      </c>
      <c r="G97" s="562" t="s">
        <v>14309</v>
      </c>
      <c r="H97" s="562" t="s">
        <v>14310</v>
      </c>
      <c r="I97" s="562" t="s">
        <v>14311</v>
      </c>
      <c r="J97" s="562" t="s">
        <v>14312</v>
      </c>
      <c r="K97" s="562">
        <v>4.0</v>
      </c>
      <c r="L97" s="562" t="s">
        <v>6944</v>
      </c>
      <c r="M97" s="284"/>
    </row>
    <row r="98">
      <c r="A98" s="708">
        <v>45971.0</v>
      </c>
      <c r="B98" s="563">
        <v>0.45405092592592594</v>
      </c>
      <c r="C98" s="562" t="s">
        <v>13664</v>
      </c>
      <c r="D98" s="284"/>
      <c r="E98" s="562">
        <v>923341027964</v>
      </c>
      <c r="F98" s="562" t="s">
        <v>6939</v>
      </c>
      <c r="G98" s="562" t="s">
        <v>14313</v>
      </c>
      <c r="H98" s="562" t="s">
        <v>14314</v>
      </c>
      <c r="I98" s="562" t="s">
        <v>14315</v>
      </c>
      <c r="J98" s="562" t="s">
        <v>14316</v>
      </c>
      <c r="K98" s="562">
        <v>4.0</v>
      </c>
      <c r="L98" s="284"/>
      <c r="M98" s="284"/>
    </row>
    <row r="99">
      <c r="A99" s="708">
        <v>45971.0</v>
      </c>
      <c r="B99" s="563">
        <v>0.45438657407407407</v>
      </c>
      <c r="C99" s="562" t="s">
        <v>14317</v>
      </c>
      <c r="D99" s="284"/>
      <c r="E99" s="562">
        <v>923347608981</v>
      </c>
      <c r="F99" s="562" t="s">
        <v>6875</v>
      </c>
      <c r="G99" s="562" t="s">
        <v>14318</v>
      </c>
      <c r="H99" s="562" t="s">
        <v>14319</v>
      </c>
      <c r="I99" s="562" t="s">
        <v>14295</v>
      </c>
      <c r="J99" s="562" t="s">
        <v>14316</v>
      </c>
      <c r="K99" s="562">
        <v>4.0</v>
      </c>
      <c r="L99" s="562" t="s">
        <v>727</v>
      </c>
      <c r="M99" s="284"/>
    </row>
    <row r="100">
      <c r="A100" s="708">
        <v>45971.0</v>
      </c>
      <c r="B100" s="563">
        <v>0.45458333333333334</v>
      </c>
      <c r="C100" s="562" t="s">
        <v>14320</v>
      </c>
      <c r="D100" s="284"/>
      <c r="E100" s="562">
        <v>923368783712</v>
      </c>
      <c r="F100" s="562" t="s">
        <v>6939</v>
      </c>
      <c r="G100" s="562" t="s">
        <v>14318</v>
      </c>
      <c r="H100" s="562" t="s">
        <v>14321</v>
      </c>
      <c r="I100" s="562" t="s">
        <v>14322</v>
      </c>
      <c r="J100" s="562" t="s">
        <v>14323</v>
      </c>
      <c r="K100" s="562">
        <v>4.0</v>
      </c>
      <c r="L100" s="562" t="s">
        <v>685</v>
      </c>
      <c r="M100" s="284"/>
    </row>
    <row r="101">
      <c r="A101" s="708">
        <v>45971.0</v>
      </c>
      <c r="B101" s="563">
        <v>0.4547453703703704</v>
      </c>
      <c r="C101" s="562" t="s">
        <v>14324</v>
      </c>
      <c r="D101" s="284"/>
      <c r="E101" s="562">
        <v>923002030607</v>
      </c>
      <c r="F101" s="562" t="s">
        <v>6875</v>
      </c>
      <c r="G101" s="284"/>
      <c r="H101" s="284"/>
      <c r="I101" s="562" t="s">
        <v>14325</v>
      </c>
      <c r="J101" s="562" t="s">
        <v>14326</v>
      </c>
      <c r="K101" s="562">
        <v>2.0</v>
      </c>
      <c r="L101" s="562" t="s">
        <v>14327</v>
      </c>
      <c r="M101" s="284"/>
    </row>
    <row r="102">
      <c r="A102" s="708">
        <v>45971.0</v>
      </c>
      <c r="B102" s="563">
        <v>0.4548726851851852</v>
      </c>
      <c r="C102" s="562" t="s">
        <v>14328</v>
      </c>
      <c r="D102" s="284"/>
      <c r="E102" s="562">
        <v>923083922973</v>
      </c>
      <c r="F102" s="562" t="s">
        <v>6875</v>
      </c>
      <c r="G102" s="562" t="s">
        <v>14329</v>
      </c>
      <c r="H102" s="562" t="s">
        <v>14330</v>
      </c>
      <c r="I102" s="562" t="s">
        <v>14331</v>
      </c>
      <c r="J102" s="562" t="s">
        <v>14323</v>
      </c>
      <c r="K102" s="562">
        <v>4.0</v>
      </c>
      <c r="L102" s="284"/>
      <c r="M102" s="284"/>
    </row>
    <row r="103">
      <c r="A103" s="708">
        <v>45971.0</v>
      </c>
      <c r="B103" s="563">
        <v>0.4551851851851852</v>
      </c>
      <c r="C103" s="562" t="s">
        <v>14332</v>
      </c>
      <c r="D103" s="284"/>
      <c r="E103" s="711">
        <v>923126580097</v>
      </c>
      <c r="F103" s="562" t="s">
        <v>6875</v>
      </c>
      <c r="G103" s="562" t="s">
        <v>14333</v>
      </c>
      <c r="H103" s="562" t="s">
        <v>14334</v>
      </c>
      <c r="I103" s="562" t="s">
        <v>14335</v>
      </c>
      <c r="J103" s="562" t="s">
        <v>14323</v>
      </c>
      <c r="K103" s="562">
        <v>4.0</v>
      </c>
      <c r="L103" s="562" t="s">
        <v>14336</v>
      </c>
      <c r="M103" s="284"/>
    </row>
    <row r="104">
      <c r="A104" s="708">
        <v>45971.0</v>
      </c>
      <c r="B104" s="563">
        <v>0.45532407407407405</v>
      </c>
      <c r="C104" s="562" t="s">
        <v>10695</v>
      </c>
      <c r="D104" s="284"/>
      <c r="E104" s="562">
        <v>923134129686</v>
      </c>
      <c r="F104" s="562" t="s">
        <v>6939</v>
      </c>
      <c r="G104" s="562" t="s">
        <v>14337</v>
      </c>
      <c r="H104" s="562" t="s">
        <v>14338</v>
      </c>
      <c r="I104" s="562" t="s">
        <v>14339</v>
      </c>
      <c r="J104" s="562" t="s">
        <v>14323</v>
      </c>
      <c r="K104" s="562">
        <v>4.0</v>
      </c>
      <c r="L104" s="284"/>
      <c r="M104" s="284"/>
    </row>
    <row r="105">
      <c r="A105" s="708">
        <v>45971.0</v>
      </c>
      <c r="B105" s="563">
        <v>0.4555208333333333</v>
      </c>
      <c r="C105" s="562" t="s">
        <v>14340</v>
      </c>
      <c r="D105" s="284"/>
      <c r="E105" s="562">
        <v>923242304549</v>
      </c>
      <c r="F105" s="562" t="s">
        <v>6875</v>
      </c>
      <c r="G105" s="562" t="s">
        <v>14329</v>
      </c>
      <c r="H105" s="562" t="s">
        <v>14341</v>
      </c>
      <c r="I105" s="562" t="s">
        <v>14342</v>
      </c>
      <c r="J105" s="562" t="s">
        <v>14323</v>
      </c>
      <c r="K105" s="562">
        <v>4.0</v>
      </c>
      <c r="L105" s="284"/>
      <c r="M105" s="284"/>
    </row>
    <row r="106">
      <c r="A106" s="708">
        <v>45971.0</v>
      </c>
      <c r="B106" s="563">
        <v>0.4557175925925926</v>
      </c>
      <c r="C106" s="562" t="s">
        <v>14343</v>
      </c>
      <c r="D106" s="284"/>
      <c r="E106" s="562">
        <v>923028478561</v>
      </c>
      <c r="F106" s="562" t="s">
        <v>6875</v>
      </c>
      <c r="G106" s="562" t="s">
        <v>14344</v>
      </c>
      <c r="H106" s="562" t="s">
        <v>14345</v>
      </c>
      <c r="I106" s="562" t="s">
        <v>14346</v>
      </c>
      <c r="J106" s="284"/>
      <c r="K106" s="562">
        <v>3.0</v>
      </c>
      <c r="L106" s="562" t="s">
        <v>14347</v>
      </c>
      <c r="M106" s="284"/>
    </row>
    <row r="107">
      <c r="A107" s="708">
        <v>45971.0</v>
      </c>
      <c r="B107" s="563">
        <v>0.4559375</v>
      </c>
      <c r="C107" s="562" t="s">
        <v>14348</v>
      </c>
      <c r="D107" s="284"/>
      <c r="E107" s="568">
        <v>923101031056</v>
      </c>
      <c r="F107" s="562" t="s">
        <v>656</v>
      </c>
      <c r="G107" s="562" t="s">
        <v>14344</v>
      </c>
      <c r="H107" s="562" t="s">
        <v>14349</v>
      </c>
      <c r="I107" s="562" t="s">
        <v>14350</v>
      </c>
      <c r="J107" s="562" t="s">
        <v>14351</v>
      </c>
      <c r="K107" s="562">
        <v>4.0</v>
      </c>
      <c r="L107" s="562" t="s">
        <v>927</v>
      </c>
      <c r="M107" s="284"/>
    </row>
    <row r="108">
      <c r="A108" s="708">
        <v>45971.0</v>
      </c>
      <c r="B108" s="563">
        <v>0.4561689814814815</v>
      </c>
      <c r="C108" s="562" t="s">
        <v>14352</v>
      </c>
      <c r="D108" s="284"/>
      <c r="E108" s="562">
        <v>923213574144</v>
      </c>
      <c r="F108" s="562" t="s">
        <v>6875</v>
      </c>
      <c r="G108" s="562" t="s">
        <v>14213</v>
      </c>
      <c r="H108" s="562" t="s">
        <v>14353</v>
      </c>
      <c r="I108" s="562" t="s">
        <v>14354</v>
      </c>
      <c r="J108" s="562" t="s">
        <v>14355</v>
      </c>
      <c r="K108" s="562">
        <v>4.0</v>
      </c>
      <c r="L108" s="562" t="s">
        <v>14356</v>
      </c>
      <c r="M108" s="284"/>
    </row>
    <row r="109">
      <c r="A109" s="708">
        <v>45971.0</v>
      </c>
      <c r="B109" s="563">
        <v>0.4563425925925926</v>
      </c>
      <c r="C109" s="562" t="s">
        <v>14357</v>
      </c>
      <c r="D109" s="284"/>
      <c r="E109" s="562">
        <v>923453031535</v>
      </c>
      <c r="F109" s="562" t="s">
        <v>6939</v>
      </c>
      <c r="G109" s="562" t="s">
        <v>14344</v>
      </c>
      <c r="H109" s="562" t="s">
        <v>14358</v>
      </c>
      <c r="I109" s="562" t="s">
        <v>14359</v>
      </c>
      <c r="J109" s="562" t="s">
        <v>14360</v>
      </c>
      <c r="K109" s="562">
        <v>4.0</v>
      </c>
      <c r="L109" s="284"/>
      <c r="M109" s="284"/>
    </row>
    <row r="110">
      <c r="A110" s="708">
        <v>45971.0</v>
      </c>
      <c r="B110" s="563">
        <v>0.4565162037037037</v>
      </c>
      <c r="C110" s="562" t="s">
        <v>14361</v>
      </c>
      <c r="D110" s="284"/>
      <c r="E110" s="562">
        <v>923457953969</v>
      </c>
      <c r="F110" s="562" t="s">
        <v>6875</v>
      </c>
      <c r="G110" s="562" t="s">
        <v>14362</v>
      </c>
      <c r="H110" s="562" t="s">
        <v>14363</v>
      </c>
      <c r="I110" s="562" t="s">
        <v>14364</v>
      </c>
      <c r="J110" s="562" t="s">
        <v>14365</v>
      </c>
      <c r="K110" s="562">
        <v>4.0</v>
      </c>
      <c r="L110" s="562" t="s">
        <v>685</v>
      </c>
      <c r="M110" s="284"/>
    </row>
    <row r="111">
      <c r="A111" s="708">
        <v>45971.0</v>
      </c>
      <c r="B111" s="563">
        <v>0.5801157407407408</v>
      </c>
      <c r="C111" s="562" t="s">
        <v>14366</v>
      </c>
      <c r="D111" s="284"/>
      <c r="E111" s="562">
        <v>923222352969</v>
      </c>
      <c r="F111" s="562" t="s">
        <v>6888</v>
      </c>
      <c r="G111" s="284"/>
      <c r="H111" s="562" t="s">
        <v>14367</v>
      </c>
      <c r="I111" s="562" t="s">
        <v>14368</v>
      </c>
      <c r="J111" s="562" t="s">
        <v>14369</v>
      </c>
      <c r="K111" s="562">
        <v>3.0</v>
      </c>
      <c r="L111" s="562" t="s">
        <v>14370</v>
      </c>
      <c r="M111" s="284"/>
    </row>
    <row r="112">
      <c r="A112" s="708">
        <v>45971.0</v>
      </c>
      <c r="B112" s="563">
        <v>0.5834143518518519</v>
      </c>
      <c r="C112" s="562" t="s">
        <v>14371</v>
      </c>
      <c r="D112" s="284"/>
      <c r="E112" s="562">
        <v>923337619107</v>
      </c>
      <c r="F112" s="562" t="s">
        <v>6875</v>
      </c>
      <c r="G112" s="284"/>
      <c r="H112" s="562" t="s">
        <v>14372</v>
      </c>
      <c r="I112" s="562" t="s">
        <v>14373</v>
      </c>
      <c r="J112" s="562" t="s">
        <v>14374</v>
      </c>
      <c r="K112" s="562">
        <v>3.0</v>
      </c>
      <c r="L112" s="562" t="s">
        <v>14375</v>
      </c>
      <c r="M112" s="284"/>
    </row>
    <row r="113">
      <c r="A113" s="708">
        <v>45971.0</v>
      </c>
      <c r="B113" s="563">
        <v>0.583587962962963</v>
      </c>
      <c r="C113" s="562" t="s">
        <v>10709</v>
      </c>
      <c r="D113" s="284"/>
      <c r="E113" s="562">
        <v>923029254388</v>
      </c>
      <c r="F113" s="562" t="s">
        <v>6875</v>
      </c>
      <c r="G113" s="562" t="s">
        <v>14362</v>
      </c>
      <c r="H113" s="562" t="s">
        <v>14376</v>
      </c>
      <c r="I113" s="562" t="s">
        <v>14377</v>
      </c>
      <c r="J113" s="562" t="s">
        <v>14378</v>
      </c>
      <c r="K113" s="562">
        <v>4.0</v>
      </c>
      <c r="L113" s="284"/>
      <c r="M113" s="284"/>
    </row>
    <row r="114">
      <c r="A114" s="708">
        <v>45971.0</v>
      </c>
      <c r="B114" s="563">
        <v>0.6214930555555556</v>
      </c>
      <c r="C114" s="562" t="s">
        <v>14379</v>
      </c>
      <c r="D114" s="284"/>
      <c r="E114" s="562">
        <v>923039507889</v>
      </c>
      <c r="F114" s="562" t="s">
        <v>6939</v>
      </c>
      <c r="G114" s="562" t="s">
        <v>14362</v>
      </c>
      <c r="H114" s="562" t="s">
        <v>14380</v>
      </c>
      <c r="I114" s="562" t="s">
        <v>14381</v>
      </c>
      <c r="J114" s="562" t="s">
        <v>14382</v>
      </c>
      <c r="K114" s="562">
        <v>4.0</v>
      </c>
      <c r="L114" s="284"/>
      <c r="M114" s="284"/>
    </row>
    <row r="115">
      <c r="A115" s="708">
        <v>45971.0</v>
      </c>
      <c r="B115" s="563">
        <v>0.6576273148148148</v>
      </c>
      <c r="C115" s="562" t="s">
        <v>10712</v>
      </c>
      <c r="D115" s="284"/>
      <c r="E115" s="562">
        <v>923221503340</v>
      </c>
      <c r="F115" s="562" t="s">
        <v>6939</v>
      </c>
      <c r="G115" s="562" t="s">
        <v>14362</v>
      </c>
      <c r="H115" s="562" t="s">
        <v>14383</v>
      </c>
      <c r="I115" s="562" t="s">
        <v>14384</v>
      </c>
      <c r="J115" s="562" t="s">
        <v>14385</v>
      </c>
      <c r="K115" s="562">
        <v>4.0</v>
      </c>
      <c r="L115" s="284"/>
      <c r="M115" s="284"/>
    </row>
    <row r="116">
      <c r="A116" s="708">
        <v>45971.0</v>
      </c>
      <c r="B116" s="563">
        <v>0.6580208333333334</v>
      </c>
      <c r="C116" s="562" t="s">
        <v>14386</v>
      </c>
      <c r="D116" s="284"/>
      <c r="E116" s="562">
        <v>923404762100</v>
      </c>
      <c r="F116" s="562" t="s">
        <v>6939</v>
      </c>
      <c r="G116" s="562" t="s">
        <v>14362</v>
      </c>
      <c r="H116" s="562" t="s">
        <v>14387</v>
      </c>
      <c r="I116" s="562" t="s">
        <v>14388</v>
      </c>
      <c r="J116" s="562" t="s">
        <v>14385</v>
      </c>
      <c r="K116" s="562">
        <v>4.0</v>
      </c>
      <c r="L116" s="284"/>
      <c r="M116" s="284"/>
    </row>
    <row r="117">
      <c r="A117" s="708">
        <v>45971.0</v>
      </c>
      <c r="B117" s="563">
        <v>0.6581712962962963</v>
      </c>
      <c r="C117" s="562" t="s">
        <v>14389</v>
      </c>
      <c r="D117" s="284"/>
      <c r="E117" s="562">
        <v>923424478947</v>
      </c>
      <c r="F117" s="562" t="s">
        <v>6875</v>
      </c>
      <c r="G117" s="284"/>
      <c r="H117" s="562" t="s">
        <v>14390</v>
      </c>
      <c r="I117" s="562" t="s">
        <v>14391</v>
      </c>
      <c r="J117" s="284"/>
      <c r="K117" s="562">
        <v>2.0</v>
      </c>
      <c r="L117" s="562" t="s">
        <v>152</v>
      </c>
      <c r="M117" s="284"/>
    </row>
    <row r="118">
      <c r="A118" s="708">
        <v>45971.0</v>
      </c>
      <c r="B118" s="563">
        <v>0.6833564814814815</v>
      </c>
      <c r="C118" s="562" t="s">
        <v>6977</v>
      </c>
      <c r="D118" s="284"/>
      <c r="E118" s="562">
        <v>923132466323</v>
      </c>
      <c r="F118" s="562" t="s">
        <v>6939</v>
      </c>
      <c r="G118" s="562" t="s">
        <v>14362</v>
      </c>
      <c r="H118" s="562" t="s">
        <v>14392</v>
      </c>
      <c r="I118" s="562" t="s">
        <v>14393</v>
      </c>
      <c r="J118" s="562" t="s">
        <v>14385</v>
      </c>
      <c r="K118" s="562">
        <v>4.0</v>
      </c>
      <c r="L118" s="562" t="s">
        <v>6944</v>
      </c>
      <c r="M118" s="284"/>
    </row>
    <row r="119">
      <c r="A119" s="708">
        <v>45971.0</v>
      </c>
      <c r="B119" s="563">
        <v>0.7267708333333334</v>
      </c>
      <c r="C119" s="562" t="s">
        <v>11659</v>
      </c>
      <c r="D119" s="284"/>
      <c r="E119" s="562">
        <v>923435041979</v>
      </c>
      <c r="F119" s="562" t="s">
        <v>6939</v>
      </c>
      <c r="G119" s="562" t="s">
        <v>14362</v>
      </c>
      <c r="H119" s="562" t="s">
        <v>14394</v>
      </c>
      <c r="I119" s="562" t="s">
        <v>14395</v>
      </c>
      <c r="J119" s="562" t="s">
        <v>14396</v>
      </c>
      <c r="K119" s="562">
        <v>4.0</v>
      </c>
      <c r="L119" s="284"/>
      <c r="M119" s="284"/>
    </row>
    <row r="120">
      <c r="A120" s="568" t="s">
        <v>14397</v>
      </c>
      <c r="B120" s="569">
        <v>0.4342476851851852</v>
      </c>
      <c r="C120" s="568" t="s">
        <v>14398</v>
      </c>
      <c r="D120" s="570"/>
      <c r="E120" s="568">
        <v>923009860899</v>
      </c>
      <c r="F120" s="562" t="s">
        <v>6875</v>
      </c>
      <c r="G120" s="562" t="s">
        <v>14399</v>
      </c>
      <c r="H120" s="568" t="s">
        <v>14400</v>
      </c>
      <c r="I120" s="562" t="s">
        <v>14401</v>
      </c>
      <c r="J120" s="568" t="s">
        <v>14402</v>
      </c>
      <c r="K120" s="568">
        <v>2.0</v>
      </c>
      <c r="L120" s="568" t="s">
        <v>14403</v>
      </c>
      <c r="M120" s="284"/>
    </row>
    <row r="121">
      <c r="A121" s="562" t="s">
        <v>14397</v>
      </c>
      <c r="B121" s="563">
        <v>0.43438657407407405</v>
      </c>
      <c r="C121" s="562" t="s">
        <v>14404</v>
      </c>
      <c r="D121" s="284"/>
      <c r="E121" s="562">
        <v>923345757165</v>
      </c>
      <c r="F121" s="562" t="s">
        <v>6875</v>
      </c>
      <c r="G121" s="562" t="s">
        <v>14329</v>
      </c>
      <c r="H121" s="562" t="s">
        <v>14405</v>
      </c>
      <c r="I121" s="284"/>
      <c r="J121" s="284"/>
      <c r="K121" s="562">
        <v>2.0</v>
      </c>
      <c r="L121" s="562" t="s">
        <v>14406</v>
      </c>
      <c r="M121" s="284"/>
    </row>
    <row r="122">
      <c r="A122" s="562" t="s">
        <v>14397</v>
      </c>
      <c r="B122" s="563">
        <v>0.43502314814814813</v>
      </c>
      <c r="C122" s="562" t="s">
        <v>14407</v>
      </c>
      <c r="D122" s="562" t="s">
        <v>6886</v>
      </c>
      <c r="E122" s="566" t="s">
        <v>14408</v>
      </c>
      <c r="F122" s="562" t="s">
        <v>6875</v>
      </c>
      <c r="G122" s="284"/>
      <c r="H122" s="562" t="s">
        <v>14409</v>
      </c>
      <c r="I122" s="284"/>
      <c r="J122" s="284"/>
      <c r="K122" s="562">
        <v>1.0</v>
      </c>
      <c r="L122" s="562" t="s">
        <v>372</v>
      </c>
      <c r="M122" s="284"/>
    </row>
    <row r="123">
      <c r="A123" s="562" t="s">
        <v>14397</v>
      </c>
      <c r="B123" s="563">
        <v>0.4359722222222222</v>
      </c>
      <c r="C123" s="562" t="s">
        <v>14410</v>
      </c>
      <c r="D123" s="284"/>
      <c r="E123" s="562">
        <v>923061668839</v>
      </c>
      <c r="F123" s="562" t="s">
        <v>6939</v>
      </c>
      <c r="G123" s="562" t="s">
        <v>14289</v>
      </c>
      <c r="H123" s="562" t="s">
        <v>14411</v>
      </c>
      <c r="I123" s="562" t="s">
        <v>14412</v>
      </c>
      <c r="J123" s="562" t="s">
        <v>14396</v>
      </c>
      <c r="K123" s="562">
        <v>4.0</v>
      </c>
      <c r="L123" s="284"/>
      <c r="M123" s="284"/>
    </row>
    <row r="124">
      <c r="A124" s="562" t="s">
        <v>14397</v>
      </c>
      <c r="B124" s="563">
        <v>0.436099537037037</v>
      </c>
      <c r="C124" s="562" t="s">
        <v>14413</v>
      </c>
      <c r="D124" s="284"/>
      <c r="E124" s="562">
        <v>923482811437</v>
      </c>
      <c r="F124" s="562" t="s">
        <v>6875</v>
      </c>
      <c r="G124" s="562" t="s">
        <v>14289</v>
      </c>
      <c r="H124" s="562" t="s">
        <v>14414</v>
      </c>
      <c r="I124" s="562" t="s">
        <v>14401</v>
      </c>
      <c r="J124" s="562" t="s">
        <v>14415</v>
      </c>
      <c r="K124" s="562">
        <v>4.0</v>
      </c>
      <c r="L124" s="562" t="s">
        <v>6944</v>
      </c>
      <c r="M124" s="284"/>
    </row>
    <row r="125">
      <c r="A125" s="562" t="s">
        <v>14397</v>
      </c>
      <c r="B125" s="563">
        <v>0.4362152777777778</v>
      </c>
      <c r="C125" s="562" t="s">
        <v>14416</v>
      </c>
      <c r="D125" s="284"/>
      <c r="E125" s="562">
        <v>923012785868</v>
      </c>
      <c r="F125" s="562" t="s">
        <v>6875</v>
      </c>
      <c r="G125" s="284"/>
      <c r="H125" s="562" t="s">
        <v>14417</v>
      </c>
      <c r="I125" s="284"/>
      <c r="J125" s="284"/>
      <c r="K125" s="562">
        <v>1.0</v>
      </c>
      <c r="L125" s="562" t="s">
        <v>372</v>
      </c>
      <c r="M125" s="284"/>
    </row>
    <row r="126">
      <c r="A126" s="562" t="s">
        <v>14397</v>
      </c>
      <c r="B126" s="563">
        <v>0.4365277777777778</v>
      </c>
      <c r="C126" s="562" t="s">
        <v>5066</v>
      </c>
      <c r="D126" s="284"/>
      <c r="E126" s="562">
        <v>923052286322</v>
      </c>
      <c r="F126" s="562" t="s">
        <v>6875</v>
      </c>
      <c r="G126" s="562" t="s">
        <v>14289</v>
      </c>
      <c r="H126" s="562" t="s">
        <v>14418</v>
      </c>
      <c r="I126" s="562" t="s">
        <v>14401</v>
      </c>
      <c r="J126" s="562" t="s">
        <v>14419</v>
      </c>
      <c r="K126" s="562">
        <v>4.0</v>
      </c>
      <c r="L126" s="562" t="s">
        <v>51</v>
      </c>
      <c r="M126" s="284"/>
    </row>
    <row r="127">
      <c r="A127" s="562" t="s">
        <v>14397</v>
      </c>
      <c r="B127" s="563">
        <v>0.4366319444444444</v>
      </c>
      <c r="C127" s="562" t="s">
        <v>14420</v>
      </c>
      <c r="D127" s="284"/>
      <c r="E127" s="562">
        <v>923218004868</v>
      </c>
      <c r="F127" s="562" t="s">
        <v>6875</v>
      </c>
      <c r="G127" s="284"/>
      <c r="H127" s="562" t="s">
        <v>14421</v>
      </c>
      <c r="I127" s="562" t="s">
        <v>14422</v>
      </c>
      <c r="J127" s="562" t="s">
        <v>14423</v>
      </c>
      <c r="K127" s="562">
        <v>3.0</v>
      </c>
      <c r="L127" s="562" t="s">
        <v>51</v>
      </c>
      <c r="M127" s="284"/>
    </row>
    <row r="128">
      <c r="A128" s="562" t="s">
        <v>14397</v>
      </c>
      <c r="B128" s="563">
        <v>0.4367476851851852</v>
      </c>
      <c r="C128" s="562" t="s">
        <v>14424</v>
      </c>
      <c r="D128" s="284"/>
      <c r="E128" s="562">
        <v>923350541660</v>
      </c>
      <c r="F128" s="562" t="s">
        <v>6875</v>
      </c>
      <c r="G128" s="562" t="s">
        <v>14289</v>
      </c>
      <c r="H128" s="562" t="s">
        <v>14425</v>
      </c>
      <c r="I128" s="562" t="s">
        <v>14426</v>
      </c>
      <c r="J128" s="562" t="s">
        <v>14427</v>
      </c>
      <c r="K128" s="562">
        <v>4.0</v>
      </c>
      <c r="L128" s="562" t="s">
        <v>14428</v>
      </c>
      <c r="M128" s="284"/>
    </row>
    <row r="129">
      <c r="A129" s="562" t="s">
        <v>14397</v>
      </c>
      <c r="B129" s="563">
        <v>0.4368634259259259</v>
      </c>
      <c r="C129" s="562" t="s">
        <v>14429</v>
      </c>
      <c r="D129" s="284"/>
      <c r="E129" s="562">
        <v>923702816367</v>
      </c>
      <c r="F129" s="562" t="s">
        <v>6875</v>
      </c>
      <c r="G129" s="562" t="s">
        <v>14289</v>
      </c>
      <c r="H129" s="562" t="s">
        <v>14430</v>
      </c>
      <c r="I129" s="562" t="s">
        <v>14426</v>
      </c>
      <c r="J129" s="562" t="s">
        <v>14431</v>
      </c>
      <c r="K129" s="562">
        <v>4.0</v>
      </c>
      <c r="L129" s="562" t="s">
        <v>13578</v>
      </c>
      <c r="M129" s="284"/>
    </row>
    <row r="130">
      <c r="A130" s="562" t="s">
        <v>14397</v>
      </c>
      <c r="B130" s="563">
        <v>0.4370486111111111</v>
      </c>
      <c r="C130" s="562" t="s">
        <v>14432</v>
      </c>
      <c r="D130" s="284"/>
      <c r="E130" s="562">
        <v>923002267361</v>
      </c>
      <c r="F130" s="562" t="s">
        <v>6875</v>
      </c>
      <c r="G130" s="562" t="s">
        <v>14289</v>
      </c>
      <c r="H130" s="562" t="s">
        <v>14433</v>
      </c>
      <c r="I130" s="562" t="s">
        <v>14426</v>
      </c>
      <c r="J130" s="562" t="s">
        <v>14434</v>
      </c>
      <c r="K130" s="562">
        <v>4.0</v>
      </c>
      <c r="L130" s="562" t="s">
        <v>51</v>
      </c>
      <c r="M130" s="284"/>
    </row>
    <row r="131">
      <c r="A131" s="562" t="s">
        <v>14397</v>
      </c>
      <c r="B131" s="563">
        <v>0.4371527777777778</v>
      </c>
      <c r="C131" s="562" t="s">
        <v>14435</v>
      </c>
      <c r="D131" s="284"/>
      <c r="E131" s="562">
        <v>923121007585</v>
      </c>
      <c r="F131" s="562" t="s">
        <v>6875</v>
      </c>
      <c r="G131" s="562" t="s">
        <v>14289</v>
      </c>
      <c r="H131" s="562" t="s">
        <v>14436</v>
      </c>
      <c r="I131" s="562" t="s">
        <v>14426</v>
      </c>
      <c r="J131" s="562" t="s">
        <v>14437</v>
      </c>
      <c r="K131" s="562">
        <v>4.0</v>
      </c>
      <c r="L131" s="562" t="s">
        <v>14438</v>
      </c>
      <c r="M131" s="284"/>
    </row>
    <row r="132">
      <c r="A132" s="562" t="s">
        <v>14397</v>
      </c>
      <c r="B132" s="563">
        <v>0.4372685185185185</v>
      </c>
      <c r="C132" s="562" t="s">
        <v>4205</v>
      </c>
      <c r="D132" s="562" t="s">
        <v>6886</v>
      </c>
      <c r="E132" s="566" t="s">
        <v>14439</v>
      </c>
      <c r="F132" s="562" t="s">
        <v>6939</v>
      </c>
      <c r="G132" s="562" t="s">
        <v>14289</v>
      </c>
      <c r="H132" s="562" t="s">
        <v>14440</v>
      </c>
      <c r="I132" s="562" t="s">
        <v>14426</v>
      </c>
      <c r="J132" s="562" t="s">
        <v>14441</v>
      </c>
      <c r="K132" s="562">
        <v>4.0</v>
      </c>
      <c r="L132" s="562" t="s">
        <v>14442</v>
      </c>
      <c r="M132" s="284"/>
    </row>
    <row r="133">
      <c r="A133" s="562" t="s">
        <v>14397</v>
      </c>
      <c r="B133" s="563">
        <v>0.4373611111111111</v>
      </c>
      <c r="C133" s="562" t="s">
        <v>14443</v>
      </c>
      <c r="D133" s="284"/>
      <c r="E133" s="562">
        <v>923172321260</v>
      </c>
      <c r="F133" s="562" t="s">
        <v>6939</v>
      </c>
      <c r="G133" s="562" t="s">
        <v>14289</v>
      </c>
      <c r="H133" s="562" t="s">
        <v>14444</v>
      </c>
      <c r="I133" s="562" t="s">
        <v>14445</v>
      </c>
      <c r="J133" s="562" t="s">
        <v>14446</v>
      </c>
      <c r="K133" s="562">
        <v>4.0</v>
      </c>
      <c r="L133" s="562" t="s">
        <v>685</v>
      </c>
      <c r="M133" s="284"/>
    </row>
    <row r="134">
      <c r="A134" s="562" t="s">
        <v>14397</v>
      </c>
      <c r="B134" s="563">
        <v>0.43775462962962963</v>
      </c>
      <c r="C134" s="562" t="s">
        <v>14447</v>
      </c>
      <c r="D134" s="284"/>
      <c r="E134" s="562">
        <v>923103747121</v>
      </c>
      <c r="F134" s="562" t="s">
        <v>6939</v>
      </c>
      <c r="G134" s="562" t="s">
        <v>14289</v>
      </c>
      <c r="H134" s="562" t="s">
        <v>14448</v>
      </c>
      <c r="I134" s="562" t="s">
        <v>14426</v>
      </c>
      <c r="J134" s="562" t="s">
        <v>14449</v>
      </c>
      <c r="K134" s="562">
        <v>4.0</v>
      </c>
      <c r="L134" s="562" t="s">
        <v>6944</v>
      </c>
      <c r="M134" s="284"/>
    </row>
    <row r="135">
      <c r="A135" s="562" t="s">
        <v>14397</v>
      </c>
      <c r="B135" s="563">
        <v>0.4378472222222222</v>
      </c>
      <c r="C135" s="562" t="s">
        <v>14450</v>
      </c>
      <c r="D135" s="562" t="s">
        <v>6886</v>
      </c>
      <c r="E135" s="566" t="s">
        <v>14451</v>
      </c>
      <c r="F135" s="562" t="s">
        <v>6875</v>
      </c>
      <c r="G135" s="562" t="s">
        <v>14289</v>
      </c>
      <c r="H135" s="562" t="s">
        <v>14452</v>
      </c>
      <c r="I135" s="562" t="s">
        <v>14426</v>
      </c>
      <c r="J135" s="562" t="s">
        <v>14453</v>
      </c>
      <c r="K135" s="562">
        <v>4.0</v>
      </c>
      <c r="L135" s="562" t="s">
        <v>372</v>
      </c>
      <c r="M135" s="284"/>
    </row>
    <row r="136">
      <c r="A136" s="562" t="s">
        <v>14397</v>
      </c>
      <c r="B136" s="563">
        <v>0.4441435185185185</v>
      </c>
      <c r="C136" s="562" t="s">
        <v>14454</v>
      </c>
      <c r="D136" s="284"/>
      <c r="E136" s="562">
        <v>923314468614</v>
      </c>
      <c r="F136" s="562" t="s">
        <v>6939</v>
      </c>
      <c r="G136" s="562" t="s">
        <v>14289</v>
      </c>
      <c r="H136" s="562" t="s">
        <v>14455</v>
      </c>
      <c r="I136" s="562" t="s">
        <v>14426</v>
      </c>
      <c r="J136" s="562" t="s">
        <v>14446</v>
      </c>
      <c r="K136" s="562">
        <v>4.0</v>
      </c>
      <c r="L136" s="284"/>
      <c r="M136" s="284"/>
    </row>
    <row r="137">
      <c r="A137" s="562" t="s">
        <v>14397</v>
      </c>
      <c r="B137" s="563">
        <v>0.4448726851851852</v>
      </c>
      <c r="C137" s="562" t="s">
        <v>14456</v>
      </c>
      <c r="D137" s="284"/>
      <c r="E137" s="562">
        <v>923073427833</v>
      </c>
      <c r="F137" s="562" t="s">
        <v>6939</v>
      </c>
      <c r="G137" s="562" t="s">
        <v>14289</v>
      </c>
      <c r="H137" s="562" t="s">
        <v>14457</v>
      </c>
      <c r="I137" s="562" t="s">
        <v>14458</v>
      </c>
      <c r="J137" s="562" t="s">
        <v>14446</v>
      </c>
      <c r="K137" s="562">
        <v>4.0</v>
      </c>
      <c r="L137" s="562" t="s">
        <v>6944</v>
      </c>
      <c r="M137" s="284"/>
    </row>
    <row r="138">
      <c r="A138" s="562" t="s">
        <v>14397</v>
      </c>
      <c r="B138" s="563">
        <v>0.4449652777777778</v>
      </c>
      <c r="C138" s="562" t="s">
        <v>10807</v>
      </c>
      <c r="D138" s="284"/>
      <c r="E138" s="562">
        <v>923394020841</v>
      </c>
      <c r="F138" s="562" t="s">
        <v>6875</v>
      </c>
      <c r="G138" s="284"/>
      <c r="H138" s="562" t="s">
        <v>14459</v>
      </c>
      <c r="I138" s="284"/>
      <c r="J138" s="562" t="s">
        <v>14460</v>
      </c>
      <c r="K138" s="562">
        <v>2.0</v>
      </c>
      <c r="L138" s="562" t="s">
        <v>6944</v>
      </c>
      <c r="M138" s="284"/>
    </row>
    <row r="139">
      <c r="A139" s="562" t="s">
        <v>14397</v>
      </c>
      <c r="B139" s="563">
        <v>0.44528935185185187</v>
      </c>
      <c r="C139" s="562" t="s">
        <v>14461</v>
      </c>
      <c r="D139" s="284"/>
      <c r="E139" s="562">
        <v>923244937345</v>
      </c>
      <c r="F139" s="562" t="s">
        <v>6875</v>
      </c>
      <c r="G139" s="284"/>
      <c r="H139" s="562" t="s">
        <v>14462</v>
      </c>
      <c r="I139" s="562" t="s">
        <v>14463</v>
      </c>
      <c r="J139" s="562" t="s">
        <v>14464</v>
      </c>
      <c r="K139" s="562">
        <v>3.0</v>
      </c>
      <c r="L139" s="562" t="s">
        <v>14465</v>
      </c>
      <c r="M139" s="284"/>
    </row>
    <row r="140">
      <c r="A140" s="562" t="s">
        <v>14397</v>
      </c>
      <c r="B140" s="563">
        <v>0.4455208333333333</v>
      </c>
      <c r="C140" s="562" t="s">
        <v>14466</v>
      </c>
      <c r="D140" s="284"/>
      <c r="E140" s="562">
        <v>923104278601</v>
      </c>
      <c r="F140" s="562" t="s">
        <v>6939</v>
      </c>
      <c r="G140" s="562" t="s">
        <v>14289</v>
      </c>
      <c r="H140" s="562" t="s">
        <v>14467</v>
      </c>
      <c r="I140" s="562" t="s">
        <v>14468</v>
      </c>
      <c r="J140" s="562" t="s">
        <v>14446</v>
      </c>
      <c r="K140" s="562">
        <v>4.0</v>
      </c>
      <c r="L140" s="284"/>
      <c r="M140" s="284"/>
    </row>
    <row r="141">
      <c r="A141" s="568" t="s">
        <v>14397</v>
      </c>
      <c r="B141" s="569">
        <v>0.4457291666666667</v>
      </c>
      <c r="C141" s="562" t="s">
        <v>14469</v>
      </c>
      <c r="D141" s="570"/>
      <c r="E141" s="568">
        <v>923453196174</v>
      </c>
      <c r="F141" s="562" t="s">
        <v>6875</v>
      </c>
      <c r="G141" s="562" t="s">
        <v>14289</v>
      </c>
      <c r="H141" s="562" t="s">
        <v>14470</v>
      </c>
      <c r="I141" s="568" t="s">
        <v>14471</v>
      </c>
      <c r="J141" s="568" t="s">
        <v>14472</v>
      </c>
      <c r="K141" s="562">
        <v>4.0</v>
      </c>
      <c r="L141" s="568" t="s">
        <v>685</v>
      </c>
      <c r="M141" s="284"/>
    </row>
    <row r="142">
      <c r="A142" s="562" t="s">
        <v>14397</v>
      </c>
      <c r="B142" s="563">
        <v>0.4471412037037037</v>
      </c>
      <c r="C142" s="562" t="s">
        <v>14473</v>
      </c>
      <c r="D142" s="284"/>
      <c r="E142" s="562">
        <v>923072885255</v>
      </c>
      <c r="F142" s="562" t="s">
        <v>6875</v>
      </c>
      <c r="G142" s="284"/>
      <c r="H142" s="284"/>
      <c r="I142" s="562" t="s">
        <v>14474</v>
      </c>
      <c r="J142" s="562" t="s">
        <v>14475</v>
      </c>
      <c r="K142" s="562">
        <v>2.0</v>
      </c>
      <c r="L142" s="562" t="s">
        <v>5401</v>
      </c>
      <c r="M142" s="284"/>
    </row>
    <row r="143">
      <c r="A143" s="562" t="s">
        <v>14397</v>
      </c>
      <c r="B143" s="563">
        <v>0.44731481481481483</v>
      </c>
      <c r="C143" s="562" t="s">
        <v>14476</v>
      </c>
      <c r="D143" s="284"/>
      <c r="E143" s="562">
        <v>923143611167</v>
      </c>
      <c r="F143" s="562" t="s">
        <v>6875</v>
      </c>
      <c r="G143" s="284"/>
      <c r="H143" s="284"/>
      <c r="I143" s="562" t="s">
        <v>14477</v>
      </c>
      <c r="J143" s="284"/>
      <c r="K143" s="562">
        <v>1.0</v>
      </c>
      <c r="L143" s="562" t="s">
        <v>372</v>
      </c>
      <c r="M143" s="284"/>
    </row>
    <row r="144">
      <c r="A144" s="562" t="s">
        <v>14397</v>
      </c>
      <c r="B144" s="563">
        <v>0.44741898148148146</v>
      </c>
      <c r="C144" s="562" t="s">
        <v>7041</v>
      </c>
      <c r="D144" s="284"/>
      <c r="E144" s="562">
        <v>923312769942</v>
      </c>
      <c r="F144" s="562" t="s">
        <v>7291</v>
      </c>
      <c r="G144" s="562" t="s">
        <v>14289</v>
      </c>
      <c r="H144" s="562" t="s">
        <v>14478</v>
      </c>
      <c r="I144" s="562" t="s">
        <v>14479</v>
      </c>
      <c r="J144" s="562" t="s">
        <v>14446</v>
      </c>
      <c r="K144" s="562">
        <v>4.0</v>
      </c>
      <c r="L144" s="562" t="s">
        <v>6944</v>
      </c>
      <c r="M144" s="284"/>
    </row>
    <row r="145">
      <c r="A145" s="562" t="s">
        <v>14397</v>
      </c>
      <c r="B145" s="563">
        <v>0.44751157407407405</v>
      </c>
      <c r="C145" s="562" t="s">
        <v>14480</v>
      </c>
      <c r="D145" s="562" t="s">
        <v>7725</v>
      </c>
      <c r="E145" s="566" t="s">
        <v>14481</v>
      </c>
      <c r="F145" s="562" t="s">
        <v>6875</v>
      </c>
      <c r="G145" s="562" t="s">
        <v>14482</v>
      </c>
      <c r="H145" s="562" t="s">
        <v>14483</v>
      </c>
      <c r="I145" s="562" t="s">
        <v>14484</v>
      </c>
      <c r="J145" s="562" t="s">
        <v>14485</v>
      </c>
      <c r="K145" s="562">
        <v>4.0</v>
      </c>
      <c r="L145" s="284"/>
      <c r="M145" s="284"/>
    </row>
    <row r="146">
      <c r="A146" s="562" t="s">
        <v>14397</v>
      </c>
      <c r="B146" s="563">
        <v>0.44761574074074073</v>
      </c>
      <c r="C146" s="562" t="s">
        <v>14486</v>
      </c>
      <c r="D146" s="284"/>
      <c r="E146" s="562">
        <v>923349735043</v>
      </c>
      <c r="F146" s="562" t="s">
        <v>6875</v>
      </c>
      <c r="G146" s="284"/>
      <c r="H146" s="562" t="s">
        <v>14487</v>
      </c>
      <c r="I146" s="562" t="s">
        <v>14488</v>
      </c>
      <c r="J146" s="562" t="s">
        <v>14489</v>
      </c>
      <c r="K146" s="562">
        <v>3.0</v>
      </c>
      <c r="L146" s="562" t="s">
        <v>14490</v>
      </c>
      <c r="M146" s="284"/>
    </row>
    <row r="147">
      <c r="A147" s="562" t="s">
        <v>14397</v>
      </c>
      <c r="B147" s="563">
        <v>0.4479282407407407</v>
      </c>
      <c r="C147" s="562" t="s">
        <v>14491</v>
      </c>
      <c r="D147" s="284"/>
      <c r="E147" s="562">
        <v>923218918582</v>
      </c>
      <c r="F147" s="562" t="s">
        <v>6875</v>
      </c>
      <c r="G147" s="562" t="s">
        <v>14289</v>
      </c>
      <c r="H147" s="562" t="s">
        <v>14492</v>
      </c>
      <c r="I147" s="562" t="s">
        <v>14493</v>
      </c>
      <c r="J147" s="562" t="s">
        <v>14494</v>
      </c>
      <c r="K147" s="562">
        <v>4.0</v>
      </c>
      <c r="L147" s="562" t="s">
        <v>685</v>
      </c>
      <c r="M147" s="284"/>
    </row>
    <row r="148">
      <c r="A148" s="562" t="s">
        <v>14397</v>
      </c>
      <c r="B148" s="563">
        <v>0.4480324074074074</v>
      </c>
      <c r="C148" s="562" t="s">
        <v>14495</v>
      </c>
      <c r="D148" s="284"/>
      <c r="E148" s="562">
        <v>923023882608</v>
      </c>
      <c r="F148" s="562" t="s">
        <v>6875</v>
      </c>
      <c r="G148" s="284"/>
      <c r="H148" s="284"/>
      <c r="I148" s="562" t="s">
        <v>14496</v>
      </c>
      <c r="J148" s="284"/>
      <c r="K148" s="562">
        <v>1.0</v>
      </c>
      <c r="L148" s="562" t="s">
        <v>372</v>
      </c>
      <c r="M148" s="284"/>
    </row>
    <row r="149">
      <c r="A149" s="562" t="s">
        <v>14397</v>
      </c>
      <c r="B149" s="563">
        <v>0.44820601851851855</v>
      </c>
      <c r="C149" s="562" t="s">
        <v>14497</v>
      </c>
      <c r="D149" s="284"/>
      <c r="E149" s="562">
        <v>923089404282</v>
      </c>
      <c r="F149" s="562" t="s">
        <v>6875</v>
      </c>
      <c r="G149" s="284"/>
      <c r="H149" s="284"/>
      <c r="I149" s="562" t="s">
        <v>14498</v>
      </c>
      <c r="J149" s="284"/>
      <c r="K149" s="562">
        <v>1.0</v>
      </c>
      <c r="L149" s="562" t="s">
        <v>7851</v>
      </c>
      <c r="M149" s="284"/>
    </row>
    <row r="150">
      <c r="A150" s="562" t="s">
        <v>14397</v>
      </c>
      <c r="B150" s="563">
        <v>0.44837962962962963</v>
      </c>
      <c r="C150" s="562" t="s">
        <v>14499</v>
      </c>
      <c r="D150" s="562" t="s">
        <v>6886</v>
      </c>
      <c r="E150" s="566" t="s">
        <v>14500</v>
      </c>
      <c r="F150" s="562" t="s">
        <v>656</v>
      </c>
      <c r="G150" s="284"/>
      <c r="H150" s="284"/>
      <c r="I150" s="562" t="s">
        <v>14501</v>
      </c>
      <c r="J150" s="562" t="s">
        <v>14502</v>
      </c>
      <c r="K150" s="562">
        <v>2.0</v>
      </c>
      <c r="L150" s="562" t="s">
        <v>14503</v>
      </c>
      <c r="M150" s="284"/>
    </row>
    <row r="151">
      <c r="A151" s="562" t="s">
        <v>14397</v>
      </c>
      <c r="B151" s="563">
        <v>0.4484722222222222</v>
      </c>
      <c r="C151" s="562" t="s">
        <v>7073</v>
      </c>
      <c r="D151" s="284"/>
      <c r="E151" s="562">
        <v>923164482814</v>
      </c>
      <c r="F151" s="562" t="s">
        <v>656</v>
      </c>
      <c r="G151" s="562" t="s">
        <v>14289</v>
      </c>
      <c r="H151" s="562" t="s">
        <v>14504</v>
      </c>
      <c r="I151" s="562" t="s">
        <v>14505</v>
      </c>
      <c r="J151" s="562" t="s">
        <v>14494</v>
      </c>
      <c r="K151" s="562">
        <v>4.0</v>
      </c>
      <c r="L151" s="562" t="s">
        <v>11152</v>
      </c>
      <c r="M151" s="284"/>
    </row>
    <row r="152">
      <c r="A152" s="562" t="s">
        <v>14397</v>
      </c>
      <c r="B152" s="563">
        <v>0.4485648148148148</v>
      </c>
      <c r="C152" s="562" t="s">
        <v>7077</v>
      </c>
      <c r="D152" s="284"/>
      <c r="E152" s="562">
        <v>923214310955</v>
      </c>
      <c r="F152" s="562" t="s">
        <v>6875</v>
      </c>
      <c r="G152" s="562" t="s">
        <v>14506</v>
      </c>
      <c r="H152" s="562" t="s">
        <v>14507</v>
      </c>
      <c r="I152" s="562" t="s">
        <v>14508</v>
      </c>
      <c r="J152" s="562" t="s">
        <v>14509</v>
      </c>
      <c r="K152" s="562">
        <v>4.0</v>
      </c>
      <c r="L152" s="562" t="s">
        <v>7851</v>
      </c>
      <c r="M152" s="284"/>
    </row>
    <row r="153">
      <c r="A153" s="562" t="s">
        <v>14397</v>
      </c>
      <c r="B153" s="563">
        <v>0.4486921296296296</v>
      </c>
      <c r="C153" s="562" t="s">
        <v>3510</v>
      </c>
      <c r="D153" s="284"/>
      <c r="E153" s="562">
        <v>923327858926</v>
      </c>
      <c r="F153" s="562" t="s">
        <v>6875</v>
      </c>
      <c r="G153" s="284"/>
      <c r="H153" s="562" t="s">
        <v>14510</v>
      </c>
      <c r="I153" s="562" t="s">
        <v>14511</v>
      </c>
      <c r="J153" s="562" t="s">
        <v>14512</v>
      </c>
      <c r="K153" s="562">
        <v>4.0</v>
      </c>
      <c r="L153" s="562" t="s">
        <v>372</v>
      </c>
      <c r="M153" s="284"/>
    </row>
    <row r="154">
      <c r="A154" s="562" t="s">
        <v>14397</v>
      </c>
      <c r="B154" s="563">
        <v>0.4490162037037037</v>
      </c>
      <c r="C154" s="562" t="s">
        <v>7088</v>
      </c>
      <c r="D154" s="284"/>
      <c r="E154" s="562">
        <v>923335599986</v>
      </c>
      <c r="F154" s="562" t="s">
        <v>6875</v>
      </c>
      <c r="G154" s="562" t="s">
        <v>14513</v>
      </c>
      <c r="H154" s="562" t="s">
        <v>14514</v>
      </c>
      <c r="I154" s="562" t="s">
        <v>14511</v>
      </c>
      <c r="J154" s="562" t="s">
        <v>14515</v>
      </c>
      <c r="K154" s="562">
        <v>4.0</v>
      </c>
      <c r="L154" s="562" t="s">
        <v>152</v>
      </c>
      <c r="M154" s="284"/>
    </row>
    <row r="155">
      <c r="A155" s="562" t="s">
        <v>14397</v>
      </c>
      <c r="B155" s="563">
        <v>0.4491203703703704</v>
      </c>
      <c r="C155" s="562" t="s">
        <v>14516</v>
      </c>
      <c r="D155" s="284"/>
      <c r="E155" s="562">
        <v>923343591840</v>
      </c>
      <c r="F155" s="562" t="s">
        <v>6939</v>
      </c>
      <c r="G155" s="562" t="s">
        <v>14513</v>
      </c>
      <c r="H155" s="562" t="s">
        <v>14517</v>
      </c>
      <c r="I155" s="562" t="s">
        <v>14518</v>
      </c>
      <c r="J155" s="562" t="s">
        <v>14515</v>
      </c>
      <c r="K155" s="562">
        <v>4.0</v>
      </c>
      <c r="L155" s="284"/>
      <c r="M155" s="284"/>
    </row>
    <row r="156">
      <c r="A156" s="562" t="s">
        <v>14397</v>
      </c>
      <c r="B156" s="563">
        <v>0.4493171296296296</v>
      </c>
      <c r="C156" s="562" t="s">
        <v>2394</v>
      </c>
      <c r="D156" s="284"/>
      <c r="E156" s="562">
        <v>923454628057</v>
      </c>
      <c r="F156" s="562" t="s">
        <v>6939</v>
      </c>
      <c r="G156" s="562" t="s">
        <v>14513</v>
      </c>
      <c r="H156" s="562" t="s">
        <v>14519</v>
      </c>
      <c r="I156" s="562" t="s">
        <v>14520</v>
      </c>
      <c r="J156" s="562" t="s">
        <v>14521</v>
      </c>
      <c r="K156" s="562">
        <v>4.0</v>
      </c>
      <c r="L156" s="284"/>
      <c r="M156" s="284"/>
    </row>
    <row r="157">
      <c r="A157" s="562" t="s">
        <v>14397</v>
      </c>
      <c r="B157" s="563">
        <v>0.4494560185185185</v>
      </c>
      <c r="C157" s="562" t="s">
        <v>7101</v>
      </c>
      <c r="D157" s="284"/>
      <c r="E157" s="562">
        <v>923336126029</v>
      </c>
      <c r="F157" s="562" t="s">
        <v>6939</v>
      </c>
      <c r="G157" s="562" t="s">
        <v>14513</v>
      </c>
      <c r="H157" s="562" t="s">
        <v>14522</v>
      </c>
      <c r="I157" s="562" t="s">
        <v>14523</v>
      </c>
      <c r="J157" s="562" t="s">
        <v>14521</v>
      </c>
      <c r="K157" s="562">
        <v>4.0</v>
      </c>
      <c r="L157" s="562" t="s">
        <v>6944</v>
      </c>
      <c r="M157" s="284"/>
    </row>
    <row r="158">
      <c r="A158" s="562" t="s">
        <v>14397</v>
      </c>
      <c r="B158" s="563">
        <v>0.44959490740740743</v>
      </c>
      <c r="C158" s="562" t="s">
        <v>14524</v>
      </c>
      <c r="D158" s="284"/>
      <c r="E158" s="562">
        <v>923441142565</v>
      </c>
      <c r="F158" s="562" t="s">
        <v>6939</v>
      </c>
      <c r="G158" s="562" t="s">
        <v>14513</v>
      </c>
      <c r="H158" s="562" t="s">
        <v>14525</v>
      </c>
      <c r="I158" s="562" t="s">
        <v>14523</v>
      </c>
      <c r="J158" s="562" t="s">
        <v>14526</v>
      </c>
      <c r="K158" s="562">
        <v>4.0</v>
      </c>
      <c r="L158" s="562" t="s">
        <v>204</v>
      </c>
      <c r="M158" s="284"/>
    </row>
    <row r="159">
      <c r="A159" s="562" t="s">
        <v>14397</v>
      </c>
      <c r="B159" s="563">
        <v>0.4657291666666667</v>
      </c>
      <c r="C159" s="562" t="s">
        <v>14527</v>
      </c>
      <c r="D159" s="284"/>
      <c r="E159" s="562">
        <v>923170747473</v>
      </c>
      <c r="F159" s="562" t="s">
        <v>6939</v>
      </c>
      <c r="G159" s="562" t="s">
        <v>14513</v>
      </c>
      <c r="H159" s="562" t="s">
        <v>14528</v>
      </c>
      <c r="I159" s="562" t="s">
        <v>14529</v>
      </c>
      <c r="J159" s="562" t="s">
        <v>14530</v>
      </c>
      <c r="K159" s="562">
        <v>4.0</v>
      </c>
      <c r="L159" s="284"/>
      <c r="M159" s="284"/>
    </row>
    <row r="160">
      <c r="A160" s="562" t="s">
        <v>14397</v>
      </c>
      <c r="B160" s="563">
        <v>0.46945601851851854</v>
      </c>
      <c r="C160" s="562" t="s">
        <v>7106</v>
      </c>
      <c r="D160" s="284"/>
      <c r="E160" s="562">
        <v>923096302116</v>
      </c>
      <c r="F160" s="562" t="s">
        <v>6875</v>
      </c>
      <c r="G160" s="284"/>
      <c r="H160" s="562" t="s">
        <v>14531</v>
      </c>
      <c r="I160" s="562" t="s">
        <v>14532</v>
      </c>
      <c r="J160" s="284"/>
      <c r="K160" s="562">
        <v>2.0</v>
      </c>
      <c r="L160" s="562" t="s">
        <v>14533</v>
      </c>
      <c r="M160" s="284"/>
    </row>
    <row r="161">
      <c r="A161" s="562" t="s">
        <v>14397</v>
      </c>
      <c r="B161" s="563">
        <v>0.5370370370370371</v>
      </c>
      <c r="C161" s="562" t="s">
        <v>14534</v>
      </c>
      <c r="D161" s="284"/>
      <c r="E161" s="562">
        <f>923042499322</f>
        <v>923042499322</v>
      </c>
      <c r="F161" s="562" t="s">
        <v>6875</v>
      </c>
      <c r="G161" s="284"/>
      <c r="H161" s="562" t="s">
        <v>14535</v>
      </c>
      <c r="I161" s="562" t="s">
        <v>14536</v>
      </c>
      <c r="J161" s="284"/>
      <c r="K161" s="562">
        <v>2.0</v>
      </c>
      <c r="L161" s="562" t="s">
        <v>6460</v>
      </c>
      <c r="M161" s="284"/>
    </row>
    <row r="162">
      <c r="A162" s="562" t="s">
        <v>14397</v>
      </c>
      <c r="B162" s="563">
        <v>0.6111342592592592</v>
      </c>
      <c r="C162" s="562" t="s">
        <v>14537</v>
      </c>
      <c r="D162" s="284"/>
      <c r="E162" s="562">
        <v>923070132157</v>
      </c>
      <c r="F162" s="562" t="s">
        <v>6875</v>
      </c>
      <c r="G162" s="284"/>
      <c r="H162" s="562" t="s">
        <v>14538</v>
      </c>
      <c r="I162" s="562" t="s">
        <v>14539</v>
      </c>
      <c r="J162" s="284"/>
      <c r="K162" s="562">
        <v>2.0</v>
      </c>
      <c r="L162" s="562" t="s">
        <v>152</v>
      </c>
      <c r="M162" s="284"/>
    </row>
    <row r="163">
      <c r="A163" s="562" t="s">
        <v>14397</v>
      </c>
      <c r="B163" s="563">
        <v>0.6748148148148149</v>
      </c>
      <c r="C163" s="562" t="s">
        <v>7111</v>
      </c>
      <c r="D163" s="284"/>
      <c r="E163" s="562">
        <v>923337542577</v>
      </c>
      <c r="F163" s="562" t="s">
        <v>6939</v>
      </c>
      <c r="G163" s="562" t="s">
        <v>14513</v>
      </c>
      <c r="H163" s="562" t="s">
        <v>14540</v>
      </c>
      <c r="I163" s="562" t="s">
        <v>14541</v>
      </c>
      <c r="J163" s="562" t="s">
        <v>14530</v>
      </c>
      <c r="K163" s="562">
        <v>4.0</v>
      </c>
      <c r="L163" s="284"/>
      <c r="M163" s="284"/>
    </row>
    <row r="164">
      <c r="A164" s="562" t="s">
        <v>14542</v>
      </c>
      <c r="B164" s="563">
        <v>0.41019675925925925</v>
      </c>
      <c r="C164" s="562" t="s">
        <v>7115</v>
      </c>
      <c r="D164" s="284"/>
      <c r="E164" s="562">
        <v>923264201248</v>
      </c>
      <c r="F164" s="562" t="s">
        <v>6875</v>
      </c>
      <c r="G164" s="284"/>
      <c r="H164" s="562" t="s">
        <v>14543</v>
      </c>
      <c r="I164" s="284"/>
      <c r="J164" s="284"/>
      <c r="K164" s="562">
        <v>1.0</v>
      </c>
      <c r="L164" s="562" t="s">
        <v>1158</v>
      </c>
      <c r="M164" s="284"/>
    </row>
    <row r="165">
      <c r="A165" s="562" t="s">
        <v>14542</v>
      </c>
      <c r="B165" s="563">
        <v>0.41050925925925924</v>
      </c>
      <c r="C165" s="562" t="s">
        <v>14544</v>
      </c>
      <c r="D165" s="284"/>
      <c r="E165" s="562">
        <v>923378274363</v>
      </c>
      <c r="F165" s="562" t="s">
        <v>6875</v>
      </c>
      <c r="G165" s="284"/>
      <c r="H165" s="562" t="s">
        <v>14545</v>
      </c>
      <c r="I165" s="562" t="s">
        <v>14546</v>
      </c>
      <c r="J165" s="284"/>
      <c r="K165" s="562">
        <v>2.0</v>
      </c>
      <c r="L165" s="562" t="s">
        <v>51</v>
      </c>
      <c r="M165" s="284"/>
    </row>
    <row r="166">
      <c r="A166" s="562" t="s">
        <v>14542</v>
      </c>
      <c r="B166" s="563">
        <v>0.4106712962962963</v>
      </c>
      <c r="C166" s="562" t="s">
        <v>14547</v>
      </c>
      <c r="D166" s="284"/>
      <c r="E166" s="562">
        <v>923432911770</v>
      </c>
      <c r="F166" s="562" t="s">
        <v>6939</v>
      </c>
      <c r="G166" s="562" t="s">
        <v>14513</v>
      </c>
      <c r="H166" s="562" t="s">
        <v>14548</v>
      </c>
      <c r="I166" s="562" t="s">
        <v>14549</v>
      </c>
      <c r="J166" s="562" t="s">
        <v>14530</v>
      </c>
      <c r="K166" s="562">
        <v>4.0</v>
      </c>
      <c r="L166" s="284"/>
      <c r="M166" s="284"/>
    </row>
    <row r="167">
      <c r="A167" s="562" t="s">
        <v>14542</v>
      </c>
      <c r="B167" s="563">
        <v>0.4204398148148148</v>
      </c>
      <c r="C167" s="562" t="s">
        <v>1135</v>
      </c>
      <c r="D167" s="284"/>
      <c r="E167" s="562">
        <v>923204708583</v>
      </c>
      <c r="F167" s="562" t="s">
        <v>6875</v>
      </c>
      <c r="G167" s="562" t="s">
        <v>14513</v>
      </c>
      <c r="H167" s="562" t="s">
        <v>14550</v>
      </c>
      <c r="I167" s="562" t="s">
        <v>14551</v>
      </c>
      <c r="J167" s="562" t="s">
        <v>14530</v>
      </c>
      <c r="K167" s="562">
        <v>4.0</v>
      </c>
      <c r="L167" s="562" t="s">
        <v>6944</v>
      </c>
      <c r="M167" s="284"/>
    </row>
    <row r="168">
      <c r="A168" s="562" t="s">
        <v>14542</v>
      </c>
      <c r="B168" s="563">
        <v>0.43494212962962964</v>
      </c>
      <c r="C168" s="562" t="s">
        <v>7120</v>
      </c>
      <c r="D168" s="284"/>
      <c r="E168" s="562">
        <v>923468434199</v>
      </c>
      <c r="F168" s="562" t="s">
        <v>7291</v>
      </c>
      <c r="G168" s="562" t="s">
        <v>14164</v>
      </c>
      <c r="H168" s="562" t="s">
        <v>14552</v>
      </c>
      <c r="I168" s="562" t="s">
        <v>14553</v>
      </c>
      <c r="J168" s="562" t="s">
        <v>14554</v>
      </c>
      <c r="K168" s="562">
        <v>4.0</v>
      </c>
      <c r="L168" s="562" t="s">
        <v>14555</v>
      </c>
      <c r="M168" s="284"/>
    </row>
    <row r="169">
      <c r="A169" s="562" t="s">
        <v>14542</v>
      </c>
      <c r="B169" s="563">
        <v>0.5006712962962963</v>
      </c>
      <c r="C169" s="562" t="s">
        <v>14556</v>
      </c>
      <c r="D169" s="562" t="s">
        <v>7725</v>
      </c>
      <c r="E169" s="566" t="s">
        <v>14557</v>
      </c>
      <c r="F169" s="562" t="s">
        <v>6939</v>
      </c>
      <c r="G169" s="562" t="s">
        <v>14513</v>
      </c>
      <c r="H169" s="562" t="s">
        <v>14558</v>
      </c>
      <c r="I169" s="562" t="s">
        <v>14559</v>
      </c>
      <c r="J169" s="562" t="s">
        <v>14530</v>
      </c>
      <c r="K169" s="562">
        <v>4.0</v>
      </c>
      <c r="L169" s="284"/>
      <c r="M169" s="284"/>
    </row>
    <row r="170">
      <c r="A170" s="562" t="s">
        <v>14542</v>
      </c>
      <c r="B170" s="563">
        <v>0.5364930555555556</v>
      </c>
      <c r="C170" s="562" t="s">
        <v>14560</v>
      </c>
      <c r="D170" s="284"/>
      <c r="E170" s="568">
        <v>923489600915</v>
      </c>
      <c r="F170" s="562" t="s">
        <v>6875</v>
      </c>
      <c r="G170" s="284"/>
      <c r="H170" s="284"/>
      <c r="I170" s="562" t="s">
        <v>14561</v>
      </c>
      <c r="J170" s="284"/>
      <c r="K170" s="562">
        <v>1.0</v>
      </c>
      <c r="L170" s="562" t="s">
        <v>372</v>
      </c>
      <c r="M170" s="284"/>
    </row>
    <row r="171">
      <c r="A171" s="562" t="s">
        <v>14542</v>
      </c>
      <c r="B171" s="563">
        <v>0.5454976851851852</v>
      </c>
      <c r="C171" s="562" t="s">
        <v>14562</v>
      </c>
      <c r="D171" s="562" t="s">
        <v>6886</v>
      </c>
      <c r="E171" s="637" t="s">
        <v>14563</v>
      </c>
      <c r="F171" s="562" t="s">
        <v>6875</v>
      </c>
      <c r="G171" s="562" t="s">
        <v>14506</v>
      </c>
      <c r="H171" s="562" t="s">
        <v>14564</v>
      </c>
      <c r="I171" s="562" t="s">
        <v>14565</v>
      </c>
      <c r="J171" s="562" t="s">
        <v>14566</v>
      </c>
      <c r="K171" s="562">
        <v>4.0</v>
      </c>
      <c r="L171" s="562" t="s">
        <v>14567</v>
      </c>
      <c r="M171" s="284"/>
    </row>
    <row r="172">
      <c r="A172" s="562" t="s">
        <v>14542</v>
      </c>
      <c r="B172" s="563">
        <v>0.6162384259259259</v>
      </c>
      <c r="C172" s="562" t="s">
        <v>12777</v>
      </c>
      <c r="D172" s="284"/>
      <c r="E172" s="562">
        <v>923402046977</v>
      </c>
      <c r="F172" s="562" t="s">
        <v>6939</v>
      </c>
      <c r="G172" s="562" t="s">
        <v>14513</v>
      </c>
      <c r="H172" s="562" t="s">
        <v>14568</v>
      </c>
      <c r="I172" s="562" t="s">
        <v>14569</v>
      </c>
      <c r="J172" s="562" t="s">
        <v>14570</v>
      </c>
      <c r="K172" s="562">
        <v>4.0</v>
      </c>
      <c r="L172" s="562" t="s">
        <v>204</v>
      </c>
      <c r="M172" s="284"/>
    </row>
    <row r="173">
      <c r="A173" s="562" t="s">
        <v>14542</v>
      </c>
      <c r="B173" s="563">
        <v>0.6167824074074074</v>
      </c>
      <c r="C173" s="562" t="s">
        <v>14571</v>
      </c>
      <c r="D173" s="284"/>
      <c r="E173" s="562">
        <v>923320345341</v>
      </c>
      <c r="F173" s="562" t="s">
        <v>6875</v>
      </c>
      <c r="G173" s="562" t="s">
        <v>14572</v>
      </c>
      <c r="H173" s="562" t="s">
        <v>14573</v>
      </c>
      <c r="I173" s="562" t="s">
        <v>14574</v>
      </c>
      <c r="J173" s="284"/>
      <c r="K173" s="562">
        <v>3.0</v>
      </c>
      <c r="L173" s="562" t="s">
        <v>14575</v>
      </c>
      <c r="M173" s="284"/>
    </row>
    <row r="174">
      <c r="A174" s="562" t="s">
        <v>14542</v>
      </c>
      <c r="B174" s="563">
        <v>0.6287962962962963</v>
      </c>
      <c r="C174" s="562" t="s">
        <v>10911</v>
      </c>
      <c r="D174" s="284"/>
      <c r="E174" s="562">
        <v>923056108603</v>
      </c>
      <c r="F174" s="562" t="s">
        <v>656</v>
      </c>
      <c r="G174" s="562" t="s">
        <v>14513</v>
      </c>
      <c r="H174" s="562" t="s">
        <v>14576</v>
      </c>
      <c r="I174" s="562" t="s">
        <v>14577</v>
      </c>
      <c r="J174" s="562" t="s">
        <v>14530</v>
      </c>
      <c r="K174" s="562">
        <v>4.0</v>
      </c>
      <c r="L174" s="562" t="s">
        <v>727</v>
      </c>
      <c r="M174" s="284"/>
    </row>
    <row r="175">
      <c r="A175" s="562" t="s">
        <v>14542</v>
      </c>
      <c r="B175" s="563">
        <v>0.6290393518518519</v>
      </c>
      <c r="C175" s="562" t="s">
        <v>14578</v>
      </c>
      <c r="D175" s="284"/>
      <c r="E175" s="562">
        <v>923154952425</v>
      </c>
      <c r="F175" s="562" t="s">
        <v>6939</v>
      </c>
      <c r="G175" s="562" t="s">
        <v>14513</v>
      </c>
      <c r="H175" s="562" t="s">
        <v>14579</v>
      </c>
      <c r="I175" s="562" t="s">
        <v>14580</v>
      </c>
      <c r="J175" s="562" t="s">
        <v>14530</v>
      </c>
      <c r="K175" s="562">
        <v>4.0</v>
      </c>
      <c r="L175" s="284"/>
      <c r="M175" s="284"/>
    </row>
    <row r="176">
      <c r="A176" s="562" t="s">
        <v>14542</v>
      </c>
      <c r="B176" s="563">
        <v>0.6794212962962963</v>
      </c>
      <c r="C176" s="562" t="s">
        <v>7134</v>
      </c>
      <c r="D176" s="284"/>
      <c r="E176" s="562">
        <v>923100056224</v>
      </c>
      <c r="F176" s="562" t="s">
        <v>6939</v>
      </c>
      <c r="G176" s="562" t="s">
        <v>14513</v>
      </c>
      <c r="H176" s="562" t="s">
        <v>14581</v>
      </c>
      <c r="I176" s="562" t="s">
        <v>14582</v>
      </c>
      <c r="J176" s="562" t="s">
        <v>14583</v>
      </c>
      <c r="K176" s="562">
        <v>4.0</v>
      </c>
      <c r="L176" s="562" t="s">
        <v>6944</v>
      </c>
      <c r="M176" s="284"/>
    </row>
    <row r="177">
      <c r="A177" s="562" t="s">
        <v>14542</v>
      </c>
      <c r="B177" s="563">
        <v>0.6817824074074074</v>
      </c>
      <c r="C177" s="562" t="s">
        <v>7139</v>
      </c>
      <c r="D177" s="284"/>
      <c r="E177" s="562">
        <v>923097409652</v>
      </c>
      <c r="F177" s="562" t="s">
        <v>656</v>
      </c>
      <c r="G177" s="284"/>
      <c r="H177" s="284"/>
      <c r="I177" s="284"/>
      <c r="J177" s="562" t="s">
        <v>14584</v>
      </c>
      <c r="K177" s="562">
        <v>1.0</v>
      </c>
      <c r="L177" s="562" t="s">
        <v>14490</v>
      </c>
      <c r="M177" s="284"/>
    </row>
    <row r="178">
      <c r="A178" s="562" t="s">
        <v>14542</v>
      </c>
      <c r="B178" s="563">
        <v>0.6966319444444444</v>
      </c>
      <c r="C178" s="562" t="s">
        <v>7143</v>
      </c>
      <c r="D178" s="284"/>
      <c r="E178" s="562">
        <v>923094748025</v>
      </c>
      <c r="F178" s="562" t="s">
        <v>6939</v>
      </c>
      <c r="G178" s="562" t="s">
        <v>14513</v>
      </c>
      <c r="H178" s="562" t="s">
        <v>14585</v>
      </c>
      <c r="I178" s="562" t="s">
        <v>14586</v>
      </c>
      <c r="J178" s="562" t="s">
        <v>14587</v>
      </c>
      <c r="K178" s="562">
        <v>4.0</v>
      </c>
      <c r="L178" s="562" t="s">
        <v>6944</v>
      </c>
      <c r="M178" s="284"/>
    </row>
    <row r="179">
      <c r="A179" s="568" t="s">
        <v>14542</v>
      </c>
      <c r="B179" s="569">
        <v>0.7078935185185186</v>
      </c>
      <c r="C179" s="568" t="s">
        <v>14588</v>
      </c>
      <c r="D179" s="284"/>
      <c r="E179" s="568">
        <v>923037327749</v>
      </c>
      <c r="F179" s="562" t="s">
        <v>6939</v>
      </c>
      <c r="G179" s="562" t="s">
        <v>14506</v>
      </c>
      <c r="H179" s="562" t="s">
        <v>14589</v>
      </c>
      <c r="I179" s="568" t="s">
        <v>14590</v>
      </c>
      <c r="J179" s="568" t="s">
        <v>14591</v>
      </c>
      <c r="K179" s="562">
        <v>4.0</v>
      </c>
      <c r="L179" s="570"/>
      <c r="M179" s="284"/>
    </row>
    <row r="180">
      <c r="A180" s="562" t="s">
        <v>14542</v>
      </c>
      <c r="B180" s="563">
        <v>0.718113425925926</v>
      </c>
      <c r="C180" s="562" t="s">
        <v>10656</v>
      </c>
      <c r="D180" s="284"/>
      <c r="E180" s="562">
        <v>923215230423</v>
      </c>
      <c r="F180" s="562" t="s">
        <v>6939</v>
      </c>
      <c r="G180" s="562" t="s">
        <v>14506</v>
      </c>
      <c r="H180" s="562" t="s">
        <v>14592</v>
      </c>
      <c r="I180" s="568" t="s">
        <v>14593</v>
      </c>
      <c r="J180" s="562" t="s">
        <v>14594</v>
      </c>
      <c r="K180" s="562">
        <v>4.0</v>
      </c>
      <c r="L180" s="562" t="s">
        <v>14595</v>
      </c>
      <c r="M180" s="284"/>
    </row>
    <row r="181">
      <c r="A181" s="562" t="s">
        <v>14596</v>
      </c>
      <c r="B181" s="563">
        <v>0.4490277777777778</v>
      </c>
      <c r="C181" s="562" t="s">
        <v>2044</v>
      </c>
      <c r="D181" s="284"/>
      <c r="E181" s="562">
        <v>923112244661</v>
      </c>
      <c r="F181" s="562" t="s">
        <v>6939</v>
      </c>
      <c r="G181" s="562" t="s">
        <v>14513</v>
      </c>
      <c r="H181" s="562" t="s">
        <v>14597</v>
      </c>
      <c r="I181" s="562" t="s">
        <v>14598</v>
      </c>
      <c r="J181" s="562" t="s">
        <v>14599</v>
      </c>
      <c r="K181" s="562">
        <v>4.0</v>
      </c>
      <c r="L181" s="284"/>
      <c r="M181" s="284"/>
    </row>
    <row r="182">
      <c r="A182" s="562" t="s">
        <v>14596</v>
      </c>
      <c r="B182" s="563">
        <v>0.44916666666666666</v>
      </c>
      <c r="C182" s="562" t="s">
        <v>13614</v>
      </c>
      <c r="D182" s="562" t="s">
        <v>6886</v>
      </c>
      <c r="E182" s="637" t="s">
        <v>14600</v>
      </c>
      <c r="F182" s="562" t="s">
        <v>6875</v>
      </c>
      <c r="G182" s="284"/>
      <c r="H182" s="562" t="s">
        <v>14601</v>
      </c>
      <c r="I182" s="562" t="s">
        <v>14602</v>
      </c>
      <c r="J182" s="562" t="s">
        <v>14603</v>
      </c>
      <c r="K182" s="562">
        <v>3.0</v>
      </c>
      <c r="L182" s="562" t="s">
        <v>7738</v>
      </c>
      <c r="M182" s="284"/>
    </row>
    <row r="183">
      <c r="A183" s="562" t="s">
        <v>14596</v>
      </c>
      <c r="B183" s="563">
        <v>0.4492939814814815</v>
      </c>
      <c r="C183" s="562" t="s">
        <v>7152</v>
      </c>
      <c r="D183" s="284"/>
      <c r="E183" s="562">
        <v>923336874295</v>
      </c>
      <c r="F183" s="562" t="s">
        <v>7291</v>
      </c>
      <c r="G183" s="562" t="s">
        <v>14506</v>
      </c>
      <c r="H183" s="562" t="s">
        <v>14604</v>
      </c>
      <c r="I183" s="568" t="s">
        <v>14605</v>
      </c>
      <c r="J183" s="562" t="s">
        <v>14606</v>
      </c>
      <c r="K183" s="562">
        <v>4.0</v>
      </c>
      <c r="L183" s="562" t="s">
        <v>6944</v>
      </c>
      <c r="M183" s="284"/>
    </row>
    <row r="184">
      <c r="A184" s="562" t="s">
        <v>14596</v>
      </c>
      <c r="B184" s="563">
        <v>0.4494097222222222</v>
      </c>
      <c r="C184" s="562" t="s">
        <v>7156</v>
      </c>
      <c r="D184" s="284"/>
      <c r="E184" s="568">
        <v>923044642362</v>
      </c>
      <c r="F184" s="562" t="s">
        <v>6875</v>
      </c>
      <c r="G184" s="284"/>
      <c r="H184" s="562" t="s">
        <v>14607</v>
      </c>
      <c r="I184" s="284"/>
      <c r="J184" s="562" t="s">
        <v>14608</v>
      </c>
      <c r="K184" s="562">
        <v>2.0</v>
      </c>
      <c r="L184" s="284"/>
      <c r="M184" s="284"/>
    </row>
    <row r="185">
      <c r="A185" s="562" t="s">
        <v>14596</v>
      </c>
      <c r="B185" s="563">
        <v>0.44949074074074075</v>
      </c>
      <c r="C185" s="562" t="s">
        <v>14609</v>
      </c>
      <c r="D185" s="562" t="s">
        <v>7725</v>
      </c>
      <c r="E185" s="566" t="s">
        <v>14610</v>
      </c>
      <c r="F185" s="562" t="s">
        <v>6939</v>
      </c>
      <c r="G185" s="562" t="s">
        <v>14513</v>
      </c>
      <c r="H185" s="562" t="s">
        <v>14611</v>
      </c>
      <c r="I185" s="562" t="s">
        <v>14612</v>
      </c>
      <c r="J185" s="562" t="s">
        <v>14599</v>
      </c>
      <c r="K185" s="562">
        <v>4.0</v>
      </c>
      <c r="L185" s="284"/>
      <c r="M185" s="284"/>
    </row>
    <row r="186">
      <c r="A186" s="562" t="s">
        <v>14596</v>
      </c>
      <c r="B186" s="563">
        <v>0.4496875</v>
      </c>
      <c r="C186" s="562" t="s">
        <v>248</v>
      </c>
      <c r="D186" s="284"/>
      <c r="E186" s="568">
        <v>923222800090</v>
      </c>
      <c r="F186" s="562" t="s">
        <v>6875</v>
      </c>
      <c r="G186" s="284"/>
      <c r="H186" s="284"/>
      <c r="I186" s="562" t="s">
        <v>14613</v>
      </c>
      <c r="J186" s="284"/>
      <c r="K186" s="562">
        <v>1.0</v>
      </c>
      <c r="L186" s="562" t="s">
        <v>152</v>
      </c>
      <c r="M186" s="284"/>
    </row>
    <row r="187">
      <c r="A187" s="562" t="s">
        <v>14596</v>
      </c>
      <c r="B187" s="563">
        <v>0.4498611111111111</v>
      </c>
      <c r="C187" s="562" t="s">
        <v>14614</v>
      </c>
      <c r="D187" s="284"/>
      <c r="E187" s="568">
        <v>923323335486</v>
      </c>
      <c r="F187" s="562" t="s">
        <v>6875</v>
      </c>
      <c r="G187" s="284"/>
      <c r="H187" s="562" t="s">
        <v>14615</v>
      </c>
      <c r="I187" s="562" t="s">
        <v>14616</v>
      </c>
      <c r="J187" s="284"/>
      <c r="K187" s="562">
        <v>2.0</v>
      </c>
      <c r="L187" s="562" t="s">
        <v>51</v>
      </c>
      <c r="M187" s="284"/>
    </row>
    <row r="188">
      <c r="A188" s="562" t="s">
        <v>14596</v>
      </c>
      <c r="B188" s="563">
        <v>0.4499537037037037</v>
      </c>
      <c r="C188" s="562" t="s">
        <v>12010</v>
      </c>
      <c r="D188" s="284"/>
      <c r="E188" s="562">
        <v>923330651703</v>
      </c>
      <c r="F188" s="562" t="s">
        <v>6939</v>
      </c>
      <c r="G188" s="562" t="s">
        <v>14513</v>
      </c>
      <c r="H188" s="562" t="s">
        <v>14617</v>
      </c>
      <c r="I188" s="562" t="s">
        <v>14618</v>
      </c>
      <c r="J188" s="562" t="s">
        <v>14599</v>
      </c>
      <c r="K188" s="562">
        <v>4.0</v>
      </c>
      <c r="L188" s="284"/>
      <c r="M188" s="284"/>
    </row>
    <row r="189">
      <c r="A189" s="562" t="s">
        <v>14596</v>
      </c>
      <c r="B189" s="563">
        <v>0.4502199074074074</v>
      </c>
      <c r="C189" s="562" t="s">
        <v>14619</v>
      </c>
      <c r="D189" s="284"/>
      <c r="E189" s="562">
        <v>923347432347</v>
      </c>
      <c r="F189" s="562" t="s">
        <v>6888</v>
      </c>
      <c r="G189" s="284"/>
      <c r="H189" s="562" t="s">
        <v>14620</v>
      </c>
      <c r="I189" s="562" t="s">
        <v>14621</v>
      </c>
      <c r="J189" s="562" t="s">
        <v>14622</v>
      </c>
      <c r="K189" s="562">
        <v>3.0</v>
      </c>
      <c r="L189" s="562" t="s">
        <v>14623</v>
      </c>
      <c r="M189" s="284"/>
    </row>
    <row r="190">
      <c r="A190" s="562" t="s">
        <v>14596</v>
      </c>
      <c r="B190" s="563">
        <v>0.45038194444444446</v>
      </c>
      <c r="C190" s="562" t="s">
        <v>14624</v>
      </c>
      <c r="D190" s="562" t="s">
        <v>7725</v>
      </c>
      <c r="E190" s="562" t="s">
        <v>14625</v>
      </c>
      <c r="F190" s="562" t="s">
        <v>6875</v>
      </c>
      <c r="G190" s="284"/>
      <c r="H190" s="284"/>
      <c r="I190" s="562" t="s">
        <v>14626</v>
      </c>
      <c r="J190" s="562" t="s">
        <v>14627</v>
      </c>
      <c r="K190" s="562">
        <v>2.0</v>
      </c>
      <c r="L190" s="562" t="s">
        <v>14628</v>
      </c>
      <c r="M190" s="284"/>
    </row>
    <row r="191">
      <c r="A191" s="562" t="s">
        <v>14596</v>
      </c>
      <c r="B191" s="563">
        <v>0.45055555555555554</v>
      </c>
      <c r="C191" s="562" t="s">
        <v>14629</v>
      </c>
      <c r="D191" s="284"/>
      <c r="E191" s="562">
        <v>923345888933</v>
      </c>
      <c r="F191" s="562" t="s">
        <v>6875</v>
      </c>
      <c r="G191" s="284"/>
      <c r="H191" s="284"/>
      <c r="I191" s="562" t="s">
        <v>14630</v>
      </c>
      <c r="J191" s="284"/>
      <c r="K191" s="562">
        <v>1.0</v>
      </c>
      <c r="L191" s="562" t="s">
        <v>1158</v>
      </c>
      <c r="M191" s="284"/>
    </row>
    <row r="192">
      <c r="A192" s="562" t="s">
        <v>14596</v>
      </c>
      <c r="B192" s="563">
        <v>0.4507291666666667</v>
      </c>
      <c r="C192" s="562" t="s">
        <v>14631</v>
      </c>
      <c r="D192" s="284"/>
      <c r="E192" s="562">
        <v>923334407407</v>
      </c>
      <c r="F192" s="562" t="s">
        <v>6939</v>
      </c>
      <c r="G192" s="562" t="s">
        <v>14506</v>
      </c>
      <c r="H192" s="562" t="s">
        <v>14604</v>
      </c>
      <c r="I192" s="562" t="s">
        <v>14632</v>
      </c>
      <c r="J192" s="562" t="s">
        <v>14633</v>
      </c>
      <c r="K192" s="562">
        <v>4.0</v>
      </c>
      <c r="L192" s="562" t="s">
        <v>685</v>
      </c>
      <c r="M192" s="284"/>
    </row>
    <row r="193">
      <c r="A193" s="562" t="s">
        <v>14596</v>
      </c>
      <c r="B193" s="563">
        <v>0.4508333333333333</v>
      </c>
      <c r="C193" s="562" t="s">
        <v>14634</v>
      </c>
      <c r="D193" s="284"/>
      <c r="E193" s="562">
        <v>923082222055</v>
      </c>
      <c r="F193" s="562" t="s">
        <v>6939</v>
      </c>
      <c r="G193" s="562" t="s">
        <v>14513</v>
      </c>
      <c r="H193" s="562" t="s">
        <v>14635</v>
      </c>
      <c r="I193" s="562" t="s">
        <v>14636</v>
      </c>
      <c r="J193" s="562" t="s">
        <v>14599</v>
      </c>
      <c r="K193" s="562">
        <v>4.0</v>
      </c>
      <c r="L193" s="284"/>
      <c r="M193" s="284"/>
    </row>
    <row r="194">
      <c r="A194" s="562" t="s">
        <v>14637</v>
      </c>
      <c r="B194" s="563">
        <v>0.43126157407407406</v>
      </c>
      <c r="C194" s="562" t="s">
        <v>14638</v>
      </c>
      <c r="D194" s="284"/>
      <c r="E194" s="562">
        <v>923071423008</v>
      </c>
      <c r="F194" s="562" t="s">
        <v>6888</v>
      </c>
      <c r="G194" s="562" t="s">
        <v>14639</v>
      </c>
      <c r="H194" s="562" t="s">
        <v>14640</v>
      </c>
      <c r="I194" s="562" t="s">
        <v>14641</v>
      </c>
      <c r="J194" s="562" t="s">
        <v>14642</v>
      </c>
      <c r="K194" s="562">
        <v>4.0</v>
      </c>
      <c r="L194" s="562" t="s">
        <v>672</v>
      </c>
      <c r="M194" s="284"/>
    </row>
    <row r="195">
      <c r="A195" s="562" t="s">
        <v>14637</v>
      </c>
      <c r="B195" s="563">
        <v>0.4316550925925926</v>
      </c>
      <c r="C195" s="562" t="s">
        <v>7164</v>
      </c>
      <c r="D195" s="562" t="s">
        <v>14643</v>
      </c>
      <c r="E195" s="562" t="s">
        <v>14644</v>
      </c>
      <c r="F195" s="562" t="s">
        <v>6875</v>
      </c>
      <c r="G195" s="562" t="s">
        <v>14645</v>
      </c>
      <c r="H195" s="562" t="s">
        <v>14646</v>
      </c>
      <c r="I195" s="562" t="s">
        <v>14647</v>
      </c>
      <c r="J195" s="562" t="s">
        <v>14648</v>
      </c>
      <c r="K195" s="562">
        <v>4.0</v>
      </c>
      <c r="L195" s="562" t="s">
        <v>6944</v>
      </c>
      <c r="M195" s="284"/>
    </row>
    <row r="196">
      <c r="A196" s="562" t="s">
        <v>14637</v>
      </c>
      <c r="B196" s="563">
        <v>0.4317708333333333</v>
      </c>
      <c r="C196" s="562" t="s">
        <v>7167</v>
      </c>
      <c r="D196" s="284"/>
      <c r="E196" s="562">
        <v>923457966742</v>
      </c>
      <c r="F196" s="562" t="s">
        <v>6939</v>
      </c>
      <c r="G196" s="562" t="s">
        <v>14506</v>
      </c>
      <c r="H196" s="562" t="s">
        <v>14649</v>
      </c>
      <c r="I196" s="562" t="s">
        <v>14650</v>
      </c>
      <c r="J196" s="562" t="s">
        <v>14633</v>
      </c>
      <c r="K196" s="562">
        <v>4.0</v>
      </c>
      <c r="L196" s="284"/>
      <c r="M196" s="284"/>
    </row>
    <row r="197">
      <c r="A197" s="562" t="s">
        <v>14637</v>
      </c>
      <c r="B197" s="563">
        <v>0.43203703703703705</v>
      </c>
      <c r="C197" s="562" t="s">
        <v>14651</v>
      </c>
      <c r="D197" s="284"/>
      <c r="E197" s="562">
        <v>923334227811</v>
      </c>
      <c r="F197" s="562" t="s">
        <v>6875</v>
      </c>
      <c r="G197" s="562" t="s">
        <v>14652</v>
      </c>
      <c r="H197" s="284"/>
      <c r="I197" s="284"/>
      <c r="J197" s="562" t="s">
        <v>14653</v>
      </c>
      <c r="K197" s="562">
        <v>2.0</v>
      </c>
      <c r="L197" s="562" t="s">
        <v>11891</v>
      </c>
      <c r="M197" s="284"/>
    </row>
    <row r="198">
      <c r="A198" s="562" t="s">
        <v>14637</v>
      </c>
      <c r="B198" s="563">
        <v>0.4321875</v>
      </c>
      <c r="C198" s="562" t="s">
        <v>7172</v>
      </c>
      <c r="D198" s="284"/>
      <c r="E198" s="562">
        <v>923432032193</v>
      </c>
      <c r="F198" s="562" t="s">
        <v>6875</v>
      </c>
      <c r="G198" s="284"/>
      <c r="H198" s="562" t="s">
        <v>14654</v>
      </c>
      <c r="I198" s="284"/>
      <c r="J198" s="562" t="s">
        <v>14655</v>
      </c>
      <c r="K198" s="562">
        <v>2.0</v>
      </c>
      <c r="L198" s="562" t="s">
        <v>51</v>
      </c>
      <c r="M198" s="284"/>
    </row>
    <row r="199">
      <c r="A199" s="562" t="s">
        <v>14637</v>
      </c>
      <c r="B199" s="563">
        <v>0.4325925925925926</v>
      </c>
      <c r="C199" s="562" t="s">
        <v>11664</v>
      </c>
      <c r="D199" s="562" t="s">
        <v>6886</v>
      </c>
      <c r="E199" s="637" t="s">
        <v>14656</v>
      </c>
      <c r="F199" s="562" t="s">
        <v>6888</v>
      </c>
      <c r="G199" s="284"/>
      <c r="H199" s="562" t="s">
        <v>14657</v>
      </c>
      <c r="I199" s="562" t="s">
        <v>14658</v>
      </c>
      <c r="J199" s="284"/>
      <c r="K199" s="562">
        <v>2.0</v>
      </c>
      <c r="L199" s="562" t="s">
        <v>657</v>
      </c>
      <c r="M199" s="284"/>
    </row>
    <row r="200">
      <c r="A200" s="562" t="s">
        <v>14637</v>
      </c>
      <c r="B200" s="563">
        <v>0.43269675925925927</v>
      </c>
      <c r="C200" s="562" t="s">
        <v>14659</v>
      </c>
      <c r="D200" s="562" t="s">
        <v>6886</v>
      </c>
      <c r="E200" s="566" t="s">
        <v>14660</v>
      </c>
      <c r="F200" s="562" t="s">
        <v>6875</v>
      </c>
      <c r="G200" s="562" t="s">
        <v>14506</v>
      </c>
      <c r="H200" s="562" t="s">
        <v>14661</v>
      </c>
      <c r="I200" s="562" t="s">
        <v>14662</v>
      </c>
      <c r="J200" s="562" t="s">
        <v>14633</v>
      </c>
      <c r="K200" s="562">
        <v>4.0</v>
      </c>
      <c r="L200" s="562" t="s">
        <v>51</v>
      </c>
      <c r="M200" s="284"/>
    </row>
    <row r="201">
      <c r="A201" s="562" t="s">
        <v>14637</v>
      </c>
      <c r="B201" s="563">
        <v>0.43299768518518517</v>
      </c>
      <c r="C201" s="562" t="s">
        <v>11010</v>
      </c>
      <c r="D201" s="284"/>
      <c r="E201" s="562">
        <v>923375258440</v>
      </c>
      <c r="F201" s="562" t="s">
        <v>6939</v>
      </c>
      <c r="G201" s="562" t="s">
        <v>14663</v>
      </c>
      <c r="H201" s="562" t="s">
        <v>14664</v>
      </c>
      <c r="I201" s="562" t="s">
        <v>14665</v>
      </c>
      <c r="J201" s="562" t="s">
        <v>14666</v>
      </c>
      <c r="K201" s="562">
        <v>4.0</v>
      </c>
      <c r="L201" s="284"/>
      <c r="M201" s="284"/>
    </row>
    <row r="202">
      <c r="A202" s="562" t="s">
        <v>14637</v>
      </c>
      <c r="B202" s="563">
        <v>0.43322916666666667</v>
      </c>
      <c r="C202" s="562" t="s">
        <v>2612</v>
      </c>
      <c r="D202" s="284"/>
      <c r="E202" s="562">
        <v>923323219701</v>
      </c>
      <c r="F202" s="562" t="s">
        <v>7291</v>
      </c>
      <c r="G202" s="562" t="s">
        <v>14506</v>
      </c>
      <c r="H202" s="562" t="s">
        <v>14667</v>
      </c>
      <c r="I202" s="568" t="s">
        <v>14605</v>
      </c>
      <c r="J202" s="562" t="s">
        <v>14668</v>
      </c>
      <c r="K202" s="562">
        <v>4.0</v>
      </c>
      <c r="L202" s="562" t="s">
        <v>6944</v>
      </c>
      <c r="M202" s="284"/>
    </row>
    <row r="203">
      <c r="A203" s="562" t="s">
        <v>14637</v>
      </c>
      <c r="B203" s="563">
        <v>0.4333796296296296</v>
      </c>
      <c r="C203" s="562" t="s">
        <v>14669</v>
      </c>
      <c r="D203" s="284"/>
      <c r="E203" s="562">
        <v>923063380375</v>
      </c>
      <c r="F203" s="562" t="s">
        <v>6875</v>
      </c>
      <c r="G203" s="284"/>
      <c r="H203" s="562" t="s">
        <v>14670</v>
      </c>
      <c r="I203" s="284"/>
      <c r="J203" s="562" t="s">
        <v>14671</v>
      </c>
      <c r="K203" s="562">
        <v>2.0</v>
      </c>
      <c r="L203" s="562" t="s">
        <v>6944</v>
      </c>
      <c r="M203" s="284"/>
    </row>
    <row r="204">
      <c r="A204" s="562" t="s">
        <v>14637</v>
      </c>
      <c r="B204" s="563">
        <v>0.43396990740740743</v>
      </c>
      <c r="C204" s="562" t="s">
        <v>14672</v>
      </c>
      <c r="D204" s="284"/>
      <c r="E204" s="562">
        <v>923142020022</v>
      </c>
      <c r="F204" s="562" t="s">
        <v>7291</v>
      </c>
      <c r="G204" s="562" t="s">
        <v>14673</v>
      </c>
      <c r="H204" s="562" t="s">
        <v>14674</v>
      </c>
      <c r="I204" s="562" t="s">
        <v>14675</v>
      </c>
      <c r="J204" s="562" t="s">
        <v>14666</v>
      </c>
      <c r="K204" s="562">
        <v>4.0</v>
      </c>
      <c r="L204" s="562" t="s">
        <v>6944</v>
      </c>
      <c r="M204" s="284"/>
    </row>
    <row r="205">
      <c r="A205" s="562" t="s">
        <v>14637</v>
      </c>
      <c r="B205" s="563">
        <v>0.43425925925925923</v>
      </c>
      <c r="C205" s="562" t="s">
        <v>7180</v>
      </c>
      <c r="D205" s="284"/>
      <c r="E205" s="562">
        <v>923042347973</v>
      </c>
      <c r="F205" s="562" t="s">
        <v>6939</v>
      </c>
      <c r="G205" s="562" t="s">
        <v>14673</v>
      </c>
      <c r="H205" s="562" t="s">
        <v>14676</v>
      </c>
      <c r="I205" s="562" t="s">
        <v>14677</v>
      </c>
      <c r="J205" s="562" t="s">
        <v>14678</v>
      </c>
      <c r="K205" s="562">
        <v>4.0</v>
      </c>
      <c r="L205" s="562" t="s">
        <v>14679</v>
      </c>
      <c r="M205" s="284"/>
    </row>
    <row r="206">
      <c r="A206" s="562" t="s">
        <v>14637</v>
      </c>
      <c r="B206" s="563">
        <v>0.4343634259259259</v>
      </c>
      <c r="C206" s="562" t="s">
        <v>7182</v>
      </c>
      <c r="D206" s="284"/>
      <c r="E206" s="562">
        <v>923084639508</v>
      </c>
      <c r="F206" s="562" t="s">
        <v>6875</v>
      </c>
      <c r="G206" s="284"/>
      <c r="H206" s="562" t="s">
        <v>14680</v>
      </c>
      <c r="I206" s="284"/>
      <c r="J206" s="284"/>
      <c r="K206" s="562">
        <v>1.0</v>
      </c>
      <c r="L206" s="562" t="s">
        <v>51</v>
      </c>
      <c r="M206" s="284"/>
    </row>
    <row r="207">
      <c r="A207" s="562" t="s">
        <v>14637</v>
      </c>
      <c r="B207" s="563">
        <v>0.4344675925925926</v>
      </c>
      <c r="C207" s="562" t="s">
        <v>7188</v>
      </c>
      <c r="D207" s="284"/>
      <c r="E207" s="562">
        <v>923174506136</v>
      </c>
      <c r="F207" s="562" t="s">
        <v>6939</v>
      </c>
      <c r="G207" s="562" t="s">
        <v>14681</v>
      </c>
      <c r="H207" s="562" t="s">
        <v>14682</v>
      </c>
      <c r="I207" s="562" t="s">
        <v>14683</v>
      </c>
      <c r="J207" s="562" t="s">
        <v>14678</v>
      </c>
      <c r="K207" s="562">
        <v>4.0</v>
      </c>
      <c r="L207" s="284"/>
      <c r="M207" s="284"/>
    </row>
    <row r="208">
      <c r="A208" s="562" t="s">
        <v>14637</v>
      </c>
      <c r="B208" s="563">
        <v>0.4346412037037037</v>
      </c>
      <c r="C208" s="562" t="s">
        <v>5782</v>
      </c>
      <c r="D208" s="284"/>
      <c r="E208" s="562">
        <v>923191847148</v>
      </c>
      <c r="F208" s="562" t="s">
        <v>6875</v>
      </c>
      <c r="G208" s="284"/>
      <c r="H208" s="562" t="s">
        <v>14684</v>
      </c>
      <c r="I208" s="562" t="s">
        <v>14685</v>
      </c>
      <c r="J208" s="284"/>
      <c r="K208" s="562">
        <v>2.0</v>
      </c>
      <c r="L208" s="284"/>
      <c r="M208" s="284"/>
    </row>
    <row r="209">
      <c r="A209" s="562" t="s">
        <v>14637</v>
      </c>
      <c r="B209" s="563">
        <v>0.4348263888888889</v>
      </c>
      <c r="C209" s="562" t="s">
        <v>13342</v>
      </c>
      <c r="D209" s="284"/>
      <c r="E209" s="562">
        <v>923332622379</v>
      </c>
      <c r="F209" s="562" t="s">
        <v>6875</v>
      </c>
      <c r="G209" s="284"/>
      <c r="H209" s="562" t="s">
        <v>14686</v>
      </c>
      <c r="I209" s="284"/>
      <c r="J209" s="284"/>
      <c r="K209" s="562">
        <v>1.0</v>
      </c>
      <c r="L209" s="562" t="s">
        <v>14687</v>
      </c>
      <c r="M209" s="284"/>
    </row>
    <row r="210">
      <c r="A210" s="568" t="s">
        <v>14637</v>
      </c>
      <c r="B210" s="569">
        <v>0.43516203703703704</v>
      </c>
      <c r="C210" s="568" t="s">
        <v>14688</v>
      </c>
      <c r="D210" s="568" t="s">
        <v>6886</v>
      </c>
      <c r="E210" s="637" t="s">
        <v>14689</v>
      </c>
      <c r="F210" s="562" t="s">
        <v>656</v>
      </c>
      <c r="G210" s="570"/>
      <c r="H210" s="568" t="s">
        <v>14690</v>
      </c>
      <c r="I210" s="570"/>
      <c r="J210" s="570"/>
      <c r="K210" s="568">
        <v>1.0</v>
      </c>
      <c r="L210" s="568" t="s">
        <v>14691</v>
      </c>
      <c r="M210" s="284"/>
    </row>
    <row r="211">
      <c r="A211" s="562" t="s">
        <v>14637</v>
      </c>
      <c r="B211" s="563">
        <v>0.43974537037037037</v>
      </c>
      <c r="C211" s="562" t="s">
        <v>14692</v>
      </c>
      <c r="D211" s="284"/>
      <c r="E211" s="711">
        <v>923498849433</v>
      </c>
      <c r="F211" s="562" t="s">
        <v>7291</v>
      </c>
      <c r="G211" s="562" t="s">
        <v>14681</v>
      </c>
      <c r="H211" s="562" t="s">
        <v>14693</v>
      </c>
      <c r="I211" s="562" t="s">
        <v>14694</v>
      </c>
      <c r="J211" s="562" t="s">
        <v>14695</v>
      </c>
      <c r="K211" s="562">
        <v>4.0</v>
      </c>
      <c r="L211" s="562" t="s">
        <v>685</v>
      </c>
      <c r="M211" s="284"/>
    </row>
    <row r="212">
      <c r="A212" s="562" t="s">
        <v>14637</v>
      </c>
      <c r="B212" s="563">
        <v>0.43982638888888886</v>
      </c>
      <c r="C212" s="562" t="s">
        <v>4563</v>
      </c>
      <c r="D212" s="562" t="s">
        <v>6886</v>
      </c>
      <c r="E212" s="566" t="s">
        <v>14696</v>
      </c>
      <c r="F212" s="562" t="s">
        <v>6939</v>
      </c>
      <c r="G212" s="562" t="s">
        <v>14681</v>
      </c>
      <c r="H212" s="562" t="s">
        <v>14697</v>
      </c>
      <c r="I212" s="562" t="s">
        <v>14698</v>
      </c>
      <c r="J212" s="562" t="s">
        <v>14699</v>
      </c>
      <c r="K212" s="562">
        <v>4.0</v>
      </c>
      <c r="L212" s="562" t="s">
        <v>14700</v>
      </c>
      <c r="M212" s="284"/>
    </row>
    <row r="213">
      <c r="A213" s="562" t="s">
        <v>14637</v>
      </c>
      <c r="B213" s="563">
        <v>0.43997685185185187</v>
      </c>
      <c r="C213" s="562" t="s">
        <v>14701</v>
      </c>
      <c r="D213" s="284"/>
      <c r="E213" s="562">
        <v>923497237088</v>
      </c>
      <c r="F213" s="562" t="s">
        <v>6875</v>
      </c>
      <c r="G213" s="562" t="s">
        <v>14702</v>
      </c>
      <c r="H213" s="562" t="s">
        <v>14703</v>
      </c>
      <c r="I213" s="562" t="s">
        <v>14704</v>
      </c>
      <c r="J213" s="562" t="s">
        <v>14695</v>
      </c>
      <c r="K213" s="562">
        <v>4.0</v>
      </c>
      <c r="L213" s="284"/>
      <c r="M213" s="284"/>
    </row>
    <row r="214">
      <c r="A214" s="562" t="s">
        <v>14637</v>
      </c>
      <c r="B214" s="563">
        <v>0.4400810185185185</v>
      </c>
      <c r="C214" s="562" t="s">
        <v>14705</v>
      </c>
      <c r="D214" s="284"/>
      <c r="E214" s="562">
        <v>923352421981</v>
      </c>
      <c r="F214" s="562" t="s">
        <v>6875</v>
      </c>
      <c r="G214" s="562" t="s">
        <v>14702</v>
      </c>
      <c r="H214" s="562" t="s">
        <v>14706</v>
      </c>
      <c r="I214" s="562" t="s">
        <v>14707</v>
      </c>
      <c r="J214" s="562" t="s">
        <v>14695</v>
      </c>
      <c r="K214" s="562">
        <v>4.0</v>
      </c>
      <c r="L214" s="562" t="s">
        <v>14708</v>
      </c>
      <c r="M214" s="284"/>
    </row>
    <row r="215">
      <c r="A215" s="562" t="s">
        <v>14637</v>
      </c>
      <c r="B215" s="563">
        <v>0.4401851851851852</v>
      </c>
      <c r="C215" s="562" t="s">
        <v>7207</v>
      </c>
      <c r="D215" s="284"/>
      <c r="E215" s="562">
        <v>923323503947</v>
      </c>
      <c r="F215" s="562" t="s">
        <v>6875</v>
      </c>
      <c r="G215" s="562" t="s">
        <v>14702</v>
      </c>
      <c r="H215" s="562" t="s">
        <v>14709</v>
      </c>
      <c r="I215" s="562" t="s">
        <v>14710</v>
      </c>
      <c r="J215" s="562" t="s">
        <v>14711</v>
      </c>
      <c r="K215" s="562">
        <v>4.0</v>
      </c>
      <c r="L215" s="562" t="s">
        <v>927</v>
      </c>
      <c r="M215" s="284"/>
    </row>
    <row r="216">
      <c r="A216" s="562" t="s">
        <v>14637</v>
      </c>
      <c r="B216" s="563">
        <v>0.4403472222222222</v>
      </c>
      <c r="C216" s="562" t="s">
        <v>3380</v>
      </c>
      <c r="D216" s="284"/>
      <c r="E216" s="562">
        <v>923422195025</v>
      </c>
      <c r="F216" s="562" t="s">
        <v>7291</v>
      </c>
      <c r="G216" s="562" t="s">
        <v>14712</v>
      </c>
      <c r="H216" s="562" t="s">
        <v>14713</v>
      </c>
      <c r="I216" s="562" t="s">
        <v>14714</v>
      </c>
      <c r="J216" s="562" t="s">
        <v>14715</v>
      </c>
      <c r="K216" s="562">
        <v>4.0</v>
      </c>
      <c r="L216" s="562" t="s">
        <v>9243</v>
      </c>
      <c r="M216" s="284"/>
    </row>
    <row r="217">
      <c r="A217" s="562" t="s">
        <v>14637</v>
      </c>
      <c r="B217" s="563">
        <v>0.4405439814814815</v>
      </c>
      <c r="C217" s="562" t="s">
        <v>14716</v>
      </c>
      <c r="D217" s="284"/>
      <c r="E217" s="562">
        <v>923003928090</v>
      </c>
      <c r="F217" s="562" t="s">
        <v>6939</v>
      </c>
      <c r="G217" s="562" t="s">
        <v>14717</v>
      </c>
      <c r="H217" s="562" t="s">
        <v>14718</v>
      </c>
      <c r="I217" s="562" t="s">
        <v>14719</v>
      </c>
      <c r="J217" s="562" t="s">
        <v>14720</v>
      </c>
      <c r="K217" s="562">
        <v>4.0</v>
      </c>
      <c r="L217" s="284"/>
      <c r="M217" s="284"/>
    </row>
    <row r="218">
      <c r="A218" s="562" t="s">
        <v>14637</v>
      </c>
      <c r="B218" s="563">
        <v>0.44072916666666667</v>
      </c>
      <c r="C218" s="562" t="s">
        <v>14721</v>
      </c>
      <c r="D218" s="284"/>
      <c r="E218" s="562">
        <v>923129800501</v>
      </c>
      <c r="F218" s="562" t="s">
        <v>6875</v>
      </c>
      <c r="G218" s="562" t="s">
        <v>14717</v>
      </c>
      <c r="H218" s="562" t="s">
        <v>14722</v>
      </c>
      <c r="I218" s="562" t="s">
        <v>14723</v>
      </c>
      <c r="J218" s="562" t="s">
        <v>14724</v>
      </c>
      <c r="K218" s="562">
        <v>4.0</v>
      </c>
      <c r="L218" s="562" t="s">
        <v>14725</v>
      </c>
      <c r="M218" s="284"/>
    </row>
    <row r="219">
      <c r="A219" s="562" t="s">
        <v>14637</v>
      </c>
      <c r="B219" s="563">
        <v>0.44105324074074076</v>
      </c>
      <c r="C219" s="562" t="s">
        <v>14726</v>
      </c>
      <c r="D219" s="284"/>
      <c r="E219" s="562">
        <v>923330307604</v>
      </c>
      <c r="F219" s="562" t="s">
        <v>7291</v>
      </c>
      <c r="G219" s="562" t="s">
        <v>14717</v>
      </c>
      <c r="H219" s="562" t="s">
        <v>14727</v>
      </c>
      <c r="I219" s="562" t="s">
        <v>14728</v>
      </c>
      <c r="J219" s="562" t="s">
        <v>14729</v>
      </c>
      <c r="K219" s="562">
        <v>4.0</v>
      </c>
      <c r="L219" s="562" t="s">
        <v>14730</v>
      </c>
      <c r="M219" s="284"/>
    </row>
    <row r="220">
      <c r="A220" s="562" t="s">
        <v>14637</v>
      </c>
      <c r="B220" s="563">
        <v>0.5277430555555556</v>
      </c>
      <c r="C220" s="562" t="s">
        <v>14731</v>
      </c>
      <c r="D220" s="562" t="s">
        <v>6886</v>
      </c>
      <c r="E220" s="566" t="s">
        <v>14732</v>
      </c>
      <c r="F220" s="562" t="s">
        <v>7291</v>
      </c>
      <c r="G220" s="562" t="s">
        <v>14717</v>
      </c>
      <c r="H220" s="562" t="s">
        <v>14733</v>
      </c>
      <c r="I220" s="562" t="s">
        <v>14734</v>
      </c>
      <c r="J220" s="562" t="s">
        <v>14735</v>
      </c>
      <c r="K220" s="562">
        <v>4.0</v>
      </c>
      <c r="L220" s="562" t="s">
        <v>14736</v>
      </c>
      <c r="M220" s="284"/>
    </row>
    <row r="221">
      <c r="A221" s="562" t="s">
        <v>14637</v>
      </c>
      <c r="B221" s="563">
        <v>0.5409490740740741</v>
      </c>
      <c r="C221" s="562" t="s">
        <v>14737</v>
      </c>
      <c r="D221" s="284"/>
      <c r="E221" s="562">
        <v>923314113397</v>
      </c>
      <c r="F221" s="562" t="s">
        <v>6939</v>
      </c>
      <c r="G221" s="562" t="s">
        <v>14738</v>
      </c>
      <c r="H221" s="562" t="s">
        <v>14739</v>
      </c>
      <c r="I221" s="562" t="s">
        <v>14740</v>
      </c>
      <c r="J221" s="562" t="s">
        <v>14735</v>
      </c>
      <c r="K221" s="562">
        <v>4.0</v>
      </c>
      <c r="L221" s="284"/>
      <c r="M221" s="284"/>
    </row>
    <row r="222">
      <c r="A222" s="562" t="s">
        <v>14637</v>
      </c>
      <c r="B222" s="563">
        <v>0.5430439814814815</v>
      </c>
      <c r="C222" s="562" t="s">
        <v>14741</v>
      </c>
      <c r="D222" s="284"/>
      <c r="E222" s="562">
        <v>923332210623</v>
      </c>
      <c r="F222" s="562" t="s">
        <v>7291</v>
      </c>
      <c r="G222" s="562" t="s">
        <v>14717</v>
      </c>
      <c r="H222" s="562" t="s">
        <v>14727</v>
      </c>
      <c r="I222" s="562" t="s">
        <v>14742</v>
      </c>
      <c r="J222" s="562" t="s">
        <v>14743</v>
      </c>
      <c r="K222" s="562">
        <v>4.0</v>
      </c>
      <c r="L222" s="562" t="s">
        <v>14744</v>
      </c>
      <c r="M222" s="284"/>
    </row>
    <row r="223">
      <c r="A223" s="562" t="s">
        <v>14637</v>
      </c>
      <c r="B223" s="563">
        <v>0.5666087962962963</v>
      </c>
      <c r="C223" s="562" t="s">
        <v>14745</v>
      </c>
      <c r="D223" s="284"/>
      <c r="E223" s="562">
        <v>923182636244</v>
      </c>
      <c r="F223" s="562" t="s">
        <v>6875</v>
      </c>
      <c r="G223" s="562" t="s">
        <v>14717</v>
      </c>
      <c r="H223" s="562" t="s">
        <v>14746</v>
      </c>
      <c r="I223" s="562" t="s">
        <v>14747</v>
      </c>
      <c r="J223" s="562" t="s">
        <v>14748</v>
      </c>
      <c r="K223" s="562">
        <v>4.0</v>
      </c>
      <c r="L223" s="562" t="s">
        <v>152</v>
      </c>
      <c r="M223" s="284"/>
    </row>
    <row r="224">
      <c r="A224" s="562" t="s">
        <v>14637</v>
      </c>
      <c r="B224" s="563">
        <v>0.645787037037037</v>
      </c>
      <c r="C224" s="562" t="s">
        <v>6376</v>
      </c>
      <c r="D224" s="284"/>
      <c r="E224" s="562">
        <v>923223411688</v>
      </c>
      <c r="F224" s="562" t="s">
        <v>7291</v>
      </c>
      <c r="G224" s="562" t="s">
        <v>14717</v>
      </c>
      <c r="H224" s="562" t="s">
        <v>14727</v>
      </c>
      <c r="I224" s="562" t="s">
        <v>14749</v>
      </c>
      <c r="J224" s="562" t="s">
        <v>14750</v>
      </c>
      <c r="K224" s="562">
        <v>4.0</v>
      </c>
      <c r="L224" s="562" t="s">
        <v>685</v>
      </c>
      <c r="M224" s="284"/>
    </row>
    <row r="225">
      <c r="A225" s="562" t="s">
        <v>14637</v>
      </c>
      <c r="B225" s="563">
        <v>0.6847106481481482</v>
      </c>
      <c r="C225" s="562" t="s">
        <v>14751</v>
      </c>
      <c r="D225" s="284"/>
      <c r="E225" s="562">
        <v>923330296576</v>
      </c>
      <c r="F225" s="562" t="s">
        <v>7291</v>
      </c>
      <c r="G225" s="562" t="s">
        <v>14717</v>
      </c>
      <c r="H225" s="562" t="s">
        <v>14727</v>
      </c>
      <c r="I225" s="562" t="s">
        <v>14752</v>
      </c>
      <c r="J225" s="562" t="s">
        <v>14753</v>
      </c>
      <c r="K225" s="562">
        <v>4.0</v>
      </c>
      <c r="L225" s="562" t="s">
        <v>6944</v>
      </c>
      <c r="M225" s="284"/>
    </row>
    <row r="226">
      <c r="A226" s="562" t="s">
        <v>14637</v>
      </c>
      <c r="B226" s="563">
        <v>0.6848263888888889</v>
      </c>
      <c r="C226" s="562" t="s">
        <v>14754</v>
      </c>
      <c r="D226" s="284"/>
      <c r="E226" s="562">
        <v>923338985986</v>
      </c>
      <c r="F226" s="562" t="s">
        <v>6875</v>
      </c>
      <c r="G226" s="562" t="s">
        <v>14717</v>
      </c>
      <c r="H226" s="562" t="s">
        <v>14755</v>
      </c>
      <c r="I226" s="562" t="s">
        <v>14756</v>
      </c>
      <c r="J226" s="562" t="s">
        <v>14757</v>
      </c>
      <c r="K226" s="562">
        <v>4.0</v>
      </c>
      <c r="L226" s="562" t="s">
        <v>6944</v>
      </c>
      <c r="M226" s="284"/>
    </row>
    <row r="227">
      <c r="A227" s="562" t="s">
        <v>14637</v>
      </c>
      <c r="B227" s="563">
        <v>0.7179398148148148</v>
      </c>
      <c r="C227" s="562" t="s">
        <v>7211</v>
      </c>
      <c r="D227" s="284"/>
      <c r="E227" s="562">
        <v>923708952707</v>
      </c>
      <c r="F227" s="562" t="s">
        <v>6875</v>
      </c>
      <c r="G227" s="562" t="s">
        <v>14758</v>
      </c>
      <c r="H227" s="562" t="s">
        <v>14759</v>
      </c>
      <c r="I227" s="562" t="s">
        <v>14756</v>
      </c>
      <c r="J227" s="562" t="s">
        <v>14760</v>
      </c>
      <c r="K227" s="562">
        <v>4.0</v>
      </c>
      <c r="L227" s="284"/>
      <c r="M227" s="284"/>
    </row>
    <row r="228">
      <c r="A228" s="562" t="s">
        <v>14761</v>
      </c>
      <c r="B228" s="563">
        <v>0.4307523148148148</v>
      </c>
      <c r="C228" s="562" t="s">
        <v>14762</v>
      </c>
      <c r="D228" s="284"/>
      <c r="E228" s="562">
        <v>923312940439</v>
      </c>
      <c r="F228" s="562" t="s">
        <v>6939</v>
      </c>
      <c r="G228" s="562" t="s">
        <v>14763</v>
      </c>
      <c r="H228" s="562" t="s">
        <v>14764</v>
      </c>
      <c r="I228" s="562" t="s">
        <v>14765</v>
      </c>
      <c r="J228" s="562" t="s">
        <v>14766</v>
      </c>
      <c r="K228" s="562">
        <v>4.0</v>
      </c>
      <c r="L228" s="284"/>
      <c r="M228" s="284"/>
    </row>
    <row r="229">
      <c r="A229" s="562" t="s">
        <v>14761</v>
      </c>
      <c r="B229" s="563">
        <v>0.4313078703703704</v>
      </c>
      <c r="C229" s="562" t="s">
        <v>14767</v>
      </c>
      <c r="D229" s="284"/>
      <c r="E229" s="562">
        <v>923219501172</v>
      </c>
      <c r="F229" s="562" t="s">
        <v>6875</v>
      </c>
      <c r="G229" s="562" t="s">
        <v>14768</v>
      </c>
      <c r="H229" s="562" t="s">
        <v>14769</v>
      </c>
      <c r="I229" s="562" t="s">
        <v>14756</v>
      </c>
      <c r="J229" s="562" t="s">
        <v>14766</v>
      </c>
      <c r="K229" s="562">
        <v>4.0</v>
      </c>
      <c r="L229" s="284"/>
      <c r="M229" s="284"/>
    </row>
    <row r="230">
      <c r="A230" s="562" t="s">
        <v>14761</v>
      </c>
      <c r="B230" s="563">
        <v>0.4317824074074074</v>
      </c>
      <c r="C230" s="562" t="s">
        <v>14770</v>
      </c>
      <c r="D230" s="284"/>
      <c r="E230" s="562">
        <v>923329404240</v>
      </c>
      <c r="F230" s="562" t="s">
        <v>7291</v>
      </c>
      <c r="G230" s="562" t="s">
        <v>14771</v>
      </c>
      <c r="H230" s="562" t="s">
        <v>14772</v>
      </c>
      <c r="I230" s="562" t="s">
        <v>14773</v>
      </c>
      <c r="J230" s="562" t="s">
        <v>14766</v>
      </c>
      <c r="K230" s="562">
        <v>4.0</v>
      </c>
      <c r="L230" s="562" t="s">
        <v>13750</v>
      </c>
      <c r="M230" s="284"/>
    </row>
    <row r="231">
      <c r="A231" s="562" t="s">
        <v>14761</v>
      </c>
      <c r="B231" s="563">
        <v>0.43212962962962964</v>
      </c>
      <c r="C231" s="562" t="s">
        <v>14774</v>
      </c>
      <c r="D231" s="284"/>
      <c r="E231" s="562">
        <v>923337078574</v>
      </c>
      <c r="F231" s="562" t="s">
        <v>6875</v>
      </c>
      <c r="G231" s="562" t="s">
        <v>14771</v>
      </c>
      <c r="H231" s="562" t="s">
        <v>14772</v>
      </c>
      <c r="I231" s="562" t="s">
        <v>14775</v>
      </c>
      <c r="J231" s="562" t="s">
        <v>14766</v>
      </c>
      <c r="K231" s="562">
        <v>1.0</v>
      </c>
      <c r="L231" s="562" t="s">
        <v>1081</v>
      </c>
      <c r="M231" s="284"/>
    </row>
    <row r="232">
      <c r="A232" s="562" t="s">
        <v>14761</v>
      </c>
      <c r="B232" s="563">
        <v>0.43258101851851855</v>
      </c>
      <c r="C232" s="562" t="s">
        <v>14776</v>
      </c>
      <c r="D232" s="284"/>
      <c r="E232" s="562">
        <v>923007547880</v>
      </c>
      <c r="F232" s="562" t="s">
        <v>6939</v>
      </c>
      <c r="G232" s="562" t="s">
        <v>14777</v>
      </c>
      <c r="H232" s="562" t="s">
        <v>14772</v>
      </c>
      <c r="I232" s="562" t="s">
        <v>14778</v>
      </c>
      <c r="J232" s="562" t="s">
        <v>14779</v>
      </c>
      <c r="K232" s="562">
        <v>4.0</v>
      </c>
      <c r="L232" s="562" t="s">
        <v>11388</v>
      </c>
      <c r="M232" s="284"/>
    </row>
    <row r="233">
      <c r="A233" s="562" t="s">
        <v>14761</v>
      </c>
      <c r="B233" s="563">
        <v>0.4327314814814815</v>
      </c>
      <c r="C233" s="562" t="s">
        <v>14780</v>
      </c>
      <c r="D233" s="284"/>
      <c r="E233" s="562">
        <v>923008211475</v>
      </c>
      <c r="F233" s="562" t="s">
        <v>6875</v>
      </c>
      <c r="G233" s="562" t="s">
        <v>14781</v>
      </c>
      <c r="H233" s="284"/>
      <c r="I233" s="562" t="s">
        <v>14782</v>
      </c>
      <c r="J233" s="284"/>
      <c r="K233" s="562">
        <v>2.0</v>
      </c>
      <c r="L233" s="562" t="s">
        <v>14783</v>
      </c>
      <c r="M233" s="284"/>
    </row>
    <row r="234">
      <c r="A234" s="562" t="s">
        <v>14761</v>
      </c>
      <c r="B234" s="563">
        <v>0.43289351851851854</v>
      </c>
      <c r="C234" s="562" t="s">
        <v>7214</v>
      </c>
      <c r="D234" s="284"/>
      <c r="E234" s="562">
        <v>923457519229</v>
      </c>
      <c r="F234" s="562" t="s">
        <v>6939</v>
      </c>
      <c r="G234" s="562" t="s">
        <v>14784</v>
      </c>
      <c r="H234" s="562" t="s">
        <v>14785</v>
      </c>
      <c r="I234" s="562" t="s">
        <v>14786</v>
      </c>
      <c r="J234" s="562" t="s">
        <v>14766</v>
      </c>
      <c r="K234" s="562">
        <v>4.0</v>
      </c>
      <c r="L234" s="284"/>
      <c r="M234" s="284"/>
    </row>
    <row r="235">
      <c r="A235" s="562" t="s">
        <v>14761</v>
      </c>
      <c r="B235" s="563">
        <v>0.43309027777777775</v>
      </c>
      <c r="C235" s="562" t="s">
        <v>14787</v>
      </c>
      <c r="D235" s="284"/>
      <c r="E235" s="562">
        <v>923332202260</v>
      </c>
      <c r="F235" s="562" t="s">
        <v>6875</v>
      </c>
      <c r="G235" s="562" t="s">
        <v>14784</v>
      </c>
      <c r="H235" s="562" t="s">
        <v>14788</v>
      </c>
      <c r="I235" s="562" t="s">
        <v>14789</v>
      </c>
      <c r="J235" s="562" t="s">
        <v>14790</v>
      </c>
      <c r="K235" s="562">
        <v>4.0</v>
      </c>
      <c r="L235" s="562" t="s">
        <v>51</v>
      </c>
      <c r="M235" s="284"/>
    </row>
    <row r="236">
      <c r="A236" s="562" t="s">
        <v>14761</v>
      </c>
      <c r="B236" s="563">
        <v>0.433287037037037</v>
      </c>
      <c r="C236" s="562" t="s">
        <v>14791</v>
      </c>
      <c r="D236" s="284"/>
      <c r="E236" s="562">
        <v>923343646726</v>
      </c>
      <c r="F236" s="562" t="s">
        <v>6875</v>
      </c>
      <c r="G236" s="284"/>
      <c r="H236" s="284"/>
      <c r="I236" s="562" t="s">
        <v>14792</v>
      </c>
      <c r="J236" s="284"/>
      <c r="K236" s="562">
        <v>1.0</v>
      </c>
      <c r="L236" s="562" t="s">
        <v>51</v>
      </c>
      <c r="M236" s="284"/>
    </row>
    <row r="237">
      <c r="A237" s="562" t="s">
        <v>14761</v>
      </c>
      <c r="B237" s="563">
        <v>0.43355324074074075</v>
      </c>
      <c r="C237" s="562" t="s">
        <v>4354</v>
      </c>
      <c r="D237" s="284"/>
      <c r="E237" s="562">
        <v>923009219702</v>
      </c>
      <c r="F237" s="562" t="s">
        <v>6875</v>
      </c>
      <c r="G237" s="562" t="s">
        <v>14784</v>
      </c>
      <c r="H237" s="562" t="s">
        <v>14772</v>
      </c>
      <c r="I237" s="562" t="s">
        <v>14793</v>
      </c>
      <c r="J237" s="562" t="s">
        <v>14766</v>
      </c>
      <c r="K237" s="562">
        <v>4.0</v>
      </c>
      <c r="L237" s="562" t="s">
        <v>14794</v>
      </c>
      <c r="M237" s="284"/>
    </row>
    <row r="238">
      <c r="A238" s="562" t="s">
        <v>14761</v>
      </c>
      <c r="B238" s="563">
        <v>0.4336921296296296</v>
      </c>
      <c r="C238" s="562" t="s">
        <v>11078</v>
      </c>
      <c r="D238" s="284"/>
      <c r="E238" s="562">
        <v>923143184154</v>
      </c>
      <c r="F238" s="562" t="s">
        <v>6875</v>
      </c>
      <c r="G238" s="562" t="s">
        <v>14784</v>
      </c>
      <c r="H238" s="562" t="s">
        <v>14772</v>
      </c>
      <c r="I238" s="562" t="s">
        <v>14795</v>
      </c>
      <c r="J238" s="562" t="s">
        <v>14796</v>
      </c>
      <c r="K238" s="562">
        <v>4.0</v>
      </c>
      <c r="L238" s="562" t="s">
        <v>6944</v>
      </c>
      <c r="M238" s="284"/>
    </row>
    <row r="239">
      <c r="A239" s="562" t="s">
        <v>14761</v>
      </c>
      <c r="B239" s="563">
        <v>0.43396990740740743</v>
      </c>
      <c r="C239" s="562" t="s">
        <v>14797</v>
      </c>
      <c r="D239" s="284"/>
      <c r="E239" s="562">
        <v>923322754119</v>
      </c>
      <c r="F239" s="562" t="s">
        <v>6875</v>
      </c>
      <c r="G239" s="562" t="s">
        <v>14784</v>
      </c>
      <c r="H239" s="562" t="s">
        <v>14798</v>
      </c>
      <c r="I239" s="562" t="s">
        <v>14799</v>
      </c>
      <c r="J239" s="562" t="s">
        <v>14766</v>
      </c>
      <c r="K239" s="562">
        <v>4.0</v>
      </c>
      <c r="L239" s="284"/>
      <c r="M239" s="284"/>
    </row>
    <row r="240">
      <c r="A240" s="562" t="s">
        <v>14761</v>
      </c>
      <c r="B240" s="563">
        <v>0.43431712962962965</v>
      </c>
      <c r="C240" s="562" t="s">
        <v>1515</v>
      </c>
      <c r="D240" s="284"/>
      <c r="E240" s="562">
        <v>923700034291</v>
      </c>
      <c r="F240" s="562" t="s">
        <v>6939</v>
      </c>
      <c r="G240" s="562" t="s">
        <v>14784</v>
      </c>
      <c r="H240" s="562" t="s">
        <v>14800</v>
      </c>
      <c r="I240" s="562" t="s">
        <v>14801</v>
      </c>
      <c r="J240" s="562" t="s">
        <v>14802</v>
      </c>
      <c r="K240" s="562">
        <v>4.0</v>
      </c>
      <c r="L240" s="562" t="s">
        <v>14803</v>
      </c>
      <c r="M240" s="284"/>
    </row>
    <row r="241">
      <c r="A241" s="562" t="s">
        <v>14761</v>
      </c>
      <c r="B241" s="563">
        <v>0.4361921296296296</v>
      </c>
      <c r="C241" s="562" t="s">
        <v>11082</v>
      </c>
      <c r="D241" s="284"/>
      <c r="E241" s="562">
        <v>923394909512</v>
      </c>
      <c r="F241" s="562" t="s">
        <v>6939</v>
      </c>
      <c r="G241" s="562" t="s">
        <v>14784</v>
      </c>
      <c r="H241" s="562" t="s">
        <v>14804</v>
      </c>
      <c r="I241" s="562" t="s">
        <v>14805</v>
      </c>
      <c r="J241" s="562" t="s">
        <v>14766</v>
      </c>
      <c r="K241" s="562">
        <v>4.0</v>
      </c>
      <c r="L241" s="562" t="s">
        <v>11388</v>
      </c>
      <c r="M241" s="284"/>
    </row>
    <row r="242">
      <c r="A242" s="562" t="s">
        <v>14761</v>
      </c>
      <c r="B242" s="563">
        <v>0.4363078703703704</v>
      </c>
      <c r="C242" s="562" t="s">
        <v>7216</v>
      </c>
      <c r="D242" s="284"/>
      <c r="E242" s="562">
        <v>923409611825</v>
      </c>
      <c r="F242" s="562" t="s">
        <v>6939</v>
      </c>
      <c r="G242" s="562" t="s">
        <v>14784</v>
      </c>
      <c r="H242" s="562" t="s">
        <v>14806</v>
      </c>
      <c r="I242" s="562" t="s">
        <v>14807</v>
      </c>
      <c r="J242" s="562" t="s">
        <v>14766</v>
      </c>
      <c r="K242" s="562">
        <v>4.0</v>
      </c>
      <c r="L242" s="562" t="s">
        <v>11388</v>
      </c>
      <c r="M242" s="284"/>
    </row>
    <row r="243">
      <c r="A243" s="562" t="s">
        <v>14761</v>
      </c>
      <c r="B243" s="563">
        <v>0.4365046296296296</v>
      </c>
      <c r="C243" s="562" t="s">
        <v>14808</v>
      </c>
      <c r="D243" s="284"/>
      <c r="E243" s="562">
        <v>923014494144</v>
      </c>
      <c r="F243" s="562" t="s">
        <v>6888</v>
      </c>
      <c r="G243" s="562" t="s">
        <v>14784</v>
      </c>
      <c r="H243" s="562" t="s">
        <v>14809</v>
      </c>
      <c r="I243" s="562" t="s">
        <v>14810</v>
      </c>
      <c r="J243" s="562" t="s">
        <v>14766</v>
      </c>
      <c r="K243" s="562">
        <v>4.0</v>
      </c>
      <c r="L243" s="562" t="s">
        <v>13750</v>
      </c>
      <c r="M243" s="284"/>
    </row>
    <row r="244">
      <c r="A244" s="562" t="s">
        <v>14761</v>
      </c>
      <c r="B244" s="563">
        <v>0.44276620370370373</v>
      </c>
      <c r="C244" s="562" t="s">
        <v>14811</v>
      </c>
      <c r="D244" s="284"/>
      <c r="E244" s="574">
        <v>923312457363</v>
      </c>
      <c r="F244" s="562" t="s">
        <v>6888</v>
      </c>
      <c r="G244" s="562" t="s">
        <v>14812</v>
      </c>
      <c r="H244" s="284"/>
      <c r="I244" s="562" t="s">
        <v>14813</v>
      </c>
      <c r="J244" s="284"/>
      <c r="K244" s="562">
        <v>2.0</v>
      </c>
      <c r="L244" s="562" t="s">
        <v>14814</v>
      </c>
      <c r="M244" s="284"/>
    </row>
    <row r="245">
      <c r="A245" s="562" t="s">
        <v>14761</v>
      </c>
      <c r="B245" s="563">
        <v>0.4440162037037037</v>
      </c>
      <c r="C245" s="562" t="s">
        <v>7221</v>
      </c>
      <c r="D245" s="284"/>
      <c r="E245" s="562">
        <v>923211085356</v>
      </c>
      <c r="F245" s="562" t="s">
        <v>6875</v>
      </c>
      <c r="G245" s="284"/>
      <c r="H245" s="284"/>
      <c r="I245" s="562" t="s">
        <v>14815</v>
      </c>
      <c r="J245" s="562" t="s">
        <v>14816</v>
      </c>
      <c r="K245" s="562">
        <v>2.0</v>
      </c>
      <c r="L245" s="562" t="s">
        <v>51</v>
      </c>
      <c r="M245" s="284"/>
    </row>
    <row r="246">
      <c r="A246" s="562" t="s">
        <v>14761</v>
      </c>
      <c r="B246" s="563">
        <v>0.4441435185185185</v>
      </c>
      <c r="C246" s="562" t="s">
        <v>14817</v>
      </c>
      <c r="D246" s="562" t="s">
        <v>11511</v>
      </c>
      <c r="E246" s="566" t="s">
        <v>14818</v>
      </c>
      <c r="F246" s="562" t="s">
        <v>6875</v>
      </c>
      <c r="G246" s="562" t="s">
        <v>14784</v>
      </c>
      <c r="H246" s="562" t="s">
        <v>14819</v>
      </c>
      <c r="I246" s="562" t="s">
        <v>14820</v>
      </c>
      <c r="J246" s="562" t="s">
        <v>14821</v>
      </c>
      <c r="K246" s="562">
        <v>4.0</v>
      </c>
      <c r="L246" s="562" t="s">
        <v>14822</v>
      </c>
      <c r="M246" s="284"/>
    </row>
    <row r="247">
      <c r="A247" s="562" t="s">
        <v>14761</v>
      </c>
      <c r="B247" s="563">
        <v>0.44429398148148147</v>
      </c>
      <c r="C247" s="562" t="s">
        <v>7231</v>
      </c>
      <c r="D247" s="284"/>
      <c r="E247" s="568">
        <v>923455260393</v>
      </c>
      <c r="F247" s="562" t="s">
        <v>6875</v>
      </c>
      <c r="G247" s="562" t="s">
        <v>14784</v>
      </c>
      <c r="H247" s="562" t="s">
        <v>14772</v>
      </c>
      <c r="I247" s="562" t="s">
        <v>14823</v>
      </c>
      <c r="J247" s="562" t="s">
        <v>14766</v>
      </c>
      <c r="K247" s="562">
        <v>4.0</v>
      </c>
      <c r="L247" s="562" t="s">
        <v>372</v>
      </c>
      <c r="M247" s="284"/>
    </row>
    <row r="248">
      <c r="A248" s="562" t="s">
        <v>14761</v>
      </c>
      <c r="B248" s="563">
        <v>0.44608796296296294</v>
      </c>
      <c r="C248" s="562" t="s">
        <v>14824</v>
      </c>
      <c r="D248" s="284"/>
      <c r="E248" s="562">
        <v>923332796520</v>
      </c>
      <c r="F248" s="562" t="s">
        <v>6875</v>
      </c>
      <c r="G248" s="562" t="s">
        <v>14777</v>
      </c>
      <c r="H248" s="562" t="s">
        <v>14772</v>
      </c>
      <c r="I248" s="562" t="s">
        <v>14825</v>
      </c>
      <c r="J248" s="562" t="s">
        <v>14826</v>
      </c>
      <c r="K248" s="562">
        <v>4.0</v>
      </c>
      <c r="L248" s="562" t="s">
        <v>685</v>
      </c>
      <c r="M248" s="284"/>
    </row>
    <row r="249">
      <c r="A249" s="562" t="s">
        <v>14761</v>
      </c>
      <c r="B249" s="563">
        <v>0.5993402777777778</v>
      </c>
      <c r="C249" s="562" t="s">
        <v>14827</v>
      </c>
      <c r="D249" s="284"/>
      <c r="E249" s="568">
        <v>923218895813</v>
      </c>
      <c r="F249" s="562" t="s">
        <v>6875</v>
      </c>
      <c r="G249" s="562" t="s">
        <v>14777</v>
      </c>
      <c r="H249" s="562" t="s">
        <v>14772</v>
      </c>
      <c r="I249" s="562" t="s">
        <v>14828</v>
      </c>
      <c r="J249" s="562" t="s">
        <v>14829</v>
      </c>
      <c r="K249" s="562">
        <v>4.0</v>
      </c>
      <c r="L249" s="562" t="s">
        <v>14830</v>
      </c>
      <c r="M249" s="284"/>
    </row>
    <row r="250">
      <c r="A250" s="562" t="s">
        <v>14761</v>
      </c>
      <c r="B250" s="563">
        <v>0.650162037037037</v>
      </c>
      <c r="C250" s="562" t="s">
        <v>14831</v>
      </c>
      <c r="D250" s="284"/>
      <c r="E250" s="568">
        <v>923092176097</v>
      </c>
      <c r="F250" s="562" t="s">
        <v>6875</v>
      </c>
      <c r="G250" s="284"/>
      <c r="H250" s="284"/>
      <c r="I250" s="284"/>
      <c r="J250" s="562" t="s">
        <v>14832</v>
      </c>
      <c r="K250" s="562">
        <v>1.0</v>
      </c>
      <c r="L250" s="562" t="s">
        <v>14833</v>
      </c>
      <c r="M250" s="284"/>
    </row>
    <row r="251">
      <c r="A251" s="562" t="s">
        <v>14834</v>
      </c>
      <c r="B251" s="563">
        <v>0.4219097222222222</v>
      </c>
      <c r="C251" s="562" t="s">
        <v>7236</v>
      </c>
      <c r="D251" s="284"/>
      <c r="E251" s="562">
        <v>923332797469</v>
      </c>
      <c r="F251" s="562" t="s">
        <v>6939</v>
      </c>
      <c r="G251" s="562" t="s">
        <v>14835</v>
      </c>
      <c r="H251" s="562" t="s">
        <v>14836</v>
      </c>
      <c r="I251" s="562" t="s">
        <v>14837</v>
      </c>
      <c r="J251" s="562" t="s">
        <v>14766</v>
      </c>
      <c r="K251" s="562">
        <v>4.0</v>
      </c>
      <c r="L251" s="284"/>
      <c r="M251" s="284"/>
    </row>
    <row r="252">
      <c r="A252" s="562" t="s">
        <v>14834</v>
      </c>
      <c r="B252" s="563">
        <v>0.4220138888888889</v>
      </c>
      <c r="C252" s="562" t="s">
        <v>7241</v>
      </c>
      <c r="D252" s="284"/>
      <c r="E252" s="562">
        <v>923005880682</v>
      </c>
      <c r="F252" s="562" t="s">
        <v>6939</v>
      </c>
      <c r="G252" s="562" t="s">
        <v>14835</v>
      </c>
      <c r="H252" s="562" t="s">
        <v>14838</v>
      </c>
      <c r="I252" s="562" t="s">
        <v>14839</v>
      </c>
      <c r="J252" s="562" t="s">
        <v>14766</v>
      </c>
      <c r="K252" s="562">
        <v>4.0</v>
      </c>
      <c r="L252" s="284"/>
      <c r="M252" s="284"/>
    </row>
    <row r="253">
      <c r="A253" s="562" t="s">
        <v>14834</v>
      </c>
      <c r="B253" s="563">
        <v>0.42270833333333335</v>
      </c>
      <c r="C253" s="562" t="s">
        <v>7252</v>
      </c>
      <c r="D253" s="284"/>
      <c r="E253" s="562">
        <v>923199362910</v>
      </c>
      <c r="F253" s="562" t="s">
        <v>7291</v>
      </c>
      <c r="G253" s="284"/>
      <c r="H253" s="562" t="s">
        <v>14840</v>
      </c>
      <c r="I253" s="284"/>
      <c r="J253" s="284"/>
      <c r="K253" s="562">
        <v>1.0</v>
      </c>
      <c r="L253" s="562" t="s">
        <v>13750</v>
      </c>
      <c r="M253" s="284"/>
    </row>
    <row r="254">
      <c r="A254" s="562" t="s">
        <v>14834</v>
      </c>
      <c r="B254" s="563">
        <v>0.42280092592592594</v>
      </c>
      <c r="C254" s="562" t="s">
        <v>6319</v>
      </c>
      <c r="D254" s="562" t="s">
        <v>7725</v>
      </c>
      <c r="E254" s="566" t="s">
        <v>14841</v>
      </c>
      <c r="F254" s="562" t="s">
        <v>6875</v>
      </c>
      <c r="G254" s="562" t="s">
        <v>14835</v>
      </c>
      <c r="H254" s="562" t="s">
        <v>14842</v>
      </c>
      <c r="I254" s="562" t="s">
        <v>14843</v>
      </c>
      <c r="J254" s="562" t="s">
        <v>14766</v>
      </c>
      <c r="K254" s="562">
        <v>4.0</v>
      </c>
      <c r="L254" s="562" t="s">
        <v>51</v>
      </c>
      <c r="M254" s="284"/>
    </row>
    <row r="255">
      <c r="A255" s="562" t="s">
        <v>14834</v>
      </c>
      <c r="B255" s="563">
        <v>0.42290509259259257</v>
      </c>
      <c r="C255" s="562" t="s">
        <v>14844</v>
      </c>
      <c r="D255" s="562" t="s">
        <v>6886</v>
      </c>
      <c r="E255" s="566" t="s">
        <v>14845</v>
      </c>
      <c r="F255" s="562" t="s">
        <v>6939</v>
      </c>
      <c r="G255" s="562" t="s">
        <v>14835</v>
      </c>
      <c r="H255" s="562" t="s">
        <v>14846</v>
      </c>
      <c r="I255" s="562" t="s">
        <v>14847</v>
      </c>
      <c r="J255" s="562" t="s">
        <v>14766</v>
      </c>
      <c r="K255" s="562">
        <v>4.0</v>
      </c>
      <c r="L255" s="284"/>
      <c r="M255" s="284"/>
    </row>
    <row r="256">
      <c r="A256" s="562" t="s">
        <v>14834</v>
      </c>
      <c r="B256" s="563">
        <v>0.42302083333333335</v>
      </c>
      <c r="C256" s="562" t="s">
        <v>14848</v>
      </c>
      <c r="D256" s="562" t="s">
        <v>7725</v>
      </c>
      <c r="E256" s="566" t="s">
        <v>14849</v>
      </c>
      <c r="F256" s="562" t="s">
        <v>6939</v>
      </c>
      <c r="G256" s="562" t="s">
        <v>14835</v>
      </c>
      <c r="H256" s="562" t="s">
        <v>14850</v>
      </c>
      <c r="I256" s="562" t="s">
        <v>14851</v>
      </c>
      <c r="J256" s="562" t="s">
        <v>14766</v>
      </c>
      <c r="K256" s="562">
        <v>4.0</v>
      </c>
      <c r="L256" s="284"/>
      <c r="M256" s="284"/>
    </row>
    <row r="257">
      <c r="A257" s="562" t="s">
        <v>14834</v>
      </c>
      <c r="B257" s="563">
        <v>0.423125</v>
      </c>
      <c r="C257" s="562" t="s">
        <v>3981</v>
      </c>
      <c r="D257" s="562" t="s">
        <v>7725</v>
      </c>
      <c r="E257" s="637" t="s">
        <v>14852</v>
      </c>
      <c r="F257" s="562" t="s">
        <v>6875</v>
      </c>
      <c r="G257" s="284"/>
      <c r="H257" s="562" t="s">
        <v>14853</v>
      </c>
      <c r="I257" s="284"/>
      <c r="J257" s="284"/>
      <c r="K257" s="562">
        <v>1.0</v>
      </c>
      <c r="L257" s="562" t="s">
        <v>372</v>
      </c>
      <c r="M257" s="284"/>
    </row>
    <row r="258">
      <c r="A258" s="562" t="s">
        <v>14834</v>
      </c>
      <c r="B258" s="563">
        <v>0.423275462962963</v>
      </c>
      <c r="C258" s="562" t="s">
        <v>14854</v>
      </c>
      <c r="D258" s="562" t="s">
        <v>6886</v>
      </c>
      <c r="E258" s="637" t="s">
        <v>14855</v>
      </c>
      <c r="F258" s="562" t="s">
        <v>6875</v>
      </c>
      <c r="G258" s="562" t="s">
        <v>14835</v>
      </c>
      <c r="H258" s="562" t="s">
        <v>14856</v>
      </c>
      <c r="I258" s="562" t="s">
        <v>14857</v>
      </c>
      <c r="J258" s="562" t="s">
        <v>14766</v>
      </c>
      <c r="K258" s="562">
        <v>4.0</v>
      </c>
      <c r="L258" s="562" t="s">
        <v>14858</v>
      </c>
      <c r="M258" s="284"/>
    </row>
    <row r="259">
      <c r="A259" s="562" t="s">
        <v>14834</v>
      </c>
      <c r="B259" s="563">
        <v>0.4233912037037037</v>
      </c>
      <c r="C259" s="562" t="s">
        <v>14859</v>
      </c>
      <c r="D259" s="562" t="s">
        <v>6886</v>
      </c>
      <c r="E259" s="566" t="s">
        <v>14860</v>
      </c>
      <c r="F259" s="562" t="s">
        <v>6875</v>
      </c>
      <c r="G259" s="562" t="s">
        <v>14835</v>
      </c>
      <c r="H259" s="562" t="s">
        <v>14861</v>
      </c>
      <c r="I259" s="562" t="s">
        <v>14862</v>
      </c>
      <c r="J259" s="562" t="s">
        <v>14863</v>
      </c>
      <c r="K259" s="562">
        <v>4.0</v>
      </c>
      <c r="L259" s="562" t="s">
        <v>14864</v>
      </c>
      <c r="M259" s="284"/>
    </row>
    <row r="260">
      <c r="A260" s="562" t="s">
        <v>14834</v>
      </c>
      <c r="B260" s="563">
        <v>0.4234837962962963</v>
      </c>
      <c r="C260" s="562" t="s">
        <v>14865</v>
      </c>
      <c r="D260" s="562" t="s">
        <v>6886</v>
      </c>
      <c r="E260" s="566" t="s">
        <v>14866</v>
      </c>
      <c r="F260" s="562" t="s">
        <v>6939</v>
      </c>
      <c r="G260" s="562" t="s">
        <v>14835</v>
      </c>
      <c r="H260" s="562" t="s">
        <v>14867</v>
      </c>
      <c r="I260" s="562" t="s">
        <v>14868</v>
      </c>
      <c r="J260" s="562" t="s">
        <v>14766</v>
      </c>
      <c r="K260" s="562">
        <v>4.0</v>
      </c>
      <c r="L260" s="284"/>
      <c r="M260" s="284"/>
    </row>
    <row r="261">
      <c r="A261" s="568" t="s">
        <v>14834</v>
      </c>
      <c r="B261" s="569">
        <v>0.423599537037037</v>
      </c>
      <c r="C261" s="568" t="s">
        <v>14869</v>
      </c>
      <c r="D261" s="568" t="s">
        <v>6886</v>
      </c>
      <c r="E261" s="637" t="s">
        <v>14870</v>
      </c>
      <c r="F261" s="562" t="s">
        <v>6875</v>
      </c>
      <c r="G261" s="568" t="s">
        <v>14871</v>
      </c>
      <c r="H261" s="562" t="s">
        <v>14872</v>
      </c>
      <c r="I261" s="568" t="s">
        <v>14873</v>
      </c>
      <c r="J261" s="562" t="s">
        <v>14874</v>
      </c>
      <c r="K261" s="562">
        <v>4.0</v>
      </c>
      <c r="L261" s="568" t="s">
        <v>14875</v>
      </c>
      <c r="M261" s="284"/>
    </row>
    <row r="262">
      <c r="A262" s="562" t="s">
        <v>14834</v>
      </c>
      <c r="B262" s="563">
        <v>0.4237037037037037</v>
      </c>
      <c r="C262" s="562" t="s">
        <v>14876</v>
      </c>
      <c r="D262" s="562" t="s">
        <v>6886</v>
      </c>
      <c r="E262" s="566" t="s">
        <v>14877</v>
      </c>
      <c r="F262" s="562" t="s">
        <v>6939</v>
      </c>
      <c r="G262" s="562" t="s">
        <v>14835</v>
      </c>
      <c r="H262" s="562" t="s">
        <v>14878</v>
      </c>
      <c r="I262" s="562" t="s">
        <v>14879</v>
      </c>
      <c r="J262" s="562" t="s">
        <v>14766</v>
      </c>
      <c r="K262" s="562">
        <v>4.0</v>
      </c>
      <c r="L262" s="562" t="s">
        <v>6944</v>
      </c>
      <c r="M262" s="284"/>
    </row>
    <row r="263">
      <c r="A263" s="562" t="s">
        <v>14834</v>
      </c>
      <c r="B263" s="563">
        <v>0.4238078703703704</v>
      </c>
      <c r="C263" s="562" t="s">
        <v>14880</v>
      </c>
      <c r="D263" s="562" t="s">
        <v>6886</v>
      </c>
      <c r="E263" s="566" t="s">
        <v>14881</v>
      </c>
      <c r="F263" s="562" t="s">
        <v>6875</v>
      </c>
      <c r="G263" s="284"/>
      <c r="H263" s="562" t="s">
        <v>14882</v>
      </c>
      <c r="I263" s="284"/>
      <c r="J263" s="284"/>
      <c r="K263" s="562">
        <v>1.0</v>
      </c>
      <c r="L263" s="562" t="s">
        <v>6944</v>
      </c>
      <c r="M263" s="284"/>
    </row>
    <row r="264">
      <c r="A264" s="562" t="s">
        <v>14834</v>
      </c>
      <c r="B264" s="563">
        <v>0.42391203703703706</v>
      </c>
      <c r="C264" s="562" t="s">
        <v>14883</v>
      </c>
      <c r="D264" s="562" t="s">
        <v>6886</v>
      </c>
      <c r="E264" s="566" t="s">
        <v>14884</v>
      </c>
      <c r="F264" s="562" t="s">
        <v>6875</v>
      </c>
      <c r="G264" s="284"/>
      <c r="H264" s="562" t="s">
        <v>14885</v>
      </c>
      <c r="I264" s="562" t="s">
        <v>14886</v>
      </c>
      <c r="J264" s="284"/>
      <c r="K264" s="562">
        <v>2.0</v>
      </c>
      <c r="L264" s="562" t="s">
        <v>11835</v>
      </c>
      <c r="M264" s="284"/>
    </row>
    <row r="265">
      <c r="A265" s="562" t="s">
        <v>14834</v>
      </c>
      <c r="B265" s="563">
        <v>0.42421296296296296</v>
      </c>
      <c r="C265" s="562" t="s">
        <v>14887</v>
      </c>
      <c r="D265" s="284"/>
      <c r="E265" s="562">
        <v>923365383385</v>
      </c>
      <c r="F265" s="562" t="s">
        <v>6939</v>
      </c>
      <c r="G265" s="562" t="s">
        <v>14835</v>
      </c>
      <c r="H265" s="562" t="s">
        <v>14888</v>
      </c>
      <c r="I265" s="562" t="s">
        <v>14889</v>
      </c>
      <c r="J265" s="562" t="s">
        <v>14766</v>
      </c>
      <c r="K265" s="562">
        <v>4.0</v>
      </c>
      <c r="L265" s="284"/>
      <c r="M265" s="284"/>
    </row>
    <row r="266">
      <c r="A266" s="562" t="s">
        <v>14834</v>
      </c>
      <c r="B266" s="563">
        <v>0.4243634259259259</v>
      </c>
      <c r="C266" s="562" t="s">
        <v>7318</v>
      </c>
      <c r="D266" s="284"/>
      <c r="E266" s="562">
        <v>923158395684</v>
      </c>
      <c r="F266" s="562" t="s">
        <v>6939</v>
      </c>
      <c r="G266" s="562" t="s">
        <v>14835</v>
      </c>
      <c r="H266" s="562" t="s">
        <v>14890</v>
      </c>
      <c r="I266" s="562" t="s">
        <v>14891</v>
      </c>
      <c r="J266" s="562" t="s">
        <v>14766</v>
      </c>
      <c r="K266" s="562">
        <v>4.0</v>
      </c>
      <c r="L266" s="284"/>
      <c r="M266" s="284"/>
    </row>
    <row r="267">
      <c r="A267" s="562" t="s">
        <v>14834</v>
      </c>
      <c r="B267" s="563">
        <v>0.42949074074074073</v>
      </c>
      <c r="C267" s="562" t="s">
        <v>14892</v>
      </c>
      <c r="D267" s="562" t="s">
        <v>6886</v>
      </c>
      <c r="E267" s="566" t="s">
        <v>14893</v>
      </c>
      <c r="F267" s="562" t="s">
        <v>6875</v>
      </c>
      <c r="G267" s="562" t="s">
        <v>14835</v>
      </c>
      <c r="H267" s="562" t="s">
        <v>14894</v>
      </c>
      <c r="I267" s="562" t="s">
        <v>14895</v>
      </c>
      <c r="J267" s="562" t="s">
        <v>14826</v>
      </c>
      <c r="K267" s="562">
        <v>4.0</v>
      </c>
      <c r="L267" s="562" t="s">
        <v>14896</v>
      </c>
      <c r="M267" s="284"/>
    </row>
    <row r="268">
      <c r="A268" s="562" t="s">
        <v>14834</v>
      </c>
      <c r="B268" s="563">
        <v>0.4296990740740741</v>
      </c>
      <c r="C268" s="562" t="s">
        <v>14897</v>
      </c>
      <c r="D268" s="562" t="s">
        <v>6886</v>
      </c>
      <c r="E268" s="566" t="s">
        <v>14898</v>
      </c>
      <c r="F268" s="562" t="s">
        <v>6939</v>
      </c>
      <c r="G268" s="562" t="s">
        <v>14835</v>
      </c>
      <c r="H268" s="562" t="s">
        <v>14899</v>
      </c>
      <c r="I268" s="562" t="s">
        <v>14900</v>
      </c>
      <c r="J268" s="562" t="s">
        <v>14766</v>
      </c>
      <c r="K268" s="562">
        <v>4.0</v>
      </c>
      <c r="L268" s="562" t="s">
        <v>10707</v>
      </c>
      <c r="M268" s="284"/>
    </row>
    <row r="269">
      <c r="A269" s="562" t="s">
        <v>14834</v>
      </c>
      <c r="B269" s="563">
        <v>0.42983796296296295</v>
      </c>
      <c r="C269" s="562" t="s">
        <v>14901</v>
      </c>
      <c r="D269" s="562" t="s">
        <v>6886</v>
      </c>
      <c r="E269" s="566" t="s">
        <v>14902</v>
      </c>
      <c r="F269" s="562" t="s">
        <v>6875</v>
      </c>
      <c r="G269" s="562" t="s">
        <v>14835</v>
      </c>
      <c r="H269" s="562" t="s">
        <v>14903</v>
      </c>
      <c r="I269" s="562" t="s">
        <v>14904</v>
      </c>
      <c r="J269" s="562" t="s">
        <v>14826</v>
      </c>
      <c r="K269" s="562">
        <v>4.0</v>
      </c>
      <c r="L269" s="562" t="s">
        <v>14905</v>
      </c>
      <c r="M269" s="284"/>
    </row>
    <row r="270">
      <c r="A270" s="562" t="s">
        <v>14834</v>
      </c>
      <c r="B270" s="563">
        <v>0.43008101851851854</v>
      </c>
      <c r="C270" s="562" t="s">
        <v>14906</v>
      </c>
      <c r="D270" s="562" t="s">
        <v>7725</v>
      </c>
      <c r="E270" s="562" t="s">
        <v>14907</v>
      </c>
      <c r="F270" s="562" t="s">
        <v>6875</v>
      </c>
      <c r="G270" s="562" t="s">
        <v>14835</v>
      </c>
      <c r="H270" s="562" t="s">
        <v>14908</v>
      </c>
      <c r="I270" s="562" t="s">
        <v>14909</v>
      </c>
      <c r="J270" s="562" t="s">
        <v>14910</v>
      </c>
      <c r="K270" s="562">
        <v>4.0</v>
      </c>
      <c r="L270" s="562" t="s">
        <v>10609</v>
      </c>
      <c r="M270" s="284"/>
    </row>
    <row r="271">
      <c r="A271" s="562" t="s">
        <v>14834</v>
      </c>
      <c r="B271" s="563">
        <v>0.43039351851851854</v>
      </c>
      <c r="C271" s="562" t="s">
        <v>11697</v>
      </c>
      <c r="D271" s="562" t="s">
        <v>6886</v>
      </c>
      <c r="E271" s="566" t="s">
        <v>14911</v>
      </c>
      <c r="F271" s="562" t="s">
        <v>6875</v>
      </c>
      <c r="G271" s="562" t="s">
        <v>14835</v>
      </c>
      <c r="H271" s="562" t="s">
        <v>14912</v>
      </c>
      <c r="I271" s="562" t="s">
        <v>14913</v>
      </c>
      <c r="J271" s="284"/>
      <c r="K271" s="562">
        <v>3.0</v>
      </c>
      <c r="L271" s="562" t="s">
        <v>14914</v>
      </c>
      <c r="M271" s="284"/>
    </row>
    <row r="272">
      <c r="A272" s="562" t="s">
        <v>14834</v>
      </c>
      <c r="B272" s="563">
        <v>0.43049768518518516</v>
      </c>
      <c r="C272" s="562" t="s">
        <v>7342</v>
      </c>
      <c r="D272" s="284"/>
      <c r="E272" s="562">
        <v>923340153638</v>
      </c>
      <c r="F272" s="562" t="s">
        <v>6939</v>
      </c>
      <c r="G272" s="562" t="s">
        <v>14835</v>
      </c>
      <c r="H272" s="562" t="s">
        <v>14915</v>
      </c>
      <c r="I272" s="562" t="s">
        <v>14916</v>
      </c>
      <c r="J272" s="562" t="s">
        <v>14766</v>
      </c>
      <c r="K272" s="562">
        <v>4.0</v>
      </c>
      <c r="L272" s="284"/>
      <c r="M272" s="284"/>
    </row>
    <row r="273">
      <c r="A273" s="562" t="s">
        <v>14834</v>
      </c>
      <c r="B273" s="563">
        <v>0.43059027777777775</v>
      </c>
      <c r="C273" s="562" t="s">
        <v>14917</v>
      </c>
      <c r="D273" s="562" t="s">
        <v>7725</v>
      </c>
      <c r="E273" s="566" t="s">
        <v>14918</v>
      </c>
      <c r="F273" s="562" t="s">
        <v>6939</v>
      </c>
      <c r="G273" s="562" t="s">
        <v>14835</v>
      </c>
      <c r="H273" s="562" t="s">
        <v>14919</v>
      </c>
      <c r="I273" s="562" t="s">
        <v>14920</v>
      </c>
      <c r="J273" s="562" t="s">
        <v>14766</v>
      </c>
      <c r="K273" s="562">
        <v>4.0</v>
      </c>
      <c r="L273" s="562" t="s">
        <v>11388</v>
      </c>
      <c r="M273" s="284"/>
    </row>
    <row r="274">
      <c r="A274" s="562" t="s">
        <v>14834</v>
      </c>
      <c r="B274" s="563">
        <v>0.43083333333333335</v>
      </c>
      <c r="C274" s="562" t="s">
        <v>7351</v>
      </c>
      <c r="D274" s="284"/>
      <c r="E274" s="562">
        <v>923156426655</v>
      </c>
      <c r="F274" s="562" t="s">
        <v>6939</v>
      </c>
      <c r="G274" s="562" t="s">
        <v>14835</v>
      </c>
      <c r="H274" s="562" t="s">
        <v>14921</v>
      </c>
      <c r="I274" s="562" t="s">
        <v>14922</v>
      </c>
      <c r="J274" s="562" t="s">
        <v>14766</v>
      </c>
      <c r="K274" s="562">
        <v>4.0</v>
      </c>
      <c r="L274" s="284"/>
      <c r="M274" s="284"/>
    </row>
    <row r="275">
      <c r="A275" s="562" t="s">
        <v>14834</v>
      </c>
      <c r="B275" s="563">
        <v>0.43125</v>
      </c>
      <c r="C275" s="562" t="s">
        <v>14923</v>
      </c>
      <c r="D275" s="562" t="s">
        <v>6886</v>
      </c>
      <c r="E275" s="566" t="s">
        <v>14924</v>
      </c>
      <c r="F275" s="562" t="s">
        <v>6875</v>
      </c>
      <c r="G275" s="562" t="s">
        <v>14925</v>
      </c>
      <c r="H275" s="562" t="s">
        <v>14926</v>
      </c>
      <c r="I275" s="562" t="s">
        <v>14927</v>
      </c>
      <c r="J275" s="284"/>
      <c r="K275" s="562">
        <v>3.0</v>
      </c>
      <c r="L275" s="562" t="s">
        <v>14928</v>
      </c>
      <c r="M275" s="284"/>
    </row>
    <row r="276">
      <c r="A276" s="562" t="s">
        <v>14834</v>
      </c>
      <c r="B276" s="563">
        <v>0.43135416666666665</v>
      </c>
      <c r="C276" s="562" t="s">
        <v>4080</v>
      </c>
      <c r="D276" s="562" t="s">
        <v>7725</v>
      </c>
      <c r="E276" s="637" t="s">
        <v>14929</v>
      </c>
      <c r="F276" s="562" t="s">
        <v>6875</v>
      </c>
      <c r="G276" s="562" t="s">
        <v>14835</v>
      </c>
      <c r="H276" s="562" t="s">
        <v>14930</v>
      </c>
      <c r="I276" s="562" t="s">
        <v>14931</v>
      </c>
      <c r="J276" s="284"/>
      <c r="K276" s="562">
        <v>3.0</v>
      </c>
      <c r="L276" s="562" t="s">
        <v>372</v>
      </c>
      <c r="M276" s="284"/>
    </row>
    <row r="277">
      <c r="A277" s="562" t="s">
        <v>14834</v>
      </c>
      <c r="B277" s="563">
        <v>0.4314351851851852</v>
      </c>
      <c r="C277" s="562" t="s">
        <v>7366</v>
      </c>
      <c r="D277" s="284"/>
      <c r="E277" s="562">
        <v>923319602307</v>
      </c>
      <c r="F277" s="562" t="s">
        <v>6875</v>
      </c>
      <c r="G277" s="562" t="s">
        <v>14835</v>
      </c>
      <c r="H277" s="562" t="s">
        <v>14932</v>
      </c>
      <c r="I277" s="562" t="s">
        <v>14933</v>
      </c>
      <c r="J277" s="284"/>
      <c r="K277" s="562">
        <v>3.0</v>
      </c>
      <c r="L277" s="562" t="s">
        <v>6944</v>
      </c>
      <c r="M277" s="284"/>
    </row>
    <row r="278">
      <c r="A278" s="562" t="s">
        <v>14834</v>
      </c>
      <c r="B278" s="563">
        <v>0.4327199074074074</v>
      </c>
      <c r="C278" s="562" t="s">
        <v>14934</v>
      </c>
      <c r="D278" s="562" t="s">
        <v>7725</v>
      </c>
      <c r="E278" s="566" t="s">
        <v>14935</v>
      </c>
      <c r="F278" s="562" t="s">
        <v>6875</v>
      </c>
      <c r="G278" s="562" t="s">
        <v>14835</v>
      </c>
      <c r="H278" s="562" t="s">
        <v>14936</v>
      </c>
      <c r="I278" s="562" t="s">
        <v>14937</v>
      </c>
      <c r="J278" s="284"/>
      <c r="K278" s="562">
        <v>3.0</v>
      </c>
      <c r="L278" s="562" t="s">
        <v>14938</v>
      </c>
      <c r="M278" s="284"/>
    </row>
    <row r="279">
      <c r="A279" s="562" t="s">
        <v>14834</v>
      </c>
      <c r="B279" s="563">
        <v>0.43297453703703703</v>
      </c>
      <c r="C279" s="562" t="s">
        <v>14939</v>
      </c>
      <c r="D279" s="562" t="s">
        <v>6886</v>
      </c>
      <c r="E279" s="566" t="s">
        <v>14940</v>
      </c>
      <c r="F279" s="562" t="s">
        <v>6875</v>
      </c>
      <c r="G279" s="562" t="s">
        <v>14835</v>
      </c>
      <c r="H279" s="562" t="s">
        <v>14941</v>
      </c>
      <c r="I279" s="562" t="s">
        <v>14942</v>
      </c>
      <c r="J279" s="562" t="s">
        <v>14826</v>
      </c>
      <c r="K279" s="562">
        <v>4.0</v>
      </c>
      <c r="L279" s="562" t="s">
        <v>14943</v>
      </c>
      <c r="M279" s="284"/>
    </row>
    <row r="280">
      <c r="A280" s="562" t="s">
        <v>14834</v>
      </c>
      <c r="B280" s="563">
        <v>0.43319444444444444</v>
      </c>
      <c r="C280" s="562" t="s">
        <v>14944</v>
      </c>
      <c r="D280" s="562" t="s">
        <v>6886</v>
      </c>
      <c r="E280" s="566" t="s">
        <v>14945</v>
      </c>
      <c r="F280" s="562" t="s">
        <v>6939</v>
      </c>
      <c r="G280" s="284"/>
      <c r="H280" s="562" t="s">
        <v>14946</v>
      </c>
      <c r="I280" s="562" t="s">
        <v>14947</v>
      </c>
      <c r="J280" s="284"/>
      <c r="K280" s="562">
        <v>2.0</v>
      </c>
      <c r="L280" s="562" t="s">
        <v>6944</v>
      </c>
      <c r="M280" s="284"/>
    </row>
    <row r="281">
      <c r="A281" s="562" t="s">
        <v>14834</v>
      </c>
      <c r="B281" s="563">
        <v>0.43341435185185184</v>
      </c>
      <c r="C281" s="562" t="s">
        <v>4132</v>
      </c>
      <c r="D281" s="562" t="s">
        <v>6886</v>
      </c>
      <c r="E281" s="566" t="s">
        <v>14948</v>
      </c>
      <c r="F281" s="562" t="s">
        <v>6888</v>
      </c>
      <c r="G281" s="284"/>
      <c r="H281" s="562" t="s">
        <v>14949</v>
      </c>
      <c r="I281" s="562" t="s">
        <v>14950</v>
      </c>
      <c r="J281" s="562" t="s">
        <v>14951</v>
      </c>
      <c r="K281" s="562">
        <v>3.0</v>
      </c>
      <c r="L281" s="562" t="s">
        <v>14952</v>
      </c>
      <c r="M281" s="284"/>
    </row>
    <row r="282">
      <c r="A282" s="562" t="s">
        <v>14834</v>
      </c>
      <c r="B282" s="563">
        <v>0.4336574074074074</v>
      </c>
      <c r="C282" s="562" t="s">
        <v>7390</v>
      </c>
      <c r="D282" s="284"/>
      <c r="E282" s="562">
        <v>923079770720</v>
      </c>
      <c r="F282" s="562" t="s">
        <v>7291</v>
      </c>
      <c r="G282" s="284"/>
      <c r="H282" s="562" t="s">
        <v>14953</v>
      </c>
      <c r="I282" s="284"/>
      <c r="J282" s="562" t="s">
        <v>14954</v>
      </c>
      <c r="K282" s="562">
        <v>2.0</v>
      </c>
      <c r="L282" s="562" t="s">
        <v>14955</v>
      </c>
      <c r="M282" s="284"/>
    </row>
    <row r="283">
      <c r="A283" s="562" t="s">
        <v>14834</v>
      </c>
      <c r="B283" s="563">
        <v>0.43377314814814816</v>
      </c>
      <c r="C283" s="562" t="s">
        <v>11937</v>
      </c>
      <c r="D283" s="562" t="s">
        <v>7725</v>
      </c>
      <c r="E283" s="566" t="s">
        <v>14956</v>
      </c>
      <c r="F283" s="562" t="s">
        <v>6939</v>
      </c>
      <c r="G283" s="562" t="s">
        <v>14835</v>
      </c>
      <c r="H283" s="562" t="s">
        <v>14957</v>
      </c>
      <c r="I283" s="562" t="s">
        <v>14958</v>
      </c>
      <c r="J283" s="562" t="s">
        <v>14766</v>
      </c>
      <c r="K283" s="562">
        <v>4.0</v>
      </c>
      <c r="L283" s="284"/>
      <c r="M283" s="284"/>
    </row>
    <row r="284">
      <c r="A284" s="568" t="s">
        <v>14834</v>
      </c>
      <c r="B284" s="569">
        <v>0.4339236111111111</v>
      </c>
      <c r="C284" s="568" t="s">
        <v>14959</v>
      </c>
      <c r="D284" s="568" t="s">
        <v>6886</v>
      </c>
      <c r="E284" s="637" t="s">
        <v>14960</v>
      </c>
      <c r="F284" s="562" t="s">
        <v>6875</v>
      </c>
      <c r="G284" s="562" t="s">
        <v>14961</v>
      </c>
      <c r="H284" s="562" t="s">
        <v>14962</v>
      </c>
      <c r="I284" s="568" t="s">
        <v>14963</v>
      </c>
      <c r="J284" s="562" t="s">
        <v>14766</v>
      </c>
      <c r="K284" s="562">
        <v>4.0</v>
      </c>
      <c r="L284" s="570"/>
      <c r="M284" s="284"/>
    </row>
    <row r="285">
      <c r="A285" s="562" t="s">
        <v>14834</v>
      </c>
      <c r="B285" s="563">
        <v>0.4340277777777778</v>
      </c>
      <c r="C285" s="562" t="s">
        <v>11283</v>
      </c>
      <c r="D285" s="284"/>
      <c r="E285" s="562">
        <v>923027077666</v>
      </c>
      <c r="F285" s="562" t="s">
        <v>6939</v>
      </c>
      <c r="G285" s="562" t="s">
        <v>14835</v>
      </c>
      <c r="H285" s="562" t="s">
        <v>14964</v>
      </c>
      <c r="I285" s="562" t="s">
        <v>14965</v>
      </c>
      <c r="J285" s="562" t="s">
        <v>14766</v>
      </c>
      <c r="K285" s="562">
        <v>4.0</v>
      </c>
      <c r="L285" s="284"/>
      <c r="M285" s="284"/>
    </row>
    <row r="286">
      <c r="A286" s="562" t="s">
        <v>14834</v>
      </c>
      <c r="B286" s="563">
        <v>0.4341319444444444</v>
      </c>
      <c r="C286" s="562" t="s">
        <v>11288</v>
      </c>
      <c r="D286" s="284"/>
      <c r="E286" s="562">
        <v>923014179273</v>
      </c>
      <c r="F286" s="562" t="s">
        <v>6939</v>
      </c>
      <c r="G286" s="562" t="s">
        <v>14835</v>
      </c>
      <c r="H286" s="562" t="s">
        <v>14966</v>
      </c>
      <c r="I286" s="562" t="s">
        <v>14967</v>
      </c>
      <c r="J286" s="562" t="s">
        <v>14766</v>
      </c>
      <c r="K286" s="562">
        <v>4.0</v>
      </c>
      <c r="L286" s="284"/>
      <c r="M286" s="284"/>
    </row>
    <row r="287">
      <c r="A287" s="562" t="s">
        <v>14834</v>
      </c>
      <c r="B287" s="563">
        <v>0.4344791666666667</v>
      </c>
      <c r="C287" s="562" t="s">
        <v>11291</v>
      </c>
      <c r="D287" s="284"/>
      <c r="E287" s="562">
        <v>923408381706</v>
      </c>
      <c r="F287" s="562" t="s">
        <v>6875</v>
      </c>
      <c r="G287" s="284"/>
      <c r="H287" s="562" t="s">
        <v>14968</v>
      </c>
      <c r="I287" s="284"/>
      <c r="J287" s="284"/>
      <c r="K287" s="562">
        <v>1.0</v>
      </c>
      <c r="L287" s="562" t="s">
        <v>372</v>
      </c>
      <c r="M287" s="284"/>
    </row>
    <row r="288">
      <c r="A288" s="562" t="s">
        <v>14834</v>
      </c>
      <c r="B288" s="563">
        <v>0.4346990740740741</v>
      </c>
      <c r="C288" s="562" t="s">
        <v>14969</v>
      </c>
      <c r="D288" s="562" t="s">
        <v>6886</v>
      </c>
      <c r="E288" s="566" t="s">
        <v>14970</v>
      </c>
      <c r="F288" s="562" t="s">
        <v>6939</v>
      </c>
      <c r="G288" s="562" t="s">
        <v>14835</v>
      </c>
      <c r="H288" s="562" t="s">
        <v>14971</v>
      </c>
      <c r="I288" s="562" t="s">
        <v>14972</v>
      </c>
      <c r="J288" s="562" t="s">
        <v>14766</v>
      </c>
      <c r="K288" s="562">
        <v>4.0</v>
      </c>
      <c r="L288" s="284"/>
      <c r="M288" s="284"/>
    </row>
    <row r="289">
      <c r="A289" s="562" t="s">
        <v>14834</v>
      </c>
      <c r="B289" s="563">
        <v>0.4347916666666667</v>
      </c>
      <c r="C289" s="562" t="s">
        <v>7403</v>
      </c>
      <c r="D289" s="284"/>
      <c r="E289" s="562">
        <v>923264713247</v>
      </c>
      <c r="F289" s="562" t="s">
        <v>6939</v>
      </c>
      <c r="G289" s="562" t="s">
        <v>14835</v>
      </c>
      <c r="H289" s="562" t="s">
        <v>14973</v>
      </c>
      <c r="I289" s="562" t="s">
        <v>14974</v>
      </c>
      <c r="J289" s="562" t="s">
        <v>14766</v>
      </c>
      <c r="K289" s="562">
        <v>4.0</v>
      </c>
      <c r="L289" s="284"/>
      <c r="M289" s="284"/>
    </row>
    <row r="290">
      <c r="A290" s="562" t="s">
        <v>14834</v>
      </c>
      <c r="B290" s="563">
        <v>0.4348958333333333</v>
      </c>
      <c r="C290" s="562" t="s">
        <v>14975</v>
      </c>
      <c r="D290" s="562" t="s">
        <v>7725</v>
      </c>
      <c r="E290" s="566" t="s">
        <v>14976</v>
      </c>
      <c r="F290" s="562" t="s">
        <v>6875</v>
      </c>
      <c r="G290" s="284"/>
      <c r="H290" s="562" t="s">
        <v>14977</v>
      </c>
      <c r="I290" s="562" t="s">
        <v>14978</v>
      </c>
      <c r="J290" s="284"/>
      <c r="K290" s="284"/>
      <c r="L290" s="284"/>
      <c r="M290" s="284"/>
    </row>
    <row r="291">
      <c r="A291" s="562" t="s">
        <v>14834</v>
      </c>
      <c r="B291" s="563">
        <v>0.435</v>
      </c>
      <c r="C291" s="562" t="s">
        <v>14979</v>
      </c>
      <c r="D291" s="562" t="s">
        <v>7725</v>
      </c>
      <c r="E291" s="566" t="s">
        <v>14980</v>
      </c>
      <c r="F291" s="562" t="s">
        <v>6875</v>
      </c>
      <c r="G291" s="562" t="s">
        <v>14835</v>
      </c>
      <c r="H291" s="562" t="s">
        <v>14981</v>
      </c>
      <c r="I291" s="562" t="s">
        <v>14982</v>
      </c>
      <c r="J291" s="284"/>
      <c r="K291" s="562">
        <v>4.0</v>
      </c>
      <c r="L291" s="284"/>
      <c r="M291" s="284"/>
    </row>
    <row r="292">
      <c r="A292" s="562" t="s">
        <v>14834</v>
      </c>
      <c r="B292" s="563">
        <v>0.4351157407407407</v>
      </c>
      <c r="C292" s="562" t="s">
        <v>14983</v>
      </c>
      <c r="D292" s="562" t="s">
        <v>7725</v>
      </c>
      <c r="E292" s="566" t="s">
        <v>14984</v>
      </c>
      <c r="F292" s="562" t="s">
        <v>6875</v>
      </c>
      <c r="G292" s="562" t="s">
        <v>14835</v>
      </c>
      <c r="H292" s="562" t="s">
        <v>14985</v>
      </c>
      <c r="I292" s="562" t="s">
        <v>14986</v>
      </c>
      <c r="J292" s="562" t="s">
        <v>14766</v>
      </c>
      <c r="K292" s="562">
        <v>2.0</v>
      </c>
      <c r="L292" s="284"/>
      <c r="M292" s="284"/>
    </row>
    <row r="293">
      <c r="A293" s="562" t="s">
        <v>14834</v>
      </c>
      <c r="B293" s="563">
        <v>0.4352199074074074</v>
      </c>
      <c r="C293" s="562" t="s">
        <v>2397</v>
      </c>
      <c r="D293" s="562" t="s">
        <v>7725</v>
      </c>
      <c r="E293" s="566" t="s">
        <v>14987</v>
      </c>
      <c r="F293" s="562" t="s">
        <v>6939</v>
      </c>
      <c r="G293" s="562" t="s">
        <v>14835</v>
      </c>
      <c r="H293" s="562" t="s">
        <v>14988</v>
      </c>
      <c r="I293" s="562" t="s">
        <v>14989</v>
      </c>
      <c r="J293" s="562" t="s">
        <v>14766</v>
      </c>
      <c r="K293" s="562">
        <v>4.0</v>
      </c>
      <c r="L293" s="284"/>
      <c r="M293" s="284"/>
    </row>
    <row r="294">
      <c r="A294" s="562" t="s">
        <v>14834</v>
      </c>
      <c r="B294" s="563">
        <v>0.4353240740740741</v>
      </c>
      <c r="C294" s="562" t="s">
        <v>14990</v>
      </c>
      <c r="D294" s="562" t="s">
        <v>6886</v>
      </c>
      <c r="E294" s="566" t="s">
        <v>14991</v>
      </c>
      <c r="F294" s="562" t="s">
        <v>6875</v>
      </c>
      <c r="G294" s="284"/>
      <c r="H294" s="562" t="s">
        <v>14992</v>
      </c>
      <c r="I294" s="284"/>
      <c r="J294" s="284"/>
      <c r="K294" s="562">
        <v>4.0</v>
      </c>
      <c r="L294" s="562" t="s">
        <v>372</v>
      </c>
      <c r="M294" s="284"/>
    </row>
    <row r="295">
      <c r="A295" s="562" t="s">
        <v>14834</v>
      </c>
      <c r="B295" s="563">
        <v>0.43542824074074077</v>
      </c>
      <c r="C295" s="562" t="s">
        <v>14993</v>
      </c>
      <c r="D295" s="562" t="s">
        <v>6886</v>
      </c>
      <c r="E295" s="566" t="s">
        <v>14994</v>
      </c>
      <c r="F295" s="562" t="s">
        <v>6939</v>
      </c>
      <c r="G295" s="284"/>
      <c r="H295" s="562" t="s">
        <v>14995</v>
      </c>
      <c r="I295" s="284"/>
      <c r="J295" s="562" t="s">
        <v>14996</v>
      </c>
      <c r="K295" s="562">
        <v>2.0</v>
      </c>
      <c r="L295" s="562" t="s">
        <v>6944</v>
      </c>
      <c r="M295" s="284"/>
    </row>
    <row r="296">
      <c r="A296" s="562" t="s">
        <v>14834</v>
      </c>
      <c r="B296" s="563">
        <v>0.4355324074074074</v>
      </c>
      <c r="C296" s="562" t="s">
        <v>248</v>
      </c>
      <c r="D296" s="562" t="s">
        <v>7725</v>
      </c>
      <c r="E296" s="566" t="s">
        <v>14997</v>
      </c>
      <c r="F296" s="562" t="s">
        <v>6875</v>
      </c>
      <c r="G296" s="562" t="s">
        <v>14835</v>
      </c>
      <c r="H296" s="562" t="s">
        <v>14998</v>
      </c>
      <c r="I296" s="562" t="s">
        <v>14999</v>
      </c>
      <c r="J296" s="562" t="s">
        <v>15000</v>
      </c>
      <c r="K296" s="562">
        <v>4.0</v>
      </c>
      <c r="L296" s="562" t="s">
        <v>6944</v>
      </c>
      <c r="M296" s="284"/>
    </row>
    <row r="297">
      <c r="A297" s="562" t="s">
        <v>14834</v>
      </c>
      <c r="B297" s="563">
        <v>0.4358796296296296</v>
      </c>
      <c r="C297" s="562" t="s">
        <v>7441</v>
      </c>
      <c r="D297" s="284"/>
      <c r="E297" s="562">
        <v>923432142917</v>
      </c>
      <c r="F297" s="562" t="s">
        <v>6939</v>
      </c>
      <c r="G297" s="562" t="s">
        <v>14835</v>
      </c>
      <c r="H297" s="562" t="s">
        <v>15001</v>
      </c>
      <c r="I297" s="562" t="s">
        <v>15002</v>
      </c>
      <c r="J297" s="562" t="s">
        <v>15003</v>
      </c>
      <c r="K297" s="562">
        <v>4.0</v>
      </c>
      <c r="L297" s="562" t="s">
        <v>15004</v>
      </c>
      <c r="M297" s="284"/>
    </row>
    <row r="298">
      <c r="A298" s="562" t="s">
        <v>14834</v>
      </c>
      <c r="B298" s="563">
        <v>0.43604166666666666</v>
      </c>
      <c r="C298" s="562" t="s">
        <v>15005</v>
      </c>
      <c r="D298" s="562" t="s">
        <v>7725</v>
      </c>
      <c r="E298" s="566" t="s">
        <v>15006</v>
      </c>
      <c r="F298" s="562" t="s">
        <v>6875</v>
      </c>
      <c r="G298" s="562" t="s">
        <v>14835</v>
      </c>
      <c r="H298" s="562" t="s">
        <v>15007</v>
      </c>
      <c r="I298" s="562" t="s">
        <v>15008</v>
      </c>
      <c r="J298" s="284"/>
      <c r="K298" s="562">
        <v>3.0</v>
      </c>
      <c r="L298" s="284"/>
      <c r="M298" s="284"/>
    </row>
    <row r="299">
      <c r="A299" s="562" t="s">
        <v>14834</v>
      </c>
      <c r="B299" s="563">
        <v>0.43625</v>
      </c>
      <c r="C299" s="562" t="s">
        <v>15009</v>
      </c>
      <c r="D299" s="562" t="s">
        <v>11511</v>
      </c>
      <c r="E299" s="566" t="s">
        <v>15010</v>
      </c>
      <c r="F299" s="562" t="s">
        <v>6875</v>
      </c>
      <c r="G299" s="284"/>
      <c r="H299" s="562" t="s">
        <v>15011</v>
      </c>
      <c r="I299" s="284"/>
      <c r="J299" s="284"/>
      <c r="K299" s="562">
        <v>1.0</v>
      </c>
      <c r="L299" s="562" t="s">
        <v>51</v>
      </c>
      <c r="M299" s="284"/>
    </row>
    <row r="300">
      <c r="A300" s="562" t="s">
        <v>14834</v>
      </c>
      <c r="B300" s="563">
        <v>0.4363888888888889</v>
      </c>
      <c r="C300" s="562" t="s">
        <v>15012</v>
      </c>
      <c r="D300" s="562" t="s">
        <v>6886</v>
      </c>
      <c r="E300" s="566" t="s">
        <v>15013</v>
      </c>
      <c r="F300" s="562" t="s">
        <v>6875</v>
      </c>
      <c r="G300" s="284"/>
      <c r="H300" s="562" t="s">
        <v>15014</v>
      </c>
      <c r="I300" s="284"/>
      <c r="J300" s="284"/>
      <c r="K300" s="562">
        <v>3.0</v>
      </c>
      <c r="L300" s="562" t="s">
        <v>51</v>
      </c>
      <c r="M300" s="284"/>
    </row>
    <row r="301">
      <c r="A301" s="562" t="s">
        <v>14834</v>
      </c>
      <c r="B301" s="563">
        <v>0.43653935185185183</v>
      </c>
      <c r="C301" s="562" t="s">
        <v>15015</v>
      </c>
      <c r="D301" s="562" t="s">
        <v>7725</v>
      </c>
      <c r="E301" s="566" t="s">
        <v>15016</v>
      </c>
      <c r="F301" s="562" t="s">
        <v>7291</v>
      </c>
      <c r="G301" s="562" t="s">
        <v>14835</v>
      </c>
      <c r="H301" s="562" t="s">
        <v>15017</v>
      </c>
      <c r="I301" s="562" t="s">
        <v>15018</v>
      </c>
      <c r="J301" s="562" t="s">
        <v>14826</v>
      </c>
      <c r="K301" s="562">
        <v>4.0</v>
      </c>
      <c r="L301" s="562" t="s">
        <v>6944</v>
      </c>
      <c r="M301" s="284"/>
    </row>
    <row r="302">
      <c r="A302" s="562" t="s">
        <v>14834</v>
      </c>
      <c r="B302" s="563">
        <v>0.4367824074074074</v>
      </c>
      <c r="C302" s="562" t="s">
        <v>7459</v>
      </c>
      <c r="D302" s="284"/>
      <c r="E302" s="562">
        <v>923218627292</v>
      </c>
      <c r="F302" s="562" t="s">
        <v>6939</v>
      </c>
      <c r="G302" s="562" t="s">
        <v>14835</v>
      </c>
      <c r="H302" s="562" t="s">
        <v>15019</v>
      </c>
      <c r="I302" s="562" t="s">
        <v>15020</v>
      </c>
      <c r="J302" s="562" t="s">
        <v>14766</v>
      </c>
      <c r="K302" s="562">
        <v>4.0</v>
      </c>
      <c r="L302" s="284"/>
      <c r="M302" s="284"/>
    </row>
    <row r="303">
      <c r="A303" s="562" t="s">
        <v>14834</v>
      </c>
      <c r="B303" s="563">
        <v>0.436875</v>
      </c>
      <c r="C303" s="562" t="s">
        <v>7464</v>
      </c>
      <c r="D303" s="284"/>
      <c r="E303" s="562">
        <v>923256280138</v>
      </c>
      <c r="F303" s="562" t="s">
        <v>6939</v>
      </c>
      <c r="G303" s="562" t="s">
        <v>14835</v>
      </c>
      <c r="H303" s="562" t="s">
        <v>15021</v>
      </c>
      <c r="I303" s="562" t="s">
        <v>15022</v>
      </c>
      <c r="J303" s="284"/>
      <c r="K303" s="562">
        <v>3.0</v>
      </c>
      <c r="L303" s="562" t="s">
        <v>11388</v>
      </c>
      <c r="M303" s="284"/>
    </row>
    <row r="304">
      <c r="A304" s="562" t="s">
        <v>14834</v>
      </c>
      <c r="B304" s="563">
        <v>0.43710648148148146</v>
      </c>
      <c r="C304" s="562" t="s">
        <v>15023</v>
      </c>
      <c r="D304" s="562" t="s">
        <v>6886</v>
      </c>
      <c r="E304" s="566" t="s">
        <v>15024</v>
      </c>
      <c r="F304" s="562" t="s">
        <v>6939</v>
      </c>
      <c r="G304" s="562" t="s">
        <v>14835</v>
      </c>
      <c r="H304" s="562" t="s">
        <v>15025</v>
      </c>
      <c r="I304" s="562" t="s">
        <v>15026</v>
      </c>
      <c r="J304" s="562" t="s">
        <v>15027</v>
      </c>
      <c r="K304" s="562">
        <v>4.0</v>
      </c>
      <c r="L304" s="562" t="s">
        <v>11388</v>
      </c>
      <c r="M304" s="284"/>
    </row>
    <row r="305">
      <c r="A305" s="562" t="s">
        <v>14834</v>
      </c>
      <c r="B305" s="563">
        <v>0.43767361111111114</v>
      </c>
      <c r="C305" s="562" t="s">
        <v>15028</v>
      </c>
      <c r="D305" s="562" t="s">
        <v>6886</v>
      </c>
      <c r="E305" s="566" t="s">
        <v>15029</v>
      </c>
      <c r="F305" s="562" t="s">
        <v>6939</v>
      </c>
      <c r="G305" s="562" t="s">
        <v>14835</v>
      </c>
      <c r="H305" s="562" t="s">
        <v>15030</v>
      </c>
      <c r="I305" s="562" t="s">
        <v>15031</v>
      </c>
      <c r="J305" s="562" t="s">
        <v>15027</v>
      </c>
      <c r="K305" s="562">
        <v>4.0</v>
      </c>
      <c r="L305" s="562" t="s">
        <v>15032</v>
      </c>
      <c r="M305" s="284"/>
    </row>
    <row r="306">
      <c r="A306" s="562" t="s">
        <v>14834</v>
      </c>
      <c r="B306" s="563">
        <v>0.43777777777777777</v>
      </c>
      <c r="C306" s="562" t="s">
        <v>15033</v>
      </c>
      <c r="D306" s="562" t="s">
        <v>6886</v>
      </c>
      <c r="E306" s="566" t="s">
        <v>15034</v>
      </c>
      <c r="F306" s="562" t="s">
        <v>6939</v>
      </c>
      <c r="G306" s="562" t="s">
        <v>14835</v>
      </c>
      <c r="H306" s="562" t="s">
        <v>15035</v>
      </c>
      <c r="I306" s="562" t="s">
        <v>15020</v>
      </c>
      <c r="J306" s="562" t="s">
        <v>15036</v>
      </c>
      <c r="K306" s="562">
        <v>4.0</v>
      </c>
      <c r="L306" s="562" t="s">
        <v>7312</v>
      </c>
      <c r="M306" s="284"/>
    </row>
    <row r="307">
      <c r="A307" s="562" t="s">
        <v>14834</v>
      </c>
      <c r="B307" s="563">
        <v>0.43799768518518517</v>
      </c>
      <c r="C307" s="562" t="s">
        <v>15037</v>
      </c>
      <c r="D307" s="284"/>
      <c r="E307" s="562">
        <v>923430212811</v>
      </c>
      <c r="F307" s="562" t="s">
        <v>6875</v>
      </c>
      <c r="G307" s="284"/>
      <c r="H307" s="562" t="s">
        <v>15038</v>
      </c>
      <c r="I307" s="284"/>
      <c r="J307" s="562" t="s">
        <v>15039</v>
      </c>
      <c r="K307" s="562">
        <v>2.0</v>
      </c>
      <c r="L307" s="562" t="s">
        <v>10694</v>
      </c>
      <c r="M307" s="284"/>
    </row>
    <row r="308">
      <c r="A308" s="562" t="s">
        <v>15040</v>
      </c>
      <c r="B308" s="563">
        <v>0.7128703703703704</v>
      </c>
      <c r="C308" s="562" t="s">
        <v>2078</v>
      </c>
      <c r="D308" s="284"/>
      <c r="E308" s="562">
        <v>923202594428</v>
      </c>
      <c r="F308" s="562" t="s">
        <v>6875</v>
      </c>
      <c r="G308" s="562" t="s">
        <v>14835</v>
      </c>
      <c r="H308" s="562" t="s">
        <v>15041</v>
      </c>
      <c r="I308" s="562" t="s">
        <v>15042</v>
      </c>
      <c r="J308" s="562" t="s">
        <v>15036</v>
      </c>
      <c r="K308" s="562">
        <v>4.0</v>
      </c>
      <c r="L308" s="562" t="s">
        <v>7087</v>
      </c>
      <c r="M308" s="284"/>
    </row>
    <row r="309">
      <c r="A309" s="562" t="s">
        <v>14834</v>
      </c>
      <c r="B309" s="563">
        <v>0.4384837962962963</v>
      </c>
      <c r="C309" s="562" t="s">
        <v>7494</v>
      </c>
      <c r="D309" s="284"/>
      <c r="E309" s="562">
        <v>923044616683</v>
      </c>
      <c r="F309" s="562" t="s">
        <v>6939</v>
      </c>
      <c r="G309" s="562" t="s">
        <v>14835</v>
      </c>
      <c r="H309" s="562" t="s">
        <v>15043</v>
      </c>
      <c r="I309" s="562" t="s">
        <v>15044</v>
      </c>
      <c r="J309" s="562" t="s">
        <v>15027</v>
      </c>
      <c r="K309" s="562">
        <v>4.0</v>
      </c>
      <c r="L309" s="562" t="s">
        <v>11891</v>
      </c>
      <c r="M309" s="284"/>
    </row>
    <row r="310">
      <c r="A310" s="562" t="s">
        <v>14834</v>
      </c>
      <c r="B310" s="563">
        <v>0.4386226851851852</v>
      </c>
      <c r="C310" s="562" t="s">
        <v>7497</v>
      </c>
      <c r="D310" s="284"/>
      <c r="E310" s="562">
        <v>923219841348</v>
      </c>
      <c r="F310" s="562" t="s">
        <v>6939</v>
      </c>
      <c r="G310" s="562" t="s">
        <v>14835</v>
      </c>
      <c r="H310" s="562" t="s">
        <v>15045</v>
      </c>
      <c r="I310" s="562" t="s">
        <v>15046</v>
      </c>
      <c r="J310" s="562" t="s">
        <v>15027</v>
      </c>
      <c r="K310" s="562">
        <v>4.0</v>
      </c>
      <c r="L310" s="562" t="s">
        <v>15047</v>
      </c>
      <c r="M310" s="284"/>
    </row>
    <row r="311">
      <c r="A311" s="562" t="s">
        <v>14834</v>
      </c>
      <c r="B311" s="563">
        <v>0.43886574074074075</v>
      </c>
      <c r="C311" s="562" t="s">
        <v>7502</v>
      </c>
      <c r="D311" s="284"/>
      <c r="E311" s="562">
        <v>923214349588</v>
      </c>
      <c r="F311" s="562" t="s">
        <v>6939</v>
      </c>
      <c r="G311" s="562" t="s">
        <v>14835</v>
      </c>
      <c r="H311" s="562" t="s">
        <v>15048</v>
      </c>
      <c r="I311" s="562" t="s">
        <v>15049</v>
      </c>
      <c r="J311" s="562" t="s">
        <v>14766</v>
      </c>
      <c r="K311" s="562">
        <v>4.0</v>
      </c>
      <c r="L311" s="284"/>
      <c r="M311" s="284"/>
    </row>
    <row r="312">
      <c r="A312" s="568" t="s">
        <v>14834</v>
      </c>
      <c r="B312" s="569">
        <v>0.43895833333333334</v>
      </c>
      <c r="C312" s="568" t="s">
        <v>15050</v>
      </c>
      <c r="D312" s="568" t="s">
        <v>6886</v>
      </c>
      <c r="E312" s="637" t="s">
        <v>15051</v>
      </c>
      <c r="F312" s="562" t="s">
        <v>6888</v>
      </c>
      <c r="G312" s="562" t="s">
        <v>15052</v>
      </c>
      <c r="H312" s="562" t="s">
        <v>15053</v>
      </c>
      <c r="I312" s="568" t="s">
        <v>15054</v>
      </c>
      <c r="J312" s="562" t="s">
        <v>15055</v>
      </c>
      <c r="K312" s="562">
        <v>4.0</v>
      </c>
      <c r="L312" s="568" t="s">
        <v>10694</v>
      </c>
      <c r="M312" s="284"/>
    </row>
    <row r="313">
      <c r="A313" s="562" t="s">
        <v>14834</v>
      </c>
      <c r="B313" s="563">
        <v>0.43918981481481484</v>
      </c>
      <c r="C313" s="562" t="s">
        <v>7514</v>
      </c>
      <c r="D313" s="284"/>
      <c r="E313" s="562">
        <v>923296836280</v>
      </c>
      <c r="F313" s="562" t="s">
        <v>6939</v>
      </c>
      <c r="G313" s="562" t="s">
        <v>14835</v>
      </c>
      <c r="H313" s="562" t="s">
        <v>15056</v>
      </c>
      <c r="I313" s="562" t="s">
        <v>15057</v>
      </c>
      <c r="J313" s="562" t="s">
        <v>14766</v>
      </c>
      <c r="K313" s="562">
        <v>4.0</v>
      </c>
      <c r="L313" s="284"/>
      <c r="M313" s="284"/>
    </row>
    <row r="314">
      <c r="A314" s="562" t="s">
        <v>14834</v>
      </c>
      <c r="B314" s="563">
        <v>0.43969907407407405</v>
      </c>
      <c r="C314" s="562" t="s">
        <v>7517</v>
      </c>
      <c r="D314" s="284"/>
      <c r="E314" s="562">
        <v>923044677933</v>
      </c>
      <c r="F314" s="562" t="s">
        <v>6875</v>
      </c>
      <c r="G314" s="284"/>
      <c r="H314" s="284"/>
      <c r="I314" s="562" t="s">
        <v>15058</v>
      </c>
      <c r="J314" s="284"/>
      <c r="K314" s="562">
        <v>4.0</v>
      </c>
      <c r="L314" s="562" t="s">
        <v>372</v>
      </c>
      <c r="M314" s="284"/>
    </row>
    <row r="315">
      <c r="A315" s="562" t="s">
        <v>14834</v>
      </c>
      <c r="B315" s="563">
        <v>0.4399652777777778</v>
      </c>
      <c r="C315" s="562" t="s">
        <v>7520</v>
      </c>
      <c r="D315" s="284"/>
      <c r="E315" s="562">
        <v>923070079544</v>
      </c>
      <c r="F315" s="562" t="s">
        <v>6875</v>
      </c>
      <c r="G315" s="284"/>
      <c r="H315" s="562" t="s">
        <v>15059</v>
      </c>
      <c r="I315" s="562" t="s">
        <v>15060</v>
      </c>
      <c r="J315" s="284"/>
      <c r="K315" s="562">
        <v>2.0</v>
      </c>
      <c r="L315" s="562" t="s">
        <v>6944</v>
      </c>
      <c r="M315" s="284"/>
    </row>
    <row r="316">
      <c r="A316" s="562" t="s">
        <v>14834</v>
      </c>
      <c r="B316" s="563">
        <v>0.44006944444444446</v>
      </c>
      <c r="C316" s="562" t="s">
        <v>7533</v>
      </c>
      <c r="D316" s="284"/>
      <c r="E316" s="562">
        <v>923217719831</v>
      </c>
      <c r="F316" s="562" t="s">
        <v>7291</v>
      </c>
      <c r="G316" s="562" t="s">
        <v>14835</v>
      </c>
      <c r="H316" s="562" t="s">
        <v>15061</v>
      </c>
      <c r="I316" s="562" t="s">
        <v>15062</v>
      </c>
      <c r="J316" s="562" t="s">
        <v>14766</v>
      </c>
      <c r="K316" s="562">
        <v>4.0</v>
      </c>
      <c r="L316" s="562" t="s">
        <v>13750</v>
      </c>
      <c r="M316" s="284"/>
    </row>
    <row r="317">
      <c r="A317" s="562" t="s">
        <v>14834</v>
      </c>
      <c r="B317" s="563">
        <v>0.4456365740740741</v>
      </c>
      <c r="C317" s="562" t="s">
        <v>2793</v>
      </c>
      <c r="D317" s="284"/>
      <c r="E317" s="562">
        <v>923324889090</v>
      </c>
      <c r="F317" s="562" t="s">
        <v>6875</v>
      </c>
      <c r="G317" s="562" t="s">
        <v>14835</v>
      </c>
      <c r="H317" s="562" t="s">
        <v>15063</v>
      </c>
      <c r="I317" s="562" t="s">
        <v>15064</v>
      </c>
      <c r="J317" s="284"/>
      <c r="K317" s="562">
        <v>1.0</v>
      </c>
      <c r="L317" s="562" t="s">
        <v>372</v>
      </c>
      <c r="M317" s="284"/>
    </row>
    <row r="318">
      <c r="A318" s="562" t="s">
        <v>14834</v>
      </c>
      <c r="B318" s="563">
        <v>0.45459490740740743</v>
      </c>
      <c r="C318" s="562" t="s">
        <v>12777</v>
      </c>
      <c r="D318" s="284"/>
      <c r="E318" s="562">
        <v>923452950745</v>
      </c>
      <c r="F318" s="562" t="s">
        <v>6939</v>
      </c>
      <c r="G318" s="562" t="s">
        <v>15065</v>
      </c>
      <c r="H318" s="562" t="s">
        <v>15066</v>
      </c>
      <c r="I318" s="562" t="s">
        <v>15067</v>
      </c>
      <c r="J318" s="562" t="s">
        <v>14766</v>
      </c>
      <c r="K318" s="562">
        <v>4.0</v>
      </c>
      <c r="L318" s="284"/>
      <c r="M318" s="284"/>
    </row>
    <row r="319">
      <c r="A319" s="562" t="s">
        <v>14834</v>
      </c>
      <c r="B319" s="563">
        <v>0.47726851851851854</v>
      </c>
      <c r="C319" s="562" t="s">
        <v>7538</v>
      </c>
      <c r="D319" s="284"/>
      <c r="E319" s="562">
        <v>923122201399</v>
      </c>
      <c r="F319" s="562" t="s">
        <v>6939</v>
      </c>
      <c r="G319" s="562" t="s">
        <v>14835</v>
      </c>
      <c r="H319" s="562" t="s">
        <v>15068</v>
      </c>
      <c r="I319" s="562" t="s">
        <v>15069</v>
      </c>
      <c r="J319" s="562" t="s">
        <v>14766</v>
      </c>
      <c r="K319" s="562">
        <v>4.0</v>
      </c>
      <c r="L319" s="284"/>
      <c r="M319" s="284"/>
    </row>
    <row r="320">
      <c r="A320" s="562" t="s">
        <v>14834</v>
      </c>
      <c r="B320" s="563">
        <v>0.5017361111111112</v>
      </c>
      <c r="C320" s="562" t="s">
        <v>15070</v>
      </c>
      <c r="D320" s="284"/>
      <c r="E320" s="562">
        <v>923313273180</v>
      </c>
      <c r="F320" s="562" t="s">
        <v>7291</v>
      </c>
      <c r="G320" s="562" t="s">
        <v>14835</v>
      </c>
      <c r="H320" s="562" t="s">
        <v>15071</v>
      </c>
      <c r="I320" s="562" t="s">
        <v>15072</v>
      </c>
      <c r="J320" s="562" t="s">
        <v>15027</v>
      </c>
      <c r="K320" s="562">
        <v>4.0</v>
      </c>
      <c r="L320" s="562" t="s">
        <v>11917</v>
      </c>
      <c r="M320" s="284"/>
    </row>
    <row r="321">
      <c r="A321" s="562" t="s">
        <v>14834</v>
      </c>
      <c r="B321" s="563">
        <v>0.5160648148148148</v>
      </c>
      <c r="C321" s="562" t="s">
        <v>7542</v>
      </c>
      <c r="D321" s="284"/>
      <c r="E321" s="562">
        <v>923277170190</v>
      </c>
      <c r="F321" s="562" t="s">
        <v>6875</v>
      </c>
      <c r="G321" s="284"/>
      <c r="H321" s="284"/>
      <c r="I321" s="562" t="s">
        <v>15073</v>
      </c>
      <c r="J321" s="284"/>
      <c r="K321" s="562">
        <v>4.0</v>
      </c>
      <c r="L321" s="562" t="s">
        <v>372</v>
      </c>
      <c r="M321" s="284"/>
    </row>
    <row r="322">
      <c r="A322" s="562" t="s">
        <v>15074</v>
      </c>
      <c r="B322" s="563">
        <v>0.4439814814814815</v>
      </c>
      <c r="C322" s="562" t="s">
        <v>2041</v>
      </c>
      <c r="D322" s="284"/>
      <c r="E322" s="562">
        <v>923218750881</v>
      </c>
      <c r="F322" s="562" t="s">
        <v>7291</v>
      </c>
      <c r="G322" s="562" t="s">
        <v>14835</v>
      </c>
      <c r="H322" s="562" t="s">
        <v>15075</v>
      </c>
      <c r="I322" s="562" t="s">
        <v>15076</v>
      </c>
      <c r="J322" s="562" t="s">
        <v>15027</v>
      </c>
      <c r="K322" s="562">
        <v>4.0</v>
      </c>
      <c r="L322" s="562" t="s">
        <v>15077</v>
      </c>
      <c r="M322" s="284"/>
    </row>
    <row r="323">
      <c r="A323" s="562" t="s">
        <v>15074</v>
      </c>
      <c r="B323" s="563">
        <v>0.48280092592592594</v>
      </c>
      <c r="C323" s="562" t="s">
        <v>15078</v>
      </c>
      <c r="D323" s="284"/>
      <c r="E323" s="562">
        <v>923292420132</v>
      </c>
      <c r="F323" s="562" t="s">
        <v>6939</v>
      </c>
      <c r="G323" s="562" t="s">
        <v>14835</v>
      </c>
      <c r="H323" s="562" t="s">
        <v>15079</v>
      </c>
      <c r="I323" s="562" t="s">
        <v>15080</v>
      </c>
      <c r="J323" s="562" t="s">
        <v>15027</v>
      </c>
      <c r="K323" s="562">
        <v>4.0</v>
      </c>
      <c r="L323" s="562" t="s">
        <v>15081</v>
      </c>
      <c r="M323" s="284"/>
    </row>
    <row r="324">
      <c r="A324" s="562" t="s">
        <v>15074</v>
      </c>
      <c r="B324" s="563">
        <v>0.4836111111111111</v>
      </c>
      <c r="C324" s="562" t="s">
        <v>15082</v>
      </c>
      <c r="D324" s="284"/>
      <c r="E324" s="562">
        <v>923322472274</v>
      </c>
      <c r="F324" s="562" t="s">
        <v>6939</v>
      </c>
      <c r="G324" s="562" t="s">
        <v>14835</v>
      </c>
      <c r="H324" s="562" t="s">
        <v>15083</v>
      </c>
      <c r="I324" s="562" t="s">
        <v>15080</v>
      </c>
      <c r="J324" s="562" t="s">
        <v>15084</v>
      </c>
      <c r="K324" s="562">
        <v>4.0</v>
      </c>
      <c r="L324" s="562" t="s">
        <v>6944</v>
      </c>
      <c r="M324" s="284"/>
    </row>
    <row r="325">
      <c r="A325" s="562" t="s">
        <v>15040</v>
      </c>
      <c r="B325" s="563">
        <v>0.4465277777777778</v>
      </c>
      <c r="C325" s="562" t="s">
        <v>7562</v>
      </c>
      <c r="D325" s="562" t="s">
        <v>6886</v>
      </c>
      <c r="E325" s="566" t="s">
        <v>15085</v>
      </c>
      <c r="F325" s="562" t="s">
        <v>6939</v>
      </c>
      <c r="G325" s="562" t="s">
        <v>15086</v>
      </c>
      <c r="H325" s="562" t="s">
        <v>15087</v>
      </c>
      <c r="I325" s="562" t="s">
        <v>15080</v>
      </c>
      <c r="J325" s="562" t="s">
        <v>15084</v>
      </c>
      <c r="K325" s="562">
        <v>4.0</v>
      </c>
      <c r="L325" s="562" t="s">
        <v>15088</v>
      </c>
      <c r="M325" s="284"/>
    </row>
    <row r="326">
      <c r="A326" s="562" t="s">
        <v>15074</v>
      </c>
      <c r="B326" s="563">
        <v>0.4840509259259259</v>
      </c>
      <c r="C326" s="562" t="s">
        <v>15089</v>
      </c>
      <c r="D326" s="284"/>
      <c r="E326" s="562">
        <v>923029136598</v>
      </c>
      <c r="F326" s="562" t="s">
        <v>6939</v>
      </c>
      <c r="G326" s="562" t="s">
        <v>14835</v>
      </c>
      <c r="H326" s="562" t="s">
        <v>15090</v>
      </c>
      <c r="I326" s="562" t="s">
        <v>15091</v>
      </c>
      <c r="J326" s="562" t="s">
        <v>14766</v>
      </c>
      <c r="K326" s="562">
        <v>4.0</v>
      </c>
      <c r="L326" s="284"/>
      <c r="M326" s="284"/>
    </row>
    <row r="327">
      <c r="A327" s="562" t="s">
        <v>15074</v>
      </c>
      <c r="B327" s="563">
        <v>0.4841898148148148</v>
      </c>
      <c r="C327" s="562" t="s">
        <v>15092</v>
      </c>
      <c r="D327" s="284"/>
      <c r="E327" s="562">
        <v>923082892450</v>
      </c>
      <c r="F327" s="562" t="s">
        <v>6939</v>
      </c>
      <c r="G327" s="562" t="s">
        <v>14835</v>
      </c>
      <c r="H327" s="562" t="s">
        <v>15093</v>
      </c>
      <c r="I327" s="562" t="s">
        <v>15094</v>
      </c>
      <c r="J327" s="562" t="s">
        <v>14766</v>
      </c>
      <c r="K327" s="562">
        <v>4.0</v>
      </c>
      <c r="L327" s="284"/>
      <c r="M327" s="284"/>
    </row>
    <row r="328">
      <c r="A328" s="568" t="s">
        <v>15074</v>
      </c>
      <c r="B328" s="569">
        <v>0.4843287037037037</v>
      </c>
      <c r="C328" s="568" t="s">
        <v>5616</v>
      </c>
      <c r="D328" s="570"/>
      <c r="E328" s="568">
        <v>923314990657</v>
      </c>
      <c r="F328" s="562" t="s">
        <v>6939</v>
      </c>
      <c r="G328" s="568" t="s">
        <v>14835</v>
      </c>
      <c r="H328" s="568" t="s">
        <v>15095</v>
      </c>
      <c r="I328" s="568" t="s">
        <v>15096</v>
      </c>
      <c r="J328" s="568" t="s">
        <v>14766</v>
      </c>
      <c r="K328" s="568">
        <v>4.0</v>
      </c>
      <c r="L328" s="570"/>
      <c r="M328" s="284"/>
    </row>
    <row r="329">
      <c r="A329" s="562" t="s">
        <v>15074</v>
      </c>
      <c r="B329" s="563">
        <v>0.48454861111111114</v>
      </c>
      <c r="C329" s="562" t="s">
        <v>7552</v>
      </c>
      <c r="D329" s="284"/>
      <c r="E329" s="562">
        <v>923351900707</v>
      </c>
      <c r="F329" s="562" t="s">
        <v>6939</v>
      </c>
      <c r="G329" s="562" t="s">
        <v>14835</v>
      </c>
      <c r="H329" s="562" t="s">
        <v>15097</v>
      </c>
      <c r="I329" s="562" t="s">
        <v>15098</v>
      </c>
      <c r="J329" s="562" t="s">
        <v>14766</v>
      </c>
      <c r="K329" s="562">
        <v>4.0</v>
      </c>
      <c r="L329" s="284"/>
      <c r="M329" s="284"/>
    </row>
    <row r="330">
      <c r="A330" s="562" t="s">
        <v>15074</v>
      </c>
      <c r="B330" s="563">
        <v>0.48486111111111113</v>
      </c>
      <c r="C330" s="562" t="s">
        <v>15099</v>
      </c>
      <c r="D330" s="284"/>
      <c r="E330" s="562">
        <v>923152594991</v>
      </c>
      <c r="F330" s="562" t="s">
        <v>6875</v>
      </c>
      <c r="G330" s="562" t="s">
        <v>15086</v>
      </c>
      <c r="H330" s="562" t="s">
        <v>15100</v>
      </c>
      <c r="I330" s="562" t="s">
        <v>15080</v>
      </c>
      <c r="J330" s="562" t="s">
        <v>15084</v>
      </c>
      <c r="K330" s="562">
        <v>4.0</v>
      </c>
      <c r="L330" s="562" t="s">
        <v>685</v>
      </c>
      <c r="M330" s="284"/>
    </row>
    <row r="331">
      <c r="A331" s="562" t="s">
        <v>15074</v>
      </c>
      <c r="B331" s="563">
        <v>0.5408333333333334</v>
      </c>
      <c r="C331" s="562" t="s">
        <v>7555</v>
      </c>
      <c r="D331" s="284"/>
      <c r="E331" s="562">
        <v>923191230765</v>
      </c>
      <c r="F331" s="562" t="s">
        <v>6875</v>
      </c>
      <c r="G331" s="284"/>
      <c r="H331" s="284"/>
      <c r="I331" s="562" t="s">
        <v>15101</v>
      </c>
      <c r="J331" s="284"/>
      <c r="K331" s="562">
        <v>4.0</v>
      </c>
      <c r="L331" s="562" t="s">
        <v>372</v>
      </c>
      <c r="M331" s="284"/>
    </row>
    <row r="332">
      <c r="A332" s="562" t="s">
        <v>15040</v>
      </c>
      <c r="B332" s="563">
        <v>0.4480208333333333</v>
      </c>
      <c r="C332" s="562" t="s">
        <v>13442</v>
      </c>
      <c r="D332" s="284"/>
      <c r="E332" s="562">
        <v>923313143852</v>
      </c>
      <c r="F332" s="562" t="s">
        <v>6939</v>
      </c>
      <c r="G332" s="562" t="s">
        <v>14835</v>
      </c>
      <c r="H332" s="562" t="s">
        <v>15102</v>
      </c>
      <c r="I332" s="562" t="s">
        <v>15103</v>
      </c>
      <c r="J332" s="562" t="s">
        <v>14766</v>
      </c>
      <c r="K332" s="562">
        <v>4.0</v>
      </c>
      <c r="L332" s="284"/>
      <c r="M332" s="284"/>
    </row>
    <row r="333">
      <c r="A333" s="562" t="s">
        <v>15040</v>
      </c>
      <c r="B333" s="563">
        <v>0.4489814814814815</v>
      </c>
      <c r="C333" s="562" t="s">
        <v>15104</v>
      </c>
      <c r="D333" s="284"/>
      <c r="E333" s="562">
        <v>923362174396</v>
      </c>
      <c r="F333" s="562" t="s">
        <v>6875</v>
      </c>
      <c r="G333" s="562" t="s">
        <v>15086</v>
      </c>
      <c r="H333" s="562" t="s">
        <v>15105</v>
      </c>
      <c r="I333" s="562" t="s">
        <v>15106</v>
      </c>
      <c r="J333" s="562" t="s">
        <v>15084</v>
      </c>
      <c r="K333" s="562">
        <v>4.0</v>
      </c>
      <c r="L333" s="562" t="s">
        <v>15107</v>
      </c>
      <c r="M333" s="284"/>
    </row>
    <row r="334">
      <c r="A334" s="562" t="s">
        <v>15040</v>
      </c>
      <c r="B334" s="563">
        <v>0.449375</v>
      </c>
      <c r="C334" s="562" t="s">
        <v>15108</v>
      </c>
      <c r="D334" s="284"/>
      <c r="E334" s="562">
        <v>923417214570</v>
      </c>
      <c r="F334" s="562" t="s">
        <v>6875</v>
      </c>
      <c r="G334" s="562" t="s">
        <v>14835</v>
      </c>
      <c r="H334" s="562" t="s">
        <v>15109</v>
      </c>
      <c r="I334" s="562" t="s">
        <v>15110</v>
      </c>
      <c r="J334" s="562" t="s">
        <v>14766</v>
      </c>
      <c r="K334" s="562">
        <v>4.0</v>
      </c>
      <c r="L334" s="562" t="s">
        <v>15107</v>
      </c>
      <c r="M334" s="284"/>
    </row>
    <row r="335">
      <c r="A335" s="562" t="s">
        <v>15040</v>
      </c>
      <c r="B335" s="563">
        <v>0.44971064814814815</v>
      </c>
      <c r="C335" s="562" t="s">
        <v>7566</v>
      </c>
      <c r="D335" s="284"/>
      <c r="E335" s="562">
        <v>923704817922</v>
      </c>
      <c r="F335" s="562" t="s">
        <v>6939</v>
      </c>
      <c r="G335" s="562" t="s">
        <v>14835</v>
      </c>
      <c r="H335" s="562" t="s">
        <v>15111</v>
      </c>
      <c r="I335" s="562" t="s">
        <v>15112</v>
      </c>
      <c r="J335" s="562" t="s">
        <v>14766</v>
      </c>
      <c r="K335" s="562">
        <v>4.0</v>
      </c>
      <c r="L335" s="284"/>
      <c r="M335" s="284"/>
    </row>
    <row r="336">
      <c r="A336" s="562" t="s">
        <v>15040</v>
      </c>
      <c r="B336" s="563">
        <v>0.45016203703703705</v>
      </c>
      <c r="C336" s="562" t="s">
        <v>15113</v>
      </c>
      <c r="D336" s="284"/>
      <c r="E336" s="562">
        <v>923140369473</v>
      </c>
      <c r="F336" s="562" t="s">
        <v>6939</v>
      </c>
      <c r="G336" s="562" t="s">
        <v>14835</v>
      </c>
      <c r="H336" s="562" t="s">
        <v>15114</v>
      </c>
      <c r="I336" s="562" t="s">
        <v>15115</v>
      </c>
      <c r="J336" s="562" t="s">
        <v>14766</v>
      </c>
      <c r="K336" s="562">
        <v>4.0</v>
      </c>
      <c r="L336" s="284"/>
      <c r="M336" s="284"/>
    </row>
    <row r="337">
      <c r="A337" s="562" t="s">
        <v>15040</v>
      </c>
      <c r="B337" s="563">
        <v>0.45033564814814814</v>
      </c>
      <c r="C337" s="562" t="s">
        <v>15116</v>
      </c>
      <c r="D337" s="562" t="s">
        <v>7725</v>
      </c>
      <c r="E337" s="566" t="s">
        <v>15117</v>
      </c>
      <c r="F337" s="562" t="s">
        <v>6939</v>
      </c>
      <c r="G337" s="562" t="s">
        <v>15086</v>
      </c>
      <c r="H337" s="562" t="s">
        <v>15118</v>
      </c>
      <c r="I337" s="562" t="s">
        <v>15119</v>
      </c>
      <c r="J337" s="562" t="s">
        <v>15120</v>
      </c>
      <c r="K337" s="562">
        <v>4.0</v>
      </c>
      <c r="L337" s="562" t="s">
        <v>685</v>
      </c>
      <c r="M337" s="284"/>
    </row>
    <row r="338">
      <c r="A338" s="712" t="s">
        <v>15040</v>
      </c>
      <c r="B338" s="713">
        <v>0.45114583333333336</v>
      </c>
      <c r="C338" s="712" t="s">
        <v>15121</v>
      </c>
      <c r="D338" s="712" t="s">
        <v>7725</v>
      </c>
      <c r="E338" s="714" t="s">
        <v>15122</v>
      </c>
      <c r="F338" s="562" t="s">
        <v>6939</v>
      </c>
      <c r="G338" s="712" t="s">
        <v>15086</v>
      </c>
      <c r="H338" s="712" t="s">
        <v>15123</v>
      </c>
      <c r="I338" s="712" t="s">
        <v>15124</v>
      </c>
      <c r="J338" s="715"/>
      <c r="K338" s="712">
        <v>4.0</v>
      </c>
      <c r="L338" s="712" t="s">
        <v>15125</v>
      </c>
      <c r="M338" s="284"/>
    </row>
    <row r="339">
      <c r="A339" s="562" t="s">
        <v>15040</v>
      </c>
      <c r="B339" s="563">
        <v>0.45125</v>
      </c>
      <c r="C339" s="562" t="s">
        <v>15126</v>
      </c>
      <c r="D339" s="284"/>
      <c r="E339" s="562">
        <v>923332658680</v>
      </c>
      <c r="F339" s="562" t="s">
        <v>6875</v>
      </c>
      <c r="G339" s="562" t="s">
        <v>15086</v>
      </c>
      <c r="H339" s="562" t="s">
        <v>15127</v>
      </c>
      <c r="I339" s="562" t="s">
        <v>15128</v>
      </c>
      <c r="J339" s="284"/>
      <c r="K339" s="562">
        <v>2.0</v>
      </c>
      <c r="L339" s="562" t="s">
        <v>6944</v>
      </c>
      <c r="M339" s="284"/>
    </row>
    <row r="340">
      <c r="A340" s="562" t="s">
        <v>15040</v>
      </c>
      <c r="B340" s="563">
        <v>0.45136574074074076</v>
      </c>
      <c r="C340" s="562" t="s">
        <v>7601</v>
      </c>
      <c r="D340" s="284"/>
      <c r="E340" s="562">
        <v>923330236083</v>
      </c>
      <c r="F340" s="562" t="s">
        <v>6875</v>
      </c>
      <c r="G340" s="284"/>
      <c r="H340" s="562" t="s">
        <v>15129</v>
      </c>
      <c r="I340" s="562" t="s">
        <v>15130</v>
      </c>
      <c r="J340" s="284"/>
      <c r="K340" s="562">
        <v>2.0</v>
      </c>
      <c r="L340" s="284"/>
      <c r="M340" s="284"/>
    </row>
    <row r="341">
      <c r="A341" s="562" t="s">
        <v>15040</v>
      </c>
      <c r="B341" s="563">
        <v>0.45234953703703706</v>
      </c>
      <c r="C341" s="562" t="s">
        <v>15131</v>
      </c>
      <c r="D341" s="562" t="s">
        <v>6886</v>
      </c>
      <c r="E341" s="566" t="s">
        <v>15132</v>
      </c>
      <c r="F341" s="562" t="s">
        <v>6875</v>
      </c>
      <c r="G341" s="562" t="s">
        <v>15086</v>
      </c>
      <c r="H341" s="562" t="s">
        <v>15133</v>
      </c>
      <c r="I341" s="562" t="s">
        <v>15134</v>
      </c>
      <c r="J341" s="284"/>
      <c r="K341" s="562">
        <v>3.0</v>
      </c>
      <c r="L341" s="562" t="s">
        <v>15135</v>
      </c>
      <c r="M341" s="284"/>
    </row>
    <row r="342">
      <c r="A342" s="562" t="s">
        <v>15040</v>
      </c>
      <c r="B342" s="563">
        <v>0.45262731481481483</v>
      </c>
      <c r="C342" s="562" t="s">
        <v>15136</v>
      </c>
      <c r="D342" s="284"/>
      <c r="E342" s="562">
        <v>923434101281</v>
      </c>
      <c r="F342" s="562" t="s">
        <v>6875</v>
      </c>
      <c r="G342" s="562" t="s">
        <v>15086</v>
      </c>
      <c r="H342" s="562" t="s">
        <v>15137</v>
      </c>
      <c r="I342" s="562" t="s">
        <v>15138</v>
      </c>
      <c r="J342" s="284"/>
      <c r="K342" s="562">
        <v>2.0</v>
      </c>
      <c r="L342" s="562" t="s">
        <v>51</v>
      </c>
      <c r="M342" s="284"/>
    </row>
    <row r="343">
      <c r="A343" s="562" t="s">
        <v>15040</v>
      </c>
      <c r="B343" s="563">
        <v>0.45275462962962965</v>
      </c>
      <c r="C343" s="562" t="s">
        <v>15139</v>
      </c>
      <c r="D343" s="284"/>
      <c r="E343" s="562">
        <v>923432230108</v>
      </c>
      <c r="F343" s="562" t="s">
        <v>6888</v>
      </c>
      <c r="G343" s="284"/>
      <c r="H343" s="562" t="s">
        <v>15140</v>
      </c>
      <c r="I343" s="562" t="s">
        <v>15141</v>
      </c>
      <c r="J343" s="562" t="s">
        <v>15142</v>
      </c>
      <c r="K343" s="562">
        <v>3.0</v>
      </c>
      <c r="L343" s="562" t="s">
        <v>712</v>
      </c>
      <c r="M343" s="284"/>
    </row>
    <row r="344">
      <c r="A344" s="562" t="s">
        <v>15040</v>
      </c>
      <c r="B344" s="563">
        <v>0.45297453703703705</v>
      </c>
      <c r="C344" s="562" t="s">
        <v>2351</v>
      </c>
      <c r="D344" s="284"/>
      <c r="E344" s="562">
        <v>923052818402</v>
      </c>
      <c r="F344" s="562" t="s">
        <v>7291</v>
      </c>
      <c r="G344" s="562" t="s">
        <v>15086</v>
      </c>
      <c r="H344" s="562" t="s">
        <v>15143</v>
      </c>
      <c r="I344" s="562" t="s">
        <v>15138</v>
      </c>
      <c r="J344" s="562" t="s">
        <v>15144</v>
      </c>
      <c r="K344" s="562">
        <v>2.0</v>
      </c>
      <c r="L344" s="562" t="s">
        <v>6918</v>
      </c>
      <c r="M344" s="284"/>
    </row>
    <row r="345">
      <c r="A345" s="562" t="s">
        <v>15040</v>
      </c>
      <c r="B345" s="563">
        <v>0.45350694444444445</v>
      </c>
      <c r="C345" s="562" t="s">
        <v>7613</v>
      </c>
      <c r="D345" s="284"/>
      <c r="E345" s="562">
        <v>923332313573</v>
      </c>
      <c r="F345" s="562" t="s">
        <v>6875</v>
      </c>
      <c r="G345" s="562" t="s">
        <v>14835</v>
      </c>
      <c r="H345" s="562" t="s">
        <v>15145</v>
      </c>
      <c r="I345" s="562" t="s">
        <v>15138</v>
      </c>
      <c r="J345" s="562" t="s">
        <v>15146</v>
      </c>
      <c r="K345" s="562">
        <v>4.0</v>
      </c>
      <c r="L345" s="562" t="s">
        <v>685</v>
      </c>
      <c r="M345" s="284"/>
    </row>
    <row r="346">
      <c r="A346" s="562" t="s">
        <v>15040</v>
      </c>
      <c r="B346" s="563">
        <v>0.4536921296296296</v>
      </c>
      <c r="C346" s="562" t="s">
        <v>15147</v>
      </c>
      <c r="D346" s="284"/>
      <c r="E346" s="562">
        <v>923018477273</v>
      </c>
      <c r="F346" s="562" t="s">
        <v>6875</v>
      </c>
      <c r="G346" s="562" t="s">
        <v>14835</v>
      </c>
      <c r="H346" s="562" t="s">
        <v>15148</v>
      </c>
      <c r="I346" s="562" t="s">
        <v>15138</v>
      </c>
      <c r="J346" s="562" t="s">
        <v>15149</v>
      </c>
      <c r="K346" s="562">
        <v>2.0</v>
      </c>
      <c r="L346" s="562" t="s">
        <v>15150</v>
      </c>
      <c r="M346" s="284"/>
    </row>
    <row r="347">
      <c r="A347" s="562" t="s">
        <v>15040</v>
      </c>
      <c r="B347" s="563">
        <v>0.4538773148148148</v>
      </c>
      <c r="C347" s="562" t="s">
        <v>15151</v>
      </c>
      <c r="D347" s="284"/>
      <c r="E347" s="562">
        <v>923014541238</v>
      </c>
      <c r="F347" s="562" t="s">
        <v>6875</v>
      </c>
      <c r="G347" s="284"/>
      <c r="H347" s="284"/>
      <c r="I347" s="284"/>
      <c r="J347" s="562" t="s">
        <v>15152</v>
      </c>
      <c r="K347" s="562">
        <v>1.0</v>
      </c>
      <c r="L347" s="284"/>
      <c r="M347" s="284"/>
    </row>
    <row r="348">
      <c r="A348" s="562" t="s">
        <v>15040</v>
      </c>
      <c r="B348" s="563">
        <v>0.45405092592592594</v>
      </c>
      <c r="C348" s="562" t="s">
        <v>15153</v>
      </c>
      <c r="D348" s="284"/>
      <c r="E348" s="562">
        <v>923249278758</v>
      </c>
      <c r="F348" s="562" t="s">
        <v>6875</v>
      </c>
      <c r="G348" s="284"/>
      <c r="H348" s="284"/>
      <c r="I348" s="284"/>
      <c r="J348" s="562" t="s">
        <v>15154</v>
      </c>
      <c r="K348" s="562">
        <v>1.0</v>
      </c>
      <c r="L348" s="562" t="s">
        <v>372</v>
      </c>
      <c r="M348" s="284"/>
    </row>
    <row r="349">
      <c r="A349" s="562" t="s">
        <v>15040</v>
      </c>
      <c r="B349" s="563">
        <v>0.454375</v>
      </c>
      <c r="C349" s="562" t="s">
        <v>15155</v>
      </c>
      <c r="D349" s="284"/>
      <c r="E349" s="562">
        <v>923012134695</v>
      </c>
      <c r="F349" s="562" t="s">
        <v>6888</v>
      </c>
      <c r="G349" s="284"/>
      <c r="H349" s="284"/>
      <c r="I349" s="562" t="s">
        <v>15156</v>
      </c>
      <c r="J349" s="562" t="s">
        <v>15157</v>
      </c>
      <c r="K349" s="562">
        <v>2.0</v>
      </c>
      <c r="L349" s="562" t="s">
        <v>11426</v>
      </c>
      <c r="M349" s="284"/>
    </row>
    <row r="350">
      <c r="A350" s="562" t="s">
        <v>15040</v>
      </c>
      <c r="B350" s="563">
        <v>0.4546875</v>
      </c>
      <c r="C350" s="562" t="s">
        <v>15158</v>
      </c>
      <c r="D350" s="284"/>
      <c r="E350" s="562">
        <v>923333227541</v>
      </c>
      <c r="F350" s="562" t="s">
        <v>6939</v>
      </c>
      <c r="G350" s="562" t="s">
        <v>14835</v>
      </c>
      <c r="H350" s="562" t="s">
        <v>15159</v>
      </c>
      <c r="I350" s="562" t="s">
        <v>15160</v>
      </c>
      <c r="J350" s="562" t="s">
        <v>15161</v>
      </c>
      <c r="K350" s="562">
        <v>4.0</v>
      </c>
      <c r="L350" s="284"/>
      <c r="M350" s="284"/>
    </row>
    <row r="351">
      <c r="A351" s="562" t="s">
        <v>15040</v>
      </c>
      <c r="B351" s="563">
        <v>0.45483796296296297</v>
      </c>
      <c r="C351" s="562" t="s">
        <v>15162</v>
      </c>
      <c r="D351" s="284"/>
      <c r="E351" s="562">
        <v>923094951389</v>
      </c>
      <c r="F351" s="562" t="s">
        <v>6939</v>
      </c>
      <c r="G351" s="562" t="s">
        <v>14835</v>
      </c>
      <c r="H351" s="562" t="s">
        <v>15163</v>
      </c>
      <c r="I351" s="562" t="s">
        <v>15164</v>
      </c>
      <c r="J351" s="562" t="s">
        <v>15165</v>
      </c>
      <c r="K351" s="562">
        <v>4.0</v>
      </c>
      <c r="L351" s="284"/>
      <c r="M351" s="284"/>
    </row>
    <row r="352">
      <c r="A352" s="568" t="s">
        <v>15040</v>
      </c>
      <c r="B352" s="569">
        <v>0.48230324074074077</v>
      </c>
      <c r="C352" s="568" t="s">
        <v>15166</v>
      </c>
      <c r="D352" s="568" t="s">
        <v>7725</v>
      </c>
      <c r="E352" s="637" t="s">
        <v>15167</v>
      </c>
      <c r="F352" s="562" t="s">
        <v>6875</v>
      </c>
      <c r="G352" s="562" t="s">
        <v>14835</v>
      </c>
      <c r="H352" s="568" t="s">
        <v>15168</v>
      </c>
      <c r="I352" s="562" t="s">
        <v>15169</v>
      </c>
      <c r="J352" s="568" t="s">
        <v>15170</v>
      </c>
      <c r="K352" s="562">
        <v>4.0</v>
      </c>
      <c r="L352" s="568" t="s">
        <v>6944</v>
      </c>
      <c r="M352" s="284"/>
    </row>
    <row r="353">
      <c r="A353" s="562" t="s">
        <v>15040</v>
      </c>
      <c r="B353" s="563">
        <v>0.4965162037037037</v>
      </c>
      <c r="C353" s="562" t="s">
        <v>4105</v>
      </c>
      <c r="D353" s="284"/>
      <c r="E353" s="562">
        <v>923284049706</v>
      </c>
      <c r="F353" s="562" t="s">
        <v>6982</v>
      </c>
      <c r="G353" s="562" t="s">
        <v>14835</v>
      </c>
      <c r="H353" s="562" t="s">
        <v>15171</v>
      </c>
      <c r="I353" s="562" t="s">
        <v>15172</v>
      </c>
      <c r="J353" s="562" t="s">
        <v>15173</v>
      </c>
      <c r="K353" s="562">
        <v>4.0</v>
      </c>
      <c r="L353" s="562" t="s">
        <v>6944</v>
      </c>
      <c r="M353" s="284"/>
    </row>
    <row r="354">
      <c r="A354" s="562" t="s">
        <v>15040</v>
      </c>
      <c r="B354" s="563">
        <v>0.49681712962962965</v>
      </c>
      <c r="C354" s="562" t="s">
        <v>15174</v>
      </c>
      <c r="D354" s="284"/>
      <c r="E354" s="562">
        <v>923238489293</v>
      </c>
      <c r="F354" s="562" t="s">
        <v>6939</v>
      </c>
      <c r="G354" s="562" t="s">
        <v>14835</v>
      </c>
      <c r="H354" s="562" t="s">
        <v>15175</v>
      </c>
      <c r="I354" s="562" t="s">
        <v>15138</v>
      </c>
      <c r="J354" s="562" t="s">
        <v>15176</v>
      </c>
      <c r="K354" s="562">
        <v>4.0</v>
      </c>
      <c r="L354" s="562" t="s">
        <v>6944</v>
      </c>
      <c r="M354" s="284"/>
    </row>
    <row r="355">
      <c r="A355" s="562" t="s">
        <v>15177</v>
      </c>
      <c r="B355" s="563">
        <v>0.4314351851851852</v>
      </c>
      <c r="C355" s="562" t="s">
        <v>15178</v>
      </c>
      <c r="D355" s="284"/>
      <c r="E355" s="562">
        <v>923224155564</v>
      </c>
      <c r="F355" s="562" t="s">
        <v>6875</v>
      </c>
      <c r="G355" s="562" t="s">
        <v>14835</v>
      </c>
      <c r="H355" s="562" t="s">
        <v>15179</v>
      </c>
      <c r="I355" s="562" t="s">
        <v>15180</v>
      </c>
      <c r="J355" s="284"/>
      <c r="K355" s="562">
        <v>3.0</v>
      </c>
      <c r="L355" s="284"/>
      <c r="M355" s="284"/>
    </row>
    <row r="356">
      <c r="A356" s="562" t="s">
        <v>15177</v>
      </c>
      <c r="B356" s="563">
        <v>0.4316203703703704</v>
      </c>
      <c r="C356" s="562" t="s">
        <v>15181</v>
      </c>
      <c r="D356" s="284"/>
      <c r="E356" s="562">
        <v>923054026658</v>
      </c>
      <c r="F356" s="562" t="s">
        <v>6982</v>
      </c>
      <c r="G356" s="284"/>
      <c r="H356" s="284"/>
      <c r="I356" s="562" t="s">
        <v>15182</v>
      </c>
      <c r="J356" s="562" t="s">
        <v>15183</v>
      </c>
      <c r="K356" s="562">
        <v>2.0</v>
      </c>
      <c r="L356" s="562" t="s">
        <v>15184</v>
      </c>
      <c r="M356" s="284"/>
    </row>
    <row r="357">
      <c r="A357" s="562" t="s">
        <v>15177</v>
      </c>
      <c r="B357" s="563">
        <v>0.4317476851851852</v>
      </c>
      <c r="C357" s="562" t="s">
        <v>7617</v>
      </c>
      <c r="D357" s="284"/>
      <c r="E357" s="562">
        <v>923203220873</v>
      </c>
      <c r="F357" s="562" t="s">
        <v>6875</v>
      </c>
      <c r="G357" s="562" t="s">
        <v>14835</v>
      </c>
      <c r="H357" s="562" t="s">
        <v>15163</v>
      </c>
      <c r="I357" s="562" t="s">
        <v>15185</v>
      </c>
      <c r="J357" s="284"/>
      <c r="K357" s="562">
        <v>3.0</v>
      </c>
      <c r="L357" s="284"/>
      <c r="M357" s="284"/>
    </row>
    <row r="358">
      <c r="A358" s="562" t="s">
        <v>15177</v>
      </c>
      <c r="B358" s="563">
        <v>0.43201388888888886</v>
      </c>
      <c r="C358" s="562" t="s">
        <v>15186</v>
      </c>
      <c r="D358" s="284"/>
      <c r="E358" s="562">
        <v>923141147339</v>
      </c>
      <c r="F358" s="562" t="s">
        <v>6875</v>
      </c>
      <c r="G358" s="562" t="s">
        <v>14835</v>
      </c>
      <c r="H358" s="562" t="s">
        <v>15187</v>
      </c>
      <c r="I358" s="562" t="s">
        <v>15188</v>
      </c>
      <c r="J358" s="284"/>
      <c r="K358" s="562">
        <v>2.0</v>
      </c>
      <c r="L358" s="562" t="s">
        <v>685</v>
      </c>
      <c r="M358" s="284"/>
    </row>
    <row r="359">
      <c r="A359" s="562" t="s">
        <v>15177</v>
      </c>
      <c r="B359" s="563">
        <v>0.43274305555555553</v>
      </c>
      <c r="C359" s="562" t="s">
        <v>15189</v>
      </c>
      <c r="D359" s="284"/>
      <c r="E359" s="562">
        <v>923172700667</v>
      </c>
      <c r="F359" s="562" t="s">
        <v>6939</v>
      </c>
      <c r="G359" s="562" t="s">
        <v>14835</v>
      </c>
      <c r="H359" s="562" t="s">
        <v>15190</v>
      </c>
      <c r="I359" s="562" t="s">
        <v>15191</v>
      </c>
      <c r="J359" s="284"/>
      <c r="K359" s="562">
        <v>3.0</v>
      </c>
      <c r="L359" s="562" t="s">
        <v>5033</v>
      </c>
      <c r="M359" s="284"/>
    </row>
    <row r="360">
      <c r="A360" s="562" t="s">
        <v>15177</v>
      </c>
      <c r="B360" s="563">
        <v>0.43287037037037035</v>
      </c>
      <c r="C360" s="562" t="s">
        <v>7619</v>
      </c>
      <c r="D360" s="284"/>
      <c r="E360" s="562">
        <v>923351323657</v>
      </c>
      <c r="F360" s="562" t="s">
        <v>6939</v>
      </c>
      <c r="G360" s="562" t="s">
        <v>14835</v>
      </c>
      <c r="H360" s="562" t="s">
        <v>15192</v>
      </c>
      <c r="I360" s="562" t="s">
        <v>15193</v>
      </c>
      <c r="J360" s="284"/>
      <c r="K360" s="562">
        <v>3.0</v>
      </c>
      <c r="L360" s="284"/>
      <c r="M360" s="284"/>
    </row>
    <row r="361">
      <c r="A361" s="562" t="s">
        <v>15177</v>
      </c>
      <c r="B361" s="563">
        <v>0.43300925925925926</v>
      </c>
      <c r="C361" s="562" t="s">
        <v>7621</v>
      </c>
      <c r="D361" s="284"/>
      <c r="E361" s="562">
        <v>923362553981</v>
      </c>
      <c r="F361" s="562" t="s">
        <v>6939</v>
      </c>
      <c r="G361" s="562" t="s">
        <v>14835</v>
      </c>
      <c r="H361" s="562" t="s">
        <v>15194</v>
      </c>
      <c r="I361" s="562" t="s">
        <v>15195</v>
      </c>
      <c r="J361" s="284"/>
      <c r="K361" s="562">
        <v>3.0</v>
      </c>
      <c r="L361" s="284"/>
      <c r="M361" s="284"/>
    </row>
    <row r="362">
      <c r="A362" s="562" t="s">
        <v>15177</v>
      </c>
      <c r="B362" s="563">
        <v>0.43322916666666667</v>
      </c>
      <c r="C362" s="562" t="s">
        <v>7626</v>
      </c>
      <c r="D362" s="284"/>
      <c r="E362" s="562">
        <v>923156974707</v>
      </c>
      <c r="F362" s="562" t="s">
        <v>6939</v>
      </c>
      <c r="G362" s="562" t="s">
        <v>14835</v>
      </c>
      <c r="H362" s="562" t="s">
        <v>15163</v>
      </c>
      <c r="I362" s="562" t="s">
        <v>15196</v>
      </c>
      <c r="J362" s="562" t="s">
        <v>15176</v>
      </c>
      <c r="K362" s="562">
        <v>4.0</v>
      </c>
      <c r="L362" s="562" t="s">
        <v>11388</v>
      </c>
      <c r="M362" s="284"/>
    </row>
    <row r="363">
      <c r="A363" s="562" t="s">
        <v>15177</v>
      </c>
      <c r="B363" s="563">
        <v>0.43350694444444443</v>
      </c>
      <c r="C363" s="562" t="s">
        <v>15197</v>
      </c>
      <c r="D363" s="284"/>
      <c r="E363" s="562">
        <v>923366249994</v>
      </c>
      <c r="F363" s="562" t="s">
        <v>6875</v>
      </c>
      <c r="G363" s="562" t="s">
        <v>14835</v>
      </c>
      <c r="H363" s="562" t="s">
        <v>15163</v>
      </c>
      <c r="I363" s="562" t="s">
        <v>15198</v>
      </c>
      <c r="J363" s="284"/>
      <c r="K363" s="562">
        <v>3.0</v>
      </c>
      <c r="L363" s="284"/>
      <c r="M363" s="284"/>
    </row>
    <row r="364">
      <c r="A364" s="562" t="s">
        <v>15177</v>
      </c>
      <c r="B364" s="563">
        <v>0.43363425925925925</v>
      </c>
      <c r="C364" s="562" t="s">
        <v>7631</v>
      </c>
      <c r="D364" s="284"/>
      <c r="E364" s="562">
        <v>923436057870</v>
      </c>
      <c r="F364" s="562" t="s">
        <v>6875</v>
      </c>
      <c r="G364" s="284"/>
      <c r="H364" s="284"/>
      <c r="I364" s="562" t="s">
        <v>15199</v>
      </c>
      <c r="J364" s="284"/>
      <c r="K364" s="562">
        <v>1.0</v>
      </c>
      <c r="L364" s="284"/>
      <c r="M364" s="284"/>
    </row>
    <row r="365">
      <c r="A365" s="562" t="s">
        <v>15177</v>
      </c>
      <c r="B365" s="563">
        <v>0.43438657407407405</v>
      </c>
      <c r="C365" s="562" t="s">
        <v>15200</v>
      </c>
      <c r="D365" s="284"/>
      <c r="E365" s="562">
        <v>923463525827</v>
      </c>
      <c r="F365" s="562" t="s">
        <v>6939</v>
      </c>
      <c r="G365" s="562" t="s">
        <v>14835</v>
      </c>
      <c r="H365" s="562" t="s">
        <v>15201</v>
      </c>
      <c r="I365" s="562" t="s">
        <v>15202</v>
      </c>
      <c r="J365" s="284"/>
      <c r="K365" s="562">
        <v>2.0</v>
      </c>
      <c r="L365" s="562" t="s">
        <v>685</v>
      </c>
      <c r="M365" s="284"/>
    </row>
    <row r="366">
      <c r="A366" s="577" t="s">
        <v>15177</v>
      </c>
      <c r="B366" s="578">
        <v>0.436099537037037</v>
      </c>
      <c r="C366" s="577" t="s">
        <v>7636</v>
      </c>
      <c r="D366" s="579"/>
      <c r="E366" s="577">
        <v>923004551825</v>
      </c>
      <c r="F366" s="562" t="s">
        <v>6939</v>
      </c>
      <c r="G366" s="577" t="s">
        <v>14835</v>
      </c>
      <c r="H366" s="577" t="s">
        <v>15203</v>
      </c>
      <c r="I366" s="577" t="s">
        <v>15204</v>
      </c>
      <c r="J366" s="579"/>
      <c r="K366" s="577">
        <v>3.0</v>
      </c>
      <c r="L366" s="579"/>
      <c r="M366" s="579" t="s">
        <v>15205</v>
      </c>
    </row>
    <row r="367">
      <c r="A367" s="562" t="s">
        <v>15177</v>
      </c>
      <c r="B367" s="563">
        <v>0.4362847222222222</v>
      </c>
      <c r="C367" s="562" t="s">
        <v>15206</v>
      </c>
      <c r="D367" s="284"/>
      <c r="E367" s="574">
        <v>923117785780</v>
      </c>
      <c r="F367" s="562" t="s">
        <v>6939</v>
      </c>
      <c r="G367" s="562" t="s">
        <v>14835</v>
      </c>
      <c r="H367" s="562" t="s">
        <v>15207</v>
      </c>
      <c r="I367" s="562" t="s">
        <v>15208</v>
      </c>
      <c r="J367" s="562" t="s">
        <v>15209</v>
      </c>
      <c r="K367" s="562">
        <v>4.0</v>
      </c>
      <c r="L367" s="562" t="s">
        <v>685</v>
      </c>
      <c r="M367" s="284"/>
    </row>
    <row r="368">
      <c r="A368" s="562" t="s">
        <v>15177</v>
      </c>
      <c r="B368" s="563">
        <v>0.43644675925925924</v>
      </c>
      <c r="C368" s="562" t="s">
        <v>7641</v>
      </c>
      <c r="D368" s="284"/>
      <c r="E368" s="562">
        <v>923172634411</v>
      </c>
      <c r="F368" s="562" t="s">
        <v>6875</v>
      </c>
      <c r="G368" s="562" t="s">
        <v>14835</v>
      </c>
      <c r="H368" s="562" t="s">
        <v>15163</v>
      </c>
      <c r="I368" s="562" t="s">
        <v>15210</v>
      </c>
      <c r="J368" s="284"/>
      <c r="K368" s="562">
        <v>3.0</v>
      </c>
      <c r="L368" s="284"/>
      <c r="M368" s="284"/>
    </row>
    <row r="369">
      <c r="A369" s="562" t="s">
        <v>15177</v>
      </c>
      <c r="B369" s="563">
        <v>0.43657407407407406</v>
      </c>
      <c r="C369" s="562" t="s">
        <v>15211</v>
      </c>
      <c r="D369" s="562" t="s">
        <v>11511</v>
      </c>
      <c r="E369" s="566" t="s">
        <v>15212</v>
      </c>
      <c r="F369" s="562" t="s">
        <v>6939</v>
      </c>
      <c r="G369" s="562" t="s">
        <v>14835</v>
      </c>
      <c r="H369" s="562" t="s">
        <v>15163</v>
      </c>
      <c r="I369" s="562" t="s">
        <v>15213</v>
      </c>
      <c r="J369" s="562" t="s">
        <v>15214</v>
      </c>
      <c r="K369" s="562">
        <v>4.0</v>
      </c>
      <c r="L369" s="562" t="s">
        <v>11388</v>
      </c>
      <c r="M369" s="284"/>
    </row>
    <row r="370">
      <c r="A370" s="562" t="s">
        <v>15177</v>
      </c>
      <c r="B370" s="563">
        <v>0.4367824074074074</v>
      </c>
      <c r="C370" s="562" t="s">
        <v>15215</v>
      </c>
      <c r="D370" s="284"/>
      <c r="E370" s="562">
        <v>923392090000</v>
      </c>
      <c r="F370" s="562" t="s">
        <v>6875</v>
      </c>
      <c r="G370" s="284"/>
      <c r="H370" s="284"/>
      <c r="I370" s="562" t="s">
        <v>15216</v>
      </c>
      <c r="J370" s="562" t="s">
        <v>15217</v>
      </c>
      <c r="K370" s="562">
        <v>2.0</v>
      </c>
      <c r="L370" s="284"/>
      <c r="M370" s="284"/>
    </row>
    <row r="371">
      <c r="A371" s="562" t="s">
        <v>15177</v>
      </c>
      <c r="B371" s="563">
        <v>0.43690972222222224</v>
      </c>
      <c r="C371" s="562" t="s">
        <v>7648</v>
      </c>
      <c r="D371" s="284"/>
      <c r="E371" s="562">
        <v>923302232396</v>
      </c>
      <c r="F371" s="562" t="s">
        <v>6875</v>
      </c>
      <c r="G371" s="284"/>
      <c r="H371" s="284"/>
      <c r="I371" s="562" t="s">
        <v>15218</v>
      </c>
      <c r="J371" s="284"/>
      <c r="K371" s="562">
        <v>1.0</v>
      </c>
      <c r="L371" s="562" t="s">
        <v>372</v>
      </c>
      <c r="M371" s="284"/>
    </row>
    <row r="372">
      <c r="A372" s="562" t="s">
        <v>15177</v>
      </c>
      <c r="B372" s="563">
        <v>0.4370949074074074</v>
      </c>
      <c r="C372" s="562" t="s">
        <v>15219</v>
      </c>
      <c r="D372" s="284"/>
      <c r="E372" s="562">
        <v>923017684322</v>
      </c>
      <c r="F372" s="562" t="s">
        <v>6939</v>
      </c>
      <c r="G372" s="562" t="s">
        <v>14835</v>
      </c>
      <c r="H372" s="562" t="s">
        <v>15207</v>
      </c>
      <c r="I372" s="562" t="s">
        <v>15220</v>
      </c>
      <c r="J372" s="562" t="s">
        <v>15209</v>
      </c>
      <c r="K372" s="562">
        <v>4.0</v>
      </c>
      <c r="L372" s="562" t="s">
        <v>11388</v>
      </c>
      <c r="M372" s="284"/>
    </row>
    <row r="373">
      <c r="A373" s="562" t="s">
        <v>15177</v>
      </c>
      <c r="B373" s="563">
        <v>0.43730324074074073</v>
      </c>
      <c r="C373" s="562" t="s">
        <v>15221</v>
      </c>
      <c r="D373" s="284"/>
      <c r="E373" s="562">
        <v>923224869706</v>
      </c>
      <c r="F373" s="562" t="s">
        <v>6939</v>
      </c>
      <c r="G373" s="562" t="s">
        <v>14835</v>
      </c>
      <c r="H373" s="562" t="s">
        <v>15207</v>
      </c>
      <c r="I373" s="562" t="s">
        <v>15222</v>
      </c>
      <c r="J373" s="562" t="s">
        <v>15209</v>
      </c>
      <c r="K373" s="562">
        <v>4.0</v>
      </c>
      <c r="L373" s="562" t="s">
        <v>685</v>
      </c>
      <c r="M373" s="284"/>
    </row>
    <row r="374">
      <c r="A374" s="562" t="s">
        <v>15177</v>
      </c>
      <c r="B374" s="563">
        <v>0.4375</v>
      </c>
      <c r="C374" s="562" t="s">
        <v>15223</v>
      </c>
      <c r="D374" s="284"/>
      <c r="E374" s="562">
        <v>923456097921</v>
      </c>
      <c r="F374" s="562" t="s">
        <v>6875</v>
      </c>
      <c r="G374" s="562" t="s">
        <v>14835</v>
      </c>
      <c r="H374" s="562" t="s">
        <v>15207</v>
      </c>
      <c r="I374" s="562" t="s">
        <v>15224</v>
      </c>
      <c r="J374" s="562" t="s">
        <v>15209</v>
      </c>
      <c r="K374" s="562">
        <v>4.0</v>
      </c>
      <c r="L374" s="562" t="s">
        <v>11917</v>
      </c>
      <c r="M374" s="284"/>
    </row>
    <row r="375">
      <c r="A375" s="562" t="s">
        <v>15177</v>
      </c>
      <c r="B375" s="563">
        <v>0.43840277777777775</v>
      </c>
      <c r="C375" s="562" t="s">
        <v>14906</v>
      </c>
      <c r="D375" s="562" t="s">
        <v>6886</v>
      </c>
      <c r="E375" s="562" t="s">
        <v>15225</v>
      </c>
      <c r="F375" s="562" t="s">
        <v>6888</v>
      </c>
      <c r="G375" s="562" t="s">
        <v>15226</v>
      </c>
      <c r="H375" s="284"/>
      <c r="I375" s="284"/>
      <c r="J375" s="562" t="s">
        <v>15227</v>
      </c>
      <c r="K375" s="562">
        <v>2.0</v>
      </c>
      <c r="L375" s="562" t="s">
        <v>15228</v>
      </c>
      <c r="M375" s="284"/>
    </row>
    <row r="376">
      <c r="A376" s="562" t="s">
        <v>15177</v>
      </c>
      <c r="B376" s="563">
        <v>0.4493402777777778</v>
      </c>
      <c r="C376" s="562" t="s">
        <v>7653</v>
      </c>
      <c r="D376" s="284"/>
      <c r="E376" s="562">
        <v>923079079596</v>
      </c>
      <c r="F376" s="562" t="s">
        <v>6875</v>
      </c>
      <c r="G376" s="284"/>
      <c r="H376" s="562" t="s">
        <v>15229</v>
      </c>
      <c r="I376" s="562" t="s">
        <v>15230</v>
      </c>
      <c r="J376" s="562" t="s">
        <v>15231</v>
      </c>
      <c r="K376" s="562">
        <v>3.0</v>
      </c>
      <c r="L376" s="284"/>
      <c r="M376" s="284"/>
    </row>
    <row r="377">
      <c r="A377" s="562" t="s">
        <v>15177</v>
      </c>
      <c r="B377" s="563">
        <v>0.626724537037037</v>
      </c>
      <c r="C377" s="562" t="s">
        <v>15232</v>
      </c>
      <c r="D377" s="284"/>
      <c r="E377" s="562">
        <v>923343553404</v>
      </c>
      <c r="F377" s="562" t="s">
        <v>7291</v>
      </c>
      <c r="G377" s="562" t="s">
        <v>14835</v>
      </c>
      <c r="H377" s="562" t="s">
        <v>15207</v>
      </c>
      <c r="I377" s="562" t="s">
        <v>15233</v>
      </c>
      <c r="J377" s="562" t="s">
        <v>15234</v>
      </c>
      <c r="K377" s="562">
        <v>4.0</v>
      </c>
      <c r="L377" s="562" t="s">
        <v>11152</v>
      </c>
      <c r="M377" s="284"/>
    </row>
    <row r="378">
      <c r="A378" s="562" t="s">
        <v>15177</v>
      </c>
      <c r="B378" s="563">
        <v>0.6269791666666666</v>
      </c>
      <c r="C378" s="562" t="s">
        <v>15235</v>
      </c>
      <c r="D378" s="284"/>
      <c r="E378" s="562">
        <v>923212055484</v>
      </c>
      <c r="F378" s="562" t="s">
        <v>6875</v>
      </c>
      <c r="G378" s="562" t="s">
        <v>14835</v>
      </c>
      <c r="H378" s="562" t="s">
        <v>15207</v>
      </c>
      <c r="I378" s="562" t="s">
        <v>15236</v>
      </c>
      <c r="J378" s="562" t="s">
        <v>15237</v>
      </c>
      <c r="K378" s="562">
        <v>4.0</v>
      </c>
      <c r="L378" s="562" t="s">
        <v>6536</v>
      </c>
      <c r="M378" s="284"/>
    </row>
    <row r="379">
      <c r="A379" s="562" t="s">
        <v>15177</v>
      </c>
      <c r="B379" s="563">
        <v>0.6271180555555556</v>
      </c>
      <c r="C379" s="562" t="s">
        <v>7658</v>
      </c>
      <c r="D379" s="284"/>
      <c r="E379" s="562">
        <v>923102851425</v>
      </c>
      <c r="F379" s="562" t="s">
        <v>6939</v>
      </c>
      <c r="G379" s="562" t="s">
        <v>14835</v>
      </c>
      <c r="H379" s="562" t="s">
        <v>15207</v>
      </c>
      <c r="I379" s="562" t="s">
        <v>15238</v>
      </c>
      <c r="J379" s="562" t="s">
        <v>15239</v>
      </c>
      <c r="K379" s="562">
        <v>4.0</v>
      </c>
      <c r="L379" s="562" t="s">
        <v>6944</v>
      </c>
      <c r="M379" s="284"/>
    </row>
    <row r="380">
      <c r="A380" s="562" t="s">
        <v>15177</v>
      </c>
      <c r="B380" s="563">
        <v>0.6279282407407407</v>
      </c>
      <c r="C380" s="562" t="s">
        <v>7663</v>
      </c>
      <c r="D380" s="284"/>
      <c r="E380" s="562">
        <v>923434657845</v>
      </c>
      <c r="F380" s="562" t="s">
        <v>6875</v>
      </c>
      <c r="G380" s="284"/>
      <c r="H380" s="284"/>
      <c r="I380" s="284"/>
      <c r="J380" s="562" t="s">
        <v>15240</v>
      </c>
      <c r="K380" s="562">
        <v>1.0</v>
      </c>
      <c r="L380" s="284"/>
      <c r="M380" s="284"/>
    </row>
    <row r="381">
      <c r="A381" s="562" t="s">
        <v>15177</v>
      </c>
      <c r="B381" s="563">
        <v>0.6288078703703703</v>
      </c>
      <c r="C381" s="562" t="s">
        <v>7665</v>
      </c>
      <c r="D381" s="284"/>
      <c r="E381" s="562">
        <v>923010237527</v>
      </c>
      <c r="F381" s="562" t="s">
        <v>6875</v>
      </c>
      <c r="G381" s="284"/>
      <c r="H381" s="284"/>
      <c r="I381" s="284"/>
      <c r="J381" s="562" t="s">
        <v>15241</v>
      </c>
      <c r="K381" s="562">
        <v>1.0</v>
      </c>
      <c r="L381" s="284"/>
      <c r="M381" s="284"/>
    </row>
    <row r="382">
      <c r="A382" s="562" t="s">
        <v>15177</v>
      </c>
      <c r="B382" s="563">
        <v>0.7363541666666666</v>
      </c>
      <c r="C382" s="562" t="s">
        <v>15242</v>
      </c>
      <c r="D382" s="562" t="s">
        <v>7725</v>
      </c>
      <c r="E382" s="566" t="s">
        <v>15243</v>
      </c>
      <c r="F382" s="562" t="s">
        <v>6875</v>
      </c>
      <c r="G382" s="284"/>
      <c r="H382" s="562" t="s">
        <v>15244</v>
      </c>
      <c r="I382" s="284"/>
      <c r="J382" s="562" t="s">
        <v>15245</v>
      </c>
      <c r="K382" s="562">
        <v>2.0</v>
      </c>
      <c r="L382" s="562" t="s">
        <v>51</v>
      </c>
      <c r="M382" s="284"/>
    </row>
    <row r="383">
      <c r="A383" s="562" t="s">
        <v>15177</v>
      </c>
      <c r="B383" s="563">
        <v>0.7364351851851851</v>
      </c>
      <c r="C383" s="562" t="s">
        <v>7675</v>
      </c>
      <c r="D383" s="284"/>
      <c r="E383" s="562">
        <v>923106268404</v>
      </c>
      <c r="F383" s="562" t="s">
        <v>6939</v>
      </c>
      <c r="G383" s="562" t="s">
        <v>14835</v>
      </c>
      <c r="H383" s="562" t="s">
        <v>15246</v>
      </c>
      <c r="I383" s="562" t="s">
        <v>15247</v>
      </c>
      <c r="J383" s="562" t="s">
        <v>15248</v>
      </c>
      <c r="K383" s="562">
        <v>4.0</v>
      </c>
      <c r="L383" s="562" t="s">
        <v>6944</v>
      </c>
      <c r="M383" s="284"/>
    </row>
    <row r="384">
      <c r="A384" s="562" t="s">
        <v>15249</v>
      </c>
      <c r="B384" s="563">
        <v>0.42494212962962963</v>
      </c>
      <c r="C384" s="562" t="s">
        <v>15250</v>
      </c>
      <c r="D384" s="284"/>
      <c r="E384" s="562">
        <v>923001439449</v>
      </c>
      <c r="F384" s="562" t="s">
        <v>6982</v>
      </c>
      <c r="G384" s="562" t="s">
        <v>15251</v>
      </c>
      <c r="H384" s="284"/>
      <c r="I384" s="562" t="s">
        <v>15252</v>
      </c>
      <c r="J384" s="562" t="s">
        <v>15253</v>
      </c>
      <c r="K384" s="562">
        <v>3.0</v>
      </c>
      <c r="L384" s="562" t="s">
        <v>15254</v>
      </c>
      <c r="M384" s="284"/>
    </row>
    <row r="385">
      <c r="A385" s="562" t="s">
        <v>15249</v>
      </c>
      <c r="B385" s="563">
        <v>0.42511574074074077</v>
      </c>
      <c r="C385" s="562" t="s">
        <v>7679</v>
      </c>
      <c r="D385" s="284"/>
      <c r="E385" s="562">
        <v>923423593820</v>
      </c>
      <c r="F385" s="562" t="s">
        <v>6875</v>
      </c>
      <c r="G385" s="284"/>
      <c r="H385" s="562" t="s">
        <v>15255</v>
      </c>
      <c r="I385" s="562" t="s">
        <v>15256</v>
      </c>
      <c r="J385" s="562" t="s">
        <v>15257</v>
      </c>
      <c r="K385" s="562">
        <v>3.0</v>
      </c>
      <c r="L385" s="562" t="s">
        <v>51</v>
      </c>
      <c r="M385" s="284"/>
    </row>
    <row r="386">
      <c r="A386" s="562" t="s">
        <v>15249</v>
      </c>
      <c r="B386" s="563">
        <v>0.4252430555555556</v>
      </c>
      <c r="C386" s="562" t="s">
        <v>15258</v>
      </c>
      <c r="D386" s="562" t="s">
        <v>11511</v>
      </c>
      <c r="E386" s="566" t="s">
        <v>15259</v>
      </c>
      <c r="F386" s="562" t="s">
        <v>7291</v>
      </c>
      <c r="G386" s="562" t="s">
        <v>14835</v>
      </c>
      <c r="H386" s="562" t="s">
        <v>15260</v>
      </c>
      <c r="I386" s="562" t="s">
        <v>15261</v>
      </c>
      <c r="J386" s="562" t="s">
        <v>15248</v>
      </c>
      <c r="K386" s="562">
        <v>4.0</v>
      </c>
      <c r="L386" s="562" t="s">
        <v>14730</v>
      </c>
      <c r="M386" s="284"/>
    </row>
    <row r="387">
      <c r="A387" s="562" t="s">
        <v>15249</v>
      </c>
      <c r="B387" s="563">
        <v>0.425775462962963</v>
      </c>
      <c r="C387" s="562" t="s">
        <v>15262</v>
      </c>
      <c r="D387" s="284"/>
      <c r="E387" s="562">
        <v>923215210584</v>
      </c>
      <c r="F387" s="562" t="s">
        <v>6875</v>
      </c>
      <c r="G387" s="284"/>
      <c r="H387" s="562" t="s">
        <v>15263</v>
      </c>
      <c r="I387" s="284"/>
      <c r="J387" s="284"/>
      <c r="K387" s="562">
        <v>1.0</v>
      </c>
      <c r="L387" s="284"/>
      <c r="M387" s="284"/>
    </row>
    <row r="388">
      <c r="A388" s="562" t="s">
        <v>15249</v>
      </c>
      <c r="B388" s="563">
        <v>0.43123842592592593</v>
      </c>
      <c r="C388" s="562" t="s">
        <v>15264</v>
      </c>
      <c r="D388" s="284"/>
      <c r="E388" s="562">
        <v>923222391619</v>
      </c>
      <c r="F388" s="562" t="s">
        <v>6875</v>
      </c>
      <c r="G388" s="562" t="s">
        <v>14835</v>
      </c>
      <c r="H388" s="562" t="s">
        <v>15265</v>
      </c>
      <c r="I388" s="562" t="s">
        <v>15266</v>
      </c>
      <c r="J388" s="562" t="s">
        <v>15248</v>
      </c>
      <c r="K388" s="562">
        <v>4.0</v>
      </c>
      <c r="L388" s="562" t="s">
        <v>15267</v>
      </c>
      <c r="M388" s="284"/>
    </row>
    <row r="389">
      <c r="A389" s="562" t="s">
        <v>15249</v>
      </c>
      <c r="B389" s="563">
        <v>0.43137731481481484</v>
      </c>
      <c r="C389" s="562" t="s">
        <v>15268</v>
      </c>
      <c r="D389" s="284"/>
      <c r="E389" s="562">
        <v>923276159725</v>
      </c>
      <c r="F389" s="562" t="s">
        <v>6875</v>
      </c>
      <c r="G389" s="284"/>
      <c r="H389" s="562" t="s">
        <v>15269</v>
      </c>
      <c r="I389" s="284"/>
      <c r="J389" s="562" t="s">
        <v>15270</v>
      </c>
      <c r="K389" s="562">
        <v>2.0</v>
      </c>
      <c r="L389" s="284"/>
      <c r="M389" s="284"/>
    </row>
    <row r="390">
      <c r="A390" s="562" t="s">
        <v>15249</v>
      </c>
      <c r="B390" s="563">
        <v>0.4315162037037037</v>
      </c>
      <c r="C390" s="562" t="s">
        <v>15271</v>
      </c>
      <c r="D390" s="562" t="s">
        <v>7725</v>
      </c>
      <c r="E390" s="566" t="s">
        <v>15272</v>
      </c>
      <c r="F390" s="562" t="s">
        <v>6875</v>
      </c>
      <c r="G390" s="562" t="s">
        <v>15273</v>
      </c>
      <c r="H390" s="562" t="s">
        <v>15274</v>
      </c>
      <c r="I390" s="562" t="s">
        <v>15275</v>
      </c>
      <c r="J390" s="562" t="s">
        <v>15276</v>
      </c>
      <c r="K390" s="562">
        <v>4.0</v>
      </c>
      <c r="L390" s="562" t="s">
        <v>10871</v>
      </c>
      <c r="M390" s="284"/>
    </row>
    <row r="391">
      <c r="A391" s="562" t="s">
        <v>15249</v>
      </c>
      <c r="B391" s="563">
        <v>0.43171296296296297</v>
      </c>
      <c r="C391" s="562" t="s">
        <v>15277</v>
      </c>
      <c r="D391" s="284"/>
      <c r="E391" s="562">
        <v>923015383762</v>
      </c>
      <c r="F391" s="562" t="s">
        <v>6875</v>
      </c>
      <c r="G391" s="284"/>
      <c r="H391" s="562" t="s">
        <v>15278</v>
      </c>
      <c r="I391" s="284"/>
      <c r="J391" s="284"/>
      <c r="K391" s="562">
        <v>1.0</v>
      </c>
      <c r="L391" s="562" t="s">
        <v>372</v>
      </c>
      <c r="M391" s="284"/>
    </row>
    <row r="392">
      <c r="A392" s="562" t="s">
        <v>15249</v>
      </c>
      <c r="B392" s="563">
        <v>0.4318287037037037</v>
      </c>
      <c r="C392" s="562" t="s">
        <v>7691</v>
      </c>
      <c r="D392" s="284"/>
      <c r="E392" s="562">
        <v>923055552369</v>
      </c>
      <c r="F392" s="562" t="s">
        <v>6875</v>
      </c>
      <c r="G392" s="562" t="s">
        <v>14835</v>
      </c>
      <c r="H392" s="562" t="s">
        <v>15279</v>
      </c>
      <c r="I392" s="562" t="s">
        <v>15280</v>
      </c>
      <c r="J392" s="562" t="s">
        <v>15248</v>
      </c>
      <c r="K392" s="562">
        <v>4.0</v>
      </c>
      <c r="L392" s="562" t="s">
        <v>15281</v>
      </c>
      <c r="M392" s="284"/>
    </row>
    <row r="393">
      <c r="A393" s="562" t="s">
        <v>15249</v>
      </c>
      <c r="B393" s="563">
        <v>0.43222222222222223</v>
      </c>
      <c r="C393" s="562" t="s">
        <v>7696</v>
      </c>
      <c r="D393" s="284"/>
      <c r="E393" s="574">
        <v>923312528652</v>
      </c>
      <c r="F393" s="562" t="s">
        <v>6939</v>
      </c>
      <c r="G393" s="562" t="s">
        <v>14835</v>
      </c>
      <c r="H393" s="562" t="s">
        <v>15282</v>
      </c>
      <c r="I393" s="562" t="s">
        <v>15283</v>
      </c>
      <c r="J393" s="562" t="s">
        <v>15248</v>
      </c>
      <c r="K393" s="562">
        <v>4.0</v>
      </c>
      <c r="L393" s="562" t="s">
        <v>9243</v>
      </c>
      <c r="M393" s="284"/>
    </row>
    <row r="394">
      <c r="A394" s="562" t="s">
        <v>15249</v>
      </c>
      <c r="B394" s="563">
        <v>0.4323263888888889</v>
      </c>
      <c r="C394" s="562" t="s">
        <v>7701</v>
      </c>
      <c r="D394" s="284"/>
      <c r="E394" s="562">
        <v>923064022572</v>
      </c>
      <c r="F394" s="562" t="s">
        <v>6875</v>
      </c>
      <c r="G394" s="284"/>
      <c r="H394" s="562" t="s">
        <v>15284</v>
      </c>
      <c r="I394" s="284"/>
      <c r="J394" s="284"/>
      <c r="K394" s="562">
        <v>1.0</v>
      </c>
      <c r="L394" s="284"/>
      <c r="M394" s="284"/>
    </row>
    <row r="395">
      <c r="A395" s="562" t="s">
        <v>15249</v>
      </c>
      <c r="B395" s="563">
        <v>0.43256944444444445</v>
      </c>
      <c r="C395" s="562" t="s">
        <v>12767</v>
      </c>
      <c r="D395" s="284"/>
      <c r="E395" s="562">
        <v>923216803048</v>
      </c>
      <c r="F395" s="562" t="s">
        <v>6939</v>
      </c>
      <c r="G395" s="284"/>
      <c r="H395" s="562" t="s">
        <v>15285</v>
      </c>
      <c r="I395" s="562" t="s">
        <v>15286</v>
      </c>
      <c r="J395" s="562" t="s">
        <v>15287</v>
      </c>
      <c r="K395" s="562">
        <v>3.0</v>
      </c>
      <c r="L395" s="284"/>
      <c r="M395" s="284"/>
    </row>
    <row r="396">
      <c r="A396" s="562" t="s">
        <v>15249</v>
      </c>
      <c r="B396" s="563">
        <v>0.4327314814814815</v>
      </c>
      <c r="C396" s="562" t="s">
        <v>15288</v>
      </c>
      <c r="D396" s="284"/>
      <c r="E396" s="562">
        <v>923217522144</v>
      </c>
      <c r="F396" s="562" t="s">
        <v>6875</v>
      </c>
      <c r="G396" s="284"/>
      <c r="H396" s="562" t="s">
        <v>15289</v>
      </c>
      <c r="I396" s="284"/>
      <c r="J396" s="284"/>
      <c r="K396" s="562">
        <v>1.0</v>
      </c>
      <c r="L396" s="562" t="s">
        <v>372</v>
      </c>
      <c r="M396" s="284"/>
    </row>
    <row r="397">
      <c r="A397" s="562" t="s">
        <v>15249</v>
      </c>
      <c r="B397" s="563">
        <v>0.43292824074074077</v>
      </c>
      <c r="C397" s="562" t="s">
        <v>15290</v>
      </c>
      <c r="D397" s="284"/>
      <c r="E397" s="562">
        <v>923333801206</v>
      </c>
      <c r="F397" s="562" t="s">
        <v>656</v>
      </c>
      <c r="G397" s="284"/>
      <c r="H397" s="562" t="s">
        <v>15291</v>
      </c>
      <c r="I397" s="284"/>
      <c r="J397" s="284"/>
      <c r="K397" s="562">
        <v>1.0</v>
      </c>
      <c r="L397" s="562" t="s">
        <v>15292</v>
      </c>
      <c r="M397" s="284"/>
    </row>
    <row r="398">
      <c r="A398" s="562" t="s">
        <v>15249</v>
      </c>
      <c r="B398" s="563">
        <v>0.43309027777777775</v>
      </c>
      <c r="C398" s="562" t="s">
        <v>15293</v>
      </c>
      <c r="D398" s="284"/>
      <c r="E398" s="562">
        <v>923140324912</v>
      </c>
      <c r="F398" s="562" t="s">
        <v>6875</v>
      </c>
      <c r="G398" s="284"/>
      <c r="H398" s="562" t="s">
        <v>15294</v>
      </c>
      <c r="I398" s="562" t="s">
        <v>15295</v>
      </c>
      <c r="J398" s="562" t="s">
        <v>15296</v>
      </c>
      <c r="K398" s="562">
        <v>3.0</v>
      </c>
      <c r="L398" s="284"/>
      <c r="M398" s="284"/>
    </row>
    <row r="399">
      <c r="A399" s="562" t="s">
        <v>15249</v>
      </c>
      <c r="B399" s="563">
        <v>0.43346064814814816</v>
      </c>
      <c r="C399" s="562" t="s">
        <v>2414</v>
      </c>
      <c r="D399" s="284"/>
      <c r="E399" s="562">
        <v>923362002876</v>
      </c>
      <c r="F399" s="562" t="s">
        <v>7291</v>
      </c>
      <c r="G399" s="562" t="s">
        <v>14835</v>
      </c>
      <c r="H399" s="562" t="s">
        <v>15297</v>
      </c>
      <c r="I399" s="562" t="s">
        <v>15298</v>
      </c>
      <c r="J399" s="562" t="s">
        <v>15248</v>
      </c>
      <c r="K399" s="562">
        <v>4.0</v>
      </c>
      <c r="L399" s="562" t="s">
        <v>15299</v>
      </c>
      <c r="M399" s="284"/>
    </row>
    <row r="400">
      <c r="A400" s="562" t="s">
        <v>15249</v>
      </c>
      <c r="B400" s="563">
        <v>0.4358680555555556</v>
      </c>
      <c r="C400" s="562" t="s">
        <v>15300</v>
      </c>
      <c r="D400" s="284"/>
      <c r="E400" s="562">
        <v>923492515251</v>
      </c>
      <c r="F400" s="562" t="s">
        <v>6875</v>
      </c>
      <c r="G400" s="284"/>
      <c r="H400" s="562" t="s">
        <v>15301</v>
      </c>
      <c r="I400" s="562" t="s">
        <v>15302</v>
      </c>
      <c r="J400" s="562" t="s">
        <v>15303</v>
      </c>
      <c r="K400" s="562">
        <v>3.0</v>
      </c>
      <c r="L400" s="284"/>
      <c r="M400" s="284"/>
    </row>
    <row r="401">
      <c r="A401" s="562" t="s">
        <v>15249</v>
      </c>
      <c r="B401" s="563">
        <v>0.4360763888888889</v>
      </c>
      <c r="C401" s="562" t="s">
        <v>15304</v>
      </c>
      <c r="D401" s="284"/>
      <c r="E401" s="562">
        <v>923182120015</v>
      </c>
      <c r="F401" s="562" t="s">
        <v>6875</v>
      </c>
      <c r="G401" s="284"/>
      <c r="H401" s="562" t="s">
        <v>15305</v>
      </c>
      <c r="I401" s="562" t="s">
        <v>15306</v>
      </c>
      <c r="J401" s="562" t="s">
        <v>15307</v>
      </c>
      <c r="K401" s="562">
        <v>3.0</v>
      </c>
      <c r="L401" s="284"/>
      <c r="M401" s="284"/>
    </row>
    <row r="402">
      <c r="A402" s="562" t="s">
        <v>15249</v>
      </c>
      <c r="B402" s="563">
        <v>0.4362037037037037</v>
      </c>
      <c r="C402" s="562" t="s">
        <v>12772</v>
      </c>
      <c r="D402" s="284"/>
      <c r="E402" s="562">
        <v>923203511256</v>
      </c>
      <c r="F402" s="562" t="s">
        <v>6875</v>
      </c>
      <c r="G402" s="284"/>
      <c r="H402" s="562" t="s">
        <v>15308</v>
      </c>
      <c r="I402" s="284"/>
      <c r="J402" s="562" t="s">
        <v>15309</v>
      </c>
      <c r="K402" s="562">
        <v>2.0</v>
      </c>
      <c r="L402" s="284"/>
      <c r="M402" s="284"/>
    </row>
    <row r="403">
      <c r="A403" s="562" t="s">
        <v>15249</v>
      </c>
      <c r="B403" s="563">
        <v>0.43646990740740743</v>
      </c>
      <c r="C403" s="562" t="s">
        <v>15310</v>
      </c>
      <c r="D403" s="284"/>
      <c r="E403" s="562">
        <v>923249174528</v>
      </c>
      <c r="F403" s="562" t="s">
        <v>7291</v>
      </c>
      <c r="G403" s="562" t="s">
        <v>14835</v>
      </c>
      <c r="H403" s="562" t="s">
        <v>15311</v>
      </c>
      <c r="I403" s="562" t="s">
        <v>15312</v>
      </c>
      <c r="J403" s="562" t="s">
        <v>15248</v>
      </c>
      <c r="K403" s="562">
        <v>4.0</v>
      </c>
      <c r="L403" s="562" t="s">
        <v>15313</v>
      </c>
      <c r="M403" s="284"/>
    </row>
    <row r="404">
      <c r="A404" s="562" t="s">
        <v>15249</v>
      </c>
      <c r="B404" s="563">
        <v>0.43730324074074073</v>
      </c>
      <c r="C404" s="562" t="s">
        <v>7712</v>
      </c>
      <c r="D404" s="284"/>
      <c r="E404" s="562">
        <v>923361830142</v>
      </c>
      <c r="F404" s="562" t="s">
        <v>6939</v>
      </c>
      <c r="G404" s="284"/>
      <c r="H404" s="562" t="s">
        <v>15314</v>
      </c>
      <c r="I404" s="562" t="s">
        <v>15315</v>
      </c>
      <c r="J404" s="562" t="s">
        <v>15316</v>
      </c>
      <c r="K404" s="562">
        <v>3.0</v>
      </c>
      <c r="L404" s="284"/>
      <c r="M404" s="284"/>
    </row>
    <row r="405">
      <c r="A405" s="562" t="s">
        <v>15249</v>
      </c>
      <c r="B405" s="563">
        <v>0.43747685185185187</v>
      </c>
      <c r="C405" s="562" t="s">
        <v>15317</v>
      </c>
      <c r="D405" s="284"/>
      <c r="E405" s="562">
        <v>923554984385</v>
      </c>
      <c r="F405" s="562" t="s">
        <v>6875</v>
      </c>
      <c r="G405" s="284"/>
      <c r="H405" s="562" t="s">
        <v>15318</v>
      </c>
      <c r="I405" s="562" t="s">
        <v>15319</v>
      </c>
      <c r="J405" s="562" t="s">
        <v>15320</v>
      </c>
      <c r="K405" s="562">
        <v>3.0</v>
      </c>
      <c r="L405" s="284"/>
      <c r="M405" s="284"/>
    </row>
    <row r="406">
      <c r="A406" s="562" t="s">
        <v>15249</v>
      </c>
      <c r="B406" s="563">
        <v>0.5396064814814815</v>
      </c>
      <c r="C406" s="284" t="s">
        <v>15321</v>
      </c>
      <c r="D406" s="284"/>
      <c r="E406" s="562">
        <v>923154203035</v>
      </c>
      <c r="F406" s="562" t="s">
        <v>6939</v>
      </c>
      <c r="G406" s="284"/>
      <c r="H406" s="284"/>
      <c r="I406" s="562" t="s">
        <v>15322</v>
      </c>
      <c r="J406" s="562" t="s">
        <v>15323</v>
      </c>
      <c r="K406" s="562">
        <v>2.0</v>
      </c>
      <c r="L406" s="284"/>
      <c r="M406" s="284"/>
    </row>
    <row r="407">
      <c r="A407" s="562" t="s">
        <v>15249</v>
      </c>
      <c r="B407" s="563">
        <v>0.5398379629629629</v>
      </c>
      <c r="C407" s="562" t="s">
        <v>7717</v>
      </c>
      <c r="D407" s="284"/>
      <c r="E407" s="562">
        <v>923411010439</v>
      </c>
      <c r="F407" s="562" t="s">
        <v>6875</v>
      </c>
      <c r="G407" s="284"/>
      <c r="H407" s="284"/>
      <c r="I407" s="562" t="s">
        <v>15324</v>
      </c>
      <c r="J407" s="284"/>
      <c r="K407" s="562">
        <v>1.0</v>
      </c>
      <c r="L407" s="562" t="s">
        <v>372</v>
      </c>
      <c r="M407" s="284"/>
    </row>
    <row r="408">
      <c r="A408" s="562" t="s">
        <v>15249</v>
      </c>
      <c r="B408" s="563">
        <v>0.5408912037037037</v>
      </c>
      <c r="C408" s="562" t="s">
        <v>7719</v>
      </c>
      <c r="D408" s="284"/>
      <c r="E408" s="562">
        <v>923117437487</v>
      </c>
      <c r="F408" s="562" t="s">
        <v>6939</v>
      </c>
      <c r="G408" s="284"/>
      <c r="H408" s="284"/>
      <c r="I408" s="562" t="s">
        <v>15325</v>
      </c>
      <c r="J408" s="562" t="s">
        <v>15326</v>
      </c>
      <c r="K408" s="562">
        <v>2.0</v>
      </c>
      <c r="L408" s="284"/>
      <c r="M408" s="284"/>
    </row>
    <row r="409">
      <c r="A409" s="562" t="s">
        <v>15249</v>
      </c>
      <c r="B409" s="563">
        <v>0.5412962962962963</v>
      </c>
      <c r="C409" s="562" t="s">
        <v>12814</v>
      </c>
      <c r="D409" s="284"/>
      <c r="E409" s="562">
        <v>923214360873</v>
      </c>
      <c r="F409" s="562" t="s">
        <v>7291</v>
      </c>
      <c r="G409" s="562" t="s">
        <v>14835</v>
      </c>
      <c r="H409" s="562" t="s">
        <v>15327</v>
      </c>
      <c r="I409" s="562" t="s">
        <v>15328</v>
      </c>
      <c r="J409" s="562" t="s">
        <v>15248</v>
      </c>
      <c r="K409" s="562">
        <v>4.0</v>
      </c>
      <c r="L409" s="562" t="s">
        <v>13750</v>
      </c>
      <c r="M409" s="284"/>
    </row>
    <row r="410">
      <c r="A410" s="562" t="s">
        <v>15249</v>
      </c>
      <c r="B410" s="563">
        <v>0.5414467592592592</v>
      </c>
      <c r="C410" s="562" t="s">
        <v>7731</v>
      </c>
      <c r="D410" s="284"/>
      <c r="E410" s="568">
        <v>923275364872</v>
      </c>
      <c r="F410" s="562" t="s">
        <v>6875</v>
      </c>
      <c r="G410" s="284"/>
      <c r="H410" s="284"/>
      <c r="I410" s="562" t="s">
        <v>15329</v>
      </c>
      <c r="J410" s="562" t="s">
        <v>15330</v>
      </c>
      <c r="K410" s="562">
        <v>2.0</v>
      </c>
      <c r="L410" s="284"/>
      <c r="M410" s="284"/>
    </row>
    <row r="411">
      <c r="A411" s="562" t="s">
        <v>15249</v>
      </c>
      <c r="B411" s="563">
        <v>0.5521296296296296</v>
      </c>
      <c r="C411" s="562" t="s">
        <v>15331</v>
      </c>
      <c r="D411" s="284"/>
      <c r="E411" s="562">
        <v>923333167434</v>
      </c>
      <c r="F411" s="562" t="s">
        <v>6875</v>
      </c>
      <c r="G411" s="284"/>
      <c r="H411" s="284"/>
      <c r="I411" s="562" t="s">
        <v>15332</v>
      </c>
      <c r="J411" s="562" t="s">
        <v>15333</v>
      </c>
      <c r="K411" s="562">
        <v>2.0</v>
      </c>
      <c r="L411" s="284"/>
      <c r="M411" s="284"/>
    </row>
    <row r="412">
      <c r="A412" s="562" t="s">
        <v>15249</v>
      </c>
      <c r="B412" s="563">
        <v>0.6162152777777777</v>
      </c>
      <c r="C412" s="562" t="s">
        <v>3145</v>
      </c>
      <c r="D412" s="284"/>
      <c r="E412" s="562">
        <v>923362221462</v>
      </c>
      <c r="F412" s="562" t="s">
        <v>6875</v>
      </c>
      <c r="G412" s="284"/>
      <c r="H412" s="562" t="s">
        <v>15334</v>
      </c>
      <c r="I412" s="562" t="s">
        <v>15335</v>
      </c>
      <c r="J412" s="284"/>
      <c r="K412" s="562">
        <v>2.0</v>
      </c>
      <c r="L412" s="562" t="s">
        <v>15336</v>
      </c>
      <c r="M412" s="284"/>
    </row>
    <row r="413">
      <c r="A413" s="562" t="s">
        <v>15249</v>
      </c>
      <c r="B413" s="563">
        <v>0.6166087962962963</v>
      </c>
      <c r="C413" s="562" t="s">
        <v>811</v>
      </c>
      <c r="D413" s="284"/>
      <c r="E413" s="562">
        <v>923325164375</v>
      </c>
      <c r="F413" s="562" t="s">
        <v>7291</v>
      </c>
      <c r="G413" s="284"/>
      <c r="H413" s="284"/>
      <c r="I413" s="562" t="s">
        <v>15337</v>
      </c>
      <c r="J413" s="562" t="s">
        <v>15338</v>
      </c>
      <c r="K413" s="562">
        <v>2.0</v>
      </c>
      <c r="L413" s="562" t="s">
        <v>13750</v>
      </c>
      <c r="M413" s="284"/>
    </row>
    <row r="414">
      <c r="A414" s="562" t="s">
        <v>15249</v>
      </c>
      <c r="B414" s="563">
        <v>0.6167824074074074</v>
      </c>
      <c r="C414" s="562" t="s">
        <v>15339</v>
      </c>
      <c r="D414" s="284"/>
      <c r="E414" s="562">
        <v>923451132711</v>
      </c>
      <c r="F414" s="562" t="s">
        <v>6939</v>
      </c>
      <c r="G414" s="562" t="s">
        <v>14835</v>
      </c>
      <c r="H414" s="562" t="s">
        <v>15327</v>
      </c>
      <c r="I414" s="562" t="s">
        <v>15340</v>
      </c>
      <c r="J414" s="562" t="s">
        <v>15248</v>
      </c>
      <c r="K414" s="562">
        <v>4.0</v>
      </c>
      <c r="L414" s="562" t="s">
        <v>6944</v>
      </c>
      <c r="M414" s="284"/>
    </row>
    <row r="415">
      <c r="A415" s="562" t="s">
        <v>15249</v>
      </c>
      <c r="B415" s="563">
        <v>0.6175231481481481</v>
      </c>
      <c r="C415" s="562" t="s">
        <v>15341</v>
      </c>
      <c r="D415" s="284"/>
      <c r="E415" s="562">
        <v>923463330600</v>
      </c>
      <c r="F415" s="562" t="s">
        <v>6875</v>
      </c>
      <c r="G415" s="562" t="s">
        <v>14835</v>
      </c>
      <c r="H415" s="562" t="s">
        <v>15342</v>
      </c>
      <c r="I415" s="562" t="s">
        <v>15343</v>
      </c>
      <c r="J415" s="562" t="s">
        <v>15344</v>
      </c>
      <c r="K415" s="562">
        <v>4.0</v>
      </c>
      <c r="L415" s="562" t="s">
        <v>11917</v>
      </c>
      <c r="M415" s="284"/>
    </row>
    <row r="416">
      <c r="A416" s="571">
        <v>45758.0</v>
      </c>
      <c r="B416" s="563">
        <v>0.5888888888888889</v>
      </c>
      <c r="C416" s="562" t="s">
        <v>15345</v>
      </c>
      <c r="D416" s="284"/>
      <c r="E416" s="562">
        <v>923352618986</v>
      </c>
      <c r="F416" s="562" t="s">
        <v>7291</v>
      </c>
      <c r="G416" s="284"/>
      <c r="H416" s="562" t="s">
        <v>15346</v>
      </c>
      <c r="I416" s="562" t="s">
        <v>15347</v>
      </c>
      <c r="J416" s="284"/>
      <c r="K416" s="562">
        <v>2.0</v>
      </c>
      <c r="L416" s="562" t="s">
        <v>11152</v>
      </c>
      <c r="M416" s="284"/>
    </row>
    <row r="417">
      <c r="A417" s="571">
        <v>45758.0</v>
      </c>
      <c r="B417" s="563">
        <v>0.5890856481481481</v>
      </c>
      <c r="C417" s="562" t="s">
        <v>15348</v>
      </c>
      <c r="D417" s="284"/>
      <c r="E417" s="562">
        <v>923333468197</v>
      </c>
      <c r="F417" s="562" t="s">
        <v>6939</v>
      </c>
      <c r="G417" s="284"/>
      <c r="H417" s="562" t="s">
        <v>15349</v>
      </c>
      <c r="I417" s="562" t="s">
        <v>15350</v>
      </c>
      <c r="J417" s="284"/>
      <c r="K417" s="562">
        <v>2.0</v>
      </c>
      <c r="L417" s="562" t="s">
        <v>685</v>
      </c>
      <c r="M417" s="284"/>
    </row>
    <row r="418">
      <c r="A418" s="571">
        <v>45758.0</v>
      </c>
      <c r="B418" s="563">
        <v>0.5892824074074074</v>
      </c>
      <c r="C418" s="562" t="s">
        <v>15351</v>
      </c>
      <c r="D418" s="284"/>
      <c r="E418" s="562">
        <v>923350364870</v>
      </c>
      <c r="F418" s="562" t="s">
        <v>6875</v>
      </c>
      <c r="G418" s="284"/>
      <c r="H418" s="284"/>
      <c r="I418" s="562" t="s">
        <v>15352</v>
      </c>
      <c r="J418" s="284"/>
      <c r="K418" s="562">
        <v>1.0</v>
      </c>
      <c r="L418" s="284"/>
      <c r="M418" s="284"/>
    </row>
    <row r="419">
      <c r="A419" s="571">
        <v>45758.0</v>
      </c>
      <c r="B419" s="563">
        <v>0.5894907407407407</v>
      </c>
      <c r="C419" s="562" t="s">
        <v>15353</v>
      </c>
      <c r="D419" s="284"/>
      <c r="E419" s="562">
        <v>923052503595</v>
      </c>
      <c r="F419" s="562" t="s">
        <v>6888</v>
      </c>
      <c r="G419" s="284"/>
      <c r="H419" s="562" t="s">
        <v>15354</v>
      </c>
      <c r="I419" s="562" t="s">
        <v>15355</v>
      </c>
      <c r="J419" s="562" t="s">
        <v>15356</v>
      </c>
      <c r="K419" s="562">
        <v>3.0</v>
      </c>
      <c r="L419" s="562" t="s">
        <v>8833</v>
      </c>
      <c r="M419" s="284"/>
    </row>
    <row r="420">
      <c r="A420" s="571">
        <v>45758.0</v>
      </c>
      <c r="B420" s="563">
        <v>0.6992824074074074</v>
      </c>
      <c r="C420" s="562" t="s">
        <v>15357</v>
      </c>
      <c r="D420" s="284"/>
      <c r="E420" s="562">
        <v>923221087872</v>
      </c>
      <c r="F420" s="562" t="s">
        <v>6939</v>
      </c>
      <c r="G420" s="284"/>
      <c r="H420" s="562" t="s">
        <v>15358</v>
      </c>
      <c r="I420" s="562" t="s">
        <v>15359</v>
      </c>
      <c r="J420" s="562" t="s">
        <v>15360</v>
      </c>
      <c r="K420" s="562">
        <v>3.0</v>
      </c>
      <c r="L420" s="284"/>
      <c r="M420" s="284"/>
    </row>
    <row r="421">
      <c r="A421" s="571">
        <v>45788.0</v>
      </c>
      <c r="B421" s="563">
        <v>0.42363425925925924</v>
      </c>
      <c r="C421" s="562" t="s">
        <v>15361</v>
      </c>
      <c r="D421" s="562" t="s">
        <v>7725</v>
      </c>
      <c r="E421" s="566" t="s">
        <v>15362</v>
      </c>
      <c r="F421" s="562" t="s">
        <v>6875</v>
      </c>
      <c r="G421" s="284"/>
      <c r="H421" s="562" t="s">
        <v>15363</v>
      </c>
      <c r="I421" s="284"/>
      <c r="J421" s="284"/>
      <c r="K421" s="562">
        <v>1.0</v>
      </c>
      <c r="L421" s="566" t="s">
        <v>15364</v>
      </c>
      <c r="M421" s="284"/>
    </row>
    <row r="422">
      <c r="A422" s="571">
        <v>45788.0</v>
      </c>
      <c r="B422" s="563">
        <v>0.4238078703703704</v>
      </c>
      <c r="C422" s="562" t="s">
        <v>15365</v>
      </c>
      <c r="D422" s="284"/>
      <c r="E422" s="562">
        <v>923292204012</v>
      </c>
      <c r="F422" s="562" t="s">
        <v>6939</v>
      </c>
      <c r="G422" s="562" t="s">
        <v>15366</v>
      </c>
      <c r="H422" s="562" t="s">
        <v>15367</v>
      </c>
      <c r="I422" s="284"/>
      <c r="J422" s="284"/>
      <c r="K422" s="562">
        <v>2.0</v>
      </c>
      <c r="L422" s="562" t="s">
        <v>685</v>
      </c>
      <c r="M422" s="284"/>
    </row>
    <row r="423">
      <c r="A423" s="571">
        <v>45788.0</v>
      </c>
      <c r="B423" s="563">
        <v>0.42412037037037037</v>
      </c>
      <c r="C423" s="562" t="s">
        <v>15368</v>
      </c>
      <c r="D423" s="562" t="s">
        <v>7725</v>
      </c>
      <c r="E423" s="566" t="s">
        <v>15369</v>
      </c>
      <c r="F423" s="562" t="s">
        <v>7291</v>
      </c>
      <c r="G423" s="562" t="s">
        <v>15370</v>
      </c>
      <c r="H423" s="284"/>
      <c r="I423" s="562" t="s">
        <v>15371</v>
      </c>
      <c r="J423" s="284"/>
      <c r="K423" s="562">
        <v>2.0</v>
      </c>
      <c r="L423" s="562" t="s">
        <v>15372</v>
      </c>
      <c r="M423" s="284"/>
    </row>
    <row r="424">
      <c r="A424" s="571">
        <v>45788.0</v>
      </c>
      <c r="B424" s="563">
        <v>0.42422453703703705</v>
      </c>
      <c r="C424" s="562" t="s">
        <v>2078</v>
      </c>
      <c r="D424" s="562" t="s">
        <v>6886</v>
      </c>
      <c r="E424" s="566" t="s">
        <v>15373</v>
      </c>
      <c r="F424" s="562" t="s">
        <v>6982</v>
      </c>
      <c r="G424" s="562" t="s">
        <v>15374</v>
      </c>
      <c r="H424" s="562" t="s">
        <v>15375</v>
      </c>
      <c r="I424" s="562" t="s">
        <v>15376</v>
      </c>
      <c r="J424" s="284"/>
      <c r="K424" s="562">
        <v>3.0</v>
      </c>
      <c r="L424" s="562" t="s">
        <v>8833</v>
      </c>
      <c r="M424" s="284"/>
    </row>
    <row r="425">
      <c r="A425" s="571">
        <v>45788.0</v>
      </c>
      <c r="B425" s="563">
        <v>0.42452546296296295</v>
      </c>
      <c r="C425" s="562" t="s">
        <v>7752</v>
      </c>
      <c r="D425" s="284"/>
      <c r="E425" s="562">
        <v>923284965372</v>
      </c>
      <c r="F425" s="562" t="s">
        <v>6939</v>
      </c>
      <c r="G425" s="284"/>
      <c r="H425" s="562" t="s">
        <v>15377</v>
      </c>
      <c r="I425" s="562" t="s">
        <v>15378</v>
      </c>
      <c r="J425" s="284"/>
      <c r="K425" s="562">
        <v>2.0</v>
      </c>
      <c r="L425" s="284"/>
      <c r="M425" s="284"/>
    </row>
    <row r="426">
      <c r="A426" s="571">
        <v>45788.0</v>
      </c>
      <c r="B426" s="563">
        <v>0.42465277777777777</v>
      </c>
      <c r="C426" s="562" t="s">
        <v>7757</v>
      </c>
      <c r="D426" s="284"/>
      <c r="E426" s="562">
        <v>923274475541</v>
      </c>
      <c r="F426" s="562" t="s">
        <v>7291</v>
      </c>
      <c r="G426" s="284"/>
      <c r="H426" s="562" t="s">
        <v>15379</v>
      </c>
      <c r="I426" s="562" t="s">
        <v>15380</v>
      </c>
      <c r="J426" s="284"/>
      <c r="K426" s="562">
        <v>2.0</v>
      </c>
      <c r="L426" s="562" t="s">
        <v>6944</v>
      </c>
      <c r="M426" s="284"/>
    </row>
    <row r="427">
      <c r="A427" s="571">
        <v>45788.0</v>
      </c>
      <c r="B427" s="563">
        <v>0.4247800925925926</v>
      </c>
      <c r="C427" s="562" t="s">
        <v>7759</v>
      </c>
      <c r="D427" s="284"/>
      <c r="E427" s="562">
        <v>923448089318</v>
      </c>
      <c r="F427" s="562" t="s">
        <v>6939</v>
      </c>
      <c r="G427" s="284"/>
      <c r="H427" s="562" t="s">
        <v>15381</v>
      </c>
      <c r="I427" s="562" t="s">
        <v>15382</v>
      </c>
      <c r="J427" s="284"/>
      <c r="K427" s="562">
        <v>2.0</v>
      </c>
      <c r="L427" s="284"/>
      <c r="M427" s="284"/>
    </row>
    <row r="428">
      <c r="A428" s="571">
        <v>45788.0</v>
      </c>
      <c r="B428" s="563">
        <v>0.42494212962962963</v>
      </c>
      <c r="C428" s="562" t="s">
        <v>7764</v>
      </c>
      <c r="D428" s="284"/>
      <c r="E428" s="562">
        <v>923158385891</v>
      </c>
      <c r="F428" s="562" t="s">
        <v>6939</v>
      </c>
      <c r="G428" s="284"/>
      <c r="H428" s="562" t="s">
        <v>15383</v>
      </c>
      <c r="I428" s="562" t="s">
        <v>15384</v>
      </c>
      <c r="J428" s="284"/>
      <c r="K428" s="562">
        <v>2.0</v>
      </c>
      <c r="L428" s="284"/>
      <c r="M428" s="284"/>
    </row>
    <row r="429">
      <c r="A429" s="571">
        <v>45788.0</v>
      </c>
      <c r="B429" s="563">
        <v>0.4250462962962963</v>
      </c>
      <c r="C429" s="562" t="s">
        <v>15385</v>
      </c>
      <c r="D429" s="562" t="s">
        <v>7725</v>
      </c>
      <c r="E429" s="566" t="s">
        <v>15386</v>
      </c>
      <c r="F429" s="562" t="s">
        <v>7291</v>
      </c>
      <c r="G429" s="284"/>
      <c r="H429" s="562" t="s">
        <v>15387</v>
      </c>
      <c r="I429" s="562" t="s">
        <v>15388</v>
      </c>
      <c r="J429" s="284"/>
      <c r="K429" s="562">
        <v>2.0</v>
      </c>
      <c r="L429" s="562" t="s">
        <v>15389</v>
      </c>
      <c r="M429" s="284"/>
    </row>
    <row r="430">
      <c r="A430" s="571">
        <v>45788.0</v>
      </c>
      <c r="B430" s="563">
        <v>0.4252430555555556</v>
      </c>
      <c r="C430" s="562" t="s">
        <v>15390</v>
      </c>
      <c r="D430" s="284"/>
      <c r="E430" s="562">
        <v>923408522339</v>
      </c>
      <c r="F430" s="562" t="s">
        <v>6875</v>
      </c>
      <c r="G430" s="284"/>
      <c r="H430" s="562" t="s">
        <v>15391</v>
      </c>
      <c r="I430" s="562" t="s">
        <v>15392</v>
      </c>
      <c r="J430" s="284"/>
      <c r="K430" s="562">
        <v>2.0</v>
      </c>
      <c r="L430" s="284"/>
      <c r="M430" s="284"/>
    </row>
    <row r="431">
      <c r="A431" s="571">
        <v>45788.0</v>
      </c>
      <c r="B431" s="563">
        <v>0.7118055555555556</v>
      </c>
      <c r="C431" s="562" t="s">
        <v>15393</v>
      </c>
      <c r="D431" s="562" t="s">
        <v>7725</v>
      </c>
      <c r="E431" s="566" t="s">
        <v>15394</v>
      </c>
      <c r="F431" s="562" t="s">
        <v>7291</v>
      </c>
      <c r="G431" s="284"/>
      <c r="H431" s="562" t="s">
        <v>15395</v>
      </c>
      <c r="I431" s="284"/>
      <c r="J431" s="284"/>
      <c r="K431" s="562">
        <v>1.0</v>
      </c>
      <c r="L431" s="562" t="s">
        <v>450</v>
      </c>
      <c r="M431" s="284"/>
    </row>
    <row r="432">
      <c r="A432" s="571">
        <v>45819.0</v>
      </c>
      <c r="B432" s="563">
        <v>0.4313425925925926</v>
      </c>
      <c r="C432" s="562" t="s">
        <v>15396</v>
      </c>
      <c r="D432" s="562" t="s">
        <v>7725</v>
      </c>
      <c r="E432" s="566" t="s">
        <v>15397</v>
      </c>
      <c r="F432" s="562" t="s">
        <v>6875</v>
      </c>
      <c r="G432" s="284"/>
      <c r="H432" s="562" t="s">
        <v>15398</v>
      </c>
      <c r="I432" s="284"/>
      <c r="J432" s="284"/>
      <c r="K432" s="562">
        <v>1.0</v>
      </c>
      <c r="L432" s="562" t="s">
        <v>1308</v>
      </c>
      <c r="M432" s="284"/>
    </row>
    <row r="433">
      <c r="A433" s="571">
        <v>45819.0</v>
      </c>
      <c r="B433" s="563">
        <v>0.4319791666666667</v>
      </c>
      <c r="C433" s="562" t="s">
        <v>7778</v>
      </c>
      <c r="D433" s="284"/>
      <c r="E433" s="562">
        <v>923348011991</v>
      </c>
      <c r="F433" s="562" t="s">
        <v>6939</v>
      </c>
      <c r="G433" s="284"/>
      <c r="H433" s="562" t="s">
        <v>15399</v>
      </c>
      <c r="I433" s="562" t="s">
        <v>15400</v>
      </c>
      <c r="J433" s="284"/>
      <c r="K433" s="562">
        <v>2.0</v>
      </c>
      <c r="L433" s="284"/>
      <c r="M433" s="284"/>
    </row>
    <row r="434">
      <c r="A434" s="571">
        <v>45819.0</v>
      </c>
      <c r="B434" s="563">
        <v>0.4330787037037037</v>
      </c>
      <c r="C434" s="562" t="s">
        <v>7783</v>
      </c>
      <c r="D434" s="284"/>
      <c r="E434" s="562">
        <v>923490136710</v>
      </c>
      <c r="F434" s="562" t="s">
        <v>6875</v>
      </c>
      <c r="G434" s="284"/>
      <c r="H434" s="562" t="s">
        <v>15401</v>
      </c>
      <c r="I434" s="284"/>
      <c r="J434" s="284"/>
      <c r="K434" s="562">
        <v>1.0</v>
      </c>
      <c r="L434" s="284"/>
      <c r="M434" s="284"/>
    </row>
    <row r="435">
      <c r="A435" s="571">
        <v>45819.0</v>
      </c>
      <c r="B435" s="563">
        <v>0.43319444444444444</v>
      </c>
      <c r="C435" s="562" t="s">
        <v>7788</v>
      </c>
      <c r="D435" s="284"/>
      <c r="E435" s="562">
        <v>923464389934</v>
      </c>
      <c r="F435" s="562" t="s">
        <v>7291</v>
      </c>
      <c r="G435" s="284"/>
      <c r="H435" s="562" t="s">
        <v>15402</v>
      </c>
      <c r="I435" s="562" t="s">
        <v>15403</v>
      </c>
      <c r="J435" s="284"/>
      <c r="K435" s="562">
        <v>2.0</v>
      </c>
      <c r="L435" s="562" t="s">
        <v>15404</v>
      </c>
      <c r="M435" s="284"/>
    </row>
    <row r="436">
      <c r="A436" s="571">
        <v>45819.0</v>
      </c>
      <c r="B436" s="563">
        <v>0.43473379629629627</v>
      </c>
      <c r="C436" s="562" t="s">
        <v>15405</v>
      </c>
      <c r="D436" s="284"/>
      <c r="E436" s="562">
        <v>923015759954</v>
      </c>
      <c r="F436" s="562" t="s">
        <v>6982</v>
      </c>
      <c r="G436" s="284"/>
      <c r="H436" s="562" t="s">
        <v>15406</v>
      </c>
      <c r="I436" s="562" t="s">
        <v>15407</v>
      </c>
      <c r="J436" s="284"/>
      <c r="K436" s="562">
        <v>2.0</v>
      </c>
      <c r="L436" s="562" t="s">
        <v>14490</v>
      </c>
      <c r="M436" s="284"/>
    </row>
    <row r="437">
      <c r="A437" s="571">
        <v>45819.0</v>
      </c>
      <c r="B437" s="563">
        <v>0.43515046296296295</v>
      </c>
      <c r="C437" s="562" t="s">
        <v>15408</v>
      </c>
      <c r="D437" s="284"/>
      <c r="E437" s="562">
        <v>923222364642</v>
      </c>
      <c r="F437" s="562" t="s">
        <v>6875</v>
      </c>
      <c r="G437" s="284"/>
      <c r="H437" s="562" t="s">
        <v>15409</v>
      </c>
      <c r="I437" s="284"/>
      <c r="J437" s="284"/>
      <c r="K437" s="562">
        <v>1.0</v>
      </c>
      <c r="L437" s="284"/>
      <c r="M437" s="284"/>
    </row>
    <row r="438">
      <c r="A438" s="571">
        <v>45819.0</v>
      </c>
      <c r="B438" s="563">
        <v>0.4352662037037037</v>
      </c>
      <c r="C438" s="562" t="s">
        <v>7790</v>
      </c>
      <c r="D438" s="284"/>
      <c r="E438" s="562">
        <v>923343909301</v>
      </c>
      <c r="F438" s="562" t="s">
        <v>7291</v>
      </c>
      <c r="G438" s="284"/>
      <c r="H438" s="562" t="s">
        <v>15410</v>
      </c>
      <c r="I438" s="284"/>
      <c r="J438" s="284"/>
      <c r="K438" s="562">
        <v>1.0</v>
      </c>
      <c r="L438" s="562" t="s">
        <v>15411</v>
      </c>
      <c r="M438" s="284"/>
    </row>
    <row r="439">
      <c r="A439" s="571">
        <v>45819.0</v>
      </c>
      <c r="B439" s="563">
        <v>0.4359722222222222</v>
      </c>
      <c r="C439" s="562" t="s">
        <v>7796</v>
      </c>
      <c r="D439" s="284"/>
      <c r="E439" s="562">
        <v>923014517566</v>
      </c>
      <c r="F439" s="562" t="s">
        <v>7291</v>
      </c>
      <c r="G439" s="284"/>
      <c r="H439" s="562" t="s">
        <v>15412</v>
      </c>
      <c r="I439" s="284"/>
      <c r="J439" s="284"/>
      <c r="K439" s="562">
        <v>1.0</v>
      </c>
      <c r="L439" s="562" t="s">
        <v>15413</v>
      </c>
      <c r="M439" s="284"/>
    </row>
    <row r="440">
      <c r="A440" s="571">
        <v>45819.0</v>
      </c>
      <c r="B440" s="563">
        <v>0.43613425925925925</v>
      </c>
      <c r="C440" s="562" t="s">
        <v>7801</v>
      </c>
      <c r="D440" s="284"/>
      <c r="E440" s="562">
        <v>923122123494</v>
      </c>
      <c r="F440" s="562" t="s">
        <v>7291</v>
      </c>
      <c r="G440" s="284"/>
      <c r="H440" s="562" t="s">
        <v>15414</v>
      </c>
      <c r="I440" s="284"/>
      <c r="J440" s="284"/>
      <c r="K440" s="562">
        <v>1.0</v>
      </c>
      <c r="L440" s="562" t="s">
        <v>6944</v>
      </c>
      <c r="M440" s="284"/>
    </row>
    <row r="441">
      <c r="A441" s="571">
        <v>45819.0</v>
      </c>
      <c r="B441" s="563">
        <v>0.43627314814814816</v>
      </c>
      <c r="C441" s="562" t="s">
        <v>7803</v>
      </c>
      <c r="D441" s="284"/>
      <c r="E441" s="562">
        <v>923430267007</v>
      </c>
      <c r="F441" s="562" t="s">
        <v>6939</v>
      </c>
      <c r="G441" s="284"/>
      <c r="H441" s="562" t="s">
        <v>15415</v>
      </c>
      <c r="I441" s="562" t="s">
        <v>15416</v>
      </c>
      <c r="J441" s="284"/>
      <c r="K441" s="562">
        <v>2.0</v>
      </c>
      <c r="L441" s="284"/>
      <c r="M441" s="284"/>
    </row>
    <row r="442">
      <c r="A442" s="571">
        <v>45819.0</v>
      </c>
      <c r="B442" s="563">
        <v>0.43653935185185183</v>
      </c>
      <c r="C442" s="562" t="s">
        <v>13823</v>
      </c>
      <c r="D442" s="284"/>
      <c r="E442" s="562">
        <v>923123191177</v>
      </c>
      <c r="F442" s="562" t="s">
        <v>6939</v>
      </c>
      <c r="G442" s="284"/>
      <c r="H442" s="562" t="s">
        <v>15417</v>
      </c>
      <c r="I442" s="562" t="s">
        <v>15418</v>
      </c>
      <c r="J442" s="284"/>
      <c r="K442" s="562">
        <v>2.0</v>
      </c>
      <c r="L442" s="284"/>
      <c r="M442" s="284"/>
    </row>
    <row r="443">
      <c r="A443" s="571">
        <v>45819.0</v>
      </c>
      <c r="B443" s="563">
        <v>0.4366550925925926</v>
      </c>
      <c r="C443" s="562" t="s">
        <v>15419</v>
      </c>
      <c r="D443" s="562" t="s">
        <v>6886</v>
      </c>
      <c r="E443" s="566" t="s">
        <v>15420</v>
      </c>
      <c r="F443" s="562" t="s">
        <v>6875</v>
      </c>
      <c r="G443" s="284"/>
      <c r="H443" s="562" t="s">
        <v>15421</v>
      </c>
      <c r="I443" s="562" t="s">
        <v>15422</v>
      </c>
      <c r="J443" s="284"/>
      <c r="K443" s="562">
        <v>2.0</v>
      </c>
      <c r="L443" s="284"/>
      <c r="M443" s="284"/>
    </row>
    <row r="444">
      <c r="A444" s="571">
        <v>45819.0</v>
      </c>
      <c r="B444" s="563">
        <v>0.43677083333333333</v>
      </c>
      <c r="C444" s="562" t="s">
        <v>7811</v>
      </c>
      <c r="D444" s="284"/>
      <c r="E444" s="562">
        <v>923258374413</v>
      </c>
      <c r="F444" s="562" t="s">
        <v>6875</v>
      </c>
      <c r="G444" s="284"/>
      <c r="H444" s="562" t="s">
        <v>15423</v>
      </c>
      <c r="I444" s="562" t="s">
        <v>15424</v>
      </c>
      <c r="J444" s="284"/>
      <c r="K444" s="562">
        <v>2.0</v>
      </c>
      <c r="L444" s="284"/>
      <c r="M444" s="284"/>
    </row>
    <row r="445">
      <c r="A445" s="571">
        <v>45819.0</v>
      </c>
      <c r="B445" s="563">
        <v>0.43699074074074074</v>
      </c>
      <c r="C445" s="562" t="s">
        <v>15425</v>
      </c>
      <c r="D445" s="284"/>
      <c r="E445" s="562">
        <v>923258680608</v>
      </c>
      <c r="F445" s="562" t="s">
        <v>6939</v>
      </c>
      <c r="G445" s="284"/>
      <c r="H445" s="562" t="s">
        <v>15426</v>
      </c>
      <c r="I445" s="562" t="s">
        <v>15427</v>
      </c>
      <c r="J445" s="284"/>
      <c r="K445" s="562">
        <v>2.0</v>
      </c>
      <c r="L445" s="284"/>
      <c r="M445" s="284"/>
    </row>
    <row r="446">
      <c r="A446" s="571">
        <v>45819.0</v>
      </c>
      <c r="B446" s="563">
        <v>0.43733796296296296</v>
      </c>
      <c r="C446" s="562" t="s">
        <v>11394</v>
      </c>
      <c r="D446" s="284"/>
      <c r="E446" s="562">
        <v>923337006514</v>
      </c>
      <c r="F446" s="562" t="s">
        <v>6939</v>
      </c>
      <c r="G446" s="284"/>
      <c r="H446" s="562" t="s">
        <v>15428</v>
      </c>
      <c r="I446" s="562" t="s">
        <v>15429</v>
      </c>
      <c r="J446" s="284"/>
      <c r="K446" s="562">
        <v>2.0</v>
      </c>
      <c r="L446" s="284"/>
      <c r="M446" s="284"/>
    </row>
    <row r="447">
      <c r="A447" s="571">
        <v>45819.0</v>
      </c>
      <c r="B447" s="563">
        <v>0.4375462962962963</v>
      </c>
      <c r="C447" s="562" t="s">
        <v>12929</v>
      </c>
      <c r="D447" s="284"/>
      <c r="E447" s="562">
        <v>923012099481</v>
      </c>
      <c r="F447" s="562" t="s">
        <v>7291</v>
      </c>
      <c r="G447" s="284"/>
      <c r="H447" s="562" t="s">
        <v>15430</v>
      </c>
      <c r="I447" s="284"/>
      <c r="J447" s="284"/>
      <c r="K447" s="562">
        <v>1.0</v>
      </c>
      <c r="L447" s="562" t="s">
        <v>15431</v>
      </c>
      <c r="M447" s="284"/>
    </row>
    <row r="448">
      <c r="A448" s="571">
        <v>45819.0</v>
      </c>
      <c r="B448" s="563">
        <v>0.43767361111111114</v>
      </c>
      <c r="C448" s="562" t="s">
        <v>7821</v>
      </c>
      <c r="D448" s="284"/>
      <c r="E448" s="562">
        <v>923132758061</v>
      </c>
      <c r="F448" s="562" t="s">
        <v>6939</v>
      </c>
      <c r="G448" s="284"/>
      <c r="H448" s="562" t="s">
        <v>15432</v>
      </c>
      <c r="I448" s="562" t="s">
        <v>15433</v>
      </c>
      <c r="J448" s="284"/>
      <c r="K448" s="562">
        <v>2.0</v>
      </c>
      <c r="L448" s="284"/>
      <c r="M448" s="284"/>
    </row>
    <row r="449">
      <c r="A449" s="571">
        <v>45819.0</v>
      </c>
      <c r="B449" s="563">
        <v>0.4378356481481481</v>
      </c>
      <c r="C449" s="562" t="s">
        <v>15434</v>
      </c>
      <c r="D449" s="284"/>
      <c r="E449" s="562">
        <v>923284045214</v>
      </c>
      <c r="F449" s="562" t="s">
        <v>6939</v>
      </c>
      <c r="G449" s="284"/>
      <c r="H449" s="562" t="s">
        <v>15435</v>
      </c>
      <c r="I449" s="562" t="s">
        <v>15436</v>
      </c>
      <c r="J449" s="284"/>
      <c r="K449" s="562">
        <v>2.0</v>
      </c>
      <c r="L449" s="284"/>
      <c r="M449" s="284"/>
    </row>
    <row r="450">
      <c r="A450" s="571">
        <v>45819.0</v>
      </c>
      <c r="B450" s="563">
        <v>0.43797453703703704</v>
      </c>
      <c r="C450" s="562" t="s">
        <v>15437</v>
      </c>
      <c r="D450" s="562" t="s">
        <v>7725</v>
      </c>
      <c r="E450" s="566" t="s">
        <v>15438</v>
      </c>
      <c r="F450" s="562" t="s">
        <v>6875</v>
      </c>
      <c r="G450" s="284"/>
      <c r="H450" s="562" t="s">
        <v>15439</v>
      </c>
      <c r="I450" s="284"/>
      <c r="J450" s="284"/>
      <c r="K450" s="562">
        <v>1.0</v>
      </c>
      <c r="L450" s="284"/>
      <c r="M450" s="284"/>
    </row>
    <row r="451">
      <c r="A451" s="571">
        <v>45819.0</v>
      </c>
      <c r="B451" s="563">
        <v>0.4382986111111111</v>
      </c>
      <c r="C451" s="562" t="s">
        <v>11800</v>
      </c>
      <c r="D451" s="284"/>
      <c r="E451" s="562">
        <v>923206286282</v>
      </c>
      <c r="F451" s="562" t="s">
        <v>7291</v>
      </c>
      <c r="G451" s="284"/>
      <c r="H451" s="562" t="s">
        <v>15440</v>
      </c>
      <c r="I451" s="284"/>
      <c r="J451" s="284"/>
      <c r="K451" s="562">
        <v>1.0</v>
      </c>
      <c r="L451" s="562" t="s">
        <v>11917</v>
      </c>
      <c r="M451" s="284"/>
    </row>
    <row r="452">
      <c r="A452" s="571">
        <v>45819.0</v>
      </c>
      <c r="B452" s="563">
        <v>0.43840277777777775</v>
      </c>
      <c r="C452" s="562" t="s">
        <v>7831</v>
      </c>
      <c r="D452" s="284"/>
      <c r="E452" s="562">
        <v>923212021053</v>
      </c>
      <c r="F452" s="562" t="s">
        <v>7291</v>
      </c>
      <c r="G452" s="284"/>
      <c r="H452" s="562" t="s">
        <v>15441</v>
      </c>
      <c r="I452" s="284"/>
      <c r="J452" s="284"/>
      <c r="K452" s="562">
        <v>1.0</v>
      </c>
      <c r="L452" s="562" t="s">
        <v>11917</v>
      </c>
      <c r="M452" s="284"/>
    </row>
    <row r="453">
      <c r="A453" s="571">
        <v>45819.0</v>
      </c>
      <c r="B453" s="563">
        <v>0.4386226851851852</v>
      </c>
      <c r="C453" s="562" t="s">
        <v>15442</v>
      </c>
      <c r="D453" s="562" t="s">
        <v>6886</v>
      </c>
      <c r="E453" s="566" t="s">
        <v>15443</v>
      </c>
      <c r="F453" s="562" t="s">
        <v>6939</v>
      </c>
      <c r="G453" s="284"/>
      <c r="H453" s="562" t="s">
        <v>15444</v>
      </c>
      <c r="I453" s="562" t="s">
        <v>15445</v>
      </c>
      <c r="J453" s="284"/>
      <c r="K453" s="562">
        <v>2.0</v>
      </c>
      <c r="L453" s="284"/>
      <c r="M453" s="284"/>
    </row>
    <row r="454">
      <c r="A454" s="571">
        <v>45819.0</v>
      </c>
      <c r="B454" s="563">
        <v>0.4387962962962963</v>
      </c>
      <c r="C454" s="562" t="s">
        <v>15446</v>
      </c>
      <c r="D454" s="284"/>
      <c r="E454" s="562">
        <v>923326905266</v>
      </c>
      <c r="F454" s="562" t="s">
        <v>7291</v>
      </c>
      <c r="G454" s="284"/>
      <c r="H454" s="562" t="s">
        <v>15447</v>
      </c>
      <c r="I454" s="562" t="s">
        <v>15448</v>
      </c>
      <c r="J454" s="284"/>
      <c r="K454" s="562">
        <v>2.0</v>
      </c>
      <c r="L454" s="562" t="s">
        <v>6944</v>
      </c>
      <c r="M454" s="284"/>
    </row>
    <row r="455">
      <c r="A455" s="571">
        <v>45819.0</v>
      </c>
      <c r="B455" s="563">
        <v>0.43903935185185183</v>
      </c>
      <c r="C455" s="562" t="s">
        <v>15449</v>
      </c>
      <c r="D455" s="284"/>
      <c r="E455" s="562">
        <v>923331932543</v>
      </c>
      <c r="F455" s="562" t="s">
        <v>7291</v>
      </c>
      <c r="G455" s="284"/>
      <c r="H455" s="562" t="s">
        <v>15450</v>
      </c>
      <c r="I455" s="284"/>
      <c r="J455" s="284"/>
      <c r="K455" s="562">
        <v>1.0</v>
      </c>
      <c r="L455" s="562" t="s">
        <v>15451</v>
      </c>
      <c r="M455" s="284"/>
    </row>
    <row r="456">
      <c r="A456" s="571">
        <v>45819.0</v>
      </c>
      <c r="B456" s="563">
        <v>0.43921296296296297</v>
      </c>
      <c r="C456" s="562" t="s">
        <v>15452</v>
      </c>
      <c r="D456" s="284"/>
      <c r="E456" s="562">
        <v>923365368227</v>
      </c>
      <c r="F456" s="562" t="s">
        <v>7291</v>
      </c>
      <c r="G456" s="284"/>
      <c r="H456" s="562" t="s">
        <v>15453</v>
      </c>
      <c r="I456" s="562" t="s">
        <v>15454</v>
      </c>
      <c r="J456" s="284"/>
      <c r="K456" s="562">
        <v>2.0</v>
      </c>
      <c r="L456" s="562" t="s">
        <v>14864</v>
      </c>
      <c r="M456" s="284"/>
    </row>
    <row r="457">
      <c r="A457" s="571">
        <v>45819.0</v>
      </c>
      <c r="B457" s="563">
        <v>0.4393287037037037</v>
      </c>
      <c r="C457" s="562" t="s">
        <v>7844</v>
      </c>
      <c r="D457" s="284"/>
      <c r="E457" s="562">
        <v>923487370253</v>
      </c>
      <c r="F457" s="562" t="s">
        <v>6875</v>
      </c>
      <c r="G457" s="284"/>
      <c r="H457" s="562" t="s">
        <v>15455</v>
      </c>
      <c r="I457" s="284"/>
      <c r="J457" s="284"/>
      <c r="K457" s="562">
        <v>1.0</v>
      </c>
      <c r="L457" s="284"/>
      <c r="M457" s="284"/>
    </row>
    <row r="458">
      <c r="A458" s="571">
        <v>45819.0</v>
      </c>
      <c r="B458" s="563">
        <v>0.43952546296296297</v>
      </c>
      <c r="C458" s="562" t="s">
        <v>7846</v>
      </c>
      <c r="D458" s="284"/>
      <c r="E458" s="562">
        <v>923112076066</v>
      </c>
      <c r="F458" s="562" t="s">
        <v>7291</v>
      </c>
      <c r="G458" s="284"/>
      <c r="H458" s="562" t="s">
        <v>15456</v>
      </c>
      <c r="I458" s="562" t="s">
        <v>15457</v>
      </c>
      <c r="J458" s="284"/>
      <c r="K458" s="562">
        <v>2.0</v>
      </c>
      <c r="L458" s="562" t="s">
        <v>685</v>
      </c>
      <c r="M458" s="284"/>
    </row>
    <row r="459">
      <c r="A459" s="571">
        <v>45819.0</v>
      </c>
      <c r="B459" s="563">
        <v>0.43972222222222224</v>
      </c>
      <c r="C459" s="562" t="s">
        <v>15458</v>
      </c>
      <c r="D459" s="284"/>
      <c r="E459" s="562">
        <v>923214227045</v>
      </c>
      <c r="F459" s="562" t="s">
        <v>7291</v>
      </c>
      <c r="G459" s="284"/>
      <c r="H459" s="562" t="s">
        <v>15459</v>
      </c>
      <c r="I459" s="284"/>
      <c r="J459" s="284"/>
      <c r="K459" s="562">
        <v>1.0</v>
      </c>
      <c r="L459" s="562" t="s">
        <v>15460</v>
      </c>
      <c r="M459" s="284"/>
    </row>
    <row r="460">
      <c r="A460" s="571">
        <v>45819.0</v>
      </c>
      <c r="B460" s="563">
        <v>0.43983796296296296</v>
      </c>
      <c r="C460" s="562" t="s">
        <v>7852</v>
      </c>
      <c r="D460" s="284"/>
      <c r="E460" s="562">
        <v>923453819947</v>
      </c>
      <c r="F460" s="562" t="s">
        <v>6939</v>
      </c>
      <c r="G460" s="284"/>
      <c r="H460" s="562" t="s">
        <v>15461</v>
      </c>
      <c r="I460" s="284"/>
      <c r="J460" s="284"/>
      <c r="K460" s="562">
        <v>1.0</v>
      </c>
      <c r="L460" s="284"/>
      <c r="M460" s="284"/>
    </row>
    <row r="461">
      <c r="A461" s="571">
        <v>45819.0</v>
      </c>
      <c r="B461" s="563">
        <v>0.44004629629629627</v>
      </c>
      <c r="C461" s="562" t="s">
        <v>7857</v>
      </c>
      <c r="D461" s="284"/>
      <c r="E461" s="562">
        <v>923250801850</v>
      </c>
      <c r="F461" s="562" t="s">
        <v>6939</v>
      </c>
      <c r="G461" s="284"/>
      <c r="H461" s="562" t="s">
        <v>15462</v>
      </c>
      <c r="I461" s="562" t="s">
        <v>15463</v>
      </c>
      <c r="J461" s="284"/>
      <c r="K461" s="562">
        <v>2.0</v>
      </c>
      <c r="L461" s="284"/>
      <c r="M461" s="284"/>
    </row>
    <row r="462">
      <c r="A462" s="571">
        <v>45819.0</v>
      </c>
      <c r="B462" s="563">
        <v>0.4402083333333333</v>
      </c>
      <c r="C462" s="562" t="s">
        <v>15464</v>
      </c>
      <c r="D462" s="284"/>
      <c r="E462" s="562">
        <v>923362075377</v>
      </c>
      <c r="F462" s="562" t="s">
        <v>7291</v>
      </c>
      <c r="G462" s="284"/>
      <c r="H462" s="562" t="s">
        <v>15465</v>
      </c>
      <c r="I462" s="284"/>
      <c r="J462" s="284"/>
      <c r="K462" s="562">
        <v>1.0</v>
      </c>
      <c r="L462" s="562" t="s">
        <v>6918</v>
      </c>
      <c r="M462" s="284"/>
    </row>
    <row r="463">
      <c r="A463" s="571">
        <v>45819.0</v>
      </c>
      <c r="B463" s="563">
        <v>0.4413888888888889</v>
      </c>
      <c r="C463" s="562" t="s">
        <v>15466</v>
      </c>
      <c r="D463" s="284"/>
      <c r="E463" s="562">
        <v>923314197788</v>
      </c>
      <c r="F463" s="562" t="s">
        <v>6939</v>
      </c>
      <c r="G463" s="284"/>
      <c r="H463" s="562" t="s">
        <v>15467</v>
      </c>
      <c r="I463" s="284"/>
      <c r="J463" s="284"/>
      <c r="K463" s="562">
        <v>1.0</v>
      </c>
      <c r="L463" s="284"/>
      <c r="M463" s="284"/>
    </row>
    <row r="464">
      <c r="A464" s="571">
        <v>45819.0</v>
      </c>
      <c r="B464" s="563">
        <v>0.44155092592592593</v>
      </c>
      <c r="C464" s="562" t="s">
        <v>7862</v>
      </c>
      <c r="D464" s="284"/>
      <c r="E464" s="562">
        <v>923162446520</v>
      </c>
      <c r="F464" s="562" t="s">
        <v>7291</v>
      </c>
      <c r="G464" s="284"/>
      <c r="H464" s="562" t="s">
        <v>15468</v>
      </c>
      <c r="I464" s="284"/>
      <c r="J464" s="284"/>
      <c r="K464" s="562">
        <v>1.0</v>
      </c>
      <c r="L464" s="562" t="s">
        <v>685</v>
      </c>
      <c r="M464" s="284"/>
    </row>
    <row r="465">
      <c r="A465" s="571">
        <v>45819.0</v>
      </c>
      <c r="B465" s="563">
        <v>0.44166666666666665</v>
      </c>
      <c r="C465" s="562" t="s">
        <v>7867</v>
      </c>
      <c r="D465" s="284"/>
      <c r="E465" s="562">
        <v>923029409195</v>
      </c>
      <c r="F465" s="562" t="s">
        <v>6939</v>
      </c>
      <c r="G465" s="284"/>
      <c r="H465" s="562" t="s">
        <v>15469</v>
      </c>
      <c r="I465" s="284"/>
      <c r="J465" s="284"/>
      <c r="K465" s="562">
        <v>1.0</v>
      </c>
      <c r="L465" s="284"/>
      <c r="M465" s="284"/>
    </row>
    <row r="466">
      <c r="A466" s="571">
        <v>45819.0</v>
      </c>
      <c r="B466" s="563">
        <v>0.44180555555555556</v>
      </c>
      <c r="C466" s="562" t="s">
        <v>15470</v>
      </c>
      <c r="D466" s="284"/>
      <c r="E466" s="562">
        <v>923477932209</v>
      </c>
      <c r="F466" s="562" t="s">
        <v>7291</v>
      </c>
      <c r="G466" s="284"/>
      <c r="H466" s="562" t="s">
        <v>15471</v>
      </c>
      <c r="I466" s="284"/>
      <c r="J466" s="284"/>
      <c r="K466" s="562">
        <v>1.0</v>
      </c>
      <c r="L466" s="562" t="s">
        <v>11891</v>
      </c>
      <c r="M466" s="284"/>
    </row>
    <row r="467">
      <c r="A467" s="571">
        <v>45819.0</v>
      </c>
      <c r="B467" s="563">
        <v>0.44190972222222225</v>
      </c>
      <c r="C467" s="562" t="s">
        <v>12966</v>
      </c>
      <c r="D467" s="284"/>
      <c r="E467" s="562">
        <v>923405980752</v>
      </c>
      <c r="F467" s="562" t="s">
        <v>6939</v>
      </c>
      <c r="G467" s="284"/>
      <c r="H467" s="562" t="s">
        <v>15472</v>
      </c>
      <c r="I467" s="284"/>
      <c r="J467" s="284"/>
      <c r="K467" s="562">
        <v>1.0</v>
      </c>
      <c r="L467" s="284"/>
      <c r="M467" s="284"/>
    </row>
    <row r="468">
      <c r="A468" s="571">
        <v>45819.0</v>
      </c>
      <c r="B468" s="563">
        <v>0.48641203703703706</v>
      </c>
      <c r="C468" s="562" t="s">
        <v>15473</v>
      </c>
      <c r="D468" s="284"/>
      <c r="E468" s="562">
        <v>923086464100</v>
      </c>
      <c r="F468" s="562" t="s">
        <v>6939</v>
      </c>
      <c r="G468" s="284"/>
      <c r="H468" s="562" t="s">
        <v>15474</v>
      </c>
      <c r="I468" s="284"/>
      <c r="J468" s="284"/>
      <c r="K468" s="562">
        <v>1.0</v>
      </c>
      <c r="L468" s="284"/>
      <c r="M468" s="284"/>
    </row>
    <row r="469">
      <c r="A469" s="571">
        <v>45819.0</v>
      </c>
      <c r="B469" s="563">
        <v>0.5430324074074074</v>
      </c>
      <c r="C469" s="562" t="s">
        <v>7878</v>
      </c>
      <c r="D469" s="284"/>
      <c r="E469" s="562">
        <v>923011481999</v>
      </c>
      <c r="F469" s="562" t="s">
        <v>6939</v>
      </c>
      <c r="G469" s="284"/>
      <c r="H469" s="284"/>
      <c r="I469" s="562" t="s">
        <v>15475</v>
      </c>
      <c r="J469" s="284"/>
      <c r="K469" s="562">
        <v>1.0</v>
      </c>
      <c r="L469" s="284"/>
      <c r="M469" s="284"/>
    </row>
    <row r="470">
      <c r="A470" s="571">
        <v>45819.0</v>
      </c>
      <c r="B470" s="563">
        <v>0.5696527777777778</v>
      </c>
      <c r="C470" s="562" t="s">
        <v>13791</v>
      </c>
      <c r="D470" s="284"/>
      <c r="E470" s="562">
        <v>923000439070</v>
      </c>
      <c r="F470" s="562" t="s">
        <v>7291</v>
      </c>
      <c r="G470" s="284"/>
      <c r="H470" s="284"/>
      <c r="I470" s="562" t="s">
        <v>15476</v>
      </c>
      <c r="J470" s="284"/>
      <c r="K470" s="562">
        <v>1.0</v>
      </c>
      <c r="L470" s="562" t="s">
        <v>727</v>
      </c>
      <c r="M470" s="284"/>
    </row>
    <row r="471">
      <c r="A471" s="571">
        <v>45819.0</v>
      </c>
      <c r="B471" s="563">
        <v>0.5826273148148148</v>
      </c>
      <c r="C471" s="562" t="s">
        <v>15211</v>
      </c>
      <c r="D471" s="562" t="s">
        <v>7725</v>
      </c>
      <c r="E471" s="566" t="s">
        <v>15477</v>
      </c>
      <c r="F471" s="562" t="s">
        <v>6875</v>
      </c>
      <c r="G471" s="284"/>
      <c r="H471" s="284"/>
      <c r="I471" s="562" t="s">
        <v>15478</v>
      </c>
      <c r="J471" s="284"/>
      <c r="K471" s="562">
        <v>1.0</v>
      </c>
      <c r="L471" s="284"/>
      <c r="M471" s="284"/>
    </row>
    <row r="472">
      <c r="A472" s="571">
        <v>45819.0</v>
      </c>
      <c r="B472" s="563">
        <v>0.5867824074074074</v>
      </c>
      <c r="C472" s="562" t="s">
        <v>7885</v>
      </c>
      <c r="D472" s="284"/>
      <c r="E472" s="562">
        <v>923094965187</v>
      </c>
      <c r="F472" s="562" t="s">
        <v>6939</v>
      </c>
      <c r="G472" s="284"/>
      <c r="H472" s="284"/>
      <c r="I472" s="562" t="s">
        <v>15479</v>
      </c>
      <c r="J472" s="284"/>
      <c r="K472" s="562">
        <v>1.0</v>
      </c>
      <c r="L472" s="284"/>
      <c r="M472" s="284"/>
    </row>
    <row r="473">
      <c r="A473" s="571">
        <v>45819.0</v>
      </c>
      <c r="B473" s="563">
        <v>0.6204861111111111</v>
      </c>
      <c r="C473" s="562" t="s">
        <v>15480</v>
      </c>
      <c r="D473" s="284"/>
      <c r="E473" s="562">
        <v>923215001053</v>
      </c>
      <c r="F473" s="562" t="s">
        <v>6939</v>
      </c>
      <c r="G473" s="284"/>
      <c r="H473" s="284"/>
      <c r="I473" s="562" t="s">
        <v>15481</v>
      </c>
      <c r="J473" s="284"/>
      <c r="K473" s="562">
        <v>1.0</v>
      </c>
      <c r="L473" s="284"/>
      <c r="M473" s="284"/>
    </row>
    <row r="474">
      <c r="A474" s="571">
        <v>45819.0</v>
      </c>
      <c r="B474" s="563">
        <v>0.6553472222222222</v>
      </c>
      <c r="C474" s="562" t="s">
        <v>12610</v>
      </c>
      <c r="D474" s="284"/>
      <c r="E474" s="562">
        <v>923238373202</v>
      </c>
      <c r="F474" s="562" t="s">
        <v>6875</v>
      </c>
      <c r="G474" s="284"/>
      <c r="H474" s="284"/>
      <c r="I474" s="284"/>
      <c r="J474" s="562" t="s">
        <v>15482</v>
      </c>
      <c r="K474" s="562">
        <v>1.0</v>
      </c>
      <c r="L474" s="284"/>
      <c r="M474" s="284"/>
    </row>
    <row r="475">
      <c r="A475" s="571">
        <v>45819.0</v>
      </c>
      <c r="B475" s="563">
        <v>0.662962962962963</v>
      </c>
      <c r="C475" s="562" t="s">
        <v>5775</v>
      </c>
      <c r="D475" s="284"/>
      <c r="E475" s="562">
        <v>923351048169</v>
      </c>
      <c r="F475" s="562" t="s">
        <v>6939</v>
      </c>
      <c r="G475" s="284"/>
      <c r="H475" s="284"/>
      <c r="I475" s="284"/>
      <c r="J475" s="562" t="s">
        <v>15483</v>
      </c>
      <c r="K475" s="562">
        <v>1.0</v>
      </c>
      <c r="L475" s="284"/>
      <c r="M475" s="284"/>
    </row>
    <row r="476">
      <c r="A476" s="571">
        <v>45819.0</v>
      </c>
      <c r="B476" s="563">
        <v>0.6661574074074074</v>
      </c>
      <c r="C476" s="562" t="s">
        <v>7890</v>
      </c>
      <c r="D476" s="284"/>
      <c r="E476" s="562">
        <v>923313685982</v>
      </c>
      <c r="F476" s="562" t="s">
        <v>6939</v>
      </c>
      <c r="G476" s="284"/>
      <c r="H476" s="562" t="s">
        <v>15484</v>
      </c>
      <c r="I476" s="284"/>
      <c r="J476" s="284"/>
      <c r="K476" s="562">
        <v>1.0</v>
      </c>
      <c r="L476" s="284"/>
      <c r="M476" s="284"/>
    </row>
    <row r="477">
      <c r="A477" s="571">
        <v>45819.0</v>
      </c>
      <c r="B477" s="563">
        <v>0.6936226851851852</v>
      </c>
      <c r="C477" s="562" t="s">
        <v>7892</v>
      </c>
      <c r="D477" s="284"/>
      <c r="E477" s="562">
        <v>923700473378</v>
      </c>
      <c r="F477" s="562" t="s">
        <v>9302</v>
      </c>
      <c r="G477" s="284"/>
      <c r="H477" s="562" t="s">
        <v>15485</v>
      </c>
      <c r="I477" s="284"/>
      <c r="J477" s="284"/>
      <c r="K477" s="562">
        <v>1.0</v>
      </c>
      <c r="L477" s="562" t="s">
        <v>15486</v>
      </c>
      <c r="M477" s="284"/>
    </row>
    <row r="478">
      <c r="A478" s="571">
        <v>45819.0</v>
      </c>
      <c r="B478" s="563">
        <v>0.6960185185185185</v>
      </c>
      <c r="C478" s="562" t="s">
        <v>7897</v>
      </c>
      <c r="D478" s="284"/>
      <c r="E478" s="562">
        <v>923338613392</v>
      </c>
      <c r="F478" s="562" t="s">
        <v>6875</v>
      </c>
      <c r="G478" s="284"/>
      <c r="H478" s="562" t="s">
        <v>15487</v>
      </c>
      <c r="I478" s="284"/>
      <c r="J478" s="284"/>
      <c r="K478" s="562">
        <v>1.0</v>
      </c>
      <c r="L478" s="284"/>
      <c r="M478" s="284"/>
    </row>
  </sheetData>
  <dataValidations>
    <dataValidation type="list" allowBlank="1" showErrorMessage="1" sqref="F2:F478">
      <formula1>"Call Received,Not Received,Call Later,Client Lost,Confirmation,Paid,Demo,Form Filled"</formula1>
    </dataValidation>
  </dataValidations>
  <drawing r:id="rId1"/>
</worksheet>
</file>